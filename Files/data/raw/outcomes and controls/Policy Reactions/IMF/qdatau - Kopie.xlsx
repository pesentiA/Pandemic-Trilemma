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40" documentId="8_{7DB4AD3A-AB26-4980-B9A6-0EC3B86D652E}" xr6:coauthVersionLast="47" xr6:coauthVersionMax="47" xr10:uidLastSave="{62154098-D4FA-4ACE-9A4D-C345DCFE311B}"/>
  <bookViews>
    <workbookView xWindow="-30465" yWindow="-21600" windowWidth="26010" windowHeight="20985" activeTab="1" xr2:uid="{2D2C02C4-FC8B-4802-B8E4-7BF166078A24}"/>
  </bookViews>
  <sheets>
    <sheet name="data" sheetId="2" r:id="rId1"/>
    <sheet name="diff" sheetId="3" r:id="rId2"/>
    <sheet name="Tabelle1" sheetId="1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3" l="1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C192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C154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C116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C78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C40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C2" i="3"/>
  <c r="Z267" i="2"/>
  <c r="Y267" i="2"/>
  <c r="X267" i="2"/>
  <c r="W267" i="2"/>
  <c r="V267" i="2"/>
  <c r="U267" i="2"/>
  <c r="R267" i="2"/>
  <c r="Q267" i="2"/>
  <c r="P267" i="2"/>
  <c r="O267" i="2"/>
  <c r="N267" i="2"/>
  <c r="M267" i="2"/>
  <c r="G267" i="2"/>
  <c r="C267" i="2"/>
  <c r="Z266" i="2"/>
  <c r="Y266" i="2"/>
  <c r="X266" i="2"/>
  <c r="W266" i="2"/>
  <c r="V266" i="2"/>
  <c r="U266" i="2"/>
  <c r="R266" i="2"/>
  <c r="Q266" i="2"/>
  <c r="P266" i="2"/>
  <c r="O266" i="2"/>
  <c r="N266" i="2"/>
  <c r="M266" i="2"/>
  <c r="G266" i="2"/>
  <c r="C266" i="2"/>
  <c r="Z265" i="2"/>
  <c r="Y265" i="2"/>
  <c r="X265" i="2"/>
  <c r="W265" i="2"/>
  <c r="V265" i="2"/>
  <c r="U265" i="2"/>
  <c r="R265" i="2"/>
  <c r="Q265" i="2"/>
  <c r="P265" i="2"/>
  <c r="O265" i="2"/>
  <c r="N265" i="2"/>
  <c r="M265" i="2"/>
  <c r="G265" i="2"/>
  <c r="C265" i="2"/>
  <c r="Z264" i="2"/>
  <c r="Y264" i="2"/>
  <c r="X264" i="2"/>
  <c r="W264" i="2"/>
  <c r="V264" i="2"/>
  <c r="U264" i="2"/>
  <c r="R264" i="2"/>
  <c r="Q264" i="2"/>
  <c r="P264" i="2"/>
  <c r="O264" i="2"/>
  <c r="N264" i="2"/>
  <c r="L264" i="2" s="1"/>
  <c r="M264" i="2"/>
  <c r="G264" i="2"/>
  <c r="C264" i="2"/>
  <c r="Z263" i="2"/>
  <c r="Y263" i="2"/>
  <c r="X263" i="2"/>
  <c r="W263" i="2"/>
  <c r="V263" i="2"/>
  <c r="U263" i="2"/>
  <c r="R263" i="2"/>
  <c r="Q263" i="2"/>
  <c r="P263" i="2"/>
  <c r="O263" i="2"/>
  <c r="N263" i="2"/>
  <c r="M263" i="2"/>
  <c r="G263" i="2"/>
  <c r="C263" i="2"/>
  <c r="Z262" i="2"/>
  <c r="Y262" i="2"/>
  <c r="X262" i="2"/>
  <c r="W262" i="2"/>
  <c r="V262" i="2"/>
  <c r="U262" i="2"/>
  <c r="R262" i="2"/>
  <c r="Q262" i="2"/>
  <c r="P262" i="2"/>
  <c r="O262" i="2"/>
  <c r="N262" i="2"/>
  <c r="M262" i="2"/>
  <c r="G262" i="2"/>
  <c r="C262" i="2"/>
  <c r="Z261" i="2"/>
  <c r="Y261" i="2"/>
  <c r="X261" i="2"/>
  <c r="W261" i="2"/>
  <c r="V261" i="2"/>
  <c r="U261" i="2"/>
  <c r="R261" i="2"/>
  <c r="Q261" i="2"/>
  <c r="P261" i="2"/>
  <c r="O261" i="2"/>
  <c r="N261" i="2"/>
  <c r="M261" i="2"/>
  <c r="G261" i="2"/>
  <c r="C261" i="2"/>
  <c r="Z260" i="2"/>
  <c r="Y260" i="2"/>
  <c r="X260" i="2"/>
  <c r="W260" i="2"/>
  <c r="V260" i="2"/>
  <c r="U260" i="2"/>
  <c r="R260" i="2"/>
  <c r="Q260" i="2"/>
  <c r="P260" i="2"/>
  <c r="O260" i="2"/>
  <c r="N260" i="2"/>
  <c r="L260" i="2" s="1"/>
  <c r="M260" i="2"/>
  <c r="G260" i="2"/>
  <c r="C260" i="2"/>
  <c r="Z259" i="2"/>
  <c r="Y259" i="2"/>
  <c r="X259" i="2"/>
  <c r="W259" i="2"/>
  <c r="V259" i="2"/>
  <c r="U259" i="2"/>
  <c r="R259" i="2"/>
  <c r="Q259" i="2"/>
  <c r="P259" i="2"/>
  <c r="O259" i="2"/>
  <c r="N259" i="2"/>
  <c r="M259" i="2"/>
  <c r="G259" i="2"/>
  <c r="C259" i="2"/>
  <c r="Z258" i="2"/>
  <c r="Y258" i="2"/>
  <c r="X258" i="2"/>
  <c r="W258" i="2"/>
  <c r="V258" i="2"/>
  <c r="U258" i="2"/>
  <c r="R258" i="2"/>
  <c r="Q258" i="2"/>
  <c r="P258" i="2"/>
  <c r="O258" i="2"/>
  <c r="N258" i="2"/>
  <c r="M258" i="2"/>
  <c r="G258" i="2"/>
  <c r="C258" i="2"/>
  <c r="Z257" i="2"/>
  <c r="Y257" i="2"/>
  <c r="X257" i="2"/>
  <c r="W257" i="2"/>
  <c r="V257" i="2"/>
  <c r="U257" i="2"/>
  <c r="R257" i="2"/>
  <c r="Q257" i="2"/>
  <c r="P257" i="2"/>
  <c r="O257" i="2"/>
  <c r="N257" i="2"/>
  <c r="M257" i="2"/>
  <c r="G257" i="2"/>
  <c r="C257" i="2"/>
  <c r="Z256" i="2"/>
  <c r="Y256" i="2"/>
  <c r="X256" i="2"/>
  <c r="W256" i="2"/>
  <c r="V256" i="2"/>
  <c r="U256" i="2"/>
  <c r="R256" i="2"/>
  <c r="Q256" i="2"/>
  <c r="P256" i="2"/>
  <c r="O256" i="2"/>
  <c r="N256" i="2"/>
  <c r="M256" i="2"/>
  <c r="G256" i="2"/>
  <c r="C256" i="2"/>
  <c r="Z255" i="2"/>
  <c r="Y255" i="2"/>
  <c r="X255" i="2"/>
  <c r="W255" i="2"/>
  <c r="V255" i="2"/>
  <c r="T255" i="2" s="1"/>
  <c r="U255" i="2"/>
  <c r="R255" i="2"/>
  <c r="Q255" i="2"/>
  <c r="P255" i="2"/>
  <c r="O255" i="2"/>
  <c r="N255" i="2"/>
  <c r="M255" i="2"/>
  <c r="G255" i="2"/>
  <c r="C255" i="2"/>
  <c r="Z254" i="2"/>
  <c r="Y254" i="2"/>
  <c r="X254" i="2"/>
  <c r="T254" i="2" s="1"/>
  <c r="W254" i="2"/>
  <c r="V254" i="2"/>
  <c r="U254" i="2"/>
  <c r="R254" i="2"/>
  <c r="Q254" i="2"/>
  <c r="P254" i="2"/>
  <c r="O254" i="2"/>
  <c r="N254" i="2"/>
  <c r="M254" i="2"/>
  <c r="G254" i="2"/>
  <c r="C254" i="2"/>
  <c r="Z253" i="2"/>
  <c r="Y253" i="2"/>
  <c r="X253" i="2"/>
  <c r="W253" i="2"/>
  <c r="V253" i="2"/>
  <c r="U253" i="2"/>
  <c r="R253" i="2"/>
  <c r="Q253" i="2"/>
  <c r="P253" i="2"/>
  <c r="O253" i="2"/>
  <c r="N253" i="2"/>
  <c r="M253" i="2"/>
  <c r="G253" i="2"/>
  <c r="C253" i="2"/>
  <c r="Z252" i="2"/>
  <c r="Y252" i="2"/>
  <c r="X252" i="2"/>
  <c r="W252" i="2"/>
  <c r="V252" i="2"/>
  <c r="U252" i="2"/>
  <c r="R252" i="2"/>
  <c r="Q252" i="2"/>
  <c r="P252" i="2"/>
  <c r="O252" i="2"/>
  <c r="N252" i="2"/>
  <c r="M252" i="2"/>
  <c r="G252" i="2"/>
  <c r="C252" i="2"/>
  <c r="Z251" i="2"/>
  <c r="Y251" i="2"/>
  <c r="X251" i="2"/>
  <c r="W251" i="2"/>
  <c r="V251" i="2"/>
  <c r="U251" i="2"/>
  <c r="R251" i="2"/>
  <c r="Q251" i="2"/>
  <c r="P251" i="2"/>
  <c r="O251" i="2"/>
  <c r="N251" i="2"/>
  <c r="M251" i="2"/>
  <c r="G251" i="2"/>
  <c r="C251" i="2"/>
  <c r="Z250" i="2"/>
  <c r="Y250" i="2"/>
  <c r="X250" i="2"/>
  <c r="W250" i="2"/>
  <c r="V250" i="2"/>
  <c r="U250" i="2"/>
  <c r="R250" i="2"/>
  <c r="Q250" i="2"/>
  <c r="P250" i="2"/>
  <c r="O250" i="2"/>
  <c r="N250" i="2"/>
  <c r="M250" i="2"/>
  <c r="G250" i="2"/>
  <c r="C250" i="2"/>
  <c r="Z249" i="2"/>
  <c r="Y249" i="2"/>
  <c r="X249" i="2"/>
  <c r="W249" i="2"/>
  <c r="V249" i="2"/>
  <c r="U249" i="2"/>
  <c r="R249" i="2"/>
  <c r="Q249" i="2"/>
  <c r="P249" i="2"/>
  <c r="O249" i="2"/>
  <c r="N249" i="2"/>
  <c r="M249" i="2"/>
  <c r="G249" i="2"/>
  <c r="C249" i="2"/>
  <c r="Z248" i="2"/>
  <c r="Y248" i="2"/>
  <c r="X248" i="2"/>
  <c r="W248" i="2"/>
  <c r="V248" i="2"/>
  <c r="U248" i="2"/>
  <c r="R248" i="2"/>
  <c r="Q248" i="2"/>
  <c r="P248" i="2"/>
  <c r="O248" i="2"/>
  <c r="N248" i="2"/>
  <c r="M248" i="2"/>
  <c r="G248" i="2"/>
  <c r="C248" i="2"/>
  <c r="Z247" i="2"/>
  <c r="Y247" i="2"/>
  <c r="X247" i="2"/>
  <c r="W247" i="2"/>
  <c r="V247" i="2"/>
  <c r="U247" i="2"/>
  <c r="R247" i="2"/>
  <c r="Q247" i="2"/>
  <c r="P247" i="2"/>
  <c r="O247" i="2"/>
  <c r="N247" i="2"/>
  <c r="M247" i="2"/>
  <c r="G247" i="2"/>
  <c r="C247" i="2"/>
  <c r="Z246" i="2"/>
  <c r="Y246" i="2"/>
  <c r="X246" i="2"/>
  <c r="W246" i="2"/>
  <c r="V246" i="2"/>
  <c r="U246" i="2"/>
  <c r="R246" i="2"/>
  <c r="Q246" i="2"/>
  <c r="P246" i="2"/>
  <c r="O246" i="2"/>
  <c r="N246" i="2"/>
  <c r="M246" i="2"/>
  <c r="G246" i="2"/>
  <c r="C246" i="2"/>
  <c r="Z245" i="2"/>
  <c r="Y245" i="2"/>
  <c r="X245" i="2"/>
  <c r="W245" i="2"/>
  <c r="V245" i="2"/>
  <c r="U245" i="2"/>
  <c r="R245" i="2"/>
  <c r="Q245" i="2"/>
  <c r="P245" i="2"/>
  <c r="O245" i="2"/>
  <c r="N245" i="2"/>
  <c r="M245" i="2"/>
  <c r="G245" i="2"/>
  <c r="C245" i="2"/>
  <c r="Z244" i="2"/>
  <c r="Y244" i="2"/>
  <c r="X244" i="2"/>
  <c r="W244" i="2"/>
  <c r="V244" i="2"/>
  <c r="U244" i="2"/>
  <c r="R244" i="2"/>
  <c r="Q244" i="2"/>
  <c r="P244" i="2"/>
  <c r="O244" i="2"/>
  <c r="N244" i="2"/>
  <c r="M244" i="2"/>
  <c r="G244" i="2"/>
  <c r="C244" i="2"/>
  <c r="Z243" i="2"/>
  <c r="Y243" i="2"/>
  <c r="X243" i="2"/>
  <c r="W243" i="2"/>
  <c r="V243" i="2"/>
  <c r="U243" i="2"/>
  <c r="R243" i="2"/>
  <c r="Q243" i="2"/>
  <c r="P243" i="2"/>
  <c r="O243" i="2"/>
  <c r="N243" i="2"/>
  <c r="M243" i="2"/>
  <c r="G243" i="2"/>
  <c r="C243" i="2"/>
  <c r="Z242" i="2"/>
  <c r="Y242" i="2"/>
  <c r="X242" i="2"/>
  <c r="W242" i="2"/>
  <c r="V242" i="2"/>
  <c r="T242" i="2" s="1"/>
  <c r="U242" i="2"/>
  <c r="R242" i="2"/>
  <c r="Q242" i="2"/>
  <c r="P242" i="2"/>
  <c r="O242" i="2"/>
  <c r="N242" i="2"/>
  <c r="M242" i="2"/>
  <c r="G242" i="2"/>
  <c r="C242" i="2"/>
  <c r="Z241" i="2"/>
  <c r="Y241" i="2"/>
  <c r="X241" i="2"/>
  <c r="W241" i="2"/>
  <c r="V241" i="2"/>
  <c r="U241" i="2"/>
  <c r="R241" i="2"/>
  <c r="Q241" i="2"/>
  <c r="P241" i="2"/>
  <c r="O241" i="2"/>
  <c r="N241" i="2"/>
  <c r="M241" i="2"/>
  <c r="G241" i="2"/>
  <c r="C241" i="2"/>
  <c r="Z240" i="2"/>
  <c r="Y240" i="2"/>
  <c r="X240" i="2"/>
  <c r="W240" i="2"/>
  <c r="V240" i="2"/>
  <c r="U240" i="2"/>
  <c r="R240" i="2"/>
  <c r="Q240" i="2"/>
  <c r="P240" i="2"/>
  <c r="O240" i="2"/>
  <c r="N240" i="2"/>
  <c r="M240" i="2"/>
  <c r="G240" i="2"/>
  <c r="C240" i="2"/>
  <c r="Z239" i="2"/>
  <c r="Y239" i="2"/>
  <c r="X239" i="2"/>
  <c r="W239" i="2"/>
  <c r="V239" i="2"/>
  <c r="U239" i="2"/>
  <c r="R239" i="2"/>
  <c r="Q239" i="2"/>
  <c r="P239" i="2"/>
  <c r="O239" i="2"/>
  <c r="N239" i="2"/>
  <c r="M239" i="2"/>
  <c r="G239" i="2"/>
  <c r="C239" i="2"/>
  <c r="Z238" i="2"/>
  <c r="Y238" i="2"/>
  <c r="X238" i="2"/>
  <c r="W238" i="2"/>
  <c r="V238" i="2"/>
  <c r="U238" i="2"/>
  <c r="R238" i="2"/>
  <c r="Q238" i="2"/>
  <c r="P238" i="2"/>
  <c r="O238" i="2"/>
  <c r="N238" i="2"/>
  <c r="M238" i="2"/>
  <c r="G238" i="2"/>
  <c r="C238" i="2"/>
  <c r="Z237" i="2"/>
  <c r="Y237" i="2"/>
  <c r="X237" i="2"/>
  <c r="W237" i="2"/>
  <c r="V237" i="2"/>
  <c r="U237" i="2"/>
  <c r="R237" i="2"/>
  <c r="Q237" i="2"/>
  <c r="P237" i="2"/>
  <c r="O237" i="2"/>
  <c r="N237" i="2"/>
  <c r="M237" i="2"/>
  <c r="G237" i="2"/>
  <c r="C237" i="2"/>
  <c r="Z236" i="2"/>
  <c r="Y236" i="2"/>
  <c r="X236" i="2"/>
  <c r="W236" i="2"/>
  <c r="V236" i="2"/>
  <c r="U236" i="2"/>
  <c r="R236" i="2"/>
  <c r="Q236" i="2"/>
  <c r="P236" i="2"/>
  <c r="O236" i="2"/>
  <c r="N236" i="2"/>
  <c r="M236" i="2"/>
  <c r="G236" i="2"/>
  <c r="C236" i="2"/>
  <c r="Z235" i="2"/>
  <c r="Y235" i="2"/>
  <c r="X235" i="2"/>
  <c r="W235" i="2"/>
  <c r="V235" i="2"/>
  <c r="U235" i="2"/>
  <c r="R235" i="2"/>
  <c r="Q235" i="2"/>
  <c r="P235" i="2"/>
  <c r="O235" i="2"/>
  <c r="N235" i="2"/>
  <c r="M235" i="2"/>
  <c r="G235" i="2"/>
  <c r="C235" i="2"/>
  <c r="Z234" i="2"/>
  <c r="Y234" i="2"/>
  <c r="X234" i="2"/>
  <c r="W234" i="2"/>
  <c r="V234" i="2"/>
  <c r="U234" i="2"/>
  <c r="R234" i="2"/>
  <c r="Q234" i="2"/>
  <c r="P234" i="2"/>
  <c r="O234" i="2"/>
  <c r="N234" i="2"/>
  <c r="M234" i="2"/>
  <c r="G234" i="2"/>
  <c r="C234" i="2"/>
  <c r="Z233" i="2"/>
  <c r="Y233" i="2"/>
  <c r="X233" i="2"/>
  <c r="W233" i="2"/>
  <c r="V233" i="2"/>
  <c r="U233" i="2"/>
  <c r="R233" i="2"/>
  <c r="Q233" i="2"/>
  <c r="P233" i="2"/>
  <c r="O233" i="2"/>
  <c r="N233" i="2"/>
  <c r="M233" i="2"/>
  <c r="G233" i="2"/>
  <c r="C233" i="2"/>
  <c r="Z232" i="2"/>
  <c r="Y232" i="2"/>
  <c r="X232" i="2"/>
  <c r="W232" i="2"/>
  <c r="V232" i="2"/>
  <c r="U232" i="2"/>
  <c r="R232" i="2"/>
  <c r="Q232" i="2"/>
  <c r="P232" i="2"/>
  <c r="O232" i="2"/>
  <c r="N232" i="2"/>
  <c r="M232" i="2"/>
  <c r="G232" i="2"/>
  <c r="C232" i="2"/>
  <c r="Z231" i="2"/>
  <c r="Y231" i="2"/>
  <c r="X231" i="2"/>
  <c r="W231" i="2"/>
  <c r="V231" i="2"/>
  <c r="U231" i="2"/>
  <c r="R231" i="2"/>
  <c r="Q231" i="2"/>
  <c r="P231" i="2"/>
  <c r="O231" i="2"/>
  <c r="N231" i="2"/>
  <c r="M231" i="2"/>
  <c r="G231" i="2"/>
  <c r="C231" i="2"/>
  <c r="Z230" i="2"/>
  <c r="Y230" i="2"/>
  <c r="X230" i="2"/>
  <c r="W230" i="2"/>
  <c r="V230" i="2"/>
  <c r="U230" i="2"/>
  <c r="R230" i="2"/>
  <c r="Q230" i="2"/>
  <c r="P230" i="2"/>
  <c r="O230" i="2"/>
  <c r="N230" i="2"/>
  <c r="M230" i="2"/>
  <c r="G230" i="2"/>
  <c r="C230" i="2"/>
  <c r="Z229" i="2"/>
  <c r="Y229" i="2"/>
  <c r="X229" i="2"/>
  <c r="W229" i="2"/>
  <c r="V229" i="2"/>
  <c r="U229" i="2"/>
  <c r="R229" i="2"/>
  <c r="Q229" i="2"/>
  <c r="P229" i="2"/>
  <c r="O229" i="2"/>
  <c r="N229" i="2"/>
  <c r="M229" i="2"/>
  <c r="G229" i="2"/>
  <c r="C229" i="2"/>
  <c r="Z228" i="2"/>
  <c r="Y228" i="2"/>
  <c r="X228" i="2"/>
  <c r="W228" i="2"/>
  <c r="V228" i="2"/>
  <c r="U228" i="2"/>
  <c r="R228" i="2"/>
  <c r="Q228" i="2"/>
  <c r="P228" i="2"/>
  <c r="O228" i="2"/>
  <c r="N228" i="2"/>
  <c r="M228" i="2"/>
  <c r="G228" i="2"/>
  <c r="C228" i="2"/>
  <c r="Z227" i="2"/>
  <c r="Y227" i="2"/>
  <c r="X227" i="2"/>
  <c r="W227" i="2"/>
  <c r="V227" i="2"/>
  <c r="U227" i="2"/>
  <c r="R227" i="2"/>
  <c r="Q227" i="2"/>
  <c r="P227" i="2"/>
  <c r="O227" i="2"/>
  <c r="N227" i="2"/>
  <c r="M227" i="2"/>
  <c r="G227" i="2"/>
  <c r="C227" i="2"/>
  <c r="Z226" i="2"/>
  <c r="Y226" i="2"/>
  <c r="X226" i="2"/>
  <c r="W226" i="2"/>
  <c r="V226" i="2"/>
  <c r="U226" i="2"/>
  <c r="R226" i="2"/>
  <c r="Q226" i="2"/>
  <c r="P226" i="2"/>
  <c r="O226" i="2"/>
  <c r="N226" i="2"/>
  <c r="M226" i="2"/>
  <c r="G226" i="2"/>
  <c r="C226" i="2"/>
  <c r="Z225" i="2"/>
  <c r="Y225" i="2"/>
  <c r="X225" i="2"/>
  <c r="W225" i="2"/>
  <c r="V225" i="2"/>
  <c r="U225" i="2"/>
  <c r="R225" i="2"/>
  <c r="Q225" i="2"/>
  <c r="P225" i="2"/>
  <c r="O225" i="2"/>
  <c r="N225" i="2"/>
  <c r="M225" i="2"/>
  <c r="G225" i="2"/>
  <c r="C225" i="2"/>
  <c r="Z224" i="2"/>
  <c r="Y224" i="2"/>
  <c r="X224" i="2"/>
  <c r="W224" i="2"/>
  <c r="V224" i="2"/>
  <c r="U224" i="2"/>
  <c r="R224" i="2"/>
  <c r="Q224" i="2"/>
  <c r="P224" i="2"/>
  <c r="O224" i="2"/>
  <c r="N224" i="2"/>
  <c r="M224" i="2"/>
  <c r="G224" i="2"/>
  <c r="C224" i="2"/>
  <c r="Z223" i="2"/>
  <c r="Y223" i="2"/>
  <c r="X223" i="2"/>
  <c r="W223" i="2"/>
  <c r="V223" i="2"/>
  <c r="U223" i="2"/>
  <c r="R223" i="2"/>
  <c r="Q223" i="2"/>
  <c r="P223" i="2"/>
  <c r="O223" i="2"/>
  <c r="N223" i="2"/>
  <c r="M223" i="2"/>
  <c r="G223" i="2"/>
  <c r="C223" i="2"/>
  <c r="Z222" i="2"/>
  <c r="Y222" i="2"/>
  <c r="X222" i="2"/>
  <c r="W222" i="2"/>
  <c r="V222" i="2"/>
  <c r="U222" i="2"/>
  <c r="R222" i="2"/>
  <c r="Q222" i="2"/>
  <c r="P222" i="2"/>
  <c r="O222" i="2"/>
  <c r="N222" i="2"/>
  <c r="M222" i="2"/>
  <c r="G222" i="2"/>
  <c r="C222" i="2"/>
  <c r="Z221" i="2"/>
  <c r="Y221" i="2"/>
  <c r="X221" i="2"/>
  <c r="W221" i="2"/>
  <c r="V221" i="2"/>
  <c r="U221" i="2"/>
  <c r="R221" i="2"/>
  <c r="Q221" i="2"/>
  <c r="P221" i="2"/>
  <c r="O221" i="2"/>
  <c r="N221" i="2"/>
  <c r="M221" i="2"/>
  <c r="G221" i="2"/>
  <c r="C221" i="2"/>
  <c r="Z220" i="2"/>
  <c r="Y220" i="2"/>
  <c r="X220" i="2"/>
  <c r="W220" i="2"/>
  <c r="V220" i="2"/>
  <c r="U220" i="2"/>
  <c r="R220" i="2"/>
  <c r="Q220" i="2"/>
  <c r="P220" i="2"/>
  <c r="O220" i="2"/>
  <c r="N220" i="2"/>
  <c r="M220" i="2"/>
  <c r="G220" i="2"/>
  <c r="C220" i="2"/>
  <c r="Z219" i="2"/>
  <c r="Y219" i="2"/>
  <c r="X219" i="2"/>
  <c r="W219" i="2"/>
  <c r="V219" i="2"/>
  <c r="U219" i="2"/>
  <c r="R219" i="2"/>
  <c r="Q219" i="2"/>
  <c r="P219" i="2"/>
  <c r="O219" i="2"/>
  <c r="N219" i="2"/>
  <c r="M219" i="2"/>
  <c r="G219" i="2"/>
  <c r="C219" i="2"/>
  <c r="Z218" i="2"/>
  <c r="Y218" i="2"/>
  <c r="X218" i="2"/>
  <c r="W218" i="2"/>
  <c r="V218" i="2"/>
  <c r="U218" i="2"/>
  <c r="R218" i="2"/>
  <c r="Q218" i="2"/>
  <c r="P218" i="2"/>
  <c r="O218" i="2"/>
  <c r="N218" i="2"/>
  <c r="M218" i="2"/>
  <c r="G218" i="2"/>
  <c r="C218" i="2"/>
  <c r="Z217" i="2"/>
  <c r="Y217" i="2"/>
  <c r="X217" i="2"/>
  <c r="W217" i="2"/>
  <c r="V217" i="2"/>
  <c r="U217" i="2"/>
  <c r="R217" i="2"/>
  <c r="Q217" i="2"/>
  <c r="P217" i="2"/>
  <c r="O217" i="2"/>
  <c r="N217" i="2"/>
  <c r="M217" i="2"/>
  <c r="G217" i="2"/>
  <c r="C217" i="2"/>
  <c r="Z216" i="2"/>
  <c r="Y216" i="2"/>
  <c r="X216" i="2"/>
  <c r="W216" i="2"/>
  <c r="V216" i="2"/>
  <c r="U216" i="2"/>
  <c r="R216" i="2"/>
  <c r="Q216" i="2"/>
  <c r="P216" i="2"/>
  <c r="O216" i="2"/>
  <c r="N216" i="2"/>
  <c r="M216" i="2"/>
  <c r="G216" i="2"/>
  <c r="C216" i="2"/>
  <c r="Z215" i="2"/>
  <c r="Y215" i="2"/>
  <c r="X215" i="2"/>
  <c r="W215" i="2"/>
  <c r="V215" i="2"/>
  <c r="U215" i="2"/>
  <c r="R215" i="2"/>
  <c r="Q215" i="2"/>
  <c r="P215" i="2"/>
  <c r="O215" i="2"/>
  <c r="N215" i="2"/>
  <c r="M215" i="2"/>
  <c r="G215" i="2"/>
  <c r="C215" i="2"/>
  <c r="Z214" i="2"/>
  <c r="Y214" i="2"/>
  <c r="X214" i="2"/>
  <c r="W214" i="2"/>
  <c r="V214" i="2"/>
  <c r="U214" i="2"/>
  <c r="R214" i="2"/>
  <c r="Q214" i="2"/>
  <c r="P214" i="2"/>
  <c r="O214" i="2"/>
  <c r="N214" i="2"/>
  <c r="M214" i="2"/>
  <c r="G214" i="2"/>
  <c r="C214" i="2"/>
  <c r="Z213" i="2"/>
  <c r="Y213" i="2"/>
  <c r="X213" i="2"/>
  <c r="W213" i="2"/>
  <c r="V213" i="2"/>
  <c r="U213" i="2"/>
  <c r="R213" i="2"/>
  <c r="Q213" i="2"/>
  <c r="P213" i="2"/>
  <c r="O213" i="2"/>
  <c r="K213" i="2" s="1"/>
  <c r="N213" i="2"/>
  <c r="M213" i="2"/>
  <c r="G213" i="2"/>
  <c r="C213" i="2"/>
  <c r="Z212" i="2"/>
  <c r="Y212" i="2"/>
  <c r="X212" i="2"/>
  <c r="W212" i="2"/>
  <c r="V212" i="2"/>
  <c r="U212" i="2"/>
  <c r="R212" i="2"/>
  <c r="Q212" i="2"/>
  <c r="P212" i="2"/>
  <c r="O212" i="2"/>
  <c r="N212" i="2"/>
  <c r="M212" i="2"/>
  <c r="G212" i="2"/>
  <c r="C212" i="2"/>
  <c r="Z211" i="2"/>
  <c r="Y211" i="2"/>
  <c r="X211" i="2"/>
  <c r="W211" i="2"/>
  <c r="V211" i="2"/>
  <c r="U211" i="2"/>
  <c r="R211" i="2"/>
  <c r="Q211" i="2"/>
  <c r="P211" i="2"/>
  <c r="O211" i="2"/>
  <c r="N211" i="2"/>
  <c r="M211" i="2"/>
  <c r="G211" i="2"/>
  <c r="C211" i="2"/>
  <c r="Z210" i="2"/>
  <c r="Y210" i="2"/>
  <c r="X210" i="2"/>
  <c r="W210" i="2"/>
  <c r="V210" i="2"/>
  <c r="U210" i="2"/>
  <c r="R210" i="2"/>
  <c r="Q210" i="2"/>
  <c r="P210" i="2"/>
  <c r="O210" i="2"/>
  <c r="N210" i="2"/>
  <c r="M210" i="2"/>
  <c r="G210" i="2"/>
  <c r="C210" i="2"/>
  <c r="Z209" i="2"/>
  <c r="Y209" i="2"/>
  <c r="X209" i="2"/>
  <c r="W209" i="2"/>
  <c r="V209" i="2"/>
  <c r="U209" i="2"/>
  <c r="R209" i="2"/>
  <c r="Q209" i="2"/>
  <c r="P209" i="2"/>
  <c r="O209" i="2"/>
  <c r="N209" i="2"/>
  <c r="M209" i="2"/>
  <c r="G209" i="2"/>
  <c r="C209" i="2"/>
  <c r="Z208" i="2"/>
  <c r="Y208" i="2"/>
  <c r="X208" i="2"/>
  <c r="W208" i="2"/>
  <c r="V208" i="2"/>
  <c r="U208" i="2"/>
  <c r="R208" i="2"/>
  <c r="Q208" i="2"/>
  <c r="P208" i="2"/>
  <c r="O208" i="2"/>
  <c r="N208" i="2"/>
  <c r="M208" i="2"/>
  <c r="G208" i="2"/>
  <c r="C208" i="2"/>
  <c r="Z207" i="2"/>
  <c r="Y207" i="2"/>
  <c r="X207" i="2"/>
  <c r="W207" i="2"/>
  <c r="V207" i="2"/>
  <c r="U207" i="2"/>
  <c r="R207" i="2"/>
  <c r="Q207" i="2"/>
  <c r="P207" i="2"/>
  <c r="O207" i="2"/>
  <c r="N207" i="2"/>
  <c r="M207" i="2"/>
  <c r="G207" i="2"/>
  <c r="C207" i="2"/>
  <c r="Z206" i="2"/>
  <c r="Y206" i="2"/>
  <c r="X206" i="2"/>
  <c r="W206" i="2"/>
  <c r="V206" i="2"/>
  <c r="U206" i="2"/>
  <c r="R206" i="2"/>
  <c r="Q206" i="2"/>
  <c r="P206" i="2"/>
  <c r="O206" i="2"/>
  <c r="N206" i="2"/>
  <c r="M206" i="2"/>
  <c r="G206" i="2"/>
  <c r="C206" i="2"/>
  <c r="Z205" i="2"/>
  <c r="Y205" i="2"/>
  <c r="X205" i="2"/>
  <c r="W205" i="2"/>
  <c r="V205" i="2"/>
  <c r="U205" i="2"/>
  <c r="R205" i="2"/>
  <c r="Q205" i="2"/>
  <c r="P205" i="2"/>
  <c r="O205" i="2"/>
  <c r="N205" i="2"/>
  <c r="M205" i="2"/>
  <c r="G205" i="2"/>
  <c r="C205" i="2"/>
  <c r="Z204" i="2"/>
  <c r="Y204" i="2"/>
  <c r="X204" i="2"/>
  <c r="W204" i="2"/>
  <c r="V204" i="2"/>
  <c r="U204" i="2"/>
  <c r="R204" i="2"/>
  <c r="Q204" i="2"/>
  <c r="P204" i="2"/>
  <c r="O204" i="2"/>
  <c r="N204" i="2"/>
  <c r="M204" i="2"/>
  <c r="G204" i="2"/>
  <c r="C204" i="2"/>
  <c r="Z203" i="2"/>
  <c r="Y203" i="2"/>
  <c r="X203" i="2"/>
  <c r="W203" i="2"/>
  <c r="V203" i="2"/>
  <c r="U203" i="2"/>
  <c r="R203" i="2"/>
  <c r="Q203" i="2"/>
  <c r="P203" i="2"/>
  <c r="O203" i="2"/>
  <c r="N203" i="2"/>
  <c r="M203" i="2"/>
  <c r="G203" i="2"/>
  <c r="C203" i="2"/>
  <c r="Z202" i="2"/>
  <c r="Y202" i="2"/>
  <c r="X202" i="2"/>
  <c r="W202" i="2"/>
  <c r="V202" i="2"/>
  <c r="U202" i="2"/>
  <c r="R202" i="2"/>
  <c r="Q202" i="2"/>
  <c r="P202" i="2"/>
  <c r="O202" i="2"/>
  <c r="N202" i="2"/>
  <c r="M202" i="2"/>
  <c r="G202" i="2"/>
  <c r="C202" i="2"/>
  <c r="Z201" i="2"/>
  <c r="Y201" i="2"/>
  <c r="X201" i="2"/>
  <c r="W201" i="2"/>
  <c r="V201" i="2"/>
  <c r="U201" i="2"/>
  <c r="R201" i="2"/>
  <c r="Q201" i="2"/>
  <c r="P201" i="2"/>
  <c r="O201" i="2"/>
  <c r="N201" i="2"/>
  <c r="M201" i="2"/>
  <c r="G201" i="2"/>
  <c r="C201" i="2"/>
  <c r="Z200" i="2"/>
  <c r="Y200" i="2"/>
  <c r="X200" i="2"/>
  <c r="W200" i="2"/>
  <c r="V200" i="2"/>
  <c r="U200" i="2"/>
  <c r="R200" i="2"/>
  <c r="Q200" i="2"/>
  <c r="P200" i="2"/>
  <c r="O200" i="2"/>
  <c r="N200" i="2"/>
  <c r="M200" i="2"/>
  <c r="G200" i="2"/>
  <c r="C200" i="2"/>
  <c r="Z199" i="2"/>
  <c r="Y199" i="2"/>
  <c r="X199" i="2"/>
  <c r="W199" i="2"/>
  <c r="V199" i="2"/>
  <c r="U199" i="2"/>
  <c r="R199" i="2"/>
  <c r="Q199" i="2"/>
  <c r="P199" i="2"/>
  <c r="O199" i="2"/>
  <c r="N199" i="2"/>
  <c r="M199" i="2"/>
  <c r="G199" i="2"/>
  <c r="C199" i="2"/>
  <c r="Z198" i="2"/>
  <c r="Y198" i="2"/>
  <c r="X198" i="2"/>
  <c r="W198" i="2"/>
  <c r="V198" i="2"/>
  <c r="U198" i="2"/>
  <c r="R198" i="2"/>
  <c r="Q198" i="2"/>
  <c r="P198" i="2"/>
  <c r="O198" i="2"/>
  <c r="N198" i="2"/>
  <c r="M198" i="2"/>
  <c r="G198" i="2"/>
  <c r="C198" i="2"/>
  <c r="Z197" i="2"/>
  <c r="Y197" i="2"/>
  <c r="X197" i="2"/>
  <c r="W197" i="2"/>
  <c r="V197" i="2"/>
  <c r="U197" i="2"/>
  <c r="R197" i="2"/>
  <c r="Q197" i="2"/>
  <c r="P197" i="2"/>
  <c r="O197" i="2"/>
  <c r="N197" i="2"/>
  <c r="M197" i="2"/>
  <c r="G197" i="2"/>
  <c r="C197" i="2"/>
  <c r="Z196" i="2"/>
  <c r="Y196" i="2"/>
  <c r="X196" i="2"/>
  <c r="W196" i="2"/>
  <c r="V196" i="2"/>
  <c r="U196" i="2"/>
  <c r="R196" i="2"/>
  <c r="Q196" i="2"/>
  <c r="P196" i="2"/>
  <c r="O196" i="2"/>
  <c r="N196" i="2"/>
  <c r="M196" i="2"/>
  <c r="G196" i="2"/>
  <c r="C196" i="2"/>
  <c r="Z195" i="2"/>
  <c r="Y195" i="2"/>
  <c r="X195" i="2"/>
  <c r="W195" i="2"/>
  <c r="V195" i="2"/>
  <c r="U195" i="2"/>
  <c r="R195" i="2"/>
  <c r="Q195" i="2"/>
  <c r="P195" i="2"/>
  <c r="O195" i="2"/>
  <c r="N195" i="2"/>
  <c r="M195" i="2"/>
  <c r="G195" i="2"/>
  <c r="C195" i="2"/>
  <c r="Z194" i="2"/>
  <c r="Y194" i="2"/>
  <c r="X194" i="2"/>
  <c r="W194" i="2"/>
  <c r="V194" i="2"/>
  <c r="U194" i="2"/>
  <c r="R194" i="2"/>
  <c r="Q194" i="2"/>
  <c r="P194" i="2"/>
  <c r="O194" i="2"/>
  <c r="N194" i="2"/>
  <c r="M194" i="2"/>
  <c r="G194" i="2"/>
  <c r="C194" i="2"/>
  <c r="Z193" i="2"/>
  <c r="Y193" i="2"/>
  <c r="X193" i="2"/>
  <c r="W193" i="2"/>
  <c r="V193" i="2"/>
  <c r="U193" i="2"/>
  <c r="R193" i="2"/>
  <c r="Q193" i="2"/>
  <c r="P193" i="2"/>
  <c r="O193" i="2"/>
  <c r="N193" i="2"/>
  <c r="M193" i="2"/>
  <c r="G193" i="2"/>
  <c r="C193" i="2"/>
  <c r="Z192" i="2"/>
  <c r="Y192" i="2"/>
  <c r="X192" i="2"/>
  <c r="W192" i="2"/>
  <c r="V192" i="2"/>
  <c r="U192" i="2"/>
  <c r="R192" i="2"/>
  <c r="Q192" i="2"/>
  <c r="P192" i="2"/>
  <c r="O192" i="2"/>
  <c r="N192" i="2"/>
  <c r="M192" i="2"/>
  <c r="G192" i="2"/>
  <c r="C192" i="2"/>
  <c r="Z191" i="2"/>
  <c r="Y191" i="2"/>
  <c r="X191" i="2"/>
  <c r="W191" i="2"/>
  <c r="V191" i="2"/>
  <c r="U191" i="2"/>
  <c r="R191" i="2"/>
  <c r="Q191" i="2"/>
  <c r="P191" i="2"/>
  <c r="O191" i="2"/>
  <c r="N191" i="2"/>
  <c r="M191" i="2"/>
  <c r="G191" i="2"/>
  <c r="C191" i="2"/>
  <c r="Z190" i="2"/>
  <c r="Y190" i="2"/>
  <c r="X190" i="2"/>
  <c r="W190" i="2"/>
  <c r="V190" i="2"/>
  <c r="U190" i="2"/>
  <c r="R190" i="2"/>
  <c r="Q190" i="2"/>
  <c r="P190" i="2"/>
  <c r="O190" i="2"/>
  <c r="N190" i="2"/>
  <c r="M190" i="2"/>
  <c r="G190" i="2"/>
  <c r="C190" i="2"/>
  <c r="Z189" i="2"/>
  <c r="Y189" i="2"/>
  <c r="X189" i="2"/>
  <c r="W189" i="2"/>
  <c r="V189" i="2"/>
  <c r="U189" i="2"/>
  <c r="R189" i="2"/>
  <c r="Q189" i="2"/>
  <c r="P189" i="2"/>
  <c r="O189" i="2"/>
  <c r="N189" i="2"/>
  <c r="M189" i="2"/>
  <c r="G189" i="2"/>
  <c r="C189" i="2"/>
  <c r="Z188" i="2"/>
  <c r="Y188" i="2"/>
  <c r="X188" i="2"/>
  <c r="W188" i="2"/>
  <c r="V188" i="2"/>
  <c r="U188" i="2"/>
  <c r="R188" i="2"/>
  <c r="Q188" i="2"/>
  <c r="P188" i="2"/>
  <c r="O188" i="2"/>
  <c r="N188" i="2"/>
  <c r="M188" i="2"/>
  <c r="G188" i="2"/>
  <c r="C188" i="2"/>
  <c r="Z187" i="2"/>
  <c r="Y187" i="2"/>
  <c r="X187" i="2"/>
  <c r="W187" i="2"/>
  <c r="V187" i="2"/>
  <c r="U187" i="2"/>
  <c r="R187" i="2"/>
  <c r="Q187" i="2"/>
  <c r="P187" i="2"/>
  <c r="O187" i="2"/>
  <c r="N187" i="2"/>
  <c r="M187" i="2"/>
  <c r="G187" i="2"/>
  <c r="C187" i="2"/>
  <c r="Z186" i="2"/>
  <c r="Y186" i="2"/>
  <c r="X186" i="2"/>
  <c r="W186" i="2"/>
  <c r="V186" i="2"/>
  <c r="U186" i="2"/>
  <c r="R186" i="2"/>
  <c r="Q186" i="2"/>
  <c r="P186" i="2"/>
  <c r="O186" i="2"/>
  <c r="N186" i="2"/>
  <c r="M186" i="2"/>
  <c r="G186" i="2"/>
  <c r="C186" i="2"/>
  <c r="Z185" i="2"/>
  <c r="Y185" i="2"/>
  <c r="X185" i="2"/>
  <c r="W185" i="2"/>
  <c r="V185" i="2"/>
  <c r="U185" i="2"/>
  <c r="R185" i="2"/>
  <c r="Q185" i="2"/>
  <c r="P185" i="2"/>
  <c r="O185" i="2"/>
  <c r="N185" i="2"/>
  <c r="M185" i="2"/>
  <c r="G185" i="2"/>
  <c r="C185" i="2"/>
  <c r="Z184" i="2"/>
  <c r="Y184" i="2"/>
  <c r="X184" i="2"/>
  <c r="W184" i="2"/>
  <c r="V184" i="2"/>
  <c r="U184" i="2"/>
  <c r="R184" i="2"/>
  <c r="Q184" i="2"/>
  <c r="P184" i="2"/>
  <c r="O184" i="2"/>
  <c r="N184" i="2"/>
  <c r="M184" i="2"/>
  <c r="G184" i="2"/>
  <c r="C184" i="2"/>
  <c r="Z183" i="2"/>
  <c r="Y183" i="2"/>
  <c r="X183" i="2"/>
  <c r="W183" i="2"/>
  <c r="V183" i="2"/>
  <c r="U183" i="2"/>
  <c r="R183" i="2"/>
  <c r="Q183" i="2"/>
  <c r="P183" i="2"/>
  <c r="O183" i="2"/>
  <c r="N183" i="2"/>
  <c r="M183" i="2"/>
  <c r="G183" i="2"/>
  <c r="C183" i="2"/>
  <c r="Z182" i="2"/>
  <c r="Y182" i="2"/>
  <c r="X182" i="2"/>
  <c r="W182" i="2"/>
  <c r="V182" i="2"/>
  <c r="U182" i="2"/>
  <c r="R182" i="2"/>
  <c r="Q182" i="2"/>
  <c r="P182" i="2"/>
  <c r="O182" i="2"/>
  <c r="N182" i="2"/>
  <c r="M182" i="2"/>
  <c r="G182" i="2"/>
  <c r="C182" i="2"/>
  <c r="Z181" i="2"/>
  <c r="Y181" i="2"/>
  <c r="X181" i="2"/>
  <c r="W181" i="2"/>
  <c r="V181" i="2"/>
  <c r="U181" i="2"/>
  <c r="R181" i="2"/>
  <c r="Q181" i="2"/>
  <c r="P181" i="2"/>
  <c r="O181" i="2"/>
  <c r="N181" i="2"/>
  <c r="M181" i="2"/>
  <c r="G181" i="2"/>
  <c r="C181" i="2"/>
  <c r="Z180" i="2"/>
  <c r="Y180" i="2"/>
  <c r="X180" i="2"/>
  <c r="W180" i="2"/>
  <c r="V180" i="2"/>
  <c r="U180" i="2"/>
  <c r="R180" i="2"/>
  <c r="Q180" i="2"/>
  <c r="P180" i="2"/>
  <c r="O180" i="2"/>
  <c r="N180" i="2"/>
  <c r="M180" i="2"/>
  <c r="K180" i="2" s="1"/>
  <c r="G180" i="2"/>
  <c r="C180" i="2"/>
  <c r="Z179" i="2"/>
  <c r="Y179" i="2"/>
  <c r="X179" i="2"/>
  <c r="W179" i="2"/>
  <c r="V179" i="2"/>
  <c r="U179" i="2"/>
  <c r="R179" i="2"/>
  <c r="Q179" i="2"/>
  <c r="P179" i="2"/>
  <c r="O179" i="2"/>
  <c r="N179" i="2"/>
  <c r="M179" i="2"/>
  <c r="G179" i="2"/>
  <c r="C179" i="2"/>
  <c r="Z178" i="2"/>
  <c r="Y178" i="2"/>
  <c r="X178" i="2"/>
  <c r="W178" i="2"/>
  <c r="V178" i="2"/>
  <c r="U178" i="2"/>
  <c r="R178" i="2"/>
  <c r="Q178" i="2"/>
  <c r="P178" i="2"/>
  <c r="O178" i="2"/>
  <c r="N178" i="2"/>
  <c r="M178" i="2"/>
  <c r="G178" i="2"/>
  <c r="C178" i="2"/>
  <c r="Z177" i="2"/>
  <c r="Y177" i="2"/>
  <c r="X177" i="2"/>
  <c r="W177" i="2"/>
  <c r="V177" i="2"/>
  <c r="U177" i="2"/>
  <c r="R177" i="2"/>
  <c r="Q177" i="2"/>
  <c r="P177" i="2"/>
  <c r="O177" i="2"/>
  <c r="N177" i="2"/>
  <c r="M177" i="2"/>
  <c r="G177" i="2"/>
  <c r="C177" i="2"/>
  <c r="Z176" i="2"/>
  <c r="Y176" i="2"/>
  <c r="X176" i="2"/>
  <c r="W176" i="2"/>
  <c r="V176" i="2"/>
  <c r="U176" i="2"/>
  <c r="R176" i="2"/>
  <c r="Q176" i="2"/>
  <c r="P176" i="2"/>
  <c r="O176" i="2"/>
  <c r="N176" i="2"/>
  <c r="M176" i="2"/>
  <c r="G176" i="2"/>
  <c r="C176" i="2"/>
  <c r="Z175" i="2"/>
  <c r="Y175" i="2"/>
  <c r="X175" i="2"/>
  <c r="W175" i="2"/>
  <c r="V175" i="2"/>
  <c r="U175" i="2"/>
  <c r="R175" i="2"/>
  <c r="Q175" i="2"/>
  <c r="P175" i="2"/>
  <c r="O175" i="2"/>
  <c r="N175" i="2"/>
  <c r="M175" i="2"/>
  <c r="G175" i="2"/>
  <c r="C175" i="2"/>
  <c r="Z174" i="2"/>
  <c r="Y174" i="2"/>
  <c r="X174" i="2"/>
  <c r="W174" i="2"/>
  <c r="V174" i="2"/>
  <c r="U174" i="2"/>
  <c r="R174" i="2"/>
  <c r="Q174" i="2"/>
  <c r="P174" i="2"/>
  <c r="O174" i="2"/>
  <c r="N174" i="2"/>
  <c r="M174" i="2"/>
  <c r="G174" i="2"/>
  <c r="C174" i="2"/>
  <c r="Z173" i="2"/>
  <c r="Y173" i="2"/>
  <c r="X173" i="2"/>
  <c r="W173" i="2"/>
  <c r="V173" i="2"/>
  <c r="U173" i="2"/>
  <c r="R173" i="2"/>
  <c r="Q173" i="2"/>
  <c r="P173" i="2"/>
  <c r="O173" i="2"/>
  <c r="N173" i="2"/>
  <c r="M173" i="2"/>
  <c r="G173" i="2"/>
  <c r="C173" i="2"/>
  <c r="Z172" i="2"/>
  <c r="Y172" i="2"/>
  <c r="X172" i="2"/>
  <c r="W172" i="2"/>
  <c r="V172" i="2"/>
  <c r="U172" i="2"/>
  <c r="R172" i="2"/>
  <c r="Q172" i="2"/>
  <c r="P172" i="2"/>
  <c r="O172" i="2"/>
  <c r="N172" i="2"/>
  <c r="M172" i="2"/>
  <c r="G172" i="2"/>
  <c r="C172" i="2"/>
  <c r="Z171" i="2"/>
  <c r="Y171" i="2"/>
  <c r="X171" i="2"/>
  <c r="W171" i="2"/>
  <c r="V171" i="2"/>
  <c r="U171" i="2"/>
  <c r="R171" i="2"/>
  <c r="Q171" i="2"/>
  <c r="P171" i="2"/>
  <c r="O171" i="2"/>
  <c r="N171" i="2"/>
  <c r="M171" i="2"/>
  <c r="G171" i="2"/>
  <c r="C171" i="2"/>
  <c r="Z170" i="2"/>
  <c r="Y170" i="2"/>
  <c r="X170" i="2"/>
  <c r="W170" i="2"/>
  <c r="V170" i="2"/>
  <c r="U170" i="2"/>
  <c r="R170" i="2"/>
  <c r="Q170" i="2"/>
  <c r="P170" i="2"/>
  <c r="O170" i="2"/>
  <c r="N170" i="2"/>
  <c r="M170" i="2"/>
  <c r="G170" i="2"/>
  <c r="C170" i="2"/>
  <c r="Z169" i="2"/>
  <c r="Y169" i="2"/>
  <c r="X169" i="2"/>
  <c r="W169" i="2"/>
  <c r="V169" i="2"/>
  <c r="U169" i="2"/>
  <c r="R169" i="2"/>
  <c r="Q169" i="2"/>
  <c r="P169" i="2"/>
  <c r="O169" i="2"/>
  <c r="N169" i="2"/>
  <c r="M169" i="2"/>
  <c r="G169" i="2"/>
  <c r="C169" i="2"/>
  <c r="Z168" i="2"/>
  <c r="Y168" i="2"/>
  <c r="X168" i="2"/>
  <c r="W168" i="2"/>
  <c r="V168" i="2"/>
  <c r="U168" i="2"/>
  <c r="R168" i="2"/>
  <c r="Q168" i="2"/>
  <c r="P168" i="2"/>
  <c r="O168" i="2"/>
  <c r="N168" i="2"/>
  <c r="M168" i="2"/>
  <c r="G168" i="2"/>
  <c r="C168" i="2"/>
  <c r="Z167" i="2"/>
  <c r="Y167" i="2"/>
  <c r="X167" i="2"/>
  <c r="W167" i="2"/>
  <c r="V167" i="2"/>
  <c r="U167" i="2"/>
  <c r="R167" i="2"/>
  <c r="Q167" i="2"/>
  <c r="P167" i="2"/>
  <c r="O167" i="2"/>
  <c r="N167" i="2"/>
  <c r="M167" i="2"/>
  <c r="G167" i="2"/>
  <c r="C167" i="2"/>
  <c r="Z166" i="2"/>
  <c r="Y166" i="2"/>
  <c r="X166" i="2"/>
  <c r="W166" i="2"/>
  <c r="V166" i="2"/>
  <c r="U166" i="2"/>
  <c r="R166" i="2"/>
  <c r="Q166" i="2"/>
  <c r="P166" i="2"/>
  <c r="O166" i="2"/>
  <c r="N166" i="2"/>
  <c r="M166" i="2"/>
  <c r="G166" i="2"/>
  <c r="C166" i="2"/>
  <c r="Z165" i="2"/>
  <c r="Y165" i="2"/>
  <c r="X165" i="2"/>
  <c r="W165" i="2"/>
  <c r="V165" i="2"/>
  <c r="U165" i="2"/>
  <c r="R165" i="2"/>
  <c r="Q165" i="2"/>
  <c r="P165" i="2"/>
  <c r="O165" i="2"/>
  <c r="N165" i="2"/>
  <c r="M165" i="2"/>
  <c r="G165" i="2"/>
  <c r="C165" i="2"/>
  <c r="Z164" i="2"/>
  <c r="Y164" i="2"/>
  <c r="X164" i="2"/>
  <c r="W164" i="2"/>
  <c r="V164" i="2"/>
  <c r="U164" i="2"/>
  <c r="R164" i="2"/>
  <c r="Q164" i="2"/>
  <c r="P164" i="2"/>
  <c r="O164" i="2"/>
  <c r="N164" i="2"/>
  <c r="M164" i="2"/>
  <c r="K164" i="2" s="1"/>
  <c r="G164" i="2"/>
  <c r="C164" i="2"/>
  <c r="Z163" i="2"/>
  <c r="Y163" i="2"/>
  <c r="X163" i="2"/>
  <c r="W163" i="2"/>
  <c r="V163" i="2"/>
  <c r="U163" i="2"/>
  <c r="S163" i="2" s="1"/>
  <c r="R163" i="2"/>
  <c r="Q163" i="2"/>
  <c r="P163" i="2"/>
  <c r="O163" i="2"/>
  <c r="N163" i="2"/>
  <c r="M163" i="2"/>
  <c r="G163" i="2"/>
  <c r="C163" i="2"/>
  <c r="Z162" i="2"/>
  <c r="Y162" i="2"/>
  <c r="X162" i="2"/>
  <c r="W162" i="2"/>
  <c r="V162" i="2"/>
  <c r="U162" i="2"/>
  <c r="R162" i="2"/>
  <c r="Q162" i="2"/>
  <c r="P162" i="2"/>
  <c r="O162" i="2"/>
  <c r="N162" i="2"/>
  <c r="M162" i="2"/>
  <c r="G162" i="2"/>
  <c r="C162" i="2"/>
  <c r="Z161" i="2"/>
  <c r="Y161" i="2"/>
  <c r="X161" i="2"/>
  <c r="W161" i="2"/>
  <c r="V161" i="2"/>
  <c r="U161" i="2"/>
  <c r="R161" i="2"/>
  <c r="Q161" i="2"/>
  <c r="P161" i="2"/>
  <c r="O161" i="2"/>
  <c r="N161" i="2"/>
  <c r="M161" i="2"/>
  <c r="G161" i="2"/>
  <c r="C161" i="2"/>
  <c r="Z160" i="2"/>
  <c r="Y160" i="2"/>
  <c r="X160" i="2"/>
  <c r="W160" i="2"/>
  <c r="V160" i="2"/>
  <c r="U160" i="2"/>
  <c r="R160" i="2"/>
  <c r="Q160" i="2"/>
  <c r="P160" i="2"/>
  <c r="O160" i="2"/>
  <c r="N160" i="2"/>
  <c r="M160" i="2"/>
  <c r="G160" i="2"/>
  <c r="C160" i="2"/>
  <c r="Z159" i="2"/>
  <c r="Y159" i="2"/>
  <c r="X159" i="2"/>
  <c r="W159" i="2"/>
  <c r="V159" i="2"/>
  <c r="U159" i="2"/>
  <c r="R159" i="2"/>
  <c r="Q159" i="2"/>
  <c r="P159" i="2"/>
  <c r="O159" i="2"/>
  <c r="N159" i="2"/>
  <c r="M159" i="2"/>
  <c r="G159" i="2"/>
  <c r="C159" i="2"/>
  <c r="Z158" i="2"/>
  <c r="Y158" i="2"/>
  <c r="X158" i="2"/>
  <c r="W158" i="2"/>
  <c r="V158" i="2"/>
  <c r="U158" i="2"/>
  <c r="R158" i="2"/>
  <c r="Q158" i="2"/>
  <c r="P158" i="2"/>
  <c r="O158" i="2"/>
  <c r="N158" i="2"/>
  <c r="M158" i="2"/>
  <c r="G158" i="2"/>
  <c r="C158" i="2"/>
  <c r="Z157" i="2"/>
  <c r="Y157" i="2"/>
  <c r="X157" i="2"/>
  <c r="W157" i="2"/>
  <c r="V157" i="2"/>
  <c r="U157" i="2"/>
  <c r="R157" i="2"/>
  <c r="Q157" i="2"/>
  <c r="P157" i="2"/>
  <c r="O157" i="2"/>
  <c r="N157" i="2"/>
  <c r="M157" i="2"/>
  <c r="G157" i="2"/>
  <c r="C157" i="2"/>
  <c r="Z156" i="2"/>
  <c r="Y156" i="2"/>
  <c r="X156" i="2"/>
  <c r="W156" i="2"/>
  <c r="V156" i="2"/>
  <c r="U156" i="2"/>
  <c r="R156" i="2"/>
  <c r="Q156" i="2"/>
  <c r="P156" i="2"/>
  <c r="O156" i="2"/>
  <c r="N156" i="2"/>
  <c r="M156" i="2"/>
  <c r="K156" i="2" s="1"/>
  <c r="G156" i="2"/>
  <c r="C156" i="2"/>
  <c r="Z155" i="2"/>
  <c r="Y155" i="2"/>
  <c r="X155" i="2"/>
  <c r="W155" i="2"/>
  <c r="V155" i="2"/>
  <c r="U155" i="2"/>
  <c r="S155" i="2" s="1"/>
  <c r="R155" i="2"/>
  <c r="Q155" i="2"/>
  <c r="P155" i="2"/>
  <c r="O155" i="2"/>
  <c r="N155" i="2"/>
  <c r="M155" i="2"/>
  <c r="G155" i="2"/>
  <c r="C155" i="2"/>
  <c r="Z154" i="2"/>
  <c r="Y154" i="2"/>
  <c r="X154" i="2"/>
  <c r="W154" i="2"/>
  <c r="V154" i="2"/>
  <c r="U154" i="2"/>
  <c r="R154" i="2"/>
  <c r="Q154" i="2"/>
  <c r="P154" i="2"/>
  <c r="O154" i="2"/>
  <c r="N154" i="2"/>
  <c r="M154" i="2"/>
  <c r="G154" i="2"/>
  <c r="C154" i="2"/>
  <c r="Z153" i="2"/>
  <c r="Y153" i="2"/>
  <c r="X153" i="2"/>
  <c r="W153" i="2"/>
  <c r="V153" i="2"/>
  <c r="U153" i="2"/>
  <c r="R153" i="2"/>
  <c r="Q153" i="2"/>
  <c r="P153" i="2"/>
  <c r="O153" i="2"/>
  <c r="N153" i="2"/>
  <c r="M153" i="2"/>
  <c r="G153" i="2"/>
  <c r="C153" i="2"/>
  <c r="Z152" i="2"/>
  <c r="Y152" i="2"/>
  <c r="X152" i="2"/>
  <c r="W152" i="2"/>
  <c r="V152" i="2"/>
  <c r="U152" i="2"/>
  <c r="R152" i="2"/>
  <c r="Q152" i="2"/>
  <c r="P152" i="2"/>
  <c r="O152" i="2"/>
  <c r="N152" i="2"/>
  <c r="M152" i="2"/>
  <c r="K152" i="2" s="1"/>
  <c r="G152" i="2"/>
  <c r="C152" i="2"/>
  <c r="Z151" i="2"/>
  <c r="Y151" i="2"/>
  <c r="X151" i="2"/>
  <c r="W151" i="2"/>
  <c r="V151" i="2"/>
  <c r="U151" i="2"/>
  <c r="R151" i="2"/>
  <c r="Q151" i="2"/>
  <c r="P151" i="2"/>
  <c r="O151" i="2"/>
  <c r="N151" i="2"/>
  <c r="M151" i="2"/>
  <c r="G151" i="2"/>
  <c r="C151" i="2"/>
  <c r="Z150" i="2"/>
  <c r="Y150" i="2"/>
  <c r="X150" i="2"/>
  <c r="W150" i="2"/>
  <c r="V150" i="2"/>
  <c r="U150" i="2"/>
  <c r="R150" i="2"/>
  <c r="Q150" i="2"/>
  <c r="P150" i="2"/>
  <c r="O150" i="2"/>
  <c r="N150" i="2"/>
  <c r="M150" i="2"/>
  <c r="G150" i="2"/>
  <c r="C150" i="2"/>
  <c r="Z149" i="2"/>
  <c r="Y149" i="2"/>
  <c r="X149" i="2"/>
  <c r="W149" i="2"/>
  <c r="V149" i="2"/>
  <c r="U149" i="2"/>
  <c r="R149" i="2"/>
  <c r="Q149" i="2"/>
  <c r="P149" i="2"/>
  <c r="O149" i="2"/>
  <c r="N149" i="2"/>
  <c r="M149" i="2"/>
  <c r="G149" i="2"/>
  <c r="C149" i="2"/>
  <c r="Z148" i="2"/>
  <c r="Y148" i="2"/>
  <c r="X148" i="2"/>
  <c r="W148" i="2"/>
  <c r="V148" i="2"/>
  <c r="U148" i="2"/>
  <c r="R148" i="2"/>
  <c r="Q148" i="2"/>
  <c r="P148" i="2"/>
  <c r="O148" i="2"/>
  <c r="N148" i="2"/>
  <c r="M148" i="2"/>
  <c r="K148" i="2" s="1"/>
  <c r="G148" i="2"/>
  <c r="C148" i="2"/>
  <c r="Z147" i="2"/>
  <c r="Y147" i="2"/>
  <c r="X147" i="2"/>
  <c r="W147" i="2"/>
  <c r="V147" i="2"/>
  <c r="U147" i="2"/>
  <c r="R147" i="2"/>
  <c r="Q147" i="2"/>
  <c r="P147" i="2"/>
  <c r="O147" i="2"/>
  <c r="N147" i="2"/>
  <c r="M147" i="2"/>
  <c r="G147" i="2"/>
  <c r="C147" i="2"/>
  <c r="Z146" i="2"/>
  <c r="Y146" i="2"/>
  <c r="X146" i="2"/>
  <c r="W146" i="2"/>
  <c r="V146" i="2"/>
  <c r="U146" i="2"/>
  <c r="R146" i="2"/>
  <c r="Q146" i="2"/>
  <c r="P146" i="2"/>
  <c r="O146" i="2"/>
  <c r="N146" i="2"/>
  <c r="M146" i="2"/>
  <c r="G146" i="2"/>
  <c r="C146" i="2"/>
  <c r="Z145" i="2"/>
  <c r="Y145" i="2"/>
  <c r="X145" i="2"/>
  <c r="W145" i="2"/>
  <c r="V145" i="2"/>
  <c r="U145" i="2"/>
  <c r="R145" i="2"/>
  <c r="Q145" i="2"/>
  <c r="P145" i="2"/>
  <c r="O145" i="2"/>
  <c r="N145" i="2"/>
  <c r="M145" i="2"/>
  <c r="G145" i="2"/>
  <c r="C145" i="2"/>
  <c r="Z144" i="2"/>
  <c r="Y144" i="2"/>
  <c r="X144" i="2"/>
  <c r="W144" i="2"/>
  <c r="V144" i="2"/>
  <c r="U144" i="2"/>
  <c r="R144" i="2"/>
  <c r="Q144" i="2"/>
  <c r="P144" i="2"/>
  <c r="O144" i="2"/>
  <c r="N144" i="2"/>
  <c r="M144" i="2"/>
  <c r="G144" i="2"/>
  <c r="C144" i="2"/>
  <c r="Z143" i="2"/>
  <c r="Y143" i="2"/>
  <c r="X143" i="2"/>
  <c r="W143" i="2"/>
  <c r="V143" i="2"/>
  <c r="U143" i="2"/>
  <c r="R143" i="2"/>
  <c r="Q143" i="2"/>
  <c r="P143" i="2"/>
  <c r="O143" i="2"/>
  <c r="N143" i="2"/>
  <c r="M143" i="2"/>
  <c r="G143" i="2"/>
  <c r="C143" i="2"/>
  <c r="Z142" i="2"/>
  <c r="Y142" i="2"/>
  <c r="X142" i="2"/>
  <c r="W142" i="2"/>
  <c r="V142" i="2"/>
  <c r="U142" i="2"/>
  <c r="R142" i="2"/>
  <c r="Q142" i="2"/>
  <c r="P142" i="2"/>
  <c r="O142" i="2"/>
  <c r="N142" i="2"/>
  <c r="M142" i="2"/>
  <c r="G142" i="2"/>
  <c r="C142" i="2"/>
  <c r="Z141" i="2"/>
  <c r="Y141" i="2"/>
  <c r="X141" i="2"/>
  <c r="W141" i="2"/>
  <c r="V141" i="2"/>
  <c r="U141" i="2"/>
  <c r="R141" i="2"/>
  <c r="Q141" i="2"/>
  <c r="P141" i="2"/>
  <c r="O141" i="2"/>
  <c r="N141" i="2"/>
  <c r="M141" i="2"/>
  <c r="G141" i="2"/>
  <c r="C141" i="2"/>
  <c r="Z140" i="2"/>
  <c r="Y140" i="2"/>
  <c r="X140" i="2"/>
  <c r="W140" i="2"/>
  <c r="V140" i="2"/>
  <c r="U140" i="2"/>
  <c r="R140" i="2"/>
  <c r="Q140" i="2"/>
  <c r="P140" i="2"/>
  <c r="O140" i="2"/>
  <c r="N140" i="2"/>
  <c r="M140" i="2"/>
  <c r="G140" i="2"/>
  <c r="C140" i="2"/>
  <c r="Z139" i="2"/>
  <c r="Y139" i="2"/>
  <c r="X139" i="2"/>
  <c r="W139" i="2"/>
  <c r="V139" i="2"/>
  <c r="U139" i="2"/>
  <c r="R139" i="2"/>
  <c r="Q139" i="2"/>
  <c r="P139" i="2"/>
  <c r="O139" i="2"/>
  <c r="N139" i="2"/>
  <c r="M139" i="2"/>
  <c r="G139" i="2"/>
  <c r="C139" i="2"/>
  <c r="Z138" i="2"/>
  <c r="Y138" i="2"/>
  <c r="X138" i="2"/>
  <c r="W138" i="2"/>
  <c r="V138" i="2"/>
  <c r="U138" i="2"/>
  <c r="R138" i="2"/>
  <c r="Q138" i="2"/>
  <c r="P138" i="2"/>
  <c r="O138" i="2"/>
  <c r="N138" i="2"/>
  <c r="M138" i="2"/>
  <c r="G138" i="2"/>
  <c r="C138" i="2"/>
  <c r="Z137" i="2"/>
  <c r="Y137" i="2"/>
  <c r="X137" i="2"/>
  <c r="W137" i="2"/>
  <c r="V137" i="2"/>
  <c r="U137" i="2"/>
  <c r="R137" i="2"/>
  <c r="Q137" i="2"/>
  <c r="P137" i="2"/>
  <c r="O137" i="2"/>
  <c r="N137" i="2"/>
  <c r="M137" i="2"/>
  <c r="G137" i="2"/>
  <c r="C137" i="2"/>
  <c r="Z136" i="2"/>
  <c r="Y136" i="2"/>
  <c r="X136" i="2"/>
  <c r="W136" i="2"/>
  <c r="V136" i="2"/>
  <c r="U136" i="2"/>
  <c r="R136" i="2"/>
  <c r="Q136" i="2"/>
  <c r="P136" i="2"/>
  <c r="O136" i="2"/>
  <c r="N136" i="2"/>
  <c r="M136" i="2"/>
  <c r="G136" i="2"/>
  <c r="C136" i="2"/>
  <c r="Z135" i="2"/>
  <c r="Y135" i="2"/>
  <c r="X135" i="2"/>
  <c r="W135" i="2"/>
  <c r="V135" i="2"/>
  <c r="U135" i="2"/>
  <c r="R135" i="2"/>
  <c r="Q135" i="2"/>
  <c r="P135" i="2"/>
  <c r="O135" i="2"/>
  <c r="N135" i="2"/>
  <c r="M135" i="2"/>
  <c r="G135" i="2"/>
  <c r="C135" i="2"/>
  <c r="Z134" i="2"/>
  <c r="Y134" i="2"/>
  <c r="X134" i="2"/>
  <c r="W134" i="2"/>
  <c r="V134" i="2"/>
  <c r="U134" i="2"/>
  <c r="R134" i="2"/>
  <c r="Q134" i="2"/>
  <c r="P134" i="2"/>
  <c r="O134" i="2"/>
  <c r="N134" i="2"/>
  <c r="M134" i="2"/>
  <c r="G134" i="2"/>
  <c r="C134" i="2"/>
  <c r="Z133" i="2"/>
  <c r="Y133" i="2"/>
  <c r="X133" i="2"/>
  <c r="W133" i="2"/>
  <c r="V133" i="2"/>
  <c r="U133" i="2"/>
  <c r="R133" i="2"/>
  <c r="Q133" i="2"/>
  <c r="P133" i="2"/>
  <c r="O133" i="2"/>
  <c r="N133" i="2"/>
  <c r="M133" i="2"/>
  <c r="G133" i="2"/>
  <c r="C133" i="2"/>
  <c r="Z132" i="2"/>
  <c r="Y132" i="2"/>
  <c r="X132" i="2"/>
  <c r="W132" i="2"/>
  <c r="V132" i="2"/>
  <c r="U132" i="2"/>
  <c r="R132" i="2"/>
  <c r="Q132" i="2"/>
  <c r="P132" i="2"/>
  <c r="O132" i="2"/>
  <c r="N132" i="2"/>
  <c r="M132" i="2"/>
  <c r="G132" i="2"/>
  <c r="C132" i="2"/>
  <c r="Z131" i="2"/>
  <c r="Y131" i="2"/>
  <c r="X131" i="2"/>
  <c r="W131" i="2"/>
  <c r="V131" i="2"/>
  <c r="U131" i="2"/>
  <c r="R131" i="2"/>
  <c r="Q131" i="2"/>
  <c r="P131" i="2"/>
  <c r="O131" i="2"/>
  <c r="N131" i="2"/>
  <c r="M131" i="2"/>
  <c r="G131" i="2"/>
  <c r="C131" i="2"/>
  <c r="Z130" i="2"/>
  <c r="Y130" i="2"/>
  <c r="X130" i="2"/>
  <c r="W130" i="2"/>
  <c r="V130" i="2"/>
  <c r="U130" i="2"/>
  <c r="R130" i="2"/>
  <c r="Q130" i="2"/>
  <c r="P130" i="2"/>
  <c r="O130" i="2"/>
  <c r="N130" i="2"/>
  <c r="M130" i="2"/>
  <c r="G130" i="2"/>
  <c r="C130" i="2"/>
  <c r="Z129" i="2"/>
  <c r="Y129" i="2"/>
  <c r="X129" i="2"/>
  <c r="W129" i="2"/>
  <c r="V129" i="2"/>
  <c r="U129" i="2"/>
  <c r="R129" i="2"/>
  <c r="Q129" i="2"/>
  <c r="P129" i="2"/>
  <c r="O129" i="2"/>
  <c r="N129" i="2"/>
  <c r="M129" i="2"/>
  <c r="G129" i="2"/>
  <c r="C129" i="2"/>
  <c r="Z128" i="2"/>
  <c r="Y128" i="2"/>
  <c r="X128" i="2"/>
  <c r="W128" i="2"/>
  <c r="V128" i="2"/>
  <c r="U128" i="2"/>
  <c r="R128" i="2"/>
  <c r="Q128" i="2"/>
  <c r="P128" i="2"/>
  <c r="O128" i="2"/>
  <c r="N128" i="2"/>
  <c r="M128" i="2"/>
  <c r="K128" i="2" s="1"/>
  <c r="G128" i="2"/>
  <c r="C128" i="2"/>
  <c r="Z127" i="2"/>
  <c r="Y127" i="2"/>
  <c r="X127" i="2"/>
  <c r="W127" i="2"/>
  <c r="V127" i="2"/>
  <c r="U127" i="2"/>
  <c r="R127" i="2"/>
  <c r="Q127" i="2"/>
  <c r="P127" i="2"/>
  <c r="O127" i="2"/>
  <c r="N127" i="2"/>
  <c r="M127" i="2"/>
  <c r="G127" i="2"/>
  <c r="C127" i="2"/>
  <c r="Z126" i="2"/>
  <c r="Y126" i="2"/>
  <c r="X126" i="2"/>
  <c r="W126" i="2"/>
  <c r="V126" i="2"/>
  <c r="U126" i="2"/>
  <c r="R126" i="2"/>
  <c r="Q126" i="2"/>
  <c r="P126" i="2"/>
  <c r="O126" i="2"/>
  <c r="N126" i="2"/>
  <c r="M126" i="2"/>
  <c r="G126" i="2"/>
  <c r="C126" i="2"/>
  <c r="Z125" i="2"/>
  <c r="Y125" i="2"/>
  <c r="X125" i="2"/>
  <c r="W125" i="2"/>
  <c r="V125" i="2"/>
  <c r="U125" i="2"/>
  <c r="R125" i="2"/>
  <c r="Q125" i="2"/>
  <c r="P125" i="2"/>
  <c r="O125" i="2"/>
  <c r="N125" i="2"/>
  <c r="M125" i="2"/>
  <c r="G125" i="2"/>
  <c r="C125" i="2"/>
  <c r="Z124" i="2"/>
  <c r="Y124" i="2"/>
  <c r="X124" i="2"/>
  <c r="W124" i="2"/>
  <c r="V124" i="2"/>
  <c r="U124" i="2"/>
  <c r="R124" i="2"/>
  <c r="Q124" i="2"/>
  <c r="P124" i="2"/>
  <c r="O124" i="2"/>
  <c r="N124" i="2"/>
  <c r="M124" i="2"/>
  <c r="G124" i="2"/>
  <c r="C124" i="2"/>
  <c r="Z123" i="2"/>
  <c r="Y123" i="2"/>
  <c r="X123" i="2"/>
  <c r="W123" i="2"/>
  <c r="V123" i="2"/>
  <c r="U123" i="2"/>
  <c r="R123" i="2"/>
  <c r="Q123" i="2"/>
  <c r="P123" i="2"/>
  <c r="O123" i="2"/>
  <c r="N123" i="2"/>
  <c r="M123" i="2"/>
  <c r="G123" i="2"/>
  <c r="C123" i="2"/>
  <c r="Z122" i="2"/>
  <c r="Y122" i="2"/>
  <c r="X122" i="2"/>
  <c r="W122" i="2"/>
  <c r="V122" i="2"/>
  <c r="U122" i="2"/>
  <c r="R122" i="2"/>
  <c r="Q122" i="2"/>
  <c r="P122" i="2"/>
  <c r="O122" i="2"/>
  <c r="N122" i="2"/>
  <c r="M122" i="2"/>
  <c r="G122" i="2"/>
  <c r="C122" i="2"/>
  <c r="Z121" i="2"/>
  <c r="Y121" i="2"/>
  <c r="X121" i="2"/>
  <c r="W121" i="2"/>
  <c r="V121" i="2"/>
  <c r="U121" i="2"/>
  <c r="R121" i="2"/>
  <c r="Q121" i="2"/>
  <c r="P121" i="2"/>
  <c r="O121" i="2"/>
  <c r="N121" i="2"/>
  <c r="M121" i="2"/>
  <c r="G121" i="2"/>
  <c r="C121" i="2"/>
  <c r="Z120" i="2"/>
  <c r="Y120" i="2"/>
  <c r="X120" i="2"/>
  <c r="W120" i="2"/>
  <c r="V120" i="2"/>
  <c r="U120" i="2"/>
  <c r="R120" i="2"/>
  <c r="Q120" i="2"/>
  <c r="P120" i="2"/>
  <c r="O120" i="2"/>
  <c r="N120" i="2"/>
  <c r="M120" i="2"/>
  <c r="G120" i="2"/>
  <c r="C120" i="2"/>
  <c r="Z119" i="2"/>
  <c r="Y119" i="2"/>
  <c r="X119" i="2"/>
  <c r="W119" i="2"/>
  <c r="V119" i="2"/>
  <c r="U119" i="2"/>
  <c r="R119" i="2"/>
  <c r="Q119" i="2"/>
  <c r="P119" i="2"/>
  <c r="O119" i="2"/>
  <c r="N119" i="2"/>
  <c r="M119" i="2"/>
  <c r="G119" i="2"/>
  <c r="C119" i="2"/>
  <c r="Z118" i="2"/>
  <c r="Y118" i="2"/>
  <c r="X118" i="2"/>
  <c r="W118" i="2"/>
  <c r="V118" i="2"/>
  <c r="U118" i="2"/>
  <c r="R118" i="2"/>
  <c r="Q118" i="2"/>
  <c r="P118" i="2"/>
  <c r="O118" i="2"/>
  <c r="N118" i="2"/>
  <c r="M118" i="2"/>
  <c r="G118" i="2"/>
  <c r="C118" i="2"/>
  <c r="Z117" i="2"/>
  <c r="Y117" i="2"/>
  <c r="X117" i="2"/>
  <c r="W117" i="2"/>
  <c r="V117" i="2"/>
  <c r="U117" i="2"/>
  <c r="R117" i="2"/>
  <c r="Q117" i="2"/>
  <c r="P117" i="2"/>
  <c r="O117" i="2"/>
  <c r="N117" i="2"/>
  <c r="M117" i="2"/>
  <c r="G117" i="2"/>
  <c r="C117" i="2"/>
  <c r="Z116" i="2"/>
  <c r="Y116" i="2"/>
  <c r="X116" i="2"/>
  <c r="W116" i="2"/>
  <c r="V116" i="2"/>
  <c r="U116" i="2"/>
  <c r="R116" i="2"/>
  <c r="Q116" i="2"/>
  <c r="P116" i="2"/>
  <c r="O116" i="2"/>
  <c r="N116" i="2"/>
  <c r="M116" i="2"/>
  <c r="G116" i="2"/>
  <c r="C116" i="2"/>
  <c r="Z115" i="2"/>
  <c r="Y115" i="2"/>
  <c r="X115" i="2"/>
  <c r="W115" i="2"/>
  <c r="V115" i="2"/>
  <c r="U115" i="2"/>
  <c r="R115" i="2"/>
  <c r="Q115" i="2"/>
  <c r="P115" i="2"/>
  <c r="O115" i="2"/>
  <c r="N115" i="2"/>
  <c r="M115" i="2"/>
  <c r="G115" i="2"/>
  <c r="C115" i="2"/>
  <c r="Z114" i="2"/>
  <c r="Y114" i="2"/>
  <c r="X114" i="2"/>
  <c r="W114" i="2"/>
  <c r="V114" i="2"/>
  <c r="U114" i="2"/>
  <c r="R114" i="2"/>
  <c r="Q114" i="2"/>
  <c r="P114" i="2"/>
  <c r="O114" i="2"/>
  <c r="N114" i="2"/>
  <c r="M114" i="2"/>
  <c r="G114" i="2"/>
  <c r="C114" i="2"/>
  <c r="Z113" i="2"/>
  <c r="Y113" i="2"/>
  <c r="X113" i="2"/>
  <c r="W113" i="2"/>
  <c r="V113" i="2"/>
  <c r="U113" i="2"/>
  <c r="R113" i="2"/>
  <c r="Q113" i="2"/>
  <c r="P113" i="2"/>
  <c r="O113" i="2"/>
  <c r="N113" i="2"/>
  <c r="M113" i="2"/>
  <c r="G113" i="2"/>
  <c r="C113" i="2"/>
  <c r="Z112" i="2"/>
  <c r="Y112" i="2"/>
  <c r="X112" i="2"/>
  <c r="W112" i="2"/>
  <c r="V112" i="2"/>
  <c r="U112" i="2"/>
  <c r="R112" i="2"/>
  <c r="Q112" i="2"/>
  <c r="P112" i="2"/>
  <c r="O112" i="2"/>
  <c r="N112" i="2"/>
  <c r="M112" i="2"/>
  <c r="G112" i="2"/>
  <c r="C112" i="2"/>
  <c r="Z111" i="2"/>
  <c r="Y111" i="2"/>
  <c r="X111" i="2"/>
  <c r="W111" i="2"/>
  <c r="V111" i="2"/>
  <c r="U111" i="2"/>
  <c r="R111" i="2"/>
  <c r="Q111" i="2"/>
  <c r="P111" i="2"/>
  <c r="O111" i="2"/>
  <c r="N111" i="2"/>
  <c r="M111" i="2"/>
  <c r="G111" i="2"/>
  <c r="C111" i="2"/>
  <c r="Z110" i="2"/>
  <c r="Y110" i="2"/>
  <c r="X110" i="2"/>
  <c r="W110" i="2"/>
  <c r="V110" i="2"/>
  <c r="U110" i="2"/>
  <c r="R110" i="2"/>
  <c r="Q110" i="2"/>
  <c r="P110" i="2"/>
  <c r="O110" i="2"/>
  <c r="N110" i="2"/>
  <c r="M110" i="2"/>
  <c r="G110" i="2"/>
  <c r="C110" i="2"/>
  <c r="Z109" i="2"/>
  <c r="Y109" i="2"/>
  <c r="X109" i="2"/>
  <c r="W109" i="2"/>
  <c r="V109" i="2"/>
  <c r="U109" i="2"/>
  <c r="R109" i="2"/>
  <c r="Q109" i="2"/>
  <c r="P109" i="2"/>
  <c r="O109" i="2"/>
  <c r="N109" i="2"/>
  <c r="M109" i="2"/>
  <c r="G109" i="2"/>
  <c r="C109" i="2"/>
  <c r="Z108" i="2"/>
  <c r="Y108" i="2"/>
  <c r="X108" i="2"/>
  <c r="W108" i="2"/>
  <c r="V108" i="2"/>
  <c r="U108" i="2"/>
  <c r="R108" i="2"/>
  <c r="Q108" i="2"/>
  <c r="P108" i="2"/>
  <c r="O108" i="2"/>
  <c r="N108" i="2"/>
  <c r="M108" i="2"/>
  <c r="G108" i="2"/>
  <c r="C108" i="2"/>
  <c r="Z107" i="2"/>
  <c r="Y107" i="2"/>
  <c r="X107" i="2"/>
  <c r="W107" i="2"/>
  <c r="V107" i="2"/>
  <c r="U107" i="2"/>
  <c r="R107" i="2"/>
  <c r="Q107" i="2"/>
  <c r="P107" i="2"/>
  <c r="O107" i="2"/>
  <c r="N107" i="2"/>
  <c r="M107" i="2"/>
  <c r="G107" i="2"/>
  <c r="C107" i="2"/>
  <c r="Z106" i="2"/>
  <c r="Y106" i="2"/>
  <c r="X106" i="2"/>
  <c r="W106" i="2"/>
  <c r="V106" i="2"/>
  <c r="U106" i="2"/>
  <c r="R106" i="2"/>
  <c r="Q106" i="2"/>
  <c r="P106" i="2"/>
  <c r="O106" i="2"/>
  <c r="N106" i="2"/>
  <c r="M106" i="2"/>
  <c r="G106" i="2"/>
  <c r="C106" i="2"/>
  <c r="Z105" i="2"/>
  <c r="Y105" i="2"/>
  <c r="X105" i="2"/>
  <c r="W105" i="2"/>
  <c r="V105" i="2"/>
  <c r="U105" i="2"/>
  <c r="R105" i="2"/>
  <c r="Q105" i="2"/>
  <c r="P105" i="2"/>
  <c r="O105" i="2"/>
  <c r="N105" i="2"/>
  <c r="M105" i="2"/>
  <c r="G105" i="2"/>
  <c r="C105" i="2"/>
  <c r="Z104" i="2"/>
  <c r="Y104" i="2"/>
  <c r="X104" i="2"/>
  <c r="W104" i="2"/>
  <c r="V104" i="2"/>
  <c r="U104" i="2"/>
  <c r="R104" i="2"/>
  <c r="Q104" i="2"/>
  <c r="P104" i="2"/>
  <c r="O104" i="2"/>
  <c r="N104" i="2"/>
  <c r="M104" i="2"/>
  <c r="G104" i="2"/>
  <c r="C104" i="2"/>
  <c r="Z103" i="2"/>
  <c r="Y103" i="2"/>
  <c r="X103" i="2"/>
  <c r="W103" i="2"/>
  <c r="V103" i="2"/>
  <c r="U103" i="2"/>
  <c r="R103" i="2"/>
  <c r="Q103" i="2"/>
  <c r="P103" i="2"/>
  <c r="O103" i="2"/>
  <c r="N103" i="2"/>
  <c r="M103" i="2"/>
  <c r="G103" i="2"/>
  <c r="C103" i="2"/>
  <c r="Z102" i="2"/>
  <c r="Y102" i="2"/>
  <c r="X102" i="2"/>
  <c r="W102" i="2"/>
  <c r="V102" i="2"/>
  <c r="U102" i="2"/>
  <c r="R102" i="2"/>
  <c r="Q102" i="2"/>
  <c r="P102" i="2"/>
  <c r="O102" i="2"/>
  <c r="N102" i="2"/>
  <c r="M102" i="2"/>
  <c r="G102" i="2"/>
  <c r="C102" i="2"/>
  <c r="Z101" i="2"/>
  <c r="Y101" i="2"/>
  <c r="X101" i="2"/>
  <c r="W101" i="2"/>
  <c r="V101" i="2"/>
  <c r="U101" i="2"/>
  <c r="R101" i="2"/>
  <c r="Q101" i="2"/>
  <c r="P101" i="2"/>
  <c r="O101" i="2"/>
  <c r="N101" i="2"/>
  <c r="M101" i="2"/>
  <c r="G101" i="2"/>
  <c r="C101" i="2"/>
  <c r="Z100" i="2"/>
  <c r="Y100" i="2"/>
  <c r="X100" i="2"/>
  <c r="W100" i="2"/>
  <c r="V100" i="2"/>
  <c r="U100" i="2"/>
  <c r="R100" i="2"/>
  <c r="Q100" i="2"/>
  <c r="P100" i="2"/>
  <c r="O100" i="2"/>
  <c r="N100" i="2"/>
  <c r="M100" i="2"/>
  <c r="G100" i="2"/>
  <c r="C100" i="2"/>
  <c r="Z99" i="2"/>
  <c r="Y99" i="2"/>
  <c r="X99" i="2"/>
  <c r="W99" i="2"/>
  <c r="V99" i="2"/>
  <c r="U99" i="2"/>
  <c r="R99" i="2"/>
  <c r="Q99" i="2"/>
  <c r="P99" i="2"/>
  <c r="O99" i="2"/>
  <c r="N99" i="2"/>
  <c r="M99" i="2"/>
  <c r="G99" i="2"/>
  <c r="C99" i="2"/>
  <c r="Z98" i="2"/>
  <c r="Y98" i="2"/>
  <c r="X98" i="2"/>
  <c r="W98" i="2"/>
  <c r="V98" i="2"/>
  <c r="U98" i="2"/>
  <c r="R98" i="2"/>
  <c r="Q98" i="2"/>
  <c r="P98" i="2"/>
  <c r="O98" i="2"/>
  <c r="N98" i="2"/>
  <c r="M98" i="2"/>
  <c r="G98" i="2"/>
  <c r="C98" i="2"/>
  <c r="Z97" i="2"/>
  <c r="Y97" i="2"/>
  <c r="X97" i="2"/>
  <c r="W97" i="2"/>
  <c r="V97" i="2"/>
  <c r="U97" i="2"/>
  <c r="R97" i="2"/>
  <c r="Q97" i="2"/>
  <c r="P97" i="2"/>
  <c r="O97" i="2"/>
  <c r="N97" i="2"/>
  <c r="M97" i="2"/>
  <c r="G97" i="2"/>
  <c r="C97" i="2"/>
  <c r="Z96" i="2"/>
  <c r="Y96" i="2"/>
  <c r="X96" i="2"/>
  <c r="W96" i="2"/>
  <c r="V96" i="2"/>
  <c r="U96" i="2"/>
  <c r="R96" i="2"/>
  <c r="Q96" i="2"/>
  <c r="P96" i="2"/>
  <c r="O96" i="2"/>
  <c r="N96" i="2"/>
  <c r="M96" i="2"/>
  <c r="G96" i="2"/>
  <c r="C96" i="2"/>
  <c r="Z95" i="2"/>
  <c r="Y95" i="2"/>
  <c r="X95" i="2"/>
  <c r="W95" i="2"/>
  <c r="V95" i="2"/>
  <c r="U95" i="2"/>
  <c r="R95" i="2"/>
  <c r="Q95" i="2"/>
  <c r="P95" i="2"/>
  <c r="O95" i="2"/>
  <c r="N95" i="2"/>
  <c r="M95" i="2"/>
  <c r="G95" i="2"/>
  <c r="C95" i="2"/>
  <c r="Z94" i="2"/>
  <c r="Y94" i="2"/>
  <c r="X94" i="2"/>
  <c r="W94" i="2"/>
  <c r="V94" i="2"/>
  <c r="U94" i="2"/>
  <c r="R94" i="2"/>
  <c r="Q94" i="2"/>
  <c r="P94" i="2"/>
  <c r="O94" i="2"/>
  <c r="N94" i="2"/>
  <c r="M94" i="2"/>
  <c r="G94" i="2"/>
  <c r="C94" i="2"/>
  <c r="Z93" i="2"/>
  <c r="Y93" i="2"/>
  <c r="X93" i="2"/>
  <c r="W93" i="2"/>
  <c r="V93" i="2"/>
  <c r="U93" i="2"/>
  <c r="R93" i="2"/>
  <c r="Q93" i="2"/>
  <c r="P93" i="2"/>
  <c r="O93" i="2"/>
  <c r="N93" i="2"/>
  <c r="M93" i="2"/>
  <c r="G93" i="2"/>
  <c r="C93" i="2"/>
  <c r="Z92" i="2"/>
  <c r="Y92" i="2"/>
  <c r="X92" i="2"/>
  <c r="W92" i="2"/>
  <c r="V92" i="2"/>
  <c r="U92" i="2"/>
  <c r="R92" i="2"/>
  <c r="Q92" i="2"/>
  <c r="P92" i="2"/>
  <c r="O92" i="2"/>
  <c r="N92" i="2"/>
  <c r="M92" i="2"/>
  <c r="G92" i="2"/>
  <c r="C92" i="2"/>
  <c r="Z91" i="2"/>
  <c r="Y91" i="2"/>
  <c r="X91" i="2"/>
  <c r="W91" i="2"/>
  <c r="V91" i="2"/>
  <c r="U91" i="2"/>
  <c r="R91" i="2"/>
  <c r="Q91" i="2"/>
  <c r="P91" i="2"/>
  <c r="O91" i="2"/>
  <c r="N91" i="2"/>
  <c r="M91" i="2"/>
  <c r="G91" i="2"/>
  <c r="C91" i="2"/>
  <c r="Z90" i="2"/>
  <c r="Y90" i="2"/>
  <c r="X90" i="2"/>
  <c r="W90" i="2"/>
  <c r="V90" i="2"/>
  <c r="U90" i="2"/>
  <c r="R90" i="2"/>
  <c r="Q90" i="2"/>
  <c r="P90" i="2"/>
  <c r="O90" i="2"/>
  <c r="N90" i="2"/>
  <c r="M90" i="2"/>
  <c r="G90" i="2"/>
  <c r="C90" i="2"/>
  <c r="Z89" i="2"/>
  <c r="Y89" i="2"/>
  <c r="X89" i="2"/>
  <c r="W89" i="2"/>
  <c r="V89" i="2"/>
  <c r="U89" i="2"/>
  <c r="R89" i="2"/>
  <c r="Q89" i="2"/>
  <c r="P89" i="2"/>
  <c r="O89" i="2"/>
  <c r="N89" i="2"/>
  <c r="M89" i="2"/>
  <c r="G89" i="2"/>
  <c r="C89" i="2"/>
  <c r="Z88" i="2"/>
  <c r="Y88" i="2"/>
  <c r="X88" i="2"/>
  <c r="W88" i="2"/>
  <c r="V88" i="2"/>
  <c r="U88" i="2"/>
  <c r="R88" i="2"/>
  <c r="Q88" i="2"/>
  <c r="P88" i="2"/>
  <c r="O88" i="2"/>
  <c r="N88" i="2"/>
  <c r="M88" i="2"/>
  <c r="G88" i="2"/>
  <c r="C88" i="2"/>
  <c r="Z87" i="2"/>
  <c r="Y87" i="2"/>
  <c r="X87" i="2"/>
  <c r="W87" i="2"/>
  <c r="V87" i="2"/>
  <c r="U87" i="2"/>
  <c r="R87" i="2"/>
  <c r="Q87" i="2"/>
  <c r="P87" i="2"/>
  <c r="O87" i="2"/>
  <c r="N87" i="2"/>
  <c r="M87" i="2"/>
  <c r="G87" i="2"/>
  <c r="C87" i="2"/>
  <c r="Z86" i="2"/>
  <c r="Y86" i="2"/>
  <c r="X86" i="2"/>
  <c r="W86" i="2"/>
  <c r="V86" i="2"/>
  <c r="U86" i="2"/>
  <c r="R86" i="2"/>
  <c r="Q86" i="2"/>
  <c r="P86" i="2"/>
  <c r="O86" i="2"/>
  <c r="N86" i="2"/>
  <c r="M86" i="2"/>
  <c r="G86" i="2"/>
  <c r="C86" i="2"/>
  <c r="Z85" i="2"/>
  <c r="Y85" i="2"/>
  <c r="X85" i="2"/>
  <c r="W85" i="2"/>
  <c r="V85" i="2"/>
  <c r="U85" i="2"/>
  <c r="R85" i="2"/>
  <c r="Q85" i="2"/>
  <c r="P85" i="2"/>
  <c r="O85" i="2"/>
  <c r="N85" i="2"/>
  <c r="M85" i="2"/>
  <c r="G85" i="2"/>
  <c r="C85" i="2"/>
  <c r="Z84" i="2"/>
  <c r="Y84" i="2"/>
  <c r="X84" i="2"/>
  <c r="W84" i="2"/>
  <c r="V84" i="2"/>
  <c r="U84" i="2"/>
  <c r="R84" i="2"/>
  <c r="Q84" i="2"/>
  <c r="P84" i="2"/>
  <c r="O84" i="2"/>
  <c r="N84" i="2"/>
  <c r="M84" i="2"/>
  <c r="G84" i="2"/>
  <c r="C84" i="2"/>
  <c r="Z83" i="2"/>
  <c r="Y83" i="2"/>
  <c r="X83" i="2"/>
  <c r="W83" i="2"/>
  <c r="V83" i="2"/>
  <c r="U83" i="2"/>
  <c r="R83" i="2"/>
  <c r="Q83" i="2"/>
  <c r="P83" i="2"/>
  <c r="O83" i="2"/>
  <c r="N83" i="2"/>
  <c r="M83" i="2"/>
  <c r="G83" i="2"/>
  <c r="C83" i="2"/>
  <c r="Z82" i="2"/>
  <c r="Y82" i="2"/>
  <c r="X82" i="2"/>
  <c r="W82" i="2"/>
  <c r="V82" i="2"/>
  <c r="U82" i="2"/>
  <c r="R82" i="2"/>
  <c r="Q82" i="2"/>
  <c r="P82" i="2"/>
  <c r="O82" i="2"/>
  <c r="N82" i="2"/>
  <c r="M82" i="2"/>
  <c r="G82" i="2"/>
  <c r="C82" i="2"/>
  <c r="Z81" i="2"/>
  <c r="Y81" i="2"/>
  <c r="X81" i="2"/>
  <c r="W81" i="2"/>
  <c r="V81" i="2"/>
  <c r="U81" i="2"/>
  <c r="R81" i="2"/>
  <c r="Q81" i="2"/>
  <c r="P81" i="2"/>
  <c r="O81" i="2"/>
  <c r="N81" i="2"/>
  <c r="M81" i="2"/>
  <c r="G81" i="2"/>
  <c r="C81" i="2"/>
  <c r="Z80" i="2"/>
  <c r="Y80" i="2"/>
  <c r="X80" i="2"/>
  <c r="W80" i="2"/>
  <c r="V80" i="2"/>
  <c r="U80" i="2"/>
  <c r="R80" i="2"/>
  <c r="Q80" i="2"/>
  <c r="P80" i="2"/>
  <c r="O80" i="2"/>
  <c r="N80" i="2"/>
  <c r="M80" i="2"/>
  <c r="G80" i="2"/>
  <c r="C80" i="2"/>
  <c r="Z79" i="2"/>
  <c r="Y79" i="2"/>
  <c r="X79" i="2"/>
  <c r="W79" i="2"/>
  <c r="V79" i="2"/>
  <c r="U79" i="2"/>
  <c r="R79" i="2"/>
  <c r="Q79" i="2"/>
  <c r="P79" i="2"/>
  <c r="O79" i="2"/>
  <c r="N79" i="2"/>
  <c r="M79" i="2"/>
  <c r="G79" i="2"/>
  <c r="C79" i="2"/>
  <c r="Z78" i="2"/>
  <c r="Y78" i="2"/>
  <c r="X78" i="2"/>
  <c r="W78" i="2"/>
  <c r="V78" i="2"/>
  <c r="U78" i="2"/>
  <c r="R78" i="2"/>
  <c r="Q78" i="2"/>
  <c r="P78" i="2"/>
  <c r="O78" i="2"/>
  <c r="N78" i="2"/>
  <c r="M78" i="2"/>
  <c r="G78" i="2"/>
  <c r="C78" i="2"/>
  <c r="Z77" i="2"/>
  <c r="Y77" i="2"/>
  <c r="X77" i="2"/>
  <c r="W77" i="2"/>
  <c r="V77" i="2"/>
  <c r="U77" i="2"/>
  <c r="R77" i="2"/>
  <c r="Q77" i="2"/>
  <c r="P77" i="2"/>
  <c r="O77" i="2"/>
  <c r="N77" i="2"/>
  <c r="M77" i="2"/>
  <c r="G77" i="2"/>
  <c r="C77" i="2"/>
  <c r="Z76" i="2"/>
  <c r="Y76" i="2"/>
  <c r="X76" i="2"/>
  <c r="W76" i="2"/>
  <c r="V76" i="2"/>
  <c r="U76" i="2"/>
  <c r="R76" i="2"/>
  <c r="Q76" i="2"/>
  <c r="P76" i="2"/>
  <c r="O76" i="2"/>
  <c r="N76" i="2"/>
  <c r="M76" i="2"/>
  <c r="G76" i="2"/>
  <c r="C76" i="2"/>
  <c r="Z75" i="2"/>
  <c r="Y75" i="2"/>
  <c r="X75" i="2"/>
  <c r="W75" i="2"/>
  <c r="V75" i="2"/>
  <c r="U75" i="2"/>
  <c r="R75" i="2"/>
  <c r="Q75" i="2"/>
  <c r="P75" i="2"/>
  <c r="O75" i="2"/>
  <c r="N75" i="2"/>
  <c r="M75" i="2"/>
  <c r="G75" i="2"/>
  <c r="C75" i="2"/>
  <c r="Z74" i="2"/>
  <c r="Y74" i="2"/>
  <c r="X74" i="2"/>
  <c r="W74" i="2"/>
  <c r="V74" i="2"/>
  <c r="U74" i="2"/>
  <c r="R74" i="2"/>
  <c r="Q74" i="2"/>
  <c r="P74" i="2"/>
  <c r="O74" i="2"/>
  <c r="N74" i="2"/>
  <c r="M74" i="2"/>
  <c r="G74" i="2"/>
  <c r="C74" i="2"/>
  <c r="Z73" i="2"/>
  <c r="Y73" i="2"/>
  <c r="X73" i="2"/>
  <c r="W73" i="2"/>
  <c r="V73" i="2"/>
  <c r="U73" i="2"/>
  <c r="R73" i="2"/>
  <c r="Q73" i="2"/>
  <c r="P73" i="2"/>
  <c r="O73" i="2"/>
  <c r="N73" i="2"/>
  <c r="M73" i="2"/>
  <c r="G73" i="2"/>
  <c r="C73" i="2"/>
  <c r="Z72" i="2"/>
  <c r="Y72" i="2"/>
  <c r="X72" i="2"/>
  <c r="W72" i="2"/>
  <c r="V72" i="2"/>
  <c r="U72" i="2"/>
  <c r="R72" i="2"/>
  <c r="Q72" i="2"/>
  <c r="P72" i="2"/>
  <c r="O72" i="2"/>
  <c r="N72" i="2"/>
  <c r="M72" i="2"/>
  <c r="G72" i="2"/>
  <c r="C72" i="2"/>
  <c r="Z71" i="2"/>
  <c r="Y71" i="2"/>
  <c r="X71" i="2"/>
  <c r="W71" i="2"/>
  <c r="V71" i="2"/>
  <c r="U71" i="2"/>
  <c r="R71" i="2"/>
  <c r="Q71" i="2"/>
  <c r="P71" i="2"/>
  <c r="O71" i="2"/>
  <c r="N71" i="2"/>
  <c r="M71" i="2"/>
  <c r="G71" i="2"/>
  <c r="C71" i="2"/>
  <c r="Z70" i="2"/>
  <c r="Y70" i="2"/>
  <c r="X70" i="2"/>
  <c r="W70" i="2"/>
  <c r="V70" i="2"/>
  <c r="U70" i="2"/>
  <c r="R70" i="2"/>
  <c r="Q70" i="2"/>
  <c r="P70" i="2"/>
  <c r="O70" i="2"/>
  <c r="N70" i="2"/>
  <c r="M70" i="2"/>
  <c r="G70" i="2"/>
  <c r="C70" i="2"/>
  <c r="Z69" i="2"/>
  <c r="Y69" i="2"/>
  <c r="X69" i="2"/>
  <c r="W69" i="2"/>
  <c r="V69" i="2"/>
  <c r="U69" i="2"/>
  <c r="R69" i="2"/>
  <c r="Q69" i="2"/>
  <c r="P69" i="2"/>
  <c r="O69" i="2"/>
  <c r="N69" i="2"/>
  <c r="M69" i="2"/>
  <c r="G69" i="2"/>
  <c r="C69" i="2"/>
  <c r="Z68" i="2"/>
  <c r="Y68" i="2"/>
  <c r="X68" i="2"/>
  <c r="W68" i="2"/>
  <c r="V68" i="2"/>
  <c r="U68" i="2"/>
  <c r="R68" i="2"/>
  <c r="Q68" i="2"/>
  <c r="P68" i="2"/>
  <c r="O68" i="2"/>
  <c r="N68" i="2"/>
  <c r="M68" i="2"/>
  <c r="G68" i="2"/>
  <c r="C68" i="2"/>
  <c r="Z67" i="2"/>
  <c r="Y67" i="2"/>
  <c r="X67" i="2"/>
  <c r="W67" i="2"/>
  <c r="V67" i="2"/>
  <c r="U67" i="2"/>
  <c r="R67" i="2"/>
  <c r="Q67" i="2"/>
  <c r="P67" i="2"/>
  <c r="O67" i="2"/>
  <c r="N67" i="2"/>
  <c r="M67" i="2"/>
  <c r="G67" i="2"/>
  <c r="C67" i="2"/>
  <c r="Z66" i="2"/>
  <c r="Y66" i="2"/>
  <c r="X66" i="2"/>
  <c r="W66" i="2"/>
  <c r="V66" i="2"/>
  <c r="U66" i="2"/>
  <c r="R66" i="2"/>
  <c r="Q66" i="2"/>
  <c r="P66" i="2"/>
  <c r="O66" i="2"/>
  <c r="N66" i="2"/>
  <c r="M66" i="2"/>
  <c r="G66" i="2"/>
  <c r="C66" i="2"/>
  <c r="Z65" i="2"/>
  <c r="Y65" i="2"/>
  <c r="X65" i="2"/>
  <c r="W65" i="2"/>
  <c r="V65" i="2"/>
  <c r="U65" i="2"/>
  <c r="R65" i="2"/>
  <c r="Q65" i="2"/>
  <c r="P65" i="2"/>
  <c r="O65" i="2"/>
  <c r="N65" i="2"/>
  <c r="M65" i="2"/>
  <c r="G65" i="2"/>
  <c r="C65" i="2"/>
  <c r="Z64" i="2"/>
  <c r="Y64" i="2"/>
  <c r="X64" i="2"/>
  <c r="W64" i="2"/>
  <c r="S64" i="2" s="1"/>
  <c r="V64" i="2"/>
  <c r="U64" i="2"/>
  <c r="R64" i="2"/>
  <c r="Q64" i="2"/>
  <c r="P64" i="2"/>
  <c r="O64" i="2"/>
  <c r="N64" i="2"/>
  <c r="M64" i="2"/>
  <c r="G64" i="2"/>
  <c r="C64" i="2"/>
  <c r="Z63" i="2"/>
  <c r="Y63" i="2"/>
  <c r="X63" i="2"/>
  <c r="W63" i="2"/>
  <c r="V63" i="2"/>
  <c r="U63" i="2"/>
  <c r="R63" i="2"/>
  <c r="Q63" i="2"/>
  <c r="P63" i="2"/>
  <c r="O63" i="2"/>
  <c r="N63" i="2"/>
  <c r="M63" i="2"/>
  <c r="G63" i="2"/>
  <c r="C63" i="2"/>
  <c r="Z62" i="2"/>
  <c r="Y62" i="2"/>
  <c r="X62" i="2"/>
  <c r="W62" i="2"/>
  <c r="V62" i="2"/>
  <c r="U62" i="2"/>
  <c r="R62" i="2"/>
  <c r="Q62" i="2"/>
  <c r="P62" i="2"/>
  <c r="O62" i="2"/>
  <c r="N62" i="2"/>
  <c r="M62" i="2"/>
  <c r="G62" i="2"/>
  <c r="C62" i="2"/>
  <c r="Z61" i="2"/>
  <c r="Y61" i="2"/>
  <c r="X61" i="2"/>
  <c r="W61" i="2"/>
  <c r="V61" i="2"/>
  <c r="U61" i="2"/>
  <c r="R61" i="2"/>
  <c r="Q61" i="2"/>
  <c r="P61" i="2"/>
  <c r="O61" i="2"/>
  <c r="N61" i="2"/>
  <c r="M61" i="2"/>
  <c r="G61" i="2"/>
  <c r="C61" i="2"/>
  <c r="Z60" i="2"/>
  <c r="Y60" i="2"/>
  <c r="X60" i="2"/>
  <c r="W60" i="2"/>
  <c r="V60" i="2"/>
  <c r="U60" i="2"/>
  <c r="R60" i="2"/>
  <c r="Q60" i="2"/>
  <c r="P60" i="2"/>
  <c r="O60" i="2"/>
  <c r="N60" i="2"/>
  <c r="M60" i="2"/>
  <c r="G60" i="2"/>
  <c r="C60" i="2"/>
  <c r="Z59" i="2"/>
  <c r="Y59" i="2"/>
  <c r="X59" i="2"/>
  <c r="W59" i="2"/>
  <c r="V59" i="2"/>
  <c r="U59" i="2"/>
  <c r="R59" i="2"/>
  <c r="Q59" i="2"/>
  <c r="P59" i="2"/>
  <c r="O59" i="2"/>
  <c r="N59" i="2"/>
  <c r="M59" i="2"/>
  <c r="G59" i="2"/>
  <c r="C59" i="2"/>
  <c r="Z58" i="2"/>
  <c r="Y58" i="2"/>
  <c r="V58" i="2"/>
  <c r="U58" i="2"/>
  <c r="R58" i="2"/>
  <c r="Q58" i="2"/>
  <c r="P58" i="2"/>
  <c r="O58" i="2"/>
  <c r="N58" i="2"/>
  <c r="M58" i="2"/>
  <c r="I58" i="2"/>
  <c r="G58" i="2" s="1"/>
  <c r="C58" i="2"/>
  <c r="Z57" i="2"/>
  <c r="Y57" i="2"/>
  <c r="X57" i="2"/>
  <c r="W57" i="2"/>
  <c r="V57" i="2"/>
  <c r="U57" i="2"/>
  <c r="R57" i="2"/>
  <c r="Q57" i="2"/>
  <c r="P57" i="2"/>
  <c r="O57" i="2"/>
  <c r="N57" i="2"/>
  <c r="M57" i="2"/>
  <c r="G57" i="2"/>
  <c r="C57" i="2"/>
  <c r="Z56" i="2"/>
  <c r="Y56" i="2"/>
  <c r="X56" i="2"/>
  <c r="W56" i="2"/>
  <c r="V56" i="2"/>
  <c r="U56" i="2"/>
  <c r="R56" i="2"/>
  <c r="Q56" i="2"/>
  <c r="P56" i="2"/>
  <c r="O56" i="2"/>
  <c r="N56" i="2"/>
  <c r="M56" i="2"/>
  <c r="G56" i="2"/>
  <c r="C56" i="2"/>
  <c r="Z55" i="2"/>
  <c r="Y55" i="2"/>
  <c r="X55" i="2"/>
  <c r="W55" i="2"/>
  <c r="V55" i="2"/>
  <c r="U55" i="2"/>
  <c r="R55" i="2"/>
  <c r="Q55" i="2"/>
  <c r="P55" i="2"/>
  <c r="O55" i="2"/>
  <c r="N55" i="2"/>
  <c r="M55" i="2"/>
  <c r="G55" i="2"/>
  <c r="C55" i="2"/>
  <c r="Z54" i="2"/>
  <c r="Y54" i="2"/>
  <c r="X54" i="2"/>
  <c r="W54" i="2"/>
  <c r="V54" i="2"/>
  <c r="U54" i="2"/>
  <c r="R54" i="2"/>
  <c r="Q54" i="2"/>
  <c r="P54" i="2"/>
  <c r="O54" i="2"/>
  <c r="N54" i="2"/>
  <c r="M54" i="2"/>
  <c r="G54" i="2"/>
  <c r="C54" i="2"/>
  <c r="Z53" i="2"/>
  <c r="Y53" i="2"/>
  <c r="X53" i="2"/>
  <c r="W53" i="2"/>
  <c r="V53" i="2"/>
  <c r="U53" i="2"/>
  <c r="R53" i="2"/>
  <c r="Q53" i="2"/>
  <c r="P53" i="2"/>
  <c r="O53" i="2"/>
  <c r="N53" i="2"/>
  <c r="M53" i="2"/>
  <c r="G53" i="2"/>
  <c r="C53" i="2"/>
  <c r="Z52" i="2"/>
  <c r="Y52" i="2"/>
  <c r="X52" i="2"/>
  <c r="W52" i="2"/>
  <c r="V52" i="2"/>
  <c r="U52" i="2"/>
  <c r="R52" i="2"/>
  <c r="Q52" i="2"/>
  <c r="P52" i="2"/>
  <c r="O52" i="2"/>
  <c r="N52" i="2"/>
  <c r="M52" i="2"/>
  <c r="G52" i="2"/>
  <c r="C52" i="2"/>
  <c r="Z51" i="2"/>
  <c r="Y51" i="2"/>
  <c r="X51" i="2"/>
  <c r="W51" i="2"/>
  <c r="V51" i="2"/>
  <c r="U51" i="2"/>
  <c r="R51" i="2"/>
  <c r="Q51" i="2"/>
  <c r="P51" i="2"/>
  <c r="O51" i="2"/>
  <c r="N51" i="2"/>
  <c r="M51" i="2"/>
  <c r="G51" i="2"/>
  <c r="C51" i="2"/>
  <c r="Z50" i="2"/>
  <c r="Y50" i="2"/>
  <c r="X50" i="2"/>
  <c r="W50" i="2"/>
  <c r="V50" i="2"/>
  <c r="U50" i="2"/>
  <c r="R50" i="2"/>
  <c r="Q50" i="2"/>
  <c r="P50" i="2"/>
  <c r="O50" i="2"/>
  <c r="N50" i="2"/>
  <c r="M50" i="2"/>
  <c r="G50" i="2"/>
  <c r="C50" i="2"/>
  <c r="Z49" i="2"/>
  <c r="Y49" i="2"/>
  <c r="X49" i="2"/>
  <c r="W49" i="2"/>
  <c r="V49" i="2"/>
  <c r="U49" i="2"/>
  <c r="R49" i="2"/>
  <c r="Q49" i="2"/>
  <c r="P49" i="2"/>
  <c r="O49" i="2"/>
  <c r="N49" i="2"/>
  <c r="M49" i="2"/>
  <c r="G49" i="2"/>
  <c r="C49" i="2"/>
  <c r="Z48" i="2"/>
  <c r="Y48" i="2"/>
  <c r="X48" i="2"/>
  <c r="W48" i="2"/>
  <c r="V48" i="2"/>
  <c r="U48" i="2"/>
  <c r="R48" i="2"/>
  <c r="Q48" i="2"/>
  <c r="P48" i="2"/>
  <c r="O48" i="2"/>
  <c r="N48" i="2"/>
  <c r="M48" i="2"/>
  <c r="G48" i="2"/>
  <c r="C48" i="2"/>
  <c r="Z47" i="2"/>
  <c r="Y47" i="2"/>
  <c r="X47" i="2"/>
  <c r="W47" i="2"/>
  <c r="V47" i="2"/>
  <c r="U47" i="2"/>
  <c r="R47" i="2"/>
  <c r="Q47" i="2"/>
  <c r="P47" i="2"/>
  <c r="O47" i="2"/>
  <c r="N47" i="2"/>
  <c r="M47" i="2"/>
  <c r="G47" i="2"/>
  <c r="C47" i="2"/>
  <c r="Z46" i="2"/>
  <c r="Y46" i="2"/>
  <c r="X46" i="2"/>
  <c r="W46" i="2"/>
  <c r="V46" i="2"/>
  <c r="U46" i="2"/>
  <c r="R46" i="2"/>
  <c r="Q46" i="2"/>
  <c r="P46" i="2"/>
  <c r="O46" i="2"/>
  <c r="N46" i="2"/>
  <c r="M46" i="2"/>
  <c r="G46" i="2"/>
  <c r="C46" i="2"/>
  <c r="Z45" i="2"/>
  <c r="Y45" i="2"/>
  <c r="X45" i="2"/>
  <c r="W45" i="2"/>
  <c r="V45" i="2"/>
  <c r="U45" i="2"/>
  <c r="R45" i="2"/>
  <c r="Q45" i="2"/>
  <c r="P45" i="2"/>
  <c r="O45" i="2"/>
  <c r="N45" i="2"/>
  <c r="M45" i="2"/>
  <c r="G45" i="2"/>
  <c r="C45" i="2"/>
  <c r="Z44" i="2"/>
  <c r="Y44" i="2"/>
  <c r="X44" i="2"/>
  <c r="W44" i="2"/>
  <c r="V44" i="2"/>
  <c r="U44" i="2"/>
  <c r="R44" i="2"/>
  <c r="Q44" i="2"/>
  <c r="P44" i="2"/>
  <c r="O44" i="2"/>
  <c r="N44" i="2"/>
  <c r="M44" i="2"/>
  <c r="G44" i="2"/>
  <c r="C44" i="2"/>
  <c r="Z43" i="2"/>
  <c r="Y43" i="2"/>
  <c r="X43" i="2"/>
  <c r="W43" i="2"/>
  <c r="V43" i="2"/>
  <c r="U43" i="2"/>
  <c r="R43" i="2"/>
  <c r="Q43" i="2"/>
  <c r="P43" i="2"/>
  <c r="O43" i="2"/>
  <c r="N43" i="2"/>
  <c r="M43" i="2"/>
  <c r="G43" i="2"/>
  <c r="C43" i="2"/>
  <c r="Z42" i="2"/>
  <c r="Y42" i="2"/>
  <c r="X42" i="2"/>
  <c r="W42" i="2"/>
  <c r="V42" i="2"/>
  <c r="U42" i="2"/>
  <c r="R42" i="2"/>
  <c r="Q42" i="2"/>
  <c r="P42" i="2"/>
  <c r="O42" i="2"/>
  <c r="N42" i="2"/>
  <c r="M42" i="2"/>
  <c r="G42" i="2"/>
  <c r="C42" i="2"/>
  <c r="Z41" i="2"/>
  <c r="Y41" i="2"/>
  <c r="X41" i="2"/>
  <c r="W41" i="2"/>
  <c r="V41" i="2"/>
  <c r="U41" i="2"/>
  <c r="R41" i="2"/>
  <c r="Q41" i="2"/>
  <c r="P41" i="2"/>
  <c r="O41" i="2"/>
  <c r="N41" i="2"/>
  <c r="M41" i="2"/>
  <c r="G41" i="2"/>
  <c r="C41" i="2"/>
  <c r="Z40" i="2"/>
  <c r="Y40" i="2"/>
  <c r="X40" i="2"/>
  <c r="W40" i="2"/>
  <c r="V40" i="2"/>
  <c r="U40" i="2"/>
  <c r="R40" i="2"/>
  <c r="Q40" i="2"/>
  <c r="P40" i="2"/>
  <c r="O40" i="2"/>
  <c r="N40" i="2"/>
  <c r="M40" i="2"/>
  <c r="G40" i="2"/>
  <c r="C40" i="2"/>
  <c r="Z39" i="2"/>
  <c r="Y39" i="2"/>
  <c r="X39" i="2"/>
  <c r="W39" i="2"/>
  <c r="V39" i="2"/>
  <c r="U39" i="2"/>
  <c r="R39" i="2"/>
  <c r="Q39" i="2"/>
  <c r="P39" i="2"/>
  <c r="O39" i="2"/>
  <c r="N39" i="2"/>
  <c r="M39" i="2"/>
  <c r="G39" i="2"/>
  <c r="C39" i="2"/>
  <c r="Z38" i="2"/>
  <c r="Y38" i="2"/>
  <c r="X38" i="2"/>
  <c r="W38" i="2"/>
  <c r="V38" i="2"/>
  <c r="U38" i="2"/>
  <c r="R38" i="2"/>
  <c r="Q38" i="2"/>
  <c r="P38" i="2"/>
  <c r="O38" i="2"/>
  <c r="N38" i="2"/>
  <c r="M38" i="2"/>
  <c r="G38" i="2"/>
  <c r="C38" i="2"/>
  <c r="Z37" i="2"/>
  <c r="Y37" i="2"/>
  <c r="X37" i="2"/>
  <c r="W37" i="2"/>
  <c r="V37" i="2"/>
  <c r="U37" i="2"/>
  <c r="R37" i="2"/>
  <c r="Q37" i="2"/>
  <c r="P37" i="2"/>
  <c r="O37" i="2"/>
  <c r="N37" i="2"/>
  <c r="M37" i="2"/>
  <c r="G37" i="2"/>
  <c r="C37" i="2"/>
  <c r="Z36" i="2"/>
  <c r="Y36" i="2"/>
  <c r="X36" i="2"/>
  <c r="W36" i="2"/>
  <c r="V36" i="2"/>
  <c r="U36" i="2"/>
  <c r="R36" i="2"/>
  <c r="Q36" i="2"/>
  <c r="P36" i="2"/>
  <c r="O36" i="2"/>
  <c r="N36" i="2"/>
  <c r="M36" i="2"/>
  <c r="G36" i="2"/>
  <c r="C36" i="2"/>
  <c r="Z35" i="2"/>
  <c r="Y35" i="2"/>
  <c r="X35" i="2"/>
  <c r="W35" i="2"/>
  <c r="V35" i="2"/>
  <c r="U35" i="2"/>
  <c r="R35" i="2"/>
  <c r="Q35" i="2"/>
  <c r="P35" i="2"/>
  <c r="O35" i="2"/>
  <c r="N35" i="2"/>
  <c r="M35" i="2"/>
  <c r="G35" i="2"/>
  <c r="C35" i="2"/>
  <c r="Z34" i="2"/>
  <c r="Y34" i="2"/>
  <c r="R34" i="2"/>
  <c r="Q34" i="2"/>
  <c r="P34" i="2"/>
  <c r="O34" i="2"/>
  <c r="N34" i="2"/>
  <c r="M34" i="2"/>
  <c r="I34" i="2"/>
  <c r="W34" i="2" s="1"/>
  <c r="H34" i="2"/>
  <c r="U34" i="2" s="1"/>
  <c r="C34" i="2"/>
  <c r="Z33" i="2"/>
  <c r="Y33" i="2"/>
  <c r="X33" i="2"/>
  <c r="W33" i="2"/>
  <c r="V33" i="2"/>
  <c r="U33" i="2"/>
  <c r="R33" i="2"/>
  <c r="Q33" i="2"/>
  <c r="P33" i="2"/>
  <c r="O33" i="2"/>
  <c r="N33" i="2"/>
  <c r="M33" i="2"/>
  <c r="G33" i="2"/>
  <c r="C33" i="2"/>
  <c r="Z32" i="2"/>
  <c r="Y32" i="2"/>
  <c r="X32" i="2"/>
  <c r="W32" i="2"/>
  <c r="V32" i="2"/>
  <c r="U32" i="2"/>
  <c r="R32" i="2"/>
  <c r="Q32" i="2"/>
  <c r="P32" i="2"/>
  <c r="L32" i="2" s="1"/>
  <c r="O32" i="2"/>
  <c r="N32" i="2"/>
  <c r="M32" i="2"/>
  <c r="G32" i="2"/>
  <c r="C32" i="2"/>
  <c r="Z31" i="2"/>
  <c r="Y31" i="2"/>
  <c r="X31" i="2"/>
  <c r="W31" i="2"/>
  <c r="V31" i="2"/>
  <c r="U31" i="2"/>
  <c r="R31" i="2"/>
  <c r="Q31" i="2"/>
  <c r="P31" i="2"/>
  <c r="O31" i="2"/>
  <c r="N31" i="2"/>
  <c r="M31" i="2"/>
  <c r="G31" i="2"/>
  <c r="C31" i="2"/>
  <c r="Z30" i="2"/>
  <c r="Y30" i="2"/>
  <c r="X30" i="2"/>
  <c r="W30" i="2"/>
  <c r="V30" i="2"/>
  <c r="U30" i="2"/>
  <c r="R30" i="2"/>
  <c r="Q30" i="2"/>
  <c r="P30" i="2"/>
  <c r="O30" i="2"/>
  <c r="N30" i="2"/>
  <c r="M30" i="2"/>
  <c r="G30" i="2"/>
  <c r="C30" i="2"/>
  <c r="Z29" i="2"/>
  <c r="Y29" i="2"/>
  <c r="X29" i="2"/>
  <c r="W29" i="2"/>
  <c r="V29" i="2"/>
  <c r="U29" i="2"/>
  <c r="R29" i="2"/>
  <c r="Q29" i="2"/>
  <c r="P29" i="2"/>
  <c r="O29" i="2"/>
  <c r="N29" i="2"/>
  <c r="M29" i="2"/>
  <c r="G29" i="2"/>
  <c r="C29" i="2"/>
  <c r="Z28" i="2"/>
  <c r="Y28" i="2"/>
  <c r="X28" i="2"/>
  <c r="W28" i="2"/>
  <c r="V28" i="2"/>
  <c r="U28" i="2"/>
  <c r="R28" i="2"/>
  <c r="Q28" i="2"/>
  <c r="P28" i="2"/>
  <c r="O28" i="2"/>
  <c r="N28" i="2"/>
  <c r="M28" i="2"/>
  <c r="G28" i="2"/>
  <c r="C28" i="2"/>
  <c r="Z27" i="2"/>
  <c r="Y27" i="2"/>
  <c r="X27" i="2"/>
  <c r="W27" i="2"/>
  <c r="V27" i="2"/>
  <c r="U27" i="2"/>
  <c r="R27" i="2"/>
  <c r="Q27" i="2"/>
  <c r="P27" i="2"/>
  <c r="O27" i="2"/>
  <c r="N27" i="2"/>
  <c r="M27" i="2"/>
  <c r="G27" i="2"/>
  <c r="C27" i="2"/>
  <c r="Z26" i="2"/>
  <c r="Y26" i="2"/>
  <c r="X26" i="2"/>
  <c r="W26" i="2"/>
  <c r="V26" i="2"/>
  <c r="U26" i="2"/>
  <c r="R26" i="2"/>
  <c r="Q26" i="2"/>
  <c r="P26" i="2"/>
  <c r="O26" i="2"/>
  <c r="N26" i="2"/>
  <c r="M26" i="2"/>
  <c r="G26" i="2"/>
  <c r="C26" i="2"/>
  <c r="Z25" i="2"/>
  <c r="Y25" i="2"/>
  <c r="X25" i="2"/>
  <c r="T25" i="2" s="1"/>
  <c r="W25" i="2"/>
  <c r="V25" i="2"/>
  <c r="U25" i="2"/>
  <c r="R25" i="2"/>
  <c r="Q25" i="2"/>
  <c r="P25" i="2"/>
  <c r="O25" i="2"/>
  <c r="N25" i="2"/>
  <c r="M25" i="2"/>
  <c r="G25" i="2"/>
  <c r="C25" i="2"/>
  <c r="Z24" i="2"/>
  <c r="Y24" i="2"/>
  <c r="X24" i="2"/>
  <c r="W24" i="2"/>
  <c r="V24" i="2"/>
  <c r="U24" i="2"/>
  <c r="R24" i="2"/>
  <c r="Q24" i="2"/>
  <c r="P24" i="2"/>
  <c r="O24" i="2"/>
  <c r="N24" i="2"/>
  <c r="M24" i="2"/>
  <c r="G24" i="2"/>
  <c r="C24" i="2"/>
  <c r="Z23" i="2"/>
  <c r="Y23" i="2"/>
  <c r="X23" i="2"/>
  <c r="W23" i="2"/>
  <c r="V23" i="2"/>
  <c r="U23" i="2"/>
  <c r="R23" i="2"/>
  <c r="Q23" i="2"/>
  <c r="P23" i="2"/>
  <c r="O23" i="2"/>
  <c r="N23" i="2"/>
  <c r="M23" i="2"/>
  <c r="G23" i="2"/>
  <c r="C23" i="2"/>
  <c r="Z22" i="2"/>
  <c r="Y22" i="2"/>
  <c r="X22" i="2"/>
  <c r="W22" i="2"/>
  <c r="V22" i="2"/>
  <c r="U22" i="2"/>
  <c r="R22" i="2"/>
  <c r="Q22" i="2"/>
  <c r="P22" i="2"/>
  <c r="O22" i="2"/>
  <c r="N22" i="2"/>
  <c r="M22" i="2"/>
  <c r="G22" i="2"/>
  <c r="C22" i="2"/>
  <c r="Z21" i="2"/>
  <c r="Y21" i="2"/>
  <c r="X21" i="2"/>
  <c r="W21" i="2"/>
  <c r="V21" i="2"/>
  <c r="U21" i="2"/>
  <c r="R21" i="2"/>
  <c r="Q21" i="2"/>
  <c r="P21" i="2"/>
  <c r="O21" i="2"/>
  <c r="N21" i="2"/>
  <c r="M21" i="2"/>
  <c r="G21" i="2"/>
  <c r="C21" i="2"/>
  <c r="Z20" i="2"/>
  <c r="Y20" i="2"/>
  <c r="X20" i="2"/>
  <c r="W20" i="2"/>
  <c r="V20" i="2"/>
  <c r="U20" i="2"/>
  <c r="R20" i="2"/>
  <c r="Q20" i="2"/>
  <c r="P20" i="2"/>
  <c r="O20" i="2"/>
  <c r="N20" i="2"/>
  <c r="M20" i="2"/>
  <c r="G20" i="2"/>
  <c r="C20" i="2"/>
  <c r="Z19" i="2"/>
  <c r="Y19" i="2"/>
  <c r="X19" i="2"/>
  <c r="W19" i="2"/>
  <c r="V19" i="2"/>
  <c r="U19" i="2"/>
  <c r="R19" i="2"/>
  <c r="Q19" i="2"/>
  <c r="P19" i="2"/>
  <c r="O19" i="2"/>
  <c r="N19" i="2"/>
  <c r="M19" i="2"/>
  <c r="G19" i="2"/>
  <c r="C19" i="2"/>
  <c r="Z18" i="2"/>
  <c r="Y18" i="2"/>
  <c r="X18" i="2"/>
  <c r="W18" i="2"/>
  <c r="V18" i="2"/>
  <c r="U18" i="2"/>
  <c r="R18" i="2"/>
  <c r="Q18" i="2"/>
  <c r="P18" i="2"/>
  <c r="O18" i="2"/>
  <c r="N18" i="2"/>
  <c r="M18" i="2"/>
  <c r="G18" i="2"/>
  <c r="C18" i="2"/>
  <c r="Z17" i="2"/>
  <c r="Y17" i="2"/>
  <c r="X17" i="2"/>
  <c r="W17" i="2"/>
  <c r="V17" i="2"/>
  <c r="U17" i="2"/>
  <c r="R17" i="2"/>
  <c r="Q17" i="2"/>
  <c r="P17" i="2"/>
  <c r="O17" i="2"/>
  <c r="N17" i="2"/>
  <c r="M17" i="2"/>
  <c r="G17" i="2"/>
  <c r="C17" i="2"/>
  <c r="Z16" i="2"/>
  <c r="Y16" i="2"/>
  <c r="X16" i="2"/>
  <c r="W16" i="2"/>
  <c r="V16" i="2"/>
  <c r="U16" i="2"/>
  <c r="R16" i="2"/>
  <c r="Q16" i="2"/>
  <c r="P16" i="2"/>
  <c r="O16" i="2"/>
  <c r="N16" i="2"/>
  <c r="M16" i="2"/>
  <c r="G16" i="2"/>
  <c r="C16" i="2"/>
  <c r="Z15" i="2"/>
  <c r="Y15" i="2"/>
  <c r="X15" i="2"/>
  <c r="W15" i="2"/>
  <c r="V15" i="2"/>
  <c r="U15" i="2"/>
  <c r="R15" i="2"/>
  <c r="Q15" i="2"/>
  <c r="P15" i="2"/>
  <c r="O15" i="2"/>
  <c r="N15" i="2"/>
  <c r="M15" i="2"/>
  <c r="G15" i="2"/>
  <c r="C15" i="2"/>
  <c r="Z14" i="2"/>
  <c r="Y14" i="2"/>
  <c r="X14" i="2"/>
  <c r="W14" i="2"/>
  <c r="V14" i="2"/>
  <c r="U14" i="2"/>
  <c r="R14" i="2"/>
  <c r="Q14" i="2"/>
  <c r="P14" i="2"/>
  <c r="O14" i="2"/>
  <c r="N14" i="2"/>
  <c r="M14" i="2"/>
  <c r="G14" i="2"/>
  <c r="C14" i="2"/>
  <c r="Z13" i="2"/>
  <c r="Y13" i="2"/>
  <c r="X13" i="2"/>
  <c r="W13" i="2"/>
  <c r="V13" i="2"/>
  <c r="U13" i="2"/>
  <c r="R13" i="2"/>
  <c r="Q13" i="2"/>
  <c r="P13" i="2"/>
  <c r="O13" i="2"/>
  <c r="N13" i="2"/>
  <c r="M13" i="2"/>
  <c r="G13" i="2"/>
  <c r="C13" i="2"/>
  <c r="Z12" i="2"/>
  <c r="Y12" i="2"/>
  <c r="X12" i="2"/>
  <c r="W12" i="2"/>
  <c r="V12" i="2"/>
  <c r="U12" i="2"/>
  <c r="R12" i="2"/>
  <c r="Q12" i="2"/>
  <c r="P12" i="2"/>
  <c r="O12" i="2"/>
  <c r="N12" i="2"/>
  <c r="M12" i="2"/>
  <c r="G12" i="2"/>
  <c r="C12" i="2"/>
  <c r="Z11" i="2"/>
  <c r="Y11" i="2"/>
  <c r="X11" i="2"/>
  <c r="T11" i="2" s="1"/>
  <c r="W11" i="2"/>
  <c r="V11" i="2"/>
  <c r="U11" i="2"/>
  <c r="R11" i="2"/>
  <c r="Q11" i="2"/>
  <c r="P11" i="2"/>
  <c r="O11" i="2"/>
  <c r="N11" i="2"/>
  <c r="M11" i="2"/>
  <c r="G11" i="2"/>
  <c r="C11" i="2"/>
  <c r="Z10" i="2"/>
  <c r="Y10" i="2"/>
  <c r="X10" i="2"/>
  <c r="W10" i="2"/>
  <c r="V10" i="2"/>
  <c r="U10" i="2"/>
  <c r="R10" i="2"/>
  <c r="Q10" i="2"/>
  <c r="P10" i="2"/>
  <c r="O10" i="2"/>
  <c r="N10" i="2"/>
  <c r="M10" i="2"/>
  <c r="G10" i="2"/>
  <c r="C10" i="2"/>
  <c r="Z9" i="2"/>
  <c r="Y9" i="2"/>
  <c r="X9" i="2"/>
  <c r="W9" i="2"/>
  <c r="V9" i="2"/>
  <c r="U9" i="2"/>
  <c r="R9" i="2"/>
  <c r="Q9" i="2"/>
  <c r="P9" i="2"/>
  <c r="O9" i="2"/>
  <c r="N9" i="2"/>
  <c r="M9" i="2"/>
  <c r="G9" i="2"/>
  <c r="C9" i="2"/>
  <c r="Z8" i="2"/>
  <c r="Y8" i="2"/>
  <c r="X8" i="2"/>
  <c r="W8" i="2"/>
  <c r="V8" i="2"/>
  <c r="U8" i="2"/>
  <c r="R8" i="2"/>
  <c r="Q8" i="2"/>
  <c r="P8" i="2"/>
  <c r="O8" i="2"/>
  <c r="N8" i="2"/>
  <c r="M8" i="2"/>
  <c r="G8" i="2"/>
  <c r="C8" i="2"/>
  <c r="Z7" i="2"/>
  <c r="Y7" i="2"/>
  <c r="X7" i="2"/>
  <c r="W7" i="2"/>
  <c r="V7" i="2"/>
  <c r="U7" i="2"/>
  <c r="R7" i="2"/>
  <c r="Q7" i="2"/>
  <c r="P7" i="2"/>
  <c r="O7" i="2"/>
  <c r="N7" i="2"/>
  <c r="M7" i="2"/>
  <c r="G7" i="2"/>
  <c r="C7" i="2"/>
  <c r="Z6" i="2"/>
  <c r="Y6" i="2"/>
  <c r="X6" i="2"/>
  <c r="W6" i="2"/>
  <c r="V6" i="2"/>
  <c r="U6" i="2"/>
  <c r="R6" i="2"/>
  <c r="Q6" i="2"/>
  <c r="P6" i="2"/>
  <c r="O6" i="2"/>
  <c r="N6" i="2"/>
  <c r="M6" i="2"/>
  <c r="G6" i="2"/>
  <c r="C6" i="2"/>
  <c r="Z5" i="2"/>
  <c r="Y5" i="2"/>
  <c r="X5" i="2"/>
  <c r="W5" i="2"/>
  <c r="V5" i="2"/>
  <c r="U5" i="2"/>
  <c r="R5" i="2"/>
  <c r="Q5" i="2"/>
  <c r="P5" i="2"/>
  <c r="O5" i="2"/>
  <c r="N5" i="2"/>
  <c r="M5" i="2"/>
  <c r="G5" i="2"/>
  <c r="C5" i="2"/>
  <c r="Z4" i="2"/>
  <c r="Y4" i="2"/>
  <c r="X4" i="2"/>
  <c r="W4" i="2"/>
  <c r="V4" i="2"/>
  <c r="U4" i="2"/>
  <c r="R4" i="2"/>
  <c r="Q4" i="2"/>
  <c r="P4" i="2"/>
  <c r="O4" i="2"/>
  <c r="N4" i="2"/>
  <c r="M4" i="2"/>
  <c r="G4" i="2"/>
  <c r="C4" i="2"/>
  <c r="Z3" i="2"/>
  <c r="Y3" i="2"/>
  <c r="X3" i="2"/>
  <c r="W3" i="2"/>
  <c r="V3" i="2"/>
  <c r="U3" i="2"/>
  <c r="R3" i="2"/>
  <c r="Q3" i="2"/>
  <c r="P3" i="2"/>
  <c r="O3" i="2"/>
  <c r="N3" i="2"/>
  <c r="M3" i="2"/>
  <c r="G3" i="2"/>
  <c r="C3" i="2"/>
  <c r="Z2" i="2"/>
  <c r="Y2" i="2"/>
  <c r="X2" i="2"/>
  <c r="W2" i="2"/>
  <c r="V2" i="2"/>
  <c r="U2" i="2"/>
  <c r="R2" i="2"/>
  <c r="Q2" i="2"/>
  <c r="P2" i="2"/>
  <c r="O2" i="2"/>
  <c r="N2" i="2"/>
  <c r="M2" i="2"/>
  <c r="G2" i="2"/>
  <c r="C2" i="2"/>
  <c r="T37" i="2" l="1"/>
  <c r="L42" i="2"/>
  <c r="L46" i="2"/>
  <c r="L58" i="2"/>
  <c r="T64" i="2"/>
  <c r="L65" i="2"/>
  <c r="T72" i="2"/>
  <c r="L73" i="2"/>
  <c r="T80" i="2"/>
  <c r="L181" i="2"/>
  <c r="T184" i="2"/>
  <c r="T188" i="2"/>
  <c r="L197" i="2"/>
  <c r="L201" i="2"/>
  <c r="T47" i="2"/>
  <c r="T63" i="2"/>
  <c r="T79" i="2"/>
  <c r="L172" i="2"/>
  <c r="T12" i="2"/>
  <c r="T28" i="2"/>
  <c r="T32" i="2"/>
  <c r="S54" i="2"/>
  <c r="K66" i="2"/>
  <c r="K70" i="2"/>
  <c r="K74" i="2"/>
  <c r="K210" i="2"/>
  <c r="S217" i="2"/>
  <c r="K218" i="2"/>
  <c r="S221" i="2"/>
  <c r="K222" i="2"/>
  <c r="K234" i="2"/>
  <c r="K246" i="2"/>
  <c r="S253" i="2"/>
  <c r="K254" i="2"/>
  <c r="L121" i="2"/>
  <c r="T140" i="2"/>
  <c r="L34" i="2"/>
  <c r="L243" i="2"/>
  <c r="S193" i="2"/>
  <c r="K242" i="2"/>
  <c r="S3" i="2"/>
  <c r="S31" i="2"/>
  <c r="T133" i="2"/>
  <c r="T137" i="2"/>
  <c r="T141" i="2"/>
  <c r="K209" i="2"/>
  <c r="K245" i="2"/>
  <c r="S17" i="2"/>
  <c r="S21" i="2"/>
  <c r="K87" i="2"/>
  <c r="K100" i="2"/>
  <c r="S122" i="2"/>
  <c r="K123" i="2"/>
  <c r="S126" i="2"/>
  <c r="S138" i="2"/>
  <c r="S154" i="2"/>
  <c r="S162" i="2"/>
  <c r="L233" i="2"/>
  <c r="L245" i="2"/>
  <c r="T248" i="2"/>
  <c r="T252" i="2"/>
  <c r="S267" i="2"/>
  <c r="K32" i="2"/>
  <c r="S108" i="2"/>
  <c r="K109" i="2"/>
  <c r="S112" i="2"/>
  <c r="K134" i="2"/>
  <c r="S145" i="2"/>
  <c r="K150" i="2"/>
  <c r="S164" i="2"/>
  <c r="K165" i="2"/>
  <c r="K170" i="2"/>
  <c r="K174" i="2"/>
  <c r="S176" i="2"/>
  <c r="K177" i="2"/>
  <c r="S180" i="2"/>
  <c r="L254" i="2"/>
  <c r="L85" i="2"/>
  <c r="T82" i="2"/>
  <c r="S94" i="2"/>
  <c r="S98" i="2"/>
  <c r="K99" i="2"/>
  <c r="S102" i="2"/>
  <c r="K241" i="2"/>
  <c r="L8" i="2"/>
  <c r="S113" i="2"/>
  <c r="K114" i="2"/>
  <c r="S161" i="2"/>
  <c r="S222" i="2"/>
  <c r="K223" i="2"/>
  <c r="K256" i="2"/>
  <c r="L12" i="2"/>
  <c r="T15" i="2"/>
  <c r="L24" i="2"/>
  <c r="L103" i="2"/>
  <c r="T149" i="2"/>
  <c r="T154" i="2"/>
  <c r="T178" i="2"/>
  <c r="T77" i="2"/>
  <c r="T85" i="2"/>
  <c r="K94" i="2"/>
  <c r="L27" i="2"/>
  <c r="L161" i="2"/>
  <c r="T164" i="2"/>
  <c r="L173" i="2"/>
  <c r="L178" i="2"/>
  <c r="K205" i="2"/>
  <c r="S208" i="2"/>
  <c r="L210" i="2"/>
  <c r="T213" i="2"/>
  <c r="L238" i="2"/>
  <c r="T241" i="2"/>
  <c r="T245" i="2"/>
  <c r="T253" i="2"/>
  <c r="K22" i="2"/>
  <c r="T204" i="2"/>
  <c r="S254" i="2"/>
  <c r="L104" i="2"/>
  <c r="T119" i="2"/>
  <c r="T139" i="2"/>
  <c r="L148" i="2"/>
  <c r="T179" i="2"/>
  <c r="L217" i="2"/>
  <c r="T244" i="2"/>
  <c r="K56" i="2"/>
  <c r="K63" i="2"/>
  <c r="K71" i="2"/>
  <c r="S74" i="2"/>
  <c r="K79" i="2"/>
  <c r="K82" i="2"/>
  <c r="K86" i="2"/>
  <c r="T95" i="2"/>
  <c r="T98" i="2"/>
  <c r="T181" i="2"/>
  <c r="L189" i="2"/>
  <c r="L7" i="2"/>
  <c r="T10" i="2"/>
  <c r="L11" i="2"/>
  <c r="K15" i="2"/>
  <c r="K23" i="2"/>
  <c r="S26" i="2"/>
  <c r="T27" i="2"/>
  <c r="L39" i="2"/>
  <c r="T42" i="2"/>
  <c r="T46" i="2"/>
  <c r="T55" i="2"/>
  <c r="L56" i="2"/>
  <c r="S105" i="2"/>
  <c r="S114" i="2"/>
  <c r="S117" i="2"/>
  <c r="S121" i="2"/>
  <c r="K122" i="2"/>
  <c r="L135" i="2"/>
  <c r="T146" i="2"/>
  <c r="T180" i="2"/>
  <c r="K185" i="2"/>
  <c r="L194" i="2"/>
  <c r="T197" i="2"/>
  <c r="L198" i="2"/>
  <c r="L205" i="2"/>
  <c r="L226" i="2"/>
  <c r="T229" i="2"/>
  <c r="L242" i="2"/>
  <c r="L256" i="2"/>
  <c r="K3" i="2"/>
  <c r="K6" i="2"/>
  <c r="S38" i="2"/>
  <c r="T93" i="2"/>
  <c r="T113" i="2"/>
  <c r="L114" i="2"/>
  <c r="T121" i="2"/>
  <c r="S129" i="2"/>
  <c r="K167" i="2"/>
  <c r="K175" i="2"/>
  <c r="S178" i="2"/>
  <c r="K225" i="2"/>
  <c r="K233" i="2"/>
  <c r="K162" i="2"/>
  <c r="L180" i="2"/>
  <c r="S8" i="2"/>
  <c r="K9" i="2"/>
  <c r="K57" i="2"/>
  <c r="S63" i="2"/>
  <c r="T104" i="2"/>
  <c r="S128" i="2"/>
  <c r="K129" i="2"/>
  <c r="S156" i="2"/>
  <c r="T161" i="2"/>
  <c r="L162" i="2"/>
  <c r="K178" i="2"/>
  <c r="T186" i="2"/>
  <c r="L187" i="2"/>
  <c r="K199" i="2"/>
  <c r="S202" i="2"/>
  <c r="L212" i="2"/>
  <c r="T215" i="2"/>
  <c r="K244" i="2"/>
  <c r="S16" i="2"/>
  <c r="K17" i="2"/>
  <c r="S24" i="2"/>
  <c r="K25" i="2"/>
  <c r="S87" i="2"/>
  <c r="K88" i="2"/>
  <c r="S104" i="2"/>
  <c r="K113" i="2"/>
  <c r="K116" i="2"/>
  <c r="K117" i="2"/>
  <c r="L133" i="2"/>
  <c r="T166" i="2"/>
  <c r="T170" i="2"/>
  <c r="T177" i="2"/>
  <c r="S181" i="2"/>
  <c r="K186" i="2"/>
  <c r="S189" i="2"/>
  <c r="L228" i="2"/>
  <c r="L240" i="2"/>
  <c r="K7" i="2"/>
  <c r="S10" i="2"/>
  <c r="S15" i="2"/>
  <c r="S19" i="2"/>
  <c r="S32" i="2"/>
  <c r="S33" i="2"/>
  <c r="K46" i="2"/>
  <c r="K50" i="2"/>
  <c r="S53" i="2"/>
  <c r="K54" i="2"/>
  <c r="K62" i="2"/>
  <c r="L71" i="2"/>
  <c r="K90" i="2"/>
  <c r="S90" i="2"/>
  <c r="K95" i="2"/>
  <c r="K98" i="2"/>
  <c r="K102" i="2"/>
  <c r="L107" i="2"/>
  <c r="L108" i="2"/>
  <c r="L153" i="2"/>
  <c r="L154" i="2"/>
  <c r="L164" i="2"/>
  <c r="K168" i="2"/>
  <c r="S171" i="2"/>
  <c r="L177" i="2"/>
  <c r="L186" i="2"/>
  <c r="K202" i="2"/>
  <c r="S206" i="2"/>
  <c r="S210" i="2"/>
  <c r="S214" i="2"/>
  <c r="S241" i="2"/>
  <c r="S245" i="2"/>
  <c r="L257" i="2"/>
  <c r="T257" i="2"/>
  <c r="L261" i="2"/>
  <c r="T261" i="2"/>
  <c r="L265" i="2"/>
  <c r="L266" i="2"/>
  <c r="T3" i="2"/>
  <c r="T33" i="2"/>
  <c r="S44" i="2"/>
  <c r="L51" i="2"/>
  <c r="T54" i="2"/>
  <c r="T61" i="2"/>
  <c r="L69" i="2"/>
  <c r="T69" i="2"/>
  <c r="K78" i="2"/>
  <c r="L87" i="2"/>
  <c r="S110" i="2"/>
  <c r="K140" i="2"/>
  <c r="K153" i="2"/>
  <c r="K189" i="2"/>
  <c r="S192" i="2"/>
  <c r="K193" i="2"/>
  <c r="T194" i="2"/>
  <c r="T198" i="2"/>
  <c r="S209" i="2"/>
  <c r="T210" i="2"/>
  <c r="S250" i="2"/>
  <c r="K261" i="2"/>
  <c r="K265" i="2"/>
  <c r="T19" i="2"/>
  <c r="L23" i="2"/>
  <c r="T26" i="2"/>
  <c r="L28" i="2"/>
  <c r="K35" i="2"/>
  <c r="K43" i="2"/>
  <c r="L49" i="2"/>
  <c r="L54" i="2"/>
  <c r="L57" i="2"/>
  <c r="L60" i="2"/>
  <c r="S71" i="2"/>
  <c r="K72" i="2"/>
  <c r="S79" i="2"/>
  <c r="T88" i="2"/>
  <c r="L89" i="2"/>
  <c r="L102" i="2"/>
  <c r="K160" i="2"/>
  <c r="S226" i="2"/>
  <c r="K19" i="2"/>
  <c r="T39" i="2"/>
  <c r="L40" i="2"/>
  <c r="L43" i="2"/>
  <c r="S51" i="2"/>
  <c r="S52" i="2"/>
  <c r="S62" i="2"/>
  <c r="S66" i="2"/>
  <c r="K67" i="2"/>
  <c r="K68" i="2"/>
  <c r="S70" i="2"/>
  <c r="L76" i="2"/>
  <c r="S95" i="2"/>
  <c r="L105" i="2"/>
  <c r="L123" i="2"/>
  <c r="L147" i="2"/>
  <c r="T156" i="2"/>
  <c r="L192" i="2"/>
  <c r="S195" i="2"/>
  <c r="S196" i="2"/>
  <c r="K200" i="2"/>
  <c r="K204" i="2"/>
  <c r="L209" i="2"/>
  <c r="S212" i="2"/>
  <c r="S213" i="2"/>
  <c r="T217" i="2"/>
  <c r="T222" i="2"/>
  <c r="T226" i="2"/>
  <c r="L227" i="2"/>
  <c r="S234" i="2"/>
  <c r="S238" i="2"/>
  <c r="K239" i="2"/>
  <c r="T243" i="2"/>
  <c r="L244" i="2"/>
  <c r="T266" i="2"/>
  <c r="L31" i="2"/>
  <c r="K38" i="2"/>
  <c r="K42" i="2"/>
  <c r="S45" i="2"/>
  <c r="T51" i="2"/>
  <c r="T66" i="2"/>
  <c r="S78" i="2"/>
  <c r="S82" i="2"/>
  <c r="K83" i="2"/>
  <c r="S86" i="2"/>
  <c r="L92" i="2"/>
  <c r="K104" i="2"/>
  <c r="S107" i="2"/>
  <c r="K108" i="2"/>
  <c r="L113" i="2"/>
  <c r="K125" i="2"/>
  <c r="T129" i="2"/>
  <c r="L130" i="2"/>
  <c r="S153" i="2"/>
  <c r="K154" i="2"/>
  <c r="T165" i="2"/>
  <c r="T169" i="2"/>
  <c r="S177" i="2"/>
  <c r="S179" i="2"/>
  <c r="S186" i="2"/>
  <c r="T195" i="2"/>
  <c r="L204" i="2"/>
  <c r="L213" i="2"/>
  <c r="T216" i="2"/>
  <c r="K217" i="2"/>
  <c r="K221" i="2"/>
  <c r="L222" i="2"/>
  <c r="K226" i="2"/>
  <c r="S229" i="2"/>
  <c r="K230" i="2"/>
  <c r="S233" i="2"/>
  <c r="L235" i="2"/>
  <c r="T238" i="2"/>
  <c r="L239" i="2"/>
  <c r="K258" i="2"/>
  <c r="K262" i="2"/>
  <c r="S265" i="2"/>
  <c r="K5" i="2"/>
  <c r="S25" i="2"/>
  <c r="X34" i="2"/>
  <c r="L35" i="2"/>
  <c r="L3" i="2"/>
  <c r="L19" i="2"/>
  <c r="K29" i="2"/>
  <c r="T38" i="2"/>
  <c r="T52" i="2"/>
  <c r="L61" i="2"/>
  <c r="L63" i="2"/>
  <c r="L77" i="2"/>
  <c r="L79" i="2"/>
  <c r="L93" i="2"/>
  <c r="L95" i="2"/>
  <c r="T103" i="2"/>
  <c r="S118" i="2"/>
  <c r="S130" i="2"/>
  <c r="L170" i="2"/>
  <c r="T173" i="2"/>
  <c r="L174" i="2"/>
  <c r="T196" i="2"/>
  <c r="L214" i="2"/>
  <c r="T250" i="2"/>
  <c r="T5" i="2"/>
  <c r="L6" i="2"/>
  <c r="S11" i="2"/>
  <c r="L13" i="2"/>
  <c r="T16" i="2"/>
  <c r="T17" i="2"/>
  <c r="L22" i="2"/>
  <c r="S27" i="2"/>
  <c r="L29" i="2"/>
  <c r="T31" i="2"/>
  <c r="K34" i="2"/>
  <c r="S35" i="2"/>
  <c r="S36" i="2"/>
  <c r="L38" i="2"/>
  <c r="K41" i="2"/>
  <c r="T45" i="2"/>
  <c r="L47" i="2"/>
  <c r="K48" i="2"/>
  <c r="S50" i="2"/>
  <c r="K51" i="2"/>
  <c r="K59" i="2"/>
  <c r="S59" i="2"/>
  <c r="K60" i="2"/>
  <c r="T65" i="2"/>
  <c r="L66" i="2"/>
  <c r="S69" i="2"/>
  <c r="K75" i="2"/>
  <c r="S75" i="2"/>
  <c r="T81" i="2"/>
  <c r="L82" i="2"/>
  <c r="S85" i="2"/>
  <c r="K91" i="2"/>
  <c r="S91" i="2"/>
  <c r="T97" i="2"/>
  <c r="L98" i="2"/>
  <c r="T101" i="2"/>
  <c r="T102" i="2"/>
  <c r="T107" i="2"/>
  <c r="T108" i="2"/>
  <c r="T111" i="2"/>
  <c r="L112" i="2"/>
  <c r="S116" i="2"/>
  <c r="T117" i="2"/>
  <c r="T118" i="2"/>
  <c r="T135" i="2"/>
  <c r="L140" i="2"/>
  <c r="K158" i="2"/>
  <c r="S172" i="2"/>
  <c r="S190" i="2"/>
  <c r="K196" i="2"/>
  <c r="K253" i="2"/>
  <c r="K255" i="2"/>
  <c r="S258" i="2"/>
  <c r="K259" i="2"/>
  <c r="S262" i="2"/>
  <c r="K263" i="2"/>
  <c r="K11" i="2"/>
  <c r="S14" i="2"/>
  <c r="K16" i="2"/>
  <c r="K27" i="2"/>
  <c r="K31" i="2"/>
  <c r="T35" i="2"/>
  <c r="T36" i="2"/>
  <c r="L41" i="2"/>
  <c r="S46" i="2"/>
  <c r="L48" i="2"/>
  <c r="T50" i="2"/>
  <c r="K65" i="2"/>
  <c r="T71" i="2"/>
  <c r="T74" i="2"/>
  <c r="K81" i="2"/>
  <c r="S84" i="2"/>
  <c r="T87" i="2"/>
  <c r="T90" i="2"/>
  <c r="K97" i="2"/>
  <c r="K101" i="2"/>
  <c r="S115" i="2"/>
  <c r="T123" i="2"/>
  <c r="T124" i="2"/>
  <c r="S127" i="2"/>
  <c r="S134" i="2"/>
  <c r="K138" i="2"/>
  <c r="S141" i="2"/>
  <c r="S142" i="2"/>
  <c r="K146" i="2"/>
  <c r="S150" i="2"/>
  <c r="T155" i="2"/>
  <c r="T157" i="2"/>
  <c r="L158" i="2"/>
  <c r="T160" i="2"/>
  <c r="K161" i="2"/>
  <c r="T162" i="2"/>
  <c r="L163" i="2"/>
  <c r="L165" i="2"/>
  <c r="L168" i="2"/>
  <c r="T171" i="2"/>
  <c r="T172" i="2"/>
  <c r="S184" i="2"/>
  <c r="S185" i="2"/>
  <c r="S188" i="2"/>
  <c r="T189" i="2"/>
  <c r="T190" i="2"/>
  <c r="L196" i="2"/>
  <c r="T202" i="2"/>
  <c r="L203" i="2"/>
  <c r="K216" i="2"/>
  <c r="T233" i="2"/>
  <c r="K238" i="2"/>
  <c r="S242" i="2"/>
  <c r="K243" i="2"/>
  <c r="L246" i="2"/>
  <c r="L249" i="2"/>
  <c r="T249" i="2"/>
  <c r="T258" i="2"/>
  <c r="L259" i="2"/>
  <c r="T262" i="2"/>
  <c r="S266" i="2"/>
  <c r="G34" i="2"/>
  <c r="L81" i="2"/>
  <c r="T96" i="2"/>
  <c r="L97" i="2"/>
  <c r="K124" i="2"/>
  <c r="T138" i="2"/>
  <c r="T142" i="2"/>
  <c r="L146" i="2"/>
  <c r="T150" i="2"/>
  <c r="K172" i="2"/>
  <c r="L182" i="2"/>
  <c r="T185" i="2"/>
  <c r="S194" i="2"/>
  <c r="S2" i="2"/>
  <c r="S7" i="2"/>
  <c r="T8" i="2"/>
  <c r="L9" i="2"/>
  <c r="S13" i="2"/>
  <c r="K14" i="2"/>
  <c r="L15" i="2"/>
  <c r="S18" i="2"/>
  <c r="S23" i="2"/>
  <c r="T24" i="2"/>
  <c r="K30" i="2"/>
  <c r="S43" i="2"/>
  <c r="L50" i="2"/>
  <c r="T53" i="2"/>
  <c r="L55" i="2"/>
  <c r="S61" i="2"/>
  <c r="S67" i="2"/>
  <c r="T73" i="2"/>
  <c r="L74" i="2"/>
  <c r="S77" i="2"/>
  <c r="K80" i="2"/>
  <c r="S83" i="2"/>
  <c r="T89" i="2"/>
  <c r="L90" i="2"/>
  <c r="S93" i="2"/>
  <c r="K96" i="2"/>
  <c r="T105" i="2"/>
  <c r="L106" i="2"/>
  <c r="S109" i="2"/>
  <c r="K115" i="2"/>
  <c r="T120" i="2"/>
  <c r="K121" i="2"/>
  <c r="L128" i="2"/>
  <c r="S140" i="2"/>
  <c r="K141" i="2"/>
  <c r="K149" i="2"/>
  <c r="S152" i="2"/>
  <c r="T153" i="2"/>
  <c r="L175" i="2"/>
  <c r="K188" i="2"/>
  <c r="T193" i="2"/>
  <c r="L202" i="2"/>
  <c r="S205" i="2"/>
  <c r="S211" i="2"/>
  <c r="T212" i="2"/>
  <c r="T220" i="2"/>
  <c r="L225" i="2"/>
  <c r="L229" i="2"/>
  <c r="T232" i="2"/>
  <c r="K237" i="2"/>
  <c r="S240" i="2"/>
  <c r="T247" i="2"/>
  <c r="L248" i="2"/>
  <c r="L252" i="2"/>
  <c r="L258" i="2"/>
  <c r="L262" i="2"/>
  <c r="T265" i="2"/>
  <c r="K266" i="2"/>
  <c r="T2" i="2"/>
  <c r="L4" i="2"/>
  <c r="T4" i="2"/>
  <c r="T7" i="2"/>
  <c r="K8" i="2"/>
  <c r="L14" i="2"/>
  <c r="L16" i="2"/>
  <c r="T18" i="2"/>
  <c r="L20" i="2"/>
  <c r="T20" i="2"/>
  <c r="L21" i="2"/>
  <c r="T23" i="2"/>
  <c r="K24" i="2"/>
  <c r="L30" i="2"/>
  <c r="V34" i="2"/>
  <c r="T34" i="2" s="1"/>
  <c r="S37" i="2"/>
  <c r="K40" i="2"/>
  <c r="S42" i="2"/>
  <c r="T43" i="2"/>
  <c r="T44" i="2"/>
  <c r="K49" i="2"/>
  <c r="K58" i="2"/>
  <c r="L68" i="2"/>
  <c r="K73" i="2"/>
  <c r="S76" i="2"/>
  <c r="L84" i="2"/>
  <c r="K89" i="2"/>
  <c r="S92" i="2"/>
  <c r="T99" i="2"/>
  <c r="L100" i="2"/>
  <c r="S103" i="2"/>
  <c r="K105" i="2"/>
  <c r="K106" i="2"/>
  <c r="T109" i="2"/>
  <c r="L110" i="2"/>
  <c r="T114" i="2"/>
  <c r="L115" i="2"/>
  <c r="K126" i="2"/>
  <c r="T126" i="2"/>
  <c r="L132" i="2"/>
  <c r="L138" i="2"/>
  <c r="L145" i="2"/>
  <c r="T148" i="2"/>
  <c r="L149" i="2"/>
  <c r="L156" i="2"/>
  <c r="K159" i="2"/>
  <c r="S165" i="2"/>
  <c r="S169" i="2"/>
  <c r="S170" i="2"/>
  <c r="L185" i="2"/>
  <c r="L188" i="2"/>
  <c r="K192" i="2"/>
  <c r="L193" i="2"/>
  <c r="K194" i="2"/>
  <c r="K198" i="2"/>
  <c r="K201" i="2"/>
  <c r="S204" i="2"/>
  <c r="T205" i="2"/>
  <c r="T206" i="2"/>
  <c r="K214" i="2"/>
  <c r="S218" i="2"/>
  <c r="K224" i="2"/>
  <c r="K232" i="2"/>
  <c r="L234" i="2"/>
  <c r="L237" i="2"/>
  <c r="L241" i="2"/>
  <c r="S246" i="2"/>
  <c r="S260" i="2"/>
  <c r="S264" i="2"/>
  <c r="S6" i="2"/>
  <c r="S9" i="2"/>
  <c r="K10" i="2"/>
  <c r="S12" i="2"/>
  <c r="K13" i="2"/>
  <c r="S22" i="2"/>
  <c r="K26" i="2"/>
  <c r="S28" i="2"/>
  <c r="S29" i="2"/>
  <c r="K33" i="2"/>
  <c r="K36" i="2"/>
  <c r="S41" i="2"/>
  <c r="K45" i="2"/>
  <c r="S47" i="2"/>
  <c r="S48" i="2"/>
  <c r="K52" i="2"/>
  <c r="S57" i="2"/>
  <c r="T59" i="2"/>
  <c r="T68" i="2"/>
  <c r="K69" i="2"/>
  <c r="T70" i="2"/>
  <c r="L72" i="2"/>
  <c r="T75" i="2"/>
  <c r="T84" i="2"/>
  <c r="K85" i="2"/>
  <c r="T86" i="2"/>
  <c r="L88" i="2"/>
  <c r="T91" i="2"/>
  <c r="T100" i="2"/>
  <c r="L101" i="2"/>
  <c r="K103" i="2"/>
  <c r="T106" i="2"/>
  <c r="K107" i="2"/>
  <c r="L109" i="2"/>
  <c r="K110" i="2"/>
  <c r="T116" i="2"/>
  <c r="K131" i="2"/>
  <c r="L141" i="2"/>
  <c r="K145" i="2"/>
  <c r="S149" i="2"/>
  <c r="S160" i="2"/>
  <c r="S230" i="2"/>
  <c r="K250" i="2"/>
  <c r="T6" i="2"/>
  <c r="T9" i="2"/>
  <c r="L10" i="2"/>
  <c r="K12" i="2"/>
  <c r="T13" i="2"/>
  <c r="L17" i="2"/>
  <c r="T22" i="2"/>
  <c r="L26" i="2"/>
  <c r="K28" i="2"/>
  <c r="T29" i="2"/>
  <c r="L33" i="2"/>
  <c r="L36" i="2"/>
  <c r="T41" i="2"/>
  <c r="L45" i="2"/>
  <c r="K47" i="2"/>
  <c r="T48" i="2"/>
  <c r="L52" i="2"/>
  <c r="T57" i="2"/>
  <c r="L59" i="2"/>
  <c r="S65" i="2"/>
  <c r="S68" i="2"/>
  <c r="L70" i="2"/>
  <c r="L75" i="2"/>
  <c r="S80" i="2"/>
  <c r="S81" i="2"/>
  <c r="K84" i="2"/>
  <c r="L86" i="2"/>
  <c r="L91" i="2"/>
  <c r="S96" i="2"/>
  <c r="S97" i="2"/>
  <c r="S99" i="2"/>
  <c r="S100" i="2"/>
  <c r="T112" i="2"/>
  <c r="L116" i="2"/>
  <c r="L118" i="2"/>
  <c r="S120" i="2"/>
  <c r="S123" i="2"/>
  <c r="S124" i="2"/>
  <c r="L142" i="2"/>
  <c r="S148" i="2"/>
  <c r="L157" i="2"/>
  <c r="K2" i="2"/>
  <c r="S4" i="2"/>
  <c r="S5" i="2"/>
  <c r="K18" i="2"/>
  <c r="S20" i="2"/>
  <c r="K21" i="2"/>
  <c r="S30" i="2"/>
  <c r="S34" i="2"/>
  <c r="K37" i="2"/>
  <c r="S39" i="2"/>
  <c r="S40" i="2"/>
  <c r="K44" i="2"/>
  <c r="S49" i="2"/>
  <c r="K53" i="2"/>
  <c r="S55" i="2"/>
  <c r="S56" i="2"/>
  <c r="T60" i="2"/>
  <c r="K61" i="2"/>
  <c r="T62" i="2"/>
  <c r="L64" i="2"/>
  <c r="T67" i="2"/>
  <c r="T76" i="2"/>
  <c r="K77" i="2"/>
  <c r="T78" i="2"/>
  <c r="L80" i="2"/>
  <c r="T83" i="2"/>
  <c r="T92" i="2"/>
  <c r="K93" i="2"/>
  <c r="T94" i="2"/>
  <c r="L96" i="2"/>
  <c r="T122" i="2"/>
  <c r="L124" i="2"/>
  <c r="L129" i="2"/>
  <c r="S133" i="2"/>
  <c r="S137" i="2"/>
  <c r="S139" i="2"/>
  <c r="K143" i="2"/>
  <c r="K229" i="2"/>
  <c r="L2" i="2"/>
  <c r="K4" i="2"/>
  <c r="L5" i="2"/>
  <c r="T14" i="2"/>
  <c r="L18" i="2"/>
  <c r="K20" i="2"/>
  <c r="T21" i="2"/>
  <c r="L25" i="2"/>
  <c r="T30" i="2"/>
  <c r="L37" i="2"/>
  <c r="K39" i="2"/>
  <c r="T40" i="2"/>
  <c r="L44" i="2"/>
  <c r="T49" i="2"/>
  <c r="L53" i="2"/>
  <c r="K55" i="2"/>
  <c r="T56" i="2"/>
  <c r="S60" i="2"/>
  <c r="L62" i="2"/>
  <c r="K64" i="2"/>
  <c r="L67" i="2"/>
  <c r="S72" i="2"/>
  <c r="S73" i="2"/>
  <c r="K76" i="2"/>
  <c r="L78" i="2"/>
  <c r="L83" i="2"/>
  <c r="S88" i="2"/>
  <c r="S89" i="2"/>
  <c r="K92" i="2"/>
  <c r="L94" i="2"/>
  <c r="L99" i="2"/>
  <c r="S101" i="2"/>
  <c r="L127" i="2"/>
  <c r="T132" i="2"/>
  <c r="K133" i="2"/>
  <c r="T134" i="2"/>
  <c r="S146" i="2"/>
  <c r="K147" i="2"/>
  <c r="L126" i="2"/>
  <c r="K132" i="2"/>
  <c r="S136" i="2"/>
  <c r="K137" i="2"/>
  <c r="K139" i="2"/>
  <c r="L199" i="2"/>
  <c r="L211" i="2"/>
  <c r="L221" i="2"/>
  <c r="L223" i="2"/>
  <c r="S228" i="2"/>
  <c r="S106" i="2"/>
  <c r="T110" i="2"/>
  <c r="L111" i="2"/>
  <c r="L117" i="2"/>
  <c r="K118" i="2"/>
  <c r="K130" i="2"/>
  <c r="S132" i="2"/>
  <c r="K142" i="2"/>
  <c r="S144" i="2"/>
  <c r="S147" i="2"/>
  <c r="S157" i="2"/>
  <c r="S158" i="2"/>
  <c r="K166" i="2"/>
  <c r="K169" i="2"/>
  <c r="S173" i="2"/>
  <c r="S174" i="2"/>
  <c r="K184" i="2"/>
  <c r="S187" i="2"/>
  <c r="K191" i="2"/>
  <c r="S197" i="2"/>
  <c r="S198" i="2"/>
  <c r="S201" i="2"/>
  <c r="S203" i="2"/>
  <c r="K207" i="2"/>
  <c r="T214" i="2"/>
  <c r="S225" i="2"/>
  <c r="S227" i="2"/>
  <c r="T228" i="2"/>
  <c r="T231" i="2"/>
  <c r="L232" i="2"/>
  <c r="S237" i="2"/>
  <c r="S239" i="2"/>
  <c r="T240" i="2"/>
  <c r="S249" i="2"/>
  <c r="K251" i="2"/>
  <c r="S257" i="2"/>
  <c r="S259" i="2"/>
  <c r="T260" i="2"/>
  <c r="S261" i="2"/>
  <c r="S263" i="2"/>
  <c r="T264" i="2"/>
  <c r="T145" i="2"/>
  <c r="T147" i="2"/>
  <c r="L155" i="2"/>
  <c r="K157" i="2"/>
  <c r="T158" i="2"/>
  <c r="L166" i="2"/>
  <c r="L169" i="2"/>
  <c r="L171" i="2"/>
  <c r="K173" i="2"/>
  <c r="T174" i="2"/>
  <c r="T187" i="2"/>
  <c r="L195" i="2"/>
  <c r="K197" i="2"/>
  <c r="T201" i="2"/>
  <c r="T203" i="2"/>
  <c r="L207" i="2"/>
  <c r="L220" i="2"/>
  <c r="T225" i="2"/>
  <c r="T227" i="2"/>
  <c r="K228" i="2"/>
  <c r="T234" i="2"/>
  <c r="T237" i="2"/>
  <c r="T239" i="2"/>
  <c r="K240" i="2"/>
  <c r="S243" i="2"/>
  <c r="S244" i="2"/>
  <c r="K248" i="2"/>
  <c r="K249" i="2"/>
  <c r="L251" i="2"/>
  <c r="T256" i="2"/>
  <c r="K257" i="2"/>
  <c r="T259" i="2"/>
  <c r="K260" i="2"/>
  <c r="T263" i="2"/>
  <c r="K264" i="2"/>
  <c r="K267" i="2"/>
  <c r="S182" i="2"/>
  <c r="K190" i="2"/>
  <c r="K206" i="2"/>
  <c r="T230" i="2"/>
  <c r="L250" i="2"/>
  <c r="L267" i="2"/>
  <c r="K112" i="2"/>
  <c r="T115" i="2"/>
  <c r="L122" i="2"/>
  <c r="S125" i="2"/>
  <c r="T127" i="2"/>
  <c r="T128" i="2"/>
  <c r="T130" i="2"/>
  <c r="L131" i="2"/>
  <c r="L134" i="2"/>
  <c r="L137" i="2"/>
  <c r="L139" i="2"/>
  <c r="L143" i="2"/>
  <c r="L150" i="2"/>
  <c r="T152" i="2"/>
  <c r="L160" i="2"/>
  <c r="T163" i="2"/>
  <c r="L167" i="2"/>
  <c r="L179" i="2"/>
  <c r="K181" i="2"/>
  <c r="T182" i="2"/>
  <c r="L190" i="2"/>
  <c r="T192" i="2"/>
  <c r="L200" i="2"/>
  <c r="L206" i="2"/>
  <c r="T209" i="2"/>
  <c r="T211" i="2"/>
  <c r="K212" i="2"/>
  <c r="T218" i="2"/>
  <c r="T221" i="2"/>
  <c r="T223" i="2"/>
  <c r="L224" i="2"/>
  <c r="L230" i="2"/>
  <c r="T236" i="2"/>
  <c r="L253" i="2"/>
  <c r="L255" i="2"/>
  <c r="S166" i="2"/>
  <c r="K182" i="2"/>
  <c r="L218" i="2"/>
  <c r="T246" i="2"/>
  <c r="K120" i="2"/>
  <c r="T125" i="2"/>
  <c r="W58" i="2"/>
  <c r="S58" i="2" s="1"/>
  <c r="L120" i="2"/>
  <c r="T136" i="2"/>
  <c r="T144" i="2"/>
  <c r="L152" i="2"/>
  <c r="L159" i="2"/>
  <c r="T176" i="2"/>
  <c r="L184" i="2"/>
  <c r="L191" i="2"/>
  <c r="T208" i="2"/>
  <c r="K219" i="2"/>
  <c r="X58" i="2"/>
  <c r="T58" i="2" s="1"/>
  <c r="S111" i="2"/>
  <c r="L119" i="2"/>
  <c r="L125" i="2"/>
  <c r="K127" i="2"/>
  <c r="S131" i="2"/>
  <c r="K136" i="2"/>
  <c r="K144" i="2"/>
  <c r="K151" i="2"/>
  <c r="S168" i="2"/>
  <c r="K176" i="2"/>
  <c r="K183" i="2"/>
  <c r="S200" i="2"/>
  <c r="K208" i="2"/>
  <c r="L219" i="2"/>
  <c r="S224" i="2"/>
  <c r="L236" i="2"/>
  <c r="K111" i="2"/>
  <c r="T131" i="2"/>
  <c r="L136" i="2"/>
  <c r="L144" i="2"/>
  <c r="L151" i="2"/>
  <c r="T168" i="2"/>
  <c r="L176" i="2"/>
  <c r="L183" i="2"/>
  <c r="T200" i="2"/>
  <c r="L208" i="2"/>
  <c r="L216" i="2"/>
  <c r="S223" i="2"/>
  <c r="T224" i="2"/>
  <c r="K235" i="2"/>
  <c r="K155" i="2"/>
  <c r="K163" i="2"/>
  <c r="K171" i="2"/>
  <c r="K179" i="2"/>
  <c r="K187" i="2"/>
  <c r="K195" i="2"/>
  <c r="K203" i="2"/>
  <c r="K211" i="2"/>
  <c r="S215" i="2"/>
  <c r="S216" i="2"/>
  <c r="K227" i="2"/>
  <c r="S231" i="2"/>
  <c r="S232" i="2"/>
  <c r="S247" i="2"/>
  <c r="S248" i="2"/>
  <c r="S119" i="2"/>
  <c r="S135" i="2"/>
  <c r="S143" i="2"/>
  <c r="S151" i="2"/>
  <c r="S159" i="2"/>
  <c r="S167" i="2"/>
  <c r="S175" i="2"/>
  <c r="S183" i="2"/>
  <c r="S191" i="2"/>
  <c r="S199" i="2"/>
  <c r="S207" i="2"/>
  <c r="K215" i="2"/>
  <c r="S219" i="2"/>
  <c r="S220" i="2"/>
  <c r="K231" i="2"/>
  <c r="S235" i="2"/>
  <c r="S236" i="2"/>
  <c r="K247" i="2"/>
  <c r="S251" i="2"/>
  <c r="S252" i="2"/>
  <c r="K119" i="2"/>
  <c r="K135" i="2"/>
  <c r="T143" i="2"/>
  <c r="T151" i="2"/>
  <c r="T159" i="2"/>
  <c r="T167" i="2"/>
  <c r="T175" i="2"/>
  <c r="T183" i="2"/>
  <c r="T191" i="2"/>
  <c r="T199" i="2"/>
  <c r="T207" i="2"/>
  <c r="L215" i="2"/>
  <c r="T219" i="2"/>
  <c r="K220" i="2"/>
  <c r="L231" i="2"/>
  <c r="T235" i="2"/>
  <c r="K236" i="2"/>
  <c r="L247" i="2"/>
  <c r="T251" i="2"/>
  <c r="K252" i="2"/>
  <c r="L263" i="2"/>
  <c r="T267" i="2"/>
  <c r="S255" i="2"/>
  <c r="S256" i="2"/>
</calcChain>
</file>

<file path=xl/sharedStrings.xml><?xml version="1.0" encoding="utf-8"?>
<sst xmlns="http://schemas.openxmlformats.org/spreadsheetml/2006/main" count="1044" uniqueCount="74">
  <si>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</si>
  <si>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</si>
  <si>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</si>
  <si>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</si>
  <si>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</si>
  <si>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</si>
  <si>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</si>
  <si>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</si>
  <si>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</si>
  <si>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</si>
  <si>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</si>
  <si>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</si>
  <si>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</si>
  <si>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</si>
  <si>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</si>
  <si>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</si>
  <si>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</si>
  <si>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</si>
  <si>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</si>
  <si>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</si>
  <si>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</si>
  <si>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</si>
  <si>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</si>
  <si>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</si>
  <si>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qf_ppp</t>
  </si>
  <si>
    <t>in bn</t>
  </si>
  <si>
    <t>AUS</t>
  </si>
  <si>
    <t>Q1.2020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</si>
  <si>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</si>
  <si>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</si>
  <si>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</si>
  <si>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</si>
  <si>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</si>
  <si>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</si>
  <si>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</si>
  <si>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</si>
  <si>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</si>
  <si>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</si>
  <si>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</si>
  <si>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</si>
  <si>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</si>
  <si>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</si>
  <si>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</si>
  <si>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</si>
  <si>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</si>
  <si>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</si>
  <si>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</si>
  <si>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</si>
  <si>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</si>
  <si>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</si>
  <si>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</si>
  <si>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</si>
  <si>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</si>
  <si>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</si>
  <si>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</si>
  <si>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</si>
  <si>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</si>
  <si>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</si>
  <si>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</si>
  <si>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</si>
  <si>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</si>
  <si>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</si>
  <si>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</si>
  <si>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</si>
  <si>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</si>
  <si>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</si>
  <si>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</si>
  <si>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</si>
  <si>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</si>
  <si>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</si>
  <si>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qf_per</t>
  </si>
  <si>
    <t>Q3.2021</t>
  </si>
  <si>
    <t>real_gdp_per</t>
  </si>
  <si>
    <t>real_gdp_ppp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</si>
</sst>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8"/>
      <color rgb="FF666666"/>
      <name val="Arial"/>
      <family val="2"/>
    </font>
    <font>
      <sz val="8"/>
      <name val="Aptos Narrow"/>
      <family val="2"/>
      <scheme val="minor"/>
    </font>
    <font>
      <sz val="8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2" fillId="0" borderId="0" xfId="1" applyFont="1"/>
    <xf numFmtId="0" fontId="5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5" fillId="0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167" fontId="7" fillId="0" borderId="0" xfId="2" applyNumberFormat="1" applyFont="1" applyAlignment="1">
      <alignment horizontal="center" vertical="center"/>
    </xf>
    <xf numFmtId="0" fontId="1" fillId="0" borderId="0" xfId="1"/>
    <xf numFmtId="168" fontId="5" fillId="0" borderId="1" xfId="3" applyNumberFormat="1" applyFont="1" applyFill="1" applyBorder="1" applyAlignment="1"/>
    <xf numFmtId="0" fontId="4" fillId="2" borderId="1" xfId="2" applyFill="1" applyBorder="1" applyAlignment="1">
      <alignment horizontal="left" indent="1"/>
    </xf>
    <xf numFmtId="169" fontId="5" fillId="0" borderId="1" xfId="3" applyNumberFormat="1" applyFont="1" applyFill="1" applyBorder="1"/>
    <xf numFmtId="0" fontId="4" fillId="0" borderId="1" xfId="2" applyBorder="1" applyAlignment="1">
      <alignment horizontal="left" indent="1"/>
    </xf>
    <xf numFmtId="167" fontId="4" fillId="0" borderId="0" xfId="2" applyNumberFormat="1" applyAlignment="1">
      <alignment horizontal="center"/>
    </xf>
    <xf numFmtId="0" fontId="8" fillId="3" borderId="0" xfId="2" applyFont="1" applyFill="1" applyAlignment="1">
      <alignment horizontal="right" vertical="top"/>
    </xf>
    <xf numFmtId="2" fontId="1" fillId="0" borderId="0" xfId="1" applyNumberFormat="1"/>
    <xf numFmtId="0" fontId="4" fillId="0" borderId="0" xfId="2"/>
    <xf numFmtId="170" fontId="5" fillId="0" borderId="0" xfId="3" applyNumberFormat="1" applyFont="1" applyFill="1" applyAlignment="1"/>
    <xf numFmtId="0" fontId="5" fillId="2" borderId="1" xfId="1" applyFont="1" applyFill="1" applyBorder="1" applyAlignment="1">
      <alignment horizontal="left" indent="1"/>
    </xf>
    <xf numFmtId="168" fontId="5" fillId="0" borderId="1" xfId="4" applyNumberFormat="1" applyFont="1" applyFill="1" applyBorder="1" applyAlignment="1"/>
    <xf numFmtId="0" fontId="5" fillId="0" borderId="1" xfId="1" applyFont="1" applyBorder="1" applyAlignment="1">
      <alignment horizontal="left" indent="1"/>
    </xf>
    <xf numFmtId="0" fontId="5" fillId="0" borderId="1" xfId="3" applyNumberFormat="1" applyFont="1" applyFill="1" applyBorder="1" applyAlignment="1"/>
    <xf numFmtId="166" fontId="6" fillId="0" borderId="2" xfId="3" applyNumberFormat="1" applyFont="1" applyFill="1" applyBorder="1" applyAlignment="1"/>
    <xf numFmtId="170" fontId="5" fillId="0" borderId="1" xfId="3" applyNumberFormat="1" applyFont="1" applyFill="1" applyBorder="1" applyAlignment="1"/>
    <xf numFmtId="170" fontId="6" fillId="0" borderId="1" xfId="3" applyNumberFormat="1" applyFont="1" applyFill="1" applyBorder="1" applyAlignment="1"/>
    <xf numFmtId="0" fontId="5" fillId="0" borderId="1" xfId="2" applyFont="1" applyBorder="1" applyAlignment="1">
      <alignment horizontal="left" indent="1"/>
    </xf>
    <xf numFmtId="171" fontId="6" fillId="0" borderId="1" xfId="3" applyNumberFormat="1" applyFont="1" applyFill="1" applyBorder="1" applyAlignment="1">
      <alignment horizontal="right"/>
    </xf>
    <xf numFmtId="171" fontId="5" fillId="0" borderId="0" xfId="3" applyNumberFormat="1" applyFont="1" applyFill="1" applyAlignment="1"/>
    <xf numFmtId="171" fontId="6" fillId="0" borderId="1" xfId="3" applyNumberFormat="1" applyFont="1" applyFill="1" applyBorder="1" applyAlignment="1"/>
    <xf numFmtId="168" fontId="5" fillId="0" borderId="0" xfId="3" applyNumberFormat="1" applyFont="1" applyFill="1" applyAlignment="1"/>
    <xf numFmtId="0" fontId="3" fillId="0" borderId="1" xfId="1" applyFont="1" applyBorder="1" applyAlignment="1">
      <alignment horizontal="center" vertical="center" wrapText="1"/>
    </xf>
    <xf numFmtId="0" fontId="5" fillId="0" borderId="0" xfId="2" applyFont="1"/>
    <xf numFmtId="169" fontId="5" fillId="0" borderId="0" xfId="3" applyNumberFormat="1" applyFont="1" applyFill="1"/>
    <xf numFmtId="171" fontId="5" fillId="0" borderId="1" xfId="3" applyNumberFormat="1" applyFont="1" applyFill="1" applyBorder="1" applyAlignment="1"/>
    <xf numFmtId="170" fontId="5" fillId="0" borderId="2" xfId="3" applyNumberFormat="1" applyFont="1" applyFill="1" applyBorder="1" applyAlignment="1"/>
    <xf numFmtId="0" fontId="2" fillId="0" borderId="1" xfId="1" applyFont="1" applyBorder="1" applyAlignment="1">
      <alignment wrapText="1"/>
    </xf>
    <xf numFmtId="0" fontId="2" fillId="0" borderId="1" xfId="1" applyFont="1" applyBorder="1"/>
    <xf numFmtId="166" fontId="5" fillId="0" borderId="1" xfId="3" applyNumberFormat="1" applyFont="1" applyFill="1" applyBorder="1" applyAlignment="1">
      <alignment horizontal="right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171" fontId="5" fillId="0" borderId="1" xfId="3" applyNumberFormat="1" applyFont="1" applyFill="1" applyBorder="1" applyAlignment="1">
      <alignment horizontal="right"/>
    </xf>
  </cellXfs>
  <cellStyles count="5">
    <cellStyle name="Komma 2" xfId="3" xr:uid="{8E8D5C87-6984-4FD0-9F4B-13504B5A0994}"/>
    <cellStyle name="Komma 2 2" xfId="4" xr:uid="{237A6B60-6141-4575-9086-D2E7D578468C}"/>
    <cellStyle name="Standard" xfId="0" builtinId="0"/>
    <cellStyle name="Standard 2" xfId="1" xr:uid="{30928D40-2D63-43F7-8C45-F7942882807E}"/>
    <cellStyle name="Standard 3" xfId="2" xr:uid="{2BABC329-20E4-49EB-AC42-9CAC807C7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B735-8C4F-49E5-A8F0-679C6176D22D}">
  <dimension ref="A1:AC267"/>
  <sheetViews>
    <sheetView zoomScale="124" zoomScaleNormal="100" workbookViewId="0">
      <pane ySplit="1" topLeftCell="A182" activePane="bottomLeft" state="frozen"/>
      <selection pane="bottomLeft" sqref="A1:AB1048576"/>
    </sheetView>
  </sheetViews>
  <sheetFormatPr baseColWidth="10" defaultRowHeight="14.5" x14ac:dyDescent="0.35"/>
  <cols>
    <col min="1" max="1" width="15.26953125" style="11" customWidth="1"/>
    <col min="2" max="2" width="10.90625" style="11"/>
    <col min="3" max="3" width="16" style="11" customWidth="1"/>
    <col min="4" max="4" width="14.6328125" style="11" customWidth="1"/>
    <col min="5" max="5" width="12" style="11" customWidth="1"/>
    <col min="6" max="6" width="11.6328125" style="11" customWidth="1"/>
    <col min="7" max="7" width="13.6328125" style="11" bestFit="1" customWidth="1"/>
    <col min="8" max="9" width="11" style="11" bestFit="1" customWidth="1"/>
    <col min="10" max="10" width="11.26953125" style="11" customWidth="1"/>
    <col min="11" max="14" width="10.90625" style="11"/>
    <col min="15" max="15" width="11.6328125" style="11" customWidth="1"/>
    <col min="16" max="18" width="14.1796875" style="11" customWidth="1"/>
    <col min="19" max="26" width="10.90625" style="11"/>
    <col min="27" max="27" width="39.6328125" style="11" customWidth="1"/>
    <col min="28" max="28" width="30.1796875" style="11" customWidth="1"/>
    <col min="29" max="29" width="32.6328125" style="11" customWidth="1"/>
    <col min="30" max="16384" width="10.90625" style="11"/>
  </cols>
  <sheetData>
    <row r="1" spans="1:28" s="5" customFormat="1" ht="61.5" customHeight="1" x14ac:dyDescent="0.35">
      <c r="A1" s="1" t="s">
        <v>0</v>
      </c>
      <c r="B1" s="1" t="s">
        <v>1</v>
      </c>
      <c r="C1" s="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70</v>
      </c>
      <c r="Z1" s="4" t="s">
        <v>24</v>
      </c>
      <c r="AA1" s="38" t="s">
        <v>25</v>
      </c>
      <c r="AB1" s="39" t="s">
        <v>25</v>
      </c>
    </row>
    <row r="2" spans="1:28" x14ac:dyDescent="0.35">
      <c r="A2" s="6" t="s">
        <v>26</v>
      </c>
      <c r="B2" s="6" t="s">
        <v>27</v>
      </c>
      <c r="C2" s="7">
        <f>D2+E2</f>
        <v>110.0051</v>
      </c>
      <c r="D2" s="8">
        <v>2.1168</v>
      </c>
      <c r="E2" s="8">
        <v>107.8883</v>
      </c>
      <c r="F2" s="8">
        <v>0</v>
      </c>
      <c r="G2" s="9">
        <f>H2+I2</f>
        <v>24.0029</v>
      </c>
      <c r="H2" s="8">
        <v>10.3255</v>
      </c>
      <c r="I2" s="8">
        <v>13.6774</v>
      </c>
      <c r="J2" s="8">
        <v>0</v>
      </c>
      <c r="K2" s="9">
        <f>M2+O2</f>
        <v>7.3593163001337505</v>
      </c>
      <c r="L2" s="9">
        <f>N2+P2</f>
        <v>8.9689107490462359</v>
      </c>
      <c r="M2" s="8">
        <f t="shared" ref="M2:M65" si="0">($D2/$AB2)*100</f>
        <v>0.14161344105067059</v>
      </c>
      <c r="N2" s="8">
        <f t="shared" ref="N2:N65" si="1">($D2/$AA2)*100</f>
        <v>0.1725864552969005</v>
      </c>
      <c r="O2" s="8">
        <f t="shared" ref="O2:O65" si="2">($E2/$AB2)*100</f>
        <v>7.2177028590830803</v>
      </c>
      <c r="P2" s="8">
        <f t="shared" ref="P2:P65" si="3">($E2/$AA2)*100</f>
        <v>8.7963242937493362</v>
      </c>
      <c r="Q2" s="8">
        <f t="shared" ref="Q2:Q65" si="4">($F2/$AB2)*100</f>
        <v>0</v>
      </c>
      <c r="R2" s="8">
        <f t="shared" ref="R2:R65" si="5">($F2/$AA2)*100</f>
        <v>0</v>
      </c>
      <c r="S2" s="9">
        <f>U2+W2</f>
        <v>1.6057885790793376</v>
      </c>
      <c r="T2" s="9">
        <f>V2+X2</f>
        <v>1.9569989738501388</v>
      </c>
      <c r="U2" s="8">
        <f t="shared" ref="U2:U65" si="6">($H2/$AB2)*100</f>
        <v>0.690773613741827</v>
      </c>
      <c r="V2" s="8">
        <f t="shared" ref="V2:V65" si="7">($H2/AA2)*100</f>
        <v>0.84185631338253319</v>
      </c>
      <c r="W2" s="8">
        <f t="shared" ref="W2:W65" si="8">($I2/$AB2)*100</f>
        <v>0.91501496533751059</v>
      </c>
      <c r="X2" s="8">
        <f t="shared" ref="X2:X65" si="9">($I2/$AA2)*100</f>
        <v>1.1151426604676056</v>
      </c>
      <c r="Y2" s="8">
        <f t="shared" ref="Y2:Y65" si="10">($J2/$AB2)*100</f>
        <v>0</v>
      </c>
      <c r="Z2" s="8">
        <f t="shared" ref="Z2:Z65" si="11">($J2/$AA2)*100</f>
        <v>0</v>
      </c>
      <c r="AA2" s="10">
        <v>1226.51571721458</v>
      </c>
      <c r="AB2" s="11">
        <v>1494.77336635199</v>
      </c>
    </row>
    <row r="3" spans="1:28" x14ac:dyDescent="0.35">
      <c r="A3" s="6" t="s">
        <v>28</v>
      </c>
      <c r="B3" s="6" t="s">
        <v>27</v>
      </c>
      <c r="C3" s="7">
        <f t="shared" ref="C3:C66" si="12">D3+E3</f>
        <v>81</v>
      </c>
      <c r="D3" s="8">
        <v>2.4</v>
      </c>
      <c r="E3" s="8">
        <v>78.599999999999994</v>
      </c>
      <c r="F3" s="8">
        <v>63.75</v>
      </c>
      <c r="G3" s="9">
        <f t="shared" ref="G3:G66" si="13">H3+I3</f>
        <v>51.7</v>
      </c>
      <c r="H3" s="8">
        <v>3.7</v>
      </c>
      <c r="I3" s="8">
        <v>48</v>
      </c>
      <c r="J3" s="8">
        <v>0</v>
      </c>
      <c r="K3" s="9">
        <f t="shared" ref="K3:L66" si="14">M3+O3</f>
        <v>4.7742400680565593</v>
      </c>
      <c r="L3" s="9">
        <f t="shared" si="14"/>
        <v>4.6997712099071647</v>
      </c>
      <c r="M3" s="8">
        <f t="shared" si="0"/>
        <v>0.14145896497945359</v>
      </c>
      <c r="N3" s="8">
        <f t="shared" si="1"/>
        <v>0.13925248029354564</v>
      </c>
      <c r="O3" s="8">
        <f t="shared" si="2"/>
        <v>4.6327811030771056</v>
      </c>
      <c r="P3" s="8">
        <f t="shared" si="3"/>
        <v>4.5605187296136194</v>
      </c>
      <c r="Q3" s="8">
        <f t="shared" si="4"/>
        <v>3.7575037572667362</v>
      </c>
      <c r="R3" s="8">
        <f t="shared" si="5"/>
        <v>3.6988940077973065</v>
      </c>
      <c r="S3" s="9">
        <f t="shared" ref="S3:T66" si="15">U3+W3</f>
        <v>3.0472618705990637</v>
      </c>
      <c r="T3" s="9">
        <f t="shared" si="15"/>
        <v>2.999730512990129</v>
      </c>
      <c r="U3" s="8">
        <f t="shared" si="6"/>
        <v>0.21808257100999098</v>
      </c>
      <c r="V3" s="8">
        <f t="shared" si="7"/>
        <v>0.21468090711921622</v>
      </c>
      <c r="W3" s="8">
        <f t="shared" si="8"/>
        <v>2.8291792995890725</v>
      </c>
      <c r="X3" s="8">
        <f t="shared" si="9"/>
        <v>2.7850496058709129</v>
      </c>
      <c r="Y3" s="8">
        <f t="shared" si="10"/>
        <v>0</v>
      </c>
      <c r="Z3" s="8">
        <f t="shared" si="11"/>
        <v>0</v>
      </c>
      <c r="AA3" s="10">
        <v>1723.48815255626</v>
      </c>
      <c r="AB3" s="11">
        <v>1696.60508992738</v>
      </c>
    </row>
    <row r="4" spans="1:28" x14ac:dyDescent="0.35">
      <c r="A4" s="6" t="s">
        <v>29</v>
      </c>
      <c r="B4" s="6" t="s">
        <v>27</v>
      </c>
      <c r="C4" s="7">
        <f t="shared" si="12"/>
        <v>16.5</v>
      </c>
      <c r="D4" s="12">
        <v>5.5</v>
      </c>
      <c r="E4" s="12">
        <v>11</v>
      </c>
      <c r="F4" s="12">
        <v>48.5</v>
      </c>
      <c r="G4" s="9">
        <f t="shared" si="13"/>
        <v>348</v>
      </c>
      <c r="H4" s="12">
        <v>0</v>
      </c>
      <c r="I4" s="12">
        <v>348</v>
      </c>
      <c r="J4" s="8">
        <v>0</v>
      </c>
      <c r="K4" s="9">
        <f t="shared" si="14"/>
        <v>0.630538110393977</v>
      </c>
      <c r="L4" s="9">
        <f t="shared" si="14"/>
        <v>0.56757783839276432</v>
      </c>
      <c r="M4" s="8">
        <f t="shared" si="0"/>
        <v>0.21017937013132568</v>
      </c>
      <c r="N4" s="8">
        <f t="shared" si="1"/>
        <v>0.18919261279758812</v>
      </c>
      <c r="O4" s="8">
        <f t="shared" si="2"/>
        <v>0.42035874026265135</v>
      </c>
      <c r="P4" s="8">
        <f t="shared" si="3"/>
        <v>0.37838522559517623</v>
      </c>
      <c r="Q4" s="8">
        <f t="shared" si="4"/>
        <v>1.8533999002489625</v>
      </c>
      <c r="R4" s="8">
        <f t="shared" si="5"/>
        <v>1.6683348583060043</v>
      </c>
      <c r="S4" s="9">
        <f t="shared" si="15"/>
        <v>13.298621964672968</v>
      </c>
      <c r="T4" s="9">
        <f t="shared" si="15"/>
        <v>11.970732591556484</v>
      </c>
      <c r="U4" s="8">
        <f t="shared" si="6"/>
        <v>0</v>
      </c>
      <c r="V4" s="8">
        <f t="shared" si="7"/>
        <v>0</v>
      </c>
      <c r="W4" s="8">
        <f t="shared" si="8"/>
        <v>13.298621964672968</v>
      </c>
      <c r="X4" s="8">
        <f t="shared" si="9"/>
        <v>11.970732591556484</v>
      </c>
      <c r="Y4" s="8">
        <f t="shared" si="10"/>
        <v>0</v>
      </c>
      <c r="Z4" s="8">
        <f t="shared" si="11"/>
        <v>0</v>
      </c>
      <c r="AA4" s="10">
        <v>2907.0902498102801</v>
      </c>
      <c r="AB4" s="11">
        <v>2616.8124857180101</v>
      </c>
    </row>
    <row r="5" spans="1:28" x14ac:dyDescent="0.35">
      <c r="A5" s="6" t="s">
        <v>30</v>
      </c>
      <c r="B5" s="6" t="s">
        <v>27</v>
      </c>
      <c r="C5" s="7">
        <f t="shared" si="12"/>
        <v>143</v>
      </c>
      <c r="D5" s="8">
        <v>11.2</v>
      </c>
      <c r="E5" s="8">
        <v>131.80000000000001</v>
      </c>
      <c r="F5" s="8">
        <v>0</v>
      </c>
      <c r="G5" s="9">
        <f t="shared" si="13"/>
        <v>1072</v>
      </c>
      <c r="H5" s="8">
        <v>223</v>
      </c>
      <c r="I5" s="8">
        <v>849</v>
      </c>
      <c r="J5" s="8">
        <v>0</v>
      </c>
      <c r="K5" s="9">
        <f t="shared" si="14"/>
        <v>3.9751844662002656</v>
      </c>
      <c r="L5" s="9">
        <f t="shared" si="14"/>
        <v>3.4360258824878329</v>
      </c>
      <c r="M5" s="8">
        <f t="shared" si="0"/>
        <v>0.3113431190310697</v>
      </c>
      <c r="N5" s="8">
        <f t="shared" si="1"/>
        <v>0.26911531387317289</v>
      </c>
      <c r="O5" s="8">
        <f t="shared" si="2"/>
        <v>3.6638413471691957</v>
      </c>
      <c r="P5" s="8">
        <f t="shared" si="3"/>
        <v>3.1669105686146599</v>
      </c>
      <c r="Q5" s="8">
        <f t="shared" si="4"/>
        <v>0</v>
      </c>
      <c r="R5" s="8">
        <f t="shared" si="5"/>
        <v>0</v>
      </c>
      <c r="S5" s="9">
        <f t="shared" si="15"/>
        <v>29.799984250116676</v>
      </c>
      <c r="T5" s="9">
        <f t="shared" si="15"/>
        <v>25.758180042146549</v>
      </c>
      <c r="U5" s="8">
        <f t="shared" si="6"/>
        <v>6.1990638878507633</v>
      </c>
      <c r="V5" s="8">
        <f t="shared" si="7"/>
        <v>5.3582781244390683</v>
      </c>
      <c r="W5" s="8">
        <f t="shared" si="8"/>
        <v>23.600920362265914</v>
      </c>
      <c r="X5" s="8">
        <f t="shared" si="9"/>
        <v>20.399901917707481</v>
      </c>
      <c r="Y5" s="8">
        <f t="shared" si="10"/>
        <v>0</v>
      </c>
      <c r="Z5" s="8">
        <f t="shared" si="11"/>
        <v>0</v>
      </c>
      <c r="AA5" s="10">
        <v>4161.7847155581303</v>
      </c>
      <c r="AB5" s="11">
        <v>3597.3173374942398</v>
      </c>
    </row>
    <row r="6" spans="1:28" x14ac:dyDescent="0.35">
      <c r="A6" s="6" t="s">
        <v>31</v>
      </c>
      <c r="B6" s="6" t="s">
        <v>27</v>
      </c>
      <c r="C6" s="7">
        <f t="shared" si="12"/>
        <v>22</v>
      </c>
      <c r="D6" s="8">
        <v>3.63</v>
      </c>
      <c r="E6" s="8">
        <v>18.37</v>
      </c>
      <c r="F6" s="8">
        <v>0</v>
      </c>
      <c r="G6" s="9">
        <f t="shared" si="13"/>
        <v>591</v>
      </c>
      <c r="H6" s="8">
        <v>0</v>
      </c>
      <c r="I6" s="8">
        <v>591</v>
      </c>
      <c r="J6" s="8">
        <v>0</v>
      </c>
      <c r="K6" s="9">
        <f t="shared" si="14"/>
        <v>1.1469339016069102</v>
      </c>
      <c r="L6" s="9">
        <f t="shared" si="14"/>
        <v>0.94111212635674024</v>
      </c>
      <c r="M6" s="8">
        <f t="shared" si="0"/>
        <v>0.18924409376514018</v>
      </c>
      <c r="N6" s="8">
        <f t="shared" si="1"/>
        <v>0.15528350084886214</v>
      </c>
      <c r="O6" s="8">
        <f t="shared" si="2"/>
        <v>0.95768980784176994</v>
      </c>
      <c r="P6" s="8">
        <f t="shared" si="3"/>
        <v>0.78582862550787813</v>
      </c>
      <c r="Q6" s="8">
        <f t="shared" si="4"/>
        <v>0</v>
      </c>
      <c r="R6" s="8">
        <f t="shared" si="5"/>
        <v>0</v>
      </c>
      <c r="S6" s="9">
        <f t="shared" si="15"/>
        <v>30.810815265894721</v>
      </c>
      <c r="T6" s="9">
        <f t="shared" si="15"/>
        <v>25.281693939856066</v>
      </c>
      <c r="U6" s="8">
        <f t="shared" si="6"/>
        <v>0</v>
      </c>
      <c r="V6" s="8">
        <f t="shared" si="7"/>
        <v>0</v>
      </c>
      <c r="W6" s="8">
        <f t="shared" si="8"/>
        <v>30.810815265894721</v>
      </c>
      <c r="X6" s="8">
        <f t="shared" si="9"/>
        <v>25.281693939856066</v>
      </c>
      <c r="Y6" s="8">
        <f t="shared" si="10"/>
        <v>0</v>
      </c>
      <c r="Z6" s="8">
        <f t="shared" si="11"/>
        <v>0</v>
      </c>
      <c r="AA6" s="10">
        <v>2337.6598158571201</v>
      </c>
      <c r="AB6" s="11">
        <v>1918.15761738117</v>
      </c>
    </row>
    <row r="7" spans="1:28" x14ac:dyDescent="0.35">
      <c r="A7" s="6" t="s">
        <v>32</v>
      </c>
      <c r="B7" s="6" t="s">
        <v>27</v>
      </c>
      <c r="C7" s="7">
        <f t="shared" si="12"/>
        <v>497</v>
      </c>
      <c r="D7" s="8">
        <v>12.1906</v>
      </c>
      <c r="E7" s="8">
        <v>484.80939999999998</v>
      </c>
      <c r="F7" s="8">
        <v>0</v>
      </c>
      <c r="G7" s="9">
        <f t="shared" si="13"/>
        <v>19</v>
      </c>
      <c r="H7" s="8">
        <v>0</v>
      </c>
      <c r="I7" s="8">
        <v>19</v>
      </c>
      <c r="J7" s="8">
        <v>0</v>
      </c>
      <c r="K7" s="9">
        <f t="shared" si="14"/>
        <v>10.88877715515526</v>
      </c>
      <c r="L7" s="9">
        <f t="shared" si="14"/>
        <v>9.3335923458114554</v>
      </c>
      <c r="M7" s="8">
        <f t="shared" si="0"/>
        <v>0.26708395731918655</v>
      </c>
      <c r="N7" s="8">
        <f t="shared" si="1"/>
        <v>0.22893780855301635</v>
      </c>
      <c r="O7" s="8">
        <f t="shared" si="2"/>
        <v>10.621693197836073</v>
      </c>
      <c r="P7" s="8">
        <f t="shared" si="3"/>
        <v>9.1046545372584387</v>
      </c>
      <c r="Q7" s="8">
        <f t="shared" si="4"/>
        <v>0</v>
      </c>
      <c r="R7" s="8">
        <f t="shared" si="5"/>
        <v>0</v>
      </c>
      <c r="S7" s="9">
        <f t="shared" si="15"/>
        <v>0.41627115884899385</v>
      </c>
      <c r="T7" s="9">
        <f t="shared" si="15"/>
        <v>0.35681741362257074</v>
      </c>
      <c r="U7" s="8">
        <f t="shared" si="6"/>
        <v>0</v>
      </c>
      <c r="V7" s="8">
        <f t="shared" si="7"/>
        <v>0</v>
      </c>
      <c r="W7" s="8">
        <f t="shared" si="8"/>
        <v>0.41627115884899385</v>
      </c>
      <c r="X7" s="8">
        <f t="shared" si="9"/>
        <v>0.35681741362257074</v>
      </c>
      <c r="Y7" s="8">
        <f t="shared" si="10"/>
        <v>0</v>
      </c>
      <c r="Z7" s="8">
        <f t="shared" si="11"/>
        <v>0</v>
      </c>
      <c r="AA7" s="10">
        <v>5324.8522282316499</v>
      </c>
      <c r="AB7" s="11">
        <v>4564.3325500944502</v>
      </c>
    </row>
    <row r="8" spans="1:28" x14ac:dyDescent="0.35">
      <c r="A8" s="6" t="s">
        <v>33</v>
      </c>
      <c r="B8" s="6" t="s">
        <v>27</v>
      </c>
      <c r="C8" s="7">
        <f t="shared" si="12"/>
        <v>24</v>
      </c>
      <c r="D8" s="8">
        <v>2.5</v>
      </c>
      <c r="E8" s="8">
        <v>21.5</v>
      </c>
      <c r="F8" s="8">
        <v>14</v>
      </c>
      <c r="G8" s="9">
        <f t="shared" si="13"/>
        <v>215</v>
      </c>
      <c r="H8" s="8">
        <v>101</v>
      </c>
      <c r="I8" s="8">
        <v>114</v>
      </c>
      <c r="J8" s="8">
        <v>0</v>
      </c>
      <c r="K8" s="9">
        <f t="shared" si="14"/>
        <v>1.465070020161209</v>
      </c>
      <c r="L8" s="9">
        <f t="shared" si="14"/>
        <v>1.1128940232744176</v>
      </c>
      <c r="M8" s="8">
        <f t="shared" si="0"/>
        <v>0.15261146043345927</v>
      </c>
      <c r="N8" s="8">
        <f t="shared" si="1"/>
        <v>0.11592646075775184</v>
      </c>
      <c r="O8" s="8">
        <f t="shared" si="2"/>
        <v>1.3124585597277498</v>
      </c>
      <c r="P8" s="8">
        <f t="shared" si="3"/>
        <v>0.99696756251666574</v>
      </c>
      <c r="Q8" s="8">
        <f t="shared" si="4"/>
        <v>0.85462417842737204</v>
      </c>
      <c r="R8" s="8">
        <f t="shared" si="5"/>
        <v>0.64918818024341018</v>
      </c>
      <c r="S8" s="9">
        <f t="shared" si="15"/>
        <v>13.124585597277498</v>
      </c>
      <c r="T8" s="9">
        <f t="shared" si="15"/>
        <v>9.9696756251666585</v>
      </c>
      <c r="U8" s="8">
        <f t="shared" si="6"/>
        <v>6.1655030015117545</v>
      </c>
      <c r="V8" s="8">
        <f t="shared" si="7"/>
        <v>4.6834290146131741</v>
      </c>
      <c r="W8" s="8">
        <f t="shared" si="8"/>
        <v>6.9590825957657438</v>
      </c>
      <c r="X8" s="8">
        <f t="shared" si="9"/>
        <v>5.2862466105534835</v>
      </c>
      <c r="Y8" s="8">
        <f t="shared" si="10"/>
        <v>0</v>
      </c>
      <c r="Z8" s="8">
        <f t="shared" si="11"/>
        <v>0</v>
      </c>
      <c r="AA8" s="10">
        <v>2156.5395714307001</v>
      </c>
      <c r="AB8" s="11">
        <v>1638.14696019506</v>
      </c>
    </row>
    <row r="9" spans="1:28" x14ac:dyDescent="0.35">
      <c r="A9" s="6" t="s">
        <v>34</v>
      </c>
      <c r="B9" s="6" t="s">
        <v>27</v>
      </c>
      <c r="C9" s="7">
        <f t="shared" si="12"/>
        <v>14.892900000000001</v>
      </c>
      <c r="D9" s="8">
        <v>4.1786000000000003</v>
      </c>
      <c r="E9" s="8">
        <v>10.7143</v>
      </c>
      <c r="F9" s="8">
        <v>0</v>
      </c>
      <c r="G9" s="9">
        <f t="shared" si="13"/>
        <v>175.61519999999999</v>
      </c>
      <c r="H9" s="8">
        <v>11</v>
      </c>
      <c r="I9" s="8">
        <v>164.61519999999999</v>
      </c>
      <c r="J9" s="8">
        <v>11.4316</v>
      </c>
      <c r="K9" s="9">
        <f t="shared" si="14"/>
        <v>1.1249106429758049</v>
      </c>
      <c r="L9" s="9">
        <f t="shared" si="14"/>
        <v>0.82898248866192525</v>
      </c>
      <c r="M9" s="8">
        <f t="shared" si="0"/>
        <v>0.31562366045153722</v>
      </c>
      <c r="N9" s="8">
        <f t="shared" si="1"/>
        <v>0.23259313009035992</v>
      </c>
      <c r="O9" s="8">
        <f t="shared" si="2"/>
        <v>0.80928698252426767</v>
      </c>
      <c r="P9" s="8">
        <f t="shared" si="3"/>
        <v>0.59638935857156539</v>
      </c>
      <c r="Q9" s="8">
        <f t="shared" si="4"/>
        <v>0</v>
      </c>
      <c r="R9" s="8">
        <f t="shared" si="5"/>
        <v>0</v>
      </c>
      <c r="S9" s="9">
        <f t="shared" si="15"/>
        <v>13.264804540977552</v>
      </c>
      <c r="T9" s="9">
        <f t="shared" si="15"/>
        <v>9.7752570381095509</v>
      </c>
      <c r="U9" s="8">
        <f t="shared" si="6"/>
        <v>0.83086686090243378</v>
      </c>
      <c r="V9" s="8">
        <f t="shared" si="7"/>
        <v>0.61229225841046264</v>
      </c>
      <c r="W9" s="8">
        <f t="shared" si="8"/>
        <v>12.433937680075118</v>
      </c>
      <c r="X9" s="8">
        <f t="shared" si="9"/>
        <v>9.1629647796990881</v>
      </c>
      <c r="Y9" s="8">
        <f t="shared" si="10"/>
        <v>0.86346705519020561</v>
      </c>
      <c r="Z9" s="8">
        <f t="shared" si="11"/>
        <v>0.63631638011318581</v>
      </c>
      <c r="AA9" s="10">
        <v>1796.5276955414199</v>
      </c>
      <c r="AB9" s="11">
        <v>1323.9184901480501</v>
      </c>
    </row>
    <row r="10" spans="1:28" x14ac:dyDescent="0.35">
      <c r="A10" s="6" t="s">
        <v>35</v>
      </c>
      <c r="B10" s="6" t="s">
        <v>27</v>
      </c>
      <c r="C10" s="7">
        <f t="shared" si="12"/>
        <v>83.000000005000004</v>
      </c>
      <c r="D10" s="8">
        <v>6.384615385</v>
      </c>
      <c r="E10" s="8">
        <v>76.61538462</v>
      </c>
      <c r="F10" s="8">
        <v>0</v>
      </c>
      <c r="G10" s="9">
        <f t="shared" si="13"/>
        <v>423</v>
      </c>
      <c r="H10" s="8">
        <v>423</v>
      </c>
      <c r="I10" s="8">
        <v>0</v>
      </c>
      <c r="J10" s="8">
        <v>0</v>
      </c>
      <c r="K10" s="9">
        <f t="shared" si="14"/>
        <v>2.628755024499684</v>
      </c>
      <c r="L10" s="9">
        <f t="shared" si="14"/>
        <v>2.8212212457603547</v>
      </c>
      <c r="M10" s="8">
        <f t="shared" si="0"/>
        <v>0.20221192496151416</v>
      </c>
      <c r="N10" s="8">
        <f t="shared" si="1"/>
        <v>0.2170170189046427</v>
      </c>
      <c r="O10" s="8">
        <f t="shared" si="2"/>
        <v>2.4265430995381698</v>
      </c>
      <c r="P10" s="8">
        <f t="shared" si="3"/>
        <v>2.6042042268557122</v>
      </c>
      <c r="Q10" s="8">
        <f t="shared" si="4"/>
        <v>0</v>
      </c>
      <c r="R10" s="8">
        <f t="shared" si="5"/>
        <v>0</v>
      </c>
      <c r="S10" s="9">
        <f t="shared" si="15"/>
        <v>13.397149099956392</v>
      </c>
      <c r="T10" s="9">
        <f t="shared" si="15"/>
        <v>14.378031167286023</v>
      </c>
      <c r="U10" s="8">
        <f t="shared" si="6"/>
        <v>13.397149099956392</v>
      </c>
      <c r="V10" s="8">
        <f t="shared" si="7"/>
        <v>14.378031167286023</v>
      </c>
      <c r="W10" s="8">
        <f t="shared" si="8"/>
        <v>0</v>
      </c>
      <c r="X10" s="8">
        <f t="shared" si="9"/>
        <v>0</v>
      </c>
      <c r="Y10" s="8">
        <f t="shared" si="10"/>
        <v>0</v>
      </c>
      <c r="Z10" s="8">
        <f t="shared" si="11"/>
        <v>0</v>
      </c>
      <c r="AA10" s="10">
        <v>2941.9883367789698</v>
      </c>
      <c r="AB10" s="11">
        <v>3157.38816403392</v>
      </c>
    </row>
    <row r="11" spans="1:28" x14ac:dyDescent="0.35">
      <c r="A11" s="6" t="s">
        <v>36</v>
      </c>
      <c r="B11" s="6" t="s">
        <v>27</v>
      </c>
      <c r="C11" s="7">
        <f t="shared" si="12"/>
        <v>1395</v>
      </c>
      <c r="D11" s="8">
        <v>9.4499999999999993</v>
      </c>
      <c r="E11" s="8">
        <v>1385.55</v>
      </c>
      <c r="F11" s="8">
        <v>0</v>
      </c>
      <c r="G11" s="9">
        <f t="shared" si="13"/>
        <v>510</v>
      </c>
      <c r="H11" s="8">
        <v>56</v>
      </c>
      <c r="I11" s="8">
        <v>454</v>
      </c>
      <c r="J11" s="8">
        <v>0</v>
      </c>
      <c r="K11" s="9">
        <f t="shared" si="14"/>
        <v>6.9998581774039028</v>
      </c>
      <c r="L11" s="9">
        <f t="shared" si="14"/>
        <v>6.9840045164241253</v>
      </c>
      <c r="M11" s="8">
        <f t="shared" si="0"/>
        <v>4.7418394104994176E-2</v>
      </c>
      <c r="N11" s="8">
        <f t="shared" si="1"/>
        <v>4.7310998337066652E-2</v>
      </c>
      <c r="O11" s="8">
        <f t="shared" si="2"/>
        <v>6.9524397832989084</v>
      </c>
      <c r="P11" s="8">
        <f t="shared" si="3"/>
        <v>6.9366935180870586</v>
      </c>
      <c r="Q11" s="8">
        <f t="shared" si="4"/>
        <v>0</v>
      </c>
      <c r="R11" s="8">
        <f t="shared" si="5"/>
        <v>0</v>
      </c>
      <c r="S11" s="9">
        <f t="shared" si="15"/>
        <v>2.5590879358250826</v>
      </c>
      <c r="T11" s="9">
        <f t="shared" si="15"/>
        <v>2.5532919737464543</v>
      </c>
      <c r="U11" s="8">
        <f t="shared" si="6"/>
        <v>0.28099789099255812</v>
      </c>
      <c r="V11" s="8">
        <f t="shared" si="7"/>
        <v>0.28036147162706165</v>
      </c>
      <c r="W11" s="8">
        <f t="shared" si="8"/>
        <v>2.2780900448325245</v>
      </c>
      <c r="X11" s="8">
        <f t="shared" si="9"/>
        <v>2.2729305021193928</v>
      </c>
      <c r="Y11" s="8">
        <f t="shared" si="10"/>
        <v>0</v>
      </c>
      <c r="Z11" s="8">
        <f t="shared" si="11"/>
        <v>0</v>
      </c>
      <c r="AA11" s="10">
        <v>19974.2138871676</v>
      </c>
      <c r="AB11" s="11">
        <v>19928.975197</v>
      </c>
    </row>
    <row r="12" spans="1:28" x14ac:dyDescent="0.35">
      <c r="A12" s="6" t="s">
        <v>37</v>
      </c>
      <c r="B12" s="6" t="s">
        <v>27</v>
      </c>
      <c r="C12" s="7">
        <f t="shared" si="12"/>
        <v>1.8620000000000001</v>
      </c>
      <c r="D12" s="8">
        <v>1.8620000000000001</v>
      </c>
      <c r="E12" s="8">
        <v>0</v>
      </c>
      <c r="F12" s="8">
        <v>0</v>
      </c>
      <c r="G12" s="9">
        <f t="shared" si="13"/>
        <v>3.3</v>
      </c>
      <c r="H12" s="8">
        <v>3.3</v>
      </c>
      <c r="I12" s="8">
        <v>0</v>
      </c>
      <c r="J12" s="8">
        <v>0</v>
      </c>
      <c r="K12" s="9">
        <f t="shared" si="14"/>
        <v>0.14556526356530802</v>
      </c>
      <c r="L12" s="9">
        <f t="shared" si="14"/>
        <v>7.8180516539544914E-2</v>
      </c>
      <c r="M12" s="8">
        <f t="shared" si="0"/>
        <v>0.14556526356530802</v>
      </c>
      <c r="N12" s="8">
        <f t="shared" si="1"/>
        <v>7.8180516539544914E-2</v>
      </c>
      <c r="O12" s="8">
        <f t="shared" si="2"/>
        <v>0</v>
      </c>
      <c r="P12" s="8">
        <f t="shared" si="3"/>
        <v>0</v>
      </c>
      <c r="Q12" s="8">
        <f t="shared" si="4"/>
        <v>0</v>
      </c>
      <c r="R12" s="8">
        <f t="shared" si="5"/>
        <v>0</v>
      </c>
      <c r="S12" s="9">
        <f t="shared" si="15"/>
        <v>0.25798354982036326</v>
      </c>
      <c r="T12" s="9">
        <f t="shared" si="15"/>
        <v>0.1385583805480656</v>
      </c>
      <c r="U12" s="8">
        <f t="shared" si="6"/>
        <v>0.25798354982036326</v>
      </c>
      <c r="V12" s="8">
        <f t="shared" si="7"/>
        <v>0.1385583805480656</v>
      </c>
      <c r="W12" s="8">
        <f t="shared" si="8"/>
        <v>0</v>
      </c>
      <c r="X12" s="8">
        <f t="shared" si="9"/>
        <v>0</v>
      </c>
      <c r="Y12" s="8">
        <f t="shared" si="10"/>
        <v>0</v>
      </c>
      <c r="Z12" s="8">
        <f t="shared" si="11"/>
        <v>0</v>
      </c>
      <c r="AA12" s="10">
        <v>2381.6675591522499</v>
      </c>
      <c r="AB12" s="11">
        <v>1279.1513266244399</v>
      </c>
    </row>
    <row r="13" spans="1:28" x14ac:dyDescent="0.35">
      <c r="A13" s="6" t="s">
        <v>38</v>
      </c>
      <c r="B13" s="6" t="s">
        <v>27</v>
      </c>
      <c r="C13" s="7">
        <f t="shared" si="12"/>
        <v>0</v>
      </c>
      <c r="D13" s="8">
        <v>0</v>
      </c>
      <c r="E13" s="8">
        <v>0</v>
      </c>
      <c r="F13" s="8">
        <v>0</v>
      </c>
      <c r="G13" s="9">
        <f t="shared" si="13"/>
        <v>3.8</v>
      </c>
      <c r="H13" s="8">
        <v>0</v>
      </c>
      <c r="I13" s="8">
        <v>3.8</v>
      </c>
      <c r="J13" s="8">
        <v>0</v>
      </c>
      <c r="K13" s="9">
        <f t="shared" si="14"/>
        <v>0</v>
      </c>
      <c r="L13" s="9">
        <f t="shared" si="14"/>
        <v>0</v>
      </c>
      <c r="M13" s="8">
        <f t="shared" si="0"/>
        <v>0</v>
      </c>
      <c r="N13" s="8">
        <f t="shared" si="1"/>
        <v>0</v>
      </c>
      <c r="O13" s="8">
        <f t="shared" si="2"/>
        <v>0</v>
      </c>
      <c r="P13" s="8">
        <f t="shared" si="3"/>
        <v>0</v>
      </c>
      <c r="Q13" s="8">
        <f t="shared" si="4"/>
        <v>0</v>
      </c>
      <c r="R13" s="8">
        <f t="shared" si="5"/>
        <v>0</v>
      </c>
      <c r="S13" s="9">
        <f t="shared" si="15"/>
        <v>0.38112295919650652</v>
      </c>
      <c r="T13" s="9">
        <f t="shared" si="15"/>
        <v>0.16282573564584751</v>
      </c>
      <c r="U13" s="8">
        <f t="shared" si="6"/>
        <v>0</v>
      </c>
      <c r="V13" s="8">
        <f t="shared" si="7"/>
        <v>0</v>
      </c>
      <c r="W13" s="8">
        <f t="shared" si="8"/>
        <v>0.38112295919650652</v>
      </c>
      <c r="X13" s="8">
        <f t="shared" si="9"/>
        <v>0.16282573564584751</v>
      </c>
      <c r="Y13" s="8">
        <f t="shared" si="10"/>
        <v>0</v>
      </c>
      <c r="Z13" s="8">
        <f t="shared" si="11"/>
        <v>0</v>
      </c>
      <c r="AA13" s="10">
        <v>2333.7834064911899</v>
      </c>
      <c r="AB13" s="11">
        <v>997.05355143423003</v>
      </c>
    </row>
    <row r="14" spans="1:28" x14ac:dyDescent="0.35">
      <c r="A14" s="13" t="s">
        <v>39</v>
      </c>
      <c r="B14" s="6" t="s">
        <v>27</v>
      </c>
      <c r="C14" s="7">
        <f t="shared" si="12"/>
        <v>31.764700000000001</v>
      </c>
      <c r="D14" s="8">
        <v>0</v>
      </c>
      <c r="E14" s="8">
        <v>31.764700000000001</v>
      </c>
      <c r="F14" s="8">
        <v>0</v>
      </c>
      <c r="G14" s="9">
        <f t="shared" si="13"/>
        <v>0</v>
      </c>
      <c r="H14" s="8">
        <v>0</v>
      </c>
      <c r="I14" s="8">
        <v>0</v>
      </c>
      <c r="J14" s="8">
        <v>0</v>
      </c>
      <c r="K14" s="9">
        <f t="shared" si="14"/>
        <v>7.6735681329126031</v>
      </c>
      <c r="L14" s="9">
        <f t="shared" si="14"/>
        <v>6.7786506242927107</v>
      </c>
      <c r="M14" s="8">
        <f t="shared" si="0"/>
        <v>0</v>
      </c>
      <c r="N14" s="8">
        <f t="shared" si="1"/>
        <v>0</v>
      </c>
      <c r="O14" s="8">
        <f t="shared" si="2"/>
        <v>7.6735681329126031</v>
      </c>
      <c r="P14" s="8">
        <f t="shared" si="3"/>
        <v>6.7786506242927107</v>
      </c>
      <c r="Q14" s="8">
        <f t="shared" si="4"/>
        <v>0</v>
      </c>
      <c r="R14" s="8">
        <f t="shared" si="5"/>
        <v>0</v>
      </c>
      <c r="S14" s="9">
        <f t="shared" si="15"/>
        <v>0</v>
      </c>
      <c r="T14" s="9">
        <f t="shared" si="15"/>
        <v>0</v>
      </c>
      <c r="U14" s="8">
        <f t="shared" si="6"/>
        <v>0</v>
      </c>
      <c r="V14" s="8">
        <f t="shared" si="7"/>
        <v>0</v>
      </c>
      <c r="W14" s="8">
        <f t="shared" si="8"/>
        <v>0</v>
      </c>
      <c r="X14" s="8">
        <f t="shared" si="9"/>
        <v>0</v>
      </c>
      <c r="Y14" s="8">
        <f t="shared" si="10"/>
        <v>0</v>
      </c>
      <c r="Z14" s="8">
        <f t="shared" si="11"/>
        <v>0</v>
      </c>
      <c r="AA14" s="10">
        <v>468.59916169988998</v>
      </c>
      <c r="AB14" s="11">
        <v>413.94954015926999</v>
      </c>
    </row>
    <row r="15" spans="1:28" x14ac:dyDescent="0.35">
      <c r="A15" s="6" t="s">
        <v>40</v>
      </c>
      <c r="B15" s="6" t="s">
        <v>27</v>
      </c>
      <c r="C15" s="7">
        <f t="shared" si="12"/>
        <v>0</v>
      </c>
      <c r="D15" s="8">
        <v>0</v>
      </c>
      <c r="E15" s="8">
        <v>0</v>
      </c>
      <c r="F15" s="8">
        <v>0</v>
      </c>
      <c r="G15" s="9">
        <f t="shared" si="13"/>
        <v>54</v>
      </c>
      <c r="H15" s="8">
        <v>0</v>
      </c>
      <c r="I15" s="8">
        <v>54</v>
      </c>
      <c r="J15" s="8">
        <v>0</v>
      </c>
      <c r="K15" s="9">
        <f t="shared" si="14"/>
        <v>0</v>
      </c>
      <c r="L15" s="9">
        <f t="shared" si="14"/>
        <v>0</v>
      </c>
      <c r="M15" s="8">
        <f t="shared" si="0"/>
        <v>0</v>
      </c>
      <c r="N15" s="8">
        <f t="shared" si="1"/>
        <v>0</v>
      </c>
      <c r="O15" s="8">
        <f t="shared" si="2"/>
        <v>0</v>
      </c>
      <c r="P15" s="8">
        <f t="shared" si="3"/>
        <v>0</v>
      </c>
      <c r="Q15" s="8">
        <f t="shared" si="4"/>
        <v>0</v>
      </c>
      <c r="R15" s="8">
        <f t="shared" si="5"/>
        <v>0</v>
      </c>
      <c r="S15" s="9">
        <f t="shared" si="15"/>
        <v>10.90562054178165</v>
      </c>
      <c r="T15" s="9">
        <f t="shared" si="15"/>
        <v>9.7240885633744618</v>
      </c>
      <c r="U15" s="8">
        <f t="shared" si="6"/>
        <v>0</v>
      </c>
      <c r="V15" s="8">
        <f t="shared" si="7"/>
        <v>0</v>
      </c>
      <c r="W15" s="8">
        <f t="shared" si="8"/>
        <v>10.90562054178165</v>
      </c>
      <c r="X15" s="8">
        <f t="shared" si="9"/>
        <v>9.7240885633744618</v>
      </c>
      <c r="Y15" s="8">
        <f t="shared" si="10"/>
        <v>0</v>
      </c>
      <c r="Z15" s="8">
        <f t="shared" si="11"/>
        <v>0</v>
      </c>
      <c r="AA15" s="10">
        <v>555.32196820367994</v>
      </c>
      <c r="AB15" s="11">
        <v>495.15751802582002</v>
      </c>
    </row>
    <row r="16" spans="1:28" x14ac:dyDescent="0.35">
      <c r="A16" s="13" t="s">
        <v>41</v>
      </c>
      <c r="B16" s="6" t="s">
        <v>27</v>
      </c>
      <c r="C16" s="7">
        <f t="shared" si="12"/>
        <v>9.0751215444483115</v>
      </c>
      <c r="D16" s="8">
        <v>2.2540984E-2</v>
      </c>
      <c r="E16" s="14">
        <v>9.0525805604483107</v>
      </c>
      <c r="F16" s="8">
        <v>0</v>
      </c>
      <c r="G16" s="9">
        <f t="shared" si="13"/>
        <v>21.104230256601589</v>
      </c>
      <c r="H16" s="8">
        <v>0.80696442599999996</v>
      </c>
      <c r="I16" s="14">
        <v>20.297265830601589</v>
      </c>
      <c r="J16" s="8">
        <v>0</v>
      </c>
      <c r="K16" s="9">
        <f t="shared" si="14"/>
        <v>4.2084524748499499</v>
      </c>
      <c r="L16" s="9">
        <f t="shared" si="14"/>
        <v>2.2275928706634165</v>
      </c>
      <c r="M16" s="8">
        <f t="shared" si="0"/>
        <v>1.0453045662885387E-2</v>
      </c>
      <c r="N16" s="8">
        <f t="shared" si="1"/>
        <v>5.5329435545527564E-3</v>
      </c>
      <c r="O16" s="8">
        <f t="shared" si="2"/>
        <v>4.1979994291870648</v>
      </c>
      <c r="P16" s="8">
        <f t="shared" si="3"/>
        <v>2.2220599271088637</v>
      </c>
      <c r="Q16" s="8">
        <f t="shared" si="4"/>
        <v>0</v>
      </c>
      <c r="R16" s="8">
        <f t="shared" si="5"/>
        <v>0</v>
      </c>
      <c r="S16" s="9">
        <f t="shared" si="15"/>
        <v>9.7867725096785385</v>
      </c>
      <c r="T16" s="9">
        <f t="shared" si="15"/>
        <v>5.1802758376502558</v>
      </c>
      <c r="U16" s="8">
        <f t="shared" si="6"/>
        <v>0.37421773571651062</v>
      </c>
      <c r="V16" s="8">
        <f t="shared" si="7"/>
        <v>0.19807869166625844</v>
      </c>
      <c r="W16" s="8">
        <f t="shared" si="8"/>
        <v>9.4125547739620288</v>
      </c>
      <c r="X16" s="8">
        <f t="shared" si="9"/>
        <v>4.9821971459839975</v>
      </c>
      <c r="Y16" s="8">
        <f t="shared" si="10"/>
        <v>0</v>
      </c>
      <c r="Z16" s="8">
        <f t="shared" si="11"/>
        <v>0</v>
      </c>
      <c r="AA16" s="10">
        <v>407.39587848230002</v>
      </c>
      <c r="AB16" s="11">
        <v>215.64034757863999</v>
      </c>
    </row>
    <row r="17" spans="1:29" x14ac:dyDescent="0.35">
      <c r="A17" s="13" t="s">
        <v>42</v>
      </c>
      <c r="B17" s="6" t="s">
        <v>27</v>
      </c>
      <c r="C17" s="7">
        <f t="shared" si="12"/>
        <v>9</v>
      </c>
      <c r="D17" s="8">
        <v>0</v>
      </c>
      <c r="E17" s="8">
        <v>9</v>
      </c>
      <c r="F17" s="8">
        <v>0</v>
      </c>
      <c r="G17" s="9">
        <f t="shared" si="13"/>
        <v>9.6999999999999993</v>
      </c>
      <c r="H17" s="8">
        <v>0</v>
      </c>
      <c r="I17" s="8">
        <v>9.6999999999999993</v>
      </c>
      <c r="J17" s="8">
        <v>0</v>
      </c>
      <c r="K17" s="9">
        <f t="shared" si="14"/>
        <v>2.7059324055091158</v>
      </c>
      <c r="L17" s="9">
        <f t="shared" si="14"/>
        <v>2.8932995220407594</v>
      </c>
      <c r="M17" s="8">
        <f t="shared" si="0"/>
        <v>0</v>
      </c>
      <c r="N17" s="8">
        <f t="shared" si="1"/>
        <v>0</v>
      </c>
      <c r="O17" s="8">
        <f t="shared" si="2"/>
        <v>2.7059324055091158</v>
      </c>
      <c r="P17" s="8">
        <f t="shared" si="3"/>
        <v>2.8932995220407594</v>
      </c>
      <c r="Q17" s="8">
        <f t="shared" si="4"/>
        <v>0</v>
      </c>
      <c r="R17" s="8">
        <f t="shared" si="5"/>
        <v>0</v>
      </c>
      <c r="S17" s="9">
        <f t="shared" si="15"/>
        <v>2.9163938148264918</v>
      </c>
      <c r="T17" s="9">
        <f t="shared" si="15"/>
        <v>3.1183339293105963</v>
      </c>
      <c r="U17" s="8">
        <f t="shared" si="6"/>
        <v>0</v>
      </c>
      <c r="V17" s="8">
        <f t="shared" si="7"/>
        <v>0</v>
      </c>
      <c r="W17" s="8">
        <f t="shared" si="8"/>
        <v>2.9163938148264918</v>
      </c>
      <c r="X17" s="8">
        <f t="shared" si="9"/>
        <v>3.1183339293105963</v>
      </c>
      <c r="Y17" s="8">
        <f t="shared" si="10"/>
        <v>0</v>
      </c>
      <c r="Z17" s="8">
        <f t="shared" si="11"/>
        <v>0</v>
      </c>
      <c r="AA17" s="10">
        <v>311.06354290107998</v>
      </c>
      <c r="AB17" s="11">
        <v>332.60254327404999</v>
      </c>
    </row>
    <row r="18" spans="1:29" x14ac:dyDescent="0.35">
      <c r="A18" s="13" t="s">
        <v>43</v>
      </c>
      <c r="B18" s="6" t="s">
        <v>27</v>
      </c>
      <c r="C18" s="7">
        <f t="shared" si="12"/>
        <v>0</v>
      </c>
      <c r="D18" s="8">
        <v>0</v>
      </c>
      <c r="E18" s="8">
        <v>0</v>
      </c>
      <c r="F18" s="8">
        <v>0</v>
      </c>
      <c r="G18" s="9">
        <f t="shared" si="13"/>
        <v>0.34351350790000001</v>
      </c>
      <c r="H18" s="8">
        <v>0.166216216</v>
      </c>
      <c r="I18" s="8">
        <v>0.17729729189999999</v>
      </c>
      <c r="J18" s="8">
        <v>0</v>
      </c>
      <c r="K18" s="9">
        <f t="shared" si="14"/>
        <v>0</v>
      </c>
      <c r="L18" s="9">
        <f t="shared" si="14"/>
        <v>0</v>
      </c>
      <c r="M18" s="8">
        <f t="shared" si="0"/>
        <v>0</v>
      </c>
      <c r="N18" s="8">
        <f t="shared" si="1"/>
        <v>0</v>
      </c>
      <c r="O18" s="8">
        <f t="shared" si="2"/>
        <v>0</v>
      </c>
      <c r="P18" s="8">
        <f t="shared" si="3"/>
        <v>0</v>
      </c>
      <c r="Q18" s="8">
        <f t="shared" si="4"/>
        <v>0</v>
      </c>
      <c r="R18" s="8">
        <f t="shared" si="5"/>
        <v>0</v>
      </c>
      <c r="S18" s="9">
        <f t="shared" si="15"/>
        <v>1.2772080118792744</v>
      </c>
      <c r="T18" s="9">
        <f t="shared" si="15"/>
        <v>0.74820679582493232</v>
      </c>
      <c r="U18" s="8">
        <f t="shared" si="6"/>
        <v>0.61800388601095835</v>
      </c>
      <c r="V18" s="8">
        <f t="shared" si="7"/>
        <v>0.36203555181215297</v>
      </c>
      <c r="W18" s="8">
        <f t="shared" si="8"/>
        <v>0.659204125868316</v>
      </c>
      <c r="X18" s="8">
        <f t="shared" si="9"/>
        <v>0.38617124401277941</v>
      </c>
      <c r="Y18" s="8">
        <f t="shared" si="10"/>
        <v>0</v>
      </c>
      <c r="Z18" s="8">
        <f t="shared" si="11"/>
        <v>0</v>
      </c>
      <c r="AA18" s="10">
        <v>45.911572818750003</v>
      </c>
      <c r="AB18" s="11">
        <v>26.895658710639999</v>
      </c>
    </row>
    <row r="19" spans="1:29" x14ac:dyDescent="0.35">
      <c r="A19" s="13" t="s">
        <v>44</v>
      </c>
      <c r="B19" s="6" t="s">
        <v>27</v>
      </c>
      <c r="C19" s="7">
        <f t="shared" si="12"/>
        <v>4.352352529</v>
      </c>
      <c r="D19" s="8">
        <v>2.8823529000000001E-2</v>
      </c>
      <c r="E19" s="8">
        <v>4.3235289999999997</v>
      </c>
      <c r="F19" s="8">
        <v>4.5</v>
      </c>
      <c r="G19" s="9">
        <f t="shared" si="13"/>
        <v>13.1</v>
      </c>
      <c r="H19" s="8">
        <v>1.1000000000000001</v>
      </c>
      <c r="I19" s="8">
        <v>12</v>
      </c>
      <c r="J19" s="8">
        <v>0</v>
      </c>
      <c r="K19" s="9">
        <f t="shared" si="14"/>
        <v>1.7085190625524533</v>
      </c>
      <c r="L19" s="9">
        <f t="shared" si="14"/>
        <v>1.7140488294221521</v>
      </c>
      <c r="M19" s="8">
        <f t="shared" si="0"/>
        <v>1.1314696688378813E-2</v>
      </c>
      <c r="N19" s="8">
        <f t="shared" si="1"/>
        <v>1.1351317663970748E-2</v>
      </c>
      <c r="O19" s="8">
        <f t="shared" si="2"/>
        <v>1.6972043658640745</v>
      </c>
      <c r="P19" s="8">
        <f t="shared" si="3"/>
        <v>1.7026975117581813</v>
      </c>
      <c r="Q19" s="8">
        <f t="shared" si="4"/>
        <v>1.7664781816863806</v>
      </c>
      <c r="R19" s="8">
        <f t="shared" si="5"/>
        <v>1.7721955381614918</v>
      </c>
      <c r="S19" s="9">
        <f t="shared" si="15"/>
        <v>5.1424142622425748</v>
      </c>
      <c r="T19" s="9">
        <f t="shared" si="15"/>
        <v>5.1590581222034544</v>
      </c>
      <c r="U19" s="8">
        <f t="shared" si="6"/>
        <v>0.43180577774555973</v>
      </c>
      <c r="V19" s="8">
        <f t="shared" si="7"/>
        <v>0.43320335377280911</v>
      </c>
      <c r="W19" s="8">
        <f t="shared" si="8"/>
        <v>4.7106084844970146</v>
      </c>
      <c r="X19" s="8">
        <f t="shared" si="9"/>
        <v>4.7258547684306453</v>
      </c>
      <c r="Y19" s="8">
        <f t="shared" si="10"/>
        <v>0</v>
      </c>
      <c r="Z19" s="8">
        <f t="shared" si="11"/>
        <v>0</v>
      </c>
      <c r="AA19" s="10">
        <v>253.92231856471</v>
      </c>
      <c r="AB19" s="11">
        <v>254.7441596875</v>
      </c>
    </row>
    <row r="20" spans="1:29" x14ac:dyDescent="0.35">
      <c r="A20" s="13" t="s">
        <v>45</v>
      </c>
      <c r="B20" s="6" t="s">
        <v>27</v>
      </c>
      <c r="C20" s="7">
        <f>D20+E20</f>
        <v>6.3664610000000001</v>
      </c>
      <c r="D20" s="8">
        <v>5.4100000000000003E-4</v>
      </c>
      <c r="E20" s="8">
        <v>6.36592</v>
      </c>
      <c r="F20" s="8">
        <v>0</v>
      </c>
      <c r="G20" s="9">
        <f>H20+I20</f>
        <v>2.2164000000000001</v>
      </c>
      <c r="H20" s="8">
        <v>1.1082000000000001</v>
      </c>
      <c r="I20" s="8">
        <v>1.1082000000000001</v>
      </c>
      <c r="J20" s="8">
        <v>0</v>
      </c>
      <c r="K20" s="9">
        <f t="shared" si="14"/>
        <v>3.1222987126848292</v>
      </c>
      <c r="L20" s="9">
        <f t="shared" si="14"/>
        <v>2.1112823412204826</v>
      </c>
      <c r="M20" s="8">
        <f t="shared" si="0"/>
        <v>2.6532222589009696E-4</v>
      </c>
      <c r="N20" s="8">
        <f t="shared" si="1"/>
        <v>1.7940952541769769E-4</v>
      </c>
      <c r="O20" s="8">
        <f t="shared" si="2"/>
        <v>3.122033390458939</v>
      </c>
      <c r="P20" s="8">
        <f t="shared" si="3"/>
        <v>2.1111029316950649</v>
      </c>
      <c r="Q20" s="8">
        <f t="shared" si="4"/>
        <v>0</v>
      </c>
      <c r="R20" s="8">
        <f t="shared" si="5"/>
        <v>0</v>
      </c>
      <c r="S20" s="9">
        <f t="shared" si="15"/>
        <v>1.0869873964192438</v>
      </c>
      <c r="T20" s="9">
        <f t="shared" si="15"/>
        <v>0.73501529045431646</v>
      </c>
      <c r="U20" s="8">
        <f t="shared" si="6"/>
        <v>0.5434936982096219</v>
      </c>
      <c r="V20" s="8">
        <f t="shared" si="7"/>
        <v>0.36750764522715823</v>
      </c>
      <c r="W20" s="8">
        <f t="shared" si="8"/>
        <v>0.5434936982096219</v>
      </c>
      <c r="X20" s="8">
        <f t="shared" si="9"/>
        <v>0.36750764522715823</v>
      </c>
      <c r="Y20" s="8">
        <f t="shared" si="10"/>
        <v>0</v>
      </c>
      <c r="Z20" s="8">
        <f t="shared" si="11"/>
        <v>0</v>
      </c>
      <c r="AA20" s="10">
        <v>301.54474727050001</v>
      </c>
      <c r="AB20" s="11">
        <v>203.90300819506001</v>
      </c>
    </row>
    <row r="21" spans="1:29" x14ac:dyDescent="0.35">
      <c r="A21" s="13" t="s">
        <v>46</v>
      </c>
      <c r="B21" s="6" t="s">
        <v>27</v>
      </c>
      <c r="C21" s="7">
        <f t="shared" si="12"/>
        <v>0.88253820443329634</v>
      </c>
      <c r="D21" s="26">
        <v>2.1328006607137996E-2</v>
      </c>
      <c r="E21" s="26">
        <v>0.86121019782615837</v>
      </c>
      <c r="F21" s="8">
        <v>0</v>
      </c>
      <c r="G21" s="9">
        <f t="shared" si="13"/>
        <v>0.91931062961801713</v>
      </c>
      <c r="H21" s="8">
        <v>0</v>
      </c>
      <c r="I21" s="20">
        <v>0.91931062961801713</v>
      </c>
      <c r="J21" s="8">
        <v>0</v>
      </c>
      <c r="K21" s="9">
        <f t="shared" si="14"/>
        <v>4.2572996227017779</v>
      </c>
      <c r="L21" s="9">
        <f t="shared" si="14"/>
        <v>4.6280958337256317</v>
      </c>
      <c r="M21" s="8">
        <f t="shared" si="0"/>
        <v>0.10288474088195963</v>
      </c>
      <c r="N21" s="8">
        <f t="shared" si="1"/>
        <v>0.11184564931503611</v>
      </c>
      <c r="O21" s="8">
        <f t="shared" si="2"/>
        <v>4.1544148818198181</v>
      </c>
      <c r="P21" s="8">
        <f t="shared" si="3"/>
        <v>4.5162501844105956</v>
      </c>
      <c r="Q21" s="8">
        <f t="shared" si="4"/>
        <v>0</v>
      </c>
      <c r="R21" s="8">
        <f t="shared" si="5"/>
        <v>0</v>
      </c>
      <c r="S21" s="9">
        <f t="shared" si="15"/>
        <v>4.434687106981019</v>
      </c>
      <c r="T21" s="9">
        <f t="shared" si="15"/>
        <v>4.8209331601308669</v>
      </c>
      <c r="U21" s="8">
        <f t="shared" si="6"/>
        <v>0</v>
      </c>
      <c r="V21" s="8">
        <f t="shared" si="7"/>
        <v>0</v>
      </c>
      <c r="W21" s="8">
        <f t="shared" si="8"/>
        <v>4.434687106981019</v>
      </c>
      <c r="X21" s="8">
        <f t="shared" si="9"/>
        <v>4.8209331601308669</v>
      </c>
      <c r="Y21" s="8">
        <f t="shared" si="10"/>
        <v>0</v>
      </c>
      <c r="Z21" s="8">
        <f t="shared" si="11"/>
        <v>0</v>
      </c>
      <c r="AA21" s="10">
        <v>19.06914282116</v>
      </c>
      <c r="AB21" s="11">
        <v>20.729999827290001</v>
      </c>
    </row>
    <row r="22" spans="1:29" x14ac:dyDescent="0.35">
      <c r="A22" s="13" t="s">
        <v>47</v>
      </c>
      <c r="B22" s="6" t="s">
        <v>27</v>
      </c>
      <c r="C22" s="7">
        <f t="shared" si="12"/>
        <v>23.434808652685703</v>
      </c>
      <c r="D22" s="26">
        <v>2.2863227953839709</v>
      </c>
      <c r="E22" s="26">
        <v>21.148485857301733</v>
      </c>
      <c r="F22" s="26">
        <v>2.8579034942299635</v>
      </c>
      <c r="G22" s="9">
        <f t="shared" si="13"/>
        <v>6.8589683861519131</v>
      </c>
      <c r="H22" s="20">
        <v>4.5726455907679417</v>
      </c>
      <c r="I22" s="20">
        <v>2.2863227953839709</v>
      </c>
      <c r="J22" s="8">
        <v>0</v>
      </c>
      <c r="K22" s="9">
        <f t="shared" si="14"/>
        <v>6.308725700048833</v>
      </c>
      <c r="L22" s="9">
        <f t="shared" si="14"/>
        <v>5.6078791341391749</v>
      </c>
      <c r="M22" s="8">
        <f t="shared" si="0"/>
        <v>0.61548543415110557</v>
      </c>
      <c r="N22" s="8">
        <f t="shared" si="1"/>
        <v>0.54711015942821217</v>
      </c>
      <c r="O22" s="8">
        <f t="shared" si="2"/>
        <v>5.6932402658977272</v>
      </c>
      <c r="P22" s="8">
        <f t="shared" si="3"/>
        <v>5.060768974710963</v>
      </c>
      <c r="Q22" s="8">
        <f t="shared" si="4"/>
        <v>0.76935679268888202</v>
      </c>
      <c r="R22" s="8">
        <f t="shared" si="5"/>
        <v>0.68388769928526516</v>
      </c>
      <c r="S22" s="9">
        <f t="shared" si="15"/>
        <v>1.8464563024533167</v>
      </c>
      <c r="T22" s="9">
        <f t="shared" si="15"/>
        <v>1.6413304782846365</v>
      </c>
      <c r="U22" s="8">
        <f t="shared" si="6"/>
        <v>1.2309708683022111</v>
      </c>
      <c r="V22" s="8">
        <f t="shared" si="7"/>
        <v>1.0942203188564243</v>
      </c>
      <c r="W22" s="8">
        <f t="shared" si="8"/>
        <v>0.61548543415110557</v>
      </c>
      <c r="X22" s="8">
        <f t="shared" si="9"/>
        <v>0.54711015942821217</v>
      </c>
      <c r="Y22" s="8">
        <f t="shared" si="10"/>
        <v>0</v>
      </c>
      <c r="Z22" s="8">
        <f t="shared" si="11"/>
        <v>0</v>
      </c>
      <c r="AA22" s="10">
        <v>417.89075855828003</v>
      </c>
      <c r="AB22" s="11">
        <v>371.46659669328</v>
      </c>
    </row>
    <row r="23" spans="1:29" x14ac:dyDescent="0.35">
      <c r="A23" s="13" t="s">
        <v>48</v>
      </c>
      <c r="B23" s="6" t="s">
        <v>27</v>
      </c>
      <c r="C23" s="7">
        <f t="shared" si="12"/>
        <v>25.918306382883841</v>
      </c>
      <c r="D23" s="26">
        <v>4.0163261841927023</v>
      </c>
      <c r="E23" s="26">
        <v>21.901980198691138</v>
      </c>
      <c r="F23" s="26">
        <v>2.0803991745458603</v>
      </c>
      <c r="G23" s="9">
        <f t="shared" si="13"/>
        <v>11.153251130204193</v>
      </c>
      <c r="H23" s="20">
        <v>0.9535162883335192</v>
      </c>
      <c r="I23" s="20">
        <v>10.199734841870674</v>
      </c>
      <c r="J23" s="8">
        <v>0</v>
      </c>
      <c r="K23" s="9">
        <f t="shared" si="14"/>
        <v>7.2304547534162724</v>
      </c>
      <c r="L23" s="9">
        <f t="shared" si="14"/>
        <v>7.5696715765084619</v>
      </c>
      <c r="M23" s="8">
        <f t="shared" si="0"/>
        <v>1.1204383620121092</v>
      </c>
      <c r="N23" s="8">
        <f t="shared" si="1"/>
        <v>1.1730037337064394</v>
      </c>
      <c r="O23" s="8">
        <f t="shared" si="2"/>
        <v>6.1100163914041632</v>
      </c>
      <c r="P23" s="8">
        <f t="shared" si="3"/>
        <v>6.3966678428020227</v>
      </c>
      <c r="Q23" s="8">
        <f t="shared" si="4"/>
        <v>0.5803709501069918</v>
      </c>
      <c r="R23" s="8">
        <f t="shared" si="5"/>
        <v>0.60759905630837163</v>
      </c>
      <c r="S23" s="9">
        <f t="shared" si="15"/>
        <v>3.1114331491847054</v>
      </c>
      <c r="T23" s="9">
        <f t="shared" si="15"/>
        <v>3.257406051875436</v>
      </c>
      <c r="U23" s="8">
        <f t="shared" si="6"/>
        <v>0.2660033521323712</v>
      </c>
      <c r="V23" s="8">
        <f t="shared" si="7"/>
        <v>0.27848290080800364</v>
      </c>
      <c r="W23" s="8">
        <f t="shared" si="8"/>
        <v>2.8454297970523341</v>
      </c>
      <c r="X23" s="8">
        <f t="shared" si="9"/>
        <v>2.9789231510674323</v>
      </c>
      <c r="Y23" s="8">
        <f t="shared" si="10"/>
        <v>0</v>
      </c>
      <c r="Z23" s="8">
        <f t="shared" si="11"/>
        <v>0</v>
      </c>
      <c r="AA23" s="10">
        <v>342.39670930134002</v>
      </c>
      <c r="AB23" s="11">
        <v>358.46025273358998</v>
      </c>
    </row>
    <row r="24" spans="1:29" x14ac:dyDescent="0.35">
      <c r="A24" s="15" t="s">
        <v>49</v>
      </c>
      <c r="B24" s="6" t="s">
        <v>27</v>
      </c>
      <c r="C24" s="7">
        <f t="shared" si="12"/>
        <v>2.6412118346100706</v>
      </c>
      <c r="D24" s="26">
        <v>0.2311060355223796</v>
      </c>
      <c r="E24" s="26">
        <v>2.4101057990876908</v>
      </c>
      <c r="F24" s="8">
        <v>0</v>
      </c>
      <c r="G24" s="9">
        <f t="shared" si="13"/>
        <v>1.0485610983298868</v>
      </c>
      <c r="H24" s="20">
        <v>0.2311060355223796</v>
      </c>
      <c r="I24" s="20">
        <v>0.81745506280750724</v>
      </c>
      <c r="J24" s="8">
        <v>0</v>
      </c>
      <c r="K24" s="9">
        <f t="shared" si="14"/>
        <v>8.7573111594010662</v>
      </c>
      <c r="L24" s="9">
        <f t="shared" si="14"/>
        <v>4.7655871856594887</v>
      </c>
      <c r="M24" s="8">
        <f t="shared" si="0"/>
        <v>0.76626472642769428</v>
      </c>
      <c r="N24" s="8">
        <f t="shared" si="1"/>
        <v>0.41698887873437651</v>
      </c>
      <c r="O24" s="8">
        <f t="shared" si="2"/>
        <v>7.9910464329733726</v>
      </c>
      <c r="P24" s="8">
        <f t="shared" si="3"/>
        <v>4.348598306925112</v>
      </c>
      <c r="Q24" s="8">
        <f t="shared" si="4"/>
        <v>0</v>
      </c>
      <c r="R24" s="8">
        <f t="shared" si="5"/>
        <v>0</v>
      </c>
      <c r="S24" s="9">
        <f t="shared" si="15"/>
        <v>3.4766525302480353</v>
      </c>
      <c r="T24" s="9">
        <f t="shared" si="15"/>
        <v>1.8919381126882124</v>
      </c>
      <c r="U24" s="8">
        <f t="shared" si="6"/>
        <v>0.76626472642769428</v>
      </c>
      <c r="V24" s="8">
        <f t="shared" si="7"/>
        <v>0.41698887873437651</v>
      </c>
      <c r="W24" s="8">
        <f t="shared" si="8"/>
        <v>2.7103878038203408</v>
      </c>
      <c r="X24" s="8">
        <f t="shared" si="9"/>
        <v>1.4749492339538359</v>
      </c>
      <c r="Y24" s="8">
        <f t="shared" si="10"/>
        <v>0</v>
      </c>
      <c r="Z24" s="8">
        <f t="shared" si="11"/>
        <v>0</v>
      </c>
      <c r="AA24" s="16">
        <v>55.422589739999999</v>
      </c>
      <c r="AB24" s="11">
        <v>30.160077523049999</v>
      </c>
      <c r="AC24" s="17"/>
    </row>
    <row r="25" spans="1:29" x14ac:dyDescent="0.35">
      <c r="A25" s="13" t="s">
        <v>50</v>
      </c>
      <c r="B25" s="6" t="s">
        <v>27</v>
      </c>
      <c r="C25" s="7">
        <f t="shared" si="12"/>
        <v>2.5949763727608071</v>
      </c>
      <c r="D25" s="26">
        <v>0.57158069884599272</v>
      </c>
      <c r="E25" s="26">
        <v>2.0233956739148145</v>
      </c>
      <c r="F25" s="26">
        <v>2.503523460945448</v>
      </c>
      <c r="G25" s="9">
        <f t="shared" si="13"/>
        <v>1.9662376040302147</v>
      </c>
      <c r="H25" s="20">
        <v>0.36581164726143534</v>
      </c>
      <c r="I25" s="20">
        <v>1.6004259567687795</v>
      </c>
      <c r="J25" s="8">
        <v>0</v>
      </c>
      <c r="K25" s="9">
        <f t="shared" si="14"/>
        <v>5.3818960772623692</v>
      </c>
      <c r="L25" s="9">
        <f t="shared" si="14"/>
        <v>2.6714857655953939</v>
      </c>
      <c r="M25" s="8">
        <f t="shared" si="0"/>
        <v>1.1854396645952354</v>
      </c>
      <c r="N25" s="8">
        <f t="shared" si="1"/>
        <v>0.5884329880166066</v>
      </c>
      <c r="O25" s="8">
        <f t="shared" si="2"/>
        <v>4.1964564126671338</v>
      </c>
      <c r="P25" s="8">
        <f t="shared" si="3"/>
        <v>2.0830527775787875</v>
      </c>
      <c r="Q25" s="8">
        <f t="shared" si="4"/>
        <v>5.19222573092713</v>
      </c>
      <c r="R25" s="8">
        <f t="shared" si="5"/>
        <v>2.5773364875127363</v>
      </c>
      <c r="S25" s="9">
        <f t="shared" si="15"/>
        <v>4.0779124462076091</v>
      </c>
      <c r="T25" s="9">
        <f t="shared" si="15"/>
        <v>2.0242094787771263</v>
      </c>
      <c r="U25" s="8">
        <f t="shared" si="6"/>
        <v>0.75868138534095053</v>
      </c>
      <c r="V25" s="8">
        <f t="shared" si="7"/>
        <v>0.3765971123306282</v>
      </c>
      <c r="W25" s="8">
        <f t="shared" si="8"/>
        <v>3.3192310608666586</v>
      </c>
      <c r="X25" s="8">
        <f t="shared" si="9"/>
        <v>1.6476123664464981</v>
      </c>
      <c r="Y25" s="8">
        <f t="shared" si="10"/>
        <v>0</v>
      </c>
      <c r="Z25" s="8">
        <f t="shared" si="11"/>
        <v>0</v>
      </c>
      <c r="AA25" s="10">
        <v>97.136073348400004</v>
      </c>
      <c r="AB25" s="11">
        <v>48.216768505140003</v>
      </c>
    </row>
    <row r="26" spans="1:29" x14ac:dyDescent="0.35">
      <c r="A26" s="13" t="s">
        <v>51</v>
      </c>
      <c r="B26" s="6" t="s">
        <v>27</v>
      </c>
      <c r="C26" s="7">
        <f t="shared" si="12"/>
        <v>3.5438003328451551</v>
      </c>
      <c r="D26" s="26">
        <v>0.2286322795383971</v>
      </c>
      <c r="E26" s="26">
        <v>3.315168053306758</v>
      </c>
      <c r="F26" s="26">
        <v>5.2145883075488326</v>
      </c>
      <c r="G26" s="9">
        <f t="shared" si="13"/>
        <v>2.8579034942299635</v>
      </c>
      <c r="H26" s="20">
        <v>0</v>
      </c>
      <c r="I26" s="20">
        <v>2.8579034942299635</v>
      </c>
      <c r="J26" s="20">
        <v>1.2574775374611842</v>
      </c>
      <c r="K26" s="9">
        <f t="shared" si="14"/>
        <v>5.3244195640159759</v>
      </c>
      <c r="L26" s="9">
        <f t="shared" si="14"/>
        <v>5.3415951260588308</v>
      </c>
      <c r="M26" s="8">
        <f t="shared" si="0"/>
        <v>0.34351093961393397</v>
      </c>
      <c r="N26" s="8">
        <f t="shared" si="1"/>
        <v>0.34461904039089231</v>
      </c>
      <c r="O26" s="8">
        <f t="shared" si="2"/>
        <v>4.9809086244020424</v>
      </c>
      <c r="P26" s="8">
        <f t="shared" si="3"/>
        <v>4.9969760856679386</v>
      </c>
      <c r="Q26" s="8">
        <f t="shared" si="4"/>
        <v>7.8347122849077095</v>
      </c>
      <c r="R26" s="8">
        <f t="shared" si="5"/>
        <v>7.8599855725063756</v>
      </c>
      <c r="S26" s="9">
        <f t="shared" si="15"/>
        <v>4.2938867451741736</v>
      </c>
      <c r="T26" s="9">
        <f t="shared" si="15"/>
        <v>4.3077380048861542</v>
      </c>
      <c r="U26" s="8">
        <f t="shared" si="6"/>
        <v>0</v>
      </c>
      <c r="V26" s="8">
        <f t="shared" si="7"/>
        <v>0</v>
      </c>
      <c r="W26" s="8">
        <f t="shared" si="8"/>
        <v>4.2938867451741736</v>
      </c>
      <c r="X26" s="8">
        <f t="shared" si="9"/>
        <v>4.3077380048861542</v>
      </c>
      <c r="Y26" s="8">
        <f t="shared" si="10"/>
        <v>1.8893101678766371</v>
      </c>
      <c r="Z26" s="8">
        <f t="shared" si="11"/>
        <v>1.8954047221499077</v>
      </c>
      <c r="AA26" s="10">
        <v>66.343484468840003</v>
      </c>
      <c r="AB26" s="11">
        <v>66.557495896739994</v>
      </c>
    </row>
    <row r="27" spans="1:29" x14ac:dyDescent="0.35">
      <c r="A27" s="13" t="s">
        <v>52</v>
      </c>
      <c r="B27" s="6" t="s">
        <v>27</v>
      </c>
      <c r="C27" s="7">
        <f t="shared" si="12"/>
        <v>22</v>
      </c>
      <c r="D27" s="8">
        <v>0</v>
      </c>
      <c r="E27" s="8">
        <v>22</v>
      </c>
      <c r="F27" s="8">
        <v>45</v>
      </c>
      <c r="G27" s="9">
        <f t="shared" si="13"/>
        <v>0</v>
      </c>
      <c r="H27" s="8">
        <v>0</v>
      </c>
      <c r="I27" s="8">
        <v>0</v>
      </c>
      <c r="J27" s="8">
        <v>0</v>
      </c>
      <c r="K27" s="9">
        <f t="shared" si="14"/>
        <v>2.6182670370692831</v>
      </c>
      <c r="L27" s="9">
        <f t="shared" si="14"/>
        <v>2.3594000418604768</v>
      </c>
      <c r="M27" s="8">
        <f t="shared" si="0"/>
        <v>0</v>
      </c>
      <c r="N27" s="8">
        <f t="shared" si="1"/>
        <v>0</v>
      </c>
      <c r="O27" s="8">
        <f t="shared" si="2"/>
        <v>2.6182670370692831</v>
      </c>
      <c r="P27" s="8">
        <f t="shared" si="3"/>
        <v>2.3594000418604768</v>
      </c>
      <c r="Q27" s="8">
        <f t="shared" si="4"/>
        <v>5.3555462121871695</v>
      </c>
      <c r="R27" s="8">
        <f t="shared" si="5"/>
        <v>4.826045540169158</v>
      </c>
      <c r="S27" s="9">
        <f t="shared" si="15"/>
        <v>0</v>
      </c>
      <c r="T27" s="9">
        <f t="shared" si="15"/>
        <v>0</v>
      </c>
      <c r="U27" s="8">
        <f t="shared" si="6"/>
        <v>0</v>
      </c>
      <c r="V27" s="8">
        <f t="shared" si="7"/>
        <v>0</v>
      </c>
      <c r="W27" s="8">
        <f t="shared" si="8"/>
        <v>0</v>
      </c>
      <c r="X27" s="8">
        <f t="shared" si="9"/>
        <v>0</v>
      </c>
      <c r="Y27" s="8">
        <f t="shared" si="10"/>
        <v>0</v>
      </c>
      <c r="Z27" s="8">
        <f t="shared" si="11"/>
        <v>0</v>
      </c>
      <c r="AA27" s="10">
        <v>932.44043441874999</v>
      </c>
      <c r="AB27" s="11">
        <v>840.25042856688003</v>
      </c>
    </row>
    <row r="28" spans="1:29" x14ac:dyDescent="0.35">
      <c r="A28" s="13" t="s">
        <v>53</v>
      </c>
      <c r="B28" s="6" t="s">
        <v>27</v>
      </c>
      <c r="C28" s="7">
        <f t="shared" si="12"/>
        <v>11.088515533797038</v>
      </c>
      <c r="D28" s="14">
        <v>0.31570903379703813</v>
      </c>
      <c r="E28" s="8">
        <v>10.7728065</v>
      </c>
      <c r="F28" s="8">
        <v>0</v>
      </c>
      <c r="G28" s="9">
        <f t="shared" si="13"/>
        <v>6.6522016324629796</v>
      </c>
      <c r="H28" s="34">
        <v>2.7058387100000001</v>
      </c>
      <c r="I28" s="8">
        <v>3.9463629224629799</v>
      </c>
      <c r="J28" s="8"/>
      <c r="K28" s="9">
        <f t="shared" si="14"/>
        <v>5.4639624481968951</v>
      </c>
      <c r="L28" s="9">
        <f t="shared" si="14"/>
        <v>5.7165015304406683</v>
      </c>
      <c r="M28" s="8">
        <f t="shared" si="0"/>
        <v>0.15556837161527984</v>
      </c>
      <c r="N28" s="8">
        <f t="shared" si="1"/>
        <v>0.16275859192999773</v>
      </c>
      <c r="O28" s="8">
        <f t="shared" si="2"/>
        <v>5.3083940765816156</v>
      </c>
      <c r="P28" s="8">
        <f t="shared" si="3"/>
        <v>5.5537429385106707</v>
      </c>
      <c r="Q28" s="8">
        <f t="shared" si="4"/>
        <v>0</v>
      </c>
      <c r="R28" s="8">
        <f t="shared" si="5"/>
        <v>0</v>
      </c>
      <c r="S28" s="9">
        <f t="shared" si="15"/>
        <v>3.2779301978544808</v>
      </c>
      <c r="T28" s="9">
        <f t="shared" si="15"/>
        <v>3.4294329747629302</v>
      </c>
      <c r="U28" s="8">
        <f t="shared" si="6"/>
        <v>1.3333255526634809</v>
      </c>
      <c r="V28" s="8">
        <f t="shared" si="7"/>
        <v>1.3949505756379568</v>
      </c>
      <c r="W28" s="8">
        <f t="shared" si="8"/>
        <v>1.9446046451909997</v>
      </c>
      <c r="X28" s="8">
        <f t="shared" si="9"/>
        <v>2.0344823991249732</v>
      </c>
      <c r="Y28" s="8">
        <f t="shared" si="10"/>
        <v>0</v>
      </c>
      <c r="Z28" s="8">
        <f t="shared" si="11"/>
        <v>0</v>
      </c>
      <c r="AA28" s="10">
        <v>193.97380504054999</v>
      </c>
      <c r="AB28" s="11">
        <v>202.93908750153</v>
      </c>
    </row>
    <row r="29" spans="1:29" x14ac:dyDescent="0.35">
      <c r="A29" s="13" t="s">
        <v>54</v>
      </c>
      <c r="B29" s="6" t="s">
        <v>27</v>
      </c>
      <c r="C29" s="7">
        <f t="shared" si="12"/>
        <v>8.1</v>
      </c>
      <c r="D29" s="8">
        <v>0</v>
      </c>
      <c r="E29" s="8">
        <v>8.1</v>
      </c>
      <c r="F29" s="8">
        <v>0</v>
      </c>
      <c r="G29" s="9">
        <f t="shared" si="13"/>
        <v>10.6</v>
      </c>
      <c r="H29" s="8">
        <v>5.3</v>
      </c>
      <c r="I29" s="8">
        <v>5.3</v>
      </c>
      <c r="J29" s="8">
        <v>0</v>
      </c>
      <c r="K29" s="9">
        <f t="shared" si="14"/>
        <v>1.9744090578931335</v>
      </c>
      <c r="L29" s="9">
        <f t="shared" si="14"/>
        <v>2.4511712488266704</v>
      </c>
      <c r="M29" s="8">
        <f t="shared" si="0"/>
        <v>0</v>
      </c>
      <c r="N29" s="8">
        <f t="shared" si="1"/>
        <v>0</v>
      </c>
      <c r="O29" s="8">
        <f t="shared" si="2"/>
        <v>1.9744090578931335</v>
      </c>
      <c r="P29" s="8">
        <f t="shared" si="3"/>
        <v>2.4511712488266704</v>
      </c>
      <c r="Q29" s="8">
        <f t="shared" si="4"/>
        <v>0</v>
      </c>
      <c r="R29" s="8">
        <f t="shared" si="5"/>
        <v>0</v>
      </c>
      <c r="S29" s="9">
        <f t="shared" si="15"/>
        <v>2.5837945695885449</v>
      </c>
      <c r="T29" s="9">
        <f t="shared" si="15"/>
        <v>3.2077055848842844</v>
      </c>
      <c r="U29" s="8">
        <f t="shared" si="6"/>
        <v>1.2918972847942725</v>
      </c>
      <c r="V29" s="8">
        <f t="shared" si="7"/>
        <v>1.6038527924421422</v>
      </c>
      <c r="W29" s="8">
        <f t="shared" si="8"/>
        <v>1.2918972847942725</v>
      </c>
      <c r="X29" s="8">
        <f t="shared" si="9"/>
        <v>1.6038527924421422</v>
      </c>
      <c r="Y29" s="8">
        <f t="shared" si="10"/>
        <v>0</v>
      </c>
      <c r="Z29" s="8">
        <f t="shared" si="11"/>
        <v>0</v>
      </c>
      <c r="AA29" s="10">
        <v>330.45426768437</v>
      </c>
      <c r="AB29" s="11">
        <v>410.24933347112</v>
      </c>
      <c r="AC29" s="18"/>
    </row>
    <row r="30" spans="1:29" x14ac:dyDescent="0.35">
      <c r="A30" s="13" t="s">
        <v>55</v>
      </c>
      <c r="B30" s="6" t="s">
        <v>27</v>
      </c>
      <c r="C30" s="7">
        <f t="shared" si="12"/>
        <v>7.2019168054595077</v>
      </c>
      <c r="D30" s="26">
        <v>1.8290582363071768</v>
      </c>
      <c r="E30" s="26">
        <v>5.3728585691523305</v>
      </c>
      <c r="F30" s="26">
        <v>9.0309750417666859</v>
      </c>
      <c r="G30" s="9">
        <f t="shared" si="13"/>
        <v>14.861098169995811</v>
      </c>
      <c r="H30" s="26">
        <v>0</v>
      </c>
      <c r="I30" s="26">
        <v>14.861098169995811</v>
      </c>
      <c r="J30" s="26">
        <v>0</v>
      </c>
      <c r="K30" s="9">
        <f t="shared" si="14"/>
        <v>3.2388197867879107</v>
      </c>
      <c r="L30" s="9">
        <f t="shared" si="14"/>
        <v>2.1106625637775824</v>
      </c>
      <c r="M30" s="8">
        <f t="shared" si="0"/>
        <v>0.82255740616835848</v>
      </c>
      <c r="N30" s="8">
        <f t="shared" si="1"/>
        <v>0.53604128603875123</v>
      </c>
      <c r="O30" s="8">
        <f t="shared" si="2"/>
        <v>2.4162623806195525</v>
      </c>
      <c r="P30" s="8">
        <f t="shared" si="3"/>
        <v>1.5746212777388313</v>
      </c>
      <c r="Q30" s="8">
        <f t="shared" si="4"/>
        <v>4.0613771929562708</v>
      </c>
      <c r="R30" s="8">
        <f t="shared" si="5"/>
        <v>2.6467038498163342</v>
      </c>
      <c r="S30" s="9">
        <f t="shared" si="15"/>
        <v>6.6832789251179126</v>
      </c>
      <c r="T30" s="9">
        <f t="shared" si="15"/>
        <v>4.3553354490648539</v>
      </c>
      <c r="U30" s="8">
        <f t="shared" si="6"/>
        <v>0</v>
      </c>
      <c r="V30" s="8">
        <f t="shared" si="7"/>
        <v>0</v>
      </c>
      <c r="W30" s="8">
        <f t="shared" si="8"/>
        <v>6.6832789251179126</v>
      </c>
      <c r="X30" s="8">
        <f t="shared" si="9"/>
        <v>4.3553354490648539</v>
      </c>
      <c r="Y30" s="8">
        <f t="shared" si="10"/>
        <v>0</v>
      </c>
      <c r="Z30" s="8">
        <f t="shared" si="11"/>
        <v>0</v>
      </c>
      <c r="AA30" s="10">
        <v>341.21592570296002</v>
      </c>
      <c r="AB30" s="11">
        <v>222.36238134761999</v>
      </c>
    </row>
    <row r="31" spans="1:29" x14ac:dyDescent="0.35">
      <c r="A31" s="13" t="s">
        <v>56</v>
      </c>
      <c r="B31" s="6" t="s">
        <v>27</v>
      </c>
      <c r="C31" s="7">
        <f t="shared" si="12"/>
        <v>2.5149550749223684</v>
      </c>
      <c r="D31" s="26">
        <v>0.18290582363071767</v>
      </c>
      <c r="E31" s="26">
        <v>2.3320492512916506</v>
      </c>
      <c r="F31" s="26">
        <v>1.4060885191611421</v>
      </c>
      <c r="G31" s="9">
        <f t="shared" si="13"/>
        <v>4.5840772047448617</v>
      </c>
      <c r="H31" s="26">
        <v>0</v>
      </c>
      <c r="I31" s="26">
        <v>4.5840772047448617</v>
      </c>
      <c r="J31" s="26">
        <v>0</v>
      </c>
      <c r="K31" s="9">
        <f t="shared" si="14"/>
        <v>2.52787094908023</v>
      </c>
      <c r="L31" s="9">
        <f t="shared" si="14"/>
        <v>1.3840355185893003</v>
      </c>
      <c r="M31" s="8">
        <f t="shared" si="0"/>
        <v>0.18384515993310763</v>
      </c>
      <c r="N31" s="8">
        <f t="shared" si="1"/>
        <v>0.10065712862467636</v>
      </c>
      <c r="O31" s="8">
        <f t="shared" si="2"/>
        <v>2.3440257891471226</v>
      </c>
      <c r="P31" s="8">
        <f t="shared" si="3"/>
        <v>1.2833783899646238</v>
      </c>
      <c r="Q31" s="8">
        <f t="shared" si="4"/>
        <v>1.4133096669857648</v>
      </c>
      <c r="R31" s="8">
        <f t="shared" si="5"/>
        <v>0.77380167630219954</v>
      </c>
      <c r="S31" s="9">
        <f t="shared" si="15"/>
        <v>4.6076193208235097</v>
      </c>
      <c r="T31" s="9">
        <f t="shared" si="15"/>
        <v>2.5227192861559513</v>
      </c>
      <c r="U31" s="8">
        <f t="shared" si="6"/>
        <v>0</v>
      </c>
      <c r="V31" s="8">
        <f t="shared" si="7"/>
        <v>0</v>
      </c>
      <c r="W31" s="8">
        <f t="shared" si="8"/>
        <v>4.6076193208235097</v>
      </c>
      <c r="X31" s="8">
        <f t="shared" si="9"/>
        <v>2.5227192861559513</v>
      </c>
      <c r="Y31" s="8">
        <f t="shared" si="10"/>
        <v>0</v>
      </c>
      <c r="Z31" s="8">
        <f t="shared" si="11"/>
        <v>0</v>
      </c>
      <c r="AA31" s="10">
        <v>181.71174374815001</v>
      </c>
      <c r="AB31" s="11">
        <v>99.489061173690004</v>
      </c>
    </row>
    <row r="32" spans="1:29" x14ac:dyDescent="0.35">
      <c r="A32" s="13" t="s">
        <v>57</v>
      </c>
      <c r="B32" s="6" t="s">
        <v>27</v>
      </c>
      <c r="C32" s="7">
        <f t="shared" si="12"/>
        <v>4.1153810316911672</v>
      </c>
      <c r="D32" s="26">
        <v>0.11431613976919908</v>
      </c>
      <c r="E32" s="26">
        <v>4.0010648919219678</v>
      </c>
      <c r="F32" s="26">
        <v>0</v>
      </c>
      <c r="G32" s="9">
        <f t="shared" si="13"/>
        <v>3.3151680533067727</v>
      </c>
      <c r="H32" s="26">
        <v>0.68589683861519435</v>
      </c>
      <c r="I32" s="26">
        <v>2.6292712146915784</v>
      </c>
      <c r="J32" s="26">
        <v>0.11431613976919908</v>
      </c>
      <c r="K32" s="9">
        <f t="shared" si="14"/>
        <v>8.1625269737342627</v>
      </c>
      <c r="L32" s="9">
        <f t="shared" si="14"/>
        <v>5.4123140293972885</v>
      </c>
      <c r="M32" s="8">
        <f t="shared" si="0"/>
        <v>0.22673686038150731</v>
      </c>
      <c r="N32" s="8">
        <f t="shared" si="1"/>
        <v>0.1503420563721469</v>
      </c>
      <c r="O32" s="8">
        <f t="shared" si="2"/>
        <v>7.9357901133527555</v>
      </c>
      <c r="P32" s="8">
        <f t="shared" si="3"/>
        <v>5.2619719730251413</v>
      </c>
      <c r="Q32" s="8">
        <f t="shared" si="4"/>
        <v>0</v>
      </c>
      <c r="R32" s="8">
        <f t="shared" si="5"/>
        <v>0</v>
      </c>
      <c r="S32" s="9">
        <f t="shared" si="15"/>
        <v>6.5753689510637106</v>
      </c>
      <c r="T32" s="9">
        <f t="shared" si="15"/>
        <v>4.3599196347922593</v>
      </c>
      <c r="U32" s="8">
        <f t="shared" si="6"/>
        <v>1.3604211622890434</v>
      </c>
      <c r="V32" s="8">
        <f t="shared" si="7"/>
        <v>0.90205233823288122</v>
      </c>
      <c r="W32" s="8">
        <f t="shared" si="8"/>
        <v>5.2149477887746674</v>
      </c>
      <c r="X32" s="8">
        <f t="shared" si="9"/>
        <v>3.4578672965593782</v>
      </c>
      <c r="Y32" s="8">
        <f t="shared" si="10"/>
        <v>0.22673686038150731</v>
      </c>
      <c r="Z32" s="8">
        <f t="shared" si="11"/>
        <v>0.1503420563721469</v>
      </c>
      <c r="AA32" s="10">
        <v>76.037366075549997</v>
      </c>
      <c r="AB32" s="11">
        <v>50.417977728389999</v>
      </c>
      <c r="AC32" s="19"/>
    </row>
    <row r="33" spans="1:29" x14ac:dyDescent="0.35">
      <c r="A33" s="13" t="s">
        <v>58</v>
      </c>
      <c r="B33" s="6" t="s">
        <v>27</v>
      </c>
      <c r="C33" s="7">
        <f t="shared" si="12"/>
        <v>11</v>
      </c>
      <c r="D33" s="8">
        <v>0</v>
      </c>
      <c r="E33" s="8">
        <v>11</v>
      </c>
      <c r="F33" s="8">
        <v>0</v>
      </c>
      <c r="G33" s="9">
        <f t="shared" si="13"/>
        <v>25</v>
      </c>
      <c r="H33" s="8">
        <v>0</v>
      </c>
      <c r="I33" s="8">
        <v>25</v>
      </c>
      <c r="J33" s="8">
        <v>0</v>
      </c>
      <c r="K33" s="9">
        <f t="shared" si="14"/>
        <v>2.0006500950731745</v>
      </c>
      <c r="L33" s="9">
        <f t="shared" si="14"/>
        <v>2.111306177863205</v>
      </c>
      <c r="M33" s="8">
        <f t="shared" si="0"/>
        <v>0</v>
      </c>
      <c r="N33" s="8">
        <f t="shared" si="1"/>
        <v>0</v>
      </c>
      <c r="O33" s="8">
        <f t="shared" si="2"/>
        <v>2.0006500950731745</v>
      </c>
      <c r="P33" s="8">
        <f t="shared" si="3"/>
        <v>2.111306177863205</v>
      </c>
      <c r="Q33" s="8">
        <f t="shared" si="4"/>
        <v>0</v>
      </c>
      <c r="R33" s="8">
        <f t="shared" si="5"/>
        <v>0</v>
      </c>
      <c r="S33" s="9">
        <f t="shared" si="15"/>
        <v>4.5469320342572148</v>
      </c>
      <c r="T33" s="9">
        <f t="shared" si="15"/>
        <v>4.7984231315072847</v>
      </c>
      <c r="U33" s="8">
        <f t="shared" si="6"/>
        <v>0</v>
      </c>
      <c r="V33" s="8">
        <f t="shared" si="7"/>
        <v>0</v>
      </c>
      <c r="W33" s="8">
        <f t="shared" si="8"/>
        <v>4.5469320342572148</v>
      </c>
      <c r="X33" s="8">
        <f t="shared" si="9"/>
        <v>4.7984231315072847</v>
      </c>
      <c r="Y33" s="8">
        <f t="shared" si="10"/>
        <v>0</v>
      </c>
      <c r="Z33" s="8">
        <f t="shared" si="11"/>
        <v>0</v>
      </c>
      <c r="AA33" s="10">
        <v>521.00449074291998</v>
      </c>
      <c r="AB33" s="11">
        <v>549.82128194673999</v>
      </c>
    </row>
    <row r="34" spans="1:29" x14ac:dyDescent="0.35">
      <c r="A34" s="13" t="s">
        <v>59</v>
      </c>
      <c r="B34" s="6" t="s">
        <v>27</v>
      </c>
      <c r="C34" s="7">
        <f t="shared" si="12"/>
        <v>1.6825977000000001</v>
      </c>
      <c r="D34" s="8">
        <v>0</v>
      </c>
      <c r="E34" s="8">
        <v>1.6825977000000001</v>
      </c>
      <c r="F34" s="8">
        <v>0</v>
      </c>
      <c r="G34" s="9">
        <f t="shared" si="13"/>
        <v>0.21161296000000002</v>
      </c>
      <c r="H34" s="34">
        <f>0.0516129+0.05677419</f>
        <v>0.10838709000000001</v>
      </c>
      <c r="I34" s="34">
        <f>0.10322587</f>
        <v>0.10322587</v>
      </c>
      <c r="J34" s="8">
        <v>0</v>
      </c>
      <c r="K34" s="9">
        <f t="shared" si="14"/>
        <v>0.22521425078179022</v>
      </c>
      <c r="L34" s="9">
        <f t="shared" si="14"/>
        <v>0.28479302795803385</v>
      </c>
      <c r="M34" s="8">
        <f t="shared" si="0"/>
        <v>0</v>
      </c>
      <c r="N34" s="8">
        <f t="shared" si="1"/>
        <v>0</v>
      </c>
      <c r="O34" s="8">
        <f t="shared" si="2"/>
        <v>0.22521425078179022</v>
      </c>
      <c r="P34" s="8">
        <f t="shared" si="3"/>
        <v>0.28479302795803385</v>
      </c>
      <c r="Q34" s="8">
        <f t="shared" si="4"/>
        <v>0</v>
      </c>
      <c r="R34" s="8">
        <f t="shared" si="5"/>
        <v>0</v>
      </c>
      <c r="S34" s="9">
        <f t="shared" si="15"/>
        <v>2.8324212164391373E-2</v>
      </c>
      <c r="T34" s="9">
        <f t="shared" si="15"/>
        <v>3.5817174618485631E-2</v>
      </c>
      <c r="U34" s="8">
        <f t="shared" si="6"/>
        <v>1.4507518504731386E-2</v>
      </c>
      <c r="V34" s="8">
        <f t="shared" si="7"/>
        <v>1.8345376053146827E-2</v>
      </c>
      <c r="W34" s="8">
        <f t="shared" si="8"/>
        <v>1.3816693659659988E-2</v>
      </c>
      <c r="X34" s="8">
        <f t="shared" si="9"/>
        <v>1.74717985653388E-2</v>
      </c>
      <c r="Y34" s="8">
        <f t="shared" si="10"/>
        <v>0</v>
      </c>
      <c r="Z34" s="8">
        <f t="shared" si="11"/>
        <v>0</v>
      </c>
      <c r="AA34" s="10">
        <v>590.81421763174001</v>
      </c>
      <c r="AB34" s="11">
        <v>747.10978286638999</v>
      </c>
      <c r="AC34" s="18"/>
    </row>
    <row r="35" spans="1:29" x14ac:dyDescent="0.35">
      <c r="A35" s="6" t="s">
        <v>60</v>
      </c>
      <c r="B35" s="6" t="s">
        <v>27</v>
      </c>
      <c r="C35" s="7">
        <f t="shared" si="12"/>
        <v>4.5999999999999996</v>
      </c>
      <c r="D35" s="8">
        <v>1</v>
      </c>
      <c r="E35" s="8">
        <v>3.6</v>
      </c>
      <c r="F35" s="8">
        <v>4.7152702260000003</v>
      </c>
      <c r="G35" s="9">
        <f t="shared" si="13"/>
        <v>2.4</v>
      </c>
      <c r="H35" s="8">
        <v>2.4</v>
      </c>
      <c r="I35" s="8">
        <v>0</v>
      </c>
      <c r="J35" s="8">
        <v>0</v>
      </c>
      <c r="K35" s="9">
        <f t="shared" si="14"/>
        <v>1.7559969186421984</v>
      </c>
      <c r="L35" s="9">
        <f t="shared" si="14"/>
        <v>1.0424015476762831</v>
      </c>
      <c r="M35" s="8">
        <f t="shared" si="0"/>
        <v>0.38173846057439093</v>
      </c>
      <c r="N35" s="8">
        <f t="shared" si="1"/>
        <v>0.2266090321035398</v>
      </c>
      <c r="O35" s="8">
        <f t="shared" si="2"/>
        <v>1.3742584580678074</v>
      </c>
      <c r="P35" s="8">
        <f t="shared" si="3"/>
        <v>0.81579251557274324</v>
      </c>
      <c r="Q35" s="8">
        <f t="shared" si="4"/>
        <v>1.7999999972655005</v>
      </c>
      <c r="R35" s="8">
        <f t="shared" si="5"/>
        <v>1.0685228220204994</v>
      </c>
      <c r="S35" s="9">
        <f t="shared" si="15"/>
        <v>0.91617230537853822</v>
      </c>
      <c r="T35" s="9">
        <f t="shared" si="15"/>
        <v>0.54386167704849553</v>
      </c>
      <c r="U35" s="8">
        <f t="shared" si="6"/>
        <v>0.91617230537853822</v>
      </c>
      <c r="V35" s="8">
        <f t="shared" si="7"/>
        <v>0.54386167704849553</v>
      </c>
      <c r="W35" s="8">
        <f t="shared" si="8"/>
        <v>0</v>
      </c>
      <c r="X35" s="8">
        <f t="shared" si="9"/>
        <v>0</v>
      </c>
      <c r="Y35" s="8">
        <f t="shared" si="10"/>
        <v>0</v>
      </c>
      <c r="Z35" s="8">
        <f t="shared" si="11"/>
        <v>0</v>
      </c>
      <c r="AA35" s="10">
        <v>441.28867711817003</v>
      </c>
      <c r="AB35" s="11">
        <v>261.95945739796002</v>
      </c>
    </row>
    <row r="36" spans="1:29" x14ac:dyDescent="0.35">
      <c r="A36" s="6" t="s">
        <v>61</v>
      </c>
      <c r="B36" s="6" t="s">
        <v>27</v>
      </c>
      <c r="C36" s="7">
        <f t="shared" si="12"/>
        <v>0</v>
      </c>
      <c r="D36" s="8">
        <v>0</v>
      </c>
      <c r="E36" s="8">
        <v>0</v>
      </c>
      <c r="F36" s="8">
        <v>0</v>
      </c>
      <c r="G36" s="9">
        <f t="shared" si="13"/>
        <v>0.1</v>
      </c>
      <c r="H36" s="8">
        <v>0.1</v>
      </c>
      <c r="I36" s="8">
        <v>0</v>
      </c>
      <c r="J36" s="8">
        <v>0</v>
      </c>
      <c r="K36" s="9">
        <f t="shared" si="14"/>
        <v>0</v>
      </c>
      <c r="L36" s="9">
        <f t="shared" si="14"/>
        <v>0</v>
      </c>
      <c r="M36" s="8">
        <f t="shared" si="0"/>
        <v>0</v>
      </c>
      <c r="N36" s="8">
        <f t="shared" si="1"/>
        <v>0</v>
      </c>
      <c r="O36" s="8">
        <f t="shared" si="2"/>
        <v>0</v>
      </c>
      <c r="P36" s="8">
        <f t="shared" si="3"/>
        <v>0</v>
      </c>
      <c r="Q36" s="8">
        <f t="shared" si="4"/>
        <v>0</v>
      </c>
      <c r="R36" s="8">
        <f t="shared" si="5"/>
        <v>0</v>
      </c>
      <c r="S36" s="9">
        <f t="shared" si="15"/>
        <v>3.111333402933561E-2</v>
      </c>
      <c r="T36" s="9">
        <f t="shared" si="15"/>
        <v>1.4482906740415585E-2</v>
      </c>
      <c r="U36" s="8">
        <f t="shared" si="6"/>
        <v>3.111333402933561E-2</v>
      </c>
      <c r="V36" s="8">
        <f t="shared" si="7"/>
        <v>1.4482906740415585E-2</v>
      </c>
      <c r="W36" s="8">
        <f t="shared" si="8"/>
        <v>0</v>
      </c>
      <c r="X36" s="8">
        <f t="shared" si="9"/>
        <v>0</v>
      </c>
      <c r="Y36" s="8">
        <f t="shared" si="10"/>
        <v>0</v>
      </c>
      <c r="Z36" s="8">
        <f t="shared" si="11"/>
        <v>0</v>
      </c>
      <c r="AA36" s="10">
        <v>690.46912883131995</v>
      </c>
      <c r="AB36" s="11">
        <v>321.40560669490998</v>
      </c>
    </row>
    <row r="37" spans="1:29" x14ac:dyDescent="0.35">
      <c r="A37" s="6" t="s">
        <v>62</v>
      </c>
      <c r="B37" s="6" t="s">
        <v>27</v>
      </c>
      <c r="C37" s="7">
        <f t="shared" si="12"/>
        <v>0.71743400000000002</v>
      </c>
      <c r="D37" s="8">
        <v>0.17</v>
      </c>
      <c r="E37" s="8">
        <v>0.54743399999999998</v>
      </c>
      <c r="F37" s="8">
        <v>0</v>
      </c>
      <c r="G37" s="9">
        <f t="shared" si="13"/>
        <v>0</v>
      </c>
      <c r="H37" s="8">
        <v>0</v>
      </c>
      <c r="I37" s="8">
        <v>0</v>
      </c>
      <c r="J37" s="8">
        <v>0</v>
      </c>
      <c r="K37" s="9">
        <f t="shared" si="14"/>
        <v>1.1143308580281421</v>
      </c>
      <c r="L37" s="9">
        <f t="shared" si="14"/>
        <v>0.7863713384702169</v>
      </c>
      <c r="M37" s="8">
        <f t="shared" si="0"/>
        <v>0.26404693095780818</v>
      </c>
      <c r="N37" s="8">
        <f t="shared" si="1"/>
        <v>0.18633508802194609</v>
      </c>
      <c r="O37" s="8">
        <f t="shared" si="2"/>
        <v>0.85028392707033384</v>
      </c>
      <c r="P37" s="8">
        <f t="shared" si="3"/>
        <v>0.6000362504482708</v>
      </c>
      <c r="Q37" s="8">
        <f t="shared" si="4"/>
        <v>0</v>
      </c>
      <c r="R37" s="8">
        <f t="shared" si="5"/>
        <v>0</v>
      </c>
      <c r="S37" s="9">
        <f t="shared" si="15"/>
        <v>0</v>
      </c>
      <c r="T37" s="9">
        <f t="shared" si="15"/>
        <v>0</v>
      </c>
      <c r="U37" s="8">
        <f t="shared" si="6"/>
        <v>0</v>
      </c>
      <c r="V37" s="8">
        <f t="shared" si="7"/>
        <v>0</v>
      </c>
      <c r="W37" s="8">
        <f t="shared" si="8"/>
        <v>0</v>
      </c>
      <c r="X37" s="8">
        <f t="shared" si="9"/>
        <v>0</v>
      </c>
      <c r="Y37" s="8">
        <f t="shared" si="10"/>
        <v>0</v>
      </c>
      <c r="Z37" s="8">
        <f t="shared" si="11"/>
        <v>0</v>
      </c>
      <c r="AA37" s="10">
        <v>91.233487908610002</v>
      </c>
      <c r="AB37" s="11">
        <v>64.38249419652</v>
      </c>
    </row>
    <row r="38" spans="1:29" x14ac:dyDescent="0.35">
      <c r="A38" s="6" t="s">
        <v>63</v>
      </c>
      <c r="B38" s="6" t="s">
        <v>27</v>
      </c>
      <c r="C38" s="7">
        <f t="shared" si="12"/>
        <v>4.4197489986439065</v>
      </c>
      <c r="D38" s="8">
        <v>0</v>
      </c>
      <c r="E38" s="20">
        <v>4.4197489986439065</v>
      </c>
      <c r="F38" s="8">
        <v>0</v>
      </c>
      <c r="G38" s="9">
        <f t="shared" si="13"/>
        <v>0</v>
      </c>
      <c r="H38" s="8">
        <v>0</v>
      </c>
      <c r="I38" s="8">
        <v>0</v>
      </c>
      <c r="J38" s="8">
        <v>0</v>
      </c>
      <c r="K38" s="9">
        <f t="shared" si="14"/>
        <v>2.998798899106466</v>
      </c>
      <c r="L38" s="9">
        <f t="shared" si="14"/>
        <v>1.4262400226188992</v>
      </c>
      <c r="M38" s="8">
        <f t="shared" si="0"/>
        <v>0</v>
      </c>
      <c r="N38" s="8">
        <f t="shared" si="1"/>
        <v>0</v>
      </c>
      <c r="O38" s="8">
        <f t="shared" si="2"/>
        <v>2.998798899106466</v>
      </c>
      <c r="P38" s="8">
        <f t="shared" si="3"/>
        <v>1.4262400226188992</v>
      </c>
      <c r="Q38" s="8">
        <f t="shared" si="4"/>
        <v>0</v>
      </c>
      <c r="R38" s="8">
        <f t="shared" si="5"/>
        <v>0</v>
      </c>
      <c r="S38" s="9">
        <f t="shared" si="15"/>
        <v>0</v>
      </c>
      <c r="T38" s="9">
        <f t="shared" si="15"/>
        <v>0</v>
      </c>
      <c r="U38" s="8">
        <f t="shared" si="6"/>
        <v>0</v>
      </c>
      <c r="V38" s="8">
        <f t="shared" si="7"/>
        <v>0</v>
      </c>
      <c r="W38" s="8">
        <f t="shared" si="8"/>
        <v>0</v>
      </c>
      <c r="X38" s="8">
        <f t="shared" si="9"/>
        <v>0</v>
      </c>
      <c r="Y38" s="8">
        <f t="shared" si="10"/>
        <v>0</v>
      </c>
      <c r="Z38" s="8">
        <f t="shared" si="11"/>
        <v>0</v>
      </c>
      <c r="AA38" s="10">
        <v>309.88816247970999</v>
      </c>
      <c r="AB38" s="11">
        <v>147.38397429586999</v>
      </c>
    </row>
    <row r="39" spans="1:29" x14ac:dyDescent="0.35">
      <c r="A39" s="6" t="s">
        <v>64</v>
      </c>
      <c r="B39" s="6" t="s">
        <v>27</v>
      </c>
      <c r="C39" s="7">
        <f t="shared" si="12"/>
        <v>17</v>
      </c>
      <c r="D39" s="8">
        <v>8</v>
      </c>
      <c r="E39" s="8">
        <v>9</v>
      </c>
      <c r="F39" s="8">
        <v>0</v>
      </c>
      <c r="G39" s="9">
        <f t="shared" si="13"/>
        <v>17</v>
      </c>
      <c r="H39" s="8">
        <v>0</v>
      </c>
      <c r="I39" s="8">
        <v>17</v>
      </c>
      <c r="J39" s="8">
        <v>0</v>
      </c>
      <c r="K39" s="9">
        <f t="shared" si="14"/>
        <v>2.9746119470950942</v>
      </c>
      <c r="L39" s="9">
        <f t="shared" si="14"/>
        <v>1.3986901541599801</v>
      </c>
      <c r="M39" s="8">
        <f t="shared" si="0"/>
        <v>1.3998173868682795</v>
      </c>
      <c r="N39" s="8">
        <f t="shared" si="1"/>
        <v>0.65820713136940245</v>
      </c>
      <c r="O39" s="8">
        <f t="shared" si="2"/>
        <v>1.5747945602268145</v>
      </c>
      <c r="P39" s="8">
        <f t="shared" si="3"/>
        <v>0.74048302279057776</v>
      </c>
      <c r="Q39" s="8">
        <f t="shared" si="4"/>
        <v>0</v>
      </c>
      <c r="R39" s="8">
        <f t="shared" si="5"/>
        <v>0</v>
      </c>
      <c r="S39" s="9">
        <f t="shared" si="15"/>
        <v>2.9746119470950938</v>
      </c>
      <c r="T39" s="9">
        <f t="shared" si="15"/>
        <v>1.3986901541599803</v>
      </c>
      <c r="U39" s="8">
        <f t="shared" si="6"/>
        <v>0</v>
      </c>
      <c r="V39" s="8">
        <f t="shared" si="7"/>
        <v>0</v>
      </c>
      <c r="W39" s="8">
        <f t="shared" si="8"/>
        <v>2.9746119470950938</v>
      </c>
      <c r="X39" s="8">
        <f t="shared" si="9"/>
        <v>1.3986901541599803</v>
      </c>
      <c r="Y39" s="8">
        <f t="shared" si="10"/>
        <v>0</v>
      </c>
      <c r="Z39" s="8">
        <f t="shared" si="11"/>
        <v>0</v>
      </c>
      <c r="AA39" s="10">
        <v>1215.4228689920101</v>
      </c>
      <c r="AB39" s="11">
        <v>571.50311712429004</v>
      </c>
    </row>
    <row r="40" spans="1:29" x14ac:dyDescent="0.35">
      <c r="A40" s="6" t="s">
        <v>26</v>
      </c>
      <c r="B40" s="21" t="s">
        <v>65</v>
      </c>
      <c r="C40" s="7">
        <f t="shared" si="12"/>
        <v>110.3718152195127</v>
      </c>
      <c r="D40" s="14">
        <v>3.2712452643601866</v>
      </c>
      <c r="E40" s="14">
        <v>107.10056995515251</v>
      </c>
      <c r="F40" s="14">
        <v>0</v>
      </c>
      <c r="G40" s="9">
        <f t="shared" si="13"/>
        <v>22.898716850521307</v>
      </c>
      <c r="H40" s="14">
        <v>9.8137357930805607</v>
      </c>
      <c r="I40" s="14">
        <v>13.084981057440746</v>
      </c>
      <c r="J40" s="14">
        <v>0</v>
      </c>
      <c r="K40" s="9">
        <f t="shared" si="14"/>
        <v>7.3838494653457909</v>
      </c>
      <c r="L40" s="9">
        <f t="shared" si="14"/>
        <v>8.9988096907691766</v>
      </c>
      <c r="M40" s="8">
        <f t="shared" si="0"/>
        <v>0.21884556803040281</v>
      </c>
      <c r="N40" s="8">
        <f t="shared" si="1"/>
        <v>0.2667104235556958</v>
      </c>
      <c r="O40" s="8">
        <f t="shared" si="2"/>
        <v>7.1650038973153878</v>
      </c>
      <c r="P40" s="8">
        <f t="shared" si="3"/>
        <v>8.7320992672134814</v>
      </c>
      <c r="Q40" s="8">
        <f t="shared" si="4"/>
        <v>0</v>
      </c>
      <c r="R40" s="8">
        <f t="shared" si="5"/>
        <v>0</v>
      </c>
      <c r="S40" s="9">
        <f t="shared" si="15"/>
        <v>1.5319189762128198</v>
      </c>
      <c r="T40" s="9">
        <f t="shared" si="15"/>
        <v>1.8669729648898707</v>
      </c>
      <c r="U40" s="8">
        <f t="shared" si="6"/>
        <v>0.65653670409120857</v>
      </c>
      <c r="V40" s="8">
        <f t="shared" si="7"/>
        <v>0.80013127066708745</v>
      </c>
      <c r="W40" s="8">
        <f t="shared" si="8"/>
        <v>0.87538227212161124</v>
      </c>
      <c r="X40" s="8">
        <f t="shared" si="9"/>
        <v>1.0668416942227832</v>
      </c>
      <c r="Y40" s="8">
        <f t="shared" si="10"/>
        <v>0</v>
      </c>
      <c r="Z40" s="8">
        <f t="shared" si="11"/>
        <v>0</v>
      </c>
      <c r="AA40" s="10">
        <v>1226.51571721458</v>
      </c>
      <c r="AB40" s="11">
        <v>1494.77336635199</v>
      </c>
    </row>
    <row r="41" spans="1:29" x14ac:dyDescent="0.35">
      <c r="A41" s="6" t="s">
        <v>28</v>
      </c>
      <c r="B41" s="21" t="s">
        <v>65</v>
      </c>
      <c r="C41" s="7">
        <f t="shared" si="12"/>
        <v>86.382126693131028</v>
      </c>
      <c r="D41" s="14">
        <v>2.8794042231043675</v>
      </c>
      <c r="E41" s="14">
        <v>83.502722470026654</v>
      </c>
      <c r="F41" s="14">
        <v>61.187339740967808</v>
      </c>
      <c r="G41" s="9">
        <f t="shared" si="13"/>
        <v>50.389573904326426</v>
      </c>
      <c r="H41" s="14">
        <v>3.599255278880459</v>
      </c>
      <c r="I41" s="14">
        <v>46.79031862544597</v>
      </c>
      <c r="J41" s="14">
        <v>0</v>
      </c>
      <c r="K41" s="9">
        <f t="shared" si="14"/>
        <v>5.0914692644726438</v>
      </c>
      <c r="L41" s="9">
        <f t="shared" si="14"/>
        <v>5.0120522479374134</v>
      </c>
      <c r="M41" s="8">
        <f t="shared" si="0"/>
        <v>0.16971564214908816</v>
      </c>
      <c r="N41" s="8">
        <f t="shared" si="1"/>
        <v>0.16706840826458044</v>
      </c>
      <c r="O41" s="8">
        <f t="shared" si="2"/>
        <v>4.9217536223235561</v>
      </c>
      <c r="P41" s="8">
        <f t="shared" si="3"/>
        <v>4.8449838396728326</v>
      </c>
      <c r="Q41" s="8">
        <f t="shared" si="4"/>
        <v>3.606457395668123</v>
      </c>
      <c r="R41" s="8">
        <f t="shared" si="5"/>
        <v>3.5502036756223343</v>
      </c>
      <c r="S41" s="9">
        <f t="shared" si="15"/>
        <v>2.9700237376090426</v>
      </c>
      <c r="T41" s="9">
        <f t="shared" si="15"/>
        <v>2.9236971446301574</v>
      </c>
      <c r="U41" s="8">
        <f t="shared" si="6"/>
        <v>0.21214455268636018</v>
      </c>
      <c r="V41" s="8">
        <f t="shared" si="7"/>
        <v>0.2088355103307255</v>
      </c>
      <c r="W41" s="8">
        <f t="shared" si="8"/>
        <v>2.7578791849226825</v>
      </c>
      <c r="X41" s="8">
        <f t="shared" si="9"/>
        <v>2.7148616342994321</v>
      </c>
      <c r="Y41" s="8">
        <f t="shared" si="10"/>
        <v>0</v>
      </c>
      <c r="Z41" s="8">
        <f t="shared" si="11"/>
        <v>0</v>
      </c>
      <c r="AA41" s="10">
        <v>1723.48815255626</v>
      </c>
      <c r="AB41" s="11">
        <v>1696.60508992738</v>
      </c>
    </row>
    <row r="42" spans="1:29" x14ac:dyDescent="0.35">
      <c r="A42" s="6" t="s">
        <v>29</v>
      </c>
      <c r="B42" s="21" t="s">
        <v>65</v>
      </c>
      <c r="C42" s="7">
        <f t="shared" si="12"/>
        <v>62.619277635451212</v>
      </c>
      <c r="D42" s="14">
        <v>8.7426565634137816</v>
      </c>
      <c r="E42" s="14">
        <v>53.87662107203743</v>
      </c>
      <c r="F42" s="14">
        <v>60.652179908683117</v>
      </c>
      <c r="G42" s="9">
        <f t="shared" si="13"/>
        <v>380.30556050849952</v>
      </c>
      <c r="H42" s="14">
        <v>22.949473478961178</v>
      </c>
      <c r="I42" s="14">
        <v>357.35608702953834</v>
      </c>
      <c r="J42" s="14">
        <v>0</v>
      </c>
      <c r="K42" s="9">
        <f t="shared" si="14"/>
        <v>2.3929600602723173</v>
      </c>
      <c r="L42" s="9">
        <f t="shared" si="14"/>
        <v>2.154019044972471</v>
      </c>
      <c r="M42" s="8">
        <f t="shared" si="0"/>
        <v>0.33409564541323794</v>
      </c>
      <c r="N42" s="8">
        <f t="shared" si="1"/>
        <v>0.30073564327713381</v>
      </c>
      <c r="O42" s="8">
        <f t="shared" si="2"/>
        <v>2.0588644148590793</v>
      </c>
      <c r="P42" s="8">
        <f t="shared" si="3"/>
        <v>1.853283401695337</v>
      </c>
      <c r="Q42" s="8">
        <f t="shared" si="4"/>
        <v>2.3177885400543388</v>
      </c>
      <c r="R42" s="8">
        <f t="shared" si="5"/>
        <v>2.0863535252351162</v>
      </c>
      <c r="S42" s="9">
        <f t="shared" si="15"/>
        <v>14.533160575475851</v>
      </c>
      <c r="T42" s="9">
        <f t="shared" si="15"/>
        <v>13.082000482555321</v>
      </c>
      <c r="U42" s="8">
        <f t="shared" si="6"/>
        <v>0.87700106920974974</v>
      </c>
      <c r="V42" s="8">
        <f t="shared" si="7"/>
        <v>0.78943106360247617</v>
      </c>
      <c r="W42" s="8">
        <f t="shared" si="8"/>
        <v>13.656159506266102</v>
      </c>
      <c r="X42" s="8">
        <f t="shared" si="9"/>
        <v>12.292569418952844</v>
      </c>
      <c r="Y42" s="8">
        <f t="shared" si="10"/>
        <v>0</v>
      </c>
      <c r="Z42" s="8">
        <f t="shared" si="11"/>
        <v>0</v>
      </c>
      <c r="AA42" s="10">
        <v>2907.0902498102801</v>
      </c>
      <c r="AB42" s="11">
        <v>2616.8124857180101</v>
      </c>
    </row>
    <row r="43" spans="1:29" x14ac:dyDescent="0.35">
      <c r="A43" s="6" t="s">
        <v>30</v>
      </c>
      <c r="B43" s="21" t="s">
        <v>65</v>
      </c>
      <c r="C43" s="7">
        <f t="shared" si="12"/>
        <v>332.22094940972295</v>
      </c>
      <c r="D43" s="14">
        <v>25.135137619814568</v>
      </c>
      <c r="E43" s="14">
        <v>307.0858117899084</v>
      </c>
      <c r="F43" s="14">
        <v>0</v>
      </c>
      <c r="G43" s="9">
        <f t="shared" si="13"/>
        <v>1114.6887118352547</v>
      </c>
      <c r="H43" s="14">
        <v>218.56641408534406</v>
      </c>
      <c r="I43" s="14">
        <v>896.12229774991067</v>
      </c>
      <c r="J43" s="14">
        <v>0</v>
      </c>
      <c r="K43" s="9">
        <f t="shared" si="14"/>
        <v>9.2352416604184278</v>
      </c>
      <c r="L43" s="9">
        <f t="shared" si="14"/>
        <v>7.9826558103250989</v>
      </c>
      <c r="M43" s="8">
        <f t="shared" si="0"/>
        <v>0.69871894141323621</v>
      </c>
      <c r="N43" s="8">
        <f t="shared" si="1"/>
        <v>0.60395093301801728</v>
      </c>
      <c r="O43" s="8">
        <f t="shared" si="2"/>
        <v>8.5365227190051911</v>
      </c>
      <c r="P43" s="8">
        <f t="shared" si="3"/>
        <v>7.3787048773070811</v>
      </c>
      <c r="Q43" s="8">
        <f t="shared" si="4"/>
        <v>0</v>
      </c>
      <c r="R43" s="8">
        <f t="shared" si="5"/>
        <v>0</v>
      </c>
      <c r="S43" s="9">
        <f t="shared" si="15"/>
        <v>30.986666097456563</v>
      </c>
      <c r="T43" s="9">
        <f t="shared" si="15"/>
        <v>26.783910942538164</v>
      </c>
      <c r="U43" s="8">
        <f t="shared" si="6"/>
        <v>6.0758168818542284</v>
      </c>
      <c r="V43" s="8">
        <f t="shared" si="7"/>
        <v>5.2517472436349335</v>
      </c>
      <c r="W43" s="8">
        <f t="shared" si="8"/>
        <v>24.910849215602333</v>
      </c>
      <c r="X43" s="8">
        <f t="shared" si="9"/>
        <v>21.532163698903229</v>
      </c>
      <c r="Y43" s="8">
        <f t="shared" si="10"/>
        <v>0</v>
      </c>
      <c r="Z43" s="8">
        <f t="shared" si="11"/>
        <v>0</v>
      </c>
      <c r="AA43" s="10">
        <v>4161.7847155581303</v>
      </c>
      <c r="AB43" s="11">
        <v>3597.3173374942398</v>
      </c>
    </row>
    <row r="44" spans="1:29" x14ac:dyDescent="0.35">
      <c r="A44" s="6" t="s">
        <v>31</v>
      </c>
      <c r="B44" s="21" t="s">
        <v>65</v>
      </c>
      <c r="C44" s="7">
        <f t="shared" si="12"/>
        <v>60.105763873469748</v>
      </c>
      <c r="D44" s="14">
        <v>7.103408457773698</v>
      </c>
      <c r="E44" s="14">
        <v>53.002355415696051</v>
      </c>
      <c r="F44" s="14">
        <v>7.6498244929870598</v>
      </c>
      <c r="G44" s="9">
        <f t="shared" si="13"/>
        <v>582.80734315857126</v>
      </c>
      <c r="H44" s="14">
        <v>3.6063458324081847</v>
      </c>
      <c r="I44" s="14">
        <v>579.20099732616302</v>
      </c>
      <c r="J44" s="14">
        <v>0</v>
      </c>
      <c r="K44" s="9">
        <f t="shared" si="14"/>
        <v>3.1335153758391967</v>
      </c>
      <c r="L44" s="9">
        <f t="shared" si="14"/>
        <v>2.5711937838753296</v>
      </c>
      <c r="M44" s="8">
        <f t="shared" si="0"/>
        <v>0.37032454441735962</v>
      </c>
      <c r="N44" s="8">
        <f t="shared" si="1"/>
        <v>0.30386835627617531</v>
      </c>
      <c r="O44" s="8">
        <f t="shared" si="2"/>
        <v>2.763190831421837</v>
      </c>
      <c r="P44" s="8">
        <f t="shared" si="3"/>
        <v>2.2673254275991543</v>
      </c>
      <c r="Q44" s="8">
        <f t="shared" si="4"/>
        <v>0.39881104783407961</v>
      </c>
      <c r="R44" s="8">
        <f t="shared" si="5"/>
        <v>0.32724284522049651</v>
      </c>
      <c r="S44" s="9">
        <f t="shared" si="15"/>
        <v>30.38370454427352</v>
      </c>
      <c r="T44" s="9">
        <f t="shared" si="15"/>
        <v>24.93122990801297</v>
      </c>
      <c r="U44" s="8">
        <f t="shared" si="6"/>
        <v>0.18801092255035179</v>
      </c>
      <c r="V44" s="8">
        <f t="shared" si="7"/>
        <v>0.15427162703251979</v>
      </c>
      <c r="W44" s="8">
        <f t="shared" si="8"/>
        <v>30.195693621723169</v>
      </c>
      <c r="X44" s="8">
        <f t="shared" si="9"/>
        <v>24.776958280980448</v>
      </c>
      <c r="Y44" s="8">
        <f t="shared" si="10"/>
        <v>0</v>
      </c>
      <c r="Z44" s="8">
        <f t="shared" si="11"/>
        <v>0</v>
      </c>
      <c r="AA44" s="10">
        <v>2337.6598158571201</v>
      </c>
      <c r="AB44" s="11">
        <v>1918.15761738117</v>
      </c>
    </row>
    <row r="45" spans="1:29" x14ac:dyDescent="0.35">
      <c r="A45" s="6" t="s">
        <v>32</v>
      </c>
      <c r="B45" s="21" t="s">
        <v>65</v>
      </c>
      <c r="C45" s="7">
        <f t="shared" si="12"/>
        <v>551.10682418759711</v>
      </c>
      <c r="D45" s="14">
        <v>38.427516652536532</v>
      </c>
      <c r="E45" s="14">
        <v>512.67930753506062</v>
      </c>
      <c r="F45" s="14">
        <v>243.68669096730486</v>
      </c>
      <c r="G45" s="9">
        <f t="shared" si="13"/>
        <v>147.1492710841033</v>
      </c>
      <c r="H45" s="14">
        <v>0</v>
      </c>
      <c r="I45" s="14">
        <v>147.1492710841033</v>
      </c>
      <c r="J45" s="14">
        <v>1021.6095890552396</v>
      </c>
      <c r="K45" s="9">
        <f t="shared" si="14"/>
        <v>12.074204018639987</v>
      </c>
      <c r="L45" s="9">
        <f t="shared" si="14"/>
        <v>10.34971113875617</v>
      </c>
      <c r="M45" s="8">
        <f t="shared" si="0"/>
        <v>0.84190878361265209</v>
      </c>
      <c r="N45" s="8">
        <f t="shared" si="1"/>
        <v>0.72166353178401854</v>
      </c>
      <c r="O45" s="8">
        <f t="shared" si="2"/>
        <v>11.232295235027335</v>
      </c>
      <c r="P45" s="8">
        <f t="shared" si="3"/>
        <v>9.6280476069721512</v>
      </c>
      <c r="Q45" s="8">
        <f t="shared" si="4"/>
        <v>5.3389337497387706</v>
      </c>
      <c r="R45" s="8">
        <f t="shared" si="5"/>
        <v>4.5764028844840201</v>
      </c>
      <c r="S45" s="9">
        <f t="shared" si="15"/>
        <v>3.2238946104191797</v>
      </c>
      <c r="T45" s="9">
        <f t="shared" si="15"/>
        <v>2.7634432802461197</v>
      </c>
      <c r="U45" s="8">
        <f t="shared" si="6"/>
        <v>0</v>
      </c>
      <c r="V45" s="8">
        <f t="shared" si="7"/>
        <v>0</v>
      </c>
      <c r="W45" s="8">
        <f t="shared" si="8"/>
        <v>3.2238946104191797</v>
      </c>
      <c r="X45" s="8">
        <f t="shared" si="9"/>
        <v>2.7634432802461197</v>
      </c>
      <c r="Y45" s="8">
        <f t="shared" si="10"/>
        <v>22.382453027750998</v>
      </c>
      <c r="Z45" s="8">
        <f t="shared" si="11"/>
        <v>19.185689015721469</v>
      </c>
      <c r="AA45" s="10">
        <v>5324.8522282316499</v>
      </c>
      <c r="AB45" s="11">
        <v>4564.3325500944502</v>
      </c>
    </row>
    <row r="46" spans="1:29" x14ac:dyDescent="0.35">
      <c r="A46" s="6" t="s">
        <v>33</v>
      </c>
      <c r="B46" s="21" t="s">
        <v>65</v>
      </c>
      <c r="C46" s="7">
        <f t="shared" si="12"/>
        <v>47.759348551253893</v>
      </c>
      <c r="D46" s="14">
        <v>3.7812909352111514</v>
      </c>
      <c r="E46" s="14">
        <v>43.97805761604274</v>
      </c>
      <c r="F46" s="14">
        <v>27.126652361297392</v>
      </c>
      <c r="G46" s="9">
        <f t="shared" si="13"/>
        <v>28.03087410667397</v>
      </c>
      <c r="H46" s="14">
        <v>0</v>
      </c>
      <c r="I46" s="14">
        <v>28.03087410667397</v>
      </c>
      <c r="J46" s="14">
        <v>120.83690597305201</v>
      </c>
      <c r="K46" s="9">
        <f t="shared" si="14"/>
        <v>2.9154495727029901</v>
      </c>
      <c r="L46" s="9">
        <f t="shared" si="14"/>
        <v>2.2146288982570903</v>
      </c>
      <c r="M46" s="8">
        <f t="shared" si="0"/>
        <v>0.23082733277854997</v>
      </c>
      <c r="N46" s="8">
        <f t="shared" si="1"/>
        <v>0.17534067008575929</v>
      </c>
      <c r="O46" s="8">
        <f t="shared" si="2"/>
        <v>2.6846222399244399</v>
      </c>
      <c r="P46" s="8">
        <f t="shared" si="3"/>
        <v>2.0392882281713312</v>
      </c>
      <c r="Q46" s="8">
        <f t="shared" si="4"/>
        <v>1.6559352134113365</v>
      </c>
      <c r="R46" s="8">
        <f t="shared" si="5"/>
        <v>1.2578787201804471</v>
      </c>
      <c r="S46" s="9">
        <f t="shared" si="15"/>
        <v>1.7111330538583811</v>
      </c>
      <c r="T46" s="9">
        <f t="shared" si="15"/>
        <v>1.2998080108531287</v>
      </c>
      <c r="U46" s="8">
        <f t="shared" si="6"/>
        <v>0</v>
      </c>
      <c r="V46" s="8">
        <f t="shared" si="7"/>
        <v>0</v>
      </c>
      <c r="W46" s="8">
        <f t="shared" si="8"/>
        <v>1.7111330538583811</v>
      </c>
      <c r="X46" s="8">
        <f t="shared" si="9"/>
        <v>1.2998080108531287</v>
      </c>
      <c r="Y46" s="8">
        <f t="shared" si="10"/>
        <v>7.3764386779232263</v>
      </c>
      <c r="Z46" s="8">
        <f t="shared" si="11"/>
        <v>5.6032779353492641</v>
      </c>
      <c r="AA46" s="10">
        <v>2156.5395714307001</v>
      </c>
      <c r="AB46" s="11">
        <v>1638.14696019506</v>
      </c>
    </row>
    <row r="47" spans="1:29" x14ac:dyDescent="0.35">
      <c r="A47" s="6" t="s">
        <v>34</v>
      </c>
      <c r="B47" s="21" t="s">
        <v>65</v>
      </c>
      <c r="C47" s="7">
        <f t="shared" si="12"/>
        <v>39.77908736353271</v>
      </c>
      <c r="D47" s="14">
        <v>4.6991779028349079</v>
      </c>
      <c r="E47" s="14">
        <v>35.079909460697799</v>
      </c>
      <c r="F47" s="14">
        <v>0</v>
      </c>
      <c r="G47" s="9">
        <f t="shared" si="13"/>
        <v>114.77359536449615</v>
      </c>
      <c r="H47" s="14">
        <v>0.13551117673291363</v>
      </c>
      <c r="I47" s="14">
        <v>114.63808418776323</v>
      </c>
      <c r="J47" s="14">
        <v>10.928320704267227</v>
      </c>
      <c r="K47" s="9">
        <f t="shared" si="14"/>
        <v>3.0046477679365537</v>
      </c>
      <c r="L47" s="9">
        <f t="shared" si="14"/>
        <v>2.2142206581204125</v>
      </c>
      <c r="M47" s="8">
        <f t="shared" si="0"/>
        <v>0.3549446539045929</v>
      </c>
      <c r="N47" s="8">
        <f t="shared" si="1"/>
        <v>0.26157002279993885</v>
      </c>
      <c r="O47" s="8">
        <f t="shared" si="2"/>
        <v>2.6497031140319609</v>
      </c>
      <c r="P47" s="8">
        <f t="shared" si="3"/>
        <v>1.9526506353204736</v>
      </c>
      <c r="Q47" s="8">
        <f t="shared" si="4"/>
        <v>0</v>
      </c>
      <c r="R47" s="8">
        <f t="shared" si="5"/>
        <v>0</v>
      </c>
      <c r="S47" s="9">
        <f t="shared" si="15"/>
        <v>8.6692342631804564</v>
      </c>
      <c r="T47" s="9">
        <f t="shared" si="15"/>
        <v>6.3886349010559949</v>
      </c>
      <c r="U47" s="8">
        <f t="shared" si="6"/>
        <v>1.023561327538826E-2</v>
      </c>
      <c r="V47" s="8">
        <f t="shared" si="7"/>
        <v>7.5429494946959112E-3</v>
      </c>
      <c r="W47" s="8">
        <f t="shared" si="8"/>
        <v>8.6589986499050688</v>
      </c>
      <c r="X47" s="8">
        <f t="shared" si="9"/>
        <v>6.3810919515612987</v>
      </c>
      <c r="Y47" s="8">
        <f t="shared" si="10"/>
        <v>0.8254526834990531</v>
      </c>
      <c r="Z47" s="8">
        <f t="shared" si="11"/>
        <v>0.60830237860450886</v>
      </c>
      <c r="AA47" s="10">
        <v>1796.5276955414199</v>
      </c>
      <c r="AB47" s="11">
        <v>1323.9184901480501</v>
      </c>
    </row>
    <row r="48" spans="1:29" x14ac:dyDescent="0.35">
      <c r="A48" s="6" t="s">
        <v>35</v>
      </c>
      <c r="B48" s="21" t="s">
        <v>65</v>
      </c>
      <c r="C48" s="7">
        <f t="shared" si="12"/>
        <v>154.61878438359881</v>
      </c>
      <c r="D48" s="14">
        <v>8.1966584492510197</v>
      </c>
      <c r="E48" s="14">
        <v>146.42212593434778</v>
      </c>
      <c r="F48" s="14">
        <v>0</v>
      </c>
      <c r="G48" s="9">
        <f t="shared" si="13"/>
        <v>423.49401987796944</v>
      </c>
      <c r="H48" s="14">
        <v>1.2419179468562151</v>
      </c>
      <c r="I48" s="14">
        <v>422.2521019311132</v>
      </c>
      <c r="J48" s="14">
        <v>0</v>
      </c>
      <c r="K48" s="9">
        <f t="shared" si="14"/>
        <v>4.8970470639269088</v>
      </c>
      <c r="L48" s="9">
        <f t="shared" si="14"/>
        <v>5.2555879454261492</v>
      </c>
      <c r="M48" s="8">
        <f t="shared" si="0"/>
        <v>0.25960249495516136</v>
      </c>
      <c r="N48" s="8">
        <f t="shared" si="1"/>
        <v>0.27860948144427772</v>
      </c>
      <c r="O48" s="8">
        <f t="shared" si="2"/>
        <v>4.6374445689717474</v>
      </c>
      <c r="P48" s="8">
        <f t="shared" si="3"/>
        <v>4.9769784639818715</v>
      </c>
      <c r="Q48" s="8">
        <f t="shared" si="4"/>
        <v>0</v>
      </c>
      <c r="R48" s="8">
        <f t="shared" si="5"/>
        <v>0</v>
      </c>
      <c r="S48" s="9">
        <f t="shared" si="15"/>
        <v>13.41279557268334</v>
      </c>
      <c r="T48" s="9">
        <f t="shared" si="15"/>
        <v>14.394823207954351</v>
      </c>
      <c r="U48" s="8">
        <f t="shared" si="6"/>
        <v>3.9333711356842639E-2</v>
      </c>
      <c r="V48" s="8">
        <f t="shared" si="7"/>
        <v>4.221355779458754E-2</v>
      </c>
      <c r="W48" s="8">
        <f t="shared" si="8"/>
        <v>13.373461861326497</v>
      </c>
      <c r="X48" s="8">
        <f t="shared" si="9"/>
        <v>14.352609650159764</v>
      </c>
      <c r="Y48" s="8">
        <f t="shared" si="10"/>
        <v>0</v>
      </c>
      <c r="Z48" s="8">
        <f t="shared" si="11"/>
        <v>0</v>
      </c>
      <c r="AA48" s="10">
        <v>2941.9883367789698</v>
      </c>
      <c r="AB48" s="11">
        <v>3157.38816403392</v>
      </c>
    </row>
    <row r="49" spans="1:28" x14ac:dyDescent="0.35">
      <c r="A49" s="6" t="s">
        <v>36</v>
      </c>
      <c r="B49" s="21" t="s">
        <v>65</v>
      </c>
      <c r="C49" s="7">
        <f t="shared" si="12"/>
        <v>2443</v>
      </c>
      <c r="D49" s="14">
        <v>304</v>
      </c>
      <c r="E49" s="14">
        <v>2139</v>
      </c>
      <c r="F49" s="14">
        <v>0</v>
      </c>
      <c r="G49" s="9">
        <f t="shared" si="13"/>
        <v>510</v>
      </c>
      <c r="H49" s="14">
        <v>56</v>
      </c>
      <c r="I49" s="14">
        <v>454</v>
      </c>
      <c r="J49" s="14">
        <v>0</v>
      </c>
      <c r="K49" s="9">
        <f t="shared" si="14"/>
        <v>12.258532994550349</v>
      </c>
      <c r="L49" s="9">
        <f t="shared" si="14"/>
        <v>12.230769199730565</v>
      </c>
      <c r="M49" s="8">
        <f t="shared" si="0"/>
        <v>1.5254171225310298</v>
      </c>
      <c r="N49" s="8">
        <f t="shared" si="1"/>
        <v>1.5219622745469061</v>
      </c>
      <c r="O49" s="8">
        <f t="shared" si="2"/>
        <v>10.733115872019319</v>
      </c>
      <c r="P49" s="8">
        <f t="shared" si="3"/>
        <v>10.708806925183659</v>
      </c>
      <c r="Q49" s="8">
        <f t="shared" si="4"/>
        <v>0</v>
      </c>
      <c r="R49" s="8">
        <f t="shared" si="5"/>
        <v>0</v>
      </c>
      <c r="S49" s="9">
        <f t="shared" si="15"/>
        <v>2.5590879358250826</v>
      </c>
      <c r="T49" s="9">
        <f t="shared" si="15"/>
        <v>2.5532919737464543</v>
      </c>
      <c r="U49" s="8">
        <f t="shared" si="6"/>
        <v>0.28099789099255812</v>
      </c>
      <c r="V49" s="8">
        <f t="shared" si="7"/>
        <v>0.28036147162706165</v>
      </c>
      <c r="W49" s="8">
        <f t="shared" si="8"/>
        <v>2.2780900448325245</v>
      </c>
      <c r="X49" s="8">
        <f t="shared" si="9"/>
        <v>2.2729305021193928</v>
      </c>
      <c r="Y49" s="8">
        <f t="shared" si="10"/>
        <v>0</v>
      </c>
      <c r="Z49" s="8">
        <f t="shared" si="11"/>
        <v>0</v>
      </c>
      <c r="AA49" s="10">
        <v>19974.2138871676</v>
      </c>
      <c r="AB49" s="11">
        <v>19928.975197</v>
      </c>
    </row>
    <row r="50" spans="1:28" x14ac:dyDescent="0.35">
      <c r="A50" s="6" t="s">
        <v>37</v>
      </c>
      <c r="B50" s="21" t="s">
        <v>65</v>
      </c>
      <c r="C50" s="7">
        <f t="shared" si="12"/>
        <v>6.8583816139161318</v>
      </c>
      <c r="D50" s="14">
        <v>1.8624254212942652</v>
      </c>
      <c r="E50" s="14">
        <v>4.9959561926218665</v>
      </c>
      <c r="F50" s="14">
        <v>2.1604134887013475</v>
      </c>
      <c r="G50" s="9">
        <f t="shared" si="13"/>
        <v>1.7693041502295519</v>
      </c>
      <c r="H50" s="14">
        <v>1.7693041502295519</v>
      </c>
      <c r="I50" s="14">
        <v>0</v>
      </c>
      <c r="J50" s="14">
        <v>3.026441309603181</v>
      </c>
      <c r="K50" s="9">
        <f t="shared" si="14"/>
        <v>0.53616655599418062</v>
      </c>
      <c r="L50" s="9">
        <f t="shared" si="14"/>
        <v>0.28796553018328719</v>
      </c>
      <c r="M50" s="8">
        <f t="shared" si="0"/>
        <v>0.14559852165490308</v>
      </c>
      <c r="N50" s="8">
        <f t="shared" si="1"/>
        <v>7.8198378868509763E-2</v>
      </c>
      <c r="O50" s="8">
        <f t="shared" si="2"/>
        <v>0.39056803433927756</v>
      </c>
      <c r="P50" s="8">
        <f t="shared" si="3"/>
        <v>0.20976715131477744</v>
      </c>
      <c r="Q50" s="8">
        <f t="shared" si="4"/>
        <v>0.16889428511968757</v>
      </c>
      <c r="R50" s="8">
        <f t="shared" si="5"/>
        <v>9.0710119487471319E-2</v>
      </c>
      <c r="S50" s="9">
        <f t="shared" si="15"/>
        <v>0.13831859557215792</v>
      </c>
      <c r="T50" s="9">
        <f t="shared" si="15"/>
        <v>7.4288459925084274E-2</v>
      </c>
      <c r="U50" s="8">
        <f t="shared" si="6"/>
        <v>0.13831859557215792</v>
      </c>
      <c r="V50" s="8">
        <f t="shared" si="7"/>
        <v>7.4288459925084274E-2</v>
      </c>
      <c r="W50" s="8">
        <f t="shared" si="8"/>
        <v>0</v>
      </c>
      <c r="X50" s="8">
        <f t="shared" si="9"/>
        <v>0</v>
      </c>
      <c r="Y50" s="8">
        <f t="shared" si="10"/>
        <v>0.23659759768921751</v>
      </c>
      <c r="Z50" s="8">
        <f t="shared" si="11"/>
        <v>0.12707236566132835</v>
      </c>
      <c r="AA50" s="10">
        <v>2381.6675591522499</v>
      </c>
      <c r="AB50" s="11">
        <v>1279.1513266244399</v>
      </c>
    </row>
    <row r="51" spans="1:28" x14ac:dyDescent="0.35">
      <c r="A51" s="6" t="s">
        <v>38</v>
      </c>
      <c r="B51" s="21" t="s">
        <v>65</v>
      </c>
      <c r="C51" s="7">
        <f t="shared" si="12"/>
        <v>1.6541353383458646</v>
      </c>
      <c r="D51" s="14">
        <v>0</v>
      </c>
      <c r="E51" s="14">
        <v>1.6541353383458646</v>
      </c>
      <c r="F51" s="14">
        <v>9.9097744360902258</v>
      </c>
      <c r="G51" s="9">
        <f t="shared" si="13"/>
        <v>47.819548872180448</v>
      </c>
      <c r="H51" s="14">
        <v>3.007518796992481</v>
      </c>
      <c r="I51" s="14">
        <v>44.81203007518797</v>
      </c>
      <c r="J51" s="14">
        <v>15.473684210526315</v>
      </c>
      <c r="K51" s="9">
        <f t="shared" si="14"/>
        <v>0.16590235659523436</v>
      </c>
      <c r="L51" s="9">
        <f t="shared" si="14"/>
        <v>7.0877842979989017E-2</v>
      </c>
      <c r="M51" s="8">
        <f t="shared" si="0"/>
        <v>0</v>
      </c>
      <c r="N51" s="8">
        <f t="shared" si="1"/>
        <v>0</v>
      </c>
      <c r="O51" s="8">
        <f t="shared" si="2"/>
        <v>0.16590235659523436</v>
      </c>
      <c r="P51" s="8">
        <f t="shared" si="3"/>
        <v>7.0877842979989017E-2</v>
      </c>
      <c r="Q51" s="8">
        <f t="shared" si="4"/>
        <v>0.99390593632963131</v>
      </c>
      <c r="R51" s="8">
        <f t="shared" si="5"/>
        <v>0.42462271385284334</v>
      </c>
      <c r="S51" s="9">
        <f t="shared" si="15"/>
        <v>4.796086308844048</v>
      </c>
      <c r="T51" s="9">
        <f t="shared" si="15"/>
        <v>2.0490140061487736</v>
      </c>
      <c r="U51" s="8">
        <f t="shared" si="6"/>
        <v>0.30164064835497151</v>
      </c>
      <c r="V51" s="8">
        <f t="shared" si="7"/>
        <v>0.12886880541816187</v>
      </c>
      <c r="W51" s="8">
        <f t="shared" si="8"/>
        <v>4.4944456604890766</v>
      </c>
      <c r="X51" s="8">
        <f t="shared" si="9"/>
        <v>1.9201452007306119</v>
      </c>
      <c r="Y51" s="8">
        <f t="shared" si="10"/>
        <v>1.5519411357863286</v>
      </c>
      <c r="Z51" s="8">
        <f t="shared" si="11"/>
        <v>0.66303000387644273</v>
      </c>
      <c r="AA51" s="10">
        <v>2333.7834064911899</v>
      </c>
      <c r="AB51" s="11">
        <v>997.05355143423003</v>
      </c>
    </row>
    <row r="52" spans="1:28" x14ac:dyDescent="0.35">
      <c r="A52" s="13" t="s">
        <v>39</v>
      </c>
      <c r="B52" s="21" t="s">
        <v>65</v>
      </c>
      <c r="C52" s="7">
        <f t="shared" si="12"/>
        <v>40.235288230000002</v>
      </c>
      <c r="D52" s="22">
        <v>0</v>
      </c>
      <c r="E52" s="22">
        <v>40.235288230000002</v>
      </c>
      <c r="F52" s="22">
        <v>0</v>
      </c>
      <c r="G52" s="9">
        <f t="shared" si="13"/>
        <v>8.4705999999999992</v>
      </c>
      <c r="H52" s="22">
        <v>0</v>
      </c>
      <c r="I52" s="22">
        <v>8.4705999999999992</v>
      </c>
      <c r="J52" s="22">
        <v>0</v>
      </c>
      <c r="K52" s="9">
        <f t="shared" si="14"/>
        <v>9.7198533460187413</v>
      </c>
      <c r="L52" s="9">
        <f t="shared" si="14"/>
        <v>8.5862911243892324</v>
      </c>
      <c r="M52" s="8">
        <f t="shared" si="0"/>
        <v>0</v>
      </c>
      <c r="N52" s="8">
        <f t="shared" si="1"/>
        <v>0</v>
      </c>
      <c r="O52" s="8">
        <f t="shared" si="2"/>
        <v>9.7198533460187413</v>
      </c>
      <c r="P52" s="8">
        <f t="shared" si="3"/>
        <v>8.5862911243892324</v>
      </c>
      <c r="Q52" s="8">
        <f t="shared" si="4"/>
        <v>0</v>
      </c>
      <c r="R52" s="8">
        <f t="shared" si="5"/>
        <v>0</v>
      </c>
      <c r="S52" s="9">
        <f t="shared" si="15"/>
        <v>2.0462880564478647</v>
      </c>
      <c r="T52" s="9">
        <f t="shared" si="15"/>
        <v>1.8076430118381042</v>
      </c>
      <c r="U52" s="8">
        <f t="shared" si="6"/>
        <v>0</v>
      </c>
      <c r="V52" s="8">
        <f t="shared" si="7"/>
        <v>0</v>
      </c>
      <c r="W52" s="8">
        <f t="shared" si="8"/>
        <v>2.0462880564478647</v>
      </c>
      <c r="X52" s="8">
        <f t="shared" si="9"/>
        <v>1.8076430118381042</v>
      </c>
      <c r="Y52" s="8">
        <f t="shared" si="10"/>
        <v>0</v>
      </c>
      <c r="Z52" s="8">
        <f t="shared" si="11"/>
        <v>0</v>
      </c>
      <c r="AA52" s="10">
        <v>468.59916169988998</v>
      </c>
      <c r="AB52" s="11">
        <v>413.94954015926999</v>
      </c>
    </row>
    <row r="53" spans="1:28" x14ac:dyDescent="0.35">
      <c r="A53" s="6" t="s">
        <v>40</v>
      </c>
      <c r="B53" s="21" t="s">
        <v>65</v>
      </c>
      <c r="C53" s="7">
        <f t="shared" si="12"/>
        <v>15.736781814144809</v>
      </c>
      <c r="D53" s="14">
        <v>2.2949473478961178</v>
      </c>
      <c r="E53" s="14">
        <v>13.441834466248691</v>
      </c>
      <c r="F53" s="14">
        <v>12.021152774693951</v>
      </c>
      <c r="G53" s="9">
        <f t="shared" si="13"/>
        <v>56.827267662189584</v>
      </c>
      <c r="H53" s="14">
        <v>0</v>
      </c>
      <c r="I53" s="14">
        <v>56.827267662189584</v>
      </c>
      <c r="J53" s="14">
        <v>0</v>
      </c>
      <c r="K53" s="9">
        <f t="shared" si="14"/>
        <v>3.1781365002569171</v>
      </c>
      <c r="L53" s="9">
        <f t="shared" si="14"/>
        <v>2.8338122233934211</v>
      </c>
      <c r="M53" s="8">
        <f t="shared" si="0"/>
        <v>0.46347823962080037</v>
      </c>
      <c r="N53" s="8">
        <f t="shared" si="1"/>
        <v>0.41326428257820719</v>
      </c>
      <c r="O53" s="8">
        <f t="shared" si="2"/>
        <v>2.7146582606361167</v>
      </c>
      <c r="P53" s="8">
        <f t="shared" si="3"/>
        <v>2.4205479408152137</v>
      </c>
      <c r="Q53" s="8">
        <f t="shared" si="4"/>
        <v>2.427743159918478</v>
      </c>
      <c r="R53" s="8">
        <f t="shared" si="5"/>
        <v>2.164717670647752</v>
      </c>
      <c r="S53" s="9">
        <f t="shared" si="15"/>
        <v>11.476604028705532</v>
      </c>
      <c r="T53" s="9">
        <f t="shared" si="15"/>
        <v>10.233210806698464</v>
      </c>
      <c r="U53" s="8">
        <f t="shared" si="6"/>
        <v>0</v>
      </c>
      <c r="V53" s="8">
        <f t="shared" si="7"/>
        <v>0</v>
      </c>
      <c r="W53" s="8">
        <f t="shared" si="8"/>
        <v>11.476604028705532</v>
      </c>
      <c r="X53" s="8">
        <f t="shared" si="9"/>
        <v>10.233210806698464</v>
      </c>
      <c r="Y53" s="8">
        <f t="shared" si="10"/>
        <v>0</v>
      </c>
      <c r="Z53" s="8">
        <f t="shared" si="11"/>
        <v>0</v>
      </c>
      <c r="AA53" s="10">
        <v>555.32196820367994</v>
      </c>
      <c r="AB53" s="11">
        <v>495.15751802582002</v>
      </c>
    </row>
    <row r="54" spans="1:28" x14ac:dyDescent="0.35">
      <c r="A54" s="15" t="s">
        <v>41</v>
      </c>
      <c r="B54" s="23" t="s">
        <v>65</v>
      </c>
      <c r="C54" s="7">
        <f t="shared" si="12"/>
        <v>10.96052354852486</v>
      </c>
      <c r="D54" s="14">
        <v>1.9079429880765493</v>
      </c>
      <c r="E54" s="14">
        <v>9.0525805604483107</v>
      </c>
      <c r="F54" s="14">
        <v>0</v>
      </c>
      <c r="G54" s="9">
        <f t="shared" si="13"/>
        <v>20.329741455930552</v>
      </c>
      <c r="H54" s="14">
        <v>3.2475625328962539E-2</v>
      </c>
      <c r="I54" s="14">
        <v>20.297265830601589</v>
      </c>
      <c r="J54" s="14">
        <v>0</v>
      </c>
      <c r="K54" s="9">
        <f t="shared" si="14"/>
        <v>5.0827795779394958</v>
      </c>
      <c r="L54" s="9">
        <f t="shared" si="14"/>
        <v>2.6903864588313593</v>
      </c>
      <c r="M54" s="8">
        <f t="shared" si="0"/>
        <v>0.88478014875243061</v>
      </c>
      <c r="N54" s="8">
        <f t="shared" si="1"/>
        <v>0.46832653172249578</v>
      </c>
      <c r="O54" s="8">
        <f t="shared" si="2"/>
        <v>4.1979994291870648</v>
      </c>
      <c r="P54" s="8">
        <f t="shared" si="3"/>
        <v>2.2220599271088637</v>
      </c>
      <c r="Q54" s="8">
        <f t="shared" si="4"/>
        <v>0</v>
      </c>
      <c r="R54" s="8">
        <f t="shared" si="5"/>
        <v>0</v>
      </c>
      <c r="S54" s="9">
        <f t="shared" si="15"/>
        <v>9.4276148616003681</v>
      </c>
      <c r="T54" s="9">
        <f t="shared" si="15"/>
        <v>4.990168661417572</v>
      </c>
      <c r="U54" s="8">
        <f t="shared" si="6"/>
        <v>1.5060087638339242E-2</v>
      </c>
      <c r="V54" s="8">
        <f t="shared" si="7"/>
        <v>7.9715154335743971E-3</v>
      </c>
      <c r="W54" s="8">
        <f t="shared" si="8"/>
        <v>9.4125547739620288</v>
      </c>
      <c r="X54" s="8">
        <f t="shared" si="9"/>
        <v>4.9821971459839975</v>
      </c>
      <c r="Y54" s="8">
        <f t="shared" si="10"/>
        <v>0</v>
      </c>
      <c r="Z54" s="8">
        <f t="shared" si="11"/>
        <v>0</v>
      </c>
      <c r="AA54" s="10">
        <v>407.39587848230002</v>
      </c>
      <c r="AB54" s="11">
        <v>215.64034757863999</v>
      </c>
    </row>
    <row r="55" spans="1:28" x14ac:dyDescent="0.35">
      <c r="A55" s="13" t="s">
        <v>42</v>
      </c>
      <c r="B55" s="21" t="s">
        <v>65</v>
      </c>
      <c r="C55" s="7">
        <f t="shared" si="12"/>
        <v>18.388350848575694</v>
      </c>
      <c r="D55" s="14">
        <v>0.11675143395921074</v>
      </c>
      <c r="E55" s="14">
        <v>18.271599414616482</v>
      </c>
      <c r="F55" s="14">
        <v>24.284298263515833</v>
      </c>
      <c r="G55" s="9">
        <f t="shared" si="13"/>
        <v>30.866160352966336</v>
      </c>
      <c r="H55" s="14">
        <v>5.822977768715635</v>
      </c>
      <c r="I55" s="14">
        <v>25.043182584250701</v>
      </c>
      <c r="J55" s="14">
        <v>0</v>
      </c>
      <c r="K55" s="9">
        <f t="shared" si="14"/>
        <v>5.5286260494480013</v>
      </c>
      <c r="L55" s="9">
        <f t="shared" si="14"/>
        <v>5.9114451912557602</v>
      </c>
      <c r="M55" s="8">
        <f t="shared" si="0"/>
        <v>3.5102387615542872E-2</v>
      </c>
      <c r="N55" s="8">
        <f t="shared" si="1"/>
        <v>3.7532985341306419E-2</v>
      </c>
      <c r="O55" s="8">
        <f t="shared" si="2"/>
        <v>5.4935236618324588</v>
      </c>
      <c r="P55" s="8">
        <f t="shared" si="3"/>
        <v>5.8739122059144542</v>
      </c>
      <c r="Q55" s="8">
        <f t="shared" si="4"/>
        <v>7.3012966240329176</v>
      </c>
      <c r="R55" s="8">
        <f t="shared" si="5"/>
        <v>7.8068609509917337</v>
      </c>
      <c r="S55" s="9">
        <f t="shared" si="15"/>
        <v>9.2801937258591458</v>
      </c>
      <c r="T55" s="9">
        <f t="shared" si="15"/>
        <v>9.9227829996078825</v>
      </c>
      <c r="U55" s="8">
        <f t="shared" si="6"/>
        <v>1.7507315823252003</v>
      </c>
      <c r="V55" s="8">
        <f t="shared" si="7"/>
        <v>1.8719576438976573</v>
      </c>
      <c r="W55" s="8">
        <f t="shared" si="8"/>
        <v>7.5294621435339453</v>
      </c>
      <c r="X55" s="8">
        <f t="shared" si="9"/>
        <v>8.0508253557102254</v>
      </c>
      <c r="Y55" s="8">
        <f t="shared" si="10"/>
        <v>0</v>
      </c>
      <c r="Z55" s="8">
        <f t="shared" si="11"/>
        <v>0</v>
      </c>
      <c r="AA55" s="10">
        <v>311.06354290107998</v>
      </c>
      <c r="AB55" s="11">
        <v>332.60254327404999</v>
      </c>
    </row>
    <row r="56" spans="1:28" x14ac:dyDescent="0.35">
      <c r="A56" s="13" t="s">
        <v>43</v>
      </c>
      <c r="B56" s="21" t="s">
        <v>65</v>
      </c>
      <c r="C56" s="7">
        <f t="shared" si="12"/>
        <v>1.2481951410000001</v>
      </c>
      <c r="D56" s="22">
        <v>0.33243433</v>
      </c>
      <c r="E56" s="22">
        <v>0.91576081099999995</v>
      </c>
      <c r="F56" s="22">
        <v>0</v>
      </c>
      <c r="G56" s="9">
        <f t="shared" si="13"/>
        <v>1.0191756699000001</v>
      </c>
      <c r="H56" s="8">
        <v>0.78287837800000004</v>
      </c>
      <c r="I56" s="8">
        <v>0.23629729190000001</v>
      </c>
      <c r="J56" s="22">
        <v>0</v>
      </c>
      <c r="K56" s="9">
        <f t="shared" si="14"/>
        <v>4.6408796097126643</v>
      </c>
      <c r="L56" s="9">
        <f t="shared" si="14"/>
        <v>2.7186939247924107</v>
      </c>
      <c r="M56" s="8">
        <f t="shared" si="0"/>
        <v>1.2360148289228849</v>
      </c>
      <c r="N56" s="8">
        <f t="shared" si="1"/>
        <v>0.72407523765824</v>
      </c>
      <c r="O56" s="8">
        <f t="shared" si="2"/>
        <v>3.4048647807897798</v>
      </c>
      <c r="P56" s="8">
        <f t="shared" si="3"/>
        <v>1.9946186871341705</v>
      </c>
      <c r="Q56" s="8">
        <f t="shared" si="4"/>
        <v>0</v>
      </c>
      <c r="R56" s="8">
        <f t="shared" si="5"/>
        <v>0</v>
      </c>
      <c r="S56" s="9">
        <f t="shared" si="15"/>
        <v>3.7893686890695535</v>
      </c>
      <c r="T56" s="9">
        <f t="shared" si="15"/>
        <v>2.2198665986101331</v>
      </c>
      <c r="U56" s="8">
        <f t="shared" si="6"/>
        <v>2.9107983054911801</v>
      </c>
      <c r="V56" s="8">
        <f t="shared" si="7"/>
        <v>1.7051874504292246</v>
      </c>
      <c r="W56" s="8">
        <f t="shared" si="8"/>
        <v>0.87857038357837325</v>
      </c>
      <c r="X56" s="8">
        <f t="shared" si="9"/>
        <v>0.51467914818090843</v>
      </c>
      <c r="Y56" s="8">
        <f t="shared" si="10"/>
        <v>0</v>
      </c>
      <c r="Z56" s="8">
        <f t="shared" si="11"/>
        <v>0</v>
      </c>
      <c r="AA56" s="10">
        <v>45.911572818750003</v>
      </c>
      <c r="AB56" s="11">
        <v>26.895658710639999</v>
      </c>
    </row>
    <row r="57" spans="1:28" x14ac:dyDescent="0.35">
      <c r="A57" s="13" t="s">
        <v>44</v>
      </c>
      <c r="B57" s="21" t="s">
        <v>65</v>
      </c>
      <c r="C57" s="7">
        <f t="shared" si="12"/>
        <v>7.6050183780995635</v>
      </c>
      <c r="D57" s="14">
        <v>1.5966276548934419</v>
      </c>
      <c r="E57" s="35">
        <v>6.008390723206122</v>
      </c>
      <c r="F57" s="35">
        <v>5.7373683697402944</v>
      </c>
      <c r="G57" s="9">
        <f t="shared" si="13"/>
        <v>16.851470525980066</v>
      </c>
      <c r="H57" s="14">
        <v>2.6446536104326701</v>
      </c>
      <c r="I57" s="14">
        <v>14.206816915547396</v>
      </c>
      <c r="J57" s="14">
        <v>1.0928320704267227</v>
      </c>
      <c r="K57" s="9">
        <f t="shared" si="14"/>
        <v>2.9853553413859615</v>
      </c>
      <c r="L57" s="9">
        <f t="shared" si="14"/>
        <v>2.9950176971787097</v>
      </c>
      <c r="M57" s="8">
        <f t="shared" si="0"/>
        <v>0.62675731481030161</v>
      </c>
      <c r="N57" s="8">
        <f t="shared" si="1"/>
        <v>0.6287858680238676</v>
      </c>
      <c r="O57" s="8">
        <f t="shared" si="2"/>
        <v>2.3585980265756596</v>
      </c>
      <c r="P57" s="8">
        <f t="shared" si="3"/>
        <v>2.3662318291548421</v>
      </c>
      <c r="Q57" s="8">
        <f t="shared" si="4"/>
        <v>2.2522080100986197</v>
      </c>
      <c r="R57" s="8">
        <f t="shared" si="5"/>
        <v>2.2594974723650272</v>
      </c>
      <c r="S57" s="9">
        <f t="shared" si="15"/>
        <v>6.6150566696610902</v>
      </c>
      <c r="T57" s="9">
        <f t="shared" si="15"/>
        <v>6.6364668616892803</v>
      </c>
      <c r="U57" s="8">
        <f t="shared" si="6"/>
        <v>1.0381606446549834</v>
      </c>
      <c r="V57" s="8">
        <f t="shared" si="7"/>
        <v>1.0415207396425463</v>
      </c>
      <c r="W57" s="8">
        <f t="shared" si="8"/>
        <v>5.576896025006107</v>
      </c>
      <c r="X57" s="8">
        <f t="shared" si="9"/>
        <v>5.5949461220467338</v>
      </c>
      <c r="Y57" s="8">
        <f t="shared" si="10"/>
        <v>0.42899200192354664</v>
      </c>
      <c r="Z57" s="8">
        <f t="shared" si="11"/>
        <v>0.43038047092667181</v>
      </c>
      <c r="AA57" s="10">
        <v>253.92231856471</v>
      </c>
      <c r="AB57" s="11">
        <v>254.7441596875</v>
      </c>
    </row>
    <row r="58" spans="1:28" x14ac:dyDescent="0.35">
      <c r="A58" s="13" t="s">
        <v>45</v>
      </c>
      <c r="B58" s="21" t="s">
        <v>65</v>
      </c>
      <c r="C58" s="7">
        <f t="shared" si="12"/>
        <v>10.391906905171339</v>
      </c>
      <c r="D58" s="36">
        <v>0.70761690517133902</v>
      </c>
      <c r="E58" s="8">
        <v>9.6842900000000007</v>
      </c>
      <c r="F58" s="22">
        <v>0</v>
      </c>
      <c r="G58" s="9">
        <f t="shared" si="13"/>
        <v>8.9610143999999998</v>
      </c>
      <c r="H58" s="8">
        <v>6.4199944000000002</v>
      </c>
      <c r="I58" s="8">
        <f>1.1082+1.43282</f>
        <v>2.5410200000000001</v>
      </c>
      <c r="J58" s="22">
        <v>0</v>
      </c>
      <c r="K58" s="9">
        <f t="shared" si="14"/>
        <v>5.0964951410771313</v>
      </c>
      <c r="L58" s="9">
        <f t="shared" si="14"/>
        <v>3.4462238189310277</v>
      </c>
      <c r="M58" s="8">
        <f t="shared" si="0"/>
        <v>0.34703603023571405</v>
      </c>
      <c r="N58" s="8">
        <f t="shared" si="1"/>
        <v>0.2346639799155821</v>
      </c>
      <c r="O58" s="8">
        <f t="shared" si="2"/>
        <v>4.7494591108414177</v>
      </c>
      <c r="P58" s="8">
        <f t="shared" si="3"/>
        <v>3.2115598390154454</v>
      </c>
      <c r="Q58" s="8">
        <f t="shared" si="4"/>
        <v>0</v>
      </c>
      <c r="R58" s="8">
        <f t="shared" si="5"/>
        <v>0</v>
      </c>
      <c r="S58" s="9">
        <f t="shared" si="15"/>
        <v>4.394743598597433</v>
      </c>
      <c r="T58" s="9">
        <f t="shared" si="15"/>
        <v>2.9717030328376248</v>
      </c>
      <c r="U58" s="8">
        <f t="shared" si="6"/>
        <v>3.148553058059071</v>
      </c>
      <c r="V58" s="8">
        <f t="shared" si="7"/>
        <v>2.1290353946178868</v>
      </c>
      <c r="W58" s="8">
        <f t="shared" si="8"/>
        <v>1.2461905405383624</v>
      </c>
      <c r="X58" s="8">
        <f t="shared" si="9"/>
        <v>0.84266763821973789</v>
      </c>
      <c r="Y58" s="8">
        <f t="shared" si="10"/>
        <v>0</v>
      </c>
      <c r="Z58" s="8">
        <f t="shared" si="11"/>
        <v>0</v>
      </c>
      <c r="AA58" s="10">
        <v>301.54474727050001</v>
      </c>
      <c r="AB58" s="11">
        <v>203.90300819506001</v>
      </c>
    </row>
    <row r="59" spans="1:28" x14ac:dyDescent="0.35">
      <c r="A59" s="13" t="s">
        <v>46</v>
      </c>
      <c r="B59" s="21" t="s">
        <v>65</v>
      </c>
      <c r="C59" s="7">
        <f t="shared" si="12"/>
        <v>0.88253820443329634</v>
      </c>
      <c r="D59" s="26">
        <v>2.1328006607137996E-2</v>
      </c>
      <c r="E59" s="26">
        <v>0.86121019782615837</v>
      </c>
      <c r="F59" s="22">
        <v>0</v>
      </c>
      <c r="G59" s="9">
        <f t="shared" si="13"/>
        <v>0.91931062961801713</v>
      </c>
      <c r="H59" s="22">
        <v>0</v>
      </c>
      <c r="I59" s="26">
        <v>0.91931062961801713</v>
      </c>
      <c r="J59" s="22">
        <v>0</v>
      </c>
      <c r="K59" s="9">
        <f t="shared" si="14"/>
        <v>4.2572996227017779</v>
      </c>
      <c r="L59" s="9">
        <f t="shared" si="14"/>
        <v>4.6280958337256317</v>
      </c>
      <c r="M59" s="8">
        <f t="shared" si="0"/>
        <v>0.10288474088195963</v>
      </c>
      <c r="N59" s="8">
        <f t="shared" si="1"/>
        <v>0.11184564931503611</v>
      </c>
      <c r="O59" s="8">
        <f t="shared" si="2"/>
        <v>4.1544148818198181</v>
      </c>
      <c r="P59" s="8">
        <f t="shared" si="3"/>
        <v>4.5162501844105956</v>
      </c>
      <c r="Q59" s="8">
        <f t="shared" si="4"/>
        <v>0</v>
      </c>
      <c r="R59" s="8">
        <f t="shared" si="5"/>
        <v>0</v>
      </c>
      <c r="S59" s="9">
        <f t="shared" si="15"/>
        <v>4.434687106981019</v>
      </c>
      <c r="T59" s="9">
        <f t="shared" si="15"/>
        <v>4.8209331601308669</v>
      </c>
      <c r="U59" s="8">
        <f t="shared" si="6"/>
        <v>0</v>
      </c>
      <c r="V59" s="8">
        <f t="shared" si="7"/>
        <v>0</v>
      </c>
      <c r="W59" s="8">
        <f t="shared" si="8"/>
        <v>4.434687106981019</v>
      </c>
      <c r="X59" s="8">
        <f t="shared" si="9"/>
        <v>4.8209331601308669</v>
      </c>
      <c r="Y59" s="8">
        <f t="shared" si="10"/>
        <v>0</v>
      </c>
      <c r="Z59" s="8">
        <f t="shared" si="11"/>
        <v>0</v>
      </c>
      <c r="AA59" s="10">
        <v>19.06914282116</v>
      </c>
      <c r="AB59" s="11">
        <v>20.729999827290001</v>
      </c>
    </row>
    <row r="60" spans="1:28" x14ac:dyDescent="0.35">
      <c r="A60" s="13" t="s">
        <v>47</v>
      </c>
      <c r="B60" s="21" t="s">
        <v>65</v>
      </c>
      <c r="C60" s="7">
        <f t="shared" si="12"/>
        <v>23.434808652685703</v>
      </c>
      <c r="D60" s="26">
        <v>2.2863227953839709</v>
      </c>
      <c r="E60" s="26">
        <v>21.148485857301733</v>
      </c>
      <c r="F60" s="26">
        <v>2.8579034942299635</v>
      </c>
      <c r="G60" s="9">
        <f t="shared" si="13"/>
        <v>6.8589683861519131</v>
      </c>
      <c r="H60" s="26">
        <v>4.5726455907679417</v>
      </c>
      <c r="I60" s="26">
        <v>2.2863227953839709</v>
      </c>
      <c r="J60" s="22">
        <v>0</v>
      </c>
      <c r="K60" s="9">
        <f t="shared" si="14"/>
        <v>6.308725700048833</v>
      </c>
      <c r="L60" s="9">
        <f t="shared" si="14"/>
        <v>5.6078791341391749</v>
      </c>
      <c r="M60" s="8">
        <f t="shared" si="0"/>
        <v>0.61548543415110557</v>
      </c>
      <c r="N60" s="8">
        <f t="shared" si="1"/>
        <v>0.54711015942821217</v>
      </c>
      <c r="O60" s="8">
        <f t="shared" si="2"/>
        <v>5.6932402658977272</v>
      </c>
      <c r="P60" s="8">
        <f t="shared" si="3"/>
        <v>5.060768974710963</v>
      </c>
      <c r="Q60" s="8">
        <f t="shared" si="4"/>
        <v>0.76935679268888202</v>
      </c>
      <c r="R60" s="8">
        <f t="shared" si="5"/>
        <v>0.68388769928526516</v>
      </c>
      <c r="S60" s="9">
        <f t="shared" si="15"/>
        <v>1.8464563024533167</v>
      </c>
      <c r="T60" s="9">
        <f t="shared" si="15"/>
        <v>1.6413304782846365</v>
      </c>
      <c r="U60" s="8">
        <f t="shared" si="6"/>
        <v>1.2309708683022111</v>
      </c>
      <c r="V60" s="8">
        <f t="shared" si="7"/>
        <v>1.0942203188564243</v>
      </c>
      <c r="W60" s="8">
        <f t="shared" si="8"/>
        <v>0.61548543415110557</v>
      </c>
      <c r="X60" s="8">
        <f t="shared" si="9"/>
        <v>0.54711015942821217</v>
      </c>
      <c r="Y60" s="8">
        <f t="shared" si="10"/>
        <v>0</v>
      </c>
      <c r="Z60" s="8">
        <f t="shared" si="11"/>
        <v>0</v>
      </c>
      <c r="AA60" s="10">
        <v>417.89075855828003</v>
      </c>
      <c r="AB60" s="11">
        <v>371.46659669328</v>
      </c>
    </row>
    <row r="61" spans="1:28" x14ac:dyDescent="0.35">
      <c r="A61" s="13" t="s">
        <v>48</v>
      </c>
      <c r="B61" s="21" t="s">
        <v>65</v>
      </c>
      <c r="C61" s="7">
        <f t="shared" si="12"/>
        <v>25.918306382883841</v>
      </c>
      <c r="D61" s="26">
        <v>4.0163261841927023</v>
      </c>
      <c r="E61" s="26">
        <v>21.901980198691138</v>
      </c>
      <c r="F61" s="26">
        <v>2.0803991745458603</v>
      </c>
      <c r="G61" s="9">
        <f t="shared" si="13"/>
        <v>11.153251130204193</v>
      </c>
      <c r="H61" s="26">
        <v>0.9535162883335192</v>
      </c>
      <c r="I61" s="26">
        <v>10.199734841870674</v>
      </c>
      <c r="J61" s="22">
        <v>0</v>
      </c>
      <c r="K61" s="9">
        <f t="shared" si="14"/>
        <v>7.2304547534162724</v>
      </c>
      <c r="L61" s="9">
        <f t="shared" si="14"/>
        <v>7.5696715765084619</v>
      </c>
      <c r="M61" s="8">
        <f t="shared" si="0"/>
        <v>1.1204383620121092</v>
      </c>
      <c r="N61" s="8">
        <f t="shared" si="1"/>
        <v>1.1730037337064394</v>
      </c>
      <c r="O61" s="8">
        <f t="shared" si="2"/>
        <v>6.1100163914041632</v>
      </c>
      <c r="P61" s="8">
        <f t="shared" si="3"/>
        <v>6.3966678428020227</v>
      </c>
      <c r="Q61" s="8">
        <f t="shared" si="4"/>
        <v>0.5803709501069918</v>
      </c>
      <c r="R61" s="8">
        <f t="shared" si="5"/>
        <v>0.60759905630837163</v>
      </c>
      <c r="S61" s="9">
        <f t="shared" si="15"/>
        <v>3.1114331491847054</v>
      </c>
      <c r="T61" s="9">
        <f t="shared" si="15"/>
        <v>3.257406051875436</v>
      </c>
      <c r="U61" s="8">
        <f t="shared" si="6"/>
        <v>0.2660033521323712</v>
      </c>
      <c r="V61" s="8">
        <f t="shared" si="7"/>
        <v>0.27848290080800364</v>
      </c>
      <c r="W61" s="8">
        <f t="shared" si="8"/>
        <v>2.8454297970523341</v>
      </c>
      <c r="X61" s="8">
        <f t="shared" si="9"/>
        <v>2.9789231510674323</v>
      </c>
      <c r="Y61" s="8">
        <f t="shared" si="10"/>
        <v>0</v>
      </c>
      <c r="Z61" s="8">
        <f t="shared" si="11"/>
        <v>0</v>
      </c>
      <c r="AA61" s="10">
        <v>342.39670930134002</v>
      </c>
      <c r="AB61" s="11">
        <v>358.46025273358998</v>
      </c>
    </row>
    <row r="62" spans="1:28" x14ac:dyDescent="0.35">
      <c r="A62" s="15" t="s">
        <v>49</v>
      </c>
      <c r="B62" s="21" t="s">
        <v>65</v>
      </c>
      <c r="C62" s="7">
        <f t="shared" si="12"/>
        <v>2.6412118346100706</v>
      </c>
      <c r="D62" s="26">
        <v>0.2311060355223796</v>
      </c>
      <c r="E62" s="26">
        <v>2.4101057990876908</v>
      </c>
      <c r="F62" s="22">
        <v>0</v>
      </c>
      <c r="G62" s="9">
        <f t="shared" si="13"/>
        <v>1.0485610983298868</v>
      </c>
      <c r="H62" s="26">
        <v>0.2311060355223796</v>
      </c>
      <c r="I62" s="26">
        <v>0.81745506280750724</v>
      </c>
      <c r="J62" s="22">
        <v>0</v>
      </c>
      <c r="K62" s="9">
        <f t="shared" si="14"/>
        <v>8.7573111594010662</v>
      </c>
      <c r="L62" s="9">
        <f t="shared" si="14"/>
        <v>4.7655871856594887</v>
      </c>
      <c r="M62" s="8">
        <f t="shared" si="0"/>
        <v>0.76626472642769428</v>
      </c>
      <c r="N62" s="8">
        <f t="shared" si="1"/>
        <v>0.41698887873437651</v>
      </c>
      <c r="O62" s="8">
        <f t="shared" si="2"/>
        <v>7.9910464329733726</v>
      </c>
      <c r="P62" s="8">
        <f t="shared" si="3"/>
        <v>4.348598306925112</v>
      </c>
      <c r="Q62" s="8">
        <f t="shared" si="4"/>
        <v>0</v>
      </c>
      <c r="R62" s="8">
        <f t="shared" si="5"/>
        <v>0</v>
      </c>
      <c r="S62" s="9">
        <f t="shared" si="15"/>
        <v>3.4766525302480353</v>
      </c>
      <c r="T62" s="9">
        <f t="shared" si="15"/>
        <v>1.8919381126882124</v>
      </c>
      <c r="U62" s="8">
        <f t="shared" si="6"/>
        <v>0.76626472642769428</v>
      </c>
      <c r="V62" s="8">
        <f t="shared" si="7"/>
        <v>0.41698887873437651</v>
      </c>
      <c r="W62" s="8">
        <f t="shared" si="8"/>
        <v>2.7103878038203408</v>
      </c>
      <c r="X62" s="8">
        <f t="shared" si="9"/>
        <v>1.4749492339538359</v>
      </c>
      <c r="Y62" s="8">
        <f t="shared" si="10"/>
        <v>0</v>
      </c>
      <c r="Z62" s="8">
        <f t="shared" si="11"/>
        <v>0</v>
      </c>
      <c r="AA62" s="16">
        <v>55.422589739999999</v>
      </c>
      <c r="AB62" s="11">
        <v>30.160077523049999</v>
      </c>
    </row>
    <row r="63" spans="1:28" x14ac:dyDescent="0.35">
      <c r="A63" s="13" t="s">
        <v>50</v>
      </c>
      <c r="B63" s="21" t="s">
        <v>65</v>
      </c>
      <c r="C63" s="7">
        <f t="shared" si="12"/>
        <v>2.5949763727608071</v>
      </c>
      <c r="D63" s="26">
        <v>0.57158069884599272</v>
      </c>
      <c r="E63" s="26">
        <v>2.0233956739148145</v>
      </c>
      <c r="F63" s="26">
        <v>2.503523460945448</v>
      </c>
      <c r="G63" s="9">
        <f t="shared" si="13"/>
        <v>1.9662376040302147</v>
      </c>
      <c r="H63" s="26">
        <v>0.36581164726143534</v>
      </c>
      <c r="I63" s="26">
        <v>1.6004259567687795</v>
      </c>
      <c r="J63" s="22">
        <v>0</v>
      </c>
      <c r="K63" s="9">
        <f t="shared" si="14"/>
        <v>5.3818960772623692</v>
      </c>
      <c r="L63" s="9">
        <f t="shared" si="14"/>
        <v>2.6714857655953939</v>
      </c>
      <c r="M63" s="8">
        <f t="shared" si="0"/>
        <v>1.1854396645952354</v>
      </c>
      <c r="N63" s="8">
        <f t="shared" si="1"/>
        <v>0.5884329880166066</v>
      </c>
      <c r="O63" s="8">
        <f t="shared" si="2"/>
        <v>4.1964564126671338</v>
      </c>
      <c r="P63" s="8">
        <f t="shared" si="3"/>
        <v>2.0830527775787875</v>
      </c>
      <c r="Q63" s="8">
        <f t="shared" si="4"/>
        <v>5.19222573092713</v>
      </c>
      <c r="R63" s="8">
        <f t="shared" si="5"/>
        <v>2.5773364875127363</v>
      </c>
      <c r="S63" s="9">
        <f t="shared" si="15"/>
        <v>4.0779124462076091</v>
      </c>
      <c r="T63" s="9">
        <f t="shared" si="15"/>
        <v>2.0242094787771263</v>
      </c>
      <c r="U63" s="8">
        <f t="shared" si="6"/>
        <v>0.75868138534095053</v>
      </c>
      <c r="V63" s="8">
        <f t="shared" si="7"/>
        <v>0.3765971123306282</v>
      </c>
      <c r="W63" s="8">
        <f t="shared" si="8"/>
        <v>3.3192310608666586</v>
      </c>
      <c r="X63" s="8">
        <f t="shared" si="9"/>
        <v>1.6476123664464981</v>
      </c>
      <c r="Y63" s="8">
        <f t="shared" si="10"/>
        <v>0</v>
      </c>
      <c r="Z63" s="8">
        <f t="shared" si="11"/>
        <v>0</v>
      </c>
      <c r="AA63" s="10">
        <v>97.136073348400004</v>
      </c>
      <c r="AB63" s="11">
        <v>48.216768505140003</v>
      </c>
    </row>
    <row r="64" spans="1:28" x14ac:dyDescent="0.35">
      <c r="A64" s="13" t="s">
        <v>51</v>
      </c>
      <c r="B64" s="21" t="s">
        <v>65</v>
      </c>
      <c r="C64" s="7">
        <f t="shared" si="12"/>
        <v>3.5438003328451551</v>
      </c>
      <c r="D64" s="26">
        <v>0.2286322795383971</v>
      </c>
      <c r="E64" s="26">
        <v>3.315168053306758</v>
      </c>
      <c r="F64" s="26">
        <v>5.2145883075488326</v>
      </c>
      <c r="G64" s="9">
        <f t="shared" si="13"/>
        <v>2.8579034942299635</v>
      </c>
      <c r="H64" s="26">
        <v>0</v>
      </c>
      <c r="I64" s="26">
        <v>2.8579034942299635</v>
      </c>
      <c r="J64" s="26">
        <v>1.2574775374611842</v>
      </c>
      <c r="K64" s="9">
        <f t="shared" si="14"/>
        <v>5.3244195640159759</v>
      </c>
      <c r="L64" s="9">
        <f t="shared" si="14"/>
        <v>5.3415951260588308</v>
      </c>
      <c r="M64" s="8">
        <f t="shared" si="0"/>
        <v>0.34351093961393397</v>
      </c>
      <c r="N64" s="8">
        <f t="shared" si="1"/>
        <v>0.34461904039089231</v>
      </c>
      <c r="O64" s="8">
        <f t="shared" si="2"/>
        <v>4.9809086244020424</v>
      </c>
      <c r="P64" s="8">
        <f t="shared" si="3"/>
        <v>4.9969760856679386</v>
      </c>
      <c r="Q64" s="8">
        <f t="shared" si="4"/>
        <v>7.8347122849077095</v>
      </c>
      <c r="R64" s="8">
        <f t="shared" si="5"/>
        <v>7.8599855725063756</v>
      </c>
      <c r="S64" s="9">
        <f t="shared" si="15"/>
        <v>4.2938867451741736</v>
      </c>
      <c r="T64" s="9">
        <f t="shared" si="15"/>
        <v>4.3077380048861542</v>
      </c>
      <c r="U64" s="8">
        <f t="shared" si="6"/>
        <v>0</v>
      </c>
      <c r="V64" s="8">
        <f t="shared" si="7"/>
        <v>0</v>
      </c>
      <c r="W64" s="8">
        <f t="shared" si="8"/>
        <v>4.2938867451741736</v>
      </c>
      <c r="X64" s="8">
        <f t="shared" si="9"/>
        <v>4.3077380048861542</v>
      </c>
      <c r="Y64" s="8">
        <f t="shared" si="10"/>
        <v>1.8893101678766371</v>
      </c>
      <c r="Z64" s="8">
        <f t="shared" si="11"/>
        <v>1.8954047221499077</v>
      </c>
      <c r="AA64" s="10">
        <v>66.343484468840003</v>
      </c>
      <c r="AB64" s="11">
        <v>66.557495896739994</v>
      </c>
    </row>
    <row r="65" spans="1:28" x14ac:dyDescent="0.35">
      <c r="A65" s="13" t="s">
        <v>52</v>
      </c>
      <c r="B65" s="21" t="s">
        <v>65</v>
      </c>
      <c r="C65" s="7">
        <f t="shared" si="12"/>
        <v>33.987077390271075</v>
      </c>
      <c r="D65" s="14">
        <v>0.76498244929870585</v>
      </c>
      <c r="E65" s="14">
        <v>33.222094940972369</v>
      </c>
      <c r="F65" s="14">
        <v>34.970626253655126</v>
      </c>
      <c r="G65" s="9">
        <f t="shared" si="13"/>
        <v>33.440661355057721</v>
      </c>
      <c r="H65" s="14">
        <v>0</v>
      </c>
      <c r="I65" s="14">
        <v>33.440661355057721</v>
      </c>
      <c r="J65" s="14">
        <v>0</v>
      </c>
      <c r="K65" s="9">
        <f t="shared" si="14"/>
        <v>4.0448747462395209</v>
      </c>
      <c r="L65" s="9">
        <f t="shared" si="14"/>
        <v>3.6449596280600378</v>
      </c>
      <c r="M65" s="8">
        <f t="shared" si="0"/>
        <v>9.1042196860696603E-2</v>
      </c>
      <c r="N65" s="8">
        <f t="shared" si="1"/>
        <v>8.2040891949904396E-2</v>
      </c>
      <c r="O65" s="8">
        <f t="shared" si="2"/>
        <v>3.953832549378824</v>
      </c>
      <c r="P65" s="8">
        <f t="shared" si="3"/>
        <v>3.5629187361101335</v>
      </c>
      <c r="Q65" s="8">
        <f t="shared" si="4"/>
        <v>4.1619289993461308</v>
      </c>
      <c r="R65" s="8">
        <f t="shared" si="5"/>
        <v>3.7504407748527728</v>
      </c>
      <c r="S65" s="9">
        <f t="shared" si="15"/>
        <v>3.9798446056247383</v>
      </c>
      <c r="T65" s="9">
        <f t="shared" si="15"/>
        <v>3.5863589909529647</v>
      </c>
      <c r="U65" s="8">
        <f t="shared" si="6"/>
        <v>0</v>
      </c>
      <c r="V65" s="8">
        <f t="shared" si="7"/>
        <v>0</v>
      </c>
      <c r="W65" s="8">
        <f t="shared" si="8"/>
        <v>3.9798446056247383</v>
      </c>
      <c r="X65" s="8">
        <f t="shared" si="9"/>
        <v>3.5863589909529647</v>
      </c>
      <c r="Y65" s="8">
        <f t="shared" si="10"/>
        <v>0</v>
      </c>
      <c r="Z65" s="8">
        <f t="shared" si="11"/>
        <v>0</v>
      </c>
      <c r="AA65" s="10">
        <v>932.44043441874999</v>
      </c>
      <c r="AB65" s="11">
        <v>840.25042856688003</v>
      </c>
    </row>
    <row r="66" spans="1:28" x14ac:dyDescent="0.35">
      <c r="A66" s="15" t="s">
        <v>53</v>
      </c>
      <c r="B66" s="23" t="s">
        <v>65</v>
      </c>
      <c r="C66" s="7">
        <f t="shared" si="12"/>
        <v>39.21106199759214</v>
      </c>
      <c r="D66" s="14">
        <v>0.31570903379703813</v>
      </c>
      <c r="E66" s="14">
        <v>38.895352963795098</v>
      </c>
      <c r="F66" s="14">
        <v>0</v>
      </c>
      <c r="G66" s="9">
        <f t="shared" si="13"/>
        <v>7.7980131347868449</v>
      </c>
      <c r="H66" s="14">
        <v>3.851650212323865</v>
      </c>
      <c r="I66" s="14">
        <v>3.9463629224629799</v>
      </c>
      <c r="J66" s="14">
        <v>0</v>
      </c>
      <c r="K66" s="9">
        <f t="shared" si="14"/>
        <v>19.32159175461776</v>
      </c>
      <c r="L66" s="9">
        <f t="shared" si="14"/>
        <v>20.214617117705718</v>
      </c>
      <c r="M66" s="8">
        <f t="shared" ref="M66:M129" si="16">($D66/$AB66)*100</f>
        <v>0.15556837161527984</v>
      </c>
      <c r="N66" s="8">
        <f t="shared" ref="N66:N129" si="17">($D66/$AA66)*100</f>
        <v>0.16275859192999773</v>
      </c>
      <c r="O66" s="8">
        <f t="shared" ref="O66:O129" si="18">($E66/$AB66)*100</f>
        <v>19.166023383002479</v>
      </c>
      <c r="P66" s="8">
        <f t="shared" ref="P66:P129" si="19">($E66/$AA66)*100</f>
        <v>20.051858525775721</v>
      </c>
      <c r="Q66" s="24">
        <f t="shared" ref="Q66:Q129" si="20">($F66/$AB66)*100</f>
        <v>0</v>
      </c>
      <c r="R66" s="8">
        <f t="shared" ref="R66:R129" si="21">($F66/$AA66)*100</f>
        <v>0</v>
      </c>
      <c r="S66" s="9">
        <f t="shared" si="15"/>
        <v>3.8425387788974139</v>
      </c>
      <c r="T66" s="9">
        <f t="shared" si="15"/>
        <v>4.0201372206709456</v>
      </c>
      <c r="U66" s="8">
        <f t="shared" ref="U66:U129" si="22">($H66/$AB66)*100</f>
        <v>1.8979341337064142</v>
      </c>
      <c r="V66" s="8">
        <f t="shared" ref="V66:V129" si="23">($H66/AA66)*100</f>
        <v>1.9856548215459722</v>
      </c>
      <c r="W66" s="8">
        <f t="shared" ref="W66:W129" si="24">($I66/$AB66)*100</f>
        <v>1.9446046451909997</v>
      </c>
      <c r="X66" s="8">
        <f t="shared" ref="X66:X129" si="25">($I66/$AA66)*100</f>
        <v>2.0344823991249732</v>
      </c>
      <c r="Y66" s="8">
        <f t="shared" ref="Y66:Y129" si="26">($J66/$AB66)*100</f>
        <v>0</v>
      </c>
      <c r="Z66" s="8">
        <f t="shared" ref="Z66:Z129" si="27">($J66/$AA66)*100</f>
        <v>0</v>
      </c>
      <c r="AA66" s="10">
        <v>193.97380504054999</v>
      </c>
      <c r="AB66" s="11">
        <v>202.93908750153</v>
      </c>
    </row>
    <row r="67" spans="1:28" x14ac:dyDescent="0.35">
      <c r="A67" s="13" t="s">
        <v>54</v>
      </c>
      <c r="B67" s="21" t="s">
        <v>65</v>
      </c>
      <c r="C67" s="7">
        <f t="shared" ref="C67:C129" si="28">D67+E67</f>
        <v>0</v>
      </c>
      <c r="D67" s="22">
        <v>0</v>
      </c>
      <c r="E67" s="22">
        <v>0</v>
      </c>
      <c r="F67" s="22">
        <v>0</v>
      </c>
      <c r="G67" s="9">
        <f t="shared" ref="G67:G129" si="29">H67+I67</f>
        <v>17.74925151495945</v>
      </c>
      <c r="H67" s="14">
        <v>4.9413283727615402</v>
      </c>
      <c r="I67" s="14">
        <v>12.807923142197911</v>
      </c>
      <c r="J67" s="14">
        <v>0</v>
      </c>
      <c r="K67" s="9">
        <f t="shared" ref="K67:L77" si="30">M67+O67</f>
        <v>0</v>
      </c>
      <c r="L67" s="9">
        <f t="shared" si="30"/>
        <v>0</v>
      </c>
      <c r="M67" s="8">
        <f t="shared" si="16"/>
        <v>0</v>
      </c>
      <c r="N67" s="8">
        <f t="shared" si="17"/>
        <v>0</v>
      </c>
      <c r="O67" s="8">
        <f t="shared" si="18"/>
        <v>0</v>
      </c>
      <c r="P67" s="8">
        <f t="shared" si="19"/>
        <v>0</v>
      </c>
      <c r="Q67" s="8">
        <f t="shared" si="20"/>
        <v>0</v>
      </c>
      <c r="R67" s="8">
        <f t="shared" si="21"/>
        <v>0</v>
      </c>
      <c r="S67" s="9">
        <f t="shared" ref="S67:T77" si="31">U67+W67</f>
        <v>4.3264546866616493</v>
      </c>
      <c r="T67" s="9">
        <f t="shared" si="31"/>
        <v>5.3711672841557805</v>
      </c>
      <c r="U67" s="8">
        <f t="shared" si="22"/>
        <v>1.2044695675561388</v>
      </c>
      <c r="V67" s="8">
        <f t="shared" si="23"/>
        <v>1.4953138318919212</v>
      </c>
      <c r="W67" s="8">
        <f t="shared" si="24"/>
        <v>3.1219851191055108</v>
      </c>
      <c r="X67" s="8">
        <f t="shared" si="25"/>
        <v>3.8758534522638595</v>
      </c>
      <c r="Y67" s="8">
        <f t="shared" si="26"/>
        <v>0</v>
      </c>
      <c r="Z67" s="8">
        <f t="shared" si="27"/>
        <v>0</v>
      </c>
      <c r="AA67" s="10">
        <v>330.45426768437</v>
      </c>
      <c r="AB67" s="11">
        <v>410.24933347112</v>
      </c>
    </row>
    <row r="68" spans="1:28" x14ac:dyDescent="0.35">
      <c r="A68" s="13" t="s">
        <v>55</v>
      </c>
      <c r="B68" s="21" t="s">
        <v>65</v>
      </c>
      <c r="C68" s="7">
        <f t="shared" si="28"/>
        <v>7.2019168054595077</v>
      </c>
      <c r="D68" s="26">
        <v>1.8290582363071768</v>
      </c>
      <c r="E68" s="26">
        <v>5.3728585691523305</v>
      </c>
      <c r="F68" s="26">
        <v>9.0309750417666859</v>
      </c>
      <c r="G68" s="9">
        <f t="shared" si="29"/>
        <v>14.861098169995811</v>
      </c>
      <c r="H68" s="26">
        <v>0</v>
      </c>
      <c r="I68" s="26">
        <v>14.861098169995811</v>
      </c>
      <c r="J68" s="26">
        <v>0</v>
      </c>
      <c r="K68" s="9">
        <f t="shared" si="30"/>
        <v>3.2388197867879107</v>
      </c>
      <c r="L68" s="9">
        <f t="shared" si="30"/>
        <v>2.1106625637775824</v>
      </c>
      <c r="M68" s="8">
        <f t="shared" si="16"/>
        <v>0.82255740616835848</v>
      </c>
      <c r="N68" s="8">
        <f t="shared" si="17"/>
        <v>0.53604128603875123</v>
      </c>
      <c r="O68" s="8">
        <f t="shared" si="18"/>
        <v>2.4162623806195525</v>
      </c>
      <c r="P68" s="8">
        <f t="shared" si="19"/>
        <v>1.5746212777388313</v>
      </c>
      <c r="Q68" s="8">
        <f t="shared" si="20"/>
        <v>4.0613771929562708</v>
      </c>
      <c r="R68" s="8">
        <f t="shared" si="21"/>
        <v>2.6467038498163342</v>
      </c>
      <c r="S68" s="9">
        <f t="shared" si="31"/>
        <v>6.6832789251179126</v>
      </c>
      <c r="T68" s="9">
        <f t="shared" si="31"/>
        <v>4.3553354490648539</v>
      </c>
      <c r="U68" s="8">
        <f t="shared" si="22"/>
        <v>0</v>
      </c>
      <c r="V68" s="8">
        <f t="shared" si="23"/>
        <v>0</v>
      </c>
      <c r="W68" s="8">
        <f t="shared" si="24"/>
        <v>6.6832789251179126</v>
      </c>
      <c r="X68" s="8">
        <f t="shared" si="25"/>
        <v>4.3553354490648539</v>
      </c>
      <c r="Y68" s="8">
        <f t="shared" si="26"/>
        <v>0</v>
      </c>
      <c r="Z68" s="8">
        <f t="shared" si="27"/>
        <v>0</v>
      </c>
      <c r="AA68" s="10">
        <v>341.21592570296002</v>
      </c>
      <c r="AB68" s="11">
        <v>222.36238134761999</v>
      </c>
    </row>
    <row r="69" spans="1:28" x14ac:dyDescent="0.35">
      <c r="A69" s="13" t="s">
        <v>56</v>
      </c>
      <c r="B69" s="21" t="s">
        <v>65</v>
      </c>
      <c r="C69" s="7">
        <f t="shared" si="28"/>
        <v>2.5149550749223684</v>
      </c>
      <c r="D69" s="26">
        <v>0.18290582363071767</v>
      </c>
      <c r="E69" s="26">
        <v>2.3320492512916506</v>
      </c>
      <c r="F69" s="26">
        <v>1.4060885191611421</v>
      </c>
      <c r="G69" s="9">
        <f t="shared" si="29"/>
        <v>4.5840772047448617</v>
      </c>
      <c r="H69" s="26">
        <v>0</v>
      </c>
      <c r="I69" s="26">
        <v>4.5840772047448617</v>
      </c>
      <c r="J69" s="26">
        <v>0</v>
      </c>
      <c r="K69" s="9">
        <f t="shared" si="30"/>
        <v>2.52787094908023</v>
      </c>
      <c r="L69" s="9">
        <f t="shared" si="30"/>
        <v>1.3840355185893003</v>
      </c>
      <c r="M69" s="8">
        <f t="shared" si="16"/>
        <v>0.18384515993310763</v>
      </c>
      <c r="N69" s="8">
        <f t="shared" si="17"/>
        <v>0.10065712862467636</v>
      </c>
      <c r="O69" s="8">
        <f t="shared" si="18"/>
        <v>2.3440257891471226</v>
      </c>
      <c r="P69" s="8">
        <f t="shared" si="19"/>
        <v>1.2833783899646238</v>
      </c>
      <c r="Q69" s="8">
        <f t="shared" si="20"/>
        <v>1.4133096669857648</v>
      </c>
      <c r="R69" s="8">
        <f t="shared" si="21"/>
        <v>0.77380167630219954</v>
      </c>
      <c r="S69" s="9">
        <f t="shared" si="31"/>
        <v>4.6076193208235097</v>
      </c>
      <c r="T69" s="9">
        <f t="shared" si="31"/>
        <v>2.5227192861559513</v>
      </c>
      <c r="U69" s="8">
        <f t="shared" si="22"/>
        <v>0</v>
      </c>
      <c r="V69" s="8">
        <f t="shared" si="23"/>
        <v>0</v>
      </c>
      <c r="W69" s="8">
        <f t="shared" si="24"/>
        <v>4.6076193208235097</v>
      </c>
      <c r="X69" s="8">
        <f t="shared" si="25"/>
        <v>2.5227192861559513</v>
      </c>
      <c r="Y69" s="8">
        <f t="shared" si="26"/>
        <v>0</v>
      </c>
      <c r="Z69" s="8">
        <f t="shared" si="27"/>
        <v>0</v>
      </c>
      <c r="AA69" s="10">
        <v>181.71174374815001</v>
      </c>
      <c r="AB69" s="11">
        <v>99.489061173690004</v>
      </c>
    </row>
    <row r="70" spans="1:28" x14ac:dyDescent="0.35">
      <c r="A70" s="13" t="s">
        <v>57</v>
      </c>
      <c r="B70" s="21" t="s">
        <v>65</v>
      </c>
      <c r="C70" s="7">
        <f t="shared" si="28"/>
        <v>4.1153810316911672</v>
      </c>
      <c r="D70" s="37">
        <v>0.11431613976919908</v>
      </c>
      <c r="E70" s="37">
        <v>4.0010648919219678</v>
      </c>
      <c r="F70" s="37">
        <v>0</v>
      </c>
      <c r="G70" s="25">
        <f t="shared" si="29"/>
        <v>3.3151680533067727</v>
      </c>
      <c r="H70" s="20">
        <v>0.68589683861519435</v>
      </c>
      <c r="I70" s="20">
        <v>2.6292712146915784</v>
      </c>
      <c r="J70" s="20">
        <v>0.11431613976919908</v>
      </c>
      <c r="K70" s="9">
        <f t="shared" si="30"/>
        <v>8.1625269737342627</v>
      </c>
      <c r="L70" s="9">
        <f t="shared" si="30"/>
        <v>5.4123140293972885</v>
      </c>
      <c r="M70" s="8">
        <f t="shared" si="16"/>
        <v>0.22673686038150731</v>
      </c>
      <c r="N70" s="8">
        <f t="shared" si="17"/>
        <v>0.1503420563721469</v>
      </c>
      <c r="O70" s="8">
        <f t="shared" si="18"/>
        <v>7.9357901133527555</v>
      </c>
      <c r="P70" s="8">
        <f t="shared" si="19"/>
        <v>5.2619719730251413</v>
      </c>
      <c r="Q70" s="8">
        <f t="shared" si="20"/>
        <v>0</v>
      </c>
      <c r="R70" s="8">
        <f t="shared" si="21"/>
        <v>0</v>
      </c>
      <c r="S70" s="9">
        <f t="shared" si="31"/>
        <v>6.5753689510637106</v>
      </c>
      <c r="T70" s="9">
        <f t="shared" si="31"/>
        <v>4.3599196347922593</v>
      </c>
      <c r="U70" s="8">
        <f t="shared" si="22"/>
        <v>1.3604211622890434</v>
      </c>
      <c r="V70" s="8">
        <f t="shared" si="23"/>
        <v>0.90205233823288122</v>
      </c>
      <c r="W70" s="8">
        <f t="shared" si="24"/>
        <v>5.2149477887746674</v>
      </c>
      <c r="X70" s="8">
        <f t="shared" si="25"/>
        <v>3.4578672965593782</v>
      </c>
      <c r="Y70" s="8">
        <f t="shared" si="26"/>
        <v>0.22673686038150731</v>
      </c>
      <c r="Z70" s="8">
        <f t="shared" si="27"/>
        <v>0.1503420563721469</v>
      </c>
      <c r="AA70" s="10">
        <v>76.037366075549997</v>
      </c>
      <c r="AB70" s="11">
        <v>50.417977728389999</v>
      </c>
    </row>
    <row r="71" spans="1:28" x14ac:dyDescent="0.35">
      <c r="A71" s="13" t="s">
        <v>58</v>
      </c>
      <c r="B71" s="21" t="s">
        <v>65</v>
      </c>
      <c r="C71" s="7">
        <f t="shared" si="28"/>
        <v>25.100437358322282</v>
      </c>
      <c r="D71" s="14">
        <v>0.8349841230760352</v>
      </c>
      <c r="E71" s="14">
        <v>24.265453235246245</v>
      </c>
      <c r="F71" s="14">
        <v>34.112156247618515</v>
      </c>
      <c r="G71" s="9">
        <f t="shared" si="29"/>
        <v>23.420286378961965</v>
      </c>
      <c r="H71" s="14">
        <v>0</v>
      </c>
      <c r="I71" s="14">
        <v>23.420286378961965</v>
      </c>
      <c r="J71" s="14">
        <v>0</v>
      </c>
      <c r="K71" s="9">
        <f t="shared" si="30"/>
        <v>4.5651993079368838</v>
      </c>
      <c r="L71" s="9">
        <f t="shared" si="30"/>
        <v>4.8177007692449285</v>
      </c>
      <c r="M71" s="8">
        <f t="shared" si="16"/>
        <v>0.15186464229242372</v>
      </c>
      <c r="N71" s="8">
        <f t="shared" si="17"/>
        <v>0.16026428522437489</v>
      </c>
      <c r="O71" s="8">
        <f t="shared" si="18"/>
        <v>4.4133346656444603</v>
      </c>
      <c r="P71" s="8">
        <f t="shared" si="19"/>
        <v>4.657436484020554</v>
      </c>
      <c r="Q71" s="8">
        <f t="shared" si="20"/>
        <v>6.2042262399953607</v>
      </c>
      <c r="R71" s="8">
        <f t="shared" si="21"/>
        <v>6.5473823841665366</v>
      </c>
      <c r="S71" s="9">
        <f t="shared" si="31"/>
        <v>4.2596180155192025</v>
      </c>
      <c r="T71" s="9">
        <f t="shared" si="31"/>
        <v>4.4952177562934423</v>
      </c>
      <c r="U71" s="8">
        <f t="shared" si="22"/>
        <v>0</v>
      </c>
      <c r="V71" s="8">
        <f t="shared" si="23"/>
        <v>0</v>
      </c>
      <c r="W71" s="8">
        <f t="shared" si="24"/>
        <v>4.2596180155192025</v>
      </c>
      <c r="X71" s="8">
        <f t="shared" si="25"/>
        <v>4.4952177562934423</v>
      </c>
      <c r="Y71" s="8">
        <f t="shared" si="26"/>
        <v>0</v>
      </c>
      <c r="Z71" s="8">
        <f t="shared" si="27"/>
        <v>0</v>
      </c>
      <c r="AA71" s="10">
        <v>521.00449074291998</v>
      </c>
      <c r="AB71" s="11">
        <v>549.82128194673999</v>
      </c>
    </row>
    <row r="72" spans="1:28" x14ac:dyDescent="0.35">
      <c r="A72" s="15" t="s">
        <v>59</v>
      </c>
      <c r="B72" s="23" t="s">
        <v>65</v>
      </c>
      <c r="C72" s="7">
        <f t="shared" si="28"/>
        <v>31.955418247635048</v>
      </c>
      <c r="D72" s="14">
        <v>2.6975353066185432</v>
      </c>
      <c r="E72" s="14">
        <v>29.257882941016504</v>
      </c>
      <c r="F72" s="14">
        <v>0</v>
      </c>
      <c r="G72" s="9">
        <f t="shared" si="29"/>
        <v>42.953062190002953</v>
      </c>
      <c r="H72" s="14">
        <v>0</v>
      </c>
      <c r="I72" s="14">
        <v>42.953062190002953</v>
      </c>
      <c r="J72" s="14">
        <v>0</v>
      </c>
      <c r="K72" s="9">
        <f t="shared" si="30"/>
        <v>4.2772051685675523</v>
      </c>
      <c r="L72" s="9">
        <f t="shared" si="30"/>
        <v>5.4087084051103789</v>
      </c>
      <c r="M72" s="8">
        <f t="shared" si="16"/>
        <v>0.3610627739699882</v>
      </c>
      <c r="N72" s="8">
        <f t="shared" si="17"/>
        <v>0.45657928095087619</v>
      </c>
      <c r="O72" s="8">
        <f t="shared" si="18"/>
        <v>3.9161423945975637</v>
      </c>
      <c r="P72" s="8">
        <f t="shared" si="19"/>
        <v>4.9521291241595025</v>
      </c>
      <c r="Q72" s="8">
        <f t="shared" si="20"/>
        <v>0</v>
      </c>
      <c r="R72" s="8">
        <f t="shared" si="21"/>
        <v>0</v>
      </c>
      <c r="S72" s="9">
        <f t="shared" si="31"/>
        <v>5.7492303239836575</v>
      </c>
      <c r="T72" s="9">
        <f t="shared" si="31"/>
        <v>7.2701470120639504</v>
      </c>
      <c r="U72" s="8">
        <f t="shared" si="22"/>
        <v>0</v>
      </c>
      <c r="V72" s="8">
        <f t="shared" si="23"/>
        <v>0</v>
      </c>
      <c r="W72" s="8">
        <f t="shared" si="24"/>
        <v>5.7492303239836575</v>
      </c>
      <c r="X72" s="8">
        <f t="shared" si="25"/>
        <v>7.2701470120639504</v>
      </c>
      <c r="Y72" s="8">
        <f t="shared" si="26"/>
        <v>0</v>
      </c>
      <c r="Z72" s="8">
        <f t="shared" si="27"/>
        <v>0</v>
      </c>
      <c r="AA72" s="10">
        <v>590.81421763174001</v>
      </c>
      <c r="AB72" s="11">
        <v>747.10978286638999</v>
      </c>
    </row>
    <row r="73" spans="1:28" x14ac:dyDescent="0.35">
      <c r="A73" s="6" t="s">
        <v>60</v>
      </c>
      <c r="B73" s="21" t="s">
        <v>65</v>
      </c>
      <c r="C73" s="7">
        <f t="shared" si="28"/>
        <v>18.197478788559124</v>
      </c>
      <c r="D73" s="14">
        <v>1.7213831286474848</v>
      </c>
      <c r="E73" s="14">
        <v>16.476095659911639</v>
      </c>
      <c r="F73" s="14">
        <v>3.8116340705765732</v>
      </c>
      <c r="G73" s="9">
        <f t="shared" si="29"/>
        <v>5.5944951681043253</v>
      </c>
      <c r="H73" s="14">
        <v>2.582074692971227</v>
      </c>
      <c r="I73" s="14">
        <v>3.0124204751330983</v>
      </c>
      <c r="J73" s="14">
        <v>0</v>
      </c>
      <c r="K73" s="9">
        <f t="shared" si="30"/>
        <v>6.9466775390796931</v>
      </c>
      <c r="L73" s="9">
        <f t="shared" si="30"/>
        <v>4.1237130550000787</v>
      </c>
      <c r="M73" s="8">
        <f t="shared" si="16"/>
        <v>0.65711814558861958</v>
      </c>
      <c r="N73" s="8">
        <f t="shared" si="17"/>
        <v>0.39008096466216968</v>
      </c>
      <c r="O73" s="8">
        <f t="shared" si="18"/>
        <v>6.2895593934910732</v>
      </c>
      <c r="P73" s="8">
        <f t="shared" si="19"/>
        <v>3.7336320903379092</v>
      </c>
      <c r="Q73" s="8">
        <f t="shared" si="20"/>
        <v>1.4550473223748004</v>
      </c>
      <c r="R73" s="8">
        <f t="shared" si="21"/>
        <v>0.86375070746623273</v>
      </c>
      <c r="S73" s="9">
        <f t="shared" si="31"/>
        <v>2.1356339731630136</v>
      </c>
      <c r="T73" s="9">
        <f t="shared" si="31"/>
        <v>1.2677631351520513</v>
      </c>
      <c r="U73" s="8">
        <f t="shared" si="22"/>
        <v>0.98567721838292932</v>
      </c>
      <c r="V73" s="8">
        <f t="shared" si="23"/>
        <v>0.58512144699325441</v>
      </c>
      <c r="W73" s="8">
        <f t="shared" si="24"/>
        <v>1.1499567547800842</v>
      </c>
      <c r="X73" s="8">
        <f t="shared" si="25"/>
        <v>0.68264168815879689</v>
      </c>
      <c r="Y73" s="8">
        <f t="shared" si="26"/>
        <v>0</v>
      </c>
      <c r="Z73" s="8">
        <f t="shared" si="27"/>
        <v>0</v>
      </c>
      <c r="AA73" s="10">
        <v>441.28867711817003</v>
      </c>
      <c r="AB73" s="11">
        <v>261.95945739796002</v>
      </c>
    </row>
    <row r="74" spans="1:28" x14ac:dyDescent="0.35">
      <c r="A74" s="6" t="s">
        <v>61</v>
      </c>
      <c r="B74" s="21" t="s">
        <v>65</v>
      </c>
      <c r="C74" s="7">
        <f t="shared" si="28"/>
        <v>3.824337949750285</v>
      </c>
      <c r="D74" s="14">
        <v>1.9136139057485111</v>
      </c>
      <c r="E74" s="14">
        <v>1.9107240440017739</v>
      </c>
      <c r="F74" s="14">
        <v>0.10508588169953384</v>
      </c>
      <c r="G74" s="9">
        <f t="shared" si="29"/>
        <v>0.98649371445437384</v>
      </c>
      <c r="H74" s="14">
        <v>0.98649371445437384</v>
      </c>
      <c r="I74" s="14">
        <v>0</v>
      </c>
      <c r="J74" s="14">
        <v>0</v>
      </c>
      <c r="K74" s="9">
        <f t="shared" si="30"/>
        <v>1.1898790407164512</v>
      </c>
      <c r="L74" s="9">
        <f t="shared" si="30"/>
        <v>0.55387529870065522</v>
      </c>
      <c r="M74" s="8">
        <f t="shared" si="16"/>
        <v>0.59538908652734979</v>
      </c>
      <c r="N74" s="8">
        <f t="shared" si="17"/>
        <v>0.27714691734118102</v>
      </c>
      <c r="O74" s="8">
        <f t="shared" si="18"/>
        <v>0.59448995418910144</v>
      </c>
      <c r="P74" s="8">
        <f t="shared" si="19"/>
        <v>0.27672838135947414</v>
      </c>
      <c r="Q74" s="8">
        <f t="shared" si="20"/>
        <v>3.2695721390848427E-2</v>
      </c>
      <c r="R74" s="8">
        <f t="shared" si="21"/>
        <v>1.5219490243886932E-2</v>
      </c>
      <c r="S74" s="9">
        <f t="shared" si="31"/>
        <v>0.30693108455658957</v>
      </c>
      <c r="T74" s="9">
        <f t="shared" si="31"/>
        <v>0.14287296466448857</v>
      </c>
      <c r="U74" s="8">
        <f t="shared" si="22"/>
        <v>0.30693108455658957</v>
      </c>
      <c r="V74" s="8">
        <f t="shared" si="23"/>
        <v>0.14287296466448857</v>
      </c>
      <c r="W74" s="8">
        <f t="shared" si="24"/>
        <v>0</v>
      </c>
      <c r="X74" s="8">
        <f t="shared" si="25"/>
        <v>0</v>
      </c>
      <c r="Y74" s="8">
        <f t="shared" si="26"/>
        <v>0</v>
      </c>
      <c r="Z74" s="8">
        <f t="shared" si="27"/>
        <v>0</v>
      </c>
      <c r="AA74" s="10">
        <v>690.46912883131995</v>
      </c>
      <c r="AB74" s="11">
        <v>321.40560669490998</v>
      </c>
    </row>
    <row r="75" spans="1:28" x14ac:dyDescent="0.35">
      <c r="A75" s="6" t="s">
        <v>62</v>
      </c>
      <c r="B75" s="21" t="s">
        <v>65</v>
      </c>
      <c r="C75" s="7">
        <f t="shared" si="28"/>
        <v>0.78793400000000002</v>
      </c>
      <c r="D75" s="22">
        <v>0.17</v>
      </c>
      <c r="E75" s="22">
        <v>0.61793399999999998</v>
      </c>
      <c r="F75" s="26">
        <v>0.40684985167435311</v>
      </c>
      <c r="G75" s="9">
        <f t="shared" si="29"/>
        <v>0</v>
      </c>
      <c r="H75" s="22">
        <v>0</v>
      </c>
      <c r="I75" s="22">
        <v>0</v>
      </c>
      <c r="J75" s="22">
        <v>0</v>
      </c>
      <c r="K75" s="9">
        <f t="shared" si="30"/>
        <v>1.223832673513586</v>
      </c>
      <c r="L75" s="9">
        <f t="shared" si="30"/>
        <v>0.86364559556167098</v>
      </c>
      <c r="M75" s="8">
        <f t="shared" si="16"/>
        <v>0.26404693095780818</v>
      </c>
      <c r="N75" s="8">
        <f t="shared" si="17"/>
        <v>0.18633508802194609</v>
      </c>
      <c r="O75" s="8">
        <f t="shared" si="18"/>
        <v>0.95978574255577775</v>
      </c>
      <c r="P75" s="8">
        <f t="shared" si="19"/>
        <v>0.67731050753972488</v>
      </c>
      <c r="Q75" s="8">
        <f t="shared" si="20"/>
        <v>0.63192620408972</v>
      </c>
      <c r="R75" s="8">
        <f t="shared" si="21"/>
        <v>0.4459435466085665</v>
      </c>
      <c r="S75" s="9">
        <f t="shared" si="31"/>
        <v>0</v>
      </c>
      <c r="T75" s="9">
        <f t="shared" si="31"/>
        <v>0</v>
      </c>
      <c r="U75" s="8">
        <f t="shared" si="22"/>
        <v>0</v>
      </c>
      <c r="V75" s="8">
        <f t="shared" si="23"/>
        <v>0</v>
      </c>
      <c r="W75" s="8">
        <f t="shared" si="24"/>
        <v>0</v>
      </c>
      <c r="X75" s="8">
        <f t="shared" si="25"/>
        <v>0</v>
      </c>
      <c r="Y75" s="8">
        <f t="shared" si="26"/>
        <v>0</v>
      </c>
      <c r="Z75" s="8">
        <f t="shared" si="27"/>
        <v>0</v>
      </c>
      <c r="AA75" s="10">
        <v>91.233487908610002</v>
      </c>
      <c r="AB75" s="11">
        <v>64.38249419652</v>
      </c>
    </row>
    <row r="76" spans="1:28" x14ac:dyDescent="0.35">
      <c r="A76" s="6" t="s">
        <v>63</v>
      </c>
      <c r="B76" s="21" t="s">
        <v>65</v>
      </c>
      <c r="C76" s="7">
        <f t="shared" si="28"/>
        <v>6.1891640315932381</v>
      </c>
      <c r="D76" s="20">
        <v>1.7694150329493317</v>
      </c>
      <c r="E76" s="20">
        <v>4.4197489986439065</v>
      </c>
      <c r="F76" s="22">
        <v>0</v>
      </c>
      <c r="G76" s="9">
        <f t="shared" si="29"/>
        <v>6.6270225953158493</v>
      </c>
      <c r="H76" s="22">
        <v>0</v>
      </c>
      <c r="I76" s="20">
        <v>6.6270225953158493</v>
      </c>
      <c r="J76" s="22">
        <v>0</v>
      </c>
      <c r="K76" s="9">
        <f t="shared" si="30"/>
        <v>4.1993466801001249</v>
      </c>
      <c r="L76" s="9">
        <f t="shared" si="30"/>
        <v>1.9972250576039592</v>
      </c>
      <c r="M76" s="8">
        <f t="shared" si="16"/>
        <v>1.2005477809936589</v>
      </c>
      <c r="N76" s="8">
        <f t="shared" si="17"/>
        <v>0.57098503498505992</v>
      </c>
      <c r="O76" s="8">
        <f t="shared" si="18"/>
        <v>2.998798899106466</v>
      </c>
      <c r="P76" s="8">
        <f t="shared" si="19"/>
        <v>1.4262400226188992</v>
      </c>
      <c r="Q76" s="8">
        <f t="shared" si="20"/>
        <v>0</v>
      </c>
      <c r="R76" s="8">
        <f t="shared" si="21"/>
        <v>0</v>
      </c>
      <c r="S76" s="9">
        <f t="shared" si="31"/>
        <v>4.4964336366803703</v>
      </c>
      <c r="T76" s="9">
        <f t="shared" si="31"/>
        <v>2.1385207302811238</v>
      </c>
      <c r="U76" s="8">
        <f t="shared" si="22"/>
        <v>0</v>
      </c>
      <c r="V76" s="8">
        <f t="shared" si="23"/>
        <v>0</v>
      </c>
      <c r="W76" s="8">
        <f t="shared" si="24"/>
        <v>4.4964336366803703</v>
      </c>
      <c r="X76" s="8">
        <f t="shared" si="25"/>
        <v>2.1385207302811238</v>
      </c>
      <c r="Y76" s="8">
        <f t="shared" si="26"/>
        <v>0</v>
      </c>
      <c r="Z76" s="8">
        <f t="shared" si="27"/>
        <v>0</v>
      </c>
      <c r="AA76" s="10">
        <v>309.88816247970999</v>
      </c>
      <c r="AB76" s="11">
        <v>147.38397429586999</v>
      </c>
    </row>
    <row r="77" spans="1:28" x14ac:dyDescent="0.35">
      <c r="A77" s="6" t="s">
        <v>64</v>
      </c>
      <c r="B77" s="21" t="s">
        <v>65</v>
      </c>
      <c r="C77" s="7">
        <f t="shared" si="28"/>
        <v>43.050977899376022</v>
      </c>
      <c r="D77" s="14">
        <v>2.2057463058752034</v>
      </c>
      <c r="E77" s="14">
        <v>40.84523159350082</v>
      </c>
      <c r="F77" s="14">
        <v>0</v>
      </c>
      <c r="G77" s="9">
        <f t="shared" si="29"/>
        <v>19.202967839384122</v>
      </c>
      <c r="H77" s="14">
        <v>0</v>
      </c>
      <c r="I77" s="14">
        <v>19.202967839384122</v>
      </c>
      <c r="J77" s="14">
        <v>9.8869334416288517</v>
      </c>
      <c r="K77" s="9">
        <f t="shared" si="30"/>
        <v>7.532938423153575</v>
      </c>
      <c r="L77" s="9">
        <f t="shared" si="30"/>
        <v>3.5420575832244796</v>
      </c>
      <c r="M77" s="8">
        <f t="shared" si="16"/>
        <v>0.38595525374807349</v>
      </c>
      <c r="N77" s="8">
        <f t="shared" si="17"/>
        <v>0.18147974356484678</v>
      </c>
      <c r="O77" s="8">
        <f t="shared" si="18"/>
        <v>7.1469831694055017</v>
      </c>
      <c r="P77" s="8">
        <f t="shared" si="19"/>
        <v>3.3605778396596326</v>
      </c>
      <c r="Q77" s="8">
        <f t="shared" si="20"/>
        <v>0</v>
      </c>
      <c r="R77" s="8">
        <f t="shared" si="21"/>
        <v>0</v>
      </c>
      <c r="S77" s="9">
        <f t="shared" si="31"/>
        <v>3.360081032630287</v>
      </c>
      <c r="T77" s="9">
        <f t="shared" si="31"/>
        <v>1.5799412969174895</v>
      </c>
      <c r="U77" s="8">
        <f t="shared" si="22"/>
        <v>0</v>
      </c>
      <c r="V77" s="8">
        <f t="shared" si="23"/>
        <v>0</v>
      </c>
      <c r="W77" s="8">
        <f t="shared" si="24"/>
        <v>3.360081032630287</v>
      </c>
      <c r="X77" s="8">
        <f t="shared" si="25"/>
        <v>1.5799412969174895</v>
      </c>
      <c r="Y77" s="8">
        <f t="shared" si="26"/>
        <v>1.7299876668001881</v>
      </c>
      <c r="Z77" s="8">
        <f t="shared" si="27"/>
        <v>0.81345626233184243</v>
      </c>
      <c r="AA77" s="10">
        <v>1215.4228689920101</v>
      </c>
      <c r="AB77" s="11">
        <v>571.50311712429004</v>
      </c>
    </row>
    <row r="78" spans="1:28" x14ac:dyDescent="0.35">
      <c r="A78" s="6" t="s">
        <v>26</v>
      </c>
      <c r="B78" s="21" t="s">
        <v>66</v>
      </c>
      <c r="C78" s="7">
        <f t="shared" si="28"/>
        <v>156.53523326296911</v>
      </c>
      <c r="D78" s="20">
        <v>6.6083475783839196</v>
      </c>
      <c r="E78" s="20">
        <v>149.92688568458519</v>
      </c>
      <c r="F78" s="20">
        <v>0</v>
      </c>
      <c r="G78" s="27">
        <f t="shared" si="29"/>
        <v>24.092933879524708</v>
      </c>
      <c r="H78" s="20">
        <v>10.325543091224874</v>
      </c>
      <c r="I78" s="20">
        <v>13.767390788299833</v>
      </c>
      <c r="J78" s="20">
        <v>0</v>
      </c>
      <c r="K78" s="9">
        <f t="shared" ref="K78:L114" si="32">M78+O78</f>
        <v>10.472171687470921</v>
      </c>
      <c r="L78" s="9">
        <f t="shared" si="32"/>
        <v>12.762594972566758</v>
      </c>
      <c r="M78" s="8">
        <f t="shared" si="16"/>
        <v>0.44209695778241359</v>
      </c>
      <c r="N78" s="8">
        <f t="shared" si="17"/>
        <v>0.53879028907933535</v>
      </c>
      <c r="O78" s="8">
        <f t="shared" si="18"/>
        <v>10.030074729688508</v>
      </c>
      <c r="P78" s="8">
        <f t="shared" si="19"/>
        <v>12.223804683487423</v>
      </c>
      <c r="Q78" s="8">
        <f t="shared" si="20"/>
        <v>0</v>
      </c>
      <c r="R78" s="8">
        <f t="shared" si="21"/>
        <v>0</v>
      </c>
      <c r="S78" s="9">
        <f t="shared" ref="S78:T114" si="33">U78+W78</f>
        <v>1.6118118252483828</v>
      </c>
      <c r="T78" s="9">
        <f t="shared" si="33"/>
        <v>1.9643395956017438</v>
      </c>
      <c r="U78" s="8">
        <f t="shared" si="22"/>
        <v>0.69077649653502127</v>
      </c>
      <c r="V78" s="8">
        <f t="shared" si="23"/>
        <v>0.84185982668646153</v>
      </c>
      <c r="W78" s="8">
        <f t="shared" si="24"/>
        <v>0.92103532871336169</v>
      </c>
      <c r="X78" s="8">
        <f t="shared" si="25"/>
        <v>1.1224797689152821</v>
      </c>
      <c r="Y78" s="8">
        <f t="shared" si="26"/>
        <v>0</v>
      </c>
      <c r="Z78" s="8">
        <f t="shared" si="27"/>
        <v>0</v>
      </c>
      <c r="AA78" s="10">
        <v>1226.51571721458</v>
      </c>
      <c r="AB78" s="11">
        <v>1494.77336635199</v>
      </c>
    </row>
    <row r="79" spans="1:28" x14ac:dyDescent="0.35">
      <c r="A79" s="6" t="s">
        <v>28</v>
      </c>
      <c r="B79" s="21" t="s">
        <v>66</v>
      </c>
      <c r="C79" s="7">
        <f t="shared" si="28"/>
        <v>199.62492503836216</v>
      </c>
      <c r="D79" s="20">
        <v>14.693581842972383</v>
      </c>
      <c r="E79" s="20">
        <v>184.93134319538979</v>
      </c>
      <c r="F79" s="20">
        <v>63.07850791175013</v>
      </c>
      <c r="G79" s="27">
        <f t="shared" si="29"/>
        <v>68.050578535382201</v>
      </c>
      <c r="H79" s="20">
        <v>3.8589204840129492</v>
      </c>
      <c r="I79" s="20">
        <v>64.191658051369245</v>
      </c>
      <c r="J79" s="20">
        <v>0</v>
      </c>
      <c r="K79" s="9">
        <f t="shared" si="32"/>
        <v>11.766139700011552</v>
      </c>
      <c r="L79" s="9">
        <f t="shared" si="32"/>
        <v>11.582610808335438</v>
      </c>
      <c r="M79" s="8">
        <f t="shared" si="16"/>
        <v>0.86605786639490245</v>
      </c>
      <c r="N79" s="8">
        <f t="shared" si="17"/>
        <v>0.85254904834587997</v>
      </c>
      <c r="O79" s="8">
        <f t="shared" si="18"/>
        <v>10.90008183361665</v>
      </c>
      <c r="P79" s="8">
        <f t="shared" si="19"/>
        <v>10.730061759989558</v>
      </c>
      <c r="Q79" s="8">
        <f t="shared" si="20"/>
        <v>3.7179251840185201</v>
      </c>
      <c r="R79" s="8">
        <f t="shared" si="21"/>
        <v>3.6599327833030202</v>
      </c>
      <c r="S79" s="9">
        <f t="shared" si="33"/>
        <v>4.0109851691117449</v>
      </c>
      <c r="T79" s="9">
        <f t="shared" si="33"/>
        <v>3.948421602692787</v>
      </c>
      <c r="U79" s="8">
        <f t="shared" si="22"/>
        <v>0.22744954066936832</v>
      </c>
      <c r="V79" s="8">
        <f t="shared" si="23"/>
        <v>0.22390177027265534</v>
      </c>
      <c r="W79" s="8">
        <f t="shared" si="24"/>
        <v>3.7835356284423765</v>
      </c>
      <c r="X79" s="8">
        <f t="shared" si="25"/>
        <v>3.7245198324201318</v>
      </c>
      <c r="Y79" s="8">
        <f t="shared" si="26"/>
        <v>0</v>
      </c>
      <c r="Z79" s="8">
        <f t="shared" si="27"/>
        <v>0</v>
      </c>
      <c r="AA79" s="10">
        <v>1723.48815255626</v>
      </c>
      <c r="AB79" s="11">
        <v>1696.60508992738</v>
      </c>
    </row>
    <row r="80" spans="1:28" x14ac:dyDescent="0.35">
      <c r="A80" s="6" t="s">
        <v>29</v>
      </c>
      <c r="B80" s="21" t="s">
        <v>66</v>
      </c>
      <c r="C80" s="7">
        <f t="shared" si="28"/>
        <v>133.52125125042392</v>
      </c>
      <c r="D80" s="20">
        <v>16.004259567687797</v>
      </c>
      <c r="E80" s="20">
        <v>117.51699168273612</v>
      </c>
      <c r="F80" s="20">
        <v>64.588618969597178</v>
      </c>
      <c r="G80" s="27">
        <f t="shared" si="29"/>
        <v>401.82123128873292</v>
      </c>
      <c r="H80" s="20">
        <v>24.006389351531695</v>
      </c>
      <c r="I80" s="20">
        <v>377.81484193720121</v>
      </c>
      <c r="J80" s="20">
        <v>0</v>
      </c>
      <c r="K80" s="9">
        <f t="shared" si="32"/>
        <v>5.1024386339928318</v>
      </c>
      <c r="L80" s="9">
        <f t="shared" si="32"/>
        <v>4.5929517069219878</v>
      </c>
      <c r="M80" s="8">
        <f t="shared" si="16"/>
        <v>0.61159367188270242</v>
      </c>
      <c r="N80" s="8">
        <f t="shared" si="17"/>
        <v>0.55052503336393677</v>
      </c>
      <c r="O80" s="8">
        <f t="shared" si="18"/>
        <v>4.4908449621101294</v>
      </c>
      <c r="P80" s="8">
        <f t="shared" si="19"/>
        <v>4.042426673558051</v>
      </c>
      <c r="Q80" s="8">
        <f t="shared" si="20"/>
        <v>2.4682173186694776</v>
      </c>
      <c r="R80" s="8">
        <f t="shared" si="21"/>
        <v>2.2217617417901732</v>
      </c>
      <c r="S80" s="9">
        <f t="shared" si="33"/>
        <v>15.355369690483567</v>
      </c>
      <c r="T80" s="9">
        <f t="shared" si="33"/>
        <v>13.8221106591017</v>
      </c>
      <c r="U80" s="8">
        <f t="shared" si="22"/>
        <v>0.91739050782405374</v>
      </c>
      <c r="V80" s="8">
        <f t="shared" si="23"/>
        <v>0.82578755004590509</v>
      </c>
      <c r="W80" s="8">
        <f t="shared" si="24"/>
        <v>14.437979182659513</v>
      </c>
      <c r="X80" s="8">
        <f t="shared" si="25"/>
        <v>12.996323109055794</v>
      </c>
      <c r="Y80" s="8">
        <f t="shared" si="26"/>
        <v>0</v>
      </c>
      <c r="Z80" s="8">
        <f t="shared" si="27"/>
        <v>0</v>
      </c>
      <c r="AA80" s="10">
        <v>2907.0902498102801</v>
      </c>
      <c r="AB80" s="11">
        <v>2616.8124857180101</v>
      </c>
    </row>
    <row r="81" spans="1:28" x14ac:dyDescent="0.35">
      <c r="A81" s="6" t="s">
        <v>30</v>
      </c>
      <c r="B81" s="21" t="s">
        <v>66</v>
      </c>
      <c r="C81" s="7">
        <f t="shared" si="28"/>
        <v>315.51254576298942</v>
      </c>
      <c r="D81" s="20">
        <v>26.292712146915786</v>
      </c>
      <c r="E81" s="20">
        <v>289.21983361607363</v>
      </c>
      <c r="F81" s="20">
        <v>0</v>
      </c>
      <c r="G81" s="27">
        <f t="shared" si="29"/>
        <v>1166.0246256458304</v>
      </c>
      <c r="H81" s="20">
        <v>228.63227953839814</v>
      </c>
      <c r="I81" s="20">
        <v>937.39234610743233</v>
      </c>
      <c r="J81" s="20">
        <v>0</v>
      </c>
      <c r="K81" s="9">
        <f t="shared" si="32"/>
        <v>8.7707732224359152</v>
      </c>
      <c r="L81" s="9">
        <f t="shared" si="32"/>
        <v>7.5811837307081023</v>
      </c>
      <c r="M81" s="8">
        <f t="shared" si="16"/>
        <v>0.73089776853632626</v>
      </c>
      <c r="N81" s="8">
        <f t="shared" si="17"/>
        <v>0.63176531089234178</v>
      </c>
      <c r="O81" s="8">
        <f t="shared" si="18"/>
        <v>8.0398754538995885</v>
      </c>
      <c r="P81" s="8">
        <f t="shared" si="19"/>
        <v>6.9494184198157605</v>
      </c>
      <c r="Q81" s="8">
        <f t="shared" si="20"/>
        <v>0</v>
      </c>
      <c r="R81" s="8">
        <f t="shared" si="21"/>
        <v>0</v>
      </c>
      <c r="S81" s="9">
        <f t="shared" si="33"/>
        <v>32.413727126393603</v>
      </c>
      <c r="T81" s="9">
        <f t="shared" si="33"/>
        <v>28.01741813522559</v>
      </c>
      <c r="U81" s="8">
        <f t="shared" si="22"/>
        <v>6.3556327698810993</v>
      </c>
      <c r="V81" s="8">
        <f t="shared" si="23"/>
        <v>5.493611399063842</v>
      </c>
      <c r="W81" s="8">
        <f t="shared" si="24"/>
        <v>26.058094356512502</v>
      </c>
      <c r="X81" s="8">
        <f t="shared" si="25"/>
        <v>22.523806736161749</v>
      </c>
      <c r="Y81" s="8">
        <f t="shared" si="26"/>
        <v>0</v>
      </c>
      <c r="Z81" s="8">
        <f t="shared" si="27"/>
        <v>0</v>
      </c>
      <c r="AA81" s="10">
        <v>4161.7847155581303</v>
      </c>
      <c r="AB81" s="11">
        <v>3597.3173374942398</v>
      </c>
    </row>
    <row r="82" spans="1:28" x14ac:dyDescent="0.35">
      <c r="A82" s="6" t="s">
        <v>31</v>
      </c>
      <c r="B82" s="21" t="s">
        <v>66</v>
      </c>
      <c r="C82" s="7">
        <f t="shared" si="28"/>
        <v>91.452911815358846</v>
      </c>
      <c r="D82" s="20">
        <v>7.4305490849979057</v>
      </c>
      <c r="E82" s="20">
        <v>84.022362730360939</v>
      </c>
      <c r="F82" s="20">
        <v>8.0021297838438983</v>
      </c>
      <c r="G82" s="27">
        <f t="shared" si="29"/>
        <v>609.59081531925131</v>
      </c>
      <c r="H82" s="20">
        <v>3.7152745424989528</v>
      </c>
      <c r="I82" s="20">
        <v>605.87554077675236</v>
      </c>
      <c r="J82" s="20">
        <v>0</v>
      </c>
      <c r="K82" s="9">
        <f t="shared" si="32"/>
        <v>4.7677474982591912</v>
      </c>
      <c r="L82" s="9">
        <f t="shared" si="32"/>
        <v>3.9121565590939915</v>
      </c>
      <c r="M82" s="8">
        <f t="shared" si="16"/>
        <v>0.38737948423355928</v>
      </c>
      <c r="N82" s="8">
        <f t="shared" si="17"/>
        <v>0.3178627204263868</v>
      </c>
      <c r="O82" s="8">
        <f t="shared" si="18"/>
        <v>4.380368014025632</v>
      </c>
      <c r="P82" s="8">
        <f t="shared" si="19"/>
        <v>3.5942938386676047</v>
      </c>
      <c r="Q82" s="8">
        <f t="shared" si="20"/>
        <v>0.41717790609767919</v>
      </c>
      <c r="R82" s="8">
        <f t="shared" si="21"/>
        <v>0.34231369892072422</v>
      </c>
      <c r="S82" s="9">
        <f t="shared" si="33"/>
        <v>31.780016918083923</v>
      </c>
      <c r="T82" s="9">
        <f t="shared" si="33"/>
        <v>26.076968564210887</v>
      </c>
      <c r="U82" s="8">
        <f t="shared" si="22"/>
        <v>0.19368974211677964</v>
      </c>
      <c r="V82" s="8">
        <f t="shared" si="23"/>
        <v>0.1589313602131934</v>
      </c>
      <c r="W82" s="8">
        <f t="shared" si="24"/>
        <v>31.586327175967142</v>
      </c>
      <c r="X82" s="8">
        <f t="shared" si="25"/>
        <v>25.918037203997695</v>
      </c>
      <c r="Y82" s="8">
        <f t="shared" si="26"/>
        <v>0</v>
      </c>
      <c r="Z82" s="8">
        <f t="shared" si="27"/>
        <v>0</v>
      </c>
      <c r="AA82" s="10">
        <v>2337.6598158571201</v>
      </c>
      <c r="AB82" s="11">
        <v>1918.15761738117</v>
      </c>
    </row>
    <row r="83" spans="1:28" x14ac:dyDescent="0.35">
      <c r="A83" s="6" t="s">
        <v>32</v>
      </c>
      <c r="B83" s="21" t="s">
        <v>66</v>
      </c>
      <c r="C83" s="7">
        <f t="shared" si="28"/>
        <v>555.08784138136377</v>
      </c>
      <c r="D83" s="20">
        <v>47.578957832688324</v>
      </c>
      <c r="E83" s="20">
        <v>507.50888354867544</v>
      </c>
      <c r="F83" s="20">
        <v>242.55939287252869</v>
      </c>
      <c r="G83" s="27">
        <f t="shared" si="29"/>
        <v>146.46855646533464</v>
      </c>
      <c r="H83" s="20">
        <v>0</v>
      </c>
      <c r="I83" s="20">
        <v>146.46855646533464</v>
      </c>
      <c r="J83" s="20">
        <v>1016.8836085809857</v>
      </c>
      <c r="K83" s="9">
        <f t="shared" si="32"/>
        <v>12.161424157621409</v>
      </c>
      <c r="L83" s="9">
        <f t="shared" si="32"/>
        <v>10.424474099738632</v>
      </c>
      <c r="M83" s="8">
        <f t="shared" si="16"/>
        <v>1.0424077849389779</v>
      </c>
      <c r="N83" s="8">
        <f t="shared" si="17"/>
        <v>0.89352635140616843</v>
      </c>
      <c r="O83" s="8">
        <f t="shared" si="18"/>
        <v>11.119016372682431</v>
      </c>
      <c r="P83" s="8">
        <f t="shared" si="19"/>
        <v>9.5309477483324638</v>
      </c>
      <c r="Q83" s="8">
        <f t="shared" si="20"/>
        <v>5.3142357663555728</v>
      </c>
      <c r="R83" s="8">
        <f t="shared" si="21"/>
        <v>4.5552323797177214</v>
      </c>
      <c r="S83" s="9">
        <f t="shared" si="33"/>
        <v>3.208980828145481</v>
      </c>
      <c r="T83" s="9">
        <f t="shared" si="33"/>
        <v>2.7506595523680089</v>
      </c>
      <c r="U83" s="8">
        <f t="shared" si="22"/>
        <v>0</v>
      </c>
      <c r="V83" s="8">
        <f t="shared" si="23"/>
        <v>0</v>
      </c>
      <c r="W83" s="8">
        <f t="shared" si="24"/>
        <v>3.208980828145481</v>
      </c>
      <c r="X83" s="8">
        <f t="shared" si="25"/>
        <v>2.7506595523680089</v>
      </c>
      <c r="Y83" s="8">
        <f t="shared" si="26"/>
        <v>22.278911482029134</v>
      </c>
      <c r="Z83" s="8">
        <f t="shared" si="27"/>
        <v>19.096935745739678</v>
      </c>
      <c r="AA83" s="10">
        <v>5324.8522282316499</v>
      </c>
      <c r="AB83" s="11">
        <v>4564.3325500944502</v>
      </c>
    </row>
    <row r="84" spans="1:28" x14ac:dyDescent="0.35">
      <c r="A84" s="6" t="s">
        <v>33</v>
      </c>
      <c r="B84" s="21" t="s">
        <v>66</v>
      </c>
      <c r="C84" s="7">
        <f t="shared" si="28"/>
        <v>55.370457900727885</v>
      </c>
      <c r="D84" s="20">
        <v>4.2592659923636838</v>
      </c>
      <c r="E84" s="20">
        <v>51.111191908364205</v>
      </c>
      <c r="F84" s="20">
        <v>27.559956421176778</v>
      </c>
      <c r="G84" s="27">
        <f t="shared" si="29"/>
        <v>59.212148795801021</v>
      </c>
      <c r="H84" s="20">
        <v>0</v>
      </c>
      <c r="I84" s="20">
        <v>59.212148795801021</v>
      </c>
      <c r="J84" s="20">
        <v>104.39377432263932</v>
      </c>
      <c r="K84" s="9">
        <f t="shared" si="32"/>
        <v>3.3800665780397825</v>
      </c>
      <c r="L84" s="9">
        <f t="shared" si="32"/>
        <v>2.5675604859869927</v>
      </c>
      <c r="M84" s="8">
        <f t="shared" si="16"/>
        <v>0.26000512138767562</v>
      </c>
      <c r="N84" s="8">
        <f t="shared" si="17"/>
        <v>0.19750465276823018</v>
      </c>
      <c r="O84" s="8">
        <f t="shared" si="18"/>
        <v>3.120061456652107</v>
      </c>
      <c r="P84" s="8">
        <f t="shared" si="19"/>
        <v>2.3700558332187627</v>
      </c>
      <c r="Q84" s="8">
        <f t="shared" si="20"/>
        <v>1.6823860795673127</v>
      </c>
      <c r="R84" s="8">
        <f t="shared" si="21"/>
        <v>1.2779712826179601</v>
      </c>
      <c r="S84" s="9">
        <f t="shared" si="33"/>
        <v>3.6145810012521964</v>
      </c>
      <c r="T84" s="9">
        <f t="shared" si="33"/>
        <v>2.7457019375034357</v>
      </c>
      <c r="U84" s="8">
        <f t="shared" si="22"/>
        <v>0</v>
      </c>
      <c r="V84" s="8">
        <f t="shared" si="23"/>
        <v>0</v>
      </c>
      <c r="W84" s="8">
        <f t="shared" si="24"/>
        <v>3.6145810012521964</v>
      </c>
      <c r="X84" s="8">
        <f t="shared" si="25"/>
        <v>2.7457019375034357</v>
      </c>
      <c r="Y84" s="8">
        <f t="shared" si="26"/>
        <v>6.3726745438155792</v>
      </c>
      <c r="Z84" s="8">
        <f t="shared" si="27"/>
        <v>4.8408003129468193</v>
      </c>
      <c r="AA84" s="10">
        <v>2156.5395714307001</v>
      </c>
      <c r="AB84" s="11">
        <v>1638.14696019506</v>
      </c>
    </row>
    <row r="85" spans="1:28" x14ac:dyDescent="0.35">
      <c r="A85" s="6" t="s">
        <v>34</v>
      </c>
      <c r="B85" s="21" t="s">
        <v>66</v>
      </c>
      <c r="C85" s="7">
        <f t="shared" si="28"/>
        <v>43.554449252064643</v>
      </c>
      <c r="D85" s="20">
        <v>6.0587554077675225</v>
      </c>
      <c r="E85" s="20">
        <v>37.495693844297122</v>
      </c>
      <c r="F85" s="20">
        <v>0</v>
      </c>
      <c r="G85" s="27">
        <f t="shared" si="29"/>
        <v>165.30113810626108</v>
      </c>
      <c r="H85" s="20">
        <v>0.68589683861519124</v>
      </c>
      <c r="I85" s="20">
        <v>164.6152412676459</v>
      </c>
      <c r="J85" s="20">
        <v>11.431613976919854</v>
      </c>
      <c r="K85" s="9">
        <f t="shared" si="32"/>
        <v>3.2898135025815733</v>
      </c>
      <c r="L85" s="9">
        <f t="shared" si="32"/>
        <v>2.4243683723973222</v>
      </c>
      <c r="M85" s="8">
        <f t="shared" si="16"/>
        <v>0.45763809878431333</v>
      </c>
      <c r="N85" s="8">
        <f t="shared" si="17"/>
        <v>0.33724809379805271</v>
      </c>
      <c r="O85" s="8">
        <f t="shared" si="18"/>
        <v>2.83217540379726</v>
      </c>
      <c r="P85" s="8">
        <f t="shared" si="19"/>
        <v>2.0871202785992695</v>
      </c>
      <c r="Q85" s="8">
        <f t="shared" si="20"/>
        <v>0</v>
      </c>
      <c r="R85" s="8">
        <f t="shared" si="21"/>
        <v>0</v>
      </c>
      <c r="S85" s="9">
        <f t="shared" si="33"/>
        <v>12.48574888381353</v>
      </c>
      <c r="T85" s="9">
        <f t="shared" si="33"/>
        <v>9.2011461062638542</v>
      </c>
      <c r="U85" s="8">
        <f t="shared" si="22"/>
        <v>5.1808086654827917E-2</v>
      </c>
      <c r="V85" s="8">
        <f t="shared" si="23"/>
        <v>3.8179029486572008E-2</v>
      </c>
      <c r="W85" s="8">
        <f t="shared" si="24"/>
        <v>12.433940797158701</v>
      </c>
      <c r="X85" s="8">
        <f t="shared" si="25"/>
        <v>9.1629670767772815</v>
      </c>
      <c r="Y85" s="8">
        <f t="shared" si="26"/>
        <v>0.86346811091379871</v>
      </c>
      <c r="Z85" s="8">
        <f t="shared" si="27"/>
        <v>0.63631715810953338</v>
      </c>
      <c r="AA85" s="10">
        <v>1796.5276955414199</v>
      </c>
      <c r="AB85" s="11">
        <v>1323.9184901480501</v>
      </c>
    </row>
    <row r="86" spans="1:28" x14ac:dyDescent="0.35">
      <c r="A86" s="6" t="s">
        <v>35</v>
      </c>
      <c r="B86" s="21" t="s">
        <v>66</v>
      </c>
      <c r="C86" s="7">
        <f t="shared" si="28"/>
        <v>241.4414266835733</v>
      </c>
      <c r="D86" s="20">
        <v>40.752852274615869</v>
      </c>
      <c r="E86" s="20">
        <v>200.68857440895744</v>
      </c>
      <c r="F86" s="20">
        <v>5.126144940203254</v>
      </c>
      <c r="G86" s="27">
        <f t="shared" si="29"/>
        <v>437.00385615232733</v>
      </c>
      <c r="H86" s="20">
        <v>1.2815362350508135</v>
      </c>
      <c r="I86" s="20">
        <v>435.72231991727654</v>
      </c>
      <c r="J86" s="20">
        <v>0</v>
      </c>
      <c r="K86" s="9">
        <f t="shared" si="32"/>
        <v>7.6468718491395311</v>
      </c>
      <c r="L86" s="9">
        <f t="shared" si="32"/>
        <v>8.2067431629560765</v>
      </c>
      <c r="M86" s="8">
        <f t="shared" si="16"/>
        <v>1.2907140382305575</v>
      </c>
      <c r="N86" s="8">
        <f t="shared" si="17"/>
        <v>1.3852146103078726</v>
      </c>
      <c r="O86" s="8">
        <f t="shared" si="18"/>
        <v>6.3561578109089734</v>
      </c>
      <c r="P86" s="8">
        <f t="shared" si="19"/>
        <v>6.8215285526482035</v>
      </c>
      <c r="Q86" s="8">
        <f t="shared" si="20"/>
        <v>0.1623539670730261</v>
      </c>
      <c r="R86" s="8">
        <f t="shared" si="21"/>
        <v>0.17424083148526701</v>
      </c>
      <c r="S86" s="9">
        <f t="shared" si="33"/>
        <v>13.840675692975474</v>
      </c>
      <c r="T86" s="9">
        <f t="shared" si="33"/>
        <v>14.854030884119007</v>
      </c>
      <c r="U86" s="8">
        <f t="shared" si="22"/>
        <v>4.0588491768256525E-2</v>
      </c>
      <c r="V86" s="8">
        <f t="shared" si="23"/>
        <v>4.3560207871316751E-2</v>
      </c>
      <c r="W86" s="8">
        <f t="shared" si="24"/>
        <v>13.800087201207218</v>
      </c>
      <c r="X86" s="8">
        <f t="shared" si="25"/>
        <v>14.810470676247691</v>
      </c>
      <c r="Y86" s="8">
        <f t="shared" si="26"/>
        <v>0</v>
      </c>
      <c r="Z86" s="8">
        <f t="shared" si="27"/>
        <v>0</v>
      </c>
      <c r="AA86" s="10">
        <v>2941.9883367789698</v>
      </c>
      <c r="AB86" s="11">
        <v>3157.38816403392</v>
      </c>
    </row>
    <row r="87" spans="1:28" x14ac:dyDescent="0.35">
      <c r="A87" s="6" t="s">
        <v>36</v>
      </c>
      <c r="B87" s="21" t="s">
        <v>66</v>
      </c>
      <c r="C87" s="7">
        <f t="shared" si="28"/>
        <v>2449</v>
      </c>
      <c r="D87" s="20">
        <v>304</v>
      </c>
      <c r="E87" s="20">
        <v>2145</v>
      </c>
      <c r="F87" s="20">
        <v>18</v>
      </c>
      <c r="G87" s="27">
        <f t="shared" si="29"/>
        <v>510</v>
      </c>
      <c r="H87" s="20">
        <v>56</v>
      </c>
      <c r="I87" s="20">
        <v>454</v>
      </c>
      <c r="J87" s="20">
        <v>0</v>
      </c>
      <c r="K87" s="9">
        <f t="shared" si="32"/>
        <v>12.288639911442406</v>
      </c>
      <c r="L87" s="9">
        <f t="shared" si="32"/>
        <v>12.260807928833465</v>
      </c>
      <c r="M87" s="8">
        <f t="shared" si="16"/>
        <v>1.5254171225310298</v>
      </c>
      <c r="N87" s="8">
        <f t="shared" si="17"/>
        <v>1.5219622745469061</v>
      </c>
      <c r="O87" s="8">
        <f t="shared" si="18"/>
        <v>10.763222788911376</v>
      </c>
      <c r="P87" s="8">
        <f t="shared" si="19"/>
        <v>10.738845654286559</v>
      </c>
      <c r="Q87" s="8">
        <f t="shared" si="20"/>
        <v>9.0320750676179395E-2</v>
      </c>
      <c r="R87" s="8">
        <f t="shared" si="21"/>
        <v>9.0116187308698387E-2</v>
      </c>
      <c r="S87" s="9">
        <f t="shared" si="33"/>
        <v>2.5590879358250826</v>
      </c>
      <c r="T87" s="9">
        <f t="shared" si="33"/>
        <v>2.5532919737464543</v>
      </c>
      <c r="U87" s="8">
        <f t="shared" si="22"/>
        <v>0.28099789099255812</v>
      </c>
      <c r="V87" s="8">
        <f t="shared" si="23"/>
        <v>0.28036147162706165</v>
      </c>
      <c r="W87" s="8">
        <f t="shared" si="24"/>
        <v>2.2780900448325245</v>
      </c>
      <c r="X87" s="8">
        <f t="shared" si="25"/>
        <v>2.2729305021193928</v>
      </c>
      <c r="Y87" s="8">
        <f t="shared" si="26"/>
        <v>0</v>
      </c>
      <c r="Z87" s="8">
        <f t="shared" si="27"/>
        <v>0</v>
      </c>
      <c r="AA87" s="10">
        <v>19974.2138871676</v>
      </c>
      <c r="AB87" s="11">
        <v>19928.975197</v>
      </c>
    </row>
    <row r="88" spans="1:28" x14ac:dyDescent="0.35">
      <c r="A88" s="6" t="s">
        <v>37</v>
      </c>
      <c r="B88" s="21" t="s">
        <v>66</v>
      </c>
      <c r="C88" s="7">
        <f t="shared" si="28"/>
        <v>6.7455001538198225</v>
      </c>
      <c r="D88" s="20">
        <v>1.8317719358641744</v>
      </c>
      <c r="E88" s="20">
        <v>4.9137282179556481</v>
      </c>
      <c r="F88" s="20">
        <v>2.1248554456024422</v>
      </c>
      <c r="G88" s="27">
        <f t="shared" si="29"/>
        <v>1.7401833390709658</v>
      </c>
      <c r="H88" s="20">
        <v>1.7401833390709658</v>
      </c>
      <c r="I88" s="20">
        <v>0</v>
      </c>
      <c r="J88" s="20">
        <v>2.9766293957792835</v>
      </c>
      <c r="K88" s="9">
        <f t="shared" si="32"/>
        <v>0.52734184090795289</v>
      </c>
      <c r="L88" s="9">
        <f t="shared" si="32"/>
        <v>0.28322593251515216</v>
      </c>
      <c r="M88" s="8">
        <f t="shared" si="16"/>
        <v>0.14320212923501774</v>
      </c>
      <c r="N88" s="8">
        <f t="shared" si="17"/>
        <v>7.6911319080828822E-2</v>
      </c>
      <c r="O88" s="8">
        <f t="shared" si="18"/>
        <v>0.38413971167293515</v>
      </c>
      <c r="P88" s="8">
        <f t="shared" si="19"/>
        <v>0.20631461343432334</v>
      </c>
      <c r="Q88" s="8">
        <f t="shared" si="20"/>
        <v>0.16611446991262058</v>
      </c>
      <c r="R88" s="8">
        <f t="shared" si="21"/>
        <v>8.9217130133761438E-2</v>
      </c>
      <c r="S88" s="9">
        <f t="shared" si="33"/>
        <v>0.13604202277326685</v>
      </c>
      <c r="T88" s="9">
        <f t="shared" si="33"/>
        <v>7.3065753126787383E-2</v>
      </c>
      <c r="U88" s="8">
        <f t="shared" si="22"/>
        <v>0.13604202277326685</v>
      </c>
      <c r="V88" s="8">
        <f t="shared" si="23"/>
        <v>7.3065753126787383E-2</v>
      </c>
      <c r="W88" s="8">
        <f t="shared" si="24"/>
        <v>0</v>
      </c>
      <c r="X88" s="8">
        <f t="shared" si="25"/>
        <v>0</v>
      </c>
      <c r="Y88" s="8">
        <f t="shared" si="26"/>
        <v>0.23270346000690387</v>
      </c>
      <c r="Z88" s="8">
        <f t="shared" si="27"/>
        <v>0.12498089350634684</v>
      </c>
      <c r="AA88" s="10">
        <v>2381.6675591522499</v>
      </c>
      <c r="AB88" s="11">
        <v>1279.1513266244399</v>
      </c>
    </row>
    <row r="89" spans="1:28" x14ac:dyDescent="0.35">
      <c r="A89" s="6" t="s">
        <v>38</v>
      </c>
      <c r="B89" s="21" t="s">
        <v>66</v>
      </c>
      <c r="C89" s="7">
        <f t="shared" si="28"/>
        <v>4.9034694285941081</v>
      </c>
      <c r="D89" s="20">
        <v>1.9527090644843794</v>
      </c>
      <c r="E89" s="20">
        <v>2.9507603641097289</v>
      </c>
      <c r="F89" s="20">
        <v>9.6189002065341658</v>
      </c>
      <c r="G89" s="27">
        <f t="shared" si="29"/>
        <v>69.096971859569479</v>
      </c>
      <c r="H89" s="20">
        <v>2.8929023177546362</v>
      </c>
      <c r="I89" s="20">
        <v>66.204069541814846</v>
      </c>
      <c r="J89" s="20">
        <v>15.3179177725108</v>
      </c>
      <c r="K89" s="9">
        <f t="shared" si="32"/>
        <v>0.49179599446194466</v>
      </c>
      <c r="L89" s="9">
        <f t="shared" si="32"/>
        <v>0.21010816234941035</v>
      </c>
      <c r="M89" s="8">
        <f t="shared" si="16"/>
        <v>0.19584796239634963</v>
      </c>
      <c r="N89" s="8">
        <f t="shared" si="17"/>
        <v>8.3671392086048374E-2</v>
      </c>
      <c r="O89" s="8">
        <f t="shared" si="18"/>
        <v>0.295948032065595</v>
      </c>
      <c r="P89" s="8">
        <f t="shared" si="19"/>
        <v>0.12643677026336197</v>
      </c>
      <c r="Q89" s="8">
        <f t="shared" si="20"/>
        <v>0.96473255550794457</v>
      </c>
      <c r="R89" s="8">
        <f t="shared" si="21"/>
        <v>0.41215907953497899</v>
      </c>
      <c r="S89" s="9">
        <f t="shared" si="33"/>
        <v>6.9301164175360164</v>
      </c>
      <c r="T89" s="9">
        <f t="shared" si="33"/>
        <v>2.9607277036670592</v>
      </c>
      <c r="U89" s="8">
        <f t="shared" si="22"/>
        <v>0.29014512947607357</v>
      </c>
      <c r="V89" s="8">
        <f t="shared" si="23"/>
        <v>0.12395761790525683</v>
      </c>
      <c r="W89" s="8">
        <f t="shared" si="24"/>
        <v>6.6399712880599431</v>
      </c>
      <c r="X89" s="8">
        <f t="shared" si="25"/>
        <v>2.8367700857618026</v>
      </c>
      <c r="Y89" s="8">
        <f t="shared" si="26"/>
        <v>1.5363184605758096</v>
      </c>
      <c r="Z89" s="8">
        <f t="shared" si="27"/>
        <v>0.65635558680833506</v>
      </c>
      <c r="AA89" s="10">
        <v>2333.7834064911899</v>
      </c>
      <c r="AB89" s="11">
        <v>997.05355143423003</v>
      </c>
    </row>
    <row r="90" spans="1:28" x14ac:dyDescent="0.35">
      <c r="A90" s="13" t="s">
        <v>39</v>
      </c>
      <c r="B90" s="21" t="s">
        <v>66</v>
      </c>
      <c r="C90" s="7">
        <f t="shared" si="28"/>
        <v>36.581164726143534</v>
      </c>
      <c r="D90" s="20">
        <v>2.0576905158455738</v>
      </c>
      <c r="E90" s="20">
        <v>34.523474210297962</v>
      </c>
      <c r="F90" s="20">
        <v>0</v>
      </c>
      <c r="G90" s="27">
        <f t="shared" si="29"/>
        <v>10.288452579227869</v>
      </c>
      <c r="H90" s="20">
        <v>0</v>
      </c>
      <c r="I90" s="20">
        <v>10.288452579227869</v>
      </c>
      <c r="J90" s="20">
        <v>0</v>
      </c>
      <c r="K90" s="9">
        <f t="shared" si="32"/>
        <v>8.8371072261775385</v>
      </c>
      <c r="L90" s="9">
        <f t="shared" si="32"/>
        <v>7.8064938472023151</v>
      </c>
      <c r="M90" s="8">
        <f t="shared" si="16"/>
        <v>0.49708728147248649</v>
      </c>
      <c r="N90" s="8">
        <f t="shared" si="17"/>
        <v>0.43911527890513014</v>
      </c>
      <c r="O90" s="8">
        <f t="shared" si="18"/>
        <v>8.3400199447050518</v>
      </c>
      <c r="P90" s="8">
        <f t="shared" si="19"/>
        <v>7.3673785682971848</v>
      </c>
      <c r="Q90" s="8">
        <f t="shared" si="20"/>
        <v>0</v>
      </c>
      <c r="R90" s="8">
        <f t="shared" si="21"/>
        <v>0</v>
      </c>
      <c r="S90" s="9">
        <f t="shared" si="33"/>
        <v>2.4854364073624322</v>
      </c>
      <c r="T90" s="9">
        <f t="shared" si="33"/>
        <v>2.1955763945256508</v>
      </c>
      <c r="U90" s="8">
        <f t="shared" si="22"/>
        <v>0</v>
      </c>
      <c r="V90" s="8">
        <f t="shared" si="23"/>
        <v>0</v>
      </c>
      <c r="W90" s="8">
        <f t="shared" si="24"/>
        <v>2.4854364073624322</v>
      </c>
      <c r="X90" s="8">
        <f t="shared" si="25"/>
        <v>2.1955763945256508</v>
      </c>
      <c r="Y90" s="8">
        <f t="shared" si="26"/>
        <v>0</v>
      </c>
      <c r="Z90" s="8">
        <f t="shared" si="27"/>
        <v>0</v>
      </c>
      <c r="AA90" s="10">
        <v>468.59916169988998</v>
      </c>
      <c r="AB90" s="11">
        <v>413.94954015926999</v>
      </c>
    </row>
    <row r="91" spans="1:28" x14ac:dyDescent="0.35">
      <c r="A91" s="6" t="s">
        <v>40</v>
      </c>
      <c r="B91" s="21" t="s">
        <v>66</v>
      </c>
      <c r="C91" s="7">
        <f t="shared" si="28"/>
        <v>19.891008319840545</v>
      </c>
      <c r="D91" s="20">
        <v>3.7724326123835521</v>
      </c>
      <c r="E91" s="20">
        <v>16.118575707456994</v>
      </c>
      <c r="F91" s="20">
        <v>18.404898502840968</v>
      </c>
      <c r="G91" s="27">
        <f t="shared" si="29"/>
        <v>60.70187021744443</v>
      </c>
      <c r="H91" s="20">
        <v>1.2574775374611842</v>
      </c>
      <c r="I91" s="20">
        <v>59.444392679983245</v>
      </c>
      <c r="J91" s="20">
        <v>0</v>
      </c>
      <c r="K91" s="9">
        <f t="shared" si="32"/>
        <v>4.0171072024000507</v>
      </c>
      <c r="L91" s="9">
        <f t="shared" si="32"/>
        <v>3.5818875280916243</v>
      </c>
      <c r="M91" s="8">
        <f t="shared" si="16"/>
        <v>0.76186515907587182</v>
      </c>
      <c r="N91" s="8">
        <f t="shared" si="17"/>
        <v>0.67932349670703218</v>
      </c>
      <c r="O91" s="8">
        <f t="shared" si="18"/>
        <v>3.2552420433241789</v>
      </c>
      <c r="P91" s="8">
        <f t="shared" si="19"/>
        <v>2.9025640313845922</v>
      </c>
      <c r="Q91" s="8">
        <f t="shared" si="20"/>
        <v>3.716978503370163</v>
      </c>
      <c r="R91" s="8">
        <f t="shared" si="21"/>
        <v>3.3142752415100665</v>
      </c>
      <c r="S91" s="9">
        <f t="shared" si="33"/>
        <v>12.259103014220845</v>
      </c>
      <c r="T91" s="9">
        <f t="shared" si="33"/>
        <v>10.930932628831336</v>
      </c>
      <c r="U91" s="8">
        <f t="shared" si="22"/>
        <v>0.25395505302529059</v>
      </c>
      <c r="V91" s="8">
        <f t="shared" si="23"/>
        <v>0.22644116556901078</v>
      </c>
      <c r="W91" s="8">
        <f t="shared" si="24"/>
        <v>12.005147961195554</v>
      </c>
      <c r="X91" s="8">
        <f t="shared" si="25"/>
        <v>10.704491463262325</v>
      </c>
      <c r="Y91" s="8">
        <f t="shared" si="26"/>
        <v>0</v>
      </c>
      <c r="Z91" s="8">
        <f t="shared" si="27"/>
        <v>0</v>
      </c>
      <c r="AA91" s="10">
        <v>555.32196820367994</v>
      </c>
      <c r="AB91" s="11">
        <v>495.15751802582002</v>
      </c>
    </row>
    <row r="92" spans="1:28" x14ac:dyDescent="0.35">
      <c r="A92" s="13" t="s">
        <v>41</v>
      </c>
      <c r="B92" s="21" t="s">
        <v>66</v>
      </c>
      <c r="C92" s="7">
        <f t="shared" si="28"/>
        <v>10.573339000389979</v>
      </c>
      <c r="D92" s="20">
        <v>2.5315222329475802</v>
      </c>
      <c r="E92" s="20">
        <v>8.0418167674423984</v>
      </c>
      <c r="F92" s="20">
        <v>1.5892575253152907</v>
      </c>
      <c r="G92" s="27">
        <f t="shared" si="29"/>
        <v>37.38663194799085</v>
      </c>
      <c r="H92" s="20">
        <v>4.3422336757248381E-2</v>
      </c>
      <c r="I92" s="20">
        <v>37.343209611233604</v>
      </c>
      <c r="J92" s="20">
        <v>0</v>
      </c>
      <c r="K92" s="9">
        <f t="shared" si="32"/>
        <v>4.9032285094671719</v>
      </c>
      <c r="L92" s="9">
        <f t="shared" si="32"/>
        <v>2.5953475621254607</v>
      </c>
      <c r="M92" s="8">
        <f t="shared" si="16"/>
        <v>1.1739557375849534</v>
      </c>
      <c r="N92" s="8">
        <f t="shared" si="17"/>
        <v>0.62139122329328289</v>
      </c>
      <c r="O92" s="8">
        <f t="shared" si="18"/>
        <v>3.7292727718822185</v>
      </c>
      <c r="P92" s="8">
        <f t="shared" si="19"/>
        <v>1.9739563388321779</v>
      </c>
      <c r="Q92" s="8">
        <f t="shared" si="20"/>
        <v>0.73699451107391589</v>
      </c>
      <c r="R92" s="8">
        <f t="shared" si="21"/>
        <v>0.39010152268497694</v>
      </c>
      <c r="S92" s="9">
        <f t="shared" si="33"/>
        <v>17.337493826083104</v>
      </c>
      <c r="T92" s="9">
        <f t="shared" si="33"/>
        <v>9.1769784434908512</v>
      </c>
      <c r="U92" s="8">
        <f t="shared" si="22"/>
        <v>2.0136462051199889E-2</v>
      </c>
      <c r="V92" s="8">
        <f t="shared" si="23"/>
        <v>1.0658511548769862E-2</v>
      </c>
      <c r="W92" s="8">
        <f t="shared" si="24"/>
        <v>17.317357364031906</v>
      </c>
      <c r="X92" s="8">
        <f t="shared" si="25"/>
        <v>9.1663199319420805</v>
      </c>
      <c r="Y92" s="8">
        <f t="shared" si="26"/>
        <v>0</v>
      </c>
      <c r="Z92" s="8">
        <f t="shared" si="27"/>
        <v>0</v>
      </c>
      <c r="AA92" s="10">
        <v>407.39587848230002</v>
      </c>
      <c r="AB92" s="11">
        <v>215.64034757863999</v>
      </c>
    </row>
    <row r="93" spans="1:28" x14ac:dyDescent="0.35">
      <c r="A93" s="13" t="s">
        <v>42</v>
      </c>
      <c r="B93" s="21" t="s">
        <v>66</v>
      </c>
      <c r="C93" s="7">
        <f t="shared" si="28"/>
        <v>20.044411427789434</v>
      </c>
      <c r="D93" s="20">
        <v>0.12203599042794176</v>
      </c>
      <c r="E93" s="20">
        <v>19.922375437361492</v>
      </c>
      <c r="F93" s="20">
        <v>26.756390901326231</v>
      </c>
      <c r="G93" s="27">
        <f t="shared" si="29"/>
        <v>30.692051592627351</v>
      </c>
      <c r="H93" s="20">
        <v>8.9848997952572116</v>
      </c>
      <c r="I93" s="20">
        <v>21.707151797370141</v>
      </c>
      <c r="J93" s="20">
        <v>0</v>
      </c>
      <c r="K93" s="9">
        <f t="shared" si="32"/>
        <v>6.0265358257569641</v>
      </c>
      <c r="L93" s="9">
        <f t="shared" si="32"/>
        <v>6.4438317781790557</v>
      </c>
      <c r="M93" s="8">
        <f t="shared" si="16"/>
        <v>3.6691237904151991E-2</v>
      </c>
      <c r="N93" s="8">
        <f t="shared" si="17"/>
        <v>3.9231852530770508E-2</v>
      </c>
      <c r="O93" s="8">
        <f t="shared" si="18"/>
        <v>5.9898445878528124</v>
      </c>
      <c r="P93" s="8">
        <f t="shared" si="19"/>
        <v>6.4045999256482853</v>
      </c>
      <c r="Q93" s="8">
        <f t="shared" si="20"/>
        <v>8.044553910485325</v>
      </c>
      <c r="R93" s="8">
        <f t="shared" si="21"/>
        <v>8.6015836673714343</v>
      </c>
      <c r="S93" s="9">
        <f t="shared" si="33"/>
        <v>9.2278463328942255</v>
      </c>
      <c r="T93" s="9">
        <f t="shared" si="33"/>
        <v>9.8668109114887841</v>
      </c>
      <c r="U93" s="8">
        <f t="shared" si="22"/>
        <v>2.7013923906931905</v>
      </c>
      <c r="V93" s="8">
        <f t="shared" si="23"/>
        <v>2.8884451425779787</v>
      </c>
      <c r="W93" s="8">
        <f t="shared" si="24"/>
        <v>6.5264539422010355</v>
      </c>
      <c r="X93" s="8">
        <f t="shared" si="25"/>
        <v>6.9783657689108045</v>
      </c>
      <c r="Y93" s="8">
        <f t="shared" si="26"/>
        <v>0</v>
      </c>
      <c r="Z93" s="8">
        <f t="shared" si="27"/>
        <v>0</v>
      </c>
      <c r="AA93" s="10">
        <v>311.06354290107998</v>
      </c>
      <c r="AB93" s="11">
        <v>332.60254327404999</v>
      </c>
    </row>
    <row r="94" spans="1:28" x14ac:dyDescent="0.35">
      <c r="A94" s="15" t="s">
        <v>43</v>
      </c>
      <c r="B94" s="23" t="s">
        <v>66</v>
      </c>
      <c r="C94" s="7">
        <f t="shared" si="28"/>
        <v>1.0745717138304665</v>
      </c>
      <c r="D94" s="20">
        <v>0.2629271214691567</v>
      </c>
      <c r="E94" s="20">
        <v>0.8116445923613097</v>
      </c>
      <c r="F94" s="20">
        <v>0</v>
      </c>
      <c r="G94" s="27">
        <f t="shared" si="29"/>
        <v>1.3260672213227032</v>
      </c>
      <c r="H94" s="20">
        <v>0.98311880201510748</v>
      </c>
      <c r="I94" s="20">
        <v>0.34294841930759562</v>
      </c>
      <c r="J94" s="20">
        <v>0</v>
      </c>
      <c r="K94" s="9">
        <f t="shared" si="32"/>
        <v>3.9953351780351181</v>
      </c>
      <c r="L94" s="9">
        <f t="shared" si="32"/>
        <v>2.3405247258086046</v>
      </c>
      <c r="M94" s="8">
        <f t="shared" si="16"/>
        <v>0.97758201164689063</v>
      </c>
      <c r="N94" s="8">
        <f t="shared" si="17"/>
        <v>0.5726815818467863</v>
      </c>
      <c r="O94" s="8">
        <f t="shared" si="18"/>
        <v>3.0177531663882275</v>
      </c>
      <c r="P94" s="8">
        <f t="shared" si="19"/>
        <v>1.7678431439618183</v>
      </c>
      <c r="Q94" s="8">
        <f t="shared" si="20"/>
        <v>0</v>
      </c>
      <c r="R94" s="8">
        <f t="shared" si="21"/>
        <v>0</v>
      </c>
      <c r="S94" s="9">
        <f t="shared" si="33"/>
        <v>4.9304136239582306</v>
      </c>
      <c r="T94" s="9">
        <f t="shared" si="33"/>
        <v>2.8883071084446614</v>
      </c>
      <c r="U94" s="8">
        <f t="shared" si="22"/>
        <v>3.6553066522448954</v>
      </c>
      <c r="V94" s="8">
        <f t="shared" si="23"/>
        <v>2.1413311321227662</v>
      </c>
      <c r="W94" s="8">
        <f t="shared" si="24"/>
        <v>1.2751069717133354</v>
      </c>
      <c r="X94" s="8">
        <f t="shared" si="25"/>
        <v>0.74697597632189505</v>
      </c>
      <c r="Y94" s="8">
        <f t="shared" si="26"/>
        <v>0</v>
      </c>
      <c r="Z94" s="8">
        <f t="shared" si="27"/>
        <v>0</v>
      </c>
      <c r="AA94" s="10">
        <v>45.911572818750003</v>
      </c>
      <c r="AB94" s="11">
        <v>26.895658710639999</v>
      </c>
    </row>
    <row r="95" spans="1:28" x14ac:dyDescent="0.35">
      <c r="A95" s="13" t="s">
        <v>44</v>
      </c>
      <c r="B95" s="21" t="s">
        <v>66</v>
      </c>
      <c r="C95" s="7">
        <f t="shared" si="28"/>
        <v>6.8589683861519131</v>
      </c>
      <c r="D95" s="20">
        <v>1.4861098169995812</v>
      </c>
      <c r="E95" s="20">
        <v>5.3728585691523323</v>
      </c>
      <c r="F95" s="20">
        <v>4.9155940100755373</v>
      </c>
      <c r="G95" s="27">
        <f t="shared" si="29"/>
        <v>17.513232612641218</v>
      </c>
      <c r="H95" s="20">
        <v>2.7664505824146048</v>
      </c>
      <c r="I95" s="20">
        <v>14.746782030226614</v>
      </c>
      <c r="J95" s="20">
        <v>1.1431613976919854</v>
      </c>
      <c r="K95" s="9">
        <f t="shared" si="32"/>
        <v>2.6924928895586673</v>
      </c>
      <c r="L95" s="9">
        <f t="shared" si="32"/>
        <v>2.7012073711842555</v>
      </c>
      <c r="M95" s="8">
        <f t="shared" si="16"/>
        <v>0.58337345940437779</v>
      </c>
      <c r="N95" s="8">
        <f t="shared" si="17"/>
        <v>0.58526159708992198</v>
      </c>
      <c r="O95" s="8">
        <f t="shared" si="18"/>
        <v>2.1091194301542893</v>
      </c>
      <c r="P95" s="8">
        <f t="shared" si="19"/>
        <v>2.1159457740943335</v>
      </c>
      <c r="Q95" s="8">
        <f t="shared" si="20"/>
        <v>1.929619904183711</v>
      </c>
      <c r="R95" s="8">
        <f t="shared" si="21"/>
        <v>1.9358652826820495</v>
      </c>
      <c r="S95" s="9">
        <f t="shared" si="33"/>
        <v>6.87483184467313</v>
      </c>
      <c r="T95" s="9">
        <f t="shared" si="33"/>
        <v>6.897082821090466</v>
      </c>
      <c r="U95" s="8">
        <f t="shared" si="22"/>
        <v>1.0859721321219955</v>
      </c>
      <c r="V95" s="8">
        <f t="shared" si="23"/>
        <v>1.0894869730443162</v>
      </c>
      <c r="W95" s="8">
        <f t="shared" si="24"/>
        <v>5.7888597125511341</v>
      </c>
      <c r="X95" s="8">
        <f t="shared" si="25"/>
        <v>5.8075958480461498</v>
      </c>
      <c r="Y95" s="8">
        <f t="shared" si="26"/>
        <v>0.44874881492644442</v>
      </c>
      <c r="Z95" s="8">
        <f t="shared" si="27"/>
        <v>0.45020122853070921</v>
      </c>
      <c r="AA95" s="10">
        <v>253.92231856471</v>
      </c>
      <c r="AB95" s="11">
        <v>254.7441596875</v>
      </c>
    </row>
    <row r="96" spans="1:28" x14ac:dyDescent="0.35">
      <c r="A96" s="15" t="s">
        <v>45</v>
      </c>
      <c r="B96" s="23" t="s">
        <v>66</v>
      </c>
      <c r="C96" s="7">
        <f t="shared" si="28"/>
        <v>13.260672213227091</v>
      </c>
      <c r="D96" s="20">
        <v>0.34294841930759717</v>
      </c>
      <c r="E96" s="20">
        <v>12.917723793919494</v>
      </c>
      <c r="F96" s="20">
        <v>1.3717936772303887</v>
      </c>
      <c r="G96" s="27">
        <f t="shared" si="29"/>
        <v>2.9722196339991758</v>
      </c>
      <c r="H96" s="20">
        <v>0</v>
      </c>
      <c r="I96" s="20">
        <v>2.9722196339991758</v>
      </c>
      <c r="J96" s="20">
        <v>0</v>
      </c>
      <c r="K96" s="9">
        <f t="shared" si="32"/>
        <v>6.5034215682298893</v>
      </c>
      <c r="L96" s="9">
        <f t="shared" si="32"/>
        <v>4.3975802375133517</v>
      </c>
      <c r="M96" s="8">
        <f t="shared" si="16"/>
        <v>0.16819193710939367</v>
      </c>
      <c r="N96" s="8">
        <f t="shared" si="17"/>
        <v>0.113730523383966</v>
      </c>
      <c r="O96" s="8">
        <f t="shared" si="18"/>
        <v>6.3352296311204954</v>
      </c>
      <c r="P96" s="8">
        <f t="shared" si="19"/>
        <v>4.2838497141293859</v>
      </c>
      <c r="Q96" s="8">
        <f t="shared" si="20"/>
        <v>0.6727677484375747</v>
      </c>
      <c r="R96" s="8">
        <f t="shared" si="21"/>
        <v>0.45492209353586399</v>
      </c>
      <c r="S96" s="9">
        <f t="shared" si="33"/>
        <v>1.4576634549480787</v>
      </c>
      <c r="T96" s="9">
        <f t="shared" si="33"/>
        <v>0.98566453599437198</v>
      </c>
      <c r="U96" s="8">
        <f t="shared" si="22"/>
        <v>0</v>
      </c>
      <c r="V96" s="8">
        <f t="shared" si="23"/>
        <v>0</v>
      </c>
      <c r="W96" s="8">
        <f t="shared" si="24"/>
        <v>1.4576634549480787</v>
      </c>
      <c r="X96" s="8">
        <f t="shared" si="25"/>
        <v>0.98566453599437198</v>
      </c>
      <c r="Y96" s="8">
        <f t="shared" si="26"/>
        <v>0</v>
      </c>
      <c r="Z96" s="8">
        <f t="shared" si="27"/>
        <v>0</v>
      </c>
      <c r="AA96" s="10">
        <v>301.54474727050001</v>
      </c>
      <c r="AB96" s="11">
        <v>203.90300819506001</v>
      </c>
    </row>
    <row r="97" spans="1:28" x14ac:dyDescent="0.35">
      <c r="A97" s="15" t="s">
        <v>46</v>
      </c>
      <c r="B97" s="23" t="s">
        <v>66</v>
      </c>
      <c r="C97" s="7">
        <f t="shared" si="28"/>
        <v>0.88253820443329634</v>
      </c>
      <c r="D97" s="20">
        <v>2.1328006607137996E-2</v>
      </c>
      <c r="E97" s="20">
        <v>0.86121019782615837</v>
      </c>
      <c r="F97" s="20">
        <v>0</v>
      </c>
      <c r="G97" s="27">
        <f t="shared" si="29"/>
        <v>0.91931062961801713</v>
      </c>
      <c r="H97" s="20">
        <v>0</v>
      </c>
      <c r="I97" s="20">
        <v>0.91931062961801713</v>
      </c>
      <c r="J97" s="20">
        <v>0</v>
      </c>
      <c r="K97" s="9">
        <f t="shared" si="32"/>
        <v>4.2572996227017779</v>
      </c>
      <c r="L97" s="9">
        <f t="shared" si="32"/>
        <v>4.6280958337256317</v>
      </c>
      <c r="M97" s="8">
        <f t="shared" si="16"/>
        <v>0.10288474088195963</v>
      </c>
      <c r="N97" s="8">
        <f t="shared" si="17"/>
        <v>0.11184564931503611</v>
      </c>
      <c r="O97" s="8">
        <f t="shared" si="18"/>
        <v>4.1544148818198181</v>
      </c>
      <c r="P97" s="8">
        <f t="shared" si="19"/>
        <v>4.5162501844105956</v>
      </c>
      <c r="Q97" s="8">
        <f t="shared" si="20"/>
        <v>0</v>
      </c>
      <c r="R97" s="8">
        <f t="shared" si="21"/>
        <v>0</v>
      </c>
      <c r="S97" s="9">
        <f t="shared" si="33"/>
        <v>4.434687106981019</v>
      </c>
      <c r="T97" s="9">
        <f t="shared" si="33"/>
        <v>4.8209331601308669</v>
      </c>
      <c r="U97" s="8">
        <f t="shared" si="22"/>
        <v>0</v>
      </c>
      <c r="V97" s="8">
        <f t="shared" si="23"/>
        <v>0</v>
      </c>
      <c r="W97" s="8">
        <f t="shared" si="24"/>
        <v>4.434687106981019</v>
      </c>
      <c r="X97" s="8">
        <f t="shared" si="25"/>
        <v>4.8209331601308669</v>
      </c>
      <c r="Y97" s="8">
        <f t="shared" si="26"/>
        <v>0</v>
      </c>
      <c r="Z97" s="8">
        <f t="shared" si="27"/>
        <v>0</v>
      </c>
      <c r="AA97" s="10">
        <v>19.06914282116</v>
      </c>
      <c r="AB97" s="11">
        <v>20.729999827290001</v>
      </c>
    </row>
    <row r="98" spans="1:28" x14ac:dyDescent="0.35">
      <c r="A98" s="15" t="s">
        <v>47</v>
      </c>
      <c r="B98" s="23" t="s">
        <v>66</v>
      </c>
      <c r="C98" s="7">
        <f t="shared" si="28"/>
        <v>23.434808652685703</v>
      </c>
      <c r="D98" s="20">
        <v>2.2863227953839709</v>
      </c>
      <c r="E98" s="20">
        <v>21.148485857301733</v>
      </c>
      <c r="F98" s="20">
        <v>2.8579034942299635</v>
      </c>
      <c r="G98" s="27">
        <f t="shared" si="29"/>
        <v>6.8589683861519131</v>
      </c>
      <c r="H98" s="20">
        <v>4.5726455907679417</v>
      </c>
      <c r="I98" s="20">
        <v>2.2863227953839709</v>
      </c>
      <c r="J98" s="20">
        <v>0</v>
      </c>
      <c r="K98" s="9">
        <f t="shared" si="32"/>
        <v>6.308725700048833</v>
      </c>
      <c r="L98" s="9">
        <f t="shared" si="32"/>
        <v>5.6078791341391749</v>
      </c>
      <c r="M98" s="8">
        <f t="shared" si="16"/>
        <v>0.61548543415110557</v>
      </c>
      <c r="N98" s="8">
        <f t="shared" si="17"/>
        <v>0.54711015942821217</v>
      </c>
      <c r="O98" s="8">
        <f t="shared" si="18"/>
        <v>5.6932402658977272</v>
      </c>
      <c r="P98" s="8">
        <f t="shared" si="19"/>
        <v>5.060768974710963</v>
      </c>
      <c r="Q98" s="8">
        <f t="shared" si="20"/>
        <v>0.76935679268888202</v>
      </c>
      <c r="R98" s="8">
        <f t="shared" si="21"/>
        <v>0.68388769928526516</v>
      </c>
      <c r="S98" s="9">
        <f t="shared" si="33"/>
        <v>1.8464563024533167</v>
      </c>
      <c r="T98" s="9">
        <f t="shared" si="33"/>
        <v>1.6413304782846365</v>
      </c>
      <c r="U98" s="8">
        <f t="shared" si="22"/>
        <v>1.2309708683022111</v>
      </c>
      <c r="V98" s="8">
        <f t="shared" si="23"/>
        <v>1.0942203188564243</v>
      </c>
      <c r="W98" s="8">
        <f t="shared" si="24"/>
        <v>0.61548543415110557</v>
      </c>
      <c r="X98" s="8">
        <f t="shared" si="25"/>
        <v>0.54711015942821217</v>
      </c>
      <c r="Y98" s="8">
        <f t="shared" si="26"/>
        <v>0</v>
      </c>
      <c r="Z98" s="8">
        <f t="shared" si="27"/>
        <v>0</v>
      </c>
      <c r="AA98" s="10">
        <v>417.89075855828003</v>
      </c>
      <c r="AB98" s="11">
        <v>371.46659669328</v>
      </c>
    </row>
    <row r="99" spans="1:28" x14ac:dyDescent="0.35">
      <c r="A99" s="15" t="s">
        <v>48</v>
      </c>
      <c r="B99" s="23" t="s">
        <v>66</v>
      </c>
      <c r="C99" s="7">
        <f t="shared" si="28"/>
        <v>25.918306382883841</v>
      </c>
      <c r="D99" s="20">
        <v>4.0163261841927023</v>
      </c>
      <c r="E99" s="20">
        <v>21.901980198691138</v>
      </c>
      <c r="F99" s="20">
        <v>2.0803991745458603</v>
      </c>
      <c r="G99" s="27">
        <f t="shared" si="29"/>
        <v>11.153251130204193</v>
      </c>
      <c r="H99" s="20">
        <v>0.9535162883335192</v>
      </c>
      <c r="I99" s="20">
        <v>10.199734841870674</v>
      </c>
      <c r="J99" s="20">
        <v>0</v>
      </c>
      <c r="K99" s="9">
        <f t="shared" si="32"/>
        <v>7.2304547534162724</v>
      </c>
      <c r="L99" s="9">
        <f t="shared" si="32"/>
        <v>7.5696715765084619</v>
      </c>
      <c r="M99" s="8">
        <f t="shared" si="16"/>
        <v>1.1204383620121092</v>
      </c>
      <c r="N99" s="8">
        <f t="shared" si="17"/>
        <v>1.1730037337064394</v>
      </c>
      <c r="O99" s="8">
        <f t="shared" si="18"/>
        <v>6.1100163914041632</v>
      </c>
      <c r="P99" s="8">
        <f t="shared" si="19"/>
        <v>6.3966678428020227</v>
      </c>
      <c r="Q99" s="8">
        <f t="shared" si="20"/>
        <v>0.5803709501069918</v>
      </c>
      <c r="R99" s="8">
        <f t="shared" si="21"/>
        <v>0.60759905630837163</v>
      </c>
      <c r="S99" s="9">
        <f t="shared" si="33"/>
        <v>3.1114331491847054</v>
      </c>
      <c r="T99" s="9">
        <f t="shared" si="33"/>
        <v>3.257406051875436</v>
      </c>
      <c r="U99" s="8">
        <f t="shared" si="22"/>
        <v>0.2660033521323712</v>
      </c>
      <c r="V99" s="8">
        <f t="shared" si="23"/>
        <v>0.27848290080800364</v>
      </c>
      <c r="W99" s="8">
        <f t="shared" si="24"/>
        <v>2.8454297970523341</v>
      </c>
      <c r="X99" s="8">
        <f t="shared" si="25"/>
        <v>2.9789231510674323</v>
      </c>
      <c r="Y99" s="8">
        <f t="shared" si="26"/>
        <v>0</v>
      </c>
      <c r="Z99" s="8">
        <f t="shared" si="27"/>
        <v>0</v>
      </c>
      <c r="AA99" s="10">
        <v>342.39670930134002</v>
      </c>
      <c r="AB99" s="11">
        <v>358.46025273358998</v>
      </c>
    </row>
    <row r="100" spans="1:28" x14ac:dyDescent="0.35">
      <c r="A100" s="15" t="s">
        <v>49</v>
      </c>
      <c r="B100" s="23" t="s">
        <v>66</v>
      </c>
      <c r="C100" s="7">
        <f t="shared" si="28"/>
        <v>2.6412118346100706</v>
      </c>
      <c r="D100" s="20">
        <v>0.2311060355223796</v>
      </c>
      <c r="E100" s="20">
        <v>2.4101057990876908</v>
      </c>
      <c r="F100" s="20">
        <v>0</v>
      </c>
      <c r="G100" s="27">
        <f t="shared" si="29"/>
        <v>1.0485610983298868</v>
      </c>
      <c r="H100" s="20">
        <v>0.2311060355223796</v>
      </c>
      <c r="I100" s="20">
        <v>0.81745506280750724</v>
      </c>
      <c r="J100" s="20">
        <v>0</v>
      </c>
      <c r="K100" s="9">
        <f t="shared" si="32"/>
        <v>8.7573111594010662</v>
      </c>
      <c r="L100" s="9">
        <f t="shared" si="32"/>
        <v>4.7655871856594887</v>
      </c>
      <c r="M100" s="8">
        <f t="shared" si="16"/>
        <v>0.76626472642769428</v>
      </c>
      <c r="N100" s="8">
        <f t="shared" si="17"/>
        <v>0.41698887873437651</v>
      </c>
      <c r="O100" s="8">
        <f t="shared" si="18"/>
        <v>7.9910464329733726</v>
      </c>
      <c r="P100" s="8">
        <f t="shared" si="19"/>
        <v>4.348598306925112</v>
      </c>
      <c r="Q100" s="8">
        <f t="shared" si="20"/>
        <v>0</v>
      </c>
      <c r="R100" s="8">
        <f t="shared" si="21"/>
        <v>0</v>
      </c>
      <c r="S100" s="9">
        <f t="shared" si="33"/>
        <v>3.4766525302480353</v>
      </c>
      <c r="T100" s="9">
        <f t="shared" si="33"/>
        <v>1.8919381126882124</v>
      </c>
      <c r="U100" s="8">
        <f t="shared" si="22"/>
        <v>0.76626472642769428</v>
      </c>
      <c r="V100" s="8">
        <f t="shared" si="23"/>
        <v>0.41698887873437651</v>
      </c>
      <c r="W100" s="8">
        <f t="shared" si="24"/>
        <v>2.7103878038203408</v>
      </c>
      <c r="X100" s="8">
        <f t="shared" si="25"/>
        <v>1.4749492339538359</v>
      </c>
      <c r="Y100" s="8">
        <f t="shared" si="26"/>
        <v>0</v>
      </c>
      <c r="Z100" s="8">
        <f t="shared" si="27"/>
        <v>0</v>
      </c>
      <c r="AA100" s="16">
        <v>55.422589739999999</v>
      </c>
      <c r="AB100" s="11">
        <v>30.160077523049999</v>
      </c>
    </row>
    <row r="101" spans="1:28" x14ac:dyDescent="0.35">
      <c r="A101" s="15" t="s">
        <v>50</v>
      </c>
      <c r="B101" s="23" t="s">
        <v>66</v>
      </c>
      <c r="C101" s="7">
        <f t="shared" si="28"/>
        <v>2.5949763727608071</v>
      </c>
      <c r="D101" s="20">
        <v>0.57158069884599272</v>
      </c>
      <c r="E101" s="20">
        <v>2.0233956739148145</v>
      </c>
      <c r="F101" s="20">
        <v>2.503523460945448</v>
      </c>
      <c r="G101" s="27">
        <f t="shared" si="29"/>
        <v>1.9662376040302147</v>
      </c>
      <c r="H101" s="20">
        <v>0.36581164726143534</v>
      </c>
      <c r="I101" s="20">
        <v>1.6004259567687795</v>
      </c>
      <c r="J101" s="20">
        <v>0</v>
      </c>
      <c r="K101" s="9">
        <f t="shared" si="32"/>
        <v>5.3818960772623692</v>
      </c>
      <c r="L101" s="9">
        <f t="shared" si="32"/>
        <v>2.6714857655953939</v>
      </c>
      <c r="M101" s="8">
        <f t="shared" si="16"/>
        <v>1.1854396645952354</v>
      </c>
      <c r="N101" s="8">
        <f t="shared" si="17"/>
        <v>0.5884329880166066</v>
      </c>
      <c r="O101" s="8">
        <f t="shared" si="18"/>
        <v>4.1964564126671338</v>
      </c>
      <c r="P101" s="8">
        <f t="shared" si="19"/>
        <v>2.0830527775787875</v>
      </c>
      <c r="Q101" s="8">
        <f t="shared" si="20"/>
        <v>5.19222573092713</v>
      </c>
      <c r="R101" s="8">
        <f t="shared" si="21"/>
        <v>2.5773364875127363</v>
      </c>
      <c r="S101" s="9">
        <f t="shared" si="33"/>
        <v>4.0779124462076091</v>
      </c>
      <c r="T101" s="9">
        <f t="shared" si="33"/>
        <v>2.0242094787771263</v>
      </c>
      <c r="U101" s="8">
        <f t="shared" si="22"/>
        <v>0.75868138534095053</v>
      </c>
      <c r="V101" s="8">
        <f t="shared" si="23"/>
        <v>0.3765971123306282</v>
      </c>
      <c r="W101" s="8">
        <f t="shared" si="24"/>
        <v>3.3192310608666586</v>
      </c>
      <c r="X101" s="8">
        <f t="shared" si="25"/>
        <v>1.6476123664464981</v>
      </c>
      <c r="Y101" s="8">
        <f t="shared" si="26"/>
        <v>0</v>
      </c>
      <c r="Z101" s="8">
        <f t="shared" si="27"/>
        <v>0</v>
      </c>
      <c r="AA101" s="10">
        <v>97.136073348400004</v>
      </c>
      <c r="AB101" s="11">
        <v>48.216768505140003</v>
      </c>
    </row>
    <row r="102" spans="1:28" x14ac:dyDescent="0.35">
      <c r="A102" s="15" t="s">
        <v>51</v>
      </c>
      <c r="B102" s="23" t="s">
        <v>66</v>
      </c>
      <c r="C102" s="7">
        <f t="shared" si="28"/>
        <v>3.5438003328451551</v>
      </c>
      <c r="D102" s="20">
        <v>0.2286322795383971</v>
      </c>
      <c r="E102" s="20">
        <v>3.315168053306758</v>
      </c>
      <c r="F102" s="20">
        <v>5.2145883075488326</v>
      </c>
      <c r="G102" s="27">
        <f t="shared" si="29"/>
        <v>2.8579034942299635</v>
      </c>
      <c r="H102" s="20">
        <v>0</v>
      </c>
      <c r="I102" s="20">
        <v>2.8579034942299635</v>
      </c>
      <c r="J102" s="20">
        <v>1.2574775374611842</v>
      </c>
      <c r="K102" s="9">
        <f t="shared" si="32"/>
        <v>5.3244195640159759</v>
      </c>
      <c r="L102" s="9">
        <f t="shared" si="32"/>
        <v>5.3415951260588308</v>
      </c>
      <c r="M102" s="8">
        <f t="shared" si="16"/>
        <v>0.34351093961393397</v>
      </c>
      <c r="N102" s="8">
        <f t="shared" si="17"/>
        <v>0.34461904039089231</v>
      </c>
      <c r="O102" s="8">
        <f t="shared" si="18"/>
        <v>4.9809086244020424</v>
      </c>
      <c r="P102" s="8">
        <f t="shared" si="19"/>
        <v>4.9969760856679386</v>
      </c>
      <c r="Q102" s="8">
        <f t="shared" si="20"/>
        <v>7.8347122849077095</v>
      </c>
      <c r="R102" s="8">
        <f t="shared" si="21"/>
        <v>7.8599855725063756</v>
      </c>
      <c r="S102" s="9">
        <f t="shared" si="33"/>
        <v>4.2938867451741736</v>
      </c>
      <c r="T102" s="9">
        <f t="shared" si="33"/>
        <v>4.3077380048861542</v>
      </c>
      <c r="U102" s="8">
        <f t="shared" si="22"/>
        <v>0</v>
      </c>
      <c r="V102" s="8">
        <f t="shared" si="23"/>
        <v>0</v>
      </c>
      <c r="W102" s="8">
        <f t="shared" si="24"/>
        <v>4.2938867451741736</v>
      </c>
      <c r="X102" s="8">
        <f t="shared" si="25"/>
        <v>4.3077380048861542</v>
      </c>
      <c r="Y102" s="8">
        <f t="shared" si="26"/>
        <v>1.8893101678766371</v>
      </c>
      <c r="Z102" s="8">
        <f t="shared" si="27"/>
        <v>1.8954047221499077</v>
      </c>
      <c r="AA102" s="10">
        <v>66.343484468840003</v>
      </c>
      <c r="AB102" s="11">
        <v>66.557495896739994</v>
      </c>
    </row>
    <row r="103" spans="1:28" x14ac:dyDescent="0.35">
      <c r="A103" s="15" t="s">
        <v>52</v>
      </c>
      <c r="B103" s="23" t="s">
        <v>66</v>
      </c>
      <c r="C103" s="7">
        <f t="shared" si="28"/>
        <v>40.696545757834684</v>
      </c>
      <c r="D103" s="20">
        <v>4.2296971714603462</v>
      </c>
      <c r="E103" s="20">
        <v>36.46684858637434</v>
      </c>
      <c r="F103" s="20">
        <v>30.86535773768361</v>
      </c>
      <c r="G103" s="27">
        <f t="shared" si="29"/>
        <v>37.724326123835517</v>
      </c>
      <c r="H103" s="20">
        <v>0</v>
      </c>
      <c r="I103" s="20">
        <v>37.724326123835517</v>
      </c>
      <c r="J103" s="20">
        <v>0</v>
      </c>
      <c r="K103" s="9">
        <f t="shared" si="32"/>
        <v>4.8433829218327409</v>
      </c>
      <c r="L103" s="9">
        <f t="shared" si="32"/>
        <v>4.3645196256641805</v>
      </c>
      <c r="M103" s="8">
        <f t="shared" si="16"/>
        <v>0.50338530367362755</v>
      </c>
      <c r="N103" s="8">
        <f t="shared" si="17"/>
        <v>0.45361580379094008</v>
      </c>
      <c r="O103" s="8">
        <f t="shared" si="18"/>
        <v>4.3399976181591136</v>
      </c>
      <c r="P103" s="8">
        <f t="shared" si="19"/>
        <v>3.9109038218732408</v>
      </c>
      <c r="Q103" s="8">
        <f t="shared" si="20"/>
        <v>3.6733522159967418</v>
      </c>
      <c r="R103" s="8">
        <f t="shared" si="21"/>
        <v>3.3101693790149684</v>
      </c>
      <c r="S103" s="9">
        <f t="shared" si="33"/>
        <v>4.4896527084404623</v>
      </c>
      <c r="T103" s="9">
        <f t="shared" si="33"/>
        <v>4.0457625743516274</v>
      </c>
      <c r="U103" s="8">
        <f t="shared" si="22"/>
        <v>0</v>
      </c>
      <c r="V103" s="8">
        <f t="shared" si="23"/>
        <v>0</v>
      </c>
      <c r="W103" s="8">
        <f t="shared" si="24"/>
        <v>4.4896527084404623</v>
      </c>
      <c r="X103" s="8">
        <f t="shared" si="25"/>
        <v>4.0457625743516274</v>
      </c>
      <c r="Y103" s="8">
        <f t="shared" si="26"/>
        <v>0</v>
      </c>
      <c r="Z103" s="8">
        <f t="shared" si="27"/>
        <v>0</v>
      </c>
      <c r="AA103" s="10">
        <v>932.44043441874999</v>
      </c>
      <c r="AB103" s="11">
        <v>840.25042856688003</v>
      </c>
    </row>
    <row r="104" spans="1:28" x14ac:dyDescent="0.35">
      <c r="A104" s="15" t="s">
        <v>53</v>
      </c>
      <c r="B104" s="23" t="s">
        <v>66</v>
      </c>
      <c r="C104" s="7">
        <f t="shared" si="28"/>
        <v>37.647910645019209</v>
      </c>
      <c r="D104" s="20">
        <v>0.51484322249598913</v>
      </c>
      <c r="E104" s="20">
        <v>37.133067422523219</v>
      </c>
      <c r="F104" s="20">
        <v>0</v>
      </c>
      <c r="G104" s="27">
        <f t="shared" si="29"/>
        <v>7.9478922472818319</v>
      </c>
      <c r="H104" s="20">
        <v>3.9256795715319166</v>
      </c>
      <c r="I104" s="20">
        <v>4.0222126757499153</v>
      </c>
      <c r="J104" s="20">
        <v>0</v>
      </c>
      <c r="K104" s="9">
        <f t="shared" si="32"/>
        <v>18.55133533343367</v>
      </c>
      <c r="L104" s="9">
        <f t="shared" si="32"/>
        <v>19.408760186535989</v>
      </c>
      <c r="M104" s="8">
        <f t="shared" si="16"/>
        <v>0.25369347464524672</v>
      </c>
      <c r="N104" s="8">
        <f t="shared" si="17"/>
        <v>0.26541894272185967</v>
      </c>
      <c r="O104" s="8">
        <f t="shared" si="18"/>
        <v>18.297641858788424</v>
      </c>
      <c r="P104" s="8">
        <f t="shared" si="19"/>
        <v>19.143341243814131</v>
      </c>
      <c r="Q104" s="8">
        <f t="shared" si="20"/>
        <v>0</v>
      </c>
      <c r="R104" s="8">
        <f t="shared" si="21"/>
        <v>0</v>
      </c>
      <c r="S104" s="9">
        <f t="shared" si="33"/>
        <v>3.9163930148359967</v>
      </c>
      <c r="T104" s="9">
        <f t="shared" si="33"/>
        <v>4.0974049282687082</v>
      </c>
      <c r="U104" s="8">
        <f t="shared" si="22"/>
        <v>1.9344127441700061</v>
      </c>
      <c r="V104" s="8">
        <f t="shared" si="23"/>
        <v>2.0238194382541796</v>
      </c>
      <c r="W104" s="8">
        <f t="shared" si="24"/>
        <v>1.9819802706659906</v>
      </c>
      <c r="X104" s="8">
        <f t="shared" si="25"/>
        <v>2.0735854900145285</v>
      </c>
      <c r="Y104" s="8">
        <f t="shared" si="26"/>
        <v>0</v>
      </c>
      <c r="Z104" s="8">
        <f t="shared" si="27"/>
        <v>0</v>
      </c>
      <c r="AA104" s="10">
        <v>193.97380504054999</v>
      </c>
      <c r="AB104" s="11">
        <v>202.93908750153</v>
      </c>
    </row>
    <row r="105" spans="1:28" x14ac:dyDescent="0.35">
      <c r="A105" s="15" t="s">
        <v>54</v>
      </c>
      <c r="B105" s="23" t="s">
        <v>66</v>
      </c>
      <c r="C105" s="7">
        <f t="shared" si="28"/>
        <v>0</v>
      </c>
      <c r="D105" s="20">
        <v>0</v>
      </c>
      <c r="E105" s="20">
        <v>0</v>
      </c>
      <c r="F105" s="20">
        <v>0</v>
      </c>
      <c r="G105" s="27">
        <f t="shared" si="29"/>
        <v>19.124674418686535</v>
      </c>
      <c r="H105" s="20">
        <v>5.3242412078748709</v>
      </c>
      <c r="I105" s="20">
        <v>13.800433210811665</v>
      </c>
      <c r="J105" s="20">
        <v>0</v>
      </c>
      <c r="K105" s="9">
        <f t="shared" si="32"/>
        <v>0</v>
      </c>
      <c r="L105" s="9">
        <f t="shared" si="32"/>
        <v>0</v>
      </c>
      <c r="M105" s="8">
        <f t="shared" si="16"/>
        <v>0</v>
      </c>
      <c r="N105" s="8">
        <f t="shared" si="17"/>
        <v>0</v>
      </c>
      <c r="O105" s="8">
        <f t="shared" si="18"/>
        <v>0</v>
      </c>
      <c r="P105" s="8">
        <f t="shared" si="19"/>
        <v>0</v>
      </c>
      <c r="Q105" s="8">
        <f t="shared" si="20"/>
        <v>0</v>
      </c>
      <c r="R105" s="8">
        <f t="shared" si="21"/>
        <v>0</v>
      </c>
      <c r="S105" s="9">
        <f t="shared" si="33"/>
        <v>4.6617198026557771</v>
      </c>
      <c r="T105" s="9">
        <f t="shared" si="33"/>
        <v>5.7873891454636235</v>
      </c>
      <c r="U105" s="8">
        <f t="shared" si="22"/>
        <v>1.2978061811402497</v>
      </c>
      <c r="V105" s="8">
        <f t="shared" si="23"/>
        <v>1.6111885148840825</v>
      </c>
      <c r="W105" s="8">
        <f t="shared" si="24"/>
        <v>3.3639136215155276</v>
      </c>
      <c r="X105" s="8">
        <f t="shared" si="25"/>
        <v>4.1762006305795412</v>
      </c>
      <c r="Y105" s="8">
        <f t="shared" si="26"/>
        <v>0</v>
      </c>
      <c r="Z105" s="8">
        <f t="shared" si="27"/>
        <v>0</v>
      </c>
      <c r="AA105" s="10">
        <v>330.45426768437</v>
      </c>
      <c r="AB105" s="11">
        <v>410.24933347112</v>
      </c>
    </row>
    <row r="106" spans="1:28" x14ac:dyDescent="0.35">
      <c r="A106" s="15" t="s">
        <v>55</v>
      </c>
      <c r="B106" s="23" t="s">
        <v>66</v>
      </c>
      <c r="C106" s="7">
        <f t="shared" si="28"/>
        <v>7.2019168054595077</v>
      </c>
      <c r="D106" s="20">
        <v>1.8290582363071768</v>
      </c>
      <c r="E106" s="20">
        <v>5.3728585691523305</v>
      </c>
      <c r="F106" s="20">
        <v>9.0309750417666859</v>
      </c>
      <c r="G106" s="27">
        <f t="shared" si="29"/>
        <v>14.861098169995811</v>
      </c>
      <c r="H106" s="20">
        <v>0</v>
      </c>
      <c r="I106" s="20">
        <v>14.861098169995811</v>
      </c>
      <c r="J106" s="20">
        <v>0</v>
      </c>
      <c r="K106" s="9">
        <f t="shared" si="32"/>
        <v>3.2388197867879107</v>
      </c>
      <c r="L106" s="9">
        <f t="shared" si="32"/>
        <v>2.1106625637775824</v>
      </c>
      <c r="M106" s="8">
        <f t="shared" si="16"/>
        <v>0.82255740616835848</v>
      </c>
      <c r="N106" s="8">
        <f t="shared" si="17"/>
        <v>0.53604128603875123</v>
      </c>
      <c r="O106" s="8">
        <f t="shared" si="18"/>
        <v>2.4162623806195525</v>
      </c>
      <c r="P106" s="8">
        <f t="shared" si="19"/>
        <v>1.5746212777388313</v>
      </c>
      <c r="Q106" s="8">
        <f t="shared" si="20"/>
        <v>4.0613771929562708</v>
      </c>
      <c r="R106" s="8">
        <f t="shared" si="21"/>
        <v>2.6467038498163342</v>
      </c>
      <c r="S106" s="9">
        <f t="shared" si="33"/>
        <v>6.6832789251179126</v>
      </c>
      <c r="T106" s="9">
        <f t="shared" si="33"/>
        <v>4.3553354490648539</v>
      </c>
      <c r="U106" s="8">
        <f t="shared" si="22"/>
        <v>0</v>
      </c>
      <c r="V106" s="8">
        <f t="shared" si="23"/>
        <v>0</v>
      </c>
      <c r="W106" s="8">
        <f t="shared" si="24"/>
        <v>6.6832789251179126</v>
      </c>
      <c r="X106" s="8">
        <f t="shared" si="25"/>
        <v>4.3553354490648539</v>
      </c>
      <c r="Y106" s="8">
        <f t="shared" si="26"/>
        <v>0</v>
      </c>
      <c r="Z106" s="8">
        <f t="shared" si="27"/>
        <v>0</v>
      </c>
      <c r="AA106" s="10">
        <v>341.21592570296002</v>
      </c>
      <c r="AB106" s="11">
        <v>222.36238134761999</v>
      </c>
    </row>
    <row r="107" spans="1:28" x14ac:dyDescent="0.35">
      <c r="A107" s="15" t="s">
        <v>56</v>
      </c>
      <c r="B107" s="23" t="s">
        <v>66</v>
      </c>
      <c r="C107" s="7">
        <f>D107+E107</f>
        <v>2.5149550749223684</v>
      </c>
      <c r="D107" s="20">
        <v>0.18290582363071767</v>
      </c>
      <c r="E107" s="20">
        <v>2.3320492512916506</v>
      </c>
      <c r="F107" s="20">
        <v>1.4060885191611421</v>
      </c>
      <c r="G107" s="27">
        <f t="shared" si="29"/>
        <v>4.5840772047448617</v>
      </c>
      <c r="H107" s="20">
        <v>0</v>
      </c>
      <c r="I107" s="20">
        <v>4.5840772047448617</v>
      </c>
      <c r="J107" s="20">
        <v>0</v>
      </c>
      <c r="K107" s="9">
        <f t="shared" si="32"/>
        <v>2.52787094908023</v>
      </c>
      <c r="L107" s="9">
        <f t="shared" si="32"/>
        <v>1.3840355185893003</v>
      </c>
      <c r="M107" s="8">
        <f t="shared" si="16"/>
        <v>0.18384515993310763</v>
      </c>
      <c r="N107" s="8">
        <f t="shared" si="17"/>
        <v>0.10065712862467636</v>
      </c>
      <c r="O107" s="8">
        <f t="shared" si="18"/>
        <v>2.3440257891471226</v>
      </c>
      <c r="P107" s="8">
        <f t="shared" si="19"/>
        <v>1.2833783899646238</v>
      </c>
      <c r="Q107" s="8">
        <f t="shared" si="20"/>
        <v>1.4133096669857648</v>
      </c>
      <c r="R107" s="8">
        <f t="shared" si="21"/>
        <v>0.77380167630219954</v>
      </c>
      <c r="S107" s="9">
        <f t="shared" si="33"/>
        <v>4.6076193208235097</v>
      </c>
      <c r="T107" s="9">
        <f t="shared" si="33"/>
        <v>2.5227192861559513</v>
      </c>
      <c r="U107" s="8">
        <f t="shared" si="22"/>
        <v>0</v>
      </c>
      <c r="V107" s="8">
        <f t="shared" si="23"/>
        <v>0</v>
      </c>
      <c r="W107" s="8">
        <f t="shared" si="24"/>
        <v>4.6076193208235097</v>
      </c>
      <c r="X107" s="8">
        <f t="shared" si="25"/>
        <v>2.5227192861559513</v>
      </c>
      <c r="Y107" s="8">
        <f t="shared" si="26"/>
        <v>0</v>
      </c>
      <c r="Z107" s="8">
        <f t="shared" si="27"/>
        <v>0</v>
      </c>
      <c r="AA107" s="10">
        <v>181.71174374815001</v>
      </c>
      <c r="AB107" s="11">
        <v>99.489061173690004</v>
      </c>
    </row>
    <row r="108" spans="1:28" x14ac:dyDescent="0.35">
      <c r="A108" s="15" t="s">
        <v>57</v>
      </c>
      <c r="B108" s="23" t="s">
        <v>66</v>
      </c>
      <c r="C108" s="7">
        <f>D108+E108</f>
        <v>4.1153810316911672</v>
      </c>
      <c r="D108" s="20">
        <v>0.11431613976919908</v>
      </c>
      <c r="E108" s="20">
        <v>4.0010648919219678</v>
      </c>
      <c r="F108" s="20">
        <v>0</v>
      </c>
      <c r="G108" s="27">
        <f t="shared" si="29"/>
        <v>3.3151680533067727</v>
      </c>
      <c r="H108" s="20">
        <v>0.68589683861519435</v>
      </c>
      <c r="I108" s="20">
        <v>2.6292712146915784</v>
      </c>
      <c r="J108" s="20">
        <v>0.11431613976919908</v>
      </c>
      <c r="K108" s="9">
        <f t="shared" si="32"/>
        <v>8.1625269737342627</v>
      </c>
      <c r="L108" s="9">
        <f t="shared" si="32"/>
        <v>5.4123140293972885</v>
      </c>
      <c r="M108" s="8">
        <f t="shared" si="16"/>
        <v>0.22673686038150731</v>
      </c>
      <c r="N108" s="8">
        <f t="shared" si="17"/>
        <v>0.1503420563721469</v>
      </c>
      <c r="O108" s="8">
        <f t="shared" si="18"/>
        <v>7.9357901133527555</v>
      </c>
      <c r="P108" s="8">
        <f t="shared" si="19"/>
        <v>5.2619719730251413</v>
      </c>
      <c r="Q108" s="8">
        <f t="shared" si="20"/>
        <v>0</v>
      </c>
      <c r="R108" s="8">
        <f t="shared" si="21"/>
        <v>0</v>
      </c>
      <c r="S108" s="9">
        <f t="shared" si="33"/>
        <v>6.5753689510637106</v>
      </c>
      <c r="T108" s="9">
        <f t="shared" si="33"/>
        <v>4.3599196347922593</v>
      </c>
      <c r="U108" s="8">
        <f t="shared" si="22"/>
        <v>1.3604211622890434</v>
      </c>
      <c r="V108" s="8">
        <f t="shared" si="23"/>
        <v>0.90205233823288122</v>
      </c>
      <c r="W108" s="8">
        <f t="shared" si="24"/>
        <v>5.2149477887746674</v>
      </c>
      <c r="X108" s="8">
        <f t="shared" si="25"/>
        <v>3.4578672965593782</v>
      </c>
      <c r="Y108" s="8">
        <f t="shared" si="26"/>
        <v>0.22673686038150731</v>
      </c>
      <c r="Z108" s="8">
        <f t="shared" si="27"/>
        <v>0.1503420563721469</v>
      </c>
      <c r="AA108" s="10">
        <v>76.037366075549997</v>
      </c>
      <c r="AB108" s="11">
        <v>50.417977728389999</v>
      </c>
    </row>
    <row r="109" spans="1:28" x14ac:dyDescent="0.35">
      <c r="A109" s="13" t="s">
        <v>58</v>
      </c>
      <c r="B109" s="21" t="s">
        <v>66</v>
      </c>
      <c r="C109" s="7">
        <f>D109+E109</f>
        <v>27.74467105165445</v>
      </c>
      <c r="D109" s="20">
        <v>1.5449973683666396</v>
      </c>
      <c r="E109" s="20">
        <v>26.199673683287809</v>
      </c>
      <c r="F109" s="20">
        <v>34.272828946161376</v>
      </c>
      <c r="G109" s="27">
        <f t="shared" si="29"/>
        <v>28.473648683207717</v>
      </c>
      <c r="H109" s="20">
        <v>1.272990789428851</v>
      </c>
      <c r="I109" s="20">
        <v>27.200657893778867</v>
      </c>
      <c r="J109" s="20">
        <v>0</v>
      </c>
      <c r="K109" s="9">
        <f t="shared" si="32"/>
        <v>5.0461253433878568</v>
      </c>
      <c r="L109" s="9">
        <f t="shared" si="32"/>
        <v>5.3252268540127687</v>
      </c>
      <c r="M109" s="8">
        <f t="shared" si="16"/>
        <v>0.28099992108277472</v>
      </c>
      <c r="N109" s="8">
        <f t="shared" si="17"/>
        <v>0.29654204441953458</v>
      </c>
      <c r="O109" s="8">
        <f t="shared" si="18"/>
        <v>4.7651254223050818</v>
      </c>
      <c r="P109" s="8">
        <f t="shared" si="19"/>
        <v>5.0286848095932344</v>
      </c>
      <c r="Q109" s="8">
        <f t="shared" si="20"/>
        <v>6.2334489535967634</v>
      </c>
      <c r="R109" s="8">
        <f t="shared" si="21"/>
        <v>6.5782214078981269</v>
      </c>
      <c r="S109" s="9">
        <f t="shared" si="33"/>
        <v>5.1787098131945175</v>
      </c>
      <c r="T109" s="9">
        <f t="shared" si="33"/>
        <v>5.4651445791966333</v>
      </c>
      <c r="U109" s="8">
        <f t="shared" si="22"/>
        <v>0.23152810399073692</v>
      </c>
      <c r="V109" s="8">
        <f t="shared" si="23"/>
        <v>0.24433393800764469</v>
      </c>
      <c r="W109" s="8">
        <f t="shared" si="24"/>
        <v>4.9471817092037806</v>
      </c>
      <c r="X109" s="8">
        <f t="shared" si="25"/>
        <v>5.2208106411889883</v>
      </c>
      <c r="Y109" s="8">
        <f t="shared" si="26"/>
        <v>0</v>
      </c>
      <c r="Z109" s="8">
        <f t="shared" si="27"/>
        <v>0</v>
      </c>
      <c r="AA109" s="10">
        <v>521.00449074291998</v>
      </c>
      <c r="AB109" s="11">
        <v>549.82128194673999</v>
      </c>
    </row>
    <row r="110" spans="1:28" x14ac:dyDescent="0.35">
      <c r="A110" s="13" t="s">
        <v>59</v>
      </c>
      <c r="B110" s="21" t="s">
        <v>66</v>
      </c>
      <c r="C110" s="7">
        <f>D110+E110</f>
        <v>33.755844605203976</v>
      </c>
      <c r="D110" s="20">
        <v>2.7773796194155169</v>
      </c>
      <c r="E110" s="20">
        <v>30.978464985788456</v>
      </c>
      <c r="F110" s="20">
        <v>0</v>
      </c>
      <c r="G110" s="27">
        <f t="shared" si="29"/>
        <v>45.212535535292979</v>
      </c>
      <c r="H110" s="20">
        <v>1.014811784017208</v>
      </c>
      <c r="I110" s="20">
        <v>44.197723751275774</v>
      </c>
      <c r="J110" s="20">
        <v>0</v>
      </c>
      <c r="K110" s="9">
        <f t="shared" si="32"/>
        <v>4.5181906835291334</v>
      </c>
      <c r="L110" s="9">
        <f t="shared" si="32"/>
        <v>5.7134448694402113</v>
      </c>
      <c r="M110" s="8">
        <f t="shared" si="16"/>
        <v>0.37174986636632118</v>
      </c>
      <c r="N110" s="8">
        <f t="shared" si="17"/>
        <v>0.47009356520710599</v>
      </c>
      <c r="O110" s="8">
        <f t="shared" si="18"/>
        <v>4.1464408171628122</v>
      </c>
      <c r="P110" s="8">
        <f t="shared" si="19"/>
        <v>5.243351304233105</v>
      </c>
      <c r="Q110" s="8">
        <f t="shared" si="20"/>
        <v>0</v>
      </c>
      <c r="R110" s="8">
        <f t="shared" si="21"/>
        <v>0</v>
      </c>
      <c r="S110" s="9">
        <f t="shared" si="33"/>
        <v>6.0516588822902087</v>
      </c>
      <c r="T110" s="9">
        <f t="shared" si="33"/>
        <v>7.6525808259195234</v>
      </c>
      <c r="U110" s="8">
        <f t="shared" si="22"/>
        <v>0.13583168194154041</v>
      </c>
      <c r="V110" s="8">
        <f t="shared" si="23"/>
        <v>0.17176495651798102</v>
      </c>
      <c r="W110" s="8">
        <f t="shared" si="24"/>
        <v>5.9158272003486685</v>
      </c>
      <c r="X110" s="8">
        <f t="shared" si="25"/>
        <v>7.4808158694015425</v>
      </c>
      <c r="Y110" s="8">
        <f t="shared" si="26"/>
        <v>0</v>
      </c>
      <c r="Z110" s="8">
        <f t="shared" si="27"/>
        <v>0</v>
      </c>
      <c r="AA110" s="10">
        <v>590.81421763174001</v>
      </c>
      <c r="AB110" s="11">
        <v>747.10978286638999</v>
      </c>
    </row>
    <row r="111" spans="1:28" x14ac:dyDescent="0.35">
      <c r="A111" s="6" t="s">
        <v>60</v>
      </c>
      <c r="B111" s="21" t="s">
        <v>66</v>
      </c>
      <c r="C111" s="7">
        <f>D111+E111</f>
        <v>20.586692247925818</v>
      </c>
      <c r="D111" s="20">
        <v>1.746749645278554</v>
      </c>
      <c r="E111" s="20">
        <v>18.839942602647263</v>
      </c>
      <c r="F111" s="20">
        <v>5.6145524312524948</v>
      </c>
      <c r="G111" s="27">
        <f t="shared" si="29"/>
        <v>0</v>
      </c>
      <c r="H111" s="20">
        <v>0</v>
      </c>
      <c r="I111" s="20">
        <v>0</v>
      </c>
      <c r="J111" s="20">
        <v>5.6145524312524948</v>
      </c>
      <c r="K111" s="9">
        <f t="shared" si="32"/>
        <v>7.8587322070419496</v>
      </c>
      <c r="L111" s="9">
        <f t="shared" si="32"/>
        <v>4.6651304045159154</v>
      </c>
      <c r="M111" s="8">
        <f t="shared" si="16"/>
        <v>0.66680152059749864</v>
      </c>
      <c r="N111" s="8">
        <f t="shared" si="17"/>
        <v>0.39582924644377454</v>
      </c>
      <c r="O111" s="8">
        <f t="shared" si="18"/>
        <v>7.1919306864444508</v>
      </c>
      <c r="P111" s="8">
        <f t="shared" si="19"/>
        <v>4.2693011580721407</v>
      </c>
      <c r="Q111" s="8">
        <f t="shared" si="20"/>
        <v>2.1432906019205311</v>
      </c>
      <c r="R111" s="8">
        <f t="shared" si="21"/>
        <v>1.2723082921407038</v>
      </c>
      <c r="S111" s="9">
        <f t="shared" si="33"/>
        <v>0</v>
      </c>
      <c r="T111" s="9">
        <f t="shared" si="33"/>
        <v>0</v>
      </c>
      <c r="U111" s="8">
        <f t="shared" si="22"/>
        <v>0</v>
      </c>
      <c r="V111" s="8">
        <f t="shared" si="23"/>
        <v>0</v>
      </c>
      <c r="W111" s="8">
        <f t="shared" si="24"/>
        <v>0</v>
      </c>
      <c r="X111" s="8">
        <f t="shared" si="25"/>
        <v>0</v>
      </c>
      <c r="Y111" s="8">
        <f t="shared" si="26"/>
        <v>2.1432906019205311</v>
      </c>
      <c r="Z111" s="8">
        <f t="shared" si="27"/>
        <v>1.2723082921407038</v>
      </c>
      <c r="AA111" s="10">
        <v>441.28867711817003</v>
      </c>
      <c r="AB111" s="11">
        <v>261.95945739796002</v>
      </c>
    </row>
    <row r="112" spans="1:28" x14ac:dyDescent="0.35">
      <c r="A112" s="6" t="s">
        <v>61</v>
      </c>
      <c r="B112" s="21" t="s">
        <v>66</v>
      </c>
      <c r="C112" s="7">
        <f t="shared" si="28"/>
        <v>7.0502118032217247</v>
      </c>
      <c r="D112" s="20">
        <v>2.366534055873502</v>
      </c>
      <c r="E112" s="20">
        <v>4.6836777473482227</v>
      </c>
      <c r="F112" s="20">
        <v>0.10508588169953384</v>
      </c>
      <c r="G112" s="27">
        <f t="shared" si="29"/>
        <v>6.9141255864208286</v>
      </c>
      <c r="H112" s="20">
        <v>0.92028960898366752</v>
      </c>
      <c r="I112" s="20">
        <v>5.9938359774371612</v>
      </c>
      <c r="J112" s="20">
        <v>0</v>
      </c>
      <c r="K112" s="9">
        <f t="shared" si="32"/>
        <v>2.1935559481120208</v>
      </c>
      <c r="L112" s="9">
        <f t="shared" si="32"/>
        <v>1.0210756004623742</v>
      </c>
      <c r="M112" s="8">
        <f t="shared" si="16"/>
        <v>0.73630764572190655</v>
      </c>
      <c r="N112" s="8">
        <f t="shared" si="17"/>
        <v>0.34274292029233372</v>
      </c>
      <c r="O112" s="8">
        <f t="shared" si="18"/>
        <v>1.4572483023901142</v>
      </c>
      <c r="P112" s="8">
        <f t="shared" si="19"/>
        <v>0.67833268017004056</v>
      </c>
      <c r="Q112" s="8">
        <f t="shared" si="20"/>
        <v>3.2695721390848427E-2</v>
      </c>
      <c r="R112" s="8">
        <f t="shared" si="21"/>
        <v>1.5219490243886932E-2</v>
      </c>
      <c r="S112" s="9">
        <f t="shared" si="33"/>
        <v>2.1512149889108723</v>
      </c>
      <c r="T112" s="9">
        <f t="shared" si="33"/>
        <v>1.0013663605965408</v>
      </c>
      <c r="U112" s="8">
        <f t="shared" si="22"/>
        <v>0.28633278008035506</v>
      </c>
      <c r="V112" s="8">
        <f t="shared" si="23"/>
        <v>0.1332846858108398</v>
      </c>
      <c r="W112" s="8">
        <f t="shared" si="24"/>
        <v>1.864882208830517</v>
      </c>
      <c r="X112" s="8">
        <f t="shared" si="25"/>
        <v>0.86808167478570097</v>
      </c>
      <c r="Y112" s="8">
        <f t="shared" si="26"/>
        <v>0</v>
      </c>
      <c r="Z112" s="8">
        <f t="shared" si="27"/>
        <v>0</v>
      </c>
      <c r="AA112" s="10">
        <v>690.46912883131995</v>
      </c>
      <c r="AB112" s="11">
        <v>321.40560669490998</v>
      </c>
    </row>
    <row r="113" spans="1:28" x14ac:dyDescent="0.35">
      <c r="A113" s="28" t="s">
        <v>62</v>
      </c>
      <c r="B113" s="23" t="s">
        <v>66</v>
      </c>
      <c r="C113" s="7">
        <f t="shared" si="28"/>
        <v>0.85162638443699334</v>
      </c>
      <c r="D113" s="20">
        <v>0.19652916563930617</v>
      </c>
      <c r="E113" s="20">
        <v>0.65509721879768712</v>
      </c>
      <c r="F113" s="20">
        <v>0.40684985167435311</v>
      </c>
      <c r="G113" s="27">
        <f t="shared" si="29"/>
        <v>0</v>
      </c>
      <c r="H113" s="20">
        <v>0</v>
      </c>
      <c r="I113" s="20">
        <v>0</v>
      </c>
      <c r="J113" s="20">
        <v>0</v>
      </c>
      <c r="K113" s="9">
        <f t="shared" si="32"/>
        <v>1.3227607831369561</v>
      </c>
      <c r="L113" s="9">
        <f t="shared" si="32"/>
        <v>0.93345810179928734</v>
      </c>
      <c r="M113" s="8">
        <f t="shared" si="16"/>
        <v>0.30525248841622071</v>
      </c>
      <c r="N113" s="8">
        <f t="shared" si="17"/>
        <v>0.21541340810752788</v>
      </c>
      <c r="O113" s="8">
        <f t="shared" si="18"/>
        <v>1.0175082947207355</v>
      </c>
      <c r="P113" s="8">
        <f t="shared" si="19"/>
        <v>0.71804469369175949</v>
      </c>
      <c r="Q113" s="8">
        <f t="shared" si="20"/>
        <v>0.63192620408972</v>
      </c>
      <c r="R113" s="8">
        <f t="shared" si="21"/>
        <v>0.4459435466085665</v>
      </c>
      <c r="S113" s="9">
        <f t="shared" si="33"/>
        <v>0</v>
      </c>
      <c r="T113" s="9">
        <f t="shared" si="33"/>
        <v>0</v>
      </c>
      <c r="U113" s="8">
        <f t="shared" si="22"/>
        <v>0</v>
      </c>
      <c r="V113" s="8">
        <f t="shared" si="23"/>
        <v>0</v>
      </c>
      <c r="W113" s="8">
        <f t="shared" si="24"/>
        <v>0</v>
      </c>
      <c r="X113" s="8">
        <f t="shared" si="25"/>
        <v>0</v>
      </c>
      <c r="Y113" s="8">
        <f t="shared" si="26"/>
        <v>0</v>
      </c>
      <c r="Z113" s="8">
        <f t="shared" si="27"/>
        <v>0</v>
      </c>
      <c r="AA113" s="10">
        <v>91.233487908610002</v>
      </c>
      <c r="AB113" s="11">
        <v>64.38249419652</v>
      </c>
    </row>
    <row r="114" spans="1:28" x14ac:dyDescent="0.35">
      <c r="A114" s="28" t="s">
        <v>63</v>
      </c>
      <c r="B114" s="23" t="s">
        <v>66</v>
      </c>
      <c r="C114" s="7">
        <f t="shared" si="28"/>
        <v>6.1891640315932381</v>
      </c>
      <c r="D114" s="20">
        <v>1.7694150329493317</v>
      </c>
      <c r="E114" s="20">
        <v>4.4197489986439065</v>
      </c>
      <c r="F114" s="20">
        <v>0</v>
      </c>
      <c r="G114" s="27">
        <f t="shared" si="29"/>
        <v>6.6270225953158493</v>
      </c>
      <c r="H114" s="20">
        <v>0</v>
      </c>
      <c r="I114" s="20">
        <v>6.6270225953158493</v>
      </c>
      <c r="J114" s="20">
        <v>0</v>
      </c>
      <c r="K114" s="9">
        <f t="shared" si="32"/>
        <v>4.1993466801001249</v>
      </c>
      <c r="L114" s="9">
        <f t="shared" si="32"/>
        <v>1.9972250576039592</v>
      </c>
      <c r="M114" s="8">
        <f t="shared" si="16"/>
        <v>1.2005477809936589</v>
      </c>
      <c r="N114" s="8">
        <f t="shared" si="17"/>
        <v>0.57098503498505992</v>
      </c>
      <c r="O114" s="8">
        <f t="shared" si="18"/>
        <v>2.998798899106466</v>
      </c>
      <c r="P114" s="8">
        <f t="shared" si="19"/>
        <v>1.4262400226188992</v>
      </c>
      <c r="Q114" s="8">
        <f t="shared" si="20"/>
        <v>0</v>
      </c>
      <c r="R114" s="8">
        <f t="shared" si="21"/>
        <v>0</v>
      </c>
      <c r="S114" s="9">
        <f t="shared" si="33"/>
        <v>4.4964336366803703</v>
      </c>
      <c r="T114" s="9">
        <f t="shared" si="33"/>
        <v>2.1385207302811238</v>
      </c>
      <c r="U114" s="8">
        <f t="shared" si="22"/>
        <v>0</v>
      </c>
      <c r="V114" s="8">
        <f t="shared" si="23"/>
        <v>0</v>
      </c>
      <c r="W114" s="8">
        <f t="shared" si="24"/>
        <v>4.4964336366803703</v>
      </c>
      <c r="X114" s="8">
        <f t="shared" si="25"/>
        <v>2.1385207302811238</v>
      </c>
      <c r="Y114" s="8">
        <f t="shared" si="26"/>
        <v>0</v>
      </c>
      <c r="Z114" s="8">
        <f t="shared" si="27"/>
        <v>0</v>
      </c>
      <c r="AA114" s="10">
        <v>309.88816247970999</v>
      </c>
      <c r="AB114" s="11">
        <v>147.38397429586999</v>
      </c>
    </row>
    <row r="115" spans="1:28" x14ac:dyDescent="0.35">
      <c r="A115" s="6" t="s">
        <v>64</v>
      </c>
      <c r="B115" s="21" t="s">
        <v>66</v>
      </c>
      <c r="C115" s="7">
        <f t="shared" si="28"/>
        <v>38.720578300885037</v>
      </c>
      <c r="D115" s="20">
        <v>2.169577558058819</v>
      </c>
      <c r="E115" s="20">
        <v>36.551000742826218</v>
      </c>
      <c r="F115" s="20">
        <v>0</v>
      </c>
      <c r="G115" s="27">
        <f t="shared" si="29"/>
        <v>29.097863719847695</v>
      </c>
      <c r="H115" s="20">
        <v>10.209776743806207</v>
      </c>
      <c r="I115" s="20">
        <v>18.888086976041485</v>
      </c>
      <c r="J115" s="20">
        <v>0</v>
      </c>
      <c r="K115" s="9">
        <f t="shared" ref="K115:L115" si="34">M115+O115</f>
        <v>6.7752173418966866</v>
      </c>
      <c r="L115" s="9">
        <f t="shared" si="34"/>
        <v>3.1857700960487341</v>
      </c>
      <c r="M115" s="8">
        <f t="shared" si="16"/>
        <v>0.37962654849124489</v>
      </c>
      <c r="N115" s="8">
        <f t="shared" si="17"/>
        <v>0.17850392759666606</v>
      </c>
      <c r="O115" s="8">
        <f t="shared" si="18"/>
        <v>6.3955907934054421</v>
      </c>
      <c r="P115" s="8">
        <f t="shared" si="19"/>
        <v>3.0072661684520678</v>
      </c>
      <c r="Q115" s="8">
        <f t="shared" si="20"/>
        <v>0</v>
      </c>
      <c r="R115" s="8">
        <f t="shared" si="21"/>
        <v>0</v>
      </c>
      <c r="S115" s="9">
        <f t="shared" ref="S115:T115" si="35">U115+W115</f>
        <v>5.0914619444708142</v>
      </c>
      <c r="T115" s="9">
        <f t="shared" si="35"/>
        <v>2.3940526760023451</v>
      </c>
      <c r="U115" s="8">
        <f t="shared" si="22"/>
        <v>1.7864778752529171</v>
      </c>
      <c r="V115" s="8">
        <f t="shared" si="23"/>
        <v>0.84001848280784031</v>
      </c>
      <c r="W115" s="8">
        <f t="shared" si="24"/>
        <v>3.3049840692178969</v>
      </c>
      <c r="X115" s="8">
        <f t="shared" si="25"/>
        <v>1.5540341931945045</v>
      </c>
      <c r="Y115" s="8">
        <f t="shared" si="26"/>
        <v>0</v>
      </c>
      <c r="Z115" s="8">
        <f t="shared" si="27"/>
        <v>0</v>
      </c>
      <c r="AA115" s="10">
        <v>1215.4228689920101</v>
      </c>
      <c r="AB115" s="11">
        <v>571.50311712429004</v>
      </c>
    </row>
    <row r="116" spans="1:28" x14ac:dyDescent="0.35">
      <c r="A116" s="6" t="s">
        <v>26</v>
      </c>
      <c r="B116" s="21" t="s">
        <v>67</v>
      </c>
      <c r="C116" s="29">
        <f t="shared" si="28"/>
        <v>218.44777903701456</v>
      </c>
      <c r="D116" s="30">
        <v>11.460913817997604</v>
      </c>
      <c r="E116" s="30">
        <v>206.98686521901695</v>
      </c>
      <c r="F116" s="30">
        <v>0</v>
      </c>
      <c r="G116" s="31">
        <f t="shared" si="29"/>
        <v>24.16457732710338</v>
      </c>
      <c r="H116" s="30">
        <v>10.356247425901449</v>
      </c>
      <c r="I116" s="30">
        <v>13.808329901201931</v>
      </c>
      <c r="J116" s="30">
        <v>0</v>
      </c>
      <c r="K116" s="9">
        <f t="shared" ref="K116:L153" si="36">M116+O116</f>
        <v>14.614106991358739</v>
      </c>
      <c r="L116" s="9">
        <f t="shared" si="36"/>
        <v>17.810434548128736</v>
      </c>
      <c r="M116" s="8">
        <f t="shared" si="16"/>
        <v>0.76673254126597679</v>
      </c>
      <c r="N116" s="8">
        <f t="shared" si="17"/>
        <v>0.93442861409272149</v>
      </c>
      <c r="O116" s="8">
        <f t="shared" si="18"/>
        <v>13.847374450092762</v>
      </c>
      <c r="P116" s="8">
        <f t="shared" si="19"/>
        <v>16.876005934036016</v>
      </c>
      <c r="Q116" s="8">
        <f t="shared" si="20"/>
        <v>0</v>
      </c>
      <c r="R116" s="8">
        <f t="shared" si="21"/>
        <v>0</v>
      </c>
      <c r="S116" s="9">
        <f t="shared" ref="S116:T153" si="37">U116+W116</f>
        <v>1.6166047556812764</v>
      </c>
      <c r="T116" s="9">
        <f t="shared" si="37"/>
        <v>1.9701808128460994</v>
      </c>
      <c r="U116" s="8">
        <f t="shared" si="22"/>
        <v>0.69283060957768994</v>
      </c>
      <c r="V116" s="8">
        <f t="shared" si="23"/>
        <v>0.84436320550547117</v>
      </c>
      <c r="W116" s="8">
        <f t="shared" si="24"/>
        <v>0.92377414610358644</v>
      </c>
      <c r="X116" s="8">
        <f t="shared" si="25"/>
        <v>1.1258176073406283</v>
      </c>
      <c r="Y116" s="8">
        <f t="shared" si="26"/>
        <v>0</v>
      </c>
      <c r="Z116" s="8">
        <f t="shared" si="27"/>
        <v>0</v>
      </c>
      <c r="AA116" s="10">
        <v>1226.51571721458</v>
      </c>
      <c r="AB116" s="11">
        <v>1494.77336635199</v>
      </c>
    </row>
    <row r="117" spans="1:28" x14ac:dyDescent="0.35">
      <c r="A117" s="6" t="s">
        <v>28</v>
      </c>
      <c r="B117" s="21" t="s">
        <v>67</v>
      </c>
      <c r="C117" s="29">
        <f t="shared" si="28"/>
        <v>240.10443817674749</v>
      </c>
      <c r="D117" s="30">
        <v>39.211353864005552</v>
      </c>
      <c r="E117" s="30">
        <v>200.89308431274193</v>
      </c>
      <c r="F117" s="30">
        <v>63.244119135492831</v>
      </c>
      <c r="G117" s="31">
        <f t="shared" si="29"/>
        <v>65.922693592996055</v>
      </c>
      <c r="H117" s="30">
        <v>3.8690519941713259</v>
      </c>
      <c r="I117" s="30">
        <v>62.053641598824733</v>
      </c>
      <c r="J117" s="30">
        <v>0</v>
      </c>
      <c r="K117" s="9">
        <f t="shared" si="36"/>
        <v>14.152052213106629</v>
      </c>
      <c r="L117" s="9">
        <f t="shared" si="36"/>
        <v>13.931307727333492</v>
      </c>
      <c r="M117" s="8">
        <f t="shared" si="16"/>
        <v>2.3111656387688853</v>
      </c>
      <c r="N117" s="8">
        <f t="shared" si="17"/>
        <v>2.2751159505127827</v>
      </c>
      <c r="O117" s="8">
        <f t="shared" si="18"/>
        <v>11.840886574337743</v>
      </c>
      <c r="P117" s="8">
        <f t="shared" si="19"/>
        <v>11.656191776820709</v>
      </c>
      <c r="Q117" s="8">
        <f t="shared" si="20"/>
        <v>3.7276865141433637</v>
      </c>
      <c r="R117" s="8">
        <f t="shared" si="21"/>
        <v>3.6695418556657788</v>
      </c>
      <c r="S117" s="9">
        <f t="shared" si="37"/>
        <v>3.8855650018011998</v>
      </c>
      <c r="T117" s="9">
        <f t="shared" si="37"/>
        <v>3.8249577460233888</v>
      </c>
      <c r="U117" s="8">
        <f t="shared" si="22"/>
        <v>0.22804670439465283</v>
      </c>
      <c r="V117" s="8">
        <f t="shared" si="23"/>
        <v>0.22448961940543585</v>
      </c>
      <c r="W117" s="8">
        <f t="shared" si="24"/>
        <v>3.657518297406547</v>
      </c>
      <c r="X117" s="8">
        <f t="shared" si="25"/>
        <v>3.6004681266179528</v>
      </c>
      <c r="Y117" s="8">
        <f t="shared" si="26"/>
        <v>0</v>
      </c>
      <c r="Z117" s="8">
        <f t="shared" si="27"/>
        <v>0</v>
      </c>
      <c r="AA117" s="10">
        <v>1723.48815255626</v>
      </c>
      <c r="AB117" s="11">
        <v>1696.60508992738</v>
      </c>
    </row>
    <row r="118" spans="1:28" x14ac:dyDescent="0.35">
      <c r="A118" s="6" t="s">
        <v>29</v>
      </c>
      <c r="B118" s="21" t="s">
        <v>67</v>
      </c>
      <c r="C118" s="29">
        <f t="shared" si="28"/>
        <v>198.05783396635229</v>
      </c>
      <c r="D118" s="30">
        <v>20.261088762075122</v>
      </c>
      <c r="E118" s="30">
        <v>177.79674520427716</v>
      </c>
      <c r="F118" s="30">
        <v>62.604487747984926</v>
      </c>
      <c r="G118" s="31">
        <f t="shared" si="29"/>
        <v>404.65264353470258</v>
      </c>
      <c r="H118" s="30">
        <v>23.903531685594242</v>
      </c>
      <c r="I118" s="30">
        <v>380.74911184910832</v>
      </c>
      <c r="J118" s="30">
        <v>0</v>
      </c>
      <c r="K118" s="9">
        <f t="shared" si="36"/>
        <v>7.568667416840472</v>
      </c>
      <c r="L118" s="9">
        <f t="shared" si="36"/>
        <v>6.8129234714772871</v>
      </c>
      <c r="M118" s="8">
        <f t="shared" si="16"/>
        <v>0.77426597712506007</v>
      </c>
      <c r="N118" s="8">
        <f t="shared" si="17"/>
        <v>0.6969542401856077</v>
      </c>
      <c r="O118" s="8">
        <f t="shared" si="18"/>
        <v>6.7944014397154122</v>
      </c>
      <c r="P118" s="8">
        <f t="shared" si="19"/>
        <v>6.1159692312916798</v>
      </c>
      <c r="Q118" s="8">
        <f t="shared" si="20"/>
        <v>2.3923948731392306</v>
      </c>
      <c r="R118" s="8">
        <f t="shared" si="21"/>
        <v>2.1535102927083383</v>
      </c>
      <c r="S118" s="9">
        <f t="shared" si="37"/>
        <v>15.463570498199934</v>
      </c>
      <c r="T118" s="9">
        <f t="shared" si="37"/>
        <v>13.919507437414804</v>
      </c>
      <c r="U118" s="8">
        <f t="shared" si="22"/>
        <v>0.91345986065316054</v>
      </c>
      <c r="V118" s="8">
        <f t="shared" si="23"/>
        <v>0.82224938448863827</v>
      </c>
      <c r="W118" s="8">
        <f t="shared" si="24"/>
        <v>14.550110637546773</v>
      </c>
      <c r="X118" s="8">
        <f t="shared" si="25"/>
        <v>13.097258052926167</v>
      </c>
      <c r="Y118" s="8">
        <f t="shared" si="26"/>
        <v>0</v>
      </c>
      <c r="Z118" s="8">
        <f t="shared" si="27"/>
        <v>0</v>
      </c>
      <c r="AA118" s="10">
        <v>2907.0902498102801</v>
      </c>
      <c r="AB118" s="11">
        <v>2616.8124857180101</v>
      </c>
    </row>
    <row r="119" spans="1:28" x14ac:dyDescent="0.35">
      <c r="A119" s="6" t="s">
        <v>30</v>
      </c>
      <c r="B119" s="21" t="s">
        <v>67</v>
      </c>
      <c r="C119" s="29">
        <f t="shared" si="28"/>
        <v>417.7426727911008</v>
      </c>
      <c r="D119" s="30">
        <v>45.530536543989193</v>
      </c>
      <c r="E119" s="30">
        <v>372.21213624711163</v>
      </c>
      <c r="F119" s="30">
        <v>0</v>
      </c>
      <c r="G119" s="31">
        <f t="shared" si="29"/>
        <v>1054.3734000174297</v>
      </c>
      <c r="H119" s="30">
        <v>113.82634135997297</v>
      </c>
      <c r="I119" s="30">
        <v>940.54705865745666</v>
      </c>
      <c r="J119" s="30">
        <v>0</v>
      </c>
      <c r="K119" s="9">
        <f t="shared" si="36"/>
        <v>11.612616669567583</v>
      </c>
      <c r="L119" s="9">
        <f t="shared" si="36"/>
        <v>10.037584866642435</v>
      </c>
      <c r="M119" s="8">
        <f t="shared" si="16"/>
        <v>1.2656802909610445</v>
      </c>
      <c r="N119" s="8">
        <f t="shared" si="17"/>
        <v>1.0940146993615734</v>
      </c>
      <c r="O119" s="8">
        <f t="shared" si="18"/>
        <v>10.346936378606538</v>
      </c>
      <c r="P119" s="8">
        <f t="shared" si="19"/>
        <v>8.9435701672808623</v>
      </c>
      <c r="Q119" s="8">
        <f t="shared" si="20"/>
        <v>0</v>
      </c>
      <c r="R119" s="8">
        <f t="shared" si="21"/>
        <v>0</v>
      </c>
      <c r="S119" s="9">
        <f t="shared" si="37"/>
        <v>29.309991337930388</v>
      </c>
      <c r="T119" s="9">
        <f t="shared" si="37"/>
        <v>25.334645400465632</v>
      </c>
      <c r="U119" s="8">
        <f t="shared" si="22"/>
        <v>3.1642007274026107</v>
      </c>
      <c r="V119" s="8">
        <f t="shared" si="23"/>
        <v>2.7350367484039335</v>
      </c>
      <c r="W119" s="8">
        <f t="shared" si="24"/>
        <v>26.145790610527776</v>
      </c>
      <c r="X119" s="8">
        <f t="shared" si="25"/>
        <v>22.599608652061701</v>
      </c>
      <c r="Y119" s="8">
        <f t="shared" si="26"/>
        <v>0</v>
      </c>
      <c r="Z119" s="8">
        <f t="shared" si="27"/>
        <v>0</v>
      </c>
      <c r="AA119" s="10">
        <v>4161.7847155581303</v>
      </c>
      <c r="AB119" s="11">
        <v>3597.3173374942398</v>
      </c>
    </row>
    <row r="120" spans="1:28" x14ac:dyDescent="0.35">
      <c r="A120" s="6" t="s">
        <v>31</v>
      </c>
      <c r="B120" s="21" t="s">
        <v>67</v>
      </c>
      <c r="C120" s="29">
        <f t="shared" si="28"/>
        <v>127.4855023231693</v>
      </c>
      <c r="D120" s="30">
        <v>10.813502429197396</v>
      </c>
      <c r="E120" s="30">
        <v>116.6719998939719</v>
      </c>
      <c r="F120" s="30">
        <v>7.9678438951980812</v>
      </c>
      <c r="G120" s="31">
        <f t="shared" si="29"/>
        <v>662.75387256844033</v>
      </c>
      <c r="H120" s="30">
        <v>3.6993560941991093</v>
      </c>
      <c r="I120" s="30">
        <v>659.05451647424127</v>
      </c>
      <c r="J120" s="30">
        <v>0</v>
      </c>
      <c r="K120" s="9">
        <f t="shared" si="36"/>
        <v>6.6462474808104259</v>
      </c>
      <c r="L120" s="9">
        <f t="shared" si="36"/>
        <v>5.4535523714097724</v>
      </c>
      <c r="M120" s="8">
        <f t="shared" si="16"/>
        <v>0.56374420596159858</v>
      </c>
      <c r="N120" s="8">
        <f t="shared" si="17"/>
        <v>0.46257810293207896</v>
      </c>
      <c r="O120" s="8">
        <f t="shared" si="18"/>
        <v>6.0825032748488272</v>
      </c>
      <c r="P120" s="8">
        <f t="shared" si="19"/>
        <v>4.9909742684776939</v>
      </c>
      <c r="Q120" s="8">
        <f t="shared" si="20"/>
        <v>0.41539046755065162</v>
      </c>
      <c r="R120" s="8">
        <f t="shared" si="21"/>
        <v>0.34084702321311078</v>
      </c>
      <c r="S120" s="9">
        <f t="shared" si="37"/>
        <v>34.551585675909557</v>
      </c>
      <c r="T120" s="9">
        <f t="shared" si="37"/>
        <v>28.351168466547676</v>
      </c>
      <c r="U120" s="8">
        <f t="shared" si="22"/>
        <v>0.1928598599342311</v>
      </c>
      <c r="V120" s="8">
        <f t="shared" si="23"/>
        <v>0.15825040363465859</v>
      </c>
      <c r="W120" s="8">
        <f t="shared" si="24"/>
        <v>34.358725815975326</v>
      </c>
      <c r="X120" s="8">
        <f t="shared" si="25"/>
        <v>28.192918062913019</v>
      </c>
      <c r="Y120" s="8">
        <f t="shared" si="26"/>
        <v>0</v>
      </c>
      <c r="Z120" s="8">
        <f t="shared" si="27"/>
        <v>0</v>
      </c>
      <c r="AA120" s="10">
        <v>2337.6598158571201</v>
      </c>
      <c r="AB120" s="11">
        <v>1918.15761738117</v>
      </c>
    </row>
    <row r="121" spans="1:28" x14ac:dyDescent="0.35">
      <c r="A121" s="6" t="s">
        <v>32</v>
      </c>
      <c r="B121" s="21" t="s">
        <v>67</v>
      </c>
      <c r="C121" s="29">
        <f t="shared" si="28"/>
        <v>782.33294838167296</v>
      </c>
      <c r="D121" s="30">
        <v>89.837276369187336</v>
      </c>
      <c r="E121" s="30">
        <v>692.49567201248567</v>
      </c>
      <c r="F121" s="30">
        <v>243.30929016654903</v>
      </c>
      <c r="G121" s="31">
        <f t="shared" si="29"/>
        <v>146.92137906210846</v>
      </c>
      <c r="H121" s="30">
        <v>0</v>
      </c>
      <c r="I121" s="30">
        <v>146.92137906210846</v>
      </c>
      <c r="J121" s="30">
        <v>1281.1169932230987</v>
      </c>
      <c r="K121" s="9">
        <f t="shared" si="36"/>
        <v>17.140139106767847</v>
      </c>
      <c r="L121" s="9">
        <f t="shared" si="36"/>
        <v>14.692106275435194</v>
      </c>
      <c r="M121" s="8">
        <f t="shared" si="16"/>
        <v>1.9682456390546812</v>
      </c>
      <c r="N121" s="8">
        <f t="shared" si="17"/>
        <v>1.6871318211026061</v>
      </c>
      <c r="O121" s="8">
        <f t="shared" si="18"/>
        <v>15.171893467713165</v>
      </c>
      <c r="P121" s="8">
        <f t="shared" si="19"/>
        <v>13.004974454332588</v>
      </c>
      <c r="Q121" s="8">
        <f t="shared" si="20"/>
        <v>5.3306652724397612</v>
      </c>
      <c r="R121" s="8">
        <f t="shared" si="21"/>
        <v>4.5693153488195577</v>
      </c>
      <c r="S121" s="9">
        <f t="shared" si="37"/>
        <v>3.2189017222040093</v>
      </c>
      <c r="T121" s="9">
        <f t="shared" si="37"/>
        <v>2.7591634990948872</v>
      </c>
      <c r="U121" s="8">
        <f t="shared" si="22"/>
        <v>0</v>
      </c>
      <c r="V121" s="8">
        <f t="shared" si="23"/>
        <v>0</v>
      </c>
      <c r="W121" s="8">
        <f t="shared" si="24"/>
        <v>3.2189017222040093</v>
      </c>
      <c r="X121" s="8">
        <f t="shared" si="25"/>
        <v>2.7591634990948872</v>
      </c>
      <c r="Y121" s="8">
        <f t="shared" si="26"/>
        <v>28.068002915269364</v>
      </c>
      <c r="Z121" s="8">
        <f t="shared" si="27"/>
        <v>24.059202740515293</v>
      </c>
      <c r="AA121" s="10">
        <v>5324.8522282316499</v>
      </c>
      <c r="AB121" s="11">
        <v>4564.3325500944502</v>
      </c>
    </row>
    <row r="122" spans="1:28" x14ac:dyDescent="0.35">
      <c r="A122" s="6" t="s">
        <v>33</v>
      </c>
      <c r="B122" s="21" t="s">
        <v>67</v>
      </c>
      <c r="C122" s="29">
        <f t="shared" si="28"/>
        <v>56.080292033825813</v>
      </c>
      <c r="D122" s="30">
        <v>4.3138686179866008</v>
      </c>
      <c r="E122" s="30">
        <v>51.766423415839213</v>
      </c>
      <c r="F122" s="30">
        <v>27.913267528148594</v>
      </c>
      <c r="G122" s="31">
        <f t="shared" si="29"/>
        <v>59.971232355931377</v>
      </c>
      <c r="H122" s="30">
        <v>0</v>
      </c>
      <c r="I122" s="30">
        <v>59.971232355931377</v>
      </c>
      <c r="J122" s="30">
        <v>105.73207397025983</v>
      </c>
      <c r="K122" s="9">
        <f t="shared" si="36"/>
        <v>3.4233981075268196</v>
      </c>
      <c r="L122" s="9">
        <f t="shared" si="36"/>
        <v>2.6004759094970282</v>
      </c>
      <c r="M122" s="8">
        <f t="shared" si="16"/>
        <v>0.26333831596360152</v>
      </c>
      <c r="N122" s="8">
        <f t="shared" si="17"/>
        <v>0.20003660842284832</v>
      </c>
      <c r="O122" s="8">
        <f t="shared" si="18"/>
        <v>3.160059791563218</v>
      </c>
      <c r="P122" s="8">
        <f t="shared" si="19"/>
        <v>2.4004393010741798</v>
      </c>
      <c r="Q122" s="8">
        <f t="shared" si="20"/>
        <v>1.7039538091762452</v>
      </c>
      <c r="R122" s="8">
        <f t="shared" si="21"/>
        <v>1.2943545250890187</v>
      </c>
      <c r="S122" s="9">
        <f t="shared" si="37"/>
        <v>3.6609189415332062</v>
      </c>
      <c r="T122" s="9">
        <f t="shared" si="37"/>
        <v>2.7809010857215584</v>
      </c>
      <c r="U122" s="8">
        <f t="shared" si="22"/>
        <v>0</v>
      </c>
      <c r="V122" s="8">
        <f t="shared" si="23"/>
        <v>0</v>
      </c>
      <c r="W122" s="8">
        <f t="shared" si="24"/>
        <v>3.6609189415332062</v>
      </c>
      <c r="X122" s="8">
        <f t="shared" si="25"/>
        <v>2.7809010857215584</v>
      </c>
      <c r="Y122" s="8">
        <f t="shared" si="26"/>
        <v>6.4543704893039591</v>
      </c>
      <c r="Z122" s="8">
        <f t="shared" si="27"/>
        <v>4.9028580495796161</v>
      </c>
      <c r="AA122" s="10">
        <v>2156.5395714307001</v>
      </c>
      <c r="AB122" s="11">
        <v>1638.14696019506</v>
      </c>
    </row>
    <row r="123" spans="1:28" x14ac:dyDescent="0.35">
      <c r="A123" s="6" t="s">
        <v>34</v>
      </c>
      <c r="B123" s="21" t="s">
        <v>67</v>
      </c>
      <c r="C123" s="29">
        <f t="shared" si="28"/>
        <v>52.473943366947367</v>
      </c>
      <c r="D123" s="30">
        <v>5.0083590198387942</v>
      </c>
      <c r="E123" s="30">
        <v>47.465584347108575</v>
      </c>
      <c r="F123" s="30">
        <v>0.614662243343852</v>
      </c>
      <c r="G123" s="31">
        <f t="shared" si="29"/>
        <v>172.14982040940893</v>
      </c>
      <c r="H123" s="30">
        <v>0.72735032129022481</v>
      </c>
      <c r="I123" s="30">
        <v>171.4224700881187</v>
      </c>
      <c r="J123" s="30">
        <v>11.382634135997259</v>
      </c>
      <c r="K123" s="9">
        <f t="shared" si="36"/>
        <v>3.9635327822243318</v>
      </c>
      <c r="L123" s="9">
        <f t="shared" si="36"/>
        <v>2.9208535719864472</v>
      </c>
      <c r="M123" s="8">
        <f t="shared" si="16"/>
        <v>0.37829813973507714</v>
      </c>
      <c r="N123" s="8">
        <f t="shared" si="17"/>
        <v>0.27877995047159143</v>
      </c>
      <c r="O123" s="8">
        <f t="shared" si="18"/>
        <v>3.5852346424892545</v>
      </c>
      <c r="P123" s="8">
        <f t="shared" si="19"/>
        <v>2.6420736215148559</v>
      </c>
      <c r="Q123" s="8">
        <f t="shared" si="20"/>
        <v>4.6427498967486741E-2</v>
      </c>
      <c r="R123" s="8">
        <f t="shared" si="21"/>
        <v>3.4213903012422588E-2</v>
      </c>
      <c r="S123" s="9">
        <f t="shared" si="37"/>
        <v>13.003052808043938</v>
      </c>
      <c r="T123" s="9">
        <f t="shared" si="37"/>
        <v>9.5823638475847766</v>
      </c>
      <c r="U123" s="8">
        <f t="shared" si="22"/>
        <v>5.4939207111525973E-2</v>
      </c>
      <c r="V123" s="8">
        <f t="shared" si="23"/>
        <v>4.0486451898033397E-2</v>
      </c>
      <c r="W123" s="8">
        <f t="shared" si="24"/>
        <v>12.948113600932412</v>
      </c>
      <c r="X123" s="8">
        <f t="shared" si="25"/>
        <v>9.5418773956867433</v>
      </c>
      <c r="Y123" s="8">
        <f t="shared" si="26"/>
        <v>0.85976849939790256</v>
      </c>
      <c r="Z123" s="8">
        <f t="shared" si="27"/>
        <v>0.6335907965263442</v>
      </c>
      <c r="AA123" s="10">
        <v>1796.5276955414199</v>
      </c>
      <c r="AB123" s="11">
        <v>1323.9184901480501</v>
      </c>
    </row>
    <row r="124" spans="1:28" x14ac:dyDescent="0.35">
      <c r="A124" s="6" t="s">
        <v>35</v>
      </c>
      <c r="B124" s="21" t="s">
        <v>67</v>
      </c>
      <c r="C124" s="29">
        <f t="shared" si="28"/>
        <v>440.54615742148212</v>
      </c>
      <c r="D124" s="30">
        <v>144.71429008321942</v>
      </c>
      <c r="E124" s="30">
        <v>295.83186733826267</v>
      </c>
      <c r="F124" s="30">
        <v>8.9646020405534159</v>
      </c>
      <c r="G124" s="31">
        <f t="shared" si="29"/>
        <v>436.70418511838784</v>
      </c>
      <c r="H124" s="30">
        <v>1.2806574343647736</v>
      </c>
      <c r="I124" s="30">
        <v>435.42352768402304</v>
      </c>
      <c r="J124" s="30">
        <v>0</v>
      </c>
      <c r="K124" s="9">
        <f t="shared" si="36"/>
        <v>13.95286656356609</v>
      </c>
      <c r="L124" s="9">
        <f t="shared" si="36"/>
        <v>14.974435891333723</v>
      </c>
      <c r="M124" s="8">
        <f t="shared" si="16"/>
        <v>4.583354423497001</v>
      </c>
      <c r="N124" s="8">
        <f t="shared" si="17"/>
        <v>4.9189280689555543</v>
      </c>
      <c r="O124" s="8">
        <f t="shared" si="18"/>
        <v>9.3695121400690891</v>
      </c>
      <c r="P124" s="8">
        <f t="shared" si="19"/>
        <v>10.055507822378168</v>
      </c>
      <c r="Q124" s="8">
        <f t="shared" si="20"/>
        <v>0.28392461030512395</v>
      </c>
      <c r="R124" s="8">
        <f t="shared" si="21"/>
        <v>0.30471235825388393</v>
      </c>
      <c r="S124" s="9">
        <f t="shared" si="37"/>
        <v>13.83118458772104</v>
      </c>
      <c r="T124" s="9">
        <f t="shared" si="37"/>
        <v>14.843844880653489</v>
      </c>
      <c r="U124" s="8">
        <f t="shared" si="22"/>
        <v>4.056065861501771E-2</v>
      </c>
      <c r="V124" s="8">
        <f t="shared" si="23"/>
        <v>4.3530336893411993E-2</v>
      </c>
      <c r="W124" s="8">
        <f t="shared" si="24"/>
        <v>13.790623929106022</v>
      </c>
      <c r="X124" s="8">
        <f t="shared" si="25"/>
        <v>14.800314543760077</v>
      </c>
      <c r="Y124" s="8">
        <f t="shared" si="26"/>
        <v>0</v>
      </c>
      <c r="Z124" s="8">
        <f t="shared" si="27"/>
        <v>0</v>
      </c>
      <c r="AA124" s="10">
        <v>2941.9883367789698</v>
      </c>
      <c r="AB124" s="11">
        <v>3157.38816403392</v>
      </c>
    </row>
    <row r="125" spans="1:28" x14ac:dyDescent="0.35">
      <c r="A125" s="6" t="s">
        <v>36</v>
      </c>
      <c r="B125" s="21" t="s">
        <v>67</v>
      </c>
      <c r="C125" s="29">
        <f t="shared" si="28"/>
        <v>3503.3</v>
      </c>
      <c r="D125" s="30">
        <v>483.8</v>
      </c>
      <c r="E125" s="30">
        <v>3019.5</v>
      </c>
      <c r="F125" s="30">
        <v>18</v>
      </c>
      <c r="G125" s="31">
        <f t="shared" si="29"/>
        <v>510</v>
      </c>
      <c r="H125" s="30">
        <v>56</v>
      </c>
      <c r="I125" s="30">
        <v>454</v>
      </c>
      <c r="J125" s="30">
        <v>0</v>
      </c>
      <c r="K125" s="9">
        <f t="shared" si="36"/>
        <v>17.578926991325513</v>
      </c>
      <c r="L125" s="9">
        <f t="shared" si="36"/>
        <v>17.539113277697947</v>
      </c>
      <c r="M125" s="8">
        <f t="shared" si="16"/>
        <v>2.4276210653964214</v>
      </c>
      <c r="N125" s="8">
        <f t="shared" si="17"/>
        <v>2.4221228566637936</v>
      </c>
      <c r="O125" s="8">
        <f t="shared" si="18"/>
        <v>15.151305925929092</v>
      </c>
      <c r="P125" s="8">
        <f t="shared" si="19"/>
        <v>15.116990421034155</v>
      </c>
      <c r="Q125" s="8">
        <f t="shared" si="20"/>
        <v>9.0320750676179395E-2</v>
      </c>
      <c r="R125" s="8">
        <f t="shared" si="21"/>
        <v>9.0116187308698387E-2</v>
      </c>
      <c r="S125" s="9">
        <f t="shared" si="37"/>
        <v>2.5590879358250826</v>
      </c>
      <c r="T125" s="9">
        <f t="shared" si="37"/>
        <v>2.5532919737464543</v>
      </c>
      <c r="U125" s="8">
        <f t="shared" si="22"/>
        <v>0.28099789099255812</v>
      </c>
      <c r="V125" s="8">
        <f t="shared" si="23"/>
        <v>0.28036147162706165</v>
      </c>
      <c r="W125" s="8">
        <f t="shared" si="24"/>
        <v>2.2780900448325245</v>
      </c>
      <c r="X125" s="8">
        <f t="shared" si="25"/>
        <v>2.2729305021193928</v>
      </c>
      <c r="Y125" s="8">
        <f t="shared" si="26"/>
        <v>0</v>
      </c>
      <c r="Z125" s="8">
        <f t="shared" si="27"/>
        <v>0</v>
      </c>
      <c r="AA125" s="10">
        <v>19974.2138871676</v>
      </c>
      <c r="AB125" s="11">
        <v>19928.975197</v>
      </c>
    </row>
    <row r="126" spans="1:28" x14ac:dyDescent="0.35">
      <c r="A126" s="6" t="s">
        <v>37</v>
      </c>
      <c r="B126" s="21" t="s">
        <v>67</v>
      </c>
      <c r="C126" s="29">
        <f t="shared" si="28"/>
        <v>7.2279883115998169</v>
      </c>
      <c r="D126" s="30">
        <v>2.3467494518181224</v>
      </c>
      <c r="E126" s="30">
        <v>4.8812388597816945</v>
      </c>
      <c r="F126" s="30">
        <v>4.3180189913453448</v>
      </c>
      <c r="G126" s="31">
        <f t="shared" si="29"/>
        <v>2.9950155203883604</v>
      </c>
      <c r="H126" s="30">
        <v>1.8445450691290441</v>
      </c>
      <c r="I126" s="30">
        <v>1.1504704512593162</v>
      </c>
      <c r="J126" s="30">
        <v>10.593227025507003</v>
      </c>
      <c r="K126" s="9">
        <f t="shared" si="36"/>
        <v>0.56506123717776213</v>
      </c>
      <c r="L126" s="9">
        <f t="shared" si="36"/>
        <v>0.30348435002291441</v>
      </c>
      <c r="M126" s="8">
        <f t="shared" si="16"/>
        <v>0.18346144064213057</v>
      </c>
      <c r="N126" s="8">
        <f t="shared" si="17"/>
        <v>9.8533879877569633E-2</v>
      </c>
      <c r="O126" s="8">
        <f t="shared" si="18"/>
        <v>0.38159979653563153</v>
      </c>
      <c r="P126" s="8">
        <f t="shared" si="19"/>
        <v>0.20495047014534479</v>
      </c>
      <c r="Q126" s="8">
        <f t="shared" si="20"/>
        <v>0.33756905078152022</v>
      </c>
      <c r="R126" s="8">
        <f t="shared" si="21"/>
        <v>0.18130233897472808</v>
      </c>
      <c r="S126" s="9">
        <f t="shared" si="37"/>
        <v>0.23414082900511271</v>
      </c>
      <c r="T126" s="9">
        <f t="shared" si="37"/>
        <v>0.12575287885494946</v>
      </c>
      <c r="U126" s="8">
        <f t="shared" si="22"/>
        <v>0.14420069234471464</v>
      </c>
      <c r="V126" s="8">
        <f t="shared" si="23"/>
        <v>7.7447629583769731E-2</v>
      </c>
      <c r="W126" s="8">
        <f t="shared" si="24"/>
        <v>8.9940136660398073E-2</v>
      </c>
      <c r="X126" s="8">
        <f t="shared" si="25"/>
        <v>4.8305249271179726E-2</v>
      </c>
      <c r="Y126" s="8">
        <f t="shared" si="26"/>
        <v>0.82814494305857733</v>
      </c>
      <c r="Z126" s="8">
        <f t="shared" si="27"/>
        <v>0.4447819337673492</v>
      </c>
      <c r="AA126" s="10">
        <v>2381.6675591522499</v>
      </c>
      <c r="AB126" s="11">
        <v>1279.1513266244399</v>
      </c>
    </row>
    <row r="127" spans="1:28" x14ac:dyDescent="0.35">
      <c r="A127" s="6" t="s">
        <v>38</v>
      </c>
      <c r="B127" s="21" t="s">
        <v>67</v>
      </c>
      <c r="C127" s="29">
        <f t="shared" si="28"/>
        <v>7.6102084556631375</v>
      </c>
      <c r="D127" s="30">
        <v>2.0161373147465773</v>
      </c>
      <c r="E127" s="30">
        <v>5.5940711409165607</v>
      </c>
      <c r="F127" s="30">
        <v>9.86771432217515</v>
      </c>
      <c r="G127" s="31">
        <f t="shared" si="29"/>
        <v>46.427950839586678</v>
      </c>
      <c r="H127" s="30">
        <v>2.9816115218083188</v>
      </c>
      <c r="I127" s="30">
        <v>43.44633931777836</v>
      </c>
      <c r="J127" s="30">
        <v>17.548913528357534</v>
      </c>
      <c r="K127" s="9">
        <f t="shared" si="36"/>
        <v>0.76326978071700302</v>
      </c>
      <c r="L127" s="9">
        <f t="shared" si="36"/>
        <v>0.32608889216094727</v>
      </c>
      <c r="M127" s="8">
        <f t="shared" si="16"/>
        <v>0.20220953145860895</v>
      </c>
      <c r="N127" s="8">
        <f t="shared" si="17"/>
        <v>8.6389221430698715E-2</v>
      </c>
      <c r="O127" s="8">
        <f t="shared" si="18"/>
        <v>0.56106024925839404</v>
      </c>
      <c r="P127" s="8">
        <f t="shared" si="19"/>
        <v>0.23969967073024859</v>
      </c>
      <c r="Q127" s="8">
        <f t="shared" si="20"/>
        <v>0.98968749551924828</v>
      </c>
      <c r="R127" s="8">
        <f t="shared" si="21"/>
        <v>0.42282048517137749</v>
      </c>
      <c r="S127" s="9">
        <f t="shared" si="37"/>
        <v>4.6565152666876859</v>
      </c>
      <c r="T127" s="9">
        <f t="shared" si="37"/>
        <v>1.9893855921013015</v>
      </c>
      <c r="U127" s="8">
        <f t="shared" si="22"/>
        <v>0.2990422648331541</v>
      </c>
      <c r="V127" s="8">
        <f t="shared" si="23"/>
        <v>0.12775870774962486</v>
      </c>
      <c r="W127" s="8">
        <f t="shared" si="24"/>
        <v>4.3574730018545313</v>
      </c>
      <c r="X127" s="8">
        <f t="shared" si="25"/>
        <v>1.8616268843516766</v>
      </c>
      <c r="Y127" s="8">
        <f t="shared" si="26"/>
        <v>1.7600773301608501</v>
      </c>
      <c r="Z127" s="8">
        <f t="shared" si="27"/>
        <v>0.75195125132636342</v>
      </c>
      <c r="AA127" s="10">
        <v>2333.7834064911899</v>
      </c>
      <c r="AB127" s="11">
        <v>997.05355143423003</v>
      </c>
    </row>
    <row r="128" spans="1:28" x14ac:dyDescent="0.35">
      <c r="A128" s="13" t="s">
        <v>39</v>
      </c>
      <c r="B128" s="21" t="s">
        <v>67</v>
      </c>
      <c r="C128" s="29">
        <f t="shared" si="28"/>
        <v>36.424429235191226</v>
      </c>
      <c r="D128" s="30">
        <v>2.0488741444795067</v>
      </c>
      <c r="E128" s="30">
        <v>34.375555090711721</v>
      </c>
      <c r="F128" s="30">
        <v>0</v>
      </c>
      <c r="G128" s="31">
        <f t="shared" si="29"/>
        <v>10.244370722397534</v>
      </c>
      <c r="H128" s="30">
        <v>0</v>
      </c>
      <c r="I128" s="30">
        <v>10.244370722397534</v>
      </c>
      <c r="J128" s="30">
        <v>0</v>
      </c>
      <c r="K128" s="9">
        <f t="shared" si="36"/>
        <v>8.7992437970040207</v>
      </c>
      <c r="L128" s="9">
        <f t="shared" si="36"/>
        <v>7.7730461793951982</v>
      </c>
      <c r="M128" s="8">
        <f t="shared" si="16"/>
        <v>0.49495746358147613</v>
      </c>
      <c r="N128" s="8">
        <f t="shared" si="17"/>
        <v>0.43723384759097994</v>
      </c>
      <c r="O128" s="8">
        <f t="shared" si="18"/>
        <v>8.3042863334225441</v>
      </c>
      <c r="P128" s="8">
        <f t="shared" si="19"/>
        <v>7.3358123318042185</v>
      </c>
      <c r="Q128" s="8">
        <f t="shared" si="20"/>
        <v>0</v>
      </c>
      <c r="R128" s="8">
        <f t="shared" si="21"/>
        <v>0</v>
      </c>
      <c r="S128" s="9">
        <f t="shared" si="37"/>
        <v>2.4747873179073809</v>
      </c>
      <c r="T128" s="9">
        <f t="shared" si="37"/>
        <v>2.1861692379548998</v>
      </c>
      <c r="U128" s="8">
        <f t="shared" si="22"/>
        <v>0</v>
      </c>
      <c r="V128" s="8">
        <f t="shared" si="23"/>
        <v>0</v>
      </c>
      <c r="W128" s="8">
        <f t="shared" si="24"/>
        <v>2.4747873179073809</v>
      </c>
      <c r="X128" s="8">
        <f t="shared" si="25"/>
        <v>2.1861692379548998</v>
      </c>
      <c r="Y128" s="8">
        <f t="shared" si="26"/>
        <v>0</v>
      </c>
      <c r="Z128" s="8">
        <f t="shared" si="27"/>
        <v>0</v>
      </c>
      <c r="AA128" s="10">
        <v>468.59916169988998</v>
      </c>
      <c r="AB128" s="11">
        <v>413.94954015926999</v>
      </c>
    </row>
    <row r="129" spans="1:28" x14ac:dyDescent="0.35">
      <c r="A129" s="6" t="s">
        <v>40</v>
      </c>
      <c r="B129" s="21" t="s">
        <v>67</v>
      </c>
      <c r="C129" s="29">
        <f t="shared" si="28"/>
        <v>36.538255576551201</v>
      </c>
      <c r="D129" s="30">
        <v>9.2199336501577793</v>
      </c>
      <c r="E129" s="30">
        <v>27.31832192639342</v>
      </c>
      <c r="F129" s="30">
        <v>15.708035107676219</v>
      </c>
      <c r="G129" s="31">
        <f t="shared" si="29"/>
        <v>60.327960920785472</v>
      </c>
      <c r="H129" s="30">
        <v>1.1382634135997258</v>
      </c>
      <c r="I129" s="30">
        <v>59.189697507185748</v>
      </c>
      <c r="J129" s="30">
        <v>0</v>
      </c>
      <c r="K129" s="9">
        <f t="shared" si="36"/>
        <v>7.3791176032686039</v>
      </c>
      <c r="L129" s="9">
        <f t="shared" si="36"/>
        <v>6.5796524662517522</v>
      </c>
      <c r="M129" s="8">
        <f t="shared" si="16"/>
        <v>1.8620203297967506</v>
      </c>
      <c r="N129" s="8">
        <f t="shared" si="17"/>
        <v>1.6602861363439001</v>
      </c>
      <c r="O129" s="8">
        <f t="shared" si="18"/>
        <v>5.5170972734718537</v>
      </c>
      <c r="P129" s="8">
        <f t="shared" si="19"/>
        <v>4.9193663299078523</v>
      </c>
      <c r="Q129" s="8">
        <f t="shared" si="20"/>
        <v>3.1723309322463167</v>
      </c>
      <c r="R129" s="8">
        <f t="shared" si="21"/>
        <v>2.8286356396970151</v>
      </c>
      <c r="S129" s="9">
        <f t="shared" si="37"/>
        <v>12.183589812250345</v>
      </c>
      <c r="T129" s="9">
        <f t="shared" si="37"/>
        <v>10.863600645213173</v>
      </c>
      <c r="U129" s="8">
        <f t="shared" si="22"/>
        <v>0.22987905306132722</v>
      </c>
      <c r="V129" s="8">
        <f t="shared" si="23"/>
        <v>0.20497359707949384</v>
      </c>
      <c r="W129" s="8">
        <f t="shared" si="24"/>
        <v>11.953710759189018</v>
      </c>
      <c r="X129" s="8">
        <f t="shared" si="25"/>
        <v>10.658627048133679</v>
      </c>
      <c r="Y129" s="8">
        <f t="shared" si="26"/>
        <v>0</v>
      </c>
      <c r="Z129" s="8">
        <f t="shared" si="27"/>
        <v>0</v>
      </c>
      <c r="AA129" s="10">
        <v>555.32196820367994</v>
      </c>
      <c r="AB129" s="11">
        <v>495.15751802582002</v>
      </c>
    </row>
    <row r="130" spans="1:28" x14ac:dyDescent="0.35">
      <c r="A130" s="13" t="s">
        <v>41</v>
      </c>
      <c r="B130" s="21" t="s">
        <v>67</v>
      </c>
      <c r="C130" s="29">
        <f t="shared" ref="C130:C192" si="38">D130+E130</f>
        <v>13.066403598920733</v>
      </c>
      <c r="D130" s="30">
        <v>2.8588123511436292</v>
      </c>
      <c r="E130" s="30">
        <v>10.207591247777104</v>
      </c>
      <c r="F130" s="30">
        <v>1.5581815067044105</v>
      </c>
      <c r="G130" s="31">
        <f t="shared" ref="G130:G192" si="39">H130+I130</f>
        <v>37.130220476565157</v>
      </c>
      <c r="H130" s="30">
        <v>4.2925110377531973E-2</v>
      </c>
      <c r="I130" s="30">
        <v>37.087295366187625</v>
      </c>
      <c r="J130" s="30">
        <v>0</v>
      </c>
      <c r="K130" s="9">
        <f t="shared" si="36"/>
        <v>6.0593500917798613</v>
      </c>
      <c r="L130" s="9">
        <f t="shared" si="36"/>
        <v>3.2072989171117561</v>
      </c>
      <c r="M130" s="8">
        <f t="shared" ref="M130:M193" si="40">($D130/$AB130)*100</f>
        <v>1.3257316560858696</v>
      </c>
      <c r="N130" s="8">
        <f t="shared" ref="N130:N193" si="41">($D130/$AA130)*100</f>
        <v>0.70172834388844585</v>
      </c>
      <c r="O130" s="8">
        <f t="shared" ref="O130:O193" si="42">($E130/$AB130)*100</f>
        <v>4.7336184356939919</v>
      </c>
      <c r="P130" s="8">
        <f t="shared" ref="P130:P193" si="43">($E130/$AA130)*100</f>
        <v>2.5055705732233102</v>
      </c>
      <c r="Q130" s="8">
        <f t="shared" ref="Q130:Q193" si="44">($F130/$AB130)*100</f>
        <v>0.72258347020896485</v>
      </c>
      <c r="R130" s="8">
        <f t="shared" ref="R130:R193" si="45">($F130/$AA130)*100</f>
        <v>0.38247355680406281</v>
      </c>
      <c r="S130" s="9">
        <f t="shared" si="37"/>
        <v>17.218586824538697</v>
      </c>
      <c r="T130" s="9">
        <f t="shared" si="37"/>
        <v>9.1140393012538379</v>
      </c>
      <c r="U130" s="8">
        <f t="shared" ref="U130:U193" si="46">($H130/$AB130)*100</f>
        <v>1.9905880722010057E-2</v>
      </c>
      <c r="V130" s="8">
        <f t="shared" ref="V130:V193" si="47">($H130/AA130)*100</f>
        <v>1.0536461619946634E-2</v>
      </c>
      <c r="W130" s="8">
        <f t="shared" ref="W130:W193" si="48">($I130/$AB130)*100</f>
        <v>17.198680943816687</v>
      </c>
      <c r="X130" s="8">
        <f t="shared" ref="X130:X193" si="49">($I130/$AA130)*100</f>
        <v>9.103502839633892</v>
      </c>
      <c r="Y130" s="8">
        <f t="shared" ref="Y130:Y193" si="50">($J130/$AB130)*100</f>
        <v>0</v>
      </c>
      <c r="Z130" s="8">
        <f t="shared" ref="Z130:Z193" si="51">($J130/$AA130)*100</f>
        <v>0</v>
      </c>
      <c r="AA130" s="10">
        <v>407.39587848230002</v>
      </c>
      <c r="AB130" s="11">
        <v>215.64034757863999</v>
      </c>
    </row>
    <row r="131" spans="1:28" x14ac:dyDescent="0.35">
      <c r="A131" s="13" t="s">
        <v>42</v>
      </c>
      <c r="B131" s="21" t="s">
        <v>67</v>
      </c>
      <c r="C131" s="29">
        <f t="shared" si="38"/>
        <v>6.1428697867727307</v>
      </c>
      <c r="D131" s="30">
        <v>0.12194282455131972</v>
      </c>
      <c r="E131" s="30">
        <v>6.0209269622214112</v>
      </c>
      <c r="F131" s="30">
        <v>26.73596428287685</v>
      </c>
      <c r="G131" s="31">
        <f t="shared" si="39"/>
        <v>14.784957762724758</v>
      </c>
      <c r="H131" s="30">
        <v>8.7010778173287289</v>
      </c>
      <c r="I131" s="30">
        <v>6.0838799453960295</v>
      </c>
      <c r="J131" s="30">
        <v>0</v>
      </c>
      <c r="K131" s="9">
        <f t="shared" si="36"/>
        <v>1.8469100465390231</v>
      </c>
      <c r="L131" s="9">
        <f t="shared" si="36"/>
        <v>1.9747958020031295</v>
      </c>
      <c r="M131" s="8">
        <f t="shared" si="40"/>
        <v>3.6663226730303186E-2</v>
      </c>
      <c r="N131" s="8">
        <f t="shared" si="41"/>
        <v>3.9201901776737061E-2</v>
      </c>
      <c r="O131" s="8">
        <f t="shared" si="42"/>
        <v>1.81024681980872</v>
      </c>
      <c r="P131" s="8">
        <f t="shared" si="43"/>
        <v>1.9355939002263924</v>
      </c>
      <c r="Q131" s="8">
        <f t="shared" si="44"/>
        <v>8.0384124606189733</v>
      </c>
      <c r="R131" s="8">
        <f t="shared" si="45"/>
        <v>8.5950169645496004</v>
      </c>
      <c r="S131" s="9">
        <f t="shared" si="37"/>
        <v>4.4452329249156097</v>
      </c>
      <c r="T131" s="9">
        <f t="shared" si="37"/>
        <v>4.7530345809204846</v>
      </c>
      <c r="U131" s="8">
        <f t="shared" si="46"/>
        <v>2.6160587143073708</v>
      </c>
      <c r="V131" s="8">
        <f t="shared" si="47"/>
        <v>2.7972026989018515</v>
      </c>
      <c r="W131" s="8">
        <f t="shared" si="48"/>
        <v>1.8291742106082385</v>
      </c>
      <c r="X131" s="8">
        <f t="shared" si="49"/>
        <v>1.9558318820186327</v>
      </c>
      <c r="Y131" s="8">
        <f t="shared" si="50"/>
        <v>0</v>
      </c>
      <c r="Z131" s="8">
        <f t="shared" si="51"/>
        <v>0</v>
      </c>
      <c r="AA131" s="10">
        <v>311.06354290107998</v>
      </c>
      <c r="AB131" s="11">
        <v>332.60254327404999</v>
      </c>
    </row>
    <row r="132" spans="1:28" x14ac:dyDescent="0.35">
      <c r="A132" s="13" t="s">
        <v>43</v>
      </c>
      <c r="B132" s="21" t="s">
        <v>67</v>
      </c>
      <c r="C132" s="29">
        <f t="shared" si="38"/>
        <v>1.0676910819565428</v>
      </c>
      <c r="D132" s="30">
        <v>0.26180058512793697</v>
      </c>
      <c r="E132" s="30">
        <v>0.80589049682860592</v>
      </c>
      <c r="F132" s="30">
        <v>0</v>
      </c>
      <c r="G132" s="31">
        <f t="shared" si="39"/>
        <v>1.3203855597756819</v>
      </c>
      <c r="H132" s="30">
        <v>0.97890653569576425</v>
      </c>
      <c r="I132" s="30">
        <v>0.34147902407991776</v>
      </c>
      <c r="J132" s="30">
        <v>0</v>
      </c>
      <c r="K132" s="9">
        <f t="shared" si="36"/>
        <v>3.9697524921899801</v>
      </c>
      <c r="L132" s="9">
        <f t="shared" si="36"/>
        <v>2.3255380210379206</v>
      </c>
      <c r="M132" s="8">
        <f t="shared" si="40"/>
        <v>0.97339346823421702</v>
      </c>
      <c r="N132" s="8">
        <f t="shared" si="41"/>
        <v>0.57022787296238997</v>
      </c>
      <c r="O132" s="8">
        <f t="shared" si="42"/>
        <v>2.9963590239557631</v>
      </c>
      <c r="P132" s="8">
        <f t="shared" si="43"/>
        <v>1.7553101480755309</v>
      </c>
      <c r="Q132" s="8">
        <f t="shared" si="44"/>
        <v>0</v>
      </c>
      <c r="R132" s="8">
        <f t="shared" si="45"/>
        <v>0</v>
      </c>
      <c r="S132" s="9">
        <f t="shared" si="37"/>
        <v>4.909288796311702</v>
      </c>
      <c r="T132" s="9">
        <f t="shared" si="37"/>
        <v>2.8759318810277064</v>
      </c>
      <c r="U132" s="8">
        <f t="shared" si="46"/>
        <v>3.6396451420931584</v>
      </c>
      <c r="V132" s="8">
        <f t="shared" si="47"/>
        <v>2.1321563945550235</v>
      </c>
      <c r="W132" s="8">
        <f t="shared" si="48"/>
        <v>1.2696436542185436</v>
      </c>
      <c r="X132" s="8">
        <f t="shared" si="49"/>
        <v>0.74377548647268266</v>
      </c>
      <c r="Y132" s="8">
        <f t="shared" si="50"/>
        <v>0</v>
      </c>
      <c r="Z132" s="8">
        <f t="shared" si="51"/>
        <v>0</v>
      </c>
      <c r="AA132" s="10">
        <v>45.911572818750003</v>
      </c>
      <c r="AB132" s="11">
        <v>26.895658710639999</v>
      </c>
    </row>
    <row r="133" spans="1:28" x14ac:dyDescent="0.35">
      <c r="A133" s="13" t="s">
        <v>44</v>
      </c>
      <c r="B133" s="21" t="s">
        <v>67</v>
      </c>
      <c r="C133" s="29">
        <f t="shared" si="38"/>
        <v>7.910930724518094</v>
      </c>
      <c r="D133" s="30">
        <v>2.105787315159493</v>
      </c>
      <c r="E133" s="30">
        <v>5.8051434093586014</v>
      </c>
      <c r="F133" s="30">
        <v>4.8376195077988351</v>
      </c>
      <c r="G133" s="31">
        <f t="shared" si="39"/>
        <v>17.438195496347802</v>
      </c>
      <c r="H133" s="30">
        <v>2.7545974609113366</v>
      </c>
      <c r="I133" s="30">
        <v>14.683598035436464</v>
      </c>
      <c r="J133" s="30">
        <v>1.1382634135997258</v>
      </c>
      <c r="K133" s="9">
        <f t="shared" si="36"/>
        <v>3.1054414492652542</v>
      </c>
      <c r="L133" s="9">
        <f t="shared" si="36"/>
        <v>3.1154924739323606</v>
      </c>
      <c r="M133" s="8">
        <f t="shared" si="40"/>
        <v>0.82662829944470817</v>
      </c>
      <c r="N133" s="8">
        <f t="shared" si="41"/>
        <v>0.82930375205393791</v>
      </c>
      <c r="O133" s="8">
        <f t="shared" si="42"/>
        <v>2.2788131498205462</v>
      </c>
      <c r="P133" s="8">
        <f t="shared" si="43"/>
        <v>2.2861887218784229</v>
      </c>
      <c r="Q133" s="8">
        <f t="shared" si="44"/>
        <v>1.8990109581837888</v>
      </c>
      <c r="R133" s="8">
        <f t="shared" si="45"/>
        <v>1.9051572682320197</v>
      </c>
      <c r="S133" s="9">
        <f t="shared" si="37"/>
        <v>6.8453759716177993</v>
      </c>
      <c r="T133" s="9">
        <f t="shared" si="37"/>
        <v>6.8675316116034208</v>
      </c>
      <c r="U133" s="8">
        <f t="shared" si="46"/>
        <v>1.0813191808952398</v>
      </c>
      <c r="V133" s="8">
        <f t="shared" si="47"/>
        <v>1.0848189621462323</v>
      </c>
      <c r="W133" s="8">
        <f t="shared" si="48"/>
        <v>5.7640567907225595</v>
      </c>
      <c r="X133" s="8">
        <f t="shared" si="49"/>
        <v>5.7827126494571885</v>
      </c>
      <c r="Y133" s="8">
        <f t="shared" si="50"/>
        <v>0.44682610780795035</v>
      </c>
      <c r="Z133" s="8">
        <f t="shared" si="51"/>
        <v>0.44827229840753402</v>
      </c>
      <c r="AA133" s="10">
        <v>253.92231856471</v>
      </c>
      <c r="AB133" s="11">
        <v>254.7441596875</v>
      </c>
    </row>
    <row r="134" spans="1:28" x14ac:dyDescent="0.35">
      <c r="A134" s="15" t="s">
        <v>45</v>
      </c>
      <c r="B134" s="23" t="s">
        <v>67</v>
      </c>
      <c r="C134" s="29">
        <f t="shared" si="38"/>
        <v>21.213646056970173</v>
      </c>
      <c r="D134" s="30">
        <v>0.70761690517133902</v>
      </c>
      <c r="E134" s="30">
        <v>20.506029151798835</v>
      </c>
      <c r="F134" s="30">
        <v>1.7913339101833412</v>
      </c>
      <c r="G134" s="31">
        <f t="shared" si="39"/>
        <v>9.3327696507573688</v>
      </c>
      <c r="H134" s="30">
        <v>6.41999440943819</v>
      </c>
      <c r="I134" s="30">
        <v>2.9127752413191792</v>
      </c>
      <c r="J134" s="30">
        <v>0</v>
      </c>
      <c r="K134" s="9">
        <f t="shared" si="36"/>
        <v>10.40379258979668</v>
      </c>
      <c r="L134" s="9">
        <f t="shared" si="36"/>
        <v>7.0349910747874915</v>
      </c>
      <c r="M134" s="8">
        <f t="shared" si="40"/>
        <v>0.34703603023571405</v>
      </c>
      <c r="N134" s="8">
        <f t="shared" si="41"/>
        <v>0.2346639799155821</v>
      </c>
      <c r="O134" s="8">
        <f t="shared" si="42"/>
        <v>10.056756559560966</v>
      </c>
      <c r="P134" s="8">
        <f t="shared" si="43"/>
        <v>6.8003270948719097</v>
      </c>
      <c r="Q134" s="8">
        <f t="shared" si="44"/>
        <v>0.8785225515013958</v>
      </c>
      <c r="R134" s="8">
        <f t="shared" si="45"/>
        <v>0.59405243380891304</v>
      </c>
      <c r="S134" s="9">
        <f t="shared" si="37"/>
        <v>4.5770632485369456</v>
      </c>
      <c r="T134" s="9">
        <f t="shared" si="37"/>
        <v>3.0949866430223141</v>
      </c>
      <c r="U134" s="8">
        <f t="shared" si="46"/>
        <v>3.1485530626878351</v>
      </c>
      <c r="V134" s="8">
        <f t="shared" si="47"/>
        <v>2.1290353977478338</v>
      </c>
      <c r="W134" s="8">
        <f t="shared" si="48"/>
        <v>1.4285101858491107</v>
      </c>
      <c r="X134" s="8">
        <f t="shared" si="49"/>
        <v>0.96595124527448017</v>
      </c>
      <c r="Y134" s="8">
        <f t="shared" si="50"/>
        <v>0</v>
      </c>
      <c r="Z134" s="8">
        <f t="shared" si="51"/>
        <v>0</v>
      </c>
      <c r="AA134" s="10">
        <v>301.54474727050001</v>
      </c>
      <c r="AB134" s="11">
        <v>203.90300819506001</v>
      </c>
    </row>
    <row r="135" spans="1:28" x14ac:dyDescent="0.35">
      <c r="A135" s="13" t="s">
        <v>46</v>
      </c>
      <c r="B135" s="21" t="s">
        <v>67</v>
      </c>
      <c r="C135" s="29">
        <f t="shared" si="38"/>
        <v>0.90880495530115557</v>
      </c>
      <c r="D135" s="30">
        <v>5.0270792906436608E-2</v>
      </c>
      <c r="E135" s="30">
        <v>0.85853416239471891</v>
      </c>
      <c r="F135" s="30">
        <v>0</v>
      </c>
      <c r="G135" s="31">
        <f t="shared" si="39"/>
        <v>0.91645405891835929</v>
      </c>
      <c r="H135" s="30">
        <v>0</v>
      </c>
      <c r="I135" s="30">
        <v>0.91645405891835929</v>
      </c>
      <c r="J135" s="30">
        <v>0</v>
      </c>
      <c r="K135" s="9">
        <f t="shared" si="36"/>
        <v>4.3840085039690138</v>
      </c>
      <c r="L135" s="9">
        <f t="shared" si="36"/>
        <v>4.7658406244286118</v>
      </c>
      <c r="M135" s="8">
        <f t="shared" si="40"/>
        <v>0.24250262096122951</v>
      </c>
      <c r="N135" s="8">
        <f t="shared" si="41"/>
        <v>0.26362376839851354</v>
      </c>
      <c r="O135" s="8">
        <f t="shared" si="42"/>
        <v>4.1415058830077847</v>
      </c>
      <c r="P135" s="8">
        <f t="shared" si="43"/>
        <v>4.5022168560300981</v>
      </c>
      <c r="Q135" s="8">
        <f t="shared" si="44"/>
        <v>0</v>
      </c>
      <c r="R135" s="8">
        <f t="shared" si="45"/>
        <v>0</v>
      </c>
      <c r="S135" s="9">
        <f t="shared" si="37"/>
        <v>4.4209072192653549</v>
      </c>
      <c r="T135" s="9">
        <f t="shared" si="37"/>
        <v>4.805953091407023</v>
      </c>
      <c r="U135" s="8">
        <f t="shared" si="46"/>
        <v>0</v>
      </c>
      <c r="V135" s="8">
        <f t="shared" si="47"/>
        <v>0</v>
      </c>
      <c r="W135" s="8">
        <f t="shared" si="48"/>
        <v>4.4209072192653549</v>
      </c>
      <c r="X135" s="8">
        <f t="shared" si="49"/>
        <v>4.805953091407023</v>
      </c>
      <c r="Y135" s="8">
        <f t="shared" si="50"/>
        <v>0</v>
      </c>
      <c r="Z135" s="8">
        <f t="shared" si="51"/>
        <v>0</v>
      </c>
      <c r="AA135" s="10">
        <v>19.06914282116</v>
      </c>
      <c r="AB135" s="11">
        <v>20.729999827290001</v>
      </c>
    </row>
    <row r="136" spans="1:28" x14ac:dyDescent="0.35">
      <c r="A136" s="13" t="s">
        <v>47</v>
      </c>
      <c r="B136" s="21" t="s">
        <v>67</v>
      </c>
      <c r="C136" s="29">
        <f t="shared" si="38"/>
        <v>22.385999999999996</v>
      </c>
      <c r="D136" s="30">
        <v>3.0750000000000006</v>
      </c>
      <c r="E136" s="30">
        <v>19.310999999999996</v>
      </c>
      <c r="F136" s="30">
        <v>2.46</v>
      </c>
      <c r="G136" s="31">
        <f t="shared" si="39"/>
        <v>6.15</v>
      </c>
      <c r="H136" s="30">
        <v>3.69</v>
      </c>
      <c r="I136" s="30">
        <v>2.46</v>
      </c>
      <c r="J136" s="30">
        <v>0</v>
      </c>
      <c r="K136" s="9">
        <f t="shared" si="36"/>
        <v>6.0263830447409301</v>
      </c>
      <c r="L136" s="9">
        <f t="shared" si="36"/>
        <v>5.3569023821516248</v>
      </c>
      <c r="M136" s="8">
        <f t="shared" si="40"/>
        <v>0.82779986878309497</v>
      </c>
      <c r="N136" s="8">
        <f t="shared" si="41"/>
        <v>0.73583823930654202</v>
      </c>
      <c r="O136" s="8">
        <f t="shared" si="42"/>
        <v>5.1985831759578351</v>
      </c>
      <c r="P136" s="8">
        <f t="shared" si="43"/>
        <v>4.6210641428450829</v>
      </c>
      <c r="Q136" s="8">
        <f t="shared" si="44"/>
        <v>0.66223989502647596</v>
      </c>
      <c r="R136" s="8">
        <f t="shared" si="45"/>
        <v>0.58867059144523359</v>
      </c>
      <c r="S136" s="9">
        <f t="shared" si="37"/>
        <v>1.6555997375661897</v>
      </c>
      <c r="T136" s="9">
        <f t="shared" si="37"/>
        <v>1.4716764786130838</v>
      </c>
      <c r="U136" s="8">
        <f t="shared" si="46"/>
        <v>0.99335984253971377</v>
      </c>
      <c r="V136" s="8">
        <f t="shared" si="47"/>
        <v>0.88300588716785033</v>
      </c>
      <c r="W136" s="8">
        <f t="shared" si="48"/>
        <v>0.66223989502647596</v>
      </c>
      <c r="X136" s="8">
        <f t="shared" si="49"/>
        <v>0.58867059144523359</v>
      </c>
      <c r="Y136" s="8">
        <f t="shared" si="50"/>
        <v>0</v>
      </c>
      <c r="Z136" s="8">
        <f t="shared" si="51"/>
        <v>0</v>
      </c>
      <c r="AA136" s="10">
        <v>417.89075855828003</v>
      </c>
      <c r="AB136" s="11">
        <v>371.46659669328</v>
      </c>
    </row>
    <row r="137" spans="1:28" x14ac:dyDescent="0.35">
      <c r="A137" s="13" t="s">
        <v>48</v>
      </c>
      <c r="B137" s="21" t="s">
        <v>67</v>
      </c>
      <c r="C137" s="29">
        <f t="shared" si="38"/>
        <v>26.891847077879898</v>
      </c>
      <c r="D137" s="30">
        <v>4.4578519375602843</v>
      </c>
      <c r="E137" s="30">
        <v>22.433995140319613</v>
      </c>
      <c r="F137" s="30">
        <v>2.0841905162619514</v>
      </c>
      <c r="G137" s="31">
        <f t="shared" si="39"/>
        <v>11.144629843900709</v>
      </c>
      <c r="H137" s="30">
        <v>0.92630689611642281</v>
      </c>
      <c r="I137" s="30">
        <v>10.218322947784287</v>
      </c>
      <c r="J137" s="30">
        <v>0</v>
      </c>
      <c r="K137" s="9">
        <f t="shared" si="36"/>
        <v>7.5020443334525275</v>
      </c>
      <c r="L137" s="9">
        <f t="shared" si="36"/>
        <v>7.8540027831320796</v>
      </c>
      <c r="M137" s="8">
        <f t="shared" si="40"/>
        <v>1.2436112242752306</v>
      </c>
      <c r="N137" s="8">
        <f t="shared" si="41"/>
        <v>1.3019552514556945</v>
      </c>
      <c r="O137" s="8">
        <f t="shared" si="42"/>
        <v>6.2584331091772967</v>
      </c>
      <c r="P137" s="8">
        <f t="shared" si="43"/>
        <v>6.5520475316763847</v>
      </c>
      <c r="Q137" s="8">
        <f t="shared" si="44"/>
        <v>0.58142862433647158</v>
      </c>
      <c r="R137" s="8">
        <f t="shared" si="45"/>
        <v>0.60870635132993511</v>
      </c>
      <c r="S137" s="9">
        <f t="shared" si="37"/>
        <v>3.1090280606880762</v>
      </c>
      <c r="T137" s="9">
        <f t="shared" si="37"/>
        <v>3.2548881286392355</v>
      </c>
      <c r="U137" s="8">
        <f t="shared" si="46"/>
        <v>0.25841272192732068</v>
      </c>
      <c r="V137" s="8">
        <f t="shared" si="47"/>
        <v>0.27053615614663779</v>
      </c>
      <c r="W137" s="8">
        <f t="shared" si="48"/>
        <v>2.8506153387607558</v>
      </c>
      <c r="X137" s="8">
        <f t="shared" si="49"/>
        <v>2.9843519724925978</v>
      </c>
      <c r="Y137" s="8">
        <f t="shared" si="50"/>
        <v>0</v>
      </c>
      <c r="Z137" s="8">
        <f t="shared" si="51"/>
        <v>0</v>
      </c>
      <c r="AA137" s="10">
        <v>342.39670930134002</v>
      </c>
      <c r="AB137" s="11">
        <v>358.46025273358998</v>
      </c>
    </row>
    <row r="138" spans="1:28" x14ac:dyDescent="0.35">
      <c r="A138" s="15" t="s">
        <v>49</v>
      </c>
      <c r="B138" s="21" t="s">
        <v>67</v>
      </c>
      <c r="C138" s="29">
        <f t="shared" si="38"/>
        <v>2.6180058512793694</v>
      </c>
      <c r="D138" s="30">
        <v>0.23903531685594243</v>
      </c>
      <c r="E138" s="30">
        <v>2.3789705344234271</v>
      </c>
      <c r="F138" s="30">
        <v>0</v>
      </c>
      <c r="G138" s="31">
        <f t="shared" si="39"/>
        <v>0.97890653569576436</v>
      </c>
      <c r="H138" s="30">
        <v>0.22765268271994518</v>
      </c>
      <c r="I138" s="30">
        <v>0.75125385297581915</v>
      </c>
      <c r="J138" s="30">
        <v>0</v>
      </c>
      <c r="K138" s="9">
        <f t="shared" si="36"/>
        <v>8.6803684416213613</v>
      </c>
      <c r="L138" s="9">
        <f t="shared" si="36"/>
        <v>4.7237162022941037</v>
      </c>
      <c r="M138" s="8">
        <f t="shared" si="40"/>
        <v>0.79255537945238519</v>
      </c>
      <c r="N138" s="8">
        <f t="shared" si="41"/>
        <v>0.43129582716598341</v>
      </c>
      <c r="O138" s="8">
        <f t="shared" si="42"/>
        <v>7.8878130621689762</v>
      </c>
      <c r="P138" s="8">
        <f t="shared" si="43"/>
        <v>4.2924203751281205</v>
      </c>
      <c r="Q138" s="8">
        <f t="shared" si="44"/>
        <v>0</v>
      </c>
      <c r="R138" s="8">
        <f t="shared" si="45"/>
        <v>0</v>
      </c>
      <c r="S138" s="9">
        <f t="shared" si="37"/>
        <v>3.2457029825192922</v>
      </c>
      <c r="T138" s="9">
        <f t="shared" si="37"/>
        <v>1.7662591017273606</v>
      </c>
      <c r="U138" s="8">
        <f t="shared" si="46"/>
        <v>0.75481464709750967</v>
      </c>
      <c r="V138" s="8">
        <f t="shared" si="47"/>
        <v>0.41075793063426985</v>
      </c>
      <c r="W138" s="8">
        <f t="shared" si="48"/>
        <v>2.4908883354217823</v>
      </c>
      <c r="X138" s="8">
        <f t="shared" si="49"/>
        <v>1.3555011710930907</v>
      </c>
      <c r="Y138" s="8">
        <f t="shared" si="50"/>
        <v>0</v>
      </c>
      <c r="Z138" s="8">
        <f t="shared" si="51"/>
        <v>0</v>
      </c>
      <c r="AA138" s="16">
        <v>55.422589739999999</v>
      </c>
      <c r="AB138" s="11">
        <v>30.160077523049999</v>
      </c>
    </row>
    <row r="139" spans="1:28" x14ac:dyDescent="0.35">
      <c r="A139" s="13" t="s">
        <v>50</v>
      </c>
      <c r="B139" s="21" t="s">
        <v>67</v>
      </c>
      <c r="C139" s="29">
        <f t="shared" si="38"/>
        <v>2.5872727391121773</v>
      </c>
      <c r="D139" s="30">
        <v>0.56913170679986291</v>
      </c>
      <c r="E139" s="30">
        <v>2.0181410323123141</v>
      </c>
      <c r="F139" s="30">
        <v>2.4927968757833998</v>
      </c>
      <c r="G139" s="31">
        <f t="shared" si="39"/>
        <v>1.9578130713915285</v>
      </c>
      <c r="H139" s="30">
        <v>0.3642442923519123</v>
      </c>
      <c r="I139" s="30">
        <v>1.5935687790396162</v>
      </c>
      <c r="J139" s="30">
        <v>0</v>
      </c>
      <c r="K139" s="9">
        <f t="shared" si="36"/>
        <v>5.3659189931742706</v>
      </c>
      <c r="L139" s="9">
        <f t="shared" si="36"/>
        <v>2.6635550006559883</v>
      </c>
      <c r="M139" s="8">
        <f t="shared" si="40"/>
        <v>1.1803605352341113</v>
      </c>
      <c r="N139" s="8">
        <f t="shared" si="41"/>
        <v>0.58591179072942978</v>
      </c>
      <c r="O139" s="8">
        <f t="shared" si="42"/>
        <v>4.185558457940159</v>
      </c>
      <c r="P139" s="8">
        <f t="shared" si="43"/>
        <v>2.0776432099265585</v>
      </c>
      <c r="Q139" s="8">
        <f t="shared" si="44"/>
        <v>5.1699791443254073</v>
      </c>
      <c r="R139" s="8">
        <f t="shared" si="45"/>
        <v>2.5662936433949031</v>
      </c>
      <c r="S139" s="9">
        <f t="shared" si="37"/>
        <v>4.0604402412053426</v>
      </c>
      <c r="T139" s="9">
        <f t="shared" si="37"/>
        <v>2.015536560109239</v>
      </c>
      <c r="U139" s="8">
        <f t="shared" si="46"/>
        <v>0.75543074254983122</v>
      </c>
      <c r="V139" s="8">
        <f t="shared" si="47"/>
        <v>0.37498354606683515</v>
      </c>
      <c r="W139" s="8">
        <f t="shared" si="48"/>
        <v>3.3050094986555116</v>
      </c>
      <c r="X139" s="8">
        <f t="shared" si="49"/>
        <v>1.6405530140424038</v>
      </c>
      <c r="Y139" s="8">
        <f t="shared" si="50"/>
        <v>0</v>
      </c>
      <c r="Z139" s="8">
        <f t="shared" si="51"/>
        <v>0</v>
      </c>
      <c r="AA139" s="10">
        <v>97.136073348400004</v>
      </c>
      <c r="AB139" s="11">
        <v>48.216768505140003</v>
      </c>
    </row>
    <row r="140" spans="1:28" x14ac:dyDescent="0.35">
      <c r="A140" s="13" t="s">
        <v>51</v>
      </c>
      <c r="B140" s="21" t="s">
        <v>67</v>
      </c>
      <c r="C140" s="29">
        <f t="shared" si="38"/>
        <v>2.9594848753592875</v>
      </c>
      <c r="D140" s="30">
        <v>0.22765268271994518</v>
      </c>
      <c r="E140" s="30">
        <v>2.7318321926393425</v>
      </c>
      <c r="F140" s="30">
        <v>5.2360117025587387</v>
      </c>
      <c r="G140" s="31">
        <f t="shared" si="39"/>
        <v>3.3009638994392052</v>
      </c>
      <c r="H140" s="30">
        <v>0.45530536543989036</v>
      </c>
      <c r="I140" s="30">
        <v>2.8456585339993148</v>
      </c>
      <c r="J140" s="30">
        <v>1.0244370722397533</v>
      </c>
      <c r="K140" s="9">
        <f t="shared" si="36"/>
        <v>4.4465087447862421</v>
      </c>
      <c r="L140" s="9">
        <f t="shared" si="36"/>
        <v>4.460852333960978</v>
      </c>
      <c r="M140" s="8">
        <f t="shared" si="40"/>
        <v>0.34203913421432619</v>
      </c>
      <c r="N140" s="8">
        <f t="shared" si="41"/>
        <v>0.34314248722776741</v>
      </c>
      <c r="O140" s="8">
        <f t="shared" si="42"/>
        <v>4.1044696105719156</v>
      </c>
      <c r="P140" s="8">
        <f t="shared" si="43"/>
        <v>4.1177098467332103</v>
      </c>
      <c r="Q140" s="8">
        <f t="shared" si="44"/>
        <v>7.8669000869295029</v>
      </c>
      <c r="R140" s="8">
        <f t="shared" si="45"/>
        <v>7.8922772062386501</v>
      </c>
      <c r="S140" s="9">
        <f t="shared" si="37"/>
        <v>4.9595674461077301</v>
      </c>
      <c r="T140" s="9">
        <f t="shared" si="37"/>
        <v>4.975566064802627</v>
      </c>
      <c r="U140" s="8">
        <f t="shared" si="46"/>
        <v>0.68407826842865238</v>
      </c>
      <c r="V140" s="8">
        <f t="shared" si="47"/>
        <v>0.68628497445553482</v>
      </c>
      <c r="W140" s="8">
        <f t="shared" si="48"/>
        <v>4.275489177679078</v>
      </c>
      <c r="X140" s="8">
        <f t="shared" si="49"/>
        <v>4.2892810903470924</v>
      </c>
      <c r="Y140" s="8">
        <f t="shared" si="50"/>
        <v>1.539176103964468</v>
      </c>
      <c r="Z140" s="8">
        <f t="shared" si="51"/>
        <v>1.5441411925249535</v>
      </c>
      <c r="AA140" s="10">
        <v>66.343484468840003</v>
      </c>
      <c r="AB140" s="11">
        <v>66.557495896739994</v>
      </c>
    </row>
    <row r="141" spans="1:28" x14ac:dyDescent="0.35">
      <c r="A141" s="13" t="s">
        <v>52</v>
      </c>
      <c r="B141" s="21" t="s">
        <v>67</v>
      </c>
      <c r="C141" s="29">
        <f t="shared" si="38"/>
        <v>40.522177524150244</v>
      </c>
      <c r="D141" s="30">
        <v>6.7157541402383831</v>
      </c>
      <c r="E141" s="30">
        <v>33.806423383911863</v>
      </c>
      <c r="F141" s="30">
        <v>14.342119011356546</v>
      </c>
      <c r="G141" s="31">
        <f t="shared" si="39"/>
        <v>73.987121883982184</v>
      </c>
      <c r="H141" s="30">
        <v>0</v>
      </c>
      <c r="I141" s="30">
        <v>73.987121883982184</v>
      </c>
      <c r="J141" s="30">
        <v>0</v>
      </c>
      <c r="K141" s="9">
        <f t="shared" si="36"/>
        <v>4.8226309855341976</v>
      </c>
      <c r="L141" s="9">
        <f t="shared" si="36"/>
        <v>4.3458194248526256</v>
      </c>
      <c r="M141" s="8">
        <f t="shared" si="40"/>
        <v>0.79925625883853268</v>
      </c>
      <c r="N141" s="8">
        <f t="shared" si="41"/>
        <v>0.72023411816377791</v>
      </c>
      <c r="O141" s="8">
        <f t="shared" si="42"/>
        <v>4.023374726695665</v>
      </c>
      <c r="P141" s="8">
        <f t="shared" si="43"/>
        <v>3.6255853066888477</v>
      </c>
      <c r="Q141" s="8">
        <f t="shared" si="44"/>
        <v>1.7068862476890698</v>
      </c>
      <c r="R141" s="8">
        <f t="shared" si="45"/>
        <v>1.5381270998073899</v>
      </c>
      <c r="S141" s="9">
        <f t="shared" si="37"/>
        <v>8.8053655634753607</v>
      </c>
      <c r="T141" s="9">
        <f t="shared" si="37"/>
        <v>7.9347826577365348</v>
      </c>
      <c r="U141" s="8">
        <f t="shared" si="46"/>
        <v>0</v>
      </c>
      <c r="V141" s="8">
        <f t="shared" si="47"/>
        <v>0</v>
      </c>
      <c r="W141" s="8">
        <f t="shared" si="48"/>
        <v>8.8053655634753607</v>
      </c>
      <c r="X141" s="8">
        <f t="shared" si="49"/>
        <v>7.9347826577365348</v>
      </c>
      <c r="Y141" s="8">
        <f t="shared" si="50"/>
        <v>0</v>
      </c>
      <c r="Z141" s="8">
        <f t="shared" si="51"/>
        <v>0</v>
      </c>
      <c r="AA141" s="10">
        <v>932.44043441874999</v>
      </c>
      <c r="AB141" s="11">
        <v>840.25042856688003</v>
      </c>
    </row>
    <row r="142" spans="1:28" x14ac:dyDescent="0.35">
      <c r="A142" s="13" t="s">
        <v>53</v>
      </c>
      <c r="B142" s="21" t="s">
        <v>67</v>
      </c>
      <c r="C142" s="29">
        <f t="shared" si="38"/>
        <v>39.908289467911899</v>
      </c>
      <c r="D142" s="30">
        <v>2.5266611838450714</v>
      </c>
      <c r="E142" s="30">
        <v>37.381628284066828</v>
      </c>
      <c r="F142" s="30">
        <v>0</v>
      </c>
      <c r="G142" s="31">
        <f t="shared" si="39"/>
        <v>5.6687911176011223</v>
      </c>
      <c r="H142" s="30">
        <v>1.619654605028892</v>
      </c>
      <c r="I142" s="30">
        <v>4.0491365125722298</v>
      </c>
      <c r="J142" s="30">
        <v>0</v>
      </c>
      <c r="K142" s="9">
        <f t="shared" si="36"/>
        <v>19.665156653279531</v>
      </c>
      <c r="L142" s="9">
        <f t="shared" si="36"/>
        <v>20.57406125511077</v>
      </c>
      <c r="M142" s="8">
        <f t="shared" si="40"/>
        <v>1.2450342686329574</v>
      </c>
      <c r="N142" s="8">
        <f t="shared" si="41"/>
        <v>1.3025785534891559</v>
      </c>
      <c r="O142" s="8">
        <f t="shared" si="42"/>
        <v>18.420122384646575</v>
      </c>
      <c r="P142" s="8">
        <f t="shared" si="43"/>
        <v>19.271482701621615</v>
      </c>
      <c r="Q142" s="8">
        <f t="shared" si="44"/>
        <v>0</v>
      </c>
      <c r="R142" s="8">
        <f t="shared" si="45"/>
        <v>0</v>
      </c>
      <c r="S142" s="9">
        <f t="shared" si="37"/>
        <v>2.7933461155226609</v>
      </c>
      <c r="T142" s="9">
        <f t="shared" si="37"/>
        <v>2.9224518828282346</v>
      </c>
      <c r="U142" s="8">
        <f t="shared" si="46"/>
        <v>0.79809889014933166</v>
      </c>
      <c r="V142" s="8">
        <f t="shared" si="47"/>
        <v>0.83498625223663836</v>
      </c>
      <c r="W142" s="8">
        <f t="shared" si="48"/>
        <v>1.9952472253733291</v>
      </c>
      <c r="X142" s="8">
        <f t="shared" si="49"/>
        <v>2.0874656305915962</v>
      </c>
      <c r="Y142" s="8">
        <f t="shared" si="50"/>
        <v>0</v>
      </c>
      <c r="Z142" s="8">
        <f t="shared" si="51"/>
        <v>0</v>
      </c>
      <c r="AA142" s="10">
        <v>193.97380504054999</v>
      </c>
      <c r="AB142" s="11">
        <v>202.93908750153</v>
      </c>
    </row>
    <row r="143" spans="1:28" x14ac:dyDescent="0.35">
      <c r="A143" s="13" t="s">
        <v>54</v>
      </c>
      <c r="B143" s="21" t="s">
        <v>67</v>
      </c>
      <c r="C143" s="29">
        <f t="shared" si="38"/>
        <v>13.348965621899447</v>
      </c>
      <c r="D143" s="30">
        <v>1.1414792455781</v>
      </c>
      <c r="E143" s="30">
        <v>12.207486376321347</v>
      </c>
      <c r="F143" s="30">
        <v>0</v>
      </c>
      <c r="G143" s="31">
        <f t="shared" si="39"/>
        <v>13.740027956032684</v>
      </c>
      <c r="H143" s="30">
        <v>5.4960111824130733</v>
      </c>
      <c r="I143" s="30">
        <v>8.2440167736196095</v>
      </c>
      <c r="J143" s="30">
        <v>0</v>
      </c>
      <c r="K143" s="9">
        <f t="shared" si="36"/>
        <v>3.2538664984422607</v>
      </c>
      <c r="L143" s="9">
        <f t="shared" si="36"/>
        <v>4.0395803375278465</v>
      </c>
      <c r="M143" s="8">
        <f t="shared" si="40"/>
        <v>0.27824036566252114</v>
      </c>
      <c r="N143" s="8">
        <f t="shared" si="41"/>
        <v>0.34542729727078975</v>
      </c>
      <c r="O143" s="8">
        <f t="shared" si="42"/>
        <v>2.9756261327797398</v>
      </c>
      <c r="P143" s="8">
        <f t="shared" si="43"/>
        <v>3.6941530402570568</v>
      </c>
      <c r="Q143" s="8">
        <f t="shared" si="44"/>
        <v>0</v>
      </c>
      <c r="R143" s="8">
        <f t="shared" si="45"/>
        <v>0</v>
      </c>
      <c r="S143" s="9">
        <f t="shared" si="37"/>
        <v>3.3491895866784946</v>
      </c>
      <c r="T143" s="9">
        <f t="shared" si="37"/>
        <v>4.1579211708520978</v>
      </c>
      <c r="U143" s="8">
        <f t="shared" si="46"/>
        <v>1.3396758346713979</v>
      </c>
      <c r="V143" s="8">
        <f t="shared" si="47"/>
        <v>1.6631684683408392</v>
      </c>
      <c r="W143" s="8">
        <f t="shared" si="48"/>
        <v>2.0095137520070967</v>
      </c>
      <c r="X143" s="8">
        <f t="shared" si="49"/>
        <v>2.4947527025112586</v>
      </c>
      <c r="Y143" s="8">
        <f t="shared" si="50"/>
        <v>0</v>
      </c>
      <c r="Z143" s="8">
        <f t="shared" si="51"/>
        <v>0</v>
      </c>
      <c r="AA143" s="10">
        <v>330.45426768437</v>
      </c>
      <c r="AB143" s="11">
        <v>410.24933347112</v>
      </c>
    </row>
    <row r="144" spans="1:28" x14ac:dyDescent="0.35">
      <c r="A144" s="13" t="s">
        <v>55</v>
      </c>
      <c r="B144" s="21" t="s">
        <v>67</v>
      </c>
      <c r="C144" s="29">
        <f t="shared" si="38"/>
        <v>10.813502429197396</v>
      </c>
      <c r="D144" s="30">
        <v>2.5041795099193971</v>
      </c>
      <c r="E144" s="30">
        <v>8.3093229192779994</v>
      </c>
      <c r="F144" s="30">
        <v>8.9922809674378357</v>
      </c>
      <c r="G144" s="31">
        <f t="shared" si="39"/>
        <v>14.797424376796437</v>
      </c>
      <c r="H144" s="30">
        <v>0</v>
      </c>
      <c r="I144" s="30">
        <v>14.797424376796437</v>
      </c>
      <c r="J144" s="30">
        <v>0</v>
      </c>
      <c r="K144" s="9">
        <f t="shared" si="36"/>
        <v>4.8630089152951665</v>
      </c>
      <c r="L144" s="9">
        <f t="shared" si="36"/>
        <v>3.1691083606135417</v>
      </c>
      <c r="M144" s="8">
        <f t="shared" si="40"/>
        <v>1.1261704856473016</v>
      </c>
      <c r="N144" s="8">
        <f t="shared" si="41"/>
        <v>0.73389877824734639</v>
      </c>
      <c r="O144" s="8">
        <f t="shared" si="42"/>
        <v>3.7368384296478645</v>
      </c>
      <c r="P144" s="8">
        <f t="shared" si="43"/>
        <v>2.4352095823661952</v>
      </c>
      <c r="Q144" s="8">
        <f t="shared" si="44"/>
        <v>4.0439758348244021</v>
      </c>
      <c r="R144" s="8">
        <f t="shared" si="45"/>
        <v>2.6353637946154715</v>
      </c>
      <c r="S144" s="9">
        <f t="shared" si="37"/>
        <v>6.6546437788249646</v>
      </c>
      <c r="T144" s="9">
        <f t="shared" si="37"/>
        <v>4.3366745987343203</v>
      </c>
      <c r="U144" s="8">
        <f t="shared" si="46"/>
        <v>0</v>
      </c>
      <c r="V144" s="8">
        <f t="shared" si="47"/>
        <v>0</v>
      </c>
      <c r="W144" s="8">
        <f t="shared" si="48"/>
        <v>6.6546437788249646</v>
      </c>
      <c r="X144" s="8">
        <f t="shared" si="49"/>
        <v>4.3366745987343203</v>
      </c>
      <c r="Y144" s="8">
        <f t="shared" si="50"/>
        <v>0</v>
      </c>
      <c r="Z144" s="8">
        <f t="shared" si="51"/>
        <v>0</v>
      </c>
      <c r="AA144" s="10">
        <v>341.21592570296002</v>
      </c>
      <c r="AB144" s="11">
        <v>222.36238134761999</v>
      </c>
    </row>
    <row r="145" spans="1:28" x14ac:dyDescent="0.35">
      <c r="A145" s="13" t="s">
        <v>56</v>
      </c>
      <c r="B145" s="21" t="s">
        <v>67</v>
      </c>
      <c r="C145" s="29">
        <f t="shared" si="38"/>
        <v>3.9671784617144987</v>
      </c>
      <c r="D145" s="30">
        <v>0.153665560835963</v>
      </c>
      <c r="E145" s="30">
        <v>3.8135129008785356</v>
      </c>
      <c r="F145" s="30">
        <v>0.54465904340746885</v>
      </c>
      <c r="G145" s="31">
        <f t="shared" si="39"/>
        <v>4.5644362885349006</v>
      </c>
      <c r="H145" s="30">
        <v>0</v>
      </c>
      <c r="I145" s="30">
        <v>4.5644362885349006</v>
      </c>
      <c r="J145" s="30">
        <v>0</v>
      </c>
      <c r="K145" s="9">
        <f t="shared" si="36"/>
        <v>3.9875524152233366</v>
      </c>
      <c r="L145" s="9">
        <f t="shared" si="36"/>
        <v>2.1832262350709453</v>
      </c>
      <c r="M145" s="8">
        <f t="shared" si="40"/>
        <v>0.15445473002071108</v>
      </c>
      <c r="N145" s="8">
        <f t="shared" si="41"/>
        <v>8.4565563934569557E-2</v>
      </c>
      <c r="O145" s="8">
        <f t="shared" si="42"/>
        <v>3.8330976852026257</v>
      </c>
      <c r="P145" s="8">
        <f t="shared" si="43"/>
        <v>2.0986606711363756</v>
      </c>
      <c r="Q145" s="8">
        <f t="shared" si="44"/>
        <v>0.54745620974007603</v>
      </c>
      <c r="R145" s="8">
        <f t="shared" si="45"/>
        <v>0.29973794327919656</v>
      </c>
      <c r="S145" s="9">
        <f t="shared" si="37"/>
        <v>4.5878775361707511</v>
      </c>
      <c r="T145" s="9">
        <f t="shared" si="37"/>
        <v>2.5119104546490658</v>
      </c>
      <c r="U145" s="8">
        <f t="shared" si="46"/>
        <v>0</v>
      </c>
      <c r="V145" s="8">
        <f t="shared" si="47"/>
        <v>0</v>
      </c>
      <c r="W145" s="8">
        <f t="shared" si="48"/>
        <v>4.5878775361707511</v>
      </c>
      <c r="X145" s="8">
        <f t="shared" si="49"/>
        <v>2.5119104546490658</v>
      </c>
      <c r="Y145" s="8">
        <f t="shared" si="50"/>
        <v>0</v>
      </c>
      <c r="Z145" s="8">
        <f t="shared" si="51"/>
        <v>0</v>
      </c>
      <c r="AA145" s="10">
        <v>181.71174374815001</v>
      </c>
      <c r="AB145" s="11">
        <v>99.489061173690004</v>
      </c>
    </row>
    <row r="146" spans="1:28" x14ac:dyDescent="0.35">
      <c r="A146" s="15" t="s">
        <v>57</v>
      </c>
      <c r="B146" s="23" t="s">
        <v>67</v>
      </c>
      <c r="C146" s="29">
        <f t="shared" si="38"/>
        <v>2.7659800950473437</v>
      </c>
      <c r="D146" s="30">
        <v>0.45530536543989192</v>
      </c>
      <c r="E146" s="30">
        <v>2.3106747296074519</v>
      </c>
      <c r="F146" s="30">
        <v>0.1</v>
      </c>
      <c r="G146" s="31">
        <f t="shared" si="39"/>
        <v>3.5</v>
      </c>
      <c r="H146" s="30">
        <v>1</v>
      </c>
      <c r="I146" s="30">
        <v>2.5</v>
      </c>
      <c r="J146" s="30">
        <v>0</v>
      </c>
      <c r="K146" s="9">
        <f t="shared" si="36"/>
        <v>5.4860988474153745</v>
      </c>
      <c r="L146" s="9">
        <f t="shared" si="36"/>
        <v>3.6376590060985183</v>
      </c>
      <c r="M146" s="8">
        <f t="shared" si="40"/>
        <v>0.90306153866919725</v>
      </c>
      <c r="N146" s="8">
        <f t="shared" si="41"/>
        <v>0.59879160594214276</v>
      </c>
      <c r="O146" s="8">
        <f t="shared" si="42"/>
        <v>4.5830373087461771</v>
      </c>
      <c r="P146" s="8">
        <f t="shared" si="43"/>
        <v>3.0388674001563754</v>
      </c>
      <c r="Q146" s="8">
        <f t="shared" si="44"/>
        <v>0.19834194964882682</v>
      </c>
      <c r="R146" s="8">
        <f t="shared" si="45"/>
        <v>0.13151428720011285</v>
      </c>
      <c r="S146" s="9">
        <f t="shared" si="37"/>
        <v>6.9419682377089371</v>
      </c>
      <c r="T146" s="9">
        <f t="shared" si="37"/>
        <v>4.6030000520039493</v>
      </c>
      <c r="U146" s="8">
        <f t="shared" si="46"/>
        <v>1.9834194964882681</v>
      </c>
      <c r="V146" s="8">
        <f t="shared" si="47"/>
        <v>1.3151428720011284</v>
      </c>
      <c r="W146" s="8">
        <f t="shared" si="48"/>
        <v>4.9585487412206692</v>
      </c>
      <c r="X146" s="8">
        <f t="shared" si="49"/>
        <v>3.2878571800028213</v>
      </c>
      <c r="Y146" s="8">
        <f t="shared" si="50"/>
        <v>0</v>
      </c>
      <c r="Z146" s="8">
        <f t="shared" si="51"/>
        <v>0</v>
      </c>
      <c r="AA146" s="10">
        <v>76.037366075549997</v>
      </c>
      <c r="AB146" s="11">
        <v>50.417977728389999</v>
      </c>
    </row>
    <row r="147" spans="1:28" x14ac:dyDescent="0.35">
      <c r="A147" s="13" t="s">
        <v>58</v>
      </c>
      <c r="B147" s="21" t="s">
        <v>67</v>
      </c>
      <c r="C147" s="29">
        <f t="shared" si="38"/>
        <v>22.325028541088955</v>
      </c>
      <c r="D147" s="30">
        <v>4.0762172736226612</v>
      </c>
      <c r="E147" s="30">
        <v>18.248811267466294</v>
      </c>
      <c r="F147" s="30">
        <v>36.259500442474554</v>
      </c>
      <c r="G147" s="31">
        <f t="shared" si="39"/>
        <v>28.325705271031612</v>
      </c>
      <c r="H147" s="30">
        <v>1.2663765826177678</v>
      </c>
      <c r="I147" s="30">
        <v>27.059328688413846</v>
      </c>
      <c r="J147" s="30">
        <v>0</v>
      </c>
      <c r="K147" s="9">
        <f t="shared" si="36"/>
        <v>4.0604154975673596</v>
      </c>
      <c r="L147" s="9">
        <f t="shared" si="36"/>
        <v>4.2849973345248626</v>
      </c>
      <c r="M147" s="8">
        <f t="shared" si="40"/>
        <v>0.7413713160010994</v>
      </c>
      <c r="N147" s="8">
        <f t="shared" si="41"/>
        <v>0.78237661019202132</v>
      </c>
      <c r="O147" s="8">
        <f t="shared" si="42"/>
        <v>3.3190441815662601</v>
      </c>
      <c r="P147" s="8">
        <f t="shared" si="43"/>
        <v>3.5026207243328411</v>
      </c>
      <c r="Q147" s="8">
        <f t="shared" si="44"/>
        <v>6.594779364322048</v>
      </c>
      <c r="R147" s="8">
        <f t="shared" si="45"/>
        <v>6.9595370264027405</v>
      </c>
      <c r="S147" s="9">
        <f t="shared" si="37"/>
        <v>5.1518022675912833</v>
      </c>
      <c r="T147" s="9">
        <f t="shared" si="37"/>
        <v>5.4367487755510364</v>
      </c>
      <c r="U147" s="8">
        <f t="shared" si="46"/>
        <v>0.23032513003751623</v>
      </c>
      <c r="V147" s="8">
        <f t="shared" si="47"/>
        <v>0.24306442748928966</v>
      </c>
      <c r="W147" s="8">
        <f t="shared" si="48"/>
        <v>4.9214771375537669</v>
      </c>
      <c r="X147" s="8">
        <f t="shared" si="49"/>
        <v>5.1936843480617467</v>
      </c>
      <c r="Y147" s="8">
        <f t="shared" si="50"/>
        <v>0</v>
      </c>
      <c r="Z147" s="8">
        <f t="shared" si="51"/>
        <v>0</v>
      </c>
      <c r="AA147" s="10">
        <v>521.00449074291998</v>
      </c>
      <c r="AB147" s="11">
        <v>549.82128194673999</v>
      </c>
    </row>
    <row r="148" spans="1:28" x14ac:dyDescent="0.35">
      <c r="A148" s="13" t="s">
        <v>59</v>
      </c>
      <c r="B148" s="21" t="s">
        <v>67</v>
      </c>
      <c r="C148" s="29">
        <f t="shared" si="38"/>
        <v>39.489616738061301</v>
      </c>
      <c r="D148" s="30">
        <v>3.1894478304486302</v>
      </c>
      <c r="E148" s="30">
        <v>36.300168907612672</v>
      </c>
      <c r="F148" s="30">
        <v>0</v>
      </c>
      <c r="G148" s="31">
        <f t="shared" si="39"/>
        <v>44.864899481644059</v>
      </c>
      <c r="H148" s="30">
        <v>0.85051942145296811</v>
      </c>
      <c r="I148" s="30">
        <v>44.014380060191094</v>
      </c>
      <c r="J148" s="30">
        <v>0</v>
      </c>
      <c r="K148" s="9">
        <f t="shared" si="36"/>
        <v>5.2856511377155213</v>
      </c>
      <c r="L148" s="9">
        <f t="shared" si="36"/>
        <v>6.6839313543188199</v>
      </c>
      <c r="M148" s="8">
        <f t="shared" si="40"/>
        <v>0.42690484097422365</v>
      </c>
      <c r="N148" s="8">
        <f t="shared" si="41"/>
        <v>0.53983938356010286</v>
      </c>
      <c r="O148" s="8">
        <f t="shared" si="42"/>
        <v>4.8587462967412973</v>
      </c>
      <c r="P148" s="8">
        <f t="shared" si="43"/>
        <v>6.1440919707587174</v>
      </c>
      <c r="Q148" s="8">
        <f t="shared" si="44"/>
        <v>0</v>
      </c>
      <c r="R148" s="8">
        <f t="shared" si="45"/>
        <v>0</v>
      </c>
      <c r="S148" s="9">
        <f t="shared" si="37"/>
        <v>6.0051280963707461</v>
      </c>
      <c r="T148" s="9">
        <f t="shared" si="37"/>
        <v>7.5937406620787797</v>
      </c>
      <c r="U148" s="8">
        <f t="shared" si="46"/>
        <v>0.11384129092645967</v>
      </c>
      <c r="V148" s="8">
        <f t="shared" si="47"/>
        <v>0.14395716894936081</v>
      </c>
      <c r="W148" s="8">
        <f t="shared" si="48"/>
        <v>5.8912868054442864</v>
      </c>
      <c r="X148" s="8">
        <f t="shared" si="49"/>
        <v>7.4497834931294191</v>
      </c>
      <c r="Y148" s="8">
        <f t="shared" si="50"/>
        <v>0</v>
      </c>
      <c r="Z148" s="8">
        <f t="shared" si="51"/>
        <v>0</v>
      </c>
      <c r="AA148" s="10">
        <v>590.81421763174001</v>
      </c>
      <c r="AB148" s="11">
        <v>747.10978286638999</v>
      </c>
    </row>
    <row r="149" spans="1:28" x14ac:dyDescent="0.35">
      <c r="A149" s="6" t="s">
        <v>60</v>
      </c>
      <c r="B149" s="21" t="s">
        <v>67</v>
      </c>
      <c r="C149" s="29">
        <f t="shared" si="38"/>
        <v>20.735557264419626</v>
      </c>
      <c r="D149" s="30">
        <v>2.21544520875785</v>
      </c>
      <c r="E149" s="30">
        <v>18.520112055661777</v>
      </c>
      <c r="F149" s="30">
        <v>3.04</v>
      </c>
      <c r="G149" s="31">
        <f t="shared" si="39"/>
        <v>0</v>
      </c>
      <c r="H149" s="30">
        <v>0</v>
      </c>
      <c r="I149" s="30">
        <v>0</v>
      </c>
      <c r="J149" s="30">
        <v>4.5003203243428693</v>
      </c>
      <c r="K149" s="9">
        <f t="shared" si="36"/>
        <v>7.9155597092716778</v>
      </c>
      <c r="L149" s="9">
        <f t="shared" si="36"/>
        <v>4.6988645618176559</v>
      </c>
      <c r="M149" s="8">
        <f t="shared" si="40"/>
        <v>0.84572064347813192</v>
      </c>
      <c r="N149" s="8">
        <f t="shared" si="41"/>
        <v>0.50203989443504105</v>
      </c>
      <c r="O149" s="8">
        <f t="shared" si="42"/>
        <v>7.0698390657935457</v>
      </c>
      <c r="P149" s="8">
        <f t="shared" si="43"/>
        <v>4.1968246673826144</v>
      </c>
      <c r="Q149" s="8">
        <f t="shared" si="44"/>
        <v>1.1604849201461482</v>
      </c>
      <c r="R149" s="8">
        <f t="shared" si="45"/>
        <v>0.688891457594761</v>
      </c>
      <c r="S149" s="9">
        <f t="shared" si="37"/>
        <v>0</v>
      </c>
      <c r="T149" s="9">
        <f t="shared" si="37"/>
        <v>0</v>
      </c>
      <c r="U149" s="8">
        <f t="shared" si="46"/>
        <v>0</v>
      </c>
      <c r="V149" s="8">
        <f t="shared" si="47"/>
        <v>0</v>
      </c>
      <c r="W149" s="8">
        <f t="shared" si="48"/>
        <v>0</v>
      </c>
      <c r="X149" s="8">
        <f t="shared" si="49"/>
        <v>0</v>
      </c>
      <c r="Y149" s="8">
        <f t="shared" si="50"/>
        <v>1.7179453527062905</v>
      </c>
      <c r="Z149" s="8">
        <f t="shared" si="51"/>
        <v>1.0198132328552258</v>
      </c>
      <c r="AA149" s="10">
        <v>441.28867711817003</v>
      </c>
      <c r="AB149" s="11">
        <v>261.95945739796002</v>
      </c>
    </row>
    <row r="150" spans="1:28" x14ac:dyDescent="0.35">
      <c r="A150" s="6" t="s">
        <v>61</v>
      </c>
      <c r="B150" s="21" t="s">
        <v>67</v>
      </c>
      <c r="C150" s="29">
        <f t="shared" si="38"/>
        <v>11.060053989571156</v>
      </c>
      <c r="D150" s="30">
        <v>2.9135225289071882</v>
      </c>
      <c r="E150" s="30">
        <v>8.1465314606639669</v>
      </c>
      <c r="F150" s="30">
        <v>0.10756165425876577</v>
      </c>
      <c r="G150" s="31">
        <f t="shared" si="39"/>
        <v>15.41143382219596</v>
      </c>
      <c r="H150" s="30">
        <v>8.5363617861112981</v>
      </c>
      <c r="I150" s="30">
        <v>6.8750720360846609</v>
      </c>
      <c r="J150" s="30">
        <v>0</v>
      </c>
      <c r="K150" s="9">
        <f t="shared" si="36"/>
        <v>3.4411515416001333</v>
      </c>
      <c r="L150" s="9">
        <f t="shared" si="36"/>
        <v>1.6018173047492037</v>
      </c>
      <c r="M150" s="8">
        <f t="shared" si="40"/>
        <v>0.90649399643883966</v>
      </c>
      <c r="N150" s="8">
        <f t="shared" si="41"/>
        <v>0.42196275072262579</v>
      </c>
      <c r="O150" s="8">
        <f t="shared" si="42"/>
        <v>2.5346575451612936</v>
      </c>
      <c r="P150" s="8">
        <f t="shared" si="43"/>
        <v>1.1798545540265779</v>
      </c>
      <c r="Q150" s="8">
        <f t="shared" si="44"/>
        <v>3.3466016777008889E-2</v>
      </c>
      <c r="R150" s="8">
        <f t="shared" si="45"/>
        <v>1.5578054074745292E-2</v>
      </c>
      <c r="S150" s="9">
        <f t="shared" si="37"/>
        <v>4.7950108838098338</v>
      </c>
      <c r="T150" s="9">
        <f t="shared" si="37"/>
        <v>2.2320235878295058</v>
      </c>
      <c r="U150" s="8">
        <f t="shared" si="46"/>
        <v>2.6559467564653678</v>
      </c>
      <c r="V150" s="8">
        <f t="shared" si="47"/>
        <v>1.2363133165069735</v>
      </c>
      <c r="W150" s="8">
        <f t="shared" si="48"/>
        <v>2.1390641273444655</v>
      </c>
      <c r="X150" s="8">
        <f t="shared" si="49"/>
        <v>0.99571027132253231</v>
      </c>
      <c r="Y150" s="8">
        <f t="shared" si="50"/>
        <v>0</v>
      </c>
      <c r="Z150" s="8">
        <f t="shared" si="51"/>
        <v>0</v>
      </c>
      <c r="AA150" s="10">
        <v>690.46912883131995</v>
      </c>
      <c r="AB150" s="11">
        <v>321.40560669490998</v>
      </c>
    </row>
    <row r="151" spans="1:28" x14ac:dyDescent="0.35">
      <c r="A151" s="6" t="s">
        <v>62</v>
      </c>
      <c r="B151" s="21" t="s">
        <v>67</v>
      </c>
      <c r="C151" s="29">
        <f t="shared" si="38"/>
        <v>0.84666152667042227</v>
      </c>
      <c r="D151" s="30">
        <v>0.1953834292316359</v>
      </c>
      <c r="E151" s="30">
        <v>0.6512780974387864</v>
      </c>
      <c r="F151" s="30">
        <v>0.40447797630408838</v>
      </c>
      <c r="G151" s="31">
        <f t="shared" si="39"/>
        <v>0</v>
      </c>
      <c r="H151" s="30">
        <v>0</v>
      </c>
      <c r="I151" s="30">
        <v>0</v>
      </c>
      <c r="J151" s="30">
        <v>0</v>
      </c>
      <c r="K151" s="9">
        <f t="shared" si="36"/>
        <v>1.3150492804551615</v>
      </c>
      <c r="L151" s="9">
        <f t="shared" si="36"/>
        <v>0.92801617704075523</v>
      </c>
      <c r="M151" s="8">
        <f t="shared" si="40"/>
        <v>0.30347291087426803</v>
      </c>
      <c r="N151" s="8">
        <f t="shared" si="41"/>
        <v>0.21415757931709736</v>
      </c>
      <c r="O151" s="8">
        <f t="shared" si="42"/>
        <v>1.0115763695808935</v>
      </c>
      <c r="P151" s="8">
        <f t="shared" si="43"/>
        <v>0.71385859772365789</v>
      </c>
      <c r="Q151" s="8">
        <f t="shared" si="44"/>
        <v>0.62824216637129171</v>
      </c>
      <c r="R151" s="8">
        <f t="shared" si="45"/>
        <v>0.44334376069153497</v>
      </c>
      <c r="S151" s="9">
        <f t="shared" si="37"/>
        <v>0</v>
      </c>
      <c r="T151" s="9">
        <f t="shared" si="37"/>
        <v>0</v>
      </c>
      <c r="U151" s="8">
        <f t="shared" si="46"/>
        <v>0</v>
      </c>
      <c r="V151" s="8">
        <f t="shared" si="47"/>
        <v>0</v>
      </c>
      <c r="W151" s="8">
        <f t="shared" si="48"/>
        <v>0</v>
      </c>
      <c r="X151" s="8">
        <f t="shared" si="49"/>
        <v>0</v>
      </c>
      <c r="Y151" s="8">
        <f t="shared" si="50"/>
        <v>0</v>
      </c>
      <c r="Z151" s="8">
        <f t="shared" si="51"/>
        <v>0</v>
      </c>
      <c r="AA151" s="10">
        <v>91.233487908610002</v>
      </c>
      <c r="AB151" s="11">
        <v>64.38249419652</v>
      </c>
    </row>
    <row r="152" spans="1:28" x14ac:dyDescent="0.35">
      <c r="A152" s="6" t="s">
        <v>63</v>
      </c>
      <c r="B152" s="21" t="s">
        <v>67</v>
      </c>
      <c r="C152" s="29">
        <f t="shared" si="38"/>
        <v>5.9975490460949956</v>
      </c>
      <c r="D152" s="30">
        <v>1.7694150329493317</v>
      </c>
      <c r="E152" s="30">
        <v>4.2281340131456639</v>
      </c>
      <c r="F152" s="30">
        <v>0</v>
      </c>
      <c r="G152" s="31">
        <f t="shared" si="39"/>
        <v>6.6270225953158493</v>
      </c>
      <c r="H152" s="30">
        <v>0</v>
      </c>
      <c r="I152" s="30">
        <v>6.6270225953158493</v>
      </c>
      <c r="J152" s="30">
        <v>0</v>
      </c>
      <c r="K152" s="9">
        <f t="shared" si="36"/>
        <v>4.0693359469700905</v>
      </c>
      <c r="L152" s="9">
        <f t="shared" si="36"/>
        <v>1.9353914644892853</v>
      </c>
      <c r="M152" s="8">
        <f t="shared" si="40"/>
        <v>1.2005477809936589</v>
      </c>
      <c r="N152" s="8">
        <f t="shared" si="41"/>
        <v>0.57098503498505992</v>
      </c>
      <c r="O152" s="8">
        <f t="shared" si="42"/>
        <v>2.8687881659764316</v>
      </c>
      <c r="P152" s="8">
        <f t="shared" si="43"/>
        <v>1.3644064295042255</v>
      </c>
      <c r="Q152" s="8">
        <f t="shared" si="44"/>
        <v>0</v>
      </c>
      <c r="R152" s="8">
        <f t="shared" si="45"/>
        <v>0</v>
      </c>
      <c r="S152" s="9">
        <f t="shared" si="37"/>
        <v>4.4964336366803703</v>
      </c>
      <c r="T152" s="9">
        <f t="shared" si="37"/>
        <v>2.1385207302811238</v>
      </c>
      <c r="U152" s="8">
        <f t="shared" si="46"/>
        <v>0</v>
      </c>
      <c r="V152" s="8">
        <f t="shared" si="47"/>
        <v>0</v>
      </c>
      <c r="W152" s="8">
        <f t="shared" si="48"/>
        <v>4.4964336366803703</v>
      </c>
      <c r="X152" s="8">
        <f t="shared" si="49"/>
        <v>2.1385207302811238</v>
      </c>
      <c r="Y152" s="8">
        <f t="shared" si="50"/>
        <v>0</v>
      </c>
      <c r="Z152" s="8">
        <f t="shared" si="51"/>
        <v>0</v>
      </c>
      <c r="AA152" s="10">
        <v>309.88816247970999</v>
      </c>
      <c r="AB152" s="11">
        <v>147.38397429586999</v>
      </c>
    </row>
    <row r="153" spans="1:28" x14ac:dyDescent="0.35">
      <c r="A153" s="6" t="s">
        <v>64</v>
      </c>
      <c r="B153" s="21" t="s">
        <v>67</v>
      </c>
      <c r="C153" s="29">
        <f t="shared" si="38"/>
        <v>44.709731424704025</v>
      </c>
      <c r="D153" s="30">
        <v>2.1654285875212778</v>
      </c>
      <c r="E153" s="30">
        <v>42.544302837182748</v>
      </c>
      <c r="F153" s="30">
        <v>0</v>
      </c>
      <c r="G153" s="31">
        <f t="shared" si="39"/>
        <v>31.58978174736923</v>
      </c>
      <c r="H153" s="30">
        <v>12.737815220713399</v>
      </c>
      <c r="I153" s="30">
        <v>18.851966526655829</v>
      </c>
      <c r="J153" s="30">
        <v>0</v>
      </c>
      <c r="K153" s="9">
        <f t="shared" si="36"/>
        <v>7.8231824263139735</v>
      </c>
      <c r="L153" s="9">
        <f t="shared" si="36"/>
        <v>3.6785330081688583</v>
      </c>
      <c r="M153" s="8">
        <f t="shared" si="40"/>
        <v>0.37890057335423805</v>
      </c>
      <c r="N153" s="8">
        <f t="shared" si="41"/>
        <v>0.17816256734720967</v>
      </c>
      <c r="O153" s="8">
        <f t="shared" si="42"/>
        <v>7.4442818529597359</v>
      </c>
      <c r="P153" s="8">
        <f t="shared" si="43"/>
        <v>3.5003704408216487</v>
      </c>
      <c r="Q153" s="8">
        <f t="shared" si="44"/>
        <v>0</v>
      </c>
      <c r="R153" s="8">
        <f t="shared" si="45"/>
        <v>0</v>
      </c>
      <c r="S153" s="9">
        <f t="shared" si="37"/>
        <v>5.5274907171677086</v>
      </c>
      <c r="T153" s="9">
        <f t="shared" si="37"/>
        <v>2.5990774530651759</v>
      </c>
      <c r="U153" s="8">
        <f t="shared" si="46"/>
        <v>2.2288269020837537</v>
      </c>
      <c r="V153" s="8">
        <f t="shared" si="47"/>
        <v>1.0480151020424098</v>
      </c>
      <c r="W153" s="8">
        <f t="shared" si="48"/>
        <v>3.2986638150839549</v>
      </c>
      <c r="X153" s="8">
        <f t="shared" si="49"/>
        <v>1.5510623510227664</v>
      </c>
      <c r="Y153" s="8">
        <f t="shared" si="50"/>
        <v>0</v>
      </c>
      <c r="Z153" s="8">
        <f t="shared" si="51"/>
        <v>0</v>
      </c>
      <c r="AA153" s="10">
        <v>1215.4228689920101</v>
      </c>
      <c r="AB153" s="11">
        <v>571.50311712429004</v>
      </c>
    </row>
    <row r="154" spans="1:28" x14ac:dyDescent="0.35">
      <c r="A154" s="6" t="s">
        <v>26</v>
      </c>
      <c r="B154" s="21" t="s">
        <v>68</v>
      </c>
      <c r="C154" s="29">
        <f t="shared" si="38"/>
        <v>219.27816741903561</v>
      </c>
      <c r="D154" s="30">
        <v>11.461012528828688</v>
      </c>
      <c r="E154" s="30">
        <v>207.81715489020692</v>
      </c>
      <c r="F154" s="30">
        <v>0</v>
      </c>
      <c r="G154" s="31">
        <f t="shared" si="39"/>
        <v>24.164785452349641</v>
      </c>
      <c r="H154" s="30">
        <v>10.356336622435562</v>
      </c>
      <c r="I154" s="30">
        <v>13.808448829914079</v>
      </c>
      <c r="J154" s="30">
        <v>0</v>
      </c>
      <c r="K154" s="9">
        <f t="shared" ref="K154:L191" si="52">M154+O154</f>
        <v>14.669659786231424</v>
      </c>
      <c r="L154" s="9">
        <f t="shared" si="52"/>
        <v>17.878137584491526</v>
      </c>
      <c r="M154" s="8">
        <f t="shared" si="40"/>
        <v>0.76673914499824203</v>
      </c>
      <c r="N154" s="8">
        <f t="shared" si="41"/>
        <v>0.93443666216171062</v>
      </c>
      <c r="O154" s="8">
        <f t="shared" si="42"/>
        <v>13.902920641233182</v>
      </c>
      <c r="P154" s="8">
        <f t="shared" si="43"/>
        <v>16.943700922329814</v>
      </c>
      <c r="Q154" s="8">
        <f t="shared" si="44"/>
        <v>0</v>
      </c>
      <c r="R154" s="8">
        <f t="shared" si="45"/>
        <v>0</v>
      </c>
      <c r="S154" s="9">
        <f t="shared" ref="S154:T191" si="53">U154+W154</f>
        <v>1.6166186792131607</v>
      </c>
      <c r="T154" s="9">
        <f t="shared" si="53"/>
        <v>1.9701977816662573</v>
      </c>
      <c r="U154" s="8">
        <f t="shared" si="46"/>
        <v>0.69283657680564037</v>
      </c>
      <c r="V154" s="8">
        <f t="shared" si="47"/>
        <v>0.84437047785696751</v>
      </c>
      <c r="W154" s="8">
        <f t="shared" si="48"/>
        <v>0.92378210240752023</v>
      </c>
      <c r="X154" s="8">
        <f t="shared" si="49"/>
        <v>1.1258273038092899</v>
      </c>
      <c r="Y154" s="8">
        <f t="shared" si="50"/>
        <v>0</v>
      </c>
      <c r="Z154" s="8">
        <f t="shared" si="51"/>
        <v>0</v>
      </c>
      <c r="AA154" s="10">
        <v>1226.51571721458</v>
      </c>
      <c r="AB154" s="11">
        <v>1494.77336635199</v>
      </c>
    </row>
    <row r="155" spans="1:28" x14ac:dyDescent="0.35">
      <c r="A155" s="6" t="s">
        <v>28</v>
      </c>
      <c r="B155" s="21" t="s">
        <v>68</v>
      </c>
      <c r="C155" s="29">
        <f t="shared" si="38"/>
        <v>240.61391867109978</v>
      </c>
      <c r="D155" s="30">
        <v>39.294556907241891</v>
      </c>
      <c r="E155" s="30">
        <v>201.3193617638579</v>
      </c>
      <c r="F155" s="30">
        <v>63.378317592325629</v>
      </c>
      <c r="G155" s="31">
        <f t="shared" si="39"/>
        <v>66.062575749177071</v>
      </c>
      <c r="H155" s="30">
        <v>3.8772617821187447</v>
      </c>
      <c r="I155" s="30">
        <v>62.185313967058327</v>
      </c>
      <c r="J155" s="30">
        <v>0</v>
      </c>
      <c r="K155" s="9">
        <f t="shared" si="52"/>
        <v>14.182081622860085</v>
      </c>
      <c r="L155" s="9">
        <f t="shared" si="52"/>
        <v>13.960868736708385</v>
      </c>
      <c r="M155" s="8">
        <f t="shared" si="40"/>
        <v>2.3160697289269492</v>
      </c>
      <c r="N155" s="8">
        <f t="shared" si="41"/>
        <v>2.2799435464038789</v>
      </c>
      <c r="O155" s="8">
        <f t="shared" si="42"/>
        <v>11.866011893933136</v>
      </c>
      <c r="P155" s="8">
        <f t="shared" si="43"/>
        <v>11.680925190304505</v>
      </c>
      <c r="Q155" s="8">
        <f t="shared" si="44"/>
        <v>3.7355963369789498</v>
      </c>
      <c r="R155" s="8">
        <f t="shared" si="45"/>
        <v>3.6773283006514177</v>
      </c>
      <c r="S155" s="9">
        <f t="shared" si="53"/>
        <v>3.8938098288980587</v>
      </c>
      <c r="T155" s="9">
        <f t="shared" si="53"/>
        <v>3.8330739698554779</v>
      </c>
      <c r="U155" s="8">
        <f t="shared" si="46"/>
        <v>0.22853059943871226</v>
      </c>
      <c r="V155" s="8">
        <f t="shared" si="47"/>
        <v>0.22496596662808674</v>
      </c>
      <c r="W155" s="8">
        <f t="shared" si="48"/>
        <v>3.6652792294593466</v>
      </c>
      <c r="X155" s="8">
        <f t="shared" si="49"/>
        <v>3.6081080032273913</v>
      </c>
      <c r="Y155" s="8">
        <f t="shared" si="50"/>
        <v>0</v>
      </c>
      <c r="Z155" s="8">
        <f t="shared" si="51"/>
        <v>0</v>
      </c>
      <c r="AA155" s="10">
        <v>1723.48815255626</v>
      </c>
      <c r="AB155" s="11">
        <v>1696.60508992738</v>
      </c>
    </row>
    <row r="156" spans="1:28" x14ac:dyDescent="0.35">
      <c r="A156" s="6" t="s">
        <v>29</v>
      </c>
      <c r="B156" s="21" t="s">
        <v>68</v>
      </c>
      <c r="C156" s="29">
        <f t="shared" si="38"/>
        <v>198.58304352766777</v>
      </c>
      <c r="D156" s="30">
        <v>21.456098955862956</v>
      </c>
      <c r="E156" s="30">
        <v>177.12694457180481</v>
      </c>
      <c r="F156" s="30">
        <v>79.319089225131677</v>
      </c>
      <c r="G156" s="31">
        <f t="shared" si="39"/>
        <v>405.7257010004937</v>
      </c>
      <c r="H156" s="30">
        <v>23.966919046442662</v>
      </c>
      <c r="I156" s="30">
        <v>381.75878195405102</v>
      </c>
      <c r="J156" s="30">
        <v>0</v>
      </c>
      <c r="K156" s="9">
        <f t="shared" si="52"/>
        <v>7.5887380013466981</v>
      </c>
      <c r="L156" s="9">
        <f t="shared" si="52"/>
        <v>6.8309899749630247</v>
      </c>
      <c r="M156" s="8">
        <f t="shared" si="40"/>
        <v>0.81993261163975828</v>
      </c>
      <c r="N156" s="8">
        <f t="shared" si="41"/>
        <v>0.73806098580060275</v>
      </c>
      <c r="O156" s="8">
        <f t="shared" si="42"/>
        <v>6.76880538970694</v>
      </c>
      <c r="P156" s="8">
        <f t="shared" si="43"/>
        <v>6.0929289891624219</v>
      </c>
      <c r="Q156" s="8">
        <f t="shared" si="44"/>
        <v>3.0311338568597446</v>
      </c>
      <c r="R156" s="8">
        <f t="shared" si="45"/>
        <v>2.7284701336777601</v>
      </c>
      <c r="S156" s="9">
        <f t="shared" si="53"/>
        <v>15.504576778613515</v>
      </c>
      <c r="T156" s="9">
        <f t="shared" si="53"/>
        <v>13.9564191729848</v>
      </c>
      <c r="U156" s="8">
        <f t="shared" si="46"/>
        <v>0.91588217257632565</v>
      </c>
      <c r="V156" s="8">
        <f t="shared" si="47"/>
        <v>0.82442982456450298</v>
      </c>
      <c r="W156" s="8">
        <f t="shared" si="48"/>
        <v>14.588694606037189</v>
      </c>
      <c r="X156" s="8">
        <f t="shared" si="49"/>
        <v>13.131989348420298</v>
      </c>
      <c r="Y156" s="8">
        <f t="shared" si="50"/>
        <v>0</v>
      </c>
      <c r="Z156" s="8">
        <f t="shared" si="51"/>
        <v>0</v>
      </c>
      <c r="AA156" s="10">
        <v>2907.0902498102801</v>
      </c>
      <c r="AB156" s="11">
        <v>2616.8124857180101</v>
      </c>
    </row>
    <row r="157" spans="1:28" x14ac:dyDescent="0.35">
      <c r="A157" s="6" t="s">
        <v>30</v>
      </c>
      <c r="B157" s="21" t="s">
        <v>68</v>
      </c>
      <c r="C157" s="29">
        <f t="shared" si="38"/>
        <v>418.85044238306943</v>
      </c>
      <c r="D157" s="30">
        <v>45.651274374176502</v>
      </c>
      <c r="E157" s="30">
        <v>373.19916800889291</v>
      </c>
      <c r="F157" s="30">
        <v>0</v>
      </c>
      <c r="G157" s="31">
        <f t="shared" si="39"/>
        <v>1057.1693863199921</v>
      </c>
      <c r="H157" s="30">
        <v>114.12818593544125</v>
      </c>
      <c r="I157" s="30">
        <v>943.04120038455096</v>
      </c>
      <c r="J157" s="30">
        <v>0</v>
      </c>
      <c r="K157" s="9">
        <f t="shared" si="52"/>
        <v>11.643410994561446</v>
      </c>
      <c r="L157" s="9">
        <f t="shared" si="52"/>
        <v>10.064202523914023</v>
      </c>
      <c r="M157" s="8">
        <f t="shared" si="40"/>
        <v>1.2690366206606483</v>
      </c>
      <c r="N157" s="8">
        <f t="shared" si="41"/>
        <v>1.0969158064211468</v>
      </c>
      <c r="O157" s="8">
        <f t="shared" si="42"/>
        <v>10.374374373900798</v>
      </c>
      <c r="P157" s="8">
        <f t="shared" si="43"/>
        <v>8.9672867174928772</v>
      </c>
      <c r="Q157" s="8">
        <f t="shared" si="44"/>
        <v>0</v>
      </c>
      <c r="R157" s="8">
        <f t="shared" si="45"/>
        <v>0</v>
      </c>
      <c r="S157" s="9">
        <f t="shared" si="53"/>
        <v>29.387715542948957</v>
      </c>
      <c r="T157" s="9">
        <f t="shared" si="53"/>
        <v>25.401827787197707</v>
      </c>
      <c r="U157" s="8">
        <f t="shared" si="46"/>
        <v>3.1725915516516197</v>
      </c>
      <c r="V157" s="8">
        <f t="shared" si="47"/>
        <v>2.7422895160528671</v>
      </c>
      <c r="W157" s="8">
        <f t="shared" si="48"/>
        <v>26.215123991297336</v>
      </c>
      <c r="X157" s="8">
        <f t="shared" si="49"/>
        <v>22.659538271144839</v>
      </c>
      <c r="Y157" s="8">
        <f t="shared" si="50"/>
        <v>0</v>
      </c>
      <c r="Z157" s="8">
        <f t="shared" si="51"/>
        <v>0</v>
      </c>
      <c r="AA157" s="10">
        <v>4161.7847155581303</v>
      </c>
      <c r="AB157" s="11">
        <v>3597.3173374942398</v>
      </c>
    </row>
    <row r="158" spans="1:28" x14ac:dyDescent="0.35">
      <c r="A158" s="6" t="s">
        <v>31</v>
      </c>
      <c r="B158" s="21" t="s">
        <v>68</v>
      </c>
      <c r="C158" s="29">
        <f t="shared" si="38"/>
        <v>159.77946030961775</v>
      </c>
      <c r="D158" s="30">
        <v>11.412818593544126</v>
      </c>
      <c r="E158" s="30">
        <v>148.36664171607362</v>
      </c>
      <c r="F158" s="30">
        <v>7.9889730154808873</v>
      </c>
      <c r="G158" s="31">
        <f t="shared" si="39"/>
        <v>664.51136260910675</v>
      </c>
      <c r="H158" s="30">
        <v>3.7091660429018405</v>
      </c>
      <c r="I158" s="30">
        <v>660.80219656620488</v>
      </c>
      <c r="J158" s="30">
        <v>0</v>
      </c>
      <c r="K158" s="9">
        <f t="shared" si="52"/>
        <v>8.3298399913434693</v>
      </c>
      <c r="L158" s="9">
        <f t="shared" si="52"/>
        <v>6.8350176200053054</v>
      </c>
      <c r="M158" s="8">
        <f t="shared" si="40"/>
        <v>0.59498857081024792</v>
      </c>
      <c r="N158" s="8">
        <f t="shared" si="41"/>
        <v>0.48821554428609326</v>
      </c>
      <c r="O158" s="8">
        <f t="shared" si="42"/>
        <v>7.7348514205332215</v>
      </c>
      <c r="P158" s="8">
        <f t="shared" si="43"/>
        <v>6.3468020757192125</v>
      </c>
      <c r="Q158" s="8">
        <f t="shared" si="44"/>
        <v>0.41649199956717348</v>
      </c>
      <c r="R158" s="8">
        <f t="shared" si="45"/>
        <v>0.34175088100026529</v>
      </c>
      <c r="S158" s="9">
        <f t="shared" si="53"/>
        <v>34.643209535426678</v>
      </c>
      <c r="T158" s="9">
        <f t="shared" si="53"/>
        <v>28.426350066057783</v>
      </c>
      <c r="U158" s="8">
        <f t="shared" si="46"/>
        <v>0.19337128551333052</v>
      </c>
      <c r="V158" s="8">
        <f t="shared" si="47"/>
        <v>0.15867005189298031</v>
      </c>
      <c r="W158" s="8">
        <f t="shared" si="48"/>
        <v>34.449838249913348</v>
      </c>
      <c r="X158" s="8">
        <f t="shared" si="49"/>
        <v>28.267680014164803</v>
      </c>
      <c r="Y158" s="8">
        <f t="shared" si="50"/>
        <v>0</v>
      </c>
      <c r="Z158" s="8">
        <f t="shared" si="51"/>
        <v>0</v>
      </c>
      <c r="AA158" s="10">
        <v>2337.6598158571201</v>
      </c>
      <c r="AB158" s="11">
        <v>1918.15761738117</v>
      </c>
    </row>
    <row r="159" spans="1:28" x14ac:dyDescent="0.35">
      <c r="A159" s="6" t="s">
        <v>32</v>
      </c>
      <c r="B159" s="21" t="s">
        <v>68</v>
      </c>
      <c r="C159" s="29">
        <f t="shared" si="38"/>
        <v>800.7523718505679</v>
      </c>
      <c r="D159" s="30">
        <v>89.909038242870778</v>
      </c>
      <c r="E159" s="30">
        <v>710.8433336076971</v>
      </c>
      <c r="F159" s="30">
        <v>243.50364524110836</v>
      </c>
      <c r="G159" s="31">
        <f t="shared" si="39"/>
        <v>147.0387396263616</v>
      </c>
      <c r="H159" s="30">
        <v>0</v>
      </c>
      <c r="I159" s="30">
        <v>147.0387396263616</v>
      </c>
      <c r="J159" s="30">
        <v>1282.1403474426052</v>
      </c>
      <c r="K159" s="9">
        <f t="shared" si="52"/>
        <v>17.543690409542965</v>
      </c>
      <c r="L159" s="9">
        <f t="shared" si="52"/>
        <v>15.038020540834664</v>
      </c>
      <c r="M159" s="8">
        <f t="shared" si="40"/>
        <v>1.969817870545175</v>
      </c>
      <c r="N159" s="8">
        <f t="shared" si="41"/>
        <v>1.6884794993217871</v>
      </c>
      <c r="O159" s="8">
        <f t="shared" si="42"/>
        <v>15.57387253899779</v>
      </c>
      <c r="P159" s="8">
        <f t="shared" si="43"/>
        <v>13.349541041512877</v>
      </c>
      <c r="Q159" s="8">
        <f t="shared" si="44"/>
        <v>5.3349233993931824</v>
      </c>
      <c r="R159" s="8">
        <f t="shared" si="45"/>
        <v>4.5729653106631734</v>
      </c>
      <c r="S159" s="9">
        <f t="shared" si="53"/>
        <v>3.2214729757874219</v>
      </c>
      <c r="T159" s="9">
        <f t="shared" si="53"/>
        <v>2.7613675145158392</v>
      </c>
      <c r="U159" s="8">
        <f t="shared" si="46"/>
        <v>0</v>
      </c>
      <c r="V159" s="8">
        <f t="shared" si="47"/>
        <v>0</v>
      </c>
      <c r="W159" s="8">
        <f t="shared" si="48"/>
        <v>3.2214729757874219</v>
      </c>
      <c r="X159" s="8">
        <f t="shared" si="49"/>
        <v>2.7613675145158392</v>
      </c>
      <c r="Y159" s="8">
        <f t="shared" si="50"/>
        <v>28.090423591420254</v>
      </c>
      <c r="Z159" s="8">
        <f t="shared" si="51"/>
        <v>24.078421193453401</v>
      </c>
      <c r="AA159" s="10">
        <v>5324.8522282316499</v>
      </c>
      <c r="AB159" s="11">
        <v>4564.3325500944502</v>
      </c>
    </row>
    <row r="160" spans="1:28" x14ac:dyDescent="0.35">
      <c r="A160" s="6" t="s">
        <v>33</v>
      </c>
      <c r="B160" s="21" t="s">
        <v>68</v>
      </c>
      <c r="C160" s="29">
        <f t="shared" si="38"/>
        <v>73.473615277217803</v>
      </c>
      <c r="D160" s="30">
        <v>8.4744654298982489</v>
      </c>
      <c r="E160" s="30">
        <v>64.999149847319558</v>
      </c>
      <c r="F160" s="30">
        <v>39.575753557624822</v>
      </c>
      <c r="G160" s="31">
        <f t="shared" si="39"/>
        <v>60.08395989797858</v>
      </c>
      <c r="H160" s="30">
        <v>0</v>
      </c>
      <c r="I160" s="30">
        <v>60.08395989797858</v>
      </c>
      <c r="J160" s="30">
        <v>105.9308178737281</v>
      </c>
      <c r="K160" s="9">
        <f t="shared" si="52"/>
        <v>4.4851662923129334</v>
      </c>
      <c r="L160" s="9">
        <f t="shared" si="52"/>
        <v>3.4070144712658177</v>
      </c>
      <c r="M160" s="8">
        <f t="shared" si="40"/>
        <v>0.51732021825985408</v>
      </c>
      <c r="N160" s="8">
        <f t="shared" si="41"/>
        <v>0.39296591364080952</v>
      </c>
      <c r="O160" s="8">
        <f t="shared" si="42"/>
        <v>3.9678460740530794</v>
      </c>
      <c r="P160" s="8">
        <f t="shared" si="43"/>
        <v>3.0140485576250082</v>
      </c>
      <c r="Q160" s="8">
        <f t="shared" si="44"/>
        <v>2.4158854192735184</v>
      </c>
      <c r="R160" s="8">
        <f t="shared" si="45"/>
        <v>1.8351508167025805</v>
      </c>
      <c r="S160" s="9">
        <f t="shared" si="53"/>
        <v>3.6678003474623648</v>
      </c>
      <c r="T160" s="9">
        <f t="shared" si="53"/>
        <v>2.7861283277133393</v>
      </c>
      <c r="U160" s="8">
        <f t="shared" si="46"/>
        <v>0</v>
      </c>
      <c r="V160" s="8">
        <f t="shared" si="47"/>
        <v>0</v>
      </c>
      <c r="W160" s="8">
        <f t="shared" si="48"/>
        <v>3.6678003474623648</v>
      </c>
      <c r="X160" s="8">
        <f t="shared" si="49"/>
        <v>2.7861283277133393</v>
      </c>
      <c r="Y160" s="8">
        <f t="shared" si="50"/>
        <v>6.4665027282481748</v>
      </c>
      <c r="Z160" s="8">
        <f t="shared" si="51"/>
        <v>4.9120739205101192</v>
      </c>
      <c r="AA160" s="10">
        <v>2156.5395714307001</v>
      </c>
      <c r="AB160" s="11">
        <v>1638.14696019506</v>
      </c>
    </row>
    <row r="161" spans="1:28" x14ac:dyDescent="0.35">
      <c r="A161" s="6" t="s">
        <v>34</v>
      </c>
      <c r="B161" s="21" t="s">
        <v>68</v>
      </c>
      <c r="C161" s="29">
        <f t="shared" si="38"/>
        <v>97.00895804512507</v>
      </c>
      <c r="D161" s="30">
        <v>16.092074216897217</v>
      </c>
      <c r="E161" s="30">
        <v>80.916883828227853</v>
      </c>
      <c r="F161" s="30">
        <v>5.1357683670948562E-2</v>
      </c>
      <c r="G161" s="31">
        <f t="shared" si="39"/>
        <v>172.60632712690199</v>
      </c>
      <c r="H161" s="30">
        <v>0.72927910812746966</v>
      </c>
      <c r="I161" s="30">
        <v>171.87704801877453</v>
      </c>
      <c r="J161" s="30">
        <v>11.412818593544126</v>
      </c>
      <c r="K161" s="9">
        <f t="shared" si="52"/>
        <v>7.3274116773062694</v>
      </c>
      <c r="L161" s="9">
        <f t="shared" si="52"/>
        <v>5.3998030915904947</v>
      </c>
      <c r="M161" s="8">
        <f t="shared" si="40"/>
        <v>1.2154882900002164</v>
      </c>
      <c r="N161" s="8">
        <f t="shared" si="41"/>
        <v>0.89573204225207037</v>
      </c>
      <c r="O161" s="8">
        <f t="shared" si="42"/>
        <v>6.111923387306053</v>
      </c>
      <c r="P161" s="8">
        <f t="shared" si="43"/>
        <v>4.5040710493384246</v>
      </c>
      <c r="Q161" s="8">
        <f t="shared" si="44"/>
        <v>3.8792179468092008E-3</v>
      </c>
      <c r="R161" s="8">
        <f t="shared" si="45"/>
        <v>2.8587192837832031E-3</v>
      </c>
      <c r="S161" s="9">
        <f t="shared" si="53"/>
        <v>13.03753429016615</v>
      </c>
      <c r="T161" s="9">
        <f t="shared" si="53"/>
        <v>9.6077743502241759</v>
      </c>
      <c r="U161" s="8">
        <f t="shared" si="46"/>
        <v>5.508489484469066E-2</v>
      </c>
      <c r="V161" s="8">
        <f t="shared" si="47"/>
        <v>4.0593813829721485E-2</v>
      </c>
      <c r="W161" s="8">
        <f t="shared" si="48"/>
        <v>12.98244939532146</v>
      </c>
      <c r="X161" s="8">
        <f t="shared" si="49"/>
        <v>9.5671805363944546</v>
      </c>
      <c r="Y161" s="8">
        <f t="shared" si="50"/>
        <v>0.862048432624267</v>
      </c>
      <c r="Z161" s="8">
        <f t="shared" si="51"/>
        <v>0.63527095195182293</v>
      </c>
      <c r="AA161" s="10">
        <v>1796.5276955414199</v>
      </c>
      <c r="AB161" s="11">
        <v>1323.9184901480501</v>
      </c>
    </row>
    <row r="162" spans="1:28" x14ac:dyDescent="0.35">
      <c r="A162" s="6" t="s">
        <v>35</v>
      </c>
      <c r="B162" s="21" t="s">
        <v>68</v>
      </c>
      <c r="C162" s="29">
        <f t="shared" si="38"/>
        <v>440.05801796809027</v>
      </c>
      <c r="D162" s="30">
        <v>203.99190920386701</v>
      </c>
      <c r="E162" s="30">
        <v>236.06610876422326</v>
      </c>
      <c r="F162" s="30">
        <v>14.112647806556826</v>
      </c>
      <c r="G162" s="31">
        <f t="shared" si="39"/>
        <v>437.4920820032616</v>
      </c>
      <c r="H162" s="30">
        <v>1.2829679824142568</v>
      </c>
      <c r="I162" s="30">
        <v>436.20911402084732</v>
      </c>
      <c r="J162" s="30">
        <v>0</v>
      </c>
      <c r="K162" s="9">
        <f t="shared" si="52"/>
        <v>13.937406334160272</v>
      </c>
      <c r="L162" s="9">
        <f t="shared" si="52"/>
        <v>14.957843729927458</v>
      </c>
      <c r="M162" s="8">
        <f t="shared" si="40"/>
        <v>6.4607801957186126</v>
      </c>
      <c r="N162" s="8">
        <f t="shared" si="41"/>
        <v>6.9338109418614193</v>
      </c>
      <c r="O162" s="8">
        <f t="shared" si="42"/>
        <v>7.4766261384416586</v>
      </c>
      <c r="P162" s="8">
        <f t="shared" si="43"/>
        <v>8.0240327880660391</v>
      </c>
      <c r="Q162" s="8">
        <f t="shared" si="44"/>
        <v>0.44697221479814264</v>
      </c>
      <c r="R162" s="8">
        <f t="shared" si="45"/>
        <v>0.47969761233003494</v>
      </c>
      <c r="S162" s="9">
        <f t="shared" si="53"/>
        <v>13.856138658742422</v>
      </c>
      <c r="T162" s="9">
        <f t="shared" si="53"/>
        <v>14.870625982231083</v>
      </c>
      <c r="U162" s="8">
        <f t="shared" si="46"/>
        <v>4.0633837708922059E-2</v>
      </c>
      <c r="V162" s="8">
        <f t="shared" si="47"/>
        <v>4.3608873848184994E-2</v>
      </c>
      <c r="W162" s="8">
        <f t="shared" si="48"/>
        <v>13.8155048210335</v>
      </c>
      <c r="X162" s="8">
        <f t="shared" si="49"/>
        <v>14.827017108382897</v>
      </c>
      <c r="Y162" s="8">
        <f t="shared" si="50"/>
        <v>0</v>
      </c>
      <c r="Z162" s="8">
        <f t="shared" si="51"/>
        <v>0</v>
      </c>
      <c r="AA162" s="10">
        <v>2941.9883367789698</v>
      </c>
      <c r="AB162" s="11">
        <v>3157.38816403392</v>
      </c>
    </row>
    <row r="163" spans="1:28" x14ac:dyDescent="0.35">
      <c r="A163" s="6" t="s">
        <v>36</v>
      </c>
      <c r="B163" s="21" t="s">
        <v>68</v>
      </c>
      <c r="C163" s="29">
        <f t="shared" si="38"/>
        <v>5328.0279999999993</v>
      </c>
      <c r="D163" s="30">
        <v>690.4</v>
      </c>
      <c r="E163" s="30">
        <v>4637.6279999999997</v>
      </c>
      <c r="F163" s="30">
        <v>17.98</v>
      </c>
      <c r="G163" s="31">
        <f t="shared" si="39"/>
        <v>510</v>
      </c>
      <c r="H163" s="30">
        <v>56</v>
      </c>
      <c r="I163" s="30">
        <v>454</v>
      </c>
      <c r="J163" s="30">
        <v>0</v>
      </c>
      <c r="K163" s="9">
        <f t="shared" si="52"/>
        <v>26.735082699094594</v>
      </c>
      <c r="L163" s="9">
        <f t="shared" si="52"/>
        <v>26.674531624110536</v>
      </c>
      <c r="M163" s="8">
        <f t="shared" si="40"/>
        <v>3.4643025703796808</v>
      </c>
      <c r="N163" s="8">
        <f t="shared" si="41"/>
        <v>3.4564564287736315</v>
      </c>
      <c r="O163" s="8">
        <f t="shared" si="42"/>
        <v>23.270780128714915</v>
      </c>
      <c r="P163" s="8">
        <f t="shared" si="43"/>
        <v>23.218075195336905</v>
      </c>
      <c r="Q163" s="8">
        <f t="shared" si="44"/>
        <v>9.0220394286539191E-2</v>
      </c>
      <c r="R163" s="8">
        <f t="shared" si="45"/>
        <v>9.0016058211688718E-2</v>
      </c>
      <c r="S163" s="9">
        <f t="shared" si="53"/>
        <v>2.5590879358250826</v>
      </c>
      <c r="T163" s="9">
        <f t="shared" si="53"/>
        <v>2.5532919737464543</v>
      </c>
      <c r="U163" s="8">
        <f t="shared" si="46"/>
        <v>0.28099789099255812</v>
      </c>
      <c r="V163" s="8">
        <f t="shared" si="47"/>
        <v>0.28036147162706165</v>
      </c>
      <c r="W163" s="8">
        <f t="shared" si="48"/>
        <v>2.2780900448325245</v>
      </c>
      <c r="X163" s="8">
        <f t="shared" si="49"/>
        <v>2.2729305021193928</v>
      </c>
      <c r="Y163" s="8">
        <f t="shared" si="50"/>
        <v>0</v>
      </c>
      <c r="Z163" s="8">
        <f t="shared" si="51"/>
        <v>0</v>
      </c>
      <c r="AA163" s="10">
        <v>19974.2138871676</v>
      </c>
      <c r="AB163" s="11">
        <v>19928.975197</v>
      </c>
    </row>
    <row r="164" spans="1:28" x14ac:dyDescent="0.35">
      <c r="A164" s="6" t="s">
        <v>37</v>
      </c>
      <c r="B164" s="21" t="s">
        <v>68</v>
      </c>
      <c r="C164" s="29">
        <f t="shared" si="38"/>
        <v>7.0279601888551095</v>
      </c>
      <c r="D164" s="30">
        <v>4.8032151754294521</v>
      </c>
      <c r="E164" s="30">
        <v>2.224745013425657</v>
      </c>
      <c r="F164" s="30">
        <v>4.2819360091037746</v>
      </c>
      <c r="G164" s="31">
        <f t="shared" si="39"/>
        <v>1.0704840022759436</v>
      </c>
      <c r="H164" s="30">
        <v>0.89362142798687472</v>
      </c>
      <c r="I164" s="30">
        <v>0.17686257428906896</v>
      </c>
      <c r="J164" s="30">
        <v>11.789286859847676</v>
      </c>
      <c r="K164" s="9">
        <f t="shared" si="52"/>
        <v>0.5494236719748582</v>
      </c>
      <c r="L164" s="9">
        <f t="shared" si="52"/>
        <v>0.2950856916133458</v>
      </c>
      <c r="M164" s="8">
        <f t="shared" si="40"/>
        <v>0.37550015197222092</v>
      </c>
      <c r="N164" s="8">
        <f t="shared" si="41"/>
        <v>0.20167445943375686</v>
      </c>
      <c r="O164" s="8">
        <f t="shared" si="42"/>
        <v>0.17392352000263722</v>
      </c>
      <c r="P164" s="8">
        <f t="shared" si="43"/>
        <v>9.3411232179588952E-2</v>
      </c>
      <c r="Q164" s="8">
        <f t="shared" si="44"/>
        <v>0.33474819749461554</v>
      </c>
      <c r="R164" s="8">
        <f t="shared" si="45"/>
        <v>0.17978730879753521</v>
      </c>
      <c r="S164" s="9">
        <f t="shared" si="53"/>
        <v>8.3687049373653885E-2</v>
      </c>
      <c r="T164" s="9">
        <f t="shared" si="53"/>
        <v>4.4946827199383796E-2</v>
      </c>
      <c r="U164" s="8">
        <f t="shared" si="46"/>
        <v>6.9860493390180634E-2</v>
      </c>
      <c r="V164" s="8">
        <f t="shared" si="47"/>
        <v>3.7520829662094302E-2</v>
      </c>
      <c r="W164" s="8">
        <f t="shared" si="48"/>
        <v>1.3826555983473252E-2</v>
      </c>
      <c r="X164" s="8">
        <f t="shared" si="49"/>
        <v>7.4259975372894969E-3</v>
      </c>
      <c r="Y164" s="8">
        <f t="shared" si="50"/>
        <v>0.92164911331941435</v>
      </c>
      <c r="Z164" s="8">
        <f t="shared" si="51"/>
        <v>0.4950013621566921</v>
      </c>
      <c r="AA164" s="10">
        <v>2381.6675591522499</v>
      </c>
      <c r="AB164" s="11">
        <v>1279.1513266244399</v>
      </c>
    </row>
    <row r="165" spans="1:28" x14ac:dyDescent="0.35">
      <c r="A165" s="6" t="s">
        <v>38</v>
      </c>
      <c r="B165" s="21" t="s">
        <v>68</v>
      </c>
      <c r="C165" s="29">
        <f t="shared" si="38"/>
        <v>13.522864278129838</v>
      </c>
      <c r="D165" s="30">
        <v>2.3964569606812369</v>
      </c>
      <c r="E165" s="30">
        <v>11.126407317448601</v>
      </c>
      <c r="F165" s="30">
        <v>10.042295835235661</v>
      </c>
      <c r="G165" s="31">
        <f t="shared" si="39"/>
        <v>48.92766294724192</v>
      </c>
      <c r="H165" s="30">
        <v>2.995571200851546</v>
      </c>
      <c r="I165" s="30">
        <v>45.932091746390377</v>
      </c>
      <c r="J165" s="30">
        <v>18.47268907191787</v>
      </c>
      <c r="K165" s="9">
        <f t="shared" si="52"/>
        <v>1.35628264486673</v>
      </c>
      <c r="L165" s="9">
        <f t="shared" si="52"/>
        <v>0.57943955898037991</v>
      </c>
      <c r="M165" s="8">
        <f t="shared" si="40"/>
        <v>0.24035388643207875</v>
      </c>
      <c r="N165" s="8">
        <f t="shared" si="41"/>
        <v>0.10268549146487745</v>
      </c>
      <c r="O165" s="8">
        <f t="shared" si="42"/>
        <v>1.1159287584346513</v>
      </c>
      <c r="P165" s="8">
        <f t="shared" si="43"/>
        <v>0.47675406751550248</v>
      </c>
      <c r="Q165" s="8">
        <f t="shared" si="44"/>
        <v>1.0071972383820444</v>
      </c>
      <c r="R165" s="8">
        <f t="shared" si="45"/>
        <v>0.43030110709091507</v>
      </c>
      <c r="S165" s="9">
        <f t="shared" si="53"/>
        <v>4.9072251813216079</v>
      </c>
      <c r="T165" s="9">
        <f t="shared" si="53"/>
        <v>2.0964954507412479</v>
      </c>
      <c r="U165" s="8">
        <f t="shared" si="46"/>
        <v>0.30044235804009845</v>
      </c>
      <c r="V165" s="8">
        <f t="shared" si="47"/>
        <v>0.1283568643310968</v>
      </c>
      <c r="W165" s="8">
        <f t="shared" si="48"/>
        <v>4.6067828232815096</v>
      </c>
      <c r="X165" s="8">
        <f t="shared" si="49"/>
        <v>1.9681385864101513</v>
      </c>
      <c r="Y165" s="8">
        <f t="shared" si="50"/>
        <v>1.8527278745806071</v>
      </c>
      <c r="Z165" s="8">
        <f t="shared" si="51"/>
        <v>0.79153399670843039</v>
      </c>
      <c r="AA165" s="10">
        <v>2333.7834064911899</v>
      </c>
      <c r="AB165" s="11">
        <v>997.05355143423003</v>
      </c>
    </row>
    <row r="166" spans="1:28" x14ac:dyDescent="0.35">
      <c r="A166" s="13" t="s">
        <v>39</v>
      </c>
      <c r="B166" s="21" t="s">
        <v>68</v>
      </c>
      <c r="C166" s="29">
        <f t="shared" si="38"/>
        <v>50.216401811594153</v>
      </c>
      <c r="D166" s="30">
        <v>2.8532046483860314</v>
      </c>
      <c r="E166" s="30">
        <v>47.36319716320812</v>
      </c>
      <c r="F166" s="30">
        <v>0</v>
      </c>
      <c r="G166" s="31">
        <f t="shared" si="39"/>
        <v>10.271536734189713</v>
      </c>
      <c r="H166" s="30">
        <v>0</v>
      </c>
      <c r="I166" s="30">
        <v>10.271536734189713</v>
      </c>
      <c r="J166" s="30">
        <v>0</v>
      </c>
      <c r="K166" s="9">
        <f t="shared" si="52"/>
        <v>12.131044231205824</v>
      </c>
      <c r="L166" s="9">
        <f t="shared" si="52"/>
        <v>10.716280761030211</v>
      </c>
      <c r="M166" s="8">
        <f t="shared" si="40"/>
        <v>0.68926387677305812</v>
      </c>
      <c r="N166" s="8">
        <f t="shared" si="41"/>
        <v>0.60887958869489833</v>
      </c>
      <c r="O166" s="8">
        <f t="shared" si="42"/>
        <v>11.441780354432765</v>
      </c>
      <c r="P166" s="8">
        <f t="shared" si="43"/>
        <v>10.107401172335312</v>
      </c>
      <c r="Q166" s="8">
        <f t="shared" si="44"/>
        <v>0</v>
      </c>
      <c r="R166" s="8">
        <f t="shared" si="45"/>
        <v>0</v>
      </c>
      <c r="S166" s="9">
        <f t="shared" si="53"/>
        <v>2.4813499563830095</v>
      </c>
      <c r="T166" s="9">
        <f t="shared" si="53"/>
        <v>2.1919665193016336</v>
      </c>
      <c r="U166" s="8">
        <f t="shared" si="46"/>
        <v>0</v>
      </c>
      <c r="V166" s="8">
        <f t="shared" si="47"/>
        <v>0</v>
      </c>
      <c r="W166" s="8">
        <f t="shared" si="48"/>
        <v>2.4813499563830095</v>
      </c>
      <c r="X166" s="8">
        <f t="shared" si="49"/>
        <v>2.1919665193016336</v>
      </c>
      <c r="Y166" s="8">
        <f t="shared" si="50"/>
        <v>0</v>
      </c>
      <c r="Z166" s="8">
        <f t="shared" si="51"/>
        <v>0</v>
      </c>
      <c r="AA166" s="10">
        <v>468.59916169988998</v>
      </c>
      <c r="AB166" s="11">
        <v>413.94954015926999</v>
      </c>
    </row>
    <row r="167" spans="1:28" x14ac:dyDescent="0.35">
      <c r="A167" s="6" t="s">
        <v>40</v>
      </c>
      <c r="B167" s="21" t="s">
        <v>68</v>
      </c>
      <c r="C167" s="29">
        <f t="shared" si="38"/>
        <v>41.200275122694293</v>
      </c>
      <c r="D167" s="30">
        <v>9.5867676185770652</v>
      </c>
      <c r="E167" s="30">
        <v>31.613507504117226</v>
      </c>
      <c r="F167" s="30">
        <v>15.52143328722001</v>
      </c>
      <c r="G167" s="31">
        <f t="shared" si="39"/>
        <v>60.602066731719304</v>
      </c>
      <c r="H167" s="30">
        <v>1.2554100452898538</v>
      </c>
      <c r="I167" s="30">
        <v>59.346656686429448</v>
      </c>
      <c r="J167" s="30">
        <v>0</v>
      </c>
      <c r="K167" s="9">
        <f t="shared" si="52"/>
        <v>8.32064012416871</v>
      </c>
      <c r="L167" s="9">
        <f t="shared" si="52"/>
        <v>7.4191689653420898</v>
      </c>
      <c r="M167" s="8">
        <f t="shared" si="40"/>
        <v>1.9361046272303923</v>
      </c>
      <c r="N167" s="8">
        <f t="shared" si="41"/>
        <v>1.7263440251765527</v>
      </c>
      <c r="O167" s="8">
        <f t="shared" si="42"/>
        <v>6.3845354969383177</v>
      </c>
      <c r="P167" s="8">
        <f t="shared" si="43"/>
        <v>5.6928249401655373</v>
      </c>
      <c r="Q167" s="8">
        <f t="shared" si="44"/>
        <v>3.1346455869444441</v>
      </c>
      <c r="R167" s="8">
        <f t="shared" si="45"/>
        <v>2.7950331836191804</v>
      </c>
      <c r="S167" s="9">
        <f t="shared" si="53"/>
        <v>12.238947107849265</v>
      </c>
      <c r="T167" s="9">
        <f t="shared" si="53"/>
        <v>10.912960444866066</v>
      </c>
      <c r="U167" s="8">
        <f t="shared" si="46"/>
        <v>0.25353751070874186</v>
      </c>
      <c r="V167" s="8">
        <f t="shared" si="47"/>
        <v>0.22606886043978666</v>
      </c>
      <c r="W167" s="8">
        <f t="shared" si="48"/>
        <v>11.985409597140523</v>
      </c>
      <c r="X167" s="8">
        <f t="shared" si="49"/>
        <v>10.686891584426279</v>
      </c>
      <c r="Y167" s="8">
        <f t="shared" si="50"/>
        <v>0</v>
      </c>
      <c r="Z167" s="8">
        <f t="shared" si="51"/>
        <v>0</v>
      </c>
      <c r="AA167" s="10">
        <v>555.32196820367994</v>
      </c>
      <c r="AB167" s="11">
        <v>495.15751802582002</v>
      </c>
    </row>
    <row r="168" spans="1:28" x14ac:dyDescent="0.35">
      <c r="A168" s="13" t="s">
        <v>41</v>
      </c>
      <c r="B168" s="21" t="s">
        <v>68</v>
      </c>
      <c r="C168" s="29">
        <f t="shared" si="38"/>
        <v>13.114895358731596</v>
      </c>
      <c r="D168" s="30">
        <v>2.8694219148867419</v>
      </c>
      <c r="E168" s="30">
        <v>10.245473443844855</v>
      </c>
      <c r="F168" s="30">
        <v>1.5639641968526836</v>
      </c>
      <c r="G168" s="31">
        <f t="shared" si="39"/>
        <v>37.268017363018501</v>
      </c>
      <c r="H168" s="30">
        <v>4.3084413136437572E-2</v>
      </c>
      <c r="I168" s="30">
        <v>37.22493294988206</v>
      </c>
      <c r="J168" s="30">
        <v>0</v>
      </c>
      <c r="K168" s="9">
        <f t="shared" si="52"/>
        <v>6.0818374232812999</v>
      </c>
      <c r="L168" s="9">
        <f t="shared" si="52"/>
        <v>3.219201776804768</v>
      </c>
      <c r="M168" s="8">
        <f t="shared" si="40"/>
        <v>1.3306516832803368</v>
      </c>
      <c r="N168" s="8">
        <f t="shared" si="41"/>
        <v>0.70433258322995251</v>
      </c>
      <c r="O168" s="8">
        <f t="shared" si="42"/>
        <v>4.7511857400009632</v>
      </c>
      <c r="P168" s="8">
        <f t="shared" si="43"/>
        <v>2.5148691935748158</v>
      </c>
      <c r="Q168" s="8">
        <f t="shared" si="44"/>
        <v>0.7252651066527962</v>
      </c>
      <c r="R168" s="8">
        <f t="shared" si="45"/>
        <v>0.38389298455326237</v>
      </c>
      <c r="S168" s="9">
        <f t="shared" si="53"/>
        <v>17.282488078641009</v>
      </c>
      <c r="T168" s="9">
        <f t="shared" si="53"/>
        <v>9.1478631305391716</v>
      </c>
      <c r="U168" s="8">
        <f t="shared" si="46"/>
        <v>1.9979755004209263E-2</v>
      </c>
      <c r="V168" s="8">
        <f t="shared" si="47"/>
        <v>1.057556431276205E-2</v>
      </c>
      <c r="W168" s="8">
        <f t="shared" si="48"/>
        <v>17.262508323636801</v>
      </c>
      <c r="X168" s="8">
        <f t="shared" si="49"/>
        <v>9.1372875662264104</v>
      </c>
      <c r="Y168" s="8">
        <f t="shared" si="50"/>
        <v>0</v>
      </c>
      <c r="Z168" s="8">
        <f t="shared" si="51"/>
        <v>0</v>
      </c>
      <c r="AA168" s="10">
        <v>407.39587848230002</v>
      </c>
      <c r="AB168" s="11">
        <v>215.64034757863999</v>
      </c>
    </row>
    <row r="169" spans="1:28" x14ac:dyDescent="0.35">
      <c r="A169" s="13" t="s">
        <v>42</v>
      </c>
      <c r="B169" s="21" t="s">
        <v>68</v>
      </c>
      <c r="C169" s="29">
        <f t="shared" si="38"/>
        <v>17.975735863360232</v>
      </c>
      <c r="D169" s="30">
        <v>0.12228391743782471</v>
      </c>
      <c r="E169" s="30">
        <v>17.853451945922409</v>
      </c>
      <c r="F169" s="30">
        <v>48.730141098973149</v>
      </c>
      <c r="G169" s="31">
        <f t="shared" si="39"/>
        <v>47.847404069968846</v>
      </c>
      <c r="H169" s="30">
        <v>33.826788661238261</v>
      </c>
      <c r="I169" s="30">
        <v>14.020615408730588</v>
      </c>
      <c r="J169" s="30">
        <v>0</v>
      </c>
      <c r="K169" s="9">
        <f t="shared" si="52"/>
        <v>5.4045695761709833</v>
      </c>
      <c r="L169" s="9">
        <f t="shared" si="52"/>
        <v>5.7787986646434559</v>
      </c>
      <c r="M169" s="8">
        <f t="shared" si="40"/>
        <v>3.6765779429734573E-2</v>
      </c>
      <c r="N169" s="8">
        <f t="shared" si="41"/>
        <v>3.9311555541792213E-2</v>
      </c>
      <c r="O169" s="8">
        <f t="shared" si="42"/>
        <v>5.3678037967412484</v>
      </c>
      <c r="P169" s="8">
        <f t="shared" si="43"/>
        <v>5.7394871091016642</v>
      </c>
      <c r="Q169" s="8">
        <f t="shared" si="44"/>
        <v>14.651163102749228</v>
      </c>
      <c r="R169" s="8">
        <f t="shared" si="45"/>
        <v>15.665654883404198</v>
      </c>
      <c r="S169" s="9">
        <f t="shared" si="53"/>
        <v>14.385760132490832</v>
      </c>
      <c r="T169" s="9">
        <f t="shared" si="53"/>
        <v>15.381874591836883</v>
      </c>
      <c r="U169" s="8">
        <f t="shared" si="46"/>
        <v>10.170333734750328</v>
      </c>
      <c r="V169" s="8">
        <f t="shared" si="47"/>
        <v>10.874559051748271</v>
      </c>
      <c r="W169" s="8">
        <f t="shared" si="48"/>
        <v>4.2154263977405044</v>
      </c>
      <c r="X169" s="8">
        <f t="shared" si="49"/>
        <v>4.5073155400886131</v>
      </c>
      <c r="Y169" s="8">
        <f t="shared" si="50"/>
        <v>0</v>
      </c>
      <c r="Z169" s="8">
        <f t="shared" si="51"/>
        <v>0</v>
      </c>
      <c r="AA169" s="10">
        <v>311.06354290107998</v>
      </c>
      <c r="AB169" s="11">
        <v>332.60254327404999</v>
      </c>
    </row>
    <row r="170" spans="1:28" x14ac:dyDescent="0.35">
      <c r="A170" s="13" t="s">
        <v>43</v>
      </c>
      <c r="B170" s="21" t="s">
        <v>68</v>
      </c>
      <c r="C170" s="29">
        <f t="shared" si="38"/>
        <v>0.97330000000000005</v>
      </c>
      <c r="D170" s="30">
        <v>0.22389999999999999</v>
      </c>
      <c r="E170" s="30">
        <v>0.74940000000000007</v>
      </c>
      <c r="F170" s="30">
        <v>0</v>
      </c>
      <c r="G170" s="31">
        <f t="shared" si="39"/>
        <v>1.5502562191675586</v>
      </c>
      <c r="H170" s="30">
        <v>1.1471896021839934</v>
      </c>
      <c r="I170" s="30">
        <v>0.40306661698356522</v>
      </c>
      <c r="J170" s="30">
        <v>0</v>
      </c>
      <c r="K170" s="9">
        <f t="shared" si="52"/>
        <v>3.6187996377830292</v>
      </c>
      <c r="L170" s="9">
        <f t="shared" si="52"/>
        <v>2.1199447987599989</v>
      </c>
      <c r="M170" s="8">
        <f t="shared" si="40"/>
        <v>0.83247635764884431</v>
      </c>
      <c r="N170" s="8">
        <f t="shared" si="41"/>
        <v>0.48767660581769617</v>
      </c>
      <c r="O170" s="8">
        <f t="shared" si="42"/>
        <v>2.7863232801341851</v>
      </c>
      <c r="P170" s="8">
        <f t="shared" si="43"/>
        <v>1.6322681929423026</v>
      </c>
      <c r="Q170" s="8">
        <f t="shared" si="44"/>
        <v>0</v>
      </c>
      <c r="R170" s="8">
        <f t="shared" si="45"/>
        <v>0</v>
      </c>
      <c r="S170" s="9">
        <f t="shared" si="53"/>
        <v>5.7639644964496544</v>
      </c>
      <c r="T170" s="9">
        <f t="shared" si="53"/>
        <v>3.3766131804886532</v>
      </c>
      <c r="U170" s="8">
        <f t="shared" si="46"/>
        <v>4.2653337273727443</v>
      </c>
      <c r="V170" s="8">
        <f t="shared" si="47"/>
        <v>2.4986937535616036</v>
      </c>
      <c r="W170" s="8">
        <f t="shared" si="48"/>
        <v>1.4986307690769103</v>
      </c>
      <c r="X170" s="8">
        <f t="shared" si="49"/>
        <v>0.87791942692704983</v>
      </c>
      <c r="Y170" s="8">
        <f t="shared" si="50"/>
        <v>0</v>
      </c>
      <c r="Z170" s="8">
        <f t="shared" si="51"/>
        <v>0</v>
      </c>
      <c r="AA170" s="10">
        <v>45.911572818750003</v>
      </c>
      <c r="AB170" s="11">
        <v>26.895658710639999</v>
      </c>
    </row>
    <row r="171" spans="1:28" x14ac:dyDescent="0.35">
      <c r="A171" s="13" t="s">
        <v>44</v>
      </c>
      <c r="B171" s="21" t="s">
        <v>68</v>
      </c>
      <c r="C171" s="29">
        <f t="shared" si="38"/>
        <v>6.8362783375329315</v>
      </c>
      <c r="D171" s="30">
        <v>2.1113714398056631</v>
      </c>
      <c r="E171" s="30">
        <v>4.7249068977272684</v>
      </c>
      <c r="F171" s="30">
        <v>2.3966919046442663</v>
      </c>
      <c r="G171" s="31">
        <f t="shared" si="39"/>
        <v>15.749689659090892</v>
      </c>
      <c r="H171" s="30">
        <v>1.8260509749670601</v>
      </c>
      <c r="I171" s="30">
        <v>13.923638684123832</v>
      </c>
      <c r="J171" s="30">
        <v>4.56512743741765</v>
      </c>
      <c r="K171" s="9">
        <f t="shared" si="52"/>
        <v>2.6835858949304816</v>
      </c>
      <c r="L171" s="9">
        <f t="shared" si="52"/>
        <v>2.6922715483124273</v>
      </c>
      <c r="M171" s="8">
        <f t="shared" si="40"/>
        <v>0.82882035152276967</v>
      </c>
      <c r="N171" s="8">
        <f t="shared" si="41"/>
        <v>0.83150289889448914</v>
      </c>
      <c r="O171" s="8">
        <f t="shared" si="42"/>
        <v>1.8547655434077117</v>
      </c>
      <c r="P171" s="8">
        <f t="shared" si="43"/>
        <v>1.8607686494179381</v>
      </c>
      <c r="Q171" s="8">
        <f t="shared" si="44"/>
        <v>0.94082310172854933</v>
      </c>
      <c r="R171" s="8">
        <f t="shared" si="45"/>
        <v>0.94386815550185255</v>
      </c>
      <c r="S171" s="9">
        <f t="shared" si="53"/>
        <v>6.1825518113590379</v>
      </c>
      <c r="T171" s="9">
        <f t="shared" si="53"/>
        <v>6.2025621647264586</v>
      </c>
      <c r="U171" s="8">
        <f t="shared" si="46"/>
        <v>0.71681760131699002</v>
      </c>
      <c r="V171" s="8">
        <f t="shared" si="47"/>
        <v>0.71913764228712584</v>
      </c>
      <c r="W171" s="8">
        <f t="shared" si="48"/>
        <v>5.4657342100420481</v>
      </c>
      <c r="X171" s="8">
        <f t="shared" si="49"/>
        <v>5.483424522439333</v>
      </c>
      <c r="Y171" s="8">
        <f t="shared" si="50"/>
        <v>1.7920440032924749</v>
      </c>
      <c r="Z171" s="8">
        <f t="shared" si="51"/>
        <v>1.7978441057178143</v>
      </c>
      <c r="AA171" s="10">
        <v>253.92231856471</v>
      </c>
      <c r="AB171" s="11">
        <v>254.7441596875</v>
      </c>
    </row>
    <row r="172" spans="1:28" x14ac:dyDescent="0.35">
      <c r="A172" s="13" t="s">
        <v>45</v>
      </c>
      <c r="B172" s="21" t="s">
        <v>68</v>
      </c>
      <c r="C172" s="29">
        <f t="shared" si="38"/>
        <v>25.336457277667957</v>
      </c>
      <c r="D172" s="30">
        <v>1.0613921291996038</v>
      </c>
      <c r="E172" s="30">
        <v>24.275065148468354</v>
      </c>
      <c r="F172" s="30">
        <v>0.84454857592226529</v>
      </c>
      <c r="G172" s="31">
        <f t="shared" si="39"/>
        <v>7.2471398069005195</v>
      </c>
      <c r="H172" s="30">
        <v>3.8803583218050024</v>
      </c>
      <c r="I172" s="30">
        <v>3.3667814850955171</v>
      </c>
      <c r="J172" s="30">
        <v>0</v>
      </c>
      <c r="K172" s="9">
        <f t="shared" si="52"/>
        <v>12.425739817153806</v>
      </c>
      <c r="L172" s="9">
        <f t="shared" si="52"/>
        <v>8.4022213973238085</v>
      </c>
      <c r="M172" s="8">
        <f t="shared" si="40"/>
        <v>0.5205377490969838</v>
      </c>
      <c r="N172" s="8">
        <f t="shared" si="41"/>
        <v>0.35198495042842992</v>
      </c>
      <c r="O172" s="8">
        <f t="shared" si="42"/>
        <v>11.905202068056822</v>
      </c>
      <c r="P172" s="8">
        <f t="shared" si="43"/>
        <v>8.0502364468953793</v>
      </c>
      <c r="Q172" s="8">
        <f t="shared" si="44"/>
        <v>0.41419132723846014</v>
      </c>
      <c r="R172" s="8">
        <f t="shared" si="45"/>
        <v>0.28007404657746032</v>
      </c>
      <c r="S172" s="9">
        <f t="shared" si="53"/>
        <v>3.5542093621138138</v>
      </c>
      <c r="T172" s="9">
        <f t="shared" si="53"/>
        <v>2.4033381023876661</v>
      </c>
      <c r="U172" s="8">
        <f t="shared" si="46"/>
        <v>1.90304123325779</v>
      </c>
      <c r="V172" s="8">
        <f t="shared" si="47"/>
        <v>1.2868267004910339</v>
      </c>
      <c r="W172" s="8">
        <f t="shared" si="48"/>
        <v>1.6511681288560238</v>
      </c>
      <c r="X172" s="8">
        <f t="shared" si="49"/>
        <v>1.1165114018966324</v>
      </c>
      <c r="Y172" s="8">
        <f t="shared" si="50"/>
        <v>0</v>
      </c>
      <c r="Z172" s="8">
        <f t="shared" si="51"/>
        <v>0</v>
      </c>
      <c r="AA172" s="10">
        <v>301.54474727050001</v>
      </c>
      <c r="AB172" s="11">
        <v>203.90300819506001</v>
      </c>
    </row>
    <row r="173" spans="1:28" x14ac:dyDescent="0.35">
      <c r="A173" s="13" t="s">
        <v>46</v>
      </c>
      <c r="B173" s="21" t="s">
        <v>68</v>
      </c>
      <c r="C173" s="29">
        <f t="shared" si="38"/>
        <v>2.0091211225997045</v>
      </c>
      <c r="D173" s="30">
        <v>0.10494830132939439</v>
      </c>
      <c r="E173" s="30">
        <v>1.90417282127031</v>
      </c>
      <c r="F173" s="30">
        <v>0</v>
      </c>
      <c r="G173" s="31">
        <f t="shared" si="39"/>
        <v>0.33264401772525848</v>
      </c>
      <c r="H173" s="30">
        <v>0.1</v>
      </c>
      <c r="I173" s="30">
        <v>0.23264401772525847</v>
      </c>
      <c r="J173" s="30">
        <v>0</v>
      </c>
      <c r="K173" s="9">
        <f t="shared" si="52"/>
        <v>9.6918530600024297</v>
      </c>
      <c r="L173" s="9">
        <f t="shared" si="52"/>
        <v>10.535980255862844</v>
      </c>
      <c r="M173" s="8">
        <f t="shared" si="40"/>
        <v>0.50626291463464101</v>
      </c>
      <c r="N173" s="8">
        <f t="shared" si="41"/>
        <v>0.55035667997063265</v>
      </c>
      <c r="O173" s="8">
        <f t="shared" si="42"/>
        <v>9.1855901453677884</v>
      </c>
      <c r="P173" s="8">
        <f t="shared" si="43"/>
        <v>9.9856235758922107</v>
      </c>
      <c r="Q173" s="8">
        <f t="shared" si="44"/>
        <v>0</v>
      </c>
      <c r="R173" s="8">
        <f t="shared" si="45"/>
        <v>0</v>
      </c>
      <c r="S173" s="9">
        <f t="shared" si="53"/>
        <v>1.6046503641903045</v>
      </c>
      <c r="T173" s="9">
        <f t="shared" si="53"/>
        <v>1.7444099131511113</v>
      </c>
      <c r="U173" s="8">
        <f t="shared" si="46"/>
        <v>0.48239267165046013</v>
      </c>
      <c r="V173" s="8">
        <f t="shared" si="47"/>
        <v>0.52440742060537404</v>
      </c>
      <c r="W173" s="8">
        <f t="shared" si="48"/>
        <v>1.1222576925398444</v>
      </c>
      <c r="X173" s="8">
        <f t="shared" si="49"/>
        <v>1.2200024925457371</v>
      </c>
      <c r="Y173" s="8">
        <f t="shared" si="50"/>
        <v>0</v>
      </c>
      <c r="Z173" s="8">
        <f t="shared" si="51"/>
        <v>0</v>
      </c>
      <c r="AA173" s="10">
        <v>19.06914282116</v>
      </c>
      <c r="AB173" s="11">
        <v>20.729999827290001</v>
      </c>
    </row>
    <row r="174" spans="1:28" x14ac:dyDescent="0.35">
      <c r="A174" s="13" t="s">
        <v>47</v>
      </c>
      <c r="B174" s="21" t="s">
        <v>68</v>
      </c>
      <c r="C174" s="29">
        <f t="shared" si="38"/>
        <v>36.545111825001776</v>
      </c>
      <c r="D174" s="30">
        <v>5.9326480235392491</v>
      </c>
      <c r="E174" s="30">
        <v>30.612463801462525</v>
      </c>
      <c r="F174" s="30">
        <v>2.3730592094156995</v>
      </c>
      <c r="G174" s="31">
        <f t="shared" si="39"/>
        <v>7.8310953910718082</v>
      </c>
      <c r="H174" s="30">
        <v>5.4580361816561087</v>
      </c>
      <c r="I174" s="30">
        <v>2.3730592094156995</v>
      </c>
      <c r="J174" s="30">
        <v>0</v>
      </c>
      <c r="K174" s="9">
        <f t="shared" si="52"/>
        <v>9.8380613897235776</v>
      </c>
      <c r="L174" s="9">
        <f t="shared" si="52"/>
        <v>8.7451352001853628</v>
      </c>
      <c r="M174" s="8">
        <f t="shared" si="40"/>
        <v>1.5970878879421391</v>
      </c>
      <c r="N174" s="8">
        <f t="shared" si="41"/>
        <v>1.4196648052248966</v>
      </c>
      <c r="O174" s="8">
        <f t="shared" si="42"/>
        <v>8.2409735017814381</v>
      </c>
      <c r="P174" s="8">
        <f t="shared" si="43"/>
        <v>7.3254703949604663</v>
      </c>
      <c r="Q174" s="8">
        <f t="shared" si="44"/>
        <v>0.63883515517685563</v>
      </c>
      <c r="R174" s="8">
        <f t="shared" si="45"/>
        <v>0.56786592208995856</v>
      </c>
      <c r="S174" s="9">
        <f t="shared" si="53"/>
        <v>2.1081560120836231</v>
      </c>
      <c r="T174" s="9">
        <f t="shared" si="53"/>
        <v>1.8739575428968633</v>
      </c>
      <c r="U174" s="8">
        <f t="shared" si="46"/>
        <v>1.4693208569067677</v>
      </c>
      <c r="V174" s="8">
        <f t="shared" si="47"/>
        <v>1.3060916208069047</v>
      </c>
      <c r="W174" s="8">
        <f t="shared" si="48"/>
        <v>0.63883515517685563</v>
      </c>
      <c r="X174" s="8">
        <f t="shared" si="49"/>
        <v>0.56786592208995856</v>
      </c>
      <c r="Y174" s="8">
        <f t="shared" si="50"/>
        <v>0</v>
      </c>
      <c r="Z174" s="8">
        <f t="shared" si="51"/>
        <v>0</v>
      </c>
      <c r="AA174" s="10">
        <v>417.89075855828003</v>
      </c>
      <c r="AB174" s="11">
        <v>371.46659669328</v>
      </c>
    </row>
    <row r="175" spans="1:28" x14ac:dyDescent="0.35">
      <c r="A175" s="13" t="s">
        <v>48</v>
      </c>
      <c r="B175" s="21" t="s">
        <v>68</v>
      </c>
      <c r="C175" s="29">
        <f t="shared" si="38"/>
        <v>40.23348958694659</v>
      </c>
      <c r="D175" s="30">
        <v>5.0110302915150085</v>
      </c>
      <c r="E175" s="30">
        <v>35.222459295431584</v>
      </c>
      <c r="F175" s="30">
        <v>2.1002753047915084</v>
      </c>
      <c r="G175" s="31">
        <f t="shared" si="39"/>
        <v>18.184956304280554</v>
      </c>
      <c r="H175" s="30">
        <v>3.5440330177671364</v>
      </c>
      <c r="I175" s="30">
        <v>14.640923286513416</v>
      </c>
      <c r="J175" s="30">
        <v>0</v>
      </c>
      <c r="K175" s="9">
        <f t="shared" si="52"/>
        <v>11.223975121405827</v>
      </c>
      <c r="L175" s="9">
        <f t="shared" si="52"/>
        <v>11.750547973735779</v>
      </c>
      <c r="M175" s="8">
        <f t="shared" si="40"/>
        <v>1.3979319194530724</v>
      </c>
      <c r="N175" s="8">
        <f t="shared" si="41"/>
        <v>1.4635159028660083</v>
      </c>
      <c r="O175" s="8">
        <f t="shared" si="42"/>
        <v>9.8260432019527553</v>
      </c>
      <c r="P175" s="8">
        <f t="shared" si="43"/>
        <v>10.28703207086977</v>
      </c>
      <c r="Q175" s="8">
        <f t="shared" si="44"/>
        <v>0.58591581319685304</v>
      </c>
      <c r="R175" s="8">
        <f t="shared" si="45"/>
        <v>0.61340405667949227</v>
      </c>
      <c r="S175" s="9">
        <f t="shared" si="53"/>
        <v>5.0730746758123093</v>
      </c>
      <c r="T175" s="9">
        <f t="shared" si="53"/>
        <v>5.31107800112534</v>
      </c>
      <c r="U175" s="8">
        <f t="shared" si="46"/>
        <v>0.98868228506246281</v>
      </c>
      <c r="V175" s="8">
        <f t="shared" si="47"/>
        <v>1.0350663197081336</v>
      </c>
      <c r="W175" s="8">
        <f t="shared" si="48"/>
        <v>4.0843923907498461</v>
      </c>
      <c r="X175" s="8">
        <f t="shared" si="49"/>
        <v>4.2760116814172067</v>
      </c>
      <c r="Y175" s="8">
        <f t="shared" si="50"/>
        <v>0</v>
      </c>
      <c r="Z175" s="8">
        <f t="shared" si="51"/>
        <v>0</v>
      </c>
      <c r="AA175" s="10">
        <v>342.39670930134002</v>
      </c>
      <c r="AB175" s="11">
        <v>358.46025273358998</v>
      </c>
    </row>
    <row r="176" spans="1:28" x14ac:dyDescent="0.35">
      <c r="A176" s="15" t="s">
        <v>49</v>
      </c>
      <c r="B176" s="21" t="s">
        <v>68</v>
      </c>
      <c r="C176" s="29">
        <f t="shared" si="38"/>
        <v>2.9126178965863909</v>
      </c>
      <c r="D176" s="30">
        <v>0.67911263411214207</v>
      </c>
      <c r="E176" s="30">
        <v>2.2335052624742486</v>
      </c>
      <c r="F176" s="30">
        <v>0</v>
      </c>
      <c r="G176" s="31">
        <f t="shared" si="39"/>
        <v>1.0455461485605735</v>
      </c>
      <c r="H176" s="30">
        <v>0.2896249719004359</v>
      </c>
      <c r="I176" s="30">
        <v>0.75592117666013769</v>
      </c>
      <c r="J176" s="30">
        <v>0</v>
      </c>
      <c r="K176" s="9">
        <f t="shared" si="52"/>
        <v>9.6571963197389223</v>
      </c>
      <c r="L176" s="9">
        <f t="shared" si="52"/>
        <v>5.2552901447769678</v>
      </c>
      <c r="M176" s="8">
        <f t="shared" si="40"/>
        <v>2.2516939274878407</v>
      </c>
      <c r="N176" s="8">
        <f t="shared" si="41"/>
        <v>1.2253354404729446</v>
      </c>
      <c r="O176" s="8">
        <f t="shared" si="42"/>
        <v>7.4055023922510825</v>
      </c>
      <c r="P176" s="8">
        <f t="shared" si="43"/>
        <v>4.0299547043040231</v>
      </c>
      <c r="Q176" s="8">
        <f t="shared" si="44"/>
        <v>0</v>
      </c>
      <c r="R176" s="8">
        <f t="shared" si="45"/>
        <v>0</v>
      </c>
      <c r="S176" s="9">
        <f t="shared" si="53"/>
        <v>3.4666560381401847</v>
      </c>
      <c r="T176" s="9">
        <f t="shared" si="53"/>
        <v>1.8864981832596941</v>
      </c>
      <c r="U176" s="8">
        <f t="shared" si="46"/>
        <v>0.96029253134077153</v>
      </c>
      <c r="V176" s="8">
        <f t="shared" si="47"/>
        <v>0.52257567403315619</v>
      </c>
      <c r="W176" s="8">
        <f t="shared" si="48"/>
        <v>2.5063635067994134</v>
      </c>
      <c r="X176" s="8">
        <f t="shared" si="49"/>
        <v>1.3639225092265379</v>
      </c>
      <c r="Y176" s="8">
        <f t="shared" si="50"/>
        <v>0</v>
      </c>
      <c r="Z176" s="8">
        <f t="shared" si="51"/>
        <v>0</v>
      </c>
      <c r="AA176" s="16">
        <v>55.422589739999999</v>
      </c>
      <c r="AB176" s="11">
        <v>30.160077523049999</v>
      </c>
    </row>
    <row r="177" spans="1:28" x14ac:dyDescent="0.35">
      <c r="A177" s="13" t="s">
        <v>50</v>
      </c>
      <c r="B177" s="21" t="s">
        <v>68</v>
      </c>
      <c r="C177" s="29">
        <f t="shared" si="38"/>
        <v>3.6064506755599437</v>
      </c>
      <c r="D177" s="30">
        <v>0.73042038998682401</v>
      </c>
      <c r="E177" s="30">
        <v>2.8760302855731195</v>
      </c>
      <c r="F177" s="30">
        <v>1.4950792357542804</v>
      </c>
      <c r="G177" s="31">
        <f t="shared" si="39"/>
        <v>1.5635561473155453</v>
      </c>
      <c r="H177" s="30">
        <v>0.42227428796113264</v>
      </c>
      <c r="I177" s="30">
        <v>1.1412818593544125</v>
      </c>
      <c r="J177" s="30">
        <v>0</v>
      </c>
      <c r="K177" s="9">
        <f t="shared" si="52"/>
        <v>7.479660681066771</v>
      </c>
      <c r="L177" s="9">
        <f t="shared" si="52"/>
        <v>3.7127820296221064</v>
      </c>
      <c r="M177" s="8">
        <f t="shared" si="40"/>
        <v>1.5148679860388399</v>
      </c>
      <c r="N177" s="8">
        <f t="shared" si="41"/>
        <v>0.75195585410067978</v>
      </c>
      <c r="O177" s="8">
        <f t="shared" si="42"/>
        <v>5.9647926950279313</v>
      </c>
      <c r="P177" s="8">
        <f t="shared" si="43"/>
        <v>2.9608261755214267</v>
      </c>
      <c r="Q177" s="8">
        <f t="shared" si="44"/>
        <v>3.1007454089232502</v>
      </c>
      <c r="R177" s="8">
        <f t="shared" si="45"/>
        <v>1.5391596388623288</v>
      </c>
      <c r="S177" s="9">
        <f t="shared" si="53"/>
        <v>3.2427642826143916</v>
      </c>
      <c r="T177" s="9">
        <f t="shared" si="53"/>
        <v>1.6096555001842676</v>
      </c>
      <c r="U177" s="8">
        <f t="shared" si="46"/>
        <v>0.87578305442870441</v>
      </c>
      <c r="V177" s="8">
        <f t="shared" si="47"/>
        <v>0.43472447815195547</v>
      </c>
      <c r="W177" s="8">
        <f t="shared" si="48"/>
        <v>2.3669812281856872</v>
      </c>
      <c r="X177" s="8">
        <f t="shared" si="49"/>
        <v>1.1749310220323121</v>
      </c>
      <c r="Y177" s="8">
        <f t="shared" si="50"/>
        <v>0</v>
      </c>
      <c r="Z177" s="8">
        <f t="shared" si="51"/>
        <v>0</v>
      </c>
      <c r="AA177" s="10">
        <v>97.136073348400004</v>
      </c>
      <c r="AB177" s="11">
        <v>48.216768505140003</v>
      </c>
    </row>
    <row r="178" spans="1:28" x14ac:dyDescent="0.35">
      <c r="A178" s="13" t="s">
        <v>51</v>
      </c>
      <c r="B178" s="21" t="s">
        <v>68</v>
      </c>
      <c r="C178" s="29">
        <f t="shared" si="38"/>
        <v>3.0814610202569139</v>
      </c>
      <c r="D178" s="30">
        <v>0.34238455780632376</v>
      </c>
      <c r="E178" s="30">
        <v>2.7390764624505901</v>
      </c>
      <c r="F178" s="30">
        <v>5.2384837344367536</v>
      </c>
      <c r="G178" s="31">
        <f t="shared" si="39"/>
        <v>3.3097173921277965</v>
      </c>
      <c r="H178" s="30">
        <v>0.45651274374176504</v>
      </c>
      <c r="I178" s="30">
        <v>2.8532046483860314</v>
      </c>
      <c r="J178" s="30">
        <v>1.0157408548254272</v>
      </c>
      <c r="K178" s="9">
        <f t="shared" si="52"/>
        <v>4.6297730687428773</v>
      </c>
      <c r="L178" s="9">
        <f t="shared" si="52"/>
        <v>4.6447078336746168</v>
      </c>
      <c r="M178" s="8">
        <f t="shared" si="40"/>
        <v>0.51441922986031974</v>
      </c>
      <c r="N178" s="8">
        <f t="shared" si="41"/>
        <v>0.51607864818606852</v>
      </c>
      <c r="O178" s="8">
        <f t="shared" si="42"/>
        <v>4.1153538388825579</v>
      </c>
      <c r="P178" s="8">
        <f t="shared" si="43"/>
        <v>4.1286291854885482</v>
      </c>
      <c r="Q178" s="8">
        <f t="shared" si="44"/>
        <v>7.870614216862891</v>
      </c>
      <c r="R178" s="8">
        <f t="shared" si="45"/>
        <v>7.8960033172468469</v>
      </c>
      <c r="S178" s="9">
        <f t="shared" si="53"/>
        <v>4.9727192219830911</v>
      </c>
      <c r="T178" s="9">
        <f t="shared" si="53"/>
        <v>4.9887602657986614</v>
      </c>
      <c r="U178" s="8">
        <f t="shared" si="46"/>
        <v>0.68589230648042632</v>
      </c>
      <c r="V178" s="8">
        <f t="shared" si="47"/>
        <v>0.68810486424809125</v>
      </c>
      <c r="W178" s="8">
        <f t="shared" si="48"/>
        <v>4.2868269155026644</v>
      </c>
      <c r="X178" s="8">
        <f t="shared" si="49"/>
        <v>4.3006554015505705</v>
      </c>
      <c r="Y178" s="8">
        <f t="shared" si="50"/>
        <v>1.5261103819189485</v>
      </c>
      <c r="Z178" s="8">
        <f t="shared" si="51"/>
        <v>1.531033322952003</v>
      </c>
      <c r="AA178" s="10">
        <v>66.343484468840003</v>
      </c>
      <c r="AB178" s="11">
        <v>66.557495896739994</v>
      </c>
    </row>
    <row r="179" spans="1:28" x14ac:dyDescent="0.35">
      <c r="A179" s="13" t="s">
        <v>52</v>
      </c>
      <c r="B179" s="21" t="s">
        <v>68</v>
      </c>
      <c r="C179" s="29">
        <f t="shared" si="38"/>
        <v>41.200275122694293</v>
      </c>
      <c r="D179" s="30">
        <v>6.8020398817522985</v>
      </c>
      <c r="E179" s="30">
        <v>34.398235240941993</v>
      </c>
      <c r="F179" s="30">
        <v>14.380151427865597</v>
      </c>
      <c r="G179" s="31">
        <f t="shared" si="39"/>
        <v>74.183320858036808</v>
      </c>
      <c r="H179" s="30">
        <v>0</v>
      </c>
      <c r="I179" s="30">
        <v>74.183320858036808</v>
      </c>
      <c r="J179" s="30">
        <v>0</v>
      </c>
      <c r="K179" s="9">
        <f t="shared" si="52"/>
        <v>4.9033328305425483</v>
      </c>
      <c r="L179" s="9">
        <f t="shared" si="52"/>
        <v>4.4185423113249129</v>
      </c>
      <c r="M179" s="8">
        <f t="shared" si="40"/>
        <v>0.80952530941921297</v>
      </c>
      <c r="N179" s="8">
        <f t="shared" si="41"/>
        <v>0.72948787189740938</v>
      </c>
      <c r="O179" s="8">
        <f t="shared" si="42"/>
        <v>4.0938075211233356</v>
      </c>
      <c r="P179" s="8">
        <f t="shared" si="43"/>
        <v>3.6890544394275033</v>
      </c>
      <c r="Q179" s="8">
        <f t="shared" si="44"/>
        <v>1.7114125668929669</v>
      </c>
      <c r="R179" s="8">
        <f t="shared" si="45"/>
        <v>1.5422059036757312</v>
      </c>
      <c r="S179" s="9">
        <f t="shared" si="53"/>
        <v>8.8287156228605426</v>
      </c>
      <c r="T179" s="9">
        <f t="shared" si="53"/>
        <v>7.9558241062636927</v>
      </c>
      <c r="U179" s="8">
        <f t="shared" si="46"/>
        <v>0</v>
      </c>
      <c r="V179" s="8">
        <f t="shared" si="47"/>
        <v>0</v>
      </c>
      <c r="W179" s="8">
        <f t="shared" si="48"/>
        <v>8.8287156228605426</v>
      </c>
      <c r="X179" s="8">
        <f t="shared" si="49"/>
        <v>7.9558241062636927</v>
      </c>
      <c r="Y179" s="8">
        <f t="shared" si="50"/>
        <v>0</v>
      </c>
      <c r="Z179" s="8">
        <f t="shared" si="51"/>
        <v>0</v>
      </c>
      <c r="AA179" s="10">
        <v>932.44043441874999</v>
      </c>
      <c r="AB179" s="11">
        <v>840.25042856688003</v>
      </c>
    </row>
    <row r="180" spans="1:28" x14ac:dyDescent="0.35">
      <c r="A180" s="13" t="s">
        <v>53</v>
      </c>
      <c r="B180" s="21" t="s">
        <v>68</v>
      </c>
      <c r="C180" s="29">
        <f t="shared" si="38"/>
        <v>40.366333649903929</v>
      </c>
      <c r="D180" s="30">
        <v>2.5350837557910677</v>
      </c>
      <c r="E180" s="30">
        <v>37.831249894112858</v>
      </c>
      <c r="F180" s="30">
        <v>0</v>
      </c>
      <c r="G180" s="31">
        <f t="shared" si="39"/>
        <v>5.8176922088025798</v>
      </c>
      <c r="H180" s="30">
        <v>1.7550579847784318</v>
      </c>
      <c r="I180" s="30">
        <v>4.0626342240241478</v>
      </c>
      <c r="J180" s="30">
        <v>0</v>
      </c>
      <c r="K180" s="9">
        <f t="shared" si="52"/>
        <v>19.890861906826892</v>
      </c>
      <c r="L180" s="9">
        <f t="shared" si="52"/>
        <v>20.810198388109875</v>
      </c>
      <c r="M180" s="8">
        <f t="shared" si="40"/>
        <v>1.249184564196858</v>
      </c>
      <c r="N180" s="8">
        <f t="shared" si="41"/>
        <v>1.3069206717170454</v>
      </c>
      <c r="O180" s="8">
        <f t="shared" si="42"/>
        <v>18.641677342630032</v>
      </c>
      <c r="P180" s="8">
        <f t="shared" si="43"/>
        <v>19.50327771639283</v>
      </c>
      <c r="Q180" s="8">
        <f t="shared" si="44"/>
        <v>0</v>
      </c>
      <c r="R180" s="8">
        <f t="shared" si="45"/>
        <v>0</v>
      </c>
      <c r="S180" s="9">
        <f t="shared" si="53"/>
        <v>2.8667184229645848</v>
      </c>
      <c r="T180" s="9">
        <f t="shared" si="53"/>
        <v>2.9992153876583481</v>
      </c>
      <c r="U180" s="8">
        <f t="shared" si="46"/>
        <v>0.86482008290551715</v>
      </c>
      <c r="V180" s="8">
        <f t="shared" si="47"/>
        <v>0.90479123426564689</v>
      </c>
      <c r="W180" s="8">
        <f t="shared" si="48"/>
        <v>2.0018983400590677</v>
      </c>
      <c r="X180" s="8">
        <f t="shared" si="49"/>
        <v>2.0944241533927013</v>
      </c>
      <c r="Y180" s="8">
        <f t="shared" si="50"/>
        <v>0</v>
      </c>
      <c r="Z180" s="8">
        <f t="shared" si="51"/>
        <v>0</v>
      </c>
      <c r="AA180" s="10">
        <v>193.97380504054999</v>
      </c>
      <c r="AB180" s="11">
        <v>202.93908750153</v>
      </c>
    </row>
    <row r="181" spans="1:28" x14ac:dyDescent="0.35">
      <c r="A181" s="13" t="s">
        <v>54</v>
      </c>
      <c r="B181" s="21" t="s">
        <v>68</v>
      </c>
      <c r="C181" s="29">
        <f t="shared" si="38"/>
        <v>13.413576422692262</v>
      </c>
      <c r="D181" s="30">
        <v>1.1470041596601461</v>
      </c>
      <c r="E181" s="30">
        <v>12.266572263032117</v>
      </c>
      <c r="F181" s="30">
        <v>0</v>
      </c>
      <c r="G181" s="31">
        <f t="shared" si="39"/>
        <v>13.764049915921753</v>
      </c>
      <c r="H181" s="30">
        <v>5.4801309850429201</v>
      </c>
      <c r="I181" s="30">
        <v>8.2839189308788317</v>
      </c>
      <c r="J181" s="30">
        <v>0</v>
      </c>
      <c r="K181" s="9">
        <f t="shared" si="52"/>
        <v>3.2696156528031333</v>
      </c>
      <c r="L181" s="9">
        <f t="shared" si="52"/>
        <v>4.0591324532398243</v>
      </c>
      <c r="M181" s="8">
        <f t="shared" si="40"/>
        <v>0.27958708670050547</v>
      </c>
      <c r="N181" s="8">
        <f t="shared" si="41"/>
        <v>0.34709921215352418</v>
      </c>
      <c r="O181" s="8">
        <f t="shared" si="42"/>
        <v>2.9900285661026276</v>
      </c>
      <c r="P181" s="8">
        <f t="shared" si="43"/>
        <v>3.7120332410863002</v>
      </c>
      <c r="Q181" s="8">
        <f t="shared" si="44"/>
        <v>0</v>
      </c>
      <c r="R181" s="8">
        <f t="shared" si="45"/>
        <v>0</v>
      </c>
      <c r="S181" s="9">
        <f t="shared" si="53"/>
        <v>3.3550450404060657</v>
      </c>
      <c r="T181" s="9">
        <f t="shared" si="53"/>
        <v>4.1651905458422895</v>
      </c>
      <c r="U181" s="8">
        <f t="shared" si="46"/>
        <v>1.3358049697913039</v>
      </c>
      <c r="V181" s="8">
        <f t="shared" si="47"/>
        <v>1.658362902511282</v>
      </c>
      <c r="W181" s="8">
        <f t="shared" si="48"/>
        <v>2.0192400706147615</v>
      </c>
      <c r="X181" s="8">
        <f t="shared" si="49"/>
        <v>2.5068276433310075</v>
      </c>
      <c r="Y181" s="8">
        <f t="shared" si="50"/>
        <v>0</v>
      </c>
      <c r="Z181" s="8">
        <f t="shared" si="51"/>
        <v>0</v>
      </c>
      <c r="AA181" s="10">
        <v>330.45426768437</v>
      </c>
      <c r="AB181" s="11">
        <v>410.24933347112</v>
      </c>
    </row>
    <row r="182" spans="1:28" x14ac:dyDescent="0.35">
      <c r="A182" s="13" t="s">
        <v>55</v>
      </c>
      <c r="B182" s="21" t="s">
        <v>68</v>
      </c>
      <c r="C182" s="29">
        <f t="shared" si="38"/>
        <v>12.554100452898536</v>
      </c>
      <c r="D182" s="30">
        <v>2.1684355327733837</v>
      </c>
      <c r="E182" s="30">
        <v>10.385664920125153</v>
      </c>
      <c r="F182" s="30">
        <v>1.2554100452898538</v>
      </c>
      <c r="G182" s="31">
        <f t="shared" si="39"/>
        <v>13.124741382575744</v>
      </c>
      <c r="H182" s="30">
        <v>0</v>
      </c>
      <c r="I182" s="30">
        <v>13.124741382575744</v>
      </c>
      <c r="J182" s="30">
        <v>0</v>
      </c>
      <c r="K182" s="9">
        <f t="shared" si="52"/>
        <v>5.6457843169401318</v>
      </c>
      <c r="L182" s="9">
        <f t="shared" si="52"/>
        <v>3.6792246513802249</v>
      </c>
      <c r="M182" s="8">
        <f t="shared" si="40"/>
        <v>0.97518092747147722</v>
      </c>
      <c r="N182" s="8">
        <f t="shared" si="41"/>
        <v>0.63550243978385701</v>
      </c>
      <c r="O182" s="8">
        <f t="shared" si="42"/>
        <v>4.6706033894686545</v>
      </c>
      <c r="P182" s="8">
        <f t="shared" si="43"/>
        <v>3.0437222115963678</v>
      </c>
      <c r="Q182" s="8">
        <f t="shared" si="44"/>
        <v>0.56457843169401312</v>
      </c>
      <c r="R182" s="8">
        <f t="shared" si="45"/>
        <v>0.36792246513802251</v>
      </c>
      <c r="S182" s="9">
        <f t="shared" si="53"/>
        <v>5.9024108768010466</v>
      </c>
      <c r="T182" s="9">
        <f t="shared" si="53"/>
        <v>3.8464621355338715</v>
      </c>
      <c r="U182" s="8">
        <f t="shared" si="46"/>
        <v>0</v>
      </c>
      <c r="V182" s="8">
        <f t="shared" si="47"/>
        <v>0</v>
      </c>
      <c r="W182" s="8">
        <f t="shared" si="48"/>
        <v>5.9024108768010466</v>
      </c>
      <c r="X182" s="8">
        <f t="shared" si="49"/>
        <v>3.8464621355338715</v>
      </c>
      <c r="Y182" s="8">
        <f t="shared" si="50"/>
        <v>0</v>
      </c>
      <c r="Z182" s="8">
        <f t="shared" si="51"/>
        <v>0</v>
      </c>
      <c r="AA182" s="10">
        <v>341.21592570296002</v>
      </c>
      <c r="AB182" s="11">
        <v>222.36238134761999</v>
      </c>
    </row>
    <row r="183" spans="1:28" x14ac:dyDescent="0.35">
      <c r="A183" s="13" t="s">
        <v>56</v>
      </c>
      <c r="B183" s="21" t="s">
        <v>68</v>
      </c>
      <c r="C183" s="29">
        <f t="shared" si="38"/>
        <v>4.6197248733241425</v>
      </c>
      <c r="D183" s="30">
        <v>0.28079327190109787</v>
      </c>
      <c r="E183" s="30">
        <v>4.3389316014230443</v>
      </c>
      <c r="F183" s="30">
        <v>0.6006120601465349</v>
      </c>
      <c r="G183" s="31">
        <f t="shared" si="39"/>
        <v>4.5823680163275764</v>
      </c>
      <c r="H183" s="30">
        <v>0</v>
      </c>
      <c r="I183" s="30">
        <v>4.5823680163275764</v>
      </c>
      <c r="J183" s="30">
        <v>0</v>
      </c>
      <c r="K183" s="9">
        <f t="shared" si="52"/>
        <v>4.6434500625741491</v>
      </c>
      <c r="L183" s="9">
        <f t="shared" si="52"/>
        <v>2.5423369882614839</v>
      </c>
      <c r="M183" s="8">
        <f t="shared" si="40"/>
        <v>0.28223532174143579</v>
      </c>
      <c r="N183" s="8">
        <f t="shared" si="41"/>
        <v>0.15452676096173151</v>
      </c>
      <c r="O183" s="8">
        <f t="shared" si="42"/>
        <v>4.3612147408327129</v>
      </c>
      <c r="P183" s="8">
        <f t="shared" si="43"/>
        <v>2.3878102272997523</v>
      </c>
      <c r="Q183" s="8">
        <f t="shared" si="44"/>
        <v>0.60369658036874452</v>
      </c>
      <c r="R183" s="8">
        <f t="shared" si="45"/>
        <v>0.33053012851991281</v>
      </c>
      <c r="S183" s="9">
        <f t="shared" si="53"/>
        <v>4.6059013546500216</v>
      </c>
      <c r="T183" s="9">
        <f t="shared" si="53"/>
        <v>2.5217786818878785</v>
      </c>
      <c r="U183" s="8">
        <f t="shared" si="46"/>
        <v>0</v>
      </c>
      <c r="V183" s="8">
        <f t="shared" si="47"/>
        <v>0</v>
      </c>
      <c r="W183" s="8">
        <f t="shared" si="48"/>
        <v>4.6059013546500216</v>
      </c>
      <c r="X183" s="8">
        <f t="shared" si="49"/>
        <v>2.5217786818878785</v>
      </c>
      <c r="Y183" s="8">
        <f t="shared" si="50"/>
        <v>0</v>
      </c>
      <c r="Z183" s="8">
        <f t="shared" si="51"/>
        <v>0</v>
      </c>
      <c r="AA183" s="10">
        <v>181.71174374815001</v>
      </c>
      <c r="AB183" s="11">
        <v>99.489061173690004</v>
      </c>
    </row>
    <row r="184" spans="1:28" x14ac:dyDescent="0.35">
      <c r="A184" s="13" t="s">
        <v>57</v>
      </c>
      <c r="B184" s="21" t="s">
        <v>68</v>
      </c>
      <c r="C184" s="29">
        <f t="shared" si="38"/>
        <v>3.8232942288372822</v>
      </c>
      <c r="D184" s="30">
        <v>0.45651274374176504</v>
      </c>
      <c r="E184" s="30">
        <v>3.3667814850955171</v>
      </c>
      <c r="F184" s="30">
        <v>0.1</v>
      </c>
      <c r="G184" s="31">
        <f t="shared" si="39"/>
        <v>3.5</v>
      </c>
      <c r="H184" s="30">
        <v>1</v>
      </c>
      <c r="I184" s="30">
        <v>2.5</v>
      </c>
      <c r="J184" s="30">
        <v>0</v>
      </c>
      <c r="K184" s="9">
        <f t="shared" si="52"/>
        <v>7.5831963142869423</v>
      </c>
      <c r="L184" s="9">
        <f t="shared" si="52"/>
        <v>5.0281781526184028</v>
      </c>
      <c r="M184" s="8">
        <f t="shared" si="40"/>
        <v>0.90545627633276926</v>
      </c>
      <c r="N184" s="8">
        <f t="shared" si="41"/>
        <v>0.60037948090965998</v>
      </c>
      <c r="O184" s="8">
        <f t="shared" si="42"/>
        <v>6.6777400379541731</v>
      </c>
      <c r="P184" s="8">
        <f t="shared" si="43"/>
        <v>4.427798671708743</v>
      </c>
      <c r="Q184" s="8">
        <f t="shared" si="44"/>
        <v>0.19834194964882682</v>
      </c>
      <c r="R184" s="8">
        <f t="shared" si="45"/>
        <v>0.13151428720011285</v>
      </c>
      <c r="S184" s="9">
        <f t="shared" si="53"/>
        <v>6.9419682377089371</v>
      </c>
      <c r="T184" s="9">
        <f t="shared" si="53"/>
        <v>4.6030000520039493</v>
      </c>
      <c r="U184" s="8">
        <f t="shared" si="46"/>
        <v>1.9834194964882681</v>
      </c>
      <c r="V184" s="8">
        <f t="shared" si="47"/>
        <v>1.3151428720011284</v>
      </c>
      <c r="W184" s="8">
        <f t="shared" si="48"/>
        <v>4.9585487412206692</v>
      </c>
      <c r="X184" s="8">
        <f t="shared" si="49"/>
        <v>3.2878571800028213</v>
      </c>
      <c r="Y184" s="8">
        <f t="shared" si="50"/>
        <v>0</v>
      </c>
      <c r="Z184" s="8">
        <f t="shared" si="51"/>
        <v>0</v>
      </c>
      <c r="AA184" s="10">
        <v>76.037366075549997</v>
      </c>
      <c r="AB184" s="11">
        <v>50.417977728389999</v>
      </c>
    </row>
    <row r="185" spans="1:28" x14ac:dyDescent="0.35">
      <c r="A185" s="13" t="s">
        <v>58</v>
      </c>
      <c r="B185" s="21" t="s">
        <v>68</v>
      </c>
      <c r="C185" s="29">
        <f t="shared" si="38"/>
        <v>22.474815922163589</v>
      </c>
      <c r="D185" s="30">
        <v>4.125811618561432</v>
      </c>
      <c r="E185" s="30">
        <v>18.349004303602158</v>
      </c>
      <c r="F185" s="30">
        <v>36.372286637317892</v>
      </c>
      <c r="G185" s="31">
        <f t="shared" si="39"/>
        <v>28.413813173092809</v>
      </c>
      <c r="H185" s="30">
        <v>1.2703156825570725</v>
      </c>
      <c r="I185" s="30">
        <v>27.143497490535736</v>
      </c>
      <c r="J185" s="30">
        <v>0</v>
      </c>
      <c r="K185" s="9">
        <f t="shared" si="52"/>
        <v>4.087658419220789</v>
      </c>
      <c r="L185" s="9">
        <f t="shared" si="52"/>
        <v>4.3137470638911193</v>
      </c>
      <c r="M185" s="8">
        <f t="shared" si="40"/>
        <v>0.75039140062990328</v>
      </c>
      <c r="N185" s="8">
        <f t="shared" si="41"/>
        <v>0.79189559626986727</v>
      </c>
      <c r="O185" s="8">
        <f t="shared" si="42"/>
        <v>3.3372670185908859</v>
      </c>
      <c r="P185" s="8">
        <f t="shared" si="43"/>
        <v>3.5218514676212522</v>
      </c>
      <c r="Q185" s="8">
        <f t="shared" si="44"/>
        <v>6.6152926108162537</v>
      </c>
      <c r="R185" s="8">
        <f t="shared" si="45"/>
        <v>6.9811848618527783</v>
      </c>
      <c r="S185" s="9">
        <f t="shared" si="53"/>
        <v>5.1678270932854131</v>
      </c>
      <c r="T185" s="9">
        <f t="shared" si="53"/>
        <v>5.4536599353637971</v>
      </c>
      <c r="U185" s="8">
        <f t="shared" si="46"/>
        <v>0.23104156282552288</v>
      </c>
      <c r="V185" s="8">
        <f t="shared" si="47"/>
        <v>0.24382048621993282</v>
      </c>
      <c r="W185" s="8">
        <f t="shared" si="48"/>
        <v>4.9367855304598907</v>
      </c>
      <c r="X185" s="8">
        <f t="shared" si="49"/>
        <v>5.209839449143864</v>
      </c>
      <c r="Y185" s="8">
        <f t="shared" si="50"/>
        <v>0</v>
      </c>
      <c r="Z185" s="8">
        <f t="shared" si="51"/>
        <v>0</v>
      </c>
      <c r="AA185" s="10">
        <v>521.00449074291998</v>
      </c>
      <c r="AB185" s="11">
        <v>549.82128194673999</v>
      </c>
    </row>
    <row r="186" spans="1:28" x14ac:dyDescent="0.35">
      <c r="A186" s="13" t="s">
        <v>59</v>
      </c>
      <c r="B186" s="21" t="s">
        <v>68</v>
      </c>
      <c r="C186" s="29">
        <f t="shared" si="38"/>
        <v>54.35111984988594</v>
      </c>
      <c r="D186" s="30">
        <v>4.7396136259453741</v>
      </c>
      <c r="E186" s="30">
        <v>49.611506223940566</v>
      </c>
      <c r="F186" s="30">
        <v>0</v>
      </c>
      <c r="G186" s="31">
        <f t="shared" si="39"/>
        <v>46.623952017024436</v>
      </c>
      <c r="H186" s="30">
        <v>1.0650817136955897</v>
      </c>
      <c r="I186" s="30">
        <v>45.558870303328845</v>
      </c>
      <c r="J186" s="30">
        <v>0</v>
      </c>
      <c r="K186" s="9">
        <f t="shared" si="52"/>
        <v>7.2748505101031276</v>
      </c>
      <c r="L186" s="9">
        <f t="shared" si="52"/>
        <v>9.1993588217546076</v>
      </c>
      <c r="M186" s="8">
        <f t="shared" si="40"/>
        <v>0.63439319557042761</v>
      </c>
      <c r="N186" s="8">
        <f t="shared" si="41"/>
        <v>0.80221725958863432</v>
      </c>
      <c r="O186" s="8">
        <f t="shared" si="42"/>
        <v>6.6404573145326999</v>
      </c>
      <c r="P186" s="8">
        <f t="shared" si="43"/>
        <v>8.3971415621659737</v>
      </c>
      <c r="Q186" s="8">
        <f t="shared" si="44"/>
        <v>0</v>
      </c>
      <c r="R186" s="8">
        <f t="shared" si="45"/>
        <v>0</v>
      </c>
      <c r="S186" s="9">
        <f t="shared" si="53"/>
        <v>6.2405757609203292</v>
      </c>
      <c r="T186" s="9">
        <f t="shared" si="53"/>
        <v>7.8914742783129119</v>
      </c>
      <c r="U186" s="8">
        <f t="shared" si="46"/>
        <v>0.14256026866751181</v>
      </c>
      <c r="V186" s="8">
        <f t="shared" si="47"/>
        <v>0.18027354148059196</v>
      </c>
      <c r="W186" s="8">
        <f t="shared" si="48"/>
        <v>6.0980154922528174</v>
      </c>
      <c r="X186" s="8">
        <f t="shared" si="49"/>
        <v>7.7112007368323203</v>
      </c>
      <c r="Y186" s="8">
        <f t="shared" si="50"/>
        <v>0</v>
      </c>
      <c r="Z186" s="8">
        <f t="shared" si="51"/>
        <v>0</v>
      </c>
      <c r="AA186" s="10">
        <v>590.81421763174001</v>
      </c>
      <c r="AB186" s="11">
        <v>747.10978286638999</v>
      </c>
    </row>
    <row r="187" spans="1:28" x14ac:dyDescent="0.35">
      <c r="A187" s="6" t="s">
        <v>60</v>
      </c>
      <c r="B187" s="21" t="s">
        <v>68</v>
      </c>
      <c r="C187" s="29">
        <f t="shared" si="38"/>
        <v>20.735557264419626</v>
      </c>
      <c r="D187" s="30">
        <v>2.21544520875785</v>
      </c>
      <c r="E187" s="30">
        <v>18.520112055661777</v>
      </c>
      <c r="F187" s="30">
        <v>3.0397675570876941</v>
      </c>
      <c r="G187" s="31">
        <f t="shared" si="39"/>
        <v>0</v>
      </c>
      <c r="H187" s="30">
        <v>0</v>
      </c>
      <c r="I187" s="30">
        <v>0</v>
      </c>
      <c r="J187" s="30">
        <v>4.5003203243428693</v>
      </c>
      <c r="K187" s="9">
        <f t="shared" si="52"/>
        <v>7.9155597092716778</v>
      </c>
      <c r="L187" s="9">
        <f t="shared" si="52"/>
        <v>4.6988645618176559</v>
      </c>
      <c r="M187" s="8">
        <f t="shared" si="40"/>
        <v>0.84572064347813192</v>
      </c>
      <c r="N187" s="8">
        <f t="shared" si="41"/>
        <v>0.50203989443504105</v>
      </c>
      <c r="O187" s="8">
        <f t="shared" si="42"/>
        <v>7.0698390657935457</v>
      </c>
      <c r="P187" s="8">
        <f t="shared" si="43"/>
        <v>4.1968246673826144</v>
      </c>
      <c r="Q187" s="8">
        <f t="shared" si="44"/>
        <v>1.1603961877466333</v>
      </c>
      <c r="R187" s="8">
        <f t="shared" si="45"/>
        <v>0.68883878393138398</v>
      </c>
      <c r="S187" s="9">
        <f t="shared" si="53"/>
        <v>0</v>
      </c>
      <c r="T187" s="9">
        <f t="shared" si="53"/>
        <v>0</v>
      </c>
      <c r="U187" s="8">
        <f t="shared" si="46"/>
        <v>0</v>
      </c>
      <c r="V187" s="8">
        <f t="shared" si="47"/>
        <v>0</v>
      </c>
      <c r="W187" s="8">
        <f t="shared" si="48"/>
        <v>0</v>
      </c>
      <c r="X187" s="8">
        <f t="shared" si="49"/>
        <v>0</v>
      </c>
      <c r="Y187" s="8">
        <f t="shared" si="50"/>
        <v>1.7179453527062905</v>
      </c>
      <c r="Z187" s="8">
        <f t="shared" si="51"/>
        <v>1.0198132328552258</v>
      </c>
      <c r="AA187" s="10">
        <v>441.28867711817003</v>
      </c>
      <c r="AB187" s="11">
        <v>261.95945739796002</v>
      </c>
    </row>
    <row r="188" spans="1:28" x14ac:dyDescent="0.35">
      <c r="A188" s="6" t="s">
        <v>61</v>
      </c>
      <c r="B188" s="21" t="s">
        <v>68</v>
      </c>
      <c r="C188" s="29">
        <f t="shared" si="38"/>
        <v>11.136482043605833</v>
      </c>
      <c r="D188" s="30">
        <v>2.9336557811933468</v>
      </c>
      <c r="E188" s="30">
        <v>8.2028262624124864</v>
      </c>
      <c r="F188" s="30">
        <v>0.10830493525282782</v>
      </c>
      <c r="G188" s="31">
        <f t="shared" si="39"/>
        <v>15.517931123025171</v>
      </c>
      <c r="H188" s="30">
        <v>8.5953504240025485</v>
      </c>
      <c r="I188" s="30">
        <v>6.922580699022622</v>
      </c>
      <c r="J188" s="30">
        <v>0</v>
      </c>
      <c r="K188" s="9">
        <f t="shared" si="52"/>
        <v>3.4649308573440631</v>
      </c>
      <c r="L188" s="9">
        <f t="shared" si="52"/>
        <v>1.6128863085385605</v>
      </c>
      <c r="M188" s="8">
        <f t="shared" si="40"/>
        <v>0.912758122473601</v>
      </c>
      <c r="N188" s="8">
        <f t="shared" si="41"/>
        <v>0.42487863087504274</v>
      </c>
      <c r="O188" s="8">
        <f t="shared" si="42"/>
        <v>2.5521727348704624</v>
      </c>
      <c r="P188" s="8">
        <f t="shared" si="43"/>
        <v>1.1880076776635178</v>
      </c>
      <c r="Q188" s="8">
        <f t="shared" si="44"/>
        <v>3.369727627546798E-2</v>
      </c>
      <c r="R188" s="8">
        <f t="shared" si="45"/>
        <v>1.5685702767934535E-2</v>
      </c>
      <c r="S188" s="9">
        <f t="shared" si="53"/>
        <v>4.8281457447490519</v>
      </c>
      <c r="T188" s="9">
        <f t="shared" si="53"/>
        <v>2.2474474925896599</v>
      </c>
      <c r="U188" s="8">
        <f t="shared" si="46"/>
        <v>2.6743000884118273</v>
      </c>
      <c r="V188" s="8">
        <f t="shared" si="47"/>
        <v>1.2448565859202045</v>
      </c>
      <c r="W188" s="8">
        <f t="shared" si="48"/>
        <v>2.1538456563372246</v>
      </c>
      <c r="X188" s="8">
        <f t="shared" si="49"/>
        <v>1.0025909066694556</v>
      </c>
      <c r="Y188" s="8">
        <f t="shared" si="50"/>
        <v>0</v>
      </c>
      <c r="Z188" s="8">
        <f t="shared" si="51"/>
        <v>0</v>
      </c>
      <c r="AA188" s="10">
        <v>690.46912883131995</v>
      </c>
      <c r="AB188" s="11">
        <v>321.40560669490998</v>
      </c>
    </row>
    <row r="189" spans="1:28" x14ac:dyDescent="0.35">
      <c r="A189" s="6" t="s">
        <v>62</v>
      </c>
      <c r="B189" s="21" t="s">
        <v>68</v>
      </c>
      <c r="C189" s="29">
        <f t="shared" si="38"/>
        <v>0.85479368304217118</v>
      </c>
      <c r="D189" s="30">
        <v>0.2</v>
      </c>
      <c r="E189" s="30">
        <v>0.65479368304217123</v>
      </c>
      <c r="F189" s="30">
        <v>0</v>
      </c>
      <c r="G189" s="31">
        <f t="shared" si="39"/>
        <v>0</v>
      </c>
      <c r="H189" s="30">
        <v>0</v>
      </c>
      <c r="I189" s="30">
        <v>0</v>
      </c>
      <c r="J189" s="30">
        <v>0</v>
      </c>
      <c r="K189" s="9">
        <f t="shared" si="52"/>
        <v>1.3276802859376868</v>
      </c>
      <c r="L189" s="9">
        <f t="shared" si="52"/>
        <v>0.93692974217803804</v>
      </c>
      <c r="M189" s="8">
        <f t="shared" si="40"/>
        <v>0.3106434481856567</v>
      </c>
      <c r="N189" s="8">
        <f t="shared" si="41"/>
        <v>0.21921775061405427</v>
      </c>
      <c r="O189" s="8">
        <f t="shared" si="42"/>
        <v>1.01703683775203</v>
      </c>
      <c r="P189" s="8">
        <f t="shared" si="43"/>
        <v>0.7177119915639838</v>
      </c>
      <c r="Q189" s="8">
        <f t="shared" si="44"/>
        <v>0</v>
      </c>
      <c r="R189" s="8">
        <f t="shared" si="45"/>
        <v>0</v>
      </c>
      <c r="S189" s="9">
        <f t="shared" si="53"/>
        <v>0</v>
      </c>
      <c r="T189" s="9">
        <f t="shared" si="53"/>
        <v>0</v>
      </c>
      <c r="U189" s="8">
        <f t="shared" si="46"/>
        <v>0</v>
      </c>
      <c r="V189" s="8">
        <f t="shared" si="47"/>
        <v>0</v>
      </c>
      <c r="W189" s="8">
        <f t="shared" si="48"/>
        <v>0</v>
      </c>
      <c r="X189" s="8">
        <f t="shared" si="49"/>
        <v>0</v>
      </c>
      <c r="Y189" s="8">
        <f t="shared" si="50"/>
        <v>0</v>
      </c>
      <c r="Z189" s="8">
        <f t="shared" si="51"/>
        <v>0</v>
      </c>
      <c r="AA189" s="10">
        <v>91.233487908610002</v>
      </c>
      <c r="AB189" s="11">
        <v>64.38249419652</v>
      </c>
    </row>
    <row r="190" spans="1:28" x14ac:dyDescent="0.35">
      <c r="A190" s="6" t="s">
        <v>63</v>
      </c>
      <c r="B190" s="21" t="s">
        <v>68</v>
      </c>
      <c r="C190" s="29">
        <f t="shared" si="38"/>
        <v>13.7</v>
      </c>
      <c r="D190" s="30">
        <v>4.2</v>
      </c>
      <c r="E190" s="30">
        <v>9.5</v>
      </c>
      <c r="F190" s="30">
        <v>2.9</v>
      </c>
      <c r="G190" s="31">
        <f t="shared" si="39"/>
        <v>6.5</v>
      </c>
      <c r="H190" s="30">
        <v>0</v>
      </c>
      <c r="I190" s="30">
        <v>6.5</v>
      </c>
      <c r="J190" s="30">
        <v>0</v>
      </c>
      <c r="K190" s="9">
        <f t="shared" si="52"/>
        <v>9.2954475311525808</v>
      </c>
      <c r="L190" s="9">
        <f t="shared" si="52"/>
        <v>4.4209497679334593</v>
      </c>
      <c r="M190" s="8">
        <f t="shared" si="40"/>
        <v>2.8496992431270685</v>
      </c>
      <c r="N190" s="8">
        <f t="shared" si="41"/>
        <v>1.3553276660817906</v>
      </c>
      <c r="O190" s="8">
        <f t="shared" si="42"/>
        <v>6.4457482880255119</v>
      </c>
      <c r="P190" s="8">
        <f t="shared" si="43"/>
        <v>3.0656221018516687</v>
      </c>
      <c r="Q190" s="8">
        <f t="shared" si="44"/>
        <v>1.9676494773972615</v>
      </c>
      <c r="R190" s="8">
        <f t="shared" si="45"/>
        <v>0.93582148372314089</v>
      </c>
      <c r="S190" s="9">
        <f t="shared" si="53"/>
        <v>4.410248828649034</v>
      </c>
      <c r="T190" s="9">
        <f t="shared" si="53"/>
        <v>2.097530911793247</v>
      </c>
      <c r="U190" s="8">
        <f t="shared" si="46"/>
        <v>0</v>
      </c>
      <c r="V190" s="8">
        <f t="shared" si="47"/>
        <v>0</v>
      </c>
      <c r="W190" s="8">
        <f t="shared" si="48"/>
        <v>4.410248828649034</v>
      </c>
      <c r="X190" s="8">
        <f t="shared" si="49"/>
        <v>2.097530911793247</v>
      </c>
      <c r="Y190" s="8">
        <f t="shared" si="50"/>
        <v>0</v>
      </c>
      <c r="Z190" s="8">
        <f t="shared" si="51"/>
        <v>0</v>
      </c>
      <c r="AA190" s="10">
        <v>309.88816247970999</v>
      </c>
      <c r="AB190" s="11">
        <v>147.38397429586999</v>
      </c>
    </row>
    <row r="191" spans="1:28" x14ac:dyDescent="0.35">
      <c r="A191" s="6" t="s">
        <v>64</v>
      </c>
      <c r="B191" s="21" t="s">
        <v>68</v>
      </c>
      <c r="C191" s="29">
        <f t="shared" si="38"/>
        <v>46.286304083494819</v>
      </c>
      <c r="D191" s="30">
        <v>2.1796874499152681</v>
      </c>
      <c r="E191" s="30">
        <v>44.106616633579549</v>
      </c>
      <c r="F191" s="30">
        <v>0</v>
      </c>
      <c r="G191" s="31">
        <f t="shared" si="39"/>
        <v>31.797793386999206</v>
      </c>
      <c r="H191" s="30">
        <v>12.821690881854519</v>
      </c>
      <c r="I191" s="30">
        <v>18.976102505144688</v>
      </c>
      <c r="J191" s="30">
        <v>0</v>
      </c>
      <c r="K191" s="9">
        <f t="shared" si="52"/>
        <v>8.099046653743537</v>
      </c>
      <c r="L191" s="9">
        <f t="shared" si="52"/>
        <v>3.8082469290611232</v>
      </c>
      <c r="M191" s="8">
        <f t="shared" si="40"/>
        <v>0.38139554879124682</v>
      </c>
      <c r="N191" s="8">
        <f t="shared" si="41"/>
        <v>0.1793357279613271</v>
      </c>
      <c r="O191" s="8">
        <f t="shared" si="42"/>
        <v>7.7176511049522905</v>
      </c>
      <c r="P191" s="8">
        <f t="shared" si="43"/>
        <v>3.6289112010997959</v>
      </c>
      <c r="Q191" s="8">
        <f t="shared" si="44"/>
        <v>0</v>
      </c>
      <c r="R191" s="8">
        <f t="shared" si="45"/>
        <v>0</v>
      </c>
      <c r="S191" s="9">
        <f t="shared" si="53"/>
        <v>5.5638880058958371</v>
      </c>
      <c r="T191" s="9">
        <f t="shared" si="53"/>
        <v>2.6161917961417132</v>
      </c>
      <c r="U191" s="8">
        <f t="shared" si="46"/>
        <v>2.2435032281838052</v>
      </c>
      <c r="V191" s="8">
        <f t="shared" si="47"/>
        <v>1.0549160468313359</v>
      </c>
      <c r="W191" s="8">
        <f t="shared" si="48"/>
        <v>3.3203847777120314</v>
      </c>
      <c r="X191" s="8">
        <f t="shared" si="49"/>
        <v>1.561275749310377</v>
      </c>
      <c r="Y191" s="8">
        <f t="shared" si="50"/>
        <v>0</v>
      </c>
      <c r="Z191" s="8">
        <f t="shared" si="51"/>
        <v>0</v>
      </c>
      <c r="AA191" s="10">
        <v>1215.4228689920101</v>
      </c>
      <c r="AB191" s="11">
        <v>571.50311712429004</v>
      </c>
    </row>
    <row r="192" spans="1:28" x14ac:dyDescent="0.35">
      <c r="A192" s="6" t="s">
        <v>26</v>
      </c>
      <c r="B192" s="21" t="s">
        <v>69</v>
      </c>
      <c r="C192" s="29">
        <f t="shared" si="38"/>
        <v>249.72579708899616</v>
      </c>
      <c r="D192" s="30">
        <v>13.808448829914081</v>
      </c>
      <c r="E192" s="30">
        <v>235.91734825908208</v>
      </c>
      <c r="F192" s="30">
        <v>0</v>
      </c>
      <c r="G192" s="31">
        <f t="shared" si="39"/>
        <v>24.164785452349641</v>
      </c>
      <c r="H192" s="30">
        <v>10.356336622435562</v>
      </c>
      <c r="I192" s="30">
        <v>13.808448829914079</v>
      </c>
      <c r="J192" s="30">
        <v>0</v>
      </c>
      <c r="K192" s="9">
        <f t="shared" ref="K192:L229" si="54">M192+O192</f>
        <v>16.706599322040006</v>
      </c>
      <c r="L192" s="9">
        <f t="shared" si="54"/>
        <v>20.360586789391007</v>
      </c>
      <c r="M192" s="8">
        <f t="shared" si="40"/>
        <v>0.92378210240752034</v>
      </c>
      <c r="N192" s="8">
        <f t="shared" si="41"/>
        <v>1.1258273038092899</v>
      </c>
      <c r="O192" s="8">
        <f t="shared" si="42"/>
        <v>15.782817219632486</v>
      </c>
      <c r="P192" s="8">
        <f t="shared" si="43"/>
        <v>19.234759485581719</v>
      </c>
      <c r="Q192" s="8">
        <f t="shared" si="44"/>
        <v>0</v>
      </c>
      <c r="R192" s="8">
        <f t="shared" si="45"/>
        <v>0</v>
      </c>
      <c r="S192" s="9">
        <f t="shared" ref="S192:T229" si="55">U192+W192</f>
        <v>1.6166186792131607</v>
      </c>
      <c r="T192" s="9">
        <f t="shared" si="55"/>
        <v>1.9701977816662573</v>
      </c>
      <c r="U192" s="8">
        <f t="shared" si="46"/>
        <v>0.69283657680564037</v>
      </c>
      <c r="V192" s="8">
        <f t="shared" si="47"/>
        <v>0.84437047785696751</v>
      </c>
      <c r="W192" s="8">
        <f t="shared" si="48"/>
        <v>0.92378210240752023</v>
      </c>
      <c r="X192" s="8">
        <f t="shared" si="49"/>
        <v>1.1258273038092899</v>
      </c>
      <c r="Y192" s="8">
        <f t="shared" si="50"/>
        <v>0</v>
      </c>
      <c r="Z192" s="8">
        <f t="shared" si="51"/>
        <v>0</v>
      </c>
      <c r="AA192" s="10">
        <v>1226.51571721458</v>
      </c>
      <c r="AB192" s="11">
        <v>1494.77336635199</v>
      </c>
    </row>
    <row r="193" spans="1:28" x14ac:dyDescent="0.35">
      <c r="A193" s="6" t="s">
        <v>28</v>
      </c>
      <c r="B193" s="21" t="s">
        <v>69</v>
      </c>
      <c r="C193" s="29">
        <f t="shared" ref="C193:C256" si="56">D193+E193</f>
        <v>261.11866848038159</v>
      </c>
      <c r="D193" s="30">
        <v>44.961324127261591</v>
      </c>
      <c r="E193" s="30">
        <v>216.15734435311998</v>
      </c>
      <c r="F193" s="30">
        <v>63.452880318904832</v>
      </c>
      <c r="G193" s="31">
        <f t="shared" ref="G193:G256" si="57">H193+I193</f>
        <v>64.944134850488979</v>
      </c>
      <c r="H193" s="30">
        <v>3.8772617821187447</v>
      </c>
      <c r="I193" s="30">
        <v>61.066873068370228</v>
      </c>
      <c r="J193" s="30">
        <v>0</v>
      </c>
      <c r="K193" s="9">
        <f t="shared" si="54"/>
        <v>15.390656908353272</v>
      </c>
      <c r="L193" s="9">
        <f t="shared" si="54"/>
        <v>15.150592598683838</v>
      </c>
      <c r="M193" s="8">
        <f t="shared" si="40"/>
        <v>2.6500759896450665</v>
      </c>
      <c r="N193" s="8">
        <f t="shared" si="41"/>
        <v>2.6087399591680058</v>
      </c>
      <c r="O193" s="8">
        <f t="shared" si="42"/>
        <v>12.740580918708206</v>
      </c>
      <c r="P193" s="8">
        <f t="shared" si="43"/>
        <v>12.541852639515833</v>
      </c>
      <c r="Q193" s="8">
        <f t="shared" si="44"/>
        <v>3.7399911561989247</v>
      </c>
      <c r="R193" s="8">
        <f t="shared" si="45"/>
        <v>3.6816545692404188</v>
      </c>
      <c r="S193" s="9">
        <f t="shared" si="55"/>
        <v>3.8278875405984296</v>
      </c>
      <c r="T193" s="9">
        <f t="shared" si="55"/>
        <v>3.7681799410204526</v>
      </c>
      <c r="U193" s="8">
        <f t="shared" si="46"/>
        <v>0.22853059943871226</v>
      </c>
      <c r="V193" s="8">
        <f t="shared" si="47"/>
        <v>0.22496596662808674</v>
      </c>
      <c r="W193" s="8">
        <f t="shared" si="48"/>
        <v>3.5993569411597175</v>
      </c>
      <c r="X193" s="8">
        <f t="shared" si="49"/>
        <v>3.5432139743923661</v>
      </c>
      <c r="Y193" s="8">
        <f t="shared" si="50"/>
        <v>0</v>
      </c>
      <c r="Z193" s="8">
        <f t="shared" si="51"/>
        <v>0</v>
      </c>
      <c r="AA193" s="10">
        <v>1723.48815255626</v>
      </c>
      <c r="AB193" s="11">
        <v>1696.60508992738</v>
      </c>
    </row>
    <row r="194" spans="1:28" x14ac:dyDescent="0.35">
      <c r="A194" s="6" t="s">
        <v>29</v>
      </c>
      <c r="B194" s="21" t="s">
        <v>69</v>
      </c>
      <c r="C194" s="29">
        <f t="shared" si="56"/>
        <v>251.88090635951886</v>
      </c>
      <c r="D194" s="30">
        <v>35.722122197793112</v>
      </c>
      <c r="E194" s="30">
        <v>216.15878416172575</v>
      </c>
      <c r="F194" s="30">
        <v>79.319089225131677</v>
      </c>
      <c r="G194" s="31">
        <f t="shared" si="57"/>
        <v>399.79103533185071</v>
      </c>
      <c r="H194" s="30">
        <v>18.032253377799719</v>
      </c>
      <c r="I194" s="30">
        <v>381.75878195405102</v>
      </c>
      <c r="J194" s="30">
        <v>0</v>
      </c>
      <c r="K194" s="9">
        <f t="shared" si="54"/>
        <v>9.6254854994092884</v>
      </c>
      <c r="L194" s="9">
        <f t="shared" si="54"/>
        <v>8.6643648705421832</v>
      </c>
      <c r="M194" s="8">
        <f t="shared" ref="M194:M257" si="58">($D194/$AB194)*100</f>
        <v>1.3651005715066187</v>
      </c>
      <c r="N194" s="8">
        <f t="shared" ref="N194:N257" si="59">($D194/$AA194)*100</f>
        <v>1.2287930242318545</v>
      </c>
      <c r="O194" s="8">
        <f t="shared" ref="O194:O257" si="60">($E194/$AB194)*100</f>
        <v>8.2603849279026704</v>
      </c>
      <c r="P194" s="8">
        <f t="shared" ref="P194:P257" si="61">($E194/$AA194)*100</f>
        <v>7.435571846310328</v>
      </c>
      <c r="Q194" s="8">
        <f t="shared" ref="Q194:Q257" si="62">($F194/$AB194)*100</f>
        <v>3.0311338568597446</v>
      </c>
      <c r="R194" s="8">
        <f t="shared" ref="R194:R257" si="63">($F194/$AA194)*100</f>
        <v>2.7284701336777601</v>
      </c>
      <c r="S194" s="9">
        <f t="shared" si="55"/>
        <v>15.277786907308901</v>
      </c>
      <c r="T194" s="9">
        <f t="shared" si="55"/>
        <v>13.752274644997399</v>
      </c>
      <c r="U194" s="8">
        <f t="shared" ref="U194:U257" si="64">($H194/$AB194)*100</f>
        <v>0.68909230127171173</v>
      </c>
      <c r="V194" s="8">
        <f t="shared" ref="V194:V257" si="65">($H194/AA194)*100</f>
        <v>0.6202852965771023</v>
      </c>
      <c r="W194" s="8">
        <f t="shared" ref="W194:W257" si="66">($I194/$AB194)*100</f>
        <v>14.588694606037189</v>
      </c>
      <c r="X194" s="8">
        <f t="shared" ref="X194:X257" si="67">($I194/$AA194)*100</f>
        <v>13.131989348420298</v>
      </c>
      <c r="Y194" s="8">
        <f t="shared" ref="Y194:Y257" si="68">($J194/$AB194)*100</f>
        <v>0</v>
      </c>
      <c r="Z194" s="8">
        <f t="shared" ref="Z194:Z257" si="69">($J194/$AA194)*100</f>
        <v>0</v>
      </c>
      <c r="AA194" s="10">
        <v>2907.0902498102801</v>
      </c>
      <c r="AB194" s="11">
        <v>2616.8124857180101</v>
      </c>
    </row>
    <row r="195" spans="1:28" x14ac:dyDescent="0.35">
      <c r="A195" s="6" t="s">
        <v>30</v>
      </c>
      <c r="B195" s="21" t="s">
        <v>69</v>
      </c>
      <c r="C195" s="29">
        <f t="shared" si="56"/>
        <v>519.28324600625774</v>
      </c>
      <c r="D195" s="30">
        <v>69.618193420619164</v>
      </c>
      <c r="E195" s="30">
        <v>449.66505258563853</v>
      </c>
      <c r="F195" s="30">
        <v>0</v>
      </c>
      <c r="G195" s="31">
        <f t="shared" si="57"/>
        <v>1057.9682836215404</v>
      </c>
      <c r="H195" s="30">
        <v>114.12818593544125</v>
      </c>
      <c r="I195" s="30">
        <v>943.84009768609917</v>
      </c>
      <c r="J195" s="30">
        <v>0</v>
      </c>
      <c r="K195" s="9">
        <f t="shared" si="54"/>
        <v>14.435291560014873</v>
      </c>
      <c r="L195" s="9">
        <f t="shared" si="54"/>
        <v>12.477417298040546</v>
      </c>
      <c r="M195" s="8">
        <f t="shared" si="58"/>
        <v>1.9352808465074884</v>
      </c>
      <c r="N195" s="8">
        <f t="shared" si="59"/>
        <v>1.6727966047922489</v>
      </c>
      <c r="O195" s="8">
        <f t="shared" si="60"/>
        <v>12.500010713507384</v>
      </c>
      <c r="P195" s="8">
        <f t="shared" si="61"/>
        <v>10.804620693248298</v>
      </c>
      <c r="Q195" s="8">
        <f t="shared" si="62"/>
        <v>0</v>
      </c>
      <c r="R195" s="8">
        <f t="shared" si="63"/>
        <v>0</v>
      </c>
      <c r="S195" s="9">
        <f t="shared" si="55"/>
        <v>29.409923683810518</v>
      </c>
      <c r="T195" s="9">
        <f t="shared" si="55"/>
        <v>25.421023813810081</v>
      </c>
      <c r="U195" s="8">
        <f t="shared" si="64"/>
        <v>3.1725915516516197</v>
      </c>
      <c r="V195" s="8">
        <f t="shared" si="65"/>
        <v>2.7422895160528671</v>
      </c>
      <c r="W195" s="8">
        <f t="shared" si="66"/>
        <v>26.237332132158897</v>
      </c>
      <c r="X195" s="8">
        <f t="shared" si="67"/>
        <v>22.678734297757213</v>
      </c>
      <c r="Y195" s="8">
        <f t="shared" si="68"/>
        <v>0</v>
      </c>
      <c r="Z195" s="8">
        <f t="shared" si="69"/>
        <v>0</v>
      </c>
      <c r="AA195" s="10">
        <v>4161.7847155581303</v>
      </c>
      <c r="AB195" s="11">
        <v>3597.3173374942398</v>
      </c>
    </row>
    <row r="196" spans="1:28" x14ac:dyDescent="0.35">
      <c r="A196" s="6" t="s">
        <v>31</v>
      </c>
      <c r="B196" s="21" t="s">
        <v>69</v>
      </c>
      <c r="C196" s="29">
        <f t="shared" si="56"/>
        <v>205.43073468379427</v>
      </c>
      <c r="D196" s="30">
        <v>22.825637187088251</v>
      </c>
      <c r="E196" s="30">
        <v>182.60509749670601</v>
      </c>
      <c r="F196" s="30">
        <v>7.9889730154808873</v>
      </c>
      <c r="G196" s="31">
        <f t="shared" si="57"/>
        <v>664.51136260910675</v>
      </c>
      <c r="H196" s="30">
        <v>3.7091660429018405</v>
      </c>
      <c r="I196" s="30">
        <v>660.80219656620488</v>
      </c>
      <c r="J196" s="30">
        <v>0</v>
      </c>
      <c r="K196" s="9">
        <f t="shared" si="54"/>
        <v>10.709794274584462</v>
      </c>
      <c r="L196" s="9">
        <f t="shared" si="54"/>
        <v>8.787879797149678</v>
      </c>
      <c r="M196" s="8">
        <f t="shared" si="58"/>
        <v>1.1899771416204958</v>
      </c>
      <c r="N196" s="8">
        <f t="shared" si="59"/>
        <v>0.97643108857218652</v>
      </c>
      <c r="O196" s="8">
        <f t="shared" si="60"/>
        <v>9.5198171329639667</v>
      </c>
      <c r="P196" s="8">
        <f t="shared" si="61"/>
        <v>7.8114487085774922</v>
      </c>
      <c r="Q196" s="8">
        <f t="shared" si="62"/>
        <v>0.41649199956717348</v>
      </c>
      <c r="R196" s="8">
        <f t="shared" si="63"/>
        <v>0.34175088100026529</v>
      </c>
      <c r="S196" s="9">
        <f t="shared" si="55"/>
        <v>34.643209535426678</v>
      </c>
      <c r="T196" s="9">
        <f t="shared" si="55"/>
        <v>28.426350066057783</v>
      </c>
      <c r="U196" s="8">
        <f t="shared" si="64"/>
        <v>0.19337128551333052</v>
      </c>
      <c r="V196" s="8">
        <f t="shared" si="65"/>
        <v>0.15867005189298031</v>
      </c>
      <c r="W196" s="8">
        <f t="shared" si="66"/>
        <v>34.449838249913348</v>
      </c>
      <c r="X196" s="8">
        <f t="shared" si="67"/>
        <v>28.267680014164803</v>
      </c>
      <c r="Y196" s="8">
        <f t="shared" si="68"/>
        <v>0</v>
      </c>
      <c r="Z196" s="8">
        <f t="shared" si="69"/>
        <v>0</v>
      </c>
      <c r="AA196" s="10">
        <v>2337.6598158571201</v>
      </c>
      <c r="AB196" s="11">
        <v>1918.15761738117</v>
      </c>
    </row>
    <row r="197" spans="1:28" x14ac:dyDescent="0.35">
      <c r="A197" s="6" t="s">
        <v>32</v>
      </c>
      <c r="B197" s="21" t="s">
        <v>69</v>
      </c>
      <c r="C197" s="29">
        <f t="shared" si="56"/>
        <v>830.72205126485824</v>
      </c>
      <c r="D197" s="30">
        <v>94.591800651353637</v>
      </c>
      <c r="E197" s="30">
        <v>736.13025061350459</v>
      </c>
      <c r="F197" s="30">
        <v>27.16002196920055</v>
      </c>
      <c r="G197" s="31">
        <f t="shared" si="57"/>
        <v>147.0387396263616</v>
      </c>
      <c r="H197" s="30">
        <v>0</v>
      </c>
      <c r="I197" s="30">
        <v>147.0387396263616</v>
      </c>
      <c r="J197" s="30">
        <v>1282.1403474426052</v>
      </c>
      <c r="K197" s="9">
        <f t="shared" si="54"/>
        <v>18.20029636639136</v>
      </c>
      <c r="L197" s="9">
        <f t="shared" si="54"/>
        <v>15.600847040608596</v>
      </c>
      <c r="M197" s="8">
        <f t="shared" si="58"/>
        <v>2.0724125513027363</v>
      </c>
      <c r="N197" s="8">
        <f t="shared" si="59"/>
        <v>1.7764211399114636</v>
      </c>
      <c r="O197" s="8">
        <f t="shared" si="60"/>
        <v>16.127883815088623</v>
      </c>
      <c r="P197" s="8">
        <f t="shared" si="61"/>
        <v>13.824425900697133</v>
      </c>
      <c r="Q197" s="8">
        <f t="shared" si="62"/>
        <v>0.59504914839385492</v>
      </c>
      <c r="R197" s="8">
        <f t="shared" si="63"/>
        <v>0.51006151542012323</v>
      </c>
      <c r="S197" s="9">
        <f t="shared" si="55"/>
        <v>3.2214729757874219</v>
      </c>
      <c r="T197" s="9">
        <f t="shared" si="55"/>
        <v>2.7613675145158392</v>
      </c>
      <c r="U197" s="8">
        <f t="shared" si="64"/>
        <v>0</v>
      </c>
      <c r="V197" s="8">
        <f t="shared" si="65"/>
        <v>0</v>
      </c>
      <c r="W197" s="8">
        <f t="shared" si="66"/>
        <v>3.2214729757874219</v>
      </c>
      <c r="X197" s="8">
        <f t="shared" si="67"/>
        <v>2.7613675145158392</v>
      </c>
      <c r="Y197" s="8">
        <f t="shared" si="68"/>
        <v>28.090423591420254</v>
      </c>
      <c r="Z197" s="8">
        <f t="shared" si="69"/>
        <v>24.078421193453401</v>
      </c>
      <c r="AA197" s="10">
        <v>5324.8522282316499</v>
      </c>
      <c r="AB197" s="11">
        <v>4564.3325500944502</v>
      </c>
    </row>
    <row r="198" spans="1:28" x14ac:dyDescent="0.35">
      <c r="A198" s="6" t="s">
        <v>33</v>
      </c>
      <c r="B198" s="21" t="s">
        <v>69</v>
      </c>
      <c r="C198" s="29">
        <f t="shared" si="56"/>
        <v>73.474251908227828</v>
      </c>
      <c r="D198" s="30">
        <v>8.4745388590804875</v>
      </c>
      <c r="E198" s="30">
        <v>64.999713049147346</v>
      </c>
      <c r="F198" s="30">
        <v>39.576096471905878</v>
      </c>
      <c r="G198" s="31">
        <f t="shared" si="57"/>
        <v>60.08448051088066</v>
      </c>
      <c r="H198" s="30">
        <v>0</v>
      </c>
      <c r="I198" s="30">
        <v>60.08448051088066</v>
      </c>
      <c r="J198" s="30">
        <v>105.93173573850609</v>
      </c>
      <c r="K198" s="9">
        <f t="shared" si="54"/>
        <v>4.4852051551882131</v>
      </c>
      <c r="L198" s="9">
        <f t="shared" si="54"/>
        <v>3.4070439922177385</v>
      </c>
      <c r="M198" s="8">
        <f t="shared" si="58"/>
        <v>0.51732470071374992</v>
      </c>
      <c r="N198" s="8">
        <f t="shared" si="59"/>
        <v>0.39296931859489487</v>
      </c>
      <c r="O198" s="8">
        <f t="shared" si="60"/>
        <v>3.967880454474463</v>
      </c>
      <c r="P198" s="8">
        <f t="shared" si="61"/>
        <v>3.0140746736228436</v>
      </c>
      <c r="Q198" s="8">
        <f t="shared" si="62"/>
        <v>2.4159063523332125</v>
      </c>
      <c r="R198" s="8">
        <f t="shared" si="63"/>
        <v>1.835166717838159</v>
      </c>
      <c r="S198" s="9">
        <f t="shared" si="55"/>
        <v>3.6678321280604878</v>
      </c>
      <c r="T198" s="9">
        <f t="shared" si="55"/>
        <v>2.7861524688378045</v>
      </c>
      <c r="U198" s="8">
        <f t="shared" si="64"/>
        <v>0</v>
      </c>
      <c r="V198" s="8">
        <f t="shared" si="65"/>
        <v>0</v>
      </c>
      <c r="W198" s="8">
        <f t="shared" si="66"/>
        <v>3.6678321280604878</v>
      </c>
      <c r="X198" s="8">
        <f t="shared" si="67"/>
        <v>2.7861524688378045</v>
      </c>
      <c r="Y198" s="8">
        <f t="shared" si="68"/>
        <v>6.4665587589218756</v>
      </c>
      <c r="Z198" s="8">
        <f t="shared" si="69"/>
        <v>4.9121164824361854</v>
      </c>
      <c r="AA198" s="10">
        <v>2156.5395714307001</v>
      </c>
      <c r="AB198" s="11">
        <v>1638.14696019506</v>
      </c>
    </row>
    <row r="199" spans="1:28" x14ac:dyDescent="0.35">
      <c r="A199" s="6" t="s">
        <v>34</v>
      </c>
      <c r="B199" s="21" t="s">
        <v>69</v>
      </c>
      <c r="C199" s="29">
        <f t="shared" si="56"/>
        <v>97.020370863718611</v>
      </c>
      <c r="D199" s="30">
        <v>16.092074216897217</v>
      </c>
      <c r="E199" s="30">
        <v>80.928296646821394</v>
      </c>
      <c r="F199" s="30">
        <v>5.1357683670948562E-2</v>
      </c>
      <c r="G199" s="31">
        <f t="shared" si="57"/>
        <v>172.60632712690199</v>
      </c>
      <c r="H199" s="30">
        <v>0.72927910812746966</v>
      </c>
      <c r="I199" s="30">
        <v>171.87704801877453</v>
      </c>
      <c r="J199" s="30">
        <v>11.412818593544126</v>
      </c>
      <c r="K199" s="9">
        <f t="shared" si="54"/>
        <v>7.3282737257388932</v>
      </c>
      <c r="L199" s="9">
        <f t="shared" si="54"/>
        <v>5.4004383625424461</v>
      </c>
      <c r="M199" s="8">
        <f t="shared" si="58"/>
        <v>1.2154882900002164</v>
      </c>
      <c r="N199" s="8">
        <f t="shared" si="59"/>
        <v>0.89573204225207037</v>
      </c>
      <c r="O199" s="8">
        <f t="shared" si="60"/>
        <v>6.1127854357386768</v>
      </c>
      <c r="P199" s="8">
        <f t="shared" si="61"/>
        <v>4.5047063202903761</v>
      </c>
      <c r="Q199" s="8">
        <f t="shared" si="62"/>
        <v>3.8792179468092008E-3</v>
      </c>
      <c r="R199" s="8">
        <f t="shared" si="63"/>
        <v>2.8587192837832031E-3</v>
      </c>
      <c r="S199" s="9">
        <f t="shared" si="55"/>
        <v>13.03753429016615</v>
      </c>
      <c r="T199" s="9">
        <f t="shared" si="55"/>
        <v>9.6077743502241759</v>
      </c>
      <c r="U199" s="8">
        <f t="shared" si="64"/>
        <v>5.508489484469066E-2</v>
      </c>
      <c r="V199" s="8">
        <f t="shared" si="65"/>
        <v>4.0593813829721485E-2</v>
      </c>
      <c r="W199" s="8">
        <f t="shared" si="66"/>
        <v>12.98244939532146</v>
      </c>
      <c r="X199" s="8">
        <f t="shared" si="67"/>
        <v>9.5671805363944546</v>
      </c>
      <c r="Y199" s="8">
        <f t="shared" si="68"/>
        <v>0.862048432624267</v>
      </c>
      <c r="Z199" s="8">
        <f t="shared" si="69"/>
        <v>0.63527095195182293</v>
      </c>
      <c r="AA199" s="10">
        <v>1796.5276955414199</v>
      </c>
      <c r="AB199" s="11">
        <v>1323.9184901480501</v>
      </c>
    </row>
    <row r="200" spans="1:28" x14ac:dyDescent="0.35">
      <c r="A200" s="6" t="s">
        <v>35</v>
      </c>
      <c r="B200" s="21" t="s">
        <v>69</v>
      </c>
      <c r="C200" s="29">
        <f t="shared" si="56"/>
        <v>440.0580179680901</v>
      </c>
      <c r="D200" s="30">
        <v>203.99190920386684</v>
      </c>
      <c r="E200" s="30">
        <v>236.06610876422326</v>
      </c>
      <c r="F200" s="30">
        <v>14.112647806556826</v>
      </c>
      <c r="G200" s="31">
        <f t="shared" si="57"/>
        <v>452.8876977922327</v>
      </c>
      <c r="H200" s="30">
        <v>1.2829679824142568</v>
      </c>
      <c r="I200" s="30">
        <v>451.60472980981842</v>
      </c>
      <c r="J200" s="30">
        <v>0</v>
      </c>
      <c r="K200" s="9">
        <f t="shared" si="54"/>
        <v>13.937406334160265</v>
      </c>
      <c r="L200" s="9">
        <f t="shared" si="54"/>
        <v>14.957843729927454</v>
      </c>
      <c r="M200" s="8">
        <f t="shared" si="58"/>
        <v>6.4607801957186073</v>
      </c>
      <c r="N200" s="8">
        <f t="shared" si="59"/>
        <v>6.933810941861414</v>
      </c>
      <c r="O200" s="8">
        <f t="shared" si="60"/>
        <v>7.4766261384416586</v>
      </c>
      <c r="P200" s="8">
        <f t="shared" si="61"/>
        <v>8.0240327880660391</v>
      </c>
      <c r="Q200" s="8">
        <f t="shared" si="62"/>
        <v>0.44697221479814264</v>
      </c>
      <c r="R200" s="8">
        <f t="shared" si="63"/>
        <v>0.47969761233003494</v>
      </c>
      <c r="S200" s="9">
        <f t="shared" si="55"/>
        <v>14.343744711249487</v>
      </c>
      <c r="T200" s="9">
        <f t="shared" si="55"/>
        <v>15.393932468409304</v>
      </c>
      <c r="U200" s="8">
        <f t="shared" si="64"/>
        <v>4.0633837708922059E-2</v>
      </c>
      <c r="V200" s="8">
        <f t="shared" si="65"/>
        <v>4.3608873848184994E-2</v>
      </c>
      <c r="W200" s="8">
        <f t="shared" si="66"/>
        <v>14.303110873540565</v>
      </c>
      <c r="X200" s="8">
        <f t="shared" si="67"/>
        <v>15.350323594561118</v>
      </c>
      <c r="Y200" s="8">
        <f t="shared" si="68"/>
        <v>0</v>
      </c>
      <c r="Z200" s="8">
        <f t="shared" si="69"/>
        <v>0</v>
      </c>
      <c r="AA200" s="10">
        <v>2941.9883367789698</v>
      </c>
      <c r="AB200" s="11">
        <v>3157.38816403392</v>
      </c>
    </row>
    <row r="201" spans="1:28" x14ac:dyDescent="0.35">
      <c r="A201" s="6" t="s">
        <v>36</v>
      </c>
      <c r="B201" s="21" t="s">
        <v>69</v>
      </c>
      <c r="C201" s="29">
        <f t="shared" si="56"/>
        <v>5328.3</v>
      </c>
      <c r="D201" s="30">
        <v>687.3</v>
      </c>
      <c r="E201" s="30">
        <v>4641</v>
      </c>
      <c r="F201" s="30">
        <v>17.98</v>
      </c>
      <c r="G201" s="31">
        <f t="shared" si="57"/>
        <v>510</v>
      </c>
      <c r="H201" s="30">
        <v>56</v>
      </c>
      <c r="I201" s="30">
        <v>454</v>
      </c>
      <c r="J201" s="30">
        <v>0</v>
      </c>
      <c r="K201" s="9">
        <f t="shared" si="54"/>
        <v>26.736447545993702</v>
      </c>
      <c r="L201" s="9">
        <f t="shared" si="54"/>
        <v>26.675893379829869</v>
      </c>
      <c r="M201" s="8">
        <f t="shared" si="58"/>
        <v>3.4487473299854492</v>
      </c>
      <c r="N201" s="8">
        <f t="shared" si="59"/>
        <v>3.4409364187371332</v>
      </c>
      <c r="O201" s="8">
        <f t="shared" si="60"/>
        <v>23.287700216008254</v>
      </c>
      <c r="P201" s="8">
        <f t="shared" si="61"/>
        <v>23.234956961092735</v>
      </c>
      <c r="Q201" s="8">
        <f t="shared" si="62"/>
        <v>9.0220394286539191E-2</v>
      </c>
      <c r="R201" s="8">
        <f t="shared" si="63"/>
        <v>9.0016058211688718E-2</v>
      </c>
      <c r="S201" s="9">
        <f t="shared" si="55"/>
        <v>2.5590879358250826</v>
      </c>
      <c r="T201" s="9">
        <f t="shared" si="55"/>
        <v>2.5532919737464543</v>
      </c>
      <c r="U201" s="8">
        <f t="shared" si="64"/>
        <v>0.28099789099255812</v>
      </c>
      <c r="V201" s="8">
        <f t="shared" si="65"/>
        <v>0.28036147162706165</v>
      </c>
      <c r="W201" s="8">
        <f t="shared" si="66"/>
        <v>2.2780900448325245</v>
      </c>
      <c r="X201" s="8">
        <f t="shared" si="67"/>
        <v>2.2729305021193928</v>
      </c>
      <c r="Y201" s="8">
        <f t="shared" si="68"/>
        <v>0</v>
      </c>
      <c r="Z201" s="8">
        <f t="shared" si="69"/>
        <v>0</v>
      </c>
      <c r="AA201" s="10">
        <v>19974.2138871676</v>
      </c>
      <c r="AB201" s="11">
        <v>19928.975197</v>
      </c>
    </row>
    <row r="202" spans="1:28" x14ac:dyDescent="0.35">
      <c r="A202" s="6" t="s">
        <v>37</v>
      </c>
      <c r="B202" s="21" t="s">
        <v>69</v>
      </c>
      <c r="C202" s="29">
        <f t="shared" si="56"/>
        <v>7.0279601888550918</v>
      </c>
      <c r="D202" s="30">
        <v>4.8032151754294405</v>
      </c>
      <c r="E202" s="30">
        <v>2.2247450134256517</v>
      </c>
      <c r="F202" s="30">
        <v>4.2819360091037648</v>
      </c>
      <c r="G202" s="31">
        <f t="shared" si="57"/>
        <v>1.0704840022759412</v>
      </c>
      <c r="H202" s="30">
        <v>0.89362142798687272</v>
      </c>
      <c r="I202" s="30">
        <v>0.17686257428906854</v>
      </c>
      <c r="J202" s="30">
        <v>11.78928685984765</v>
      </c>
      <c r="K202" s="9">
        <f t="shared" si="54"/>
        <v>0.54942367197485686</v>
      </c>
      <c r="L202" s="9">
        <f t="shared" si="54"/>
        <v>0.29508569161334508</v>
      </c>
      <c r="M202" s="8">
        <f t="shared" si="58"/>
        <v>0.37550015197222009</v>
      </c>
      <c r="N202" s="8">
        <f t="shared" si="59"/>
        <v>0.20167445943375639</v>
      </c>
      <c r="O202" s="8">
        <f t="shared" si="60"/>
        <v>0.17392352000263681</v>
      </c>
      <c r="P202" s="8">
        <f t="shared" si="61"/>
        <v>9.3411232179588716E-2</v>
      </c>
      <c r="Q202" s="8">
        <f t="shared" si="62"/>
        <v>0.33474819749461476</v>
      </c>
      <c r="R202" s="8">
        <f t="shared" si="63"/>
        <v>0.17978730879753479</v>
      </c>
      <c r="S202" s="9">
        <f t="shared" si="55"/>
        <v>8.3687049373653705E-2</v>
      </c>
      <c r="T202" s="9">
        <f t="shared" si="55"/>
        <v>4.4946827199383699E-2</v>
      </c>
      <c r="U202" s="8">
        <f t="shared" si="64"/>
        <v>6.9860493390180481E-2</v>
      </c>
      <c r="V202" s="8">
        <f t="shared" si="65"/>
        <v>3.7520829662094218E-2</v>
      </c>
      <c r="W202" s="8">
        <f t="shared" si="66"/>
        <v>1.3826555983473219E-2</v>
      </c>
      <c r="X202" s="8">
        <f t="shared" si="67"/>
        <v>7.4259975372894804E-3</v>
      </c>
      <c r="Y202" s="8">
        <f t="shared" si="68"/>
        <v>0.92164911331941224</v>
      </c>
      <c r="Z202" s="8">
        <f t="shared" si="69"/>
        <v>0.49500136215669094</v>
      </c>
      <c r="AA202" s="10">
        <v>2381.6675591522499</v>
      </c>
      <c r="AB202" s="11">
        <v>1279.1513266244399</v>
      </c>
    </row>
    <row r="203" spans="1:28" x14ac:dyDescent="0.35">
      <c r="A203" s="6" t="s">
        <v>38</v>
      </c>
      <c r="B203" s="21" t="s">
        <v>69</v>
      </c>
      <c r="C203" s="29">
        <f t="shared" si="56"/>
        <v>20</v>
      </c>
      <c r="D203" s="30">
        <v>3</v>
      </c>
      <c r="E203" s="30">
        <v>17</v>
      </c>
      <c r="F203" s="30">
        <v>10</v>
      </c>
      <c r="G203" s="31">
        <f t="shared" si="57"/>
        <v>49</v>
      </c>
      <c r="H203" s="30">
        <v>3</v>
      </c>
      <c r="I203" s="30">
        <v>46</v>
      </c>
      <c r="J203" s="30">
        <v>19</v>
      </c>
      <c r="K203" s="9">
        <f t="shared" si="54"/>
        <v>2.005910311560561</v>
      </c>
      <c r="L203" s="9">
        <f t="shared" si="54"/>
        <v>0.85697755603077641</v>
      </c>
      <c r="M203" s="8">
        <f t="shared" si="58"/>
        <v>0.3008865467340841</v>
      </c>
      <c r="N203" s="8">
        <f t="shared" si="59"/>
        <v>0.12854663340461647</v>
      </c>
      <c r="O203" s="8">
        <f t="shared" si="60"/>
        <v>1.7050237648264768</v>
      </c>
      <c r="P203" s="8">
        <f t="shared" si="61"/>
        <v>0.72843092262615994</v>
      </c>
      <c r="Q203" s="8">
        <f t="shared" si="62"/>
        <v>1.0029551557802803</v>
      </c>
      <c r="R203" s="8">
        <f t="shared" si="63"/>
        <v>0.42848877801538821</v>
      </c>
      <c r="S203" s="9">
        <f t="shared" si="55"/>
        <v>4.914480263323374</v>
      </c>
      <c r="T203" s="9">
        <f t="shared" si="55"/>
        <v>2.0995950122754024</v>
      </c>
      <c r="U203" s="8">
        <f t="shared" si="64"/>
        <v>0.3008865467340841</v>
      </c>
      <c r="V203" s="8">
        <f t="shared" si="65"/>
        <v>0.12854663340461647</v>
      </c>
      <c r="W203" s="8">
        <f t="shared" si="66"/>
        <v>4.61359371658929</v>
      </c>
      <c r="X203" s="8">
        <f t="shared" si="67"/>
        <v>1.9710483788707858</v>
      </c>
      <c r="Y203" s="8">
        <f t="shared" si="68"/>
        <v>1.9056147959825329</v>
      </c>
      <c r="Z203" s="8">
        <f t="shared" si="69"/>
        <v>0.81412867822923762</v>
      </c>
      <c r="AA203" s="10">
        <v>2333.7834064911899</v>
      </c>
      <c r="AB203" s="11">
        <v>997.05355143423003</v>
      </c>
    </row>
    <row r="204" spans="1:28" x14ac:dyDescent="0.35">
      <c r="A204" s="13" t="s">
        <v>39</v>
      </c>
      <c r="B204" s="21" t="s">
        <v>69</v>
      </c>
      <c r="C204" s="29">
        <f t="shared" si="56"/>
        <v>50.216401811594153</v>
      </c>
      <c r="D204" s="30">
        <v>2.8532046483860314</v>
      </c>
      <c r="E204" s="30">
        <v>47.36319716320812</v>
      </c>
      <c r="F204" s="30">
        <v>0</v>
      </c>
      <c r="G204" s="31">
        <f t="shared" si="57"/>
        <v>10.271536734189713</v>
      </c>
      <c r="H204" s="30">
        <v>0</v>
      </c>
      <c r="I204" s="30">
        <v>10.271536734189713</v>
      </c>
      <c r="J204" s="30">
        <v>0</v>
      </c>
      <c r="K204" s="9">
        <f t="shared" si="54"/>
        <v>12.131044231205824</v>
      </c>
      <c r="L204" s="9">
        <f t="shared" si="54"/>
        <v>10.716280761030211</v>
      </c>
      <c r="M204" s="8">
        <f t="shared" si="58"/>
        <v>0.68926387677305812</v>
      </c>
      <c r="N204" s="8">
        <f t="shared" si="59"/>
        <v>0.60887958869489833</v>
      </c>
      <c r="O204" s="8">
        <f t="shared" si="60"/>
        <v>11.441780354432765</v>
      </c>
      <c r="P204" s="8">
        <f t="shared" si="61"/>
        <v>10.107401172335312</v>
      </c>
      <c r="Q204" s="8">
        <f t="shared" si="62"/>
        <v>0</v>
      </c>
      <c r="R204" s="8">
        <f t="shared" si="63"/>
        <v>0</v>
      </c>
      <c r="S204" s="9">
        <f t="shared" si="55"/>
        <v>2.4813499563830095</v>
      </c>
      <c r="T204" s="9">
        <f t="shared" si="55"/>
        <v>2.1919665193016336</v>
      </c>
      <c r="U204" s="8">
        <f t="shared" si="64"/>
        <v>0</v>
      </c>
      <c r="V204" s="8">
        <f t="shared" si="65"/>
        <v>0</v>
      </c>
      <c r="W204" s="8">
        <f t="shared" si="66"/>
        <v>2.4813499563830095</v>
      </c>
      <c r="X204" s="8">
        <f t="shared" si="67"/>
        <v>2.1919665193016336</v>
      </c>
      <c r="Y204" s="8">
        <f t="shared" si="68"/>
        <v>0</v>
      </c>
      <c r="Z204" s="8">
        <f t="shared" si="69"/>
        <v>0</v>
      </c>
      <c r="AA204" s="10">
        <v>468.59916169988998</v>
      </c>
      <c r="AB204" s="11">
        <v>413.94954015926999</v>
      </c>
    </row>
    <row r="205" spans="1:28" x14ac:dyDescent="0.35">
      <c r="A205" s="6" t="s">
        <v>40</v>
      </c>
      <c r="B205" s="21" t="s">
        <v>69</v>
      </c>
      <c r="C205" s="29">
        <f t="shared" si="56"/>
        <v>42.341556982048701</v>
      </c>
      <c r="D205" s="30">
        <v>10.499793106060594</v>
      </c>
      <c r="E205" s="30">
        <v>31.841763875988111</v>
      </c>
      <c r="F205" s="30">
        <v>15.064920543478244</v>
      </c>
      <c r="G205" s="31">
        <f t="shared" si="57"/>
        <v>61.172707661396508</v>
      </c>
      <c r="H205" s="30">
        <v>1.8260509749670601</v>
      </c>
      <c r="I205" s="30">
        <v>59.346656686429448</v>
      </c>
      <c r="J205" s="30">
        <v>0</v>
      </c>
      <c r="K205" s="9">
        <f t="shared" si="54"/>
        <v>8.5511287702675656</v>
      </c>
      <c r="L205" s="9">
        <f t="shared" si="54"/>
        <v>7.6246861111964419</v>
      </c>
      <c r="M205" s="8">
        <f t="shared" si="58"/>
        <v>2.120495544109477</v>
      </c>
      <c r="N205" s="8">
        <f t="shared" si="59"/>
        <v>1.8907577418600336</v>
      </c>
      <c r="O205" s="8">
        <f t="shared" si="60"/>
        <v>6.430633226158089</v>
      </c>
      <c r="P205" s="8">
        <f t="shared" si="61"/>
        <v>5.7339283693364083</v>
      </c>
      <c r="Q205" s="8">
        <f t="shared" si="62"/>
        <v>3.0424501285049019</v>
      </c>
      <c r="R205" s="8">
        <f t="shared" si="63"/>
        <v>2.7128263252774403</v>
      </c>
      <c r="S205" s="9">
        <f t="shared" si="55"/>
        <v>12.354191430898693</v>
      </c>
      <c r="T205" s="9">
        <f t="shared" si="55"/>
        <v>11.015719017793241</v>
      </c>
      <c r="U205" s="8">
        <f t="shared" si="64"/>
        <v>0.36878183375816997</v>
      </c>
      <c r="V205" s="8">
        <f t="shared" si="65"/>
        <v>0.32882743336696246</v>
      </c>
      <c r="W205" s="8">
        <f t="shared" si="66"/>
        <v>11.985409597140523</v>
      </c>
      <c r="X205" s="8">
        <f t="shared" si="67"/>
        <v>10.686891584426279</v>
      </c>
      <c r="Y205" s="8">
        <f t="shared" si="68"/>
        <v>0</v>
      </c>
      <c r="Z205" s="8">
        <f t="shared" si="69"/>
        <v>0</v>
      </c>
      <c r="AA205" s="10">
        <v>555.32196820367994</v>
      </c>
      <c r="AB205" s="11">
        <v>495.15751802582002</v>
      </c>
    </row>
    <row r="206" spans="1:28" x14ac:dyDescent="0.35">
      <c r="A206" s="13" t="s">
        <v>41</v>
      </c>
      <c r="B206" s="21" t="s">
        <v>69</v>
      </c>
      <c r="C206" s="29">
        <f t="shared" si="56"/>
        <v>23.390527891771956</v>
      </c>
      <c r="D206" s="30">
        <v>6.505746383602073</v>
      </c>
      <c r="E206" s="30">
        <v>16.884781508169883</v>
      </c>
      <c r="F206" s="30">
        <v>1.5639641968526836</v>
      </c>
      <c r="G206" s="31">
        <f t="shared" si="57"/>
        <v>37.767796555401176</v>
      </c>
      <c r="H206" s="30">
        <v>4.3084413136437572E-2</v>
      </c>
      <c r="I206" s="30">
        <v>37.724712142264735</v>
      </c>
      <c r="J206" s="30">
        <v>0</v>
      </c>
      <c r="K206" s="9">
        <f t="shared" si="54"/>
        <v>10.847008991785207</v>
      </c>
      <c r="L206" s="9">
        <f t="shared" si="54"/>
        <v>5.7414738653985165</v>
      </c>
      <c r="M206" s="8">
        <f t="shared" si="58"/>
        <v>3.0169430056355986</v>
      </c>
      <c r="N206" s="8">
        <f t="shared" si="59"/>
        <v>1.5969102112270694</v>
      </c>
      <c r="O206" s="8">
        <f t="shared" si="60"/>
        <v>7.8300659861496094</v>
      </c>
      <c r="P206" s="8">
        <f t="shared" si="61"/>
        <v>4.1445636541714475</v>
      </c>
      <c r="Q206" s="8">
        <f t="shared" si="62"/>
        <v>0.7252651066527962</v>
      </c>
      <c r="R206" s="8">
        <f t="shared" si="63"/>
        <v>0.38389298455326237</v>
      </c>
      <c r="S206" s="9">
        <f t="shared" si="55"/>
        <v>17.514253236689836</v>
      </c>
      <c r="T206" s="9">
        <f t="shared" si="55"/>
        <v>9.2705396765672123</v>
      </c>
      <c r="U206" s="8">
        <f t="shared" si="64"/>
        <v>1.9979755004209263E-2</v>
      </c>
      <c r="V206" s="8">
        <f t="shared" si="65"/>
        <v>1.057556431276205E-2</v>
      </c>
      <c r="W206" s="8">
        <f t="shared" si="66"/>
        <v>17.494273481685628</v>
      </c>
      <c r="X206" s="8">
        <f t="shared" si="67"/>
        <v>9.2599641122544512</v>
      </c>
      <c r="Y206" s="8">
        <f t="shared" si="68"/>
        <v>0</v>
      </c>
      <c r="Z206" s="8">
        <f t="shared" si="69"/>
        <v>0</v>
      </c>
      <c r="AA206" s="10">
        <v>407.39587848230002</v>
      </c>
      <c r="AB206" s="11">
        <v>215.64034757863999</v>
      </c>
    </row>
    <row r="207" spans="1:28" x14ac:dyDescent="0.35">
      <c r="A207" s="13" t="s">
        <v>42</v>
      </c>
      <c r="B207" s="21" t="s">
        <v>69</v>
      </c>
      <c r="C207" s="29">
        <f t="shared" si="56"/>
        <v>12.274248212821655</v>
      </c>
      <c r="D207" s="30">
        <v>0.12228391743782471</v>
      </c>
      <c r="E207" s="30">
        <v>12.151964295383831</v>
      </c>
      <c r="F207" s="30">
        <v>48.730141098973149</v>
      </c>
      <c r="G207" s="31">
        <f t="shared" si="57"/>
        <v>55.669753413569694</v>
      </c>
      <c r="H207" s="30">
        <v>43.105080896833208</v>
      </c>
      <c r="I207" s="30">
        <v>12.56467251673649</v>
      </c>
      <c r="J207" s="30">
        <v>0</v>
      </c>
      <c r="K207" s="9">
        <f t="shared" si="54"/>
        <v>3.690365110259608</v>
      </c>
      <c r="L207" s="9">
        <f t="shared" si="54"/>
        <v>3.9458973875073933</v>
      </c>
      <c r="M207" s="8">
        <f t="shared" si="58"/>
        <v>3.6765779429734573E-2</v>
      </c>
      <c r="N207" s="8">
        <f t="shared" si="59"/>
        <v>3.9311555541792213E-2</v>
      </c>
      <c r="O207" s="8">
        <f t="shared" si="60"/>
        <v>3.6535993308298735</v>
      </c>
      <c r="P207" s="8">
        <f t="shared" si="61"/>
        <v>3.9065858319656011</v>
      </c>
      <c r="Q207" s="8">
        <f t="shared" si="62"/>
        <v>14.651163102749228</v>
      </c>
      <c r="R207" s="8">
        <f t="shared" si="63"/>
        <v>15.665654883404198</v>
      </c>
      <c r="S207" s="9">
        <f t="shared" si="55"/>
        <v>16.737621085386667</v>
      </c>
      <c r="T207" s="9">
        <f t="shared" si="55"/>
        <v>17.896585660400905</v>
      </c>
      <c r="U207" s="8">
        <f t="shared" si="64"/>
        <v>12.959937248981438</v>
      </c>
      <c r="V207" s="8">
        <f t="shared" si="65"/>
        <v>13.857323328481755</v>
      </c>
      <c r="W207" s="8">
        <f t="shared" si="66"/>
        <v>3.7776838364052283</v>
      </c>
      <c r="X207" s="8">
        <f t="shared" si="67"/>
        <v>4.0392623319191499</v>
      </c>
      <c r="Y207" s="8">
        <f t="shared" si="68"/>
        <v>0</v>
      </c>
      <c r="Z207" s="8">
        <f t="shared" si="69"/>
        <v>0</v>
      </c>
      <c r="AA207" s="10">
        <v>311.06354290107998</v>
      </c>
      <c r="AB207" s="11">
        <v>332.60254327404999</v>
      </c>
    </row>
    <row r="208" spans="1:28" x14ac:dyDescent="0.35">
      <c r="A208" s="13" t="s">
        <v>43</v>
      </c>
      <c r="B208" s="21" t="s">
        <v>69</v>
      </c>
      <c r="C208" s="29">
        <f t="shared" si="56"/>
        <v>1.5871</v>
      </c>
      <c r="D208" s="30">
        <v>0.435</v>
      </c>
      <c r="E208" s="30">
        <v>1.1520999999999999</v>
      </c>
      <c r="F208" s="30">
        <v>0</v>
      </c>
      <c r="G208" s="31">
        <f t="shared" si="57"/>
        <v>1.3769999999999998</v>
      </c>
      <c r="H208" s="30">
        <v>1.0269999999999999</v>
      </c>
      <c r="I208" s="30">
        <v>0.35</v>
      </c>
      <c r="J208" s="30">
        <v>0</v>
      </c>
      <c r="K208" s="9">
        <f t="shared" si="54"/>
        <v>5.9009523324005393</v>
      </c>
      <c r="L208" s="9">
        <f t="shared" si="54"/>
        <v>3.456862622122669</v>
      </c>
      <c r="M208" s="8">
        <f t="shared" si="58"/>
        <v>1.6173613915911</v>
      </c>
      <c r="N208" s="8">
        <f t="shared" si="59"/>
        <v>0.94747353073112039</v>
      </c>
      <c r="O208" s="8">
        <f t="shared" si="60"/>
        <v>4.2835909408094395</v>
      </c>
      <c r="P208" s="8">
        <f t="shared" si="61"/>
        <v>2.5093890913915486</v>
      </c>
      <c r="Q208" s="8">
        <f t="shared" si="62"/>
        <v>0</v>
      </c>
      <c r="R208" s="8">
        <f t="shared" si="63"/>
        <v>0</v>
      </c>
      <c r="S208" s="9">
        <f t="shared" si="55"/>
        <v>5.1197853706228607</v>
      </c>
      <c r="T208" s="9">
        <f t="shared" si="55"/>
        <v>2.9992437972798909</v>
      </c>
      <c r="U208" s="8">
        <f t="shared" si="64"/>
        <v>3.8184601130208264</v>
      </c>
      <c r="V208" s="8">
        <f t="shared" si="65"/>
        <v>2.236908772553702</v>
      </c>
      <c r="W208" s="8">
        <f t="shared" si="66"/>
        <v>1.3013252576020344</v>
      </c>
      <c r="X208" s="8">
        <f t="shared" si="67"/>
        <v>0.76233502472618875</v>
      </c>
      <c r="Y208" s="8">
        <f t="shared" si="68"/>
        <v>0</v>
      </c>
      <c r="Z208" s="8">
        <f t="shared" si="69"/>
        <v>0</v>
      </c>
      <c r="AA208" s="10">
        <v>45.911572818750003</v>
      </c>
      <c r="AB208" s="11">
        <v>26.895658710639999</v>
      </c>
    </row>
    <row r="209" spans="1:28" x14ac:dyDescent="0.35">
      <c r="A209" s="13" t="s">
        <v>44</v>
      </c>
      <c r="B209" s="21" t="s">
        <v>69</v>
      </c>
      <c r="C209" s="29">
        <f t="shared" si="56"/>
        <v>11.584010872447287</v>
      </c>
      <c r="D209" s="30">
        <v>4.1086146936758849</v>
      </c>
      <c r="E209" s="30">
        <v>7.4753961787714021</v>
      </c>
      <c r="F209" s="30">
        <v>2.3966919046442663</v>
      </c>
      <c r="G209" s="31">
        <f t="shared" si="57"/>
        <v>15.749689659090892</v>
      </c>
      <c r="H209" s="30">
        <v>1.8260509749670601</v>
      </c>
      <c r="I209" s="30">
        <v>13.923638684123832</v>
      </c>
      <c r="J209" s="30">
        <v>4.56512743741765</v>
      </c>
      <c r="K209" s="9">
        <f t="shared" si="54"/>
        <v>4.5473116583546549</v>
      </c>
      <c r="L209" s="9">
        <f t="shared" si="54"/>
        <v>4.5620294182589536</v>
      </c>
      <c r="M209" s="8">
        <f t="shared" si="58"/>
        <v>1.6128396029632273</v>
      </c>
      <c r="N209" s="8">
        <f t="shared" si="59"/>
        <v>1.6180596951460329</v>
      </c>
      <c r="O209" s="8">
        <f t="shared" si="60"/>
        <v>2.9344720553914279</v>
      </c>
      <c r="P209" s="8">
        <f t="shared" si="61"/>
        <v>2.9439697231129212</v>
      </c>
      <c r="Q209" s="8">
        <f t="shared" si="62"/>
        <v>0.94082310172854933</v>
      </c>
      <c r="R209" s="8">
        <f t="shared" si="63"/>
        <v>0.94386815550185255</v>
      </c>
      <c r="S209" s="9">
        <f t="shared" si="55"/>
        <v>6.1825518113590379</v>
      </c>
      <c r="T209" s="9">
        <f t="shared" si="55"/>
        <v>6.2025621647264586</v>
      </c>
      <c r="U209" s="8">
        <f t="shared" si="64"/>
        <v>0.71681760131699002</v>
      </c>
      <c r="V209" s="8">
        <f t="shared" si="65"/>
        <v>0.71913764228712584</v>
      </c>
      <c r="W209" s="8">
        <f t="shared" si="66"/>
        <v>5.4657342100420481</v>
      </c>
      <c r="X209" s="8">
        <f t="shared" si="67"/>
        <v>5.483424522439333</v>
      </c>
      <c r="Y209" s="8">
        <f t="shared" si="68"/>
        <v>1.7920440032924749</v>
      </c>
      <c r="Z209" s="8">
        <f t="shared" si="69"/>
        <v>1.7978441057178143</v>
      </c>
      <c r="AA209" s="10">
        <v>253.92231856471</v>
      </c>
      <c r="AB209" s="11">
        <v>254.7441596875</v>
      </c>
    </row>
    <row r="210" spans="1:28" x14ac:dyDescent="0.35">
      <c r="A210" s="13" t="s">
        <v>45</v>
      </c>
      <c r="B210" s="21" t="s">
        <v>69</v>
      </c>
      <c r="C210" s="29">
        <f t="shared" si="56"/>
        <v>38.894885766798382</v>
      </c>
      <c r="D210" s="30">
        <v>1.1070434035737802</v>
      </c>
      <c r="E210" s="30">
        <v>37.787842363224598</v>
      </c>
      <c r="F210" s="30">
        <v>1.7918125191864278</v>
      </c>
      <c r="G210" s="31">
        <f t="shared" si="57"/>
        <v>12.942136285079037</v>
      </c>
      <c r="H210" s="30">
        <v>6.4710681425395187</v>
      </c>
      <c r="I210" s="30">
        <v>6.4710681425395187</v>
      </c>
      <c r="J210" s="30">
        <v>0</v>
      </c>
      <c r="K210" s="9">
        <f t="shared" si="54"/>
        <v>19.075189773360435</v>
      </c>
      <c r="L210" s="9">
        <f t="shared" si="54"/>
        <v>12.898545280216011</v>
      </c>
      <c r="M210" s="8">
        <f t="shared" si="58"/>
        <v>0.54292646948825185</v>
      </c>
      <c r="N210" s="8">
        <f t="shared" si="59"/>
        <v>0.36712408808126562</v>
      </c>
      <c r="O210" s="8">
        <f t="shared" si="60"/>
        <v>18.532263303872185</v>
      </c>
      <c r="P210" s="8">
        <f t="shared" si="61"/>
        <v>12.531421192134745</v>
      </c>
      <c r="Q210" s="8">
        <f t="shared" si="62"/>
        <v>0.87875727535727377</v>
      </c>
      <c r="R210" s="8">
        <f t="shared" si="63"/>
        <v>0.59421115287380111</v>
      </c>
      <c r="S210" s="9">
        <f t="shared" si="55"/>
        <v>6.3472022309245109</v>
      </c>
      <c r="T210" s="9">
        <f t="shared" si="55"/>
        <v>4.2919455245789191</v>
      </c>
      <c r="U210" s="8">
        <f t="shared" si="64"/>
        <v>3.1736011154622554</v>
      </c>
      <c r="V210" s="8">
        <f t="shared" si="65"/>
        <v>2.1459727622894595</v>
      </c>
      <c r="W210" s="8">
        <f t="shared" si="66"/>
        <v>3.1736011154622554</v>
      </c>
      <c r="X210" s="8">
        <f t="shared" si="67"/>
        <v>2.1459727622894595</v>
      </c>
      <c r="Y210" s="8">
        <f t="shared" si="68"/>
        <v>0</v>
      </c>
      <c r="Z210" s="8">
        <f t="shared" si="69"/>
        <v>0</v>
      </c>
      <c r="AA210" s="10">
        <v>301.54474727050001</v>
      </c>
      <c r="AB210" s="11">
        <v>203.90300819506001</v>
      </c>
    </row>
    <row r="211" spans="1:28" x14ac:dyDescent="0.35">
      <c r="A211" s="13" t="s">
        <v>46</v>
      </c>
      <c r="B211" s="21" t="s">
        <v>69</v>
      </c>
      <c r="C211" s="29">
        <f t="shared" si="56"/>
        <v>2.0091211225997041</v>
      </c>
      <c r="D211" s="30">
        <v>0.10494830132939439</v>
      </c>
      <c r="E211" s="30">
        <v>1.9041728212703097</v>
      </c>
      <c r="F211" s="30">
        <v>0</v>
      </c>
      <c r="G211" s="31">
        <f t="shared" si="57"/>
        <v>0.32127031019202362</v>
      </c>
      <c r="H211" s="30">
        <v>8.862629246676515E-2</v>
      </c>
      <c r="I211" s="30">
        <v>0.23264401772525847</v>
      </c>
      <c r="J211" s="30">
        <v>0</v>
      </c>
      <c r="K211" s="9">
        <f t="shared" si="54"/>
        <v>9.6918530600024297</v>
      </c>
      <c r="L211" s="9">
        <f t="shared" si="54"/>
        <v>10.535980255862842</v>
      </c>
      <c r="M211" s="8">
        <f t="shared" si="58"/>
        <v>0.50626291463464101</v>
      </c>
      <c r="N211" s="8">
        <f t="shared" si="59"/>
        <v>0.55035667997063265</v>
      </c>
      <c r="O211" s="8">
        <f t="shared" si="60"/>
        <v>9.1855901453677884</v>
      </c>
      <c r="P211" s="8">
        <f t="shared" si="61"/>
        <v>9.9856235758922089</v>
      </c>
      <c r="Q211" s="8">
        <f t="shared" si="62"/>
        <v>0</v>
      </c>
      <c r="R211" s="8">
        <f t="shared" si="63"/>
        <v>0</v>
      </c>
      <c r="S211" s="9">
        <f t="shared" si="55"/>
        <v>1.5497844325550232</v>
      </c>
      <c r="T211" s="9">
        <f t="shared" si="55"/>
        <v>1.684765346848875</v>
      </c>
      <c r="U211" s="8">
        <f t="shared" si="64"/>
        <v>0.42752674001517887</v>
      </c>
      <c r="V211" s="8">
        <f t="shared" si="65"/>
        <v>0.46476285430313802</v>
      </c>
      <c r="W211" s="8">
        <f t="shared" si="66"/>
        <v>1.1222576925398444</v>
      </c>
      <c r="X211" s="8">
        <f t="shared" si="67"/>
        <v>1.2200024925457371</v>
      </c>
      <c r="Y211" s="8">
        <f t="shared" si="68"/>
        <v>0</v>
      </c>
      <c r="Z211" s="8">
        <f t="shared" si="69"/>
        <v>0</v>
      </c>
      <c r="AA211" s="10">
        <v>19.06914282116</v>
      </c>
      <c r="AB211" s="11">
        <v>20.729999827290001</v>
      </c>
    </row>
    <row r="212" spans="1:28" x14ac:dyDescent="0.35">
      <c r="A212" s="13" t="s">
        <v>47</v>
      </c>
      <c r="B212" s="21" t="s">
        <v>69</v>
      </c>
      <c r="C212" s="29">
        <f t="shared" si="56"/>
        <v>43.140454283596789</v>
      </c>
      <c r="D212" s="30">
        <v>5.0216401811594151</v>
      </c>
      <c r="E212" s="30">
        <v>38.118814102437376</v>
      </c>
      <c r="F212" s="30">
        <v>2.8532046483860314</v>
      </c>
      <c r="G212" s="31">
        <f t="shared" si="57"/>
        <v>13.695382312252949</v>
      </c>
      <c r="H212" s="30">
        <v>7.9889730154808873</v>
      </c>
      <c r="I212" s="30">
        <v>5.7064092967720628</v>
      </c>
      <c r="J212" s="30">
        <v>0</v>
      </c>
      <c r="K212" s="9">
        <f t="shared" si="54"/>
        <v>11.613548746407977</v>
      </c>
      <c r="L212" s="9">
        <f t="shared" si="54"/>
        <v>10.32338078794349</v>
      </c>
      <c r="M212" s="8">
        <f t="shared" si="58"/>
        <v>1.3518416530210342</v>
      </c>
      <c r="N212" s="8">
        <f t="shared" si="59"/>
        <v>1.2016633721415702</v>
      </c>
      <c r="O212" s="8">
        <f t="shared" si="60"/>
        <v>10.261707093386942</v>
      </c>
      <c r="P212" s="8">
        <f t="shared" si="61"/>
        <v>9.1217174158019194</v>
      </c>
      <c r="Q212" s="8">
        <f t="shared" si="62"/>
        <v>0.76809184830740596</v>
      </c>
      <c r="R212" s="8">
        <f t="shared" si="63"/>
        <v>0.68276327962589223</v>
      </c>
      <c r="S212" s="9">
        <f t="shared" si="55"/>
        <v>3.6868408718755483</v>
      </c>
      <c r="T212" s="9">
        <f t="shared" si="55"/>
        <v>3.2772637422042825</v>
      </c>
      <c r="U212" s="8">
        <f t="shared" si="64"/>
        <v>2.1506571752607364</v>
      </c>
      <c r="V212" s="8">
        <f t="shared" si="65"/>
        <v>1.9117371829524981</v>
      </c>
      <c r="W212" s="8">
        <f t="shared" si="66"/>
        <v>1.5361836966148119</v>
      </c>
      <c r="X212" s="8">
        <f t="shared" si="67"/>
        <v>1.3655265592517845</v>
      </c>
      <c r="Y212" s="8">
        <f t="shared" si="68"/>
        <v>0</v>
      </c>
      <c r="Z212" s="8">
        <f t="shared" si="69"/>
        <v>0</v>
      </c>
      <c r="AA212" s="10">
        <v>417.89075855828003</v>
      </c>
      <c r="AB212" s="11">
        <v>371.46659669328</v>
      </c>
    </row>
    <row r="213" spans="1:28" x14ac:dyDescent="0.35">
      <c r="A213" s="13" t="s">
        <v>48</v>
      </c>
      <c r="B213" s="21" t="s">
        <v>69</v>
      </c>
      <c r="C213" s="29">
        <f t="shared" si="56"/>
        <v>41.4</v>
      </c>
      <c r="D213" s="30">
        <v>6.5</v>
      </c>
      <c r="E213" s="30">
        <v>34.9</v>
      </c>
      <c r="F213" s="30">
        <v>2.1</v>
      </c>
      <c r="G213" s="31">
        <f t="shared" si="57"/>
        <v>17</v>
      </c>
      <c r="H213" s="30">
        <v>3.7</v>
      </c>
      <c r="I213" s="30">
        <v>13.3</v>
      </c>
      <c r="J213" s="30">
        <v>0</v>
      </c>
      <c r="K213" s="9">
        <f t="shared" si="54"/>
        <v>11.54939764849431</v>
      </c>
      <c r="L213" s="9">
        <f t="shared" si="54"/>
        <v>12.091237700407998</v>
      </c>
      <c r="M213" s="8">
        <f t="shared" si="58"/>
        <v>1.8133112250051451</v>
      </c>
      <c r="N213" s="8">
        <f t="shared" si="59"/>
        <v>1.8983827307403862</v>
      </c>
      <c r="O213" s="8">
        <f t="shared" si="60"/>
        <v>9.736086423489164</v>
      </c>
      <c r="P213" s="8">
        <f t="shared" si="61"/>
        <v>10.192854969667611</v>
      </c>
      <c r="Q213" s="8">
        <f t="shared" si="62"/>
        <v>0.5858390111555084</v>
      </c>
      <c r="R213" s="8">
        <f t="shared" si="63"/>
        <v>0.61332365146997092</v>
      </c>
      <c r="S213" s="9">
        <f t="shared" si="55"/>
        <v>4.7425062807826874</v>
      </c>
      <c r="T213" s="9">
        <f t="shared" si="55"/>
        <v>4.9650009880902406</v>
      </c>
      <c r="U213" s="8">
        <f t="shared" si="64"/>
        <v>1.0321925434644674</v>
      </c>
      <c r="V213" s="8">
        <f t="shared" si="65"/>
        <v>1.0806178621137581</v>
      </c>
      <c r="W213" s="8">
        <f t="shared" si="66"/>
        <v>3.71031373731822</v>
      </c>
      <c r="X213" s="8">
        <f t="shared" si="67"/>
        <v>3.8843831259764823</v>
      </c>
      <c r="Y213" s="8">
        <f t="shared" si="68"/>
        <v>0</v>
      </c>
      <c r="Z213" s="8">
        <f t="shared" si="69"/>
        <v>0</v>
      </c>
      <c r="AA213" s="10">
        <v>342.39670930134002</v>
      </c>
      <c r="AB213" s="11">
        <v>358.46025273358998</v>
      </c>
    </row>
    <row r="214" spans="1:28" x14ac:dyDescent="0.35">
      <c r="A214" s="15" t="s">
        <v>49</v>
      </c>
      <c r="B214" s="21" t="s">
        <v>69</v>
      </c>
      <c r="C214" s="29">
        <f t="shared" si="56"/>
        <v>2.9126178965863909</v>
      </c>
      <c r="D214" s="30">
        <v>0.67911263411214207</v>
      </c>
      <c r="E214" s="30">
        <v>2.2335052624742486</v>
      </c>
      <c r="F214" s="30">
        <v>0</v>
      </c>
      <c r="G214" s="31">
        <f t="shared" si="57"/>
        <v>1.0455461485605735</v>
      </c>
      <c r="H214" s="30">
        <v>0.2896249719004359</v>
      </c>
      <c r="I214" s="30">
        <v>0.75592117666013769</v>
      </c>
      <c r="J214" s="30">
        <v>0</v>
      </c>
      <c r="K214" s="9">
        <f t="shared" si="54"/>
        <v>9.6571963197389223</v>
      </c>
      <c r="L214" s="9">
        <f t="shared" si="54"/>
        <v>5.2552901447769678</v>
      </c>
      <c r="M214" s="8">
        <f t="shared" si="58"/>
        <v>2.2516939274878407</v>
      </c>
      <c r="N214" s="8">
        <f t="shared" si="59"/>
        <v>1.2253354404729446</v>
      </c>
      <c r="O214" s="8">
        <f t="shared" si="60"/>
        <v>7.4055023922510825</v>
      </c>
      <c r="P214" s="8">
        <f t="shared" si="61"/>
        <v>4.0299547043040231</v>
      </c>
      <c r="Q214" s="8">
        <f t="shared" si="62"/>
        <v>0</v>
      </c>
      <c r="R214" s="8">
        <f t="shared" si="63"/>
        <v>0</v>
      </c>
      <c r="S214" s="9">
        <f t="shared" si="55"/>
        <v>3.4666560381401847</v>
      </c>
      <c r="T214" s="9">
        <f t="shared" si="55"/>
        <v>1.8864981832596941</v>
      </c>
      <c r="U214" s="8">
        <f t="shared" si="64"/>
        <v>0.96029253134077153</v>
      </c>
      <c r="V214" s="8">
        <f t="shared" si="65"/>
        <v>0.52257567403315619</v>
      </c>
      <c r="W214" s="8">
        <f t="shared" si="66"/>
        <v>2.5063635067994134</v>
      </c>
      <c r="X214" s="8">
        <f t="shared" si="67"/>
        <v>1.3639225092265379</v>
      </c>
      <c r="Y214" s="8">
        <f t="shared" si="68"/>
        <v>0</v>
      </c>
      <c r="Z214" s="8">
        <f t="shared" si="69"/>
        <v>0</v>
      </c>
      <c r="AA214" s="16">
        <v>55.422589739999999</v>
      </c>
      <c r="AB214" s="11">
        <v>30.160077523049999</v>
      </c>
    </row>
    <row r="215" spans="1:28" x14ac:dyDescent="0.35">
      <c r="A215" s="13" t="s">
        <v>50</v>
      </c>
      <c r="B215" s="21" t="s">
        <v>69</v>
      </c>
      <c r="C215" s="29">
        <f t="shared" si="56"/>
        <v>4.1622029999999999</v>
      </c>
      <c r="D215" s="30">
        <v>1.086606</v>
      </c>
      <c r="E215" s="30">
        <v>3.0755970000000001</v>
      </c>
      <c r="F215" s="30">
        <v>1.5986199999999999</v>
      </c>
      <c r="G215" s="31">
        <f t="shared" si="57"/>
        <v>1.5635561473155453</v>
      </c>
      <c r="H215" s="30">
        <v>0.42227428796113264</v>
      </c>
      <c r="I215" s="30">
        <v>1.1412818593544125</v>
      </c>
      <c r="J215" s="30">
        <v>0</v>
      </c>
      <c r="K215" s="9">
        <f t="shared" si="54"/>
        <v>8.6322728151230237</v>
      </c>
      <c r="L215" s="9">
        <f t="shared" si="54"/>
        <v>4.2849199648737493</v>
      </c>
      <c r="M215" s="8">
        <f t="shared" si="58"/>
        <v>2.2535852851361566</v>
      </c>
      <c r="N215" s="8">
        <f t="shared" si="59"/>
        <v>1.1186431184042691</v>
      </c>
      <c r="O215" s="8">
        <f t="shared" si="60"/>
        <v>6.3786875299868662</v>
      </c>
      <c r="P215" s="8">
        <f t="shared" si="61"/>
        <v>3.1662768464694797</v>
      </c>
      <c r="Q215" s="8">
        <f t="shared" si="62"/>
        <v>3.3154855656276174</v>
      </c>
      <c r="R215" s="8">
        <f t="shared" si="63"/>
        <v>1.6457531634681131</v>
      </c>
      <c r="S215" s="9">
        <f t="shared" si="55"/>
        <v>3.2427642826143916</v>
      </c>
      <c r="T215" s="9">
        <f t="shared" si="55"/>
        <v>1.6096555001842676</v>
      </c>
      <c r="U215" s="8">
        <f t="shared" si="64"/>
        <v>0.87578305442870441</v>
      </c>
      <c r="V215" s="8">
        <f t="shared" si="65"/>
        <v>0.43472447815195547</v>
      </c>
      <c r="W215" s="8">
        <f t="shared" si="66"/>
        <v>2.3669812281856872</v>
      </c>
      <c r="X215" s="8">
        <f t="shared" si="67"/>
        <v>1.1749310220323121</v>
      </c>
      <c r="Y215" s="8">
        <f t="shared" si="68"/>
        <v>0</v>
      </c>
      <c r="Z215" s="8">
        <f t="shared" si="69"/>
        <v>0</v>
      </c>
      <c r="AA215" s="10">
        <v>97.136073348400004</v>
      </c>
      <c r="AB215" s="11">
        <v>48.216768505140003</v>
      </c>
    </row>
    <row r="216" spans="1:28" x14ac:dyDescent="0.35">
      <c r="A216" s="13" t="s">
        <v>51</v>
      </c>
      <c r="B216" s="21" t="s">
        <v>69</v>
      </c>
      <c r="C216" s="29">
        <f t="shared" si="56"/>
        <v>3.0814610202569139</v>
      </c>
      <c r="D216" s="30">
        <v>0.34238455780632376</v>
      </c>
      <c r="E216" s="30">
        <v>2.7390764624505901</v>
      </c>
      <c r="F216" s="30">
        <v>5.2384837344367536</v>
      </c>
      <c r="G216" s="31">
        <f t="shared" si="57"/>
        <v>3.3097173921277965</v>
      </c>
      <c r="H216" s="30">
        <v>0.45651274374176504</v>
      </c>
      <c r="I216" s="30">
        <v>2.8532046483860314</v>
      </c>
      <c r="J216" s="30">
        <v>1.0157408548254272</v>
      </c>
      <c r="K216" s="9">
        <f t="shared" si="54"/>
        <v>4.6297730687428773</v>
      </c>
      <c r="L216" s="9">
        <f t="shared" si="54"/>
        <v>4.6447078336746168</v>
      </c>
      <c r="M216" s="8">
        <f t="shared" si="58"/>
        <v>0.51441922986031974</v>
      </c>
      <c r="N216" s="8">
        <f t="shared" si="59"/>
        <v>0.51607864818606852</v>
      </c>
      <c r="O216" s="8">
        <f t="shared" si="60"/>
        <v>4.1153538388825579</v>
      </c>
      <c r="P216" s="8">
        <f t="shared" si="61"/>
        <v>4.1286291854885482</v>
      </c>
      <c r="Q216" s="8">
        <f t="shared" si="62"/>
        <v>7.870614216862891</v>
      </c>
      <c r="R216" s="8">
        <f t="shared" si="63"/>
        <v>7.8960033172468469</v>
      </c>
      <c r="S216" s="9">
        <f t="shared" si="55"/>
        <v>4.9727192219830911</v>
      </c>
      <c r="T216" s="9">
        <f t="shared" si="55"/>
        <v>4.9887602657986614</v>
      </c>
      <c r="U216" s="8">
        <f t="shared" si="64"/>
        <v>0.68589230648042632</v>
      </c>
      <c r="V216" s="8">
        <f t="shared" si="65"/>
        <v>0.68810486424809125</v>
      </c>
      <c r="W216" s="8">
        <f t="shared" si="66"/>
        <v>4.2868269155026644</v>
      </c>
      <c r="X216" s="8">
        <f t="shared" si="67"/>
        <v>4.3006554015505705</v>
      </c>
      <c r="Y216" s="8">
        <f t="shared" si="68"/>
        <v>1.5261103819189485</v>
      </c>
      <c r="Z216" s="8">
        <f t="shared" si="69"/>
        <v>1.531033322952003</v>
      </c>
      <c r="AA216" s="10">
        <v>66.343484468840003</v>
      </c>
      <c r="AB216" s="11">
        <v>66.557495896739994</v>
      </c>
    </row>
    <row r="217" spans="1:28" x14ac:dyDescent="0.35">
      <c r="A217" s="13" t="s">
        <v>52</v>
      </c>
      <c r="B217" s="21" t="s">
        <v>69</v>
      </c>
      <c r="C217" s="29">
        <f t="shared" si="56"/>
        <v>93.92749702486816</v>
      </c>
      <c r="D217" s="30">
        <v>18.94527886528325</v>
      </c>
      <c r="E217" s="30">
        <v>74.982218159584903</v>
      </c>
      <c r="F217" s="30">
        <v>14.380151427865597</v>
      </c>
      <c r="G217" s="31">
        <f t="shared" si="57"/>
        <v>74.183320858036808</v>
      </c>
      <c r="H217" s="30">
        <v>0</v>
      </c>
      <c r="I217" s="30">
        <v>74.183320858036808</v>
      </c>
      <c r="J217" s="30">
        <v>0</v>
      </c>
      <c r="K217" s="9">
        <f t="shared" si="54"/>
        <v>11.178512242483428</v>
      </c>
      <c r="L217" s="9">
        <f t="shared" si="54"/>
        <v>10.073297291469261</v>
      </c>
      <c r="M217" s="8">
        <f t="shared" si="58"/>
        <v>2.2547181436843853</v>
      </c>
      <c r="N217" s="8">
        <f t="shared" si="59"/>
        <v>2.0317950794458048</v>
      </c>
      <c r="O217" s="8">
        <f t="shared" si="60"/>
        <v>8.9237940987990427</v>
      </c>
      <c r="P217" s="8">
        <f t="shared" si="61"/>
        <v>8.0415022120234561</v>
      </c>
      <c r="Q217" s="8">
        <f t="shared" si="62"/>
        <v>1.7114125668929669</v>
      </c>
      <c r="R217" s="8">
        <f t="shared" si="63"/>
        <v>1.5422059036757312</v>
      </c>
      <c r="S217" s="9">
        <f t="shared" si="55"/>
        <v>8.8287156228605426</v>
      </c>
      <c r="T217" s="9">
        <f t="shared" si="55"/>
        <v>7.9558241062636927</v>
      </c>
      <c r="U217" s="8">
        <f t="shared" si="64"/>
        <v>0</v>
      </c>
      <c r="V217" s="8">
        <f t="shared" si="65"/>
        <v>0</v>
      </c>
      <c r="W217" s="8">
        <f t="shared" si="66"/>
        <v>8.8287156228605426</v>
      </c>
      <c r="X217" s="8">
        <f t="shared" si="67"/>
        <v>7.9558241062636927</v>
      </c>
      <c r="Y217" s="8">
        <f t="shared" si="68"/>
        <v>0</v>
      </c>
      <c r="Z217" s="8">
        <f t="shared" si="69"/>
        <v>0</v>
      </c>
      <c r="AA217" s="10">
        <v>932.44043441874999</v>
      </c>
      <c r="AB217" s="11">
        <v>840.25042856688003</v>
      </c>
    </row>
    <row r="218" spans="1:28" x14ac:dyDescent="0.35">
      <c r="A218" s="13" t="s">
        <v>53</v>
      </c>
      <c r="B218" s="21" t="s">
        <v>69</v>
      </c>
      <c r="C218" s="29">
        <f t="shared" si="56"/>
        <v>40.366333649903929</v>
      </c>
      <c r="D218" s="30">
        <v>3.3151095268037039</v>
      </c>
      <c r="E218" s="30">
        <v>37.051224123100226</v>
      </c>
      <c r="F218" s="30">
        <v>0</v>
      </c>
      <c r="G218" s="31">
        <f t="shared" si="57"/>
        <v>3.4451138219724768</v>
      </c>
      <c r="H218" s="30">
        <v>1.8200601323628178</v>
      </c>
      <c r="I218" s="30">
        <v>1.625053689609659</v>
      </c>
      <c r="J218" s="30">
        <v>0</v>
      </c>
      <c r="K218" s="9">
        <f t="shared" si="54"/>
        <v>19.890861906826895</v>
      </c>
      <c r="L218" s="9">
        <f t="shared" si="54"/>
        <v>20.810198388109878</v>
      </c>
      <c r="M218" s="8">
        <f t="shared" si="58"/>
        <v>1.6335490454881987</v>
      </c>
      <c r="N218" s="8">
        <f t="shared" si="59"/>
        <v>1.7090501091684438</v>
      </c>
      <c r="O218" s="8">
        <f t="shared" si="60"/>
        <v>18.257312861338697</v>
      </c>
      <c r="P218" s="8">
        <f t="shared" si="61"/>
        <v>19.101148278941434</v>
      </c>
      <c r="Q218" s="8">
        <f t="shared" si="62"/>
        <v>0</v>
      </c>
      <c r="R218" s="8">
        <f t="shared" si="63"/>
        <v>0</v>
      </c>
      <c r="S218" s="9">
        <f t="shared" si="55"/>
        <v>1.697609792370089</v>
      </c>
      <c r="T218" s="9">
        <f t="shared" si="55"/>
        <v>1.7760716820770104</v>
      </c>
      <c r="U218" s="8">
        <f t="shared" si="64"/>
        <v>0.8968504563464621</v>
      </c>
      <c r="V218" s="8">
        <f t="shared" si="65"/>
        <v>0.93830202071992996</v>
      </c>
      <c r="W218" s="8">
        <f t="shared" si="66"/>
        <v>0.80075933602362703</v>
      </c>
      <c r="X218" s="8">
        <f t="shared" si="67"/>
        <v>0.83776966135708042</v>
      </c>
      <c r="Y218" s="8">
        <f t="shared" si="68"/>
        <v>0</v>
      </c>
      <c r="Z218" s="8">
        <f t="shared" si="69"/>
        <v>0</v>
      </c>
      <c r="AA218" s="10">
        <v>193.97380504054999</v>
      </c>
      <c r="AB218" s="11">
        <v>202.93908750153</v>
      </c>
    </row>
    <row r="219" spans="1:28" x14ac:dyDescent="0.35">
      <c r="A219" s="13" t="s">
        <v>54</v>
      </c>
      <c r="B219" s="21" t="s">
        <v>69</v>
      </c>
      <c r="C219" s="29">
        <f t="shared" si="56"/>
        <v>23.917160810691193</v>
      </c>
      <c r="D219" s="30">
        <v>2.6232409947782966</v>
      </c>
      <c r="E219" s="30">
        <v>21.293919815912897</v>
      </c>
      <c r="F219" s="30">
        <v>0</v>
      </c>
      <c r="G219" s="31">
        <f t="shared" si="57"/>
        <v>14.603062217895378</v>
      </c>
      <c r="H219" s="30">
        <v>6.3191432870165452</v>
      </c>
      <c r="I219" s="30">
        <v>8.2839189308788317</v>
      </c>
      <c r="J219" s="30">
        <v>0</v>
      </c>
      <c r="K219" s="9">
        <f t="shared" si="54"/>
        <v>5.8299085115697995</v>
      </c>
      <c r="L219" s="9">
        <f t="shared" si="54"/>
        <v>7.2376613497197813</v>
      </c>
      <c r="M219" s="8">
        <f t="shared" si="58"/>
        <v>0.63942602236134116</v>
      </c>
      <c r="N219" s="8">
        <f t="shared" si="59"/>
        <v>0.79382875372148565</v>
      </c>
      <c r="O219" s="8">
        <f t="shared" si="60"/>
        <v>5.190482489208458</v>
      </c>
      <c r="P219" s="8">
        <f t="shared" si="61"/>
        <v>6.4438325959982956</v>
      </c>
      <c r="Q219" s="8">
        <f t="shared" si="62"/>
        <v>0</v>
      </c>
      <c r="R219" s="8">
        <f t="shared" si="63"/>
        <v>0</v>
      </c>
      <c r="S219" s="9">
        <f t="shared" si="55"/>
        <v>3.5595578167888426</v>
      </c>
      <c r="T219" s="9">
        <f t="shared" si="55"/>
        <v>4.419087191769405</v>
      </c>
      <c r="U219" s="8">
        <f t="shared" si="64"/>
        <v>1.5403177461740809</v>
      </c>
      <c r="V219" s="8">
        <f t="shared" si="65"/>
        <v>1.9122595484383971</v>
      </c>
      <c r="W219" s="8">
        <f t="shared" si="66"/>
        <v>2.0192400706147615</v>
      </c>
      <c r="X219" s="8">
        <f t="shared" si="67"/>
        <v>2.5068276433310075</v>
      </c>
      <c r="Y219" s="8">
        <f t="shared" si="68"/>
        <v>0</v>
      </c>
      <c r="Z219" s="8">
        <f t="shared" si="69"/>
        <v>0</v>
      </c>
      <c r="AA219" s="10">
        <v>330.45426768437</v>
      </c>
      <c r="AB219" s="11">
        <v>410.24933347112</v>
      </c>
    </row>
    <row r="220" spans="1:28" x14ac:dyDescent="0.35">
      <c r="A220" s="13" t="s">
        <v>55</v>
      </c>
      <c r="B220" s="21" t="s">
        <v>69</v>
      </c>
      <c r="C220" s="29">
        <f t="shared" si="56"/>
        <v>13.010613196640302</v>
      </c>
      <c r="D220" s="30">
        <v>2.1684355327733837</v>
      </c>
      <c r="E220" s="30">
        <v>10.842177663866918</v>
      </c>
      <c r="F220" s="30">
        <v>1.2554100452898538</v>
      </c>
      <c r="G220" s="31">
        <f t="shared" si="57"/>
        <v>13.124741382575744</v>
      </c>
      <c r="H220" s="30">
        <v>0</v>
      </c>
      <c r="I220" s="30">
        <v>13.124741382575744</v>
      </c>
      <c r="J220" s="30">
        <v>0</v>
      </c>
      <c r="K220" s="9">
        <f t="shared" si="54"/>
        <v>5.8510855648288631</v>
      </c>
      <c r="L220" s="9">
        <f t="shared" si="54"/>
        <v>3.8130146387031418</v>
      </c>
      <c r="M220" s="8">
        <f t="shared" si="58"/>
        <v>0.97518092747147722</v>
      </c>
      <c r="N220" s="8">
        <f t="shared" si="59"/>
        <v>0.63550243978385701</v>
      </c>
      <c r="O220" s="8">
        <f t="shared" si="60"/>
        <v>4.8759046373573858</v>
      </c>
      <c r="P220" s="8">
        <f t="shared" si="61"/>
        <v>3.1775121989192847</v>
      </c>
      <c r="Q220" s="8">
        <f t="shared" si="62"/>
        <v>0.56457843169401312</v>
      </c>
      <c r="R220" s="8">
        <f t="shared" si="63"/>
        <v>0.36792246513802251</v>
      </c>
      <c r="S220" s="9">
        <f t="shared" si="55"/>
        <v>5.9024108768010466</v>
      </c>
      <c r="T220" s="9">
        <f t="shared" si="55"/>
        <v>3.8464621355338715</v>
      </c>
      <c r="U220" s="8">
        <f t="shared" si="64"/>
        <v>0</v>
      </c>
      <c r="V220" s="8">
        <f t="shared" si="65"/>
        <v>0</v>
      </c>
      <c r="W220" s="8">
        <f t="shared" si="66"/>
        <v>5.9024108768010466</v>
      </c>
      <c r="X220" s="8">
        <f t="shared" si="67"/>
        <v>3.8464621355338715</v>
      </c>
      <c r="Y220" s="8">
        <f t="shared" si="68"/>
        <v>0</v>
      </c>
      <c r="Z220" s="8">
        <f t="shared" si="69"/>
        <v>0</v>
      </c>
      <c r="AA220" s="10">
        <v>341.21592570296002</v>
      </c>
      <c r="AB220" s="11">
        <v>222.36238134761999</v>
      </c>
    </row>
    <row r="221" spans="1:28" x14ac:dyDescent="0.35">
      <c r="A221" s="13" t="s">
        <v>56</v>
      </c>
      <c r="B221" s="21" t="s">
        <v>69</v>
      </c>
      <c r="C221" s="29">
        <f t="shared" si="56"/>
        <v>4.6197248733241425</v>
      </c>
      <c r="D221" s="30">
        <v>0.28079327190109787</v>
      </c>
      <c r="E221" s="30">
        <v>4.3389316014230443</v>
      </c>
      <c r="F221" s="30">
        <v>0.6006120601465349</v>
      </c>
      <c r="G221" s="31">
        <f t="shared" si="57"/>
        <v>4.5823680163275764</v>
      </c>
      <c r="H221" s="30">
        <v>0</v>
      </c>
      <c r="I221" s="30">
        <v>4.5823680163275764</v>
      </c>
      <c r="J221" s="30">
        <v>0</v>
      </c>
      <c r="K221" s="9">
        <f t="shared" si="54"/>
        <v>4.6434500625741491</v>
      </c>
      <c r="L221" s="9">
        <f t="shared" si="54"/>
        <v>2.5423369882614839</v>
      </c>
      <c r="M221" s="8">
        <f t="shared" si="58"/>
        <v>0.28223532174143579</v>
      </c>
      <c r="N221" s="8">
        <f t="shared" si="59"/>
        <v>0.15452676096173151</v>
      </c>
      <c r="O221" s="8">
        <f t="shared" si="60"/>
        <v>4.3612147408327129</v>
      </c>
      <c r="P221" s="8">
        <f t="shared" si="61"/>
        <v>2.3878102272997523</v>
      </c>
      <c r="Q221" s="8">
        <f t="shared" si="62"/>
        <v>0.60369658036874452</v>
      </c>
      <c r="R221" s="8">
        <f t="shared" si="63"/>
        <v>0.33053012851991281</v>
      </c>
      <c r="S221" s="9">
        <f t="shared" si="55"/>
        <v>4.6059013546500216</v>
      </c>
      <c r="T221" s="9">
        <f t="shared" si="55"/>
        <v>2.5217786818878785</v>
      </c>
      <c r="U221" s="8">
        <f t="shared" si="64"/>
        <v>0</v>
      </c>
      <c r="V221" s="8">
        <f t="shared" si="65"/>
        <v>0</v>
      </c>
      <c r="W221" s="8">
        <f t="shared" si="66"/>
        <v>4.6059013546500216</v>
      </c>
      <c r="X221" s="8">
        <f t="shared" si="67"/>
        <v>2.5217786818878785</v>
      </c>
      <c r="Y221" s="8">
        <f t="shared" si="68"/>
        <v>0</v>
      </c>
      <c r="Z221" s="8">
        <f t="shared" si="69"/>
        <v>0</v>
      </c>
      <c r="AA221" s="10">
        <v>181.71174374815001</v>
      </c>
      <c r="AB221" s="11">
        <v>99.489061173690004</v>
      </c>
    </row>
    <row r="222" spans="1:28" x14ac:dyDescent="0.35">
      <c r="A222" s="13" t="s">
        <v>57</v>
      </c>
      <c r="B222" s="21" t="s">
        <v>69</v>
      </c>
      <c r="C222" s="29">
        <f t="shared" si="56"/>
        <v>4.1790000000000003</v>
      </c>
      <c r="D222" s="30">
        <v>0.41199999999999998</v>
      </c>
      <c r="E222" s="30">
        <v>3.7670000000000003</v>
      </c>
      <c r="F222" s="30">
        <v>0.47399999999999998</v>
      </c>
      <c r="G222" s="31">
        <f t="shared" si="57"/>
        <v>3.5</v>
      </c>
      <c r="H222" s="30">
        <v>1</v>
      </c>
      <c r="I222" s="30">
        <v>2.5</v>
      </c>
      <c r="J222" s="30">
        <v>0</v>
      </c>
      <c r="K222" s="9">
        <f t="shared" si="54"/>
        <v>8.2887100758244721</v>
      </c>
      <c r="L222" s="9">
        <f t="shared" si="54"/>
        <v>5.4959820620927164</v>
      </c>
      <c r="M222" s="8">
        <f t="shared" si="58"/>
        <v>0.81716883255316641</v>
      </c>
      <c r="N222" s="8">
        <f t="shared" si="59"/>
        <v>0.54183886326446495</v>
      </c>
      <c r="O222" s="8">
        <f t="shared" si="60"/>
        <v>7.4715412432713055</v>
      </c>
      <c r="P222" s="8">
        <f t="shared" si="61"/>
        <v>4.9541431988282518</v>
      </c>
      <c r="Q222" s="8">
        <f t="shared" si="62"/>
        <v>0.94014084133543885</v>
      </c>
      <c r="R222" s="8">
        <f t="shared" si="63"/>
        <v>0.62337772132853486</v>
      </c>
      <c r="S222" s="9">
        <f t="shared" si="55"/>
        <v>6.9419682377089371</v>
      </c>
      <c r="T222" s="9">
        <f t="shared" si="55"/>
        <v>4.6030000520039493</v>
      </c>
      <c r="U222" s="8">
        <f t="shared" si="64"/>
        <v>1.9834194964882681</v>
      </c>
      <c r="V222" s="8">
        <f t="shared" si="65"/>
        <v>1.3151428720011284</v>
      </c>
      <c r="W222" s="8">
        <f t="shared" si="66"/>
        <v>4.9585487412206692</v>
      </c>
      <c r="X222" s="8">
        <f t="shared" si="67"/>
        <v>3.2878571800028213</v>
      </c>
      <c r="Y222" s="8">
        <f t="shared" si="68"/>
        <v>0</v>
      </c>
      <c r="Z222" s="8">
        <f t="shared" si="69"/>
        <v>0</v>
      </c>
      <c r="AA222" s="10">
        <v>76.037366075549997</v>
      </c>
      <c r="AB222" s="11">
        <v>50.417977728389999</v>
      </c>
    </row>
    <row r="223" spans="1:28" x14ac:dyDescent="0.35">
      <c r="A223" s="13" t="s">
        <v>58</v>
      </c>
      <c r="B223" s="21" t="s">
        <v>69</v>
      </c>
      <c r="C223" s="29">
        <f t="shared" si="56"/>
        <v>22.474815922163589</v>
      </c>
      <c r="D223" s="30">
        <v>4.125811618561432</v>
      </c>
      <c r="E223" s="30">
        <v>18.349004303602158</v>
      </c>
      <c r="F223" s="30">
        <v>36.372286637317892</v>
      </c>
      <c r="G223" s="31">
        <f t="shared" si="57"/>
        <v>28.413813173092809</v>
      </c>
      <c r="H223" s="30">
        <v>1.2703156825570725</v>
      </c>
      <c r="I223" s="30">
        <v>27.143497490535736</v>
      </c>
      <c r="J223" s="30">
        <v>0</v>
      </c>
      <c r="K223" s="9">
        <f t="shared" si="54"/>
        <v>4.087658419220789</v>
      </c>
      <c r="L223" s="9">
        <f t="shared" si="54"/>
        <v>4.3137470638911193</v>
      </c>
      <c r="M223" s="8">
        <f t="shared" si="58"/>
        <v>0.75039140062990328</v>
      </c>
      <c r="N223" s="8">
        <f t="shared" si="59"/>
        <v>0.79189559626986727</v>
      </c>
      <c r="O223" s="8">
        <f t="shared" si="60"/>
        <v>3.3372670185908859</v>
      </c>
      <c r="P223" s="8">
        <f t="shared" si="61"/>
        <v>3.5218514676212522</v>
      </c>
      <c r="Q223" s="8">
        <f t="shared" si="62"/>
        <v>6.6152926108162537</v>
      </c>
      <c r="R223" s="8">
        <f t="shared" si="63"/>
        <v>6.9811848618527783</v>
      </c>
      <c r="S223" s="9">
        <f t="shared" si="55"/>
        <v>5.1678270932854131</v>
      </c>
      <c r="T223" s="9">
        <f t="shared" si="55"/>
        <v>5.4536599353637971</v>
      </c>
      <c r="U223" s="8">
        <f t="shared" si="64"/>
        <v>0.23104156282552288</v>
      </c>
      <c r="V223" s="8">
        <f t="shared" si="65"/>
        <v>0.24382048621993282</v>
      </c>
      <c r="W223" s="8">
        <f t="shared" si="66"/>
        <v>4.9367855304598907</v>
      </c>
      <c r="X223" s="8">
        <f t="shared" si="67"/>
        <v>5.209839449143864</v>
      </c>
      <c r="Y223" s="8">
        <f t="shared" si="68"/>
        <v>0</v>
      </c>
      <c r="Z223" s="8">
        <f t="shared" si="69"/>
        <v>0</v>
      </c>
      <c r="AA223" s="10">
        <v>521.00449074291998</v>
      </c>
      <c r="AB223" s="11">
        <v>549.82128194673999</v>
      </c>
    </row>
    <row r="224" spans="1:28" x14ac:dyDescent="0.35">
      <c r="A224" s="13" t="s">
        <v>59</v>
      </c>
      <c r="B224" s="21" t="s">
        <v>69</v>
      </c>
      <c r="C224" s="29">
        <f t="shared" si="56"/>
        <v>58.18339975679261</v>
      </c>
      <c r="D224" s="30">
        <v>7.0384605142862338</v>
      </c>
      <c r="E224" s="30">
        <v>51.144939242506375</v>
      </c>
      <c r="F224" s="30">
        <v>0</v>
      </c>
      <c r="G224" s="31">
        <f t="shared" si="57"/>
        <v>46.626605480157366</v>
      </c>
      <c r="H224" s="30">
        <v>1.0651423296438005</v>
      </c>
      <c r="I224" s="30">
        <v>45.561463150513568</v>
      </c>
      <c r="J224" s="30">
        <v>0</v>
      </c>
      <c r="K224" s="9">
        <f t="shared" si="54"/>
        <v>7.787797870021719</v>
      </c>
      <c r="L224" s="9">
        <f t="shared" si="54"/>
        <v>9.8480026411718598</v>
      </c>
      <c r="M224" s="8">
        <f t="shared" si="58"/>
        <v>0.94209186865178052</v>
      </c>
      <c r="N224" s="8">
        <f t="shared" si="59"/>
        <v>1.1913153584048262</v>
      </c>
      <c r="O224" s="8">
        <f t="shared" si="60"/>
        <v>6.8457060013699387</v>
      </c>
      <c r="P224" s="8">
        <f t="shared" si="61"/>
        <v>8.6566872827670327</v>
      </c>
      <c r="Q224" s="8">
        <f t="shared" si="62"/>
        <v>0</v>
      </c>
      <c r="R224" s="8">
        <f t="shared" si="63"/>
        <v>0</v>
      </c>
      <c r="S224" s="9">
        <f t="shared" si="55"/>
        <v>6.2409309246718658</v>
      </c>
      <c r="T224" s="9">
        <f t="shared" si="55"/>
        <v>7.8919233980283412</v>
      </c>
      <c r="U224" s="8">
        <f t="shared" si="64"/>
        <v>0.14256838205989414</v>
      </c>
      <c r="V224" s="8">
        <f t="shared" si="65"/>
        <v>0.18028380121138413</v>
      </c>
      <c r="W224" s="8">
        <f t="shared" si="66"/>
        <v>6.0983625426119721</v>
      </c>
      <c r="X224" s="8">
        <f t="shared" si="67"/>
        <v>7.7116395968169567</v>
      </c>
      <c r="Y224" s="8">
        <f t="shared" si="68"/>
        <v>0</v>
      </c>
      <c r="Z224" s="8">
        <f t="shared" si="69"/>
        <v>0</v>
      </c>
      <c r="AA224" s="10">
        <v>590.81421763174001</v>
      </c>
      <c r="AB224" s="11">
        <v>747.10978286638999</v>
      </c>
    </row>
    <row r="225" spans="1:28" x14ac:dyDescent="0.35">
      <c r="A225" s="6" t="s">
        <v>60</v>
      </c>
      <c r="B225" s="21" t="s">
        <v>69</v>
      </c>
      <c r="C225" s="29">
        <f t="shared" si="56"/>
        <v>35.638542855610027</v>
      </c>
      <c r="D225" s="30">
        <v>1.5165334699489497</v>
      </c>
      <c r="E225" s="30">
        <v>34.12200938566108</v>
      </c>
      <c r="F225" s="30">
        <v>3.2859281358385646</v>
      </c>
      <c r="G225" s="31">
        <f t="shared" si="57"/>
        <v>3.2859281358385646</v>
      </c>
      <c r="H225" s="30">
        <v>3.2859281358385646</v>
      </c>
      <c r="I225" s="30">
        <v>0</v>
      </c>
      <c r="J225" s="30">
        <v>3.0330682022598419</v>
      </c>
      <c r="K225" s="9">
        <f t="shared" si="54"/>
        <v>13.604602486815029</v>
      </c>
      <c r="L225" s="9">
        <f t="shared" si="54"/>
        <v>8.0760157020903112</v>
      </c>
      <c r="M225" s="8">
        <f t="shared" si="58"/>
        <v>0.5789191522278514</v>
      </c>
      <c r="N225" s="8">
        <f t="shared" si="59"/>
        <v>0.34366018177775415</v>
      </c>
      <c r="O225" s="8">
        <f t="shared" si="60"/>
        <v>13.025683334587178</v>
      </c>
      <c r="P225" s="8">
        <f t="shared" si="61"/>
        <v>7.7323555203125576</v>
      </c>
      <c r="Q225" s="8">
        <f t="shared" si="62"/>
        <v>1.2543651481330917</v>
      </c>
      <c r="R225" s="8">
        <f t="shared" si="63"/>
        <v>0.74462099442416596</v>
      </c>
      <c r="S225" s="9">
        <f t="shared" si="55"/>
        <v>1.2543651481330917</v>
      </c>
      <c r="T225" s="9">
        <f t="shared" si="55"/>
        <v>0.74462099442416596</v>
      </c>
      <c r="U225" s="8">
        <f t="shared" si="64"/>
        <v>1.2543651481330917</v>
      </c>
      <c r="V225" s="8">
        <f t="shared" si="65"/>
        <v>0.74462099442416596</v>
      </c>
      <c r="W225" s="8">
        <f t="shared" si="66"/>
        <v>0</v>
      </c>
      <c r="X225" s="8">
        <f t="shared" si="67"/>
        <v>0</v>
      </c>
      <c r="Y225" s="8">
        <f t="shared" si="68"/>
        <v>1.1578387863478075</v>
      </c>
      <c r="Z225" s="8">
        <f t="shared" si="69"/>
        <v>0.68732064961812622</v>
      </c>
      <c r="AA225" s="10">
        <v>441.28867711817003</v>
      </c>
      <c r="AB225" s="11">
        <v>261.95945739796002</v>
      </c>
    </row>
    <row r="226" spans="1:28" x14ac:dyDescent="0.35">
      <c r="A226" s="6" t="s">
        <v>61</v>
      </c>
      <c r="B226" s="21" t="s">
        <v>69</v>
      </c>
      <c r="C226" s="29">
        <f t="shared" si="56"/>
        <v>12.777545498790493</v>
      </c>
      <c r="D226" s="30">
        <v>3.8881471755765187</v>
      </c>
      <c r="E226" s="30">
        <v>8.8893983232139746</v>
      </c>
      <c r="F226" s="30">
        <v>0.4819569618750838</v>
      </c>
      <c r="G226" s="31">
        <f t="shared" si="57"/>
        <v>15.583184846514998</v>
      </c>
      <c r="H226" s="30">
        <v>8.6584380487873194</v>
      </c>
      <c r="I226" s="30">
        <v>6.9247467977276784</v>
      </c>
      <c r="J226" s="30">
        <v>0</v>
      </c>
      <c r="K226" s="9">
        <f t="shared" si="54"/>
        <v>3.9755204117890228</v>
      </c>
      <c r="L226" s="9">
        <f t="shared" si="54"/>
        <v>1.8505599983039964</v>
      </c>
      <c r="M226" s="8">
        <f t="shared" si="58"/>
        <v>1.2097322182893004</v>
      </c>
      <c r="N226" s="8">
        <f t="shared" si="59"/>
        <v>0.56311672936884971</v>
      </c>
      <c r="O226" s="8">
        <f t="shared" si="60"/>
        <v>2.7657881934997226</v>
      </c>
      <c r="P226" s="8">
        <f t="shared" si="61"/>
        <v>1.2874432689351467</v>
      </c>
      <c r="Q226" s="8">
        <f t="shared" si="62"/>
        <v>0.14995287942583252</v>
      </c>
      <c r="R226" s="8">
        <f t="shared" si="63"/>
        <v>6.9801377317308677E-2</v>
      </c>
      <c r="S226" s="9">
        <f t="shared" si="55"/>
        <v>4.8484483537050211</v>
      </c>
      <c r="T226" s="9">
        <f t="shared" si="55"/>
        <v>2.2568981285073404</v>
      </c>
      <c r="U226" s="8">
        <f t="shared" si="64"/>
        <v>2.6939287518422872</v>
      </c>
      <c r="V226" s="8">
        <f t="shared" si="65"/>
        <v>1.2539935077825262</v>
      </c>
      <c r="W226" s="8">
        <f t="shared" si="66"/>
        <v>2.1545196018627339</v>
      </c>
      <c r="X226" s="8">
        <f t="shared" si="67"/>
        <v>1.0029046207248142</v>
      </c>
      <c r="Y226" s="8">
        <f t="shared" si="68"/>
        <v>0</v>
      </c>
      <c r="Z226" s="8">
        <f t="shared" si="69"/>
        <v>0</v>
      </c>
      <c r="AA226" s="10">
        <v>690.46912883131995</v>
      </c>
      <c r="AB226" s="11">
        <v>321.40560669490998</v>
      </c>
    </row>
    <row r="227" spans="1:28" x14ac:dyDescent="0.35">
      <c r="A227" s="6" t="s">
        <v>62</v>
      </c>
      <c r="B227" s="21" t="s">
        <v>69</v>
      </c>
      <c r="C227" s="29">
        <f t="shared" si="56"/>
        <v>0.85465337395785701</v>
      </c>
      <c r="D227" s="30">
        <v>0.2</v>
      </c>
      <c r="E227" s="30">
        <v>0.65465337395785705</v>
      </c>
      <c r="F227" s="30">
        <v>0</v>
      </c>
      <c r="G227" s="31">
        <f t="shared" si="57"/>
        <v>0</v>
      </c>
      <c r="H227" s="30">
        <v>0</v>
      </c>
      <c r="I227" s="30">
        <v>0</v>
      </c>
      <c r="J227" s="30">
        <v>0</v>
      </c>
      <c r="K227" s="9">
        <f t="shared" si="54"/>
        <v>1.3274623554488709</v>
      </c>
      <c r="L227" s="9">
        <f t="shared" si="54"/>
        <v>0.93677595096876765</v>
      </c>
      <c r="M227" s="8">
        <f t="shared" si="58"/>
        <v>0.3106434481856567</v>
      </c>
      <c r="N227" s="8">
        <f t="shared" si="59"/>
        <v>0.21921775061405427</v>
      </c>
      <c r="O227" s="8">
        <f t="shared" si="60"/>
        <v>1.0168189072632143</v>
      </c>
      <c r="P227" s="8">
        <f t="shared" si="61"/>
        <v>0.7175582003547134</v>
      </c>
      <c r="Q227" s="8">
        <f t="shared" si="62"/>
        <v>0</v>
      </c>
      <c r="R227" s="8">
        <f t="shared" si="63"/>
        <v>0</v>
      </c>
      <c r="S227" s="9">
        <f t="shared" si="55"/>
        <v>0</v>
      </c>
      <c r="T227" s="9">
        <f t="shared" si="55"/>
        <v>0</v>
      </c>
      <c r="U227" s="8">
        <f t="shared" si="64"/>
        <v>0</v>
      </c>
      <c r="V227" s="8">
        <f t="shared" si="65"/>
        <v>0</v>
      </c>
      <c r="W227" s="8">
        <f t="shared" si="66"/>
        <v>0</v>
      </c>
      <c r="X227" s="8">
        <f t="shared" si="67"/>
        <v>0</v>
      </c>
      <c r="Y227" s="8">
        <f t="shared" si="68"/>
        <v>0</v>
      </c>
      <c r="Z227" s="8">
        <f t="shared" si="69"/>
        <v>0</v>
      </c>
      <c r="AA227" s="10">
        <v>91.233487908610002</v>
      </c>
      <c r="AB227" s="11">
        <v>64.38249419652</v>
      </c>
    </row>
    <row r="228" spans="1:28" x14ac:dyDescent="0.35">
      <c r="A228" s="6" t="s">
        <v>63</v>
      </c>
      <c r="B228" s="21" t="s">
        <v>69</v>
      </c>
      <c r="C228" s="29">
        <f t="shared" si="56"/>
        <v>16.289137328326046</v>
      </c>
      <c r="D228" s="30">
        <v>7.0357904306323586</v>
      </c>
      <c r="E228" s="30">
        <v>9.253346897693687</v>
      </c>
      <c r="F228" s="30">
        <v>0</v>
      </c>
      <c r="G228" s="31">
        <f t="shared" si="57"/>
        <v>6.4935767703113596</v>
      </c>
      <c r="H228" s="30">
        <v>0</v>
      </c>
      <c r="I228" s="30">
        <v>6.4935767703113596</v>
      </c>
      <c r="J228" s="30">
        <v>0</v>
      </c>
      <c r="K228" s="9">
        <f t="shared" si="54"/>
        <v>11.052176741838952</v>
      </c>
      <c r="L228" s="9">
        <f t="shared" si="54"/>
        <v>5.2564567804014075</v>
      </c>
      <c r="M228" s="8">
        <f t="shared" si="58"/>
        <v>4.7737825392794528</v>
      </c>
      <c r="N228" s="8">
        <f t="shared" si="59"/>
        <v>2.2704289103308453</v>
      </c>
      <c r="O228" s="8">
        <f t="shared" si="60"/>
        <v>6.2783942025595003</v>
      </c>
      <c r="P228" s="8">
        <f t="shared" si="61"/>
        <v>2.9860278700705623</v>
      </c>
      <c r="Q228" s="8">
        <f t="shared" si="62"/>
        <v>0</v>
      </c>
      <c r="R228" s="8">
        <f t="shared" si="63"/>
        <v>0</v>
      </c>
      <c r="S228" s="9">
        <f t="shared" si="55"/>
        <v>4.4058906684628081</v>
      </c>
      <c r="T228" s="9">
        <f t="shared" si="55"/>
        <v>2.095458154435482</v>
      </c>
      <c r="U228" s="8">
        <f t="shared" si="64"/>
        <v>0</v>
      </c>
      <c r="V228" s="8">
        <f t="shared" si="65"/>
        <v>0</v>
      </c>
      <c r="W228" s="8">
        <f t="shared" si="66"/>
        <v>4.4058906684628081</v>
      </c>
      <c r="X228" s="8">
        <f t="shared" si="67"/>
        <v>2.095458154435482</v>
      </c>
      <c r="Y228" s="8">
        <f t="shared" si="68"/>
        <v>0</v>
      </c>
      <c r="Z228" s="8">
        <f t="shared" si="69"/>
        <v>0</v>
      </c>
      <c r="AA228" s="10">
        <v>309.88816247970999</v>
      </c>
      <c r="AB228" s="11">
        <v>147.38397429586999</v>
      </c>
    </row>
    <row r="229" spans="1:28" x14ac:dyDescent="0.35">
      <c r="A229" s="6" t="s">
        <v>64</v>
      </c>
      <c r="B229" s="21" t="s">
        <v>69</v>
      </c>
      <c r="C229" s="29">
        <f t="shared" si="56"/>
        <v>38.516359409090974</v>
      </c>
      <c r="D229" s="30">
        <v>3.7695771192652283</v>
      </c>
      <c r="E229" s="30">
        <v>34.746782289825745</v>
      </c>
      <c r="F229" s="30">
        <v>0</v>
      </c>
      <c r="G229" s="31">
        <f t="shared" si="57"/>
        <v>28.720587575354124</v>
      </c>
      <c r="H229" s="30">
        <v>9.7444850702094339</v>
      </c>
      <c r="I229" s="30">
        <v>18.976102505144688</v>
      </c>
      <c r="J229" s="30">
        <v>0</v>
      </c>
      <c r="K229" s="9">
        <f t="shared" si="54"/>
        <v>6.7394836974641494</v>
      </c>
      <c r="L229" s="9">
        <f t="shared" si="54"/>
        <v>3.168967804681333</v>
      </c>
      <c r="M229" s="8">
        <f t="shared" si="58"/>
        <v>0.65958994908603863</v>
      </c>
      <c r="N229" s="8">
        <f t="shared" si="59"/>
        <v>0.3101453177684127</v>
      </c>
      <c r="O229" s="8">
        <f t="shared" si="60"/>
        <v>6.0798937483781108</v>
      </c>
      <c r="P229" s="8">
        <f t="shared" si="61"/>
        <v>2.8588224869129202</v>
      </c>
      <c r="Q229" s="8">
        <f t="shared" si="62"/>
        <v>0</v>
      </c>
      <c r="R229" s="8">
        <f t="shared" si="63"/>
        <v>0</v>
      </c>
      <c r="S229" s="9">
        <f t="shared" si="55"/>
        <v>5.0254472311317233</v>
      </c>
      <c r="T229" s="9">
        <f t="shared" si="55"/>
        <v>2.3630119449021922</v>
      </c>
      <c r="U229" s="8">
        <f t="shared" si="64"/>
        <v>1.7050624534196916</v>
      </c>
      <c r="V229" s="8">
        <f t="shared" si="65"/>
        <v>0.8017361955918153</v>
      </c>
      <c r="W229" s="8">
        <f t="shared" si="66"/>
        <v>3.3203847777120314</v>
      </c>
      <c r="X229" s="8">
        <f t="shared" si="67"/>
        <v>1.561275749310377</v>
      </c>
      <c r="Y229" s="8">
        <f t="shared" si="68"/>
        <v>0</v>
      </c>
      <c r="Z229" s="8">
        <f t="shared" si="69"/>
        <v>0</v>
      </c>
      <c r="AA229" s="10">
        <v>1215.4228689920101</v>
      </c>
      <c r="AB229" s="11">
        <v>571.50311712429004</v>
      </c>
    </row>
    <row r="230" spans="1:28" x14ac:dyDescent="0.35">
      <c r="A230" s="6" t="s">
        <v>26</v>
      </c>
      <c r="B230" s="21" t="s">
        <v>69</v>
      </c>
      <c r="C230" s="7">
        <f t="shared" si="56"/>
        <v>249.72579708899616</v>
      </c>
      <c r="D230" s="32">
        <v>13.808448829914081</v>
      </c>
      <c r="E230" s="32">
        <v>235.91734825908208</v>
      </c>
      <c r="F230" s="32">
        <v>0</v>
      </c>
      <c r="G230" s="9">
        <f t="shared" si="57"/>
        <v>24.164785452349641</v>
      </c>
      <c r="H230" s="32">
        <v>10.356336622435562</v>
      </c>
      <c r="I230" s="32">
        <v>13.808448829914079</v>
      </c>
      <c r="J230" s="32">
        <v>0</v>
      </c>
      <c r="K230" s="9">
        <f t="shared" ref="K230:L267" si="70">M230+O230</f>
        <v>16.706599322040006</v>
      </c>
      <c r="L230" s="9">
        <f t="shared" si="70"/>
        <v>20.360586789391007</v>
      </c>
      <c r="M230" s="8">
        <f t="shared" si="58"/>
        <v>0.92378210240752034</v>
      </c>
      <c r="N230" s="8">
        <f t="shared" si="59"/>
        <v>1.1258273038092899</v>
      </c>
      <c r="O230" s="8">
        <f t="shared" si="60"/>
        <v>15.782817219632486</v>
      </c>
      <c r="P230" s="8">
        <f t="shared" si="61"/>
        <v>19.234759485581719</v>
      </c>
      <c r="Q230" s="8">
        <f t="shared" si="62"/>
        <v>0</v>
      </c>
      <c r="R230" s="8">
        <f t="shared" si="63"/>
        <v>0</v>
      </c>
      <c r="S230" s="9">
        <f t="shared" ref="S230:T267" si="71">U230+W230</f>
        <v>1.6166186792131607</v>
      </c>
      <c r="T230" s="9">
        <f t="shared" si="71"/>
        <v>1.9701977816662573</v>
      </c>
      <c r="U230" s="8">
        <f t="shared" si="64"/>
        <v>0.69283657680564037</v>
      </c>
      <c r="V230" s="8">
        <f t="shared" si="65"/>
        <v>0.84437047785696751</v>
      </c>
      <c r="W230" s="8">
        <f t="shared" si="66"/>
        <v>0.92378210240752023</v>
      </c>
      <c r="X230" s="8">
        <f t="shared" si="67"/>
        <v>1.1258273038092899</v>
      </c>
      <c r="Y230" s="8">
        <f t="shared" si="68"/>
        <v>0</v>
      </c>
      <c r="Z230" s="8">
        <f t="shared" si="69"/>
        <v>0</v>
      </c>
      <c r="AA230" s="10">
        <v>1226.51571721458</v>
      </c>
      <c r="AB230" s="11">
        <v>1494.77336635199</v>
      </c>
    </row>
    <row r="231" spans="1:28" x14ac:dyDescent="0.35">
      <c r="A231" s="6" t="s">
        <v>28</v>
      </c>
      <c r="B231" s="21" t="s">
        <v>69</v>
      </c>
      <c r="C231" s="7">
        <f t="shared" si="56"/>
        <v>261.78973301959445</v>
      </c>
      <c r="D231" s="32">
        <v>45.632388666474455</v>
      </c>
      <c r="E231" s="32">
        <v>216.15734435311998</v>
      </c>
      <c r="F231" s="32">
        <v>68.027303732528338</v>
      </c>
      <c r="G231" s="9">
        <f t="shared" si="57"/>
        <v>64.944134850488979</v>
      </c>
      <c r="H231" s="32">
        <v>3.8772617821187447</v>
      </c>
      <c r="I231" s="32">
        <v>61.066873068370228</v>
      </c>
      <c r="J231" s="32">
        <v>0</v>
      </c>
      <c r="K231" s="9">
        <f t="shared" si="70"/>
        <v>15.43021028133305</v>
      </c>
      <c r="L231" s="9">
        <f t="shared" si="70"/>
        <v>15.189529015984853</v>
      </c>
      <c r="M231" s="8">
        <f t="shared" si="58"/>
        <v>2.689629362624844</v>
      </c>
      <c r="N231" s="8">
        <f t="shared" si="59"/>
        <v>2.6476763764690205</v>
      </c>
      <c r="O231" s="8">
        <f t="shared" si="60"/>
        <v>12.740580918708206</v>
      </c>
      <c r="P231" s="8">
        <f t="shared" si="61"/>
        <v>12.541852639515833</v>
      </c>
      <c r="Q231" s="8">
        <f t="shared" si="62"/>
        <v>4.0096133234776588</v>
      </c>
      <c r="R231" s="8">
        <f t="shared" si="63"/>
        <v>3.9470711551820608</v>
      </c>
      <c r="S231" s="9">
        <f t="shared" si="71"/>
        <v>3.8278875405984296</v>
      </c>
      <c r="T231" s="9">
        <f t="shared" si="71"/>
        <v>3.7681799410204526</v>
      </c>
      <c r="U231" s="8">
        <f t="shared" si="64"/>
        <v>0.22853059943871226</v>
      </c>
      <c r="V231" s="8">
        <f t="shared" si="65"/>
        <v>0.22496596662808674</v>
      </c>
      <c r="W231" s="8">
        <f t="shared" si="66"/>
        <v>3.5993569411597175</v>
      </c>
      <c r="X231" s="8">
        <f t="shared" si="67"/>
        <v>3.5432139743923661</v>
      </c>
      <c r="Y231" s="8">
        <f t="shared" si="68"/>
        <v>0</v>
      </c>
      <c r="Z231" s="8">
        <f t="shared" si="69"/>
        <v>0</v>
      </c>
      <c r="AA231" s="10">
        <v>1723.48815255626</v>
      </c>
      <c r="AB231" s="11">
        <v>1696.60508992738</v>
      </c>
    </row>
    <row r="232" spans="1:28" x14ac:dyDescent="0.35">
      <c r="A232" s="6" t="s">
        <v>29</v>
      </c>
      <c r="B232" s="21" t="s">
        <v>69</v>
      </c>
      <c r="C232" s="7">
        <f t="shared" si="56"/>
        <v>252.88463784604201</v>
      </c>
      <c r="D232" s="32">
        <v>38.633570180174964</v>
      </c>
      <c r="E232" s="32">
        <v>214.25106766586705</v>
      </c>
      <c r="F232" s="32">
        <v>79.204517036051911</v>
      </c>
      <c r="G232" s="9">
        <f t="shared" si="57"/>
        <v>399.21355852847461</v>
      </c>
      <c r="H232" s="32">
        <v>18.006206750642018</v>
      </c>
      <c r="I232" s="32">
        <v>381.20735177783257</v>
      </c>
      <c r="J232" s="32">
        <v>0</v>
      </c>
      <c r="K232" s="9">
        <f t="shared" si="70"/>
        <v>9.6638425269762749</v>
      </c>
      <c r="L232" s="9">
        <f t="shared" si="70"/>
        <v>8.6988918855390054</v>
      </c>
      <c r="M232" s="8">
        <f t="shared" si="58"/>
        <v>1.4763598993442799</v>
      </c>
      <c r="N232" s="8">
        <f t="shared" si="59"/>
        <v>1.3289429243793252</v>
      </c>
      <c r="O232" s="8">
        <f t="shared" si="60"/>
        <v>8.1874826276319954</v>
      </c>
      <c r="P232" s="8">
        <f t="shared" si="61"/>
        <v>7.3699489611596798</v>
      </c>
      <c r="Q232" s="8">
        <f t="shared" si="62"/>
        <v>3.0267555458533173</v>
      </c>
      <c r="R232" s="8">
        <f t="shared" si="63"/>
        <v>2.7245290042584984</v>
      </c>
      <c r="S232" s="9">
        <f t="shared" si="71"/>
        <v>15.25571895989089</v>
      </c>
      <c r="T232" s="9">
        <f t="shared" si="71"/>
        <v>13.732410218586359</v>
      </c>
      <c r="U232" s="8">
        <f t="shared" si="64"/>
        <v>0.68809694423715706</v>
      </c>
      <c r="V232" s="8">
        <f t="shared" si="65"/>
        <v>0.61938932758682408</v>
      </c>
      <c r="W232" s="8">
        <f t="shared" si="66"/>
        <v>14.567622015653733</v>
      </c>
      <c r="X232" s="8">
        <f t="shared" si="67"/>
        <v>13.113020890999536</v>
      </c>
      <c r="Y232" s="8">
        <f t="shared" si="68"/>
        <v>0</v>
      </c>
      <c r="Z232" s="8">
        <f t="shared" si="69"/>
        <v>0</v>
      </c>
      <c r="AA232" s="10">
        <v>2907.0902498102801</v>
      </c>
      <c r="AB232" s="11">
        <v>2616.8124857180101</v>
      </c>
    </row>
    <row r="233" spans="1:28" x14ac:dyDescent="0.35">
      <c r="A233" s="6" t="s">
        <v>30</v>
      </c>
      <c r="B233" s="21" t="s">
        <v>69</v>
      </c>
      <c r="C233" s="7">
        <f t="shared" si="56"/>
        <v>588.90143942687689</v>
      </c>
      <c r="D233" s="32">
        <v>69.618193420619164</v>
      </c>
      <c r="E233" s="32">
        <v>519.28324600625774</v>
      </c>
      <c r="F233" s="32">
        <v>0</v>
      </c>
      <c r="G233" s="9">
        <f t="shared" si="57"/>
        <v>1057.9682836215404</v>
      </c>
      <c r="H233" s="32">
        <v>114.12818593544125</v>
      </c>
      <c r="I233" s="32">
        <v>943.84009768609917</v>
      </c>
      <c r="J233" s="32">
        <v>0</v>
      </c>
      <c r="K233" s="9">
        <f t="shared" si="70"/>
        <v>16.37057240652236</v>
      </c>
      <c r="L233" s="9">
        <f t="shared" si="70"/>
        <v>14.150213902832794</v>
      </c>
      <c r="M233" s="8">
        <f t="shared" si="58"/>
        <v>1.9352808465074884</v>
      </c>
      <c r="N233" s="8">
        <f t="shared" si="59"/>
        <v>1.6727966047922489</v>
      </c>
      <c r="O233" s="8">
        <f t="shared" si="60"/>
        <v>14.435291560014873</v>
      </c>
      <c r="P233" s="8">
        <f t="shared" si="61"/>
        <v>12.477417298040546</v>
      </c>
      <c r="Q233" s="8">
        <f t="shared" si="62"/>
        <v>0</v>
      </c>
      <c r="R233" s="8">
        <f t="shared" si="63"/>
        <v>0</v>
      </c>
      <c r="S233" s="9">
        <f t="shared" si="71"/>
        <v>29.409923683810518</v>
      </c>
      <c r="T233" s="9">
        <f t="shared" si="71"/>
        <v>25.421023813810081</v>
      </c>
      <c r="U233" s="8">
        <f t="shared" si="64"/>
        <v>3.1725915516516197</v>
      </c>
      <c r="V233" s="8">
        <f t="shared" si="65"/>
        <v>2.7422895160528671</v>
      </c>
      <c r="W233" s="8">
        <f t="shared" si="66"/>
        <v>26.237332132158897</v>
      </c>
      <c r="X233" s="8">
        <f t="shared" si="67"/>
        <v>22.678734297757213</v>
      </c>
      <c r="Y233" s="8">
        <f t="shared" si="68"/>
        <v>0</v>
      </c>
      <c r="Z233" s="8">
        <f t="shared" si="69"/>
        <v>0</v>
      </c>
      <c r="AA233" s="10">
        <v>4161.7847155581303</v>
      </c>
      <c r="AB233" s="11">
        <v>3597.3173374942398</v>
      </c>
    </row>
    <row r="234" spans="1:28" x14ac:dyDescent="0.35">
      <c r="A234" s="6" t="s">
        <v>31</v>
      </c>
      <c r="B234" s="21" t="s">
        <v>69</v>
      </c>
      <c r="C234" s="7">
        <f t="shared" si="56"/>
        <v>205.43073468379427</v>
      </c>
      <c r="D234" s="32">
        <v>22.825637187088251</v>
      </c>
      <c r="E234" s="32">
        <v>182.60509749670601</v>
      </c>
      <c r="F234" s="32">
        <v>7.9889730154808873</v>
      </c>
      <c r="G234" s="9">
        <f t="shared" si="57"/>
        <v>664.51136260910675</v>
      </c>
      <c r="H234" s="32">
        <v>3.7091660429018405</v>
      </c>
      <c r="I234" s="32">
        <v>660.80219656620488</v>
      </c>
      <c r="J234" s="32">
        <v>0</v>
      </c>
      <c r="K234" s="9">
        <f t="shared" si="70"/>
        <v>10.709794274584462</v>
      </c>
      <c r="L234" s="9">
        <f t="shared" si="70"/>
        <v>8.787879797149678</v>
      </c>
      <c r="M234" s="8">
        <f t="shared" si="58"/>
        <v>1.1899771416204958</v>
      </c>
      <c r="N234" s="8">
        <f t="shared" si="59"/>
        <v>0.97643108857218652</v>
      </c>
      <c r="O234" s="8">
        <f t="shared" si="60"/>
        <v>9.5198171329639667</v>
      </c>
      <c r="P234" s="8">
        <f t="shared" si="61"/>
        <v>7.8114487085774922</v>
      </c>
      <c r="Q234" s="8">
        <f t="shared" si="62"/>
        <v>0.41649199956717348</v>
      </c>
      <c r="R234" s="8">
        <f t="shared" si="63"/>
        <v>0.34175088100026529</v>
      </c>
      <c r="S234" s="9">
        <f t="shared" si="71"/>
        <v>34.643209535426678</v>
      </c>
      <c r="T234" s="9">
        <f t="shared" si="71"/>
        <v>28.426350066057783</v>
      </c>
      <c r="U234" s="8">
        <f t="shared" si="64"/>
        <v>0.19337128551333052</v>
      </c>
      <c r="V234" s="8">
        <f t="shared" si="65"/>
        <v>0.15867005189298031</v>
      </c>
      <c r="W234" s="8">
        <f t="shared" si="66"/>
        <v>34.449838249913348</v>
      </c>
      <c r="X234" s="8">
        <f t="shared" si="67"/>
        <v>28.267680014164803</v>
      </c>
      <c r="Y234" s="8">
        <f t="shared" si="68"/>
        <v>0</v>
      </c>
      <c r="Z234" s="8">
        <f t="shared" si="69"/>
        <v>0</v>
      </c>
      <c r="AA234" s="10">
        <v>2337.6598158571201</v>
      </c>
      <c r="AB234" s="11">
        <v>1918.15761738117</v>
      </c>
    </row>
    <row r="235" spans="1:28" x14ac:dyDescent="0.35">
      <c r="A235" s="6" t="s">
        <v>32</v>
      </c>
      <c r="B235" s="21" t="s">
        <v>69</v>
      </c>
      <c r="C235" s="7">
        <f t="shared" si="56"/>
        <v>843.83378600861022</v>
      </c>
      <c r="D235" s="32">
        <v>104.89387795001592</v>
      </c>
      <c r="E235" s="32">
        <v>738.93990805859426</v>
      </c>
      <c r="F235" s="32">
        <v>27.16002196920055</v>
      </c>
      <c r="G235" s="9">
        <f t="shared" si="57"/>
        <v>147.0387396263616</v>
      </c>
      <c r="H235" s="32">
        <v>0</v>
      </c>
      <c r="I235" s="32">
        <v>147.0387396263616</v>
      </c>
      <c r="J235" s="32">
        <v>1282.1403474426052</v>
      </c>
      <c r="K235" s="9">
        <f t="shared" si="70"/>
        <v>18.487561472512532</v>
      </c>
      <c r="L235" s="9">
        <f t="shared" si="70"/>
        <v>15.84708363425969</v>
      </c>
      <c r="M235" s="8">
        <f t="shared" si="58"/>
        <v>2.2981208489693707</v>
      </c>
      <c r="N235" s="8">
        <f t="shared" si="59"/>
        <v>1.9698927492087519</v>
      </c>
      <c r="O235" s="8">
        <f t="shared" si="60"/>
        <v>16.18944062354316</v>
      </c>
      <c r="P235" s="8">
        <f t="shared" si="61"/>
        <v>13.877190885050938</v>
      </c>
      <c r="Q235" s="8">
        <f t="shared" si="62"/>
        <v>0.59504914839385492</v>
      </c>
      <c r="R235" s="8">
        <f t="shared" si="63"/>
        <v>0.51006151542012323</v>
      </c>
      <c r="S235" s="9">
        <f t="shared" si="71"/>
        <v>3.2214729757874219</v>
      </c>
      <c r="T235" s="9">
        <f t="shared" si="71"/>
        <v>2.7613675145158392</v>
      </c>
      <c r="U235" s="8">
        <f t="shared" si="64"/>
        <v>0</v>
      </c>
      <c r="V235" s="8">
        <f t="shared" si="65"/>
        <v>0</v>
      </c>
      <c r="W235" s="8">
        <f t="shared" si="66"/>
        <v>3.2214729757874219</v>
      </c>
      <c r="X235" s="8">
        <f t="shared" si="67"/>
        <v>2.7613675145158392</v>
      </c>
      <c r="Y235" s="8">
        <f t="shared" si="68"/>
        <v>28.090423591420254</v>
      </c>
      <c r="Z235" s="8">
        <f t="shared" si="69"/>
        <v>24.078421193453401</v>
      </c>
      <c r="AA235" s="10">
        <v>5324.8522282316499</v>
      </c>
      <c r="AB235" s="11">
        <v>4564.3325500944502</v>
      </c>
    </row>
    <row r="236" spans="1:28" x14ac:dyDescent="0.35">
      <c r="A236" s="6" t="s">
        <v>33</v>
      </c>
      <c r="B236" s="21" t="s">
        <v>69</v>
      </c>
      <c r="C236" s="7">
        <f t="shared" si="56"/>
        <v>104.83004568682563</v>
      </c>
      <c r="D236" s="32">
        <v>11.949099791303487</v>
      </c>
      <c r="E236" s="32">
        <v>92.880945895522146</v>
      </c>
      <c r="F236" s="32">
        <v>27.965978234965611</v>
      </c>
      <c r="G236" s="9">
        <f t="shared" si="57"/>
        <v>60.08448051088066</v>
      </c>
      <c r="H236" s="32">
        <v>0</v>
      </c>
      <c r="I236" s="32">
        <v>60.08448051088066</v>
      </c>
      <c r="J236" s="32">
        <v>105.93173573850609</v>
      </c>
      <c r="K236" s="9">
        <f t="shared" si="70"/>
        <v>6.3993065478290871</v>
      </c>
      <c r="L236" s="9">
        <f t="shared" si="70"/>
        <v>4.8610304710188492</v>
      </c>
      <c r="M236" s="8">
        <f t="shared" si="58"/>
        <v>0.72942782800638739</v>
      </c>
      <c r="N236" s="8">
        <f t="shared" si="59"/>
        <v>0.55408673921880169</v>
      </c>
      <c r="O236" s="8">
        <f t="shared" si="60"/>
        <v>5.6698787198226999</v>
      </c>
      <c r="P236" s="8">
        <f t="shared" si="61"/>
        <v>4.3069437318000476</v>
      </c>
      <c r="Q236" s="8">
        <f t="shared" si="62"/>
        <v>1.7071715123553752</v>
      </c>
      <c r="R236" s="8">
        <f t="shared" si="63"/>
        <v>1.2967987513631529</v>
      </c>
      <c r="S236" s="9">
        <f t="shared" si="71"/>
        <v>3.6678321280604878</v>
      </c>
      <c r="T236" s="9">
        <f t="shared" si="71"/>
        <v>2.7861524688378045</v>
      </c>
      <c r="U236" s="8">
        <f t="shared" si="64"/>
        <v>0</v>
      </c>
      <c r="V236" s="8">
        <f t="shared" si="65"/>
        <v>0</v>
      </c>
      <c r="W236" s="8">
        <f t="shared" si="66"/>
        <v>3.6678321280604878</v>
      </c>
      <c r="X236" s="8">
        <f t="shared" si="67"/>
        <v>2.7861524688378045</v>
      </c>
      <c r="Y236" s="8">
        <f t="shared" si="68"/>
        <v>6.4665587589218756</v>
      </c>
      <c r="Z236" s="8">
        <f t="shared" si="69"/>
        <v>4.9121164824361854</v>
      </c>
      <c r="AA236" s="10">
        <v>2156.5395714307001</v>
      </c>
      <c r="AB236" s="11">
        <v>1638.14696019506</v>
      </c>
    </row>
    <row r="237" spans="1:28" x14ac:dyDescent="0.35">
      <c r="A237" s="6" t="s">
        <v>34</v>
      </c>
      <c r="B237" s="21" t="s">
        <v>69</v>
      </c>
      <c r="C237" s="7">
        <f t="shared" si="56"/>
        <v>107.45168705821794</v>
      </c>
      <c r="D237" s="32">
        <v>21.924024518198266</v>
      </c>
      <c r="E237" s="32">
        <v>85.527662540019676</v>
      </c>
      <c r="F237" s="32">
        <v>5.1357683670948562E-2</v>
      </c>
      <c r="G237" s="9">
        <f t="shared" si="57"/>
        <v>172.60632712690199</v>
      </c>
      <c r="H237" s="32">
        <v>0.72927910812746966</v>
      </c>
      <c r="I237" s="32">
        <v>171.87704801877453</v>
      </c>
      <c r="J237" s="32">
        <v>11.412818593544126</v>
      </c>
      <c r="K237" s="9">
        <f t="shared" si="70"/>
        <v>8.1161859931574725</v>
      </c>
      <c r="L237" s="9">
        <f t="shared" si="70"/>
        <v>5.9810760126264126</v>
      </c>
      <c r="M237" s="8">
        <f t="shared" si="58"/>
        <v>1.6559950390712168</v>
      </c>
      <c r="N237" s="8">
        <f t="shared" si="59"/>
        <v>1.220355498699452</v>
      </c>
      <c r="O237" s="8">
        <f t="shared" si="60"/>
        <v>6.4601909540862561</v>
      </c>
      <c r="P237" s="8">
        <f t="shared" si="61"/>
        <v>4.7607205139269606</v>
      </c>
      <c r="Q237" s="8">
        <f t="shared" si="62"/>
        <v>3.8792179468092008E-3</v>
      </c>
      <c r="R237" s="8">
        <f t="shared" si="63"/>
        <v>2.8587192837832031E-3</v>
      </c>
      <c r="S237" s="9">
        <f t="shared" si="71"/>
        <v>13.03753429016615</v>
      </c>
      <c r="T237" s="9">
        <f t="shared" si="71"/>
        <v>9.6077743502241759</v>
      </c>
      <c r="U237" s="8">
        <f t="shared" si="64"/>
        <v>5.508489484469066E-2</v>
      </c>
      <c r="V237" s="8">
        <f t="shared" si="65"/>
        <v>4.0593813829721485E-2</v>
      </c>
      <c r="W237" s="8">
        <f t="shared" si="66"/>
        <v>12.98244939532146</v>
      </c>
      <c r="X237" s="8">
        <f t="shared" si="67"/>
        <v>9.5671805363944546</v>
      </c>
      <c r="Y237" s="8">
        <f t="shared" si="68"/>
        <v>0.862048432624267</v>
      </c>
      <c r="Z237" s="8">
        <f t="shared" si="69"/>
        <v>0.63527095195182293</v>
      </c>
      <c r="AA237" s="10">
        <v>1796.5276955414199</v>
      </c>
      <c r="AB237" s="11">
        <v>1323.9184901480501</v>
      </c>
    </row>
    <row r="238" spans="1:28" x14ac:dyDescent="0.35">
      <c r="A238" s="6" t="s">
        <v>35</v>
      </c>
      <c r="B238" s="21" t="s">
        <v>69</v>
      </c>
      <c r="C238" s="7">
        <f t="shared" si="56"/>
        <v>522.16796884260248</v>
      </c>
      <c r="D238" s="32">
        <v>130.8627342062542</v>
      </c>
      <c r="E238" s="32">
        <v>391.30523463634825</v>
      </c>
      <c r="F238" s="32">
        <v>16.03709978017821</v>
      </c>
      <c r="G238" s="9">
        <f t="shared" si="57"/>
        <v>452.92618683170508</v>
      </c>
      <c r="H238" s="32">
        <v>1.3214570218866846</v>
      </c>
      <c r="I238" s="32">
        <v>451.60472980981842</v>
      </c>
      <c r="J238" s="32">
        <v>0</v>
      </c>
      <c r="K238" s="9">
        <f t="shared" si="70"/>
        <v>16.537971947531275</v>
      </c>
      <c r="L238" s="9">
        <f t="shared" si="70"/>
        <v>17.748811656211291</v>
      </c>
      <c r="M238" s="8">
        <f t="shared" si="58"/>
        <v>4.1446514463100499</v>
      </c>
      <c r="N238" s="8">
        <f t="shared" si="59"/>
        <v>4.4481051325148693</v>
      </c>
      <c r="O238" s="8">
        <f t="shared" si="60"/>
        <v>12.393320501221226</v>
      </c>
      <c r="P238" s="8">
        <f t="shared" si="61"/>
        <v>13.300706523696421</v>
      </c>
      <c r="Q238" s="8">
        <f t="shared" si="62"/>
        <v>0.50792297136152575</v>
      </c>
      <c r="R238" s="8">
        <f t="shared" si="63"/>
        <v>0.54511092310231246</v>
      </c>
      <c r="S238" s="9">
        <f t="shared" si="71"/>
        <v>14.344963726380755</v>
      </c>
      <c r="T238" s="9">
        <f t="shared" si="71"/>
        <v>15.395240734624748</v>
      </c>
      <c r="U238" s="8">
        <f t="shared" si="64"/>
        <v>4.1852852840189719E-2</v>
      </c>
      <c r="V238" s="8">
        <f t="shared" si="65"/>
        <v>4.4917140063630547E-2</v>
      </c>
      <c r="W238" s="8">
        <f t="shared" si="66"/>
        <v>14.303110873540565</v>
      </c>
      <c r="X238" s="8">
        <f t="shared" si="67"/>
        <v>15.350323594561118</v>
      </c>
      <c r="Y238" s="8">
        <f t="shared" si="68"/>
        <v>0</v>
      </c>
      <c r="Z238" s="8">
        <f t="shared" si="69"/>
        <v>0</v>
      </c>
      <c r="AA238" s="10">
        <v>2941.9883367789698</v>
      </c>
      <c r="AB238" s="11">
        <v>3157.38816403392</v>
      </c>
    </row>
    <row r="239" spans="1:28" x14ac:dyDescent="0.35">
      <c r="A239" s="6" t="s">
        <v>36</v>
      </c>
      <c r="B239" s="21" t="s">
        <v>69</v>
      </c>
      <c r="C239" s="7">
        <f t="shared" si="56"/>
        <v>5328.3</v>
      </c>
      <c r="D239" s="32">
        <v>687.3</v>
      </c>
      <c r="E239" s="32">
        <v>4641</v>
      </c>
      <c r="F239" s="32">
        <v>17.98</v>
      </c>
      <c r="G239" s="9">
        <f t="shared" si="57"/>
        <v>510</v>
      </c>
      <c r="H239" s="32">
        <v>56</v>
      </c>
      <c r="I239" s="32">
        <v>454</v>
      </c>
      <c r="J239" s="32">
        <v>0</v>
      </c>
      <c r="K239" s="9">
        <f t="shared" si="70"/>
        <v>26.736447545993702</v>
      </c>
      <c r="L239" s="9">
        <f t="shared" si="70"/>
        <v>26.675893379829869</v>
      </c>
      <c r="M239" s="8">
        <f t="shared" si="58"/>
        <v>3.4487473299854492</v>
      </c>
      <c r="N239" s="8">
        <f t="shared" si="59"/>
        <v>3.4409364187371332</v>
      </c>
      <c r="O239" s="8">
        <f t="shared" si="60"/>
        <v>23.287700216008254</v>
      </c>
      <c r="P239" s="8">
        <f t="shared" si="61"/>
        <v>23.234956961092735</v>
      </c>
      <c r="Q239" s="8">
        <f t="shared" si="62"/>
        <v>9.0220394286539191E-2</v>
      </c>
      <c r="R239" s="8">
        <f t="shared" si="63"/>
        <v>9.0016058211688718E-2</v>
      </c>
      <c r="S239" s="9">
        <f t="shared" si="71"/>
        <v>2.5590879358250826</v>
      </c>
      <c r="T239" s="9">
        <f t="shared" si="71"/>
        <v>2.5532919737464543</v>
      </c>
      <c r="U239" s="8">
        <f t="shared" si="64"/>
        <v>0.28099789099255812</v>
      </c>
      <c r="V239" s="8">
        <f t="shared" si="65"/>
        <v>0.28036147162706165</v>
      </c>
      <c r="W239" s="8">
        <f t="shared" si="66"/>
        <v>2.2780900448325245</v>
      </c>
      <c r="X239" s="8">
        <f t="shared" si="67"/>
        <v>2.2729305021193928</v>
      </c>
      <c r="Y239" s="8">
        <f t="shared" si="68"/>
        <v>0</v>
      </c>
      <c r="Z239" s="8">
        <f t="shared" si="69"/>
        <v>0</v>
      </c>
      <c r="AA239" s="10">
        <v>19974.2138871676</v>
      </c>
      <c r="AB239" s="11">
        <v>19928.975197</v>
      </c>
    </row>
    <row r="240" spans="1:28" x14ac:dyDescent="0.35">
      <c r="A240" s="6" t="s">
        <v>37</v>
      </c>
      <c r="B240" s="21" t="s">
        <v>69</v>
      </c>
      <c r="C240" s="7">
        <f t="shared" si="56"/>
        <v>7.0279601888550918</v>
      </c>
      <c r="D240" s="32">
        <v>4.8032151754294405</v>
      </c>
      <c r="E240" s="32">
        <v>2.2247450134256517</v>
      </c>
      <c r="F240" s="32">
        <v>4.2819360091037648</v>
      </c>
      <c r="G240" s="9">
        <f t="shared" si="57"/>
        <v>1.1728781242327704</v>
      </c>
      <c r="H240" s="32">
        <v>0.89362142798687272</v>
      </c>
      <c r="I240" s="32">
        <v>0.27925669624589772</v>
      </c>
      <c r="J240" s="32">
        <v>12.240751852111851</v>
      </c>
      <c r="K240" s="9">
        <f t="shared" si="70"/>
        <v>0.54942367197485686</v>
      </c>
      <c r="L240" s="9">
        <f t="shared" si="70"/>
        <v>0.29508569161334508</v>
      </c>
      <c r="M240" s="8">
        <f t="shared" si="58"/>
        <v>0.37550015197222009</v>
      </c>
      <c r="N240" s="8">
        <f t="shared" si="59"/>
        <v>0.20167445943375639</v>
      </c>
      <c r="O240" s="8">
        <f t="shared" si="60"/>
        <v>0.17392352000263681</v>
      </c>
      <c r="P240" s="8">
        <f t="shared" si="61"/>
        <v>9.3411232179588716E-2</v>
      </c>
      <c r="Q240" s="8">
        <f t="shared" si="62"/>
        <v>0.33474819749461476</v>
      </c>
      <c r="R240" s="8">
        <f t="shared" si="63"/>
        <v>0.17978730879753479</v>
      </c>
      <c r="S240" s="9">
        <f t="shared" si="71"/>
        <v>9.169189757461188E-2</v>
      </c>
      <c r="T240" s="9">
        <f t="shared" si="71"/>
        <v>4.9246088931498663E-2</v>
      </c>
      <c r="U240" s="8">
        <f t="shared" si="64"/>
        <v>6.9860493390180481E-2</v>
      </c>
      <c r="V240" s="8">
        <f t="shared" si="65"/>
        <v>3.7520829662094218E-2</v>
      </c>
      <c r="W240" s="8">
        <f t="shared" si="66"/>
        <v>2.1831404184431399E-2</v>
      </c>
      <c r="X240" s="8">
        <f t="shared" si="67"/>
        <v>1.1725259269404443E-2</v>
      </c>
      <c r="Y240" s="8">
        <f t="shared" si="68"/>
        <v>0.95694321675090976</v>
      </c>
      <c r="Z240" s="8">
        <f t="shared" si="69"/>
        <v>0.51395719797556139</v>
      </c>
      <c r="AA240" s="10">
        <v>2381.6675591522499</v>
      </c>
      <c r="AB240" s="11">
        <v>1279.1513266244399</v>
      </c>
    </row>
    <row r="241" spans="1:28" x14ac:dyDescent="0.35">
      <c r="A241" s="6" t="s">
        <v>38</v>
      </c>
      <c r="B241" s="21" t="s">
        <v>69</v>
      </c>
      <c r="C241" s="7">
        <f t="shared" si="56"/>
        <v>25.234121210982785</v>
      </c>
      <c r="D241" s="32">
        <v>2.7673372045961901</v>
      </c>
      <c r="E241" s="32">
        <v>22.466784006386597</v>
      </c>
      <c r="F241" s="32">
        <v>10.01376658570374</v>
      </c>
      <c r="G241" s="9">
        <f t="shared" si="57"/>
        <v>48.92766294724192</v>
      </c>
      <c r="H241" s="32">
        <v>2.995571200851546</v>
      </c>
      <c r="I241" s="32">
        <v>45.932091746390377</v>
      </c>
      <c r="J241" s="32">
        <v>20.426942664854352</v>
      </c>
      <c r="K241" s="9">
        <f t="shared" si="70"/>
        <v>2.5308691970139723</v>
      </c>
      <c r="L241" s="9">
        <f t="shared" si="70"/>
        <v>1.0812537761986203</v>
      </c>
      <c r="M241" s="8">
        <f t="shared" si="58"/>
        <v>0.27755151171323378</v>
      </c>
      <c r="N241" s="8">
        <f t="shared" si="59"/>
        <v>0.1185772937153942</v>
      </c>
      <c r="O241" s="8">
        <f t="shared" si="60"/>
        <v>2.2533176853007384</v>
      </c>
      <c r="P241" s="8">
        <f t="shared" si="61"/>
        <v>0.96267648248322613</v>
      </c>
      <c r="Q241" s="8">
        <f t="shared" si="62"/>
        <v>1.0043358825911861</v>
      </c>
      <c r="R241" s="8">
        <f t="shared" si="63"/>
        <v>0.42907866076395218</v>
      </c>
      <c r="S241" s="9">
        <f t="shared" si="71"/>
        <v>4.9072251813216079</v>
      </c>
      <c r="T241" s="9">
        <f t="shared" si="71"/>
        <v>2.0964954507412479</v>
      </c>
      <c r="U241" s="8">
        <f t="shared" si="64"/>
        <v>0.30044235804009845</v>
      </c>
      <c r="V241" s="8">
        <f t="shared" si="65"/>
        <v>0.1283568643310968</v>
      </c>
      <c r="W241" s="8">
        <f t="shared" si="66"/>
        <v>4.6067828232815096</v>
      </c>
      <c r="X241" s="8">
        <f t="shared" si="67"/>
        <v>1.9681385864101513</v>
      </c>
      <c r="Y241" s="8">
        <f t="shared" si="68"/>
        <v>2.0487307462543853</v>
      </c>
      <c r="Z241" s="8">
        <f t="shared" si="69"/>
        <v>0.87527157010538392</v>
      </c>
      <c r="AA241" s="10">
        <v>2333.7834064911899</v>
      </c>
      <c r="AB241" s="11">
        <v>997.05355143423003</v>
      </c>
    </row>
    <row r="242" spans="1:28" x14ac:dyDescent="0.35">
      <c r="A242" s="13" t="s">
        <v>39</v>
      </c>
      <c r="B242" s="21" t="s">
        <v>69</v>
      </c>
      <c r="C242" s="7">
        <f t="shared" si="56"/>
        <v>65.737835098814159</v>
      </c>
      <c r="D242" s="32">
        <v>7.6465884576745644</v>
      </c>
      <c r="E242" s="32">
        <v>58.091246641139598</v>
      </c>
      <c r="F242" s="32">
        <v>0</v>
      </c>
      <c r="G242" s="9">
        <f t="shared" si="57"/>
        <v>12.211715895092214</v>
      </c>
      <c r="H242" s="32">
        <v>0</v>
      </c>
      <c r="I242" s="32">
        <v>12.211715895092214</v>
      </c>
      <c r="J242" s="32">
        <v>0</v>
      </c>
      <c r="K242" s="9">
        <f t="shared" si="70"/>
        <v>15.880639720851256</v>
      </c>
      <c r="L242" s="9">
        <f t="shared" si="70"/>
        <v>14.028585723530457</v>
      </c>
      <c r="M242" s="8">
        <f t="shared" si="58"/>
        <v>1.8472271897517958</v>
      </c>
      <c r="N242" s="8">
        <f t="shared" si="59"/>
        <v>1.6317972977023274</v>
      </c>
      <c r="O242" s="8">
        <f t="shared" si="60"/>
        <v>14.033412531099462</v>
      </c>
      <c r="P242" s="8">
        <f t="shared" si="61"/>
        <v>12.396788425828129</v>
      </c>
      <c r="Q242" s="8">
        <f t="shared" si="62"/>
        <v>0</v>
      </c>
      <c r="R242" s="8">
        <f t="shared" si="63"/>
        <v>0</v>
      </c>
      <c r="S242" s="9">
        <f t="shared" si="71"/>
        <v>2.9500493925886886</v>
      </c>
      <c r="T242" s="9">
        <f t="shared" si="71"/>
        <v>2.6060046396141643</v>
      </c>
      <c r="U242" s="8">
        <f t="shared" si="64"/>
        <v>0</v>
      </c>
      <c r="V242" s="8">
        <f t="shared" si="65"/>
        <v>0</v>
      </c>
      <c r="W242" s="8">
        <f t="shared" si="66"/>
        <v>2.9500493925886886</v>
      </c>
      <c r="X242" s="8">
        <f t="shared" si="67"/>
        <v>2.6060046396141643</v>
      </c>
      <c r="Y242" s="8">
        <f t="shared" si="68"/>
        <v>0</v>
      </c>
      <c r="Z242" s="8">
        <f t="shared" si="69"/>
        <v>0</v>
      </c>
      <c r="AA242" s="10">
        <v>468.59916169988998</v>
      </c>
      <c r="AB242" s="11">
        <v>413.94954015926999</v>
      </c>
    </row>
    <row r="243" spans="1:28" x14ac:dyDescent="0.35">
      <c r="A243" s="6" t="s">
        <v>40</v>
      </c>
      <c r="B243" s="21" t="s">
        <v>69</v>
      </c>
      <c r="C243" s="7">
        <f t="shared" si="56"/>
        <v>42.113300610177824</v>
      </c>
      <c r="D243" s="32">
        <v>10.95630584980236</v>
      </c>
      <c r="E243" s="32">
        <v>31.156994760375461</v>
      </c>
      <c r="F243" s="32">
        <v>14.722535985671922</v>
      </c>
      <c r="G243" s="9">
        <f t="shared" si="57"/>
        <v>61.172707661396508</v>
      </c>
      <c r="H243" s="32">
        <v>1.8260509749670601</v>
      </c>
      <c r="I243" s="32">
        <v>59.346656686429448</v>
      </c>
      <c r="J243" s="32">
        <v>0</v>
      </c>
      <c r="K243" s="9">
        <f t="shared" si="70"/>
        <v>8.5050310410477952</v>
      </c>
      <c r="L243" s="9">
        <f t="shared" si="70"/>
        <v>7.5835826820255718</v>
      </c>
      <c r="M243" s="8">
        <f t="shared" si="58"/>
        <v>2.2126910025490196</v>
      </c>
      <c r="N243" s="8">
        <f t="shared" si="59"/>
        <v>1.9729646002017747</v>
      </c>
      <c r="O243" s="8">
        <f t="shared" si="60"/>
        <v>6.2923400384987751</v>
      </c>
      <c r="P243" s="8">
        <f t="shared" si="61"/>
        <v>5.6106180818237972</v>
      </c>
      <c r="Q243" s="8">
        <f t="shared" si="62"/>
        <v>2.973303534675245</v>
      </c>
      <c r="R243" s="8">
        <f t="shared" si="63"/>
        <v>2.6511711815211347</v>
      </c>
      <c r="S243" s="9">
        <f t="shared" si="71"/>
        <v>12.354191430898693</v>
      </c>
      <c r="T243" s="9">
        <f t="shared" si="71"/>
        <v>11.015719017793241</v>
      </c>
      <c r="U243" s="8">
        <f t="shared" si="64"/>
        <v>0.36878183375816997</v>
      </c>
      <c r="V243" s="8">
        <f t="shared" si="65"/>
        <v>0.32882743336696246</v>
      </c>
      <c r="W243" s="8">
        <f t="shared" si="66"/>
        <v>11.985409597140523</v>
      </c>
      <c r="X243" s="8">
        <f t="shared" si="67"/>
        <v>10.686891584426279</v>
      </c>
      <c r="Y243" s="8">
        <f t="shared" si="68"/>
        <v>0</v>
      </c>
      <c r="Z243" s="8">
        <f t="shared" si="69"/>
        <v>0</v>
      </c>
      <c r="AA243" s="10">
        <v>555.32196820367994</v>
      </c>
      <c r="AB243" s="11">
        <v>495.15751802582002</v>
      </c>
    </row>
    <row r="244" spans="1:28" x14ac:dyDescent="0.35">
      <c r="A244" s="13" t="s">
        <v>41</v>
      </c>
      <c r="B244" s="21" t="s">
        <v>69</v>
      </c>
      <c r="C244" s="7">
        <f t="shared" si="56"/>
        <v>22.550381835611422</v>
      </c>
      <c r="D244" s="32">
        <v>6.3937269094473352</v>
      </c>
      <c r="E244" s="32">
        <v>16.156654926164087</v>
      </c>
      <c r="F244" s="32">
        <v>0.61610710785105727</v>
      </c>
      <c r="G244" s="9">
        <f t="shared" si="57"/>
        <v>37.970293297142426</v>
      </c>
      <c r="H244" s="32">
        <v>3.8775971822793812E-2</v>
      </c>
      <c r="I244" s="32">
        <v>37.931517325319632</v>
      </c>
      <c r="J244" s="32">
        <v>0</v>
      </c>
      <c r="K244" s="9">
        <f t="shared" si="70"/>
        <v>10.457403769203127</v>
      </c>
      <c r="L244" s="9">
        <f t="shared" si="70"/>
        <v>5.5352503612996573</v>
      </c>
      <c r="M244" s="8">
        <f t="shared" si="58"/>
        <v>2.9649956426246544</v>
      </c>
      <c r="N244" s="8">
        <f t="shared" si="59"/>
        <v>1.5694137440138884</v>
      </c>
      <c r="O244" s="8">
        <f t="shared" si="60"/>
        <v>7.4924081265784732</v>
      </c>
      <c r="P244" s="8">
        <f t="shared" si="61"/>
        <v>3.9658366172857686</v>
      </c>
      <c r="Q244" s="8">
        <f t="shared" si="62"/>
        <v>0.28571049656019243</v>
      </c>
      <c r="R244" s="8">
        <f t="shared" si="63"/>
        <v>0.15123056967249734</v>
      </c>
      <c r="S244" s="9">
        <f t="shared" si="71"/>
        <v>17.60815808520962</v>
      </c>
      <c r="T244" s="9">
        <f t="shared" si="71"/>
        <v>9.3202448288371951</v>
      </c>
      <c r="U244" s="8">
        <f t="shared" si="64"/>
        <v>1.7981779503788334E-2</v>
      </c>
      <c r="V244" s="8">
        <f t="shared" si="65"/>
        <v>9.5180078814858463E-3</v>
      </c>
      <c r="W244" s="8">
        <f t="shared" si="66"/>
        <v>17.590176305705832</v>
      </c>
      <c r="X244" s="8">
        <f t="shared" si="67"/>
        <v>9.3107268209557095</v>
      </c>
      <c r="Y244" s="8">
        <f t="shared" si="68"/>
        <v>0</v>
      </c>
      <c r="Z244" s="8">
        <f t="shared" si="69"/>
        <v>0</v>
      </c>
      <c r="AA244" s="10">
        <v>407.39587848230002</v>
      </c>
      <c r="AB244" s="11">
        <v>215.64034757863999</v>
      </c>
    </row>
    <row r="245" spans="1:28" x14ac:dyDescent="0.35">
      <c r="A245" s="13" t="s">
        <v>42</v>
      </c>
      <c r="B245" s="21" t="s">
        <v>69</v>
      </c>
      <c r="C245" s="7">
        <f t="shared" si="56"/>
        <v>12.151964295383831</v>
      </c>
      <c r="D245" s="32">
        <v>0</v>
      </c>
      <c r="E245" s="32">
        <v>12.151964295383831</v>
      </c>
      <c r="F245" s="32">
        <v>48.730141098973149</v>
      </c>
      <c r="G245" s="9">
        <f t="shared" si="57"/>
        <v>55.669753413569694</v>
      </c>
      <c r="H245" s="32">
        <v>43.105080896833208</v>
      </c>
      <c r="I245" s="32">
        <v>12.56467251673649</v>
      </c>
      <c r="J245" s="32">
        <v>0</v>
      </c>
      <c r="K245" s="9">
        <f t="shared" si="70"/>
        <v>3.6535993308298735</v>
      </c>
      <c r="L245" s="9">
        <f t="shared" si="70"/>
        <v>3.9065858319656011</v>
      </c>
      <c r="M245" s="8">
        <f t="shared" si="58"/>
        <v>0</v>
      </c>
      <c r="N245" s="8">
        <f t="shared" si="59"/>
        <v>0</v>
      </c>
      <c r="O245" s="8">
        <f t="shared" si="60"/>
        <v>3.6535993308298735</v>
      </c>
      <c r="P245" s="8">
        <f t="shared" si="61"/>
        <v>3.9065858319656011</v>
      </c>
      <c r="Q245" s="8">
        <f t="shared" si="62"/>
        <v>14.651163102749228</v>
      </c>
      <c r="R245" s="8">
        <f t="shared" si="63"/>
        <v>15.665654883404198</v>
      </c>
      <c r="S245" s="9">
        <f t="shared" si="71"/>
        <v>16.737621085386667</v>
      </c>
      <c r="T245" s="9">
        <f t="shared" si="71"/>
        <v>17.896585660400905</v>
      </c>
      <c r="U245" s="8">
        <f t="shared" si="64"/>
        <v>12.959937248981438</v>
      </c>
      <c r="V245" s="8">
        <f t="shared" si="65"/>
        <v>13.857323328481755</v>
      </c>
      <c r="W245" s="8">
        <f t="shared" si="66"/>
        <v>3.7776838364052283</v>
      </c>
      <c r="X245" s="8">
        <f t="shared" si="67"/>
        <v>4.0392623319191499</v>
      </c>
      <c r="Y245" s="8">
        <f t="shared" si="68"/>
        <v>0</v>
      </c>
      <c r="Z245" s="8">
        <f t="shared" si="69"/>
        <v>0</v>
      </c>
      <c r="AA245" s="10">
        <v>311.06354290107998</v>
      </c>
      <c r="AB245" s="11">
        <v>332.60254327404999</v>
      </c>
    </row>
    <row r="246" spans="1:28" x14ac:dyDescent="0.35">
      <c r="A246" s="13" t="s">
        <v>43</v>
      </c>
      <c r="B246" s="21" t="s">
        <v>69</v>
      </c>
      <c r="C246" s="7">
        <f t="shared" si="56"/>
        <v>1.5871</v>
      </c>
      <c r="D246" s="32">
        <v>0.435</v>
      </c>
      <c r="E246" s="32">
        <v>1.1520999999999999</v>
      </c>
      <c r="F246" s="32">
        <v>0</v>
      </c>
      <c r="G246" s="9">
        <f t="shared" si="57"/>
        <v>1.3769999999999998</v>
      </c>
      <c r="H246" s="32">
        <v>1.0269999999999999</v>
      </c>
      <c r="I246" s="32">
        <v>0.35</v>
      </c>
      <c r="J246" s="32">
        <v>0</v>
      </c>
      <c r="K246" s="9">
        <f t="shared" si="70"/>
        <v>5.9009523324005393</v>
      </c>
      <c r="L246" s="9">
        <f t="shared" si="70"/>
        <v>3.456862622122669</v>
      </c>
      <c r="M246" s="8">
        <f t="shared" si="58"/>
        <v>1.6173613915911</v>
      </c>
      <c r="N246" s="8">
        <f t="shared" si="59"/>
        <v>0.94747353073112039</v>
      </c>
      <c r="O246" s="8">
        <f t="shared" si="60"/>
        <v>4.2835909408094395</v>
      </c>
      <c r="P246" s="8">
        <f t="shared" si="61"/>
        <v>2.5093890913915486</v>
      </c>
      <c r="Q246" s="8">
        <f t="shared" si="62"/>
        <v>0</v>
      </c>
      <c r="R246" s="8">
        <f t="shared" si="63"/>
        <v>0</v>
      </c>
      <c r="S246" s="9">
        <f t="shared" si="71"/>
        <v>5.1197853706228607</v>
      </c>
      <c r="T246" s="9">
        <f t="shared" si="71"/>
        <v>2.9992437972798909</v>
      </c>
      <c r="U246" s="8">
        <f t="shared" si="64"/>
        <v>3.8184601130208264</v>
      </c>
      <c r="V246" s="8">
        <f t="shared" si="65"/>
        <v>2.236908772553702</v>
      </c>
      <c r="W246" s="8">
        <f t="shared" si="66"/>
        <v>1.3013252576020344</v>
      </c>
      <c r="X246" s="8">
        <f t="shared" si="67"/>
        <v>0.76233502472618875</v>
      </c>
      <c r="Y246" s="8">
        <f t="shared" si="68"/>
        <v>0</v>
      </c>
      <c r="Z246" s="8">
        <f t="shared" si="69"/>
        <v>0</v>
      </c>
      <c r="AA246" s="10">
        <v>45.911572818750003</v>
      </c>
      <c r="AB246" s="11">
        <v>26.895658710639999</v>
      </c>
    </row>
    <row r="247" spans="1:28" x14ac:dyDescent="0.35">
      <c r="A247" s="13" t="s">
        <v>44</v>
      </c>
      <c r="B247" s="21" t="s">
        <v>69</v>
      </c>
      <c r="C247" s="7">
        <f t="shared" si="56"/>
        <v>12.896485010704861</v>
      </c>
      <c r="D247" s="32">
        <v>4.6792556233530913</v>
      </c>
      <c r="E247" s="32">
        <v>8.2172293873517699</v>
      </c>
      <c r="F247" s="32">
        <v>0.57064092967720625</v>
      </c>
      <c r="G247" s="9">
        <f t="shared" si="57"/>
        <v>15.293176915349127</v>
      </c>
      <c r="H247" s="32">
        <v>1.3695382312252951</v>
      </c>
      <c r="I247" s="32">
        <v>13.923638684123832</v>
      </c>
      <c r="J247" s="32">
        <v>4.56512743741765</v>
      </c>
      <c r="K247" s="9">
        <f t="shared" si="70"/>
        <v>5.0625243093012413</v>
      </c>
      <c r="L247" s="9">
        <f t="shared" si="70"/>
        <v>5.0789095986528254</v>
      </c>
      <c r="M247" s="8">
        <f t="shared" si="58"/>
        <v>1.8368451033747866</v>
      </c>
      <c r="N247" s="8">
        <f t="shared" si="59"/>
        <v>1.8427902083607597</v>
      </c>
      <c r="O247" s="8">
        <f t="shared" si="60"/>
        <v>3.2256792059264545</v>
      </c>
      <c r="P247" s="8">
        <f t="shared" si="61"/>
        <v>3.2361193902920657</v>
      </c>
      <c r="Q247" s="8">
        <f t="shared" si="62"/>
        <v>0.22400550041155937</v>
      </c>
      <c r="R247" s="8">
        <f t="shared" si="63"/>
        <v>0.22473051321472678</v>
      </c>
      <c r="S247" s="9">
        <f t="shared" si="71"/>
        <v>6.0033474110297904</v>
      </c>
      <c r="T247" s="9">
        <f t="shared" si="71"/>
        <v>6.022777754154677</v>
      </c>
      <c r="U247" s="8">
        <f t="shared" si="64"/>
        <v>0.53761320098774246</v>
      </c>
      <c r="V247" s="8">
        <f t="shared" si="65"/>
        <v>0.53935323171534433</v>
      </c>
      <c r="W247" s="8">
        <f t="shared" si="66"/>
        <v>5.4657342100420481</v>
      </c>
      <c r="X247" s="8">
        <f t="shared" si="67"/>
        <v>5.483424522439333</v>
      </c>
      <c r="Y247" s="8">
        <f t="shared" si="68"/>
        <v>1.7920440032924749</v>
      </c>
      <c r="Z247" s="8">
        <f t="shared" si="69"/>
        <v>1.7978441057178143</v>
      </c>
      <c r="AA247" s="10">
        <v>253.92231856471</v>
      </c>
      <c r="AB247" s="11">
        <v>254.7441596875</v>
      </c>
    </row>
    <row r="248" spans="1:28" x14ac:dyDescent="0.35">
      <c r="A248" s="13" t="s">
        <v>45</v>
      </c>
      <c r="B248" s="21" t="s">
        <v>69</v>
      </c>
      <c r="C248" s="7">
        <f t="shared" si="56"/>
        <v>33.097173921277964</v>
      </c>
      <c r="D248" s="32">
        <v>1.55</v>
      </c>
      <c r="E248" s="32">
        <v>31.547173921277963</v>
      </c>
      <c r="F248" s="32">
        <v>1.9401791609025012</v>
      </c>
      <c r="G248" s="9">
        <f t="shared" si="57"/>
        <v>6.9618193420619159</v>
      </c>
      <c r="H248" s="32">
        <v>3.7662301358695611</v>
      </c>
      <c r="I248" s="32">
        <v>3.1955892061923548</v>
      </c>
      <c r="J248" s="32">
        <v>0</v>
      </c>
      <c r="K248" s="9">
        <f t="shared" si="70"/>
        <v>16.231822283669384</v>
      </c>
      <c r="L248" s="9">
        <f t="shared" si="70"/>
        <v>10.975874798305878</v>
      </c>
      <c r="M248" s="8">
        <f t="shared" si="58"/>
        <v>0.76016534219898391</v>
      </c>
      <c r="N248" s="8">
        <f t="shared" si="59"/>
        <v>0.51401989722260888</v>
      </c>
      <c r="O248" s="8">
        <f t="shared" si="60"/>
        <v>15.471656941470401</v>
      </c>
      <c r="P248" s="8">
        <f t="shared" si="61"/>
        <v>10.461854901083269</v>
      </c>
      <c r="Q248" s="8">
        <f t="shared" si="62"/>
        <v>0.95152061662889498</v>
      </c>
      <c r="R248" s="8">
        <f t="shared" si="63"/>
        <v>0.64341335024551694</v>
      </c>
      <c r="S248" s="9">
        <f t="shared" si="71"/>
        <v>3.4142798596683877</v>
      </c>
      <c r="T248" s="9">
        <f t="shared" si="71"/>
        <v>2.3087184920574435</v>
      </c>
      <c r="U248" s="8">
        <f t="shared" si="64"/>
        <v>1.8470694322796195</v>
      </c>
      <c r="V248" s="8">
        <f t="shared" si="65"/>
        <v>1.2489788563589448</v>
      </c>
      <c r="W248" s="8">
        <f t="shared" si="66"/>
        <v>1.5672104273887679</v>
      </c>
      <c r="X248" s="8">
        <f t="shared" si="67"/>
        <v>1.0597396356984985</v>
      </c>
      <c r="Y248" s="8">
        <f t="shared" si="68"/>
        <v>0</v>
      </c>
      <c r="Z248" s="8">
        <f t="shared" si="69"/>
        <v>0</v>
      </c>
      <c r="AA248" s="10">
        <v>301.54474727050001</v>
      </c>
      <c r="AB248" s="11">
        <v>203.90300819506001</v>
      </c>
    </row>
    <row r="249" spans="1:28" x14ac:dyDescent="0.35">
      <c r="A249" s="13" t="s">
        <v>46</v>
      </c>
      <c r="B249" s="21" t="s">
        <v>69</v>
      </c>
      <c r="C249" s="7">
        <f t="shared" si="56"/>
        <v>2.2042255736459442</v>
      </c>
      <c r="D249" s="32">
        <v>0.12491350018021706</v>
      </c>
      <c r="E249" s="32">
        <v>2.0793120734657271</v>
      </c>
      <c r="F249" s="32">
        <v>7.5320270858253366E-2</v>
      </c>
      <c r="G249" s="9">
        <f t="shared" si="57"/>
        <v>0.23482202091102522</v>
      </c>
      <c r="H249" s="32">
        <v>0</v>
      </c>
      <c r="I249" s="32">
        <v>0.23482202091102522</v>
      </c>
      <c r="J249" s="32">
        <v>0</v>
      </c>
      <c r="K249" s="9">
        <f t="shared" si="70"/>
        <v>10.633022633913349</v>
      </c>
      <c r="L249" s="9">
        <f t="shared" si="70"/>
        <v>11.559122475080704</v>
      </c>
      <c r="M249" s="8">
        <f t="shared" si="58"/>
        <v>0.60257357077145135</v>
      </c>
      <c r="N249" s="8">
        <f t="shared" si="59"/>
        <v>0.65505566428296547</v>
      </c>
      <c r="O249" s="8">
        <f t="shared" si="60"/>
        <v>10.030449063141898</v>
      </c>
      <c r="P249" s="8">
        <f t="shared" si="61"/>
        <v>10.904066810797739</v>
      </c>
      <c r="Q249" s="8">
        <f t="shared" si="62"/>
        <v>0.3633394668874913</v>
      </c>
      <c r="R249" s="8">
        <f t="shared" si="63"/>
        <v>0.39498508960074769</v>
      </c>
      <c r="S249" s="9">
        <f t="shared" si="71"/>
        <v>1.1327642202962966</v>
      </c>
      <c r="T249" s="9">
        <f t="shared" si="71"/>
        <v>1.2314241028729194</v>
      </c>
      <c r="U249" s="8">
        <f t="shared" si="64"/>
        <v>0</v>
      </c>
      <c r="V249" s="8">
        <f t="shared" si="65"/>
        <v>0</v>
      </c>
      <c r="W249" s="8">
        <f t="shared" si="66"/>
        <v>1.1327642202962966</v>
      </c>
      <c r="X249" s="8">
        <f t="shared" si="67"/>
        <v>1.2314241028729194</v>
      </c>
      <c r="Y249" s="8">
        <f t="shared" si="68"/>
        <v>0</v>
      </c>
      <c r="Z249" s="8">
        <f t="shared" si="69"/>
        <v>0</v>
      </c>
      <c r="AA249" s="10">
        <v>19.06914282116</v>
      </c>
      <c r="AB249" s="11">
        <v>20.729999827290001</v>
      </c>
    </row>
    <row r="250" spans="1:28" x14ac:dyDescent="0.35">
      <c r="A250" s="13" t="s">
        <v>47</v>
      </c>
      <c r="B250" s="21" t="s">
        <v>69</v>
      </c>
      <c r="C250" s="7">
        <f t="shared" si="56"/>
        <v>49.143596863801008</v>
      </c>
      <c r="D250" s="32">
        <v>5.1357683670948564</v>
      </c>
      <c r="E250" s="32">
        <v>44.007828496706153</v>
      </c>
      <c r="F250" s="32">
        <v>3.309717392127796</v>
      </c>
      <c r="G250" s="9">
        <f t="shared" si="57"/>
        <v>11.412818593544126</v>
      </c>
      <c r="H250" s="32">
        <v>5.7064092967720628</v>
      </c>
      <c r="I250" s="32">
        <v>5.7064092967720628</v>
      </c>
      <c r="J250" s="32">
        <v>0</v>
      </c>
      <c r="K250" s="9">
        <f t="shared" si="70"/>
        <v>13.229613995246758</v>
      </c>
      <c r="L250" s="9">
        <f t="shared" si="70"/>
        <v>11.759914728276369</v>
      </c>
      <c r="M250" s="8">
        <f t="shared" si="58"/>
        <v>1.3825653269533307</v>
      </c>
      <c r="N250" s="8">
        <f t="shared" si="59"/>
        <v>1.2289739033266058</v>
      </c>
      <c r="O250" s="8">
        <f t="shared" si="60"/>
        <v>11.847048668293429</v>
      </c>
      <c r="P250" s="8">
        <f t="shared" si="61"/>
        <v>10.530940824949763</v>
      </c>
      <c r="Q250" s="8">
        <f t="shared" si="62"/>
        <v>0.89098654403659061</v>
      </c>
      <c r="R250" s="8">
        <f t="shared" si="63"/>
        <v>0.79200540436603495</v>
      </c>
      <c r="S250" s="9">
        <f t="shared" si="71"/>
        <v>3.0723673932296238</v>
      </c>
      <c r="T250" s="9">
        <f t="shared" si="71"/>
        <v>2.7310531185035689</v>
      </c>
      <c r="U250" s="8">
        <f t="shared" si="64"/>
        <v>1.5361836966148119</v>
      </c>
      <c r="V250" s="8">
        <f t="shared" si="65"/>
        <v>1.3655265592517845</v>
      </c>
      <c r="W250" s="8">
        <f t="shared" si="66"/>
        <v>1.5361836966148119</v>
      </c>
      <c r="X250" s="8">
        <f t="shared" si="67"/>
        <v>1.3655265592517845</v>
      </c>
      <c r="Y250" s="8">
        <f t="shared" si="68"/>
        <v>0</v>
      </c>
      <c r="Z250" s="8">
        <f t="shared" si="69"/>
        <v>0</v>
      </c>
      <c r="AA250" s="10">
        <v>417.89075855828003</v>
      </c>
      <c r="AB250" s="11">
        <v>371.46659669328</v>
      </c>
    </row>
    <row r="251" spans="1:28" x14ac:dyDescent="0.35">
      <c r="A251" s="13" t="s">
        <v>48</v>
      </c>
      <c r="B251" s="21" t="s">
        <v>69</v>
      </c>
      <c r="C251" s="7">
        <f t="shared" si="56"/>
        <v>42.9</v>
      </c>
      <c r="D251" s="32">
        <v>9.4</v>
      </c>
      <c r="E251" s="32">
        <v>33.5</v>
      </c>
      <c r="F251" s="32">
        <v>2.1</v>
      </c>
      <c r="G251" s="9">
        <f t="shared" si="57"/>
        <v>15.3</v>
      </c>
      <c r="H251" s="32">
        <v>2</v>
      </c>
      <c r="I251" s="32">
        <v>13.3</v>
      </c>
      <c r="J251" s="32">
        <v>0</v>
      </c>
      <c r="K251" s="9">
        <f t="shared" si="70"/>
        <v>11.967854085033959</v>
      </c>
      <c r="L251" s="9">
        <f t="shared" si="70"/>
        <v>12.529326022886549</v>
      </c>
      <c r="M251" s="8">
        <f t="shared" si="58"/>
        <v>2.6223270023151333</v>
      </c>
      <c r="N251" s="8">
        <f t="shared" si="59"/>
        <v>2.7453534875322507</v>
      </c>
      <c r="O251" s="8">
        <f t="shared" si="60"/>
        <v>9.3455270827188262</v>
      </c>
      <c r="P251" s="8">
        <f t="shared" si="61"/>
        <v>9.7839725353542981</v>
      </c>
      <c r="Q251" s="8">
        <f t="shared" si="62"/>
        <v>0.5858390111555084</v>
      </c>
      <c r="R251" s="8">
        <f t="shared" si="63"/>
        <v>0.61332365146997092</v>
      </c>
      <c r="S251" s="9">
        <f t="shared" si="71"/>
        <v>4.2682556527044184</v>
      </c>
      <c r="T251" s="9">
        <f t="shared" si="71"/>
        <v>4.4685008892812164</v>
      </c>
      <c r="U251" s="8">
        <f t="shared" si="64"/>
        <v>0.55794191538619853</v>
      </c>
      <c r="V251" s="8">
        <f t="shared" si="65"/>
        <v>0.58411776330473419</v>
      </c>
      <c r="W251" s="8">
        <f t="shared" si="66"/>
        <v>3.71031373731822</v>
      </c>
      <c r="X251" s="8">
        <f t="shared" si="67"/>
        <v>3.8843831259764823</v>
      </c>
      <c r="Y251" s="8">
        <f t="shared" si="68"/>
        <v>0</v>
      </c>
      <c r="Z251" s="8">
        <f t="shared" si="69"/>
        <v>0</v>
      </c>
      <c r="AA251" s="10">
        <v>342.39670930134002</v>
      </c>
      <c r="AB251" s="11">
        <v>358.46025273358998</v>
      </c>
    </row>
    <row r="252" spans="1:28" x14ac:dyDescent="0.35">
      <c r="A252" s="15" t="s">
        <v>49</v>
      </c>
      <c r="B252" s="21" t="s">
        <v>69</v>
      </c>
      <c r="C252" s="7">
        <f t="shared" si="56"/>
        <v>3.5487068625075562</v>
      </c>
      <c r="D252" s="32">
        <v>0.67911263411214207</v>
      </c>
      <c r="E252" s="32">
        <v>2.8695942283954139</v>
      </c>
      <c r="F252" s="32">
        <v>0</v>
      </c>
      <c r="G252" s="9">
        <f t="shared" si="57"/>
        <v>0.66956733254859557</v>
      </c>
      <c r="H252" s="32">
        <v>0.26782693301943822</v>
      </c>
      <c r="I252" s="32">
        <v>0.4017403995291573</v>
      </c>
      <c r="J252" s="32">
        <v>0</v>
      </c>
      <c r="K252" s="9">
        <f t="shared" si="70"/>
        <v>11.766239194164664</v>
      </c>
      <c r="L252" s="9">
        <f t="shared" si="70"/>
        <v>6.402997187889178</v>
      </c>
      <c r="M252" s="8">
        <f t="shared" si="58"/>
        <v>2.2516939274878407</v>
      </c>
      <c r="N252" s="8">
        <f t="shared" si="59"/>
        <v>1.2253354404729446</v>
      </c>
      <c r="O252" s="8">
        <f t="shared" si="60"/>
        <v>9.5145452666768229</v>
      </c>
      <c r="P252" s="8">
        <f t="shared" si="61"/>
        <v>5.1776617474162334</v>
      </c>
      <c r="Q252" s="8">
        <f t="shared" si="62"/>
        <v>0</v>
      </c>
      <c r="R252" s="8">
        <f t="shared" si="63"/>
        <v>0</v>
      </c>
      <c r="S252" s="9">
        <f t="shared" si="71"/>
        <v>2.2200451309744649</v>
      </c>
      <c r="T252" s="9">
        <f t="shared" si="71"/>
        <v>1.2081126769602224</v>
      </c>
      <c r="U252" s="8">
        <f t="shared" si="64"/>
        <v>0.88801805238978604</v>
      </c>
      <c r="V252" s="8">
        <f t="shared" si="65"/>
        <v>0.48324507078408896</v>
      </c>
      <c r="W252" s="8">
        <f t="shared" si="66"/>
        <v>1.3320270785846788</v>
      </c>
      <c r="X252" s="8">
        <f t="shared" si="67"/>
        <v>0.72486760617613333</v>
      </c>
      <c r="Y252" s="8">
        <f t="shared" si="68"/>
        <v>0</v>
      </c>
      <c r="Z252" s="8">
        <f t="shared" si="69"/>
        <v>0</v>
      </c>
      <c r="AA252" s="16">
        <v>55.422589739999999</v>
      </c>
      <c r="AB252" s="11">
        <v>30.160077523049999</v>
      </c>
    </row>
    <row r="253" spans="1:28" x14ac:dyDescent="0.35">
      <c r="A253" s="13" t="s">
        <v>50</v>
      </c>
      <c r="B253" s="21" t="s">
        <v>69</v>
      </c>
      <c r="C253" s="7">
        <f t="shared" si="56"/>
        <v>4.4000000000000004</v>
      </c>
      <c r="D253" s="32">
        <v>1.1000000000000001</v>
      </c>
      <c r="E253" s="32">
        <v>3.3000000000000003</v>
      </c>
      <c r="F253" s="32">
        <v>1.6</v>
      </c>
      <c r="G253" s="9">
        <f t="shared" si="57"/>
        <v>1.5749689659090893</v>
      </c>
      <c r="H253" s="32">
        <v>0.43368710655467674</v>
      </c>
      <c r="I253" s="32">
        <v>1.1412818593544125</v>
      </c>
      <c r="J253" s="32">
        <v>0</v>
      </c>
      <c r="K253" s="9">
        <f t="shared" si="70"/>
        <v>9.1254560112856833</v>
      </c>
      <c r="L253" s="9">
        <f t="shared" si="70"/>
        <v>4.5297280900149497</v>
      </c>
      <c r="M253" s="8">
        <f t="shared" si="58"/>
        <v>2.2813640028214208</v>
      </c>
      <c r="N253" s="8">
        <f t="shared" si="59"/>
        <v>1.1324320225037374</v>
      </c>
      <c r="O253" s="8">
        <f t="shared" si="60"/>
        <v>6.8440920084642629</v>
      </c>
      <c r="P253" s="8">
        <f t="shared" si="61"/>
        <v>3.397296067511212</v>
      </c>
      <c r="Q253" s="8">
        <f t="shared" si="62"/>
        <v>3.3183476404675214</v>
      </c>
      <c r="R253" s="8">
        <f t="shared" si="63"/>
        <v>1.6471738509145271</v>
      </c>
      <c r="S253" s="9">
        <f t="shared" si="71"/>
        <v>3.2664340948962485</v>
      </c>
      <c r="T253" s="9">
        <f t="shared" si="71"/>
        <v>1.6214048104045906</v>
      </c>
      <c r="U253" s="8">
        <f t="shared" si="64"/>
        <v>0.89945286671056124</v>
      </c>
      <c r="V253" s="8">
        <f t="shared" si="65"/>
        <v>0.44647378837227858</v>
      </c>
      <c r="W253" s="8">
        <f t="shared" si="66"/>
        <v>2.3669812281856872</v>
      </c>
      <c r="X253" s="8">
        <f t="shared" si="67"/>
        <v>1.1749310220323121</v>
      </c>
      <c r="Y253" s="8">
        <f t="shared" si="68"/>
        <v>0</v>
      </c>
      <c r="Z253" s="8">
        <f t="shared" si="69"/>
        <v>0</v>
      </c>
      <c r="AA253" s="10">
        <v>97.136073348400004</v>
      </c>
      <c r="AB253" s="11">
        <v>48.216768505140003</v>
      </c>
    </row>
    <row r="254" spans="1:28" x14ac:dyDescent="0.35">
      <c r="A254" s="13" t="s">
        <v>51</v>
      </c>
      <c r="B254" s="21" t="s">
        <v>69</v>
      </c>
      <c r="C254" s="7">
        <f t="shared" si="56"/>
        <v>3.0814610202569139</v>
      </c>
      <c r="D254" s="32">
        <v>0.34238455780632376</v>
      </c>
      <c r="E254" s="32">
        <v>2.7390764624505901</v>
      </c>
      <c r="F254" s="32">
        <v>5.2384837344367536</v>
      </c>
      <c r="G254" s="9">
        <f t="shared" si="57"/>
        <v>3.3097173921277965</v>
      </c>
      <c r="H254" s="32">
        <v>0.45651274374176504</v>
      </c>
      <c r="I254" s="32">
        <v>2.8532046483860314</v>
      </c>
      <c r="J254" s="32">
        <v>1.0157408548254272</v>
      </c>
      <c r="K254" s="9">
        <f t="shared" si="70"/>
        <v>4.6297730687428773</v>
      </c>
      <c r="L254" s="9">
        <f t="shared" si="70"/>
        <v>4.6447078336746168</v>
      </c>
      <c r="M254" s="8">
        <f t="shared" si="58"/>
        <v>0.51441922986031974</v>
      </c>
      <c r="N254" s="8">
        <f t="shared" si="59"/>
        <v>0.51607864818606852</v>
      </c>
      <c r="O254" s="8">
        <f t="shared" si="60"/>
        <v>4.1153538388825579</v>
      </c>
      <c r="P254" s="8">
        <f t="shared" si="61"/>
        <v>4.1286291854885482</v>
      </c>
      <c r="Q254" s="8">
        <f t="shared" si="62"/>
        <v>7.870614216862891</v>
      </c>
      <c r="R254" s="8">
        <f t="shared" si="63"/>
        <v>7.8960033172468469</v>
      </c>
      <c r="S254" s="9">
        <f t="shared" si="71"/>
        <v>4.9727192219830911</v>
      </c>
      <c r="T254" s="9">
        <f t="shared" si="71"/>
        <v>4.9887602657986614</v>
      </c>
      <c r="U254" s="8">
        <f t="shared" si="64"/>
        <v>0.68589230648042632</v>
      </c>
      <c r="V254" s="8">
        <f t="shared" si="65"/>
        <v>0.68810486424809125</v>
      </c>
      <c r="W254" s="8">
        <f t="shared" si="66"/>
        <v>4.2868269155026644</v>
      </c>
      <c r="X254" s="8">
        <f t="shared" si="67"/>
        <v>4.3006554015505705</v>
      </c>
      <c r="Y254" s="8">
        <f t="shared" si="68"/>
        <v>1.5261103819189485</v>
      </c>
      <c r="Z254" s="8">
        <f t="shared" si="69"/>
        <v>1.531033322952003</v>
      </c>
      <c r="AA254" s="10">
        <v>66.343484468840003</v>
      </c>
      <c r="AB254" s="11">
        <v>66.557495896739994</v>
      </c>
    </row>
    <row r="255" spans="1:28" x14ac:dyDescent="0.35">
      <c r="A255" s="13" t="s">
        <v>52</v>
      </c>
      <c r="B255" s="21" t="s">
        <v>69</v>
      </c>
      <c r="C255" s="7">
        <f t="shared" si="56"/>
        <v>93.92749702486816</v>
      </c>
      <c r="D255" s="32">
        <v>18.94527886528325</v>
      </c>
      <c r="E255" s="32">
        <v>74.982218159584903</v>
      </c>
      <c r="F255" s="32">
        <v>13.124741382575744</v>
      </c>
      <c r="G255" s="9">
        <f t="shared" si="57"/>
        <v>39.716608705533552</v>
      </c>
      <c r="H255" s="32">
        <v>0</v>
      </c>
      <c r="I255" s="32">
        <v>39.716608705533552</v>
      </c>
      <c r="J255" s="32">
        <v>0</v>
      </c>
      <c r="K255" s="9">
        <f t="shared" si="70"/>
        <v>11.178512242483428</v>
      </c>
      <c r="L255" s="9">
        <f t="shared" si="70"/>
        <v>10.073297291469261</v>
      </c>
      <c r="M255" s="8">
        <f t="shared" si="58"/>
        <v>2.2547181436843853</v>
      </c>
      <c r="N255" s="8">
        <f t="shared" si="59"/>
        <v>2.0317950794458048</v>
      </c>
      <c r="O255" s="8">
        <f t="shared" si="60"/>
        <v>8.9237940987990427</v>
      </c>
      <c r="P255" s="8">
        <f t="shared" si="61"/>
        <v>8.0415022120234561</v>
      </c>
      <c r="Q255" s="8">
        <f t="shared" si="62"/>
        <v>1.562003533275327</v>
      </c>
      <c r="R255" s="8">
        <f t="shared" si="63"/>
        <v>1.4075688803389612</v>
      </c>
      <c r="S255" s="9">
        <f t="shared" si="71"/>
        <v>4.7267585180853366</v>
      </c>
      <c r="T255" s="9">
        <f t="shared" si="71"/>
        <v>4.2594258291996381</v>
      </c>
      <c r="U255" s="8">
        <f t="shared" si="64"/>
        <v>0</v>
      </c>
      <c r="V255" s="8">
        <f t="shared" si="65"/>
        <v>0</v>
      </c>
      <c r="W255" s="8">
        <f t="shared" si="66"/>
        <v>4.7267585180853366</v>
      </c>
      <c r="X255" s="8">
        <f t="shared" si="67"/>
        <v>4.2594258291996381</v>
      </c>
      <c r="Y255" s="8">
        <f t="shared" si="68"/>
        <v>0</v>
      </c>
      <c r="Z255" s="8">
        <f t="shared" si="69"/>
        <v>0</v>
      </c>
      <c r="AA255" s="10">
        <v>932.44043441874999</v>
      </c>
      <c r="AB255" s="11">
        <v>840.25042856688003</v>
      </c>
    </row>
    <row r="256" spans="1:28" x14ac:dyDescent="0.35">
      <c r="A256" s="13" t="s">
        <v>53</v>
      </c>
      <c r="B256" s="21" t="s">
        <v>69</v>
      </c>
      <c r="C256" s="7">
        <f t="shared" si="56"/>
        <v>40.366333649903929</v>
      </c>
      <c r="D256" s="32">
        <v>3.3151095268037039</v>
      </c>
      <c r="E256" s="32">
        <v>37.051224123100226</v>
      </c>
      <c r="F256" s="32">
        <v>0</v>
      </c>
      <c r="G256" s="9">
        <f t="shared" si="57"/>
        <v>4.0951352978163404</v>
      </c>
      <c r="H256" s="32">
        <v>2.2100730178691359</v>
      </c>
      <c r="I256" s="32">
        <v>1.8850622799472043</v>
      </c>
      <c r="J256" s="32">
        <v>0</v>
      </c>
      <c r="K256" s="9">
        <f t="shared" si="70"/>
        <v>19.890861906826895</v>
      </c>
      <c r="L256" s="9">
        <f t="shared" si="70"/>
        <v>20.810198388109878</v>
      </c>
      <c r="M256" s="8">
        <f t="shared" si="58"/>
        <v>1.6335490454881987</v>
      </c>
      <c r="N256" s="8">
        <f t="shared" si="59"/>
        <v>1.7090501091684438</v>
      </c>
      <c r="O256" s="8">
        <f t="shared" si="60"/>
        <v>18.257312861338697</v>
      </c>
      <c r="P256" s="8">
        <f t="shared" si="61"/>
        <v>19.101148278941434</v>
      </c>
      <c r="Q256" s="8">
        <f t="shared" si="62"/>
        <v>0</v>
      </c>
      <c r="R256" s="8">
        <f t="shared" si="63"/>
        <v>0</v>
      </c>
      <c r="S256" s="9">
        <f t="shared" si="71"/>
        <v>2.0179135267795401</v>
      </c>
      <c r="T256" s="9">
        <f t="shared" si="71"/>
        <v>2.1111795466198426</v>
      </c>
      <c r="U256" s="8">
        <f t="shared" si="64"/>
        <v>1.0890326969921327</v>
      </c>
      <c r="V256" s="8">
        <f t="shared" si="65"/>
        <v>1.1393667394456293</v>
      </c>
      <c r="W256" s="8">
        <f t="shared" si="66"/>
        <v>0.92888082978740716</v>
      </c>
      <c r="X256" s="8">
        <f t="shared" si="67"/>
        <v>0.97181280717421326</v>
      </c>
      <c r="Y256" s="8">
        <f t="shared" si="68"/>
        <v>0</v>
      </c>
      <c r="Z256" s="8">
        <f t="shared" si="69"/>
        <v>0</v>
      </c>
      <c r="AA256" s="10">
        <v>193.97380504054999</v>
      </c>
      <c r="AB256" s="11">
        <v>202.93908750153</v>
      </c>
    </row>
    <row r="257" spans="1:28" x14ac:dyDescent="0.35">
      <c r="A257" s="13" t="s">
        <v>54</v>
      </c>
      <c r="B257" s="21" t="s">
        <v>69</v>
      </c>
      <c r="C257" s="7">
        <f t="shared" ref="C257:C267" si="72">D257+E257</f>
        <v>23.917160810691193</v>
      </c>
      <c r="D257" s="32">
        <v>2.6232409947782966</v>
      </c>
      <c r="E257" s="32">
        <v>21.293919815912897</v>
      </c>
      <c r="F257" s="32">
        <v>0</v>
      </c>
      <c r="G257" s="9">
        <f t="shared" ref="G257:G267" si="73">H257+I257</f>
        <v>14.603062217895378</v>
      </c>
      <c r="H257" s="32">
        <v>6.3191432870165452</v>
      </c>
      <c r="I257" s="32">
        <v>8.2839189308788317</v>
      </c>
      <c r="J257" s="32">
        <v>0</v>
      </c>
      <c r="K257" s="9">
        <f t="shared" si="70"/>
        <v>5.8299085115697995</v>
      </c>
      <c r="L257" s="9">
        <f t="shared" si="70"/>
        <v>7.2376613497197813</v>
      </c>
      <c r="M257" s="8">
        <f t="shared" si="58"/>
        <v>0.63942602236134116</v>
      </c>
      <c r="N257" s="8">
        <f t="shared" si="59"/>
        <v>0.79382875372148565</v>
      </c>
      <c r="O257" s="8">
        <f t="shared" si="60"/>
        <v>5.190482489208458</v>
      </c>
      <c r="P257" s="8">
        <f t="shared" si="61"/>
        <v>6.4438325959982956</v>
      </c>
      <c r="Q257" s="8">
        <f t="shared" si="62"/>
        <v>0</v>
      </c>
      <c r="R257" s="8">
        <f t="shared" si="63"/>
        <v>0</v>
      </c>
      <c r="S257" s="9">
        <f t="shared" si="71"/>
        <v>3.5595578167888426</v>
      </c>
      <c r="T257" s="9">
        <f t="shared" si="71"/>
        <v>4.419087191769405</v>
      </c>
      <c r="U257" s="8">
        <f t="shared" si="64"/>
        <v>1.5403177461740809</v>
      </c>
      <c r="V257" s="8">
        <f t="shared" si="65"/>
        <v>1.9122595484383971</v>
      </c>
      <c r="W257" s="8">
        <f t="shared" si="66"/>
        <v>2.0192400706147615</v>
      </c>
      <c r="X257" s="8">
        <f t="shared" si="67"/>
        <v>2.5068276433310075</v>
      </c>
      <c r="Y257" s="8">
        <f t="shared" si="68"/>
        <v>0</v>
      </c>
      <c r="Z257" s="8">
        <f t="shared" si="69"/>
        <v>0</v>
      </c>
      <c r="AA257" s="10">
        <v>330.45426768437</v>
      </c>
      <c r="AB257" s="11">
        <v>410.24933347112</v>
      </c>
    </row>
    <row r="258" spans="1:28" x14ac:dyDescent="0.35">
      <c r="A258" s="13" t="s">
        <v>55</v>
      </c>
      <c r="B258" s="21" t="s">
        <v>69</v>
      </c>
      <c r="C258" s="7">
        <f t="shared" si="72"/>
        <v>13.809510498188393</v>
      </c>
      <c r="D258" s="32">
        <v>2.5108200905797076</v>
      </c>
      <c r="E258" s="32">
        <v>11.298690407608685</v>
      </c>
      <c r="F258" s="32">
        <v>1.2554100452898538</v>
      </c>
      <c r="G258" s="9">
        <f t="shared" si="73"/>
        <v>13.124741382575744</v>
      </c>
      <c r="H258" s="32">
        <v>0</v>
      </c>
      <c r="I258" s="32">
        <v>13.124741382575744</v>
      </c>
      <c r="J258" s="32">
        <v>0</v>
      </c>
      <c r="K258" s="9">
        <f t="shared" si="70"/>
        <v>6.2103627486341448</v>
      </c>
      <c r="L258" s="9">
        <f t="shared" si="70"/>
        <v>4.0471471165182482</v>
      </c>
      <c r="M258" s="8">
        <f t="shared" ref="M258:M267" si="74">($D258/$AB258)*100</f>
        <v>1.1291568633880262</v>
      </c>
      <c r="N258" s="8">
        <f t="shared" ref="N258:N267" si="75">($D258/$AA258)*100</f>
        <v>0.73584493027604503</v>
      </c>
      <c r="O258" s="8">
        <f t="shared" ref="O258:O267" si="76">($E258/$AB258)*100</f>
        <v>5.0812058852461188</v>
      </c>
      <c r="P258" s="8">
        <f t="shared" ref="P258:P267" si="77">($E258/$AA258)*100</f>
        <v>3.311302186242203</v>
      </c>
      <c r="Q258" s="8">
        <f t="shared" ref="Q258:Q267" si="78">($F258/$AB258)*100</f>
        <v>0.56457843169401312</v>
      </c>
      <c r="R258" s="8">
        <f t="shared" ref="R258:R267" si="79">($F258/$AA258)*100</f>
        <v>0.36792246513802251</v>
      </c>
      <c r="S258" s="9">
        <f t="shared" si="71"/>
        <v>5.9024108768010466</v>
      </c>
      <c r="T258" s="9">
        <f t="shared" si="71"/>
        <v>3.8464621355338715</v>
      </c>
      <c r="U258" s="8">
        <f t="shared" ref="U258:U267" si="80">($H258/$AB258)*100</f>
        <v>0</v>
      </c>
      <c r="V258" s="8">
        <f t="shared" ref="V258:V267" si="81">($H258/AA258)*100</f>
        <v>0</v>
      </c>
      <c r="W258" s="8">
        <f t="shared" ref="W258:W267" si="82">($I258/$AB258)*100</f>
        <v>5.9024108768010466</v>
      </c>
      <c r="X258" s="8">
        <f t="shared" ref="X258:X267" si="83">($I258/$AA258)*100</f>
        <v>3.8464621355338715</v>
      </c>
      <c r="Y258" s="8">
        <f t="shared" ref="Y258:Y267" si="84">($J258/$AB258)*100</f>
        <v>0</v>
      </c>
      <c r="Z258" s="8">
        <f t="shared" ref="Z258:Z267" si="85">($J258/$AA258)*100</f>
        <v>0</v>
      </c>
      <c r="AA258" s="10">
        <v>341.21592570296002</v>
      </c>
      <c r="AB258" s="11">
        <v>222.36238134761999</v>
      </c>
    </row>
    <row r="259" spans="1:28" x14ac:dyDescent="0.35">
      <c r="A259" s="13" t="s">
        <v>56</v>
      </c>
      <c r="B259" s="21" t="s">
        <v>69</v>
      </c>
      <c r="C259" s="7">
        <f t="shared" si="72"/>
        <v>6.3</v>
      </c>
      <c r="D259" s="32">
        <v>1.3</v>
      </c>
      <c r="E259" s="32">
        <v>5</v>
      </c>
      <c r="F259" s="32">
        <v>0.6006120601465349</v>
      </c>
      <c r="G259" s="9">
        <f t="shared" si="73"/>
        <v>1.8</v>
      </c>
      <c r="H259" s="32">
        <v>0</v>
      </c>
      <c r="I259" s="32">
        <v>1.8</v>
      </c>
      <c r="J259" s="32">
        <v>0</v>
      </c>
      <c r="K259" s="9">
        <f t="shared" si="70"/>
        <v>6.3323544575431603</v>
      </c>
      <c r="L259" s="9">
        <f t="shared" si="70"/>
        <v>3.4670296316850679</v>
      </c>
      <c r="M259" s="8">
        <f t="shared" si="74"/>
        <v>1.3066763166358901</v>
      </c>
      <c r="N259" s="8">
        <f t="shared" si="75"/>
        <v>0.71541881288739506</v>
      </c>
      <c r="O259" s="8">
        <f t="shared" si="76"/>
        <v>5.0256781409072699</v>
      </c>
      <c r="P259" s="8">
        <f t="shared" si="77"/>
        <v>2.7516108187976727</v>
      </c>
      <c r="Q259" s="8">
        <f t="shared" si="78"/>
        <v>0.60369658036874452</v>
      </c>
      <c r="R259" s="8">
        <f t="shared" si="79"/>
        <v>0.33053012851991281</v>
      </c>
      <c r="S259" s="9">
        <f t="shared" si="71"/>
        <v>1.8092441307266172</v>
      </c>
      <c r="T259" s="9">
        <f t="shared" si="71"/>
        <v>0.99057989476716235</v>
      </c>
      <c r="U259" s="8">
        <f t="shared" si="80"/>
        <v>0</v>
      </c>
      <c r="V259" s="8">
        <f t="shared" si="81"/>
        <v>0</v>
      </c>
      <c r="W259" s="8">
        <f t="shared" si="82"/>
        <v>1.8092441307266172</v>
      </c>
      <c r="X259" s="8">
        <f t="shared" si="83"/>
        <v>0.99057989476716235</v>
      </c>
      <c r="Y259" s="8">
        <f t="shared" si="84"/>
        <v>0</v>
      </c>
      <c r="Z259" s="8">
        <f t="shared" si="85"/>
        <v>0</v>
      </c>
      <c r="AA259" s="10">
        <v>181.71174374815001</v>
      </c>
      <c r="AB259" s="11">
        <v>99.489061173690004</v>
      </c>
    </row>
    <row r="260" spans="1:28" x14ac:dyDescent="0.35">
      <c r="A260" s="13" t="s">
        <v>57</v>
      </c>
      <c r="B260" s="21" t="s">
        <v>69</v>
      </c>
      <c r="C260" s="7">
        <f t="shared" si="72"/>
        <v>5.2</v>
      </c>
      <c r="D260" s="32">
        <v>0.4</v>
      </c>
      <c r="E260" s="32">
        <v>4.8</v>
      </c>
      <c r="F260" s="32">
        <v>0.47399999999999998</v>
      </c>
      <c r="G260" s="9">
        <f t="shared" si="73"/>
        <v>3.5</v>
      </c>
      <c r="H260" s="32">
        <v>1</v>
      </c>
      <c r="I260" s="32">
        <v>2.5</v>
      </c>
      <c r="J260" s="32">
        <v>0</v>
      </c>
      <c r="K260" s="9">
        <f t="shared" si="70"/>
        <v>10.313781381738993</v>
      </c>
      <c r="L260" s="9">
        <f t="shared" si="70"/>
        <v>6.8387429344058681</v>
      </c>
      <c r="M260" s="8">
        <f t="shared" si="74"/>
        <v>0.79336779859530726</v>
      </c>
      <c r="N260" s="8">
        <f t="shared" si="75"/>
        <v>0.5260571488004514</v>
      </c>
      <c r="O260" s="8">
        <f t="shared" si="76"/>
        <v>9.5204135831436858</v>
      </c>
      <c r="P260" s="8">
        <f t="shared" si="77"/>
        <v>6.3126857856054164</v>
      </c>
      <c r="Q260" s="8">
        <f t="shared" si="78"/>
        <v>0.94014084133543885</v>
      </c>
      <c r="R260" s="8">
        <f t="shared" si="79"/>
        <v>0.62337772132853486</v>
      </c>
      <c r="S260" s="9">
        <f t="shared" si="71"/>
        <v>6.9419682377089371</v>
      </c>
      <c r="T260" s="9">
        <f t="shared" si="71"/>
        <v>4.6030000520039493</v>
      </c>
      <c r="U260" s="8">
        <f t="shared" si="80"/>
        <v>1.9834194964882681</v>
      </c>
      <c r="V260" s="8">
        <f t="shared" si="81"/>
        <v>1.3151428720011284</v>
      </c>
      <c r="W260" s="8">
        <f t="shared" si="82"/>
        <v>4.9585487412206692</v>
      </c>
      <c r="X260" s="8">
        <f t="shared" si="83"/>
        <v>3.2878571800028213</v>
      </c>
      <c r="Y260" s="8">
        <f t="shared" si="84"/>
        <v>0</v>
      </c>
      <c r="Z260" s="8">
        <f t="shared" si="85"/>
        <v>0</v>
      </c>
      <c r="AA260" s="10">
        <v>76.037366075549997</v>
      </c>
      <c r="AB260" s="11">
        <v>50.417977728389999</v>
      </c>
    </row>
    <row r="261" spans="1:28" x14ac:dyDescent="0.35">
      <c r="A261" s="13" t="s">
        <v>58</v>
      </c>
      <c r="B261" s="21" t="s">
        <v>69</v>
      </c>
      <c r="C261" s="7">
        <f t="shared" si="72"/>
        <v>22.474815922163589</v>
      </c>
      <c r="D261" s="32">
        <v>4.125811618561432</v>
      </c>
      <c r="E261" s="32">
        <v>18.349004303602158</v>
      </c>
      <c r="F261" s="32">
        <v>36.372286637317892</v>
      </c>
      <c r="G261" s="9">
        <f t="shared" si="73"/>
        <v>28.413813173092809</v>
      </c>
      <c r="H261" s="32">
        <v>1.2703156825570725</v>
      </c>
      <c r="I261" s="32">
        <v>27.143497490535736</v>
      </c>
      <c r="J261" s="32">
        <v>0</v>
      </c>
      <c r="K261" s="9">
        <f t="shared" si="70"/>
        <v>4.087658419220789</v>
      </c>
      <c r="L261" s="9">
        <f t="shared" si="70"/>
        <v>4.3137470638911193</v>
      </c>
      <c r="M261" s="8">
        <f t="shared" si="74"/>
        <v>0.75039140062990328</v>
      </c>
      <c r="N261" s="8">
        <f t="shared" si="75"/>
        <v>0.79189559626986727</v>
      </c>
      <c r="O261" s="8">
        <f t="shared" si="76"/>
        <v>3.3372670185908859</v>
      </c>
      <c r="P261" s="8">
        <f t="shared" si="77"/>
        <v>3.5218514676212522</v>
      </c>
      <c r="Q261" s="8">
        <f t="shared" si="78"/>
        <v>6.6152926108162537</v>
      </c>
      <c r="R261" s="8">
        <f t="shared" si="79"/>
        <v>6.9811848618527783</v>
      </c>
      <c r="S261" s="9">
        <f t="shared" si="71"/>
        <v>5.1678270932854131</v>
      </c>
      <c r="T261" s="9">
        <f t="shared" si="71"/>
        <v>5.4536599353637971</v>
      </c>
      <c r="U261" s="8">
        <f t="shared" si="80"/>
        <v>0.23104156282552288</v>
      </c>
      <c r="V261" s="8">
        <f t="shared" si="81"/>
        <v>0.24382048621993282</v>
      </c>
      <c r="W261" s="8">
        <f t="shared" si="82"/>
        <v>4.9367855304598907</v>
      </c>
      <c r="X261" s="8">
        <f t="shared" si="83"/>
        <v>5.209839449143864</v>
      </c>
      <c r="Y261" s="8">
        <f t="shared" si="84"/>
        <v>0</v>
      </c>
      <c r="Z261" s="8">
        <f t="shared" si="85"/>
        <v>0</v>
      </c>
      <c r="AA261" s="10">
        <v>521.00449074291998</v>
      </c>
      <c r="AB261" s="11">
        <v>549.82128194673999</v>
      </c>
    </row>
    <row r="262" spans="1:28" x14ac:dyDescent="0.35">
      <c r="A262" s="13" t="s">
        <v>59</v>
      </c>
      <c r="B262" s="21" t="s">
        <v>69</v>
      </c>
      <c r="C262" s="7">
        <f t="shared" si="72"/>
        <v>59.481808256628398</v>
      </c>
      <c r="D262" s="32">
        <v>7.6892624776985965</v>
      </c>
      <c r="E262" s="32">
        <v>51.792545778929799</v>
      </c>
      <c r="F262" s="32">
        <v>0</v>
      </c>
      <c r="G262" s="9">
        <f t="shared" si="73"/>
        <v>46.733119713121745</v>
      </c>
      <c r="H262" s="32">
        <v>1.1716565626081807</v>
      </c>
      <c r="I262" s="32">
        <v>45.561463150513568</v>
      </c>
      <c r="J262" s="32">
        <v>0</v>
      </c>
      <c r="K262" s="9">
        <f t="shared" si="70"/>
        <v>7.96158872775273</v>
      </c>
      <c r="L262" s="9">
        <f t="shared" si="70"/>
        <v>10.067768594848534</v>
      </c>
      <c r="M262" s="8">
        <f t="shared" si="74"/>
        <v>1.0292011500903759</v>
      </c>
      <c r="N262" s="8">
        <f t="shared" si="75"/>
        <v>1.301468760944982</v>
      </c>
      <c r="O262" s="8">
        <f t="shared" si="76"/>
        <v>6.9323875776623538</v>
      </c>
      <c r="P262" s="8">
        <f t="shared" si="77"/>
        <v>8.7662998339035525</v>
      </c>
      <c r="Q262" s="8">
        <f t="shared" si="78"/>
        <v>0</v>
      </c>
      <c r="R262" s="8">
        <f t="shared" si="79"/>
        <v>0</v>
      </c>
      <c r="S262" s="9">
        <f t="shared" si="71"/>
        <v>6.2551877628778554</v>
      </c>
      <c r="T262" s="9">
        <f t="shared" si="71"/>
        <v>7.9099517781494795</v>
      </c>
      <c r="U262" s="8">
        <f t="shared" si="80"/>
        <v>0.15682522026588358</v>
      </c>
      <c r="V262" s="8">
        <f t="shared" si="81"/>
        <v>0.19831218133252257</v>
      </c>
      <c r="W262" s="8">
        <f t="shared" si="82"/>
        <v>6.0983625426119721</v>
      </c>
      <c r="X262" s="8">
        <f t="shared" si="83"/>
        <v>7.7116395968169567</v>
      </c>
      <c r="Y262" s="8">
        <f t="shared" si="84"/>
        <v>0</v>
      </c>
      <c r="Z262" s="8">
        <f t="shared" si="85"/>
        <v>0</v>
      </c>
      <c r="AA262" s="10">
        <v>590.81421763174001</v>
      </c>
      <c r="AB262" s="11">
        <v>747.10978286638999</v>
      </c>
    </row>
    <row r="263" spans="1:28" x14ac:dyDescent="0.35">
      <c r="A263" s="6" t="s">
        <v>60</v>
      </c>
      <c r="B263" s="21" t="s">
        <v>69</v>
      </c>
      <c r="C263" s="7">
        <f t="shared" si="72"/>
        <v>32.063993334728977</v>
      </c>
      <c r="D263" s="32">
        <v>1.5165334699489497</v>
      </c>
      <c r="E263" s="32">
        <v>30.547459864780031</v>
      </c>
      <c r="F263" s="32">
        <v>4.0446076631681755</v>
      </c>
      <c r="G263" s="9">
        <f t="shared" si="73"/>
        <v>3.2859281358385646</v>
      </c>
      <c r="H263" s="32">
        <v>3.2859281358385646</v>
      </c>
      <c r="I263" s="32">
        <v>0</v>
      </c>
      <c r="J263" s="32">
        <v>3.0330682022598419</v>
      </c>
      <c r="K263" s="9">
        <f t="shared" si="70"/>
        <v>12.240059455466971</v>
      </c>
      <c r="L263" s="9">
        <f t="shared" si="70"/>
        <v>7.2659904949572853</v>
      </c>
      <c r="M263" s="8">
        <f t="shared" si="74"/>
        <v>0.5789191522278514</v>
      </c>
      <c r="N263" s="8">
        <f t="shared" si="75"/>
        <v>0.34366018177775415</v>
      </c>
      <c r="O263" s="8">
        <f t="shared" si="76"/>
        <v>11.661140303239121</v>
      </c>
      <c r="P263" s="8">
        <f t="shared" si="77"/>
        <v>6.9223303131795308</v>
      </c>
      <c r="Q263" s="8">
        <f t="shared" si="78"/>
        <v>1.543982302965204</v>
      </c>
      <c r="R263" s="8">
        <f t="shared" si="79"/>
        <v>0.91654462778910029</v>
      </c>
      <c r="S263" s="9">
        <f t="shared" si="71"/>
        <v>1.2543651481330917</v>
      </c>
      <c r="T263" s="9">
        <f t="shared" si="71"/>
        <v>0.74462099442416596</v>
      </c>
      <c r="U263" s="8">
        <f t="shared" si="80"/>
        <v>1.2543651481330917</v>
      </c>
      <c r="V263" s="8">
        <f t="shared" si="81"/>
        <v>0.74462099442416596</v>
      </c>
      <c r="W263" s="8">
        <f t="shared" si="82"/>
        <v>0</v>
      </c>
      <c r="X263" s="8">
        <f t="shared" si="83"/>
        <v>0</v>
      </c>
      <c r="Y263" s="8">
        <f t="shared" si="84"/>
        <v>1.1578387863478075</v>
      </c>
      <c r="Z263" s="8">
        <f t="shared" si="85"/>
        <v>0.68732064961812622</v>
      </c>
      <c r="AA263" s="10">
        <v>441.28867711817003</v>
      </c>
      <c r="AB263" s="11">
        <v>261.95945739796002</v>
      </c>
    </row>
    <row r="264" spans="1:28" x14ac:dyDescent="0.35">
      <c r="A264" s="6" t="s">
        <v>61</v>
      </c>
      <c r="B264" s="21" t="s">
        <v>69</v>
      </c>
      <c r="C264" s="7">
        <f t="shared" si="72"/>
        <v>12.537379304867349</v>
      </c>
      <c r="D264" s="32">
        <v>3.8751505833461795</v>
      </c>
      <c r="E264" s="32">
        <v>8.6622287215211689</v>
      </c>
      <c r="F264" s="32">
        <v>0.4819569618750838</v>
      </c>
      <c r="G264" s="9">
        <f t="shared" si="73"/>
        <v>14.618458635750434</v>
      </c>
      <c r="H264" s="32">
        <v>7.6937118380227556</v>
      </c>
      <c r="I264" s="32">
        <v>6.9247467977276784</v>
      </c>
      <c r="J264" s="32">
        <v>0</v>
      </c>
      <c r="K264" s="9">
        <f t="shared" si="70"/>
        <v>3.900796701648173</v>
      </c>
      <c r="L264" s="9">
        <f t="shared" si="70"/>
        <v>1.8157769524161016</v>
      </c>
      <c r="M264" s="8">
        <f t="shared" si="74"/>
        <v>1.2056885451362442</v>
      </c>
      <c r="N264" s="8">
        <f t="shared" si="75"/>
        <v>0.56123444503669762</v>
      </c>
      <c r="O264" s="8">
        <f t="shared" si="76"/>
        <v>2.695108156511929</v>
      </c>
      <c r="P264" s="8">
        <f t="shared" si="77"/>
        <v>1.2545425073794041</v>
      </c>
      <c r="Q264" s="8">
        <f t="shared" si="78"/>
        <v>0.14995287942583252</v>
      </c>
      <c r="R264" s="8">
        <f t="shared" si="79"/>
        <v>6.9801377317308677E-2</v>
      </c>
      <c r="S264" s="9">
        <f t="shared" si="71"/>
        <v>4.5482898652812906</v>
      </c>
      <c r="T264" s="9">
        <f t="shared" si="71"/>
        <v>2.1171777311019637</v>
      </c>
      <c r="U264" s="8">
        <f t="shared" si="80"/>
        <v>2.3937702634185563</v>
      </c>
      <c r="V264" s="8">
        <f t="shared" si="81"/>
        <v>1.1142731103771495</v>
      </c>
      <c r="W264" s="8">
        <f t="shared" si="82"/>
        <v>2.1545196018627339</v>
      </c>
      <c r="X264" s="8">
        <f t="shared" si="83"/>
        <v>1.0029046207248142</v>
      </c>
      <c r="Y264" s="8">
        <f t="shared" si="84"/>
        <v>0</v>
      </c>
      <c r="Z264" s="8">
        <f t="shared" si="85"/>
        <v>0</v>
      </c>
      <c r="AA264" s="10">
        <v>690.46912883131995</v>
      </c>
      <c r="AB264" s="11">
        <v>321.40560669490998</v>
      </c>
    </row>
    <row r="265" spans="1:28" x14ac:dyDescent="0.35">
      <c r="A265" s="6" t="s">
        <v>62</v>
      </c>
      <c r="B265" s="21" t="s">
        <v>69</v>
      </c>
      <c r="C265" s="7">
        <f t="shared" si="72"/>
        <v>1</v>
      </c>
      <c r="D265" s="32">
        <v>0.2</v>
      </c>
      <c r="E265" s="32">
        <v>0.8</v>
      </c>
      <c r="F265" s="32">
        <v>0</v>
      </c>
      <c r="G265" s="9">
        <f t="shared" si="73"/>
        <v>0</v>
      </c>
      <c r="H265" s="32">
        <v>0</v>
      </c>
      <c r="I265" s="32">
        <v>0</v>
      </c>
      <c r="J265" s="32">
        <v>0</v>
      </c>
      <c r="K265" s="9">
        <f t="shared" si="70"/>
        <v>1.5532172409282836</v>
      </c>
      <c r="L265" s="9">
        <f t="shared" si="70"/>
        <v>1.0960887530702714</v>
      </c>
      <c r="M265" s="8">
        <f t="shared" si="74"/>
        <v>0.3106434481856567</v>
      </c>
      <c r="N265" s="8">
        <f t="shared" si="75"/>
        <v>0.21921775061405427</v>
      </c>
      <c r="O265" s="8">
        <f t="shared" si="76"/>
        <v>1.2425737927426268</v>
      </c>
      <c r="P265" s="8">
        <f t="shared" si="77"/>
        <v>0.87687100245621707</v>
      </c>
      <c r="Q265" s="8">
        <f t="shared" si="78"/>
        <v>0</v>
      </c>
      <c r="R265" s="8">
        <f t="shared" si="79"/>
        <v>0</v>
      </c>
      <c r="S265" s="9">
        <f t="shared" si="71"/>
        <v>0</v>
      </c>
      <c r="T265" s="9">
        <f t="shared" si="71"/>
        <v>0</v>
      </c>
      <c r="U265" s="8">
        <f t="shared" si="80"/>
        <v>0</v>
      </c>
      <c r="V265" s="8">
        <f t="shared" si="81"/>
        <v>0</v>
      </c>
      <c r="W265" s="8">
        <f t="shared" si="82"/>
        <v>0</v>
      </c>
      <c r="X265" s="8">
        <f t="shared" si="83"/>
        <v>0</v>
      </c>
      <c r="Y265" s="8">
        <f t="shared" si="84"/>
        <v>0</v>
      </c>
      <c r="Z265" s="8">
        <f t="shared" si="85"/>
        <v>0</v>
      </c>
      <c r="AA265" s="10">
        <v>91.233487908610002</v>
      </c>
      <c r="AB265" s="11">
        <v>64.38249419652</v>
      </c>
    </row>
    <row r="266" spans="1:28" x14ac:dyDescent="0.35">
      <c r="A266" s="6" t="s">
        <v>63</v>
      </c>
      <c r="B266" s="21" t="s">
        <v>69</v>
      </c>
      <c r="C266" s="7">
        <f t="shared" si="72"/>
        <v>17.8</v>
      </c>
      <c r="D266" s="32">
        <v>7.7</v>
      </c>
      <c r="E266" s="32">
        <v>10.100000000000001</v>
      </c>
      <c r="F266" s="32">
        <v>0</v>
      </c>
      <c r="G266" s="9">
        <f t="shared" si="73"/>
        <v>6.5</v>
      </c>
      <c r="H266" s="32">
        <v>0</v>
      </c>
      <c r="I266" s="32">
        <v>6.5</v>
      </c>
      <c r="J266" s="32">
        <v>0</v>
      </c>
      <c r="K266" s="9">
        <f t="shared" si="70"/>
        <v>12.077296792300434</v>
      </c>
      <c r="L266" s="9">
        <f t="shared" si="70"/>
        <v>5.7440077276799695</v>
      </c>
      <c r="M266" s="8">
        <f t="shared" si="74"/>
        <v>5.224448612399625</v>
      </c>
      <c r="N266" s="8">
        <f t="shared" si="75"/>
        <v>2.4847673878166159</v>
      </c>
      <c r="O266" s="8">
        <f t="shared" si="76"/>
        <v>6.8528481799008087</v>
      </c>
      <c r="P266" s="8">
        <f t="shared" si="77"/>
        <v>3.2592403398633536</v>
      </c>
      <c r="Q266" s="8">
        <f t="shared" si="78"/>
        <v>0</v>
      </c>
      <c r="R266" s="8">
        <f t="shared" si="79"/>
        <v>0</v>
      </c>
      <c r="S266" s="9">
        <f t="shared" si="71"/>
        <v>4.410248828649034</v>
      </c>
      <c r="T266" s="9">
        <f t="shared" si="71"/>
        <v>2.097530911793247</v>
      </c>
      <c r="U266" s="8">
        <f t="shared" si="80"/>
        <v>0</v>
      </c>
      <c r="V266" s="8">
        <f t="shared" si="81"/>
        <v>0</v>
      </c>
      <c r="W266" s="8">
        <f t="shared" si="82"/>
        <v>4.410248828649034</v>
      </c>
      <c r="X266" s="8">
        <f t="shared" si="83"/>
        <v>2.097530911793247</v>
      </c>
      <c r="Y266" s="8">
        <f t="shared" si="84"/>
        <v>0</v>
      </c>
      <c r="Z266" s="8">
        <f t="shared" si="85"/>
        <v>0</v>
      </c>
      <c r="AA266" s="10">
        <v>309.88816247970999</v>
      </c>
      <c r="AB266" s="11">
        <v>147.38397429586999</v>
      </c>
    </row>
    <row r="267" spans="1:28" x14ac:dyDescent="0.35">
      <c r="A267" s="6" t="s">
        <v>64</v>
      </c>
      <c r="B267" s="21" t="s">
        <v>69</v>
      </c>
      <c r="C267" s="7">
        <f t="shared" si="72"/>
        <v>38.516359409090974</v>
      </c>
      <c r="D267" s="32">
        <v>3.7695771192652283</v>
      </c>
      <c r="E267" s="32">
        <v>34.746782289825745</v>
      </c>
      <c r="F267" s="32">
        <v>0</v>
      </c>
      <c r="G267" s="9">
        <f t="shared" si="73"/>
        <v>28.720587575354124</v>
      </c>
      <c r="H267" s="32">
        <v>9.7444850702094339</v>
      </c>
      <c r="I267" s="32">
        <v>18.976102505144688</v>
      </c>
      <c r="J267" s="32">
        <v>0</v>
      </c>
      <c r="K267" s="9">
        <f t="shared" si="70"/>
        <v>6.7394836974641494</v>
      </c>
      <c r="L267" s="9">
        <f t="shared" si="70"/>
        <v>3.168967804681333</v>
      </c>
      <c r="M267" s="8">
        <f t="shared" si="74"/>
        <v>0.65958994908603863</v>
      </c>
      <c r="N267" s="8">
        <f t="shared" si="75"/>
        <v>0.3101453177684127</v>
      </c>
      <c r="O267" s="8">
        <f t="shared" si="76"/>
        <v>6.0798937483781108</v>
      </c>
      <c r="P267" s="8">
        <f t="shared" si="77"/>
        <v>2.8588224869129202</v>
      </c>
      <c r="Q267" s="8">
        <f t="shared" si="78"/>
        <v>0</v>
      </c>
      <c r="R267" s="8">
        <f t="shared" si="79"/>
        <v>0</v>
      </c>
      <c r="S267" s="9">
        <f t="shared" si="71"/>
        <v>5.0254472311317233</v>
      </c>
      <c r="T267" s="9">
        <f t="shared" si="71"/>
        <v>2.3630119449021922</v>
      </c>
      <c r="U267" s="8">
        <f t="shared" si="80"/>
        <v>1.7050624534196916</v>
      </c>
      <c r="V267" s="8">
        <f t="shared" si="81"/>
        <v>0.8017361955918153</v>
      </c>
      <c r="W267" s="8">
        <f t="shared" si="82"/>
        <v>3.3203847777120314</v>
      </c>
      <c r="X267" s="8">
        <f t="shared" si="83"/>
        <v>1.561275749310377</v>
      </c>
      <c r="Y267" s="8">
        <f t="shared" si="84"/>
        <v>0</v>
      </c>
      <c r="Z267" s="8">
        <f t="shared" si="85"/>
        <v>0</v>
      </c>
      <c r="AA267" s="10">
        <v>1215.4228689920101</v>
      </c>
      <c r="AB267" s="11">
        <v>571.50311712429004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BB1-6A57-4CDB-9507-92BF6D29CFAC}">
  <dimension ref="A1:AB229"/>
  <sheetViews>
    <sheetView tabSelected="1" zoomScale="124" zoomScaleNormal="100" workbookViewId="0">
      <pane xSplit="1" topLeftCell="B1" activePane="topRight" state="frozen"/>
      <selection pane="topRight" activeCell="D15" sqref="D15"/>
    </sheetView>
  </sheetViews>
  <sheetFormatPr baseColWidth="10" defaultRowHeight="14.5" x14ac:dyDescent="0.35"/>
  <cols>
    <col min="1" max="1" width="15.26953125" style="11" customWidth="1"/>
    <col min="2" max="2" width="10.90625" style="11"/>
    <col min="3" max="3" width="16" style="11" customWidth="1"/>
    <col min="4" max="4" width="14.6328125" style="11" customWidth="1"/>
    <col min="5" max="5" width="12" style="11" customWidth="1"/>
    <col min="6" max="6" width="11.6328125" style="11" customWidth="1"/>
    <col min="7" max="7" width="13.6328125" style="11" bestFit="1" customWidth="1"/>
    <col min="8" max="9" width="11" style="11" bestFit="1" customWidth="1"/>
    <col min="10" max="10" width="11.26953125" style="11" customWidth="1"/>
    <col min="11" max="14" width="10.90625" style="11"/>
    <col min="15" max="15" width="11.6328125" style="11" customWidth="1"/>
    <col min="16" max="18" width="14.1796875" style="11" customWidth="1"/>
    <col min="19" max="26" width="10.90625" style="11"/>
    <col min="27" max="27" width="39.6328125" style="11" customWidth="1"/>
    <col min="28" max="28" width="30.1796875" style="11" customWidth="1"/>
    <col min="29" max="29" width="32.6328125" style="11" customWidth="1"/>
    <col min="30" max="16384" width="10.90625" style="11"/>
  </cols>
  <sheetData>
    <row r="1" spans="1:28" s="5" customFormat="1" ht="61.5" customHeight="1" x14ac:dyDescent="0.35">
      <c r="A1" s="1" t="s">
        <v>0</v>
      </c>
      <c r="B1" s="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1" t="s">
        <v>10</v>
      </c>
      <c r="L1" s="41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70</v>
      </c>
      <c r="Z1" s="44" t="s">
        <v>24</v>
      </c>
      <c r="AA1" s="38" t="s">
        <v>72</v>
      </c>
      <c r="AB1" s="39" t="s">
        <v>73</v>
      </c>
    </row>
    <row r="2" spans="1:28" x14ac:dyDescent="0.35">
      <c r="A2" s="6" t="s">
        <v>26</v>
      </c>
      <c r="B2" s="21" t="s">
        <v>65</v>
      </c>
      <c r="C2" s="40">
        <f>data!C40-data!C2</f>
        <v>0.36671521951269881</v>
      </c>
      <c r="D2" s="40">
        <f>data!D40-data!D2</f>
        <v>1.1544452643601866</v>
      </c>
      <c r="E2" s="40">
        <f>data!E40-data!E2</f>
        <v>-0.78773004484749265</v>
      </c>
      <c r="F2" s="40">
        <f>data!F40-data!F2</f>
        <v>0</v>
      </c>
      <c r="G2" s="40">
        <f>data!G40-data!G2</f>
        <v>-1.1041831494786933</v>
      </c>
      <c r="H2" s="40">
        <f>data!H40-data!H2</f>
        <v>-0.51176420691943925</v>
      </c>
      <c r="I2" s="40">
        <f>data!I40-data!I2</f>
        <v>-0.59241894255925409</v>
      </c>
      <c r="J2" s="40">
        <f>data!J40-data!J2</f>
        <v>0</v>
      </c>
      <c r="K2" s="40">
        <f>data!K40-data!K2</f>
        <v>2.4533165212040409E-2</v>
      </c>
      <c r="L2" s="40">
        <f>data!L40-data!L2</f>
        <v>2.989894172294072E-2</v>
      </c>
      <c r="M2" s="40">
        <f>data!M40-data!M2</f>
        <v>7.7232126979732224E-2</v>
      </c>
      <c r="N2" s="40">
        <f>data!N40-data!N2</f>
        <v>9.4123968258795293E-2</v>
      </c>
      <c r="O2" s="40">
        <f>data!O40-data!O2</f>
        <v>-5.2698961767692509E-2</v>
      </c>
      <c r="P2" s="40">
        <f>data!P40-data!P2</f>
        <v>-6.4225026535854823E-2</v>
      </c>
      <c r="Q2" s="40">
        <f>data!Q40-data!Q2</f>
        <v>0</v>
      </c>
      <c r="R2" s="40">
        <f>data!R40-data!R2</f>
        <v>0</v>
      </c>
      <c r="S2" s="40">
        <f>data!S40-data!S2</f>
        <v>-7.3869602866517781E-2</v>
      </c>
      <c r="T2" s="40">
        <f>data!T40-data!T2</f>
        <v>-9.0026008960268022E-2</v>
      </c>
      <c r="U2" s="40">
        <f>data!U40-data!U2</f>
        <v>-3.423690965061843E-2</v>
      </c>
      <c r="V2" s="40">
        <f>data!V40-data!V2</f>
        <v>-4.1725042715445748E-2</v>
      </c>
      <c r="W2" s="40">
        <f>data!W40-data!W2</f>
        <v>-3.9632693215899351E-2</v>
      </c>
      <c r="X2" s="40">
        <f>data!X40-data!X2</f>
        <v>-4.8300966244822385E-2</v>
      </c>
      <c r="Y2" s="40">
        <f>data!Y40-data!Y2</f>
        <v>0</v>
      </c>
      <c r="Z2" s="40">
        <f>data!Z40-data!Z2</f>
        <v>0</v>
      </c>
      <c r="AA2" s="10">
        <v>1226.51571721458</v>
      </c>
      <c r="AB2" s="11">
        <v>1494.77336635199</v>
      </c>
    </row>
    <row r="3" spans="1:28" x14ac:dyDescent="0.35">
      <c r="A3" s="6" t="s">
        <v>28</v>
      </c>
      <c r="B3" s="21" t="s">
        <v>65</v>
      </c>
      <c r="C3" s="40">
        <f>data!C41-data!C3</f>
        <v>5.3821266931310277</v>
      </c>
      <c r="D3" s="40">
        <f>data!D41-data!D3</f>
        <v>0.47940422310436759</v>
      </c>
      <c r="E3" s="40">
        <f>data!E41-data!E3</f>
        <v>4.9027224700266601</v>
      </c>
      <c r="F3" s="40">
        <f>data!F41-data!F3</f>
        <v>-2.5626602590321923</v>
      </c>
      <c r="G3" s="40">
        <f>data!G41-data!G3</f>
        <v>-1.3104260956735772</v>
      </c>
      <c r="H3" s="40">
        <f>data!H41-data!H3</f>
        <v>-0.10074472111954114</v>
      </c>
      <c r="I3" s="40">
        <f>data!I41-data!I3</f>
        <v>-1.2096813745540302</v>
      </c>
      <c r="J3" s="40">
        <f>data!J41-data!J3</f>
        <v>0</v>
      </c>
      <c r="K3" s="40">
        <f>data!K41-data!K3</f>
        <v>0.31722919641608449</v>
      </c>
      <c r="L3" s="40">
        <f>data!L41-data!L3</f>
        <v>0.31228103803024876</v>
      </c>
      <c r="M3" s="40">
        <f>data!M41-data!M3</f>
        <v>2.8256677169634564E-2</v>
      </c>
      <c r="N3" s="40">
        <f>data!N41-data!N3</f>
        <v>2.7815927971034798E-2</v>
      </c>
      <c r="O3" s="40">
        <f>data!O41-data!O3</f>
        <v>0.28897251924645051</v>
      </c>
      <c r="P3" s="40">
        <f>data!P41-data!P3</f>
        <v>0.28446511005921327</v>
      </c>
      <c r="Q3" s="40">
        <f>data!Q41-data!Q3</f>
        <v>-0.15104636159861329</v>
      </c>
      <c r="R3" s="40">
        <f>data!R41-data!R3</f>
        <v>-0.14869033217497218</v>
      </c>
      <c r="S3" s="40">
        <f>data!S41-data!S3</f>
        <v>-7.7238132990021136E-2</v>
      </c>
      <c r="T3" s="40">
        <f>data!T41-data!T3</f>
        <v>-7.6033368359971654E-2</v>
      </c>
      <c r="U3" s="40">
        <f>data!U41-data!U3</f>
        <v>-5.938018323630806E-3</v>
      </c>
      <c r="V3" s="40">
        <f>data!V41-data!V3</f>
        <v>-5.8453967884907199E-3</v>
      </c>
      <c r="W3" s="40">
        <f>data!W41-data!W3</f>
        <v>-7.130011466639008E-2</v>
      </c>
      <c r="X3" s="40">
        <f>data!X41-data!X3</f>
        <v>-7.0187971571480823E-2</v>
      </c>
      <c r="Y3" s="40">
        <f>data!Y41-data!Y3</f>
        <v>0</v>
      </c>
      <c r="Z3" s="40">
        <f>data!Z41-data!Z3</f>
        <v>0</v>
      </c>
      <c r="AA3" s="10">
        <v>1723.48815255626</v>
      </c>
      <c r="AB3" s="11">
        <v>1696.60508992738</v>
      </c>
    </row>
    <row r="4" spans="1:28" x14ac:dyDescent="0.35">
      <c r="A4" s="6" t="s">
        <v>29</v>
      </c>
      <c r="B4" s="21" t="s">
        <v>65</v>
      </c>
      <c r="C4" s="40">
        <f>data!C42-data!C4</f>
        <v>46.119277635451212</v>
      </c>
      <c r="D4" s="40">
        <f>data!D42-data!D4</f>
        <v>3.2426565634137816</v>
      </c>
      <c r="E4" s="40">
        <f>data!E42-data!E4</f>
        <v>42.87662107203743</v>
      </c>
      <c r="F4" s="40">
        <f>data!F42-data!F4</f>
        <v>12.152179908683117</v>
      </c>
      <c r="G4" s="40">
        <f>data!G42-data!G4</f>
        <v>32.305560508499525</v>
      </c>
      <c r="H4" s="40">
        <f>data!H42-data!H4</f>
        <v>22.949473478961178</v>
      </c>
      <c r="I4" s="40">
        <f>data!I42-data!I4</f>
        <v>9.3560870295383438</v>
      </c>
      <c r="J4" s="40">
        <f>data!J42-data!J4</f>
        <v>0</v>
      </c>
      <c r="K4" s="40">
        <f>data!K42-data!K4</f>
        <v>1.7624219498783402</v>
      </c>
      <c r="L4" s="40">
        <f>data!L42-data!L4</f>
        <v>1.5864412065797067</v>
      </c>
      <c r="M4" s="40">
        <f>data!M42-data!M4</f>
        <v>0.12391627528191226</v>
      </c>
      <c r="N4" s="40">
        <f>data!N42-data!N4</f>
        <v>0.1115430304795457</v>
      </c>
      <c r="O4" s="40">
        <f>data!O42-data!O4</f>
        <v>1.6385056745964279</v>
      </c>
      <c r="P4" s="40">
        <f>data!P42-data!P4</f>
        <v>1.4748981761001607</v>
      </c>
      <c r="Q4" s="40">
        <f>data!Q42-data!Q4</f>
        <v>0.46438863980537626</v>
      </c>
      <c r="R4" s="40">
        <f>data!R42-data!R4</f>
        <v>0.41801866692911194</v>
      </c>
      <c r="S4" s="40">
        <f>data!S42-data!S4</f>
        <v>1.2345386108028826</v>
      </c>
      <c r="T4" s="40">
        <f>data!T42-data!T4</f>
        <v>1.1112678909988372</v>
      </c>
      <c r="U4" s="40">
        <f>data!U42-data!U4</f>
        <v>0.87700106920974974</v>
      </c>
      <c r="V4" s="40">
        <f>data!V42-data!V4</f>
        <v>0.78943106360247617</v>
      </c>
      <c r="W4" s="40">
        <f>data!W42-data!W4</f>
        <v>0.35753754159313367</v>
      </c>
      <c r="X4" s="40">
        <f>data!X42-data!X4</f>
        <v>0.32183682739636055</v>
      </c>
      <c r="Y4" s="40">
        <f>data!Y42-data!Y4</f>
        <v>0</v>
      </c>
      <c r="Z4" s="40">
        <f>data!Z42-data!Z4</f>
        <v>0</v>
      </c>
      <c r="AA4" s="10">
        <v>2907.0902498102801</v>
      </c>
      <c r="AB4" s="11">
        <v>2616.8124857180101</v>
      </c>
    </row>
    <row r="5" spans="1:28" x14ac:dyDescent="0.35">
      <c r="A5" s="6" t="s">
        <v>30</v>
      </c>
      <c r="B5" s="21" t="s">
        <v>65</v>
      </c>
      <c r="C5" s="40">
        <f>data!C43-data!C5</f>
        <v>189.22094940972295</v>
      </c>
      <c r="D5" s="40">
        <f>data!D43-data!D5</f>
        <v>13.935137619814569</v>
      </c>
      <c r="E5" s="40">
        <f>data!E43-data!E5</f>
        <v>175.28581178990839</v>
      </c>
      <c r="F5" s="40">
        <f>data!F43-data!F5</f>
        <v>0</v>
      </c>
      <c r="G5" s="40">
        <f>data!G43-data!G5</f>
        <v>42.688711835254708</v>
      </c>
      <c r="H5" s="40">
        <f>data!H43-data!H5</f>
        <v>-4.4335859146559358</v>
      </c>
      <c r="I5" s="40">
        <f>data!I43-data!I5</f>
        <v>47.122297749910672</v>
      </c>
      <c r="J5" s="40">
        <f>data!J43-data!J5</f>
        <v>0</v>
      </c>
      <c r="K5" s="40">
        <f>data!K43-data!K5</f>
        <v>5.2600571942181622</v>
      </c>
      <c r="L5" s="40">
        <f>data!L43-data!L5</f>
        <v>4.5466299278372659</v>
      </c>
      <c r="M5" s="40">
        <f>data!M43-data!M5</f>
        <v>0.3873758223821665</v>
      </c>
      <c r="N5" s="40">
        <f>data!N43-data!N5</f>
        <v>0.33483561914484439</v>
      </c>
      <c r="O5" s="40">
        <f>data!O43-data!O5</f>
        <v>4.8726813718359949</v>
      </c>
      <c r="P5" s="40">
        <f>data!P43-data!P5</f>
        <v>4.2117943086924212</v>
      </c>
      <c r="Q5" s="40">
        <f>data!Q43-data!Q5</f>
        <v>0</v>
      </c>
      <c r="R5" s="40">
        <f>data!R43-data!R5</f>
        <v>0</v>
      </c>
      <c r="S5" s="40">
        <f>data!S43-data!S5</f>
        <v>1.1866818473398872</v>
      </c>
      <c r="T5" s="40">
        <f>data!T43-data!T5</f>
        <v>1.0257309003916149</v>
      </c>
      <c r="U5" s="40">
        <f>data!U43-data!U5</f>
        <v>-0.12324700599653493</v>
      </c>
      <c r="V5" s="40">
        <f>data!V43-data!V5</f>
        <v>-0.10653088080413475</v>
      </c>
      <c r="W5" s="40">
        <f>data!W43-data!W5</f>
        <v>1.3099288533364195</v>
      </c>
      <c r="X5" s="40">
        <f>data!X43-data!X5</f>
        <v>1.1322617811957478</v>
      </c>
      <c r="Y5" s="40">
        <f>data!Y43-data!Y5</f>
        <v>0</v>
      </c>
      <c r="Z5" s="40">
        <f>data!Z43-data!Z5</f>
        <v>0</v>
      </c>
      <c r="AA5" s="10">
        <v>4161.7847155581303</v>
      </c>
      <c r="AB5" s="11">
        <v>3597.3173374942398</v>
      </c>
    </row>
    <row r="6" spans="1:28" x14ac:dyDescent="0.35">
      <c r="A6" s="6" t="s">
        <v>31</v>
      </c>
      <c r="B6" s="21" t="s">
        <v>65</v>
      </c>
      <c r="C6" s="40">
        <f>data!C44-data!C6</f>
        <v>38.105763873469748</v>
      </c>
      <c r="D6" s="40">
        <f>data!D44-data!D6</f>
        <v>3.4734084577736981</v>
      </c>
      <c r="E6" s="40">
        <f>data!E44-data!E6</f>
        <v>34.632355415696054</v>
      </c>
      <c r="F6" s="40">
        <f>data!F44-data!F6</f>
        <v>7.6498244929870598</v>
      </c>
      <c r="G6" s="40">
        <f>data!G44-data!G6</f>
        <v>-8.1926568414287431</v>
      </c>
      <c r="H6" s="40">
        <f>data!H44-data!H6</f>
        <v>3.6063458324081847</v>
      </c>
      <c r="I6" s="40">
        <f>data!I44-data!I6</f>
        <v>-11.799002673836981</v>
      </c>
      <c r="J6" s="40">
        <f>data!J44-data!J6</f>
        <v>0</v>
      </c>
      <c r="K6" s="40">
        <f>data!K44-data!K6</f>
        <v>1.9865814742322865</v>
      </c>
      <c r="L6" s="40">
        <f>data!L44-data!L6</f>
        <v>1.6300816575185895</v>
      </c>
      <c r="M6" s="40">
        <f>data!M44-data!M6</f>
        <v>0.18108045065221945</v>
      </c>
      <c r="N6" s="40">
        <f>data!N44-data!N6</f>
        <v>0.14858485542731317</v>
      </c>
      <c r="O6" s="40">
        <f>data!O44-data!O6</f>
        <v>1.805501023580067</v>
      </c>
      <c r="P6" s="40">
        <f>data!P44-data!P6</f>
        <v>1.4814968020912762</v>
      </c>
      <c r="Q6" s="40">
        <f>data!Q44-data!Q6</f>
        <v>0.39881104783407961</v>
      </c>
      <c r="R6" s="40">
        <f>data!R44-data!R6</f>
        <v>0.32724284522049651</v>
      </c>
      <c r="S6" s="40">
        <f>data!S44-data!S6</f>
        <v>-0.4271107216212009</v>
      </c>
      <c r="T6" s="40">
        <f>data!T44-data!T6</f>
        <v>-0.35046403184309582</v>
      </c>
      <c r="U6" s="40">
        <f>data!U44-data!U6</f>
        <v>0.18801092255035179</v>
      </c>
      <c r="V6" s="40">
        <f>data!V44-data!V6</f>
        <v>0.15427162703251979</v>
      </c>
      <c r="W6" s="40">
        <f>data!W44-data!W6</f>
        <v>-0.61512164417155191</v>
      </c>
      <c r="X6" s="40">
        <f>data!X44-data!X6</f>
        <v>-0.50473565887561733</v>
      </c>
      <c r="Y6" s="40">
        <f>data!Y44-data!Y6</f>
        <v>0</v>
      </c>
      <c r="Z6" s="40">
        <f>data!Z44-data!Z6</f>
        <v>0</v>
      </c>
      <c r="AA6" s="10">
        <v>2337.6598158571201</v>
      </c>
      <c r="AB6" s="11">
        <v>1918.15761738117</v>
      </c>
    </row>
    <row r="7" spans="1:28" x14ac:dyDescent="0.35">
      <c r="A7" s="6" t="s">
        <v>32</v>
      </c>
      <c r="B7" s="21" t="s">
        <v>65</v>
      </c>
      <c r="C7" s="40">
        <f>data!C45-data!C7</f>
        <v>54.106824187597113</v>
      </c>
      <c r="D7" s="40">
        <f>data!D45-data!D7</f>
        <v>26.236916652536532</v>
      </c>
      <c r="E7" s="40">
        <f>data!E45-data!E7</f>
        <v>27.869907535060634</v>
      </c>
      <c r="F7" s="40">
        <f>data!F45-data!F7</f>
        <v>243.68669096730486</v>
      </c>
      <c r="G7" s="40">
        <f>data!G45-data!G7</f>
        <v>128.1492710841033</v>
      </c>
      <c r="H7" s="40">
        <f>data!H45-data!H7</f>
        <v>0</v>
      </c>
      <c r="I7" s="40">
        <f>data!I45-data!I7</f>
        <v>128.1492710841033</v>
      </c>
      <c r="J7" s="40">
        <f>data!J45-data!J7</f>
        <v>1021.6095890552396</v>
      </c>
      <c r="K7" s="40">
        <f>data!K45-data!K7</f>
        <v>1.1854268634847269</v>
      </c>
      <c r="L7" s="40">
        <f>data!L45-data!L7</f>
        <v>1.0161187929447149</v>
      </c>
      <c r="M7" s="40">
        <f>data!M45-data!M7</f>
        <v>0.57482482629346554</v>
      </c>
      <c r="N7" s="40">
        <f>data!N45-data!N7</f>
        <v>0.49272572323100217</v>
      </c>
      <c r="O7" s="40">
        <f>data!O45-data!O7</f>
        <v>0.61060203719126172</v>
      </c>
      <c r="P7" s="40">
        <f>data!P45-data!P7</f>
        <v>0.52339306971371258</v>
      </c>
      <c r="Q7" s="40">
        <f>data!Q45-data!Q7</f>
        <v>5.3389337497387706</v>
      </c>
      <c r="R7" s="40">
        <f>data!R45-data!R7</f>
        <v>4.5764028844840201</v>
      </c>
      <c r="S7" s="40">
        <f>data!S45-data!S7</f>
        <v>2.8076234515701857</v>
      </c>
      <c r="T7" s="40">
        <f>data!T45-data!T7</f>
        <v>2.4066258666235489</v>
      </c>
      <c r="U7" s="40">
        <f>data!U45-data!U7</f>
        <v>0</v>
      </c>
      <c r="V7" s="40">
        <f>data!V45-data!V7</f>
        <v>0</v>
      </c>
      <c r="W7" s="40">
        <f>data!W45-data!W7</f>
        <v>2.8076234515701857</v>
      </c>
      <c r="X7" s="40">
        <f>data!X45-data!X7</f>
        <v>2.4066258666235489</v>
      </c>
      <c r="Y7" s="40">
        <f>data!Y45-data!Y7</f>
        <v>22.382453027750998</v>
      </c>
      <c r="Z7" s="40">
        <f>data!Z45-data!Z7</f>
        <v>19.185689015721469</v>
      </c>
      <c r="AA7" s="10">
        <v>5324.8522282316499</v>
      </c>
      <c r="AB7" s="11">
        <v>4564.3325500944502</v>
      </c>
    </row>
    <row r="8" spans="1:28" x14ac:dyDescent="0.35">
      <c r="A8" s="6" t="s">
        <v>33</v>
      </c>
      <c r="B8" s="21" t="s">
        <v>65</v>
      </c>
      <c r="C8" s="40">
        <f>data!C46-data!C8</f>
        <v>23.759348551253893</v>
      </c>
      <c r="D8" s="40">
        <f>data!D46-data!D8</f>
        <v>1.2812909352111514</v>
      </c>
      <c r="E8" s="40">
        <f>data!E46-data!E8</f>
        <v>22.47805761604274</v>
      </c>
      <c r="F8" s="40">
        <f>data!F46-data!F8</f>
        <v>13.126652361297392</v>
      </c>
      <c r="G8" s="40">
        <f>data!G46-data!G8</f>
        <v>-186.96912589332604</v>
      </c>
      <c r="H8" s="40">
        <f>data!H46-data!H8</f>
        <v>-101</v>
      </c>
      <c r="I8" s="40">
        <f>data!I46-data!I8</f>
        <v>-85.969125893326037</v>
      </c>
      <c r="J8" s="40">
        <f>data!J46-data!J8</f>
        <v>120.83690597305201</v>
      </c>
      <c r="K8" s="40">
        <f>data!K46-data!K8</f>
        <v>1.4503795525417811</v>
      </c>
      <c r="L8" s="40">
        <f>data!L46-data!L8</f>
        <v>1.1017348749826728</v>
      </c>
      <c r="M8" s="40">
        <f>data!M46-data!M8</f>
        <v>7.8215872345090698E-2</v>
      </c>
      <c r="N8" s="40">
        <f>data!N46-data!N8</f>
        <v>5.941420932800745E-2</v>
      </c>
      <c r="O8" s="40">
        <f>data!O46-data!O8</f>
        <v>1.3721636801966901</v>
      </c>
      <c r="P8" s="40">
        <f>data!P46-data!P8</f>
        <v>1.0423206656546653</v>
      </c>
      <c r="Q8" s="40">
        <f>data!Q46-data!Q8</f>
        <v>0.8013110349839645</v>
      </c>
      <c r="R8" s="40">
        <f>data!R46-data!R8</f>
        <v>0.60869053993703692</v>
      </c>
      <c r="S8" s="40">
        <f>data!S46-data!S8</f>
        <v>-11.413452543419117</v>
      </c>
      <c r="T8" s="40">
        <f>data!T46-data!T8</f>
        <v>-8.6698676143135298</v>
      </c>
      <c r="U8" s="40">
        <f>data!U46-data!U8</f>
        <v>-6.1655030015117545</v>
      </c>
      <c r="V8" s="40">
        <f>data!V46-data!V8</f>
        <v>-4.6834290146131741</v>
      </c>
      <c r="W8" s="40">
        <f>data!W46-data!W8</f>
        <v>-5.2479495419073627</v>
      </c>
      <c r="X8" s="40">
        <f>data!X46-data!X8</f>
        <v>-3.9864385997003549</v>
      </c>
      <c r="Y8" s="40">
        <f>data!Y46-data!Y8</f>
        <v>7.3764386779232263</v>
      </c>
      <c r="Z8" s="40">
        <f>data!Z46-data!Z8</f>
        <v>5.6032779353492641</v>
      </c>
      <c r="AA8" s="10">
        <v>2156.5395714307001</v>
      </c>
      <c r="AB8" s="11">
        <v>1638.14696019506</v>
      </c>
    </row>
    <row r="9" spans="1:28" x14ac:dyDescent="0.35">
      <c r="A9" s="6" t="s">
        <v>34</v>
      </c>
      <c r="B9" s="21" t="s">
        <v>65</v>
      </c>
      <c r="C9" s="40">
        <f>data!C47-data!C9</f>
        <v>24.886187363532709</v>
      </c>
      <c r="D9" s="40">
        <f>data!D47-data!D9</f>
        <v>0.52057790283490757</v>
      </c>
      <c r="E9" s="40">
        <f>data!E47-data!E9</f>
        <v>24.365609460697797</v>
      </c>
      <c r="F9" s="40">
        <f>data!F47-data!F9</f>
        <v>0</v>
      </c>
      <c r="G9" s="40">
        <f>data!G47-data!G9</f>
        <v>-60.841604635503842</v>
      </c>
      <c r="H9" s="40">
        <f>data!H47-data!H9</f>
        <v>-10.864488823267086</v>
      </c>
      <c r="I9" s="40">
        <f>data!I47-data!I9</f>
        <v>-49.977115812236761</v>
      </c>
      <c r="J9" s="40">
        <f>data!J47-data!J9</f>
        <v>-0.50327929573277252</v>
      </c>
      <c r="K9" s="40">
        <f>data!K47-data!K9</f>
        <v>1.8797371249607489</v>
      </c>
      <c r="L9" s="40">
        <f>data!L47-data!L9</f>
        <v>1.3852381694584872</v>
      </c>
      <c r="M9" s="40">
        <f>data!M47-data!M9</f>
        <v>3.9320993453055675E-2</v>
      </c>
      <c r="N9" s="40">
        <f>data!N47-data!N9</f>
        <v>2.8976892709578927E-2</v>
      </c>
      <c r="O9" s="40">
        <f>data!O47-data!O9</f>
        <v>1.8404161315076932</v>
      </c>
      <c r="P9" s="40">
        <f>data!P47-data!P9</f>
        <v>1.3562612767489082</v>
      </c>
      <c r="Q9" s="40">
        <f>data!Q47-data!Q9</f>
        <v>0</v>
      </c>
      <c r="R9" s="40">
        <f>data!R47-data!R9</f>
        <v>0</v>
      </c>
      <c r="S9" s="40">
        <f>data!S47-data!S9</f>
        <v>-4.5955702777970959</v>
      </c>
      <c r="T9" s="40">
        <f>data!T47-data!T9</f>
        <v>-3.3866221370535561</v>
      </c>
      <c r="U9" s="40">
        <f>data!U47-data!U9</f>
        <v>-0.82063124762704553</v>
      </c>
      <c r="V9" s="40">
        <f>data!V47-data!V9</f>
        <v>-0.60474930891576673</v>
      </c>
      <c r="W9" s="40">
        <f>data!W47-data!W9</f>
        <v>-3.7749390301700494</v>
      </c>
      <c r="X9" s="40">
        <f>data!X47-data!X9</f>
        <v>-2.7818728281377894</v>
      </c>
      <c r="Y9" s="40">
        <f>data!Y47-data!Y9</f>
        <v>-3.8014371691152515E-2</v>
      </c>
      <c r="Z9" s="40">
        <f>data!Z47-data!Z9</f>
        <v>-2.8014001508676944E-2</v>
      </c>
      <c r="AA9" s="10">
        <v>1796.5276955414199</v>
      </c>
      <c r="AB9" s="11">
        <v>1323.9184901480501</v>
      </c>
    </row>
    <row r="10" spans="1:28" x14ac:dyDescent="0.35">
      <c r="A10" s="6" t="s">
        <v>35</v>
      </c>
      <c r="B10" s="21" t="s">
        <v>65</v>
      </c>
      <c r="C10" s="40">
        <f>data!C48-data!C10</f>
        <v>71.618784378598804</v>
      </c>
      <c r="D10" s="40">
        <f>data!D48-data!D10</f>
        <v>1.8120430642510197</v>
      </c>
      <c r="E10" s="40">
        <f>data!E48-data!E10</f>
        <v>69.806741314347775</v>
      </c>
      <c r="F10" s="40">
        <f>data!F48-data!F10</f>
        <v>0</v>
      </c>
      <c r="G10" s="40">
        <f>data!G48-data!G10</f>
        <v>0.49401987796943558</v>
      </c>
      <c r="H10" s="40">
        <f>data!H48-data!H10</f>
        <v>-421.75808205314377</v>
      </c>
      <c r="I10" s="40">
        <f>data!I48-data!I10</f>
        <v>422.2521019311132</v>
      </c>
      <c r="J10" s="40">
        <f>data!J48-data!J10</f>
        <v>0</v>
      </c>
      <c r="K10" s="40">
        <f>data!K48-data!K10</f>
        <v>2.2682920394272248</v>
      </c>
      <c r="L10" s="40">
        <f>data!L48-data!L10</f>
        <v>2.4343666996657944</v>
      </c>
      <c r="M10" s="40">
        <f>data!M48-data!M10</f>
        <v>5.7390569993647195E-2</v>
      </c>
      <c r="N10" s="40">
        <f>data!N48-data!N10</f>
        <v>6.1592462539635018E-2</v>
      </c>
      <c r="O10" s="40">
        <f>data!O48-data!O10</f>
        <v>2.2109014694335776</v>
      </c>
      <c r="P10" s="40">
        <f>data!P48-data!P10</f>
        <v>2.3727742371261593</v>
      </c>
      <c r="Q10" s="40">
        <f>data!Q48-data!Q10</f>
        <v>0</v>
      </c>
      <c r="R10" s="40">
        <f>data!R48-data!R10</f>
        <v>0</v>
      </c>
      <c r="S10" s="40">
        <f>data!S48-data!S10</f>
        <v>1.5646472726947636E-2</v>
      </c>
      <c r="T10" s="40">
        <f>data!T48-data!T10</f>
        <v>1.6792040668327957E-2</v>
      </c>
      <c r="U10" s="40">
        <f>data!U48-data!U10</f>
        <v>-13.357815388599549</v>
      </c>
      <c r="V10" s="40">
        <f>data!V48-data!V10</f>
        <v>-14.335817609491436</v>
      </c>
      <c r="W10" s="40">
        <f>data!W48-data!W10</f>
        <v>13.373461861326497</v>
      </c>
      <c r="X10" s="40">
        <f>data!X48-data!X10</f>
        <v>14.352609650159764</v>
      </c>
      <c r="Y10" s="40">
        <f>data!Y48-data!Y10</f>
        <v>0</v>
      </c>
      <c r="Z10" s="40">
        <f>data!Z48-data!Z10</f>
        <v>0</v>
      </c>
      <c r="AA10" s="10">
        <v>2941.9883367789698</v>
      </c>
      <c r="AB10" s="11">
        <v>3157.38816403392</v>
      </c>
    </row>
    <row r="11" spans="1:28" x14ac:dyDescent="0.35">
      <c r="A11" s="6" t="s">
        <v>36</v>
      </c>
      <c r="B11" s="21" t="s">
        <v>65</v>
      </c>
      <c r="C11" s="40">
        <f>data!C49-data!C11</f>
        <v>1048</v>
      </c>
      <c r="D11" s="40">
        <f>data!D49-data!D11</f>
        <v>294.55</v>
      </c>
      <c r="E11" s="40">
        <f>data!E49-data!E11</f>
        <v>753.45</v>
      </c>
      <c r="F11" s="40">
        <f>data!F49-data!F11</f>
        <v>0</v>
      </c>
      <c r="G11" s="40">
        <f>data!G49-data!G11</f>
        <v>0</v>
      </c>
      <c r="H11" s="40">
        <f>data!H49-data!H11</f>
        <v>0</v>
      </c>
      <c r="I11" s="40">
        <f>data!I49-data!I11</f>
        <v>0</v>
      </c>
      <c r="J11" s="40">
        <f>data!J49-data!J11</f>
        <v>0</v>
      </c>
      <c r="K11" s="40">
        <f>data!K49-data!K11</f>
        <v>5.2586748171464457</v>
      </c>
      <c r="L11" s="40">
        <f>data!L49-data!L11</f>
        <v>5.2467646833064396</v>
      </c>
      <c r="M11" s="40">
        <f>data!M49-data!M11</f>
        <v>1.4779987284260356</v>
      </c>
      <c r="N11" s="40">
        <f>data!N49-data!N11</f>
        <v>1.4746512762098394</v>
      </c>
      <c r="O11" s="40">
        <f>data!O49-data!O11</f>
        <v>3.7806760887204103</v>
      </c>
      <c r="P11" s="40">
        <f>data!P49-data!P11</f>
        <v>3.7721134070966</v>
      </c>
      <c r="Q11" s="40">
        <f>data!Q49-data!Q11</f>
        <v>0</v>
      </c>
      <c r="R11" s="40">
        <f>data!R49-data!R11</f>
        <v>0</v>
      </c>
      <c r="S11" s="40">
        <f>data!S49-data!S11</f>
        <v>0</v>
      </c>
      <c r="T11" s="40">
        <f>data!T49-data!T11</f>
        <v>0</v>
      </c>
      <c r="U11" s="40">
        <f>data!U49-data!U11</f>
        <v>0</v>
      </c>
      <c r="V11" s="40">
        <f>data!V49-data!V11</f>
        <v>0</v>
      </c>
      <c r="W11" s="40">
        <f>data!W49-data!W11</f>
        <v>0</v>
      </c>
      <c r="X11" s="40">
        <f>data!X49-data!X11</f>
        <v>0</v>
      </c>
      <c r="Y11" s="40">
        <f>data!Y49-data!Y11</f>
        <v>0</v>
      </c>
      <c r="Z11" s="40">
        <f>data!Z49-data!Z11</f>
        <v>0</v>
      </c>
      <c r="AA11" s="10">
        <v>19974.2138871676</v>
      </c>
      <c r="AB11" s="11">
        <v>19928.975197</v>
      </c>
    </row>
    <row r="12" spans="1:28" x14ac:dyDescent="0.35">
      <c r="A12" s="6" t="s">
        <v>37</v>
      </c>
      <c r="B12" s="21" t="s">
        <v>65</v>
      </c>
      <c r="C12" s="40">
        <f>data!C50-data!C12</f>
        <v>4.9963816139161317</v>
      </c>
      <c r="D12" s="40">
        <f>data!D50-data!D12</f>
        <v>4.2542129426514919E-4</v>
      </c>
      <c r="E12" s="40">
        <f>data!E50-data!E12</f>
        <v>4.9959561926218665</v>
      </c>
      <c r="F12" s="40">
        <f>data!F50-data!F12</f>
        <v>2.1604134887013475</v>
      </c>
      <c r="G12" s="40">
        <f>data!G50-data!G12</f>
        <v>-1.5306958497704479</v>
      </c>
      <c r="H12" s="40">
        <f>data!H50-data!H12</f>
        <v>-1.5306958497704479</v>
      </c>
      <c r="I12" s="40">
        <f>data!I50-data!I12</f>
        <v>0</v>
      </c>
      <c r="J12" s="40">
        <f>data!J50-data!J12</f>
        <v>3.026441309603181</v>
      </c>
      <c r="K12" s="40">
        <f>data!K50-data!K12</f>
        <v>0.39060129242887259</v>
      </c>
      <c r="L12" s="40">
        <f>data!L50-data!L12</f>
        <v>0.20978501364374227</v>
      </c>
      <c r="M12" s="40">
        <f>data!M50-data!M12</f>
        <v>3.3258089595061824E-5</v>
      </c>
      <c r="N12" s="40">
        <f>data!N50-data!N12</f>
        <v>1.786232896484885E-5</v>
      </c>
      <c r="O12" s="40">
        <f>data!O50-data!O12</f>
        <v>0.39056803433927756</v>
      </c>
      <c r="P12" s="40">
        <f>data!P50-data!P12</f>
        <v>0.20976715131477744</v>
      </c>
      <c r="Q12" s="40">
        <f>data!Q50-data!Q12</f>
        <v>0.16889428511968757</v>
      </c>
      <c r="R12" s="40">
        <f>data!R50-data!R12</f>
        <v>9.0710119487471319E-2</v>
      </c>
      <c r="S12" s="40">
        <f>data!S50-data!S12</f>
        <v>-0.11966495424820534</v>
      </c>
      <c r="T12" s="40">
        <f>data!T50-data!T12</f>
        <v>-6.4269920622981327E-2</v>
      </c>
      <c r="U12" s="40">
        <f>data!U50-data!U12</f>
        <v>-0.11966495424820534</v>
      </c>
      <c r="V12" s="40">
        <f>data!V50-data!V12</f>
        <v>-6.4269920622981327E-2</v>
      </c>
      <c r="W12" s="40">
        <f>data!W50-data!W12</f>
        <v>0</v>
      </c>
      <c r="X12" s="40">
        <f>data!X50-data!X12</f>
        <v>0</v>
      </c>
      <c r="Y12" s="40">
        <f>data!Y50-data!Y12</f>
        <v>0.23659759768921751</v>
      </c>
      <c r="Z12" s="40">
        <f>data!Z50-data!Z12</f>
        <v>0.12707236566132835</v>
      </c>
      <c r="AA12" s="10">
        <v>2381.6675591522499</v>
      </c>
      <c r="AB12" s="11">
        <v>1279.1513266244399</v>
      </c>
    </row>
    <row r="13" spans="1:28" x14ac:dyDescent="0.35">
      <c r="A13" s="6" t="s">
        <v>38</v>
      </c>
      <c r="B13" s="21" t="s">
        <v>65</v>
      </c>
      <c r="C13" s="40">
        <f>data!C51-data!C13</f>
        <v>1.6541353383458646</v>
      </c>
      <c r="D13" s="40">
        <f>data!D51-data!D13</f>
        <v>0</v>
      </c>
      <c r="E13" s="40">
        <f>data!E51-data!E13</f>
        <v>1.6541353383458646</v>
      </c>
      <c r="F13" s="40">
        <f>data!F51-data!F13</f>
        <v>9.9097744360902258</v>
      </c>
      <c r="G13" s="40">
        <f>data!G51-data!G13</f>
        <v>44.019548872180451</v>
      </c>
      <c r="H13" s="40">
        <f>data!H51-data!H13</f>
        <v>3.007518796992481</v>
      </c>
      <c r="I13" s="40">
        <f>data!I51-data!I13</f>
        <v>41.012030075187972</v>
      </c>
      <c r="J13" s="40">
        <f>data!J51-data!J13</f>
        <v>15.473684210526315</v>
      </c>
      <c r="K13" s="40">
        <f>data!K51-data!K13</f>
        <v>0.16590235659523436</v>
      </c>
      <c r="L13" s="40">
        <f>data!L51-data!L13</f>
        <v>7.0877842979989017E-2</v>
      </c>
      <c r="M13" s="40">
        <f>data!M51-data!M13</f>
        <v>0</v>
      </c>
      <c r="N13" s="40">
        <f>data!N51-data!N13</f>
        <v>0</v>
      </c>
      <c r="O13" s="40">
        <f>data!O51-data!O13</f>
        <v>0.16590235659523436</v>
      </c>
      <c r="P13" s="40">
        <f>data!P51-data!P13</f>
        <v>7.0877842979989017E-2</v>
      </c>
      <c r="Q13" s="40">
        <f>data!Q51-data!Q13</f>
        <v>0.99390593632963131</v>
      </c>
      <c r="R13" s="40">
        <f>data!R51-data!R13</f>
        <v>0.42462271385284334</v>
      </c>
      <c r="S13" s="40">
        <f>data!S51-data!S13</f>
        <v>4.4149633496475413</v>
      </c>
      <c r="T13" s="40">
        <f>data!T51-data!T13</f>
        <v>1.886188270502926</v>
      </c>
      <c r="U13" s="40">
        <f>data!U51-data!U13</f>
        <v>0.30164064835497151</v>
      </c>
      <c r="V13" s="40">
        <f>data!V51-data!V13</f>
        <v>0.12886880541816187</v>
      </c>
      <c r="W13" s="40">
        <f>data!W51-data!W13</f>
        <v>4.1133227012925699</v>
      </c>
      <c r="X13" s="40">
        <f>data!X51-data!X13</f>
        <v>1.7573194650847643</v>
      </c>
      <c r="Y13" s="40">
        <f>data!Y51-data!Y13</f>
        <v>1.5519411357863286</v>
      </c>
      <c r="Z13" s="40">
        <f>data!Z51-data!Z13</f>
        <v>0.66303000387644273</v>
      </c>
      <c r="AA13" s="10">
        <v>2333.7834064911899</v>
      </c>
      <c r="AB13" s="11">
        <v>997.05355143423003</v>
      </c>
    </row>
    <row r="14" spans="1:28" x14ac:dyDescent="0.35">
      <c r="A14" s="13" t="s">
        <v>39</v>
      </c>
      <c r="B14" s="21" t="s">
        <v>65</v>
      </c>
      <c r="C14" s="40">
        <f>data!C52-data!C14</f>
        <v>8.4705882300000006</v>
      </c>
      <c r="D14" s="40">
        <f>data!D52-data!D14</f>
        <v>0</v>
      </c>
      <c r="E14" s="40">
        <f>data!E52-data!E14</f>
        <v>8.4705882300000006</v>
      </c>
      <c r="F14" s="40">
        <f>data!F52-data!F14</f>
        <v>0</v>
      </c>
      <c r="G14" s="40">
        <f>data!G52-data!G14</f>
        <v>8.4705999999999992</v>
      </c>
      <c r="H14" s="40">
        <f>data!H52-data!H14</f>
        <v>0</v>
      </c>
      <c r="I14" s="40">
        <f>data!I52-data!I14</f>
        <v>8.4705999999999992</v>
      </c>
      <c r="J14" s="40">
        <f>data!J52-data!J14</f>
        <v>0</v>
      </c>
      <c r="K14" s="40">
        <f>data!K52-data!K14</f>
        <v>2.0462852131061382</v>
      </c>
      <c r="L14" s="40">
        <f>data!L52-data!L14</f>
        <v>1.8076405000965217</v>
      </c>
      <c r="M14" s="40">
        <f>data!M52-data!M14</f>
        <v>0</v>
      </c>
      <c r="N14" s="40">
        <f>data!N52-data!N14</f>
        <v>0</v>
      </c>
      <c r="O14" s="40">
        <f>data!O52-data!O14</f>
        <v>2.0462852131061382</v>
      </c>
      <c r="P14" s="40">
        <f>data!P52-data!P14</f>
        <v>1.8076405000965217</v>
      </c>
      <c r="Q14" s="40">
        <f>data!Q52-data!Q14</f>
        <v>0</v>
      </c>
      <c r="R14" s="40">
        <f>data!R52-data!R14</f>
        <v>0</v>
      </c>
      <c r="S14" s="40">
        <f>data!S52-data!S14</f>
        <v>2.0462880564478647</v>
      </c>
      <c r="T14" s="40">
        <f>data!T52-data!T14</f>
        <v>1.8076430118381042</v>
      </c>
      <c r="U14" s="40">
        <f>data!U52-data!U14</f>
        <v>0</v>
      </c>
      <c r="V14" s="40">
        <f>data!V52-data!V14</f>
        <v>0</v>
      </c>
      <c r="W14" s="40">
        <f>data!W52-data!W14</f>
        <v>2.0462880564478647</v>
      </c>
      <c r="X14" s="40">
        <f>data!X52-data!X14</f>
        <v>1.8076430118381042</v>
      </c>
      <c r="Y14" s="40">
        <f>data!Y52-data!Y14</f>
        <v>0</v>
      </c>
      <c r="Z14" s="40">
        <f>data!Z52-data!Z14</f>
        <v>0</v>
      </c>
      <c r="AA14" s="10">
        <v>468.59916169988998</v>
      </c>
      <c r="AB14" s="11">
        <v>413.94954015926999</v>
      </c>
    </row>
    <row r="15" spans="1:28" x14ac:dyDescent="0.35">
      <c r="A15" s="6" t="s">
        <v>40</v>
      </c>
      <c r="B15" s="21" t="s">
        <v>65</v>
      </c>
      <c r="C15" s="40">
        <f>data!C53-data!C15</f>
        <v>15.736781814144809</v>
      </c>
      <c r="D15" s="40">
        <f>data!D53-data!D15</f>
        <v>2.2949473478961178</v>
      </c>
      <c r="E15" s="40">
        <f>data!E53-data!E15</f>
        <v>13.441834466248691</v>
      </c>
      <c r="F15" s="40">
        <f>data!F53-data!F15</f>
        <v>12.021152774693951</v>
      </c>
      <c r="G15" s="40">
        <f>data!G53-data!G15</f>
        <v>2.827267662189584</v>
      </c>
      <c r="H15" s="40">
        <f>data!H53-data!H15</f>
        <v>0</v>
      </c>
      <c r="I15" s="40">
        <f>data!I53-data!I15</f>
        <v>2.827267662189584</v>
      </c>
      <c r="J15" s="40">
        <f>data!J53-data!J15</f>
        <v>0</v>
      </c>
      <c r="K15" s="40">
        <f>data!K53-data!K15</f>
        <v>3.1781365002569171</v>
      </c>
      <c r="L15" s="40">
        <f>data!L53-data!L15</f>
        <v>2.8338122233934211</v>
      </c>
      <c r="M15" s="40">
        <f>data!M53-data!M15</f>
        <v>0.46347823962080037</v>
      </c>
      <c r="N15" s="40">
        <f>data!N53-data!N15</f>
        <v>0.41326428257820719</v>
      </c>
      <c r="O15" s="40">
        <f>data!O53-data!O15</f>
        <v>2.7146582606361167</v>
      </c>
      <c r="P15" s="40">
        <f>data!P53-data!P15</f>
        <v>2.4205479408152137</v>
      </c>
      <c r="Q15" s="40">
        <f>data!Q53-data!Q15</f>
        <v>2.427743159918478</v>
      </c>
      <c r="R15" s="40">
        <f>data!R53-data!R15</f>
        <v>2.164717670647752</v>
      </c>
      <c r="S15" s="40">
        <f>data!S53-data!S15</f>
        <v>0.57098348692388257</v>
      </c>
      <c r="T15" s="40">
        <f>data!T53-data!T15</f>
        <v>0.50912224332400235</v>
      </c>
      <c r="U15" s="40">
        <f>data!U53-data!U15</f>
        <v>0</v>
      </c>
      <c r="V15" s="40">
        <f>data!V53-data!V15</f>
        <v>0</v>
      </c>
      <c r="W15" s="40">
        <f>data!W53-data!W15</f>
        <v>0.57098348692388257</v>
      </c>
      <c r="X15" s="40">
        <f>data!X53-data!X15</f>
        <v>0.50912224332400235</v>
      </c>
      <c r="Y15" s="40">
        <f>data!Y53-data!Y15</f>
        <v>0</v>
      </c>
      <c r="Z15" s="40">
        <f>data!Z53-data!Z15</f>
        <v>0</v>
      </c>
      <c r="AA15" s="10">
        <v>555.32196820367994</v>
      </c>
      <c r="AB15" s="11">
        <v>495.15751802582002</v>
      </c>
    </row>
    <row r="16" spans="1:28" x14ac:dyDescent="0.35">
      <c r="A16" s="15" t="s">
        <v>41</v>
      </c>
      <c r="B16" s="23" t="s">
        <v>65</v>
      </c>
      <c r="C16" s="40">
        <f>data!C54-data!C16</f>
        <v>1.885402004076548</v>
      </c>
      <c r="D16" s="40">
        <f>data!D54-data!D16</f>
        <v>1.8854020040765493</v>
      </c>
      <c r="E16" s="40">
        <f>data!E54-data!E16</f>
        <v>0</v>
      </c>
      <c r="F16" s="40">
        <f>data!F54-data!F16</f>
        <v>0</v>
      </c>
      <c r="G16" s="40">
        <f>data!G54-data!G16</f>
        <v>-0.77448880067103687</v>
      </c>
      <c r="H16" s="40">
        <f>data!H54-data!H16</f>
        <v>-0.77448880067103743</v>
      </c>
      <c r="I16" s="40">
        <f>data!I54-data!I16</f>
        <v>0</v>
      </c>
      <c r="J16" s="40">
        <f>data!J54-data!J16</f>
        <v>0</v>
      </c>
      <c r="K16" s="40">
        <f>data!K54-data!K16</f>
        <v>0.87432710308954587</v>
      </c>
      <c r="L16" s="40">
        <f>data!L54-data!L16</f>
        <v>0.4627935881679428</v>
      </c>
      <c r="M16" s="40">
        <f>data!M54-data!M16</f>
        <v>0.8743271030895452</v>
      </c>
      <c r="N16" s="40">
        <f>data!N54-data!N16</f>
        <v>0.46279358816794303</v>
      </c>
      <c r="O16" s="40">
        <f>data!O54-data!O16</f>
        <v>0</v>
      </c>
      <c r="P16" s="40">
        <f>data!P54-data!P16</f>
        <v>0</v>
      </c>
      <c r="Q16" s="40">
        <f>data!Q54-data!Q16</f>
        <v>0</v>
      </c>
      <c r="R16" s="40">
        <f>data!R54-data!R16</f>
        <v>0</v>
      </c>
      <c r="S16" s="40">
        <f>data!S54-data!S16</f>
        <v>-0.35915764807817041</v>
      </c>
      <c r="T16" s="40">
        <f>data!T54-data!T16</f>
        <v>-0.19010717623268381</v>
      </c>
      <c r="U16" s="40">
        <f>data!U54-data!U16</f>
        <v>-0.35915764807817141</v>
      </c>
      <c r="V16" s="40">
        <f>data!V54-data!V16</f>
        <v>-0.19010717623268403</v>
      </c>
      <c r="W16" s="40">
        <f>data!W54-data!W16</f>
        <v>0</v>
      </c>
      <c r="X16" s="40">
        <f>data!X54-data!X16</f>
        <v>0</v>
      </c>
      <c r="Y16" s="40">
        <f>data!Y54-data!Y16</f>
        <v>0</v>
      </c>
      <c r="Z16" s="40">
        <f>data!Z54-data!Z16</f>
        <v>0</v>
      </c>
      <c r="AA16" s="10">
        <v>407.39587848230002</v>
      </c>
      <c r="AB16" s="11">
        <v>215.64034757863999</v>
      </c>
    </row>
    <row r="17" spans="1:28" x14ac:dyDescent="0.35">
      <c r="A17" s="13" t="s">
        <v>42</v>
      </c>
      <c r="B17" s="21" t="s">
        <v>65</v>
      </c>
      <c r="C17" s="40">
        <f>data!C55-data!C17</f>
        <v>9.3883508485756941</v>
      </c>
      <c r="D17" s="40">
        <f>data!D55-data!D17</f>
        <v>0.11675143395921074</v>
      </c>
      <c r="E17" s="40">
        <f>data!E55-data!E17</f>
        <v>9.2715994146164817</v>
      </c>
      <c r="F17" s="40">
        <f>data!F55-data!F17</f>
        <v>24.284298263515833</v>
      </c>
      <c r="G17" s="40">
        <f>data!G55-data!G17</f>
        <v>21.166160352966337</v>
      </c>
      <c r="H17" s="40">
        <f>data!H55-data!H17</f>
        <v>5.822977768715635</v>
      </c>
      <c r="I17" s="40">
        <f>data!I55-data!I17</f>
        <v>15.343182584250702</v>
      </c>
      <c r="J17" s="40">
        <f>data!J55-data!J17</f>
        <v>0</v>
      </c>
      <c r="K17" s="40">
        <f>data!K55-data!K17</f>
        <v>2.8226936439388854</v>
      </c>
      <c r="L17" s="40">
        <f>data!L55-data!L17</f>
        <v>3.0181456692150008</v>
      </c>
      <c r="M17" s="40">
        <f>data!M55-data!M17</f>
        <v>3.5102387615542872E-2</v>
      </c>
      <c r="N17" s="40">
        <f>data!N55-data!N17</f>
        <v>3.7532985341306419E-2</v>
      </c>
      <c r="O17" s="40">
        <f>data!O55-data!O17</f>
        <v>2.7875912563233429</v>
      </c>
      <c r="P17" s="40">
        <f>data!P55-data!P17</f>
        <v>2.9806126838736948</v>
      </c>
      <c r="Q17" s="40">
        <f>data!Q55-data!Q17</f>
        <v>7.3012966240329176</v>
      </c>
      <c r="R17" s="40">
        <f>data!R55-data!R17</f>
        <v>7.8068609509917337</v>
      </c>
      <c r="S17" s="40">
        <f>data!S55-data!S17</f>
        <v>6.363799911032654</v>
      </c>
      <c r="T17" s="40">
        <f>data!T55-data!T17</f>
        <v>6.8044490702972862</v>
      </c>
      <c r="U17" s="40">
        <f>data!U55-data!U17</f>
        <v>1.7507315823252003</v>
      </c>
      <c r="V17" s="40">
        <f>data!V55-data!V17</f>
        <v>1.8719576438976573</v>
      </c>
      <c r="W17" s="40">
        <f>data!W55-data!W17</f>
        <v>4.6130683287074534</v>
      </c>
      <c r="X17" s="40">
        <f>data!X55-data!X17</f>
        <v>4.9324914263996291</v>
      </c>
      <c r="Y17" s="40">
        <f>data!Y55-data!Y17</f>
        <v>0</v>
      </c>
      <c r="Z17" s="40">
        <f>data!Z55-data!Z17</f>
        <v>0</v>
      </c>
      <c r="AA17" s="10">
        <v>311.06354290107998</v>
      </c>
      <c r="AB17" s="11">
        <v>332.60254327404999</v>
      </c>
    </row>
    <row r="18" spans="1:28" x14ac:dyDescent="0.35">
      <c r="A18" s="13" t="s">
        <v>43</v>
      </c>
      <c r="B18" s="21" t="s">
        <v>65</v>
      </c>
      <c r="C18" s="40">
        <f>data!C56-data!C18</f>
        <v>1.2481951410000001</v>
      </c>
      <c r="D18" s="40">
        <f>data!D56-data!D18</f>
        <v>0.33243433</v>
      </c>
      <c r="E18" s="40">
        <f>data!E56-data!E18</f>
        <v>0.91576081099999995</v>
      </c>
      <c r="F18" s="40">
        <f>data!F56-data!F18</f>
        <v>0</v>
      </c>
      <c r="G18" s="40">
        <f>data!G56-data!G18</f>
        <v>0.67566216200000007</v>
      </c>
      <c r="H18" s="40">
        <f>data!H56-data!H18</f>
        <v>0.61666216200000001</v>
      </c>
      <c r="I18" s="40">
        <f>data!I56-data!I18</f>
        <v>5.9000000000000025E-2</v>
      </c>
      <c r="J18" s="40">
        <f>data!J56-data!J18</f>
        <v>0</v>
      </c>
      <c r="K18" s="40">
        <f>data!K56-data!K18</f>
        <v>4.6408796097126643</v>
      </c>
      <c r="L18" s="40">
        <f>data!L56-data!L18</f>
        <v>2.7186939247924107</v>
      </c>
      <c r="M18" s="40">
        <f>data!M56-data!M18</f>
        <v>1.2360148289228849</v>
      </c>
      <c r="N18" s="40">
        <f>data!N56-data!N18</f>
        <v>0.72407523765824</v>
      </c>
      <c r="O18" s="40">
        <f>data!O56-data!O18</f>
        <v>3.4048647807897798</v>
      </c>
      <c r="P18" s="40">
        <f>data!P56-data!P18</f>
        <v>1.9946186871341705</v>
      </c>
      <c r="Q18" s="40">
        <f>data!Q56-data!Q18</f>
        <v>0</v>
      </c>
      <c r="R18" s="40">
        <f>data!R56-data!R18</f>
        <v>0</v>
      </c>
      <c r="S18" s="40">
        <f>data!S56-data!S18</f>
        <v>2.5121606771902791</v>
      </c>
      <c r="T18" s="40">
        <f>data!T56-data!T18</f>
        <v>1.4716598027852008</v>
      </c>
      <c r="U18" s="40">
        <f>data!U56-data!U18</f>
        <v>2.2927944194802219</v>
      </c>
      <c r="V18" s="40">
        <f>data!V56-data!V18</f>
        <v>1.3431518986170716</v>
      </c>
      <c r="W18" s="40">
        <f>data!W56-data!W18</f>
        <v>0.21936625771005724</v>
      </c>
      <c r="X18" s="40">
        <f>data!X56-data!X18</f>
        <v>0.12850790416812902</v>
      </c>
      <c r="Y18" s="40">
        <f>data!Y56-data!Y18</f>
        <v>0</v>
      </c>
      <c r="Z18" s="40">
        <f>data!Z56-data!Z18</f>
        <v>0</v>
      </c>
      <c r="AA18" s="10">
        <v>45.911572818750003</v>
      </c>
      <c r="AB18" s="11">
        <v>26.895658710639999</v>
      </c>
    </row>
    <row r="19" spans="1:28" x14ac:dyDescent="0.35">
      <c r="A19" s="13" t="s">
        <v>44</v>
      </c>
      <c r="B19" s="21" t="s">
        <v>65</v>
      </c>
      <c r="C19" s="40">
        <f>data!C57-data!C19</f>
        <v>3.2526658490995635</v>
      </c>
      <c r="D19" s="40">
        <f>data!D57-data!D19</f>
        <v>1.5678041258934419</v>
      </c>
      <c r="E19" s="40">
        <f>data!E57-data!E19</f>
        <v>1.6848617232061223</v>
      </c>
      <c r="F19" s="40">
        <f>data!F57-data!F19</f>
        <v>1.2373683697402944</v>
      </c>
      <c r="G19" s="40">
        <f>data!G57-data!G19</f>
        <v>3.751470525980066</v>
      </c>
      <c r="H19" s="40">
        <f>data!H57-data!H19</f>
        <v>1.54465361043267</v>
      </c>
      <c r="I19" s="40">
        <f>data!I57-data!I19</f>
        <v>2.206816915547396</v>
      </c>
      <c r="J19" s="40">
        <f>data!J57-data!J19</f>
        <v>1.0928320704267227</v>
      </c>
      <c r="K19" s="40">
        <f>data!K57-data!K19</f>
        <v>1.2768362788335081</v>
      </c>
      <c r="L19" s="40">
        <f>data!L57-data!L19</f>
        <v>1.2809688677565576</v>
      </c>
      <c r="M19" s="40">
        <f>data!M57-data!M19</f>
        <v>0.6154426181219228</v>
      </c>
      <c r="N19" s="40">
        <f>data!N57-data!N19</f>
        <v>0.61743455035989681</v>
      </c>
      <c r="O19" s="40">
        <f>data!O57-data!O19</f>
        <v>0.66139366071158512</v>
      </c>
      <c r="P19" s="40">
        <f>data!P57-data!P19</f>
        <v>0.6635343173966608</v>
      </c>
      <c r="Q19" s="40">
        <f>data!Q57-data!Q19</f>
        <v>0.48572982841223911</v>
      </c>
      <c r="R19" s="40">
        <f>data!R57-data!R19</f>
        <v>0.4873019342035354</v>
      </c>
      <c r="S19" s="40">
        <f>data!S57-data!S19</f>
        <v>1.4726424074185154</v>
      </c>
      <c r="T19" s="40">
        <f>data!T57-data!T19</f>
        <v>1.477408739485826</v>
      </c>
      <c r="U19" s="40">
        <f>data!U57-data!U19</f>
        <v>0.60635486690942364</v>
      </c>
      <c r="V19" s="40">
        <f>data!V57-data!V19</f>
        <v>0.60831738586973727</v>
      </c>
      <c r="W19" s="40">
        <f>data!W57-data!W19</f>
        <v>0.8662875405090924</v>
      </c>
      <c r="X19" s="40">
        <f>data!X57-data!X19</f>
        <v>0.86909135361608847</v>
      </c>
      <c r="Y19" s="40">
        <f>data!Y57-data!Y19</f>
        <v>0.42899200192354664</v>
      </c>
      <c r="Z19" s="40">
        <f>data!Z57-data!Z19</f>
        <v>0.43038047092667181</v>
      </c>
      <c r="AA19" s="10">
        <v>253.92231856471</v>
      </c>
      <c r="AB19" s="11">
        <v>254.7441596875</v>
      </c>
    </row>
    <row r="20" spans="1:28" x14ac:dyDescent="0.35">
      <c r="A20" s="13" t="s">
        <v>45</v>
      </c>
      <c r="B20" s="21" t="s">
        <v>65</v>
      </c>
      <c r="C20" s="40">
        <f>data!C58-data!C20</f>
        <v>4.0254459051713392</v>
      </c>
      <c r="D20" s="40">
        <f>data!D58-data!D20</f>
        <v>0.707075905171339</v>
      </c>
      <c r="E20" s="40">
        <f>data!E58-data!E20</f>
        <v>3.3183700000000007</v>
      </c>
      <c r="F20" s="40">
        <f>data!F58-data!F20</f>
        <v>0</v>
      </c>
      <c r="G20" s="40">
        <f>data!G58-data!G20</f>
        <v>6.7446143999999997</v>
      </c>
      <c r="H20" s="40">
        <f>data!H58-data!H20</f>
        <v>5.3117944000000001</v>
      </c>
      <c r="I20" s="40">
        <f>data!I58-data!I20</f>
        <v>1.43282</v>
      </c>
      <c r="J20" s="40">
        <f>data!J58-data!J20</f>
        <v>0</v>
      </c>
      <c r="K20" s="40">
        <f>data!K58-data!K20</f>
        <v>1.9741964283923021</v>
      </c>
      <c r="L20" s="40">
        <f>data!L58-data!L20</f>
        <v>1.3349414777105451</v>
      </c>
      <c r="M20" s="40">
        <f>data!M58-data!M20</f>
        <v>0.34677070800982396</v>
      </c>
      <c r="N20" s="40">
        <f>data!N58-data!N20</f>
        <v>0.2344845703901644</v>
      </c>
      <c r="O20" s="40">
        <f>data!O58-data!O20</f>
        <v>1.6274257203824787</v>
      </c>
      <c r="P20" s="40">
        <f>data!P58-data!P20</f>
        <v>1.1004569073203805</v>
      </c>
      <c r="Q20" s="40">
        <f>data!Q58-data!Q20</f>
        <v>0</v>
      </c>
      <c r="R20" s="40">
        <f>data!R58-data!R20</f>
        <v>0</v>
      </c>
      <c r="S20" s="40">
        <f>data!S58-data!S20</f>
        <v>3.3077562021781892</v>
      </c>
      <c r="T20" s="40">
        <f>data!T58-data!T20</f>
        <v>2.2366877423833085</v>
      </c>
      <c r="U20" s="40">
        <f>data!U58-data!U20</f>
        <v>2.6050593598494491</v>
      </c>
      <c r="V20" s="40">
        <f>data!V58-data!V20</f>
        <v>1.7615277493907286</v>
      </c>
      <c r="W20" s="40">
        <f>data!W58-data!W20</f>
        <v>0.70269684232874052</v>
      </c>
      <c r="X20" s="40">
        <f>data!X58-data!X20</f>
        <v>0.47515999299257966</v>
      </c>
      <c r="Y20" s="40">
        <f>data!Y58-data!Y20</f>
        <v>0</v>
      </c>
      <c r="Z20" s="40">
        <f>data!Z58-data!Z20</f>
        <v>0</v>
      </c>
      <c r="AA20" s="10">
        <v>301.54474727050001</v>
      </c>
      <c r="AB20" s="11">
        <v>203.90300819506001</v>
      </c>
    </row>
    <row r="21" spans="1:28" x14ac:dyDescent="0.35">
      <c r="A21" s="13" t="s">
        <v>46</v>
      </c>
      <c r="B21" s="21" t="s">
        <v>65</v>
      </c>
      <c r="C21" s="40">
        <f>data!C59-data!C21</f>
        <v>0</v>
      </c>
      <c r="D21" s="40">
        <f>data!D59-data!D21</f>
        <v>0</v>
      </c>
      <c r="E21" s="40">
        <f>data!E59-data!E21</f>
        <v>0</v>
      </c>
      <c r="F21" s="40">
        <f>data!F59-data!F21</f>
        <v>0</v>
      </c>
      <c r="G21" s="40">
        <f>data!G59-data!G21</f>
        <v>0</v>
      </c>
      <c r="H21" s="40">
        <f>data!H59-data!H21</f>
        <v>0</v>
      </c>
      <c r="I21" s="40">
        <f>data!I59-data!I21</f>
        <v>0</v>
      </c>
      <c r="J21" s="40">
        <f>data!J59-data!J21</f>
        <v>0</v>
      </c>
      <c r="K21" s="40">
        <f>data!K59-data!K21</f>
        <v>0</v>
      </c>
      <c r="L21" s="40">
        <f>data!L59-data!L21</f>
        <v>0</v>
      </c>
      <c r="M21" s="40">
        <f>data!M59-data!M21</f>
        <v>0</v>
      </c>
      <c r="N21" s="40">
        <f>data!N59-data!N21</f>
        <v>0</v>
      </c>
      <c r="O21" s="40">
        <f>data!O59-data!O21</f>
        <v>0</v>
      </c>
      <c r="P21" s="40">
        <f>data!P59-data!P21</f>
        <v>0</v>
      </c>
      <c r="Q21" s="40">
        <f>data!Q59-data!Q21</f>
        <v>0</v>
      </c>
      <c r="R21" s="40">
        <f>data!R59-data!R21</f>
        <v>0</v>
      </c>
      <c r="S21" s="40">
        <f>data!S59-data!S21</f>
        <v>0</v>
      </c>
      <c r="T21" s="40">
        <f>data!T59-data!T21</f>
        <v>0</v>
      </c>
      <c r="U21" s="40">
        <f>data!U59-data!U21</f>
        <v>0</v>
      </c>
      <c r="V21" s="40">
        <f>data!V59-data!V21</f>
        <v>0</v>
      </c>
      <c r="W21" s="40">
        <f>data!W59-data!W21</f>
        <v>0</v>
      </c>
      <c r="X21" s="40">
        <f>data!X59-data!X21</f>
        <v>0</v>
      </c>
      <c r="Y21" s="40">
        <f>data!Y59-data!Y21</f>
        <v>0</v>
      </c>
      <c r="Z21" s="40">
        <f>data!Z59-data!Z21</f>
        <v>0</v>
      </c>
      <c r="AA21" s="10">
        <v>19.06914282116</v>
      </c>
      <c r="AB21" s="11">
        <v>20.729999827290001</v>
      </c>
    </row>
    <row r="22" spans="1:28" x14ac:dyDescent="0.35">
      <c r="A22" s="13" t="s">
        <v>47</v>
      </c>
      <c r="B22" s="21" t="s">
        <v>65</v>
      </c>
      <c r="C22" s="40">
        <f>data!C60-data!C22</f>
        <v>0</v>
      </c>
      <c r="D22" s="40">
        <f>data!D60-data!D22</f>
        <v>0</v>
      </c>
      <c r="E22" s="40">
        <f>data!E60-data!E22</f>
        <v>0</v>
      </c>
      <c r="F22" s="40">
        <f>data!F60-data!F22</f>
        <v>0</v>
      </c>
      <c r="G22" s="40">
        <f>data!G60-data!G22</f>
        <v>0</v>
      </c>
      <c r="H22" s="40">
        <f>data!H60-data!H22</f>
        <v>0</v>
      </c>
      <c r="I22" s="40">
        <f>data!I60-data!I22</f>
        <v>0</v>
      </c>
      <c r="J22" s="40">
        <f>data!J60-data!J22</f>
        <v>0</v>
      </c>
      <c r="K22" s="40">
        <f>data!K60-data!K22</f>
        <v>0</v>
      </c>
      <c r="L22" s="40">
        <f>data!L60-data!L22</f>
        <v>0</v>
      </c>
      <c r="M22" s="40">
        <f>data!M60-data!M22</f>
        <v>0</v>
      </c>
      <c r="N22" s="40">
        <f>data!N60-data!N22</f>
        <v>0</v>
      </c>
      <c r="O22" s="40">
        <f>data!O60-data!O22</f>
        <v>0</v>
      </c>
      <c r="P22" s="40">
        <f>data!P60-data!P22</f>
        <v>0</v>
      </c>
      <c r="Q22" s="40">
        <f>data!Q60-data!Q22</f>
        <v>0</v>
      </c>
      <c r="R22" s="40">
        <f>data!R60-data!R22</f>
        <v>0</v>
      </c>
      <c r="S22" s="40">
        <f>data!S60-data!S22</f>
        <v>0</v>
      </c>
      <c r="T22" s="40">
        <f>data!T60-data!T22</f>
        <v>0</v>
      </c>
      <c r="U22" s="40">
        <f>data!U60-data!U22</f>
        <v>0</v>
      </c>
      <c r="V22" s="40">
        <f>data!V60-data!V22</f>
        <v>0</v>
      </c>
      <c r="W22" s="40">
        <f>data!W60-data!W22</f>
        <v>0</v>
      </c>
      <c r="X22" s="40">
        <f>data!X60-data!X22</f>
        <v>0</v>
      </c>
      <c r="Y22" s="40">
        <f>data!Y60-data!Y22</f>
        <v>0</v>
      </c>
      <c r="Z22" s="40">
        <f>data!Z60-data!Z22</f>
        <v>0</v>
      </c>
      <c r="AA22" s="10">
        <v>417.89075855828003</v>
      </c>
      <c r="AB22" s="11">
        <v>371.46659669328</v>
      </c>
    </row>
    <row r="23" spans="1:28" x14ac:dyDescent="0.35">
      <c r="A23" s="13" t="s">
        <v>48</v>
      </c>
      <c r="B23" s="21" t="s">
        <v>65</v>
      </c>
      <c r="C23" s="40">
        <f>data!C61-data!C23</f>
        <v>0</v>
      </c>
      <c r="D23" s="40">
        <f>data!D61-data!D23</f>
        <v>0</v>
      </c>
      <c r="E23" s="40">
        <f>data!E61-data!E23</f>
        <v>0</v>
      </c>
      <c r="F23" s="40">
        <f>data!F61-data!F23</f>
        <v>0</v>
      </c>
      <c r="G23" s="40">
        <f>data!G61-data!G23</f>
        <v>0</v>
      </c>
      <c r="H23" s="40">
        <f>data!H61-data!H23</f>
        <v>0</v>
      </c>
      <c r="I23" s="40">
        <f>data!I61-data!I23</f>
        <v>0</v>
      </c>
      <c r="J23" s="40">
        <f>data!J61-data!J23</f>
        <v>0</v>
      </c>
      <c r="K23" s="40">
        <f>data!K61-data!K23</f>
        <v>0</v>
      </c>
      <c r="L23" s="40">
        <f>data!L61-data!L23</f>
        <v>0</v>
      </c>
      <c r="M23" s="40">
        <f>data!M61-data!M23</f>
        <v>0</v>
      </c>
      <c r="N23" s="40">
        <f>data!N61-data!N23</f>
        <v>0</v>
      </c>
      <c r="O23" s="40">
        <f>data!O61-data!O23</f>
        <v>0</v>
      </c>
      <c r="P23" s="40">
        <f>data!P61-data!P23</f>
        <v>0</v>
      </c>
      <c r="Q23" s="40">
        <f>data!Q61-data!Q23</f>
        <v>0</v>
      </c>
      <c r="R23" s="40">
        <f>data!R61-data!R23</f>
        <v>0</v>
      </c>
      <c r="S23" s="40">
        <f>data!S61-data!S23</f>
        <v>0</v>
      </c>
      <c r="T23" s="40">
        <f>data!T61-data!T23</f>
        <v>0</v>
      </c>
      <c r="U23" s="40">
        <f>data!U61-data!U23</f>
        <v>0</v>
      </c>
      <c r="V23" s="40">
        <f>data!V61-data!V23</f>
        <v>0</v>
      </c>
      <c r="W23" s="40">
        <f>data!W61-data!W23</f>
        <v>0</v>
      </c>
      <c r="X23" s="40">
        <f>data!X61-data!X23</f>
        <v>0</v>
      </c>
      <c r="Y23" s="40">
        <f>data!Y61-data!Y23</f>
        <v>0</v>
      </c>
      <c r="Z23" s="40">
        <f>data!Z61-data!Z23</f>
        <v>0</v>
      </c>
      <c r="AA23" s="10">
        <v>342.39670930134002</v>
      </c>
      <c r="AB23" s="11">
        <v>358.46025273358998</v>
      </c>
    </row>
    <row r="24" spans="1:28" x14ac:dyDescent="0.35">
      <c r="A24" s="15" t="s">
        <v>49</v>
      </c>
      <c r="B24" s="21" t="s">
        <v>65</v>
      </c>
      <c r="C24" s="40">
        <f>data!C62-data!C24</f>
        <v>0</v>
      </c>
      <c r="D24" s="40">
        <f>data!D62-data!D24</f>
        <v>0</v>
      </c>
      <c r="E24" s="40">
        <f>data!E62-data!E24</f>
        <v>0</v>
      </c>
      <c r="F24" s="40">
        <f>data!F62-data!F24</f>
        <v>0</v>
      </c>
      <c r="G24" s="40">
        <f>data!G62-data!G24</f>
        <v>0</v>
      </c>
      <c r="H24" s="40">
        <f>data!H62-data!H24</f>
        <v>0</v>
      </c>
      <c r="I24" s="40">
        <f>data!I62-data!I24</f>
        <v>0</v>
      </c>
      <c r="J24" s="40">
        <f>data!J62-data!J24</f>
        <v>0</v>
      </c>
      <c r="K24" s="40">
        <f>data!K62-data!K24</f>
        <v>0</v>
      </c>
      <c r="L24" s="40">
        <f>data!L62-data!L24</f>
        <v>0</v>
      </c>
      <c r="M24" s="40">
        <f>data!M62-data!M24</f>
        <v>0</v>
      </c>
      <c r="N24" s="40">
        <f>data!N62-data!N24</f>
        <v>0</v>
      </c>
      <c r="O24" s="40">
        <f>data!O62-data!O24</f>
        <v>0</v>
      </c>
      <c r="P24" s="40">
        <f>data!P62-data!P24</f>
        <v>0</v>
      </c>
      <c r="Q24" s="40">
        <f>data!Q62-data!Q24</f>
        <v>0</v>
      </c>
      <c r="R24" s="40">
        <f>data!R62-data!R24</f>
        <v>0</v>
      </c>
      <c r="S24" s="40">
        <f>data!S62-data!S24</f>
        <v>0</v>
      </c>
      <c r="T24" s="40">
        <f>data!T62-data!T24</f>
        <v>0</v>
      </c>
      <c r="U24" s="40">
        <f>data!U62-data!U24</f>
        <v>0</v>
      </c>
      <c r="V24" s="40">
        <f>data!V62-data!V24</f>
        <v>0</v>
      </c>
      <c r="W24" s="40">
        <f>data!W62-data!W24</f>
        <v>0</v>
      </c>
      <c r="X24" s="40">
        <f>data!X62-data!X24</f>
        <v>0</v>
      </c>
      <c r="Y24" s="40">
        <f>data!Y62-data!Y24</f>
        <v>0</v>
      </c>
      <c r="Z24" s="40">
        <f>data!Z62-data!Z24</f>
        <v>0</v>
      </c>
      <c r="AA24" s="16">
        <v>55.422589739999999</v>
      </c>
      <c r="AB24" s="11">
        <v>30.160077523049999</v>
      </c>
    </row>
    <row r="25" spans="1:28" x14ac:dyDescent="0.35">
      <c r="A25" s="13" t="s">
        <v>50</v>
      </c>
      <c r="B25" s="21" t="s">
        <v>65</v>
      </c>
      <c r="C25" s="40">
        <f>data!C63-data!C25</f>
        <v>0</v>
      </c>
      <c r="D25" s="40">
        <f>data!D63-data!D25</f>
        <v>0</v>
      </c>
      <c r="E25" s="40">
        <f>data!E63-data!E25</f>
        <v>0</v>
      </c>
      <c r="F25" s="40">
        <f>data!F63-data!F25</f>
        <v>0</v>
      </c>
      <c r="G25" s="40">
        <f>data!G63-data!G25</f>
        <v>0</v>
      </c>
      <c r="H25" s="40">
        <f>data!H63-data!H25</f>
        <v>0</v>
      </c>
      <c r="I25" s="40">
        <f>data!I63-data!I25</f>
        <v>0</v>
      </c>
      <c r="J25" s="40">
        <f>data!J63-data!J25</f>
        <v>0</v>
      </c>
      <c r="K25" s="40">
        <f>data!K63-data!K25</f>
        <v>0</v>
      </c>
      <c r="L25" s="40">
        <f>data!L63-data!L25</f>
        <v>0</v>
      </c>
      <c r="M25" s="40">
        <f>data!M63-data!M25</f>
        <v>0</v>
      </c>
      <c r="N25" s="40">
        <f>data!N63-data!N25</f>
        <v>0</v>
      </c>
      <c r="O25" s="40">
        <f>data!O63-data!O25</f>
        <v>0</v>
      </c>
      <c r="P25" s="40">
        <f>data!P63-data!P25</f>
        <v>0</v>
      </c>
      <c r="Q25" s="40">
        <f>data!Q63-data!Q25</f>
        <v>0</v>
      </c>
      <c r="R25" s="40">
        <f>data!R63-data!R25</f>
        <v>0</v>
      </c>
      <c r="S25" s="40">
        <f>data!S63-data!S25</f>
        <v>0</v>
      </c>
      <c r="T25" s="40">
        <f>data!T63-data!T25</f>
        <v>0</v>
      </c>
      <c r="U25" s="40">
        <f>data!U63-data!U25</f>
        <v>0</v>
      </c>
      <c r="V25" s="40">
        <f>data!V63-data!V25</f>
        <v>0</v>
      </c>
      <c r="W25" s="40">
        <f>data!W63-data!W25</f>
        <v>0</v>
      </c>
      <c r="X25" s="40">
        <f>data!X63-data!X25</f>
        <v>0</v>
      </c>
      <c r="Y25" s="40">
        <f>data!Y63-data!Y25</f>
        <v>0</v>
      </c>
      <c r="Z25" s="40">
        <f>data!Z63-data!Z25</f>
        <v>0</v>
      </c>
      <c r="AA25" s="10">
        <v>97.136073348400004</v>
      </c>
      <c r="AB25" s="11">
        <v>48.216768505140003</v>
      </c>
    </row>
    <row r="26" spans="1:28" x14ac:dyDescent="0.35">
      <c r="A26" s="13" t="s">
        <v>51</v>
      </c>
      <c r="B26" s="21" t="s">
        <v>65</v>
      </c>
      <c r="C26" s="40">
        <f>data!C64-data!C26</f>
        <v>0</v>
      </c>
      <c r="D26" s="40">
        <f>data!D64-data!D26</f>
        <v>0</v>
      </c>
      <c r="E26" s="40">
        <f>data!E64-data!E26</f>
        <v>0</v>
      </c>
      <c r="F26" s="40">
        <f>data!F64-data!F26</f>
        <v>0</v>
      </c>
      <c r="G26" s="40">
        <f>data!G64-data!G26</f>
        <v>0</v>
      </c>
      <c r="H26" s="40">
        <f>data!H64-data!H26</f>
        <v>0</v>
      </c>
      <c r="I26" s="40">
        <f>data!I64-data!I26</f>
        <v>0</v>
      </c>
      <c r="J26" s="40">
        <f>data!J64-data!J26</f>
        <v>0</v>
      </c>
      <c r="K26" s="40">
        <f>data!K64-data!K26</f>
        <v>0</v>
      </c>
      <c r="L26" s="40">
        <f>data!L64-data!L26</f>
        <v>0</v>
      </c>
      <c r="M26" s="40">
        <f>data!M64-data!M26</f>
        <v>0</v>
      </c>
      <c r="N26" s="40">
        <f>data!N64-data!N26</f>
        <v>0</v>
      </c>
      <c r="O26" s="40">
        <f>data!O64-data!O26</f>
        <v>0</v>
      </c>
      <c r="P26" s="40">
        <f>data!P64-data!P26</f>
        <v>0</v>
      </c>
      <c r="Q26" s="40">
        <f>data!Q64-data!Q26</f>
        <v>0</v>
      </c>
      <c r="R26" s="40">
        <f>data!R64-data!R26</f>
        <v>0</v>
      </c>
      <c r="S26" s="40">
        <f>data!S64-data!S26</f>
        <v>0</v>
      </c>
      <c r="T26" s="40">
        <f>data!T64-data!T26</f>
        <v>0</v>
      </c>
      <c r="U26" s="40">
        <f>data!U64-data!U26</f>
        <v>0</v>
      </c>
      <c r="V26" s="40">
        <f>data!V64-data!V26</f>
        <v>0</v>
      </c>
      <c r="W26" s="40">
        <f>data!W64-data!W26</f>
        <v>0</v>
      </c>
      <c r="X26" s="40">
        <f>data!X64-data!X26</f>
        <v>0</v>
      </c>
      <c r="Y26" s="40">
        <f>data!Y64-data!Y26</f>
        <v>0</v>
      </c>
      <c r="Z26" s="40">
        <f>data!Z64-data!Z26</f>
        <v>0</v>
      </c>
      <c r="AA26" s="10">
        <v>66.343484468840003</v>
      </c>
      <c r="AB26" s="11">
        <v>66.557495896739994</v>
      </c>
    </row>
    <row r="27" spans="1:28" x14ac:dyDescent="0.35">
      <c r="A27" s="13" t="s">
        <v>52</v>
      </c>
      <c r="B27" s="21" t="s">
        <v>65</v>
      </c>
      <c r="C27" s="40">
        <f>data!C65-data!C27</f>
        <v>11.987077390271075</v>
      </c>
      <c r="D27" s="40">
        <f>data!D65-data!D27</f>
        <v>0.76498244929870585</v>
      </c>
      <c r="E27" s="40">
        <f>data!E65-data!E27</f>
        <v>11.222094940972369</v>
      </c>
      <c r="F27" s="40">
        <f>data!F65-data!F27</f>
        <v>-10.029373746344874</v>
      </c>
      <c r="G27" s="40">
        <f>data!G65-data!G27</f>
        <v>33.440661355057721</v>
      </c>
      <c r="H27" s="40">
        <f>data!H65-data!H27</f>
        <v>0</v>
      </c>
      <c r="I27" s="40">
        <f>data!I65-data!I27</f>
        <v>33.440661355057721</v>
      </c>
      <c r="J27" s="40">
        <f>data!J65-data!J27</f>
        <v>0</v>
      </c>
      <c r="K27" s="40">
        <f>data!K65-data!K27</f>
        <v>1.4266077091702378</v>
      </c>
      <c r="L27" s="40">
        <f>data!L65-data!L27</f>
        <v>1.285559586199561</v>
      </c>
      <c r="M27" s="40">
        <f>data!M65-data!M27</f>
        <v>9.1042196860696603E-2</v>
      </c>
      <c r="N27" s="40">
        <f>data!N65-data!N27</f>
        <v>8.2040891949904396E-2</v>
      </c>
      <c r="O27" s="40">
        <f>data!O65-data!O27</f>
        <v>1.3355655123095409</v>
      </c>
      <c r="P27" s="40">
        <f>data!P65-data!P27</f>
        <v>1.2035186942496567</v>
      </c>
      <c r="Q27" s="40">
        <f>data!Q65-data!Q27</f>
        <v>-1.1936172128410387</v>
      </c>
      <c r="R27" s="40">
        <f>data!R65-data!R27</f>
        <v>-1.0756047653163852</v>
      </c>
      <c r="S27" s="40">
        <f>data!S65-data!S27</f>
        <v>3.9798446056247383</v>
      </c>
      <c r="T27" s="40">
        <f>data!T65-data!T27</f>
        <v>3.5863589909529647</v>
      </c>
      <c r="U27" s="40">
        <f>data!U65-data!U27</f>
        <v>0</v>
      </c>
      <c r="V27" s="40">
        <f>data!V65-data!V27</f>
        <v>0</v>
      </c>
      <c r="W27" s="40">
        <f>data!W65-data!W27</f>
        <v>3.9798446056247383</v>
      </c>
      <c r="X27" s="40">
        <f>data!X65-data!X27</f>
        <v>3.5863589909529647</v>
      </c>
      <c r="Y27" s="40">
        <f>data!Y65-data!Y27</f>
        <v>0</v>
      </c>
      <c r="Z27" s="40">
        <f>data!Z65-data!Z27</f>
        <v>0</v>
      </c>
      <c r="AA27" s="10">
        <v>932.44043441874999</v>
      </c>
      <c r="AB27" s="11">
        <v>840.25042856688003</v>
      </c>
    </row>
    <row r="28" spans="1:28" x14ac:dyDescent="0.35">
      <c r="A28" s="15" t="s">
        <v>53</v>
      </c>
      <c r="B28" s="23" t="s">
        <v>65</v>
      </c>
      <c r="C28" s="40">
        <f>data!C66-data!C28</f>
        <v>28.122546463795103</v>
      </c>
      <c r="D28" s="40">
        <f>data!D66-data!D28</f>
        <v>0</v>
      </c>
      <c r="E28" s="40">
        <f>data!E66-data!E28</f>
        <v>28.122546463795096</v>
      </c>
      <c r="F28" s="40">
        <f>data!F66-data!F28</f>
        <v>0</v>
      </c>
      <c r="G28" s="40">
        <f>data!G66-data!G28</f>
        <v>1.1458115023238653</v>
      </c>
      <c r="H28" s="40">
        <f>data!H66-data!H28</f>
        <v>1.1458115023238649</v>
      </c>
      <c r="I28" s="40">
        <f>data!I66-data!I28</f>
        <v>0</v>
      </c>
      <c r="J28" s="40">
        <f>data!J66-data!J28</f>
        <v>0</v>
      </c>
      <c r="K28" s="40">
        <f>data!K66-data!K28</f>
        <v>13.857629306420865</v>
      </c>
      <c r="L28" s="40">
        <f>data!L66-data!L28</f>
        <v>14.498115587265049</v>
      </c>
      <c r="M28" s="40">
        <f>data!M66-data!M28</f>
        <v>0</v>
      </c>
      <c r="N28" s="40">
        <f>data!N66-data!N28</f>
        <v>0</v>
      </c>
      <c r="O28" s="40">
        <f>data!O66-data!O28</f>
        <v>13.857629306420863</v>
      </c>
      <c r="P28" s="40">
        <f>data!P66-data!P28</f>
        <v>14.498115587265051</v>
      </c>
      <c r="Q28" s="40">
        <f>data!Q66-data!Q28</f>
        <v>0</v>
      </c>
      <c r="R28" s="40">
        <f>data!R66-data!R28</f>
        <v>0</v>
      </c>
      <c r="S28" s="40">
        <f>data!S66-data!S28</f>
        <v>0.5646085810429331</v>
      </c>
      <c r="T28" s="40">
        <f>data!T66-data!T28</f>
        <v>0.5907042459080154</v>
      </c>
      <c r="U28" s="40">
        <f>data!U66-data!U28</f>
        <v>0.56460858104293332</v>
      </c>
      <c r="V28" s="40">
        <f>data!V66-data!V28</f>
        <v>0.5907042459080154</v>
      </c>
      <c r="W28" s="40">
        <f>data!W66-data!W28</f>
        <v>0</v>
      </c>
      <c r="X28" s="40">
        <f>data!X66-data!X28</f>
        <v>0</v>
      </c>
      <c r="Y28" s="40">
        <f>data!Y66-data!Y28</f>
        <v>0</v>
      </c>
      <c r="Z28" s="40">
        <f>data!Z66-data!Z28</f>
        <v>0</v>
      </c>
      <c r="AA28" s="10">
        <v>193.97380504054999</v>
      </c>
      <c r="AB28" s="11">
        <v>202.93908750153</v>
      </c>
    </row>
    <row r="29" spans="1:28" x14ac:dyDescent="0.35">
      <c r="A29" s="13" t="s">
        <v>54</v>
      </c>
      <c r="B29" s="21" t="s">
        <v>65</v>
      </c>
      <c r="C29" s="40">
        <f>data!C67-data!C29</f>
        <v>-8.1</v>
      </c>
      <c r="D29" s="40">
        <f>data!D67-data!D29</f>
        <v>0</v>
      </c>
      <c r="E29" s="40">
        <f>data!E67-data!E29</f>
        <v>-8.1</v>
      </c>
      <c r="F29" s="40">
        <f>data!F67-data!F29</f>
        <v>0</v>
      </c>
      <c r="G29" s="40">
        <f>data!G67-data!G29</f>
        <v>7.1492515149594507</v>
      </c>
      <c r="H29" s="40">
        <f>data!H67-data!H29</f>
        <v>-0.35867162723845958</v>
      </c>
      <c r="I29" s="40">
        <f>data!I67-data!I29</f>
        <v>7.5079231421979111</v>
      </c>
      <c r="J29" s="40">
        <f>data!J67-data!J29</f>
        <v>0</v>
      </c>
      <c r="K29" s="40">
        <f>data!K67-data!K29</f>
        <v>-1.9744090578931335</v>
      </c>
      <c r="L29" s="40">
        <f>data!L67-data!L29</f>
        <v>-2.4511712488266704</v>
      </c>
      <c r="M29" s="40">
        <f>data!M67-data!M29</f>
        <v>0</v>
      </c>
      <c r="N29" s="40">
        <f>data!N67-data!N29</f>
        <v>0</v>
      </c>
      <c r="O29" s="40">
        <f>data!O67-data!O29</f>
        <v>-1.9744090578931335</v>
      </c>
      <c r="P29" s="40">
        <f>data!P67-data!P29</f>
        <v>-2.4511712488266704</v>
      </c>
      <c r="Q29" s="40">
        <f>data!Q67-data!Q29</f>
        <v>0</v>
      </c>
      <c r="R29" s="40">
        <f>data!R67-data!R29</f>
        <v>0</v>
      </c>
      <c r="S29" s="40">
        <f>data!S67-data!S29</f>
        <v>1.7426601170731044</v>
      </c>
      <c r="T29" s="40">
        <f>data!T67-data!T29</f>
        <v>2.1634616992714961</v>
      </c>
      <c r="U29" s="40">
        <f>data!U67-data!U29</f>
        <v>-8.7427717238133695E-2</v>
      </c>
      <c r="V29" s="40">
        <f>data!V67-data!V29</f>
        <v>-0.10853896055022094</v>
      </c>
      <c r="W29" s="40">
        <f>data!W67-data!W29</f>
        <v>1.8300878343112383</v>
      </c>
      <c r="X29" s="40">
        <f>data!X67-data!X29</f>
        <v>2.2720006598217175</v>
      </c>
      <c r="Y29" s="40">
        <f>data!Y67-data!Y29</f>
        <v>0</v>
      </c>
      <c r="Z29" s="40">
        <f>data!Z67-data!Z29</f>
        <v>0</v>
      </c>
      <c r="AA29" s="10">
        <v>330.45426768437</v>
      </c>
      <c r="AB29" s="11">
        <v>410.24933347112</v>
      </c>
    </row>
    <row r="30" spans="1:28" x14ac:dyDescent="0.35">
      <c r="A30" s="13" t="s">
        <v>55</v>
      </c>
      <c r="B30" s="21" t="s">
        <v>65</v>
      </c>
      <c r="C30" s="40">
        <f>data!C68-data!C30</f>
        <v>0</v>
      </c>
      <c r="D30" s="40">
        <f>data!D68-data!D30</f>
        <v>0</v>
      </c>
      <c r="E30" s="40">
        <f>data!E68-data!E30</f>
        <v>0</v>
      </c>
      <c r="F30" s="40">
        <f>data!F68-data!F30</f>
        <v>0</v>
      </c>
      <c r="G30" s="40">
        <f>data!G68-data!G30</f>
        <v>0</v>
      </c>
      <c r="H30" s="40">
        <f>data!H68-data!H30</f>
        <v>0</v>
      </c>
      <c r="I30" s="40">
        <f>data!I68-data!I30</f>
        <v>0</v>
      </c>
      <c r="J30" s="40">
        <f>data!J68-data!J30</f>
        <v>0</v>
      </c>
      <c r="K30" s="40">
        <f>data!K68-data!K30</f>
        <v>0</v>
      </c>
      <c r="L30" s="40">
        <f>data!L68-data!L30</f>
        <v>0</v>
      </c>
      <c r="M30" s="40">
        <f>data!M68-data!M30</f>
        <v>0</v>
      </c>
      <c r="N30" s="40">
        <f>data!N68-data!N30</f>
        <v>0</v>
      </c>
      <c r="O30" s="40">
        <f>data!O68-data!O30</f>
        <v>0</v>
      </c>
      <c r="P30" s="40">
        <f>data!P68-data!P30</f>
        <v>0</v>
      </c>
      <c r="Q30" s="40">
        <f>data!Q68-data!Q30</f>
        <v>0</v>
      </c>
      <c r="R30" s="40">
        <f>data!R68-data!R30</f>
        <v>0</v>
      </c>
      <c r="S30" s="40">
        <f>data!S68-data!S30</f>
        <v>0</v>
      </c>
      <c r="T30" s="40">
        <f>data!T68-data!T30</f>
        <v>0</v>
      </c>
      <c r="U30" s="40">
        <f>data!U68-data!U30</f>
        <v>0</v>
      </c>
      <c r="V30" s="40">
        <f>data!V68-data!V30</f>
        <v>0</v>
      </c>
      <c r="W30" s="40">
        <f>data!W68-data!W30</f>
        <v>0</v>
      </c>
      <c r="X30" s="40">
        <f>data!X68-data!X30</f>
        <v>0</v>
      </c>
      <c r="Y30" s="40">
        <f>data!Y68-data!Y30</f>
        <v>0</v>
      </c>
      <c r="Z30" s="40">
        <f>data!Z68-data!Z30</f>
        <v>0</v>
      </c>
      <c r="AA30" s="10">
        <v>341.21592570296002</v>
      </c>
      <c r="AB30" s="11">
        <v>222.36238134761999</v>
      </c>
    </row>
    <row r="31" spans="1:28" x14ac:dyDescent="0.35">
      <c r="A31" s="13" t="s">
        <v>56</v>
      </c>
      <c r="B31" s="21" t="s">
        <v>65</v>
      </c>
      <c r="C31" s="40">
        <f>data!C69-data!C31</f>
        <v>0</v>
      </c>
      <c r="D31" s="40">
        <f>data!D69-data!D31</f>
        <v>0</v>
      </c>
      <c r="E31" s="40">
        <f>data!E69-data!E31</f>
        <v>0</v>
      </c>
      <c r="F31" s="40">
        <f>data!F69-data!F31</f>
        <v>0</v>
      </c>
      <c r="G31" s="40">
        <f>data!G69-data!G31</f>
        <v>0</v>
      </c>
      <c r="H31" s="40">
        <f>data!H69-data!H31</f>
        <v>0</v>
      </c>
      <c r="I31" s="40">
        <f>data!I69-data!I31</f>
        <v>0</v>
      </c>
      <c r="J31" s="40">
        <f>data!J69-data!J31</f>
        <v>0</v>
      </c>
      <c r="K31" s="40">
        <f>data!K69-data!K31</f>
        <v>0</v>
      </c>
      <c r="L31" s="40">
        <f>data!L69-data!L31</f>
        <v>0</v>
      </c>
      <c r="M31" s="40">
        <f>data!M69-data!M31</f>
        <v>0</v>
      </c>
      <c r="N31" s="40">
        <f>data!N69-data!N31</f>
        <v>0</v>
      </c>
      <c r="O31" s="40">
        <f>data!O69-data!O31</f>
        <v>0</v>
      </c>
      <c r="P31" s="40">
        <f>data!P69-data!P31</f>
        <v>0</v>
      </c>
      <c r="Q31" s="40">
        <f>data!Q69-data!Q31</f>
        <v>0</v>
      </c>
      <c r="R31" s="40">
        <f>data!R69-data!R31</f>
        <v>0</v>
      </c>
      <c r="S31" s="40">
        <f>data!S69-data!S31</f>
        <v>0</v>
      </c>
      <c r="T31" s="40">
        <f>data!T69-data!T31</f>
        <v>0</v>
      </c>
      <c r="U31" s="40">
        <f>data!U69-data!U31</f>
        <v>0</v>
      </c>
      <c r="V31" s="40">
        <f>data!V69-data!V31</f>
        <v>0</v>
      </c>
      <c r="W31" s="40">
        <f>data!W69-data!W31</f>
        <v>0</v>
      </c>
      <c r="X31" s="40">
        <f>data!X69-data!X31</f>
        <v>0</v>
      </c>
      <c r="Y31" s="40">
        <f>data!Y69-data!Y31</f>
        <v>0</v>
      </c>
      <c r="Z31" s="40">
        <f>data!Z69-data!Z31</f>
        <v>0</v>
      </c>
      <c r="AA31" s="10">
        <v>181.71174374815001</v>
      </c>
      <c r="AB31" s="11">
        <v>99.489061173690004</v>
      </c>
    </row>
    <row r="32" spans="1:28" x14ac:dyDescent="0.35">
      <c r="A32" s="13" t="s">
        <v>57</v>
      </c>
      <c r="B32" s="21" t="s">
        <v>65</v>
      </c>
      <c r="C32" s="40">
        <f>data!C70-data!C32</f>
        <v>0</v>
      </c>
      <c r="D32" s="40">
        <f>data!D70-data!D32</f>
        <v>0</v>
      </c>
      <c r="E32" s="40">
        <f>data!E70-data!E32</f>
        <v>0</v>
      </c>
      <c r="F32" s="40">
        <f>data!F70-data!F32</f>
        <v>0</v>
      </c>
      <c r="G32" s="40">
        <f>data!G70-data!G32</f>
        <v>0</v>
      </c>
      <c r="H32" s="40">
        <f>data!H70-data!H32</f>
        <v>0</v>
      </c>
      <c r="I32" s="40">
        <f>data!I70-data!I32</f>
        <v>0</v>
      </c>
      <c r="J32" s="40">
        <f>data!J70-data!J32</f>
        <v>0</v>
      </c>
      <c r="K32" s="40">
        <f>data!K70-data!K32</f>
        <v>0</v>
      </c>
      <c r="L32" s="40">
        <f>data!L70-data!L32</f>
        <v>0</v>
      </c>
      <c r="M32" s="40">
        <f>data!M70-data!M32</f>
        <v>0</v>
      </c>
      <c r="N32" s="40">
        <f>data!N70-data!N32</f>
        <v>0</v>
      </c>
      <c r="O32" s="40">
        <f>data!O70-data!O32</f>
        <v>0</v>
      </c>
      <c r="P32" s="40">
        <f>data!P70-data!P32</f>
        <v>0</v>
      </c>
      <c r="Q32" s="40">
        <f>data!Q70-data!Q32</f>
        <v>0</v>
      </c>
      <c r="R32" s="40">
        <f>data!R70-data!R32</f>
        <v>0</v>
      </c>
      <c r="S32" s="40">
        <f>data!S70-data!S32</f>
        <v>0</v>
      </c>
      <c r="T32" s="40">
        <f>data!T70-data!T32</f>
        <v>0</v>
      </c>
      <c r="U32" s="40">
        <f>data!U70-data!U32</f>
        <v>0</v>
      </c>
      <c r="V32" s="40">
        <f>data!V70-data!V32</f>
        <v>0</v>
      </c>
      <c r="W32" s="40">
        <f>data!W70-data!W32</f>
        <v>0</v>
      </c>
      <c r="X32" s="40">
        <f>data!X70-data!X32</f>
        <v>0</v>
      </c>
      <c r="Y32" s="40">
        <f>data!Y70-data!Y32</f>
        <v>0</v>
      </c>
      <c r="Z32" s="40">
        <f>data!Z70-data!Z32</f>
        <v>0</v>
      </c>
      <c r="AA32" s="10">
        <v>76.037366075549997</v>
      </c>
      <c r="AB32" s="11">
        <v>50.417977728389999</v>
      </c>
    </row>
    <row r="33" spans="1:28" x14ac:dyDescent="0.35">
      <c r="A33" s="13" t="s">
        <v>58</v>
      </c>
      <c r="B33" s="21" t="s">
        <v>65</v>
      </c>
      <c r="C33" s="40">
        <f>data!C71-data!C33</f>
        <v>14.100437358322282</v>
      </c>
      <c r="D33" s="40">
        <f>data!D71-data!D33</f>
        <v>0.8349841230760352</v>
      </c>
      <c r="E33" s="40">
        <f>data!E71-data!E33</f>
        <v>13.265453235246245</v>
      </c>
      <c r="F33" s="40">
        <f>data!F71-data!F33</f>
        <v>34.112156247618515</v>
      </c>
      <c r="G33" s="40">
        <f>data!G71-data!G33</f>
        <v>-1.5797136210380351</v>
      </c>
      <c r="H33" s="40">
        <f>data!H71-data!H33</f>
        <v>0</v>
      </c>
      <c r="I33" s="40">
        <f>data!I71-data!I33</f>
        <v>-1.5797136210380351</v>
      </c>
      <c r="J33" s="40">
        <f>data!J71-data!J33</f>
        <v>0</v>
      </c>
      <c r="K33" s="40">
        <f>data!K71-data!K33</f>
        <v>2.5645492128637093</v>
      </c>
      <c r="L33" s="40">
        <f>data!L71-data!L33</f>
        <v>2.7063945913817236</v>
      </c>
      <c r="M33" s="40">
        <f>data!M71-data!M33</f>
        <v>0.15186464229242372</v>
      </c>
      <c r="N33" s="40">
        <f>data!N71-data!N33</f>
        <v>0.16026428522437489</v>
      </c>
      <c r="O33" s="40">
        <f>data!O71-data!O33</f>
        <v>2.4126845705712858</v>
      </c>
      <c r="P33" s="40">
        <f>data!P71-data!P33</f>
        <v>2.546130306157349</v>
      </c>
      <c r="Q33" s="40">
        <f>data!Q71-data!Q33</f>
        <v>6.2042262399953607</v>
      </c>
      <c r="R33" s="40">
        <f>data!R71-data!R33</f>
        <v>6.5473823841665366</v>
      </c>
      <c r="S33" s="40">
        <f>data!S71-data!S33</f>
        <v>-0.28731401873801232</v>
      </c>
      <c r="T33" s="40">
        <f>data!T71-data!T33</f>
        <v>-0.30320537521384239</v>
      </c>
      <c r="U33" s="40">
        <f>data!U71-data!U33</f>
        <v>0</v>
      </c>
      <c r="V33" s="40">
        <f>data!V71-data!V33</f>
        <v>0</v>
      </c>
      <c r="W33" s="40">
        <f>data!W71-data!W33</f>
        <v>-0.28731401873801232</v>
      </c>
      <c r="X33" s="40">
        <f>data!X71-data!X33</f>
        <v>-0.30320537521384239</v>
      </c>
      <c r="Y33" s="40">
        <f>data!Y71-data!Y33</f>
        <v>0</v>
      </c>
      <c r="Z33" s="40">
        <f>data!Z71-data!Z33</f>
        <v>0</v>
      </c>
      <c r="AA33" s="10">
        <v>521.00449074291998</v>
      </c>
      <c r="AB33" s="11">
        <v>549.82128194673999</v>
      </c>
    </row>
    <row r="34" spans="1:28" x14ac:dyDescent="0.35">
      <c r="A34" s="15" t="s">
        <v>59</v>
      </c>
      <c r="B34" s="23" t="s">
        <v>65</v>
      </c>
      <c r="C34" s="40">
        <f>data!C72-data!C34</f>
        <v>30.27282054763505</v>
      </c>
      <c r="D34" s="40">
        <f>data!D72-data!D34</f>
        <v>2.6975353066185432</v>
      </c>
      <c r="E34" s="40">
        <f>data!E72-data!E34</f>
        <v>27.575285241016505</v>
      </c>
      <c r="F34" s="40">
        <f>data!F72-data!F34</f>
        <v>0</v>
      </c>
      <c r="G34" s="40">
        <f>data!G72-data!G34</f>
        <v>42.741449230002956</v>
      </c>
      <c r="H34" s="40">
        <f>data!H72-data!H34</f>
        <v>-0.10838709000000001</v>
      </c>
      <c r="I34" s="40">
        <f>data!I72-data!I34</f>
        <v>42.84983632000295</v>
      </c>
      <c r="J34" s="40">
        <f>data!J72-data!J34</f>
        <v>0</v>
      </c>
      <c r="K34" s="40">
        <f>data!K72-data!K34</f>
        <v>4.051990917785762</v>
      </c>
      <c r="L34" s="40">
        <f>data!L72-data!L34</f>
        <v>5.1239153771523451</v>
      </c>
      <c r="M34" s="40">
        <f>data!M72-data!M34</f>
        <v>0.3610627739699882</v>
      </c>
      <c r="N34" s="40">
        <f>data!N72-data!N34</f>
        <v>0.45657928095087619</v>
      </c>
      <c r="O34" s="40">
        <f>data!O72-data!O34</f>
        <v>3.6909281438157735</v>
      </c>
      <c r="P34" s="40">
        <f>data!P72-data!P34</f>
        <v>4.6673360962014687</v>
      </c>
      <c r="Q34" s="40">
        <f>data!Q72-data!Q34</f>
        <v>0</v>
      </c>
      <c r="R34" s="40">
        <f>data!R72-data!R34</f>
        <v>0</v>
      </c>
      <c r="S34" s="40">
        <f>data!S72-data!S34</f>
        <v>5.7209061118192661</v>
      </c>
      <c r="T34" s="40">
        <f>data!T72-data!T34</f>
        <v>7.2343298374454648</v>
      </c>
      <c r="U34" s="40">
        <f>data!U72-data!U34</f>
        <v>-1.4507518504731386E-2</v>
      </c>
      <c r="V34" s="40">
        <f>data!V72-data!V34</f>
        <v>-1.8345376053146827E-2</v>
      </c>
      <c r="W34" s="40">
        <f>data!W72-data!W34</f>
        <v>5.7354136303239978</v>
      </c>
      <c r="X34" s="40">
        <f>data!X72-data!X34</f>
        <v>7.2526752134986117</v>
      </c>
      <c r="Y34" s="40">
        <f>data!Y72-data!Y34</f>
        <v>0</v>
      </c>
      <c r="Z34" s="40">
        <f>data!Z72-data!Z34</f>
        <v>0</v>
      </c>
      <c r="AA34" s="10">
        <v>590.81421763174001</v>
      </c>
      <c r="AB34" s="11">
        <v>747.10978286638999</v>
      </c>
    </row>
    <row r="35" spans="1:28" x14ac:dyDescent="0.35">
      <c r="A35" s="6" t="s">
        <v>60</v>
      </c>
      <c r="B35" s="21" t="s">
        <v>65</v>
      </c>
      <c r="C35" s="40">
        <f>data!C73-data!C35</f>
        <v>13.597478788559124</v>
      </c>
      <c r="D35" s="40">
        <f>data!D73-data!D35</f>
        <v>0.72138312864748477</v>
      </c>
      <c r="E35" s="40">
        <f>data!E73-data!E35</f>
        <v>12.876095659911639</v>
      </c>
      <c r="F35" s="40">
        <f>data!F73-data!F35</f>
        <v>-0.90363615542342712</v>
      </c>
      <c r="G35" s="40">
        <f>data!G73-data!G35</f>
        <v>3.1944951681043254</v>
      </c>
      <c r="H35" s="40">
        <f>data!H73-data!H35</f>
        <v>0.18207469297122714</v>
      </c>
      <c r="I35" s="40">
        <f>data!I73-data!I35</f>
        <v>3.0124204751330983</v>
      </c>
      <c r="J35" s="40">
        <f>data!J73-data!J35</f>
        <v>0</v>
      </c>
      <c r="K35" s="40">
        <f>data!K73-data!K35</f>
        <v>5.1906806204374947</v>
      </c>
      <c r="L35" s="40">
        <f>data!L73-data!L35</f>
        <v>3.0813115073237958</v>
      </c>
      <c r="M35" s="40">
        <f>data!M73-data!M35</f>
        <v>0.27537968501422866</v>
      </c>
      <c r="N35" s="40">
        <f>data!N73-data!N35</f>
        <v>0.16347193255862988</v>
      </c>
      <c r="O35" s="40">
        <f>data!O73-data!O35</f>
        <v>4.9153009354232662</v>
      </c>
      <c r="P35" s="40">
        <f>data!P73-data!P35</f>
        <v>2.917839574765166</v>
      </c>
      <c r="Q35" s="40">
        <f>data!Q73-data!Q35</f>
        <v>-0.34495267489070014</v>
      </c>
      <c r="R35" s="40">
        <f>data!R73-data!R35</f>
        <v>-0.20477211455426669</v>
      </c>
      <c r="S35" s="40">
        <f>data!S73-data!S35</f>
        <v>1.2194616677844754</v>
      </c>
      <c r="T35" s="40">
        <f>data!T73-data!T35</f>
        <v>0.72390145810355577</v>
      </c>
      <c r="U35" s="40">
        <f>data!U73-data!U35</f>
        <v>6.95049130043911E-2</v>
      </c>
      <c r="V35" s="40">
        <f>data!V73-data!V35</f>
        <v>4.1259769944758884E-2</v>
      </c>
      <c r="W35" s="40">
        <f>data!W73-data!W35</f>
        <v>1.1499567547800842</v>
      </c>
      <c r="X35" s="40">
        <f>data!X73-data!X35</f>
        <v>0.68264168815879689</v>
      </c>
      <c r="Y35" s="40">
        <f>data!Y73-data!Y35</f>
        <v>0</v>
      </c>
      <c r="Z35" s="40">
        <f>data!Z73-data!Z35</f>
        <v>0</v>
      </c>
      <c r="AA35" s="10">
        <v>441.28867711817003</v>
      </c>
      <c r="AB35" s="11">
        <v>261.95945739796002</v>
      </c>
    </row>
    <row r="36" spans="1:28" x14ac:dyDescent="0.35">
      <c r="A36" s="6" t="s">
        <v>61</v>
      </c>
      <c r="B36" s="21" t="s">
        <v>65</v>
      </c>
      <c r="C36" s="40">
        <f>data!C74-data!C36</f>
        <v>3.824337949750285</v>
      </c>
      <c r="D36" s="40">
        <f>data!D74-data!D36</f>
        <v>1.9136139057485111</v>
      </c>
      <c r="E36" s="40">
        <f>data!E74-data!E36</f>
        <v>1.9107240440017739</v>
      </c>
      <c r="F36" s="40">
        <f>data!F74-data!F36</f>
        <v>0.10508588169953384</v>
      </c>
      <c r="G36" s="40">
        <f>data!G74-data!G36</f>
        <v>0.88649371445437386</v>
      </c>
      <c r="H36" s="40">
        <f>data!H74-data!H36</f>
        <v>0.88649371445437386</v>
      </c>
      <c r="I36" s="40">
        <f>data!I74-data!I36</f>
        <v>0</v>
      </c>
      <c r="J36" s="40">
        <f>data!J74-data!J36</f>
        <v>0</v>
      </c>
      <c r="K36" s="40">
        <f>data!K74-data!K36</f>
        <v>1.1898790407164512</v>
      </c>
      <c r="L36" s="40">
        <f>data!L74-data!L36</f>
        <v>0.55387529870065522</v>
      </c>
      <c r="M36" s="40">
        <f>data!M74-data!M36</f>
        <v>0.59538908652734979</v>
      </c>
      <c r="N36" s="40">
        <f>data!N74-data!N36</f>
        <v>0.27714691734118102</v>
      </c>
      <c r="O36" s="40">
        <f>data!O74-data!O36</f>
        <v>0.59448995418910144</v>
      </c>
      <c r="P36" s="40">
        <f>data!P74-data!P36</f>
        <v>0.27672838135947414</v>
      </c>
      <c r="Q36" s="40">
        <f>data!Q74-data!Q36</f>
        <v>3.2695721390848427E-2</v>
      </c>
      <c r="R36" s="40">
        <f>data!R74-data!R36</f>
        <v>1.5219490243886932E-2</v>
      </c>
      <c r="S36" s="40">
        <f>data!S74-data!S36</f>
        <v>0.27581775052725399</v>
      </c>
      <c r="T36" s="40">
        <f>data!T74-data!T36</f>
        <v>0.12839005792407299</v>
      </c>
      <c r="U36" s="40">
        <f>data!U74-data!U36</f>
        <v>0.27581775052725399</v>
      </c>
      <c r="V36" s="40">
        <f>data!V74-data!V36</f>
        <v>0.12839005792407299</v>
      </c>
      <c r="W36" s="40">
        <f>data!W74-data!W36</f>
        <v>0</v>
      </c>
      <c r="X36" s="40">
        <f>data!X74-data!X36</f>
        <v>0</v>
      </c>
      <c r="Y36" s="40">
        <f>data!Y74-data!Y36</f>
        <v>0</v>
      </c>
      <c r="Z36" s="40">
        <f>data!Z74-data!Z36</f>
        <v>0</v>
      </c>
      <c r="AA36" s="10">
        <v>690.46912883131995</v>
      </c>
      <c r="AB36" s="11">
        <v>321.40560669490998</v>
      </c>
    </row>
    <row r="37" spans="1:28" x14ac:dyDescent="0.35">
      <c r="A37" s="6" t="s">
        <v>62</v>
      </c>
      <c r="B37" s="21" t="s">
        <v>65</v>
      </c>
      <c r="C37" s="40">
        <f>data!C75-data!C37</f>
        <v>7.0500000000000007E-2</v>
      </c>
      <c r="D37" s="40">
        <f>data!D75-data!D37</f>
        <v>0</v>
      </c>
      <c r="E37" s="40">
        <f>data!E75-data!E37</f>
        <v>7.0500000000000007E-2</v>
      </c>
      <c r="F37" s="40">
        <f>data!F75-data!F37</f>
        <v>0.40684985167435311</v>
      </c>
      <c r="G37" s="40">
        <f>data!G75-data!G37</f>
        <v>0</v>
      </c>
      <c r="H37" s="40">
        <f>data!H75-data!H37</f>
        <v>0</v>
      </c>
      <c r="I37" s="40">
        <f>data!I75-data!I37</f>
        <v>0</v>
      </c>
      <c r="J37" s="40">
        <f>data!J75-data!J37</f>
        <v>0</v>
      </c>
      <c r="K37" s="40">
        <f>data!K75-data!K37</f>
        <v>0.10950181548544391</v>
      </c>
      <c r="L37" s="40">
        <f>data!L75-data!L37</f>
        <v>7.7274257091454079E-2</v>
      </c>
      <c r="M37" s="40">
        <f>data!M75-data!M37</f>
        <v>0</v>
      </c>
      <c r="N37" s="40">
        <f>data!N75-data!N37</f>
        <v>0</v>
      </c>
      <c r="O37" s="40">
        <f>data!O75-data!O37</f>
        <v>0.10950181548544391</v>
      </c>
      <c r="P37" s="40">
        <f>data!P75-data!P37</f>
        <v>7.7274257091454079E-2</v>
      </c>
      <c r="Q37" s="40">
        <f>data!Q75-data!Q37</f>
        <v>0.63192620408972</v>
      </c>
      <c r="R37" s="40">
        <f>data!R75-data!R37</f>
        <v>0.4459435466085665</v>
      </c>
      <c r="S37" s="40">
        <f>data!S75-data!S37</f>
        <v>0</v>
      </c>
      <c r="T37" s="40">
        <f>data!T75-data!T37</f>
        <v>0</v>
      </c>
      <c r="U37" s="40">
        <f>data!U75-data!U37</f>
        <v>0</v>
      </c>
      <c r="V37" s="40">
        <f>data!V75-data!V37</f>
        <v>0</v>
      </c>
      <c r="W37" s="40">
        <f>data!W75-data!W37</f>
        <v>0</v>
      </c>
      <c r="X37" s="40">
        <f>data!X75-data!X37</f>
        <v>0</v>
      </c>
      <c r="Y37" s="40">
        <f>data!Y75-data!Y37</f>
        <v>0</v>
      </c>
      <c r="Z37" s="40">
        <f>data!Z75-data!Z37</f>
        <v>0</v>
      </c>
      <c r="AA37" s="10">
        <v>91.233487908610002</v>
      </c>
      <c r="AB37" s="11">
        <v>64.38249419652</v>
      </c>
    </row>
    <row r="38" spans="1:28" x14ac:dyDescent="0.35">
      <c r="A38" s="6" t="s">
        <v>63</v>
      </c>
      <c r="B38" s="21" t="s">
        <v>65</v>
      </c>
      <c r="C38" s="40">
        <f>data!C76-data!C38</f>
        <v>1.7694150329493317</v>
      </c>
      <c r="D38" s="40">
        <f>data!D76-data!D38</f>
        <v>1.7694150329493317</v>
      </c>
      <c r="E38" s="40">
        <f>data!E76-data!E38</f>
        <v>0</v>
      </c>
      <c r="F38" s="40">
        <f>data!F76-data!F38</f>
        <v>0</v>
      </c>
      <c r="G38" s="40">
        <f>data!G76-data!G38</f>
        <v>6.6270225953158493</v>
      </c>
      <c r="H38" s="40">
        <f>data!H76-data!H38</f>
        <v>0</v>
      </c>
      <c r="I38" s="40">
        <f>data!I76-data!I38</f>
        <v>6.6270225953158493</v>
      </c>
      <c r="J38" s="40">
        <f>data!J76-data!J38</f>
        <v>0</v>
      </c>
      <c r="K38" s="40">
        <f>data!K76-data!K38</f>
        <v>1.2005477809936589</v>
      </c>
      <c r="L38" s="40">
        <f>data!L76-data!L38</f>
        <v>0.57098503498506004</v>
      </c>
      <c r="M38" s="40">
        <f>data!M76-data!M38</f>
        <v>1.2005477809936589</v>
      </c>
      <c r="N38" s="40">
        <f>data!N76-data!N38</f>
        <v>0.57098503498505992</v>
      </c>
      <c r="O38" s="40">
        <f>data!O76-data!O38</f>
        <v>0</v>
      </c>
      <c r="P38" s="40">
        <f>data!P76-data!P38</f>
        <v>0</v>
      </c>
      <c r="Q38" s="40">
        <f>data!Q76-data!Q38</f>
        <v>0</v>
      </c>
      <c r="R38" s="40">
        <f>data!R76-data!R38</f>
        <v>0</v>
      </c>
      <c r="S38" s="40">
        <f>data!S76-data!S38</f>
        <v>4.4964336366803703</v>
      </c>
      <c r="T38" s="40">
        <f>data!T76-data!T38</f>
        <v>2.1385207302811238</v>
      </c>
      <c r="U38" s="40">
        <f>data!U76-data!U38</f>
        <v>0</v>
      </c>
      <c r="V38" s="40">
        <f>data!V76-data!V38</f>
        <v>0</v>
      </c>
      <c r="W38" s="40">
        <f>data!W76-data!W38</f>
        <v>4.4964336366803703</v>
      </c>
      <c r="X38" s="40">
        <f>data!X76-data!X38</f>
        <v>2.1385207302811238</v>
      </c>
      <c r="Y38" s="40">
        <f>data!Y76-data!Y38</f>
        <v>0</v>
      </c>
      <c r="Z38" s="40">
        <f>data!Z76-data!Z38</f>
        <v>0</v>
      </c>
      <c r="AA38" s="10">
        <v>309.88816247970999</v>
      </c>
      <c r="AB38" s="11">
        <v>147.38397429586999</v>
      </c>
    </row>
    <row r="39" spans="1:28" x14ac:dyDescent="0.35">
      <c r="A39" s="6" t="s">
        <v>64</v>
      </c>
      <c r="B39" s="21" t="s">
        <v>65</v>
      </c>
      <c r="C39" s="40">
        <f>data!C77-data!C39</f>
        <v>26.050977899376022</v>
      </c>
      <c r="D39" s="40">
        <f>data!D77-data!D39</f>
        <v>-5.7942536941247962</v>
      </c>
      <c r="E39" s="40">
        <f>data!E77-data!E39</f>
        <v>31.84523159350082</v>
      </c>
      <c r="F39" s="40">
        <f>data!F77-data!F39</f>
        <v>0</v>
      </c>
      <c r="G39" s="40">
        <f>data!G77-data!G39</f>
        <v>2.2029678393841223</v>
      </c>
      <c r="H39" s="40">
        <f>data!H77-data!H39</f>
        <v>0</v>
      </c>
      <c r="I39" s="40">
        <f>data!I77-data!I39</f>
        <v>2.2029678393841223</v>
      </c>
      <c r="J39" s="40">
        <f>data!J77-data!J39</f>
        <v>9.8869334416288517</v>
      </c>
      <c r="K39" s="40">
        <f>data!K77-data!K39</f>
        <v>4.5583264760584807</v>
      </c>
      <c r="L39" s="40">
        <f>data!L77-data!L39</f>
        <v>2.1433674290644995</v>
      </c>
      <c r="M39" s="40">
        <f>data!M77-data!M39</f>
        <v>-1.013862133120206</v>
      </c>
      <c r="N39" s="40">
        <f>data!N77-data!N39</f>
        <v>-0.4767273878045557</v>
      </c>
      <c r="O39" s="40">
        <f>data!O77-data!O39</f>
        <v>5.5721886091786867</v>
      </c>
      <c r="P39" s="40">
        <f>data!P77-data!P39</f>
        <v>2.620094816869055</v>
      </c>
      <c r="Q39" s="40">
        <f>data!Q77-data!Q39</f>
        <v>0</v>
      </c>
      <c r="R39" s="40">
        <f>data!R77-data!R39</f>
        <v>0</v>
      </c>
      <c r="S39" s="40">
        <f>data!S77-data!S39</f>
        <v>0.38546908553519321</v>
      </c>
      <c r="T39" s="40">
        <f>data!T77-data!T39</f>
        <v>0.1812511427575092</v>
      </c>
      <c r="U39" s="40">
        <f>data!U77-data!U39</f>
        <v>0</v>
      </c>
      <c r="V39" s="40">
        <f>data!V77-data!V39</f>
        <v>0</v>
      </c>
      <c r="W39" s="40">
        <f>data!W77-data!W39</f>
        <v>0.38546908553519321</v>
      </c>
      <c r="X39" s="40">
        <f>data!X77-data!X39</f>
        <v>0.1812511427575092</v>
      </c>
      <c r="Y39" s="40">
        <f>data!Y77-data!Y39</f>
        <v>1.7299876668001881</v>
      </c>
      <c r="Z39" s="40">
        <f>data!Z77-data!Z39</f>
        <v>0.81345626233184243</v>
      </c>
      <c r="AA39" s="10">
        <v>1215.4228689920101</v>
      </c>
      <c r="AB39" s="11">
        <v>571.50311712429004</v>
      </c>
    </row>
    <row r="40" spans="1:28" x14ac:dyDescent="0.35">
      <c r="A40" s="6" t="s">
        <v>26</v>
      </c>
      <c r="B40" s="21" t="s">
        <v>66</v>
      </c>
      <c r="C40" s="40">
        <f>data!C78-data!C40</f>
        <v>46.163418043456417</v>
      </c>
      <c r="D40" s="40">
        <f>data!D78-data!D40</f>
        <v>3.337102314023733</v>
      </c>
      <c r="E40" s="40">
        <f>data!E78-data!E40</f>
        <v>42.826315729432679</v>
      </c>
      <c r="F40" s="40">
        <f>data!F78-data!F40</f>
        <v>0</v>
      </c>
      <c r="G40" s="40">
        <f>data!G78-data!G40</f>
        <v>1.1942170290034007</v>
      </c>
      <c r="H40" s="40">
        <f>data!H78-data!H40</f>
        <v>0.5118072981443138</v>
      </c>
      <c r="I40" s="40">
        <f>data!I78-data!I40</f>
        <v>0.68240973085908685</v>
      </c>
      <c r="J40" s="40">
        <f>data!J78-data!J40</f>
        <v>0</v>
      </c>
      <c r="K40" s="40">
        <f>data!K78-data!K40</f>
        <v>3.0883222221251296</v>
      </c>
      <c r="L40" s="40">
        <f>data!L78-data!L40</f>
        <v>3.7637852817975812</v>
      </c>
      <c r="M40" s="40">
        <f>data!M78-data!M40</f>
        <v>0.22325138975201078</v>
      </c>
      <c r="N40" s="40">
        <f>data!N78-data!N40</f>
        <v>0.27207986552363955</v>
      </c>
      <c r="O40" s="40">
        <f>data!O78-data!O40</f>
        <v>2.86507083237312</v>
      </c>
      <c r="P40" s="40">
        <f>data!P78-data!P40</f>
        <v>3.4917054162739412</v>
      </c>
      <c r="Q40" s="40">
        <f>data!Q78-data!Q40</f>
        <v>0</v>
      </c>
      <c r="R40" s="40">
        <f>data!R78-data!R40</f>
        <v>0</v>
      </c>
      <c r="S40" s="40">
        <f>data!S78-data!S40</f>
        <v>7.9892849035563041E-2</v>
      </c>
      <c r="T40" s="40">
        <f>data!T78-data!T40</f>
        <v>9.7366630711873015E-2</v>
      </c>
      <c r="U40" s="40">
        <f>data!U78-data!U40</f>
        <v>3.42397924438127E-2</v>
      </c>
      <c r="V40" s="40">
        <f>data!V78-data!V40</f>
        <v>4.1728556019374086E-2</v>
      </c>
      <c r="W40" s="40">
        <f>data!W78-data!W40</f>
        <v>4.5653056591750452E-2</v>
      </c>
      <c r="X40" s="40">
        <f>data!X78-data!X40</f>
        <v>5.5638074692498929E-2</v>
      </c>
      <c r="Y40" s="40">
        <f>data!Y78-data!Y40</f>
        <v>0</v>
      </c>
      <c r="Z40" s="40">
        <f>data!Z78-data!Z40</f>
        <v>0</v>
      </c>
      <c r="AA40" s="10">
        <v>1226.51571721458</v>
      </c>
      <c r="AB40" s="11">
        <v>1494.77336635199</v>
      </c>
    </row>
    <row r="41" spans="1:28" x14ac:dyDescent="0.35">
      <c r="A41" s="6" t="s">
        <v>28</v>
      </c>
      <c r="B41" s="21" t="s">
        <v>66</v>
      </c>
      <c r="C41" s="40">
        <f>data!C79-data!C41</f>
        <v>113.24279834523114</v>
      </c>
      <c r="D41" s="40">
        <f>data!D79-data!D41</f>
        <v>11.814177619868016</v>
      </c>
      <c r="E41" s="40">
        <f>data!E79-data!E41</f>
        <v>101.42862072536313</v>
      </c>
      <c r="F41" s="40">
        <f>data!F79-data!F41</f>
        <v>1.891168170782322</v>
      </c>
      <c r="G41" s="40">
        <f>data!G79-data!G41</f>
        <v>17.661004631055775</v>
      </c>
      <c r="H41" s="40">
        <f>data!H79-data!H41</f>
        <v>0.25966520513249014</v>
      </c>
      <c r="I41" s="40">
        <f>data!I79-data!I41</f>
        <v>17.401339425923275</v>
      </c>
      <c r="J41" s="40">
        <f>data!J79-data!J41</f>
        <v>0</v>
      </c>
      <c r="K41" s="40">
        <f>data!K79-data!K41</f>
        <v>6.6746704355389079</v>
      </c>
      <c r="L41" s="40">
        <f>data!L79-data!L41</f>
        <v>6.570558560398025</v>
      </c>
      <c r="M41" s="40">
        <f>data!M79-data!M41</f>
        <v>0.69634222424581427</v>
      </c>
      <c r="N41" s="40">
        <f>data!N79-data!N41</f>
        <v>0.6854806400812995</v>
      </c>
      <c r="O41" s="40">
        <f>data!O79-data!O41</f>
        <v>5.9783282112930936</v>
      </c>
      <c r="P41" s="40">
        <f>data!P79-data!P41</f>
        <v>5.8850779203167258</v>
      </c>
      <c r="Q41" s="40">
        <f>data!Q79-data!Q41</f>
        <v>0.11146778835039717</v>
      </c>
      <c r="R41" s="40">
        <f>data!R79-data!R41</f>
        <v>0.10972910768068589</v>
      </c>
      <c r="S41" s="40">
        <f>data!S79-data!S41</f>
        <v>1.0409614315027023</v>
      </c>
      <c r="T41" s="40">
        <f>data!T79-data!T41</f>
        <v>1.0247244580626296</v>
      </c>
      <c r="U41" s="40">
        <f>data!U79-data!U41</f>
        <v>1.5304987983008139E-2</v>
      </c>
      <c r="V41" s="40">
        <f>data!V79-data!V41</f>
        <v>1.5066259941929838E-2</v>
      </c>
      <c r="W41" s="40">
        <f>data!W79-data!W41</f>
        <v>1.025656443519694</v>
      </c>
      <c r="X41" s="40">
        <f>data!X79-data!X41</f>
        <v>1.0096581981206998</v>
      </c>
      <c r="Y41" s="40">
        <f>data!Y79-data!Y41</f>
        <v>0</v>
      </c>
      <c r="Z41" s="40">
        <f>data!Z79-data!Z41</f>
        <v>0</v>
      </c>
      <c r="AA41" s="10">
        <v>1723.48815255626</v>
      </c>
      <c r="AB41" s="11">
        <v>1696.60508992738</v>
      </c>
    </row>
    <row r="42" spans="1:28" x14ac:dyDescent="0.35">
      <c r="A42" s="6" t="s">
        <v>29</v>
      </c>
      <c r="B42" s="21" t="s">
        <v>66</v>
      </c>
      <c r="C42" s="40">
        <f>data!C80-data!C42</f>
        <v>70.901973614972704</v>
      </c>
      <c r="D42" s="40">
        <f>data!D80-data!D42</f>
        <v>7.2616030042740149</v>
      </c>
      <c r="E42" s="40">
        <f>data!E80-data!E42</f>
        <v>63.640370610698689</v>
      </c>
      <c r="F42" s="40">
        <f>data!F80-data!F42</f>
        <v>3.9364390609140614</v>
      </c>
      <c r="G42" s="40">
        <f>data!G80-data!G42</f>
        <v>21.515670780233393</v>
      </c>
      <c r="H42" s="40">
        <f>data!H80-data!H42</f>
        <v>1.0569158725705172</v>
      </c>
      <c r="I42" s="40">
        <f>data!I80-data!I42</f>
        <v>20.458754907662865</v>
      </c>
      <c r="J42" s="40">
        <f>data!J80-data!J42</f>
        <v>0</v>
      </c>
      <c r="K42" s="40">
        <f>data!K80-data!K42</f>
        <v>2.7094785737205145</v>
      </c>
      <c r="L42" s="40">
        <f>data!L80-data!L42</f>
        <v>2.4389326619495169</v>
      </c>
      <c r="M42" s="40">
        <f>data!M80-data!M42</f>
        <v>0.27749802646946448</v>
      </c>
      <c r="N42" s="40">
        <f>data!N80-data!N42</f>
        <v>0.24978939008680295</v>
      </c>
      <c r="O42" s="40">
        <f>data!O80-data!O42</f>
        <v>2.4319805472510501</v>
      </c>
      <c r="P42" s="40">
        <f>data!P80-data!P42</f>
        <v>2.1891432718627142</v>
      </c>
      <c r="Q42" s="40">
        <f>data!Q80-data!Q42</f>
        <v>0.15042877861513881</v>
      </c>
      <c r="R42" s="40">
        <f>data!R80-data!R42</f>
        <v>0.13540821655505697</v>
      </c>
      <c r="S42" s="40">
        <f>data!S80-data!S42</f>
        <v>0.82220911500771621</v>
      </c>
      <c r="T42" s="40">
        <f>data!T80-data!T42</f>
        <v>0.7401101765463789</v>
      </c>
      <c r="U42" s="40">
        <f>data!U80-data!U42</f>
        <v>4.0389438614303996E-2</v>
      </c>
      <c r="V42" s="40">
        <f>data!V80-data!V42</f>
        <v>3.6356486443428926E-2</v>
      </c>
      <c r="W42" s="40">
        <f>data!W80-data!W42</f>
        <v>0.7818196763934111</v>
      </c>
      <c r="X42" s="40">
        <f>data!X80-data!X42</f>
        <v>0.70375369010294975</v>
      </c>
      <c r="Y42" s="40">
        <f>data!Y80-data!Y42</f>
        <v>0</v>
      </c>
      <c r="Z42" s="40">
        <f>data!Z80-data!Z42</f>
        <v>0</v>
      </c>
      <c r="AA42" s="10">
        <v>2907.0902498102801</v>
      </c>
      <c r="AB42" s="11">
        <v>2616.8124857180101</v>
      </c>
    </row>
    <row r="43" spans="1:28" x14ac:dyDescent="0.35">
      <c r="A43" s="6" t="s">
        <v>30</v>
      </c>
      <c r="B43" s="21" t="s">
        <v>66</v>
      </c>
      <c r="C43" s="40">
        <f>data!C81-data!C43</f>
        <v>-16.70840364673353</v>
      </c>
      <c r="D43" s="40">
        <f>data!D81-data!D43</f>
        <v>1.1575745271012181</v>
      </c>
      <c r="E43" s="40">
        <f>data!E81-data!E43</f>
        <v>-17.865978173834776</v>
      </c>
      <c r="F43" s="40">
        <f>data!F81-data!F43</f>
        <v>0</v>
      </c>
      <c r="G43" s="40">
        <f>data!G81-data!G43</f>
        <v>51.335913810575676</v>
      </c>
      <c r="H43" s="40">
        <f>data!H81-data!H43</f>
        <v>10.065865453054073</v>
      </c>
      <c r="I43" s="40">
        <f>data!I81-data!I43</f>
        <v>41.270048357521659</v>
      </c>
      <c r="J43" s="40">
        <f>data!J81-data!J43</f>
        <v>0</v>
      </c>
      <c r="K43" s="40">
        <f>data!K81-data!K43</f>
        <v>-0.46446843798251258</v>
      </c>
      <c r="L43" s="40">
        <f>data!L81-data!L43</f>
        <v>-0.4014720796169966</v>
      </c>
      <c r="M43" s="40">
        <f>data!M81-data!M43</f>
        <v>3.2178827123090059E-2</v>
      </c>
      <c r="N43" s="40">
        <f>data!N81-data!N43</f>
        <v>2.7814377874324503E-2</v>
      </c>
      <c r="O43" s="40">
        <f>data!O81-data!O43</f>
        <v>-0.49664726510560264</v>
      </c>
      <c r="P43" s="40">
        <f>data!P81-data!P43</f>
        <v>-0.42928645749132066</v>
      </c>
      <c r="Q43" s="40">
        <f>data!Q81-data!Q43</f>
        <v>0</v>
      </c>
      <c r="R43" s="40">
        <f>data!R81-data!R43</f>
        <v>0</v>
      </c>
      <c r="S43" s="40">
        <f>data!S81-data!S43</f>
        <v>1.4270610289370396</v>
      </c>
      <c r="T43" s="40">
        <f>data!T81-data!T43</f>
        <v>1.2335071926874264</v>
      </c>
      <c r="U43" s="40">
        <f>data!U81-data!U43</f>
        <v>0.27981588802687085</v>
      </c>
      <c r="V43" s="40">
        <f>data!V81-data!V43</f>
        <v>0.24186415542890849</v>
      </c>
      <c r="W43" s="40">
        <f>data!W81-data!W43</f>
        <v>1.1472451409101687</v>
      </c>
      <c r="X43" s="40">
        <f>data!X81-data!X43</f>
        <v>0.99164303725851966</v>
      </c>
      <c r="Y43" s="40">
        <f>data!Y81-data!Y43</f>
        <v>0</v>
      </c>
      <c r="Z43" s="40">
        <f>data!Z81-data!Z43</f>
        <v>0</v>
      </c>
      <c r="AA43" s="10">
        <v>4161.7847155581303</v>
      </c>
      <c r="AB43" s="11">
        <v>3597.3173374942398</v>
      </c>
    </row>
    <row r="44" spans="1:28" x14ac:dyDescent="0.35">
      <c r="A44" s="6" t="s">
        <v>31</v>
      </c>
      <c r="B44" s="21" t="s">
        <v>66</v>
      </c>
      <c r="C44" s="40">
        <f>data!C82-data!C44</f>
        <v>31.347147941889098</v>
      </c>
      <c r="D44" s="40">
        <f>data!D82-data!D44</f>
        <v>0.32714062722420767</v>
      </c>
      <c r="E44" s="40">
        <f>data!E82-data!E44</f>
        <v>31.020007314664888</v>
      </c>
      <c r="F44" s="40">
        <f>data!F82-data!F44</f>
        <v>0.35230529085683848</v>
      </c>
      <c r="G44" s="40">
        <f>data!G82-data!G44</f>
        <v>26.783472160680049</v>
      </c>
      <c r="H44" s="40">
        <f>data!H82-data!H44</f>
        <v>0.1089287100907681</v>
      </c>
      <c r="I44" s="40">
        <f>data!I82-data!I44</f>
        <v>26.67454345058934</v>
      </c>
      <c r="J44" s="40">
        <f>data!J82-data!J44</f>
        <v>0</v>
      </c>
      <c r="K44" s="40">
        <f>data!K82-data!K44</f>
        <v>1.6342321224199945</v>
      </c>
      <c r="L44" s="40">
        <f>data!L82-data!L44</f>
        <v>1.3409627752186619</v>
      </c>
      <c r="M44" s="40">
        <f>data!M82-data!M44</f>
        <v>1.7054939816199655E-2</v>
      </c>
      <c r="N44" s="40">
        <f>data!N82-data!N44</f>
        <v>1.3994364150211491E-2</v>
      </c>
      <c r="O44" s="40">
        <f>data!O82-data!O44</f>
        <v>1.6171771826037951</v>
      </c>
      <c r="P44" s="40">
        <f>data!P82-data!P44</f>
        <v>1.3269684110684503</v>
      </c>
      <c r="Q44" s="40">
        <f>data!Q82-data!Q44</f>
        <v>1.8366858263599573E-2</v>
      </c>
      <c r="R44" s="40">
        <f>data!R82-data!R44</f>
        <v>1.5070853700227704E-2</v>
      </c>
      <c r="S44" s="40">
        <f>data!S82-data!S44</f>
        <v>1.3963123738104031</v>
      </c>
      <c r="T44" s="40">
        <f>data!T82-data!T44</f>
        <v>1.145738656197917</v>
      </c>
      <c r="U44" s="40">
        <f>data!U82-data!U44</f>
        <v>5.6788195664278507E-3</v>
      </c>
      <c r="V44" s="40">
        <f>data!V82-data!V44</f>
        <v>4.6597331806736142E-3</v>
      </c>
      <c r="W44" s="40">
        <f>data!W82-data!W44</f>
        <v>1.3906335542439727</v>
      </c>
      <c r="X44" s="40">
        <f>data!X82-data!X44</f>
        <v>1.1410789230172469</v>
      </c>
      <c r="Y44" s="40">
        <f>data!Y82-data!Y44</f>
        <v>0</v>
      </c>
      <c r="Z44" s="40">
        <f>data!Z82-data!Z44</f>
        <v>0</v>
      </c>
      <c r="AA44" s="10">
        <v>2337.6598158571201</v>
      </c>
      <c r="AB44" s="11">
        <v>1918.15761738117</v>
      </c>
    </row>
    <row r="45" spans="1:28" x14ac:dyDescent="0.35">
      <c r="A45" s="6" t="s">
        <v>32</v>
      </c>
      <c r="B45" s="21" t="s">
        <v>66</v>
      </c>
      <c r="C45" s="40">
        <f>data!C83-data!C45</f>
        <v>3.981017193766661</v>
      </c>
      <c r="D45" s="40">
        <f>data!D83-data!D45</f>
        <v>9.1514411801517923</v>
      </c>
      <c r="E45" s="40">
        <f>data!E83-data!E45</f>
        <v>-5.170423986385174</v>
      </c>
      <c r="F45" s="40">
        <f>data!F83-data!F45</f>
        <v>-1.1272980947761653</v>
      </c>
      <c r="G45" s="40">
        <f>data!G83-data!G45</f>
        <v>-0.68071461876866124</v>
      </c>
      <c r="H45" s="40">
        <f>data!H83-data!H45</f>
        <v>0</v>
      </c>
      <c r="I45" s="40">
        <f>data!I83-data!I45</f>
        <v>-0.68071461876866124</v>
      </c>
      <c r="J45" s="40">
        <f>data!J83-data!J45</f>
        <v>-4.7259804742539018</v>
      </c>
      <c r="K45" s="40">
        <f>data!K83-data!K45</f>
        <v>8.7220138981422224E-2</v>
      </c>
      <c r="L45" s="40">
        <f>data!L83-data!L45</f>
        <v>7.4762960982461379E-2</v>
      </c>
      <c r="M45" s="40">
        <f>data!M83-data!M45</f>
        <v>0.20049900132632581</v>
      </c>
      <c r="N45" s="40">
        <f>data!N83-data!N45</f>
        <v>0.17186281962214989</v>
      </c>
      <c r="O45" s="40">
        <f>data!O83-data!O45</f>
        <v>-0.11327886234490414</v>
      </c>
      <c r="P45" s="40">
        <f>data!P83-data!P45</f>
        <v>-9.7099858639687397E-2</v>
      </c>
      <c r="Q45" s="40">
        <f>data!Q83-data!Q45</f>
        <v>-2.469798338319773E-2</v>
      </c>
      <c r="R45" s="40">
        <f>data!R83-data!R45</f>
        <v>-2.117050476629867E-2</v>
      </c>
      <c r="S45" s="40">
        <f>data!S83-data!S45</f>
        <v>-1.4913782273698661E-2</v>
      </c>
      <c r="T45" s="40">
        <f>data!T83-data!T45</f>
        <v>-1.2783727878110884E-2</v>
      </c>
      <c r="U45" s="40">
        <f>data!U83-data!U45</f>
        <v>0</v>
      </c>
      <c r="V45" s="40">
        <f>data!V83-data!V45</f>
        <v>0</v>
      </c>
      <c r="W45" s="40">
        <f>data!W83-data!W45</f>
        <v>-1.4913782273698661E-2</v>
      </c>
      <c r="X45" s="40">
        <f>data!X83-data!X45</f>
        <v>-1.2783727878110884E-2</v>
      </c>
      <c r="Y45" s="40">
        <f>data!Y83-data!Y45</f>
        <v>-0.10354154572186403</v>
      </c>
      <c r="Z45" s="40">
        <f>data!Z83-data!Z45</f>
        <v>-8.8753269981790339E-2</v>
      </c>
      <c r="AA45" s="10">
        <v>5324.8522282316499</v>
      </c>
      <c r="AB45" s="11">
        <v>4564.3325500944502</v>
      </c>
    </row>
    <row r="46" spans="1:28" x14ac:dyDescent="0.35">
      <c r="A46" s="6" t="s">
        <v>33</v>
      </c>
      <c r="B46" s="21" t="s">
        <v>66</v>
      </c>
      <c r="C46" s="40">
        <f>data!C84-data!C46</f>
        <v>7.6111093494739919</v>
      </c>
      <c r="D46" s="40">
        <f>data!D84-data!D46</f>
        <v>0.4779750571525323</v>
      </c>
      <c r="E46" s="40">
        <f>data!E84-data!E46</f>
        <v>7.1331342923214649</v>
      </c>
      <c r="F46" s="40">
        <f>data!F84-data!F46</f>
        <v>0.43330405987938647</v>
      </c>
      <c r="G46" s="40">
        <f>data!G84-data!G46</f>
        <v>31.181274689127051</v>
      </c>
      <c r="H46" s="40">
        <f>data!H84-data!H46</f>
        <v>0</v>
      </c>
      <c r="I46" s="40">
        <f>data!I84-data!I46</f>
        <v>31.181274689127051</v>
      </c>
      <c r="J46" s="40">
        <f>data!J84-data!J46</f>
        <v>-16.443131650412695</v>
      </c>
      <c r="K46" s="40">
        <f>data!K84-data!K46</f>
        <v>0.4646170053367924</v>
      </c>
      <c r="L46" s="40">
        <f>data!L84-data!L46</f>
        <v>0.35293158772990241</v>
      </c>
      <c r="M46" s="40">
        <f>data!M84-data!M46</f>
        <v>2.9177788609125649E-2</v>
      </c>
      <c r="N46" s="40">
        <f>data!N84-data!N46</f>
        <v>2.2163982682470884E-2</v>
      </c>
      <c r="O46" s="40">
        <f>data!O84-data!O46</f>
        <v>0.43543921672766706</v>
      </c>
      <c r="P46" s="40">
        <f>data!P84-data!P46</f>
        <v>0.33076760504743152</v>
      </c>
      <c r="Q46" s="40">
        <f>data!Q84-data!Q46</f>
        <v>2.6450866155976138E-2</v>
      </c>
      <c r="R46" s="40">
        <f>data!R84-data!R46</f>
        <v>2.0092562437513006E-2</v>
      </c>
      <c r="S46" s="40">
        <f>data!S84-data!S46</f>
        <v>1.9034479473938153</v>
      </c>
      <c r="T46" s="40">
        <f>data!T84-data!T46</f>
        <v>1.445893926650307</v>
      </c>
      <c r="U46" s="40">
        <f>data!U84-data!U46</f>
        <v>0</v>
      </c>
      <c r="V46" s="40">
        <f>data!V84-data!V46</f>
        <v>0</v>
      </c>
      <c r="W46" s="40">
        <f>data!W84-data!W46</f>
        <v>1.9034479473938153</v>
      </c>
      <c r="X46" s="40">
        <f>data!X84-data!X46</f>
        <v>1.445893926650307</v>
      </c>
      <c r="Y46" s="40">
        <f>data!Y84-data!Y46</f>
        <v>-1.0037641341076471</v>
      </c>
      <c r="Z46" s="40">
        <f>data!Z84-data!Z46</f>
        <v>-0.76247762240244477</v>
      </c>
      <c r="AA46" s="10">
        <v>2156.5395714307001</v>
      </c>
      <c r="AB46" s="11">
        <v>1638.14696019506</v>
      </c>
    </row>
    <row r="47" spans="1:28" x14ac:dyDescent="0.35">
      <c r="A47" s="6" t="s">
        <v>34</v>
      </c>
      <c r="B47" s="21" t="s">
        <v>66</v>
      </c>
      <c r="C47" s="40">
        <f>data!C85-data!C47</f>
        <v>3.7753618885319327</v>
      </c>
      <c r="D47" s="40">
        <f>data!D85-data!D47</f>
        <v>1.3595775049326146</v>
      </c>
      <c r="E47" s="40">
        <f>data!E85-data!E47</f>
        <v>2.4157843835993233</v>
      </c>
      <c r="F47" s="40">
        <f>data!F85-data!F47</f>
        <v>0</v>
      </c>
      <c r="G47" s="40">
        <f>data!G85-data!G47</f>
        <v>50.527542741764933</v>
      </c>
      <c r="H47" s="40">
        <f>data!H85-data!H47</f>
        <v>0.55038566188227755</v>
      </c>
      <c r="I47" s="40">
        <f>data!I85-data!I47</f>
        <v>49.977157079882673</v>
      </c>
      <c r="J47" s="40">
        <f>data!J85-data!J47</f>
        <v>0.50329327265262691</v>
      </c>
      <c r="K47" s="40">
        <f>data!K85-data!K47</f>
        <v>0.2851657346450196</v>
      </c>
      <c r="L47" s="40">
        <f>data!L85-data!L47</f>
        <v>0.2101477142769097</v>
      </c>
      <c r="M47" s="40">
        <f>data!M85-data!M47</f>
        <v>0.10269344487972043</v>
      </c>
      <c r="N47" s="40">
        <f>data!N85-data!N47</f>
        <v>7.5678070998113856E-2</v>
      </c>
      <c r="O47" s="40">
        <f>data!O85-data!O47</f>
        <v>0.18247228976529906</v>
      </c>
      <c r="P47" s="40">
        <f>data!P85-data!P47</f>
        <v>0.13446964327879596</v>
      </c>
      <c r="Q47" s="40">
        <f>data!Q85-data!Q47</f>
        <v>0</v>
      </c>
      <c r="R47" s="40">
        <f>data!R85-data!R47</f>
        <v>0</v>
      </c>
      <c r="S47" s="40">
        <f>data!S85-data!S47</f>
        <v>3.8165146206330736</v>
      </c>
      <c r="T47" s="40">
        <f>data!T85-data!T47</f>
        <v>2.8125112052078594</v>
      </c>
      <c r="U47" s="40">
        <f>data!U85-data!U47</f>
        <v>4.1572473379439659E-2</v>
      </c>
      <c r="V47" s="40">
        <f>data!V85-data!V47</f>
        <v>3.0636079991876099E-2</v>
      </c>
      <c r="W47" s="40">
        <f>data!W85-data!W47</f>
        <v>3.7749421472536326</v>
      </c>
      <c r="X47" s="40">
        <f>data!X85-data!X47</f>
        <v>2.7818751252159828</v>
      </c>
      <c r="Y47" s="40">
        <f>data!Y85-data!Y47</f>
        <v>3.8015427414745617E-2</v>
      </c>
      <c r="Z47" s="40">
        <f>data!Z85-data!Z47</f>
        <v>2.8014779505024512E-2</v>
      </c>
      <c r="AA47" s="10">
        <v>1796.5276955414199</v>
      </c>
      <c r="AB47" s="11">
        <v>1323.9184901480501</v>
      </c>
    </row>
    <row r="48" spans="1:28" x14ac:dyDescent="0.35">
      <c r="A48" s="6" t="s">
        <v>35</v>
      </c>
      <c r="B48" s="21" t="s">
        <v>66</v>
      </c>
      <c r="C48" s="40">
        <f>data!C86-data!C48</f>
        <v>86.82264229997449</v>
      </c>
      <c r="D48" s="40">
        <f>data!D86-data!D48</f>
        <v>32.556193825364851</v>
      </c>
      <c r="E48" s="40">
        <f>data!E86-data!E48</f>
        <v>54.26644847460966</v>
      </c>
      <c r="F48" s="40">
        <f>data!F86-data!F48</f>
        <v>5.126144940203254</v>
      </c>
      <c r="G48" s="40">
        <f>data!G86-data!G48</f>
        <v>13.509836274357895</v>
      </c>
      <c r="H48" s="40">
        <f>data!H86-data!H48</f>
        <v>3.9618288194598339E-2</v>
      </c>
      <c r="I48" s="40">
        <f>data!I86-data!I48</f>
        <v>13.470217986163334</v>
      </c>
      <c r="J48" s="40">
        <f>data!J86-data!J48</f>
        <v>0</v>
      </c>
      <c r="K48" s="40">
        <f>data!K86-data!K48</f>
        <v>2.7498247852126223</v>
      </c>
      <c r="L48" s="40">
        <f>data!L86-data!L48</f>
        <v>2.9511552175299274</v>
      </c>
      <c r="M48" s="40">
        <f>data!M86-data!M48</f>
        <v>1.0311115432753961</v>
      </c>
      <c r="N48" s="40">
        <f>data!N86-data!N48</f>
        <v>1.106605128863595</v>
      </c>
      <c r="O48" s="40">
        <f>data!O86-data!O48</f>
        <v>1.718713241937226</v>
      </c>
      <c r="P48" s="40">
        <f>data!P86-data!P48</f>
        <v>1.844550088666332</v>
      </c>
      <c r="Q48" s="40">
        <f>data!Q86-data!Q48</f>
        <v>0.1623539670730261</v>
      </c>
      <c r="R48" s="40">
        <f>data!R86-data!R48</f>
        <v>0.17424083148526701</v>
      </c>
      <c r="S48" s="40">
        <f>data!S86-data!S48</f>
        <v>0.42788012029213363</v>
      </c>
      <c r="T48" s="40">
        <f>data!T86-data!T48</f>
        <v>0.45920767616465596</v>
      </c>
      <c r="U48" s="40">
        <f>data!U86-data!U48</f>
        <v>1.2547804114138861E-3</v>
      </c>
      <c r="V48" s="40">
        <f>data!V86-data!V48</f>
        <v>1.3466500767292111E-3</v>
      </c>
      <c r="W48" s="40">
        <f>data!W86-data!W48</f>
        <v>0.42662533988072049</v>
      </c>
      <c r="X48" s="40">
        <f>data!X86-data!X48</f>
        <v>0.45786102608792767</v>
      </c>
      <c r="Y48" s="40">
        <f>data!Y86-data!Y48</f>
        <v>0</v>
      </c>
      <c r="Z48" s="40">
        <f>data!Z86-data!Z48</f>
        <v>0</v>
      </c>
      <c r="AA48" s="10">
        <v>2941.9883367789698</v>
      </c>
      <c r="AB48" s="11">
        <v>3157.38816403392</v>
      </c>
    </row>
    <row r="49" spans="1:28" x14ac:dyDescent="0.35">
      <c r="A49" s="6" t="s">
        <v>36</v>
      </c>
      <c r="B49" s="21" t="s">
        <v>66</v>
      </c>
      <c r="C49" s="40">
        <f>data!C87-data!C49</f>
        <v>6</v>
      </c>
      <c r="D49" s="40">
        <f>data!D87-data!D49</f>
        <v>0</v>
      </c>
      <c r="E49" s="40">
        <f>data!E87-data!E49</f>
        <v>6</v>
      </c>
      <c r="F49" s="40">
        <f>data!F87-data!F49</f>
        <v>18</v>
      </c>
      <c r="G49" s="40">
        <f>data!G87-data!G49</f>
        <v>0</v>
      </c>
      <c r="H49" s="40">
        <f>data!H87-data!H49</f>
        <v>0</v>
      </c>
      <c r="I49" s="40">
        <f>data!I87-data!I49</f>
        <v>0</v>
      </c>
      <c r="J49" s="40">
        <f>data!J87-data!J49</f>
        <v>0</v>
      </c>
      <c r="K49" s="40">
        <f>data!K87-data!K49</f>
        <v>3.0106916892057356E-2</v>
      </c>
      <c r="L49" s="40">
        <f>data!L87-data!L49</f>
        <v>3.0038729102900064E-2</v>
      </c>
      <c r="M49" s="40">
        <f>data!M87-data!M49</f>
        <v>0</v>
      </c>
      <c r="N49" s="40">
        <f>data!N87-data!N49</f>
        <v>0</v>
      </c>
      <c r="O49" s="40">
        <f>data!O87-data!O49</f>
        <v>3.0106916892057356E-2</v>
      </c>
      <c r="P49" s="40">
        <f>data!P87-data!P49</f>
        <v>3.0038729102900064E-2</v>
      </c>
      <c r="Q49" s="40">
        <f>data!Q87-data!Q49</f>
        <v>9.0320750676179395E-2</v>
      </c>
      <c r="R49" s="40">
        <f>data!R87-data!R49</f>
        <v>9.0116187308698387E-2</v>
      </c>
      <c r="S49" s="40">
        <f>data!S87-data!S49</f>
        <v>0</v>
      </c>
      <c r="T49" s="40">
        <f>data!T87-data!T49</f>
        <v>0</v>
      </c>
      <c r="U49" s="40">
        <f>data!U87-data!U49</f>
        <v>0</v>
      </c>
      <c r="V49" s="40">
        <f>data!V87-data!V49</f>
        <v>0</v>
      </c>
      <c r="W49" s="40">
        <f>data!W87-data!W49</f>
        <v>0</v>
      </c>
      <c r="X49" s="40">
        <f>data!X87-data!X49</f>
        <v>0</v>
      </c>
      <c r="Y49" s="40">
        <f>data!Y87-data!Y49</f>
        <v>0</v>
      </c>
      <c r="Z49" s="40">
        <f>data!Z87-data!Z49</f>
        <v>0</v>
      </c>
      <c r="AA49" s="10">
        <v>19974.2138871676</v>
      </c>
      <c r="AB49" s="11">
        <v>19928.975197</v>
      </c>
    </row>
    <row r="50" spans="1:28" x14ac:dyDescent="0.35">
      <c r="A50" s="6" t="s">
        <v>37</v>
      </c>
      <c r="B50" s="21" t="s">
        <v>66</v>
      </c>
      <c r="C50" s="40">
        <f>data!C88-data!C50</f>
        <v>-0.11288146009630928</v>
      </c>
      <c r="D50" s="40">
        <f>data!D88-data!D50</f>
        <v>-3.0653485430090832E-2</v>
      </c>
      <c r="E50" s="40">
        <f>data!E88-data!E50</f>
        <v>-8.2227974666218451E-2</v>
      </c>
      <c r="F50" s="40">
        <f>data!F88-data!F50</f>
        <v>-3.5558043098905312E-2</v>
      </c>
      <c r="G50" s="40">
        <f>data!G88-data!G50</f>
        <v>-2.9120811158586113E-2</v>
      </c>
      <c r="H50" s="40">
        <f>data!H88-data!H50</f>
        <v>-2.9120811158586113E-2</v>
      </c>
      <c r="I50" s="40">
        <f>data!I88-data!I50</f>
        <v>0</v>
      </c>
      <c r="J50" s="40">
        <f>data!J88-data!J50</f>
        <v>-4.9811913823897491E-2</v>
      </c>
      <c r="K50" s="40">
        <f>data!K88-data!K50</f>
        <v>-8.8247150862277302E-3</v>
      </c>
      <c r="L50" s="40">
        <f>data!L88-data!L50</f>
        <v>-4.7395976681350316E-3</v>
      </c>
      <c r="M50" s="40">
        <f>data!M88-data!M50</f>
        <v>-2.3963924198853459E-3</v>
      </c>
      <c r="N50" s="40">
        <f>data!N88-data!N50</f>
        <v>-1.2870597876809414E-3</v>
      </c>
      <c r="O50" s="40">
        <f>data!O88-data!O50</f>
        <v>-6.428322666342412E-3</v>
      </c>
      <c r="P50" s="40">
        <f>data!P88-data!P50</f>
        <v>-3.452537880454104E-3</v>
      </c>
      <c r="Q50" s="40">
        <f>data!Q88-data!Q50</f>
        <v>-2.7798152070669935E-3</v>
      </c>
      <c r="R50" s="40">
        <f>data!R88-data!R50</f>
        <v>-1.492989353709881E-3</v>
      </c>
      <c r="S50" s="40">
        <f>data!S88-data!S50</f>
        <v>-2.2765727988910689E-3</v>
      </c>
      <c r="T50" s="40">
        <f>data!T88-data!T50</f>
        <v>-1.2227067982968909E-3</v>
      </c>
      <c r="U50" s="40">
        <f>data!U88-data!U50</f>
        <v>-2.2765727988910689E-3</v>
      </c>
      <c r="V50" s="40">
        <f>data!V88-data!V50</f>
        <v>-1.2227067982968909E-3</v>
      </c>
      <c r="W50" s="40">
        <f>data!W88-data!W50</f>
        <v>0</v>
      </c>
      <c r="X50" s="40">
        <f>data!X88-data!X50</f>
        <v>0</v>
      </c>
      <c r="Y50" s="40">
        <f>data!Y88-data!Y50</f>
        <v>-3.894137682313642E-3</v>
      </c>
      <c r="Z50" s="40">
        <f>data!Z88-data!Z50</f>
        <v>-2.0914721549815107E-3</v>
      </c>
      <c r="AA50" s="10">
        <v>2381.6675591522499</v>
      </c>
      <c r="AB50" s="11">
        <v>1279.1513266244399</v>
      </c>
    </row>
    <row r="51" spans="1:28" x14ac:dyDescent="0.35">
      <c r="A51" s="6" t="s">
        <v>38</v>
      </c>
      <c r="B51" s="21" t="s">
        <v>66</v>
      </c>
      <c r="C51" s="40">
        <f>data!C89-data!C51</f>
        <v>3.2493340902482437</v>
      </c>
      <c r="D51" s="40">
        <f>data!D89-data!D51</f>
        <v>1.9527090644843794</v>
      </c>
      <c r="E51" s="40">
        <f>data!E89-data!E51</f>
        <v>1.2966250257638643</v>
      </c>
      <c r="F51" s="40">
        <f>data!F89-data!F51</f>
        <v>-0.29087422955606002</v>
      </c>
      <c r="G51" s="40">
        <f>data!G89-data!G51</f>
        <v>21.277422987389031</v>
      </c>
      <c r="H51" s="40">
        <f>data!H89-data!H51</f>
        <v>-0.11461647923784479</v>
      </c>
      <c r="I51" s="40">
        <f>data!I89-data!I51</f>
        <v>21.392039466626876</v>
      </c>
      <c r="J51" s="40">
        <f>data!J89-data!J51</f>
        <v>-0.15576643801551526</v>
      </c>
      <c r="K51" s="40">
        <f>data!K89-data!K51</f>
        <v>0.32589363786671033</v>
      </c>
      <c r="L51" s="40">
        <f>data!L89-data!L51</f>
        <v>0.13923031936942132</v>
      </c>
      <c r="M51" s="40">
        <f>data!M89-data!M51</f>
        <v>0.19584796239634963</v>
      </c>
      <c r="N51" s="40">
        <f>data!N89-data!N51</f>
        <v>8.3671392086048374E-2</v>
      </c>
      <c r="O51" s="40">
        <f>data!O89-data!O51</f>
        <v>0.13004567547036064</v>
      </c>
      <c r="P51" s="40">
        <f>data!P89-data!P51</f>
        <v>5.5558927283372958E-2</v>
      </c>
      <c r="Q51" s="40">
        <f>data!Q89-data!Q51</f>
        <v>-2.9173380821686745E-2</v>
      </c>
      <c r="R51" s="40">
        <f>data!R89-data!R51</f>
        <v>-1.2463634317864347E-2</v>
      </c>
      <c r="S51" s="40">
        <f>data!S89-data!S51</f>
        <v>2.1340301086919684</v>
      </c>
      <c r="T51" s="40">
        <f>data!T89-data!T51</f>
        <v>0.91171369751828557</v>
      </c>
      <c r="U51" s="40">
        <f>data!U89-data!U51</f>
        <v>-1.1495518878897937E-2</v>
      </c>
      <c r="V51" s="40">
        <f>data!V89-data!V51</f>
        <v>-4.9111875129050353E-3</v>
      </c>
      <c r="W51" s="40">
        <f>data!W89-data!W51</f>
        <v>2.1455256275708665</v>
      </c>
      <c r="X51" s="40">
        <f>data!X89-data!X51</f>
        <v>0.91662488503119066</v>
      </c>
      <c r="Y51" s="40">
        <f>data!Y89-data!Y51</f>
        <v>-1.5622675210519077E-2</v>
      </c>
      <c r="Z51" s="40">
        <f>data!Z89-data!Z51</f>
        <v>-6.6744170681076742E-3</v>
      </c>
      <c r="AA51" s="10">
        <v>2333.7834064911899</v>
      </c>
      <c r="AB51" s="11">
        <v>997.05355143423003</v>
      </c>
    </row>
    <row r="52" spans="1:28" x14ac:dyDescent="0.35">
      <c r="A52" s="13" t="s">
        <v>39</v>
      </c>
      <c r="B52" s="21" t="s">
        <v>66</v>
      </c>
      <c r="C52" s="40">
        <f>data!C90-data!C52</f>
        <v>-3.6541235038564679</v>
      </c>
      <c r="D52" s="40">
        <f>data!D90-data!D52</f>
        <v>2.0576905158455738</v>
      </c>
      <c r="E52" s="40">
        <f>data!E90-data!E52</f>
        <v>-5.7118140197020395</v>
      </c>
      <c r="F52" s="40">
        <f>data!F90-data!F52</f>
        <v>0</v>
      </c>
      <c r="G52" s="40">
        <f>data!G90-data!G52</f>
        <v>1.8178525792278695</v>
      </c>
      <c r="H52" s="40">
        <f>data!H90-data!H52</f>
        <v>0</v>
      </c>
      <c r="I52" s="40">
        <f>data!I90-data!I52</f>
        <v>1.8178525792278695</v>
      </c>
      <c r="J52" s="40">
        <f>data!J90-data!J52</f>
        <v>0</v>
      </c>
      <c r="K52" s="40">
        <f>data!K90-data!K52</f>
        <v>-0.88274611984120277</v>
      </c>
      <c r="L52" s="40">
        <f>data!L90-data!L52</f>
        <v>-0.77979727718691727</v>
      </c>
      <c r="M52" s="40">
        <f>data!M90-data!M52</f>
        <v>0.49708728147248649</v>
      </c>
      <c r="N52" s="40">
        <f>data!N90-data!N52</f>
        <v>0.43911527890513014</v>
      </c>
      <c r="O52" s="40">
        <f>data!O90-data!O52</f>
        <v>-1.3798334013136895</v>
      </c>
      <c r="P52" s="40">
        <f>data!P90-data!P52</f>
        <v>-1.2189125560920475</v>
      </c>
      <c r="Q52" s="40">
        <f>data!Q90-data!Q52</f>
        <v>0</v>
      </c>
      <c r="R52" s="40">
        <f>data!R90-data!R52</f>
        <v>0</v>
      </c>
      <c r="S52" s="40">
        <f>data!S90-data!S52</f>
        <v>0.4391483509145675</v>
      </c>
      <c r="T52" s="40">
        <f>data!T90-data!T52</f>
        <v>0.38793338268754662</v>
      </c>
      <c r="U52" s="40">
        <f>data!U90-data!U52</f>
        <v>0</v>
      </c>
      <c r="V52" s="40">
        <f>data!V90-data!V52</f>
        <v>0</v>
      </c>
      <c r="W52" s="40">
        <f>data!W90-data!W52</f>
        <v>0.4391483509145675</v>
      </c>
      <c r="X52" s="40">
        <f>data!X90-data!X52</f>
        <v>0.38793338268754662</v>
      </c>
      <c r="Y52" s="40">
        <f>data!Y90-data!Y52</f>
        <v>0</v>
      </c>
      <c r="Z52" s="40">
        <f>data!Z90-data!Z52</f>
        <v>0</v>
      </c>
      <c r="AA52" s="10">
        <v>468.59916169988998</v>
      </c>
      <c r="AB52" s="11">
        <v>413.94954015926999</v>
      </c>
    </row>
    <row r="53" spans="1:28" x14ac:dyDescent="0.35">
      <c r="A53" s="6" t="s">
        <v>40</v>
      </c>
      <c r="B53" s="21" t="s">
        <v>66</v>
      </c>
      <c r="C53" s="40">
        <f>data!C91-data!C53</f>
        <v>4.1542265056957355</v>
      </c>
      <c r="D53" s="40">
        <f>data!D91-data!D53</f>
        <v>1.4774852644874343</v>
      </c>
      <c r="E53" s="40">
        <f>data!E91-data!E53</f>
        <v>2.6767412412083029</v>
      </c>
      <c r="F53" s="40">
        <f>data!F91-data!F53</f>
        <v>6.3837457281470176</v>
      </c>
      <c r="G53" s="40">
        <f>data!G91-data!G53</f>
        <v>3.874602555254846</v>
      </c>
      <c r="H53" s="40">
        <f>data!H91-data!H53</f>
        <v>1.2574775374611842</v>
      </c>
      <c r="I53" s="40">
        <f>data!I91-data!I53</f>
        <v>2.6171250177936614</v>
      </c>
      <c r="J53" s="40">
        <f>data!J91-data!J53</f>
        <v>0</v>
      </c>
      <c r="K53" s="40">
        <f>data!K91-data!K53</f>
        <v>0.83897070214313363</v>
      </c>
      <c r="L53" s="40">
        <f>data!L91-data!L53</f>
        <v>0.74807530469820316</v>
      </c>
      <c r="M53" s="40">
        <f>data!M91-data!M53</f>
        <v>0.29838691945507145</v>
      </c>
      <c r="N53" s="40">
        <f>data!N91-data!N53</f>
        <v>0.26605921412882499</v>
      </c>
      <c r="O53" s="40">
        <f>data!O91-data!O53</f>
        <v>0.54058378268806218</v>
      </c>
      <c r="P53" s="40">
        <f>data!P91-data!P53</f>
        <v>0.48201609056937844</v>
      </c>
      <c r="Q53" s="40">
        <f>data!Q91-data!Q53</f>
        <v>1.289235343451685</v>
      </c>
      <c r="R53" s="40">
        <f>data!R91-data!R53</f>
        <v>1.1495575708623145</v>
      </c>
      <c r="S53" s="40">
        <f>data!S91-data!S53</f>
        <v>0.78249898551531238</v>
      </c>
      <c r="T53" s="40">
        <f>data!T91-data!T53</f>
        <v>0.69772182213287159</v>
      </c>
      <c r="U53" s="40">
        <f>data!U91-data!U53</f>
        <v>0.25395505302529059</v>
      </c>
      <c r="V53" s="40">
        <f>data!V91-data!V53</f>
        <v>0.22644116556901078</v>
      </c>
      <c r="W53" s="40">
        <f>data!W91-data!W53</f>
        <v>0.52854393249002207</v>
      </c>
      <c r="X53" s="40">
        <f>data!X91-data!X53</f>
        <v>0.4712806565638612</v>
      </c>
      <c r="Y53" s="40">
        <f>data!Y91-data!Y53</f>
        <v>0</v>
      </c>
      <c r="Z53" s="40">
        <f>data!Z91-data!Z53</f>
        <v>0</v>
      </c>
      <c r="AA53" s="10">
        <v>555.32196820367994</v>
      </c>
      <c r="AB53" s="11">
        <v>495.15751802582002</v>
      </c>
    </row>
    <row r="54" spans="1:28" x14ac:dyDescent="0.35">
      <c r="A54" s="13" t="s">
        <v>41</v>
      </c>
      <c r="B54" s="21" t="s">
        <v>66</v>
      </c>
      <c r="C54" s="40">
        <f>data!C92-data!C54</f>
        <v>-0.38718454813488101</v>
      </c>
      <c r="D54" s="40">
        <f>data!D92-data!D54</f>
        <v>0.62357924487103089</v>
      </c>
      <c r="E54" s="40">
        <f>data!E92-data!E54</f>
        <v>-1.0107637930059123</v>
      </c>
      <c r="F54" s="40">
        <f>data!F92-data!F54</f>
        <v>1.5892575253152907</v>
      </c>
      <c r="G54" s="40">
        <f>data!G92-data!G54</f>
        <v>17.056890492060298</v>
      </c>
      <c r="H54" s="40">
        <f>data!H92-data!H54</f>
        <v>1.0946711428285842E-2</v>
      </c>
      <c r="I54" s="40">
        <f>data!I92-data!I54</f>
        <v>17.045943780632015</v>
      </c>
      <c r="J54" s="40">
        <f>data!J92-data!J54</f>
        <v>0</v>
      </c>
      <c r="K54" s="40">
        <f>data!K92-data!K54</f>
        <v>-0.17955106847232383</v>
      </c>
      <c r="L54" s="40">
        <f>data!L92-data!L54</f>
        <v>-9.5038896705898601E-2</v>
      </c>
      <c r="M54" s="40">
        <f>data!M92-data!M54</f>
        <v>0.28917558883252281</v>
      </c>
      <c r="N54" s="40">
        <f>data!N92-data!N54</f>
        <v>0.15306469157078711</v>
      </c>
      <c r="O54" s="40">
        <f>data!O92-data!O54</f>
        <v>-0.46872665730484631</v>
      </c>
      <c r="P54" s="40">
        <f>data!P92-data!P54</f>
        <v>-0.24810358827668577</v>
      </c>
      <c r="Q54" s="40">
        <f>data!Q92-data!Q54</f>
        <v>0.73699451107391589</v>
      </c>
      <c r="R54" s="40">
        <f>data!R92-data!R54</f>
        <v>0.39010152268497694</v>
      </c>
      <c r="S54" s="40">
        <f>data!S92-data!S54</f>
        <v>7.9098789644827363</v>
      </c>
      <c r="T54" s="40">
        <f>data!T92-data!T54</f>
        <v>4.1868097820732793</v>
      </c>
      <c r="U54" s="40">
        <f>data!U92-data!U54</f>
        <v>5.0763744128606465E-3</v>
      </c>
      <c r="V54" s="40">
        <f>data!V92-data!V54</f>
        <v>2.6869961151954648E-3</v>
      </c>
      <c r="W54" s="40">
        <f>data!W92-data!W54</f>
        <v>7.9048025900698775</v>
      </c>
      <c r="X54" s="40">
        <f>data!X92-data!X54</f>
        <v>4.184122785958083</v>
      </c>
      <c r="Y54" s="40">
        <f>data!Y92-data!Y54</f>
        <v>0</v>
      </c>
      <c r="Z54" s="40">
        <f>data!Z92-data!Z54</f>
        <v>0</v>
      </c>
      <c r="AA54" s="10">
        <v>407.39587848230002</v>
      </c>
      <c r="AB54" s="11">
        <v>215.64034757863999</v>
      </c>
    </row>
    <row r="55" spans="1:28" x14ac:dyDescent="0.35">
      <c r="A55" s="13" t="s">
        <v>42</v>
      </c>
      <c r="B55" s="21" t="s">
        <v>66</v>
      </c>
      <c r="C55" s="40">
        <f>data!C93-data!C55</f>
        <v>1.6560605792137402</v>
      </c>
      <c r="D55" s="40">
        <f>data!D93-data!D55</f>
        <v>5.284556468731022E-3</v>
      </c>
      <c r="E55" s="40">
        <f>data!E93-data!E55</f>
        <v>1.6507760227450099</v>
      </c>
      <c r="F55" s="40">
        <f>data!F93-data!F55</f>
        <v>2.4720926378103982</v>
      </c>
      <c r="G55" s="40">
        <f>data!G93-data!G55</f>
        <v>-0.17410876033898504</v>
      </c>
      <c r="H55" s="40">
        <f>data!H93-data!H55</f>
        <v>3.1619220265415766</v>
      </c>
      <c r="I55" s="40">
        <f>data!I93-data!I55</f>
        <v>-3.3360307868805599</v>
      </c>
      <c r="J55" s="40">
        <f>data!J93-data!J55</f>
        <v>0</v>
      </c>
      <c r="K55" s="40">
        <f>data!K93-data!K55</f>
        <v>0.49790977630896283</v>
      </c>
      <c r="L55" s="40">
        <f>data!L93-data!L55</f>
        <v>0.53238658692329555</v>
      </c>
      <c r="M55" s="40">
        <f>data!M93-data!M55</f>
        <v>1.5888502886091185E-3</v>
      </c>
      <c r="N55" s="40">
        <f>data!N93-data!N55</f>
        <v>1.69886718946409E-3</v>
      </c>
      <c r="O55" s="40">
        <f>data!O93-data!O55</f>
        <v>0.4963209260203536</v>
      </c>
      <c r="P55" s="40">
        <f>data!P93-data!P55</f>
        <v>0.53068771973383111</v>
      </c>
      <c r="Q55" s="40">
        <f>data!Q93-data!Q55</f>
        <v>0.74325728645240741</v>
      </c>
      <c r="R55" s="40">
        <f>data!R93-data!R55</f>
        <v>0.7947227163797006</v>
      </c>
      <c r="S55" s="40">
        <f>data!S93-data!S55</f>
        <v>-5.2347392964920303E-2</v>
      </c>
      <c r="T55" s="40">
        <f>data!T93-data!T55</f>
        <v>-5.5972088119098373E-2</v>
      </c>
      <c r="U55" s="40">
        <f>data!U93-data!U55</f>
        <v>0.95066080836799016</v>
      </c>
      <c r="V55" s="40">
        <f>data!V93-data!V55</f>
        <v>1.0164874986803214</v>
      </c>
      <c r="W55" s="40">
        <f>data!W93-data!W55</f>
        <v>-1.0030082013329098</v>
      </c>
      <c r="X55" s="40">
        <f>data!X93-data!X55</f>
        <v>-1.0724595867994209</v>
      </c>
      <c r="Y55" s="40">
        <f>data!Y93-data!Y55</f>
        <v>0</v>
      </c>
      <c r="Z55" s="40">
        <f>data!Z93-data!Z55</f>
        <v>0</v>
      </c>
      <c r="AA55" s="10">
        <v>311.06354290107998</v>
      </c>
      <c r="AB55" s="11">
        <v>332.60254327404999</v>
      </c>
    </row>
    <row r="56" spans="1:28" x14ac:dyDescent="0.35">
      <c r="A56" s="15" t="s">
        <v>43</v>
      </c>
      <c r="B56" s="23" t="s">
        <v>66</v>
      </c>
      <c r="C56" s="40">
        <f>data!C94-data!C56</f>
        <v>-0.17362342716953361</v>
      </c>
      <c r="D56" s="40">
        <f>data!D94-data!D56</f>
        <v>-6.9507208530843301E-2</v>
      </c>
      <c r="E56" s="40">
        <f>data!E94-data!E56</f>
        <v>-0.10411621863869025</v>
      </c>
      <c r="F56" s="40">
        <f>data!F94-data!F56</f>
        <v>0</v>
      </c>
      <c r="G56" s="40">
        <f>data!G94-data!G56</f>
        <v>0.30689155142270308</v>
      </c>
      <c r="H56" s="40">
        <f>data!H94-data!H56</f>
        <v>0.20024042401510744</v>
      </c>
      <c r="I56" s="40">
        <f>data!I94-data!I56</f>
        <v>0.10665112740759561</v>
      </c>
      <c r="J56" s="40">
        <f>data!J94-data!J56</f>
        <v>0</v>
      </c>
      <c r="K56" s="40">
        <f>data!K94-data!K56</f>
        <v>-0.64554443167754627</v>
      </c>
      <c r="L56" s="40">
        <f>data!L94-data!L56</f>
        <v>-0.37816919898380608</v>
      </c>
      <c r="M56" s="40">
        <f>data!M94-data!M56</f>
        <v>-0.25843281727599432</v>
      </c>
      <c r="N56" s="40">
        <f>data!N94-data!N56</f>
        <v>-0.1513936558114537</v>
      </c>
      <c r="O56" s="40">
        <f>data!O94-data!O56</f>
        <v>-0.38711161440155228</v>
      </c>
      <c r="P56" s="40">
        <f>data!P94-data!P56</f>
        <v>-0.22677554317235216</v>
      </c>
      <c r="Q56" s="40">
        <f>data!Q94-data!Q56</f>
        <v>0</v>
      </c>
      <c r="R56" s="40">
        <f>data!R94-data!R56</f>
        <v>0</v>
      </c>
      <c r="S56" s="40">
        <f>data!S94-data!S56</f>
        <v>1.1410449348886771</v>
      </c>
      <c r="T56" s="40">
        <f>data!T94-data!T56</f>
        <v>0.6684405098345283</v>
      </c>
      <c r="U56" s="40">
        <f>data!U94-data!U56</f>
        <v>0.74450834675371524</v>
      </c>
      <c r="V56" s="40">
        <f>data!V94-data!V56</f>
        <v>0.43614368169354156</v>
      </c>
      <c r="W56" s="40">
        <f>data!W94-data!W56</f>
        <v>0.39653658813496218</v>
      </c>
      <c r="X56" s="40">
        <f>data!X94-data!X56</f>
        <v>0.23229682814098662</v>
      </c>
      <c r="Y56" s="40">
        <f>data!Y94-data!Y56</f>
        <v>0</v>
      </c>
      <c r="Z56" s="40">
        <f>data!Z94-data!Z56</f>
        <v>0</v>
      </c>
      <c r="AA56" s="10">
        <v>45.911572818750003</v>
      </c>
      <c r="AB56" s="11">
        <v>26.895658710639999</v>
      </c>
    </row>
    <row r="57" spans="1:28" x14ac:dyDescent="0.35">
      <c r="A57" s="13" t="s">
        <v>44</v>
      </c>
      <c r="B57" s="21" t="s">
        <v>66</v>
      </c>
      <c r="C57" s="40">
        <f>data!C95-data!C57</f>
        <v>-0.74604999194765043</v>
      </c>
      <c r="D57" s="40">
        <f>data!D95-data!D57</f>
        <v>-0.11051783789386072</v>
      </c>
      <c r="E57" s="40">
        <f>data!E95-data!E57</f>
        <v>-0.63553215405378971</v>
      </c>
      <c r="F57" s="40">
        <f>data!F95-data!F57</f>
        <v>-0.82177435966475709</v>
      </c>
      <c r="G57" s="40">
        <f>data!G95-data!G57</f>
        <v>0.66176208666115244</v>
      </c>
      <c r="H57" s="40">
        <f>data!H95-data!H57</f>
        <v>0.12179697198193473</v>
      </c>
      <c r="I57" s="40">
        <f>data!I95-data!I57</f>
        <v>0.53996511467921771</v>
      </c>
      <c r="J57" s="40">
        <f>data!J95-data!J57</f>
        <v>5.0329327265262735E-2</v>
      </c>
      <c r="K57" s="40">
        <f>data!K95-data!K57</f>
        <v>-0.2928624518272942</v>
      </c>
      <c r="L57" s="40">
        <f>data!L95-data!L57</f>
        <v>-0.29381032599445422</v>
      </c>
      <c r="M57" s="40">
        <f>data!M95-data!M57</f>
        <v>-4.3383855405923821E-2</v>
      </c>
      <c r="N57" s="40">
        <f>data!N95-data!N57</f>
        <v>-4.3524270933945619E-2</v>
      </c>
      <c r="O57" s="40">
        <f>data!O95-data!O57</f>
        <v>-0.24947859642137038</v>
      </c>
      <c r="P57" s="40">
        <f>data!P95-data!P57</f>
        <v>-0.25028605506050861</v>
      </c>
      <c r="Q57" s="40">
        <f>data!Q95-data!Q57</f>
        <v>-0.32258810591490872</v>
      </c>
      <c r="R57" s="40">
        <f>data!R95-data!R57</f>
        <v>-0.32363218968297769</v>
      </c>
      <c r="S57" s="40">
        <f>data!S95-data!S57</f>
        <v>0.25977517501203984</v>
      </c>
      <c r="T57" s="40">
        <f>data!T95-data!T57</f>
        <v>0.26061595940118565</v>
      </c>
      <c r="U57" s="40">
        <f>data!U95-data!U57</f>
        <v>4.7811487467012137E-2</v>
      </c>
      <c r="V57" s="40">
        <f>data!V95-data!V57</f>
        <v>4.7966233401769864E-2</v>
      </c>
      <c r="W57" s="40">
        <f>data!W95-data!W57</f>
        <v>0.21196368754502704</v>
      </c>
      <c r="X57" s="40">
        <f>data!X95-data!X57</f>
        <v>0.21264972599941601</v>
      </c>
      <c r="Y57" s="40">
        <f>data!Y95-data!Y57</f>
        <v>1.9756813002897777E-2</v>
      </c>
      <c r="Z57" s="40">
        <f>data!Z95-data!Z57</f>
        <v>1.9820757604037398E-2</v>
      </c>
      <c r="AA57" s="10">
        <v>253.92231856471</v>
      </c>
      <c r="AB57" s="11">
        <v>254.7441596875</v>
      </c>
    </row>
    <row r="58" spans="1:28" x14ac:dyDescent="0.35">
      <c r="A58" s="15" t="s">
        <v>45</v>
      </c>
      <c r="B58" s="23" t="s">
        <v>66</v>
      </c>
      <c r="C58" s="40">
        <f>data!C96-data!C58</f>
        <v>2.8687653080557514</v>
      </c>
      <c r="D58" s="40">
        <f>data!D96-data!D58</f>
        <v>-0.36466848586374184</v>
      </c>
      <c r="E58" s="40">
        <f>data!E96-data!E58</f>
        <v>3.2334337939194935</v>
      </c>
      <c r="F58" s="40">
        <f>data!F96-data!F58</f>
        <v>1.3717936772303887</v>
      </c>
      <c r="G58" s="40">
        <f>data!G96-data!G58</f>
        <v>-5.9887947660008241</v>
      </c>
      <c r="H58" s="40">
        <f>data!H96-data!H58</f>
        <v>-6.4199944000000002</v>
      </c>
      <c r="I58" s="40">
        <f>data!I96-data!I58</f>
        <v>0.43119963399917571</v>
      </c>
      <c r="J58" s="40">
        <f>data!J96-data!J58</f>
        <v>0</v>
      </c>
      <c r="K58" s="40">
        <f>data!K96-data!K58</f>
        <v>1.406926427152758</v>
      </c>
      <c r="L58" s="40">
        <f>data!L96-data!L58</f>
        <v>0.951356418582324</v>
      </c>
      <c r="M58" s="40">
        <f>data!M96-data!M58</f>
        <v>-0.17884409312632038</v>
      </c>
      <c r="N58" s="40">
        <f>data!N96-data!N58</f>
        <v>-0.12093345653161611</v>
      </c>
      <c r="O58" s="40">
        <f>data!O96-data!O58</f>
        <v>1.5857705202790777</v>
      </c>
      <c r="P58" s="40">
        <f>data!P96-data!P58</f>
        <v>1.0722898751139405</v>
      </c>
      <c r="Q58" s="40">
        <f>data!Q96-data!Q58</f>
        <v>0.6727677484375747</v>
      </c>
      <c r="R58" s="40">
        <f>data!R96-data!R58</f>
        <v>0.45492209353586399</v>
      </c>
      <c r="S58" s="40">
        <f>data!S96-data!S58</f>
        <v>-2.9370801436493545</v>
      </c>
      <c r="T58" s="40">
        <f>data!T96-data!T58</f>
        <v>-1.986038496843253</v>
      </c>
      <c r="U58" s="40">
        <f>data!U96-data!U58</f>
        <v>-3.148553058059071</v>
      </c>
      <c r="V58" s="40">
        <f>data!V96-data!V58</f>
        <v>-2.1290353946178868</v>
      </c>
      <c r="W58" s="40">
        <f>data!W96-data!W58</f>
        <v>0.21147291440971627</v>
      </c>
      <c r="X58" s="40">
        <f>data!X96-data!X58</f>
        <v>0.14299689777463409</v>
      </c>
      <c r="Y58" s="40">
        <f>data!Y96-data!Y58</f>
        <v>0</v>
      </c>
      <c r="Z58" s="40">
        <f>data!Z96-data!Z58</f>
        <v>0</v>
      </c>
      <c r="AA58" s="10">
        <v>301.54474727050001</v>
      </c>
      <c r="AB58" s="11">
        <v>203.90300819506001</v>
      </c>
    </row>
    <row r="59" spans="1:28" x14ac:dyDescent="0.35">
      <c r="A59" s="15" t="s">
        <v>46</v>
      </c>
      <c r="B59" s="23" t="s">
        <v>66</v>
      </c>
      <c r="C59" s="40">
        <f>data!C97-data!C59</f>
        <v>0</v>
      </c>
      <c r="D59" s="40">
        <f>data!D97-data!D59</f>
        <v>0</v>
      </c>
      <c r="E59" s="40">
        <f>data!E97-data!E59</f>
        <v>0</v>
      </c>
      <c r="F59" s="40">
        <f>data!F97-data!F59</f>
        <v>0</v>
      </c>
      <c r="G59" s="40">
        <f>data!G97-data!G59</f>
        <v>0</v>
      </c>
      <c r="H59" s="40">
        <f>data!H97-data!H59</f>
        <v>0</v>
      </c>
      <c r="I59" s="40">
        <f>data!I97-data!I59</f>
        <v>0</v>
      </c>
      <c r="J59" s="40">
        <f>data!J97-data!J59</f>
        <v>0</v>
      </c>
      <c r="K59" s="40">
        <f>data!K97-data!K59</f>
        <v>0</v>
      </c>
      <c r="L59" s="40">
        <f>data!L97-data!L59</f>
        <v>0</v>
      </c>
      <c r="M59" s="40">
        <f>data!M97-data!M59</f>
        <v>0</v>
      </c>
      <c r="N59" s="40">
        <f>data!N97-data!N59</f>
        <v>0</v>
      </c>
      <c r="O59" s="40">
        <f>data!O97-data!O59</f>
        <v>0</v>
      </c>
      <c r="P59" s="40">
        <f>data!P97-data!P59</f>
        <v>0</v>
      </c>
      <c r="Q59" s="40">
        <f>data!Q97-data!Q59</f>
        <v>0</v>
      </c>
      <c r="R59" s="40">
        <f>data!R97-data!R59</f>
        <v>0</v>
      </c>
      <c r="S59" s="40">
        <f>data!S97-data!S59</f>
        <v>0</v>
      </c>
      <c r="T59" s="40">
        <f>data!T97-data!T59</f>
        <v>0</v>
      </c>
      <c r="U59" s="40">
        <f>data!U97-data!U59</f>
        <v>0</v>
      </c>
      <c r="V59" s="40">
        <f>data!V97-data!V59</f>
        <v>0</v>
      </c>
      <c r="W59" s="40">
        <f>data!W97-data!W59</f>
        <v>0</v>
      </c>
      <c r="X59" s="40">
        <f>data!X97-data!X59</f>
        <v>0</v>
      </c>
      <c r="Y59" s="40">
        <f>data!Y97-data!Y59</f>
        <v>0</v>
      </c>
      <c r="Z59" s="40">
        <f>data!Z97-data!Z59</f>
        <v>0</v>
      </c>
      <c r="AA59" s="10">
        <v>19.06914282116</v>
      </c>
      <c r="AB59" s="11">
        <v>20.729999827290001</v>
      </c>
    </row>
    <row r="60" spans="1:28" x14ac:dyDescent="0.35">
      <c r="A60" s="15" t="s">
        <v>47</v>
      </c>
      <c r="B60" s="23" t="s">
        <v>66</v>
      </c>
      <c r="C60" s="40">
        <f>data!C98-data!C60</f>
        <v>0</v>
      </c>
      <c r="D60" s="40">
        <f>data!D98-data!D60</f>
        <v>0</v>
      </c>
      <c r="E60" s="40">
        <f>data!E98-data!E60</f>
        <v>0</v>
      </c>
      <c r="F60" s="40">
        <f>data!F98-data!F60</f>
        <v>0</v>
      </c>
      <c r="G60" s="40">
        <f>data!G98-data!G60</f>
        <v>0</v>
      </c>
      <c r="H60" s="40">
        <f>data!H98-data!H60</f>
        <v>0</v>
      </c>
      <c r="I60" s="40">
        <f>data!I98-data!I60</f>
        <v>0</v>
      </c>
      <c r="J60" s="40">
        <f>data!J98-data!J60</f>
        <v>0</v>
      </c>
      <c r="K60" s="40">
        <f>data!K98-data!K60</f>
        <v>0</v>
      </c>
      <c r="L60" s="40">
        <f>data!L98-data!L60</f>
        <v>0</v>
      </c>
      <c r="M60" s="40">
        <f>data!M98-data!M60</f>
        <v>0</v>
      </c>
      <c r="N60" s="40">
        <f>data!N98-data!N60</f>
        <v>0</v>
      </c>
      <c r="O60" s="40">
        <f>data!O98-data!O60</f>
        <v>0</v>
      </c>
      <c r="P60" s="40">
        <f>data!P98-data!P60</f>
        <v>0</v>
      </c>
      <c r="Q60" s="40">
        <f>data!Q98-data!Q60</f>
        <v>0</v>
      </c>
      <c r="R60" s="40">
        <f>data!R98-data!R60</f>
        <v>0</v>
      </c>
      <c r="S60" s="40">
        <f>data!S98-data!S60</f>
        <v>0</v>
      </c>
      <c r="T60" s="40">
        <f>data!T98-data!T60</f>
        <v>0</v>
      </c>
      <c r="U60" s="40">
        <f>data!U98-data!U60</f>
        <v>0</v>
      </c>
      <c r="V60" s="40">
        <f>data!V98-data!V60</f>
        <v>0</v>
      </c>
      <c r="W60" s="40">
        <f>data!W98-data!W60</f>
        <v>0</v>
      </c>
      <c r="X60" s="40">
        <f>data!X98-data!X60</f>
        <v>0</v>
      </c>
      <c r="Y60" s="40">
        <f>data!Y98-data!Y60</f>
        <v>0</v>
      </c>
      <c r="Z60" s="40">
        <f>data!Z98-data!Z60</f>
        <v>0</v>
      </c>
      <c r="AA60" s="10">
        <v>417.89075855828003</v>
      </c>
      <c r="AB60" s="11">
        <v>371.46659669328</v>
      </c>
    </row>
    <row r="61" spans="1:28" x14ac:dyDescent="0.35">
      <c r="A61" s="15" t="s">
        <v>48</v>
      </c>
      <c r="B61" s="23" t="s">
        <v>66</v>
      </c>
      <c r="C61" s="40">
        <f>data!C99-data!C61</f>
        <v>0</v>
      </c>
      <c r="D61" s="40">
        <f>data!D99-data!D61</f>
        <v>0</v>
      </c>
      <c r="E61" s="40">
        <f>data!E99-data!E61</f>
        <v>0</v>
      </c>
      <c r="F61" s="40">
        <f>data!F99-data!F61</f>
        <v>0</v>
      </c>
      <c r="G61" s="40">
        <f>data!G99-data!G61</f>
        <v>0</v>
      </c>
      <c r="H61" s="40">
        <f>data!H99-data!H61</f>
        <v>0</v>
      </c>
      <c r="I61" s="40">
        <f>data!I99-data!I61</f>
        <v>0</v>
      </c>
      <c r="J61" s="40">
        <f>data!J99-data!J61</f>
        <v>0</v>
      </c>
      <c r="K61" s="40">
        <f>data!K99-data!K61</f>
        <v>0</v>
      </c>
      <c r="L61" s="40">
        <f>data!L99-data!L61</f>
        <v>0</v>
      </c>
      <c r="M61" s="40">
        <f>data!M99-data!M61</f>
        <v>0</v>
      </c>
      <c r="N61" s="40">
        <f>data!N99-data!N61</f>
        <v>0</v>
      </c>
      <c r="O61" s="40">
        <f>data!O99-data!O61</f>
        <v>0</v>
      </c>
      <c r="P61" s="40">
        <f>data!P99-data!P61</f>
        <v>0</v>
      </c>
      <c r="Q61" s="40">
        <f>data!Q99-data!Q61</f>
        <v>0</v>
      </c>
      <c r="R61" s="40">
        <f>data!R99-data!R61</f>
        <v>0</v>
      </c>
      <c r="S61" s="40">
        <f>data!S99-data!S61</f>
        <v>0</v>
      </c>
      <c r="T61" s="40">
        <f>data!T99-data!T61</f>
        <v>0</v>
      </c>
      <c r="U61" s="40">
        <f>data!U99-data!U61</f>
        <v>0</v>
      </c>
      <c r="V61" s="40">
        <f>data!V99-data!V61</f>
        <v>0</v>
      </c>
      <c r="W61" s="40">
        <f>data!W99-data!W61</f>
        <v>0</v>
      </c>
      <c r="X61" s="40">
        <f>data!X99-data!X61</f>
        <v>0</v>
      </c>
      <c r="Y61" s="40">
        <f>data!Y99-data!Y61</f>
        <v>0</v>
      </c>
      <c r="Z61" s="40">
        <f>data!Z99-data!Z61</f>
        <v>0</v>
      </c>
      <c r="AA61" s="10">
        <v>342.39670930134002</v>
      </c>
      <c r="AB61" s="11">
        <v>358.46025273358998</v>
      </c>
    </row>
    <row r="62" spans="1:28" x14ac:dyDescent="0.35">
      <c r="A62" s="15" t="s">
        <v>49</v>
      </c>
      <c r="B62" s="23" t="s">
        <v>66</v>
      </c>
      <c r="C62" s="40">
        <f>data!C100-data!C62</f>
        <v>0</v>
      </c>
      <c r="D62" s="40">
        <f>data!D100-data!D62</f>
        <v>0</v>
      </c>
      <c r="E62" s="40">
        <f>data!E100-data!E62</f>
        <v>0</v>
      </c>
      <c r="F62" s="40">
        <f>data!F100-data!F62</f>
        <v>0</v>
      </c>
      <c r="G62" s="40">
        <f>data!G100-data!G62</f>
        <v>0</v>
      </c>
      <c r="H62" s="40">
        <f>data!H100-data!H62</f>
        <v>0</v>
      </c>
      <c r="I62" s="40">
        <f>data!I100-data!I62</f>
        <v>0</v>
      </c>
      <c r="J62" s="40">
        <f>data!J100-data!J62</f>
        <v>0</v>
      </c>
      <c r="K62" s="40">
        <f>data!K100-data!K62</f>
        <v>0</v>
      </c>
      <c r="L62" s="40">
        <f>data!L100-data!L62</f>
        <v>0</v>
      </c>
      <c r="M62" s="40">
        <f>data!M100-data!M62</f>
        <v>0</v>
      </c>
      <c r="N62" s="40">
        <f>data!N100-data!N62</f>
        <v>0</v>
      </c>
      <c r="O62" s="40">
        <f>data!O100-data!O62</f>
        <v>0</v>
      </c>
      <c r="P62" s="40">
        <f>data!P100-data!P62</f>
        <v>0</v>
      </c>
      <c r="Q62" s="40">
        <f>data!Q100-data!Q62</f>
        <v>0</v>
      </c>
      <c r="R62" s="40">
        <f>data!R100-data!R62</f>
        <v>0</v>
      </c>
      <c r="S62" s="40">
        <f>data!S100-data!S62</f>
        <v>0</v>
      </c>
      <c r="T62" s="40">
        <f>data!T100-data!T62</f>
        <v>0</v>
      </c>
      <c r="U62" s="40">
        <f>data!U100-data!U62</f>
        <v>0</v>
      </c>
      <c r="V62" s="40">
        <f>data!V100-data!V62</f>
        <v>0</v>
      </c>
      <c r="W62" s="40">
        <f>data!W100-data!W62</f>
        <v>0</v>
      </c>
      <c r="X62" s="40">
        <f>data!X100-data!X62</f>
        <v>0</v>
      </c>
      <c r="Y62" s="40">
        <f>data!Y100-data!Y62</f>
        <v>0</v>
      </c>
      <c r="Z62" s="40">
        <f>data!Z100-data!Z62</f>
        <v>0</v>
      </c>
      <c r="AA62" s="16">
        <v>55.422589739999999</v>
      </c>
      <c r="AB62" s="11">
        <v>30.160077523049999</v>
      </c>
    </row>
    <row r="63" spans="1:28" x14ac:dyDescent="0.35">
      <c r="A63" s="15" t="s">
        <v>50</v>
      </c>
      <c r="B63" s="23" t="s">
        <v>66</v>
      </c>
      <c r="C63" s="40">
        <f>data!C101-data!C63</f>
        <v>0</v>
      </c>
      <c r="D63" s="40">
        <f>data!D101-data!D63</f>
        <v>0</v>
      </c>
      <c r="E63" s="40">
        <f>data!E101-data!E63</f>
        <v>0</v>
      </c>
      <c r="F63" s="40">
        <f>data!F101-data!F63</f>
        <v>0</v>
      </c>
      <c r="G63" s="40">
        <f>data!G101-data!G63</f>
        <v>0</v>
      </c>
      <c r="H63" s="40">
        <f>data!H101-data!H63</f>
        <v>0</v>
      </c>
      <c r="I63" s="40">
        <f>data!I101-data!I63</f>
        <v>0</v>
      </c>
      <c r="J63" s="40">
        <f>data!J101-data!J63</f>
        <v>0</v>
      </c>
      <c r="K63" s="40">
        <f>data!K101-data!K63</f>
        <v>0</v>
      </c>
      <c r="L63" s="40">
        <f>data!L101-data!L63</f>
        <v>0</v>
      </c>
      <c r="M63" s="40">
        <f>data!M101-data!M63</f>
        <v>0</v>
      </c>
      <c r="N63" s="40">
        <f>data!N101-data!N63</f>
        <v>0</v>
      </c>
      <c r="O63" s="40">
        <f>data!O101-data!O63</f>
        <v>0</v>
      </c>
      <c r="P63" s="40">
        <f>data!P101-data!P63</f>
        <v>0</v>
      </c>
      <c r="Q63" s="40">
        <f>data!Q101-data!Q63</f>
        <v>0</v>
      </c>
      <c r="R63" s="40">
        <f>data!R101-data!R63</f>
        <v>0</v>
      </c>
      <c r="S63" s="40">
        <f>data!S101-data!S63</f>
        <v>0</v>
      </c>
      <c r="T63" s="40">
        <f>data!T101-data!T63</f>
        <v>0</v>
      </c>
      <c r="U63" s="40">
        <f>data!U101-data!U63</f>
        <v>0</v>
      </c>
      <c r="V63" s="40">
        <f>data!V101-data!V63</f>
        <v>0</v>
      </c>
      <c r="W63" s="40">
        <f>data!W101-data!W63</f>
        <v>0</v>
      </c>
      <c r="X63" s="40">
        <f>data!X101-data!X63</f>
        <v>0</v>
      </c>
      <c r="Y63" s="40">
        <f>data!Y101-data!Y63</f>
        <v>0</v>
      </c>
      <c r="Z63" s="40">
        <f>data!Z101-data!Z63</f>
        <v>0</v>
      </c>
      <c r="AA63" s="10">
        <v>97.136073348400004</v>
      </c>
      <c r="AB63" s="11">
        <v>48.216768505140003</v>
      </c>
    </row>
    <row r="64" spans="1:28" x14ac:dyDescent="0.35">
      <c r="A64" s="15" t="s">
        <v>51</v>
      </c>
      <c r="B64" s="23" t="s">
        <v>66</v>
      </c>
      <c r="C64" s="40">
        <f>data!C102-data!C64</f>
        <v>0</v>
      </c>
      <c r="D64" s="40">
        <f>data!D102-data!D64</f>
        <v>0</v>
      </c>
      <c r="E64" s="40">
        <f>data!E102-data!E64</f>
        <v>0</v>
      </c>
      <c r="F64" s="40">
        <f>data!F102-data!F64</f>
        <v>0</v>
      </c>
      <c r="G64" s="40">
        <f>data!G102-data!G64</f>
        <v>0</v>
      </c>
      <c r="H64" s="40">
        <f>data!H102-data!H64</f>
        <v>0</v>
      </c>
      <c r="I64" s="40">
        <f>data!I102-data!I64</f>
        <v>0</v>
      </c>
      <c r="J64" s="40">
        <f>data!J102-data!J64</f>
        <v>0</v>
      </c>
      <c r="K64" s="40">
        <f>data!K102-data!K64</f>
        <v>0</v>
      </c>
      <c r="L64" s="40">
        <f>data!L102-data!L64</f>
        <v>0</v>
      </c>
      <c r="M64" s="40">
        <f>data!M102-data!M64</f>
        <v>0</v>
      </c>
      <c r="N64" s="40">
        <f>data!N102-data!N64</f>
        <v>0</v>
      </c>
      <c r="O64" s="40">
        <f>data!O102-data!O64</f>
        <v>0</v>
      </c>
      <c r="P64" s="40">
        <f>data!P102-data!P64</f>
        <v>0</v>
      </c>
      <c r="Q64" s="40">
        <f>data!Q102-data!Q64</f>
        <v>0</v>
      </c>
      <c r="R64" s="40">
        <f>data!R102-data!R64</f>
        <v>0</v>
      </c>
      <c r="S64" s="40">
        <f>data!S102-data!S64</f>
        <v>0</v>
      </c>
      <c r="T64" s="40">
        <f>data!T102-data!T64</f>
        <v>0</v>
      </c>
      <c r="U64" s="40">
        <f>data!U102-data!U64</f>
        <v>0</v>
      </c>
      <c r="V64" s="40">
        <f>data!V102-data!V64</f>
        <v>0</v>
      </c>
      <c r="W64" s="40">
        <f>data!W102-data!W64</f>
        <v>0</v>
      </c>
      <c r="X64" s="40">
        <f>data!X102-data!X64</f>
        <v>0</v>
      </c>
      <c r="Y64" s="40">
        <f>data!Y102-data!Y64</f>
        <v>0</v>
      </c>
      <c r="Z64" s="40">
        <f>data!Z102-data!Z64</f>
        <v>0</v>
      </c>
      <c r="AA64" s="10">
        <v>66.343484468840003</v>
      </c>
      <c r="AB64" s="11">
        <v>66.557495896739994</v>
      </c>
    </row>
    <row r="65" spans="1:28" x14ac:dyDescent="0.35">
      <c r="A65" s="15" t="s">
        <v>52</v>
      </c>
      <c r="B65" s="23" t="s">
        <v>66</v>
      </c>
      <c r="C65" s="40">
        <f>data!C103-data!C65</f>
        <v>6.7094683675636091</v>
      </c>
      <c r="D65" s="40">
        <f>data!D103-data!D65</f>
        <v>3.4647147221616406</v>
      </c>
      <c r="E65" s="40">
        <f>data!E103-data!E65</f>
        <v>3.2447536454019712</v>
      </c>
      <c r="F65" s="40">
        <f>data!F103-data!F65</f>
        <v>-4.1052685159715168</v>
      </c>
      <c r="G65" s="40">
        <f>data!G103-data!G65</f>
        <v>4.2836647687777969</v>
      </c>
      <c r="H65" s="40">
        <f>data!H103-data!H65</f>
        <v>0</v>
      </c>
      <c r="I65" s="40">
        <f>data!I103-data!I65</f>
        <v>4.2836647687777969</v>
      </c>
      <c r="J65" s="40">
        <f>data!J103-data!J65</f>
        <v>0</v>
      </c>
      <c r="K65" s="40">
        <f>data!K103-data!K65</f>
        <v>0.79850817559321996</v>
      </c>
      <c r="L65" s="40">
        <f>data!L103-data!L65</f>
        <v>0.71955999760414269</v>
      </c>
      <c r="M65" s="40">
        <f>data!M103-data!M65</f>
        <v>0.41234310681293096</v>
      </c>
      <c r="N65" s="40">
        <f>data!N103-data!N65</f>
        <v>0.37157491184103569</v>
      </c>
      <c r="O65" s="40">
        <f>data!O103-data!O65</f>
        <v>0.38616506878028956</v>
      </c>
      <c r="P65" s="40">
        <f>data!P103-data!P65</f>
        <v>0.34798508576310727</v>
      </c>
      <c r="Q65" s="40">
        <f>data!Q103-data!Q65</f>
        <v>-0.48857678334938903</v>
      </c>
      <c r="R65" s="40">
        <f>data!R103-data!R65</f>
        <v>-0.44027139583780439</v>
      </c>
      <c r="S65" s="40">
        <f>data!S103-data!S65</f>
        <v>0.50980810281572397</v>
      </c>
      <c r="T65" s="40">
        <f>data!T103-data!T65</f>
        <v>0.45940358339866272</v>
      </c>
      <c r="U65" s="40">
        <f>data!U103-data!U65</f>
        <v>0</v>
      </c>
      <c r="V65" s="40">
        <f>data!V103-data!V65</f>
        <v>0</v>
      </c>
      <c r="W65" s="40">
        <f>data!W103-data!W65</f>
        <v>0.50980810281572397</v>
      </c>
      <c r="X65" s="40">
        <f>data!X103-data!X65</f>
        <v>0.45940358339866272</v>
      </c>
      <c r="Y65" s="40">
        <f>data!Y103-data!Y65</f>
        <v>0</v>
      </c>
      <c r="Z65" s="40">
        <f>data!Z103-data!Z65</f>
        <v>0</v>
      </c>
      <c r="AA65" s="10">
        <v>932.44043441874999</v>
      </c>
      <c r="AB65" s="11">
        <v>840.25042856688003</v>
      </c>
    </row>
    <row r="66" spans="1:28" x14ac:dyDescent="0.35">
      <c r="A66" s="15" t="s">
        <v>53</v>
      </c>
      <c r="B66" s="23" t="s">
        <v>66</v>
      </c>
      <c r="C66" s="40">
        <f>data!C104-data!C66</f>
        <v>-1.5631513525729304</v>
      </c>
      <c r="D66" s="40">
        <f>data!D104-data!D66</f>
        <v>0.199134188698951</v>
      </c>
      <c r="E66" s="40">
        <f>data!E104-data!E66</f>
        <v>-1.7622855412718792</v>
      </c>
      <c r="F66" s="40">
        <f>data!F104-data!F66</f>
        <v>0</v>
      </c>
      <c r="G66" s="40">
        <f>data!G104-data!G66</f>
        <v>0.14987911249498698</v>
      </c>
      <c r="H66" s="40">
        <f>data!H104-data!H66</f>
        <v>7.4029359208051648E-2</v>
      </c>
      <c r="I66" s="40">
        <f>data!I104-data!I66</f>
        <v>7.5849753286935329E-2</v>
      </c>
      <c r="J66" s="40">
        <f>data!J104-data!J66</f>
        <v>0</v>
      </c>
      <c r="K66" s="40">
        <f>data!K104-data!K66</f>
        <v>-0.7702564211840901</v>
      </c>
      <c r="L66" s="40">
        <f>data!L104-data!L66</f>
        <v>-0.80585693116972834</v>
      </c>
      <c r="M66" s="40">
        <f>data!M104-data!M66</f>
        <v>9.8125103029966881E-2</v>
      </c>
      <c r="N66" s="40">
        <f>data!N104-data!N66</f>
        <v>0.10266035079186195</v>
      </c>
      <c r="O66" s="40">
        <f>data!O104-data!O66</f>
        <v>-0.86838152421405468</v>
      </c>
      <c r="P66" s="40">
        <f>data!P104-data!P66</f>
        <v>-0.90851728196158987</v>
      </c>
      <c r="Q66" s="40">
        <f>data!Q104-data!Q66</f>
        <v>0</v>
      </c>
      <c r="R66" s="40">
        <f>data!R104-data!R66</f>
        <v>0</v>
      </c>
      <c r="S66" s="40">
        <f>data!S104-data!S66</f>
        <v>7.3854235938582757E-2</v>
      </c>
      <c r="T66" s="40">
        <f>data!T104-data!T66</f>
        <v>7.726770759776258E-2</v>
      </c>
      <c r="U66" s="40">
        <f>data!U104-data!U66</f>
        <v>3.647861046359191E-2</v>
      </c>
      <c r="V66" s="40">
        <f>data!V104-data!V66</f>
        <v>3.8164616708207477E-2</v>
      </c>
      <c r="W66" s="40">
        <f>data!W104-data!W66</f>
        <v>3.7375625474990848E-2</v>
      </c>
      <c r="X66" s="40">
        <f>data!X104-data!X66</f>
        <v>3.9103090889555325E-2</v>
      </c>
      <c r="Y66" s="40">
        <f>data!Y104-data!Y66</f>
        <v>0</v>
      </c>
      <c r="Z66" s="40">
        <f>data!Z104-data!Z66</f>
        <v>0</v>
      </c>
      <c r="AA66" s="10">
        <v>193.97380504054999</v>
      </c>
      <c r="AB66" s="11">
        <v>202.93908750153</v>
      </c>
    </row>
    <row r="67" spans="1:28" x14ac:dyDescent="0.35">
      <c r="A67" s="15" t="s">
        <v>54</v>
      </c>
      <c r="B67" s="23" t="s">
        <v>66</v>
      </c>
      <c r="C67" s="40">
        <f>data!C105-data!C67</f>
        <v>0</v>
      </c>
      <c r="D67" s="40">
        <f>data!D105-data!D67</f>
        <v>0</v>
      </c>
      <c r="E67" s="40">
        <f>data!E105-data!E67</f>
        <v>0</v>
      </c>
      <c r="F67" s="40">
        <f>data!F105-data!F67</f>
        <v>0</v>
      </c>
      <c r="G67" s="40">
        <f>data!G105-data!G67</f>
        <v>1.3754229037270846</v>
      </c>
      <c r="H67" s="40">
        <f>data!H105-data!H67</f>
        <v>0.38291283511333063</v>
      </c>
      <c r="I67" s="40">
        <f>data!I105-data!I67</f>
        <v>0.99251006861375402</v>
      </c>
      <c r="J67" s="40">
        <f>data!J105-data!J67</f>
        <v>0</v>
      </c>
      <c r="K67" s="40">
        <f>data!K105-data!K67</f>
        <v>0</v>
      </c>
      <c r="L67" s="40">
        <f>data!L105-data!L67</f>
        <v>0</v>
      </c>
      <c r="M67" s="40">
        <f>data!M105-data!M67</f>
        <v>0</v>
      </c>
      <c r="N67" s="40">
        <f>data!N105-data!N67</f>
        <v>0</v>
      </c>
      <c r="O67" s="40">
        <f>data!O105-data!O67</f>
        <v>0</v>
      </c>
      <c r="P67" s="40">
        <f>data!P105-data!P67</f>
        <v>0</v>
      </c>
      <c r="Q67" s="40">
        <f>data!Q105-data!Q67</f>
        <v>0</v>
      </c>
      <c r="R67" s="40">
        <f>data!R105-data!R67</f>
        <v>0</v>
      </c>
      <c r="S67" s="40">
        <f>data!S105-data!S67</f>
        <v>0.33526511599412778</v>
      </c>
      <c r="T67" s="40">
        <f>data!T105-data!T67</f>
        <v>0.416221861307843</v>
      </c>
      <c r="U67" s="40">
        <f>data!U105-data!U67</f>
        <v>9.3336613584110939E-2</v>
      </c>
      <c r="V67" s="40">
        <f>data!V105-data!V67</f>
        <v>0.1158746829921613</v>
      </c>
      <c r="W67" s="40">
        <f>data!W105-data!W67</f>
        <v>0.24192850241001684</v>
      </c>
      <c r="X67" s="40">
        <f>data!X105-data!X67</f>
        <v>0.3003471783156817</v>
      </c>
      <c r="Y67" s="40">
        <f>data!Y105-data!Y67</f>
        <v>0</v>
      </c>
      <c r="Z67" s="40">
        <f>data!Z105-data!Z67</f>
        <v>0</v>
      </c>
      <c r="AA67" s="10">
        <v>330.45426768437</v>
      </c>
      <c r="AB67" s="11">
        <v>410.24933347112</v>
      </c>
    </row>
    <row r="68" spans="1:28" x14ac:dyDescent="0.35">
      <c r="A68" s="15" t="s">
        <v>55</v>
      </c>
      <c r="B68" s="23" t="s">
        <v>66</v>
      </c>
      <c r="C68" s="40">
        <f>data!C106-data!C68</f>
        <v>0</v>
      </c>
      <c r="D68" s="40">
        <f>data!D106-data!D68</f>
        <v>0</v>
      </c>
      <c r="E68" s="40">
        <f>data!E106-data!E68</f>
        <v>0</v>
      </c>
      <c r="F68" s="40">
        <f>data!F106-data!F68</f>
        <v>0</v>
      </c>
      <c r="G68" s="40">
        <f>data!G106-data!G68</f>
        <v>0</v>
      </c>
      <c r="H68" s="40">
        <f>data!H106-data!H68</f>
        <v>0</v>
      </c>
      <c r="I68" s="40">
        <f>data!I106-data!I68</f>
        <v>0</v>
      </c>
      <c r="J68" s="40">
        <f>data!J106-data!J68</f>
        <v>0</v>
      </c>
      <c r="K68" s="40">
        <f>data!K106-data!K68</f>
        <v>0</v>
      </c>
      <c r="L68" s="40">
        <f>data!L106-data!L68</f>
        <v>0</v>
      </c>
      <c r="M68" s="40">
        <f>data!M106-data!M68</f>
        <v>0</v>
      </c>
      <c r="N68" s="40">
        <f>data!N106-data!N68</f>
        <v>0</v>
      </c>
      <c r="O68" s="40">
        <f>data!O106-data!O68</f>
        <v>0</v>
      </c>
      <c r="P68" s="40">
        <f>data!P106-data!P68</f>
        <v>0</v>
      </c>
      <c r="Q68" s="40">
        <f>data!Q106-data!Q68</f>
        <v>0</v>
      </c>
      <c r="R68" s="40">
        <f>data!R106-data!R68</f>
        <v>0</v>
      </c>
      <c r="S68" s="40">
        <f>data!S106-data!S68</f>
        <v>0</v>
      </c>
      <c r="T68" s="40">
        <f>data!T106-data!T68</f>
        <v>0</v>
      </c>
      <c r="U68" s="40">
        <f>data!U106-data!U68</f>
        <v>0</v>
      </c>
      <c r="V68" s="40">
        <f>data!V106-data!V68</f>
        <v>0</v>
      </c>
      <c r="W68" s="40">
        <f>data!W106-data!W68</f>
        <v>0</v>
      </c>
      <c r="X68" s="40">
        <f>data!X106-data!X68</f>
        <v>0</v>
      </c>
      <c r="Y68" s="40">
        <f>data!Y106-data!Y68</f>
        <v>0</v>
      </c>
      <c r="Z68" s="40">
        <f>data!Z106-data!Z68</f>
        <v>0</v>
      </c>
      <c r="AA68" s="10">
        <v>341.21592570296002</v>
      </c>
      <c r="AB68" s="11">
        <v>222.36238134761999</v>
      </c>
    </row>
    <row r="69" spans="1:28" x14ac:dyDescent="0.35">
      <c r="A69" s="15" t="s">
        <v>56</v>
      </c>
      <c r="B69" s="23" t="s">
        <v>66</v>
      </c>
      <c r="C69" s="40">
        <f>data!C107-data!C69</f>
        <v>0</v>
      </c>
      <c r="D69" s="40">
        <f>data!D107-data!D69</f>
        <v>0</v>
      </c>
      <c r="E69" s="40">
        <f>data!E107-data!E69</f>
        <v>0</v>
      </c>
      <c r="F69" s="40">
        <f>data!F107-data!F69</f>
        <v>0</v>
      </c>
      <c r="G69" s="40">
        <f>data!G107-data!G69</f>
        <v>0</v>
      </c>
      <c r="H69" s="40">
        <f>data!H107-data!H69</f>
        <v>0</v>
      </c>
      <c r="I69" s="40">
        <f>data!I107-data!I69</f>
        <v>0</v>
      </c>
      <c r="J69" s="40">
        <f>data!J107-data!J69</f>
        <v>0</v>
      </c>
      <c r="K69" s="40">
        <f>data!K107-data!K69</f>
        <v>0</v>
      </c>
      <c r="L69" s="40">
        <f>data!L107-data!L69</f>
        <v>0</v>
      </c>
      <c r="M69" s="40">
        <f>data!M107-data!M69</f>
        <v>0</v>
      </c>
      <c r="N69" s="40">
        <f>data!N107-data!N69</f>
        <v>0</v>
      </c>
      <c r="O69" s="40">
        <f>data!O107-data!O69</f>
        <v>0</v>
      </c>
      <c r="P69" s="40">
        <f>data!P107-data!P69</f>
        <v>0</v>
      </c>
      <c r="Q69" s="40">
        <f>data!Q107-data!Q69</f>
        <v>0</v>
      </c>
      <c r="R69" s="40">
        <f>data!R107-data!R69</f>
        <v>0</v>
      </c>
      <c r="S69" s="40">
        <f>data!S107-data!S69</f>
        <v>0</v>
      </c>
      <c r="T69" s="40">
        <f>data!T107-data!T69</f>
        <v>0</v>
      </c>
      <c r="U69" s="40">
        <f>data!U107-data!U69</f>
        <v>0</v>
      </c>
      <c r="V69" s="40">
        <f>data!V107-data!V69</f>
        <v>0</v>
      </c>
      <c r="W69" s="40">
        <f>data!W107-data!W69</f>
        <v>0</v>
      </c>
      <c r="X69" s="40">
        <f>data!X107-data!X69</f>
        <v>0</v>
      </c>
      <c r="Y69" s="40">
        <f>data!Y107-data!Y69</f>
        <v>0</v>
      </c>
      <c r="Z69" s="40">
        <f>data!Z107-data!Z69</f>
        <v>0</v>
      </c>
      <c r="AA69" s="10">
        <v>181.71174374815001</v>
      </c>
      <c r="AB69" s="11">
        <v>99.489061173690004</v>
      </c>
    </row>
    <row r="70" spans="1:28" x14ac:dyDescent="0.35">
      <c r="A70" s="15" t="s">
        <v>57</v>
      </c>
      <c r="B70" s="23" t="s">
        <v>66</v>
      </c>
      <c r="C70" s="40">
        <f>data!C108-data!C70</f>
        <v>0</v>
      </c>
      <c r="D70" s="40">
        <f>data!D108-data!D70</f>
        <v>0</v>
      </c>
      <c r="E70" s="40">
        <f>data!E108-data!E70</f>
        <v>0</v>
      </c>
      <c r="F70" s="40">
        <f>data!F108-data!F70</f>
        <v>0</v>
      </c>
      <c r="G70" s="40">
        <f>data!G108-data!G70</f>
        <v>0</v>
      </c>
      <c r="H70" s="40">
        <f>data!H108-data!H70</f>
        <v>0</v>
      </c>
      <c r="I70" s="40">
        <f>data!I108-data!I70</f>
        <v>0</v>
      </c>
      <c r="J70" s="40">
        <f>data!J108-data!J70</f>
        <v>0</v>
      </c>
      <c r="K70" s="40">
        <f>data!K108-data!K70</f>
        <v>0</v>
      </c>
      <c r="L70" s="40">
        <f>data!L108-data!L70</f>
        <v>0</v>
      </c>
      <c r="M70" s="40">
        <f>data!M108-data!M70</f>
        <v>0</v>
      </c>
      <c r="N70" s="40">
        <f>data!N108-data!N70</f>
        <v>0</v>
      </c>
      <c r="O70" s="40">
        <f>data!O108-data!O70</f>
        <v>0</v>
      </c>
      <c r="P70" s="40">
        <f>data!P108-data!P70</f>
        <v>0</v>
      </c>
      <c r="Q70" s="40">
        <f>data!Q108-data!Q70</f>
        <v>0</v>
      </c>
      <c r="R70" s="40">
        <f>data!R108-data!R70</f>
        <v>0</v>
      </c>
      <c r="S70" s="40">
        <f>data!S108-data!S70</f>
        <v>0</v>
      </c>
      <c r="T70" s="40">
        <f>data!T108-data!T70</f>
        <v>0</v>
      </c>
      <c r="U70" s="40">
        <f>data!U108-data!U70</f>
        <v>0</v>
      </c>
      <c r="V70" s="40">
        <f>data!V108-data!V70</f>
        <v>0</v>
      </c>
      <c r="W70" s="40">
        <f>data!W108-data!W70</f>
        <v>0</v>
      </c>
      <c r="X70" s="40">
        <f>data!X108-data!X70</f>
        <v>0</v>
      </c>
      <c r="Y70" s="40">
        <f>data!Y108-data!Y70</f>
        <v>0</v>
      </c>
      <c r="Z70" s="40">
        <f>data!Z108-data!Z70</f>
        <v>0</v>
      </c>
      <c r="AA70" s="10">
        <v>76.037366075549997</v>
      </c>
      <c r="AB70" s="11">
        <v>50.417977728389999</v>
      </c>
    </row>
    <row r="71" spans="1:28" x14ac:dyDescent="0.35">
      <c r="A71" s="13" t="s">
        <v>58</v>
      </c>
      <c r="B71" s="21" t="s">
        <v>66</v>
      </c>
      <c r="C71" s="40">
        <f>data!C109-data!C71</f>
        <v>2.6442336933321684</v>
      </c>
      <c r="D71" s="40">
        <f>data!D109-data!D71</f>
        <v>0.71001324529060439</v>
      </c>
      <c r="E71" s="40">
        <f>data!E109-data!E71</f>
        <v>1.9342204480415646</v>
      </c>
      <c r="F71" s="40">
        <f>data!F109-data!F71</f>
        <v>0.16067269854286081</v>
      </c>
      <c r="G71" s="40">
        <f>data!G109-data!G71</f>
        <v>5.0533623042457521</v>
      </c>
      <c r="H71" s="40">
        <f>data!H109-data!H71</f>
        <v>1.272990789428851</v>
      </c>
      <c r="I71" s="40">
        <f>data!I109-data!I71</f>
        <v>3.7803715148169026</v>
      </c>
      <c r="J71" s="40">
        <f>data!J109-data!J71</f>
        <v>0</v>
      </c>
      <c r="K71" s="40">
        <f>data!K109-data!K71</f>
        <v>0.48092603545097301</v>
      </c>
      <c r="L71" s="40">
        <f>data!L109-data!L71</f>
        <v>0.50752608476784022</v>
      </c>
      <c r="M71" s="40">
        <f>data!M109-data!M71</f>
        <v>0.129135278790351</v>
      </c>
      <c r="N71" s="40">
        <f>data!N109-data!N71</f>
        <v>0.13627775919515969</v>
      </c>
      <c r="O71" s="40">
        <f>data!O109-data!O71</f>
        <v>0.35179075666062154</v>
      </c>
      <c r="P71" s="40">
        <f>data!P109-data!P71</f>
        <v>0.37124832557268039</v>
      </c>
      <c r="Q71" s="40">
        <f>data!Q109-data!Q71</f>
        <v>2.9222713601402717E-2</v>
      </c>
      <c r="R71" s="40">
        <f>data!R109-data!R71</f>
        <v>3.0839023731590309E-2</v>
      </c>
      <c r="S71" s="40">
        <f>data!S109-data!S71</f>
        <v>0.91909179767531501</v>
      </c>
      <c r="T71" s="40">
        <f>data!T109-data!T71</f>
        <v>0.96992682290319099</v>
      </c>
      <c r="U71" s="40">
        <f>data!U109-data!U71</f>
        <v>0.23152810399073692</v>
      </c>
      <c r="V71" s="40">
        <f>data!V109-data!V71</f>
        <v>0.24433393800764469</v>
      </c>
      <c r="W71" s="40">
        <f>data!W109-data!W71</f>
        <v>0.68756369368457815</v>
      </c>
      <c r="X71" s="40">
        <f>data!X109-data!X71</f>
        <v>0.72559288489554596</v>
      </c>
      <c r="Y71" s="40">
        <f>data!Y109-data!Y71</f>
        <v>0</v>
      </c>
      <c r="Z71" s="40">
        <f>data!Z109-data!Z71</f>
        <v>0</v>
      </c>
      <c r="AA71" s="10">
        <v>521.00449074291998</v>
      </c>
      <c r="AB71" s="11">
        <v>549.82128194673999</v>
      </c>
    </row>
    <row r="72" spans="1:28" x14ac:dyDescent="0.35">
      <c r="A72" s="13" t="s">
        <v>59</v>
      </c>
      <c r="B72" s="21" t="s">
        <v>66</v>
      </c>
      <c r="C72" s="40">
        <f>data!C110-data!C72</f>
        <v>1.8004263575689272</v>
      </c>
      <c r="D72" s="40">
        <f>data!D110-data!D72</f>
        <v>7.9844312796973682E-2</v>
      </c>
      <c r="E72" s="40">
        <f>data!E110-data!E72</f>
        <v>1.7205820447719518</v>
      </c>
      <c r="F72" s="40">
        <f>data!F110-data!F72</f>
        <v>0</v>
      </c>
      <c r="G72" s="40">
        <f>data!G110-data!G72</f>
        <v>2.2594733452900257</v>
      </c>
      <c r="H72" s="40">
        <f>data!H110-data!H72</f>
        <v>1.014811784017208</v>
      </c>
      <c r="I72" s="40">
        <f>data!I110-data!I72</f>
        <v>1.2446615612728209</v>
      </c>
      <c r="J72" s="40">
        <f>data!J110-data!J72</f>
        <v>0</v>
      </c>
      <c r="K72" s="40">
        <f>data!K110-data!K72</f>
        <v>0.24098551496158116</v>
      </c>
      <c r="L72" s="40">
        <f>data!L110-data!L72</f>
        <v>0.30473646432983248</v>
      </c>
      <c r="M72" s="40">
        <f>data!M110-data!M72</f>
        <v>1.0687092396332976E-2</v>
      </c>
      <c r="N72" s="40">
        <f>data!N110-data!N72</f>
        <v>1.3514284256229803E-2</v>
      </c>
      <c r="O72" s="40">
        <f>data!O110-data!O72</f>
        <v>0.23029842256524846</v>
      </c>
      <c r="P72" s="40">
        <f>data!P110-data!P72</f>
        <v>0.29122218007360257</v>
      </c>
      <c r="Q72" s="40">
        <f>data!Q110-data!Q72</f>
        <v>0</v>
      </c>
      <c r="R72" s="40">
        <f>data!R110-data!R72</f>
        <v>0</v>
      </c>
      <c r="S72" s="40">
        <f>data!S110-data!S72</f>
        <v>0.30242855830655113</v>
      </c>
      <c r="T72" s="40">
        <f>data!T110-data!T72</f>
        <v>0.38243381385557296</v>
      </c>
      <c r="U72" s="40">
        <f>data!U110-data!U72</f>
        <v>0.13583168194154041</v>
      </c>
      <c r="V72" s="40">
        <f>data!V110-data!V72</f>
        <v>0.17176495651798102</v>
      </c>
      <c r="W72" s="40">
        <f>data!W110-data!W72</f>
        <v>0.16659687636501097</v>
      </c>
      <c r="X72" s="40">
        <f>data!X110-data!X72</f>
        <v>0.21066885733759211</v>
      </c>
      <c r="Y72" s="40">
        <f>data!Y110-data!Y72</f>
        <v>0</v>
      </c>
      <c r="Z72" s="40">
        <f>data!Z110-data!Z72</f>
        <v>0</v>
      </c>
      <c r="AA72" s="10">
        <v>590.81421763174001</v>
      </c>
      <c r="AB72" s="11">
        <v>747.10978286638999</v>
      </c>
    </row>
    <row r="73" spans="1:28" x14ac:dyDescent="0.35">
      <c r="A73" s="6" t="s">
        <v>60</v>
      </c>
      <c r="B73" s="21" t="s">
        <v>66</v>
      </c>
      <c r="C73" s="40">
        <f>data!C111-data!C73</f>
        <v>2.3892134593666938</v>
      </c>
      <c r="D73" s="40">
        <f>data!D111-data!D73</f>
        <v>2.5366516631069258E-2</v>
      </c>
      <c r="E73" s="40">
        <f>data!E111-data!E73</f>
        <v>2.3638469427356235</v>
      </c>
      <c r="F73" s="40">
        <f>data!F111-data!F73</f>
        <v>1.8029183606759216</v>
      </c>
      <c r="G73" s="40">
        <f>data!G111-data!G73</f>
        <v>-5.5944951681043253</v>
      </c>
      <c r="H73" s="40">
        <f>data!H111-data!H73</f>
        <v>-2.582074692971227</v>
      </c>
      <c r="I73" s="40">
        <f>data!I111-data!I73</f>
        <v>-3.0124204751330983</v>
      </c>
      <c r="J73" s="40">
        <f>data!J111-data!J73</f>
        <v>5.6145524312524948</v>
      </c>
      <c r="K73" s="40">
        <f>data!K111-data!K73</f>
        <v>0.91205466796225654</v>
      </c>
      <c r="L73" s="40">
        <f>data!L111-data!L73</f>
        <v>0.54141734951583675</v>
      </c>
      <c r="M73" s="40">
        <f>data!M111-data!M73</f>
        <v>9.6833750088790582E-3</v>
      </c>
      <c r="N73" s="40">
        <f>data!N111-data!N73</f>
        <v>5.7482817816048581E-3</v>
      </c>
      <c r="O73" s="40">
        <f>data!O111-data!O73</f>
        <v>0.90237129295337759</v>
      </c>
      <c r="P73" s="40">
        <f>data!P111-data!P73</f>
        <v>0.53566906773423151</v>
      </c>
      <c r="Q73" s="40">
        <f>data!Q111-data!Q73</f>
        <v>0.68824327954573072</v>
      </c>
      <c r="R73" s="40">
        <f>data!R111-data!R73</f>
        <v>0.40855758467447112</v>
      </c>
      <c r="S73" s="40">
        <f>data!S111-data!S73</f>
        <v>-2.1356339731630136</v>
      </c>
      <c r="T73" s="40">
        <f>data!T111-data!T73</f>
        <v>-1.2677631351520513</v>
      </c>
      <c r="U73" s="40">
        <f>data!U111-data!U73</f>
        <v>-0.98567721838292932</v>
      </c>
      <c r="V73" s="40">
        <f>data!V111-data!V73</f>
        <v>-0.58512144699325441</v>
      </c>
      <c r="W73" s="40">
        <f>data!W111-data!W73</f>
        <v>-1.1499567547800842</v>
      </c>
      <c r="X73" s="40">
        <f>data!X111-data!X73</f>
        <v>-0.68264168815879689</v>
      </c>
      <c r="Y73" s="40">
        <f>data!Y111-data!Y73</f>
        <v>2.1432906019205311</v>
      </c>
      <c r="Z73" s="40">
        <f>data!Z111-data!Z73</f>
        <v>1.2723082921407038</v>
      </c>
      <c r="AA73" s="10">
        <v>441.28867711817003</v>
      </c>
      <c r="AB73" s="11">
        <v>261.95945739796002</v>
      </c>
    </row>
    <row r="74" spans="1:28" x14ac:dyDescent="0.35">
      <c r="A74" s="6" t="s">
        <v>61</v>
      </c>
      <c r="B74" s="21" t="s">
        <v>66</v>
      </c>
      <c r="C74" s="40">
        <f>data!C112-data!C74</f>
        <v>3.2258738534714397</v>
      </c>
      <c r="D74" s="40">
        <f>data!D112-data!D74</f>
        <v>0.45292015012499087</v>
      </c>
      <c r="E74" s="40">
        <f>data!E112-data!E74</f>
        <v>2.7729537033464489</v>
      </c>
      <c r="F74" s="40">
        <f>data!F112-data!F74</f>
        <v>0</v>
      </c>
      <c r="G74" s="40">
        <f>data!G112-data!G74</f>
        <v>5.9276318719664545</v>
      </c>
      <c r="H74" s="40">
        <f>data!H112-data!H74</f>
        <v>-6.620410547070632E-2</v>
      </c>
      <c r="I74" s="40">
        <f>data!I112-data!I74</f>
        <v>5.9938359774371612</v>
      </c>
      <c r="J74" s="40">
        <f>data!J112-data!J74</f>
        <v>0</v>
      </c>
      <c r="K74" s="40">
        <f>data!K112-data!K74</f>
        <v>1.0036769073955696</v>
      </c>
      <c r="L74" s="40">
        <f>data!L112-data!L74</f>
        <v>0.46720030176171901</v>
      </c>
      <c r="M74" s="40">
        <f>data!M112-data!M74</f>
        <v>0.14091855919455676</v>
      </c>
      <c r="N74" s="40">
        <f>data!N112-data!N74</f>
        <v>6.5596002951152699E-2</v>
      </c>
      <c r="O74" s="40">
        <f>data!O112-data!O74</f>
        <v>0.86275834820101271</v>
      </c>
      <c r="P74" s="40">
        <f>data!P112-data!P74</f>
        <v>0.40160429881056642</v>
      </c>
      <c r="Q74" s="40">
        <f>data!Q112-data!Q74</f>
        <v>0</v>
      </c>
      <c r="R74" s="40">
        <f>data!R112-data!R74</f>
        <v>0</v>
      </c>
      <c r="S74" s="40">
        <f>data!S112-data!S74</f>
        <v>1.8442839043542827</v>
      </c>
      <c r="T74" s="40">
        <f>data!T112-data!T74</f>
        <v>0.85849339593205221</v>
      </c>
      <c r="U74" s="40">
        <f>data!U112-data!U74</f>
        <v>-2.0598304476234508E-2</v>
      </c>
      <c r="V74" s="40">
        <f>data!V112-data!V74</f>
        <v>-9.5882788536487684E-3</v>
      </c>
      <c r="W74" s="40">
        <f>data!W112-data!W74</f>
        <v>1.864882208830517</v>
      </c>
      <c r="X74" s="40">
        <f>data!X112-data!X74</f>
        <v>0.86808167478570097</v>
      </c>
      <c r="Y74" s="40">
        <f>data!Y112-data!Y74</f>
        <v>0</v>
      </c>
      <c r="Z74" s="40">
        <f>data!Z112-data!Z74</f>
        <v>0</v>
      </c>
      <c r="AA74" s="10">
        <v>690.46912883131995</v>
      </c>
      <c r="AB74" s="11">
        <v>321.40560669490998</v>
      </c>
    </row>
    <row r="75" spans="1:28" x14ac:dyDescent="0.35">
      <c r="A75" s="28" t="s">
        <v>62</v>
      </c>
      <c r="B75" s="23" t="s">
        <v>66</v>
      </c>
      <c r="C75" s="40">
        <f>data!C113-data!C75</f>
        <v>6.3692384436993321E-2</v>
      </c>
      <c r="D75" s="40">
        <f>data!D113-data!D75</f>
        <v>2.6529165639306157E-2</v>
      </c>
      <c r="E75" s="40">
        <f>data!E113-data!E75</f>
        <v>3.7163218797687136E-2</v>
      </c>
      <c r="F75" s="40">
        <f>data!F113-data!F75</f>
        <v>0</v>
      </c>
      <c r="G75" s="40">
        <f>data!G113-data!G75</f>
        <v>0</v>
      </c>
      <c r="H75" s="40">
        <f>data!H113-data!H75</f>
        <v>0</v>
      </c>
      <c r="I75" s="40">
        <f>data!I113-data!I75</f>
        <v>0</v>
      </c>
      <c r="J75" s="40">
        <f>data!J113-data!J75</f>
        <v>0</v>
      </c>
      <c r="K75" s="40">
        <f>data!K113-data!K75</f>
        <v>9.8928109623370064E-2</v>
      </c>
      <c r="L75" s="40">
        <f>data!L113-data!L75</f>
        <v>6.9812506237616367E-2</v>
      </c>
      <c r="M75" s="40">
        <f>data!M113-data!M75</f>
        <v>4.1205557458412534E-2</v>
      </c>
      <c r="N75" s="40">
        <f>data!N113-data!N75</f>
        <v>2.9078320085581782E-2</v>
      </c>
      <c r="O75" s="40">
        <f>data!O113-data!O75</f>
        <v>5.7722552164957697E-2</v>
      </c>
      <c r="P75" s="40">
        <f>data!P113-data!P75</f>
        <v>4.0734186152034613E-2</v>
      </c>
      <c r="Q75" s="40">
        <f>data!Q113-data!Q75</f>
        <v>0</v>
      </c>
      <c r="R75" s="40">
        <f>data!R113-data!R75</f>
        <v>0</v>
      </c>
      <c r="S75" s="40">
        <f>data!S113-data!S75</f>
        <v>0</v>
      </c>
      <c r="T75" s="40">
        <f>data!T113-data!T75</f>
        <v>0</v>
      </c>
      <c r="U75" s="40">
        <f>data!U113-data!U75</f>
        <v>0</v>
      </c>
      <c r="V75" s="40">
        <f>data!V113-data!V75</f>
        <v>0</v>
      </c>
      <c r="W75" s="40">
        <f>data!W113-data!W75</f>
        <v>0</v>
      </c>
      <c r="X75" s="40">
        <f>data!X113-data!X75</f>
        <v>0</v>
      </c>
      <c r="Y75" s="40">
        <f>data!Y113-data!Y75</f>
        <v>0</v>
      </c>
      <c r="Z75" s="40">
        <f>data!Z113-data!Z75</f>
        <v>0</v>
      </c>
      <c r="AA75" s="10">
        <v>91.233487908610002</v>
      </c>
      <c r="AB75" s="11">
        <v>64.38249419652</v>
      </c>
    </row>
    <row r="76" spans="1:28" x14ac:dyDescent="0.35">
      <c r="A76" s="28" t="s">
        <v>63</v>
      </c>
      <c r="B76" s="23" t="s">
        <v>66</v>
      </c>
      <c r="C76" s="40">
        <f>data!C114-data!C76</f>
        <v>0</v>
      </c>
      <c r="D76" s="40">
        <f>data!D114-data!D76</f>
        <v>0</v>
      </c>
      <c r="E76" s="40">
        <f>data!E114-data!E76</f>
        <v>0</v>
      </c>
      <c r="F76" s="40">
        <f>data!F114-data!F76</f>
        <v>0</v>
      </c>
      <c r="G76" s="40">
        <f>data!G114-data!G76</f>
        <v>0</v>
      </c>
      <c r="H76" s="40">
        <f>data!H114-data!H76</f>
        <v>0</v>
      </c>
      <c r="I76" s="40">
        <f>data!I114-data!I76</f>
        <v>0</v>
      </c>
      <c r="J76" s="40">
        <f>data!J114-data!J76</f>
        <v>0</v>
      </c>
      <c r="K76" s="40">
        <f>data!K114-data!K76</f>
        <v>0</v>
      </c>
      <c r="L76" s="40">
        <f>data!L114-data!L76</f>
        <v>0</v>
      </c>
      <c r="M76" s="40">
        <f>data!M114-data!M76</f>
        <v>0</v>
      </c>
      <c r="N76" s="40">
        <f>data!N114-data!N76</f>
        <v>0</v>
      </c>
      <c r="O76" s="40">
        <f>data!O114-data!O76</f>
        <v>0</v>
      </c>
      <c r="P76" s="40">
        <f>data!P114-data!P76</f>
        <v>0</v>
      </c>
      <c r="Q76" s="40">
        <f>data!Q114-data!Q76</f>
        <v>0</v>
      </c>
      <c r="R76" s="40">
        <f>data!R114-data!R76</f>
        <v>0</v>
      </c>
      <c r="S76" s="40">
        <f>data!S114-data!S76</f>
        <v>0</v>
      </c>
      <c r="T76" s="40">
        <f>data!T114-data!T76</f>
        <v>0</v>
      </c>
      <c r="U76" s="40">
        <f>data!U114-data!U76</f>
        <v>0</v>
      </c>
      <c r="V76" s="40">
        <f>data!V114-data!V76</f>
        <v>0</v>
      </c>
      <c r="W76" s="40">
        <f>data!W114-data!W76</f>
        <v>0</v>
      </c>
      <c r="X76" s="40">
        <f>data!X114-data!X76</f>
        <v>0</v>
      </c>
      <c r="Y76" s="40">
        <f>data!Y114-data!Y76</f>
        <v>0</v>
      </c>
      <c r="Z76" s="40">
        <f>data!Z114-data!Z76</f>
        <v>0</v>
      </c>
      <c r="AA76" s="10">
        <v>309.88816247970999</v>
      </c>
      <c r="AB76" s="11">
        <v>147.38397429586999</v>
      </c>
    </row>
    <row r="77" spans="1:28" x14ac:dyDescent="0.35">
      <c r="A77" s="6" t="s">
        <v>64</v>
      </c>
      <c r="B77" s="21" t="s">
        <v>66</v>
      </c>
      <c r="C77" s="40">
        <f>data!C115-data!C77</f>
        <v>-4.3303995984909847</v>
      </c>
      <c r="D77" s="40">
        <f>data!D115-data!D77</f>
        <v>-3.616874781638435E-2</v>
      </c>
      <c r="E77" s="40">
        <f>data!E115-data!E77</f>
        <v>-4.2942308506746016</v>
      </c>
      <c r="F77" s="40">
        <f>data!F115-data!F77</f>
        <v>0</v>
      </c>
      <c r="G77" s="40">
        <f>data!G115-data!G77</f>
        <v>9.8948958804635723</v>
      </c>
      <c r="H77" s="40">
        <f>data!H115-data!H77</f>
        <v>10.209776743806207</v>
      </c>
      <c r="I77" s="40">
        <f>data!I115-data!I77</f>
        <v>-0.31488086334263699</v>
      </c>
      <c r="J77" s="40">
        <f>data!J115-data!J77</f>
        <v>-9.8869334416288517</v>
      </c>
      <c r="K77" s="40">
        <f>data!K115-data!K77</f>
        <v>-0.75772108125688842</v>
      </c>
      <c r="L77" s="40">
        <f>data!L115-data!L77</f>
        <v>-0.35628748717574554</v>
      </c>
      <c r="M77" s="40">
        <f>data!M115-data!M77</f>
        <v>-6.328705256828604E-3</v>
      </c>
      <c r="N77" s="40">
        <f>data!N115-data!N77</f>
        <v>-2.9758159681807228E-3</v>
      </c>
      <c r="O77" s="40">
        <f>data!O115-data!O77</f>
        <v>-0.75139237600005959</v>
      </c>
      <c r="P77" s="40">
        <f>data!P115-data!P77</f>
        <v>-0.35331167120756479</v>
      </c>
      <c r="Q77" s="40">
        <f>data!Q115-data!Q77</f>
        <v>0</v>
      </c>
      <c r="R77" s="40">
        <f>data!R115-data!R77</f>
        <v>0</v>
      </c>
      <c r="S77" s="40">
        <f>data!S115-data!S77</f>
        <v>1.7313809118405272</v>
      </c>
      <c r="T77" s="40">
        <f>data!T115-data!T77</f>
        <v>0.81411137908485554</v>
      </c>
      <c r="U77" s="40">
        <f>data!U115-data!U77</f>
        <v>1.7864778752529171</v>
      </c>
      <c r="V77" s="40">
        <f>data!V115-data!V77</f>
        <v>0.84001848280784031</v>
      </c>
      <c r="W77" s="40">
        <f>data!W115-data!W77</f>
        <v>-5.5096963412390121E-2</v>
      </c>
      <c r="X77" s="40">
        <f>data!X115-data!X77</f>
        <v>-2.5907103722984992E-2</v>
      </c>
      <c r="Y77" s="40">
        <f>data!Y115-data!Y77</f>
        <v>-1.7299876668001881</v>
      </c>
      <c r="Z77" s="40">
        <f>data!Z115-data!Z77</f>
        <v>-0.81345626233184243</v>
      </c>
      <c r="AA77" s="10">
        <v>1215.4228689920101</v>
      </c>
      <c r="AB77" s="11">
        <v>571.50311712429004</v>
      </c>
    </row>
    <row r="78" spans="1:28" x14ac:dyDescent="0.35">
      <c r="A78" s="6" t="s">
        <v>26</v>
      </c>
      <c r="B78" s="21" t="s">
        <v>67</v>
      </c>
      <c r="C78" s="45">
        <f>data!C116-data!C78</f>
        <v>61.912545774045441</v>
      </c>
      <c r="D78" s="45">
        <f>data!D116-data!D78</f>
        <v>4.8525662396136839</v>
      </c>
      <c r="E78" s="45">
        <f>data!E116-data!E78</f>
        <v>57.059979534431761</v>
      </c>
      <c r="F78" s="45">
        <f>data!F116-data!F78</f>
        <v>0</v>
      </c>
      <c r="G78" s="45">
        <f>data!G116-data!G78</f>
        <v>7.1643447578672692E-2</v>
      </c>
      <c r="H78" s="45">
        <f>data!H116-data!H78</f>
        <v>3.0704334676574518E-2</v>
      </c>
      <c r="I78" s="45">
        <f>data!I116-data!I78</f>
        <v>4.0939112902098174E-2</v>
      </c>
      <c r="J78" s="45">
        <f>data!J116-data!J78</f>
        <v>0</v>
      </c>
      <c r="K78" s="45">
        <f>data!K116-data!K78</f>
        <v>4.1419353038878182</v>
      </c>
      <c r="L78" s="45">
        <f>data!L116-data!L78</f>
        <v>5.0478395755619783</v>
      </c>
      <c r="M78" s="45">
        <f>data!M116-data!M78</f>
        <v>0.32463558348356319</v>
      </c>
      <c r="N78" s="45">
        <f>data!N116-data!N78</f>
        <v>0.39563832501338614</v>
      </c>
      <c r="O78" s="45">
        <f>data!O116-data!O78</f>
        <v>3.8172997204042538</v>
      </c>
      <c r="P78" s="45">
        <f>data!P116-data!P78</f>
        <v>4.6522012505485932</v>
      </c>
      <c r="Q78" s="45">
        <f>data!Q116-data!Q78</f>
        <v>0</v>
      </c>
      <c r="R78" s="45">
        <f>data!R116-data!R78</f>
        <v>0</v>
      </c>
      <c r="S78" s="45">
        <f>data!S116-data!S78</f>
        <v>4.7929304328935274E-3</v>
      </c>
      <c r="T78" s="45">
        <f>data!T116-data!T78</f>
        <v>5.841217244355601E-3</v>
      </c>
      <c r="U78" s="45">
        <f>data!U116-data!U78</f>
        <v>2.0541130426686705E-3</v>
      </c>
      <c r="V78" s="45">
        <f>data!V116-data!V78</f>
        <v>2.5033788190096384E-3</v>
      </c>
      <c r="W78" s="45">
        <f>data!W116-data!W78</f>
        <v>2.7388173902247459E-3</v>
      </c>
      <c r="X78" s="45">
        <f>data!X116-data!X78</f>
        <v>3.3378384253461846E-3</v>
      </c>
      <c r="Y78" s="45">
        <f>data!Y116-data!Y78</f>
        <v>0</v>
      </c>
      <c r="Z78" s="45">
        <f>data!Z116-data!Z78</f>
        <v>0</v>
      </c>
      <c r="AA78" s="10">
        <v>1226.51571721458</v>
      </c>
      <c r="AB78" s="11">
        <v>1494.77336635199</v>
      </c>
    </row>
    <row r="79" spans="1:28" x14ac:dyDescent="0.35">
      <c r="A79" s="6" t="s">
        <v>28</v>
      </c>
      <c r="B79" s="21" t="s">
        <v>67</v>
      </c>
      <c r="C79" s="45">
        <f>data!C117-data!C79</f>
        <v>40.479513138385329</v>
      </c>
      <c r="D79" s="45">
        <f>data!D117-data!D79</f>
        <v>24.517772021033167</v>
      </c>
      <c r="E79" s="45">
        <f>data!E117-data!E79</f>
        <v>15.961741117352148</v>
      </c>
      <c r="F79" s="45">
        <f>data!F117-data!F79</f>
        <v>0.16561122374270099</v>
      </c>
      <c r="G79" s="45">
        <f>data!G117-data!G79</f>
        <v>-2.1278849423861459</v>
      </c>
      <c r="H79" s="45">
        <f>data!H117-data!H79</f>
        <v>1.0131510158376766E-2</v>
      </c>
      <c r="I79" s="45">
        <f>data!I117-data!I79</f>
        <v>-2.1380164525445124</v>
      </c>
      <c r="J79" s="45">
        <f>data!J117-data!J79</f>
        <v>0</v>
      </c>
      <c r="K79" s="45">
        <f>data!K117-data!K79</f>
        <v>2.3859125130950769</v>
      </c>
      <c r="L79" s="45">
        <f>data!L117-data!L79</f>
        <v>2.3486969189980531</v>
      </c>
      <c r="M79" s="45">
        <f>data!M117-data!M79</f>
        <v>1.4451077723739827</v>
      </c>
      <c r="N79" s="45">
        <f>data!N117-data!N79</f>
        <v>1.4225669021669027</v>
      </c>
      <c r="O79" s="45">
        <f>data!O117-data!O79</f>
        <v>0.94080474072109332</v>
      </c>
      <c r="P79" s="45">
        <f>data!P117-data!P79</f>
        <v>0.92613001683115037</v>
      </c>
      <c r="Q79" s="45">
        <f>data!Q117-data!Q79</f>
        <v>9.7613301248435924E-3</v>
      </c>
      <c r="R79" s="45">
        <f>data!R117-data!R79</f>
        <v>9.6090723627586527E-3</v>
      </c>
      <c r="S79" s="45">
        <f>data!S117-data!S79</f>
        <v>-0.12542016731054506</v>
      </c>
      <c r="T79" s="45">
        <f>data!T117-data!T79</f>
        <v>-0.12346385666939819</v>
      </c>
      <c r="U79" s="45">
        <f>data!U117-data!U79</f>
        <v>5.9716372528451078E-4</v>
      </c>
      <c r="V79" s="45">
        <f>data!V117-data!V79</f>
        <v>5.8784913278051021E-4</v>
      </c>
      <c r="W79" s="45">
        <f>data!W117-data!W79</f>
        <v>-0.12601733103582946</v>
      </c>
      <c r="X79" s="45">
        <f>data!X117-data!X79</f>
        <v>-0.12405170580217906</v>
      </c>
      <c r="Y79" s="45">
        <f>data!Y117-data!Y79</f>
        <v>0</v>
      </c>
      <c r="Z79" s="45">
        <f>data!Z117-data!Z79</f>
        <v>0</v>
      </c>
      <c r="AA79" s="10">
        <v>1723.48815255626</v>
      </c>
      <c r="AB79" s="11">
        <v>1696.60508992738</v>
      </c>
    </row>
    <row r="80" spans="1:28" x14ac:dyDescent="0.35">
      <c r="A80" s="6" t="s">
        <v>29</v>
      </c>
      <c r="B80" s="21" t="s">
        <v>67</v>
      </c>
      <c r="C80" s="45">
        <f>data!C118-data!C80</f>
        <v>64.536582715928375</v>
      </c>
      <c r="D80" s="45">
        <f>data!D118-data!D80</f>
        <v>4.2568291943873255</v>
      </c>
      <c r="E80" s="45">
        <f>data!E118-data!E80</f>
        <v>60.279753521541039</v>
      </c>
      <c r="F80" s="45">
        <f>data!F118-data!F80</f>
        <v>-1.9841312216122517</v>
      </c>
      <c r="G80" s="45">
        <f>data!G118-data!G80</f>
        <v>2.8314122459696591</v>
      </c>
      <c r="H80" s="45">
        <f>data!H118-data!H80</f>
        <v>-0.10285766593745294</v>
      </c>
      <c r="I80" s="45">
        <f>data!I118-data!I80</f>
        <v>2.9342699119071085</v>
      </c>
      <c r="J80" s="45">
        <f>data!J118-data!J80</f>
        <v>0</v>
      </c>
      <c r="K80" s="45">
        <f>data!K118-data!K80</f>
        <v>2.4662287828476401</v>
      </c>
      <c r="L80" s="45">
        <f>data!L118-data!L80</f>
        <v>2.2199717645552992</v>
      </c>
      <c r="M80" s="45">
        <f>data!M118-data!M80</f>
        <v>0.16267230524235765</v>
      </c>
      <c r="N80" s="45">
        <f>data!N118-data!N80</f>
        <v>0.14642920682167093</v>
      </c>
      <c r="O80" s="45">
        <f>data!O118-data!O80</f>
        <v>2.3035564776052828</v>
      </c>
      <c r="P80" s="45">
        <f>data!P118-data!P80</f>
        <v>2.0735425577336288</v>
      </c>
      <c r="Q80" s="45">
        <f>data!Q118-data!Q80</f>
        <v>-7.5822445530246974E-2</v>
      </c>
      <c r="R80" s="45">
        <f>data!R118-data!R80</f>
        <v>-6.8251449081834892E-2</v>
      </c>
      <c r="S80" s="45">
        <f>data!S118-data!S80</f>
        <v>0.10820080771636675</v>
      </c>
      <c r="T80" s="45">
        <f>data!T118-data!T80</f>
        <v>9.7396778313104448E-2</v>
      </c>
      <c r="U80" s="45">
        <f>data!U118-data!U80</f>
        <v>-3.9306471708931978E-3</v>
      </c>
      <c r="V80" s="45">
        <f>data!V118-data!V80</f>
        <v>-3.5381655572668258E-3</v>
      </c>
      <c r="W80" s="45">
        <f>data!W118-data!W80</f>
        <v>0.11213145488726006</v>
      </c>
      <c r="X80" s="45">
        <f>data!X118-data!X80</f>
        <v>0.10093494387037261</v>
      </c>
      <c r="Y80" s="45">
        <f>data!Y118-data!Y80</f>
        <v>0</v>
      </c>
      <c r="Z80" s="45">
        <f>data!Z118-data!Z80</f>
        <v>0</v>
      </c>
      <c r="AA80" s="10">
        <v>2907.0902498102801</v>
      </c>
      <c r="AB80" s="11">
        <v>2616.8124857180101</v>
      </c>
    </row>
    <row r="81" spans="1:28" x14ac:dyDescent="0.35">
      <c r="A81" s="6" t="s">
        <v>30</v>
      </c>
      <c r="B81" s="21" t="s">
        <v>67</v>
      </c>
      <c r="C81" s="45">
        <f>data!C119-data!C81</f>
        <v>102.23012702811138</v>
      </c>
      <c r="D81" s="45">
        <f>data!D119-data!D81</f>
        <v>19.237824397073407</v>
      </c>
      <c r="E81" s="45">
        <f>data!E119-data!E81</f>
        <v>82.992302631038001</v>
      </c>
      <c r="F81" s="45">
        <f>data!F119-data!F81</f>
        <v>0</v>
      </c>
      <c r="G81" s="45">
        <f>data!G119-data!G81</f>
        <v>-111.65122562840065</v>
      </c>
      <c r="H81" s="45">
        <f>data!H119-data!H81</f>
        <v>-114.80593817842517</v>
      </c>
      <c r="I81" s="45">
        <f>data!I119-data!I81</f>
        <v>3.1547125500243283</v>
      </c>
      <c r="J81" s="45">
        <f>data!J119-data!J81</f>
        <v>0</v>
      </c>
      <c r="K81" s="45">
        <f>data!K119-data!K81</f>
        <v>2.8418434471316676</v>
      </c>
      <c r="L81" s="45">
        <f>data!L119-data!L81</f>
        <v>2.4564011359343327</v>
      </c>
      <c r="M81" s="45">
        <f>data!M119-data!M81</f>
        <v>0.53478252242471824</v>
      </c>
      <c r="N81" s="45">
        <f>data!N119-data!N81</f>
        <v>0.46224938846923158</v>
      </c>
      <c r="O81" s="45">
        <f>data!O119-data!O81</f>
        <v>2.3070609247069491</v>
      </c>
      <c r="P81" s="45">
        <f>data!P119-data!P81</f>
        <v>1.9941517474651018</v>
      </c>
      <c r="Q81" s="45">
        <f>data!Q119-data!Q81</f>
        <v>0</v>
      </c>
      <c r="R81" s="45">
        <f>data!R119-data!R81</f>
        <v>0</v>
      </c>
      <c r="S81" s="45">
        <f>data!S119-data!S81</f>
        <v>-3.1037357884632151</v>
      </c>
      <c r="T81" s="45">
        <f>data!T119-data!T81</f>
        <v>-2.6827727347599577</v>
      </c>
      <c r="U81" s="45">
        <f>data!U119-data!U81</f>
        <v>-3.1914320424784886</v>
      </c>
      <c r="V81" s="45">
        <f>data!V119-data!V81</f>
        <v>-2.7585746506599085</v>
      </c>
      <c r="W81" s="45">
        <f>data!W119-data!W81</f>
        <v>8.7696254015273922E-2</v>
      </c>
      <c r="X81" s="45">
        <f>data!X119-data!X81</f>
        <v>7.5801915899951666E-2</v>
      </c>
      <c r="Y81" s="45">
        <f>data!Y119-data!Y81</f>
        <v>0</v>
      </c>
      <c r="Z81" s="45">
        <f>data!Z119-data!Z81</f>
        <v>0</v>
      </c>
      <c r="AA81" s="10">
        <v>4161.7847155581303</v>
      </c>
      <c r="AB81" s="11">
        <v>3597.3173374942398</v>
      </c>
    </row>
    <row r="82" spans="1:28" x14ac:dyDescent="0.35">
      <c r="A82" s="6" t="s">
        <v>31</v>
      </c>
      <c r="B82" s="21" t="s">
        <v>67</v>
      </c>
      <c r="C82" s="45">
        <f>data!C120-data!C82</f>
        <v>36.032590507810454</v>
      </c>
      <c r="D82" s="45">
        <f>data!D120-data!D82</f>
        <v>3.3829533441994899</v>
      </c>
      <c r="E82" s="45">
        <f>data!E120-data!E82</f>
        <v>32.649637163610961</v>
      </c>
      <c r="F82" s="45">
        <f>data!F120-data!F82</f>
        <v>-3.4285888645817053E-2</v>
      </c>
      <c r="G82" s="45">
        <f>data!G120-data!G82</f>
        <v>53.163057249189023</v>
      </c>
      <c r="H82" s="45">
        <f>data!H120-data!H82</f>
        <v>-1.5918448299843568E-2</v>
      </c>
      <c r="I82" s="45">
        <f>data!I120-data!I82</f>
        <v>53.178975697488909</v>
      </c>
      <c r="J82" s="45">
        <f>data!J120-data!J82</f>
        <v>0</v>
      </c>
      <c r="K82" s="45">
        <f>data!K120-data!K82</f>
        <v>1.8784999825512347</v>
      </c>
      <c r="L82" s="45">
        <f>data!L120-data!L82</f>
        <v>1.5413958123157809</v>
      </c>
      <c r="M82" s="45">
        <f>data!M120-data!M82</f>
        <v>0.1763647217280393</v>
      </c>
      <c r="N82" s="45">
        <f>data!N120-data!N82</f>
        <v>0.14471538250569216</v>
      </c>
      <c r="O82" s="45">
        <f>data!O120-data!O82</f>
        <v>1.7021352608231952</v>
      </c>
      <c r="P82" s="45">
        <f>data!P120-data!P82</f>
        <v>1.3966804298100892</v>
      </c>
      <c r="Q82" s="45">
        <f>data!Q120-data!Q82</f>
        <v>-1.7874385470275644E-3</v>
      </c>
      <c r="R82" s="45">
        <f>data!R120-data!R82</f>
        <v>-1.4666757076134407E-3</v>
      </c>
      <c r="S82" s="45">
        <f>data!S120-data!S82</f>
        <v>2.7715687578256336</v>
      </c>
      <c r="T82" s="45">
        <f>data!T120-data!T82</f>
        <v>2.2741999023367896</v>
      </c>
      <c r="U82" s="45">
        <f>data!U120-data!U82</f>
        <v>-8.2988218254853585E-4</v>
      </c>
      <c r="V82" s="45">
        <f>data!V120-data!V82</f>
        <v>-6.8095657853481373E-4</v>
      </c>
      <c r="W82" s="45">
        <f>data!W120-data!W82</f>
        <v>2.7723986400081841</v>
      </c>
      <c r="X82" s="45">
        <f>data!X120-data!X82</f>
        <v>2.2748808589153242</v>
      </c>
      <c r="Y82" s="45">
        <f>data!Y120-data!Y82</f>
        <v>0</v>
      </c>
      <c r="Z82" s="45">
        <f>data!Z120-data!Z82</f>
        <v>0</v>
      </c>
      <c r="AA82" s="10">
        <v>2337.6598158571201</v>
      </c>
      <c r="AB82" s="11">
        <v>1918.15761738117</v>
      </c>
    </row>
    <row r="83" spans="1:28" x14ac:dyDescent="0.35">
      <c r="A83" s="6" t="s">
        <v>32</v>
      </c>
      <c r="B83" s="21" t="s">
        <v>67</v>
      </c>
      <c r="C83" s="45">
        <f>data!C121-data!C83</f>
        <v>227.24510700030919</v>
      </c>
      <c r="D83" s="45">
        <f>data!D121-data!D83</f>
        <v>42.258318536499011</v>
      </c>
      <c r="E83" s="45">
        <f>data!E121-data!E83</f>
        <v>184.98678846381023</v>
      </c>
      <c r="F83" s="45">
        <f>data!F121-data!F83</f>
        <v>0.749897294020343</v>
      </c>
      <c r="G83" s="45">
        <f>data!G121-data!G83</f>
        <v>0.45282259677381376</v>
      </c>
      <c r="H83" s="45">
        <f>data!H121-data!H83</f>
        <v>0</v>
      </c>
      <c r="I83" s="45">
        <f>data!I121-data!I83</f>
        <v>0.45282259677381376</v>
      </c>
      <c r="J83" s="45">
        <f>data!J121-data!J83</f>
        <v>264.23338464211304</v>
      </c>
      <c r="K83" s="45">
        <f>data!K121-data!K83</f>
        <v>4.978714949146438</v>
      </c>
      <c r="L83" s="45">
        <f>data!L121-data!L83</f>
        <v>4.2676321756965621</v>
      </c>
      <c r="M83" s="45">
        <f>data!M121-data!M83</f>
        <v>0.9258378541157033</v>
      </c>
      <c r="N83" s="45">
        <f>data!N121-data!N83</f>
        <v>0.79360546969643764</v>
      </c>
      <c r="O83" s="45">
        <f>data!O121-data!O83</f>
        <v>4.052877095030734</v>
      </c>
      <c r="P83" s="45">
        <f>data!P121-data!P83</f>
        <v>3.4740267060001244</v>
      </c>
      <c r="Q83" s="45">
        <f>data!Q121-data!Q83</f>
        <v>1.6429506084188361E-2</v>
      </c>
      <c r="R83" s="45">
        <f>data!R121-data!R83</f>
        <v>1.4082969101836262E-2</v>
      </c>
      <c r="S83" s="45">
        <f>data!S121-data!S83</f>
        <v>9.9208940585282512E-3</v>
      </c>
      <c r="T83" s="45">
        <f>data!T121-data!T83</f>
        <v>8.5039467268783753E-3</v>
      </c>
      <c r="U83" s="45">
        <f>data!U121-data!U83</f>
        <v>0</v>
      </c>
      <c r="V83" s="45">
        <f>data!V121-data!V83</f>
        <v>0</v>
      </c>
      <c r="W83" s="45">
        <f>data!W121-data!W83</f>
        <v>9.9208940585282512E-3</v>
      </c>
      <c r="X83" s="45">
        <f>data!X121-data!X83</f>
        <v>8.5039467268783753E-3</v>
      </c>
      <c r="Y83" s="45">
        <f>data!Y121-data!Y83</f>
        <v>5.7890914332402303</v>
      </c>
      <c r="Z83" s="45">
        <f>data!Z121-data!Z83</f>
        <v>4.9622669947756144</v>
      </c>
      <c r="AA83" s="10">
        <v>5324.8522282316499</v>
      </c>
      <c r="AB83" s="11">
        <v>4564.3325500944502</v>
      </c>
    </row>
    <row r="84" spans="1:28" x14ac:dyDescent="0.35">
      <c r="A84" s="6" t="s">
        <v>33</v>
      </c>
      <c r="B84" s="21" t="s">
        <v>67</v>
      </c>
      <c r="C84" s="45">
        <f>data!C122-data!C84</f>
        <v>0.70983413309792809</v>
      </c>
      <c r="D84" s="45">
        <f>data!D122-data!D84</f>
        <v>5.4602625622917067E-2</v>
      </c>
      <c r="E84" s="45">
        <f>data!E122-data!E84</f>
        <v>0.65523150747500836</v>
      </c>
      <c r="F84" s="45">
        <f>data!F122-data!F84</f>
        <v>0.353311106971816</v>
      </c>
      <c r="G84" s="45">
        <f>data!G122-data!G84</f>
        <v>0.75908356013035672</v>
      </c>
      <c r="H84" s="45">
        <f>data!H122-data!H84</f>
        <v>0</v>
      </c>
      <c r="I84" s="45">
        <f>data!I122-data!I84</f>
        <v>0.75908356013035672</v>
      </c>
      <c r="J84" s="45">
        <f>data!J122-data!J84</f>
        <v>1.3382996476205165</v>
      </c>
      <c r="K84" s="45">
        <f>data!K122-data!K84</f>
        <v>4.3331529487037113E-2</v>
      </c>
      <c r="L84" s="45">
        <f>data!L122-data!L84</f>
        <v>3.2915423510035513E-2</v>
      </c>
      <c r="M84" s="45">
        <f>data!M122-data!M84</f>
        <v>3.3331945759259018E-3</v>
      </c>
      <c r="N84" s="45">
        <f>data!N122-data!N84</f>
        <v>2.5319556546181399E-3</v>
      </c>
      <c r="O84" s="45">
        <f>data!O122-data!O84</f>
        <v>3.9998334911111044E-2</v>
      </c>
      <c r="P84" s="45">
        <f>data!P122-data!P84</f>
        <v>3.0383467855417123E-2</v>
      </c>
      <c r="Q84" s="45">
        <f>data!Q122-data!Q84</f>
        <v>2.1567729608932495E-2</v>
      </c>
      <c r="R84" s="45">
        <f>data!R122-data!R84</f>
        <v>1.6383242471058601E-2</v>
      </c>
      <c r="S84" s="45">
        <f>data!S122-data!S84</f>
        <v>4.6337940281009793E-2</v>
      </c>
      <c r="T84" s="45">
        <f>data!T122-data!T84</f>
        <v>3.5199148218122644E-2</v>
      </c>
      <c r="U84" s="45">
        <f>data!U122-data!U84</f>
        <v>0</v>
      </c>
      <c r="V84" s="45">
        <f>data!V122-data!V84</f>
        <v>0</v>
      </c>
      <c r="W84" s="45">
        <f>data!W122-data!W84</f>
        <v>4.6337940281009793E-2</v>
      </c>
      <c r="X84" s="45">
        <f>data!X122-data!X84</f>
        <v>3.5199148218122644E-2</v>
      </c>
      <c r="Y84" s="45">
        <f>data!Y122-data!Y84</f>
        <v>8.1695945488379884E-2</v>
      </c>
      <c r="Z84" s="45">
        <f>data!Z122-data!Z84</f>
        <v>6.2057736632796789E-2</v>
      </c>
      <c r="AA84" s="10">
        <v>2156.5395714307001</v>
      </c>
      <c r="AB84" s="11">
        <v>1638.14696019506</v>
      </c>
    </row>
    <row r="85" spans="1:28" x14ac:dyDescent="0.35">
      <c r="A85" s="6" t="s">
        <v>34</v>
      </c>
      <c r="B85" s="21" t="s">
        <v>67</v>
      </c>
      <c r="C85" s="45">
        <f>data!C123-data!C85</f>
        <v>8.919494114882724</v>
      </c>
      <c r="D85" s="45">
        <f>data!D123-data!D85</f>
        <v>-1.0503963879287284</v>
      </c>
      <c r="E85" s="45">
        <f>data!E123-data!E85</f>
        <v>9.9698905028114524</v>
      </c>
      <c r="F85" s="45">
        <f>data!F123-data!F85</f>
        <v>0.614662243343852</v>
      </c>
      <c r="G85" s="45">
        <f>data!G123-data!G85</f>
        <v>6.8486823031478536</v>
      </c>
      <c r="H85" s="45">
        <f>data!H123-data!H85</f>
        <v>4.1453482675033571E-2</v>
      </c>
      <c r="I85" s="45">
        <f>data!I123-data!I85</f>
        <v>6.8072288204728011</v>
      </c>
      <c r="J85" s="45">
        <f>data!J123-data!J85</f>
        <v>-4.8979840922594775E-2</v>
      </c>
      <c r="K85" s="45">
        <f>data!K123-data!K85</f>
        <v>0.67371927964275846</v>
      </c>
      <c r="L85" s="45">
        <f>data!L123-data!L85</f>
        <v>0.49648519958912507</v>
      </c>
      <c r="M85" s="45">
        <f>data!M123-data!M85</f>
        <v>-7.9339959049236186E-2</v>
      </c>
      <c r="N85" s="45">
        <f>data!N123-data!N85</f>
        <v>-5.8468143326461275E-2</v>
      </c>
      <c r="O85" s="45">
        <f>data!O123-data!O85</f>
        <v>0.75305923869199454</v>
      </c>
      <c r="P85" s="45">
        <f>data!P123-data!P85</f>
        <v>0.5549533429155864</v>
      </c>
      <c r="Q85" s="45">
        <f>data!Q123-data!Q85</f>
        <v>4.6427498967486741E-2</v>
      </c>
      <c r="R85" s="45">
        <f>data!R123-data!R85</f>
        <v>3.4213903012422588E-2</v>
      </c>
      <c r="S85" s="45">
        <f>data!S123-data!S85</f>
        <v>0.51730392423040783</v>
      </c>
      <c r="T85" s="45">
        <f>data!T123-data!T85</f>
        <v>0.38121774132092234</v>
      </c>
      <c r="U85" s="45">
        <f>data!U123-data!U85</f>
        <v>3.1311204566980555E-3</v>
      </c>
      <c r="V85" s="45">
        <f>data!V123-data!V85</f>
        <v>2.3074224114613892E-3</v>
      </c>
      <c r="W85" s="45">
        <f>data!W123-data!W85</f>
        <v>0.514172803773711</v>
      </c>
      <c r="X85" s="45">
        <f>data!X123-data!X85</f>
        <v>0.37891031890946181</v>
      </c>
      <c r="Y85" s="45">
        <f>data!Y123-data!Y85</f>
        <v>-3.6996115158961507E-3</v>
      </c>
      <c r="Z85" s="45">
        <f>data!Z123-data!Z85</f>
        <v>-2.7263615831891741E-3</v>
      </c>
      <c r="AA85" s="10">
        <v>1796.5276955414199</v>
      </c>
      <c r="AB85" s="11">
        <v>1323.9184901480501</v>
      </c>
    </row>
    <row r="86" spans="1:28" x14ac:dyDescent="0.35">
      <c r="A86" s="6" t="s">
        <v>35</v>
      </c>
      <c r="B86" s="21" t="s">
        <v>67</v>
      </c>
      <c r="C86" s="45">
        <f>data!C124-data!C86</f>
        <v>199.10473073790882</v>
      </c>
      <c r="D86" s="45">
        <f>data!D124-data!D86</f>
        <v>103.96143780860356</v>
      </c>
      <c r="E86" s="45">
        <f>data!E124-data!E86</f>
        <v>95.143292929305233</v>
      </c>
      <c r="F86" s="45">
        <f>data!F124-data!F86</f>
        <v>3.838457100350162</v>
      </c>
      <c r="G86" s="45">
        <f>data!G124-data!G86</f>
        <v>-0.29967103393948946</v>
      </c>
      <c r="H86" s="45">
        <f>data!H124-data!H86</f>
        <v>-8.7880068603984896E-4</v>
      </c>
      <c r="I86" s="45">
        <f>data!I124-data!I86</f>
        <v>-0.29879223325349358</v>
      </c>
      <c r="J86" s="45">
        <f>data!J124-data!J86</f>
        <v>0</v>
      </c>
      <c r="K86" s="45">
        <f>data!K124-data!K86</f>
        <v>6.3059947144265589</v>
      </c>
      <c r="L86" s="45">
        <f>data!L124-data!L86</f>
        <v>6.7676927283776465</v>
      </c>
      <c r="M86" s="45">
        <f>data!M124-data!M86</f>
        <v>3.2926403852664432</v>
      </c>
      <c r="N86" s="45">
        <f>data!N124-data!N86</f>
        <v>3.5337134586476817</v>
      </c>
      <c r="O86" s="45">
        <f>data!O124-data!O86</f>
        <v>3.0133543291601157</v>
      </c>
      <c r="P86" s="45">
        <f>data!P124-data!P86</f>
        <v>3.2339792697299643</v>
      </c>
      <c r="Q86" s="45">
        <f>data!Q124-data!Q86</f>
        <v>0.12157064323209785</v>
      </c>
      <c r="R86" s="45">
        <f>data!R124-data!R86</f>
        <v>0.13047152676861692</v>
      </c>
      <c r="S86" s="45">
        <f>data!S124-data!S86</f>
        <v>-9.4911052544333074E-3</v>
      </c>
      <c r="T86" s="45">
        <f>data!T124-data!T86</f>
        <v>-1.0186003465518567E-2</v>
      </c>
      <c r="U86" s="45">
        <f>data!U124-data!U86</f>
        <v>-2.7833153238815411E-5</v>
      </c>
      <c r="V86" s="45">
        <f>data!V124-data!V86</f>
        <v>-2.9870977904758456E-5</v>
      </c>
      <c r="W86" s="45">
        <f>data!W124-data!W86</f>
        <v>-9.4632721011951304E-3</v>
      </c>
      <c r="X86" s="45">
        <f>data!X124-data!X86</f>
        <v>-1.0156132487614045E-2</v>
      </c>
      <c r="Y86" s="45">
        <f>data!Y124-data!Y86</f>
        <v>0</v>
      </c>
      <c r="Z86" s="45">
        <f>data!Z124-data!Z86</f>
        <v>0</v>
      </c>
      <c r="AA86" s="10">
        <v>2941.9883367789698</v>
      </c>
      <c r="AB86" s="11">
        <v>3157.38816403392</v>
      </c>
    </row>
    <row r="87" spans="1:28" x14ac:dyDescent="0.35">
      <c r="A87" s="6" t="s">
        <v>36</v>
      </c>
      <c r="B87" s="21" t="s">
        <v>67</v>
      </c>
      <c r="C87" s="45">
        <f>data!C125-data!C87</f>
        <v>1054.3000000000002</v>
      </c>
      <c r="D87" s="45">
        <f>data!D125-data!D87</f>
        <v>179.8</v>
      </c>
      <c r="E87" s="45">
        <f>data!E125-data!E87</f>
        <v>874.5</v>
      </c>
      <c r="F87" s="45">
        <f>data!F125-data!F87</f>
        <v>0</v>
      </c>
      <c r="G87" s="45">
        <f>data!G125-data!G87</f>
        <v>0</v>
      </c>
      <c r="H87" s="45">
        <f>data!H125-data!H87</f>
        <v>0</v>
      </c>
      <c r="I87" s="45">
        <f>data!I125-data!I87</f>
        <v>0</v>
      </c>
      <c r="J87" s="45">
        <f>data!J125-data!J87</f>
        <v>0</v>
      </c>
      <c r="K87" s="45">
        <f>data!K125-data!K87</f>
        <v>5.2902870798831074</v>
      </c>
      <c r="L87" s="45">
        <f>data!L125-data!L87</f>
        <v>5.2783053488644818</v>
      </c>
      <c r="M87" s="45">
        <f>data!M125-data!M87</f>
        <v>0.90220394286539163</v>
      </c>
      <c r="N87" s="45">
        <f>data!N125-data!N87</f>
        <v>0.90016058211688743</v>
      </c>
      <c r="O87" s="45">
        <f>data!O125-data!O87</f>
        <v>4.3880831370177162</v>
      </c>
      <c r="P87" s="45">
        <f>data!P125-data!P87</f>
        <v>4.3781447667475959</v>
      </c>
      <c r="Q87" s="45">
        <f>data!Q125-data!Q87</f>
        <v>0</v>
      </c>
      <c r="R87" s="45">
        <f>data!R125-data!R87</f>
        <v>0</v>
      </c>
      <c r="S87" s="45">
        <f>data!S125-data!S87</f>
        <v>0</v>
      </c>
      <c r="T87" s="45">
        <f>data!T125-data!T87</f>
        <v>0</v>
      </c>
      <c r="U87" s="45">
        <f>data!U125-data!U87</f>
        <v>0</v>
      </c>
      <c r="V87" s="45">
        <f>data!V125-data!V87</f>
        <v>0</v>
      </c>
      <c r="W87" s="45">
        <f>data!W125-data!W87</f>
        <v>0</v>
      </c>
      <c r="X87" s="45">
        <f>data!X125-data!X87</f>
        <v>0</v>
      </c>
      <c r="Y87" s="45">
        <f>data!Y125-data!Y87</f>
        <v>0</v>
      </c>
      <c r="Z87" s="45">
        <f>data!Z125-data!Z87</f>
        <v>0</v>
      </c>
      <c r="AA87" s="10">
        <v>19974.2138871676</v>
      </c>
      <c r="AB87" s="11">
        <v>19928.975197</v>
      </c>
    </row>
    <row r="88" spans="1:28" x14ac:dyDescent="0.35">
      <c r="A88" s="6" t="s">
        <v>37</v>
      </c>
      <c r="B88" s="21" t="s">
        <v>67</v>
      </c>
      <c r="C88" s="45">
        <f>data!C126-data!C88</f>
        <v>0.48248815777999443</v>
      </c>
      <c r="D88" s="45">
        <f>data!D126-data!D88</f>
        <v>0.51497751595394803</v>
      </c>
      <c r="E88" s="45">
        <f>data!E126-data!E88</f>
        <v>-3.2489358173953597E-2</v>
      </c>
      <c r="F88" s="45">
        <f>data!F126-data!F88</f>
        <v>2.1931635457429026</v>
      </c>
      <c r="G88" s="45">
        <f>data!G126-data!G88</f>
        <v>1.2548321813173946</v>
      </c>
      <c r="H88" s="45">
        <f>data!H126-data!H88</f>
        <v>0.10436173005807836</v>
      </c>
      <c r="I88" s="45">
        <f>data!I126-data!I88</f>
        <v>1.1504704512593162</v>
      </c>
      <c r="J88" s="45">
        <f>data!J126-data!J88</f>
        <v>7.6165976297277194</v>
      </c>
      <c r="K88" s="45">
        <f>data!K126-data!K88</f>
        <v>3.7719396269809247E-2</v>
      </c>
      <c r="L88" s="45">
        <f>data!L126-data!L88</f>
        <v>2.025841750776225E-2</v>
      </c>
      <c r="M88" s="45">
        <f>data!M126-data!M88</f>
        <v>4.0259311407112836E-2</v>
      </c>
      <c r="N88" s="45">
        <f>data!N126-data!N88</f>
        <v>2.1622560796740811E-2</v>
      </c>
      <c r="O88" s="45">
        <f>data!O126-data!O88</f>
        <v>-2.5399151373036166E-3</v>
      </c>
      <c r="P88" s="45">
        <f>data!P126-data!P88</f>
        <v>-1.3641432889785476E-3</v>
      </c>
      <c r="Q88" s="45">
        <f>data!Q126-data!Q88</f>
        <v>0.17145458086889964</v>
      </c>
      <c r="R88" s="45">
        <f>data!R126-data!R88</f>
        <v>9.2085208840966645E-2</v>
      </c>
      <c r="S88" s="45">
        <f>data!S126-data!S88</f>
        <v>9.8098806231845859E-2</v>
      </c>
      <c r="T88" s="45">
        <f>data!T126-data!T88</f>
        <v>5.2687125728162074E-2</v>
      </c>
      <c r="U88" s="45">
        <f>data!U126-data!U88</f>
        <v>8.1586695714477853E-3</v>
      </c>
      <c r="V88" s="45">
        <f>data!V126-data!V88</f>
        <v>4.3818764569823476E-3</v>
      </c>
      <c r="W88" s="45">
        <f>data!W126-data!W88</f>
        <v>8.9940136660398073E-2</v>
      </c>
      <c r="X88" s="45">
        <f>data!X126-data!X88</f>
        <v>4.8305249271179726E-2</v>
      </c>
      <c r="Y88" s="45">
        <f>data!Y126-data!Y88</f>
        <v>0.59544148305167344</v>
      </c>
      <c r="Z88" s="45">
        <f>data!Z126-data!Z88</f>
        <v>0.31980104026100237</v>
      </c>
      <c r="AA88" s="10">
        <v>2381.6675591522499</v>
      </c>
      <c r="AB88" s="11">
        <v>1279.1513266244399</v>
      </c>
    </row>
    <row r="89" spans="1:28" x14ac:dyDescent="0.35">
      <c r="A89" s="6" t="s">
        <v>38</v>
      </c>
      <c r="B89" s="21" t="s">
        <v>67</v>
      </c>
      <c r="C89" s="45">
        <f>data!C127-data!C89</f>
        <v>2.7067390270690295</v>
      </c>
      <c r="D89" s="45">
        <f>data!D127-data!D89</f>
        <v>6.3428250262197894E-2</v>
      </c>
      <c r="E89" s="45">
        <f>data!E127-data!E89</f>
        <v>2.6433107768068318</v>
      </c>
      <c r="F89" s="45">
        <f>data!F127-data!F89</f>
        <v>0.24881411564098421</v>
      </c>
      <c r="G89" s="45">
        <f>data!G127-data!G89</f>
        <v>-22.6690210199828</v>
      </c>
      <c r="H89" s="45">
        <f>data!H127-data!H89</f>
        <v>8.8709204053682544E-2</v>
      </c>
      <c r="I89" s="45">
        <f>data!I127-data!I89</f>
        <v>-22.757730224036486</v>
      </c>
      <c r="J89" s="45">
        <f>data!J127-data!J89</f>
        <v>2.2309957558467346</v>
      </c>
      <c r="K89" s="45">
        <f>data!K127-data!K89</f>
        <v>0.27147378625505836</v>
      </c>
      <c r="L89" s="45">
        <f>data!L127-data!L89</f>
        <v>0.11598072981153693</v>
      </c>
      <c r="M89" s="45">
        <f>data!M127-data!M89</f>
        <v>6.3615690622593202E-3</v>
      </c>
      <c r="N89" s="45">
        <f>data!N127-data!N89</f>
        <v>2.717829344650341E-3</v>
      </c>
      <c r="O89" s="45">
        <f>data!O127-data!O89</f>
        <v>0.26511221719279904</v>
      </c>
      <c r="P89" s="45">
        <f>data!P127-data!P89</f>
        <v>0.11326290046688661</v>
      </c>
      <c r="Q89" s="45">
        <f>data!Q127-data!Q89</f>
        <v>2.4954940011303717E-2</v>
      </c>
      <c r="R89" s="45">
        <f>data!R127-data!R89</f>
        <v>1.0661405636398502E-2</v>
      </c>
      <c r="S89" s="45">
        <f>data!S127-data!S89</f>
        <v>-2.2736011508483305</v>
      </c>
      <c r="T89" s="45">
        <f>data!T127-data!T89</f>
        <v>-0.97134211156575767</v>
      </c>
      <c r="U89" s="45">
        <f>data!U127-data!U89</f>
        <v>8.8971353570805323E-3</v>
      </c>
      <c r="V89" s="45">
        <f>data!V127-data!V89</f>
        <v>3.8010898443680274E-3</v>
      </c>
      <c r="W89" s="45">
        <f>data!W127-data!W89</f>
        <v>-2.2824982862054117</v>
      </c>
      <c r="X89" s="45">
        <f>data!X127-data!X89</f>
        <v>-0.975143201410126</v>
      </c>
      <c r="Y89" s="45">
        <f>data!Y127-data!Y89</f>
        <v>0.22375886958504054</v>
      </c>
      <c r="Z89" s="45">
        <f>data!Z127-data!Z89</f>
        <v>9.5595664518028367E-2</v>
      </c>
      <c r="AA89" s="10">
        <v>2333.7834064911899</v>
      </c>
      <c r="AB89" s="11">
        <v>997.05355143423003</v>
      </c>
    </row>
    <row r="90" spans="1:28" x14ac:dyDescent="0.35">
      <c r="A90" s="13" t="s">
        <v>39</v>
      </c>
      <c r="B90" s="21" t="s">
        <v>67</v>
      </c>
      <c r="C90" s="45">
        <f>data!C128-data!C90</f>
        <v>-0.15673549095230754</v>
      </c>
      <c r="D90" s="45">
        <f>data!D128-data!D90</f>
        <v>-8.8163713660671661E-3</v>
      </c>
      <c r="E90" s="45">
        <f>data!E128-data!E90</f>
        <v>-0.14791911958624127</v>
      </c>
      <c r="F90" s="45">
        <f>data!F128-data!F90</f>
        <v>0</v>
      </c>
      <c r="G90" s="45">
        <f>data!G128-data!G90</f>
        <v>-4.4081856830334942E-2</v>
      </c>
      <c r="H90" s="45">
        <f>data!H128-data!H90</f>
        <v>0</v>
      </c>
      <c r="I90" s="45">
        <f>data!I128-data!I90</f>
        <v>-4.4081856830334942E-2</v>
      </c>
      <c r="J90" s="45">
        <f>data!J128-data!J90</f>
        <v>0</v>
      </c>
      <c r="K90" s="45">
        <f>data!K128-data!K90</f>
        <v>-3.7863429173517815E-2</v>
      </c>
      <c r="L90" s="45">
        <f>data!L128-data!L90</f>
        <v>-3.3447667807116943E-2</v>
      </c>
      <c r="M90" s="45">
        <f>data!M128-data!M90</f>
        <v>-2.1298178910103549E-3</v>
      </c>
      <c r="N90" s="45">
        <f>data!N128-data!N90</f>
        <v>-1.8814313141501948E-3</v>
      </c>
      <c r="O90" s="45">
        <f>data!O128-data!O90</f>
        <v>-3.5733611282507738E-2</v>
      </c>
      <c r="P90" s="45">
        <f>data!P128-data!P90</f>
        <v>-3.1566236492966304E-2</v>
      </c>
      <c r="Q90" s="45">
        <f>data!Q128-data!Q90</f>
        <v>0</v>
      </c>
      <c r="R90" s="45">
        <f>data!R128-data!R90</f>
        <v>0</v>
      </c>
      <c r="S90" s="45">
        <f>data!S128-data!S90</f>
        <v>-1.0649089455051275E-2</v>
      </c>
      <c r="T90" s="45">
        <f>data!T128-data!T90</f>
        <v>-9.4071565707509741E-3</v>
      </c>
      <c r="U90" s="45">
        <f>data!U128-data!U90</f>
        <v>0</v>
      </c>
      <c r="V90" s="45">
        <f>data!V128-data!V90</f>
        <v>0</v>
      </c>
      <c r="W90" s="45">
        <f>data!W128-data!W90</f>
        <v>-1.0649089455051275E-2</v>
      </c>
      <c r="X90" s="45">
        <f>data!X128-data!X90</f>
        <v>-9.4071565707509741E-3</v>
      </c>
      <c r="Y90" s="45">
        <f>data!Y128-data!Y90</f>
        <v>0</v>
      </c>
      <c r="Z90" s="45">
        <f>data!Z128-data!Z90</f>
        <v>0</v>
      </c>
      <c r="AA90" s="10">
        <v>468.59916169988998</v>
      </c>
      <c r="AB90" s="11">
        <v>413.94954015926999</v>
      </c>
    </row>
    <row r="91" spans="1:28" x14ac:dyDescent="0.35">
      <c r="A91" s="6" t="s">
        <v>40</v>
      </c>
      <c r="B91" s="21" t="s">
        <v>67</v>
      </c>
      <c r="C91" s="45">
        <f>data!C129-data!C91</f>
        <v>16.647247256710656</v>
      </c>
      <c r="D91" s="45">
        <f>data!D129-data!D91</f>
        <v>5.4475010377742272</v>
      </c>
      <c r="E91" s="45">
        <f>data!E129-data!E91</f>
        <v>11.199746218936426</v>
      </c>
      <c r="F91" s="45">
        <f>data!F129-data!F91</f>
        <v>-2.6968633951647494</v>
      </c>
      <c r="G91" s="45">
        <f>data!G129-data!G91</f>
        <v>-0.37390929665895811</v>
      </c>
      <c r="H91" s="45">
        <f>data!H129-data!H91</f>
        <v>-0.11921412386145835</v>
      </c>
      <c r="I91" s="45">
        <f>data!I129-data!I91</f>
        <v>-0.25469517279749709</v>
      </c>
      <c r="J91" s="45">
        <f>data!J129-data!J91</f>
        <v>0</v>
      </c>
      <c r="K91" s="45">
        <f>data!K129-data!K91</f>
        <v>3.3620104008685532</v>
      </c>
      <c r="L91" s="45">
        <f>data!L129-data!L91</f>
        <v>2.9977649381601279</v>
      </c>
      <c r="M91" s="45">
        <f>data!M129-data!M91</f>
        <v>1.1001551707208788</v>
      </c>
      <c r="N91" s="45">
        <f>data!N129-data!N91</f>
        <v>0.98096263963686792</v>
      </c>
      <c r="O91" s="45">
        <f>data!O129-data!O91</f>
        <v>2.2618552301476749</v>
      </c>
      <c r="P91" s="45">
        <f>data!P129-data!P91</f>
        <v>2.0168022985232601</v>
      </c>
      <c r="Q91" s="45">
        <f>data!Q129-data!Q91</f>
        <v>-0.54464757112384632</v>
      </c>
      <c r="R91" s="45">
        <f>data!R129-data!R91</f>
        <v>-0.48563960181305132</v>
      </c>
      <c r="S91" s="45">
        <f>data!S129-data!S91</f>
        <v>-7.5513201970499821E-2</v>
      </c>
      <c r="T91" s="45">
        <f>data!T129-data!T91</f>
        <v>-6.7331983618162283E-2</v>
      </c>
      <c r="U91" s="45">
        <f>data!U129-data!U91</f>
        <v>-2.4075999963963368E-2</v>
      </c>
      <c r="V91" s="45">
        <f>data!V129-data!V91</f>
        <v>-2.1467568489516947E-2</v>
      </c>
      <c r="W91" s="45">
        <f>data!W129-data!W91</f>
        <v>-5.1437202006535898E-2</v>
      </c>
      <c r="X91" s="45">
        <f>data!X129-data!X91</f>
        <v>-4.586441512864603E-2</v>
      </c>
      <c r="Y91" s="45">
        <f>data!Y129-data!Y91</f>
        <v>0</v>
      </c>
      <c r="Z91" s="45">
        <f>data!Z129-data!Z91</f>
        <v>0</v>
      </c>
      <c r="AA91" s="10">
        <v>555.32196820367994</v>
      </c>
      <c r="AB91" s="11">
        <v>495.15751802582002</v>
      </c>
    </row>
    <row r="92" spans="1:28" x14ac:dyDescent="0.35">
      <c r="A92" s="13" t="s">
        <v>41</v>
      </c>
      <c r="B92" s="21" t="s">
        <v>67</v>
      </c>
      <c r="C92" s="45">
        <f>data!C130-data!C92</f>
        <v>2.4930645985307542</v>
      </c>
      <c r="D92" s="45">
        <f>data!D130-data!D92</f>
        <v>0.32729011819604903</v>
      </c>
      <c r="E92" s="45">
        <f>data!E130-data!E92</f>
        <v>2.1657744803347061</v>
      </c>
      <c r="F92" s="45">
        <f>data!F130-data!F92</f>
        <v>-3.1076018610880274E-2</v>
      </c>
      <c r="G92" s="45">
        <f>data!G130-data!G92</f>
        <v>-0.25641147142569309</v>
      </c>
      <c r="H92" s="45">
        <f>data!H130-data!H92</f>
        <v>-4.9722637971640754E-4</v>
      </c>
      <c r="I92" s="45">
        <f>data!I130-data!I92</f>
        <v>-0.25591424504597882</v>
      </c>
      <c r="J92" s="45">
        <f>data!J130-data!J92</f>
        <v>0</v>
      </c>
      <c r="K92" s="45">
        <f>data!K130-data!K92</f>
        <v>1.1561215823126894</v>
      </c>
      <c r="L92" s="45">
        <f>data!L130-data!L92</f>
        <v>0.61195135498629538</v>
      </c>
      <c r="M92" s="45">
        <f>data!M130-data!M92</f>
        <v>0.15177591850091621</v>
      </c>
      <c r="N92" s="45">
        <f>data!N130-data!N92</f>
        <v>8.0337120595162959E-2</v>
      </c>
      <c r="O92" s="45">
        <f>data!O130-data!O92</f>
        <v>1.0043456638117734</v>
      </c>
      <c r="P92" s="45">
        <f>data!P130-data!P92</f>
        <v>0.53161423439113231</v>
      </c>
      <c r="Q92" s="45">
        <f>data!Q130-data!Q92</f>
        <v>-1.4411040864951041E-2</v>
      </c>
      <c r="R92" s="45">
        <f>data!R130-data!R92</f>
        <v>-7.6279658809141337E-3</v>
      </c>
      <c r="S92" s="45">
        <f>data!S130-data!S92</f>
        <v>-0.11890700154440736</v>
      </c>
      <c r="T92" s="45">
        <f>data!T130-data!T92</f>
        <v>-6.2939142237013357E-2</v>
      </c>
      <c r="U92" s="45">
        <f>data!U130-data!U92</f>
        <v>-2.3058132918983218E-4</v>
      </c>
      <c r="V92" s="45">
        <f>data!V130-data!V92</f>
        <v>-1.2204992882322747E-4</v>
      </c>
      <c r="W92" s="45">
        <f>data!W130-data!W92</f>
        <v>-0.11867642021521974</v>
      </c>
      <c r="X92" s="45">
        <f>data!X130-data!X92</f>
        <v>-6.2817092308188549E-2</v>
      </c>
      <c r="Y92" s="45">
        <f>data!Y130-data!Y92</f>
        <v>0</v>
      </c>
      <c r="Z92" s="45">
        <f>data!Z130-data!Z92</f>
        <v>0</v>
      </c>
      <c r="AA92" s="10">
        <v>407.39587848230002</v>
      </c>
      <c r="AB92" s="11">
        <v>215.64034757863999</v>
      </c>
    </row>
    <row r="93" spans="1:28" x14ac:dyDescent="0.35">
      <c r="A93" s="13" t="s">
        <v>42</v>
      </c>
      <c r="B93" s="21" t="s">
        <v>67</v>
      </c>
      <c r="C93" s="45">
        <f>data!C131-data!C93</f>
        <v>-13.901541641016703</v>
      </c>
      <c r="D93" s="45">
        <f>data!D131-data!D93</f>
        <v>-9.3165876622045007E-5</v>
      </c>
      <c r="E93" s="45">
        <f>data!E131-data!E93</f>
        <v>-13.90144847514008</v>
      </c>
      <c r="F93" s="45">
        <f>data!F131-data!F93</f>
        <v>-2.0426618449381095E-2</v>
      </c>
      <c r="G93" s="45">
        <f>data!G131-data!G93</f>
        <v>-15.907093829902593</v>
      </c>
      <c r="H93" s="45">
        <f>data!H131-data!H93</f>
        <v>-0.28382197792848274</v>
      </c>
      <c r="I93" s="45">
        <f>data!I131-data!I93</f>
        <v>-15.623271851974112</v>
      </c>
      <c r="J93" s="45">
        <f>data!J131-data!J93</f>
        <v>0</v>
      </c>
      <c r="K93" s="45">
        <f>data!K131-data!K93</f>
        <v>-4.1796257792179414</v>
      </c>
      <c r="L93" s="45">
        <f>data!L131-data!L93</f>
        <v>-4.4690359761759257</v>
      </c>
      <c r="M93" s="45">
        <f>data!M131-data!M93</f>
        <v>-2.8011173848804805E-5</v>
      </c>
      <c r="N93" s="45">
        <f>data!N131-data!N93</f>
        <v>-2.9950754033447602E-5</v>
      </c>
      <c r="O93" s="45">
        <f>data!O131-data!O93</f>
        <v>-4.1795977680440926</v>
      </c>
      <c r="P93" s="45">
        <f>data!P131-data!P93</f>
        <v>-4.4690060254218924</v>
      </c>
      <c r="Q93" s="45">
        <f>data!Q131-data!Q93</f>
        <v>-6.1414498663516781E-3</v>
      </c>
      <c r="R93" s="45">
        <f>data!R131-data!R93</f>
        <v>-6.5667028218339141E-3</v>
      </c>
      <c r="S93" s="45">
        <f>data!S131-data!S93</f>
        <v>-4.7826134079786158</v>
      </c>
      <c r="T93" s="45">
        <f>data!T131-data!T93</f>
        <v>-5.1137763305682995</v>
      </c>
      <c r="U93" s="45">
        <f>data!U131-data!U93</f>
        <v>-8.5333676385819679E-2</v>
      </c>
      <c r="V93" s="45">
        <f>data!V131-data!V93</f>
        <v>-9.1242443676127216E-2</v>
      </c>
      <c r="W93" s="45">
        <f>data!W131-data!W93</f>
        <v>-4.697279731592797</v>
      </c>
      <c r="X93" s="45">
        <f>data!X131-data!X93</f>
        <v>-5.0225338868921714</v>
      </c>
      <c r="Y93" s="45">
        <f>data!Y131-data!Y93</f>
        <v>0</v>
      </c>
      <c r="Z93" s="45">
        <f>data!Z131-data!Z93</f>
        <v>0</v>
      </c>
      <c r="AA93" s="10">
        <v>311.06354290107998</v>
      </c>
      <c r="AB93" s="11">
        <v>332.60254327404999</v>
      </c>
    </row>
    <row r="94" spans="1:28" x14ac:dyDescent="0.35">
      <c r="A94" s="13" t="s">
        <v>43</v>
      </c>
      <c r="B94" s="21" t="s">
        <v>67</v>
      </c>
      <c r="C94" s="45">
        <f>data!C132-data!C94</f>
        <v>-6.8806318739236261E-3</v>
      </c>
      <c r="D94" s="45">
        <f>data!D132-data!D94</f>
        <v>-1.1265363412197305E-3</v>
      </c>
      <c r="E94" s="45">
        <f>data!E132-data!E94</f>
        <v>-5.7540955327037846E-3</v>
      </c>
      <c r="F94" s="45">
        <f>data!F132-data!F94</f>
        <v>0</v>
      </c>
      <c r="G94" s="45">
        <f>data!G132-data!G94</f>
        <v>-5.6816615470212106E-3</v>
      </c>
      <c r="H94" s="45">
        <f>data!H132-data!H94</f>
        <v>-4.2122663193432386E-3</v>
      </c>
      <c r="I94" s="45">
        <f>data!I132-data!I94</f>
        <v>-1.469395227677861E-3</v>
      </c>
      <c r="J94" s="45">
        <f>data!J132-data!J94</f>
        <v>0</v>
      </c>
      <c r="K94" s="45">
        <f>data!K132-data!K94</f>
        <v>-2.5582685845138009E-2</v>
      </c>
      <c r="L94" s="45">
        <f>data!L132-data!L94</f>
        <v>-1.4986704770683978E-2</v>
      </c>
      <c r="M94" s="45">
        <f>data!M132-data!M94</f>
        <v>-4.1885434126736065E-3</v>
      </c>
      <c r="N94" s="45">
        <f>data!N132-data!N94</f>
        <v>-2.4537088843963328E-3</v>
      </c>
      <c r="O94" s="45">
        <f>data!O132-data!O94</f>
        <v>-2.1394142432464403E-2</v>
      </c>
      <c r="P94" s="45">
        <f>data!P132-data!P94</f>
        <v>-1.2532995886287424E-2</v>
      </c>
      <c r="Q94" s="45">
        <f>data!Q132-data!Q94</f>
        <v>0</v>
      </c>
      <c r="R94" s="45">
        <f>data!R132-data!R94</f>
        <v>0</v>
      </c>
      <c r="S94" s="45">
        <f>data!S132-data!S94</f>
        <v>-2.1124827646528566E-2</v>
      </c>
      <c r="T94" s="45">
        <f>data!T132-data!T94</f>
        <v>-1.237522741695507E-2</v>
      </c>
      <c r="U94" s="45">
        <f>data!U132-data!U94</f>
        <v>-1.5661510151737001E-2</v>
      </c>
      <c r="V94" s="45">
        <f>data!V132-data!V94</f>
        <v>-9.1747375677426746E-3</v>
      </c>
      <c r="W94" s="45">
        <f>data!W132-data!W94</f>
        <v>-5.4633174947917862E-3</v>
      </c>
      <c r="X94" s="45">
        <f>data!X132-data!X94</f>
        <v>-3.2004898492123957E-3</v>
      </c>
      <c r="Y94" s="45">
        <f>data!Y132-data!Y94</f>
        <v>0</v>
      </c>
      <c r="Z94" s="45">
        <f>data!Z132-data!Z94</f>
        <v>0</v>
      </c>
      <c r="AA94" s="10">
        <v>45.911572818750003</v>
      </c>
      <c r="AB94" s="11">
        <v>26.895658710639999</v>
      </c>
    </row>
    <row r="95" spans="1:28" x14ac:dyDescent="0.35">
      <c r="A95" s="13" t="s">
        <v>44</v>
      </c>
      <c r="B95" s="21" t="s">
        <v>67</v>
      </c>
      <c r="C95" s="45">
        <f>data!C133-data!C95</f>
        <v>1.0519623383661809</v>
      </c>
      <c r="D95" s="45">
        <f>data!D133-data!D95</f>
        <v>0.6196774981599118</v>
      </c>
      <c r="E95" s="45">
        <f>data!E133-data!E95</f>
        <v>0.43228484020626912</v>
      </c>
      <c r="F95" s="45">
        <f>data!F133-data!F95</f>
        <v>-7.7974502276702218E-2</v>
      </c>
      <c r="G95" s="45">
        <f>data!G133-data!G95</f>
        <v>-7.5037116293415806E-2</v>
      </c>
      <c r="H95" s="45">
        <f>data!H133-data!H95</f>
        <v>-1.1853121503268227E-2</v>
      </c>
      <c r="I95" s="45">
        <f>data!I133-data!I95</f>
        <v>-6.3183994790149356E-2</v>
      </c>
      <c r="J95" s="45">
        <f>data!J133-data!J95</f>
        <v>-4.8979840922596107E-3</v>
      </c>
      <c r="K95" s="45">
        <f>data!K133-data!K95</f>
        <v>0.41294855970658695</v>
      </c>
      <c r="L95" s="45">
        <f>data!L133-data!L95</f>
        <v>0.41428510274810515</v>
      </c>
      <c r="M95" s="45">
        <f>data!M133-data!M95</f>
        <v>0.24325484004033038</v>
      </c>
      <c r="N95" s="45">
        <f>data!N133-data!N95</f>
        <v>0.24404215496401593</v>
      </c>
      <c r="O95" s="45">
        <f>data!O133-data!O95</f>
        <v>0.1696937196662569</v>
      </c>
      <c r="P95" s="45">
        <f>data!P133-data!P95</f>
        <v>0.17024294778408944</v>
      </c>
      <c r="Q95" s="45">
        <f>data!Q133-data!Q95</f>
        <v>-3.0608945999922144E-2</v>
      </c>
      <c r="R95" s="45">
        <f>data!R133-data!R95</f>
        <v>-3.0708014450029797E-2</v>
      </c>
      <c r="S95" s="45">
        <f>data!S133-data!S95</f>
        <v>-2.9455873055330706E-2</v>
      </c>
      <c r="T95" s="45">
        <f>data!T133-data!T95</f>
        <v>-2.9551209487045149E-2</v>
      </c>
      <c r="U95" s="45">
        <f>data!U133-data!U95</f>
        <v>-4.6529512267556861E-3</v>
      </c>
      <c r="V95" s="45">
        <f>data!V133-data!V95</f>
        <v>-4.6680108980838853E-3</v>
      </c>
      <c r="W95" s="45">
        <f>data!W133-data!W95</f>
        <v>-2.4802921828574576E-2</v>
      </c>
      <c r="X95" s="45">
        <f>data!X133-data!X95</f>
        <v>-2.4883198588961264E-2</v>
      </c>
      <c r="Y95" s="45">
        <f>data!Y133-data!Y95</f>
        <v>-1.9227071184940714E-3</v>
      </c>
      <c r="Z95" s="45">
        <f>data!Z133-data!Z95</f>
        <v>-1.9289301231751876E-3</v>
      </c>
      <c r="AA95" s="10">
        <v>253.92231856471</v>
      </c>
      <c r="AB95" s="11">
        <v>254.7441596875</v>
      </c>
    </row>
    <row r="96" spans="1:28" x14ac:dyDescent="0.35">
      <c r="A96" s="15" t="s">
        <v>45</v>
      </c>
      <c r="B96" s="23" t="s">
        <v>67</v>
      </c>
      <c r="C96" s="45">
        <f>data!C134-data!C96</f>
        <v>7.9529738437430826</v>
      </c>
      <c r="D96" s="45">
        <f>data!D134-data!D96</f>
        <v>0.36466848586374184</v>
      </c>
      <c r="E96" s="45">
        <f>data!E134-data!E96</f>
        <v>7.5883053578793405</v>
      </c>
      <c r="F96" s="45">
        <f>data!F134-data!F96</f>
        <v>0.41954023295295251</v>
      </c>
      <c r="G96" s="45">
        <f>data!G134-data!G96</f>
        <v>6.360550016758193</v>
      </c>
      <c r="H96" s="45">
        <f>data!H134-data!H96</f>
        <v>6.41999440943819</v>
      </c>
      <c r="I96" s="45">
        <f>data!I134-data!I96</f>
        <v>-5.9444392679996572E-2</v>
      </c>
      <c r="J96" s="45">
        <f>data!J134-data!J96</f>
        <v>0</v>
      </c>
      <c r="K96" s="45">
        <f>data!K134-data!K96</f>
        <v>3.9003710215667908</v>
      </c>
      <c r="L96" s="45">
        <f>data!L134-data!L96</f>
        <v>2.6374108372741398</v>
      </c>
      <c r="M96" s="45">
        <f>data!M134-data!M96</f>
        <v>0.17884409312632038</v>
      </c>
      <c r="N96" s="45">
        <f>data!N134-data!N96</f>
        <v>0.12093345653161611</v>
      </c>
      <c r="O96" s="45">
        <f>data!O134-data!O96</f>
        <v>3.7215269284404711</v>
      </c>
      <c r="P96" s="45">
        <f>data!P134-data!P96</f>
        <v>2.5164773807425238</v>
      </c>
      <c r="Q96" s="45">
        <f>data!Q134-data!Q96</f>
        <v>0.2057548030638211</v>
      </c>
      <c r="R96" s="45">
        <f>data!R134-data!R96</f>
        <v>0.13913034027304905</v>
      </c>
      <c r="S96" s="45">
        <f>data!S134-data!S96</f>
        <v>3.1193997935888671</v>
      </c>
      <c r="T96" s="45">
        <f>data!T134-data!T96</f>
        <v>2.1093221070279422</v>
      </c>
      <c r="U96" s="45">
        <f>data!U134-data!U96</f>
        <v>3.1485530626878351</v>
      </c>
      <c r="V96" s="45">
        <f>data!V134-data!V96</f>
        <v>2.1290353977478338</v>
      </c>
      <c r="W96" s="45">
        <f>data!W134-data!W96</f>
        <v>-2.9153269098967982E-2</v>
      </c>
      <c r="X96" s="45">
        <f>data!X134-data!X96</f>
        <v>-1.9713290719891807E-2</v>
      </c>
      <c r="Y96" s="45">
        <f>data!Y134-data!Y96</f>
        <v>0</v>
      </c>
      <c r="Z96" s="45">
        <f>data!Z134-data!Z96</f>
        <v>0</v>
      </c>
      <c r="AA96" s="10">
        <v>301.54474727050001</v>
      </c>
      <c r="AB96" s="11">
        <v>203.90300819506001</v>
      </c>
    </row>
    <row r="97" spans="1:28" x14ac:dyDescent="0.35">
      <c r="A97" s="13" t="s">
        <v>46</v>
      </c>
      <c r="B97" s="21" t="s">
        <v>67</v>
      </c>
      <c r="C97" s="45">
        <f>data!C135-data!C97</f>
        <v>2.6266750867859234E-2</v>
      </c>
      <c r="D97" s="45">
        <f>data!D135-data!D97</f>
        <v>2.8942786299298612E-2</v>
      </c>
      <c r="E97" s="45">
        <f>data!E135-data!E97</f>
        <v>-2.6760354314394608E-3</v>
      </c>
      <c r="F97" s="45">
        <f>data!F135-data!F97</f>
        <v>0</v>
      </c>
      <c r="G97" s="45">
        <f>data!G135-data!G97</f>
        <v>-2.8565706996578344E-3</v>
      </c>
      <c r="H97" s="45">
        <f>data!H135-data!H97</f>
        <v>0</v>
      </c>
      <c r="I97" s="45">
        <f>data!I135-data!I97</f>
        <v>-2.8565706996578344E-3</v>
      </c>
      <c r="J97" s="45">
        <f>data!J135-data!J97</f>
        <v>0</v>
      </c>
      <c r="K97" s="45">
        <f>data!K135-data!K97</f>
        <v>0.1267088812672359</v>
      </c>
      <c r="L97" s="45">
        <f>data!L135-data!L97</f>
        <v>0.13774479070298007</v>
      </c>
      <c r="M97" s="45">
        <f>data!M135-data!M97</f>
        <v>0.1396178800792699</v>
      </c>
      <c r="N97" s="45">
        <f>data!N135-data!N97</f>
        <v>0.15177811908347744</v>
      </c>
      <c r="O97" s="45">
        <f>data!O135-data!O97</f>
        <v>-1.2908998812033445E-2</v>
      </c>
      <c r="P97" s="45">
        <f>data!P135-data!P97</f>
        <v>-1.4033328380497423E-2</v>
      </c>
      <c r="Q97" s="45">
        <f>data!Q135-data!Q97</f>
        <v>0</v>
      </c>
      <c r="R97" s="45">
        <f>data!R135-data!R97</f>
        <v>0</v>
      </c>
      <c r="S97" s="45">
        <f>data!S135-data!S97</f>
        <v>-1.3779887715664074E-2</v>
      </c>
      <c r="T97" s="45">
        <f>data!T135-data!T97</f>
        <v>-1.4980068723843942E-2</v>
      </c>
      <c r="U97" s="45">
        <f>data!U135-data!U97</f>
        <v>0</v>
      </c>
      <c r="V97" s="45">
        <f>data!V135-data!V97</f>
        <v>0</v>
      </c>
      <c r="W97" s="45">
        <f>data!W135-data!W97</f>
        <v>-1.3779887715664074E-2</v>
      </c>
      <c r="X97" s="45">
        <f>data!X135-data!X97</f>
        <v>-1.4980068723843942E-2</v>
      </c>
      <c r="Y97" s="45">
        <f>data!Y135-data!Y97</f>
        <v>0</v>
      </c>
      <c r="Z97" s="45">
        <f>data!Z135-data!Z97</f>
        <v>0</v>
      </c>
      <c r="AA97" s="10">
        <v>19.06914282116</v>
      </c>
      <c r="AB97" s="11">
        <v>20.729999827290001</v>
      </c>
    </row>
    <row r="98" spans="1:28" x14ac:dyDescent="0.35">
      <c r="A98" s="13" t="s">
        <v>47</v>
      </c>
      <c r="B98" s="21" t="s">
        <v>67</v>
      </c>
      <c r="C98" s="45">
        <f>data!C136-data!C98</f>
        <v>-1.0488086526857074</v>
      </c>
      <c r="D98" s="45">
        <f>data!D136-data!D98</f>
        <v>0.78867720461602975</v>
      </c>
      <c r="E98" s="45">
        <f>data!E136-data!E98</f>
        <v>-1.8374858573017363</v>
      </c>
      <c r="F98" s="45">
        <f>data!F136-data!F98</f>
        <v>-0.39790349422996352</v>
      </c>
      <c r="G98" s="45">
        <f>data!G136-data!G98</f>
        <v>-0.70896838615191271</v>
      </c>
      <c r="H98" s="45">
        <f>data!H136-data!H98</f>
        <v>-0.8826455907679418</v>
      </c>
      <c r="I98" s="45">
        <f>data!I136-data!I98</f>
        <v>0.17367720461602909</v>
      </c>
      <c r="J98" s="45">
        <f>data!J136-data!J98</f>
        <v>0</v>
      </c>
      <c r="K98" s="45">
        <f>data!K136-data!K98</f>
        <v>-0.28234265530790292</v>
      </c>
      <c r="L98" s="45">
        <f>data!L136-data!L98</f>
        <v>-0.2509767519875501</v>
      </c>
      <c r="M98" s="45">
        <f>data!M136-data!M98</f>
        <v>0.2123144346319894</v>
      </c>
      <c r="N98" s="45">
        <f>data!N136-data!N98</f>
        <v>0.18872807987832985</v>
      </c>
      <c r="O98" s="45">
        <f>data!O136-data!O98</f>
        <v>-0.4946570899398921</v>
      </c>
      <c r="P98" s="45">
        <f>data!P136-data!P98</f>
        <v>-0.43970483186588005</v>
      </c>
      <c r="Q98" s="45">
        <f>data!Q136-data!Q98</f>
        <v>-0.10711689766240606</v>
      </c>
      <c r="R98" s="45">
        <f>data!R136-data!R98</f>
        <v>-9.5217107840031567E-2</v>
      </c>
      <c r="S98" s="45">
        <f>data!S136-data!S98</f>
        <v>-0.19085656488712699</v>
      </c>
      <c r="T98" s="45">
        <f>data!T136-data!T98</f>
        <v>-0.1696539996715527</v>
      </c>
      <c r="U98" s="45">
        <f>data!U136-data!U98</f>
        <v>-0.23761102576249737</v>
      </c>
      <c r="V98" s="45">
        <f>data!V136-data!V98</f>
        <v>-0.21121443168857401</v>
      </c>
      <c r="W98" s="45">
        <f>data!W136-data!W98</f>
        <v>4.6754460875370385E-2</v>
      </c>
      <c r="X98" s="45">
        <f>data!X136-data!X98</f>
        <v>4.156043201702142E-2</v>
      </c>
      <c r="Y98" s="45">
        <f>data!Y136-data!Y98</f>
        <v>0</v>
      </c>
      <c r="Z98" s="45">
        <f>data!Z136-data!Z98</f>
        <v>0</v>
      </c>
      <c r="AA98" s="10">
        <v>417.89075855828003</v>
      </c>
      <c r="AB98" s="11">
        <v>371.46659669328</v>
      </c>
    </row>
    <row r="99" spans="1:28" x14ac:dyDescent="0.35">
      <c r="A99" s="13" t="s">
        <v>48</v>
      </c>
      <c r="B99" s="21" t="s">
        <v>67</v>
      </c>
      <c r="C99" s="45">
        <f>data!C137-data!C99</f>
        <v>0.973540694996057</v>
      </c>
      <c r="D99" s="45">
        <f>data!D137-data!D99</f>
        <v>0.44152575336758204</v>
      </c>
      <c r="E99" s="45">
        <f>data!E137-data!E99</f>
        <v>0.53201494162847496</v>
      </c>
      <c r="F99" s="45">
        <f>data!F137-data!F99</f>
        <v>3.791341716091079E-3</v>
      </c>
      <c r="G99" s="45">
        <f>data!G137-data!G99</f>
        <v>-8.6212863034837994E-3</v>
      </c>
      <c r="H99" s="45">
        <f>data!H137-data!H99</f>
        <v>-2.7209392217096395E-2</v>
      </c>
      <c r="I99" s="45">
        <f>data!I137-data!I99</f>
        <v>1.8588105913613262E-2</v>
      </c>
      <c r="J99" s="45">
        <f>data!J137-data!J99</f>
        <v>0</v>
      </c>
      <c r="K99" s="45">
        <f>data!K137-data!K99</f>
        <v>0.27158958003625511</v>
      </c>
      <c r="L99" s="45">
        <f>data!L137-data!L99</f>
        <v>0.28433120662361766</v>
      </c>
      <c r="M99" s="45">
        <f>data!M137-data!M99</f>
        <v>0.12317286226312141</v>
      </c>
      <c r="N99" s="45">
        <f>data!N137-data!N99</f>
        <v>0.12895151774925506</v>
      </c>
      <c r="O99" s="45">
        <f>data!O137-data!O99</f>
        <v>0.14841671777313348</v>
      </c>
      <c r="P99" s="45">
        <f>data!P137-data!P99</f>
        <v>0.15537968887436193</v>
      </c>
      <c r="Q99" s="45">
        <f>data!Q137-data!Q99</f>
        <v>1.057674229479777E-3</v>
      </c>
      <c r="R99" s="45">
        <f>data!R137-data!R99</f>
        <v>1.1072950215634814E-3</v>
      </c>
      <c r="S99" s="45">
        <f>data!S137-data!S99</f>
        <v>-2.4050884966291264E-3</v>
      </c>
      <c r="T99" s="45">
        <f>data!T137-data!T99</f>
        <v>-2.5179232362004811E-3</v>
      </c>
      <c r="U99" s="45">
        <f>data!U137-data!U99</f>
        <v>-7.5906302050505192E-3</v>
      </c>
      <c r="V99" s="45">
        <f>data!V137-data!V99</f>
        <v>-7.9467446613658566E-3</v>
      </c>
      <c r="W99" s="45">
        <f>data!W137-data!W99</f>
        <v>5.1855417084216704E-3</v>
      </c>
      <c r="X99" s="45">
        <f>data!X137-data!X99</f>
        <v>5.428821425165431E-3</v>
      </c>
      <c r="Y99" s="45">
        <f>data!Y137-data!Y99</f>
        <v>0</v>
      </c>
      <c r="Z99" s="45">
        <f>data!Z137-data!Z99</f>
        <v>0</v>
      </c>
      <c r="AA99" s="10">
        <v>342.39670930134002</v>
      </c>
      <c r="AB99" s="11">
        <v>358.46025273358998</v>
      </c>
    </row>
    <row r="100" spans="1:28" x14ac:dyDescent="0.35">
      <c r="A100" s="15" t="s">
        <v>49</v>
      </c>
      <c r="B100" s="21" t="s">
        <v>67</v>
      </c>
      <c r="C100" s="45">
        <f>data!C138-data!C100</f>
        <v>-2.320598333070123E-2</v>
      </c>
      <c r="D100" s="45">
        <f>data!D138-data!D100</f>
        <v>7.9292813335628265E-3</v>
      </c>
      <c r="E100" s="45">
        <f>data!E138-data!E100</f>
        <v>-3.1135264664263751E-2</v>
      </c>
      <c r="F100" s="45">
        <f>data!F138-data!F100</f>
        <v>0</v>
      </c>
      <c r="G100" s="45">
        <f>data!G138-data!G100</f>
        <v>-6.9654562634122397E-2</v>
      </c>
      <c r="H100" s="45">
        <f>data!H138-data!H100</f>
        <v>-3.4533528024344173E-3</v>
      </c>
      <c r="I100" s="45">
        <f>data!I138-data!I100</f>
        <v>-6.620120983168809E-2</v>
      </c>
      <c r="J100" s="45">
        <f>data!J138-data!J100</f>
        <v>0</v>
      </c>
      <c r="K100" s="45">
        <f>data!K138-data!K100</f>
        <v>-7.694271777970485E-2</v>
      </c>
      <c r="L100" s="45">
        <f>data!L138-data!L100</f>
        <v>-4.1870983365384973E-2</v>
      </c>
      <c r="M100" s="45">
        <f>data!M138-data!M100</f>
        <v>2.6290653024690913E-2</v>
      </c>
      <c r="N100" s="45">
        <f>data!N138-data!N100</f>
        <v>1.4306948431606903E-2</v>
      </c>
      <c r="O100" s="45">
        <f>data!O138-data!O100</f>
        <v>-0.10323337080439643</v>
      </c>
      <c r="P100" s="45">
        <f>data!P138-data!P100</f>
        <v>-5.6177931796991487E-2</v>
      </c>
      <c r="Q100" s="45">
        <f>data!Q138-data!Q100</f>
        <v>0</v>
      </c>
      <c r="R100" s="45">
        <f>data!R138-data!R100</f>
        <v>0</v>
      </c>
      <c r="S100" s="45">
        <f>data!S138-data!S100</f>
        <v>-0.2309495477287431</v>
      </c>
      <c r="T100" s="45">
        <f>data!T138-data!T100</f>
        <v>-0.12567901096085188</v>
      </c>
      <c r="U100" s="45">
        <f>data!U138-data!U100</f>
        <v>-1.1450079330184604E-2</v>
      </c>
      <c r="V100" s="45">
        <f>data!V138-data!V100</f>
        <v>-6.2309481001066591E-3</v>
      </c>
      <c r="W100" s="45">
        <f>data!W138-data!W100</f>
        <v>-0.21949946839855849</v>
      </c>
      <c r="X100" s="45">
        <f>data!X138-data!X100</f>
        <v>-0.11944806286074527</v>
      </c>
      <c r="Y100" s="45">
        <f>data!Y138-data!Y100</f>
        <v>0</v>
      </c>
      <c r="Z100" s="45">
        <f>data!Z138-data!Z100</f>
        <v>0</v>
      </c>
      <c r="AA100" s="16">
        <v>55.422589739999999</v>
      </c>
      <c r="AB100" s="11">
        <v>30.160077523049999</v>
      </c>
    </row>
    <row r="101" spans="1:28" x14ac:dyDescent="0.35">
      <c r="A101" s="13" t="s">
        <v>50</v>
      </c>
      <c r="B101" s="21" t="s">
        <v>67</v>
      </c>
      <c r="C101" s="45">
        <f>data!C139-data!C101</f>
        <v>-7.703633648629804E-3</v>
      </c>
      <c r="D101" s="45">
        <f>data!D139-data!D101</f>
        <v>-2.4489920461298054E-3</v>
      </c>
      <c r="E101" s="45">
        <f>data!E139-data!E101</f>
        <v>-5.2546416025003317E-3</v>
      </c>
      <c r="F101" s="45">
        <f>data!F139-data!F101</f>
        <v>-1.0726585162048163E-2</v>
      </c>
      <c r="G101" s="45">
        <f>data!G139-data!G101</f>
        <v>-8.4245326386862551E-3</v>
      </c>
      <c r="H101" s="45">
        <f>data!H139-data!H101</f>
        <v>-1.5673549095230332E-3</v>
      </c>
      <c r="I101" s="45">
        <f>data!I139-data!I101</f>
        <v>-6.8571777291632774E-3</v>
      </c>
      <c r="J101" s="45">
        <f>data!J139-data!J101</f>
        <v>0</v>
      </c>
      <c r="K101" s="45">
        <f>data!K139-data!K101</f>
        <v>-1.5977084088098614E-2</v>
      </c>
      <c r="L101" s="45">
        <f>data!L139-data!L101</f>
        <v>-7.9307649394055879E-3</v>
      </c>
      <c r="M101" s="45">
        <f>data!M139-data!M101</f>
        <v>-5.0791293611240906E-3</v>
      </c>
      <c r="N101" s="45">
        <f>data!N139-data!N101</f>
        <v>-2.5211972871768129E-3</v>
      </c>
      <c r="O101" s="45">
        <f>data!O139-data!O101</f>
        <v>-1.0897954726974746E-2</v>
      </c>
      <c r="P101" s="45">
        <f>data!P139-data!P101</f>
        <v>-5.409567652228997E-3</v>
      </c>
      <c r="Q101" s="45">
        <f>data!Q139-data!Q101</f>
        <v>-2.224658660172274E-2</v>
      </c>
      <c r="R101" s="45">
        <f>data!R139-data!R101</f>
        <v>-1.1042844117833184E-2</v>
      </c>
      <c r="S101" s="45">
        <f>data!S139-data!S101</f>
        <v>-1.7472205002266428E-2</v>
      </c>
      <c r="T101" s="45">
        <f>data!T139-data!T101</f>
        <v>-8.6729186678873305E-3</v>
      </c>
      <c r="U101" s="45">
        <f>data!U139-data!U101</f>
        <v>-3.250642791119307E-3</v>
      </c>
      <c r="V101" s="45">
        <f>data!V139-data!V101</f>
        <v>-1.6135662637930537E-3</v>
      </c>
      <c r="W101" s="45">
        <f>data!W139-data!W101</f>
        <v>-1.422156221114701E-2</v>
      </c>
      <c r="X101" s="45">
        <f>data!X139-data!X101</f>
        <v>-7.0593524040942768E-3</v>
      </c>
      <c r="Y101" s="45">
        <f>data!Y139-data!Y101</f>
        <v>0</v>
      </c>
      <c r="Z101" s="45">
        <f>data!Z139-data!Z101</f>
        <v>0</v>
      </c>
      <c r="AA101" s="10">
        <v>97.136073348400004</v>
      </c>
      <c r="AB101" s="11">
        <v>48.216768505140003</v>
      </c>
    </row>
    <row r="102" spans="1:28" x14ac:dyDescent="0.35">
      <c r="A102" s="13" t="s">
        <v>51</v>
      </c>
      <c r="B102" s="21" t="s">
        <v>67</v>
      </c>
      <c r="C102" s="45">
        <f>data!C140-data!C102</f>
        <v>-0.58431545748586755</v>
      </c>
      <c r="D102" s="45">
        <f>data!D140-data!D102</f>
        <v>-9.795968184519166E-4</v>
      </c>
      <c r="E102" s="45">
        <f>data!E140-data!E102</f>
        <v>-0.5833358606674155</v>
      </c>
      <c r="F102" s="45">
        <f>data!F140-data!F102</f>
        <v>2.1423395009906088E-2</v>
      </c>
      <c r="G102" s="45">
        <f>data!G140-data!G102</f>
        <v>0.44306040520924173</v>
      </c>
      <c r="H102" s="45">
        <f>data!H140-data!H102</f>
        <v>0.45530536543989036</v>
      </c>
      <c r="I102" s="45">
        <f>data!I140-data!I102</f>
        <v>-1.2244960230648694E-2</v>
      </c>
      <c r="J102" s="45">
        <f>data!J140-data!J102</f>
        <v>-0.23304046522143085</v>
      </c>
      <c r="K102" s="45">
        <f>data!K140-data!K102</f>
        <v>-0.8779108192297338</v>
      </c>
      <c r="L102" s="45">
        <f>data!L140-data!L102</f>
        <v>-0.88074279209785278</v>
      </c>
      <c r="M102" s="45">
        <f>data!M140-data!M102</f>
        <v>-1.471805399607784E-3</v>
      </c>
      <c r="N102" s="45">
        <f>data!N140-data!N102</f>
        <v>-1.476553163124894E-3</v>
      </c>
      <c r="O102" s="45">
        <f>data!O140-data!O102</f>
        <v>-0.87643901383012679</v>
      </c>
      <c r="P102" s="45">
        <f>data!P140-data!P102</f>
        <v>-0.87926623893472833</v>
      </c>
      <c r="Q102" s="45">
        <f>data!Q140-data!Q102</f>
        <v>3.2187802021793388E-2</v>
      </c>
      <c r="R102" s="45">
        <f>data!R140-data!R102</f>
        <v>3.2291633732274505E-2</v>
      </c>
      <c r="S102" s="45">
        <f>data!S140-data!S102</f>
        <v>0.66568070093355658</v>
      </c>
      <c r="T102" s="45">
        <f>data!T140-data!T102</f>
        <v>0.66782805991647276</v>
      </c>
      <c r="U102" s="45">
        <f>data!U140-data!U102</f>
        <v>0.68407826842865238</v>
      </c>
      <c r="V102" s="45">
        <f>data!V140-data!V102</f>
        <v>0.68628497445553482</v>
      </c>
      <c r="W102" s="45">
        <f>data!W140-data!W102</f>
        <v>-1.8397567495095579E-2</v>
      </c>
      <c r="X102" s="45">
        <f>data!X140-data!X102</f>
        <v>-1.8456914539061842E-2</v>
      </c>
      <c r="Y102" s="45">
        <f>data!Y140-data!Y102</f>
        <v>-0.35013406391216906</v>
      </c>
      <c r="Z102" s="45">
        <f>data!Z140-data!Z102</f>
        <v>-0.35126352962495422</v>
      </c>
      <c r="AA102" s="10">
        <v>66.343484468840003</v>
      </c>
      <c r="AB102" s="11">
        <v>66.557495896739994</v>
      </c>
    </row>
    <row r="103" spans="1:28" x14ac:dyDescent="0.35">
      <c r="A103" s="13" t="s">
        <v>52</v>
      </c>
      <c r="B103" s="21" t="s">
        <v>67</v>
      </c>
      <c r="C103" s="45">
        <f>data!C141-data!C103</f>
        <v>-0.1743682336844401</v>
      </c>
      <c r="D103" s="45">
        <f>data!D141-data!D103</f>
        <v>2.4860569687780369</v>
      </c>
      <c r="E103" s="45">
        <f>data!E141-data!E103</f>
        <v>-2.660425202462477</v>
      </c>
      <c r="F103" s="45">
        <f>data!F141-data!F103</f>
        <v>-16.523238726327065</v>
      </c>
      <c r="G103" s="45">
        <f>data!G141-data!G103</f>
        <v>36.262795760146666</v>
      </c>
      <c r="H103" s="45">
        <f>data!H141-data!H103</f>
        <v>0</v>
      </c>
      <c r="I103" s="45">
        <f>data!I141-data!I103</f>
        <v>36.262795760146666</v>
      </c>
      <c r="J103" s="45">
        <f>data!J141-data!J103</f>
        <v>0</v>
      </c>
      <c r="K103" s="45">
        <f>data!K141-data!K103</f>
        <v>-2.0751936298543328E-2</v>
      </c>
      <c r="L103" s="45">
        <f>data!L141-data!L103</f>
        <v>-1.8700200811554879E-2</v>
      </c>
      <c r="M103" s="45">
        <f>data!M141-data!M103</f>
        <v>0.29587095516490514</v>
      </c>
      <c r="N103" s="45">
        <f>data!N141-data!N103</f>
        <v>0.26661831437283784</v>
      </c>
      <c r="O103" s="45">
        <f>data!O141-data!O103</f>
        <v>-0.31662289146344857</v>
      </c>
      <c r="P103" s="45">
        <f>data!P141-data!P103</f>
        <v>-0.28531851518439311</v>
      </c>
      <c r="Q103" s="45">
        <f>data!Q141-data!Q103</f>
        <v>-1.966465968307672</v>
      </c>
      <c r="R103" s="45">
        <f>data!R141-data!R103</f>
        <v>-1.7720422792075785</v>
      </c>
      <c r="S103" s="45">
        <f>data!S141-data!S103</f>
        <v>4.3157128550348984</v>
      </c>
      <c r="T103" s="45">
        <f>data!T141-data!T103</f>
        <v>3.8890200833849073</v>
      </c>
      <c r="U103" s="45">
        <f>data!U141-data!U103</f>
        <v>0</v>
      </c>
      <c r="V103" s="45">
        <f>data!V141-data!V103</f>
        <v>0</v>
      </c>
      <c r="W103" s="45">
        <f>data!W141-data!W103</f>
        <v>4.3157128550348984</v>
      </c>
      <c r="X103" s="45">
        <f>data!X141-data!X103</f>
        <v>3.8890200833849073</v>
      </c>
      <c r="Y103" s="45">
        <f>data!Y141-data!Y103</f>
        <v>0</v>
      </c>
      <c r="Z103" s="45">
        <f>data!Z141-data!Z103</f>
        <v>0</v>
      </c>
      <c r="AA103" s="10">
        <v>932.44043441874999</v>
      </c>
      <c r="AB103" s="11">
        <v>840.25042856688003</v>
      </c>
    </row>
    <row r="104" spans="1:28" x14ac:dyDescent="0.35">
      <c r="A104" s="13" t="s">
        <v>53</v>
      </c>
      <c r="B104" s="21" t="s">
        <v>67</v>
      </c>
      <c r="C104" s="45">
        <f>data!C142-data!C104</f>
        <v>2.2603788228926902</v>
      </c>
      <c r="D104" s="45">
        <f>data!D142-data!D104</f>
        <v>2.0118179613490823</v>
      </c>
      <c r="E104" s="45">
        <f>data!E142-data!E104</f>
        <v>0.24856086154360924</v>
      </c>
      <c r="F104" s="45">
        <f>data!F142-data!F104</f>
        <v>0</v>
      </c>
      <c r="G104" s="45">
        <f>data!G142-data!G104</f>
        <v>-2.2791011296807095</v>
      </c>
      <c r="H104" s="45">
        <f>data!H142-data!H104</f>
        <v>-2.3060249665030246</v>
      </c>
      <c r="I104" s="45">
        <f>data!I142-data!I104</f>
        <v>2.6923836822314584E-2</v>
      </c>
      <c r="J104" s="45">
        <f>data!J142-data!J104</f>
        <v>0</v>
      </c>
      <c r="K104" s="45">
        <f>data!K142-data!K104</f>
        <v>1.1138213198458615</v>
      </c>
      <c r="L104" s="45">
        <f>data!L142-data!L104</f>
        <v>1.1653010685747809</v>
      </c>
      <c r="M104" s="45">
        <f>data!M142-data!M104</f>
        <v>0.99134079398771069</v>
      </c>
      <c r="N104" s="45">
        <f>data!N142-data!N104</f>
        <v>1.0371596107672962</v>
      </c>
      <c r="O104" s="45">
        <f>data!O142-data!O104</f>
        <v>0.12248052585815117</v>
      </c>
      <c r="P104" s="45">
        <f>data!P142-data!P104</f>
        <v>0.12814145780748376</v>
      </c>
      <c r="Q104" s="45">
        <f>data!Q142-data!Q104</f>
        <v>0</v>
      </c>
      <c r="R104" s="45">
        <f>data!R142-data!R104</f>
        <v>0</v>
      </c>
      <c r="S104" s="45">
        <f>data!S142-data!S104</f>
        <v>-1.1230468993133358</v>
      </c>
      <c r="T104" s="45">
        <f>data!T142-data!T104</f>
        <v>-1.1749530454404735</v>
      </c>
      <c r="U104" s="45">
        <f>data!U142-data!U104</f>
        <v>-1.1363138540206745</v>
      </c>
      <c r="V104" s="45">
        <f>data!V142-data!V104</f>
        <v>-1.1888331860175412</v>
      </c>
      <c r="W104" s="45">
        <f>data!W142-data!W104</f>
        <v>1.3266954707338519E-2</v>
      </c>
      <c r="X104" s="45">
        <f>data!X142-data!X104</f>
        <v>1.3880140577067657E-2</v>
      </c>
      <c r="Y104" s="45">
        <f>data!Y142-data!Y104</f>
        <v>0</v>
      </c>
      <c r="Z104" s="45">
        <f>data!Z142-data!Z104</f>
        <v>0</v>
      </c>
      <c r="AA104" s="10">
        <v>193.97380504054999</v>
      </c>
      <c r="AB104" s="11">
        <v>202.93908750153</v>
      </c>
    </row>
    <row r="105" spans="1:28" x14ac:dyDescent="0.35">
      <c r="A105" s="13" t="s">
        <v>54</v>
      </c>
      <c r="B105" s="21" t="s">
        <v>67</v>
      </c>
      <c r="C105" s="45">
        <f>data!C143-data!C105</f>
        <v>13.348965621899447</v>
      </c>
      <c r="D105" s="45">
        <f>data!D143-data!D105</f>
        <v>1.1414792455781</v>
      </c>
      <c r="E105" s="45">
        <f>data!E143-data!E105</f>
        <v>12.207486376321347</v>
      </c>
      <c r="F105" s="45">
        <f>data!F143-data!F105</f>
        <v>0</v>
      </c>
      <c r="G105" s="45">
        <f>data!G143-data!G105</f>
        <v>-5.3846464626538513</v>
      </c>
      <c r="H105" s="45">
        <f>data!H143-data!H105</f>
        <v>0.17176997453820242</v>
      </c>
      <c r="I105" s="45">
        <f>data!I143-data!I105</f>
        <v>-5.5564164371920555</v>
      </c>
      <c r="J105" s="45">
        <f>data!J143-data!J105</f>
        <v>0</v>
      </c>
      <c r="K105" s="45">
        <f>data!K143-data!K105</f>
        <v>3.2538664984422607</v>
      </c>
      <c r="L105" s="45">
        <f>data!L143-data!L105</f>
        <v>4.0395803375278465</v>
      </c>
      <c r="M105" s="45">
        <f>data!M143-data!M105</f>
        <v>0.27824036566252114</v>
      </c>
      <c r="N105" s="45">
        <f>data!N143-data!N105</f>
        <v>0.34542729727078975</v>
      </c>
      <c r="O105" s="45">
        <f>data!O143-data!O105</f>
        <v>2.9756261327797398</v>
      </c>
      <c r="P105" s="45">
        <f>data!P143-data!P105</f>
        <v>3.6941530402570568</v>
      </c>
      <c r="Q105" s="45">
        <f>data!Q143-data!Q105</f>
        <v>0</v>
      </c>
      <c r="R105" s="45">
        <f>data!R143-data!R105</f>
        <v>0</v>
      </c>
      <c r="S105" s="45">
        <f>data!S143-data!S105</f>
        <v>-1.3125302159772825</v>
      </c>
      <c r="T105" s="45">
        <f>data!T143-data!T105</f>
        <v>-1.6294679746115257</v>
      </c>
      <c r="U105" s="45">
        <f>data!U143-data!U105</f>
        <v>4.1869653531148243E-2</v>
      </c>
      <c r="V105" s="45">
        <f>data!V143-data!V105</f>
        <v>5.1979953456756656E-2</v>
      </c>
      <c r="W105" s="45">
        <f>data!W143-data!W105</f>
        <v>-1.3543998695084309</v>
      </c>
      <c r="X105" s="45">
        <f>data!X143-data!X105</f>
        <v>-1.6814479280682826</v>
      </c>
      <c r="Y105" s="45">
        <f>data!Y143-data!Y105</f>
        <v>0</v>
      </c>
      <c r="Z105" s="45">
        <f>data!Z143-data!Z105</f>
        <v>0</v>
      </c>
      <c r="AA105" s="10">
        <v>330.45426768437</v>
      </c>
      <c r="AB105" s="11">
        <v>410.24933347112</v>
      </c>
    </row>
    <row r="106" spans="1:28" x14ac:dyDescent="0.35">
      <c r="A106" s="13" t="s">
        <v>55</v>
      </c>
      <c r="B106" s="21" t="s">
        <v>67</v>
      </c>
      <c r="C106" s="45">
        <f>data!C144-data!C106</f>
        <v>3.6115856237378878</v>
      </c>
      <c r="D106" s="45">
        <f>data!D144-data!D106</f>
        <v>0.6751212736122203</v>
      </c>
      <c r="E106" s="45">
        <f>data!E144-data!E106</f>
        <v>2.9364643501256689</v>
      </c>
      <c r="F106" s="45">
        <f>data!F144-data!F106</f>
        <v>-3.8694074328850192E-2</v>
      </c>
      <c r="G106" s="45">
        <f>data!G144-data!G106</f>
        <v>-6.3673793199374273E-2</v>
      </c>
      <c r="H106" s="45">
        <f>data!H144-data!H106</f>
        <v>0</v>
      </c>
      <c r="I106" s="45">
        <f>data!I144-data!I106</f>
        <v>-6.3673793199374273E-2</v>
      </c>
      <c r="J106" s="45">
        <f>data!J144-data!J106</f>
        <v>0</v>
      </c>
      <c r="K106" s="45">
        <f>data!K144-data!K106</f>
        <v>1.6241891285072558</v>
      </c>
      <c r="L106" s="45">
        <f>data!L144-data!L106</f>
        <v>1.0584457968359593</v>
      </c>
      <c r="M106" s="45">
        <f>data!M144-data!M106</f>
        <v>0.30361307947894312</v>
      </c>
      <c r="N106" s="45">
        <f>data!N144-data!N106</f>
        <v>0.19785749220859516</v>
      </c>
      <c r="O106" s="45">
        <f>data!O144-data!O106</f>
        <v>1.320576049028312</v>
      </c>
      <c r="P106" s="45">
        <f>data!P144-data!P106</f>
        <v>0.86058830462736391</v>
      </c>
      <c r="Q106" s="45">
        <f>data!Q144-data!Q106</f>
        <v>-1.7401358131868605E-2</v>
      </c>
      <c r="R106" s="45">
        <f>data!R144-data!R106</f>
        <v>-1.1340055200862675E-2</v>
      </c>
      <c r="S106" s="45">
        <f>data!S144-data!S106</f>
        <v>-2.8635146292947944E-2</v>
      </c>
      <c r="T106" s="45">
        <f>data!T144-data!T106</f>
        <v>-1.8660850330533663E-2</v>
      </c>
      <c r="U106" s="45">
        <f>data!U144-data!U106</f>
        <v>0</v>
      </c>
      <c r="V106" s="45">
        <f>data!V144-data!V106</f>
        <v>0</v>
      </c>
      <c r="W106" s="45">
        <f>data!W144-data!W106</f>
        <v>-2.8635146292947944E-2</v>
      </c>
      <c r="X106" s="45">
        <f>data!X144-data!X106</f>
        <v>-1.8660850330533663E-2</v>
      </c>
      <c r="Y106" s="45">
        <f>data!Y144-data!Y106</f>
        <v>0</v>
      </c>
      <c r="Z106" s="45">
        <f>data!Z144-data!Z106</f>
        <v>0</v>
      </c>
      <c r="AA106" s="10">
        <v>341.21592570296002</v>
      </c>
      <c r="AB106" s="11">
        <v>222.36238134761999</v>
      </c>
    </row>
    <row r="107" spans="1:28" x14ac:dyDescent="0.35">
      <c r="A107" s="13" t="s">
        <v>56</v>
      </c>
      <c r="B107" s="21" t="s">
        <v>67</v>
      </c>
      <c r="C107" s="45">
        <f>data!C145-data!C107</f>
        <v>1.4522233867921304</v>
      </c>
      <c r="D107" s="45">
        <f>data!D145-data!D107</f>
        <v>-2.9240262794754668E-2</v>
      </c>
      <c r="E107" s="45">
        <f>data!E145-data!E107</f>
        <v>1.4814636495868849</v>
      </c>
      <c r="F107" s="45">
        <f>data!F145-data!F107</f>
        <v>-0.86142947575367323</v>
      </c>
      <c r="G107" s="45">
        <f>data!G145-data!G107</f>
        <v>-1.9640916209961112E-2</v>
      </c>
      <c r="H107" s="45">
        <f>data!H145-data!H107</f>
        <v>0</v>
      </c>
      <c r="I107" s="45">
        <f>data!I145-data!I107</f>
        <v>-1.9640916209961112E-2</v>
      </c>
      <c r="J107" s="45">
        <f>data!J145-data!J107</f>
        <v>0</v>
      </c>
      <c r="K107" s="45">
        <f>data!K145-data!K107</f>
        <v>1.4596814661431066</v>
      </c>
      <c r="L107" s="45">
        <f>data!L145-data!L107</f>
        <v>0.79919071648164497</v>
      </c>
      <c r="M107" s="45">
        <f>data!M145-data!M107</f>
        <v>-2.9390429912396543E-2</v>
      </c>
      <c r="N107" s="45">
        <f>data!N145-data!N107</f>
        <v>-1.6091564690106808E-2</v>
      </c>
      <c r="O107" s="45">
        <f>data!O145-data!O107</f>
        <v>1.4890718960555032</v>
      </c>
      <c r="P107" s="45">
        <f>data!P145-data!P107</f>
        <v>0.81528228117175172</v>
      </c>
      <c r="Q107" s="45">
        <f>data!Q145-data!Q107</f>
        <v>-0.86585345724568874</v>
      </c>
      <c r="R107" s="45">
        <f>data!R145-data!R107</f>
        <v>-0.47406373302300298</v>
      </c>
      <c r="S107" s="45">
        <f>data!S145-data!S107</f>
        <v>-1.9741784652758554E-2</v>
      </c>
      <c r="T107" s="45">
        <f>data!T145-data!T107</f>
        <v>-1.0808831506885497E-2</v>
      </c>
      <c r="U107" s="45">
        <f>data!U145-data!U107</f>
        <v>0</v>
      </c>
      <c r="V107" s="45">
        <f>data!V145-data!V107</f>
        <v>0</v>
      </c>
      <c r="W107" s="45">
        <f>data!W145-data!W107</f>
        <v>-1.9741784652758554E-2</v>
      </c>
      <c r="X107" s="45">
        <f>data!X145-data!X107</f>
        <v>-1.0808831506885497E-2</v>
      </c>
      <c r="Y107" s="45">
        <f>data!Y145-data!Y107</f>
        <v>0</v>
      </c>
      <c r="Z107" s="45">
        <f>data!Z145-data!Z107</f>
        <v>0</v>
      </c>
      <c r="AA107" s="10">
        <v>181.71174374815001</v>
      </c>
      <c r="AB107" s="11">
        <v>99.489061173690004</v>
      </c>
    </row>
    <row r="108" spans="1:28" x14ac:dyDescent="0.35">
      <c r="A108" s="15" t="s">
        <v>57</v>
      </c>
      <c r="B108" s="23" t="s">
        <v>67</v>
      </c>
      <c r="C108" s="45">
        <f>data!C146-data!C108</f>
        <v>-1.3494009366438235</v>
      </c>
      <c r="D108" s="45">
        <f>data!D146-data!D108</f>
        <v>0.34098922567069284</v>
      </c>
      <c r="E108" s="45">
        <f>data!E146-data!E108</f>
        <v>-1.6903901623145159</v>
      </c>
      <c r="F108" s="45">
        <f>data!F146-data!F108</f>
        <v>0.1</v>
      </c>
      <c r="G108" s="45">
        <f>data!G146-data!G108</f>
        <v>0.18483194669322733</v>
      </c>
      <c r="H108" s="45">
        <f>data!H146-data!H108</f>
        <v>0.31410316138480565</v>
      </c>
      <c r="I108" s="45">
        <f>data!I146-data!I108</f>
        <v>-0.12927121469157843</v>
      </c>
      <c r="J108" s="45">
        <f>data!J146-data!J108</f>
        <v>-0.11431613976919908</v>
      </c>
      <c r="K108" s="45">
        <f>data!K146-data!K108</f>
        <v>-2.6764281263188883</v>
      </c>
      <c r="L108" s="45">
        <f>data!L146-data!L108</f>
        <v>-1.7746550232987701</v>
      </c>
      <c r="M108" s="45">
        <f>data!M146-data!M108</f>
        <v>0.67632467828768994</v>
      </c>
      <c r="N108" s="45">
        <f>data!N146-data!N108</f>
        <v>0.44844954956999583</v>
      </c>
      <c r="O108" s="45">
        <f>data!O146-data!O108</f>
        <v>-3.3527528046065784</v>
      </c>
      <c r="P108" s="45">
        <f>data!P146-data!P108</f>
        <v>-2.2231045728687659</v>
      </c>
      <c r="Q108" s="45">
        <f>data!Q146-data!Q108</f>
        <v>0.19834194964882682</v>
      </c>
      <c r="R108" s="45">
        <f>data!R146-data!R108</f>
        <v>0.13151428720011285</v>
      </c>
      <c r="S108" s="45">
        <f>data!S146-data!S108</f>
        <v>0.36659928664522656</v>
      </c>
      <c r="T108" s="45">
        <f>data!T146-data!T108</f>
        <v>0.24308041721169005</v>
      </c>
      <c r="U108" s="45">
        <f>data!U146-data!U108</f>
        <v>0.62299833419922468</v>
      </c>
      <c r="V108" s="45">
        <f>data!V146-data!V108</f>
        <v>0.41309053376824723</v>
      </c>
      <c r="W108" s="45">
        <f>data!W146-data!W108</f>
        <v>-0.25639904755399812</v>
      </c>
      <c r="X108" s="45">
        <f>data!X146-data!X108</f>
        <v>-0.17001011655655685</v>
      </c>
      <c r="Y108" s="45">
        <f>data!Y146-data!Y108</f>
        <v>-0.22673686038150731</v>
      </c>
      <c r="Z108" s="45">
        <f>data!Z146-data!Z108</f>
        <v>-0.1503420563721469</v>
      </c>
      <c r="AA108" s="10">
        <v>76.037366075549997</v>
      </c>
      <c r="AB108" s="11">
        <v>50.417977728389999</v>
      </c>
    </row>
    <row r="109" spans="1:28" x14ac:dyDescent="0.35">
      <c r="A109" s="13" t="s">
        <v>58</v>
      </c>
      <c r="B109" s="21" t="s">
        <v>67</v>
      </c>
      <c r="C109" s="45">
        <f>data!C147-data!C109</f>
        <v>-5.4196425105654953</v>
      </c>
      <c r="D109" s="45">
        <f>data!D147-data!D109</f>
        <v>2.5312199052560214</v>
      </c>
      <c r="E109" s="45">
        <f>data!E147-data!E109</f>
        <v>-7.9508624158215149</v>
      </c>
      <c r="F109" s="45">
        <f>data!F147-data!F109</f>
        <v>1.9866714963131784</v>
      </c>
      <c r="G109" s="45">
        <f>data!G147-data!G109</f>
        <v>-0.14794341217610452</v>
      </c>
      <c r="H109" s="45">
        <f>data!H147-data!H109</f>
        <v>-6.6142068110832675E-3</v>
      </c>
      <c r="I109" s="45">
        <f>data!I147-data!I109</f>
        <v>-0.14132920536502169</v>
      </c>
      <c r="J109" s="45">
        <f>data!J147-data!J109</f>
        <v>0</v>
      </c>
      <c r="K109" s="45">
        <f>data!K147-data!K109</f>
        <v>-0.98570984582049714</v>
      </c>
      <c r="L109" s="45">
        <f>data!L147-data!L109</f>
        <v>-1.0402295194879061</v>
      </c>
      <c r="M109" s="45">
        <f>data!M147-data!M109</f>
        <v>0.46037139491832468</v>
      </c>
      <c r="N109" s="45">
        <f>data!N147-data!N109</f>
        <v>0.48583456577248674</v>
      </c>
      <c r="O109" s="45">
        <f>data!O147-data!O109</f>
        <v>-1.4460812407388217</v>
      </c>
      <c r="P109" s="45">
        <f>data!P147-data!P109</f>
        <v>-1.5260640852603933</v>
      </c>
      <c r="Q109" s="45">
        <f>data!Q147-data!Q109</f>
        <v>0.3613304107252846</v>
      </c>
      <c r="R109" s="45">
        <f>data!R147-data!R109</f>
        <v>0.3813156185046136</v>
      </c>
      <c r="S109" s="45">
        <f>data!S147-data!S109</f>
        <v>-2.6907545603234162E-2</v>
      </c>
      <c r="T109" s="45">
        <f>data!T147-data!T109</f>
        <v>-2.8395803645596907E-2</v>
      </c>
      <c r="U109" s="45">
        <f>data!U147-data!U109</f>
        <v>-1.2029739532206929E-3</v>
      </c>
      <c r="V109" s="45">
        <f>data!V147-data!V109</f>
        <v>-1.269510518355027E-3</v>
      </c>
      <c r="W109" s="45">
        <f>data!W147-data!W109</f>
        <v>-2.5704571650013719E-2</v>
      </c>
      <c r="X109" s="45">
        <f>data!X147-data!X109</f>
        <v>-2.7126293127241574E-2</v>
      </c>
      <c r="Y109" s="45">
        <f>data!Y147-data!Y109</f>
        <v>0</v>
      </c>
      <c r="Z109" s="45">
        <f>data!Z147-data!Z109</f>
        <v>0</v>
      </c>
      <c r="AA109" s="10">
        <v>521.00449074291998</v>
      </c>
      <c r="AB109" s="11">
        <v>549.82128194673999</v>
      </c>
    </row>
    <row r="110" spans="1:28" x14ac:dyDescent="0.35">
      <c r="A110" s="13" t="s">
        <v>59</v>
      </c>
      <c r="B110" s="21" t="s">
        <v>67</v>
      </c>
      <c r="C110" s="45">
        <f>data!C148-data!C110</f>
        <v>5.7337721328573252</v>
      </c>
      <c r="D110" s="45">
        <f>data!D148-data!D110</f>
        <v>0.41206821103311331</v>
      </c>
      <c r="E110" s="45">
        <f>data!E148-data!E110</f>
        <v>5.3217039218242164</v>
      </c>
      <c r="F110" s="45">
        <f>data!F148-data!F110</f>
        <v>0</v>
      </c>
      <c r="G110" s="45">
        <f>data!G148-data!G110</f>
        <v>-0.34763605364891959</v>
      </c>
      <c r="H110" s="45">
        <f>data!H148-data!H110</f>
        <v>-0.16429236256423985</v>
      </c>
      <c r="I110" s="45">
        <f>data!I148-data!I110</f>
        <v>-0.18334369108467996</v>
      </c>
      <c r="J110" s="45">
        <f>data!J148-data!J110</f>
        <v>0</v>
      </c>
      <c r="K110" s="45">
        <f>data!K148-data!K110</f>
        <v>0.76746045418638786</v>
      </c>
      <c r="L110" s="45">
        <f>data!L148-data!L110</f>
        <v>0.97048648487860856</v>
      </c>
      <c r="M110" s="45">
        <f>data!M148-data!M110</f>
        <v>5.5154974607902474E-2</v>
      </c>
      <c r="N110" s="45">
        <f>data!N148-data!N110</f>
        <v>6.9745818352996869E-2</v>
      </c>
      <c r="O110" s="45">
        <f>data!O148-data!O110</f>
        <v>0.71230547957848511</v>
      </c>
      <c r="P110" s="45">
        <f>data!P148-data!P110</f>
        <v>0.90074066652561235</v>
      </c>
      <c r="Q110" s="45">
        <f>data!Q148-data!Q110</f>
        <v>0</v>
      </c>
      <c r="R110" s="45">
        <f>data!R148-data!R110</f>
        <v>0</v>
      </c>
      <c r="S110" s="45">
        <f>data!S148-data!S110</f>
        <v>-4.6530785919462581E-2</v>
      </c>
      <c r="T110" s="45">
        <f>data!T148-data!T110</f>
        <v>-5.8840163840743642E-2</v>
      </c>
      <c r="U110" s="45">
        <f>data!U148-data!U110</f>
        <v>-2.199039101508074E-2</v>
      </c>
      <c r="V110" s="45">
        <f>data!V148-data!V110</f>
        <v>-2.7807787568620207E-2</v>
      </c>
      <c r="W110" s="45">
        <f>data!W148-data!W110</f>
        <v>-2.454039490438209E-2</v>
      </c>
      <c r="X110" s="45">
        <f>data!X148-data!X110</f>
        <v>-3.1032376272123408E-2</v>
      </c>
      <c r="Y110" s="45">
        <f>data!Y148-data!Y110</f>
        <v>0</v>
      </c>
      <c r="Z110" s="45">
        <f>data!Z148-data!Z110</f>
        <v>0</v>
      </c>
      <c r="AA110" s="10">
        <v>590.81421763174001</v>
      </c>
      <c r="AB110" s="11">
        <v>747.10978286638999</v>
      </c>
    </row>
    <row r="111" spans="1:28" x14ac:dyDescent="0.35">
      <c r="A111" s="6" t="s">
        <v>60</v>
      </c>
      <c r="B111" s="21" t="s">
        <v>67</v>
      </c>
      <c r="C111" s="45">
        <f>data!C149-data!C111</f>
        <v>0.1488650164938079</v>
      </c>
      <c r="D111" s="45">
        <f>data!D149-data!D111</f>
        <v>0.46869556347929597</v>
      </c>
      <c r="E111" s="45">
        <f>data!E149-data!E111</f>
        <v>-0.31983054698548585</v>
      </c>
      <c r="F111" s="45">
        <f>data!F149-data!F111</f>
        <v>-2.5745524312524948</v>
      </c>
      <c r="G111" s="45">
        <f>data!G149-data!G111</f>
        <v>0</v>
      </c>
      <c r="H111" s="45">
        <f>data!H149-data!H111</f>
        <v>0</v>
      </c>
      <c r="I111" s="45">
        <f>data!I149-data!I111</f>
        <v>0</v>
      </c>
      <c r="J111" s="45">
        <f>data!J149-data!J111</f>
        <v>-1.1142321069096255</v>
      </c>
      <c r="K111" s="45">
        <f>data!K149-data!K111</f>
        <v>5.6827502229728211E-2</v>
      </c>
      <c r="L111" s="45">
        <f>data!L149-data!L111</f>
        <v>3.3734157301740453E-2</v>
      </c>
      <c r="M111" s="45">
        <f>data!M149-data!M111</f>
        <v>0.17891912288063327</v>
      </c>
      <c r="N111" s="45">
        <f>data!N149-data!N111</f>
        <v>0.1062106479912665</v>
      </c>
      <c r="O111" s="45">
        <f>data!O149-data!O111</f>
        <v>-0.12209162065090506</v>
      </c>
      <c r="P111" s="45">
        <f>data!P149-data!P111</f>
        <v>-7.2476490689526329E-2</v>
      </c>
      <c r="Q111" s="45">
        <f>data!Q149-data!Q111</f>
        <v>-0.98280568177438288</v>
      </c>
      <c r="R111" s="45">
        <f>data!R149-data!R111</f>
        <v>-0.58341683454594284</v>
      </c>
      <c r="S111" s="45">
        <f>data!S149-data!S111</f>
        <v>0</v>
      </c>
      <c r="T111" s="45">
        <f>data!T149-data!T111</f>
        <v>0</v>
      </c>
      <c r="U111" s="45">
        <f>data!U149-data!U111</f>
        <v>0</v>
      </c>
      <c r="V111" s="45">
        <f>data!V149-data!V111</f>
        <v>0</v>
      </c>
      <c r="W111" s="45">
        <f>data!W149-data!W111</f>
        <v>0</v>
      </c>
      <c r="X111" s="45">
        <f>data!X149-data!X111</f>
        <v>0</v>
      </c>
      <c r="Y111" s="45">
        <f>data!Y149-data!Y111</f>
        <v>-0.42534524921424066</v>
      </c>
      <c r="Z111" s="45">
        <f>data!Z149-data!Z111</f>
        <v>-0.252495059285478</v>
      </c>
      <c r="AA111" s="10">
        <v>441.28867711817003</v>
      </c>
      <c r="AB111" s="11">
        <v>261.95945739796002</v>
      </c>
    </row>
    <row r="112" spans="1:28" x14ac:dyDescent="0.35">
      <c r="A112" s="6" t="s">
        <v>61</v>
      </c>
      <c r="B112" s="21" t="s">
        <v>67</v>
      </c>
      <c r="C112" s="45">
        <f>data!C150-data!C112</f>
        <v>4.0098421863494309</v>
      </c>
      <c r="D112" s="45">
        <f>data!D150-data!D112</f>
        <v>0.54698847303368625</v>
      </c>
      <c r="E112" s="45">
        <f>data!E150-data!E112</f>
        <v>3.4628537133157442</v>
      </c>
      <c r="F112" s="45">
        <f>data!F150-data!F112</f>
        <v>2.4757725592319257E-3</v>
      </c>
      <c r="G112" s="45">
        <f>data!G150-data!G112</f>
        <v>8.4973082357751313</v>
      </c>
      <c r="H112" s="45">
        <f>data!H150-data!H112</f>
        <v>7.6160721771276307</v>
      </c>
      <c r="I112" s="45">
        <f>data!I150-data!I112</f>
        <v>0.88123605864749965</v>
      </c>
      <c r="J112" s="45">
        <f>data!J150-data!J112</f>
        <v>0</v>
      </c>
      <c r="K112" s="45">
        <f>data!K150-data!K112</f>
        <v>1.2475955934881124</v>
      </c>
      <c r="L112" s="45">
        <f>data!L150-data!L112</f>
        <v>0.58074170428682947</v>
      </c>
      <c r="M112" s="45">
        <f>data!M150-data!M112</f>
        <v>0.17018635071693311</v>
      </c>
      <c r="N112" s="45">
        <f>data!N150-data!N112</f>
        <v>7.9219830430292071E-2</v>
      </c>
      <c r="O112" s="45">
        <f>data!O150-data!O112</f>
        <v>1.0774092427711794</v>
      </c>
      <c r="P112" s="45">
        <f>data!P150-data!P112</f>
        <v>0.50152187385653735</v>
      </c>
      <c r="Q112" s="45">
        <f>data!Q150-data!Q112</f>
        <v>7.7029538616046195E-4</v>
      </c>
      <c r="R112" s="45">
        <f>data!R150-data!R112</f>
        <v>3.5856383085836052E-4</v>
      </c>
      <c r="S112" s="45">
        <f>data!S150-data!S112</f>
        <v>2.6437958948989615</v>
      </c>
      <c r="T112" s="45">
        <f>data!T150-data!T112</f>
        <v>1.230657227232965</v>
      </c>
      <c r="U112" s="45">
        <f>data!U150-data!U112</f>
        <v>2.3696139763850126</v>
      </c>
      <c r="V112" s="45">
        <f>data!V150-data!V112</f>
        <v>1.1030286306961337</v>
      </c>
      <c r="W112" s="45">
        <f>data!W150-data!W112</f>
        <v>0.27418191851394846</v>
      </c>
      <c r="X112" s="45">
        <f>data!X150-data!X112</f>
        <v>0.12762859653683134</v>
      </c>
      <c r="Y112" s="45">
        <f>data!Y150-data!Y112</f>
        <v>0</v>
      </c>
      <c r="Z112" s="45">
        <f>data!Z150-data!Z112</f>
        <v>0</v>
      </c>
      <c r="AA112" s="10">
        <v>690.46912883131995</v>
      </c>
      <c r="AB112" s="11">
        <v>321.40560669490998</v>
      </c>
    </row>
    <row r="113" spans="1:28" x14ac:dyDescent="0.35">
      <c r="A113" s="6" t="s">
        <v>62</v>
      </c>
      <c r="B113" s="21" t="s">
        <v>67</v>
      </c>
      <c r="C113" s="45">
        <f>data!C151-data!C113</f>
        <v>-4.9648577665710736E-3</v>
      </c>
      <c r="D113" s="45">
        <f>data!D151-data!D113</f>
        <v>-1.145736407670267E-3</v>
      </c>
      <c r="E113" s="45">
        <f>data!E151-data!E113</f>
        <v>-3.8191213589007234E-3</v>
      </c>
      <c r="F113" s="45">
        <f>data!F151-data!F113</f>
        <v>-2.3718753702647311E-3</v>
      </c>
      <c r="G113" s="45">
        <f>data!G151-data!G113</f>
        <v>0</v>
      </c>
      <c r="H113" s="45">
        <f>data!H151-data!H113</f>
        <v>0</v>
      </c>
      <c r="I113" s="45">
        <f>data!I151-data!I113</f>
        <v>0</v>
      </c>
      <c r="J113" s="45">
        <f>data!J151-data!J113</f>
        <v>0</v>
      </c>
      <c r="K113" s="45">
        <f>data!K151-data!K113</f>
        <v>-7.7115026817946575E-3</v>
      </c>
      <c r="L113" s="45">
        <f>data!L151-data!L113</f>
        <v>-5.4419247585321129E-3</v>
      </c>
      <c r="M113" s="45">
        <f>data!M151-data!M113</f>
        <v>-1.7795775419526816E-3</v>
      </c>
      <c r="N113" s="45">
        <f>data!N151-data!N113</f>
        <v>-1.2558287904305132E-3</v>
      </c>
      <c r="O113" s="45">
        <f>data!O151-data!O113</f>
        <v>-5.9319251398419759E-3</v>
      </c>
      <c r="P113" s="45">
        <f>data!P151-data!P113</f>
        <v>-4.1860959681015997E-3</v>
      </c>
      <c r="Q113" s="45">
        <f>data!Q151-data!Q113</f>
        <v>-3.6840377184282902E-3</v>
      </c>
      <c r="R113" s="45">
        <f>data!R151-data!R113</f>
        <v>-2.5997859170315274E-3</v>
      </c>
      <c r="S113" s="45">
        <f>data!S151-data!S113</f>
        <v>0</v>
      </c>
      <c r="T113" s="45">
        <f>data!T151-data!T113</f>
        <v>0</v>
      </c>
      <c r="U113" s="45">
        <f>data!U151-data!U113</f>
        <v>0</v>
      </c>
      <c r="V113" s="45">
        <f>data!V151-data!V113</f>
        <v>0</v>
      </c>
      <c r="W113" s="45">
        <f>data!W151-data!W113</f>
        <v>0</v>
      </c>
      <c r="X113" s="45">
        <f>data!X151-data!X113</f>
        <v>0</v>
      </c>
      <c r="Y113" s="45">
        <f>data!Y151-data!Y113</f>
        <v>0</v>
      </c>
      <c r="Z113" s="45">
        <f>data!Z151-data!Z113</f>
        <v>0</v>
      </c>
      <c r="AA113" s="10">
        <v>91.233487908610002</v>
      </c>
      <c r="AB113" s="11">
        <v>64.38249419652</v>
      </c>
    </row>
    <row r="114" spans="1:28" x14ac:dyDescent="0.35">
      <c r="A114" s="6" t="s">
        <v>63</v>
      </c>
      <c r="B114" s="21" t="s">
        <v>67</v>
      </c>
      <c r="C114" s="45">
        <f>data!C152-data!C114</f>
        <v>-0.19161498549824252</v>
      </c>
      <c r="D114" s="45">
        <f>data!D152-data!D114</f>
        <v>0</v>
      </c>
      <c r="E114" s="45">
        <f>data!E152-data!E114</f>
        <v>-0.19161498549824252</v>
      </c>
      <c r="F114" s="45">
        <f>data!F152-data!F114</f>
        <v>0</v>
      </c>
      <c r="G114" s="45">
        <f>data!G152-data!G114</f>
        <v>0</v>
      </c>
      <c r="H114" s="45">
        <f>data!H152-data!H114</f>
        <v>0</v>
      </c>
      <c r="I114" s="45">
        <f>data!I152-data!I114</f>
        <v>0</v>
      </c>
      <c r="J114" s="45">
        <f>data!J152-data!J114</f>
        <v>0</v>
      </c>
      <c r="K114" s="45">
        <f>data!K152-data!K114</f>
        <v>-0.13001073313003442</v>
      </c>
      <c r="L114" s="45">
        <f>data!L152-data!L114</f>
        <v>-6.1833593114673846E-2</v>
      </c>
      <c r="M114" s="45">
        <f>data!M152-data!M114</f>
        <v>0</v>
      </c>
      <c r="N114" s="45">
        <f>data!N152-data!N114</f>
        <v>0</v>
      </c>
      <c r="O114" s="45">
        <f>data!O152-data!O114</f>
        <v>-0.13001073313003442</v>
      </c>
      <c r="P114" s="45">
        <f>data!P152-data!P114</f>
        <v>-6.1833593114673624E-2</v>
      </c>
      <c r="Q114" s="45">
        <f>data!Q152-data!Q114</f>
        <v>0</v>
      </c>
      <c r="R114" s="45">
        <f>data!R152-data!R114</f>
        <v>0</v>
      </c>
      <c r="S114" s="45">
        <f>data!S152-data!S114</f>
        <v>0</v>
      </c>
      <c r="T114" s="45">
        <f>data!T152-data!T114</f>
        <v>0</v>
      </c>
      <c r="U114" s="45">
        <f>data!U152-data!U114</f>
        <v>0</v>
      </c>
      <c r="V114" s="45">
        <f>data!V152-data!V114</f>
        <v>0</v>
      </c>
      <c r="W114" s="45">
        <f>data!W152-data!W114</f>
        <v>0</v>
      </c>
      <c r="X114" s="45">
        <f>data!X152-data!X114</f>
        <v>0</v>
      </c>
      <c r="Y114" s="45">
        <f>data!Y152-data!Y114</f>
        <v>0</v>
      </c>
      <c r="Z114" s="45">
        <f>data!Z152-data!Z114</f>
        <v>0</v>
      </c>
      <c r="AA114" s="10">
        <v>309.88816247970999</v>
      </c>
      <c r="AB114" s="11">
        <v>147.38397429586999</v>
      </c>
    </row>
    <row r="115" spans="1:28" x14ac:dyDescent="0.35">
      <c r="A115" s="6" t="s">
        <v>64</v>
      </c>
      <c r="B115" s="21" t="s">
        <v>67</v>
      </c>
      <c r="C115" s="45">
        <f>data!C153-data!C115</f>
        <v>5.989153123818987</v>
      </c>
      <c r="D115" s="45">
        <f>data!D153-data!D115</f>
        <v>-4.1489705375412633E-3</v>
      </c>
      <c r="E115" s="45">
        <f>data!E153-data!E115</f>
        <v>5.9933020943565296</v>
      </c>
      <c r="F115" s="45">
        <f>data!F153-data!F115</f>
        <v>0</v>
      </c>
      <c r="G115" s="45">
        <f>data!G153-data!G115</f>
        <v>2.4919180275215354</v>
      </c>
      <c r="H115" s="45">
        <f>data!H153-data!H115</f>
        <v>2.5280384769071915</v>
      </c>
      <c r="I115" s="45">
        <f>data!I153-data!I115</f>
        <v>-3.6120449385656173E-2</v>
      </c>
      <c r="J115" s="45">
        <f>data!J153-data!J115</f>
        <v>0</v>
      </c>
      <c r="K115" s="45">
        <f>data!K153-data!K115</f>
        <v>1.047965084417287</v>
      </c>
      <c r="L115" s="45">
        <f>data!L153-data!L115</f>
        <v>0.49276291212012424</v>
      </c>
      <c r="M115" s="45">
        <f>data!M153-data!M115</f>
        <v>-7.2597513700684013E-4</v>
      </c>
      <c r="N115" s="45">
        <f>data!N153-data!N115</f>
        <v>-3.4136024945638499E-4</v>
      </c>
      <c r="O115" s="45">
        <f>data!O153-data!O115</f>
        <v>1.0486910595542938</v>
      </c>
      <c r="P115" s="45">
        <f>data!P153-data!P115</f>
        <v>0.49310427236958088</v>
      </c>
      <c r="Q115" s="45">
        <f>data!Q153-data!Q115</f>
        <v>0</v>
      </c>
      <c r="R115" s="45">
        <f>data!R153-data!R115</f>
        <v>0</v>
      </c>
      <c r="S115" s="45">
        <f>data!S153-data!S115</f>
        <v>0.43602877269689433</v>
      </c>
      <c r="T115" s="45">
        <f>data!T153-data!T115</f>
        <v>0.20502477706283084</v>
      </c>
      <c r="U115" s="45">
        <f>data!U153-data!U115</f>
        <v>0.44234902683083654</v>
      </c>
      <c r="V115" s="45">
        <f>data!V153-data!V115</f>
        <v>0.20799661923456947</v>
      </c>
      <c r="W115" s="45">
        <f>data!W153-data!W115</f>
        <v>-6.3202541339419938E-3</v>
      </c>
      <c r="X115" s="45">
        <f>data!X153-data!X115</f>
        <v>-2.9718421717381815E-3</v>
      </c>
      <c r="Y115" s="45">
        <f>data!Y153-data!Y115</f>
        <v>0</v>
      </c>
      <c r="Z115" s="45">
        <f>data!Z153-data!Z115</f>
        <v>0</v>
      </c>
      <c r="AA115" s="10">
        <v>1215.4228689920101</v>
      </c>
      <c r="AB115" s="11">
        <v>571.50311712429004</v>
      </c>
    </row>
    <row r="116" spans="1:28" x14ac:dyDescent="0.35">
      <c r="A116" s="6" t="s">
        <v>26</v>
      </c>
      <c r="B116" s="21" t="s">
        <v>68</v>
      </c>
      <c r="C116" s="45">
        <f>data!C154-data!C116</f>
        <v>0.8303883820210558</v>
      </c>
      <c r="D116" s="45">
        <f>data!D154-data!D116</f>
        <v>9.8710831084147799E-5</v>
      </c>
      <c r="E116" s="45">
        <f>data!E154-data!E116</f>
        <v>0.83028967118997343</v>
      </c>
      <c r="F116" s="45">
        <f>data!F154-data!F116</f>
        <v>0</v>
      </c>
      <c r="G116" s="45">
        <f>data!G154-data!G116</f>
        <v>2.0812524626023787E-4</v>
      </c>
      <c r="H116" s="45">
        <f>data!H154-data!H116</f>
        <v>8.9196534112545578E-5</v>
      </c>
      <c r="I116" s="45">
        <f>data!I154-data!I116</f>
        <v>1.1892871214769229E-4</v>
      </c>
      <c r="J116" s="45">
        <f>data!J154-data!J116</f>
        <v>0</v>
      </c>
      <c r="K116" s="45">
        <f>data!K154-data!K116</f>
        <v>5.5552794872685496E-2</v>
      </c>
      <c r="L116" s="45">
        <f>data!L154-data!L116</f>
        <v>6.7703036362789959E-2</v>
      </c>
      <c r="M116" s="45">
        <f>data!M154-data!M116</f>
        <v>6.6037322652423569E-6</v>
      </c>
      <c r="N116" s="45">
        <f>data!N154-data!N116</f>
        <v>8.0480689891304635E-6</v>
      </c>
      <c r="O116" s="45">
        <f>data!O154-data!O116</f>
        <v>5.5546191140420476E-2</v>
      </c>
      <c r="P116" s="45">
        <f>data!P154-data!P116</f>
        <v>6.7694988293798275E-2</v>
      </c>
      <c r="Q116" s="45">
        <f>data!Q154-data!Q116</f>
        <v>0</v>
      </c>
      <c r="R116" s="45">
        <f>data!R154-data!R116</f>
        <v>0</v>
      </c>
      <c r="S116" s="45">
        <f>data!S154-data!S116</f>
        <v>1.3923531884341145E-5</v>
      </c>
      <c r="T116" s="45">
        <f>data!T154-data!T116</f>
        <v>1.6968820157892139E-5</v>
      </c>
      <c r="U116" s="45">
        <f>data!U154-data!U116</f>
        <v>5.9672279504319192E-6</v>
      </c>
      <c r="V116" s="45">
        <f>data!V154-data!V116</f>
        <v>7.2723514963346503E-6</v>
      </c>
      <c r="W116" s="45">
        <f>data!W154-data!W116</f>
        <v>7.9563039337982033E-6</v>
      </c>
      <c r="X116" s="45">
        <f>data!X154-data!X116</f>
        <v>9.6964686615574891E-6</v>
      </c>
      <c r="Y116" s="45">
        <f>data!Y154-data!Y116</f>
        <v>0</v>
      </c>
      <c r="Z116" s="45">
        <f>data!Z154-data!Z116</f>
        <v>0</v>
      </c>
      <c r="AA116" s="10">
        <v>1226.51571721458</v>
      </c>
      <c r="AB116" s="11">
        <v>1494.77336635199</v>
      </c>
    </row>
    <row r="117" spans="1:28" x14ac:dyDescent="0.35">
      <c r="A117" s="6" t="s">
        <v>28</v>
      </c>
      <c r="B117" s="21" t="s">
        <v>68</v>
      </c>
      <c r="C117" s="45">
        <f>data!C155-data!C117</f>
        <v>0.50948049435228882</v>
      </c>
      <c r="D117" s="45">
        <f>data!D155-data!D117</f>
        <v>8.3203043236338203E-2</v>
      </c>
      <c r="E117" s="45">
        <f>data!E155-data!E117</f>
        <v>0.42627745111596482</v>
      </c>
      <c r="F117" s="45">
        <f>data!F155-data!F117</f>
        <v>0.13419845683279874</v>
      </c>
      <c r="G117" s="45">
        <f>data!G155-data!G117</f>
        <v>0.13988215618101663</v>
      </c>
      <c r="H117" s="45">
        <f>data!H155-data!H117</f>
        <v>8.2097879474187785E-3</v>
      </c>
      <c r="I117" s="45">
        <f>data!I155-data!I117</f>
        <v>0.13167236823359474</v>
      </c>
      <c r="J117" s="45">
        <f>data!J155-data!J117</f>
        <v>0</v>
      </c>
      <c r="K117" s="45">
        <f>data!K155-data!K117</f>
        <v>3.0029409753456804E-2</v>
      </c>
      <c r="L117" s="45">
        <f>data!L155-data!L117</f>
        <v>2.9561009374893032E-2</v>
      </c>
      <c r="M117" s="45">
        <f>data!M155-data!M117</f>
        <v>4.9040901580639229E-3</v>
      </c>
      <c r="N117" s="45">
        <f>data!N155-data!N117</f>
        <v>4.8275958910961592E-3</v>
      </c>
      <c r="O117" s="45">
        <f>data!O155-data!O117</f>
        <v>2.5125319595392881E-2</v>
      </c>
      <c r="P117" s="45">
        <f>data!P155-data!P117</f>
        <v>2.4733413483795985E-2</v>
      </c>
      <c r="Q117" s="45">
        <f>data!Q155-data!Q117</f>
        <v>7.9098228355860556E-3</v>
      </c>
      <c r="R117" s="45">
        <f>data!R155-data!R117</f>
        <v>7.7864449856388518E-3</v>
      </c>
      <c r="S117" s="45">
        <f>data!S155-data!S117</f>
        <v>8.2448270968589199E-3</v>
      </c>
      <c r="T117" s="45">
        <f>data!T155-data!T117</f>
        <v>8.1162238320890978E-3</v>
      </c>
      <c r="U117" s="45">
        <f>data!U155-data!U117</f>
        <v>4.8389504405943473E-4</v>
      </c>
      <c r="V117" s="45">
        <f>data!V155-data!V117</f>
        <v>4.763472226508858E-4</v>
      </c>
      <c r="W117" s="45">
        <f>data!W155-data!W117</f>
        <v>7.7609320527995962E-3</v>
      </c>
      <c r="X117" s="45">
        <f>data!X155-data!X117</f>
        <v>7.6398766094385451E-3</v>
      </c>
      <c r="Y117" s="45">
        <f>data!Y155-data!Y117</f>
        <v>0</v>
      </c>
      <c r="Z117" s="45">
        <f>data!Z155-data!Z117</f>
        <v>0</v>
      </c>
      <c r="AA117" s="10">
        <v>1723.48815255626</v>
      </c>
      <c r="AB117" s="11">
        <v>1696.60508992738</v>
      </c>
    </row>
    <row r="118" spans="1:28" x14ac:dyDescent="0.35">
      <c r="A118" s="6" t="s">
        <v>29</v>
      </c>
      <c r="B118" s="21" t="s">
        <v>68</v>
      </c>
      <c r="C118" s="45">
        <f>data!C156-data!C118</f>
        <v>0.52520956131547791</v>
      </c>
      <c r="D118" s="45">
        <f>data!D156-data!D118</f>
        <v>1.1950101937878337</v>
      </c>
      <c r="E118" s="45">
        <f>data!E156-data!E118</f>
        <v>-0.66980063247234511</v>
      </c>
      <c r="F118" s="45">
        <f>data!F156-data!F118</f>
        <v>16.714601477146751</v>
      </c>
      <c r="G118" s="45">
        <f>data!G156-data!G118</f>
        <v>1.0730574657911234</v>
      </c>
      <c r="H118" s="45">
        <f>data!H156-data!H118</f>
        <v>6.3387360848420116E-2</v>
      </c>
      <c r="I118" s="45">
        <f>data!I156-data!I118</f>
        <v>1.0096701049426997</v>
      </c>
      <c r="J118" s="45">
        <f>data!J156-data!J118</f>
        <v>0</v>
      </c>
      <c r="K118" s="45">
        <f>data!K156-data!K118</f>
        <v>2.0070584506226119E-2</v>
      </c>
      <c r="L118" s="45">
        <f>data!L156-data!L118</f>
        <v>1.8066503485737684E-2</v>
      </c>
      <c r="M118" s="45">
        <f>data!M156-data!M118</f>
        <v>4.5666634514698212E-2</v>
      </c>
      <c r="N118" s="45">
        <f>data!N156-data!N118</f>
        <v>4.1106745614995055E-2</v>
      </c>
      <c r="O118" s="45">
        <f>data!O156-data!O118</f>
        <v>-2.5596050008472204E-2</v>
      </c>
      <c r="P118" s="45">
        <f>data!P156-data!P118</f>
        <v>-2.3040242129257926E-2</v>
      </c>
      <c r="Q118" s="45">
        <f>data!Q156-data!Q118</f>
        <v>0.63873898372051396</v>
      </c>
      <c r="R118" s="45">
        <f>data!R156-data!R118</f>
        <v>0.57495984096942188</v>
      </c>
      <c r="S118" s="45">
        <f>data!S156-data!S118</f>
        <v>4.1006280413581564E-2</v>
      </c>
      <c r="T118" s="45">
        <f>data!T156-data!T118</f>
        <v>3.691173556999594E-2</v>
      </c>
      <c r="U118" s="45">
        <f>data!U156-data!U118</f>
        <v>2.4223119231651102E-3</v>
      </c>
      <c r="V118" s="45">
        <f>data!V156-data!V118</f>
        <v>2.1804400758647091E-3</v>
      </c>
      <c r="W118" s="45">
        <f>data!W156-data!W118</f>
        <v>3.8583968490415899E-2</v>
      </c>
      <c r="X118" s="45">
        <f>data!X156-data!X118</f>
        <v>3.4731295494131231E-2</v>
      </c>
      <c r="Y118" s="45">
        <f>data!Y156-data!Y118</f>
        <v>0</v>
      </c>
      <c r="Z118" s="45">
        <f>data!Z156-data!Z118</f>
        <v>0</v>
      </c>
      <c r="AA118" s="10">
        <v>2907.0902498102801</v>
      </c>
      <c r="AB118" s="11">
        <v>2616.8124857180101</v>
      </c>
    </row>
    <row r="119" spans="1:28" x14ac:dyDescent="0.35">
      <c r="A119" s="6" t="s">
        <v>30</v>
      </c>
      <c r="B119" s="21" t="s">
        <v>68</v>
      </c>
      <c r="C119" s="45">
        <f>data!C157-data!C119</f>
        <v>1.1077695919686334</v>
      </c>
      <c r="D119" s="45">
        <f>data!D157-data!D119</f>
        <v>0.12073783018730921</v>
      </c>
      <c r="E119" s="45">
        <f>data!E157-data!E119</f>
        <v>0.9870317617812816</v>
      </c>
      <c r="F119" s="45">
        <f>data!F157-data!F119</f>
        <v>0</v>
      </c>
      <c r="G119" s="45">
        <f>data!G157-data!G119</f>
        <v>2.795986302562369</v>
      </c>
      <c r="H119" s="45">
        <f>data!H157-data!H119</f>
        <v>0.30184457546828014</v>
      </c>
      <c r="I119" s="45">
        <f>data!I157-data!I119</f>
        <v>2.494141727094302</v>
      </c>
      <c r="J119" s="45">
        <f>data!J157-data!J119</f>
        <v>0</v>
      </c>
      <c r="K119" s="45">
        <f>data!K157-data!K119</f>
        <v>3.0794324993863142E-2</v>
      </c>
      <c r="L119" s="45">
        <f>data!L157-data!L119</f>
        <v>2.6617657271588158E-2</v>
      </c>
      <c r="M119" s="45">
        <f>data!M157-data!M119</f>
        <v>3.356329699603755E-3</v>
      </c>
      <c r="N119" s="45">
        <f>data!N157-data!N119</f>
        <v>2.9011070595734711E-3</v>
      </c>
      <c r="O119" s="45">
        <f>data!O157-data!O119</f>
        <v>2.7437995294260276E-2</v>
      </c>
      <c r="P119" s="45">
        <f>data!P157-data!P119</f>
        <v>2.3716550212014909E-2</v>
      </c>
      <c r="Q119" s="45">
        <f>data!Q157-data!Q119</f>
        <v>0</v>
      </c>
      <c r="R119" s="45">
        <f>data!R157-data!R119</f>
        <v>0</v>
      </c>
      <c r="S119" s="45">
        <f>data!S157-data!S119</f>
        <v>7.7724205018569137E-2</v>
      </c>
      <c r="T119" s="45">
        <f>data!T157-data!T119</f>
        <v>6.7182386732074661E-2</v>
      </c>
      <c r="U119" s="45">
        <f>data!U157-data!U119</f>
        <v>8.3908242490089435E-3</v>
      </c>
      <c r="V119" s="45">
        <f>data!V157-data!V119</f>
        <v>7.2527676489335668E-3</v>
      </c>
      <c r="W119" s="45">
        <f>data!W157-data!W119</f>
        <v>6.9333380769560193E-2</v>
      </c>
      <c r="X119" s="45">
        <f>data!X157-data!X119</f>
        <v>5.9929619083138874E-2</v>
      </c>
      <c r="Y119" s="45">
        <f>data!Y157-data!Y119</f>
        <v>0</v>
      </c>
      <c r="Z119" s="45">
        <f>data!Z157-data!Z119</f>
        <v>0</v>
      </c>
      <c r="AA119" s="10">
        <v>4161.7847155581303</v>
      </c>
      <c r="AB119" s="11">
        <v>3597.3173374942398</v>
      </c>
    </row>
    <row r="120" spans="1:28" x14ac:dyDescent="0.35">
      <c r="A120" s="6" t="s">
        <v>31</v>
      </c>
      <c r="B120" s="21" t="s">
        <v>68</v>
      </c>
      <c r="C120" s="45">
        <f>data!C158-data!C120</f>
        <v>32.293957986448447</v>
      </c>
      <c r="D120" s="45">
        <f>data!D158-data!D120</f>
        <v>0.59931616434672996</v>
      </c>
      <c r="E120" s="45">
        <f>data!E158-data!E120</f>
        <v>31.694641822101715</v>
      </c>
      <c r="F120" s="45">
        <f>data!F158-data!F120</f>
        <v>2.1129120282806113E-2</v>
      </c>
      <c r="G120" s="45">
        <f>data!G158-data!G120</f>
        <v>1.7574900406664256</v>
      </c>
      <c r="H120" s="45">
        <f>data!H158-data!H120</f>
        <v>9.8099487027312193E-3</v>
      </c>
      <c r="I120" s="45">
        <f>data!I158-data!I120</f>
        <v>1.7476800919636162</v>
      </c>
      <c r="J120" s="45">
        <f>data!J158-data!J120</f>
        <v>0</v>
      </c>
      <c r="K120" s="45">
        <f>data!K158-data!K120</f>
        <v>1.6835925105330434</v>
      </c>
      <c r="L120" s="45">
        <f>data!L158-data!L120</f>
        <v>1.381465248595533</v>
      </c>
      <c r="M120" s="45">
        <f>data!M158-data!M120</f>
        <v>3.1244364848649342E-2</v>
      </c>
      <c r="N120" s="45">
        <f>data!N158-data!N120</f>
        <v>2.5637441354014301E-2</v>
      </c>
      <c r="O120" s="45">
        <f>data!O158-data!O120</f>
        <v>1.6523481456843943</v>
      </c>
      <c r="P120" s="45">
        <f>data!P158-data!P120</f>
        <v>1.3558278072415186</v>
      </c>
      <c r="Q120" s="45">
        <f>data!Q158-data!Q120</f>
        <v>1.1015320165218556E-3</v>
      </c>
      <c r="R120" s="45">
        <f>data!R158-data!R120</f>
        <v>9.0385778715451615E-4</v>
      </c>
      <c r="S120" s="45">
        <f>data!S158-data!S120</f>
        <v>9.162385951712082E-2</v>
      </c>
      <c r="T120" s="45">
        <f>data!T158-data!T120</f>
        <v>7.5181599510106167E-2</v>
      </c>
      <c r="U120" s="45">
        <f>data!U158-data!U120</f>
        <v>5.114255790994171E-4</v>
      </c>
      <c r="V120" s="45">
        <f>data!V158-data!V120</f>
        <v>4.1964825832171981E-4</v>
      </c>
      <c r="W120" s="45">
        <f>data!W158-data!W120</f>
        <v>9.1112433938022264E-2</v>
      </c>
      <c r="X120" s="45">
        <f>data!X158-data!X120</f>
        <v>7.4761951251783643E-2</v>
      </c>
      <c r="Y120" s="45">
        <f>data!Y158-data!Y120</f>
        <v>0</v>
      </c>
      <c r="Z120" s="45">
        <f>data!Z158-data!Z120</f>
        <v>0</v>
      </c>
      <c r="AA120" s="10">
        <v>2337.6598158571201</v>
      </c>
      <c r="AB120" s="11">
        <v>1918.15761738117</v>
      </c>
    </row>
    <row r="121" spans="1:28" x14ac:dyDescent="0.35">
      <c r="A121" s="6" t="s">
        <v>32</v>
      </c>
      <c r="B121" s="21" t="s">
        <v>68</v>
      </c>
      <c r="C121" s="45">
        <f>data!C159-data!C121</f>
        <v>18.419423468894934</v>
      </c>
      <c r="D121" s="45">
        <f>data!D159-data!D121</f>
        <v>7.1761873683442445E-2</v>
      </c>
      <c r="E121" s="45">
        <f>data!E159-data!E121</f>
        <v>18.347661595211434</v>
      </c>
      <c r="F121" s="45">
        <f>data!F159-data!F121</f>
        <v>0.19435507455932566</v>
      </c>
      <c r="G121" s="45">
        <f>data!G159-data!G121</f>
        <v>0.117360564253147</v>
      </c>
      <c r="H121" s="45">
        <f>data!H159-data!H121</f>
        <v>0</v>
      </c>
      <c r="I121" s="45">
        <f>data!I159-data!I121</f>
        <v>0.117360564253147</v>
      </c>
      <c r="J121" s="45">
        <f>data!J159-data!J121</f>
        <v>1.0233542195064729</v>
      </c>
      <c r="K121" s="45">
        <f>data!K159-data!K121</f>
        <v>0.40355130277511719</v>
      </c>
      <c r="L121" s="45">
        <f>data!L159-data!L121</f>
        <v>0.34591426539947001</v>
      </c>
      <c r="M121" s="45">
        <f>data!M159-data!M121</f>
        <v>1.5722314904937917E-3</v>
      </c>
      <c r="N121" s="45">
        <f>data!N159-data!N121</f>
        <v>1.3476782191810255E-3</v>
      </c>
      <c r="O121" s="45">
        <f>data!O159-data!O121</f>
        <v>0.40197907128462518</v>
      </c>
      <c r="P121" s="45">
        <f>data!P159-data!P121</f>
        <v>0.34456658718028876</v>
      </c>
      <c r="Q121" s="45">
        <f>data!Q159-data!Q121</f>
        <v>4.2581269534212041E-3</v>
      </c>
      <c r="R121" s="45">
        <f>data!R159-data!R121</f>
        <v>3.6499618436156567E-3</v>
      </c>
      <c r="S121" s="45">
        <f>data!S159-data!S121</f>
        <v>2.5712535834125916E-3</v>
      </c>
      <c r="T121" s="45">
        <f>data!T159-data!T121</f>
        <v>2.2040154209519436E-3</v>
      </c>
      <c r="U121" s="45">
        <f>data!U159-data!U121</f>
        <v>0</v>
      </c>
      <c r="V121" s="45">
        <f>data!V159-data!V121</f>
        <v>0</v>
      </c>
      <c r="W121" s="45">
        <f>data!W159-data!W121</f>
        <v>2.5712535834125916E-3</v>
      </c>
      <c r="X121" s="45">
        <f>data!X159-data!X121</f>
        <v>2.2040154209519436E-3</v>
      </c>
      <c r="Y121" s="45">
        <f>data!Y159-data!Y121</f>
        <v>2.2420676150890273E-2</v>
      </c>
      <c r="Z121" s="45">
        <f>data!Z159-data!Z121</f>
        <v>1.9218452938108754E-2</v>
      </c>
      <c r="AA121" s="10">
        <v>5324.8522282316499</v>
      </c>
      <c r="AB121" s="11">
        <v>4564.3325500944502</v>
      </c>
    </row>
    <row r="122" spans="1:28" x14ac:dyDescent="0.35">
      <c r="A122" s="6" t="s">
        <v>33</v>
      </c>
      <c r="B122" s="21" t="s">
        <v>68</v>
      </c>
      <c r="C122" s="45">
        <f>data!C160-data!C122</f>
        <v>17.39332324339199</v>
      </c>
      <c r="D122" s="45">
        <f>data!D160-data!D122</f>
        <v>4.1605968119116481</v>
      </c>
      <c r="E122" s="45">
        <f>data!E160-data!E122</f>
        <v>13.232726431480344</v>
      </c>
      <c r="F122" s="45">
        <f>data!F160-data!F122</f>
        <v>11.662486029476227</v>
      </c>
      <c r="G122" s="45">
        <f>data!G160-data!G122</f>
        <v>0.11272754204720314</v>
      </c>
      <c r="H122" s="45">
        <f>data!H160-data!H122</f>
        <v>0</v>
      </c>
      <c r="I122" s="45">
        <f>data!I160-data!I122</f>
        <v>0.11272754204720314</v>
      </c>
      <c r="J122" s="45">
        <f>data!J160-data!J122</f>
        <v>0.19874390346826942</v>
      </c>
      <c r="K122" s="45">
        <f>data!K160-data!K122</f>
        <v>1.0617681847861138</v>
      </c>
      <c r="L122" s="45">
        <f>data!L160-data!L122</f>
        <v>0.80653856176878946</v>
      </c>
      <c r="M122" s="45">
        <f>data!M160-data!M122</f>
        <v>0.25398190229625256</v>
      </c>
      <c r="N122" s="45">
        <f>data!N160-data!N122</f>
        <v>0.1929293052179612</v>
      </c>
      <c r="O122" s="45">
        <f>data!O160-data!O122</f>
        <v>0.8077862824898614</v>
      </c>
      <c r="P122" s="45">
        <f>data!P160-data!P122</f>
        <v>0.61360925655082843</v>
      </c>
      <c r="Q122" s="45">
        <f>data!Q160-data!Q122</f>
        <v>0.71193161009727324</v>
      </c>
      <c r="R122" s="45">
        <f>data!R160-data!R122</f>
        <v>0.5407962916135618</v>
      </c>
      <c r="S122" s="45">
        <f>data!S160-data!S122</f>
        <v>6.881405929158646E-3</v>
      </c>
      <c r="T122" s="45">
        <f>data!T160-data!T122</f>
        <v>5.2272419917809287E-3</v>
      </c>
      <c r="U122" s="45">
        <f>data!U160-data!U122</f>
        <v>0</v>
      </c>
      <c r="V122" s="45">
        <f>data!V160-data!V122</f>
        <v>0</v>
      </c>
      <c r="W122" s="45">
        <f>data!W160-data!W122</f>
        <v>6.881405929158646E-3</v>
      </c>
      <c r="X122" s="45">
        <f>data!X160-data!X122</f>
        <v>5.2272419917809287E-3</v>
      </c>
      <c r="Y122" s="45">
        <f>data!Y160-data!Y122</f>
        <v>1.2132238944215779E-2</v>
      </c>
      <c r="Z122" s="45">
        <f>data!Z160-data!Z122</f>
        <v>9.2158709305030229E-3</v>
      </c>
      <c r="AA122" s="10">
        <v>2156.5395714307001</v>
      </c>
      <c r="AB122" s="11">
        <v>1638.14696019506</v>
      </c>
    </row>
    <row r="123" spans="1:28" x14ac:dyDescent="0.35">
      <c r="A123" s="6" t="s">
        <v>34</v>
      </c>
      <c r="B123" s="21" t="s">
        <v>68</v>
      </c>
      <c r="C123" s="45">
        <f>data!C161-data!C123</f>
        <v>44.535014678177703</v>
      </c>
      <c r="D123" s="45">
        <f>data!D161-data!D123</f>
        <v>11.083715197058423</v>
      </c>
      <c r="E123" s="45">
        <f>data!E161-data!E123</f>
        <v>33.451299481119278</v>
      </c>
      <c r="F123" s="45">
        <f>data!F161-data!F123</f>
        <v>-0.56330455967290338</v>
      </c>
      <c r="G123" s="45">
        <f>data!G161-data!G123</f>
        <v>0.45650671749305616</v>
      </c>
      <c r="H123" s="45">
        <f>data!H161-data!H123</f>
        <v>1.9287868372448447E-3</v>
      </c>
      <c r="I123" s="45">
        <f>data!I161-data!I123</f>
        <v>0.45457793065583019</v>
      </c>
      <c r="J123" s="45">
        <f>data!J161-data!J123</f>
        <v>3.0184457546866383E-2</v>
      </c>
      <c r="K123" s="45">
        <f>data!K161-data!K123</f>
        <v>3.3638788950819376</v>
      </c>
      <c r="L123" s="45">
        <f>data!L161-data!L123</f>
        <v>2.4789495196040474</v>
      </c>
      <c r="M123" s="45">
        <f>data!M161-data!M123</f>
        <v>0.83719015026513932</v>
      </c>
      <c r="N123" s="45">
        <f>data!N161-data!N123</f>
        <v>0.61695209178047894</v>
      </c>
      <c r="O123" s="45">
        <f>data!O161-data!O123</f>
        <v>2.5266887448167985</v>
      </c>
      <c r="P123" s="45">
        <f>data!P161-data!P123</f>
        <v>1.8619974278235687</v>
      </c>
      <c r="Q123" s="45">
        <f>data!Q161-data!Q123</f>
        <v>-4.2548281020677543E-2</v>
      </c>
      <c r="R123" s="45">
        <f>data!R161-data!R123</f>
        <v>-3.1355183728639387E-2</v>
      </c>
      <c r="S123" s="45">
        <f>data!S161-data!S123</f>
        <v>3.4481482122211915E-2</v>
      </c>
      <c r="T123" s="45">
        <f>data!T161-data!T123</f>
        <v>2.5410502639399368E-2</v>
      </c>
      <c r="U123" s="45">
        <f>data!U161-data!U123</f>
        <v>1.4568773316468719E-4</v>
      </c>
      <c r="V123" s="45">
        <f>data!V161-data!V123</f>
        <v>1.0736193168808805E-4</v>
      </c>
      <c r="W123" s="45">
        <f>data!W161-data!W123</f>
        <v>3.4335794389047436E-2</v>
      </c>
      <c r="X123" s="45">
        <f>data!X161-data!X123</f>
        <v>2.5303140707711336E-2</v>
      </c>
      <c r="Y123" s="45">
        <f>data!Y161-data!Y123</f>
        <v>2.279933226364439E-3</v>
      </c>
      <c r="Z123" s="45">
        <f>data!Z161-data!Z123</f>
        <v>1.6801554254787243E-3</v>
      </c>
      <c r="AA123" s="10">
        <v>1796.5276955414199</v>
      </c>
      <c r="AB123" s="11">
        <v>1323.9184901480501</v>
      </c>
    </row>
    <row r="124" spans="1:28" x14ac:dyDescent="0.35">
      <c r="A124" s="6" t="s">
        <v>35</v>
      </c>
      <c r="B124" s="21" t="s">
        <v>68</v>
      </c>
      <c r="C124" s="45">
        <f>data!C162-data!C124</f>
        <v>-0.48813945339185238</v>
      </c>
      <c r="D124" s="45">
        <f>data!D162-data!D124</f>
        <v>59.277619120647586</v>
      </c>
      <c r="E124" s="45">
        <f>data!E162-data!E124</f>
        <v>-59.76575857403941</v>
      </c>
      <c r="F124" s="45">
        <f>data!F162-data!F124</f>
        <v>5.1480457660034098</v>
      </c>
      <c r="G124" s="45">
        <f>data!G162-data!G124</f>
        <v>0.78789688487375997</v>
      </c>
      <c r="H124" s="45">
        <f>data!H162-data!H124</f>
        <v>2.3105480494831632E-3</v>
      </c>
      <c r="I124" s="45">
        <f>data!I162-data!I124</f>
        <v>0.78558633682428081</v>
      </c>
      <c r="J124" s="45">
        <f>data!J162-data!J124</f>
        <v>0</v>
      </c>
      <c r="K124" s="45">
        <f>data!K162-data!K124</f>
        <v>-1.5460229405817927E-2</v>
      </c>
      <c r="L124" s="45">
        <f>data!L162-data!L124</f>
        <v>-1.6592161406265404E-2</v>
      </c>
      <c r="M124" s="45">
        <f>data!M162-data!M124</f>
        <v>1.8774257722216117</v>
      </c>
      <c r="N124" s="45">
        <f>data!N162-data!N124</f>
        <v>2.014882872905865</v>
      </c>
      <c r="O124" s="45">
        <f>data!O162-data!O124</f>
        <v>-1.8928860016274305</v>
      </c>
      <c r="P124" s="45">
        <f>data!P162-data!P124</f>
        <v>-2.0314750343121286</v>
      </c>
      <c r="Q124" s="45">
        <f>data!Q162-data!Q124</f>
        <v>0.16304760449301869</v>
      </c>
      <c r="R124" s="45">
        <f>data!R162-data!R124</f>
        <v>0.17498525407615101</v>
      </c>
      <c r="S124" s="45">
        <f>data!S162-data!S124</f>
        <v>2.4954071021381807E-2</v>
      </c>
      <c r="T124" s="45">
        <f>data!T162-data!T124</f>
        <v>2.6781101577594058E-2</v>
      </c>
      <c r="U124" s="45">
        <f>data!U162-data!U124</f>
        <v>7.3179093904349179E-5</v>
      </c>
      <c r="V124" s="45">
        <f>data!V162-data!V124</f>
        <v>7.8536954773000822E-5</v>
      </c>
      <c r="W124" s="45">
        <f>data!W162-data!W124</f>
        <v>2.4880891927477222E-2</v>
      </c>
      <c r="X124" s="45">
        <f>data!X162-data!X124</f>
        <v>2.6702564622819835E-2</v>
      </c>
      <c r="Y124" s="45">
        <f>data!Y162-data!Y124</f>
        <v>0</v>
      </c>
      <c r="Z124" s="45">
        <f>data!Z162-data!Z124</f>
        <v>0</v>
      </c>
      <c r="AA124" s="10">
        <v>2941.9883367789698</v>
      </c>
      <c r="AB124" s="11">
        <v>3157.38816403392</v>
      </c>
    </row>
    <row r="125" spans="1:28" x14ac:dyDescent="0.35">
      <c r="A125" s="6" t="s">
        <v>36</v>
      </c>
      <c r="B125" s="21" t="s">
        <v>68</v>
      </c>
      <c r="C125" s="45">
        <f>data!C163-data!C125</f>
        <v>1824.7279999999992</v>
      </c>
      <c r="D125" s="45">
        <f>data!D163-data!D125</f>
        <v>206.59999999999997</v>
      </c>
      <c r="E125" s="45">
        <f>data!E163-data!E125</f>
        <v>1618.1279999999997</v>
      </c>
      <c r="F125" s="45">
        <f>data!F163-data!F125</f>
        <v>-1.9999999999999574E-2</v>
      </c>
      <c r="G125" s="45">
        <f>data!G163-data!G125</f>
        <v>0</v>
      </c>
      <c r="H125" s="45">
        <f>data!H163-data!H125</f>
        <v>0</v>
      </c>
      <c r="I125" s="45">
        <f>data!I163-data!I125</f>
        <v>0</v>
      </c>
      <c r="J125" s="45">
        <f>data!J163-data!J125</f>
        <v>0</v>
      </c>
      <c r="K125" s="45">
        <f>data!K163-data!K125</f>
        <v>9.1561557077690807</v>
      </c>
      <c r="L125" s="45">
        <f>data!L163-data!L125</f>
        <v>9.1354183464125889</v>
      </c>
      <c r="M125" s="45">
        <f>data!M163-data!M125</f>
        <v>1.0366815049832594</v>
      </c>
      <c r="N125" s="45">
        <f>data!N163-data!N125</f>
        <v>1.0343335721098379</v>
      </c>
      <c r="O125" s="45">
        <f>data!O163-data!O125</f>
        <v>8.1194742027858222</v>
      </c>
      <c r="P125" s="45">
        <f>data!P163-data!P125</f>
        <v>8.1010847743027501</v>
      </c>
      <c r="Q125" s="45">
        <f>data!Q163-data!Q125</f>
        <v>-1.0035638964020488E-4</v>
      </c>
      <c r="R125" s="45">
        <f>data!R163-data!R125</f>
        <v>-1.0012909700966854E-4</v>
      </c>
      <c r="S125" s="45">
        <f>data!S163-data!S125</f>
        <v>0</v>
      </c>
      <c r="T125" s="45">
        <f>data!T163-data!T125</f>
        <v>0</v>
      </c>
      <c r="U125" s="45">
        <f>data!U163-data!U125</f>
        <v>0</v>
      </c>
      <c r="V125" s="45">
        <f>data!V163-data!V125</f>
        <v>0</v>
      </c>
      <c r="W125" s="45">
        <f>data!W163-data!W125</f>
        <v>0</v>
      </c>
      <c r="X125" s="45">
        <f>data!X163-data!X125</f>
        <v>0</v>
      </c>
      <c r="Y125" s="45">
        <f>data!Y163-data!Y125</f>
        <v>0</v>
      </c>
      <c r="Z125" s="45">
        <f>data!Z163-data!Z125</f>
        <v>0</v>
      </c>
      <c r="AA125" s="10">
        <v>19974.2138871676</v>
      </c>
      <c r="AB125" s="11">
        <v>19928.975197</v>
      </c>
    </row>
    <row r="126" spans="1:28" x14ac:dyDescent="0.35">
      <c r="A126" s="6" t="s">
        <v>37</v>
      </c>
      <c r="B126" s="21" t="s">
        <v>68</v>
      </c>
      <c r="C126" s="45">
        <f>data!C164-data!C126</f>
        <v>-0.20002812274470738</v>
      </c>
      <c r="D126" s="45">
        <f>data!D164-data!D126</f>
        <v>2.4564657236113296</v>
      </c>
      <c r="E126" s="45">
        <f>data!E164-data!E126</f>
        <v>-2.6564938463560375</v>
      </c>
      <c r="F126" s="45">
        <f>data!F164-data!F126</f>
        <v>-3.6082982241570249E-2</v>
      </c>
      <c r="G126" s="45">
        <f>data!G164-data!G126</f>
        <v>-1.9245315181124167</v>
      </c>
      <c r="H126" s="45">
        <f>data!H164-data!H126</f>
        <v>-0.95092364114216943</v>
      </c>
      <c r="I126" s="45">
        <f>data!I164-data!I126</f>
        <v>-0.97360787697024731</v>
      </c>
      <c r="J126" s="45">
        <f>data!J164-data!J126</f>
        <v>1.196059834340673</v>
      </c>
      <c r="K126" s="45">
        <f>data!K164-data!K126</f>
        <v>-1.5637565202903936E-2</v>
      </c>
      <c r="L126" s="45">
        <f>data!L164-data!L126</f>
        <v>-8.3986584095686045E-3</v>
      </c>
      <c r="M126" s="45">
        <f>data!M164-data!M126</f>
        <v>0.19203871133009034</v>
      </c>
      <c r="N126" s="45">
        <f>data!N164-data!N126</f>
        <v>0.10314057955618723</v>
      </c>
      <c r="O126" s="45">
        <f>data!O164-data!O126</f>
        <v>-0.20767627653299431</v>
      </c>
      <c r="P126" s="45">
        <f>data!P164-data!P126</f>
        <v>-0.11153923796575584</v>
      </c>
      <c r="Q126" s="45">
        <f>data!Q164-data!Q126</f>
        <v>-2.8208532869046787E-3</v>
      </c>
      <c r="R126" s="45">
        <f>data!R164-data!R126</f>
        <v>-1.515030177192872E-3</v>
      </c>
      <c r="S126" s="45">
        <f>data!S164-data!S126</f>
        <v>-0.15045377963145884</v>
      </c>
      <c r="T126" s="45">
        <f>data!T164-data!T126</f>
        <v>-8.0806051655565661E-2</v>
      </c>
      <c r="U126" s="45">
        <f>data!U164-data!U126</f>
        <v>-7.4340198954534004E-2</v>
      </c>
      <c r="V126" s="45">
        <f>data!V164-data!V126</f>
        <v>-3.9926799921675429E-2</v>
      </c>
      <c r="W126" s="45">
        <f>data!W164-data!W126</f>
        <v>-7.6113580676924822E-2</v>
      </c>
      <c r="X126" s="45">
        <f>data!X164-data!X126</f>
        <v>-4.0879251733890232E-2</v>
      </c>
      <c r="Y126" s="45">
        <f>data!Y164-data!Y126</f>
        <v>9.3504170260837016E-2</v>
      </c>
      <c r="Z126" s="45">
        <f>data!Z164-data!Z126</f>
        <v>5.0219428389342902E-2</v>
      </c>
      <c r="AA126" s="10">
        <v>2381.6675591522499</v>
      </c>
      <c r="AB126" s="11">
        <v>1279.1513266244399</v>
      </c>
    </row>
    <row r="127" spans="1:28" x14ac:dyDescent="0.35">
      <c r="A127" s="6" t="s">
        <v>38</v>
      </c>
      <c r="B127" s="21" t="s">
        <v>68</v>
      </c>
      <c r="C127" s="45">
        <f>data!C165-data!C127</f>
        <v>5.9126558224667001</v>
      </c>
      <c r="D127" s="45">
        <f>data!D165-data!D127</f>
        <v>0.38031964593465961</v>
      </c>
      <c r="E127" s="45">
        <f>data!E165-data!E127</f>
        <v>5.5323361765320405</v>
      </c>
      <c r="F127" s="45">
        <f>data!F165-data!F127</f>
        <v>0.17458151306051128</v>
      </c>
      <c r="G127" s="45">
        <f>data!G165-data!G127</f>
        <v>2.4997121076552418</v>
      </c>
      <c r="H127" s="45">
        <f>data!H165-data!H127</f>
        <v>1.3959679043227258E-2</v>
      </c>
      <c r="I127" s="45">
        <f>data!I165-data!I127</f>
        <v>2.4857524286120167</v>
      </c>
      <c r="J127" s="45">
        <f>data!J165-data!J127</f>
        <v>0.92377554356033542</v>
      </c>
      <c r="K127" s="45">
        <f>data!K165-data!K127</f>
        <v>0.59301286414972698</v>
      </c>
      <c r="L127" s="45">
        <f>data!L165-data!L127</f>
        <v>0.25335066681943264</v>
      </c>
      <c r="M127" s="45">
        <f>data!M165-data!M127</f>
        <v>3.8144354973469796E-2</v>
      </c>
      <c r="N127" s="45">
        <f>data!N165-data!N127</f>
        <v>1.6296270034178731E-2</v>
      </c>
      <c r="O127" s="45">
        <f>data!O165-data!O127</f>
        <v>0.5548685091762573</v>
      </c>
      <c r="P127" s="45">
        <f>data!P165-data!P127</f>
        <v>0.23705439678525389</v>
      </c>
      <c r="Q127" s="45">
        <f>data!Q165-data!Q127</f>
        <v>1.7509742862796163E-2</v>
      </c>
      <c r="R127" s="45">
        <f>data!R165-data!R127</f>
        <v>7.4806219195375778E-3</v>
      </c>
      <c r="S127" s="45">
        <f>data!S165-data!S127</f>
        <v>0.250709914633922</v>
      </c>
      <c r="T127" s="45">
        <f>data!T165-data!T127</f>
        <v>0.10710985863994638</v>
      </c>
      <c r="U127" s="45">
        <f>data!U165-data!U127</f>
        <v>1.4000932069443417E-3</v>
      </c>
      <c r="V127" s="45">
        <f>data!V165-data!V127</f>
        <v>5.9815658147194251E-4</v>
      </c>
      <c r="W127" s="45">
        <f>data!W165-data!W127</f>
        <v>0.24930982142697822</v>
      </c>
      <c r="X127" s="45">
        <f>data!X165-data!X127</f>
        <v>0.10651170205847471</v>
      </c>
      <c r="Y127" s="45">
        <f>data!Y165-data!Y127</f>
        <v>9.2650544419756953E-2</v>
      </c>
      <c r="Z127" s="45">
        <f>data!Z165-data!Z127</f>
        <v>3.9582745382066964E-2</v>
      </c>
      <c r="AA127" s="10">
        <v>2333.7834064911899</v>
      </c>
      <c r="AB127" s="11">
        <v>997.05355143423003</v>
      </c>
    </row>
    <row r="128" spans="1:28" x14ac:dyDescent="0.35">
      <c r="A128" s="13" t="s">
        <v>39</v>
      </c>
      <c r="B128" s="21" t="s">
        <v>68</v>
      </c>
      <c r="C128" s="45">
        <f>data!C166-data!C128</f>
        <v>13.791972576402927</v>
      </c>
      <c r="D128" s="45">
        <f>data!D166-data!D128</f>
        <v>0.80433050390652472</v>
      </c>
      <c r="E128" s="45">
        <f>data!E166-data!E128</f>
        <v>12.987642072496399</v>
      </c>
      <c r="F128" s="45">
        <f>data!F166-data!F128</f>
        <v>0</v>
      </c>
      <c r="G128" s="45">
        <f>data!G166-data!G128</f>
        <v>2.7166011792179035E-2</v>
      </c>
      <c r="H128" s="45">
        <f>data!H166-data!H128</f>
        <v>0</v>
      </c>
      <c r="I128" s="45">
        <f>data!I166-data!I128</f>
        <v>2.7166011792179035E-2</v>
      </c>
      <c r="J128" s="45">
        <f>data!J166-data!J128</f>
        <v>0</v>
      </c>
      <c r="K128" s="45">
        <f>data!K166-data!K128</f>
        <v>3.3318004342018028</v>
      </c>
      <c r="L128" s="45">
        <f>data!L166-data!L128</f>
        <v>2.9432345816350125</v>
      </c>
      <c r="M128" s="45">
        <f>data!M166-data!M128</f>
        <v>0.19430641319158198</v>
      </c>
      <c r="N128" s="45">
        <f>data!N166-data!N128</f>
        <v>0.17164574110391839</v>
      </c>
      <c r="O128" s="45">
        <f>data!O166-data!O128</f>
        <v>3.1374940210102213</v>
      </c>
      <c r="P128" s="45">
        <f>data!P166-data!P128</f>
        <v>2.7715888405310931</v>
      </c>
      <c r="Q128" s="45">
        <f>data!Q166-data!Q128</f>
        <v>0</v>
      </c>
      <c r="R128" s="45">
        <f>data!R166-data!R128</f>
        <v>0</v>
      </c>
      <c r="S128" s="45">
        <f>data!S166-data!S128</f>
        <v>6.5626384756285461E-3</v>
      </c>
      <c r="T128" s="45">
        <f>data!T166-data!T128</f>
        <v>5.7972813467337403E-3</v>
      </c>
      <c r="U128" s="45">
        <f>data!U166-data!U128</f>
        <v>0</v>
      </c>
      <c r="V128" s="45">
        <f>data!V166-data!V128</f>
        <v>0</v>
      </c>
      <c r="W128" s="45">
        <f>data!W166-data!W128</f>
        <v>6.5626384756285461E-3</v>
      </c>
      <c r="X128" s="45">
        <f>data!X166-data!X128</f>
        <v>5.7972813467337403E-3</v>
      </c>
      <c r="Y128" s="45">
        <f>data!Y166-data!Y128</f>
        <v>0</v>
      </c>
      <c r="Z128" s="45">
        <f>data!Z166-data!Z128</f>
        <v>0</v>
      </c>
      <c r="AA128" s="10">
        <v>468.59916169988998</v>
      </c>
      <c r="AB128" s="11">
        <v>413.94954015926999</v>
      </c>
    </row>
    <row r="129" spans="1:28" x14ac:dyDescent="0.35">
      <c r="A129" s="6" t="s">
        <v>40</v>
      </c>
      <c r="B129" s="21" t="s">
        <v>68</v>
      </c>
      <c r="C129" s="45">
        <f>data!C167-data!C129</f>
        <v>4.6620195461430924</v>
      </c>
      <c r="D129" s="45">
        <f>data!D167-data!D129</f>
        <v>0.36683396841928584</v>
      </c>
      <c r="E129" s="45">
        <f>data!E167-data!E129</f>
        <v>4.2951855777238066</v>
      </c>
      <c r="F129" s="45">
        <f>data!F167-data!F129</f>
        <v>-0.18660182045620921</v>
      </c>
      <c r="G129" s="45">
        <f>data!G167-data!G129</f>
        <v>0.27410581093383257</v>
      </c>
      <c r="H129" s="45">
        <f>data!H167-data!H129</f>
        <v>0.11714663169012796</v>
      </c>
      <c r="I129" s="45">
        <f>data!I167-data!I129</f>
        <v>0.15695917924369951</v>
      </c>
      <c r="J129" s="45">
        <f>data!J167-data!J129</f>
        <v>0</v>
      </c>
      <c r="K129" s="45">
        <f>data!K167-data!K129</f>
        <v>0.94152252090010613</v>
      </c>
      <c r="L129" s="45">
        <f>data!L167-data!L129</f>
        <v>0.83951649909033765</v>
      </c>
      <c r="M129" s="45">
        <f>data!M167-data!M129</f>
        <v>7.4084297433641755E-2</v>
      </c>
      <c r="N129" s="45">
        <f>data!N167-data!N129</f>
        <v>6.6057888832652623E-2</v>
      </c>
      <c r="O129" s="45">
        <f>data!O167-data!O129</f>
        <v>0.86743822346646393</v>
      </c>
      <c r="P129" s="45">
        <f>data!P167-data!P129</f>
        <v>0.77345861025768503</v>
      </c>
      <c r="Q129" s="45">
        <f>data!Q167-data!Q129</f>
        <v>-3.7685345301872619E-2</v>
      </c>
      <c r="R129" s="45">
        <f>data!R167-data!R129</f>
        <v>-3.3602456077834741E-2</v>
      </c>
      <c r="S129" s="45">
        <f>data!S167-data!S129</f>
        <v>5.5357295598920331E-2</v>
      </c>
      <c r="T129" s="45">
        <f>data!T167-data!T129</f>
        <v>4.9359799652892278E-2</v>
      </c>
      <c r="U129" s="45">
        <f>data!U167-data!U129</f>
        <v>2.3658457647414644E-2</v>
      </c>
      <c r="V129" s="45">
        <f>data!V167-data!V129</f>
        <v>2.1095263360292826E-2</v>
      </c>
      <c r="W129" s="45">
        <f>data!W167-data!W129</f>
        <v>3.1698837951504188E-2</v>
      </c>
      <c r="X129" s="45">
        <f>data!X167-data!X129</f>
        <v>2.8264536292599729E-2</v>
      </c>
      <c r="Y129" s="45">
        <f>data!Y167-data!Y129</f>
        <v>0</v>
      </c>
      <c r="Z129" s="45">
        <f>data!Z167-data!Z129</f>
        <v>0</v>
      </c>
      <c r="AA129" s="10">
        <v>555.32196820367994</v>
      </c>
      <c r="AB129" s="11">
        <v>495.15751802582002</v>
      </c>
    </row>
    <row r="130" spans="1:28" x14ac:dyDescent="0.35">
      <c r="A130" s="13" t="s">
        <v>41</v>
      </c>
      <c r="B130" s="21" t="s">
        <v>68</v>
      </c>
      <c r="C130" s="45">
        <f>data!C168-data!C130</f>
        <v>4.84917598108634E-2</v>
      </c>
      <c r="D130" s="45">
        <f>data!D168-data!D130</f>
        <v>1.0609563743112727E-2</v>
      </c>
      <c r="E130" s="45">
        <f>data!E168-data!E130</f>
        <v>3.7882196067750229E-2</v>
      </c>
      <c r="F130" s="45">
        <f>data!F168-data!F130</f>
        <v>5.7826901482731508E-3</v>
      </c>
      <c r="G130" s="45">
        <f>data!G168-data!G130</f>
        <v>0.13779688645334431</v>
      </c>
      <c r="H130" s="45">
        <f>data!H168-data!H130</f>
        <v>1.5930275890559814E-4</v>
      </c>
      <c r="I130" s="45">
        <f>data!I168-data!I130</f>
        <v>0.1376375836944348</v>
      </c>
      <c r="J130" s="45">
        <f>data!J168-data!J130</f>
        <v>0</v>
      </c>
      <c r="K130" s="45">
        <f>data!K168-data!K130</f>
        <v>2.2487331501438668E-2</v>
      </c>
      <c r="L130" s="45">
        <f>data!L168-data!L130</f>
        <v>1.1902859693011969E-2</v>
      </c>
      <c r="M130" s="45">
        <f>data!M168-data!M130</f>
        <v>4.9200271944671581E-3</v>
      </c>
      <c r="N130" s="45">
        <f>data!N168-data!N130</f>
        <v>2.6042393415066645E-3</v>
      </c>
      <c r="O130" s="45">
        <f>data!O168-data!O130</f>
        <v>1.7567304306971288E-2</v>
      </c>
      <c r="P130" s="45">
        <f>data!P168-data!P130</f>
        <v>9.2986203515055266E-3</v>
      </c>
      <c r="Q130" s="45">
        <f>data!Q168-data!Q130</f>
        <v>2.6816364438313478E-3</v>
      </c>
      <c r="R130" s="45">
        <f>data!R168-data!R130</f>
        <v>1.4194277491995644E-3</v>
      </c>
      <c r="S130" s="45">
        <f>data!S168-data!S130</f>
        <v>6.3901254102312066E-2</v>
      </c>
      <c r="T130" s="45">
        <f>data!T168-data!T130</f>
        <v>3.3823829285333673E-2</v>
      </c>
      <c r="U130" s="45">
        <f>data!U168-data!U130</f>
        <v>7.3874282199206526E-5</v>
      </c>
      <c r="V130" s="45">
        <f>data!V168-data!V130</f>
        <v>3.9102692815415341E-5</v>
      </c>
      <c r="W130" s="45">
        <f>data!W168-data!W130</f>
        <v>6.3827379820114771E-2</v>
      </c>
      <c r="X130" s="45">
        <f>data!X168-data!X130</f>
        <v>3.378472659251841E-2</v>
      </c>
      <c r="Y130" s="45">
        <f>data!Y168-data!Y130</f>
        <v>0</v>
      </c>
      <c r="Z130" s="45">
        <f>data!Z168-data!Z130</f>
        <v>0</v>
      </c>
      <c r="AA130" s="10">
        <v>407.39587848230002</v>
      </c>
      <c r="AB130" s="11">
        <v>215.64034757863999</v>
      </c>
    </row>
    <row r="131" spans="1:28" x14ac:dyDescent="0.35">
      <c r="A131" s="13" t="s">
        <v>42</v>
      </c>
      <c r="B131" s="21" t="s">
        <v>68</v>
      </c>
      <c r="C131" s="45">
        <f>data!C169-data!C131</f>
        <v>11.8328660765875</v>
      </c>
      <c r="D131" s="45">
        <f>data!D169-data!D131</f>
        <v>3.4109288650499558E-4</v>
      </c>
      <c r="E131" s="45">
        <f>data!E169-data!E131</f>
        <v>11.832524983700997</v>
      </c>
      <c r="F131" s="45">
        <f>data!F169-data!F131</f>
        <v>21.994176816096299</v>
      </c>
      <c r="G131" s="45">
        <f>data!G169-data!G131</f>
        <v>33.062446307244088</v>
      </c>
      <c r="H131" s="45">
        <f>data!H169-data!H131</f>
        <v>25.12571084390953</v>
      </c>
      <c r="I131" s="45">
        <f>data!I169-data!I131</f>
        <v>7.9367354633345588</v>
      </c>
      <c r="J131" s="45">
        <f>data!J169-data!J131</f>
        <v>0</v>
      </c>
      <c r="K131" s="45">
        <f>data!K169-data!K131</f>
        <v>3.5576595296319602</v>
      </c>
      <c r="L131" s="45">
        <f>data!L169-data!L131</f>
        <v>3.8040028626403264</v>
      </c>
      <c r="M131" s="45">
        <f>data!M169-data!M131</f>
        <v>1.0255269943138662E-4</v>
      </c>
      <c r="N131" s="45">
        <f>data!N169-data!N131</f>
        <v>1.096537650551524E-4</v>
      </c>
      <c r="O131" s="45">
        <f>data!O169-data!O131</f>
        <v>3.5575569769325286</v>
      </c>
      <c r="P131" s="45">
        <f>data!P169-data!P131</f>
        <v>3.8038932088752717</v>
      </c>
      <c r="Q131" s="45">
        <f>data!Q169-data!Q131</f>
        <v>6.6127506421302549</v>
      </c>
      <c r="R131" s="45">
        <f>data!R169-data!R131</f>
        <v>7.0706379188545974</v>
      </c>
      <c r="S131" s="45">
        <f>data!S169-data!S131</f>
        <v>9.9405272075752222</v>
      </c>
      <c r="T131" s="45">
        <f>data!T169-data!T131</f>
        <v>10.628840010916399</v>
      </c>
      <c r="U131" s="45">
        <f>data!U169-data!U131</f>
        <v>7.5542750204429563</v>
      </c>
      <c r="V131" s="45">
        <f>data!V169-data!V131</f>
        <v>8.0773563528464187</v>
      </c>
      <c r="W131" s="45">
        <f>data!W169-data!W131</f>
        <v>2.3862521871322659</v>
      </c>
      <c r="X131" s="45">
        <f>data!X169-data!X131</f>
        <v>2.5514836580699805</v>
      </c>
      <c r="Y131" s="45">
        <f>data!Y169-data!Y131</f>
        <v>0</v>
      </c>
      <c r="Z131" s="45">
        <f>data!Z169-data!Z131</f>
        <v>0</v>
      </c>
      <c r="AA131" s="10">
        <v>311.06354290107998</v>
      </c>
      <c r="AB131" s="11">
        <v>332.60254327404999</v>
      </c>
    </row>
    <row r="132" spans="1:28" x14ac:dyDescent="0.35">
      <c r="A132" s="13" t="s">
        <v>43</v>
      </c>
      <c r="B132" s="21" t="s">
        <v>68</v>
      </c>
      <c r="C132" s="45">
        <f>data!C170-data!C132</f>
        <v>-9.4391081956542777E-2</v>
      </c>
      <c r="D132" s="45">
        <f>data!D170-data!D132</f>
        <v>-3.7900585127936981E-2</v>
      </c>
      <c r="E132" s="45">
        <f>data!E170-data!E132</f>
        <v>-5.6490496828605852E-2</v>
      </c>
      <c r="F132" s="45">
        <f>data!F170-data!F132</f>
        <v>0</v>
      </c>
      <c r="G132" s="45">
        <f>data!G170-data!G132</f>
        <v>0.22987065939187667</v>
      </c>
      <c r="H132" s="45">
        <f>data!H170-data!H132</f>
        <v>0.1682830664882291</v>
      </c>
      <c r="I132" s="45">
        <f>data!I170-data!I132</f>
        <v>6.1587592903647459E-2</v>
      </c>
      <c r="J132" s="45">
        <f>data!J170-data!J132</f>
        <v>0</v>
      </c>
      <c r="K132" s="45">
        <f>data!K170-data!K132</f>
        <v>-0.3509528544069509</v>
      </c>
      <c r="L132" s="45">
        <f>data!L170-data!L132</f>
        <v>-0.20559322227792176</v>
      </c>
      <c r="M132" s="45">
        <f>data!M170-data!M132</f>
        <v>-0.14091711058537271</v>
      </c>
      <c r="N132" s="45">
        <f>data!N170-data!N132</f>
        <v>-8.2551267144693796E-2</v>
      </c>
      <c r="O132" s="45">
        <f>data!O170-data!O132</f>
        <v>-0.21003574382157808</v>
      </c>
      <c r="P132" s="45">
        <f>data!P170-data!P132</f>
        <v>-0.12304195513322824</v>
      </c>
      <c r="Q132" s="45">
        <f>data!Q170-data!Q132</f>
        <v>0</v>
      </c>
      <c r="R132" s="45">
        <f>data!R170-data!R132</f>
        <v>0</v>
      </c>
      <c r="S132" s="45">
        <f>data!S170-data!S132</f>
        <v>0.85467570013795235</v>
      </c>
      <c r="T132" s="45">
        <f>data!T170-data!T132</f>
        <v>0.50068129946094686</v>
      </c>
      <c r="U132" s="45">
        <f>data!U170-data!U132</f>
        <v>0.62568858527958593</v>
      </c>
      <c r="V132" s="45">
        <f>data!V170-data!V132</f>
        <v>0.36653735900658013</v>
      </c>
      <c r="W132" s="45">
        <f>data!W170-data!W132</f>
        <v>0.22898711485836665</v>
      </c>
      <c r="X132" s="45">
        <f>data!X170-data!X132</f>
        <v>0.13414394045436717</v>
      </c>
      <c r="Y132" s="45">
        <f>data!Y170-data!Y132</f>
        <v>0</v>
      </c>
      <c r="Z132" s="45">
        <f>data!Z170-data!Z132</f>
        <v>0</v>
      </c>
      <c r="AA132" s="10">
        <v>45.911572818750003</v>
      </c>
      <c r="AB132" s="11">
        <v>26.895658710639999</v>
      </c>
    </row>
    <row r="133" spans="1:28" x14ac:dyDescent="0.35">
      <c r="A133" s="13" t="s">
        <v>44</v>
      </c>
      <c r="B133" s="21" t="s">
        <v>68</v>
      </c>
      <c r="C133" s="45">
        <f>data!C171-data!C133</f>
        <v>-1.0746523869851625</v>
      </c>
      <c r="D133" s="45">
        <f>data!D171-data!D133</f>
        <v>5.5841246461700855E-3</v>
      </c>
      <c r="E133" s="45">
        <f>data!E171-data!E133</f>
        <v>-1.0802365116313331</v>
      </c>
      <c r="F133" s="45">
        <f>data!F171-data!F133</f>
        <v>-2.4409276031545688</v>
      </c>
      <c r="G133" s="45">
        <f>data!G171-data!G133</f>
        <v>-1.6885058372569102</v>
      </c>
      <c r="H133" s="45">
        <f>data!H171-data!H133</f>
        <v>-0.92854648594427647</v>
      </c>
      <c r="I133" s="45">
        <f>data!I171-data!I133</f>
        <v>-0.75995935131263259</v>
      </c>
      <c r="J133" s="45">
        <f>data!J171-data!J133</f>
        <v>3.4268640238179242</v>
      </c>
      <c r="K133" s="45">
        <f>data!K171-data!K133</f>
        <v>-0.42185555433477262</v>
      </c>
      <c r="L133" s="45">
        <f>data!L171-data!L133</f>
        <v>-0.4232209256199333</v>
      </c>
      <c r="M133" s="45">
        <f>data!M171-data!M133</f>
        <v>2.1920520780615016E-3</v>
      </c>
      <c r="N133" s="45">
        <f>data!N171-data!N133</f>
        <v>2.1991468405512249E-3</v>
      </c>
      <c r="O133" s="45">
        <f>data!O171-data!O133</f>
        <v>-0.42404760641283445</v>
      </c>
      <c r="P133" s="45">
        <f>data!P171-data!P133</f>
        <v>-0.42542007246048485</v>
      </c>
      <c r="Q133" s="45">
        <f>data!Q171-data!Q133</f>
        <v>-0.95818785645523952</v>
      </c>
      <c r="R133" s="45">
        <f>data!R171-data!R133</f>
        <v>-0.96128911273016715</v>
      </c>
      <c r="S133" s="45">
        <f>data!S171-data!S133</f>
        <v>-0.66282416025876145</v>
      </c>
      <c r="T133" s="45">
        <f>data!T171-data!T133</f>
        <v>-0.66496944687696224</v>
      </c>
      <c r="U133" s="45">
        <f>data!U171-data!U133</f>
        <v>-0.3645015795782498</v>
      </c>
      <c r="V133" s="45">
        <f>data!V171-data!V133</f>
        <v>-0.36568131985910646</v>
      </c>
      <c r="W133" s="45">
        <f>data!W171-data!W133</f>
        <v>-0.29832258068051143</v>
      </c>
      <c r="X133" s="45">
        <f>data!X171-data!X133</f>
        <v>-0.29928812701785557</v>
      </c>
      <c r="Y133" s="45">
        <f>data!Y171-data!Y133</f>
        <v>1.3452178954845246</v>
      </c>
      <c r="Z133" s="45">
        <f>data!Z171-data!Z133</f>
        <v>1.3495718073102803</v>
      </c>
      <c r="AA133" s="10">
        <v>253.92231856471</v>
      </c>
      <c r="AB133" s="11">
        <v>254.7441596875</v>
      </c>
    </row>
    <row r="134" spans="1:28" x14ac:dyDescent="0.35">
      <c r="A134" s="13" t="s">
        <v>45</v>
      </c>
      <c r="B134" s="21" t="s">
        <v>68</v>
      </c>
      <c r="C134" s="45">
        <f>data!C172-data!C134</f>
        <v>4.1228112206977841</v>
      </c>
      <c r="D134" s="45">
        <f>data!D172-data!D134</f>
        <v>0.35377522402826478</v>
      </c>
      <c r="E134" s="45">
        <f>data!E172-data!E134</f>
        <v>3.7690359966695191</v>
      </c>
      <c r="F134" s="45">
        <f>data!F172-data!F134</f>
        <v>-0.94678533426107592</v>
      </c>
      <c r="G134" s="45">
        <f>data!G172-data!G134</f>
        <v>-2.0856298438568492</v>
      </c>
      <c r="H134" s="45">
        <f>data!H172-data!H134</f>
        <v>-2.5396360876331876</v>
      </c>
      <c r="I134" s="45">
        <f>data!I172-data!I134</f>
        <v>0.45400624377633791</v>
      </c>
      <c r="J134" s="45">
        <f>data!J172-data!J134</f>
        <v>0</v>
      </c>
      <c r="K134" s="45">
        <f>data!K172-data!K134</f>
        <v>2.021947227357126</v>
      </c>
      <c r="L134" s="45">
        <f>data!L172-data!L134</f>
        <v>1.3672303225363169</v>
      </c>
      <c r="M134" s="45">
        <f>data!M172-data!M134</f>
        <v>0.17350171886126975</v>
      </c>
      <c r="N134" s="45">
        <f>data!N172-data!N134</f>
        <v>0.11732097051284782</v>
      </c>
      <c r="O134" s="45">
        <f>data!O172-data!O134</f>
        <v>1.8484455084958551</v>
      </c>
      <c r="P134" s="45">
        <f>data!P172-data!P134</f>
        <v>1.2499093520234696</v>
      </c>
      <c r="Q134" s="45">
        <f>data!Q172-data!Q134</f>
        <v>-0.46433122426293566</v>
      </c>
      <c r="R134" s="45">
        <f>data!R172-data!R134</f>
        <v>-0.31397838723145272</v>
      </c>
      <c r="S134" s="45">
        <f>data!S172-data!S134</f>
        <v>-1.0228538864231318</v>
      </c>
      <c r="T134" s="45">
        <f>data!T172-data!T134</f>
        <v>-0.69164854063464798</v>
      </c>
      <c r="U134" s="45">
        <f>data!U172-data!U134</f>
        <v>-1.2455118294300451</v>
      </c>
      <c r="V134" s="45">
        <f>data!V172-data!V134</f>
        <v>-0.84220869725679992</v>
      </c>
      <c r="W134" s="45">
        <f>data!W172-data!W134</f>
        <v>0.22265794300691311</v>
      </c>
      <c r="X134" s="45">
        <f>data!X172-data!X134</f>
        <v>0.15056015662215227</v>
      </c>
      <c r="Y134" s="45">
        <f>data!Y172-data!Y134</f>
        <v>0</v>
      </c>
      <c r="Z134" s="45">
        <f>data!Z172-data!Z134</f>
        <v>0</v>
      </c>
      <c r="AA134" s="10">
        <v>301.54474727050001</v>
      </c>
      <c r="AB134" s="11">
        <v>203.90300819506001</v>
      </c>
    </row>
    <row r="135" spans="1:28" x14ac:dyDescent="0.35">
      <c r="A135" s="13" t="s">
        <v>46</v>
      </c>
      <c r="B135" s="21" t="s">
        <v>68</v>
      </c>
      <c r="C135" s="45">
        <f>data!C173-data!C135</f>
        <v>1.1003161672985491</v>
      </c>
      <c r="D135" s="45">
        <f>data!D173-data!D135</f>
        <v>5.4677508422957787E-2</v>
      </c>
      <c r="E135" s="45">
        <f>data!E173-data!E135</f>
        <v>1.045638658875591</v>
      </c>
      <c r="F135" s="45">
        <f>data!F173-data!F135</f>
        <v>0</v>
      </c>
      <c r="G135" s="45">
        <f>data!G173-data!G135</f>
        <v>-0.58381004119310087</v>
      </c>
      <c r="H135" s="45">
        <f>data!H173-data!H135</f>
        <v>0.1</v>
      </c>
      <c r="I135" s="45">
        <f>data!I173-data!I135</f>
        <v>-0.68381004119310085</v>
      </c>
      <c r="J135" s="45">
        <f>data!J173-data!J135</f>
        <v>0</v>
      </c>
      <c r="K135" s="45">
        <f>data!K173-data!K135</f>
        <v>5.307844556033416</v>
      </c>
      <c r="L135" s="45">
        <f>data!L173-data!L135</f>
        <v>5.7701396314342324</v>
      </c>
      <c r="M135" s="45">
        <f>data!M173-data!M135</f>
        <v>0.26376029367341147</v>
      </c>
      <c r="N135" s="45">
        <f>data!N173-data!N135</f>
        <v>0.28673291157211911</v>
      </c>
      <c r="O135" s="45">
        <f>data!O173-data!O135</f>
        <v>5.0440842623600037</v>
      </c>
      <c r="P135" s="45">
        <f>data!P173-data!P135</f>
        <v>5.4834067198621126</v>
      </c>
      <c r="Q135" s="45">
        <f>data!Q173-data!Q135</f>
        <v>0</v>
      </c>
      <c r="R135" s="45">
        <f>data!R173-data!R135</f>
        <v>0</v>
      </c>
      <c r="S135" s="45">
        <f>data!S173-data!S135</f>
        <v>-2.8162568550750504</v>
      </c>
      <c r="T135" s="45">
        <f>data!T173-data!T135</f>
        <v>-3.0615431782559117</v>
      </c>
      <c r="U135" s="45">
        <f>data!U173-data!U135</f>
        <v>0.48239267165046013</v>
      </c>
      <c r="V135" s="45">
        <f>data!V173-data!V135</f>
        <v>0.52440742060537404</v>
      </c>
      <c r="W135" s="45">
        <f>data!W173-data!W135</f>
        <v>-3.2986495267255105</v>
      </c>
      <c r="X135" s="45">
        <f>data!X173-data!X135</f>
        <v>-3.5859505988612859</v>
      </c>
      <c r="Y135" s="45">
        <f>data!Y173-data!Y135</f>
        <v>0</v>
      </c>
      <c r="Z135" s="45">
        <f>data!Z173-data!Z135</f>
        <v>0</v>
      </c>
      <c r="AA135" s="10">
        <v>19.06914282116</v>
      </c>
      <c r="AB135" s="11">
        <v>20.729999827290001</v>
      </c>
    </row>
    <row r="136" spans="1:28" x14ac:dyDescent="0.35">
      <c r="A136" s="13" t="s">
        <v>47</v>
      </c>
      <c r="B136" s="21" t="s">
        <v>68</v>
      </c>
      <c r="C136" s="45">
        <f>data!C174-data!C136</f>
        <v>14.15911182500178</v>
      </c>
      <c r="D136" s="45">
        <f>data!D174-data!D136</f>
        <v>2.8576480235392485</v>
      </c>
      <c r="E136" s="45">
        <f>data!E174-data!E136</f>
        <v>11.301463801462528</v>
      </c>
      <c r="F136" s="45">
        <f>data!F174-data!F136</f>
        <v>-8.6940790584300487E-2</v>
      </c>
      <c r="G136" s="45">
        <f>data!G174-data!G136</f>
        <v>1.6810953910718078</v>
      </c>
      <c r="H136" s="45">
        <f>data!H174-data!H136</f>
        <v>1.7680361816561088</v>
      </c>
      <c r="I136" s="45">
        <f>data!I174-data!I136</f>
        <v>-8.6940790584300487E-2</v>
      </c>
      <c r="J136" s="45">
        <f>data!J174-data!J136</f>
        <v>0</v>
      </c>
      <c r="K136" s="45">
        <f>data!K174-data!K136</f>
        <v>3.8116783449826475</v>
      </c>
      <c r="L136" s="45">
        <f>data!L174-data!L136</f>
        <v>3.388232818033738</v>
      </c>
      <c r="M136" s="45">
        <f>data!M174-data!M136</f>
        <v>0.7692880191590441</v>
      </c>
      <c r="N136" s="45">
        <f>data!N174-data!N136</f>
        <v>0.68382656591835456</v>
      </c>
      <c r="O136" s="45">
        <f>data!O174-data!O136</f>
        <v>3.0423903258236029</v>
      </c>
      <c r="P136" s="45">
        <f>data!P174-data!P136</f>
        <v>2.7044062521153833</v>
      </c>
      <c r="Q136" s="45">
        <f>data!Q174-data!Q136</f>
        <v>-2.3404739849620326E-2</v>
      </c>
      <c r="R136" s="45">
        <f>data!R174-data!R136</f>
        <v>-2.0804669355275029E-2</v>
      </c>
      <c r="S136" s="45">
        <f>data!S174-data!S136</f>
        <v>0.45255627451743341</v>
      </c>
      <c r="T136" s="45">
        <f>data!T174-data!T136</f>
        <v>0.40228106428377952</v>
      </c>
      <c r="U136" s="45">
        <f>data!U174-data!U136</f>
        <v>0.47596101436705396</v>
      </c>
      <c r="V136" s="45">
        <f>data!V174-data!V136</f>
        <v>0.42308573363905433</v>
      </c>
      <c r="W136" s="45">
        <f>data!W174-data!W136</f>
        <v>-2.3404739849620326E-2</v>
      </c>
      <c r="X136" s="45">
        <f>data!X174-data!X136</f>
        <v>-2.0804669355275029E-2</v>
      </c>
      <c r="Y136" s="45">
        <f>data!Y174-data!Y136</f>
        <v>0</v>
      </c>
      <c r="Z136" s="45">
        <f>data!Z174-data!Z136</f>
        <v>0</v>
      </c>
      <c r="AA136" s="10">
        <v>417.89075855828003</v>
      </c>
      <c r="AB136" s="11">
        <v>371.46659669328</v>
      </c>
    </row>
    <row r="137" spans="1:28" x14ac:dyDescent="0.35">
      <c r="A137" s="13" t="s">
        <v>48</v>
      </c>
      <c r="B137" s="21" t="s">
        <v>68</v>
      </c>
      <c r="C137" s="45">
        <f>data!C175-data!C137</f>
        <v>13.341642509066691</v>
      </c>
      <c r="D137" s="45">
        <f>data!D175-data!D137</f>
        <v>0.55317835395472414</v>
      </c>
      <c r="E137" s="45">
        <f>data!E175-data!E137</f>
        <v>12.788464155111971</v>
      </c>
      <c r="F137" s="45">
        <f>data!F175-data!F137</f>
        <v>1.608478852955697E-2</v>
      </c>
      <c r="G137" s="45">
        <f>data!G175-data!G137</f>
        <v>7.0403264603798448</v>
      </c>
      <c r="H137" s="45">
        <f>data!H175-data!H137</f>
        <v>2.6177261216507137</v>
      </c>
      <c r="I137" s="45">
        <f>data!I175-data!I137</f>
        <v>4.4226003387291293</v>
      </c>
      <c r="J137" s="45">
        <f>data!J175-data!J137</f>
        <v>0</v>
      </c>
      <c r="K137" s="45">
        <f>data!K175-data!K137</f>
        <v>3.7219307879532995</v>
      </c>
      <c r="L137" s="45">
        <f>data!L175-data!L137</f>
        <v>3.8965451906036996</v>
      </c>
      <c r="M137" s="45">
        <f>data!M175-data!M137</f>
        <v>0.15432069517784175</v>
      </c>
      <c r="N137" s="45">
        <f>data!N175-data!N137</f>
        <v>0.16156065141031384</v>
      </c>
      <c r="O137" s="45">
        <f>data!O175-data!O137</f>
        <v>3.5676100927754586</v>
      </c>
      <c r="P137" s="45">
        <f>data!P175-data!P137</f>
        <v>3.7349845391933858</v>
      </c>
      <c r="Q137" s="45">
        <f>data!Q175-data!Q137</f>
        <v>4.4871888603814636E-3</v>
      </c>
      <c r="R137" s="45">
        <f>data!R175-data!R137</f>
        <v>4.6977053495571575E-3</v>
      </c>
      <c r="S137" s="45">
        <f>data!S175-data!S137</f>
        <v>1.9640466151242331</v>
      </c>
      <c r="T137" s="45">
        <f>data!T175-data!T137</f>
        <v>2.0561898724861045</v>
      </c>
      <c r="U137" s="45">
        <f>data!U175-data!U137</f>
        <v>0.73026956313514213</v>
      </c>
      <c r="V137" s="45">
        <f>data!V175-data!V137</f>
        <v>0.76453016356149583</v>
      </c>
      <c r="W137" s="45">
        <f>data!W175-data!W137</f>
        <v>1.2337770519890903</v>
      </c>
      <c r="X137" s="45">
        <f>data!X175-data!X137</f>
        <v>1.2916597089246089</v>
      </c>
      <c r="Y137" s="45">
        <f>data!Y175-data!Y137</f>
        <v>0</v>
      </c>
      <c r="Z137" s="45">
        <f>data!Z175-data!Z137</f>
        <v>0</v>
      </c>
      <c r="AA137" s="10">
        <v>342.39670930134002</v>
      </c>
      <c r="AB137" s="11">
        <v>358.46025273358998</v>
      </c>
    </row>
    <row r="138" spans="1:28" x14ac:dyDescent="0.35">
      <c r="A138" s="15" t="s">
        <v>49</v>
      </c>
      <c r="B138" s="21" t="s">
        <v>68</v>
      </c>
      <c r="C138" s="45">
        <f>data!C176-data!C138</f>
        <v>0.29461204530702156</v>
      </c>
      <c r="D138" s="45">
        <f>data!D176-data!D138</f>
        <v>0.44007731725619964</v>
      </c>
      <c r="E138" s="45">
        <f>data!E176-data!E138</f>
        <v>-0.14546527194917847</v>
      </c>
      <c r="F138" s="45">
        <f>data!F176-data!F138</f>
        <v>0</v>
      </c>
      <c r="G138" s="45">
        <f>data!G176-data!G138</f>
        <v>6.6639612864809128E-2</v>
      </c>
      <c r="H138" s="45">
        <f>data!H176-data!H138</f>
        <v>6.1972289180490719E-2</v>
      </c>
      <c r="I138" s="45">
        <f>data!I176-data!I138</f>
        <v>4.6673236843185473E-3</v>
      </c>
      <c r="J138" s="45">
        <f>data!J176-data!J138</f>
        <v>0</v>
      </c>
      <c r="K138" s="45">
        <f>data!K176-data!K138</f>
        <v>0.976827878117561</v>
      </c>
      <c r="L138" s="45">
        <f>data!L176-data!L138</f>
        <v>0.53157394248286405</v>
      </c>
      <c r="M138" s="45">
        <f>data!M176-data!M138</f>
        <v>1.4591385480354555</v>
      </c>
      <c r="N138" s="45">
        <f>data!N176-data!N138</f>
        <v>0.79403961330696116</v>
      </c>
      <c r="O138" s="45">
        <f>data!O176-data!O138</f>
        <v>-0.48231066991789362</v>
      </c>
      <c r="P138" s="45">
        <f>data!P176-data!P138</f>
        <v>-0.26246567082409733</v>
      </c>
      <c r="Q138" s="45">
        <f>data!Q176-data!Q138</f>
        <v>0</v>
      </c>
      <c r="R138" s="45">
        <f>data!R176-data!R138</f>
        <v>0</v>
      </c>
      <c r="S138" s="45">
        <f>data!S176-data!S138</f>
        <v>0.22095305562089251</v>
      </c>
      <c r="T138" s="45">
        <f>data!T176-data!T138</f>
        <v>0.12023908153233354</v>
      </c>
      <c r="U138" s="45">
        <f>data!U176-data!U138</f>
        <v>0.20547788424326185</v>
      </c>
      <c r="V138" s="45">
        <f>data!V176-data!V138</f>
        <v>0.11181774339888634</v>
      </c>
      <c r="W138" s="45">
        <f>data!W176-data!W138</f>
        <v>1.5475171377631103E-2</v>
      </c>
      <c r="X138" s="45">
        <f>data!X176-data!X138</f>
        <v>8.4213381334472537E-3</v>
      </c>
      <c r="Y138" s="45">
        <f>data!Y176-data!Y138</f>
        <v>0</v>
      </c>
      <c r="Z138" s="45">
        <f>data!Z176-data!Z138</f>
        <v>0</v>
      </c>
      <c r="AA138" s="16">
        <v>55.422589739999999</v>
      </c>
      <c r="AB138" s="11">
        <v>30.160077523049999</v>
      </c>
    </row>
    <row r="139" spans="1:28" x14ac:dyDescent="0.35">
      <c r="A139" s="13" t="s">
        <v>50</v>
      </c>
      <c r="B139" s="21" t="s">
        <v>68</v>
      </c>
      <c r="C139" s="45">
        <f>data!C177-data!C139</f>
        <v>1.0191779364477664</v>
      </c>
      <c r="D139" s="45">
        <f>data!D177-data!D139</f>
        <v>0.1612886831869611</v>
      </c>
      <c r="E139" s="45">
        <f>data!E177-data!E139</f>
        <v>0.85788925326080534</v>
      </c>
      <c r="F139" s="45">
        <f>data!F177-data!F139</f>
        <v>-0.99771764002911945</v>
      </c>
      <c r="G139" s="45">
        <f>data!G177-data!G139</f>
        <v>-0.39425692407598323</v>
      </c>
      <c r="H139" s="45">
        <f>data!H177-data!H139</f>
        <v>5.8029995609220342E-2</v>
      </c>
      <c r="I139" s="45">
        <f>data!I177-data!I139</f>
        <v>-0.45228691968520374</v>
      </c>
      <c r="J139" s="45">
        <f>data!J177-data!J139</f>
        <v>0</v>
      </c>
      <c r="K139" s="45">
        <f>data!K177-data!K139</f>
        <v>2.1137416878925004</v>
      </c>
      <c r="L139" s="45">
        <f>data!L177-data!L139</f>
        <v>1.0492270289661181</v>
      </c>
      <c r="M139" s="45">
        <f>data!M177-data!M139</f>
        <v>0.33450745080472855</v>
      </c>
      <c r="N139" s="45">
        <f>data!N177-data!N139</f>
        <v>0.16604406337124999</v>
      </c>
      <c r="O139" s="45">
        <f>data!O177-data!O139</f>
        <v>1.7792342370877723</v>
      </c>
      <c r="P139" s="45">
        <f>data!P177-data!P139</f>
        <v>0.8831829655948682</v>
      </c>
      <c r="Q139" s="45">
        <f>data!Q177-data!Q139</f>
        <v>-2.069233735402157</v>
      </c>
      <c r="R139" s="45">
        <f>data!R177-data!R139</f>
        <v>-1.0271340045325743</v>
      </c>
      <c r="S139" s="45">
        <f>data!S177-data!S139</f>
        <v>-0.81767595859095099</v>
      </c>
      <c r="T139" s="45">
        <f>data!T177-data!T139</f>
        <v>-0.40588105992497137</v>
      </c>
      <c r="U139" s="45">
        <f>data!U177-data!U139</f>
        <v>0.12035231187887319</v>
      </c>
      <c r="V139" s="45">
        <f>data!V177-data!V139</f>
        <v>5.9740932085120324E-2</v>
      </c>
      <c r="W139" s="45">
        <f>data!W177-data!W139</f>
        <v>-0.9380282704698244</v>
      </c>
      <c r="X139" s="45">
        <f>data!X177-data!X139</f>
        <v>-0.46562199201009169</v>
      </c>
      <c r="Y139" s="45">
        <f>data!Y177-data!Y139</f>
        <v>0</v>
      </c>
      <c r="Z139" s="45">
        <f>data!Z177-data!Z139</f>
        <v>0</v>
      </c>
      <c r="AA139" s="10">
        <v>97.136073348400004</v>
      </c>
      <c r="AB139" s="11">
        <v>48.216768505140003</v>
      </c>
    </row>
    <row r="140" spans="1:28" x14ac:dyDescent="0.35">
      <c r="A140" s="13" t="s">
        <v>51</v>
      </c>
      <c r="B140" s="21" t="s">
        <v>68</v>
      </c>
      <c r="C140" s="45">
        <f>data!C178-data!C140</f>
        <v>0.12197614489762643</v>
      </c>
      <c r="D140" s="45">
        <f>data!D178-data!D140</f>
        <v>0.11473187508637858</v>
      </c>
      <c r="E140" s="45">
        <f>data!E178-data!E140</f>
        <v>7.2442698112475945E-3</v>
      </c>
      <c r="F140" s="45">
        <f>data!F178-data!F140</f>
        <v>2.4720318780149242E-3</v>
      </c>
      <c r="G140" s="45">
        <f>data!G178-data!G140</f>
        <v>8.7534926885912689E-3</v>
      </c>
      <c r="H140" s="45">
        <f>data!H178-data!H140</f>
        <v>1.2073783018746731E-3</v>
      </c>
      <c r="I140" s="45">
        <f>data!I178-data!I140</f>
        <v>7.5461143867165958E-3</v>
      </c>
      <c r="J140" s="45">
        <f>data!J178-data!J140</f>
        <v>-8.696217414326135E-3</v>
      </c>
      <c r="K140" s="45">
        <f>data!K178-data!K140</f>
        <v>0.18326432395663517</v>
      </c>
      <c r="L140" s="45">
        <f>data!L178-data!L140</f>
        <v>0.18385549971363879</v>
      </c>
      <c r="M140" s="45">
        <f>data!M178-data!M140</f>
        <v>0.17238009564599355</v>
      </c>
      <c r="N140" s="45">
        <f>data!N178-data!N140</f>
        <v>0.17293616095830111</v>
      </c>
      <c r="O140" s="45">
        <f>data!O178-data!O140</f>
        <v>1.0884228310642285E-2</v>
      </c>
      <c r="P140" s="45">
        <f>data!P178-data!P140</f>
        <v>1.0919338755337904E-2</v>
      </c>
      <c r="Q140" s="45">
        <f>data!Q178-data!Q140</f>
        <v>3.714129933388044E-3</v>
      </c>
      <c r="R140" s="45">
        <f>data!R178-data!R140</f>
        <v>3.726111008196753E-3</v>
      </c>
      <c r="S140" s="45">
        <f>data!S178-data!S140</f>
        <v>1.3151775875360983E-2</v>
      </c>
      <c r="T140" s="45">
        <f>data!T178-data!T140</f>
        <v>1.3194200996034411E-2</v>
      </c>
      <c r="U140" s="45">
        <f>data!U178-data!U140</f>
        <v>1.8140380517739363E-3</v>
      </c>
      <c r="V140" s="45">
        <f>data!V178-data!V140</f>
        <v>1.8198897925564284E-3</v>
      </c>
      <c r="W140" s="45">
        <f>data!W178-data!W140</f>
        <v>1.133773782358638E-2</v>
      </c>
      <c r="X140" s="45">
        <f>data!X178-data!X140</f>
        <v>1.1374311203478094E-2</v>
      </c>
      <c r="Y140" s="45">
        <f>data!Y178-data!Y140</f>
        <v>-1.3065722045519479E-2</v>
      </c>
      <c r="Z140" s="45">
        <f>data!Z178-data!Z140</f>
        <v>-1.3107869572950515E-2</v>
      </c>
      <c r="AA140" s="10">
        <v>66.343484468840003</v>
      </c>
      <c r="AB140" s="11">
        <v>66.557495896739994</v>
      </c>
    </row>
    <row r="141" spans="1:28" x14ac:dyDescent="0.35">
      <c r="A141" s="13" t="s">
        <v>52</v>
      </c>
      <c r="B141" s="21" t="s">
        <v>68</v>
      </c>
      <c r="C141" s="45">
        <f>data!C179-data!C141</f>
        <v>0.67809759854404916</v>
      </c>
      <c r="D141" s="45">
        <f>data!D179-data!D141</f>
        <v>8.6285741513915326E-2</v>
      </c>
      <c r="E141" s="45">
        <f>data!E179-data!E141</f>
        <v>0.59181185703013028</v>
      </c>
      <c r="F141" s="45">
        <f>data!F179-data!F141</f>
        <v>3.8032416509050648E-2</v>
      </c>
      <c r="G141" s="45">
        <f>data!G179-data!G141</f>
        <v>0.19619897405462439</v>
      </c>
      <c r="H141" s="45">
        <f>data!H179-data!H141</f>
        <v>0</v>
      </c>
      <c r="I141" s="45">
        <f>data!I179-data!I141</f>
        <v>0.19619897405462439</v>
      </c>
      <c r="J141" s="45">
        <f>data!J179-data!J141</f>
        <v>0</v>
      </c>
      <c r="K141" s="45">
        <f>data!K179-data!K141</f>
        <v>8.0701845008350759E-2</v>
      </c>
      <c r="L141" s="45">
        <f>data!L179-data!L141</f>
        <v>7.2722886472287307E-2</v>
      </c>
      <c r="M141" s="45">
        <f>data!M179-data!M141</f>
        <v>1.0269050580680283E-2</v>
      </c>
      <c r="N141" s="45">
        <f>data!N179-data!N141</f>
        <v>9.2537537336314646E-3</v>
      </c>
      <c r="O141" s="45">
        <f>data!O179-data!O141</f>
        <v>7.0432794427670586E-2</v>
      </c>
      <c r="P141" s="45">
        <f>data!P179-data!P141</f>
        <v>6.346913273865562E-2</v>
      </c>
      <c r="Q141" s="45">
        <f>data!Q179-data!Q141</f>
        <v>4.5263192038971223E-3</v>
      </c>
      <c r="R141" s="45">
        <f>data!R179-data!R141</f>
        <v>4.078803868341252E-3</v>
      </c>
      <c r="S141" s="45">
        <f>data!S179-data!S141</f>
        <v>2.3350059385181865E-2</v>
      </c>
      <c r="T141" s="45">
        <f>data!T179-data!T141</f>
        <v>2.1041448527157947E-2</v>
      </c>
      <c r="U141" s="45">
        <f>data!U179-data!U141</f>
        <v>0</v>
      </c>
      <c r="V141" s="45">
        <f>data!V179-data!V141</f>
        <v>0</v>
      </c>
      <c r="W141" s="45">
        <f>data!W179-data!W141</f>
        <v>2.3350059385181865E-2</v>
      </c>
      <c r="X141" s="45">
        <f>data!X179-data!X141</f>
        <v>2.1041448527157947E-2</v>
      </c>
      <c r="Y141" s="45">
        <f>data!Y179-data!Y141</f>
        <v>0</v>
      </c>
      <c r="Z141" s="45">
        <f>data!Z179-data!Z141</f>
        <v>0</v>
      </c>
      <c r="AA141" s="10">
        <v>932.44043441874999</v>
      </c>
      <c r="AB141" s="11">
        <v>840.25042856688003</v>
      </c>
    </row>
    <row r="142" spans="1:28" x14ac:dyDescent="0.35">
      <c r="A142" s="13" t="s">
        <v>53</v>
      </c>
      <c r="B142" s="21" t="s">
        <v>68</v>
      </c>
      <c r="C142" s="45">
        <f>data!C180-data!C142</f>
        <v>0.45804418199202956</v>
      </c>
      <c r="D142" s="45">
        <f>data!D180-data!D142</f>
        <v>8.4225719459962711E-3</v>
      </c>
      <c r="E142" s="45">
        <f>data!E180-data!E142</f>
        <v>0.44962161004603018</v>
      </c>
      <c r="F142" s="45">
        <f>data!F180-data!F142</f>
        <v>0</v>
      </c>
      <c r="G142" s="45">
        <f>data!G180-data!G142</f>
        <v>0.14890109120145745</v>
      </c>
      <c r="H142" s="45">
        <f>data!H180-data!H142</f>
        <v>0.13540337974953975</v>
      </c>
      <c r="I142" s="45">
        <f>data!I180-data!I142</f>
        <v>1.3497711451917915E-2</v>
      </c>
      <c r="J142" s="45">
        <f>data!J180-data!J142</f>
        <v>0</v>
      </c>
      <c r="K142" s="45">
        <f>data!K180-data!K142</f>
        <v>0.22570525354736048</v>
      </c>
      <c r="L142" s="45">
        <f>data!L180-data!L142</f>
        <v>0.23613713299910444</v>
      </c>
      <c r="M142" s="45">
        <f>data!M180-data!M142</f>
        <v>4.1502955639005634E-3</v>
      </c>
      <c r="N142" s="45">
        <f>data!N180-data!N142</f>
        <v>4.3421182278895465E-3</v>
      </c>
      <c r="O142" s="45">
        <f>data!O180-data!O142</f>
        <v>0.22155495798345726</v>
      </c>
      <c r="P142" s="45">
        <f>data!P180-data!P142</f>
        <v>0.23179501477121534</v>
      </c>
      <c r="Q142" s="45">
        <f>data!Q180-data!Q142</f>
        <v>0</v>
      </c>
      <c r="R142" s="45">
        <f>data!R180-data!R142</f>
        <v>0</v>
      </c>
      <c r="S142" s="45">
        <f>data!S180-data!S142</f>
        <v>7.3372307441923912E-2</v>
      </c>
      <c r="T142" s="45">
        <f>data!T180-data!T142</f>
        <v>7.6763504830113405E-2</v>
      </c>
      <c r="U142" s="45">
        <f>data!U180-data!U142</f>
        <v>6.6721192756185488E-2</v>
      </c>
      <c r="V142" s="45">
        <f>data!V180-data!V142</f>
        <v>6.9804982029008533E-2</v>
      </c>
      <c r="W142" s="45">
        <f>data!W180-data!W142</f>
        <v>6.6511146857386461E-3</v>
      </c>
      <c r="X142" s="45">
        <f>data!X180-data!X142</f>
        <v>6.9585228011050937E-3</v>
      </c>
      <c r="Y142" s="45">
        <f>data!Y180-data!Y142</f>
        <v>0</v>
      </c>
      <c r="Z142" s="45">
        <f>data!Z180-data!Z142</f>
        <v>0</v>
      </c>
      <c r="AA142" s="10">
        <v>193.97380504054999</v>
      </c>
      <c r="AB142" s="11">
        <v>202.93908750153</v>
      </c>
    </row>
    <row r="143" spans="1:28" x14ac:dyDescent="0.35">
      <c r="A143" s="13" t="s">
        <v>54</v>
      </c>
      <c r="B143" s="21" t="s">
        <v>68</v>
      </c>
      <c r="C143" s="45">
        <f>data!C181-data!C143</f>
        <v>6.4610800792815226E-2</v>
      </c>
      <c r="D143" s="45">
        <f>data!D181-data!D143</f>
        <v>5.5249140820461395E-3</v>
      </c>
      <c r="E143" s="45">
        <f>data!E181-data!E143</f>
        <v>5.9085886710770197E-2</v>
      </c>
      <c r="F143" s="45">
        <f>data!F181-data!F143</f>
        <v>0</v>
      </c>
      <c r="G143" s="45">
        <f>data!G181-data!G143</f>
        <v>2.4021959889068967E-2</v>
      </c>
      <c r="H143" s="45">
        <f>data!H181-data!H143</f>
        <v>-1.5880197370153226E-2</v>
      </c>
      <c r="I143" s="45">
        <f>data!I181-data!I143</f>
        <v>3.9902157259222193E-2</v>
      </c>
      <c r="J143" s="45">
        <f>data!J181-data!J143</f>
        <v>0</v>
      </c>
      <c r="K143" s="45">
        <f>data!K181-data!K143</f>
        <v>1.5749154360872542E-2</v>
      </c>
      <c r="L143" s="45">
        <f>data!L181-data!L143</f>
        <v>1.9552115711977791E-2</v>
      </c>
      <c r="M143" s="45">
        <f>data!M181-data!M143</f>
        <v>1.3467210379843331E-3</v>
      </c>
      <c r="N143" s="45">
        <f>data!N181-data!N143</f>
        <v>1.6719148827344377E-3</v>
      </c>
      <c r="O143" s="45">
        <f>data!O181-data!O143</f>
        <v>1.440243332288782E-2</v>
      </c>
      <c r="P143" s="45">
        <f>data!P181-data!P143</f>
        <v>1.7880200829243353E-2</v>
      </c>
      <c r="Q143" s="45">
        <f>data!Q181-data!Q143</f>
        <v>0</v>
      </c>
      <c r="R143" s="45">
        <f>data!R181-data!R143</f>
        <v>0</v>
      </c>
      <c r="S143" s="45">
        <f>data!S181-data!S143</f>
        <v>5.8554537275710139E-3</v>
      </c>
      <c r="T143" s="45">
        <f>data!T181-data!T143</f>
        <v>7.269374990191757E-3</v>
      </c>
      <c r="U143" s="45">
        <f>data!U181-data!U143</f>
        <v>-3.8708648800940271E-3</v>
      </c>
      <c r="V143" s="45">
        <f>data!V181-data!V143</f>
        <v>-4.8055658295571568E-3</v>
      </c>
      <c r="W143" s="45">
        <f>data!W181-data!W143</f>
        <v>9.7263186076648189E-3</v>
      </c>
      <c r="X143" s="45">
        <f>data!X181-data!X143</f>
        <v>1.2074940819748914E-2</v>
      </c>
      <c r="Y143" s="45">
        <f>data!Y181-data!Y143</f>
        <v>0</v>
      </c>
      <c r="Z143" s="45">
        <f>data!Z181-data!Z143</f>
        <v>0</v>
      </c>
      <c r="AA143" s="10">
        <v>330.45426768437</v>
      </c>
      <c r="AB143" s="11">
        <v>410.24933347112</v>
      </c>
    </row>
    <row r="144" spans="1:28" x14ac:dyDescent="0.35">
      <c r="A144" s="13" t="s">
        <v>55</v>
      </c>
      <c r="B144" s="21" t="s">
        <v>68</v>
      </c>
      <c r="C144" s="45">
        <f>data!C182-data!C144</f>
        <v>1.7405980237011409</v>
      </c>
      <c r="D144" s="45">
        <f>data!D182-data!D144</f>
        <v>-0.33574397714601334</v>
      </c>
      <c r="E144" s="45">
        <f>data!E182-data!E144</f>
        <v>2.0763420008471538</v>
      </c>
      <c r="F144" s="45">
        <f>data!F182-data!F144</f>
        <v>-7.7368709221479817</v>
      </c>
      <c r="G144" s="45">
        <f>data!G182-data!G144</f>
        <v>-1.6726829942206933</v>
      </c>
      <c r="H144" s="45">
        <f>data!H182-data!H144</f>
        <v>0</v>
      </c>
      <c r="I144" s="45">
        <f>data!I182-data!I144</f>
        <v>-1.6726829942206933</v>
      </c>
      <c r="J144" s="45">
        <f>data!J182-data!J144</f>
        <v>0</v>
      </c>
      <c r="K144" s="45">
        <f>data!K182-data!K144</f>
        <v>0.78277540164496529</v>
      </c>
      <c r="L144" s="45">
        <f>data!L182-data!L144</f>
        <v>0.51011629076668319</v>
      </c>
      <c r="M144" s="45">
        <f>data!M182-data!M144</f>
        <v>-0.15098955817582438</v>
      </c>
      <c r="N144" s="45">
        <f>data!N182-data!N144</f>
        <v>-9.8396338463489386E-2</v>
      </c>
      <c r="O144" s="45">
        <f>data!O182-data!O144</f>
        <v>0.93376495982079</v>
      </c>
      <c r="P144" s="45">
        <f>data!P182-data!P144</f>
        <v>0.60851262923017257</v>
      </c>
      <c r="Q144" s="45">
        <f>data!Q182-data!Q144</f>
        <v>-3.4793974031303891</v>
      </c>
      <c r="R144" s="45">
        <f>data!R182-data!R144</f>
        <v>-2.2674413294774491</v>
      </c>
      <c r="S144" s="45">
        <f>data!S182-data!S144</f>
        <v>-0.75223290202391802</v>
      </c>
      <c r="T144" s="45">
        <f>data!T182-data!T144</f>
        <v>-0.49021246320044876</v>
      </c>
      <c r="U144" s="45">
        <f>data!U182-data!U144</f>
        <v>0</v>
      </c>
      <c r="V144" s="45">
        <f>data!V182-data!V144</f>
        <v>0</v>
      </c>
      <c r="W144" s="45">
        <f>data!W182-data!W144</f>
        <v>-0.75223290202391802</v>
      </c>
      <c r="X144" s="45">
        <f>data!X182-data!X144</f>
        <v>-0.49021246320044876</v>
      </c>
      <c r="Y144" s="45">
        <f>data!Y182-data!Y144</f>
        <v>0</v>
      </c>
      <c r="Z144" s="45">
        <f>data!Z182-data!Z144</f>
        <v>0</v>
      </c>
      <c r="AA144" s="10">
        <v>341.21592570296002</v>
      </c>
      <c r="AB144" s="11">
        <v>222.36238134761999</v>
      </c>
    </row>
    <row r="145" spans="1:28" x14ac:dyDescent="0.35">
      <c r="A145" s="13" t="s">
        <v>56</v>
      </c>
      <c r="B145" s="21" t="s">
        <v>68</v>
      </c>
      <c r="C145" s="45">
        <f>data!C183-data!C145</f>
        <v>0.65254641160964377</v>
      </c>
      <c r="D145" s="45">
        <f>data!D183-data!D145</f>
        <v>0.12712771106513487</v>
      </c>
      <c r="E145" s="45">
        <f>data!E183-data!E145</f>
        <v>0.52541870054450879</v>
      </c>
      <c r="F145" s="45">
        <f>data!F183-data!F145</f>
        <v>5.5953016739066053E-2</v>
      </c>
      <c r="G145" s="45">
        <f>data!G183-data!G145</f>
        <v>1.7931727792675822E-2</v>
      </c>
      <c r="H145" s="45">
        <f>data!H183-data!H145</f>
        <v>0</v>
      </c>
      <c r="I145" s="45">
        <f>data!I183-data!I145</f>
        <v>1.7931727792675822E-2</v>
      </c>
      <c r="J145" s="45">
        <f>data!J183-data!J145</f>
        <v>0</v>
      </c>
      <c r="K145" s="45">
        <f>data!K183-data!K145</f>
        <v>0.65589764735081246</v>
      </c>
      <c r="L145" s="45">
        <f>data!L183-data!L145</f>
        <v>0.35911075319053865</v>
      </c>
      <c r="M145" s="45">
        <f>data!M183-data!M145</f>
        <v>0.1277805917207247</v>
      </c>
      <c r="N145" s="45">
        <f>data!N183-data!N145</f>
        <v>6.9961197027161956E-2</v>
      </c>
      <c r="O145" s="45">
        <f>data!O183-data!O145</f>
        <v>0.52811705563008715</v>
      </c>
      <c r="P145" s="45">
        <f>data!P183-data!P145</f>
        <v>0.28914955616337679</v>
      </c>
      <c r="Q145" s="45">
        <f>data!Q183-data!Q145</f>
        <v>5.624037062866849E-2</v>
      </c>
      <c r="R145" s="45">
        <f>data!R183-data!R145</f>
        <v>3.0792185240716252E-2</v>
      </c>
      <c r="S145" s="45">
        <f>data!S183-data!S145</f>
        <v>1.8023818479270481E-2</v>
      </c>
      <c r="T145" s="45">
        <f>data!T183-data!T145</f>
        <v>9.8682272388126435E-3</v>
      </c>
      <c r="U145" s="45">
        <f>data!U183-data!U145</f>
        <v>0</v>
      </c>
      <c r="V145" s="45">
        <f>data!V183-data!V145</f>
        <v>0</v>
      </c>
      <c r="W145" s="45">
        <f>data!W183-data!W145</f>
        <v>1.8023818479270481E-2</v>
      </c>
      <c r="X145" s="45">
        <f>data!X183-data!X145</f>
        <v>9.8682272388126435E-3</v>
      </c>
      <c r="Y145" s="45">
        <f>data!Y183-data!Y145</f>
        <v>0</v>
      </c>
      <c r="Z145" s="45">
        <f>data!Z183-data!Z145</f>
        <v>0</v>
      </c>
      <c r="AA145" s="10">
        <v>181.71174374815001</v>
      </c>
      <c r="AB145" s="11">
        <v>99.489061173690004</v>
      </c>
    </row>
    <row r="146" spans="1:28" x14ac:dyDescent="0.35">
      <c r="A146" s="13" t="s">
        <v>57</v>
      </c>
      <c r="B146" s="21" t="s">
        <v>68</v>
      </c>
      <c r="C146" s="45">
        <f>data!C184-data!C146</f>
        <v>1.0573141337899385</v>
      </c>
      <c r="D146" s="45">
        <f>data!D184-data!D146</f>
        <v>1.2073783018731188E-3</v>
      </c>
      <c r="E146" s="45">
        <f>data!E184-data!E146</f>
        <v>1.0561067554880652</v>
      </c>
      <c r="F146" s="45">
        <f>data!F184-data!F146</f>
        <v>0</v>
      </c>
      <c r="G146" s="45">
        <f>data!G184-data!G146</f>
        <v>0</v>
      </c>
      <c r="H146" s="45">
        <f>data!H184-data!H146</f>
        <v>0</v>
      </c>
      <c r="I146" s="45">
        <f>data!I184-data!I146</f>
        <v>0</v>
      </c>
      <c r="J146" s="45">
        <f>data!J184-data!J146</f>
        <v>0</v>
      </c>
      <c r="K146" s="45">
        <f>data!K184-data!K146</f>
        <v>2.0970974668715678</v>
      </c>
      <c r="L146" s="45">
        <f>data!L184-data!L146</f>
        <v>1.3905191465198845</v>
      </c>
      <c r="M146" s="45">
        <f>data!M184-data!M146</f>
        <v>2.3947376635720108E-3</v>
      </c>
      <c r="N146" s="45">
        <f>data!N184-data!N146</f>
        <v>1.5878749675172221E-3</v>
      </c>
      <c r="O146" s="45">
        <f>data!O184-data!O146</f>
        <v>2.0947027292079961</v>
      </c>
      <c r="P146" s="45">
        <f>data!P184-data!P146</f>
        <v>1.3889312715523676</v>
      </c>
      <c r="Q146" s="45">
        <f>data!Q184-data!Q146</f>
        <v>0</v>
      </c>
      <c r="R146" s="45">
        <f>data!R184-data!R146</f>
        <v>0</v>
      </c>
      <c r="S146" s="45">
        <f>data!S184-data!S146</f>
        <v>0</v>
      </c>
      <c r="T146" s="45">
        <f>data!T184-data!T146</f>
        <v>0</v>
      </c>
      <c r="U146" s="45">
        <f>data!U184-data!U146</f>
        <v>0</v>
      </c>
      <c r="V146" s="45">
        <f>data!V184-data!V146</f>
        <v>0</v>
      </c>
      <c r="W146" s="45">
        <f>data!W184-data!W146</f>
        <v>0</v>
      </c>
      <c r="X146" s="45">
        <f>data!X184-data!X146</f>
        <v>0</v>
      </c>
      <c r="Y146" s="45">
        <f>data!Y184-data!Y146</f>
        <v>0</v>
      </c>
      <c r="Z146" s="45">
        <f>data!Z184-data!Z146</f>
        <v>0</v>
      </c>
      <c r="AA146" s="10">
        <v>76.037366075549997</v>
      </c>
      <c r="AB146" s="11">
        <v>50.417977728389999</v>
      </c>
    </row>
    <row r="147" spans="1:28" x14ac:dyDescent="0.35">
      <c r="A147" s="13" t="s">
        <v>58</v>
      </c>
      <c r="B147" s="21" t="s">
        <v>68</v>
      </c>
      <c r="C147" s="45">
        <f>data!C185-data!C147</f>
        <v>0.14978738107463485</v>
      </c>
      <c r="D147" s="45">
        <f>data!D185-data!D147</f>
        <v>4.9594344938770796E-2</v>
      </c>
      <c r="E147" s="45">
        <f>data!E185-data!E147</f>
        <v>0.10019303613586317</v>
      </c>
      <c r="F147" s="45">
        <f>data!F185-data!F147</f>
        <v>0.11278619484333774</v>
      </c>
      <c r="G147" s="45">
        <f>data!G185-data!G147</f>
        <v>8.8107902061196341E-2</v>
      </c>
      <c r="H147" s="45">
        <f>data!H185-data!H147</f>
        <v>3.9390999393047466E-3</v>
      </c>
      <c r="I147" s="45">
        <f>data!I185-data!I147</f>
        <v>8.4168802121890707E-2</v>
      </c>
      <c r="J147" s="45">
        <f>data!J185-data!J147</f>
        <v>0</v>
      </c>
      <c r="K147" s="45">
        <f>data!K185-data!K147</f>
        <v>2.7242921653429342E-2</v>
      </c>
      <c r="L147" s="45">
        <f>data!L185-data!L147</f>
        <v>2.8749729366256638E-2</v>
      </c>
      <c r="M147" s="45">
        <f>data!M185-data!M147</f>
        <v>9.0200846288038816E-3</v>
      </c>
      <c r="N147" s="45">
        <f>data!N185-data!N147</f>
        <v>9.518986077845959E-3</v>
      </c>
      <c r="O147" s="45">
        <f>data!O185-data!O147</f>
        <v>1.8222837024625793E-2</v>
      </c>
      <c r="P147" s="45">
        <f>data!P185-data!P147</f>
        <v>1.9230743288411123E-2</v>
      </c>
      <c r="Q147" s="45">
        <f>data!Q185-data!Q147</f>
        <v>2.0513246494205717E-2</v>
      </c>
      <c r="R147" s="45">
        <f>data!R185-data!R147</f>
        <v>2.1647835450037789E-2</v>
      </c>
      <c r="S147" s="45">
        <f>data!S185-data!S147</f>
        <v>1.6024825694129774E-2</v>
      </c>
      <c r="T147" s="45">
        <f>data!T185-data!T147</f>
        <v>1.6911159812760701E-2</v>
      </c>
      <c r="U147" s="45">
        <f>data!U185-data!U147</f>
        <v>7.16432788006649E-4</v>
      </c>
      <c r="V147" s="45">
        <f>data!V185-data!V147</f>
        <v>7.5605873064316098E-4</v>
      </c>
      <c r="W147" s="45">
        <f>data!W185-data!W147</f>
        <v>1.5308392906123736E-2</v>
      </c>
      <c r="X147" s="45">
        <f>data!X185-data!X147</f>
        <v>1.6155101082117262E-2</v>
      </c>
      <c r="Y147" s="45">
        <f>data!Y185-data!Y147</f>
        <v>0</v>
      </c>
      <c r="Z147" s="45">
        <f>data!Z185-data!Z147</f>
        <v>0</v>
      </c>
      <c r="AA147" s="10">
        <v>521.00449074291998</v>
      </c>
      <c r="AB147" s="11">
        <v>549.82128194673999</v>
      </c>
    </row>
    <row r="148" spans="1:28" x14ac:dyDescent="0.35">
      <c r="A148" s="13" t="s">
        <v>59</v>
      </c>
      <c r="B148" s="21" t="s">
        <v>68</v>
      </c>
      <c r="C148" s="45">
        <f>data!C186-data!C148</f>
        <v>14.861503111824639</v>
      </c>
      <c r="D148" s="45">
        <f>data!D186-data!D148</f>
        <v>1.5501657954967438</v>
      </c>
      <c r="E148" s="45">
        <f>data!E186-data!E148</f>
        <v>13.311337316327894</v>
      </c>
      <c r="F148" s="45">
        <f>data!F186-data!F148</f>
        <v>0</v>
      </c>
      <c r="G148" s="45">
        <f>data!G186-data!G148</f>
        <v>1.759052535380377</v>
      </c>
      <c r="H148" s="45">
        <f>data!H186-data!H148</f>
        <v>0.21456229224262158</v>
      </c>
      <c r="I148" s="45">
        <f>data!I186-data!I148</f>
        <v>1.5444902431377514</v>
      </c>
      <c r="J148" s="45">
        <f>data!J186-data!J148</f>
        <v>0</v>
      </c>
      <c r="K148" s="45">
        <f>data!K186-data!K148</f>
        <v>1.9891993723876062</v>
      </c>
      <c r="L148" s="45">
        <f>data!L186-data!L148</f>
        <v>2.5154274674357877</v>
      </c>
      <c r="M148" s="45">
        <f>data!M186-data!M148</f>
        <v>0.20748835459620396</v>
      </c>
      <c r="N148" s="45">
        <f>data!N186-data!N148</f>
        <v>0.26237787602853146</v>
      </c>
      <c r="O148" s="45">
        <f>data!O186-data!O148</f>
        <v>1.7817110177914026</v>
      </c>
      <c r="P148" s="45">
        <f>data!P186-data!P148</f>
        <v>2.2530495914072564</v>
      </c>
      <c r="Q148" s="45">
        <f>data!Q186-data!Q148</f>
        <v>0</v>
      </c>
      <c r="R148" s="45">
        <f>data!R186-data!R148</f>
        <v>0</v>
      </c>
      <c r="S148" s="45">
        <f>data!S186-data!S148</f>
        <v>0.2354476645495831</v>
      </c>
      <c r="T148" s="45">
        <f>data!T186-data!T148</f>
        <v>0.29773361623413219</v>
      </c>
      <c r="U148" s="45">
        <f>data!U186-data!U148</f>
        <v>2.8718977741052143E-2</v>
      </c>
      <c r="V148" s="45">
        <f>data!V186-data!V148</f>
        <v>3.6316372531231156E-2</v>
      </c>
      <c r="W148" s="45">
        <f>data!W186-data!W148</f>
        <v>0.20672868680853096</v>
      </c>
      <c r="X148" s="45">
        <f>data!X186-data!X148</f>
        <v>0.2614172437029012</v>
      </c>
      <c r="Y148" s="45">
        <f>data!Y186-data!Y148</f>
        <v>0</v>
      </c>
      <c r="Z148" s="45">
        <f>data!Z186-data!Z148</f>
        <v>0</v>
      </c>
      <c r="AA148" s="10">
        <v>590.81421763174001</v>
      </c>
      <c r="AB148" s="11">
        <v>747.10978286638999</v>
      </c>
    </row>
    <row r="149" spans="1:28" x14ac:dyDescent="0.35">
      <c r="A149" s="6" t="s">
        <v>60</v>
      </c>
      <c r="B149" s="21" t="s">
        <v>68</v>
      </c>
      <c r="C149" s="45">
        <f>data!C187-data!C149</f>
        <v>0</v>
      </c>
      <c r="D149" s="45">
        <f>data!D187-data!D149</f>
        <v>0</v>
      </c>
      <c r="E149" s="45">
        <f>data!E187-data!E149</f>
        <v>0</v>
      </c>
      <c r="F149" s="45">
        <f>data!F187-data!F149</f>
        <v>-2.3244291230595238E-4</v>
      </c>
      <c r="G149" s="45">
        <f>data!G187-data!G149</f>
        <v>0</v>
      </c>
      <c r="H149" s="45">
        <f>data!H187-data!H149</f>
        <v>0</v>
      </c>
      <c r="I149" s="45">
        <f>data!I187-data!I149</f>
        <v>0</v>
      </c>
      <c r="J149" s="45">
        <f>data!J187-data!J149</f>
        <v>0</v>
      </c>
      <c r="K149" s="45">
        <f>data!K187-data!K149</f>
        <v>0</v>
      </c>
      <c r="L149" s="45">
        <f>data!L187-data!L149</f>
        <v>0</v>
      </c>
      <c r="M149" s="45">
        <f>data!M187-data!M149</f>
        <v>0</v>
      </c>
      <c r="N149" s="45">
        <f>data!N187-data!N149</f>
        <v>0</v>
      </c>
      <c r="O149" s="45">
        <f>data!O187-data!O149</f>
        <v>0</v>
      </c>
      <c r="P149" s="45">
        <f>data!P187-data!P149</f>
        <v>0</v>
      </c>
      <c r="Q149" s="45">
        <f>data!Q187-data!Q149</f>
        <v>-8.8732399514901417E-5</v>
      </c>
      <c r="R149" s="45">
        <f>data!R187-data!R149</f>
        <v>-5.2673663377023061E-5</v>
      </c>
      <c r="S149" s="45">
        <f>data!S187-data!S149</f>
        <v>0</v>
      </c>
      <c r="T149" s="45">
        <f>data!T187-data!T149</f>
        <v>0</v>
      </c>
      <c r="U149" s="45">
        <f>data!U187-data!U149</f>
        <v>0</v>
      </c>
      <c r="V149" s="45">
        <f>data!V187-data!V149</f>
        <v>0</v>
      </c>
      <c r="W149" s="45">
        <f>data!W187-data!W149</f>
        <v>0</v>
      </c>
      <c r="X149" s="45">
        <f>data!X187-data!X149</f>
        <v>0</v>
      </c>
      <c r="Y149" s="45">
        <f>data!Y187-data!Y149</f>
        <v>0</v>
      </c>
      <c r="Z149" s="45">
        <f>data!Z187-data!Z149</f>
        <v>0</v>
      </c>
      <c r="AA149" s="10">
        <v>441.28867711817003</v>
      </c>
      <c r="AB149" s="11">
        <v>261.95945739796002</v>
      </c>
    </row>
    <row r="150" spans="1:28" x14ac:dyDescent="0.35">
      <c r="A150" s="6" t="s">
        <v>61</v>
      </c>
      <c r="B150" s="21" t="s">
        <v>68</v>
      </c>
      <c r="C150" s="45">
        <f>data!C188-data!C150</f>
        <v>7.6428054034677118E-2</v>
      </c>
      <c r="D150" s="45">
        <f>data!D188-data!D150</f>
        <v>2.0133252286158587E-2</v>
      </c>
      <c r="E150" s="45">
        <f>data!E188-data!E150</f>
        <v>5.6294801748519419E-2</v>
      </c>
      <c r="F150" s="45">
        <f>data!F188-data!F150</f>
        <v>7.4328099406205383E-4</v>
      </c>
      <c r="G150" s="45">
        <f>data!G188-data!G150</f>
        <v>0.10649730082921138</v>
      </c>
      <c r="H150" s="45">
        <f>data!H188-data!H150</f>
        <v>5.8988637891250306E-2</v>
      </c>
      <c r="I150" s="45">
        <f>data!I188-data!I150</f>
        <v>4.7508662937961077E-2</v>
      </c>
      <c r="J150" s="45">
        <f>data!J188-data!J150</f>
        <v>0</v>
      </c>
      <c r="K150" s="45">
        <f>data!K188-data!K150</f>
        <v>2.3779315743929885E-2</v>
      </c>
      <c r="L150" s="45">
        <f>data!L188-data!L150</f>
        <v>1.1069003789356824E-2</v>
      </c>
      <c r="M150" s="45">
        <f>data!M188-data!M150</f>
        <v>6.2641260347613414E-3</v>
      </c>
      <c r="N150" s="45">
        <f>data!N188-data!N150</f>
        <v>2.9158801524169498E-3</v>
      </c>
      <c r="O150" s="45">
        <f>data!O188-data!O150</f>
        <v>1.7515189709168766E-2</v>
      </c>
      <c r="P150" s="45">
        <f>data!P188-data!P150</f>
        <v>8.1531236369398741E-3</v>
      </c>
      <c r="Q150" s="45">
        <f>data!Q188-data!Q150</f>
        <v>2.31259498459091E-4</v>
      </c>
      <c r="R150" s="45">
        <f>data!R188-data!R150</f>
        <v>1.0764869318924224E-4</v>
      </c>
      <c r="S150" s="45">
        <f>data!S188-data!S150</f>
        <v>3.3134860939218136E-2</v>
      </c>
      <c r="T150" s="45">
        <f>data!T188-data!T150</f>
        <v>1.5423904760154095E-2</v>
      </c>
      <c r="U150" s="45">
        <f>data!U188-data!U150</f>
        <v>1.8353331946459495E-2</v>
      </c>
      <c r="V150" s="45">
        <f>data!V188-data!V150</f>
        <v>8.543269413231025E-3</v>
      </c>
      <c r="W150" s="45">
        <f>data!W188-data!W150</f>
        <v>1.4781528992759085E-2</v>
      </c>
      <c r="X150" s="45">
        <f>data!X188-data!X150</f>
        <v>6.8806353469232917E-3</v>
      </c>
      <c r="Y150" s="45">
        <f>data!Y188-data!Y150</f>
        <v>0</v>
      </c>
      <c r="Z150" s="45">
        <f>data!Z188-data!Z150</f>
        <v>0</v>
      </c>
      <c r="AA150" s="10">
        <v>690.46912883131995</v>
      </c>
      <c r="AB150" s="11">
        <v>321.40560669490998</v>
      </c>
    </row>
    <row r="151" spans="1:28" x14ac:dyDescent="0.35">
      <c r="A151" s="6" t="s">
        <v>62</v>
      </c>
      <c r="B151" s="21" t="s">
        <v>68</v>
      </c>
      <c r="C151" s="45">
        <f>data!C189-data!C151</f>
        <v>8.1321563717489109E-3</v>
      </c>
      <c r="D151" s="45">
        <f>data!D189-data!D151</f>
        <v>4.6165707683641088E-3</v>
      </c>
      <c r="E151" s="45">
        <f>data!E189-data!E151</f>
        <v>3.5155856033848298E-3</v>
      </c>
      <c r="F151" s="45">
        <f>data!F189-data!F151</f>
        <v>-0.40447797630408838</v>
      </c>
      <c r="G151" s="45">
        <f>data!G189-data!G151</f>
        <v>0</v>
      </c>
      <c r="H151" s="45">
        <f>data!H189-data!H151</f>
        <v>0</v>
      </c>
      <c r="I151" s="45">
        <f>data!I189-data!I151</f>
        <v>0</v>
      </c>
      <c r="J151" s="45">
        <f>data!J189-data!J151</f>
        <v>0</v>
      </c>
      <c r="K151" s="45">
        <f>data!K189-data!K151</f>
        <v>1.2631005482525381E-2</v>
      </c>
      <c r="L151" s="45">
        <f>data!L189-data!L151</f>
        <v>8.9135651372828084E-3</v>
      </c>
      <c r="M151" s="45">
        <f>data!M189-data!M151</f>
        <v>7.1705373113886695E-3</v>
      </c>
      <c r="N151" s="45">
        <f>data!N189-data!N151</f>
        <v>5.0601712969569057E-3</v>
      </c>
      <c r="O151" s="45">
        <f>data!O189-data!O151</f>
        <v>5.4604681711365455E-3</v>
      </c>
      <c r="P151" s="45">
        <f>data!P189-data!P151</f>
        <v>3.8533938403259027E-3</v>
      </c>
      <c r="Q151" s="45">
        <f>data!Q189-data!Q151</f>
        <v>-0.62824216637129171</v>
      </c>
      <c r="R151" s="45">
        <f>data!R189-data!R151</f>
        <v>-0.44334376069153497</v>
      </c>
      <c r="S151" s="45">
        <f>data!S189-data!S151</f>
        <v>0</v>
      </c>
      <c r="T151" s="45">
        <f>data!T189-data!T151</f>
        <v>0</v>
      </c>
      <c r="U151" s="45">
        <f>data!U189-data!U151</f>
        <v>0</v>
      </c>
      <c r="V151" s="45">
        <f>data!V189-data!V151</f>
        <v>0</v>
      </c>
      <c r="W151" s="45">
        <f>data!W189-data!W151</f>
        <v>0</v>
      </c>
      <c r="X151" s="45">
        <f>data!X189-data!X151</f>
        <v>0</v>
      </c>
      <c r="Y151" s="45">
        <f>data!Y189-data!Y151</f>
        <v>0</v>
      </c>
      <c r="Z151" s="45">
        <f>data!Z189-data!Z151</f>
        <v>0</v>
      </c>
      <c r="AA151" s="10">
        <v>91.233487908610002</v>
      </c>
      <c r="AB151" s="11">
        <v>64.38249419652</v>
      </c>
    </row>
    <row r="152" spans="1:28" x14ac:dyDescent="0.35">
      <c r="A152" s="6" t="s">
        <v>63</v>
      </c>
      <c r="B152" s="21" t="s">
        <v>68</v>
      </c>
      <c r="C152" s="45">
        <f>data!C190-data!C152</f>
        <v>7.7024509539050037</v>
      </c>
      <c r="D152" s="45">
        <f>data!D190-data!D152</f>
        <v>2.4305849670506685</v>
      </c>
      <c r="E152" s="45">
        <f>data!E190-data!E152</f>
        <v>5.2718659868543361</v>
      </c>
      <c r="F152" s="45">
        <f>data!F190-data!F152</f>
        <v>2.9</v>
      </c>
      <c r="G152" s="45">
        <f>data!G190-data!G152</f>
        <v>-0.12702259531584925</v>
      </c>
      <c r="H152" s="45">
        <f>data!H190-data!H152</f>
        <v>0</v>
      </c>
      <c r="I152" s="45">
        <f>data!I190-data!I152</f>
        <v>-0.12702259531584925</v>
      </c>
      <c r="J152" s="45">
        <f>data!J190-data!J152</f>
        <v>0</v>
      </c>
      <c r="K152" s="45">
        <f>data!K190-data!K152</f>
        <v>5.2261115841824903</v>
      </c>
      <c r="L152" s="45">
        <f>data!L190-data!L152</f>
        <v>2.4855583034441739</v>
      </c>
      <c r="M152" s="45">
        <f>data!M190-data!M152</f>
        <v>1.6491514621334096</v>
      </c>
      <c r="N152" s="45">
        <f>data!N190-data!N152</f>
        <v>0.78434263109673064</v>
      </c>
      <c r="O152" s="45">
        <f>data!O190-data!O152</f>
        <v>3.5769601220490803</v>
      </c>
      <c r="P152" s="45">
        <f>data!P190-data!P152</f>
        <v>1.7012156723474432</v>
      </c>
      <c r="Q152" s="45">
        <f>data!Q190-data!Q152</f>
        <v>1.9676494773972615</v>
      </c>
      <c r="R152" s="45">
        <f>data!R190-data!R152</f>
        <v>0.93582148372314089</v>
      </c>
      <c r="S152" s="45">
        <f>data!S190-data!S152</f>
        <v>-8.6184808031336324E-2</v>
      </c>
      <c r="T152" s="45">
        <f>data!T190-data!T152</f>
        <v>-4.098981848787675E-2</v>
      </c>
      <c r="U152" s="45">
        <f>data!U190-data!U152</f>
        <v>0</v>
      </c>
      <c r="V152" s="45">
        <f>data!V190-data!V152</f>
        <v>0</v>
      </c>
      <c r="W152" s="45">
        <f>data!W190-data!W152</f>
        <v>-8.6184808031336324E-2</v>
      </c>
      <c r="X152" s="45">
        <f>data!X190-data!X152</f>
        <v>-4.098981848787675E-2</v>
      </c>
      <c r="Y152" s="45">
        <f>data!Y190-data!Y152</f>
        <v>0</v>
      </c>
      <c r="Z152" s="45">
        <f>data!Z190-data!Z152</f>
        <v>0</v>
      </c>
      <c r="AA152" s="10">
        <v>309.88816247970999</v>
      </c>
      <c r="AB152" s="11">
        <v>147.38397429586999</v>
      </c>
    </row>
    <row r="153" spans="1:28" x14ac:dyDescent="0.35">
      <c r="A153" s="6" t="s">
        <v>64</v>
      </c>
      <c r="B153" s="21" t="s">
        <v>68</v>
      </c>
      <c r="C153" s="45">
        <f>data!C191-data!C153</f>
        <v>1.5765726587907949</v>
      </c>
      <c r="D153" s="45">
        <f>data!D191-data!D153</f>
        <v>1.4258862393990324E-2</v>
      </c>
      <c r="E153" s="45">
        <f>data!E191-data!E153</f>
        <v>1.5623137963968006</v>
      </c>
      <c r="F153" s="45">
        <f>data!F191-data!F153</f>
        <v>0</v>
      </c>
      <c r="G153" s="45">
        <f>data!G191-data!G153</f>
        <v>0.20801163962997649</v>
      </c>
      <c r="H153" s="45">
        <f>data!H191-data!H153</f>
        <v>8.3875661141119551E-2</v>
      </c>
      <c r="I153" s="45">
        <f>data!I191-data!I153</f>
        <v>0.12413597848885871</v>
      </c>
      <c r="J153" s="45">
        <f>data!J191-data!J153</f>
        <v>0</v>
      </c>
      <c r="K153" s="45">
        <f>data!K191-data!K153</f>
        <v>0.27586422742956351</v>
      </c>
      <c r="L153" s="45">
        <f>data!L191-data!L153</f>
        <v>0.12971392089226486</v>
      </c>
      <c r="M153" s="45">
        <f>data!M191-data!M153</f>
        <v>2.4949754370087729E-3</v>
      </c>
      <c r="N153" s="45">
        <f>data!N191-data!N153</f>
        <v>1.17316061411743E-3</v>
      </c>
      <c r="O153" s="45">
        <f>data!O191-data!O153</f>
        <v>0.27336925199255457</v>
      </c>
      <c r="P153" s="45">
        <f>data!P191-data!P153</f>
        <v>0.1285407602781472</v>
      </c>
      <c r="Q153" s="45">
        <f>data!Q191-data!Q153</f>
        <v>0</v>
      </c>
      <c r="R153" s="45">
        <f>data!R191-data!R153</f>
        <v>0</v>
      </c>
      <c r="S153" s="45">
        <f>data!S191-data!S153</f>
        <v>3.639728872812853E-2</v>
      </c>
      <c r="T153" s="45">
        <f>data!T191-data!T153</f>
        <v>1.7114343076537253E-2</v>
      </c>
      <c r="U153" s="45">
        <f>data!U191-data!U153</f>
        <v>1.467632610005154E-2</v>
      </c>
      <c r="V153" s="45">
        <f>data!V191-data!V153</f>
        <v>6.9009447889261111E-3</v>
      </c>
      <c r="W153" s="45">
        <f>data!W191-data!W153</f>
        <v>2.1720962628076546E-2</v>
      </c>
      <c r="X153" s="45">
        <f>data!X191-data!X153</f>
        <v>1.0213398287610698E-2</v>
      </c>
      <c r="Y153" s="45">
        <f>data!Y191-data!Y153</f>
        <v>0</v>
      </c>
      <c r="Z153" s="45">
        <f>data!Z191-data!Z153</f>
        <v>0</v>
      </c>
      <c r="AA153" s="10">
        <v>1215.4228689920101</v>
      </c>
      <c r="AB153" s="11">
        <v>571.50311712429004</v>
      </c>
    </row>
    <row r="154" spans="1:28" x14ac:dyDescent="0.35">
      <c r="A154" s="6" t="s">
        <v>26</v>
      </c>
      <c r="B154" s="21" t="s">
        <v>69</v>
      </c>
      <c r="C154" s="45">
        <f>data!C192-data!C154</f>
        <v>30.447629669960548</v>
      </c>
      <c r="D154" s="45">
        <f>data!D192-data!D154</f>
        <v>2.3474363010853931</v>
      </c>
      <c r="E154" s="45">
        <f>data!E192-data!E154</f>
        <v>28.100193368875154</v>
      </c>
      <c r="F154" s="45">
        <f>data!F192-data!F154</f>
        <v>0</v>
      </c>
      <c r="G154" s="45">
        <f>data!G192-data!G154</f>
        <v>0</v>
      </c>
      <c r="H154" s="45">
        <f>data!H192-data!H154</f>
        <v>0</v>
      </c>
      <c r="I154" s="45">
        <f>data!I192-data!I154</f>
        <v>0</v>
      </c>
      <c r="J154" s="45">
        <f>data!J192-data!J154</f>
        <v>0</v>
      </c>
      <c r="K154" s="45">
        <f>data!K192-data!K154</f>
        <v>2.0369395358085818</v>
      </c>
      <c r="L154" s="45">
        <f>data!L192-data!L154</f>
        <v>2.4824492048994813</v>
      </c>
      <c r="M154" s="45">
        <f>data!M192-data!M154</f>
        <v>0.15704295740927832</v>
      </c>
      <c r="N154" s="45">
        <f>data!N192-data!N154</f>
        <v>0.19139064164757924</v>
      </c>
      <c r="O154" s="45">
        <f>data!O192-data!O154</f>
        <v>1.879896578399304</v>
      </c>
      <c r="P154" s="45">
        <f>data!P192-data!P154</f>
        <v>2.2910585632519052</v>
      </c>
      <c r="Q154" s="45">
        <f>data!Q192-data!Q154</f>
        <v>0</v>
      </c>
      <c r="R154" s="45">
        <f>data!R192-data!R154</f>
        <v>0</v>
      </c>
      <c r="S154" s="45">
        <f>data!S192-data!S154</f>
        <v>0</v>
      </c>
      <c r="T154" s="45">
        <f>data!T192-data!T154</f>
        <v>0</v>
      </c>
      <c r="U154" s="45">
        <f>data!U192-data!U154</f>
        <v>0</v>
      </c>
      <c r="V154" s="45">
        <f>data!V192-data!V154</f>
        <v>0</v>
      </c>
      <c r="W154" s="45">
        <f>data!W192-data!W154</f>
        <v>0</v>
      </c>
      <c r="X154" s="45">
        <f>data!X192-data!X154</f>
        <v>0</v>
      </c>
      <c r="Y154" s="45">
        <f>data!Y192-data!Y154</f>
        <v>0</v>
      </c>
      <c r="Z154" s="45">
        <f>data!Z192-data!Z154</f>
        <v>0</v>
      </c>
      <c r="AA154" s="10">
        <v>1226.51571721458</v>
      </c>
      <c r="AB154" s="11">
        <v>1494.77336635199</v>
      </c>
    </row>
    <row r="155" spans="1:28" x14ac:dyDescent="0.35">
      <c r="A155" s="6" t="s">
        <v>28</v>
      </c>
      <c r="B155" s="21" t="s">
        <v>69</v>
      </c>
      <c r="C155" s="45">
        <f>data!C193-data!C155</f>
        <v>20.504749809281805</v>
      </c>
      <c r="D155" s="45">
        <f>data!D193-data!D155</f>
        <v>5.6667672200197003</v>
      </c>
      <c r="E155" s="45">
        <f>data!E193-data!E155</f>
        <v>14.837982589262083</v>
      </c>
      <c r="F155" s="45">
        <f>data!F193-data!F155</f>
        <v>7.4562726579202376E-2</v>
      </c>
      <c r="G155" s="45">
        <f>data!G193-data!G155</f>
        <v>-1.1184408986880925</v>
      </c>
      <c r="H155" s="45">
        <f>data!H193-data!H155</f>
        <v>0</v>
      </c>
      <c r="I155" s="45">
        <f>data!I193-data!I155</f>
        <v>-1.1184408986880996</v>
      </c>
      <c r="J155" s="45">
        <f>data!J193-data!J155</f>
        <v>0</v>
      </c>
      <c r="K155" s="45">
        <f>data!K193-data!K155</f>
        <v>1.2085752854931862</v>
      </c>
      <c r="L155" s="45">
        <f>data!L193-data!L155</f>
        <v>1.1897238619754535</v>
      </c>
      <c r="M155" s="45">
        <f>data!M193-data!M155</f>
        <v>0.33400626071811734</v>
      </c>
      <c r="N155" s="45">
        <f>data!N193-data!N155</f>
        <v>0.32879641276412697</v>
      </c>
      <c r="O155" s="45">
        <f>data!O193-data!O155</f>
        <v>0.87456902477507015</v>
      </c>
      <c r="P155" s="45">
        <f>data!P193-data!P155</f>
        <v>0.86092744921132791</v>
      </c>
      <c r="Q155" s="45">
        <f>data!Q193-data!Q155</f>
        <v>4.3948192199749769E-3</v>
      </c>
      <c r="R155" s="45">
        <f>data!R193-data!R155</f>
        <v>4.3262685890010921E-3</v>
      </c>
      <c r="S155" s="45">
        <f>data!S193-data!S155</f>
        <v>-6.5922288299629095E-2</v>
      </c>
      <c r="T155" s="45">
        <f>data!T193-data!T155</f>
        <v>-6.4894028835025264E-2</v>
      </c>
      <c r="U155" s="45">
        <f>data!U193-data!U155</f>
        <v>0</v>
      </c>
      <c r="V155" s="45">
        <f>data!V193-data!V155</f>
        <v>0</v>
      </c>
      <c r="W155" s="45">
        <f>data!W193-data!W155</f>
        <v>-6.5922288299629095E-2</v>
      </c>
      <c r="X155" s="45">
        <f>data!X193-data!X155</f>
        <v>-6.4894028835025264E-2</v>
      </c>
      <c r="Y155" s="45">
        <f>data!Y193-data!Y155</f>
        <v>0</v>
      </c>
      <c r="Z155" s="45">
        <f>data!Z193-data!Z155</f>
        <v>0</v>
      </c>
      <c r="AA155" s="10">
        <v>1723.48815255626</v>
      </c>
      <c r="AB155" s="11">
        <v>1696.60508992738</v>
      </c>
    </row>
    <row r="156" spans="1:28" x14ac:dyDescent="0.35">
      <c r="A156" s="6" t="s">
        <v>29</v>
      </c>
      <c r="B156" s="21" t="s">
        <v>69</v>
      </c>
      <c r="C156" s="45">
        <f>data!C194-data!C156</f>
        <v>53.297862831851091</v>
      </c>
      <c r="D156" s="45">
        <f>data!D194-data!D156</f>
        <v>14.266023241930156</v>
      </c>
      <c r="E156" s="45">
        <f>data!E194-data!E156</f>
        <v>39.031839589920935</v>
      </c>
      <c r="F156" s="45">
        <f>data!F194-data!F156</f>
        <v>0</v>
      </c>
      <c r="G156" s="45">
        <f>data!G194-data!G156</f>
        <v>-5.9346656686429924</v>
      </c>
      <c r="H156" s="45">
        <f>data!H194-data!H156</f>
        <v>-5.9346656686429426</v>
      </c>
      <c r="I156" s="45">
        <f>data!I194-data!I156</f>
        <v>0</v>
      </c>
      <c r="J156" s="45">
        <f>data!J194-data!J156</f>
        <v>0</v>
      </c>
      <c r="K156" s="45">
        <f>data!K194-data!K156</f>
        <v>2.0367474980625904</v>
      </c>
      <c r="L156" s="45">
        <f>data!L194-data!L156</f>
        <v>1.8333748955791584</v>
      </c>
      <c r="M156" s="45">
        <f>data!M194-data!M156</f>
        <v>0.5451679598668604</v>
      </c>
      <c r="N156" s="45">
        <f>data!N194-data!N156</f>
        <v>0.49073203843125179</v>
      </c>
      <c r="O156" s="45">
        <f>data!O194-data!O156</f>
        <v>1.4915795381957304</v>
      </c>
      <c r="P156" s="45">
        <f>data!P194-data!P156</f>
        <v>1.3426428571479061</v>
      </c>
      <c r="Q156" s="45">
        <f>data!Q194-data!Q156</f>
        <v>0</v>
      </c>
      <c r="R156" s="45">
        <f>data!R194-data!R156</f>
        <v>0</v>
      </c>
      <c r="S156" s="45">
        <f>data!S194-data!S156</f>
        <v>-0.22678987130461437</v>
      </c>
      <c r="T156" s="45">
        <f>data!T194-data!T156</f>
        <v>-0.20414452798740079</v>
      </c>
      <c r="U156" s="45">
        <f>data!U194-data!U156</f>
        <v>-0.22678987130461392</v>
      </c>
      <c r="V156" s="45">
        <f>data!V194-data!V156</f>
        <v>-0.20414452798740068</v>
      </c>
      <c r="W156" s="45">
        <f>data!W194-data!W156</f>
        <v>0</v>
      </c>
      <c r="X156" s="45">
        <f>data!X194-data!X156</f>
        <v>0</v>
      </c>
      <c r="Y156" s="45">
        <f>data!Y194-data!Y156</f>
        <v>0</v>
      </c>
      <c r="Z156" s="45">
        <f>data!Z194-data!Z156</f>
        <v>0</v>
      </c>
      <c r="AA156" s="10">
        <v>2907.0902498102801</v>
      </c>
      <c r="AB156" s="11">
        <v>2616.8124857180101</v>
      </c>
    </row>
    <row r="157" spans="1:28" x14ac:dyDescent="0.35">
      <c r="A157" s="6" t="s">
        <v>30</v>
      </c>
      <c r="B157" s="21" t="s">
        <v>69</v>
      </c>
      <c r="C157" s="45">
        <f>data!C195-data!C157</f>
        <v>100.43280362318831</v>
      </c>
      <c r="D157" s="45">
        <f>data!D195-data!D157</f>
        <v>23.966919046442662</v>
      </c>
      <c r="E157" s="45">
        <f>data!E195-data!E157</f>
        <v>76.465884576745623</v>
      </c>
      <c r="F157" s="45">
        <f>data!F195-data!F157</f>
        <v>0</v>
      </c>
      <c r="G157" s="45">
        <f>data!G195-data!G157</f>
        <v>0.7988973015483225</v>
      </c>
      <c r="H157" s="45">
        <f>data!H195-data!H157</f>
        <v>0</v>
      </c>
      <c r="I157" s="45">
        <f>data!I195-data!I157</f>
        <v>0.79889730154820882</v>
      </c>
      <c r="J157" s="45">
        <f>data!J195-data!J157</f>
        <v>0</v>
      </c>
      <c r="K157" s="45">
        <f>data!K195-data!K157</f>
        <v>2.7918805654534271</v>
      </c>
      <c r="L157" s="45">
        <f>data!L195-data!L157</f>
        <v>2.4132147741265229</v>
      </c>
      <c r="M157" s="45">
        <f>data!M195-data!M157</f>
        <v>0.66624422584684018</v>
      </c>
      <c r="N157" s="45">
        <f>data!N195-data!N157</f>
        <v>0.57588079837110207</v>
      </c>
      <c r="O157" s="45">
        <f>data!O195-data!O157</f>
        <v>2.1256363396065865</v>
      </c>
      <c r="P157" s="45">
        <f>data!P195-data!P157</f>
        <v>1.8373339757554206</v>
      </c>
      <c r="Q157" s="45">
        <f>data!Q195-data!Q157</f>
        <v>0</v>
      </c>
      <c r="R157" s="45">
        <f>data!R195-data!R157</f>
        <v>0</v>
      </c>
      <c r="S157" s="45">
        <f>data!S195-data!S157</f>
        <v>2.2208140861561532E-2</v>
      </c>
      <c r="T157" s="45">
        <f>data!T195-data!T157</f>
        <v>1.9196026612373629E-2</v>
      </c>
      <c r="U157" s="45">
        <f>data!U195-data!U157</f>
        <v>0</v>
      </c>
      <c r="V157" s="45">
        <f>data!V195-data!V157</f>
        <v>0</v>
      </c>
      <c r="W157" s="45">
        <f>data!W195-data!W157</f>
        <v>2.2208140861561532E-2</v>
      </c>
      <c r="X157" s="45">
        <f>data!X195-data!X157</f>
        <v>1.9196026612373629E-2</v>
      </c>
      <c r="Y157" s="45">
        <f>data!Y195-data!Y157</f>
        <v>0</v>
      </c>
      <c r="Z157" s="45">
        <f>data!Z195-data!Z157</f>
        <v>0</v>
      </c>
      <c r="AA157" s="10">
        <v>4161.7847155581303</v>
      </c>
      <c r="AB157" s="11">
        <v>3597.3173374942398</v>
      </c>
    </row>
    <row r="158" spans="1:28" x14ac:dyDescent="0.35">
      <c r="A158" s="6" t="s">
        <v>31</v>
      </c>
      <c r="B158" s="21" t="s">
        <v>69</v>
      </c>
      <c r="C158" s="45">
        <f>data!C196-data!C158</f>
        <v>45.651274374176523</v>
      </c>
      <c r="D158" s="45">
        <f>data!D196-data!D158</f>
        <v>11.412818593544126</v>
      </c>
      <c r="E158" s="45">
        <f>data!E196-data!E158</f>
        <v>34.238455780632393</v>
      </c>
      <c r="F158" s="45">
        <f>data!F196-data!F158</f>
        <v>0</v>
      </c>
      <c r="G158" s="45">
        <f>data!G196-data!G158</f>
        <v>0</v>
      </c>
      <c r="H158" s="45">
        <f>data!H196-data!H158</f>
        <v>0</v>
      </c>
      <c r="I158" s="45">
        <f>data!I196-data!I158</f>
        <v>0</v>
      </c>
      <c r="J158" s="45">
        <f>data!J196-data!J158</f>
        <v>0</v>
      </c>
      <c r="K158" s="45">
        <f>data!K196-data!K158</f>
        <v>2.379954283240993</v>
      </c>
      <c r="L158" s="45">
        <f>data!L196-data!L158</f>
        <v>1.9528621771443726</v>
      </c>
      <c r="M158" s="45">
        <f>data!M196-data!M158</f>
        <v>0.59498857081024792</v>
      </c>
      <c r="N158" s="45">
        <f>data!N196-data!N158</f>
        <v>0.48821554428609326</v>
      </c>
      <c r="O158" s="45">
        <f>data!O196-data!O158</f>
        <v>1.7849657124307452</v>
      </c>
      <c r="P158" s="45">
        <f>data!P196-data!P158</f>
        <v>1.4646466328582797</v>
      </c>
      <c r="Q158" s="45">
        <f>data!Q196-data!Q158</f>
        <v>0</v>
      </c>
      <c r="R158" s="45">
        <f>data!R196-data!R158</f>
        <v>0</v>
      </c>
      <c r="S158" s="45">
        <f>data!S196-data!S158</f>
        <v>0</v>
      </c>
      <c r="T158" s="45">
        <f>data!T196-data!T158</f>
        <v>0</v>
      </c>
      <c r="U158" s="45">
        <f>data!U196-data!U158</f>
        <v>0</v>
      </c>
      <c r="V158" s="45">
        <f>data!V196-data!V158</f>
        <v>0</v>
      </c>
      <c r="W158" s="45">
        <f>data!W196-data!W158</f>
        <v>0</v>
      </c>
      <c r="X158" s="45">
        <f>data!X196-data!X158</f>
        <v>0</v>
      </c>
      <c r="Y158" s="45">
        <f>data!Y196-data!Y158</f>
        <v>0</v>
      </c>
      <c r="Z158" s="45">
        <f>data!Z196-data!Z158</f>
        <v>0</v>
      </c>
      <c r="AA158" s="10">
        <v>2337.6598158571201</v>
      </c>
      <c r="AB158" s="11">
        <v>1918.15761738117</v>
      </c>
    </row>
    <row r="159" spans="1:28" x14ac:dyDescent="0.35">
      <c r="A159" s="6" t="s">
        <v>32</v>
      </c>
      <c r="B159" s="21" t="s">
        <v>69</v>
      </c>
      <c r="C159" s="45">
        <f>data!C197-data!C159</f>
        <v>29.96967941429034</v>
      </c>
      <c r="D159" s="45">
        <f>data!D197-data!D159</f>
        <v>4.6827624084828585</v>
      </c>
      <c r="E159" s="45">
        <f>data!E197-data!E159</f>
        <v>25.286917005807481</v>
      </c>
      <c r="F159" s="45">
        <f>data!F197-data!F159</f>
        <v>-216.3436232719078</v>
      </c>
      <c r="G159" s="45">
        <f>data!G197-data!G159</f>
        <v>0</v>
      </c>
      <c r="H159" s="45">
        <f>data!H197-data!H159</f>
        <v>0</v>
      </c>
      <c r="I159" s="45">
        <f>data!I197-data!I159</f>
        <v>0</v>
      </c>
      <c r="J159" s="45">
        <f>data!J197-data!J159</f>
        <v>0</v>
      </c>
      <c r="K159" s="45">
        <f>data!K197-data!K159</f>
        <v>0.65660595684839507</v>
      </c>
      <c r="L159" s="45">
        <f>data!L197-data!L159</f>
        <v>0.56282649977393184</v>
      </c>
      <c r="M159" s="45">
        <f>data!M197-data!M159</f>
        <v>0.10259468075756129</v>
      </c>
      <c r="N159" s="45">
        <f>data!N197-data!N159</f>
        <v>8.7941640589676462E-2</v>
      </c>
      <c r="O159" s="45">
        <f>data!O197-data!O159</f>
        <v>0.55401127609083289</v>
      </c>
      <c r="P159" s="45">
        <f>data!P197-data!P159</f>
        <v>0.4748848591842556</v>
      </c>
      <c r="Q159" s="45">
        <f>data!Q197-data!Q159</f>
        <v>-4.7398742509993275</v>
      </c>
      <c r="R159" s="45">
        <f>data!R197-data!R159</f>
        <v>-4.0629037952430505</v>
      </c>
      <c r="S159" s="45">
        <f>data!S197-data!S159</f>
        <v>0</v>
      </c>
      <c r="T159" s="45">
        <f>data!T197-data!T159</f>
        <v>0</v>
      </c>
      <c r="U159" s="45">
        <f>data!U197-data!U159</f>
        <v>0</v>
      </c>
      <c r="V159" s="45">
        <f>data!V197-data!V159</f>
        <v>0</v>
      </c>
      <c r="W159" s="45">
        <f>data!W197-data!W159</f>
        <v>0</v>
      </c>
      <c r="X159" s="45">
        <f>data!X197-data!X159</f>
        <v>0</v>
      </c>
      <c r="Y159" s="45">
        <f>data!Y197-data!Y159</f>
        <v>0</v>
      </c>
      <c r="Z159" s="45">
        <f>data!Z197-data!Z159</f>
        <v>0</v>
      </c>
      <c r="AA159" s="10">
        <v>5324.8522282316499</v>
      </c>
      <c r="AB159" s="11">
        <v>4564.3325500944502</v>
      </c>
    </row>
    <row r="160" spans="1:28" x14ac:dyDescent="0.35">
      <c r="A160" s="6" t="s">
        <v>33</v>
      </c>
      <c r="B160" s="21" t="s">
        <v>69</v>
      </c>
      <c r="C160" s="45">
        <f>data!C198-data!C160</f>
        <v>6.3663101002475742E-4</v>
      </c>
      <c r="D160" s="45">
        <f>data!D198-data!D160</f>
        <v>7.3429182238626822E-5</v>
      </c>
      <c r="E160" s="45">
        <f>data!E198-data!E160</f>
        <v>5.6320182778790695E-4</v>
      </c>
      <c r="F160" s="45">
        <f>data!F198-data!F160</f>
        <v>3.4291428105603927E-4</v>
      </c>
      <c r="G160" s="45">
        <f>data!G198-data!G160</f>
        <v>5.20612902079165E-4</v>
      </c>
      <c r="H160" s="45">
        <f>data!H198-data!H160</f>
        <v>0</v>
      </c>
      <c r="I160" s="45">
        <f>data!I198-data!I160</f>
        <v>5.20612902079165E-4</v>
      </c>
      <c r="J160" s="45">
        <f>data!J198-data!J160</f>
        <v>9.1786477798905253E-4</v>
      </c>
      <c r="K160" s="45">
        <f>data!K198-data!K160</f>
        <v>3.8862875279654929E-5</v>
      </c>
      <c r="L160" s="45">
        <f>data!L198-data!L160</f>
        <v>2.9520951920769534E-5</v>
      </c>
      <c r="M160" s="45">
        <f>data!M198-data!M160</f>
        <v>4.4824538958376792E-6</v>
      </c>
      <c r="N160" s="45">
        <f>data!N198-data!N160</f>
        <v>3.4049540853509086E-6</v>
      </c>
      <c r="O160" s="45">
        <f>data!O198-data!O160</f>
        <v>3.4380421383595205E-5</v>
      </c>
      <c r="P160" s="45">
        <f>data!P198-data!P160</f>
        <v>2.6115997835418625E-5</v>
      </c>
      <c r="Q160" s="45">
        <f>data!Q198-data!Q160</f>
        <v>2.0933059694083767E-5</v>
      </c>
      <c r="R160" s="45">
        <f>data!R198-data!R160</f>
        <v>1.5901135578477721E-5</v>
      </c>
      <c r="S160" s="45">
        <f>data!S198-data!S160</f>
        <v>3.1780598122921333E-5</v>
      </c>
      <c r="T160" s="45">
        <f>data!T198-data!T160</f>
        <v>2.4141124465248964E-5</v>
      </c>
      <c r="U160" s="45">
        <f>data!U198-data!U160</f>
        <v>0</v>
      </c>
      <c r="V160" s="45">
        <f>data!V198-data!V160</f>
        <v>0</v>
      </c>
      <c r="W160" s="45">
        <f>data!W198-data!W160</f>
        <v>3.1780598122921333E-5</v>
      </c>
      <c r="X160" s="45">
        <f>data!X198-data!X160</f>
        <v>2.4141124465248964E-5</v>
      </c>
      <c r="Y160" s="45">
        <f>data!Y198-data!Y160</f>
        <v>5.6030673700746547E-5</v>
      </c>
      <c r="Z160" s="45">
        <f>data!Z198-data!Z160</f>
        <v>4.2561926066220224E-5</v>
      </c>
      <c r="AA160" s="10">
        <v>2156.5395714307001</v>
      </c>
      <c r="AB160" s="11">
        <v>1638.14696019506</v>
      </c>
    </row>
    <row r="161" spans="1:28" x14ac:dyDescent="0.35">
      <c r="A161" s="6" t="s">
        <v>34</v>
      </c>
      <c r="B161" s="21" t="s">
        <v>69</v>
      </c>
      <c r="C161" s="45">
        <f>data!C199-data!C161</f>
        <v>1.1412818593541374E-2</v>
      </c>
      <c r="D161" s="45">
        <f>data!D199-data!D161</f>
        <v>0</v>
      </c>
      <c r="E161" s="45">
        <f>data!E199-data!E161</f>
        <v>1.1412818593541374E-2</v>
      </c>
      <c r="F161" s="45">
        <f>data!F199-data!F161</f>
        <v>0</v>
      </c>
      <c r="G161" s="45">
        <f>data!G199-data!G161</f>
        <v>0</v>
      </c>
      <c r="H161" s="45">
        <f>data!H199-data!H161</f>
        <v>0</v>
      </c>
      <c r="I161" s="45">
        <f>data!I199-data!I161</f>
        <v>0</v>
      </c>
      <c r="J161" s="45">
        <f>data!J199-data!J161</f>
        <v>0</v>
      </c>
      <c r="K161" s="45">
        <f>data!K199-data!K161</f>
        <v>8.620484326238298E-4</v>
      </c>
      <c r="L161" s="45">
        <f>data!L199-data!L161</f>
        <v>6.352709519514832E-4</v>
      </c>
      <c r="M161" s="45">
        <f>data!M199-data!M161</f>
        <v>0</v>
      </c>
      <c r="N161" s="45">
        <f>data!N199-data!N161</f>
        <v>0</v>
      </c>
      <c r="O161" s="45">
        <f>data!O199-data!O161</f>
        <v>8.620484326238298E-4</v>
      </c>
      <c r="P161" s="45">
        <f>data!P199-data!P161</f>
        <v>6.352709519514832E-4</v>
      </c>
      <c r="Q161" s="45">
        <f>data!Q199-data!Q161</f>
        <v>0</v>
      </c>
      <c r="R161" s="45">
        <f>data!R199-data!R161</f>
        <v>0</v>
      </c>
      <c r="S161" s="45">
        <f>data!S199-data!S161</f>
        <v>0</v>
      </c>
      <c r="T161" s="45">
        <f>data!T199-data!T161</f>
        <v>0</v>
      </c>
      <c r="U161" s="45">
        <f>data!U199-data!U161</f>
        <v>0</v>
      </c>
      <c r="V161" s="45">
        <f>data!V199-data!V161</f>
        <v>0</v>
      </c>
      <c r="W161" s="45">
        <f>data!W199-data!W161</f>
        <v>0</v>
      </c>
      <c r="X161" s="45">
        <f>data!X199-data!X161</f>
        <v>0</v>
      </c>
      <c r="Y161" s="45">
        <f>data!Y199-data!Y161</f>
        <v>0</v>
      </c>
      <c r="Z161" s="45">
        <f>data!Z199-data!Z161</f>
        <v>0</v>
      </c>
      <c r="AA161" s="10">
        <v>1796.5276955414199</v>
      </c>
      <c r="AB161" s="11">
        <v>1323.9184901480501</v>
      </c>
    </row>
    <row r="162" spans="1:28" x14ac:dyDescent="0.35">
      <c r="A162" s="6" t="s">
        <v>35</v>
      </c>
      <c r="B162" s="21" t="s">
        <v>69</v>
      </c>
      <c r="C162" s="45">
        <f>data!C200-data!C162</f>
        <v>0</v>
      </c>
      <c r="D162" s="45">
        <f>data!D200-data!D162</f>
        <v>0</v>
      </c>
      <c r="E162" s="45">
        <f>data!E200-data!E162</f>
        <v>0</v>
      </c>
      <c r="F162" s="45">
        <f>data!F200-data!F162</f>
        <v>0</v>
      </c>
      <c r="G162" s="45">
        <f>data!G200-data!G162</f>
        <v>15.395615788971099</v>
      </c>
      <c r="H162" s="45">
        <f>data!H200-data!H162</f>
        <v>0</v>
      </c>
      <c r="I162" s="45">
        <f>data!I200-data!I162</f>
        <v>15.395615788971099</v>
      </c>
      <c r="J162" s="45">
        <f>data!J200-data!J162</f>
        <v>0</v>
      </c>
      <c r="K162" s="45">
        <f>data!K200-data!K162</f>
        <v>0</v>
      </c>
      <c r="L162" s="45">
        <f>data!L200-data!L162</f>
        <v>0</v>
      </c>
      <c r="M162" s="45">
        <f>data!M200-data!M162</f>
        <v>0</v>
      </c>
      <c r="N162" s="45">
        <f>data!N200-data!N162</f>
        <v>0</v>
      </c>
      <c r="O162" s="45">
        <f>data!O200-data!O162</f>
        <v>0</v>
      </c>
      <c r="P162" s="45">
        <f>data!P200-data!P162</f>
        <v>0</v>
      </c>
      <c r="Q162" s="45">
        <f>data!Q200-data!Q162</f>
        <v>0</v>
      </c>
      <c r="R162" s="45">
        <f>data!R200-data!R162</f>
        <v>0</v>
      </c>
      <c r="S162" s="45">
        <f>data!S200-data!S162</f>
        <v>0.4876060525070649</v>
      </c>
      <c r="T162" s="45">
        <f>data!T200-data!T162</f>
        <v>0.52330648617822106</v>
      </c>
      <c r="U162" s="45">
        <f>data!U200-data!U162</f>
        <v>0</v>
      </c>
      <c r="V162" s="45">
        <f>data!V200-data!V162</f>
        <v>0</v>
      </c>
      <c r="W162" s="45">
        <f>data!W200-data!W162</f>
        <v>0.4876060525070649</v>
      </c>
      <c r="X162" s="45">
        <f>data!X200-data!X162</f>
        <v>0.52330648617822106</v>
      </c>
      <c r="Y162" s="45">
        <f>data!Y200-data!Y162</f>
        <v>0</v>
      </c>
      <c r="Z162" s="45">
        <f>data!Z200-data!Z162</f>
        <v>0</v>
      </c>
      <c r="AA162" s="10">
        <v>2941.9883367789698</v>
      </c>
      <c r="AB162" s="11">
        <v>3157.38816403392</v>
      </c>
    </row>
    <row r="163" spans="1:28" x14ac:dyDescent="0.35">
      <c r="A163" s="6" t="s">
        <v>36</v>
      </c>
      <c r="B163" s="21" t="s">
        <v>69</v>
      </c>
      <c r="C163" s="45">
        <f>data!C201-data!C163</f>
        <v>0.27200000000084401</v>
      </c>
      <c r="D163" s="45">
        <f>data!D201-data!D163</f>
        <v>-3.1000000000000227</v>
      </c>
      <c r="E163" s="45">
        <f>data!E201-data!E163</f>
        <v>3.3720000000002983</v>
      </c>
      <c r="F163" s="45">
        <f>data!F201-data!F163</f>
        <v>0</v>
      </c>
      <c r="G163" s="45">
        <f>data!G201-data!G163</f>
        <v>0</v>
      </c>
      <c r="H163" s="45">
        <f>data!H201-data!H163</f>
        <v>0</v>
      </c>
      <c r="I163" s="45">
        <f>data!I201-data!I163</f>
        <v>0</v>
      </c>
      <c r="J163" s="45">
        <f>data!J201-data!J163</f>
        <v>0</v>
      </c>
      <c r="K163" s="45">
        <f>data!K201-data!K163</f>
        <v>1.3648468991078744E-3</v>
      </c>
      <c r="L163" s="45">
        <f>data!L201-data!L163</f>
        <v>1.3617557193335017E-3</v>
      </c>
      <c r="M163" s="45">
        <f>data!M201-data!M163</f>
        <v>-1.5555240394231618E-2</v>
      </c>
      <c r="N163" s="45">
        <f>data!N201-data!N163</f>
        <v>-1.5520010036498277E-2</v>
      </c>
      <c r="O163" s="45">
        <f>data!O201-data!O163</f>
        <v>1.6920087293339492E-2</v>
      </c>
      <c r="P163" s="45">
        <f>data!P201-data!P163</f>
        <v>1.6881765755830003E-2</v>
      </c>
      <c r="Q163" s="45">
        <f>data!Q201-data!Q163</f>
        <v>0</v>
      </c>
      <c r="R163" s="45">
        <f>data!R201-data!R163</f>
        <v>0</v>
      </c>
      <c r="S163" s="45">
        <f>data!S201-data!S163</f>
        <v>0</v>
      </c>
      <c r="T163" s="45">
        <f>data!T201-data!T163</f>
        <v>0</v>
      </c>
      <c r="U163" s="45">
        <f>data!U201-data!U163</f>
        <v>0</v>
      </c>
      <c r="V163" s="45">
        <f>data!V201-data!V163</f>
        <v>0</v>
      </c>
      <c r="W163" s="45">
        <f>data!W201-data!W163</f>
        <v>0</v>
      </c>
      <c r="X163" s="45">
        <f>data!X201-data!X163</f>
        <v>0</v>
      </c>
      <c r="Y163" s="45">
        <f>data!Y201-data!Y163</f>
        <v>0</v>
      </c>
      <c r="Z163" s="45">
        <f>data!Z201-data!Z163</f>
        <v>0</v>
      </c>
      <c r="AA163" s="10">
        <v>19974.2138871676</v>
      </c>
      <c r="AB163" s="11">
        <v>19928.975197</v>
      </c>
    </row>
    <row r="164" spans="1:28" x14ac:dyDescent="0.35">
      <c r="A164" s="6" t="s">
        <v>37</v>
      </c>
      <c r="B164" s="21" t="s">
        <v>69</v>
      </c>
      <c r="C164" s="45">
        <f>data!C202-data!C164</f>
        <v>-1.7763568394002505E-14</v>
      </c>
      <c r="D164" s="45">
        <f>data!D202-data!D164</f>
        <v>-1.1546319456101628E-14</v>
      </c>
      <c r="E164" s="45">
        <f>data!E202-data!E164</f>
        <v>-5.3290705182007514E-15</v>
      </c>
      <c r="F164" s="45">
        <f>data!F202-data!F164</f>
        <v>-9.7699626167013776E-15</v>
      </c>
      <c r="G164" s="45">
        <f>data!G202-data!G164</f>
        <v>-2.4424906541753444E-15</v>
      </c>
      <c r="H164" s="45">
        <f>data!H202-data!H164</f>
        <v>-1.9984014443252818E-15</v>
      </c>
      <c r="I164" s="45">
        <f>data!I202-data!I164</f>
        <v>-4.163336342344337E-16</v>
      </c>
      <c r="J164" s="45">
        <f>data!J202-data!J164</f>
        <v>-2.6645352591003757E-14</v>
      </c>
      <c r="K164" s="45">
        <f>data!K202-data!K164</f>
        <v>-1.3322676295501878E-15</v>
      </c>
      <c r="L164" s="45">
        <f>data!L202-data!L164</f>
        <v>-7.2164496600635175E-16</v>
      </c>
      <c r="M164" s="45">
        <f>data!M202-data!M164</f>
        <v>-8.3266726846886741E-16</v>
      </c>
      <c r="N164" s="45">
        <f>data!N202-data!N164</f>
        <v>-4.7184478546569153E-16</v>
      </c>
      <c r="O164" s="45">
        <f>data!O202-data!O164</f>
        <v>-4.163336342344337E-16</v>
      </c>
      <c r="P164" s="45">
        <f>data!P202-data!P164</f>
        <v>-2.3592239273284576E-16</v>
      </c>
      <c r="Q164" s="45">
        <f>data!Q202-data!Q164</f>
        <v>-7.7715611723760958E-16</v>
      </c>
      <c r="R164" s="45">
        <f>data!R202-data!R164</f>
        <v>-4.163336342344337E-16</v>
      </c>
      <c r="S164" s="45">
        <f>data!S202-data!S164</f>
        <v>-1.8041124150158794E-16</v>
      </c>
      <c r="T164" s="45">
        <f>data!T202-data!T164</f>
        <v>-9.7144514654701197E-17</v>
      </c>
      <c r="U164" s="45">
        <f>data!U202-data!U164</f>
        <v>-1.5265566588595902E-16</v>
      </c>
      <c r="V164" s="45">
        <f>data!V202-data!V164</f>
        <v>-8.3266726846886741E-17</v>
      </c>
      <c r="W164" s="45">
        <f>data!W202-data!W164</f>
        <v>-3.2959746043559335E-17</v>
      </c>
      <c r="X164" s="45">
        <f>data!X202-data!X164</f>
        <v>-1.6479873021779667E-17</v>
      </c>
      <c r="Y164" s="45">
        <f>data!Y202-data!Y164</f>
        <v>-2.1094237467877974E-15</v>
      </c>
      <c r="Z164" s="45">
        <f>data!Z202-data!Z164</f>
        <v>-1.1657341758564144E-15</v>
      </c>
      <c r="AA164" s="10">
        <v>2381.6675591522499</v>
      </c>
      <c r="AB164" s="11">
        <v>1279.1513266244399</v>
      </c>
    </row>
    <row r="165" spans="1:28" x14ac:dyDescent="0.35">
      <c r="A165" s="6" t="s">
        <v>38</v>
      </c>
      <c r="B165" s="21" t="s">
        <v>69</v>
      </c>
      <c r="C165" s="45">
        <f>data!C203-data!C165</f>
        <v>6.4771357218701624</v>
      </c>
      <c r="D165" s="45">
        <f>data!D203-data!D165</f>
        <v>0.60354303931876307</v>
      </c>
      <c r="E165" s="45">
        <f>data!E203-data!E165</f>
        <v>5.8735926825513989</v>
      </c>
      <c r="F165" s="45">
        <f>data!F203-data!F165</f>
        <v>-4.2295835235661272E-2</v>
      </c>
      <c r="G165" s="45">
        <f>data!G203-data!G165</f>
        <v>7.2337052758079778E-2</v>
      </c>
      <c r="H165" s="45">
        <f>data!H203-data!H165</f>
        <v>4.4287991484539546E-3</v>
      </c>
      <c r="I165" s="45">
        <f>data!I203-data!I165</f>
        <v>6.7908253609623159E-2</v>
      </c>
      <c r="J165" s="45">
        <f>data!J203-data!J165</f>
        <v>0.5273109280821302</v>
      </c>
      <c r="K165" s="45">
        <f>data!K203-data!K165</f>
        <v>0.64962766669383099</v>
      </c>
      <c r="L165" s="45">
        <f>data!L203-data!L165</f>
        <v>0.2775379970503965</v>
      </c>
      <c r="M165" s="45">
        <f>data!M203-data!M165</f>
        <v>6.0532660302005353E-2</v>
      </c>
      <c r="N165" s="45">
        <f>data!N203-data!N165</f>
        <v>2.5861141939739027E-2</v>
      </c>
      <c r="O165" s="45">
        <f>data!O203-data!O165</f>
        <v>0.58909500639182544</v>
      </c>
      <c r="P165" s="45">
        <f>data!P203-data!P165</f>
        <v>0.25167685511065746</v>
      </c>
      <c r="Q165" s="45">
        <f>data!Q203-data!Q165</f>
        <v>-4.2420826017641744E-3</v>
      </c>
      <c r="R165" s="45">
        <f>data!R203-data!R165</f>
        <v>-1.812329075526864E-3</v>
      </c>
      <c r="S165" s="45">
        <f>data!S203-data!S165</f>
        <v>7.2550820017660556E-3</v>
      </c>
      <c r="T165" s="45">
        <f>data!T203-data!T165</f>
        <v>3.0995615341544713E-3</v>
      </c>
      <c r="U165" s="45">
        <f>data!U203-data!U165</f>
        <v>4.4418869398565874E-4</v>
      </c>
      <c r="V165" s="45">
        <f>data!V203-data!V165</f>
        <v>1.8976907351966887E-4</v>
      </c>
      <c r="W165" s="45">
        <f>data!W203-data!W165</f>
        <v>6.8108933077803968E-3</v>
      </c>
      <c r="X165" s="45">
        <f>data!X203-data!X165</f>
        <v>2.9097924606344971E-3</v>
      </c>
      <c r="Y165" s="45">
        <f>data!Y203-data!Y165</f>
        <v>5.2886921401925857E-2</v>
      </c>
      <c r="Z165" s="45">
        <f>data!Z203-data!Z165</f>
        <v>2.2594681520807236E-2</v>
      </c>
      <c r="AA165" s="10">
        <v>2333.7834064911899</v>
      </c>
      <c r="AB165" s="11">
        <v>997.05355143423003</v>
      </c>
    </row>
    <row r="166" spans="1:28" x14ac:dyDescent="0.35">
      <c r="A166" s="13" t="s">
        <v>39</v>
      </c>
      <c r="B166" s="21" t="s">
        <v>69</v>
      </c>
      <c r="C166" s="45">
        <f>data!C204-data!C166</f>
        <v>0</v>
      </c>
      <c r="D166" s="45">
        <f>data!D204-data!D166</f>
        <v>0</v>
      </c>
      <c r="E166" s="45">
        <f>data!E204-data!E166</f>
        <v>0</v>
      </c>
      <c r="F166" s="45">
        <f>data!F204-data!F166</f>
        <v>0</v>
      </c>
      <c r="G166" s="45">
        <f>data!G204-data!G166</f>
        <v>0</v>
      </c>
      <c r="H166" s="45">
        <f>data!H204-data!H166</f>
        <v>0</v>
      </c>
      <c r="I166" s="45">
        <f>data!I204-data!I166</f>
        <v>0</v>
      </c>
      <c r="J166" s="45">
        <f>data!J204-data!J166</f>
        <v>0</v>
      </c>
      <c r="K166" s="45">
        <f>data!K204-data!K166</f>
        <v>0</v>
      </c>
      <c r="L166" s="45">
        <f>data!L204-data!L166</f>
        <v>0</v>
      </c>
      <c r="M166" s="45">
        <f>data!M204-data!M166</f>
        <v>0</v>
      </c>
      <c r="N166" s="45">
        <f>data!N204-data!N166</f>
        <v>0</v>
      </c>
      <c r="O166" s="45">
        <f>data!O204-data!O166</f>
        <v>0</v>
      </c>
      <c r="P166" s="45">
        <f>data!P204-data!P166</f>
        <v>0</v>
      </c>
      <c r="Q166" s="45">
        <f>data!Q204-data!Q166</f>
        <v>0</v>
      </c>
      <c r="R166" s="45">
        <f>data!R204-data!R166</f>
        <v>0</v>
      </c>
      <c r="S166" s="45">
        <f>data!S204-data!S166</f>
        <v>0</v>
      </c>
      <c r="T166" s="45">
        <f>data!T204-data!T166</f>
        <v>0</v>
      </c>
      <c r="U166" s="45">
        <f>data!U204-data!U166</f>
        <v>0</v>
      </c>
      <c r="V166" s="45">
        <f>data!V204-data!V166</f>
        <v>0</v>
      </c>
      <c r="W166" s="45">
        <f>data!W204-data!W166</f>
        <v>0</v>
      </c>
      <c r="X166" s="45">
        <f>data!X204-data!X166</f>
        <v>0</v>
      </c>
      <c r="Y166" s="45">
        <f>data!Y204-data!Y166</f>
        <v>0</v>
      </c>
      <c r="Z166" s="45">
        <f>data!Z204-data!Z166</f>
        <v>0</v>
      </c>
      <c r="AA166" s="10">
        <v>468.59916169988998</v>
      </c>
      <c r="AB166" s="11">
        <v>413.94954015926999</v>
      </c>
    </row>
    <row r="167" spans="1:28" x14ac:dyDescent="0.35">
      <c r="A167" s="6" t="s">
        <v>40</v>
      </c>
      <c r="B167" s="21" t="s">
        <v>69</v>
      </c>
      <c r="C167" s="45">
        <f>data!C205-data!C167</f>
        <v>1.1412818593544074</v>
      </c>
      <c r="D167" s="45">
        <f>data!D205-data!D167</f>
        <v>0.91302548748352841</v>
      </c>
      <c r="E167" s="45">
        <f>data!E205-data!E167</f>
        <v>0.22825637187088432</v>
      </c>
      <c r="F167" s="45">
        <f>data!F205-data!F167</f>
        <v>-0.45651274374176509</v>
      </c>
      <c r="G167" s="45">
        <f>data!G205-data!G167</f>
        <v>0.5706409296772037</v>
      </c>
      <c r="H167" s="45">
        <f>data!H205-data!H167</f>
        <v>0.57064092967720637</v>
      </c>
      <c r="I167" s="45">
        <f>data!I205-data!I167</f>
        <v>0</v>
      </c>
      <c r="J167" s="45">
        <f>data!J205-data!J167</f>
        <v>0</v>
      </c>
      <c r="K167" s="45">
        <f>data!K205-data!K167</f>
        <v>0.23048864609885555</v>
      </c>
      <c r="L167" s="45">
        <f>data!L205-data!L167</f>
        <v>0.2055171458543521</v>
      </c>
      <c r="M167" s="45">
        <f>data!M205-data!M167</f>
        <v>0.18439091687908471</v>
      </c>
      <c r="N167" s="45">
        <f>data!N205-data!N167</f>
        <v>0.16441371668348093</v>
      </c>
      <c r="O167" s="45">
        <f>data!O205-data!O167</f>
        <v>4.6097729219771288E-2</v>
      </c>
      <c r="P167" s="45">
        <f>data!P205-data!P167</f>
        <v>4.1103429170870953E-2</v>
      </c>
      <c r="Q167" s="45">
        <f>data!Q205-data!Q167</f>
        <v>-9.2195458439542133E-2</v>
      </c>
      <c r="R167" s="45">
        <f>data!R205-data!R167</f>
        <v>-8.220685834174013E-2</v>
      </c>
      <c r="S167" s="45">
        <f>data!S205-data!S167</f>
        <v>0.11524432304942778</v>
      </c>
      <c r="T167" s="45">
        <f>data!T205-data!T167</f>
        <v>0.10275857292717561</v>
      </c>
      <c r="U167" s="45">
        <f>data!U205-data!U167</f>
        <v>0.11524432304942811</v>
      </c>
      <c r="V167" s="45">
        <f>data!V205-data!V167</f>
        <v>0.1027585729271758</v>
      </c>
      <c r="W167" s="45">
        <f>data!W205-data!W167</f>
        <v>0</v>
      </c>
      <c r="X167" s="45">
        <f>data!X205-data!X167</f>
        <v>0</v>
      </c>
      <c r="Y167" s="45">
        <f>data!Y205-data!Y167</f>
        <v>0</v>
      </c>
      <c r="Z167" s="45">
        <f>data!Z205-data!Z167</f>
        <v>0</v>
      </c>
      <c r="AA167" s="10">
        <v>555.32196820367994</v>
      </c>
      <c r="AB167" s="11">
        <v>495.15751802582002</v>
      </c>
    </row>
    <row r="168" spans="1:28" x14ac:dyDescent="0.35">
      <c r="A168" s="13" t="s">
        <v>41</v>
      </c>
      <c r="B168" s="21" t="s">
        <v>69</v>
      </c>
      <c r="C168" s="45">
        <f>data!C206-data!C168</f>
        <v>10.27563253304036</v>
      </c>
      <c r="D168" s="45">
        <f>data!D206-data!D168</f>
        <v>3.6363244687153311</v>
      </c>
      <c r="E168" s="45">
        <f>data!E206-data!E168</f>
        <v>6.6393080643250286</v>
      </c>
      <c r="F168" s="45">
        <f>data!F206-data!F168</f>
        <v>0</v>
      </c>
      <c r="G168" s="45">
        <f>data!G206-data!G168</f>
        <v>0.49977919238267532</v>
      </c>
      <c r="H168" s="45">
        <f>data!H206-data!H168</f>
        <v>0</v>
      </c>
      <c r="I168" s="45">
        <f>data!I206-data!I168</f>
        <v>0.49977919238267532</v>
      </c>
      <c r="J168" s="45">
        <f>data!J206-data!J168</f>
        <v>0</v>
      </c>
      <c r="K168" s="45">
        <f>data!K206-data!K168</f>
        <v>4.7651715685039076</v>
      </c>
      <c r="L168" s="45">
        <f>data!L206-data!L168</f>
        <v>2.5222720885937484</v>
      </c>
      <c r="M168" s="45">
        <f>data!M206-data!M168</f>
        <v>1.6862913223552618</v>
      </c>
      <c r="N168" s="45">
        <f>data!N206-data!N168</f>
        <v>0.89257762799711693</v>
      </c>
      <c r="O168" s="45">
        <f>data!O206-data!O168</f>
        <v>3.0788802461486462</v>
      </c>
      <c r="P168" s="45">
        <f>data!P206-data!P168</f>
        <v>1.6296944605966317</v>
      </c>
      <c r="Q168" s="45">
        <f>data!Q206-data!Q168</f>
        <v>0</v>
      </c>
      <c r="R168" s="45">
        <f>data!R206-data!R168</f>
        <v>0</v>
      </c>
      <c r="S168" s="45">
        <f>data!S206-data!S168</f>
        <v>0.23176515804882669</v>
      </c>
      <c r="T168" s="45">
        <f>data!T206-data!T168</f>
        <v>0.12267654602804079</v>
      </c>
      <c r="U168" s="45">
        <f>data!U206-data!U168</f>
        <v>0</v>
      </c>
      <c r="V168" s="45">
        <f>data!V206-data!V168</f>
        <v>0</v>
      </c>
      <c r="W168" s="45">
        <f>data!W206-data!W168</f>
        <v>0.23176515804882669</v>
      </c>
      <c r="X168" s="45">
        <f>data!X206-data!X168</f>
        <v>0.12267654602804079</v>
      </c>
      <c r="Y168" s="45">
        <f>data!Y206-data!Y168</f>
        <v>0</v>
      </c>
      <c r="Z168" s="45">
        <f>data!Z206-data!Z168</f>
        <v>0</v>
      </c>
      <c r="AA168" s="10">
        <v>407.39587848230002</v>
      </c>
      <c r="AB168" s="11">
        <v>215.64034757863999</v>
      </c>
    </row>
    <row r="169" spans="1:28" x14ac:dyDescent="0.35">
      <c r="A169" s="13" t="s">
        <v>42</v>
      </c>
      <c r="B169" s="21" t="s">
        <v>69</v>
      </c>
      <c r="C169" s="45">
        <f>data!C207-data!C169</f>
        <v>-5.7014876505385761</v>
      </c>
      <c r="D169" s="45">
        <f>data!D207-data!D169</f>
        <v>0</v>
      </c>
      <c r="E169" s="45">
        <f>data!E207-data!E169</f>
        <v>-5.7014876505385779</v>
      </c>
      <c r="F169" s="45">
        <f>data!F207-data!F169</f>
        <v>0</v>
      </c>
      <c r="G169" s="45">
        <f>data!G207-data!G169</f>
        <v>7.8223493436008482</v>
      </c>
      <c r="H169" s="45">
        <f>data!H207-data!H169</f>
        <v>9.2782922355949466</v>
      </c>
      <c r="I169" s="45">
        <f>data!I207-data!I169</f>
        <v>-1.4559428919940984</v>
      </c>
      <c r="J169" s="45">
        <f>data!J207-data!J169</f>
        <v>0</v>
      </c>
      <c r="K169" s="45">
        <f>data!K207-data!K169</f>
        <v>-1.7142044659113753</v>
      </c>
      <c r="L169" s="45">
        <f>data!L207-data!L169</f>
        <v>-1.8329012771360627</v>
      </c>
      <c r="M169" s="45">
        <f>data!M207-data!M169</f>
        <v>0</v>
      </c>
      <c r="N169" s="45">
        <f>data!N207-data!N169</f>
        <v>0</v>
      </c>
      <c r="O169" s="45">
        <f>data!O207-data!O169</f>
        <v>-1.7142044659113749</v>
      </c>
      <c r="P169" s="45">
        <f>data!P207-data!P169</f>
        <v>-1.8329012771360631</v>
      </c>
      <c r="Q169" s="45">
        <f>data!Q207-data!Q169</f>
        <v>0</v>
      </c>
      <c r="R169" s="45">
        <f>data!R207-data!R169</f>
        <v>0</v>
      </c>
      <c r="S169" s="45">
        <f>data!S207-data!S169</f>
        <v>2.3518609528958354</v>
      </c>
      <c r="T169" s="45">
        <f>data!T207-data!T169</f>
        <v>2.5147110685640222</v>
      </c>
      <c r="U169" s="45">
        <f>data!U207-data!U169</f>
        <v>2.7896035142311106</v>
      </c>
      <c r="V169" s="45">
        <f>data!V207-data!V169</f>
        <v>2.9827642767334837</v>
      </c>
      <c r="W169" s="45">
        <f>data!W207-data!W169</f>
        <v>-0.43774256133527611</v>
      </c>
      <c r="X169" s="45">
        <f>data!X207-data!X169</f>
        <v>-0.46805320816946328</v>
      </c>
      <c r="Y169" s="45">
        <f>data!Y207-data!Y169</f>
        <v>0</v>
      </c>
      <c r="Z169" s="45">
        <f>data!Z207-data!Z169</f>
        <v>0</v>
      </c>
      <c r="AA169" s="10">
        <v>311.06354290107998</v>
      </c>
      <c r="AB169" s="11">
        <v>332.60254327404999</v>
      </c>
    </row>
    <row r="170" spans="1:28" x14ac:dyDescent="0.35">
      <c r="A170" s="13" t="s">
        <v>43</v>
      </c>
      <c r="B170" s="21" t="s">
        <v>69</v>
      </c>
      <c r="C170" s="45">
        <f>data!C208-data!C170</f>
        <v>0.6137999999999999</v>
      </c>
      <c r="D170" s="45">
        <f>data!D208-data!D170</f>
        <v>0.21110000000000001</v>
      </c>
      <c r="E170" s="45">
        <f>data!E208-data!E170</f>
        <v>0.40269999999999984</v>
      </c>
      <c r="F170" s="45">
        <f>data!F208-data!F170</f>
        <v>0</v>
      </c>
      <c r="G170" s="45">
        <f>data!G208-data!G170</f>
        <v>-0.17325621916755884</v>
      </c>
      <c r="H170" s="45">
        <f>data!H208-data!H170</f>
        <v>-0.12018960218399344</v>
      </c>
      <c r="I170" s="45">
        <f>data!I208-data!I170</f>
        <v>-5.306661698356524E-2</v>
      </c>
      <c r="J170" s="45">
        <f>data!J208-data!J170</f>
        <v>0</v>
      </c>
      <c r="K170" s="45">
        <f>data!K208-data!K170</f>
        <v>2.2821526946175101</v>
      </c>
      <c r="L170" s="45">
        <f>data!L208-data!L170</f>
        <v>1.3369178233626702</v>
      </c>
      <c r="M170" s="45">
        <f>data!M208-data!M170</f>
        <v>0.78488503394225573</v>
      </c>
      <c r="N170" s="45">
        <f>data!N208-data!N170</f>
        <v>0.45979692491342422</v>
      </c>
      <c r="O170" s="45">
        <f>data!O208-data!O170</f>
        <v>1.4972676606752544</v>
      </c>
      <c r="P170" s="45">
        <f>data!P208-data!P170</f>
        <v>0.87712089844924601</v>
      </c>
      <c r="Q170" s="45">
        <f>data!Q208-data!Q170</f>
        <v>0</v>
      </c>
      <c r="R170" s="45">
        <f>data!R208-data!R170</f>
        <v>0</v>
      </c>
      <c r="S170" s="45">
        <f>data!S208-data!S170</f>
        <v>-0.64417912582679371</v>
      </c>
      <c r="T170" s="45">
        <f>data!T208-data!T170</f>
        <v>-0.37736938320876234</v>
      </c>
      <c r="U170" s="45">
        <f>data!U208-data!U170</f>
        <v>-0.44687361435191786</v>
      </c>
      <c r="V170" s="45">
        <f>data!V208-data!V170</f>
        <v>-0.2617849810079016</v>
      </c>
      <c r="W170" s="45">
        <f>data!W208-data!W170</f>
        <v>-0.19730551147487585</v>
      </c>
      <c r="X170" s="45">
        <f>data!X208-data!X170</f>
        <v>-0.11558440220086108</v>
      </c>
      <c r="Y170" s="45">
        <f>data!Y208-data!Y170</f>
        <v>0</v>
      </c>
      <c r="Z170" s="45">
        <f>data!Z208-data!Z170</f>
        <v>0</v>
      </c>
      <c r="AA170" s="10">
        <v>45.911572818750003</v>
      </c>
      <c r="AB170" s="11">
        <v>26.895658710639999</v>
      </c>
    </row>
    <row r="171" spans="1:28" x14ac:dyDescent="0.35">
      <c r="A171" s="13" t="s">
        <v>44</v>
      </c>
      <c r="B171" s="21" t="s">
        <v>69</v>
      </c>
      <c r="C171" s="45">
        <f>data!C209-data!C171</f>
        <v>4.7477325349143555</v>
      </c>
      <c r="D171" s="45">
        <f>data!D209-data!D171</f>
        <v>1.9972432538702218</v>
      </c>
      <c r="E171" s="45">
        <f>data!E209-data!E171</f>
        <v>2.7504892810441337</v>
      </c>
      <c r="F171" s="45">
        <f>data!F209-data!F171</f>
        <v>0</v>
      </c>
      <c r="G171" s="45">
        <f>data!G209-data!G171</f>
        <v>0</v>
      </c>
      <c r="H171" s="45">
        <f>data!H209-data!H171</f>
        <v>0</v>
      </c>
      <c r="I171" s="45">
        <f>data!I209-data!I171</f>
        <v>0</v>
      </c>
      <c r="J171" s="45">
        <f>data!J209-data!J171</f>
        <v>0</v>
      </c>
      <c r="K171" s="45">
        <f>data!K209-data!K171</f>
        <v>1.8637257634241733</v>
      </c>
      <c r="L171" s="45">
        <f>data!L209-data!L171</f>
        <v>1.8697578699465263</v>
      </c>
      <c r="M171" s="45">
        <f>data!M209-data!M171</f>
        <v>0.78401925144045759</v>
      </c>
      <c r="N171" s="45">
        <f>data!N209-data!N171</f>
        <v>0.78655679625154373</v>
      </c>
      <c r="O171" s="45">
        <f>data!O209-data!O171</f>
        <v>1.0797065119837161</v>
      </c>
      <c r="P171" s="45">
        <f>data!P209-data!P171</f>
        <v>1.0832010736949831</v>
      </c>
      <c r="Q171" s="45">
        <f>data!Q209-data!Q171</f>
        <v>0</v>
      </c>
      <c r="R171" s="45">
        <f>data!R209-data!R171</f>
        <v>0</v>
      </c>
      <c r="S171" s="45">
        <f>data!S209-data!S171</f>
        <v>0</v>
      </c>
      <c r="T171" s="45">
        <f>data!T209-data!T171</f>
        <v>0</v>
      </c>
      <c r="U171" s="45">
        <f>data!U209-data!U171</f>
        <v>0</v>
      </c>
      <c r="V171" s="45">
        <f>data!V209-data!V171</f>
        <v>0</v>
      </c>
      <c r="W171" s="45">
        <f>data!W209-data!W171</f>
        <v>0</v>
      </c>
      <c r="X171" s="45">
        <f>data!X209-data!X171</f>
        <v>0</v>
      </c>
      <c r="Y171" s="45">
        <f>data!Y209-data!Y171</f>
        <v>0</v>
      </c>
      <c r="Z171" s="45">
        <f>data!Z209-data!Z171</f>
        <v>0</v>
      </c>
      <c r="AA171" s="10">
        <v>253.92231856471</v>
      </c>
      <c r="AB171" s="11">
        <v>254.7441596875</v>
      </c>
    </row>
    <row r="172" spans="1:28" x14ac:dyDescent="0.35">
      <c r="A172" s="13" t="s">
        <v>45</v>
      </c>
      <c r="B172" s="21" t="s">
        <v>69</v>
      </c>
      <c r="C172" s="45">
        <f>data!C210-data!C172</f>
        <v>13.558428489130424</v>
      </c>
      <c r="D172" s="45">
        <f>data!D210-data!D172</f>
        <v>4.5651274374176376E-2</v>
      </c>
      <c r="E172" s="45">
        <f>data!E210-data!E172</f>
        <v>13.512777214756245</v>
      </c>
      <c r="F172" s="45">
        <f>data!F210-data!F172</f>
        <v>0.94726394326416252</v>
      </c>
      <c r="G172" s="45">
        <f>data!G210-data!G172</f>
        <v>5.6949964781785178</v>
      </c>
      <c r="H172" s="45">
        <f>data!H210-data!H172</f>
        <v>2.5907098207345163</v>
      </c>
      <c r="I172" s="45">
        <f>data!I210-data!I172</f>
        <v>3.1042866574440016</v>
      </c>
      <c r="J172" s="45">
        <f>data!J210-data!J172</f>
        <v>0</v>
      </c>
      <c r="K172" s="45">
        <f>data!K210-data!K172</f>
        <v>6.6494499562066292</v>
      </c>
      <c r="L172" s="45">
        <f>data!L210-data!L172</f>
        <v>4.4963238828922023</v>
      </c>
      <c r="M172" s="45">
        <f>data!M210-data!M172</f>
        <v>2.2388720391268047E-2</v>
      </c>
      <c r="N172" s="45">
        <f>data!N210-data!N172</f>
        <v>1.5139137652835699E-2</v>
      </c>
      <c r="O172" s="45">
        <f>data!O210-data!O172</f>
        <v>6.6270612358153631</v>
      </c>
      <c r="P172" s="45">
        <f>data!P210-data!P172</f>
        <v>4.4811847452393661</v>
      </c>
      <c r="Q172" s="45">
        <f>data!Q210-data!Q172</f>
        <v>0.46456594811881363</v>
      </c>
      <c r="R172" s="45">
        <f>data!R210-data!R172</f>
        <v>0.31413710629634078</v>
      </c>
      <c r="S172" s="45">
        <f>data!S210-data!S172</f>
        <v>2.7929928688106971</v>
      </c>
      <c r="T172" s="45">
        <f>data!T210-data!T172</f>
        <v>1.888607422191253</v>
      </c>
      <c r="U172" s="45">
        <f>data!U210-data!U172</f>
        <v>1.2705598822044655</v>
      </c>
      <c r="V172" s="45">
        <f>data!V210-data!V172</f>
        <v>0.85914606179842568</v>
      </c>
      <c r="W172" s="45">
        <f>data!W210-data!W172</f>
        <v>1.5224329866062316</v>
      </c>
      <c r="X172" s="45">
        <f>data!X210-data!X172</f>
        <v>1.0294613603928271</v>
      </c>
      <c r="Y172" s="45">
        <f>data!Y210-data!Y172</f>
        <v>0</v>
      </c>
      <c r="Z172" s="45">
        <f>data!Z210-data!Z172</f>
        <v>0</v>
      </c>
      <c r="AA172" s="10">
        <v>301.54474727050001</v>
      </c>
      <c r="AB172" s="11">
        <v>203.90300819506001</v>
      </c>
    </row>
    <row r="173" spans="1:28" x14ac:dyDescent="0.35">
      <c r="A173" s="13" t="s">
        <v>46</v>
      </c>
      <c r="B173" s="21" t="s">
        <v>69</v>
      </c>
      <c r="C173" s="45">
        <f>data!C211-data!C173</f>
        <v>0</v>
      </c>
      <c r="D173" s="45">
        <f>data!D211-data!D173</f>
        <v>0</v>
      </c>
      <c r="E173" s="45">
        <f>data!E211-data!E173</f>
        <v>0</v>
      </c>
      <c r="F173" s="45">
        <f>data!F211-data!F173</f>
        <v>0</v>
      </c>
      <c r="G173" s="45">
        <f>data!G211-data!G173</f>
        <v>-1.1373707533234856E-2</v>
      </c>
      <c r="H173" s="45">
        <f>data!H211-data!H173</f>
        <v>-1.1373707533234856E-2</v>
      </c>
      <c r="I173" s="45">
        <f>data!I211-data!I173</f>
        <v>0</v>
      </c>
      <c r="J173" s="45">
        <f>data!J211-data!J173</f>
        <v>0</v>
      </c>
      <c r="K173" s="45">
        <f>data!K211-data!K173</f>
        <v>0</v>
      </c>
      <c r="L173" s="45">
        <f>data!L211-data!L173</f>
        <v>0</v>
      </c>
      <c r="M173" s="45">
        <f>data!M211-data!M173</f>
        <v>0</v>
      </c>
      <c r="N173" s="45">
        <f>data!N211-data!N173</f>
        <v>0</v>
      </c>
      <c r="O173" s="45">
        <f>data!O211-data!O173</f>
        <v>0</v>
      </c>
      <c r="P173" s="45">
        <f>data!P211-data!P173</f>
        <v>0</v>
      </c>
      <c r="Q173" s="45">
        <f>data!Q211-data!Q173</f>
        <v>0</v>
      </c>
      <c r="R173" s="45">
        <f>data!R211-data!R173</f>
        <v>0</v>
      </c>
      <c r="S173" s="45">
        <f>data!S211-data!S173</f>
        <v>-5.4865931635281306E-2</v>
      </c>
      <c r="T173" s="45">
        <f>data!T211-data!T173</f>
        <v>-5.9644566302236246E-2</v>
      </c>
      <c r="U173" s="45">
        <f>data!U211-data!U173</f>
        <v>-5.4865931635281251E-2</v>
      </c>
      <c r="V173" s="45">
        <f>data!V211-data!V173</f>
        <v>-5.9644566302236024E-2</v>
      </c>
      <c r="W173" s="45">
        <f>data!W211-data!W173</f>
        <v>0</v>
      </c>
      <c r="X173" s="45">
        <f>data!X211-data!X173</f>
        <v>0</v>
      </c>
      <c r="Y173" s="45">
        <f>data!Y211-data!Y173</f>
        <v>0</v>
      </c>
      <c r="Z173" s="45">
        <f>data!Z211-data!Z173</f>
        <v>0</v>
      </c>
      <c r="AA173" s="10">
        <v>19.06914282116</v>
      </c>
      <c r="AB173" s="11">
        <v>20.729999827290001</v>
      </c>
    </row>
    <row r="174" spans="1:28" x14ac:dyDescent="0.35">
      <c r="A174" s="13" t="s">
        <v>47</v>
      </c>
      <c r="B174" s="21" t="s">
        <v>69</v>
      </c>
      <c r="C174" s="45">
        <f>data!C212-data!C174</f>
        <v>6.5953424585950131</v>
      </c>
      <c r="D174" s="45">
        <f>data!D212-data!D174</f>
        <v>-0.91100784237983401</v>
      </c>
      <c r="E174" s="45">
        <f>data!E212-data!E174</f>
        <v>7.5063503009748516</v>
      </c>
      <c r="F174" s="45">
        <f>data!F212-data!F174</f>
        <v>0.48014543897033191</v>
      </c>
      <c r="G174" s="45">
        <f>data!G212-data!G174</f>
        <v>5.864286921181141</v>
      </c>
      <c r="H174" s="45">
        <f>data!H212-data!H174</f>
        <v>2.5309368338247786</v>
      </c>
      <c r="I174" s="45">
        <f>data!I212-data!I174</f>
        <v>3.3333500873563633</v>
      </c>
      <c r="J174" s="45">
        <f>data!J212-data!J174</f>
        <v>0</v>
      </c>
      <c r="K174" s="45">
        <f>data!K212-data!K174</f>
        <v>1.7754873566843994</v>
      </c>
      <c r="L174" s="45">
        <f>data!L212-data!L174</f>
        <v>1.5782455877581274</v>
      </c>
      <c r="M174" s="45">
        <f>data!M212-data!M174</f>
        <v>-0.24524623492110487</v>
      </c>
      <c r="N174" s="45">
        <f>data!N212-data!N174</f>
        <v>-0.21800143308332642</v>
      </c>
      <c r="O174" s="45">
        <f>data!O212-data!O174</f>
        <v>2.020733591605504</v>
      </c>
      <c r="P174" s="45">
        <f>data!P212-data!P174</f>
        <v>1.7962470208414532</v>
      </c>
      <c r="Q174" s="45">
        <f>data!Q212-data!Q174</f>
        <v>0.12925669313055033</v>
      </c>
      <c r="R174" s="45">
        <f>data!R212-data!R174</f>
        <v>0.11489735753593366</v>
      </c>
      <c r="S174" s="45">
        <f>data!S212-data!S174</f>
        <v>1.5786848597919252</v>
      </c>
      <c r="T174" s="45">
        <f>data!T212-data!T174</f>
        <v>1.4033061993074192</v>
      </c>
      <c r="U174" s="45">
        <f>data!U212-data!U174</f>
        <v>0.68133631835396868</v>
      </c>
      <c r="V174" s="45">
        <f>data!V212-data!V174</f>
        <v>0.6056455621455934</v>
      </c>
      <c r="W174" s="45">
        <f>data!W212-data!W174</f>
        <v>0.89734854143795628</v>
      </c>
      <c r="X174" s="45">
        <f>data!X212-data!X174</f>
        <v>0.79766063716182589</v>
      </c>
      <c r="Y174" s="45">
        <f>data!Y212-data!Y174</f>
        <v>0</v>
      </c>
      <c r="Z174" s="45">
        <f>data!Z212-data!Z174</f>
        <v>0</v>
      </c>
      <c r="AA174" s="10">
        <v>417.89075855828003</v>
      </c>
      <c r="AB174" s="11">
        <v>371.46659669328</v>
      </c>
    </row>
    <row r="175" spans="1:28" x14ac:dyDescent="0.35">
      <c r="A175" s="13" t="s">
        <v>48</v>
      </c>
      <c r="B175" s="21" t="s">
        <v>69</v>
      </c>
      <c r="C175" s="45">
        <f>data!C213-data!C175</f>
        <v>1.166510413053409</v>
      </c>
      <c r="D175" s="45">
        <f>data!D213-data!D175</f>
        <v>1.4889697084849915</v>
      </c>
      <c r="E175" s="45">
        <f>data!E213-data!E175</f>
        <v>-0.32245929543158525</v>
      </c>
      <c r="F175" s="45">
        <f>data!F213-data!F175</f>
        <v>-2.7530479150827958E-4</v>
      </c>
      <c r="G175" s="45">
        <f>data!G213-data!G175</f>
        <v>-1.1849563042805542</v>
      </c>
      <c r="H175" s="45">
        <f>data!H213-data!H175</f>
        <v>0.15596698223286376</v>
      </c>
      <c r="I175" s="45">
        <f>data!I213-data!I175</f>
        <v>-1.3409232865134157</v>
      </c>
      <c r="J175" s="45">
        <f>data!J213-data!J175</f>
        <v>0</v>
      </c>
      <c r="K175" s="45">
        <f>data!K213-data!K175</f>
        <v>0.32542252708848274</v>
      </c>
      <c r="L175" s="45">
        <f>data!L213-data!L175</f>
        <v>0.34068972667221864</v>
      </c>
      <c r="M175" s="45">
        <f>data!M213-data!M175</f>
        <v>0.4153793055520727</v>
      </c>
      <c r="N175" s="45">
        <f>data!N213-data!N175</f>
        <v>0.43486682787437791</v>
      </c>
      <c r="O175" s="45">
        <f>data!O213-data!O175</f>
        <v>-8.9956778463591291E-2</v>
      </c>
      <c r="P175" s="45">
        <f>data!P213-data!P175</f>
        <v>-9.4177101202159719E-2</v>
      </c>
      <c r="Q175" s="45">
        <f>data!Q213-data!Q175</f>
        <v>-7.6802041344636862E-5</v>
      </c>
      <c r="R175" s="45">
        <f>data!R213-data!R175</f>
        <v>-8.0405209521350329E-5</v>
      </c>
      <c r="S175" s="45">
        <f>data!S213-data!S175</f>
        <v>-0.33056839502962188</v>
      </c>
      <c r="T175" s="45">
        <f>data!T213-data!T175</f>
        <v>-0.34607701303509941</v>
      </c>
      <c r="U175" s="45">
        <f>data!U213-data!U175</f>
        <v>4.351025840200462E-2</v>
      </c>
      <c r="V175" s="45">
        <f>data!V213-data!V175</f>
        <v>4.5551542405624534E-2</v>
      </c>
      <c r="W175" s="45">
        <f>data!W213-data!W175</f>
        <v>-0.37407865343162605</v>
      </c>
      <c r="X175" s="45">
        <f>data!X213-data!X175</f>
        <v>-0.39162855544072439</v>
      </c>
      <c r="Y175" s="45">
        <f>data!Y213-data!Y175</f>
        <v>0</v>
      </c>
      <c r="Z175" s="45">
        <f>data!Z213-data!Z175</f>
        <v>0</v>
      </c>
      <c r="AA175" s="10">
        <v>342.39670930134002</v>
      </c>
      <c r="AB175" s="11">
        <v>358.46025273358998</v>
      </c>
    </row>
    <row r="176" spans="1:28" x14ac:dyDescent="0.35">
      <c r="A176" s="15" t="s">
        <v>49</v>
      </c>
      <c r="B176" s="21" t="s">
        <v>69</v>
      </c>
      <c r="C176" s="45">
        <f>data!C214-data!C176</f>
        <v>0</v>
      </c>
      <c r="D176" s="45">
        <f>data!D214-data!D176</f>
        <v>0</v>
      </c>
      <c r="E176" s="45">
        <f>data!E214-data!E176</f>
        <v>0</v>
      </c>
      <c r="F176" s="45">
        <f>data!F214-data!F176</f>
        <v>0</v>
      </c>
      <c r="G176" s="45">
        <f>data!G214-data!G176</f>
        <v>0</v>
      </c>
      <c r="H176" s="45">
        <f>data!H214-data!H176</f>
        <v>0</v>
      </c>
      <c r="I176" s="45">
        <f>data!I214-data!I176</f>
        <v>0</v>
      </c>
      <c r="J176" s="45">
        <f>data!J214-data!J176</f>
        <v>0</v>
      </c>
      <c r="K176" s="45">
        <f>data!K214-data!K176</f>
        <v>0</v>
      </c>
      <c r="L176" s="45">
        <f>data!L214-data!L176</f>
        <v>0</v>
      </c>
      <c r="M176" s="45">
        <f>data!M214-data!M176</f>
        <v>0</v>
      </c>
      <c r="N176" s="45">
        <f>data!N214-data!N176</f>
        <v>0</v>
      </c>
      <c r="O176" s="45">
        <f>data!O214-data!O176</f>
        <v>0</v>
      </c>
      <c r="P176" s="45">
        <f>data!P214-data!P176</f>
        <v>0</v>
      </c>
      <c r="Q176" s="45">
        <f>data!Q214-data!Q176</f>
        <v>0</v>
      </c>
      <c r="R176" s="45">
        <f>data!R214-data!R176</f>
        <v>0</v>
      </c>
      <c r="S176" s="45">
        <f>data!S214-data!S176</f>
        <v>0</v>
      </c>
      <c r="T176" s="45">
        <f>data!T214-data!T176</f>
        <v>0</v>
      </c>
      <c r="U176" s="45">
        <f>data!U214-data!U176</f>
        <v>0</v>
      </c>
      <c r="V176" s="45">
        <f>data!V214-data!V176</f>
        <v>0</v>
      </c>
      <c r="W176" s="45">
        <f>data!W214-data!W176</f>
        <v>0</v>
      </c>
      <c r="X176" s="45">
        <f>data!X214-data!X176</f>
        <v>0</v>
      </c>
      <c r="Y176" s="45">
        <f>data!Y214-data!Y176</f>
        <v>0</v>
      </c>
      <c r="Z176" s="45">
        <f>data!Z214-data!Z176</f>
        <v>0</v>
      </c>
      <c r="AA176" s="16">
        <v>55.422589739999999</v>
      </c>
      <c r="AB176" s="11">
        <v>30.160077523049999</v>
      </c>
    </row>
    <row r="177" spans="1:28" x14ac:dyDescent="0.35">
      <c r="A177" s="13" t="s">
        <v>50</v>
      </c>
      <c r="B177" s="21" t="s">
        <v>69</v>
      </c>
      <c r="C177" s="45">
        <f>data!C215-data!C177</f>
        <v>0.55575232444005618</v>
      </c>
      <c r="D177" s="45">
        <f>data!D215-data!D177</f>
        <v>0.35618561001317595</v>
      </c>
      <c r="E177" s="45">
        <f>data!E215-data!E177</f>
        <v>0.19956671442688068</v>
      </c>
      <c r="F177" s="45">
        <f>data!F215-data!F177</f>
        <v>0.10354076424571956</v>
      </c>
      <c r="G177" s="45">
        <f>data!G215-data!G177</f>
        <v>0</v>
      </c>
      <c r="H177" s="45">
        <f>data!H215-data!H177</f>
        <v>0</v>
      </c>
      <c r="I177" s="45">
        <f>data!I215-data!I177</f>
        <v>0</v>
      </c>
      <c r="J177" s="45">
        <f>data!J215-data!J177</f>
        <v>0</v>
      </c>
      <c r="K177" s="45">
        <f>data!K215-data!K177</f>
        <v>1.1526121340562527</v>
      </c>
      <c r="L177" s="45">
        <f>data!L215-data!L177</f>
        <v>0.57213793525164292</v>
      </c>
      <c r="M177" s="45">
        <f>data!M215-data!M177</f>
        <v>0.73871729909731676</v>
      </c>
      <c r="N177" s="45">
        <f>data!N215-data!N177</f>
        <v>0.36668726430358933</v>
      </c>
      <c r="O177" s="45">
        <f>data!O215-data!O177</f>
        <v>0.41389483495893487</v>
      </c>
      <c r="P177" s="45">
        <f>data!P215-data!P177</f>
        <v>0.20545067094805303</v>
      </c>
      <c r="Q177" s="45">
        <f>data!Q215-data!Q177</f>
        <v>0.21474015670436719</v>
      </c>
      <c r="R177" s="45">
        <f>data!R215-data!R177</f>
        <v>0.10659352460578431</v>
      </c>
      <c r="S177" s="45">
        <f>data!S215-data!S177</f>
        <v>0</v>
      </c>
      <c r="T177" s="45">
        <f>data!T215-data!T177</f>
        <v>0</v>
      </c>
      <c r="U177" s="45">
        <f>data!U215-data!U177</f>
        <v>0</v>
      </c>
      <c r="V177" s="45">
        <f>data!V215-data!V177</f>
        <v>0</v>
      </c>
      <c r="W177" s="45">
        <f>data!W215-data!W177</f>
        <v>0</v>
      </c>
      <c r="X177" s="45">
        <f>data!X215-data!X177</f>
        <v>0</v>
      </c>
      <c r="Y177" s="45">
        <f>data!Y215-data!Y177</f>
        <v>0</v>
      </c>
      <c r="Z177" s="45">
        <f>data!Z215-data!Z177</f>
        <v>0</v>
      </c>
      <c r="AA177" s="10">
        <v>97.136073348400004</v>
      </c>
      <c r="AB177" s="11">
        <v>48.216768505140003</v>
      </c>
    </row>
    <row r="178" spans="1:28" x14ac:dyDescent="0.35">
      <c r="A178" s="13" t="s">
        <v>51</v>
      </c>
      <c r="B178" s="21" t="s">
        <v>69</v>
      </c>
      <c r="C178" s="45">
        <f>data!C216-data!C178</f>
        <v>0</v>
      </c>
      <c r="D178" s="45">
        <f>data!D216-data!D178</f>
        <v>0</v>
      </c>
      <c r="E178" s="45">
        <f>data!E216-data!E178</f>
        <v>0</v>
      </c>
      <c r="F178" s="45">
        <f>data!F216-data!F178</f>
        <v>0</v>
      </c>
      <c r="G178" s="45">
        <f>data!G216-data!G178</f>
        <v>0</v>
      </c>
      <c r="H178" s="45">
        <f>data!H216-data!H178</f>
        <v>0</v>
      </c>
      <c r="I178" s="45">
        <f>data!I216-data!I178</f>
        <v>0</v>
      </c>
      <c r="J178" s="45">
        <f>data!J216-data!J178</f>
        <v>0</v>
      </c>
      <c r="K178" s="45">
        <f>data!K216-data!K178</f>
        <v>0</v>
      </c>
      <c r="L178" s="45">
        <f>data!L216-data!L178</f>
        <v>0</v>
      </c>
      <c r="M178" s="45">
        <f>data!M216-data!M178</f>
        <v>0</v>
      </c>
      <c r="N178" s="45">
        <f>data!N216-data!N178</f>
        <v>0</v>
      </c>
      <c r="O178" s="45">
        <f>data!O216-data!O178</f>
        <v>0</v>
      </c>
      <c r="P178" s="45">
        <f>data!P216-data!P178</f>
        <v>0</v>
      </c>
      <c r="Q178" s="45">
        <f>data!Q216-data!Q178</f>
        <v>0</v>
      </c>
      <c r="R178" s="45">
        <f>data!R216-data!R178</f>
        <v>0</v>
      </c>
      <c r="S178" s="45">
        <f>data!S216-data!S178</f>
        <v>0</v>
      </c>
      <c r="T178" s="45">
        <f>data!T216-data!T178</f>
        <v>0</v>
      </c>
      <c r="U178" s="45">
        <f>data!U216-data!U178</f>
        <v>0</v>
      </c>
      <c r="V178" s="45">
        <f>data!V216-data!V178</f>
        <v>0</v>
      </c>
      <c r="W178" s="45">
        <f>data!W216-data!W178</f>
        <v>0</v>
      </c>
      <c r="X178" s="45">
        <f>data!X216-data!X178</f>
        <v>0</v>
      </c>
      <c r="Y178" s="45">
        <f>data!Y216-data!Y178</f>
        <v>0</v>
      </c>
      <c r="Z178" s="45">
        <f>data!Z216-data!Z178</f>
        <v>0</v>
      </c>
      <c r="AA178" s="10">
        <v>66.343484468840003</v>
      </c>
      <c r="AB178" s="11">
        <v>66.557495896739994</v>
      </c>
    </row>
    <row r="179" spans="1:28" x14ac:dyDescent="0.35">
      <c r="A179" s="13" t="s">
        <v>52</v>
      </c>
      <c r="B179" s="21" t="s">
        <v>69</v>
      </c>
      <c r="C179" s="45">
        <f>data!C217-data!C179</f>
        <v>52.727221902173866</v>
      </c>
      <c r="D179" s="45">
        <f>data!D217-data!D179</f>
        <v>12.143238983530951</v>
      </c>
      <c r="E179" s="45">
        <f>data!E217-data!E179</f>
        <v>40.58398291864291</v>
      </c>
      <c r="F179" s="45">
        <f>data!F217-data!F179</f>
        <v>0</v>
      </c>
      <c r="G179" s="45">
        <f>data!G217-data!G179</f>
        <v>0</v>
      </c>
      <c r="H179" s="45">
        <f>data!H217-data!H179</f>
        <v>0</v>
      </c>
      <c r="I179" s="45">
        <f>data!I217-data!I179</f>
        <v>0</v>
      </c>
      <c r="J179" s="45">
        <f>data!J217-data!J179</f>
        <v>0</v>
      </c>
      <c r="K179" s="45">
        <f>data!K217-data!K179</f>
        <v>6.2751794119408801</v>
      </c>
      <c r="L179" s="45">
        <f>data!L217-data!L179</f>
        <v>5.6547549801443484</v>
      </c>
      <c r="M179" s="45">
        <f>data!M217-data!M179</f>
        <v>1.4451928342651723</v>
      </c>
      <c r="N179" s="45">
        <f>data!N217-data!N179</f>
        <v>1.3023072075483955</v>
      </c>
      <c r="O179" s="45">
        <f>data!O217-data!O179</f>
        <v>4.8299865776757072</v>
      </c>
      <c r="P179" s="45">
        <f>data!P217-data!P179</f>
        <v>4.3524477725959532</v>
      </c>
      <c r="Q179" s="45">
        <f>data!Q217-data!Q179</f>
        <v>0</v>
      </c>
      <c r="R179" s="45">
        <f>data!R217-data!R179</f>
        <v>0</v>
      </c>
      <c r="S179" s="45">
        <f>data!S217-data!S179</f>
        <v>0</v>
      </c>
      <c r="T179" s="45">
        <f>data!T217-data!T179</f>
        <v>0</v>
      </c>
      <c r="U179" s="45">
        <f>data!U217-data!U179</f>
        <v>0</v>
      </c>
      <c r="V179" s="45">
        <f>data!V217-data!V179</f>
        <v>0</v>
      </c>
      <c r="W179" s="45">
        <f>data!W217-data!W179</f>
        <v>0</v>
      </c>
      <c r="X179" s="45">
        <f>data!X217-data!X179</f>
        <v>0</v>
      </c>
      <c r="Y179" s="45">
        <f>data!Y217-data!Y179</f>
        <v>0</v>
      </c>
      <c r="Z179" s="45">
        <f>data!Z217-data!Z179</f>
        <v>0</v>
      </c>
      <c r="AA179" s="10">
        <v>932.44043441874999</v>
      </c>
      <c r="AB179" s="11">
        <v>840.25042856688003</v>
      </c>
    </row>
    <row r="180" spans="1:28" x14ac:dyDescent="0.35">
      <c r="A180" s="13" t="s">
        <v>53</v>
      </c>
      <c r="B180" s="21" t="s">
        <v>69</v>
      </c>
      <c r="C180" s="45">
        <f>data!C218-data!C180</f>
        <v>0</v>
      </c>
      <c r="D180" s="45">
        <f>data!D218-data!D180</f>
        <v>0.78002577101263615</v>
      </c>
      <c r="E180" s="45">
        <f>data!E218-data!E180</f>
        <v>-0.78002577101263171</v>
      </c>
      <c r="F180" s="45">
        <f>data!F218-data!F180</f>
        <v>0</v>
      </c>
      <c r="G180" s="45">
        <f>data!G218-data!G180</f>
        <v>-2.3725783868301029</v>
      </c>
      <c r="H180" s="45">
        <f>data!H218-data!H180</f>
        <v>6.500214758438605E-2</v>
      </c>
      <c r="I180" s="45">
        <f>data!I218-data!I180</f>
        <v>-2.4375805344144887</v>
      </c>
      <c r="J180" s="45">
        <f>data!J218-data!J180</f>
        <v>0</v>
      </c>
      <c r="K180" s="45">
        <f>data!K218-data!K180</f>
        <v>0</v>
      </c>
      <c r="L180" s="45">
        <f>data!L218-data!L180</f>
        <v>0</v>
      </c>
      <c r="M180" s="45">
        <f>data!M218-data!M180</f>
        <v>0.38436448129134071</v>
      </c>
      <c r="N180" s="45">
        <f>data!N218-data!N180</f>
        <v>0.4021294374513984</v>
      </c>
      <c r="O180" s="45">
        <f>data!O218-data!O180</f>
        <v>-0.38436448129133538</v>
      </c>
      <c r="P180" s="45">
        <f>data!P218-data!P180</f>
        <v>-0.4021294374513964</v>
      </c>
      <c r="Q180" s="45">
        <f>data!Q218-data!Q180</f>
        <v>0</v>
      </c>
      <c r="R180" s="45">
        <f>data!R218-data!R180</f>
        <v>0</v>
      </c>
      <c r="S180" s="45">
        <f>data!S218-data!S180</f>
        <v>-1.1691086305944958</v>
      </c>
      <c r="T180" s="45">
        <f>data!T218-data!T180</f>
        <v>-1.2231437055813377</v>
      </c>
      <c r="U180" s="45">
        <f>data!U218-data!U180</f>
        <v>3.2030373440944948E-2</v>
      </c>
      <c r="V180" s="45">
        <f>data!V218-data!V180</f>
        <v>3.351078645428307E-2</v>
      </c>
      <c r="W180" s="45">
        <f>data!W218-data!W180</f>
        <v>-1.2011390040354408</v>
      </c>
      <c r="X180" s="45">
        <f>data!X218-data!X180</f>
        <v>-1.2566544920356209</v>
      </c>
      <c r="Y180" s="45">
        <f>data!Y218-data!Y180</f>
        <v>0</v>
      </c>
      <c r="Z180" s="45">
        <f>data!Z218-data!Z180</f>
        <v>0</v>
      </c>
      <c r="AA180" s="10">
        <v>193.97380504054999</v>
      </c>
      <c r="AB180" s="11">
        <v>202.93908750153</v>
      </c>
    </row>
    <row r="181" spans="1:28" x14ac:dyDescent="0.35">
      <c r="A181" s="13" t="s">
        <v>54</v>
      </c>
      <c r="B181" s="21" t="s">
        <v>69</v>
      </c>
      <c r="C181" s="45">
        <f>data!C219-data!C181</f>
        <v>10.503584387998931</v>
      </c>
      <c r="D181" s="45">
        <f>data!D219-data!D181</f>
        <v>1.4762368351181505</v>
      </c>
      <c r="E181" s="45">
        <f>data!E219-data!E181</f>
        <v>9.0273475528807801</v>
      </c>
      <c r="F181" s="45">
        <f>data!F219-data!F181</f>
        <v>0</v>
      </c>
      <c r="G181" s="45">
        <f>data!G219-data!G181</f>
        <v>0.83901230197362509</v>
      </c>
      <c r="H181" s="45">
        <f>data!H219-data!H181</f>
        <v>0.83901230197362509</v>
      </c>
      <c r="I181" s="45">
        <f>data!I219-data!I181</f>
        <v>0</v>
      </c>
      <c r="J181" s="45">
        <f>data!J219-data!J181</f>
        <v>0</v>
      </c>
      <c r="K181" s="45">
        <f>data!K219-data!K181</f>
        <v>2.5602928587666662</v>
      </c>
      <c r="L181" s="45">
        <f>data!L219-data!L181</f>
        <v>3.178528896479957</v>
      </c>
      <c r="M181" s="45">
        <f>data!M219-data!M181</f>
        <v>0.35983893566083569</v>
      </c>
      <c r="N181" s="45">
        <f>data!N219-data!N181</f>
        <v>0.44672954156796146</v>
      </c>
      <c r="O181" s="45">
        <f>data!O219-data!O181</f>
        <v>2.2004539231058304</v>
      </c>
      <c r="P181" s="45">
        <f>data!P219-data!P181</f>
        <v>2.7317993549119954</v>
      </c>
      <c r="Q181" s="45">
        <f>data!Q219-data!Q181</f>
        <v>0</v>
      </c>
      <c r="R181" s="45">
        <f>data!R219-data!R181</f>
        <v>0</v>
      </c>
      <c r="S181" s="45">
        <f>data!S219-data!S181</f>
        <v>0.20451277638277698</v>
      </c>
      <c r="T181" s="45">
        <f>data!T219-data!T181</f>
        <v>0.25389664592711547</v>
      </c>
      <c r="U181" s="45">
        <f>data!U219-data!U181</f>
        <v>0.20451277638277698</v>
      </c>
      <c r="V181" s="45">
        <f>data!V219-data!V181</f>
        <v>0.25389664592711503</v>
      </c>
      <c r="W181" s="45">
        <f>data!W219-data!W181</f>
        <v>0</v>
      </c>
      <c r="X181" s="45">
        <f>data!X219-data!X181</f>
        <v>0</v>
      </c>
      <c r="Y181" s="45">
        <f>data!Y219-data!Y181</f>
        <v>0</v>
      </c>
      <c r="Z181" s="45">
        <f>data!Z219-data!Z181</f>
        <v>0</v>
      </c>
      <c r="AA181" s="10">
        <v>330.45426768437</v>
      </c>
      <c r="AB181" s="11">
        <v>410.24933347112</v>
      </c>
    </row>
    <row r="182" spans="1:28" x14ac:dyDescent="0.35">
      <c r="A182" s="13" t="s">
        <v>55</v>
      </c>
      <c r="B182" s="21" t="s">
        <v>69</v>
      </c>
      <c r="C182" s="45">
        <f>data!C220-data!C182</f>
        <v>0.45651274374176509</v>
      </c>
      <c r="D182" s="45">
        <f>data!D220-data!D182</f>
        <v>0</v>
      </c>
      <c r="E182" s="45">
        <f>data!E220-data!E182</f>
        <v>0.45651274374176509</v>
      </c>
      <c r="F182" s="45">
        <f>data!F220-data!F182</f>
        <v>0</v>
      </c>
      <c r="G182" s="45">
        <f>data!G220-data!G182</f>
        <v>0</v>
      </c>
      <c r="H182" s="45">
        <f>data!H220-data!H182</f>
        <v>0</v>
      </c>
      <c r="I182" s="45">
        <f>data!I220-data!I182</f>
        <v>0</v>
      </c>
      <c r="J182" s="45">
        <f>data!J220-data!J182</f>
        <v>0</v>
      </c>
      <c r="K182" s="45">
        <f>data!K220-data!K182</f>
        <v>0.20530124788873128</v>
      </c>
      <c r="L182" s="45">
        <f>data!L220-data!L182</f>
        <v>0.13378998732291691</v>
      </c>
      <c r="M182" s="45">
        <f>data!M220-data!M182</f>
        <v>0</v>
      </c>
      <c r="N182" s="45">
        <f>data!N220-data!N182</f>
        <v>0</v>
      </c>
      <c r="O182" s="45">
        <f>data!O220-data!O182</f>
        <v>0.20530124788873128</v>
      </c>
      <c r="P182" s="45">
        <f>data!P220-data!P182</f>
        <v>0.13378998732291691</v>
      </c>
      <c r="Q182" s="45">
        <f>data!Q220-data!Q182</f>
        <v>0</v>
      </c>
      <c r="R182" s="45">
        <f>data!R220-data!R182</f>
        <v>0</v>
      </c>
      <c r="S182" s="45">
        <f>data!S220-data!S182</f>
        <v>0</v>
      </c>
      <c r="T182" s="45">
        <f>data!T220-data!T182</f>
        <v>0</v>
      </c>
      <c r="U182" s="45">
        <f>data!U220-data!U182</f>
        <v>0</v>
      </c>
      <c r="V182" s="45">
        <f>data!V220-data!V182</f>
        <v>0</v>
      </c>
      <c r="W182" s="45">
        <f>data!W220-data!W182</f>
        <v>0</v>
      </c>
      <c r="X182" s="45">
        <f>data!X220-data!X182</f>
        <v>0</v>
      </c>
      <c r="Y182" s="45">
        <f>data!Y220-data!Y182</f>
        <v>0</v>
      </c>
      <c r="Z182" s="45">
        <f>data!Z220-data!Z182</f>
        <v>0</v>
      </c>
      <c r="AA182" s="10">
        <v>341.21592570296002</v>
      </c>
      <c r="AB182" s="11">
        <v>222.36238134761999</v>
      </c>
    </row>
    <row r="183" spans="1:28" x14ac:dyDescent="0.35">
      <c r="A183" s="13" t="s">
        <v>56</v>
      </c>
      <c r="B183" s="21" t="s">
        <v>69</v>
      </c>
      <c r="C183" s="45">
        <f>data!C221-data!C183</f>
        <v>0</v>
      </c>
      <c r="D183" s="45">
        <f>data!D221-data!D183</f>
        <v>0</v>
      </c>
      <c r="E183" s="45">
        <f>data!E221-data!E183</f>
        <v>0</v>
      </c>
      <c r="F183" s="45">
        <f>data!F221-data!F183</f>
        <v>0</v>
      </c>
      <c r="G183" s="45">
        <f>data!G221-data!G183</f>
        <v>0</v>
      </c>
      <c r="H183" s="45">
        <f>data!H221-data!H183</f>
        <v>0</v>
      </c>
      <c r="I183" s="45">
        <f>data!I221-data!I183</f>
        <v>0</v>
      </c>
      <c r="J183" s="45">
        <f>data!J221-data!J183</f>
        <v>0</v>
      </c>
      <c r="K183" s="45">
        <f>data!K221-data!K183</f>
        <v>0</v>
      </c>
      <c r="L183" s="45">
        <f>data!L221-data!L183</f>
        <v>0</v>
      </c>
      <c r="M183" s="45">
        <f>data!M221-data!M183</f>
        <v>0</v>
      </c>
      <c r="N183" s="45">
        <f>data!N221-data!N183</f>
        <v>0</v>
      </c>
      <c r="O183" s="45">
        <f>data!O221-data!O183</f>
        <v>0</v>
      </c>
      <c r="P183" s="45">
        <f>data!P221-data!P183</f>
        <v>0</v>
      </c>
      <c r="Q183" s="45">
        <f>data!Q221-data!Q183</f>
        <v>0</v>
      </c>
      <c r="R183" s="45">
        <f>data!R221-data!R183</f>
        <v>0</v>
      </c>
      <c r="S183" s="45">
        <f>data!S221-data!S183</f>
        <v>0</v>
      </c>
      <c r="T183" s="45">
        <f>data!T221-data!T183</f>
        <v>0</v>
      </c>
      <c r="U183" s="45">
        <f>data!U221-data!U183</f>
        <v>0</v>
      </c>
      <c r="V183" s="45">
        <f>data!V221-data!V183</f>
        <v>0</v>
      </c>
      <c r="W183" s="45">
        <f>data!W221-data!W183</f>
        <v>0</v>
      </c>
      <c r="X183" s="45">
        <f>data!X221-data!X183</f>
        <v>0</v>
      </c>
      <c r="Y183" s="45">
        <f>data!Y221-data!Y183</f>
        <v>0</v>
      </c>
      <c r="Z183" s="45">
        <f>data!Z221-data!Z183</f>
        <v>0</v>
      </c>
      <c r="AA183" s="10">
        <v>181.71174374815001</v>
      </c>
      <c r="AB183" s="11">
        <v>99.489061173690004</v>
      </c>
    </row>
    <row r="184" spans="1:28" x14ac:dyDescent="0.35">
      <c r="A184" s="13" t="s">
        <v>57</v>
      </c>
      <c r="B184" s="21" t="s">
        <v>69</v>
      </c>
      <c r="C184" s="45">
        <f>data!C222-data!C184</f>
        <v>0.35570577116271807</v>
      </c>
      <c r="D184" s="45">
        <f>data!D222-data!D184</f>
        <v>-4.451274374176506E-2</v>
      </c>
      <c r="E184" s="45">
        <f>data!E222-data!E184</f>
        <v>0.40021851490448324</v>
      </c>
      <c r="F184" s="45">
        <f>data!F222-data!F184</f>
        <v>0.374</v>
      </c>
      <c r="G184" s="45">
        <f>data!G222-data!G184</f>
        <v>0</v>
      </c>
      <c r="H184" s="45">
        <f>data!H222-data!H184</f>
        <v>0</v>
      </c>
      <c r="I184" s="45">
        <f>data!I222-data!I184</f>
        <v>0</v>
      </c>
      <c r="J184" s="45">
        <f>data!J222-data!J184</f>
        <v>0</v>
      </c>
      <c r="K184" s="45">
        <f>data!K222-data!K184</f>
        <v>0.70551376153752976</v>
      </c>
      <c r="L184" s="45">
        <f>data!L222-data!L184</f>
        <v>0.46780390947431361</v>
      </c>
      <c r="M184" s="45">
        <f>data!M222-data!M184</f>
        <v>-8.8287443779602848E-2</v>
      </c>
      <c r="N184" s="45">
        <f>data!N222-data!N184</f>
        <v>-5.8540617645195026E-2</v>
      </c>
      <c r="O184" s="45">
        <f>data!O222-data!O184</f>
        <v>0.79380120531713239</v>
      </c>
      <c r="P184" s="45">
        <f>data!P222-data!P184</f>
        <v>0.52634452711950885</v>
      </c>
      <c r="Q184" s="45">
        <f>data!Q222-data!Q184</f>
        <v>0.74179889168661206</v>
      </c>
      <c r="R184" s="45">
        <f>data!R222-data!R184</f>
        <v>0.49186343412842204</v>
      </c>
      <c r="S184" s="45">
        <f>data!S222-data!S184</f>
        <v>0</v>
      </c>
      <c r="T184" s="45">
        <f>data!T222-data!T184</f>
        <v>0</v>
      </c>
      <c r="U184" s="45">
        <f>data!U222-data!U184</f>
        <v>0</v>
      </c>
      <c r="V184" s="45">
        <f>data!V222-data!V184</f>
        <v>0</v>
      </c>
      <c r="W184" s="45">
        <f>data!W222-data!W184</f>
        <v>0</v>
      </c>
      <c r="X184" s="45">
        <f>data!X222-data!X184</f>
        <v>0</v>
      </c>
      <c r="Y184" s="45">
        <f>data!Y222-data!Y184</f>
        <v>0</v>
      </c>
      <c r="Z184" s="45">
        <f>data!Z222-data!Z184</f>
        <v>0</v>
      </c>
      <c r="AA184" s="10">
        <v>76.037366075549997</v>
      </c>
      <c r="AB184" s="11">
        <v>50.417977728389999</v>
      </c>
    </row>
    <row r="185" spans="1:28" x14ac:dyDescent="0.35">
      <c r="A185" s="13" t="s">
        <v>58</v>
      </c>
      <c r="B185" s="21" t="s">
        <v>69</v>
      </c>
      <c r="C185" s="45">
        <f>data!C223-data!C185</f>
        <v>0</v>
      </c>
      <c r="D185" s="45">
        <f>data!D223-data!D185</f>
        <v>0</v>
      </c>
      <c r="E185" s="45">
        <f>data!E223-data!E185</f>
        <v>0</v>
      </c>
      <c r="F185" s="45">
        <f>data!F223-data!F185</f>
        <v>0</v>
      </c>
      <c r="G185" s="45">
        <f>data!G223-data!G185</f>
        <v>0</v>
      </c>
      <c r="H185" s="45">
        <f>data!H223-data!H185</f>
        <v>0</v>
      </c>
      <c r="I185" s="45">
        <f>data!I223-data!I185</f>
        <v>0</v>
      </c>
      <c r="J185" s="45">
        <f>data!J223-data!J185</f>
        <v>0</v>
      </c>
      <c r="K185" s="45">
        <f>data!K223-data!K185</f>
        <v>0</v>
      </c>
      <c r="L185" s="45">
        <f>data!L223-data!L185</f>
        <v>0</v>
      </c>
      <c r="M185" s="45">
        <f>data!M223-data!M185</f>
        <v>0</v>
      </c>
      <c r="N185" s="45">
        <f>data!N223-data!N185</f>
        <v>0</v>
      </c>
      <c r="O185" s="45">
        <f>data!O223-data!O185</f>
        <v>0</v>
      </c>
      <c r="P185" s="45">
        <f>data!P223-data!P185</f>
        <v>0</v>
      </c>
      <c r="Q185" s="45">
        <f>data!Q223-data!Q185</f>
        <v>0</v>
      </c>
      <c r="R185" s="45">
        <f>data!R223-data!R185</f>
        <v>0</v>
      </c>
      <c r="S185" s="45">
        <f>data!S223-data!S185</f>
        <v>0</v>
      </c>
      <c r="T185" s="45">
        <f>data!T223-data!T185</f>
        <v>0</v>
      </c>
      <c r="U185" s="45">
        <f>data!U223-data!U185</f>
        <v>0</v>
      </c>
      <c r="V185" s="45">
        <f>data!V223-data!V185</f>
        <v>0</v>
      </c>
      <c r="W185" s="45">
        <f>data!W223-data!W185</f>
        <v>0</v>
      </c>
      <c r="X185" s="45">
        <f>data!X223-data!X185</f>
        <v>0</v>
      </c>
      <c r="Y185" s="45">
        <f>data!Y223-data!Y185</f>
        <v>0</v>
      </c>
      <c r="Z185" s="45">
        <f>data!Z223-data!Z185</f>
        <v>0</v>
      </c>
      <c r="AA185" s="10">
        <v>521.00449074291998</v>
      </c>
      <c r="AB185" s="11">
        <v>549.82128194673999</v>
      </c>
    </row>
    <row r="186" spans="1:28" x14ac:dyDescent="0.35">
      <c r="A186" s="13" t="s">
        <v>59</v>
      </c>
      <c r="B186" s="21" t="s">
        <v>69</v>
      </c>
      <c r="C186" s="45">
        <f>data!C224-data!C186</f>
        <v>3.8322799069066704</v>
      </c>
      <c r="D186" s="45">
        <f>data!D224-data!D186</f>
        <v>2.2988468883408597</v>
      </c>
      <c r="E186" s="45">
        <f>data!E224-data!E186</f>
        <v>1.5334330185658089</v>
      </c>
      <c r="F186" s="45">
        <f>data!F224-data!F186</f>
        <v>0</v>
      </c>
      <c r="G186" s="45">
        <f>data!G224-data!G186</f>
        <v>2.6534631329298008E-3</v>
      </c>
      <c r="H186" s="45">
        <f>data!H224-data!H186</f>
        <v>6.0615948210829274E-5</v>
      </c>
      <c r="I186" s="45">
        <f>data!I224-data!I186</f>
        <v>2.5928471847223022E-3</v>
      </c>
      <c r="J186" s="45">
        <f>data!J224-data!J186</f>
        <v>0</v>
      </c>
      <c r="K186" s="45">
        <f>data!K224-data!K186</f>
        <v>0.51294735991859142</v>
      </c>
      <c r="L186" s="45">
        <f>data!L224-data!L186</f>
        <v>0.64864381941725213</v>
      </c>
      <c r="M186" s="45">
        <f>data!M224-data!M186</f>
        <v>0.3076986730813529</v>
      </c>
      <c r="N186" s="45">
        <f>data!N224-data!N186</f>
        <v>0.38909809881619184</v>
      </c>
      <c r="O186" s="45">
        <f>data!O224-data!O186</f>
        <v>0.20524868683723874</v>
      </c>
      <c r="P186" s="45">
        <f>data!P224-data!P186</f>
        <v>0.25954572060105896</v>
      </c>
      <c r="Q186" s="45">
        <f>data!Q224-data!Q186</f>
        <v>0</v>
      </c>
      <c r="R186" s="45">
        <f>data!R224-data!R186</f>
        <v>0</v>
      </c>
      <c r="S186" s="45">
        <f>data!S224-data!S186</f>
        <v>3.5516375153665791E-4</v>
      </c>
      <c r="T186" s="45">
        <f>data!T224-data!T186</f>
        <v>4.4911971542926921E-4</v>
      </c>
      <c r="U186" s="45">
        <f>data!U224-data!U186</f>
        <v>8.1133923823251131E-6</v>
      </c>
      <c r="V186" s="45">
        <f>data!V224-data!V186</f>
        <v>1.025973079216147E-5</v>
      </c>
      <c r="W186" s="45">
        <f>data!W224-data!W186</f>
        <v>3.4705035915472138E-4</v>
      </c>
      <c r="X186" s="45">
        <f>data!X224-data!X186</f>
        <v>4.3885998463633058E-4</v>
      </c>
      <c r="Y186" s="45">
        <f>data!Y224-data!Y186</f>
        <v>0</v>
      </c>
      <c r="Z186" s="45">
        <f>data!Z224-data!Z186</f>
        <v>0</v>
      </c>
      <c r="AA186" s="10">
        <v>590.81421763174001</v>
      </c>
      <c r="AB186" s="11">
        <v>747.10978286638999</v>
      </c>
    </row>
    <row r="187" spans="1:28" x14ac:dyDescent="0.35">
      <c r="A187" s="6" t="s">
        <v>60</v>
      </c>
      <c r="B187" s="21" t="s">
        <v>69</v>
      </c>
      <c r="C187" s="45">
        <f>data!C225-data!C187</f>
        <v>14.902985591190401</v>
      </c>
      <c r="D187" s="45">
        <f>data!D225-data!D187</f>
        <v>-0.69891173880890034</v>
      </c>
      <c r="E187" s="45">
        <f>data!E225-data!E187</f>
        <v>15.601897329999304</v>
      </c>
      <c r="F187" s="45">
        <f>data!F225-data!F187</f>
        <v>0.2461605787508705</v>
      </c>
      <c r="G187" s="45">
        <f>data!G225-data!G187</f>
        <v>3.2859281358385646</v>
      </c>
      <c r="H187" s="45">
        <f>data!H225-data!H187</f>
        <v>3.2859281358385646</v>
      </c>
      <c r="I187" s="45">
        <f>data!I225-data!I187</f>
        <v>0</v>
      </c>
      <c r="J187" s="45">
        <f>data!J225-data!J187</f>
        <v>-1.4672521220830275</v>
      </c>
      <c r="K187" s="45">
        <f>data!K225-data!K187</f>
        <v>5.6890427775433512</v>
      </c>
      <c r="L187" s="45">
        <f>data!L225-data!L187</f>
        <v>3.3771511402726553</v>
      </c>
      <c r="M187" s="45">
        <f>data!M225-data!M187</f>
        <v>-0.26680149125028052</v>
      </c>
      <c r="N187" s="45">
        <f>data!N225-data!N187</f>
        <v>-0.1583797126572869</v>
      </c>
      <c r="O187" s="45">
        <f>data!O225-data!O187</f>
        <v>5.9558442687936326</v>
      </c>
      <c r="P187" s="45">
        <f>data!P225-data!P187</f>
        <v>3.5355308529299432</v>
      </c>
      <c r="Q187" s="45">
        <f>data!Q225-data!Q187</f>
        <v>9.3968960386458411E-2</v>
      </c>
      <c r="R187" s="45">
        <f>data!R225-data!R187</f>
        <v>5.5782210492781981E-2</v>
      </c>
      <c r="S187" s="45">
        <f>data!S225-data!S187</f>
        <v>1.2543651481330917</v>
      </c>
      <c r="T187" s="45">
        <f>data!T225-data!T187</f>
        <v>0.74462099442416596</v>
      </c>
      <c r="U187" s="45">
        <f>data!U225-data!U187</f>
        <v>1.2543651481330917</v>
      </c>
      <c r="V187" s="45">
        <f>data!V225-data!V187</f>
        <v>0.74462099442416596</v>
      </c>
      <c r="W187" s="45">
        <f>data!W225-data!W187</f>
        <v>0</v>
      </c>
      <c r="X187" s="45">
        <f>data!X225-data!X187</f>
        <v>0</v>
      </c>
      <c r="Y187" s="45">
        <f>data!Y225-data!Y187</f>
        <v>-0.56010656635848299</v>
      </c>
      <c r="Z187" s="45">
        <f>data!Z225-data!Z187</f>
        <v>-0.33249258323709963</v>
      </c>
      <c r="AA187" s="10">
        <v>441.28867711817003</v>
      </c>
      <c r="AB187" s="11">
        <v>261.95945739796002</v>
      </c>
    </row>
    <row r="188" spans="1:28" x14ac:dyDescent="0.35">
      <c r="A188" s="6" t="s">
        <v>61</v>
      </c>
      <c r="B188" s="21" t="s">
        <v>69</v>
      </c>
      <c r="C188" s="45">
        <f>data!C226-data!C188</f>
        <v>1.6410634551846606</v>
      </c>
      <c r="D188" s="45">
        <f>data!D226-data!D188</f>
        <v>0.95449139438317188</v>
      </c>
      <c r="E188" s="45">
        <f>data!E226-data!E188</f>
        <v>0.68657206080148825</v>
      </c>
      <c r="F188" s="45">
        <f>data!F226-data!F188</f>
        <v>0.37365202662225599</v>
      </c>
      <c r="G188" s="45">
        <f>data!G226-data!G188</f>
        <v>6.5253723489826498E-2</v>
      </c>
      <c r="H188" s="45">
        <f>data!H226-data!H188</f>
        <v>6.3087624784770924E-2</v>
      </c>
      <c r="I188" s="45">
        <f>data!I226-data!I188</f>
        <v>2.1660987050564628E-3</v>
      </c>
      <c r="J188" s="45">
        <f>data!J226-data!J188</f>
        <v>0</v>
      </c>
      <c r="K188" s="45">
        <f>data!K226-data!K188</f>
        <v>0.51058955444495968</v>
      </c>
      <c r="L188" s="45">
        <f>data!L226-data!L188</f>
        <v>0.2376736897654359</v>
      </c>
      <c r="M188" s="45">
        <f>data!M226-data!M188</f>
        <v>0.29697409581569945</v>
      </c>
      <c r="N188" s="45">
        <f>data!N226-data!N188</f>
        <v>0.13823809849380697</v>
      </c>
      <c r="O188" s="45">
        <f>data!O226-data!O188</f>
        <v>0.21361545862926024</v>
      </c>
      <c r="P188" s="45">
        <f>data!P226-data!P188</f>
        <v>9.9435591271628931E-2</v>
      </c>
      <c r="Q188" s="45">
        <f>data!Q226-data!Q188</f>
        <v>0.11625560315036454</v>
      </c>
      <c r="R188" s="45">
        <f>data!R226-data!R188</f>
        <v>5.4115674549374146E-2</v>
      </c>
      <c r="S188" s="45">
        <f>data!S226-data!S188</f>
        <v>2.0302608955969248E-2</v>
      </c>
      <c r="T188" s="45">
        <f>data!T226-data!T188</f>
        <v>9.4506359176804722E-3</v>
      </c>
      <c r="U188" s="45">
        <f>data!U226-data!U188</f>
        <v>1.9628663430459881E-2</v>
      </c>
      <c r="V188" s="45">
        <f>data!V226-data!V188</f>
        <v>9.1369218623216231E-3</v>
      </c>
      <c r="W188" s="45">
        <f>data!W226-data!W188</f>
        <v>6.7394552550936737E-4</v>
      </c>
      <c r="X188" s="45">
        <f>data!X226-data!X188</f>
        <v>3.1371405535862706E-4</v>
      </c>
      <c r="Y188" s="45">
        <f>data!Y226-data!Y188</f>
        <v>0</v>
      </c>
      <c r="Z188" s="45">
        <f>data!Z226-data!Z188</f>
        <v>0</v>
      </c>
      <c r="AA188" s="10">
        <v>690.46912883131995</v>
      </c>
      <c r="AB188" s="11">
        <v>321.40560669490998</v>
      </c>
    </row>
    <row r="189" spans="1:28" x14ac:dyDescent="0.35">
      <c r="A189" s="6" t="s">
        <v>62</v>
      </c>
      <c r="B189" s="21" t="s">
        <v>69</v>
      </c>
      <c r="C189" s="45">
        <f>data!C227-data!C189</f>
        <v>-1.4030908431417188E-4</v>
      </c>
      <c r="D189" s="45">
        <f>data!D227-data!D189</f>
        <v>0</v>
      </c>
      <c r="E189" s="45">
        <f>data!E227-data!E189</f>
        <v>-1.4030908431417188E-4</v>
      </c>
      <c r="F189" s="45">
        <f>data!F227-data!F189</f>
        <v>0</v>
      </c>
      <c r="G189" s="45">
        <f>data!G227-data!G189</f>
        <v>0</v>
      </c>
      <c r="H189" s="45">
        <f>data!H227-data!H189</f>
        <v>0</v>
      </c>
      <c r="I189" s="45">
        <f>data!I227-data!I189</f>
        <v>0</v>
      </c>
      <c r="J189" s="45">
        <f>data!J227-data!J189</f>
        <v>0</v>
      </c>
      <c r="K189" s="45">
        <f>data!K227-data!K189</f>
        <v>-2.1793048881590948E-4</v>
      </c>
      <c r="L189" s="45">
        <f>data!L227-data!L189</f>
        <v>-1.5379120927039303E-4</v>
      </c>
      <c r="M189" s="45">
        <f>data!M227-data!M189</f>
        <v>0</v>
      </c>
      <c r="N189" s="45">
        <f>data!N227-data!N189</f>
        <v>0</v>
      </c>
      <c r="O189" s="45">
        <f>data!O227-data!O189</f>
        <v>-2.1793048881568744E-4</v>
      </c>
      <c r="P189" s="45">
        <f>data!P227-data!P189</f>
        <v>-1.5379120927039303E-4</v>
      </c>
      <c r="Q189" s="45">
        <f>data!Q227-data!Q189</f>
        <v>0</v>
      </c>
      <c r="R189" s="45">
        <f>data!R227-data!R189</f>
        <v>0</v>
      </c>
      <c r="S189" s="45">
        <f>data!S227-data!S189</f>
        <v>0</v>
      </c>
      <c r="T189" s="45">
        <f>data!T227-data!T189</f>
        <v>0</v>
      </c>
      <c r="U189" s="45">
        <f>data!U227-data!U189</f>
        <v>0</v>
      </c>
      <c r="V189" s="45">
        <f>data!V227-data!V189</f>
        <v>0</v>
      </c>
      <c r="W189" s="45">
        <f>data!W227-data!W189</f>
        <v>0</v>
      </c>
      <c r="X189" s="45">
        <f>data!X227-data!X189</f>
        <v>0</v>
      </c>
      <c r="Y189" s="45">
        <f>data!Y227-data!Y189</f>
        <v>0</v>
      </c>
      <c r="Z189" s="45">
        <f>data!Z227-data!Z189</f>
        <v>0</v>
      </c>
      <c r="AA189" s="10">
        <v>91.233487908610002</v>
      </c>
      <c r="AB189" s="11">
        <v>64.38249419652</v>
      </c>
    </row>
    <row r="190" spans="1:28" x14ac:dyDescent="0.35">
      <c r="A190" s="6" t="s">
        <v>63</v>
      </c>
      <c r="B190" s="21" t="s">
        <v>69</v>
      </c>
      <c r="C190" s="45">
        <f>data!C228-data!C190</f>
        <v>2.5891373283260464</v>
      </c>
      <c r="D190" s="45">
        <f>data!D228-data!D190</f>
        <v>2.8357904306323585</v>
      </c>
      <c r="E190" s="45">
        <f>data!E228-data!E190</f>
        <v>-0.24665310230631299</v>
      </c>
      <c r="F190" s="45">
        <f>data!F228-data!F190</f>
        <v>-2.9</v>
      </c>
      <c r="G190" s="45">
        <f>data!G228-data!G190</f>
        <v>-6.4232296886403972E-3</v>
      </c>
      <c r="H190" s="45">
        <f>data!H228-data!H190</f>
        <v>0</v>
      </c>
      <c r="I190" s="45">
        <f>data!I228-data!I190</f>
        <v>-6.4232296886403972E-3</v>
      </c>
      <c r="J190" s="45">
        <f>data!J228-data!J190</f>
        <v>0</v>
      </c>
      <c r="K190" s="45">
        <f>data!K228-data!K190</f>
        <v>1.7567292106863714</v>
      </c>
      <c r="L190" s="45">
        <f>data!L228-data!L190</f>
        <v>0.83550701246794823</v>
      </c>
      <c r="M190" s="45">
        <f>data!M228-data!M190</f>
        <v>1.9240832961523844</v>
      </c>
      <c r="N190" s="45">
        <f>data!N228-data!N190</f>
        <v>0.9151012442490547</v>
      </c>
      <c r="O190" s="45">
        <f>data!O228-data!O190</f>
        <v>-0.1673540854660116</v>
      </c>
      <c r="P190" s="45">
        <f>data!P228-data!P190</f>
        <v>-7.9594231781106473E-2</v>
      </c>
      <c r="Q190" s="45">
        <f>data!Q228-data!Q190</f>
        <v>-1.9676494773972615</v>
      </c>
      <c r="R190" s="45">
        <f>data!R228-data!R190</f>
        <v>-0.93582148372314089</v>
      </c>
      <c r="S190" s="45">
        <f>data!S228-data!S190</f>
        <v>-4.3581601862259234E-3</v>
      </c>
      <c r="T190" s="45">
        <f>data!T228-data!T190</f>
        <v>-2.0727573577650205E-3</v>
      </c>
      <c r="U190" s="45">
        <f>data!U228-data!U190</f>
        <v>0</v>
      </c>
      <c r="V190" s="45">
        <f>data!V228-data!V190</f>
        <v>0</v>
      </c>
      <c r="W190" s="45">
        <f>data!W228-data!W190</f>
        <v>-4.3581601862259234E-3</v>
      </c>
      <c r="X190" s="45">
        <f>data!X228-data!X190</f>
        <v>-2.0727573577650205E-3</v>
      </c>
      <c r="Y190" s="45">
        <f>data!Y228-data!Y190</f>
        <v>0</v>
      </c>
      <c r="Z190" s="45">
        <f>data!Z228-data!Z190</f>
        <v>0</v>
      </c>
      <c r="AA190" s="10">
        <v>309.88816247970999</v>
      </c>
      <c r="AB190" s="11">
        <v>147.38397429586999</v>
      </c>
    </row>
    <row r="191" spans="1:28" x14ac:dyDescent="0.35">
      <c r="A191" s="6" t="s">
        <v>64</v>
      </c>
      <c r="B191" s="21" t="s">
        <v>69</v>
      </c>
      <c r="C191" s="45">
        <f>data!C229-data!C191</f>
        <v>-7.7699446744038454</v>
      </c>
      <c r="D191" s="45">
        <f>data!D229-data!D191</f>
        <v>1.5898896693499602</v>
      </c>
      <c r="E191" s="45">
        <f>data!E229-data!E191</f>
        <v>-9.3598343437538034</v>
      </c>
      <c r="F191" s="45">
        <f>data!F229-data!F191</f>
        <v>0</v>
      </c>
      <c r="G191" s="45">
        <f>data!G229-data!G191</f>
        <v>-3.0772058116450829</v>
      </c>
      <c r="H191" s="45">
        <f>data!H229-data!H191</f>
        <v>-3.0772058116450847</v>
      </c>
      <c r="I191" s="45">
        <f>data!I229-data!I191</f>
        <v>0</v>
      </c>
      <c r="J191" s="45">
        <f>data!J229-data!J191</f>
        <v>0</v>
      </c>
      <c r="K191" s="45">
        <f>data!K229-data!K191</f>
        <v>-1.3595629562793876</v>
      </c>
      <c r="L191" s="45">
        <f>data!L229-data!L191</f>
        <v>-0.63927912437979018</v>
      </c>
      <c r="M191" s="45">
        <f>data!M229-data!M191</f>
        <v>0.27819440029479181</v>
      </c>
      <c r="N191" s="45">
        <f>data!N229-data!N191</f>
        <v>0.1308095898070856</v>
      </c>
      <c r="O191" s="45">
        <f>data!O229-data!O191</f>
        <v>-1.6377573565741796</v>
      </c>
      <c r="P191" s="45">
        <f>data!P229-data!P191</f>
        <v>-0.77008871418687574</v>
      </c>
      <c r="Q191" s="45">
        <f>data!Q229-data!Q191</f>
        <v>0</v>
      </c>
      <c r="R191" s="45">
        <f>data!R229-data!R191</f>
        <v>0</v>
      </c>
      <c r="S191" s="45">
        <f>data!S229-data!S191</f>
        <v>-0.53844077476411378</v>
      </c>
      <c r="T191" s="45">
        <f>data!T229-data!T191</f>
        <v>-0.25317985123952091</v>
      </c>
      <c r="U191" s="45">
        <f>data!U229-data!U191</f>
        <v>-0.53844077476411356</v>
      </c>
      <c r="V191" s="45">
        <f>data!V229-data!V191</f>
        <v>-0.25317985123952058</v>
      </c>
      <c r="W191" s="45">
        <f>data!W229-data!W191</f>
        <v>0</v>
      </c>
      <c r="X191" s="45">
        <f>data!X229-data!X191</f>
        <v>0</v>
      </c>
      <c r="Y191" s="45">
        <f>data!Y229-data!Y191</f>
        <v>0</v>
      </c>
      <c r="Z191" s="45">
        <f>data!Z229-data!Z191</f>
        <v>0</v>
      </c>
      <c r="AA191" s="10">
        <v>1215.4228689920101</v>
      </c>
      <c r="AB191" s="11">
        <v>571.50311712429004</v>
      </c>
    </row>
    <row r="192" spans="1:28" x14ac:dyDescent="0.35">
      <c r="A192" s="6" t="s">
        <v>26</v>
      </c>
      <c r="B192" s="21" t="s">
        <v>71</v>
      </c>
      <c r="C192" s="40">
        <f>data!C230-data!C192</f>
        <v>0</v>
      </c>
      <c r="D192" s="40">
        <f>data!D230-data!D192</f>
        <v>0</v>
      </c>
      <c r="E192" s="40">
        <f>data!E230-data!E192</f>
        <v>0</v>
      </c>
      <c r="F192" s="40">
        <f>data!F230-data!F192</f>
        <v>0</v>
      </c>
      <c r="G192" s="40">
        <f>data!G230-data!G192</f>
        <v>0</v>
      </c>
      <c r="H192" s="40">
        <f>data!H230-data!H192</f>
        <v>0</v>
      </c>
      <c r="I192" s="40">
        <f>data!I230-data!I192</f>
        <v>0</v>
      </c>
      <c r="J192" s="40">
        <f>data!J230-data!J192</f>
        <v>0</v>
      </c>
      <c r="K192" s="40">
        <f>data!K230-data!K192</f>
        <v>0</v>
      </c>
      <c r="L192" s="40">
        <f>data!L230-data!L192</f>
        <v>0</v>
      </c>
      <c r="M192" s="40">
        <f>data!M230-data!M192</f>
        <v>0</v>
      </c>
      <c r="N192" s="40">
        <f>data!N230-data!N192</f>
        <v>0</v>
      </c>
      <c r="O192" s="40">
        <f>data!O230-data!O192</f>
        <v>0</v>
      </c>
      <c r="P192" s="40">
        <f>data!P230-data!P192</f>
        <v>0</v>
      </c>
      <c r="Q192" s="40">
        <f>data!Q230-data!Q192</f>
        <v>0</v>
      </c>
      <c r="R192" s="40">
        <f>data!R230-data!R192</f>
        <v>0</v>
      </c>
      <c r="S192" s="40">
        <f>data!S230-data!S192</f>
        <v>0</v>
      </c>
      <c r="T192" s="40">
        <f>data!T230-data!T192</f>
        <v>0</v>
      </c>
      <c r="U192" s="40">
        <f>data!U230-data!U192</f>
        <v>0</v>
      </c>
      <c r="V192" s="40">
        <f>data!V230-data!V192</f>
        <v>0</v>
      </c>
      <c r="W192" s="40">
        <f>data!W230-data!W192</f>
        <v>0</v>
      </c>
      <c r="X192" s="40">
        <f>data!X230-data!X192</f>
        <v>0</v>
      </c>
      <c r="Y192" s="40">
        <f>data!Y230-data!Y192</f>
        <v>0</v>
      </c>
      <c r="Z192" s="40">
        <f>data!Z230-data!Z192</f>
        <v>0</v>
      </c>
      <c r="AA192" s="10">
        <v>1226.51571721458</v>
      </c>
      <c r="AB192" s="11">
        <v>1494.77336635199</v>
      </c>
    </row>
    <row r="193" spans="1:28" x14ac:dyDescent="0.35">
      <c r="A193" s="6" t="s">
        <v>28</v>
      </c>
      <c r="B193" s="21" t="s">
        <v>71</v>
      </c>
      <c r="C193" s="40">
        <f>data!C231-data!C193</f>
        <v>0.67106453921286402</v>
      </c>
      <c r="D193" s="40">
        <f>data!D231-data!D193</f>
        <v>0.67106453921286402</v>
      </c>
      <c r="E193" s="40">
        <f>data!E231-data!E193</f>
        <v>0</v>
      </c>
      <c r="F193" s="40">
        <f>data!F231-data!F193</f>
        <v>4.5744234136235065</v>
      </c>
      <c r="G193" s="40">
        <f>data!G231-data!G193</f>
        <v>0</v>
      </c>
      <c r="H193" s="40">
        <f>data!H231-data!H193</f>
        <v>0</v>
      </c>
      <c r="I193" s="40">
        <f>data!I231-data!I193</f>
        <v>0</v>
      </c>
      <c r="J193" s="40">
        <f>data!J231-data!J193</f>
        <v>0</v>
      </c>
      <c r="K193" s="40">
        <f>data!K231-data!K193</f>
        <v>3.9553372979778345E-2</v>
      </c>
      <c r="L193" s="40">
        <f>data!L231-data!L193</f>
        <v>3.8936417301014714E-2</v>
      </c>
      <c r="M193" s="40">
        <f>data!M231-data!M193</f>
        <v>3.9553372979777457E-2</v>
      </c>
      <c r="N193" s="40">
        <f>data!N231-data!N193</f>
        <v>3.8936417301014714E-2</v>
      </c>
      <c r="O193" s="40">
        <f>data!O231-data!O193</f>
        <v>0</v>
      </c>
      <c r="P193" s="40">
        <f>data!P231-data!P193</f>
        <v>0</v>
      </c>
      <c r="Q193" s="40">
        <f>data!Q231-data!Q193</f>
        <v>0.269622167278734</v>
      </c>
      <c r="R193" s="40">
        <f>data!R231-data!R193</f>
        <v>0.26541658594164197</v>
      </c>
      <c r="S193" s="40">
        <f>data!S231-data!S193</f>
        <v>0</v>
      </c>
      <c r="T193" s="40">
        <f>data!T231-data!T193</f>
        <v>0</v>
      </c>
      <c r="U193" s="40">
        <f>data!U231-data!U193</f>
        <v>0</v>
      </c>
      <c r="V193" s="40">
        <f>data!V231-data!V193</f>
        <v>0</v>
      </c>
      <c r="W193" s="40">
        <f>data!W231-data!W193</f>
        <v>0</v>
      </c>
      <c r="X193" s="40">
        <f>data!X231-data!X193</f>
        <v>0</v>
      </c>
      <c r="Y193" s="40">
        <f>data!Y231-data!Y193</f>
        <v>0</v>
      </c>
      <c r="Z193" s="40">
        <f>data!Z231-data!Z193</f>
        <v>0</v>
      </c>
      <c r="AA193" s="10">
        <v>1723.48815255626</v>
      </c>
      <c r="AB193" s="11">
        <v>1696.60508992738</v>
      </c>
    </row>
    <row r="194" spans="1:28" x14ac:dyDescent="0.35">
      <c r="A194" s="6" t="s">
        <v>29</v>
      </c>
      <c r="B194" s="21" t="s">
        <v>71</v>
      </c>
      <c r="C194" s="40">
        <f>data!C232-data!C194</f>
        <v>1.0037314865231508</v>
      </c>
      <c r="D194" s="40">
        <f>data!D232-data!D194</f>
        <v>2.9114479823818513</v>
      </c>
      <c r="E194" s="40">
        <f>data!E232-data!E194</f>
        <v>-1.9077164958586934</v>
      </c>
      <c r="F194" s="40">
        <f>data!F232-data!F194</f>
        <v>-0.11457218907976596</v>
      </c>
      <c r="G194" s="40">
        <f>data!G232-data!G194</f>
        <v>-0.57747680337610063</v>
      </c>
      <c r="H194" s="40">
        <f>data!H232-data!H194</f>
        <v>-2.6046627157700897E-2</v>
      </c>
      <c r="I194" s="40">
        <f>data!I232-data!I194</f>
        <v>-0.55143017621844592</v>
      </c>
      <c r="J194" s="40">
        <f>data!J232-data!J194</f>
        <v>0</v>
      </c>
      <c r="K194" s="40">
        <f>data!K232-data!K194</f>
        <v>3.8357027566986446E-2</v>
      </c>
      <c r="L194" s="40">
        <f>data!L232-data!L194</f>
        <v>3.4527014996822203E-2</v>
      </c>
      <c r="M194" s="40">
        <f>data!M232-data!M194</f>
        <v>0.11125932783766124</v>
      </c>
      <c r="N194" s="40">
        <f>data!N232-data!N194</f>
        <v>0.10014990014747061</v>
      </c>
      <c r="O194" s="40">
        <f>data!O232-data!O194</f>
        <v>-7.2902300270675013E-2</v>
      </c>
      <c r="P194" s="40">
        <f>data!P232-data!P194</f>
        <v>-6.562288515064818E-2</v>
      </c>
      <c r="Q194" s="40">
        <f>data!Q232-data!Q194</f>
        <v>-4.3783110064272712E-3</v>
      </c>
      <c r="R194" s="40">
        <f>data!R232-data!R194</f>
        <v>-3.9411294192617241E-3</v>
      </c>
      <c r="S194" s="40">
        <f>data!S232-data!S194</f>
        <v>-2.2067947418010547E-2</v>
      </c>
      <c r="T194" s="40">
        <f>data!T232-data!T194</f>
        <v>-1.9864426411039915E-2</v>
      </c>
      <c r="U194" s="40">
        <f>data!U232-data!U194</f>
        <v>-9.9535703455466695E-4</v>
      </c>
      <c r="V194" s="40">
        <f>data!V232-data!V194</f>
        <v>-8.9596899027821753E-4</v>
      </c>
      <c r="W194" s="40">
        <f>data!W232-data!W194</f>
        <v>-2.1072590383456102E-2</v>
      </c>
      <c r="X194" s="40">
        <f>data!X232-data!X194</f>
        <v>-1.8968457420761808E-2</v>
      </c>
      <c r="Y194" s="40">
        <f>data!Y232-data!Y194</f>
        <v>0</v>
      </c>
      <c r="Z194" s="40">
        <f>data!Z232-data!Z194</f>
        <v>0</v>
      </c>
      <c r="AA194" s="10">
        <v>2907.0902498102801</v>
      </c>
      <c r="AB194" s="11">
        <v>2616.8124857180101</v>
      </c>
    </row>
    <row r="195" spans="1:28" x14ac:dyDescent="0.35">
      <c r="A195" s="6" t="s">
        <v>30</v>
      </c>
      <c r="B195" s="21" t="s">
        <v>71</v>
      </c>
      <c r="C195" s="40">
        <f>data!C233-data!C195</f>
        <v>69.61819342061915</v>
      </c>
      <c r="D195" s="40">
        <f>data!D233-data!D195</f>
        <v>0</v>
      </c>
      <c r="E195" s="40">
        <f>data!E233-data!E195</f>
        <v>69.618193420619207</v>
      </c>
      <c r="F195" s="40">
        <f>data!F233-data!F195</f>
        <v>0</v>
      </c>
      <c r="G195" s="40">
        <f>data!G233-data!G195</f>
        <v>0</v>
      </c>
      <c r="H195" s="40">
        <f>data!H233-data!H195</f>
        <v>0</v>
      </c>
      <c r="I195" s="40">
        <f>data!I233-data!I195</f>
        <v>0</v>
      </c>
      <c r="J195" s="40">
        <f>data!J233-data!J195</f>
        <v>0</v>
      </c>
      <c r="K195" s="40">
        <f>data!K233-data!K195</f>
        <v>1.9352808465074869</v>
      </c>
      <c r="L195" s="40">
        <f>data!L233-data!L195</f>
        <v>1.6727966047922482</v>
      </c>
      <c r="M195" s="40">
        <f>data!M233-data!M195</f>
        <v>0</v>
      </c>
      <c r="N195" s="40">
        <f>data!N233-data!N195</f>
        <v>0</v>
      </c>
      <c r="O195" s="40">
        <f>data!O233-data!O195</f>
        <v>1.9352808465074887</v>
      </c>
      <c r="P195" s="40">
        <f>data!P233-data!P195</f>
        <v>1.6727966047922482</v>
      </c>
      <c r="Q195" s="40">
        <f>data!Q233-data!Q195</f>
        <v>0</v>
      </c>
      <c r="R195" s="40">
        <f>data!R233-data!R195</f>
        <v>0</v>
      </c>
      <c r="S195" s="40">
        <f>data!S233-data!S195</f>
        <v>0</v>
      </c>
      <c r="T195" s="40">
        <f>data!T233-data!T195</f>
        <v>0</v>
      </c>
      <c r="U195" s="40">
        <f>data!U233-data!U195</f>
        <v>0</v>
      </c>
      <c r="V195" s="40">
        <f>data!V233-data!V195</f>
        <v>0</v>
      </c>
      <c r="W195" s="40">
        <f>data!W233-data!W195</f>
        <v>0</v>
      </c>
      <c r="X195" s="40">
        <f>data!X233-data!X195</f>
        <v>0</v>
      </c>
      <c r="Y195" s="40">
        <f>data!Y233-data!Y195</f>
        <v>0</v>
      </c>
      <c r="Z195" s="40">
        <f>data!Z233-data!Z195</f>
        <v>0</v>
      </c>
      <c r="AA195" s="10">
        <v>4161.7847155581303</v>
      </c>
      <c r="AB195" s="11">
        <v>3597.3173374942398</v>
      </c>
    </row>
    <row r="196" spans="1:28" x14ac:dyDescent="0.35">
      <c r="A196" s="6" t="s">
        <v>31</v>
      </c>
      <c r="B196" s="21" t="s">
        <v>71</v>
      </c>
      <c r="C196" s="40">
        <f>data!C234-data!C196</f>
        <v>0</v>
      </c>
      <c r="D196" s="40">
        <f>data!D234-data!D196</f>
        <v>0</v>
      </c>
      <c r="E196" s="40">
        <f>data!E234-data!E196</f>
        <v>0</v>
      </c>
      <c r="F196" s="40">
        <f>data!F234-data!F196</f>
        <v>0</v>
      </c>
      <c r="G196" s="40">
        <f>data!G234-data!G196</f>
        <v>0</v>
      </c>
      <c r="H196" s="40">
        <f>data!H234-data!H196</f>
        <v>0</v>
      </c>
      <c r="I196" s="40">
        <f>data!I234-data!I196</f>
        <v>0</v>
      </c>
      <c r="J196" s="40">
        <f>data!J234-data!J196</f>
        <v>0</v>
      </c>
      <c r="K196" s="40">
        <f>data!K234-data!K196</f>
        <v>0</v>
      </c>
      <c r="L196" s="40">
        <f>data!L234-data!L196</f>
        <v>0</v>
      </c>
      <c r="M196" s="40">
        <f>data!M234-data!M196</f>
        <v>0</v>
      </c>
      <c r="N196" s="40">
        <f>data!N234-data!N196</f>
        <v>0</v>
      </c>
      <c r="O196" s="40">
        <f>data!O234-data!O196</f>
        <v>0</v>
      </c>
      <c r="P196" s="40">
        <f>data!P234-data!P196</f>
        <v>0</v>
      </c>
      <c r="Q196" s="40">
        <f>data!Q234-data!Q196</f>
        <v>0</v>
      </c>
      <c r="R196" s="40">
        <f>data!R234-data!R196</f>
        <v>0</v>
      </c>
      <c r="S196" s="40">
        <f>data!S234-data!S196</f>
        <v>0</v>
      </c>
      <c r="T196" s="40">
        <f>data!T234-data!T196</f>
        <v>0</v>
      </c>
      <c r="U196" s="40">
        <f>data!U234-data!U196</f>
        <v>0</v>
      </c>
      <c r="V196" s="40">
        <f>data!V234-data!V196</f>
        <v>0</v>
      </c>
      <c r="W196" s="40">
        <f>data!W234-data!W196</f>
        <v>0</v>
      </c>
      <c r="X196" s="40">
        <f>data!X234-data!X196</f>
        <v>0</v>
      </c>
      <c r="Y196" s="40">
        <f>data!Y234-data!Y196</f>
        <v>0</v>
      </c>
      <c r="Z196" s="40">
        <f>data!Z234-data!Z196</f>
        <v>0</v>
      </c>
      <c r="AA196" s="10">
        <v>2337.6598158571201</v>
      </c>
      <c r="AB196" s="11">
        <v>1918.15761738117</v>
      </c>
    </row>
    <row r="197" spans="1:28" x14ac:dyDescent="0.35">
      <c r="A197" s="6" t="s">
        <v>32</v>
      </c>
      <c r="B197" s="21" t="s">
        <v>71</v>
      </c>
      <c r="C197" s="40">
        <f>data!C235-data!C197</f>
        <v>13.111734743751981</v>
      </c>
      <c r="D197" s="40">
        <f>data!D235-data!D197</f>
        <v>10.302077298662283</v>
      </c>
      <c r="E197" s="40">
        <f>data!E235-data!E197</f>
        <v>2.8096574450896696</v>
      </c>
      <c r="F197" s="40">
        <f>data!F235-data!F197</f>
        <v>0</v>
      </c>
      <c r="G197" s="40">
        <f>data!G235-data!G197</f>
        <v>0</v>
      </c>
      <c r="H197" s="40">
        <f>data!H235-data!H197</f>
        <v>0</v>
      </c>
      <c r="I197" s="40">
        <f>data!I235-data!I197</f>
        <v>0</v>
      </c>
      <c r="J197" s="40">
        <f>data!J235-data!J197</f>
        <v>0</v>
      </c>
      <c r="K197" s="40">
        <f>data!K235-data!K197</f>
        <v>0.28726510612117195</v>
      </c>
      <c r="L197" s="40">
        <f>data!L235-data!L197</f>
        <v>0.24623659365109418</v>
      </c>
      <c r="M197" s="40">
        <f>data!M235-data!M197</f>
        <v>0.22570829766663447</v>
      </c>
      <c r="N197" s="40">
        <f>data!N235-data!N197</f>
        <v>0.19347160929728835</v>
      </c>
      <c r="O197" s="40">
        <f>data!O235-data!O197</f>
        <v>6.1556808454536593E-2</v>
      </c>
      <c r="P197" s="40">
        <f>data!P235-data!P197</f>
        <v>5.2764984353805389E-2</v>
      </c>
      <c r="Q197" s="40">
        <f>data!Q235-data!Q197</f>
        <v>0</v>
      </c>
      <c r="R197" s="40">
        <f>data!R235-data!R197</f>
        <v>0</v>
      </c>
      <c r="S197" s="40">
        <f>data!S235-data!S197</f>
        <v>0</v>
      </c>
      <c r="T197" s="40">
        <f>data!T235-data!T197</f>
        <v>0</v>
      </c>
      <c r="U197" s="40">
        <f>data!U235-data!U197</f>
        <v>0</v>
      </c>
      <c r="V197" s="40">
        <f>data!V235-data!V197</f>
        <v>0</v>
      </c>
      <c r="W197" s="40">
        <f>data!W235-data!W197</f>
        <v>0</v>
      </c>
      <c r="X197" s="40">
        <f>data!X235-data!X197</f>
        <v>0</v>
      </c>
      <c r="Y197" s="40">
        <f>data!Y235-data!Y197</f>
        <v>0</v>
      </c>
      <c r="Z197" s="40">
        <f>data!Z235-data!Z197</f>
        <v>0</v>
      </c>
      <c r="AA197" s="10">
        <v>5324.8522282316499</v>
      </c>
      <c r="AB197" s="11">
        <v>4564.3325500944502</v>
      </c>
    </row>
    <row r="198" spans="1:28" x14ac:dyDescent="0.35">
      <c r="A198" s="6" t="s">
        <v>33</v>
      </c>
      <c r="B198" s="21" t="s">
        <v>71</v>
      </c>
      <c r="C198" s="40">
        <f>data!C236-data!C198</f>
        <v>31.3557937785978</v>
      </c>
      <c r="D198" s="40">
        <f>data!D236-data!D198</f>
        <v>3.4745609322229996</v>
      </c>
      <c r="E198" s="40">
        <f>data!E236-data!E198</f>
        <v>27.8812328463748</v>
      </c>
      <c r="F198" s="40">
        <f>data!F236-data!F198</f>
        <v>-11.610118236940266</v>
      </c>
      <c r="G198" s="40">
        <f>data!G236-data!G198</f>
        <v>0</v>
      </c>
      <c r="H198" s="40">
        <f>data!H236-data!H198</f>
        <v>0</v>
      </c>
      <c r="I198" s="40">
        <f>data!I236-data!I198</f>
        <v>0</v>
      </c>
      <c r="J198" s="40">
        <f>data!J236-data!J198</f>
        <v>0</v>
      </c>
      <c r="K198" s="40">
        <f>data!K236-data!K198</f>
        <v>1.9141013926408741</v>
      </c>
      <c r="L198" s="40">
        <f>data!L236-data!L198</f>
        <v>1.4539864788011108</v>
      </c>
      <c r="M198" s="40">
        <f>data!M236-data!M198</f>
        <v>0.21210312729263747</v>
      </c>
      <c r="N198" s="40">
        <f>data!N236-data!N198</f>
        <v>0.16111742062390683</v>
      </c>
      <c r="O198" s="40">
        <f>data!O236-data!O198</f>
        <v>1.7019982653482368</v>
      </c>
      <c r="P198" s="40">
        <f>data!P236-data!P198</f>
        <v>1.292869058177204</v>
      </c>
      <c r="Q198" s="40">
        <f>data!Q236-data!Q198</f>
        <v>-0.70873483997783726</v>
      </c>
      <c r="R198" s="40">
        <f>data!R236-data!R198</f>
        <v>-0.53836796647500607</v>
      </c>
      <c r="S198" s="40">
        <f>data!S236-data!S198</f>
        <v>0</v>
      </c>
      <c r="T198" s="40">
        <f>data!T236-data!T198</f>
        <v>0</v>
      </c>
      <c r="U198" s="40">
        <f>data!U236-data!U198</f>
        <v>0</v>
      </c>
      <c r="V198" s="40">
        <f>data!V236-data!V198</f>
        <v>0</v>
      </c>
      <c r="W198" s="40">
        <f>data!W236-data!W198</f>
        <v>0</v>
      </c>
      <c r="X198" s="40">
        <f>data!X236-data!X198</f>
        <v>0</v>
      </c>
      <c r="Y198" s="40">
        <f>data!Y236-data!Y198</f>
        <v>0</v>
      </c>
      <c r="Z198" s="40">
        <f>data!Z236-data!Z198</f>
        <v>0</v>
      </c>
      <c r="AA198" s="10">
        <v>2156.5395714307001</v>
      </c>
      <c r="AB198" s="11">
        <v>1638.14696019506</v>
      </c>
    </row>
    <row r="199" spans="1:28" x14ac:dyDescent="0.35">
      <c r="A199" s="6" t="s">
        <v>34</v>
      </c>
      <c r="B199" s="21" t="s">
        <v>71</v>
      </c>
      <c r="C199" s="40">
        <f>data!C237-data!C199</f>
        <v>10.431316194499331</v>
      </c>
      <c r="D199" s="40">
        <f>data!D237-data!D199</f>
        <v>5.831950301301049</v>
      </c>
      <c r="E199" s="40">
        <f>data!E237-data!E199</f>
        <v>4.5993658931982822</v>
      </c>
      <c r="F199" s="40">
        <f>data!F237-data!F199</f>
        <v>0</v>
      </c>
      <c r="G199" s="40">
        <f>data!G237-data!G199</f>
        <v>0</v>
      </c>
      <c r="H199" s="40">
        <f>data!H237-data!H199</f>
        <v>0</v>
      </c>
      <c r="I199" s="40">
        <f>data!I237-data!I199</f>
        <v>0</v>
      </c>
      <c r="J199" s="40">
        <f>data!J237-data!J199</f>
        <v>0</v>
      </c>
      <c r="K199" s="40">
        <f>data!K237-data!K199</f>
        <v>0.78791226741857923</v>
      </c>
      <c r="L199" s="40">
        <f>data!L237-data!L199</f>
        <v>0.58063765008396651</v>
      </c>
      <c r="M199" s="40">
        <f>data!M237-data!M199</f>
        <v>0.4405067490710004</v>
      </c>
      <c r="N199" s="40">
        <f>data!N237-data!N199</f>
        <v>0.32462345644738166</v>
      </c>
      <c r="O199" s="40">
        <f>data!O237-data!O199</f>
        <v>0.34740551834757927</v>
      </c>
      <c r="P199" s="40">
        <f>data!P237-data!P199</f>
        <v>0.25601419363658451</v>
      </c>
      <c r="Q199" s="40">
        <f>data!Q237-data!Q199</f>
        <v>0</v>
      </c>
      <c r="R199" s="40">
        <f>data!R237-data!R199</f>
        <v>0</v>
      </c>
      <c r="S199" s="40">
        <f>data!S237-data!S199</f>
        <v>0</v>
      </c>
      <c r="T199" s="40">
        <f>data!T237-data!T199</f>
        <v>0</v>
      </c>
      <c r="U199" s="40">
        <f>data!U237-data!U199</f>
        <v>0</v>
      </c>
      <c r="V199" s="40">
        <f>data!V237-data!V199</f>
        <v>0</v>
      </c>
      <c r="W199" s="40">
        <f>data!W237-data!W199</f>
        <v>0</v>
      </c>
      <c r="X199" s="40">
        <f>data!X237-data!X199</f>
        <v>0</v>
      </c>
      <c r="Y199" s="40">
        <f>data!Y237-data!Y199</f>
        <v>0</v>
      </c>
      <c r="Z199" s="40">
        <f>data!Z237-data!Z199</f>
        <v>0</v>
      </c>
      <c r="AA199" s="10">
        <v>1796.5276955414199</v>
      </c>
      <c r="AB199" s="11">
        <v>1323.9184901480501</v>
      </c>
    </row>
    <row r="200" spans="1:28" x14ac:dyDescent="0.35">
      <c r="A200" s="6" t="s">
        <v>35</v>
      </c>
      <c r="B200" s="21" t="s">
        <v>71</v>
      </c>
      <c r="C200" s="40">
        <f>data!C238-data!C200</f>
        <v>82.109950874512379</v>
      </c>
      <c r="D200" s="40">
        <f>data!D238-data!D200</f>
        <v>-73.129174997612637</v>
      </c>
      <c r="E200" s="40">
        <f>data!E238-data!E200</f>
        <v>155.23912587212499</v>
      </c>
      <c r="F200" s="40">
        <f>data!F238-data!F200</f>
        <v>1.9244519736213839</v>
      </c>
      <c r="G200" s="40">
        <f>data!G238-data!G200</f>
        <v>3.8489039472381137E-2</v>
      </c>
      <c r="H200" s="40">
        <f>data!H238-data!H200</f>
        <v>3.8489039472427766E-2</v>
      </c>
      <c r="I200" s="40">
        <f>data!I238-data!I200</f>
        <v>0</v>
      </c>
      <c r="J200" s="40">
        <f>data!J238-data!J200</f>
        <v>0</v>
      </c>
      <c r="K200" s="40">
        <f>data!K238-data!K200</f>
        <v>2.6005656133710104</v>
      </c>
      <c r="L200" s="40">
        <f>data!L238-data!L200</f>
        <v>2.7909679262838374</v>
      </c>
      <c r="M200" s="40">
        <f>data!M238-data!M200</f>
        <v>-2.3161287494085574</v>
      </c>
      <c r="N200" s="40">
        <f>data!N238-data!N200</f>
        <v>-2.4857058093465447</v>
      </c>
      <c r="O200" s="40">
        <f>data!O238-data!O200</f>
        <v>4.916694362779567</v>
      </c>
      <c r="P200" s="40">
        <f>data!P238-data!P200</f>
        <v>5.2766737356303821</v>
      </c>
      <c r="Q200" s="40">
        <f>data!Q238-data!Q200</f>
        <v>6.0950756563383113E-2</v>
      </c>
      <c r="R200" s="40">
        <f>data!R238-data!R200</f>
        <v>6.5413310772277522E-2</v>
      </c>
      <c r="S200" s="40">
        <f>data!S238-data!S200</f>
        <v>1.2190151312676534E-3</v>
      </c>
      <c r="T200" s="40">
        <f>data!T238-data!T200</f>
        <v>1.3082662154442204E-3</v>
      </c>
      <c r="U200" s="40">
        <f>data!U238-data!U200</f>
        <v>1.2190151312676603E-3</v>
      </c>
      <c r="V200" s="40">
        <f>data!V238-data!V200</f>
        <v>1.3082662154455527E-3</v>
      </c>
      <c r="W200" s="40">
        <f>data!W238-data!W200</f>
        <v>0</v>
      </c>
      <c r="X200" s="40">
        <f>data!X238-data!X200</f>
        <v>0</v>
      </c>
      <c r="Y200" s="40">
        <f>data!Y238-data!Y200</f>
        <v>0</v>
      </c>
      <c r="Z200" s="40">
        <f>data!Z238-data!Z200</f>
        <v>0</v>
      </c>
      <c r="AA200" s="10">
        <v>2941.9883367789698</v>
      </c>
      <c r="AB200" s="11">
        <v>3157.38816403392</v>
      </c>
    </row>
    <row r="201" spans="1:28" x14ac:dyDescent="0.35">
      <c r="A201" s="6" t="s">
        <v>36</v>
      </c>
      <c r="B201" s="21" t="s">
        <v>71</v>
      </c>
      <c r="C201" s="40">
        <f>data!C239-data!C201</f>
        <v>0</v>
      </c>
      <c r="D201" s="40">
        <f>data!D239-data!D201</f>
        <v>0</v>
      </c>
      <c r="E201" s="40">
        <f>data!E239-data!E201</f>
        <v>0</v>
      </c>
      <c r="F201" s="40">
        <f>data!F239-data!F201</f>
        <v>0</v>
      </c>
      <c r="G201" s="40">
        <f>data!G239-data!G201</f>
        <v>0</v>
      </c>
      <c r="H201" s="40">
        <f>data!H239-data!H201</f>
        <v>0</v>
      </c>
      <c r="I201" s="40">
        <f>data!I239-data!I201</f>
        <v>0</v>
      </c>
      <c r="J201" s="40">
        <f>data!J239-data!J201</f>
        <v>0</v>
      </c>
      <c r="K201" s="40">
        <f>data!K239-data!K201</f>
        <v>0</v>
      </c>
      <c r="L201" s="40">
        <f>data!L239-data!L201</f>
        <v>0</v>
      </c>
      <c r="M201" s="40">
        <f>data!M239-data!M201</f>
        <v>0</v>
      </c>
      <c r="N201" s="40">
        <f>data!N239-data!N201</f>
        <v>0</v>
      </c>
      <c r="O201" s="40">
        <f>data!O239-data!O201</f>
        <v>0</v>
      </c>
      <c r="P201" s="40">
        <f>data!P239-data!P201</f>
        <v>0</v>
      </c>
      <c r="Q201" s="40">
        <f>data!Q239-data!Q201</f>
        <v>0</v>
      </c>
      <c r="R201" s="40">
        <f>data!R239-data!R201</f>
        <v>0</v>
      </c>
      <c r="S201" s="40">
        <f>data!S239-data!S201</f>
        <v>0</v>
      </c>
      <c r="T201" s="40">
        <f>data!T239-data!T201</f>
        <v>0</v>
      </c>
      <c r="U201" s="40">
        <f>data!U239-data!U201</f>
        <v>0</v>
      </c>
      <c r="V201" s="40">
        <f>data!V239-data!V201</f>
        <v>0</v>
      </c>
      <c r="W201" s="40">
        <f>data!W239-data!W201</f>
        <v>0</v>
      </c>
      <c r="X201" s="40">
        <f>data!X239-data!X201</f>
        <v>0</v>
      </c>
      <c r="Y201" s="40">
        <f>data!Y239-data!Y201</f>
        <v>0</v>
      </c>
      <c r="Z201" s="40">
        <f>data!Z239-data!Z201</f>
        <v>0</v>
      </c>
      <c r="AA201" s="10">
        <v>19974.2138871676</v>
      </c>
      <c r="AB201" s="11">
        <v>19928.975197</v>
      </c>
    </row>
    <row r="202" spans="1:28" x14ac:dyDescent="0.35">
      <c r="A202" s="6" t="s">
        <v>37</v>
      </c>
      <c r="B202" s="21" t="s">
        <v>71</v>
      </c>
      <c r="C202" s="40">
        <f>data!C240-data!C202</f>
        <v>0</v>
      </c>
      <c r="D202" s="40">
        <f>data!D240-data!D202</f>
        <v>0</v>
      </c>
      <c r="E202" s="40">
        <f>data!E240-data!E202</f>
        <v>0</v>
      </c>
      <c r="F202" s="40">
        <f>data!F240-data!F202</f>
        <v>0</v>
      </c>
      <c r="G202" s="40">
        <f>data!G240-data!G202</f>
        <v>0.10239412195682918</v>
      </c>
      <c r="H202" s="40">
        <f>data!H240-data!H202</f>
        <v>0</v>
      </c>
      <c r="I202" s="40">
        <f>data!I240-data!I202</f>
        <v>0.10239412195682918</v>
      </c>
      <c r="J202" s="40">
        <f>data!J240-data!J202</f>
        <v>0.45146499226420111</v>
      </c>
      <c r="K202" s="40">
        <f>data!K240-data!K202</f>
        <v>0</v>
      </c>
      <c r="L202" s="40">
        <f>data!L240-data!L202</f>
        <v>0</v>
      </c>
      <c r="M202" s="40">
        <f>data!M240-data!M202</f>
        <v>0</v>
      </c>
      <c r="N202" s="40">
        <f>data!N240-data!N202</f>
        <v>0</v>
      </c>
      <c r="O202" s="40">
        <f>data!O240-data!O202</f>
        <v>0</v>
      </c>
      <c r="P202" s="40">
        <f>data!P240-data!P202</f>
        <v>0</v>
      </c>
      <c r="Q202" s="40">
        <f>data!Q240-data!Q202</f>
        <v>0</v>
      </c>
      <c r="R202" s="40">
        <f>data!R240-data!R202</f>
        <v>0</v>
      </c>
      <c r="S202" s="40">
        <f>data!S240-data!S202</f>
        <v>8.0048482009581756E-3</v>
      </c>
      <c r="T202" s="40">
        <f>data!T240-data!T202</f>
        <v>4.2992617321149645E-3</v>
      </c>
      <c r="U202" s="40">
        <f>data!U240-data!U202</f>
        <v>0</v>
      </c>
      <c r="V202" s="40">
        <f>data!V240-data!V202</f>
        <v>0</v>
      </c>
      <c r="W202" s="40">
        <f>data!W240-data!W202</f>
        <v>8.0048482009581808E-3</v>
      </c>
      <c r="X202" s="40">
        <f>data!X240-data!X202</f>
        <v>4.2992617321149628E-3</v>
      </c>
      <c r="Y202" s="40">
        <f>data!Y240-data!Y202</f>
        <v>3.5294103431497525E-2</v>
      </c>
      <c r="Z202" s="40">
        <f>data!Z240-data!Z202</f>
        <v>1.8955835818870448E-2</v>
      </c>
      <c r="AA202" s="10">
        <v>2381.6675591522499</v>
      </c>
      <c r="AB202" s="11">
        <v>1279.1513266244399</v>
      </c>
    </row>
    <row r="203" spans="1:28" x14ac:dyDescent="0.35">
      <c r="A203" s="6" t="s">
        <v>38</v>
      </c>
      <c r="B203" s="21" t="s">
        <v>71</v>
      </c>
      <c r="C203" s="40">
        <f>data!C241-data!C203</f>
        <v>5.234121210982785</v>
      </c>
      <c r="D203" s="40">
        <f>data!D241-data!D203</f>
        <v>-0.23266279540380985</v>
      </c>
      <c r="E203" s="40">
        <f>data!E241-data!E203</f>
        <v>5.4667840063865967</v>
      </c>
      <c r="F203" s="40">
        <f>data!F241-data!F203</f>
        <v>1.376658570374012E-2</v>
      </c>
      <c r="G203" s="40">
        <f>data!G241-data!G203</f>
        <v>-7.2337052758079778E-2</v>
      </c>
      <c r="H203" s="40">
        <f>data!H241-data!H203</f>
        <v>-4.4287991484539546E-3</v>
      </c>
      <c r="I203" s="40">
        <f>data!I241-data!I203</f>
        <v>-6.7908253609623159E-2</v>
      </c>
      <c r="J203" s="40">
        <f>data!J241-data!J203</f>
        <v>1.4269426648543515</v>
      </c>
      <c r="K203" s="40">
        <f>data!K241-data!K203</f>
        <v>0.52495888545341129</v>
      </c>
      <c r="L203" s="40">
        <f>data!L241-data!L203</f>
        <v>0.22427622016784388</v>
      </c>
      <c r="M203" s="40">
        <f>data!M241-data!M203</f>
        <v>-2.3335035020850325E-2</v>
      </c>
      <c r="N203" s="40">
        <f>data!N241-data!N203</f>
        <v>-9.9693396892222702E-3</v>
      </c>
      <c r="O203" s="40">
        <f>data!O241-data!O203</f>
        <v>0.54829392047426162</v>
      </c>
      <c r="P203" s="40">
        <f>data!P241-data!P203</f>
        <v>0.23424555985706619</v>
      </c>
      <c r="Q203" s="40">
        <f>data!Q241-data!Q203</f>
        <v>1.3807268109058413E-3</v>
      </c>
      <c r="R203" s="40">
        <f>data!R241-data!R203</f>
        <v>5.898827485639746E-4</v>
      </c>
      <c r="S203" s="40">
        <f>data!S241-data!S203</f>
        <v>-7.2550820017660556E-3</v>
      </c>
      <c r="T203" s="40">
        <f>data!T241-data!T203</f>
        <v>-3.0995615341544713E-3</v>
      </c>
      <c r="U203" s="40">
        <f>data!U241-data!U203</f>
        <v>-4.4418869398565874E-4</v>
      </c>
      <c r="V203" s="40">
        <f>data!V241-data!V203</f>
        <v>-1.8976907351966887E-4</v>
      </c>
      <c r="W203" s="40">
        <f>data!W241-data!W203</f>
        <v>-6.8108933077803968E-3</v>
      </c>
      <c r="X203" s="40">
        <f>data!X241-data!X203</f>
        <v>-2.9097924606344971E-3</v>
      </c>
      <c r="Y203" s="40">
        <f>data!Y241-data!Y203</f>
        <v>0.14311595027185242</v>
      </c>
      <c r="Z203" s="40">
        <f>data!Z241-data!Z203</f>
        <v>6.1142891876146299E-2</v>
      </c>
      <c r="AA203" s="10">
        <v>2333.7834064911899</v>
      </c>
      <c r="AB203" s="11">
        <v>997.05355143423003</v>
      </c>
    </row>
    <row r="204" spans="1:28" x14ac:dyDescent="0.35">
      <c r="A204" s="13" t="s">
        <v>39</v>
      </c>
      <c r="B204" s="21" t="s">
        <v>71</v>
      </c>
      <c r="C204" s="40">
        <f>data!C242-data!C204</f>
        <v>15.521433287220006</v>
      </c>
      <c r="D204" s="40">
        <f>data!D242-data!D204</f>
        <v>4.7933838092885335</v>
      </c>
      <c r="E204" s="40">
        <f>data!E242-data!E204</f>
        <v>10.728049477931478</v>
      </c>
      <c r="F204" s="40">
        <f>data!F242-data!F204</f>
        <v>0</v>
      </c>
      <c r="G204" s="40">
        <f>data!G242-data!G204</f>
        <v>1.9401791609025008</v>
      </c>
      <c r="H204" s="40">
        <f>data!H242-data!H204</f>
        <v>0</v>
      </c>
      <c r="I204" s="40">
        <f>data!I242-data!I204</f>
        <v>1.9401791609025008</v>
      </c>
      <c r="J204" s="40">
        <f>data!J242-data!J204</f>
        <v>0</v>
      </c>
      <c r="K204" s="40">
        <f>data!K242-data!K204</f>
        <v>3.7495954896454329</v>
      </c>
      <c r="L204" s="40">
        <f>data!L242-data!L204</f>
        <v>3.3123049625002459</v>
      </c>
      <c r="M204" s="40">
        <f>data!M242-data!M204</f>
        <v>1.1579633129787377</v>
      </c>
      <c r="N204" s="40">
        <f>data!N242-data!N204</f>
        <v>1.0229177090074291</v>
      </c>
      <c r="O204" s="40">
        <f>data!O242-data!O204</f>
        <v>2.5916321766666961</v>
      </c>
      <c r="P204" s="40">
        <f>data!P242-data!P204</f>
        <v>2.2893872534928175</v>
      </c>
      <c r="Q204" s="40">
        <f>data!Q242-data!Q204</f>
        <v>0</v>
      </c>
      <c r="R204" s="40">
        <f>data!R242-data!R204</f>
        <v>0</v>
      </c>
      <c r="S204" s="40">
        <f>data!S242-data!S204</f>
        <v>0.46869943620567911</v>
      </c>
      <c r="T204" s="40">
        <f>data!T242-data!T204</f>
        <v>0.41403812031253073</v>
      </c>
      <c r="U204" s="40">
        <f>data!U242-data!U204</f>
        <v>0</v>
      </c>
      <c r="V204" s="40">
        <f>data!V242-data!V204</f>
        <v>0</v>
      </c>
      <c r="W204" s="40">
        <f>data!W242-data!W204</f>
        <v>0.46869943620567911</v>
      </c>
      <c r="X204" s="40">
        <f>data!X242-data!X204</f>
        <v>0.41403812031253073</v>
      </c>
      <c r="Y204" s="40">
        <f>data!Y242-data!Y204</f>
        <v>0</v>
      </c>
      <c r="Z204" s="40">
        <f>data!Z242-data!Z204</f>
        <v>0</v>
      </c>
      <c r="AA204" s="10">
        <v>468.59916169988998</v>
      </c>
      <c r="AB204" s="11">
        <v>413.94954015926999</v>
      </c>
    </row>
    <row r="205" spans="1:28" x14ac:dyDescent="0.35">
      <c r="A205" s="6" t="s">
        <v>40</v>
      </c>
      <c r="B205" s="21" t="s">
        <v>71</v>
      </c>
      <c r="C205" s="40">
        <f>data!C243-data!C205</f>
        <v>-0.22825637187087722</v>
      </c>
      <c r="D205" s="40">
        <f>data!D243-data!D205</f>
        <v>0.45651274374176687</v>
      </c>
      <c r="E205" s="40">
        <f>data!E243-data!E205</f>
        <v>-0.68476911561264941</v>
      </c>
      <c r="F205" s="40">
        <f>data!F243-data!F205</f>
        <v>-0.34238455780632293</v>
      </c>
      <c r="G205" s="40">
        <f>data!G243-data!G205</f>
        <v>0</v>
      </c>
      <c r="H205" s="40">
        <f>data!H243-data!H205</f>
        <v>0</v>
      </c>
      <c r="I205" s="40">
        <f>data!I243-data!I205</f>
        <v>0</v>
      </c>
      <c r="J205" s="40">
        <f>data!J243-data!J205</f>
        <v>0</v>
      </c>
      <c r="K205" s="40">
        <f>data!K243-data!K205</f>
        <v>-4.60977292197704E-2</v>
      </c>
      <c r="L205" s="40">
        <f>data!L243-data!L205</f>
        <v>-4.1103429170870065E-2</v>
      </c>
      <c r="M205" s="40">
        <f>data!M243-data!M205</f>
        <v>9.2195458439542577E-2</v>
      </c>
      <c r="N205" s="40">
        <f>data!N243-data!N205</f>
        <v>8.2206858341741018E-2</v>
      </c>
      <c r="O205" s="40">
        <f>data!O243-data!O205</f>
        <v>-0.13829318765931387</v>
      </c>
      <c r="P205" s="40">
        <f>data!P243-data!P205</f>
        <v>-0.12331028751261108</v>
      </c>
      <c r="Q205" s="40">
        <f>data!Q243-data!Q205</f>
        <v>-6.9146593829656933E-2</v>
      </c>
      <c r="R205" s="40">
        <f>data!R243-data!R205</f>
        <v>-6.1655143756305542E-2</v>
      </c>
      <c r="S205" s="40">
        <f>data!S243-data!S205</f>
        <v>0</v>
      </c>
      <c r="T205" s="40">
        <f>data!T243-data!T205</f>
        <v>0</v>
      </c>
      <c r="U205" s="40">
        <f>data!U243-data!U205</f>
        <v>0</v>
      </c>
      <c r="V205" s="40">
        <f>data!V243-data!V205</f>
        <v>0</v>
      </c>
      <c r="W205" s="40">
        <f>data!W243-data!W205</f>
        <v>0</v>
      </c>
      <c r="X205" s="40">
        <f>data!X243-data!X205</f>
        <v>0</v>
      </c>
      <c r="Y205" s="40">
        <f>data!Y243-data!Y205</f>
        <v>0</v>
      </c>
      <c r="Z205" s="40">
        <f>data!Z243-data!Z205</f>
        <v>0</v>
      </c>
      <c r="AA205" s="10">
        <v>555.32196820367994</v>
      </c>
      <c r="AB205" s="11">
        <v>495.15751802582002</v>
      </c>
    </row>
    <row r="206" spans="1:28" x14ac:dyDescent="0.35">
      <c r="A206" s="13" t="s">
        <v>41</v>
      </c>
      <c r="B206" s="21" t="s">
        <v>71</v>
      </c>
      <c r="C206" s="40">
        <f>data!C244-data!C206</f>
        <v>-0.84014605616053473</v>
      </c>
      <c r="D206" s="40">
        <f>data!D244-data!D206</f>
        <v>-0.11201947415473779</v>
      </c>
      <c r="E206" s="40">
        <f>data!E244-data!E206</f>
        <v>-0.72812658200579605</v>
      </c>
      <c r="F206" s="40">
        <f>data!F244-data!F206</f>
        <v>-0.94785708900162635</v>
      </c>
      <c r="G206" s="40">
        <f>data!G244-data!G206</f>
        <v>0.20249674174124976</v>
      </c>
      <c r="H206" s="40">
        <f>data!H244-data!H206</f>
        <v>-4.3084413136437599E-3</v>
      </c>
      <c r="I206" s="40">
        <f>data!I244-data!I206</f>
        <v>0.2068051830548967</v>
      </c>
      <c r="J206" s="40">
        <f>data!J244-data!J206</f>
        <v>0</v>
      </c>
      <c r="K206" s="40">
        <f>data!K244-data!K206</f>
        <v>-0.3896052225820803</v>
      </c>
      <c r="L206" s="40">
        <f>data!L244-data!L206</f>
        <v>-0.20622350409885915</v>
      </c>
      <c r="M206" s="40">
        <f>data!M244-data!M206</f>
        <v>-5.1947363010944159E-2</v>
      </c>
      <c r="N206" s="40">
        <f>data!N244-data!N206</f>
        <v>-2.7496467213180997E-2</v>
      </c>
      <c r="O206" s="40">
        <f>data!O244-data!O206</f>
        <v>-0.33765785957113614</v>
      </c>
      <c r="P206" s="40">
        <f>data!P244-data!P206</f>
        <v>-0.17872703688567881</v>
      </c>
      <c r="Q206" s="40">
        <f>data!Q244-data!Q206</f>
        <v>-0.43955461009260377</v>
      </c>
      <c r="R206" s="40">
        <f>data!R244-data!R206</f>
        <v>-0.23266241488076503</v>
      </c>
      <c r="S206" s="40">
        <f>data!S244-data!S206</f>
        <v>9.3904848519784423E-2</v>
      </c>
      <c r="T206" s="40">
        <f>data!T244-data!T206</f>
        <v>4.9705152269982733E-2</v>
      </c>
      <c r="U206" s="40">
        <f>data!U244-data!U206</f>
        <v>-1.9979755004209294E-3</v>
      </c>
      <c r="V206" s="40">
        <f>data!V244-data!V206</f>
        <v>-1.0575564312762034E-3</v>
      </c>
      <c r="W206" s="40">
        <f>data!W244-data!W206</f>
        <v>9.5902824020203781E-2</v>
      </c>
      <c r="X206" s="40">
        <f>data!X244-data!X206</f>
        <v>5.0762708701258319E-2</v>
      </c>
      <c r="Y206" s="40">
        <f>data!Y244-data!Y206</f>
        <v>0</v>
      </c>
      <c r="Z206" s="40">
        <f>data!Z244-data!Z206</f>
        <v>0</v>
      </c>
      <c r="AA206" s="10">
        <v>407.39587848230002</v>
      </c>
      <c r="AB206" s="11">
        <v>215.64034757863999</v>
      </c>
    </row>
    <row r="207" spans="1:28" x14ac:dyDescent="0.35">
      <c r="A207" s="13" t="s">
        <v>42</v>
      </c>
      <c r="B207" s="21" t="s">
        <v>71</v>
      </c>
      <c r="C207" s="40">
        <f>data!C245-data!C207</f>
        <v>-0.12228391743782474</v>
      </c>
      <c r="D207" s="40">
        <f>data!D245-data!D207</f>
        <v>-0.12228391743782471</v>
      </c>
      <c r="E207" s="40">
        <f>data!E245-data!E207</f>
        <v>0</v>
      </c>
      <c r="F207" s="40">
        <f>data!F245-data!F207</f>
        <v>0</v>
      </c>
      <c r="G207" s="40">
        <f>data!G245-data!G207</f>
        <v>0</v>
      </c>
      <c r="H207" s="40">
        <f>data!H245-data!H207</f>
        <v>0</v>
      </c>
      <c r="I207" s="40">
        <f>data!I245-data!I207</f>
        <v>0</v>
      </c>
      <c r="J207" s="40">
        <f>data!J245-data!J207</f>
        <v>0</v>
      </c>
      <c r="K207" s="40">
        <f>data!K245-data!K207</f>
        <v>-3.6765779429734469E-2</v>
      </c>
      <c r="L207" s="40">
        <f>data!L245-data!L207</f>
        <v>-3.931155554179222E-2</v>
      </c>
      <c r="M207" s="40">
        <f>data!M245-data!M207</f>
        <v>-3.6765779429734573E-2</v>
      </c>
      <c r="N207" s="40">
        <f>data!N245-data!N207</f>
        <v>-3.9311555541792213E-2</v>
      </c>
      <c r="O207" s="40">
        <f>data!O245-data!O207</f>
        <v>0</v>
      </c>
      <c r="P207" s="40">
        <f>data!P245-data!P207</f>
        <v>0</v>
      </c>
      <c r="Q207" s="40">
        <f>data!Q245-data!Q207</f>
        <v>0</v>
      </c>
      <c r="R207" s="40">
        <f>data!R245-data!R207</f>
        <v>0</v>
      </c>
      <c r="S207" s="40">
        <f>data!S245-data!S207</f>
        <v>0</v>
      </c>
      <c r="T207" s="40">
        <f>data!T245-data!T207</f>
        <v>0</v>
      </c>
      <c r="U207" s="40">
        <f>data!U245-data!U207</f>
        <v>0</v>
      </c>
      <c r="V207" s="40">
        <f>data!V245-data!V207</f>
        <v>0</v>
      </c>
      <c r="W207" s="40">
        <f>data!W245-data!W207</f>
        <v>0</v>
      </c>
      <c r="X207" s="40">
        <f>data!X245-data!X207</f>
        <v>0</v>
      </c>
      <c r="Y207" s="40">
        <f>data!Y245-data!Y207</f>
        <v>0</v>
      </c>
      <c r="Z207" s="40">
        <f>data!Z245-data!Z207</f>
        <v>0</v>
      </c>
      <c r="AA207" s="10">
        <v>311.06354290107998</v>
      </c>
      <c r="AB207" s="11">
        <v>332.60254327404999</v>
      </c>
    </row>
    <row r="208" spans="1:28" x14ac:dyDescent="0.35">
      <c r="A208" s="13" t="s">
        <v>43</v>
      </c>
      <c r="B208" s="21" t="s">
        <v>71</v>
      </c>
      <c r="C208" s="40">
        <f>data!C246-data!C208</f>
        <v>0</v>
      </c>
      <c r="D208" s="40">
        <f>data!D246-data!D208</f>
        <v>0</v>
      </c>
      <c r="E208" s="40">
        <f>data!E246-data!E208</f>
        <v>0</v>
      </c>
      <c r="F208" s="40">
        <f>data!F246-data!F208</f>
        <v>0</v>
      </c>
      <c r="G208" s="40">
        <f>data!G246-data!G208</f>
        <v>0</v>
      </c>
      <c r="H208" s="40">
        <f>data!H246-data!H208</f>
        <v>0</v>
      </c>
      <c r="I208" s="40">
        <f>data!I246-data!I208</f>
        <v>0</v>
      </c>
      <c r="J208" s="40">
        <f>data!J246-data!J208</f>
        <v>0</v>
      </c>
      <c r="K208" s="40">
        <f>data!K246-data!K208</f>
        <v>0</v>
      </c>
      <c r="L208" s="40">
        <f>data!L246-data!L208</f>
        <v>0</v>
      </c>
      <c r="M208" s="40">
        <f>data!M246-data!M208</f>
        <v>0</v>
      </c>
      <c r="N208" s="40">
        <f>data!N246-data!N208</f>
        <v>0</v>
      </c>
      <c r="O208" s="40">
        <f>data!O246-data!O208</f>
        <v>0</v>
      </c>
      <c r="P208" s="40">
        <f>data!P246-data!P208</f>
        <v>0</v>
      </c>
      <c r="Q208" s="40">
        <f>data!Q246-data!Q208</f>
        <v>0</v>
      </c>
      <c r="R208" s="40">
        <f>data!R246-data!R208</f>
        <v>0</v>
      </c>
      <c r="S208" s="40">
        <f>data!S246-data!S208</f>
        <v>0</v>
      </c>
      <c r="T208" s="40">
        <f>data!T246-data!T208</f>
        <v>0</v>
      </c>
      <c r="U208" s="40">
        <f>data!U246-data!U208</f>
        <v>0</v>
      </c>
      <c r="V208" s="40">
        <f>data!V246-data!V208</f>
        <v>0</v>
      </c>
      <c r="W208" s="40">
        <f>data!W246-data!W208</f>
        <v>0</v>
      </c>
      <c r="X208" s="40">
        <f>data!X246-data!X208</f>
        <v>0</v>
      </c>
      <c r="Y208" s="40">
        <f>data!Y246-data!Y208</f>
        <v>0</v>
      </c>
      <c r="Z208" s="40">
        <f>data!Z246-data!Z208</f>
        <v>0</v>
      </c>
      <c r="AA208" s="10">
        <v>45.911572818750003</v>
      </c>
      <c r="AB208" s="11">
        <v>26.895658710639999</v>
      </c>
    </row>
    <row r="209" spans="1:28" x14ac:dyDescent="0.35">
      <c r="A209" s="13" t="s">
        <v>44</v>
      </c>
      <c r="B209" s="21" t="s">
        <v>71</v>
      </c>
      <c r="C209" s="40">
        <f>data!C247-data!C209</f>
        <v>1.3124741382575742</v>
      </c>
      <c r="D209" s="40">
        <f>data!D247-data!D209</f>
        <v>0.57064092967720637</v>
      </c>
      <c r="E209" s="40">
        <f>data!E247-data!E209</f>
        <v>0.74183320858036783</v>
      </c>
      <c r="F209" s="40">
        <f>data!F247-data!F209</f>
        <v>-1.8260509749670599</v>
      </c>
      <c r="G209" s="40">
        <f>data!G247-data!G209</f>
        <v>-0.45651274374176509</v>
      </c>
      <c r="H209" s="40">
        <f>data!H247-data!H209</f>
        <v>-0.45651274374176509</v>
      </c>
      <c r="I209" s="40">
        <f>data!I247-data!I209</f>
        <v>0</v>
      </c>
      <c r="J209" s="40">
        <f>data!J247-data!J209</f>
        <v>0</v>
      </c>
      <c r="K209" s="40">
        <f>data!K247-data!K209</f>
        <v>0.51521265094658641</v>
      </c>
      <c r="L209" s="40">
        <f>data!L247-data!L209</f>
        <v>0.51688018039387185</v>
      </c>
      <c r="M209" s="40">
        <f>data!M247-data!M209</f>
        <v>0.22400550041155931</v>
      </c>
      <c r="N209" s="40">
        <f>data!N247-data!N209</f>
        <v>0.22473051321472681</v>
      </c>
      <c r="O209" s="40">
        <f>data!O247-data!O209</f>
        <v>0.29120715053502666</v>
      </c>
      <c r="P209" s="40">
        <f>data!P247-data!P209</f>
        <v>0.29214966717914459</v>
      </c>
      <c r="Q209" s="40">
        <f>data!Q247-data!Q209</f>
        <v>-0.71681760131699002</v>
      </c>
      <c r="R209" s="40">
        <f>data!R247-data!R209</f>
        <v>-0.71913764228712573</v>
      </c>
      <c r="S209" s="40">
        <f>data!S247-data!S209</f>
        <v>-0.17920440032924745</v>
      </c>
      <c r="T209" s="40">
        <f>data!T247-data!T209</f>
        <v>-0.17978441057178163</v>
      </c>
      <c r="U209" s="40">
        <f>data!U247-data!U209</f>
        <v>-0.17920440032924756</v>
      </c>
      <c r="V209" s="40">
        <f>data!V247-data!V209</f>
        <v>-0.17978441057178152</v>
      </c>
      <c r="W209" s="40">
        <f>data!W247-data!W209</f>
        <v>0</v>
      </c>
      <c r="X209" s="40">
        <f>data!X247-data!X209</f>
        <v>0</v>
      </c>
      <c r="Y209" s="40">
        <f>data!Y247-data!Y209</f>
        <v>0</v>
      </c>
      <c r="Z209" s="40">
        <f>data!Z247-data!Z209</f>
        <v>0</v>
      </c>
      <c r="AA209" s="10">
        <v>253.92231856471</v>
      </c>
      <c r="AB209" s="11">
        <v>254.7441596875</v>
      </c>
    </row>
    <row r="210" spans="1:28" x14ac:dyDescent="0.35">
      <c r="A210" s="13" t="s">
        <v>45</v>
      </c>
      <c r="B210" s="21" t="s">
        <v>71</v>
      </c>
      <c r="C210" s="40">
        <f>data!C248-data!C210</f>
        <v>-5.7977118455204177</v>
      </c>
      <c r="D210" s="40">
        <f>data!D248-data!D210</f>
        <v>0.44295659642621987</v>
      </c>
      <c r="E210" s="40">
        <f>data!E248-data!E210</f>
        <v>-6.2406684419466352</v>
      </c>
      <c r="F210" s="40">
        <f>data!F248-data!F210</f>
        <v>0.14836664171607339</v>
      </c>
      <c r="G210" s="40">
        <f>data!G248-data!G210</f>
        <v>-5.9803169430171215</v>
      </c>
      <c r="H210" s="40">
        <f>data!H248-data!H210</f>
        <v>-2.7048380066699576</v>
      </c>
      <c r="I210" s="40">
        <f>data!I248-data!I210</f>
        <v>-3.2754789363471639</v>
      </c>
      <c r="J210" s="40">
        <f>data!J248-data!J210</f>
        <v>0</v>
      </c>
      <c r="K210" s="40">
        <f>data!K248-data!K210</f>
        <v>-2.843367489691051</v>
      </c>
      <c r="L210" s="40">
        <f>data!L248-data!L210</f>
        <v>-1.9226704819101332</v>
      </c>
      <c r="M210" s="40">
        <f>data!M248-data!M210</f>
        <v>0.21723887271073206</v>
      </c>
      <c r="N210" s="40">
        <f>data!N248-data!N210</f>
        <v>0.14689580914134326</v>
      </c>
      <c r="O210" s="40">
        <f>data!O248-data!O210</f>
        <v>-3.0606063624017832</v>
      </c>
      <c r="P210" s="40">
        <f>data!P248-data!P210</f>
        <v>-2.0695662910514763</v>
      </c>
      <c r="Q210" s="40">
        <f>data!Q248-data!Q210</f>
        <v>7.2763341271621207E-2</v>
      </c>
      <c r="R210" s="40">
        <f>data!R248-data!R210</f>
        <v>4.9202197371715828E-2</v>
      </c>
      <c r="S210" s="40">
        <f>data!S248-data!S210</f>
        <v>-2.9329223712561232</v>
      </c>
      <c r="T210" s="40">
        <f>data!T248-data!T210</f>
        <v>-1.9832270325214756</v>
      </c>
      <c r="U210" s="40">
        <f>data!U248-data!U210</f>
        <v>-1.3265316831826359</v>
      </c>
      <c r="V210" s="40">
        <f>data!V248-data!V210</f>
        <v>-0.89699390593051476</v>
      </c>
      <c r="W210" s="40">
        <f>data!W248-data!W210</f>
        <v>-1.6063906880734875</v>
      </c>
      <c r="X210" s="40">
        <f>data!X248-data!X210</f>
        <v>-1.0862331265909611</v>
      </c>
      <c r="Y210" s="40">
        <f>data!Y248-data!Y210</f>
        <v>0</v>
      </c>
      <c r="Z210" s="40">
        <f>data!Z248-data!Z210</f>
        <v>0</v>
      </c>
      <c r="AA210" s="10">
        <v>301.54474727050001</v>
      </c>
      <c r="AB210" s="11">
        <v>203.90300819506001</v>
      </c>
    </row>
    <row r="211" spans="1:28" x14ac:dyDescent="0.35">
      <c r="A211" s="13" t="s">
        <v>46</v>
      </c>
      <c r="B211" s="21" t="s">
        <v>71</v>
      </c>
      <c r="C211" s="40">
        <f>data!C249-data!C211</f>
        <v>0.19510445104624008</v>
      </c>
      <c r="D211" s="40">
        <f>data!D249-data!D211</f>
        <v>1.9965198850822666E-2</v>
      </c>
      <c r="E211" s="40">
        <f>data!E249-data!E211</f>
        <v>0.17513925219541737</v>
      </c>
      <c r="F211" s="40">
        <f>data!F249-data!F211</f>
        <v>7.5320270858253366E-2</v>
      </c>
      <c r="G211" s="40">
        <f>data!G249-data!G211</f>
        <v>-8.6448289280998403E-2</v>
      </c>
      <c r="H211" s="40">
        <f>data!H249-data!H211</f>
        <v>-8.862629246676515E-2</v>
      </c>
      <c r="I211" s="40">
        <f>data!I249-data!I211</f>
        <v>2.178003185766747E-3</v>
      </c>
      <c r="J211" s="40">
        <f>data!J249-data!J211</f>
        <v>0</v>
      </c>
      <c r="K211" s="40">
        <f>data!K249-data!K211</f>
        <v>0.94116957391091915</v>
      </c>
      <c r="L211" s="40">
        <f>data!L249-data!L211</f>
        <v>1.0231422192178616</v>
      </c>
      <c r="M211" s="40">
        <f>data!M249-data!M211</f>
        <v>9.6310656136810335E-2</v>
      </c>
      <c r="N211" s="40">
        <f>data!N249-data!N211</f>
        <v>0.10469898431233282</v>
      </c>
      <c r="O211" s="40">
        <f>data!O249-data!O211</f>
        <v>0.84485891777410949</v>
      </c>
      <c r="P211" s="40">
        <f>data!P249-data!P211</f>
        <v>0.91844323490552959</v>
      </c>
      <c r="Q211" s="40">
        <f>data!Q249-data!Q211</f>
        <v>0.3633394668874913</v>
      </c>
      <c r="R211" s="40">
        <f>data!R249-data!R211</f>
        <v>0.39498508960074769</v>
      </c>
      <c r="S211" s="40">
        <f>data!S249-data!S211</f>
        <v>-0.41702021225872654</v>
      </c>
      <c r="T211" s="40">
        <f>data!T249-data!T211</f>
        <v>-0.45334124397595565</v>
      </c>
      <c r="U211" s="40">
        <f>data!U249-data!U211</f>
        <v>-0.42752674001517887</v>
      </c>
      <c r="V211" s="40">
        <f>data!V249-data!V211</f>
        <v>-0.46476285430313802</v>
      </c>
      <c r="W211" s="40">
        <f>data!W249-data!W211</f>
        <v>1.0506527756452222E-2</v>
      </c>
      <c r="X211" s="40">
        <f>data!X249-data!X211</f>
        <v>1.1421610327182252E-2</v>
      </c>
      <c r="Y211" s="40">
        <f>data!Y249-data!Y211</f>
        <v>0</v>
      </c>
      <c r="Z211" s="40">
        <f>data!Z249-data!Z211</f>
        <v>0</v>
      </c>
      <c r="AA211" s="10">
        <v>19.06914282116</v>
      </c>
      <c r="AB211" s="11">
        <v>20.729999827290001</v>
      </c>
    </row>
    <row r="212" spans="1:28" x14ac:dyDescent="0.35">
      <c r="A212" s="13" t="s">
        <v>47</v>
      </c>
      <c r="B212" s="21" t="s">
        <v>71</v>
      </c>
      <c r="C212" s="40">
        <f>data!C250-data!C212</f>
        <v>6.0031425802042193</v>
      </c>
      <c r="D212" s="40">
        <f>data!D250-data!D212</f>
        <v>0.11412818593544127</v>
      </c>
      <c r="E212" s="40">
        <f>data!E250-data!E212</f>
        <v>5.8890143942687772</v>
      </c>
      <c r="F212" s="40">
        <f>data!F250-data!F212</f>
        <v>0.45651274374176465</v>
      </c>
      <c r="G212" s="40">
        <f>data!G250-data!G212</f>
        <v>-2.2825637187088237</v>
      </c>
      <c r="H212" s="40">
        <f>data!H250-data!H212</f>
        <v>-2.2825637187088246</v>
      </c>
      <c r="I212" s="40">
        <f>data!I250-data!I212</f>
        <v>0</v>
      </c>
      <c r="J212" s="40">
        <f>data!J250-data!J212</f>
        <v>0</v>
      </c>
      <c r="K212" s="40">
        <f>data!K250-data!K212</f>
        <v>1.6160652488387814</v>
      </c>
      <c r="L212" s="40">
        <f>data!L250-data!L212</f>
        <v>1.436533940332879</v>
      </c>
      <c r="M212" s="40">
        <f>data!M250-data!M212</f>
        <v>3.0723673932296469E-2</v>
      </c>
      <c r="N212" s="40">
        <f>data!N250-data!N212</f>
        <v>2.731053118503568E-2</v>
      </c>
      <c r="O212" s="40">
        <f>data!O250-data!O212</f>
        <v>1.5853415749064865</v>
      </c>
      <c r="P212" s="40">
        <f>data!P250-data!P212</f>
        <v>1.4092234091478435</v>
      </c>
      <c r="Q212" s="40">
        <f>data!Q250-data!Q212</f>
        <v>0.12289469572918466</v>
      </c>
      <c r="R212" s="40">
        <f>data!R250-data!R212</f>
        <v>0.10924212474014272</v>
      </c>
      <c r="S212" s="40">
        <f>data!S250-data!S212</f>
        <v>-0.6144734786459245</v>
      </c>
      <c r="T212" s="40">
        <f>data!T250-data!T212</f>
        <v>-0.5462106237007136</v>
      </c>
      <c r="U212" s="40">
        <f>data!U250-data!U212</f>
        <v>-0.6144734786459245</v>
      </c>
      <c r="V212" s="40">
        <f>data!V250-data!V212</f>
        <v>-0.5462106237007136</v>
      </c>
      <c r="W212" s="40">
        <f>data!W250-data!W212</f>
        <v>0</v>
      </c>
      <c r="X212" s="40">
        <f>data!X250-data!X212</f>
        <v>0</v>
      </c>
      <c r="Y212" s="40">
        <f>data!Y250-data!Y212</f>
        <v>0</v>
      </c>
      <c r="Z212" s="40">
        <f>data!Z250-data!Z212</f>
        <v>0</v>
      </c>
      <c r="AA212" s="10">
        <v>417.89075855828003</v>
      </c>
      <c r="AB212" s="11">
        <v>371.46659669328</v>
      </c>
    </row>
    <row r="213" spans="1:28" x14ac:dyDescent="0.35">
      <c r="A213" s="13" t="s">
        <v>48</v>
      </c>
      <c r="B213" s="21" t="s">
        <v>71</v>
      </c>
      <c r="C213" s="40">
        <f>data!C251-data!C213</f>
        <v>1.5</v>
      </c>
      <c r="D213" s="40">
        <f>data!D251-data!D213</f>
        <v>2.9000000000000004</v>
      </c>
      <c r="E213" s="40">
        <f>data!E251-data!E213</f>
        <v>-1.3999999999999986</v>
      </c>
      <c r="F213" s="40">
        <f>data!F251-data!F213</f>
        <v>0</v>
      </c>
      <c r="G213" s="40">
        <f>data!G251-data!G213</f>
        <v>-1.6999999999999993</v>
      </c>
      <c r="H213" s="40">
        <f>data!H251-data!H213</f>
        <v>-1.7000000000000002</v>
      </c>
      <c r="I213" s="40">
        <f>data!I251-data!I213</f>
        <v>0</v>
      </c>
      <c r="J213" s="40">
        <f>data!J251-data!J213</f>
        <v>0</v>
      </c>
      <c r="K213" s="40">
        <f>data!K251-data!K213</f>
        <v>0.4184564365396497</v>
      </c>
      <c r="L213" s="40">
        <f>data!L251-data!L213</f>
        <v>0.43808832247855101</v>
      </c>
      <c r="M213" s="40">
        <f>data!M251-data!M213</f>
        <v>0.80901577730998819</v>
      </c>
      <c r="N213" s="40">
        <f>data!N251-data!N213</f>
        <v>0.84697075679186451</v>
      </c>
      <c r="O213" s="40">
        <f>data!O251-data!O213</f>
        <v>-0.39055934077033783</v>
      </c>
      <c r="P213" s="40">
        <f>data!P251-data!P213</f>
        <v>-0.40888243431331261</v>
      </c>
      <c r="Q213" s="40">
        <f>data!Q251-data!Q213</f>
        <v>0</v>
      </c>
      <c r="R213" s="40">
        <f>data!R251-data!R213</f>
        <v>0</v>
      </c>
      <c r="S213" s="40">
        <f>data!S251-data!S213</f>
        <v>-0.47425062807826901</v>
      </c>
      <c r="T213" s="40">
        <f>data!T251-data!T213</f>
        <v>-0.49650009880902424</v>
      </c>
      <c r="U213" s="40">
        <f>data!U251-data!U213</f>
        <v>-0.4742506280782689</v>
      </c>
      <c r="V213" s="40">
        <f>data!V251-data!V213</f>
        <v>-0.4965000988090239</v>
      </c>
      <c r="W213" s="40">
        <f>data!W251-data!W213</f>
        <v>0</v>
      </c>
      <c r="X213" s="40">
        <f>data!X251-data!X213</f>
        <v>0</v>
      </c>
      <c r="Y213" s="40">
        <f>data!Y251-data!Y213</f>
        <v>0</v>
      </c>
      <c r="Z213" s="40">
        <f>data!Z251-data!Z213</f>
        <v>0</v>
      </c>
      <c r="AA213" s="10">
        <v>342.39670930134002</v>
      </c>
      <c r="AB213" s="11">
        <v>358.46025273358998</v>
      </c>
    </row>
    <row r="214" spans="1:28" x14ac:dyDescent="0.35">
      <c r="A214" s="15" t="s">
        <v>49</v>
      </c>
      <c r="B214" s="21" t="s">
        <v>71</v>
      </c>
      <c r="C214" s="40">
        <f>data!C252-data!C214</f>
        <v>0.63608896592116526</v>
      </c>
      <c r="D214" s="40">
        <f>data!D252-data!D214</f>
        <v>0</v>
      </c>
      <c r="E214" s="40">
        <f>data!E252-data!E214</f>
        <v>0.63608896592116526</v>
      </c>
      <c r="F214" s="40">
        <f>data!F252-data!F214</f>
        <v>0</v>
      </c>
      <c r="G214" s="40">
        <f>data!G252-data!G214</f>
        <v>-0.37597881601197791</v>
      </c>
      <c r="H214" s="40">
        <f>data!H252-data!H214</f>
        <v>-2.1798038880997683E-2</v>
      </c>
      <c r="I214" s="40">
        <f>data!I252-data!I214</f>
        <v>-0.3541807771309804</v>
      </c>
      <c r="J214" s="40">
        <f>data!J252-data!J214</f>
        <v>0</v>
      </c>
      <c r="K214" s="40">
        <f>data!K252-data!K214</f>
        <v>2.1090428744257412</v>
      </c>
      <c r="L214" s="40">
        <f>data!L252-data!L214</f>
        <v>1.1477070431122103</v>
      </c>
      <c r="M214" s="40">
        <f>data!M252-data!M214</f>
        <v>0</v>
      </c>
      <c r="N214" s="40">
        <f>data!N252-data!N214</f>
        <v>0</v>
      </c>
      <c r="O214" s="40">
        <f>data!O252-data!O214</f>
        <v>2.1090428744257403</v>
      </c>
      <c r="P214" s="40">
        <f>data!P252-data!P214</f>
        <v>1.1477070431122103</v>
      </c>
      <c r="Q214" s="40">
        <f>data!Q252-data!Q214</f>
        <v>0</v>
      </c>
      <c r="R214" s="40">
        <f>data!R252-data!R214</f>
        <v>0</v>
      </c>
      <c r="S214" s="40">
        <f>data!S252-data!S214</f>
        <v>-1.2466109071657199</v>
      </c>
      <c r="T214" s="40">
        <f>data!T252-data!T214</f>
        <v>-0.6783855062994717</v>
      </c>
      <c r="U214" s="40">
        <f>data!U252-data!U214</f>
        <v>-7.2274478950985488E-2</v>
      </c>
      <c r="V214" s="40">
        <f>data!V252-data!V214</f>
        <v>-3.9330603249067231E-2</v>
      </c>
      <c r="W214" s="40">
        <f>data!W252-data!W214</f>
        <v>-1.1743364282147346</v>
      </c>
      <c r="X214" s="40">
        <f>data!X252-data!X214</f>
        <v>-0.63905490305040458</v>
      </c>
      <c r="Y214" s="40">
        <f>data!Y252-data!Y214</f>
        <v>0</v>
      </c>
      <c r="Z214" s="40">
        <f>data!Z252-data!Z214</f>
        <v>0</v>
      </c>
      <c r="AA214" s="16">
        <v>55.422589739999999</v>
      </c>
      <c r="AB214" s="11">
        <v>30.160077523049999</v>
      </c>
    </row>
    <row r="215" spans="1:28" x14ac:dyDescent="0.35">
      <c r="A215" s="13" t="s">
        <v>50</v>
      </c>
      <c r="B215" s="21" t="s">
        <v>71</v>
      </c>
      <c r="C215" s="40">
        <f>data!C253-data!C215</f>
        <v>0.23779700000000048</v>
      </c>
      <c r="D215" s="40">
        <f>data!D253-data!D215</f>
        <v>1.3394000000000128E-2</v>
      </c>
      <c r="E215" s="40">
        <f>data!E253-data!E215</f>
        <v>0.22440300000000013</v>
      </c>
      <c r="F215" s="40">
        <f>data!F253-data!F215</f>
        <v>1.3800000000001589E-3</v>
      </c>
      <c r="G215" s="40">
        <f>data!G253-data!G215</f>
        <v>1.1412818593544038E-2</v>
      </c>
      <c r="H215" s="40">
        <f>data!H253-data!H215</f>
        <v>1.1412818593544094E-2</v>
      </c>
      <c r="I215" s="40">
        <f>data!I253-data!I215</f>
        <v>0</v>
      </c>
      <c r="J215" s="40">
        <f>data!J253-data!J215</f>
        <v>0</v>
      </c>
      <c r="K215" s="40">
        <f>data!K253-data!K215</f>
        <v>0.4931831961626596</v>
      </c>
      <c r="L215" s="40">
        <f>data!L253-data!L215</f>
        <v>0.24480812514120043</v>
      </c>
      <c r="M215" s="40">
        <f>data!M253-data!M215</f>
        <v>2.7778717685264187E-2</v>
      </c>
      <c r="N215" s="40">
        <f>data!N253-data!N215</f>
        <v>1.3788904099468313E-2</v>
      </c>
      <c r="O215" s="40">
        <f>data!O253-data!O215</f>
        <v>0.46540447847739674</v>
      </c>
      <c r="P215" s="40">
        <f>data!P253-data!P215</f>
        <v>0.23101922104173234</v>
      </c>
      <c r="Q215" s="40">
        <f>data!Q253-data!Q215</f>
        <v>2.8620748399039719E-3</v>
      </c>
      <c r="R215" s="40">
        <f>data!R253-data!R215</f>
        <v>1.4206874464139929E-3</v>
      </c>
      <c r="S215" s="40">
        <f>data!S253-data!S215</f>
        <v>2.3669812281856828E-2</v>
      </c>
      <c r="T215" s="40">
        <f>data!T253-data!T215</f>
        <v>1.1749310220322995E-2</v>
      </c>
      <c r="U215" s="40">
        <f>data!U253-data!U215</f>
        <v>2.3669812281856828E-2</v>
      </c>
      <c r="V215" s="40">
        <f>data!V253-data!V215</f>
        <v>1.1749310220323106E-2</v>
      </c>
      <c r="W215" s="40">
        <f>data!W253-data!W215</f>
        <v>0</v>
      </c>
      <c r="X215" s="40">
        <f>data!X253-data!X215</f>
        <v>0</v>
      </c>
      <c r="Y215" s="40">
        <f>data!Y253-data!Y215</f>
        <v>0</v>
      </c>
      <c r="Z215" s="40">
        <f>data!Z253-data!Z215</f>
        <v>0</v>
      </c>
      <c r="AA215" s="10">
        <v>97.136073348400004</v>
      </c>
      <c r="AB215" s="11">
        <v>48.216768505140003</v>
      </c>
    </row>
    <row r="216" spans="1:28" x14ac:dyDescent="0.35">
      <c r="A216" s="13" t="s">
        <v>51</v>
      </c>
      <c r="B216" s="21" t="s">
        <v>71</v>
      </c>
      <c r="C216" s="40">
        <f>data!C254-data!C216</f>
        <v>0</v>
      </c>
      <c r="D216" s="40">
        <f>data!D254-data!D216</f>
        <v>0</v>
      </c>
      <c r="E216" s="40">
        <f>data!E254-data!E216</f>
        <v>0</v>
      </c>
      <c r="F216" s="40">
        <f>data!F254-data!F216</f>
        <v>0</v>
      </c>
      <c r="G216" s="40">
        <f>data!G254-data!G216</f>
        <v>0</v>
      </c>
      <c r="H216" s="40">
        <f>data!H254-data!H216</f>
        <v>0</v>
      </c>
      <c r="I216" s="40">
        <f>data!I254-data!I216</f>
        <v>0</v>
      </c>
      <c r="J216" s="40">
        <f>data!J254-data!J216</f>
        <v>0</v>
      </c>
      <c r="K216" s="40">
        <f>data!K254-data!K216</f>
        <v>0</v>
      </c>
      <c r="L216" s="40">
        <f>data!L254-data!L216</f>
        <v>0</v>
      </c>
      <c r="M216" s="40">
        <f>data!M254-data!M216</f>
        <v>0</v>
      </c>
      <c r="N216" s="40">
        <f>data!N254-data!N216</f>
        <v>0</v>
      </c>
      <c r="O216" s="40">
        <f>data!O254-data!O216</f>
        <v>0</v>
      </c>
      <c r="P216" s="40">
        <f>data!P254-data!P216</f>
        <v>0</v>
      </c>
      <c r="Q216" s="40">
        <f>data!Q254-data!Q216</f>
        <v>0</v>
      </c>
      <c r="R216" s="40">
        <f>data!R254-data!R216</f>
        <v>0</v>
      </c>
      <c r="S216" s="40">
        <f>data!S254-data!S216</f>
        <v>0</v>
      </c>
      <c r="T216" s="40">
        <f>data!T254-data!T216</f>
        <v>0</v>
      </c>
      <c r="U216" s="40">
        <f>data!U254-data!U216</f>
        <v>0</v>
      </c>
      <c r="V216" s="40">
        <f>data!V254-data!V216</f>
        <v>0</v>
      </c>
      <c r="W216" s="40">
        <f>data!W254-data!W216</f>
        <v>0</v>
      </c>
      <c r="X216" s="40">
        <f>data!X254-data!X216</f>
        <v>0</v>
      </c>
      <c r="Y216" s="40">
        <f>data!Y254-data!Y216</f>
        <v>0</v>
      </c>
      <c r="Z216" s="40">
        <f>data!Z254-data!Z216</f>
        <v>0</v>
      </c>
      <c r="AA216" s="10">
        <v>66.343484468840003</v>
      </c>
      <c r="AB216" s="11">
        <v>66.557495896739994</v>
      </c>
    </row>
    <row r="217" spans="1:28" x14ac:dyDescent="0.35">
      <c r="A217" s="13" t="s">
        <v>52</v>
      </c>
      <c r="B217" s="21" t="s">
        <v>71</v>
      </c>
      <c r="C217" s="40">
        <f>data!C255-data!C217</f>
        <v>0</v>
      </c>
      <c r="D217" s="40">
        <f>data!D255-data!D217</f>
        <v>0</v>
      </c>
      <c r="E217" s="40">
        <f>data!E255-data!E217</f>
        <v>0</v>
      </c>
      <c r="F217" s="40">
        <f>data!F255-data!F217</f>
        <v>-1.2554100452898531</v>
      </c>
      <c r="G217" s="40">
        <f>data!G255-data!G217</f>
        <v>-34.466712152503256</v>
      </c>
      <c r="H217" s="40">
        <f>data!H255-data!H217</f>
        <v>0</v>
      </c>
      <c r="I217" s="40">
        <f>data!I255-data!I217</f>
        <v>-34.466712152503256</v>
      </c>
      <c r="J217" s="40">
        <f>data!J255-data!J217</f>
        <v>0</v>
      </c>
      <c r="K217" s="40">
        <f>data!K255-data!K217</f>
        <v>0</v>
      </c>
      <c r="L217" s="40">
        <f>data!L255-data!L217</f>
        <v>0</v>
      </c>
      <c r="M217" s="40">
        <f>data!M255-data!M217</f>
        <v>0</v>
      </c>
      <c r="N217" s="40">
        <f>data!N255-data!N217</f>
        <v>0</v>
      </c>
      <c r="O217" s="40">
        <f>data!O255-data!O217</f>
        <v>0</v>
      </c>
      <c r="P217" s="40">
        <f>data!P255-data!P217</f>
        <v>0</v>
      </c>
      <c r="Q217" s="40">
        <f>data!Q255-data!Q217</f>
        <v>-0.14940903361763991</v>
      </c>
      <c r="R217" s="40">
        <f>data!R255-data!R217</f>
        <v>-0.13463702333676997</v>
      </c>
      <c r="S217" s="40">
        <f>data!S255-data!S217</f>
        <v>-4.1019571047752059</v>
      </c>
      <c r="T217" s="40">
        <f>data!T255-data!T217</f>
        <v>-3.6963982770640547</v>
      </c>
      <c r="U217" s="40">
        <f>data!U255-data!U217</f>
        <v>0</v>
      </c>
      <c r="V217" s="40">
        <f>data!V255-data!V217</f>
        <v>0</v>
      </c>
      <c r="W217" s="40">
        <f>data!W255-data!W217</f>
        <v>-4.1019571047752059</v>
      </c>
      <c r="X217" s="40">
        <f>data!X255-data!X217</f>
        <v>-3.6963982770640547</v>
      </c>
      <c r="Y217" s="40">
        <f>data!Y255-data!Y217</f>
        <v>0</v>
      </c>
      <c r="Z217" s="40">
        <f>data!Z255-data!Z217</f>
        <v>0</v>
      </c>
      <c r="AA217" s="10">
        <v>932.44043441874999</v>
      </c>
      <c r="AB217" s="11">
        <v>840.25042856688003</v>
      </c>
    </row>
    <row r="218" spans="1:28" x14ac:dyDescent="0.35">
      <c r="A218" s="13" t="s">
        <v>53</v>
      </c>
      <c r="B218" s="21" t="s">
        <v>71</v>
      </c>
      <c r="C218" s="40">
        <f>data!C256-data!C218</f>
        <v>0</v>
      </c>
      <c r="D218" s="40">
        <f>data!D256-data!D218</f>
        <v>0</v>
      </c>
      <c r="E218" s="40">
        <f>data!E256-data!E218</f>
        <v>0</v>
      </c>
      <c r="F218" s="40">
        <f>data!F256-data!F218</f>
        <v>0</v>
      </c>
      <c r="G218" s="40">
        <f>data!G256-data!G218</f>
        <v>0.65002147584386361</v>
      </c>
      <c r="H218" s="40">
        <f>data!H256-data!H218</f>
        <v>0.39001288550631807</v>
      </c>
      <c r="I218" s="40">
        <f>data!I256-data!I218</f>
        <v>0.26000859033754531</v>
      </c>
      <c r="J218" s="40">
        <f>data!J256-data!J218</f>
        <v>0</v>
      </c>
      <c r="K218" s="40">
        <f>data!K256-data!K218</f>
        <v>0</v>
      </c>
      <c r="L218" s="40">
        <f>data!L256-data!L218</f>
        <v>0</v>
      </c>
      <c r="M218" s="40">
        <f>data!M256-data!M218</f>
        <v>0</v>
      </c>
      <c r="N218" s="40">
        <f>data!N256-data!N218</f>
        <v>0</v>
      </c>
      <c r="O218" s="40">
        <f>data!O256-data!O218</f>
        <v>0</v>
      </c>
      <c r="P218" s="40">
        <f>data!P256-data!P218</f>
        <v>0</v>
      </c>
      <c r="Q218" s="40">
        <f>data!Q256-data!Q218</f>
        <v>0</v>
      </c>
      <c r="R218" s="40">
        <f>data!R256-data!R218</f>
        <v>0</v>
      </c>
      <c r="S218" s="40">
        <f>data!S256-data!S218</f>
        <v>0.32030373440945104</v>
      </c>
      <c r="T218" s="40">
        <f>data!T256-data!T218</f>
        <v>0.33510786454283226</v>
      </c>
      <c r="U218" s="40">
        <f>data!U256-data!U218</f>
        <v>0.19218224064567058</v>
      </c>
      <c r="V218" s="40">
        <f>data!V256-data!V218</f>
        <v>0.20106471872569931</v>
      </c>
      <c r="W218" s="40">
        <f>data!W256-data!W218</f>
        <v>0.12812149376378013</v>
      </c>
      <c r="X218" s="40">
        <f>data!X256-data!X218</f>
        <v>0.13404314581713284</v>
      </c>
      <c r="Y218" s="40">
        <f>data!Y256-data!Y218</f>
        <v>0</v>
      </c>
      <c r="Z218" s="40">
        <f>data!Z256-data!Z218</f>
        <v>0</v>
      </c>
      <c r="AA218" s="10">
        <v>193.97380504054999</v>
      </c>
      <c r="AB218" s="11">
        <v>202.93908750153</v>
      </c>
    </row>
    <row r="219" spans="1:28" x14ac:dyDescent="0.35">
      <c r="A219" s="13" t="s">
        <v>54</v>
      </c>
      <c r="B219" s="21" t="s">
        <v>71</v>
      </c>
      <c r="C219" s="40">
        <f>data!C257-data!C219</f>
        <v>0</v>
      </c>
      <c r="D219" s="40">
        <f>data!D257-data!D219</f>
        <v>0</v>
      </c>
      <c r="E219" s="40">
        <f>data!E257-data!E219</f>
        <v>0</v>
      </c>
      <c r="F219" s="40">
        <f>data!F257-data!F219</f>
        <v>0</v>
      </c>
      <c r="G219" s="40">
        <f>data!G257-data!G219</f>
        <v>0</v>
      </c>
      <c r="H219" s="40">
        <f>data!H257-data!H219</f>
        <v>0</v>
      </c>
      <c r="I219" s="40">
        <f>data!I257-data!I219</f>
        <v>0</v>
      </c>
      <c r="J219" s="40">
        <f>data!J257-data!J219</f>
        <v>0</v>
      </c>
      <c r="K219" s="40">
        <f>data!K257-data!K219</f>
        <v>0</v>
      </c>
      <c r="L219" s="40">
        <f>data!L257-data!L219</f>
        <v>0</v>
      </c>
      <c r="M219" s="40">
        <f>data!M257-data!M219</f>
        <v>0</v>
      </c>
      <c r="N219" s="40">
        <f>data!N257-data!N219</f>
        <v>0</v>
      </c>
      <c r="O219" s="40">
        <f>data!O257-data!O219</f>
        <v>0</v>
      </c>
      <c r="P219" s="40">
        <f>data!P257-data!P219</f>
        <v>0</v>
      </c>
      <c r="Q219" s="40">
        <f>data!Q257-data!Q219</f>
        <v>0</v>
      </c>
      <c r="R219" s="40">
        <f>data!R257-data!R219</f>
        <v>0</v>
      </c>
      <c r="S219" s="40">
        <f>data!S257-data!S219</f>
        <v>0</v>
      </c>
      <c r="T219" s="40">
        <f>data!T257-data!T219</f>
        <v>0</v>
      </c>
      <c r="U219" s="40">
        <f>data!U257-data!U219</f>
        <v>0</v>
      </c>
      <c r="V219" s="40">
        <f>data!V257-data!V219</f>
        <v>0</v>
      </c>
      <c r="W219" s="40">
        <f>data!W257-data!W219</f>
        <v>0</v>
      </c>
      <c r="X219" s="40">
        <f>data!X257-data!X219</f>
        <v>0</v>
      </c>
      <c r="Y219" s="40">
        <f>data!Y257-data!Y219</f>
        <v>0</v>
      </c>
      <c r="Z219" s="40">
        <f>data!Z257-data!Z219</f>
        <v>0</v>
      </c>
      <c r="AA219" s="10">
        <v>330.45426768437</v>
      </c>
      <c r="AB219" s="11">
        <v>410.24933347112</v>
      </c>
    </row>
    <row r="220" spans="1:28" x14ac:dyDescent="0.35">
      <c r="A220" s="13" t="s">
        <v>55</v>
      </c>
      <c r="B220" s="21" t="s">
        <v>71</v>
      </c>
      <c r="C220" s="40">
        <f>data!C258-data!C220</f>
        <v>0.79889730154809158</v>
      </c>
      <c r="D220" s="40">
        <f>data!D258-data!D220</f>
        <v>0.34238455780632382</v>
      </c>
      <c r="E220" s="40">
        <f>data!E258-data!E220</f>
        <v>0.45651274374176687</v>
      </c>
      <c r="F220" s="40">
        <f>data!F258-data!F220</f>
        <v>0</v>
      </c>
      <c r="G220" s="40">
        <f>data!G258-data!G220</f>
        <v>0</v>
      </c>
      <c r="H220" s="40">
        <f>data!H258-data!H220</f>
        <v>0</v>
      </c>
      <c r="I220" s="40">
        <f>data!I258-data!I220</f>
        <v>0</v>
      </c>
      <c r="J220" s="40">
        <f>data!J258-data!J220</f>
        <v>0</v>
      </c>
      <c r="K220" s="40">
        <f>data!K258-data!K220</f>
        <v>0.35927718380528173</v>
      </c>
      <c r="L220" s="40">
        <f>data!L258-data!L220</f>
        <v>0.23413247781510638</v>
      </c>
      <c r="M220" s="40">
        <f>data!M258-data!M220</f>
        <v>0.15397593591654901</v>
      </c>
      <c r="N220" s="40">
        <f>data!N258-data!N220</f>
        <v>0.10034249049218802</v>
      </c>
      <c r="O220" s="40">
        <f>data!O258-data!O220</f>
        <v>0.20530124788873305</v>
      </c>
      <c r="P220" s="40">
        <f>data!P258-data!P220</f>
        <v>0.13378998732291825</v>
      </c>
      <c r="Q220" s="40">
        <f>data!Q258-data!Q220</f>
        <v>0</v>
      </c>
      <c r="R220" s="40">
        <f>data!R258-data!R220</f>
        <v>0</v>
      </c>
      <c r="S220" s="40">
        <f>data!S258-data!S220</f>
        <v>0</v>
      </c>
      <c r="T220" s="40">
        <f>data!T258-data!T220</f>
        <v>0</v>
      </c>
      <c r="U220" s="40">
        <f>data!U258-data!U220</f>
        <v>0</v>
      </c>
      <c r="V220" s="40">
        <f>data!V258-data!V220</f>
        <v>0</v>
      </c>
      <c r="W220" s="40">
        <f>data!W258-data!W220</f>
        <v>0</v>
      </c>
      <c r="X220" s="40">
        <f>data!X258-data!X220</f>
        <v>0</v>
      </c>
      <c r="Y220" s="40">
        <f>data!Y258-data!Y220</f>
        <v>0</v>
      </c>
      <c r="Z220" s="40">
        <f>data!Z258-data!Z220</f>
        <v>0</v>
      </c>
      <c r="AA220" s="10">
        <v>341.21592570296002</v>
      </c>
      <c r="AB220" s="11">
        <v>222.36238134761999</v>
      </c>
    </row>
    <row r="221" spans="1:28" x14ac:dyDescent="0.35">
      <c r="A221" s="13" t="s">
        <v>56</v>
      </c>
      <c r="B221" s="21" t="s">
        <v>71</v>
      </c>
      <c r="C221" s="40">
        <f>data!C259-data!C221</f>
        <v>1.6802751266758573</v>
      </c>
      <c r="D221" s="40">
        <f>data!D259-data!D221</f>
        <v>1.0192067280989021</v>
      </c>
      <c r="E221" s="40">
        <f>data!E259-data!E221</f>
        <v>0.66106839857695565</v>
      </c>
      <c r="F221" s="40">
        <f>data!F259-data!F221</f>
        <v>0</v>
      </c>
      <c r="G221" s="40">
        <f>data!G259-data!G221</f>
        <v>-2.7823680163275766</v>
      </c>
      <c r="H221" s="40">
        <f>data!H259-data!H221</f>
        <v>0</v>
      </c>
      <c r="I221" s="40">
        <f>data!I259-data!I221</f>
        <v>-2.7823680163275766</v>
      </c>
      <c r="J221" s="40">
        <f>data!J259-data!J221</f>
        <v>0</v>
      </c>
      <c r="K221" s="40">
        <f>data!K259-data!K221</f>
        <v>1.6889043949690112</v>
      </c>
      <c r="L221" s="40">
        <f>data!L259-data!L221</f>
        <v>0.92469264342358404</v>
      </c>
      <c r="M221" s="40">
        <f>data!M259-data!M221</f>
        <v>1.0244409948944544</v>
      </c>
      <c r="N221" s="40">
        <f>data!N259-data!N221</f>
        <v>0.56089205192566349</v>
      </c>
      <c r="O221" s="40">
        <f>data!O259-data!O221</f>
        <v>0.66446340007455706</v>
      </c>
      <c r="P221" s="40">
        <f>data!P259-data!P221</f>
        <v>0.36380059149792032</v>
      </c>
      <c r="Q221" s="40">
        <f>data!Q259-data!Q221</f>
        <v>0</v>
      </c>
      <c r="R221" s="40">
        <f>data!R259-data!R221</f>
        <v>0</v>
      </c>
      <c r="S221" s="40">
        <f>data!S259-data!S221</f>
        <v>-2.7966572239234044</v>
      </c>
      <c r="T221" s="40">
        <f>data!T259-data!T221</f>
        <v>-1.531198787120716</v>
      </c>
      <c r="U221" s="40">
        <f>data!U259-data!U221</f>
        <v>0</v>
      </c>
      <c r="V221" s="40">
        <f>data!V259-data!V221</f>
        <v>0</v>
      </c>
      <c r="W221" s="40">
        <f>data!W259-data!W221</f>
        <v>-2.7966572239234044</v>
      </c>
      <c r="X221" s="40">
        <f>data!X259-data!X221</f>
        <v>-1.531198787120716</v>
      </c>
      <c r="Y221" s="40">
        <f>data!Y259-data!Y221</f>
        <v>0</v>
      </c>
      <c r="Z221" s="40">
        <f>data!Z259-data!Z221</f>
        <v>0</v>
      </c>
      <c r="AA221" s="10">
        <v>181.71174374815001</v>
      </c>
      <c r="AB221" s="11">
        <v>99.489061173690004</v>
      </c>
    </row>
    <row r="222" spans="1:28" x14ac:dyDescent="0.35">
      <c r="A222" s="13" t="s">
        <v>57</v>
      </c>
      <c r="B222" s="21" t="s">
        <v>71</v>
      </c>
      <c r="C222" s="40">
        <f>data!C260-data!C222</f>
        <v>1.0209999999999999</v>
      </c>
      <c r="D222" s="40">
        <f>data!D260-data!D222</f>
        <v>-1.1999999999999955E-2</v>
      </c>
      <c r="E222" s="40">
        <f>data!E260-data!E222</f>
        <v>1.0329999999999995</v>
      </c>
      <c r="F222" s="40">
        <f>data!F260-data!F222</f>
        <v>0</v>
      </c>
      <c r="G222" s="40">
        <f>data!G260-data!G222</f>
        <v>0</v>
      </c>
      <c r="H222" s="40">
        <f>data!H260-data!H222</f>
        <v>0</v>
      </c>
      <c r="I222" s="40">
        <f>data!I260-data!I222</f>
        <v>0</v>
      </c>
      <c r="J222" s="40">
        <f>data!J260-data!J222</f>
        <v>0</v>
      </c>
      <c r="K222" s="40">
        <f>data!K260-data!K222</f>
        <v>2.0250713059145209</v>
      </c>
      <c r="L222" s="40">
        <f>data!L260-data!L222</f>
        <v>1.3427608723131517</v>
      </c>
      <c r="M222" s="40">
        <f>data!M260-data!M222</f>
        <v>-2.3801033957859152E-2</v>
      </c>
      <c r="N222" s="40">
        <f>data!N260-data!N222</f>
        <v>-1.5781714464013552E-2</v>
      </c>
      <c r="O222" s="40">
        <f>data!O260-data!O222</f>
        <v>2.0488723398723803</v>
      </c>
      <c r="P222" s="40">
        <f>data!P260-data!P222</f>
        <v>1.3585425867771646</v>
      </c>
      <c r="Q222" s="40">
        <f>data!Q260-data!Q222</f>
        <v>0</v>
      </c>
      <c r="R222" s="40">
        <f>data!R260-data!R222</f>
        <v>0</v>
      </c>
      <c r="S222" s="40">
        <f>data!S260-data!S222</f>
        <v>0</v>
      </c>
      <c r="T222" s="40">
        <f>data!T260-data!T222</f>
        <v>0</v>
      </c>
      <c r="U222" s="40">
        <f>data!U260-data!U222</f>
        <v>0</v>
      </c>
      <c r="V222" s="40">
        <f>data!V260-data!V222</f>
        <v>0</v>
      </c>
      <c r="W222" s="40">
        <f>data!W260-data!W222</f>
        <v>0</v>
      </c>
      <c r="X222" s="40">
        <f>data!X260-data!X222</f>
        <v>0</v>
      </c>
      <c r="Y222" s="40">
        <f>data!Y260-data!Y222</f>
        <v>0</v>
      </c>
      <c r="Z222" s="40">
        <f>data!Z260-data!Z222</f>
        <v>0</v>
      </c>
      <c r="AA222" s="10">
        <v>76.037366075549997</v>
      </c>
      <c r="AB222" s="11">
        <v>50.417977728389999</v>
      </c>
    </row>
    <row r="223" spans="1:28" x14ac:dyDescent="0.35">
      <c r="A223" s="13" t="s">
        <v>58</v>
      </c>
      <c r="B223" s="21" t="s">
        <v>71</v>
      </c>
      <c r="C223" s="40">
        <f>data!C261-data!C223</f>
        <v>0</v>
      </c>
      <c r="D223" s="40">
        <f>data!D261-data!D223</f>
        <v>0</v>
      </c>
      <c r="E223" s="40">
        <f>data!E261-data!E223</f>
        <v>0</v>
      </c>
      <c r="F223" s="40">
        <f>data!F261-data!F223</f>
        <v>0</v>
      </c>
      <c r="G223" s="40">
        <f>data!G261-data!G223</f>
        <v>0</v>
      </c>
      <c r="H223" s="40">
        <f>data!H261-data!H223</f>
        <v>0</v>
      </c>
      <c r="I223" s="40">
        <f>data!I261-data!I223</f>
        <v>0</v>
      </c>
      <c r="J223" s="40">
        <f>data!J261-data!J223</f>
        <v>0</v>
      </c>
      <c r="K223" s="40">
        <f>data!K261-data!K223</f>
        <v>0</v>
      </c>
      <c r="L223" s="40">
        <f>data!L261-data!L223</f>
        <v>0</v>
      </c>
      <c r="M223" s="40">
        <f>data!M261-data!M223</f>
        <v>0</v>
      </c>
      <c r="N223" s="40">
        <f>data!N261-data!N223</f>
        <v>0</v>
      </c>
      <c r="O223" s="40">
        <f>data!O261-data!O223</f>
        <v>0</v>
      </c>
      <c r="P223" s="40">
        <f>data!P261-data!P223</f>
        <v>0</v>
      </c>
      <c r="Q223" s="40">
        <f>data!Q261-data!Q223</f>
        <v>0</v>
      </c>
      <c r="R223" s="40">
        <f>data!R261-data!R223</f>
        <v>0</v>
      </c>
      <c r="S223" s="40">
        <f>data!S261-data!S223</f>
        <v>0</v>
      </c>
      <c r="T223" s="40">
        <f>data!T261-data!T223</f>
        <v>0</v>
      </c>
      <c r="U223" s="40">
        <f>data!U261-data!U223</f>
        <v>0</v>
      </c>
      <c r="V223" s="40">
        <f>data!V261-data!V223</f>
        <v>0</v>
      </c>
      <c r="W223" s="40">
        <f>data!W261-data!W223</f>
        <v>0</v>
      </c>
      <c r="X223" s="40">
        <f>data!X261-data!X223</f>
        <v>0</v>
      </c>
      <c r="Y223" s="40">
        <f>data!Y261-data!Y223</f>
        <v>0</v>
      </c>
      <c r="Z223" s="40">
        <f>data!Z261-data!Z223</f>
        <v>0</v>
      </c>
      <c r="AA223" s="10">
        <v>521.00449074291998</v>
      </c>
      <c r="AB223" s="11">
        <v>549.82128194673999</v>
      </c>
    </row>
    <row r="224" spans="1:28" x14ac:dyDescent="0.35">
      <c r="A224" s="13" t="s">
        <v>59</v>
      </c>
      <c r="B224" s="21" t="s">
        <v>71</v>
      </c>
      <c r="C224" s="40">
        <f>data!C262-data!C224</f>
        <v>1.2984084998357872</v>
      </c>
      <c r="D224" s="40">
        <f>data!D262-data!D224</f>
        <v>0.65080196341236274</v>
      </c>
      <c r="E224" s="40">
        <f>data!E262-data!E224</f>
        <v>0.64760653642342447</v>
      </c>
      <c r="F224" s="40">
        <f>data!F262-data!F224</f>
        <v>0</v>
      </c>
      <c r="G224" s="40">
        <f>data!G262-data!G224</f>
        <v>0.10651423296437912</v>
      </c>
      <c r="H224" s="40">
        <f>data!H262-data!H224</f>
        <v>0.10651423296438023</v>
      </c>
      <c r="I224" s="40">
        <f>data!I262-data!I224</f>
        <v>0</v>
      </c>
      <c r="J224" s="40">
        <f>data!J262-data!J224</f>
        <v>0</v>
      </c>
      <c r="K224" s="40">
        <f>data!K262-data!K224</f>
        <v>0.17379085773101099</v>
      </c>
      <c r="L224" s="40">
        <f>data!L262-data!L224</f>
        <v>0.21976595367667429</v>
      </c>
      <c r="M224" s="40">
        <f>data!M262-data!M224</f>
        <v>8.7109281438595421E-2</v>
      </c>
      <c r="N224" s="40">
        <f>data!N262-data!N224</f>
        <v>0.11015340254015582</v>
      </c>
      <c r="O224" s="40">
        <f>data!O262-data!O224</f>
        <v>8.668157629241513E-2</v>
      </c>
      <c r="P224" s="40">
        <f>data!P262-data!P224</f>
        <v>0.1096125511365198</v>
      </c>
      <c r="Q224" s="40">
        <f>data!Q262-data!Q224</f>
        <v>0</v>
      </c>
      <c r="R224" s="40">
        <f>data!R262-data!R224</f>
        <v>0</v>
      </c>
      <c r="S224" s="40">
        <f>data!S262-data!S224</f>
        <v>1.4256838205989553E-2</v>
      </c>
      <c r="T224" s="40">
        <f>data!T262-data!T224</f>
        <v>1.8028380121138277E-2</v>
      </c>
      <c r="U224" s="40">
        <f>data!U262-data!U224</f>
        <v>1.4256838205989442E-2</v>
      </c>
      <c r="V224" s="40">
        <f>data!V262-data!V224</f>
        <v>1.8028380121138443E-2</v>
      </c>
      <c r="W224" s="40">
        <f>data!W262-data!W224</f>
        <v>0</v>
      </c>
      <c r="X224" s="40">
        <f>data!X262-data!X224</f>
        <v>0</v>
      </c>
      <c r="Y224" s="40">
        <f>data!Y262-data!Y224</f>
        <v>0</v>
      </c>
      <c r="Z224" s="40">
        <f>data!Z262-data!Z224</f>
        <v>0</v>
      </c>
      <c r="AA224" s="10">
        <v>590.81421763174001</v>
      </c>
      <c r="AB224" s="11">
        <v>747.10978286638999</v>
      </c>
    </row>
    <row r="225" spans="1:28" x14ac:dyDescent="0.35">
      <c r="A225" s="6" t="s">
        <v>60</v>
      </c>
      <c r="B225" s="21" t="s">
        <v>71</v>
      </c>
      <c r="C225" s="40">
        <f>data!C263-data!C225</f>
        <v>-3.5745495208810496</v>
      </c>
      <c r="D225" s="40">
        <f>data!D263-data!D225</f>
        <v>0</v>
      </c>
      <c r="E225" s="40">
        <f>data!E263-data!E225</f>
        <v>-3.5745495208810496</v>
      </c>
      <c r="F225" s="40">
        <f>data!F263-data!F225</f>
        <v>0.75867952732961097</v>
      </c>
      <c r="G225" s="40">
        <f>data!G263-data!G225</f>
        <v>0</v>
      </c>
      <c r="H225" s="40">
        <f>data!H263-data!H225</f>
        <v>0</v>
      </c>
      <c r="I225" s="40">
        <f>data!I263-data!I225</f>
        <v>0</v>
      </c>
      <c r="J225" s="40">
        <f>data!J263-data!J225</f>
        <v>0</v>
      </c>
      <c r="K225" s="40">
        <f>data!K263-data!K225</f>
        <v>-1.3645430313480578</v>
      </c>
      <c r="L225" s="40">
        <f>data!L263-data!L225</f>
        <v>-0.81002520713302584</v>
      </c>
      <c r="M225" s="40">
        <f>data!M263-data!M225</f>
        <v>0</v>
      </c>
      <c r="N225" s="40">
        <f>data!N263-data!N225</f>
        <v>0</v>
      </c>
      <c r="O225" s="40">
        <f>data!O263-data!O225</f>
        <v>-1.3645430313480578</v>
      </c>
      <c r="P225" s="40">
        <f>data!P263-data!P225</f>
        <v>-0.81002520713302673</v>
      </c>
      <c r="Q225" s="40">
        <f>data!Q263-data!Q225</f>
        <v>0.28961715483211226</v>
      </c>
      <c r="R225" s="40">
        <f>data!R263-data!R225</f>
        <v>0.17192363336493433</v>
      </c>
      <c r="S225" s="40">
        <f>data!S263-data!S225</f>
        <v>0</v>
      </c>
      <c r="T225" s="40">
        <f>data!T263-data!T225</f>
        <v>0</v>
      </c>
      <c r="U225" s="40">
        <f>data!U263-data!U225</f>
        <v>0</v>
      </c>
      <c r="V225" s="40">
        <f>data!V263-data!V225</f>
        <v>0</v>
      </c>
      <c r="W225" s="40">
        <f>data!W263-data!W225</f>
        <v>0</v>
      </c>
      <c r="X225" s="40">
        <f>data!X263-data!X225</f>
        <v>0</v>
      </c>
      <c r="Y225" s="40">
        <f>data!Y263-data!Y225</f>
        <v>0</v>
      </c>
      <c r="Z225" s="40">
        <f>data!Z263-data!Z225</f>
        <v>0</v>
      </c>
      <c r="AA225" s="10">
        <v>441.28867711817003</v>
      </c>
      <c r="AB225" s="11">
        <v>261.95945739796002</v>
      </c>
    </row>
    <row r="226" spans="1:28" x14ac:dyDescent="0.35">
      <c r="A226" s="6" t="s">
        <v>61</v>
      </c>
      <c r="B226" s="21" t="s">
        <v>71</v>
      </c>
      <c r="C226" s="40">
        <f>data!C264-data!C226</f>
        <v>-0.24016619392314453</v>
      </c>
      <c r="D226" s="40">
        <f>data!D264-data!D226</f>
        <v>-1.2996592230339221E-2</v>
      </c>
      <c r="E226" s="40">
        <f>data!E264-data!E226</f>
        <v>-0.22716960169280576</v>
      </c>
      <c r="F226" s="40">
        <f>data!F264-data!F226</f>
        <v>0</v>
      </c>
      <c r="G226" s="40">
        <f>data!G264-data!G226</f>
        <v>-0.96472621076456377</v>
      </c>
      <c r="H226" s="40">
        <f>data!H264-data!H226</f>
        <v>-0.96472621076456377</v>
      </c>
      <c r="I226" s="40">
        <f>data!I264-data!I226</f>
        <v>0</v>
      </c>
      <c r="J226" s="40">
        <f>data!J264-data!J226</f>
        <v>0</v>
      </c>
      <c r="K226" s="40">
        <f>data!K264-data!K226</f>
        <v>-7.4723710140849775E-2</v>
      </c>
      <c r="L226" s="40">
        <f>data!L264-data!L226</f>
        <v>-3.4783045887894826E-2</v>
      </c>
      <c r="M226" s="40">
        <f>data!M264-data!M226</f>
        <v>-4.0436731530562042E-3</v>
      </c>
      <c r="N226" s="40">
        <f>data!N264-data!N226</f>
        <v>-1.8822843321520955E-3</v>
      </c>
      <c r="O226" s="40">
        <f>data!O264-data!O226</f>
        <v>-7.0680036987793571E-2</v>
      </c>
      <c r="P226" s="40">
        <f>data!P264-data!P226</f>
        <v>-3.2900761555742619E-2</v>
      </c>
      <c r="Q226" s="40">
        <f>data!Q264-data!Q226</f>
        <v>0</v>
      </c>
      <c r="R226" s="40">
        <f>data!R264-data!R226</f>
        <v>0</v>
      </c>
      <c r="S226" s="40">
        <f>data!S264-data!S226</f>
        <v>-0.3001584884237305</v>
      </c>
      <c r="T226" s="40">
        <f>data!T264-data!T226</f>
        <v>-0.13972039740537667</v>
      </c>
      <c r="U226" s="40">
        <f>data!U264-data!U226</f>
        <v>-0.30015848842373094</v>
      </c>
      <c r="V226" s="40">
        <f>data!V264-data!V226</f>
        <v>-0.13972039740537667</v>
      </c>
      <c r="W226" s="40">
        <f>data!W264-data!W226</f>
        <v>0</v>
      </c>
      <c r="X226" s="40">
        <f>data!X264-data!X226</f>
        <v>0</v>
      </c>
      <c r="Y226" s="40">
        <f>data!Y264-data!Y226</f>
        <v>0</v>
      </c>
      <c r="Z226" s="40">
        <f>data!Z264-data!Z226</f>
        <v>0</v>
      </c>
      <c r="AA226" s="10">
        <v>690.46912883131995</v>
      </c>
      <c r="AB226" s="11">
        <v>321.40560669490998</v>
      </c>
    </row>
    <row r="227" spans="1:28" x14ac:dyDescent="0.35">
      <c r="A227" s="6" t="s">
        <v>62</v>
      </c>
      <c r="B227" s="21" t="s">
        <v>71</v>
      </c>
      <c r="C227" s="40">
        <f>data!C265-data!C227</f>
        <v>0.14534662604214299</v>
      </c>
      <c r="D227" s="40">
        <f>data!D265-data!D227</f>
        <v>0</v>
      </c>
      <c r="E227" s="40">
        <f>data!E265-data!E227</f>
        <v>0.14534662604214299</v>
      </c>
      <c r="F227" s="40">
        <f>data!F265-data!F227</f>
        <v>0</v>
      </c>
      <c r="G227" s="40">
        <f>data!G265-data!G227</f>
        <v>0</v>
      </c>
      <c r="H227" s="40">
        <f>data!H265-data!H227</f>
        <v>0</v>
      </c>
      <c r="I227" s="40">
        <f>data!I265-data!I227</f>
        <v>0</v>
      </c>
      <c r="J227" s="40">
        <f>data!J265-data!J227</f>
        <v>0</v>
      </c>
      <c r="K227" s="40">
        <f>data!K265-data!K227</f>
        <v>0.22575488547941269</v>
      </c>
      <c r="L227" s="40">
        <f>data!L265-data!L227</f>
        <v>0.15931280210150378</v>
      </c>
      <c r="M227" s="40">
        <f>data!M265-data!M227</f>
        <v>0</v>
      </c>
      <c r="N227" s="40">
        <f>data!N265-data!N227</f>
        <v>0</v>
      </c>
      <c r="O227" s="40">
        <f>data!O265-data!O227</f>
        <v>0.22575488547941247</v>
      </c>
      <c r="P227" s="40">
        <f>data!P265-data!P227</f>
        <v>0.15931280210150367</v>
      </c>
      <c r="Q227" s="40">
        <f>data!Q265-data!Q227</f>
        <v>0</v>
      </c>
      <c r="R227" s="40">
        <f>data!R265-data!R227</f>
        <v>0</v>
      </c>
      <c r="S227" s="40">
        <f>data!S265-data!S227</f>
        <v>0</v>
      </c>
      <c r="T227" s="40">
        <f>data!T265-data!T227</f>
        <v>0</v>
      </c>
      <c r="U227" s="40">
        <f>data!U265-data!U227</f>
        <v>0</v>
      </c>
      <c r="V227" s="40">
        <f>data!V265-data!V227</f>
        <v>0</v>
      </c>
      <c r="W227" s="40">
        <f>data!W265-data!W227</f>
        <v>0</v>
      </c>
      <c r="X227" s="40">
        <f>data!X265-data!X227</f>
        <v>0</v>
      </c>
      <c r="Y227" s="40">
        <f>data!Y265-data!Y227</f>
        <v>0</v>
      </c>
      <c r="Z227" s="40">
        <f>data!Z265-data!Z227</f>
        <v>0</v>
      </c>
      <c r="AA227" s="10">
        <v>91.233487908610002</v>
      </c>
      <c r="AB227" s="11">
        <v>64.38249419652</v>
      </c>
    </row>
    <row r="228" spans="1:28" x14ac:dyDescent="0.35">
      <c r="A228" s="6" t="s">
        <v>63</v>
      </c>
      <c r="B228" s="21" t="s">
        <v>71</v>
      </c>
      <c r="C228" s="40">
        <f>data!C266-data!C228</f>
        <v>1.510862671673955</v>
      </c>
      <c r="D228" s="40">
        <f>data!D266-data!D228</f>
        <v>0.66420956936764153</v>
      </c>
      <c r="E228" s="40">
        <f>data!E266-data!E228</f>
        <v>0.84665310230631441</v>
      </c>
      <c r="F228" s="40">
        <f>data!F266-data!F228</f>
        <v>0</v>
      </c>
      <c r="G228" s="40">
        <f>data!G266-data!G228</f>
        <v>6.4232296886403972E-3</v>
      </c>
      <c r="H228" s="40">
        <f>data!H266-data!H228</f>
        <v>0</v>
      </c>
      <c r="I228" s="40">
        <f>data!I266-data!I228</f>
        <v>6.4232296886403972E-3</v>
      </c>
      <c r="J228" s="40">
        <f>data!J266-data!J228</f>
        <v>0</v>
      </c>
      <c r="K228" s="40">
        <f>data!K266-data!K228</f>
        <v>1.0251200504614815</v>
      </c>
      <c r="L228" s="40">
        <f>data!L266-data!L228</f>
        <v>0.48755094727856196</v>
      </c>
      <c r="M228" s="40">
        <f>data!M266-data!M228</f>
        <v>0.45066607312017215</v>
      </c>
      <c r="N228" s="40">
        <f>data!N266-data!N228</f>
        <v>0.21433847748577062</v>
      </c>
      <c r="O228" s="40">
        <f>data!O266-data!O228</f>
        <v>0.57445397734130843</v>
      </c>
      <c r="P228" s="40">
        <f>data!P266-data!P228</f>
        <v>0.27321246979279135</v>
      </c>
      <c r="Q228" s="40">
        <f>data!Q266-data!Q228</f>
        <v>0</v>
      </c>
      <c r="R228" s="40">
        <f>data!R266-data!R228</f>
        <v>0</v>
      </c>
      <c r="S228" s="40">
        <f>data!S266-data!S228</f>
        <v>4.3581601862259234E-3</v>
      </c>
      <c r="T228" s="40">
        <f>data!T266-data!T228</f>
        <v>2.0727573577650205E-3</v>
      </c>
      <c r="U228" s="40">
        <f>data!U266-data!U228</f>
        <v>0</v>
      </c>
      <c r="V228" s="40">
        <f>data!V266-data!V228</f>
        <v>0</v>
      </c>
      <c r="W228" s="40">
        <f>data!W266-data!W228</f>
        <v>4.3581601862259234E-3</v>
      </c>
      <c r="X228" s="40">
        <f>data!X266-data!X228</f>
        <v>2.0727573577650205E-3</v>
      </c>
      <c r="Y228" s="40">
        <f>data!Y266-data!Y228</f>
        <v>0</v>
      </c>
      <c r="Z228" s="40">
        <f>data!Z266-data!Z228</f>
        <v>0</v>
      </c>
      <c r="AA228" s="10">
        <v>309.88816247970999</v>
      </c>
      <c r="AB228" s="11">
        <v>147.38397429586999</v>
      </c>
    </row>
    <row r="229" spans="1:28" x14ac:dyDescent="0.35">
      <c r="A229" s="6" t="s">
        <v>64</v>
      </c>
      <c r="B229" s="21" t="s">
        <v>71</v>
      </c>
      <c r="C229" s="40">
        <f>data!C267-data!C229</f>
        <v>0</v>
      </c>
      <c r="D229" s="40">
        <f>data!D267-data!D229</f>
        <v>0</v>
      </c>
      <c r="E229" s="40">
        <f>data!E267-data!E229</f>
        <v>0</v>
      </c>
      <c r="F229" s="40">
        <f>data!F267-data!F229</f>
        <v>0</v>
      </c>
      <c r="G229" s="40">
        <f>data!G267-data!G229</f>
        <v>0</v>
      </c>
      <c r="H229" s="40">
        <f>data!H267-data!H229</f>
        <v>0</v>
      </c>
      <c r="I229" s="40">
        <f>data!I267-data!I229</f>
        <v>0</v>
      </c>
      <c r="J229" s="40">
        <f>data!J267-data!J229</f>
        <v>0</v>
      </c>
      <c r="K229" s="40">
        <f>data!K267-data!K229</f>
        <v>0</v>
      </c>
      <c r="L229" s="40">
        <f>data!L267-data!L229</f>
        <v>0</v>
      </c>
      <c r="M229" s="40">
        <f>data!M267-data!M229</f>
        <v>0</v>
      </c>
      <c r="N229" s="40">
        <f>data!N267-data!N229</f>
        <v>0</v>
      </c>
      <c r="O229" s="40">
        <f>data!O267-data!O229</f>
        <v>0</v>
      </c>
      <c r="P229" s="40">
        <f>data!P267-data!P229</f>
        <v>0</v>
      </c>
      <c r="Q229" s="40">
        <f>data!Q267-data!Q229</f>
        <v>0</v>
      </c>
      <c r="R229" s="40">
        <f>data!R267-data!R229</f>
        <v>0</v>
      </c>
      <c r="S229" s="40">
        <f>data!S267-data!S229</f>
        <v>0</v>
      </c>
      <c r="T229" s="40">
        <f>data!T267-data!T229</f>
        <v>0</v>
      </c>
      <c r="U229" s="40">
        <f>data!U267-data!U229</f>
        <v>0</v>
      </c>
      <c r="V229" s="40">
        <f>data!V267-data!V229</f>
        <v>0</v>
      </c>
      <c r="W229" s="40">
        <f>data!W267-data!W229</f>
        <v>0</v>
      </c>
      <c r="X229" s="40">
        <f>data!X267-data!X229</f>
        <v>0</v>
      </c>
      <c r="Y229" s="40">
        <f>data!Y267-data!Y229</f>
        <v>0</v>
      </c>
      <c r="Z229" s="40">
        <f>data!Z267-data!Z229</f>
        <v>0</v>
      </c>
      <c r="AA229" s="10">
        <v>1215.4228689920101</v>
      </c>
      <c r="AB229" s="11">
        <v>571.50311712429004</v>
      </c>
    </row>
  </sheetData>
  <phoneticPr fontId="9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FACF-BD32-4F85-AB47-DDD0777278D5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diff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2024-05-04T09:53:57Z</dcterms:created>
  <dcterms:modified xsi:type="dcterms:W3CDTF">2024-05-04T15:23:15Z</dcterms:modified>
</cp:coreProperties>
</file>