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4" documentId="8_{F0C39466-1855-47EB-9969-B3697F224208}" xr6:coauthVersionLast="47" xr6:coauthVersionMax="47" xr10:uidLastSave="{F6C2FF20-170B-4FDA-AF03-587C9AEA3F92}"/>
  <bookViews>
    <workbookView xWindow="-30480" yWindow="-21720" windowWidth="51840" windowHeight="21120" xr2:uid="{DA3A51C7-1210-4347-A2DA-490FE190593E}"/>
  </bookViews>
  <sheets>
    <sheet name="diff" sheetId="2" r:id="rId1"/>
    <sheet name="Tabelle1" sheetId="1" r:id="rId2"/>
  </sheets>
  <externalReferences>
    <externalReference r:id="rId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7" i="2" l="1"/>
  <c r="Z267" i="2" s="1"/>
  <c r="I267" i="2"/>
  <c r="X267" i="2" s="1"/>
  <c r="H267" i="2"/>
  <c r="F267" i="2"/>
  <c r="E267" i="2"/>
  <c r="D267" i="2"/>
  <c r="N267" i="2" s="1"/>
  <c r="J266" i="2"/>
  <c r="Z266" i="2" s="1"/>
  <c r="I266" i="2"/>
  <c r="X266" i="2" s="1"/>
  <c r="H266" i="2"/>
  <c r="V266" i="2" s="1"/>
  <c r="F266" i="2"/>
  <c r="E266" i="2"/>
  <c r="D266" i="2"/>
  <c r="N266" i="2" s="1"/>
  <c r="J265" i="2"/>
  <c r="Z265" i="2" s="1"/>
  <c r="I265" i="2"/>
  <c r="X265" i="2" s="1"/>
  <c r="H265" i="2"/>
  <c r="F265" i="2"/>
  <c r="E265" i="2"/>
  <c r="D265" i="2"/>
  <c r="J264" i="2"/>
  <c r="Z264" i="2" s="1"/>
  <c r="I264" i="2"/>
  <c r="X264" i="2" s="1"/>
  <c r="H264" i="2"/>
  <c r="F264" i="2"/>
  <c r="E264" i="2"/>
  <c r="D264" i="2"/>
  <c r="N264" i="2" s="1"/>
  <c r="J263" i="2"/>
  <c r="Z263" i="2" s="1"/>
  <c r="I263" i="2"/>
  <c r="X263" i="2" s="1"/>
  <c r="H263" i="2"/>
  <c r="V263" i="2" s="1"/>
  <c r="F263" i="2"/>
  <c r="E263" i="2"/>
  <c r="D263" i="2"/>
  <c r="J262" i="2"/>
  <c r="Z262" i="2" s="1"/>
  <c r="I262" i="2"/>
  <c r="X262" i="2" s="1"/>
  <c r="H262" i="2"/>
  <c r="U262" i="2" s="1"/>
  <c r="F262" i="2"/>
  <c r="E262" i="2"/>
  <c r="D262" i="2"/>
  <c r="J261" i="2"/>
  <c r="Z261" i="2" s="1"/>
  <c r="I261" i="2"/>
  <c r="X261" i="2" s="1"/>
  <c r="H261" i="2"/>
  <c r="F261" i="2"/>
  <c r="E261" i="2"/>
  <c r="D261" i="2"/>
  <c r="N261" i="2" s="1"/>
  <c r="J260" i="2"/>
  <c r="Z260" i="2" s="1"/>
  <c r="I260" i="2"/>
  <c r="X260" i="2" s="1"/>
  <c r="H260" i="2"/>
  <c r="F260" i="2"/>
  <c r="E260" i="2"/>
  <c r="D260" i="2"/>
  <c r="N260" i="2" s="1"/>
  <c r="J259" i="2"/>
  <c r="Z259" i="2" s="1"/>
  <c r="I259" i="2"/>
  <c r="X259" i="2" s="1"/>
  <c r="H259" i="2"/>
  <c r="F259" i="2"/>
  <c r="E259" i="2"/>
  <c r="D259" i="2"/>
  <c r="J258" i="2"/>
  <c r="Z258" i="2" s="1"/>
  <c r="I258" i="2"/>
  <c r="X258" i="2" s="1"/>
  <c r="H258" i="2"/>
  <c r="V258" i="2" s="1"/>
  <c r="T258" i="2" s="1"/>
  <c r="F258" i="2"/>
  <c r="E258" i="2"/>
  <c r="D258" i="2"/>
  <c r="J257" i="2"/>
  <c r="Z257" i="2" s="1"/>
  <c r="I257" i="2"/>
  <c r="X257" i="2" s="1"/>
  <c r="H257" i="2"/>
  <c r="F257" i="2"/>
  <c r="E257" i="2"/>
  <c r="D257" i="2"/>
  <c r="N257" i="2" s="1"/>
  <c r="J256" i="2"/>
  <c r="Z256" i="2" s="1"/>
  <c r="I256" i="2"/>
  <c r="X256" i="2" s="1"/>
  <c r="H256" i="2"/>
  <c r="F256" i="2"/>
  <c r="E256" i="2"/>
  <c r="D256" i="2"/>
  <c r="M256" i="2" s="1"/>
  <c r="J255" i="2"/>
  <c r="Z255" i="2" s="1"/>
  <c r="I255" i="2"/>
  <c r="X255" i="2" s="1"/>
  <c r="H255" i="2"/>
  <c r="V255" i="2" s="1"/>
  <c r="F255" i="2"/>
  <c r="E255" i="2"/>
  <c r="D255" i="2"/>
  <c r="N255" i="2" s="1"/>
  <c r="J254" i="2"/>
  <c r="Z254" i="2" s="1"/>
  <c r="I254" i="2"/>
  <c r="X254" i="2" s="1"/>
  <c r="H254" i="2"/>
  <c r="V254" i="2" s="1"/>
  <c r="F254" i="2"/>
  <c r="E254" i="2"/>
  <c r="D254" i="2"/>
  <c r="J253" i="2"/>
  <c r="Z253" i="2" s="1"/>
  <c r="I253" i="2"/>
  <c r="X253" i="2" s="1"/>
  <c r="H253" i="2"/>
  <c r="U253" i="2" s="1"/>
  <c r="F253" i="2"/>
  <c r="E253" i="2"/>
  <c r="D253" i="2"/>
  <c r="M253" i="2" s="1"/>
  <c r="J252" i="2"/>
  <c r="I252" i="2"/>
  <c r="X252" i="2" s="1"/>
  <c r="H252" i="2"/>
  <c r="F252" i="2"/>
  <c r="E252" i="2"/>
  <c r="D252" i="2"/>
  <c r="N252" i="2" s="1"/>
  <c r="J251" i="2"/>
  <c r="Z251" i="2" s="1"/>
  <c r="I251" i="2"/>
  <c r="X251" i="2" s="1"/>
  <c r="H251" i="2"/>
  <c r="F251" i="2"/>
  <c r="E251" i="2"/>
  <c r="D251" i="2"/>
  <c r="J250" i="2"/>
  <c r="Z250" i="2" s="1"/>
  <c r="I250" i="2"/>
  <c r="X250" i="2" s="1"/>
  <c r="H250" i="2"/>
  <c r="F250" i="2"/>
  <c r="E250" i="2"/>
  <c r="C250" i="2" s="1"/>
  <c r="D250" i="2"/>
  <c r="N250" i="2" s="1"/>
  <c r="J249" i="2"/>
  <c r="Z249" i="2" s="1"/>
  <c r="I249" i="2"/>
  <c r="X249" i="2" s="1"/>
  <c r="H249" i="2"/>
  <c r="V249" i="2" s="1"/>
  <c r="F249" i="2"/>
  <c r="E249" i="2"/>
  <c r="D249" i="2"/>
  <c r="N249" i="2" s="1"/>
  <c r="J248" i="2"/>
  <c r="Z248" i="2" s="1"/>
  <c r="I248" i="2"/>
  <c r="X248" i="2" s="1"/>
  <c r="H248" i="2"/>
  <c r="U248" i="2" s="1"/>
  <c r="F248" i="2"/>
  <c r="E248" i="2"/>
  <c r="D248" i="2"/>
  <c r="J247" i="2"/>
  <c r="I247" i="2"/>
  <c r="X247" i="2" s="1"/>
  <c r="H247" i="2"/>
  <c r="F247" i="2"/>
  <c r="E247" i="2"/>
  <c r="D247" i="2"/>
  <c r="M247" i="2" s="1"/>
  <c r="Y246" i="2"/>
  <c r="J246" i="2"/>
  <c r="Z246" i="2" s="1"/>
  <c r="I246" i="2"/>
  <c r="X246" i="2" s="1"/>
  <c r="H246" i="2"/>
  <c r="V246" i="2" s="1"/>
  <c r="F246" i="2"/>
  <c r="E246" i="2"/>
  <c r="D246" i="2"/>
  <c r="J245" i="2"/>
  <c r="Z245" i="2" s="1"/>
  <c r="I245" i="2"/>
  <c r="X245" i="2" s="1"/>
  <c r="H245" i="2"/>
  <c r="V245" i="2" s="1"/>
  <c r="F245" i="2"/>
  <c r="E245" i="2"/>
  <c r="D245" i="2"/>
  <c r="N245" i="2" s="1"/>
  <c r="J244" i="2"/>
  <c r="I244" i="2"/>
  <c r="X244" i="2" s="1"/>
  <c r="H244" i="2"/>
  <c r="U244" i="2" s="1"/>
  <c r="F244" i="2"/>
  <c r="E244" i="2"/>
  <c r="D244" i="2"/>
  <c r="U243" i="2"/>
  <c r="J243" i="2"/>
  <c r="Z243" i="2" s="1"/>
  <c r="I243" i="2"/>
  <c r="H243" i="2"/>
  <c r="V243" i="2" s="1"/>
  <c r="F243" i="2"/>
  <c r="E243" i="2"/>
  <c r="D243" i="2"/>
  <c r="J242" i="2"/>
  <c r="I242" i="2"/>
  <c r="H242" i="2"/>
  <c r="F242" i="2"/>
  <c r="E242" i="2"/>
  <c r="D242" i="2"/>
  <c r="J241" i="2"/>
  <c r="Z241" i="2" s="1"/>
  <c r="I241" i="2"/>
  <c r="H241" i="2"/>
  <c r="F241" i="2"/>
  <c r="E241" i="2"/>
  <c r="D241" i="2"/>
  <c r="J240" i="2"/>
  <c r="Z240" i="2" s="1"/>
  <c r="I240" i="2"/>
  <c r="H240" i="2"/>
  <c r="F240" i="2"/>
  <c r="R240" i="2" s="1"/>
  <c r="E240" i="2"/>
  <c r="D240" i="2"/>
  <c r="M240" i="2" s="1"/>
  <c r="J239" i="2"/>
  <c r="Z239" i="2" s="1"/>
  <c r="I239" i="2"/>
  <c r="W239" i="2" s="1"/>
  <c r="H239" i="2"/>
  <c r="V239" i="2" s="1"/>
  <c r="F239" i="2"/>
  <c r="E239" i="2"/>
  <c r="O239" i="2" s="1"/>
  <c r="D239" i="2"/>
  <c r="J238" i="2"/>
  <c r="Y238" i="2" s="1"/>
  <c r="I238" i="2"/>
  <c r="W238" i="2" s="1"/>
  <c r="H238" i="2"/>
  <c r="F238" i="2"/>
  <c r="R238" i="2" s="1"/>
  <c r="E238" i="2"/>
  <c r="D238" i="2"/>
  <c r="N238" i="2" s="1"/>
  <c r="J237" i="2"/>
  <c r="I237" i="2"/>
  <c r="H237" i="2"/>
  <c r="F237" i="2"/>
  <c r="E237" i="2"/>
  <c r="O237" i="2" s="1"/>
  <c r="D237" i="2"/>
  <c r="N237" i="2" s="1"/>
  <c r="J236" i="2"/>
  <c r="I236" i="2"/>
  <c r="H236" i="2"/>
  <c r="U236" i="2" s="1"/>
  <c r="F236" i="2"/>
  <c r="R236" i="2" s="1"/>
  <c r="E236" i="2"/>
  <c r="O236" i="2" s="1"/>
  <c r="D236" i="2"/>
  <c r="N236" i="2" s="1"/>
  <c r="J235" i="2"/>
  <c r="I235" i="2"/>
  <c r="W235" i="2" s="1"/>
  <c r="H235" i="2"/>
  <c r="U235" i="2" s="1"/>
  <c r="F235" i="2"/>
  <c r="Q235" i="2" s="1"/>
  <c r="E235" i="2"/>
  <c r="D235" i="2"/>
  <c r="N235" i="2" s="1"/>
  <c r="J234" i="2"/>
  <c r="Y234" i="2" s="1"/>
  <c r="I234" i="2"/>
  <c r="H234" i="2"/>
  <c r="F234" i="2"/>
  <c r="R234" i="2" s="1"/>
  <c r="E234" i="2"/>
  <c r="D234" i="2"/>
  <c r="N234" i="2" s="1"/>
  <c r="J233" i="2"/>
  <c r="I233" i="2"/>
  <c r="W233" i="2" s="1"/>
  <c r="H233" i="2"/>
  <c r="F233" i="2"/>
  <c r="Q233" i="2" s="1"/>
  <c r="E233" i="2"/>
  <c r="O233" i="2" s="1"/>
  <c r="D233" i="2"/>
  <c r="N233" i="2" s="1"/>
  <c r="J232" i="2"/>
  <c r="I232" i="2"/>
  <c r="H232" i="2"/>
  <c r="U232" i="2" s="1"/>
  <c r="F232" i="2"/>
  <c r="R232" i="2" s="1"/>
  <c r="E232" i="2"/>
  <c r="D232" i="2"/>
  <c r="N232" i="2" s="1"/>
  <c r="J231" i="2"/>
  <c r="I231" i="2"/>
  <c r="H231" i="2"/>
  <c r="U231" i="2" s="1"/>
  <c r="F231" i="2"/>
  <c r="R231" i="2" s="1"/>
  <c r="E231" i="2"/>
  <c r="O231" i="2" s="1"/>
  <c r="D231" i="2"/>
  <c r="N231" i="2" s="1"/>
  <c r="Q230" i="2"/>
  <c r="J230" i="2"/>
  <c r="I230" i="2"/>
  <c r="W230" i="2" s="1"/>
  <c r="H230" i="2"/>
  <c r="F230" i="2"/>
  <c r="R230" i="2" s="1"/>
  <c r="E230" i="2"/>
  <c r="D230" i="2"/>
  <c r="N230" i="2" s="1"/>
  <c r="J229" i="2"/>
  <c r="I229" i="2"/>
  <c r="H229" i="2"/>
  <c r="F229" i="2"/>
  <c r="E229" i="2"/>
  <c r="O229" i="2" s="1"/>
  <c r="D229" i="2"/>
  <c r="N229" i="2" s="1"/>
  <c r="J228" i="2"/>
  <c r="I228" i="2"/>
  <c r="H228" i="2"/>
  <c r="U228" i="2" s="1"/>
  <c r="F228" i="2"/>
  <c r="E228" i="2"/>
  <c r="O228" i="2" s="1"/>
  <c r="D228" i="2"/>
  <c r="N228" i="2" s="1"/>
  <c r="J227" i="2"/>
  <c r="Y227" i="2" s="1"/>
  <c r="I227" i="2"/>
  <c r="W227" i="2" s="1"/>
  <c r="H227" i="2"/>
  <c r="U227" i="2" s="1"/>
  <c r="F227" i="2"/>
  <c r="R227" i="2" s="1"/>
  <c r="E227" i="2"/>
  <c r="D227" i="2"/>
  <c r="N227" i="2" s="1"/>
  <c r="J226" i="2"/>
  <c r="Y226" i="2" s="1"/>
  <c r="I226" i="2"/>
  <c r="H226" i="2"/>
  <c r="F226" i="2"/>
  <c r="E226" i="2"/>
  <c r="D226" i="2"/>
  <c r="N226" i="2" s="1"/>
  <c r="J225" i="2"/>
  <c r="I225" i="2"/>
  <c r="W225" i="2" s="1"/>
  <c r="H225" i="2"/>
  <c r="F225" i="2"/>
  <c r="R225" i="2" s="1"/>
  <c r="E225" i="2"/>
  <c r="O225" i="2" s="1"/>
  <c r="D225" i="2"/>
  <c r="N225" i="2" s="1"/>
  <c r="J224" i="2"/>
  <c r="I224" i="2"/>
  <c r="W224" i="2" s="1"/>
  <c r="H224" i="2"/>
  <c r="U224" i="2" s="1"/>
  <c r="F224" i="2"/>
  <c r="Q224" i="2" s="1"/>
  <c r="E224" i="2"/>
  <c r="O224" i="2" s="1"/>
  <c r="D224" i="2"/>
  <c r="N224" i="2" s="1"/>
  <c r="J223" i="2"/>
  <c r="Y223" i="2" s="1"/>
  <c r="I223" i="2"/>
  <c r="W223" i="2" s="1"/>
  <c r="H223" i="2"/>
  <c r="U223" i="2" s="1"/>
  <c r="F223" i="2"/>
  <c r="E223" i="2"/>
  <c r="O223" i="2" s="1"/>
  <c r="D223" i="2"/>
  <c r="N223" i="2" s="1"/>
  <c r="J222" i="2"/>
  <c r="I222" i="2"/>
  <c r="W222" i="2" s="1"/>
  <c r="H222" i="2"/>
  <c r="F222" i="2"/>
  <c r="Q222" i="2" s="1"/>
  <c r="E222" i="2"/>
  <c r="D222" i="2"/>
  <c r="N222" i="2" s="1"/>
  <c r="J221" i="2"/>
  <c r="I221" i="2"/>
  <c r="W221" i="2" s="1"/>
  <c r="H221" i="2"/>
  <c r="F221" i="2"/>
  <c r="R221" i="2" s="1"/>
  <c r="E221" i="2"/>
  <c r="O221" i="2" s="1"/>
  <c r="D221" i="2"/>
  <c r="N221" i="2" s="1"/>
  <c r="J220" i="2"/>
  <c r="I220" i="2"/>
  <c r="W220" i="2" s="1"/>
  <c r="H220" i="2"/>
  <c r="U220" i="2" s="1"/>
  <c r="F220" i="2"/>
  <c r="E220" i="2"/>
  <c r="O220" i="2" s="1"/>
  <c r="D220" i="2"/>
  <c r="J219" i="2"/>
  <c r="I219" i="2"/>
  <c r="W219" i="2" s="1"/>
  <c r="H219" i="2"/>
  <c r="U219" i="2" s="1"/>
  <c r="F219" i="2"/>
  <c r="R219" i="2" s="1"/>
  <c r="E219" i="2"/>
  <c r="O219" i="2" s="1"/>
  <c r="D219" i="2"/>
  <c r="N219" i="2" s="1"/>
  <c r="J218" i="2"/>
  <c r="Y218" i="2" s="1"/>
  <c r="I218" i="2"/>
  <c r="W218" i="2" s="1"/>
  <c r="H218" i="2"/>
  <c r="F218" i="2"/>
  <c r="E218" i="2"/>
  <c r="D218" i="2"/>
  <c r="N218" i="2" s="1"/>
  <c r="J217" i="2"/>
  <c r="I217" i="2"/>
  <c r="W217" i="2" s="1"/>
  <c r="H217" i="2"/>
  <c r="F217" i="2"/>
  <c r="Q217" i="2" s="1"/>
  <c r="E217" i="2"/>
  <c r="O217" i="2" s="1"/>
  <c r="D217" i="2"/>
  <c r="N217" i="2" s="1"/>
  <c r="J216" i="2"/>
  <c r="I216" i="2"/>
  <c r="H216" i="2"/>
  <c r="U216" i="2" s="1"/>
  <c r="F216" i="2"/>
  <c r="R216" i="2" s="1"/>
  <c r="E216" i="2"/>
  <c r="O216" i="2" s="1"/>
  <c r="D216" i="2"/>
  <c r="N216" i="2" s="1"/>
  <c r="J215" i="2"/>
  <c r="Y215" i="2" s="1"/>
  <c r="I215" i="2"/>
  <c r="W215" i="2" s="1"/>
  <c r="H215" i="2"/>
  <c r="U215" i="2" s="1"/>
  <c r="F215" i="2"/>
  <c r="Q215" i="2" s="1"/>
  <c r="E215" i="2"/>
  <c r="O215" i="2" s="1"/>
  <c r="D215" i="2"/>
  <c r="J214" i="2"/>
  <c r="Y214" i="2" s="1"/>
  <c r="I214" i="2"/>
  <c r="H214" i="2"/>
  <c r="F214" i="2"/>
  <c r="R214" i="2" s="1"/>
  <c r="E214" i="2"/>
  <c r="O214" i="2" s="1"/>
  <c r="D214" i="2"/>
  <c r="M214" i="2" s="1"/>
  <c r="J213" i="2"/>
  <c r="Y213" i="2" s="1"/>
  <c r="I213" i="2"/>
  <c r="W213" i="2" s="1"/>
  <c r="H213" i="2"/>
  <c r="F213" i="2"/>
  <c r="R213" i="2" s="1"/>
  <c r="E213" i="2"/>
  <c r="O213" i="2" s="1"/>
  <c r="D213" i="2"/>
  <c r="M213" i="2" s="1"/>
  <c r="J212" i="2"/>
  <c r="I212" i="2"/>
  <c r="W212" i="2" s="1"/>
  <c r="H212" i="2"/>
  <c r="U212" i="2" s="1"/>
  <c r="F212" i="2"/>
  <c r="Q212" i="2" s="1"/>
  <c r="E212" i="2"/>
  <c r="O212" i="2" s="1"/>
  <c r="D212" i="2"/>
  <c r="N212" i="2" s="1"/>
  <c r="J211" i="2"/>
  <c r="Z211" i="2" s="1"/>
  <c r="I211" i="2"/>
  <c r="W211" i="2" s="1"/>
  <c r="H211" i="2"/>
  <c r="U211" i="2" s="1"/>
  <c r="F211" i="2"/>
  <c r="R211" i="2" s="1"/>
  <c r="E211" i="2"/>
  <c r="O211" i="2" s="1"/>
  <c r="D211" i="2"/>
  <c r="N211" i="2" s="1"/>
  <c r="J210" i="2"/>
  <c r="Z210" i="2" s="1"/>
  <c r="I210" i="2"/>
  <c r="W210" i="2" s="1"/>
  <c r="H210" i="2"/>
  <c r="F210" i="2"/>
  <c r="R210" i="2" s="1"/>
  <c r="E210" i="2"/>
  <c r="O210" i="2" s="1"/>
  <c r="D210" i="2"/>
  <c r="M210" i="2" s="1"/>
  <c r="J209" i="2"/>
  <c r="Z209" i="2" s="1"/>
  <c r="I209" i="2"/>
  <c r="W209" i="2" s="1"/>
  <c r="H209" i="2"/>
  <c r="F209" i="2"/>
  <c r="Q209" i="2" s="1"/>
  <c r="E209" i="2"/>
  <c r="O209" i="2" s="1"/>
  <c r="D209" i="2"/>
  <c r="M209" i="2" s="1"/>
  <c r="J208" i="2"/>
  <c r="Z208" i="2" s="1"/>
  <c r="I208" i="2"/>
  <c r="H208" i="2"/>
  <c r="F208" i="2"/>
  <c r="E208" i="2"/>
  <c r="O208" i="2" s="1"/>
  <c r="D208" i="2"/>
  <c r="J207" i="2"/>
  <c r="I207" i="2"/>
  <c r="H207" i="2"/>
  <c r="U207" i="2" s="1"/>
  <c r="F207" i="2"/>
  <c r="Q207" i="2" s="1"/>
  <c r="E207" i="2"/>
  <c r="O207" i="2" s="1"/>
  <c r="D207" i="2"/>
  <c r="N207" i="2" s="1"/>
  <c r="J206" i="2"/>
  <c r="Y206" i="2" s="1"/>
  <c r="I206" i="2"/>
  <c r="X206" i="2" s="1"/>
  <c r="H206" i="2"/>
  <c r="V206" i="2" s="1"/>
  <c r="F206" i="2"/>
  <c r="E206" i="2"/>
  <c r="P206" i="2" s="1"/>
  <c r="D206" i="2"/>
  <c r="N206" i="2" s="1"/>
  <c r="J205" i="2"/>
  <c r="I205" i="2"/>
  <c r="X205" i="2" s="1"/>
  <c r="H205" i="2"/>
  <c r="F205" i="2"/>
  <c r="R205" i="2" s="1"/>
  <c r="E205" i="2"/>
  <c r="O205" i="2" s="1"/>
  <c r="D205" i="2"/>
  <c r="M205" i="2" s="1"/>
  <c r="J204" i="2"/>
  <c r="Y204" i="2" s="1"/>
  <c r="I204" i="2"/>
  <c r="X204" i="2" s="1"/>
  <c r="H204" i="2"/>
  <c r="F204" i="2"/>
  <c r="E204" i="2"/>
  <c r="P204" i="2" s="1"/>
  <c r="D204" i="2"/>
  <c r="N204" i="2" s="1"/>
  <c r="J203" i="2"/>
  <c r="Y203" i="2" s="1"/>
  <c r="I203" i="2"/>
  <c r="X203" i="2" s="1"/>
  <c r="H203" i="2"/>
  <c r="V203" i="2" s="1"/>
  <c r="F203" i="2"/>
  <c r="E203" i="2"/>
  <c r="D203" i="2"/>
  <c r="M203" i="2" s="1"/>
  <c r="J202" i="2"/>
  <c r="Y202" i="2" s="1"/>
  <c r="I202" i="2"/>
  <c r="X202" i="2" s="1"/>
  <c r="H202" i="2"/>
  <c r="V202" i="2" s="1"/>
  <c r="F202" i="2"/>
  <c r="E202" i="2"/>
  <c r="D202" i="2"/>
  <c r="M202" i="2" s="1"/>
  <c r="J201" i="2"/>
  <c r="Y201" i="2" s="1"/>
  <c r="I201" i="2"/>
  <c r="X201" i="2" s="1"/>
  <c r="H201" i="2"/>
  <c r="V201" i="2" s="1"/>
  <c r="F201" i="2"/>
  <c r="R201" i="2" s="1"/>
  <c r="E201" i="2"/>
  <c r="P201" i="2" s="1"/>
  <c r="D201" i="2"/>
  <c r="N201" i="2" s="1"/>
  <c r="J200" i="2"/>
  <c r="Y200" i="2" s="1"/>
  <c r="I200" i="2"/>
  <c r="H200" i="2"/>
  <c r="V200" i="2" s="1"/>
  <c r="F200" i="2"/>
  <c r="R200" i="2" s="1"/>
  <c r="E200" i="2"/>
  <c r="D200" i="2"/>
  <c r="N200" i="2" s="1"/>
  <c r="J199" i="2"/>
  <c r="Z199" i="2" s="1"/>
  <c r="I199" i="2"/>
  <c r="H199" i="2"/>
  <c r="F199" i="2"/>
  <c r="R199" i="2" s="1"/>
  <c r="E199" i="2"/>
  <c r="D199" i="2"/>
  <c r="N199" i="2" s="1"/>
  <c r="J198" i="2"/>
  <c r="I198" i="2"/>
  <c r="X198" i="2" s="1"/>
  <c r="H198" i="2"/>
  <c r="V198" i="2" s="1"/>
  <c r="F198" i="2"/>
  <c r="Q198" i="2" s="1"/>
  <c r="E198" i="2"/>
  <c r="D198" i="2"/>
  <c r="M198" i="2" s="1"/>
  <c r="J197" i="2"/>
  <c r="Y197" i="2" s="1"/>
  <c r="I197" i="2"/>
  <c r="W197" i="2" s="1"/>
  <c r="H197" i="2"/>
  <c r="F197" i="2"/>
  <c r="R197" i="2" s="1"/>
  <c r="E197" i="2"/>
  <c r="O197" i="2" s="1"/>
  <c r="D197" i="2"/>
  <c r="N197" i="2" s="1"/>
  <c r="J196" i="2"/>
  <c r="Z196" i="2" s="1"/>
  <c r="I196" i="2"/>
  <c r="X196" i="2" s="1"/>
  <c r="H196" i="2"/>
  <c r="F196" i="2"/>
  <c r="E196" i="2"/>
  <c r="D196" i="2"/>
  <c r="N196" i="2" s="1"/>
  <c r="J195" i="2"/>
  <c r="Z195" i="2" s="1"/>
  <c r="I195" i="2"/>
  <c r="H195" i="2"/>
  <c r="V195" i="2" s="1"/>
  <c r="F195" i="2"/>
  <c r="R195" i="2" s="1"/>
  <c r="E195" i="2"/>
  <c r="D195" i="2"/>
  <c r="M195" i="2" s="1"/>
  <c r="U194" i="2"/>
  <c r="J194" i="2"/>
  <c r="Y194" i="2" s="1"/>
  <c r="I194" i="2"/>
  <c r="X194" i="2" s="1"/>
  <c r="H194" i="2"/>
  <c r="V194" i="2" s="1"/>
  <c r="F194" i="2"/>
  <c r="E194" i="2"/>
  <c r="D194" i="2"/>
  <c r="N194" i="2" s="1"/>
  <c r="J193" i="2"/>
  <c r="Z193" i="2" s="1"/>
  <c r="I193" i="2"/>
  <c r="W193" i="2" s="1"/>
  <c r="H193" i="2"/>
  <c r="V193" i="2" s="1"/>
  <c r="F193" i="2"/>
  <c r="E193" i="2"/>
  <c r="P193" i="2" s="1"/>
  <c r="D193" i="2"/>
  <c r="N193" i="2" s="1"/>
  <c r="J192" i="2"/>
  <c r="Z192" i="2" s="1"/>
  <c r="I192" i="2"/>
  <c r="X192" i="2" s="1"/>
  <c r="H192" i="2"/>
  <c r="V192" i="2" s="1"/>
  <c r="F192" i="2"/>
  <c r="E192" i="2"/>
  <c r="P192" i="2" s="1"/>
  <c r="D192" i="2"/>
  <c r="N192" i="2" s="1"/>
  <c r="J191" i="2"/>
  <c r="Y191" i="2" s="1"/>
  <c r="I191" i="2"/>
  <c r="H191" i="2"/>
  <c r="F191" i="2"/>
  <c r="R191" i="2" s="1"/>
  <c r="E191" i="2"/>
  <c r="P191" i="2" s="1"/>
  <c r="D191" i="2"/>
  <c r="N191" i="2" s="1"/>
  <c r="J190" i="2"/>
  <c r="Y190" i="2" s="1"/>
  <c r="I190" i="2"/>
  <c r="X190" i="2" s="1"/>
  <c r="H190" i="2"/>
  <c r="V190" i="2" s="1"/>
  <c r="F190" i="2"/>
  <c r="R190" i="2" s="1"/>
  <c r="E190" i="2"/>
  <c r="P190" i="2" s="1"/>
  <c r="D190" i="2"/>
  <c r="J189" i="2"/>
  <c r="Z189" i="2" s="1"/>
  <c r="I189" i="2"/>
  <c r="W189" i="2" s="1"/>
  <c r="H189" i="2"/>
  <c r="V189" i="2" s="1"/>
  <c r="F189" i="2"/>
  <c r="R189" i="2" s="1"/>
  <c r="E189" i="2"/>
  <c r="P189" i="2" s="1"/>
  <c r="D189" i="2"/>
  <c r="J188" i="2"/>
  <c r="Y188" i="2" s="1"/>
  <c r="I188" i="2"/>
  <c r="H188" i="2"/>
  <c r="V188" i="2" s="1"/>
  <c r="F188" i="2"/>
  <c r="R188" i="2" s="1"/>
  <c r="E188" i="2"/>
  <c r="P188" i="2" s="1"/>
  <c r="D188" i="2"/>
  <c r="J187" i="2"/>
  <c r="Y187" i="2" s="1"/>
  <c r="I187" i="2"/>
  <c r="H187" i="2"/>
  <c r="F187" i="2"/>
  <c r="Q187" i="2" s="1"/>
  <c r="E187" i="2"/>
  <c r="P187" i="2" s="1"/>
  <c r="D187" i="2"/>
  <c r="N187" i="2" s="1"/>
  <c r="J186" i="2"/>
  <c r="Y186" i="2" s="1"/>
  <c r="I186" i="2"/>
  <c r="X186" i="2" s="1"/>
  <c r="H186" i="2"/>
  <c r="V186" i="2" s="1"/>
  <c r="F186" i="2"/>
  <c r="R186" i="2" s="1"/>
  <c r="E186" i="2"/>
  <c r="P186" i="2" s="1"/>
  <c r="D186" i="2"/>
  <c r="J185" i="2"/>
  <c r="Z185" i="2" s="1"/>
  <c r="I185" i="2"/>
  <c r="H185" i="2"/>
  <c r="V185" i="2" s="1"/>
  <c r="F185" i="2"/>
  <c r="R185" i="2" s="1"/>
  <c r="E185" i="2"/>
  <c r="P185" i="2" s="1"/>
  <c r="D185" i="2"/>
  <c r="J184" i="2"/>
  <c r="Y184" i="2" s="1"/>
  <c r="I184" i="2"/>
  <c r="X184" i="2" s="1"/>
  <c r="H184" i="2"/>
  <c r="V184" i="2" s="1"/>
  <c r="F184" i="2"/>
  <c r="R184" i="2" s="1"/>
  <c r="E184" i="2"/>
  <c r="P184" i="2" s="1"/>
  <c r="D184" i="2"/>
  <c r="N184" i="2" s="1"/>
  <c r="J183" i="2"/>
  <c r="Y183" i="2" s="1"/>
  <c r="I183" i="2"/>
  <c r="H183" i="2"/>
  <c r="V183" i="2" s="1"/>
  <c r="F183" i="2"/>
  <c r="Q183" i="2" s="1"/>
  <c r="E183" i="2"/>
  <c r="P183" i="2" s="1"/>
  <c r="D183" i="2"/>
  <c r="M183" i="2" s="1"/>
  <c r="J182" i="2"/>
  <c r="Y182" i="2" s="1"/>
  <c r="I182" i="2"/>
  <c r="H182" i="2"/>
  <c r="F182" i="2"/>
  <c r="R182" i="2" s="1"/>
  <c r="E182" i="2"/>
  <c r="P182" i="2" s="1"/>
  <c r="D182" i="2"/>
  <c r="M182" i="2" s="1"/>
  <c r="J181" i="2"/>
  <c r="I181" i="2"/>
  <c r="H181" i="2"/>
  <c r="V181" i="2" s="1"/>
  <c r="F181" i="2"/>
  <c r="R181" i="2" s="1"/>
  <c r="E181" i="2"/>
  <c r="P181" i="2" s="1"/>
  <c r="D181" i="2"/>
  <c r="N181" i="2" s="1"/>
  <c r="M180" i="2"/>
  <c r="J180" i="2"/>
  <c r="Y180" i="2" s="1"/>
  <c r="I180" i="2"/>
  <c r="H180" i="2"/>
  <c r="F180" i="2"/>
  <c r="Q180" i="2" s="1"/>
  <c r="E180" i="2"/>
  <c r="O180" i="2" s="1"/>
  <c r="D180" i="2"/>
  <c r="J179" i="2"/>
  <c r="Z179" i="2" s="1"/>
  <c r="I179" i="2"/>
  <c r="H179" i="2"/>
  <c r="F179" i="2"/>
  <c r="Q179" i="2" s="1"/>
  <c r="E179" i="2"/>
  <c r="P179" i="2" s="1"/>
  <c r="D179" i="2"/>
  <c r="N179" i="2" s="1"/>
  <c r="J178" i="2"/>
  <c r="Z178" i="2" s="1"/>
  <c r="I178" i="2"/>
  <c r="W178" i="2" s="1"/>
  <c r="H178" i="2"/>
  <c r="V178" i="2" s="1"/>
  <c r="F178" i="2"/>
  <c r="E178" i="2"/>
  <c r="O178" i="2" s="1"/>
  <c r="D178" i="2"/>
  <c r="M178" i="2" s="1"/>
  <c r="J177" i="2"/>
  <c r="Z177" i="2" s="1"/>
  <c r="I177" i="2"/>
  <c r="H177" i="2"/>
  <c r="V177" i="2" s="1"/>
  <c r="F177" i="2"/>
  <c r="E177" i="2"/>
  <c r="P177" i="2" s="1"/>
  <c r="D177" i="2"/>
  <c r="N177" i="2" s="1"/>
  <c r="J176" i="2"/>
  <c r="I176" i="2"/>
  <c r="X176" i="2" s="1"/>
  <c r="H176" i="2"/>
  <c r="U176" i="2" s="1"/>
  <c r="F176" i="2"/>
  <c r="R176" i="2" s="1"/>
  <c r="E176" i="2"/>
  <c r="O176" i="2" s="1"/>
  <c r="D176" i="2"/>
  <c r="M176" i="2" s="1"/>
  <c r="J175" i="2"/>
  <c r="I175" i="2"/>
  <c r="H175" i="2"/>
  <c r="V175" i="2" s="1"/>
  <c r="F175" i="2"/>
  <c r="R175" i="2" s="1"/>
  <c r="E175" i="2"/>
  <c r="P175" i="2" s="1"/>
  <c r="D175" i="2"/>
  <c r="N175" i="2" s="1"/>
  <c r="J174" i="2"/>
  <c r="I174" i="2"/>
  <c r="W174" i="2" s="1"/>
  <c r="H174" i="2"/>
  <c r="F174" i="2"/>
  <c r="Q174" i="2" s="1"/>
  <c r="E174" i="2"/>
  <c r="O174" i="2" s="1"/>
  <c r="D174" i="2"/>
  <c r="M174" i="2" s="1"/>
  <c r="J173" i="2"/>
  <c r="Z173" i="2" s="1"/>
  <c r="I173" i="2"/>
  <c r="W173" i="2" s="1"/>
  <c r="H173" i="2"/>
  <c r="V173" i="2" s="1"/>
  <c r="F173" i="2"/>
  <c r="R173" i="2" s="1"/>
  <c r="E173" i="2"/>
  <c r="P173" i="2" s="1"/>
  <c r="D173" i="2"/>
  <c r="N173" i="2" s="1"/>
  <c r="J172" i="2"/>
  <c r="I172" i="2"/>
  <c r="W172" i="2" s="1"/>
  <c r="H172" i="2"/>
  <c r="F172" i="2"/>
  <c r="Q172" i="2" s="1"/>
  <c r="E172" i="2"/>
  <c r="D172" i="2"/>
  <c r="J171" i="2"/>
  <c r="Z171" i="2" s="1"/>
  <c r="I171" i="2"/>
  <c r="H171" i="2"/>
  <c r="U171" i="2" s="1"/>
  <c r="F171" i="2"/>
  <c r="R171" i="2" s="1"/>
  <c r="E171" i="2"/>
  <c r="P171" i="2" s="1"/>
  <c r="D171" i="2"/>
  <c r="N171" i="2" s="1"/>
  <c r="J170" i="2"/>
  <c r="Z170" i="2" s="1"/>
  <c r="I170" i="2"/>
  <c r="X170" i="2" s="1"/>
  <c r="H170" i="2"/>
  <c r="V170" i="2" s="1"/>
  <c r="F170" i="2"/>
  <c r="E170" i="2"/>
  <c r="D170" i="2"/>
  <c r="N170" i="2" s="1"/>
  <c r="J169" i="2"/>
  <c r="Y169" i="2" s="1"/>
  <c r="I169" i="2"/>
  <c r="H169" i="2"/>
  <c r="U169" i="2" s="1"/>
  <c r="F169" i="2"/>
  <c r="R169" i="2" s="1"/>
  <c r="E169" i="2"/>
  <c r="P169" i="2" s="1"/>
  <c r="D169" i="2"/>
  <c r="N169" i="2" s="1"/>
  <c r="J168" i="2"/>
  <c r="Y168" i="2" s="1"/>
  <c r="I168" i="2"/>
  <c r="H168" i="2"/>
  <c r="F168" i="2"/>
  <c r="E168" i="2"/>
  <c r="P168" i="2" s="1"/>
  <c r="D168" i="2"/>
  <c r="N168" i="2" s="1"/>
  <c r="J167" i="2"/>
  <c r="Z167" i="2" s="1"/>
  <c r="I167" i="2"/>
  <c r="X167" i="2" s="1"/>
  <c r="H167" i="2"/>
  <c r="F167" i="2"/>
  <c r="E167" i="2"/>
  <c r="D167" i="2"/>
  <c r="M167" i="2" s="1"/>
  <c r="J166" i="2"/>
  <c r="Z166" i="2" s="1"/>
  <c r="I166" i="2"/>
  <c r="H166" i="2"/>
  <c r="U166" i="2" s="1"/>
  <c r="F166" i="2"/>
  <c r="E166" i="2"/>
  <c r="O166" i="2" s="1"/>
  <c r="D166" i="2"/>
  <c r="N166" i="2" s="1"/>
  <c r="J165" i="2"/>
  <c r="Z165" i="2" s="1"/>
  <c r="I165" i="2"/>
  <c r="X165" i="2" s="1"/>
  <c r="H165" i="2"/>
  <c r="F165" i="2"/>
  <c r="E165" i="2"/>
  <c r="D165" i="2"/>
  <c r="J164" i="2"/>
  <c r="Z164" i="2" s="1"/>
  <c r="I164" i="2"/>
  <c r="X164" i="2" s="1"/>
  <c r="H164" i="2"/>
  <c r="G164" i="2" s="1"/>
  <c r="F164" i="2"/>
  <c r="E164" i="2"/>
  <c r="D164" i="2"/>
  <c r="J163" i="2"/>
  <c r="I163" i="2"/>
  <c r="H163" i="2"/>
  <c r="F163" i="2"/>
  <c r="E163" i="2"/>
  <c r="O163" i="2" s="1"/>
  <c r="D163" i="2"/>
  <c r="N163" i="2" s="1"/>
  <c r="J162" i="2"/>
  <c r="Y162" i="2" s="1"/>
  <c r="I162" i="2"/>
  <c r="X162" i="2" s="1"/>
  <c r="H162" i="2"/>
  <c r="F162" i="2"/>
  <c r="Q162" i="2" s="1"/>
  <c r="E162" i="2"/>
  <c r="O162" i="2" s="1"/>
  <c r="D162" i="2"/>
  <c r="M162" i="2" s="1"/>
  <c r="K162" i="2" s="1"/>
  <c r="J161" i="2"/>
  <c r="Y161" i="2" s="1"/>
  <c r="I161" i="2"/>
  <c r="H161" i="2"/>
  <c r="F161" i="2"/>
  <c r="Q161" i="2" s="1"/>
  <c r="E161" i="2"/>
  <c r="O161" i="2" s="1"/>
  <c r="D161" i="2"/>
  <c r="C161" i="2" s="1"/>
  <c r="J160" i="2"/>
  <c r="Y160" i="2" s="1"/>
  <c r="I160" i="2"/>
  <c r="X160" i="2" s="1"/>
  <c r="H160" i="2"/>
  <c r="F160" i="2"/>
  <c r="E160" i="2"/>
  <c r="O160" i="2" s="1"/>
  <c r="D160" i="2"/>
  <c r="M160" i="2" s="1"/>
  <c r="J159" i="2"/>
  <c r="Z159" i="2" s="1"/>
  <c r="I159" i="2"/>
  <c r="X159" i="2" s="1"/>
  <c r="H159" i="2"/>
  <c r="F159" i="2"/>
  <c r="E159" i="2"/>
  <c r="D159" i="2"/>
  <c r="M159" i="2" s="1"/>
  <c r="J158" i="2"/>
  <c r="Z158" i="2" s="1"/>
  <c r="I158" i="2"/>
  <c r="H158" i="2"/>
  <c r="V158" i="2" s="1"/>
  <c r="F158" i="2"/>
  <c r="E158" i="2"/>
  <c r="O158" i="2" s="1"/>
  <c r="D158" i="2"/>
  <c r="M158" i="2" s="1"/>
  <c r="J157" i="2"/>
  <c r="Z157" i="2" s="1"/>
  <c r="I157" i="2"/>
  <c r="X157" i="2" s="1"/>
  <c r="H157" i="2"/>
  <c r="F157" i="2"/>
  <c r="E157" i="2"/>
  <c r="D157" i="2"/>
  <c r="M157" i="2" s="1"/>
  <c r="J156" i="2"/>
  <c r="Z156" i="2" s="1"/>
  <c r="I156" i="2"/>
  <c r="W156" i="2" s="1"/>
  <c r="H156" i="2"/>
  <c r="V156" i="2" s="1"/>
  <c r="F156" i="2"/>
  <c r="E156" i="2"/>
  <c r="P156" i="2" s="1"/>
  <c r="D156" i="2"/>
  <c r="M156" i="2" s="1"/>
  <c r="J155" i="2"/>
  <c r="Z155" i="2" s="1"/>
  <c r="I155" i="2"/>
  <c r="H155" i="2"/>
  <c r="F155" i="2"/>
  <c r="E155" i="2"/>
  <c r="D155" i="2"/>
  <c r="M155" i="2" s="1"/>
  <c r="J154" i="2"/>
  <c r="Z154" i="2" s="1"/>
  <c r="I154" i="2"/>
  <c r="W154" i="2" s="1"/>
  <c r="H154" i="2"/>
  <c r="V154" i="2" s="1"/>
  <c r="F154" i="2"/>
  <c r="E154" i="2"/>
  <c r="P154" i="2" s="1"/>
  <c r="D154" i="2"/>
  <c r="M154" i="2" s="1"/>
  <c r="J153" i="2"/>
  <c r="Z153" i="2" s="1"/>
  <c r="I153" i="2"/>
  <c r="W153" i="2" s="1"/>
  <c r="H153" i="2"/>
  <c r="V153" i="2" s="1"/>
  <c r="F153" i="2"/>
  <c r="E153" i="2"/>
  <c r="P153" i="2" s="1"/>
  <c r="D153" i="2"/>
  <c r="M153" i="2" s="1"/>
  <c r="J152" i="2"/>
  <c r="Z152" i="2" s="1"/>
  <c r="I152" i="2"/>
  <c r="H152" i="2"/>
  <c r="F152" i="2"/>
  <c r="E152" i="2"/>
  <c r="P152" i="2" s="1"/>
  <c r="D152" i="2"/>
  <c r="M152" i="2" s="1"/>
  <c r="J151" i="2"/>
  <c r="Z151" i="2" s="1"/>
  <c r="I151" i="2"/>
  <c r="W151" i="2" s="1"/>
  <c r="H151" i="2"/>
  <c r="V151" i="2" s="1"/>
  <c r="F151" i="2"/>
  <c r="E151" i="2"/>
  <c r="P151" i="2" s="1"/>
  <c r="D151" i="2"/>
  <c r="M151" i="2" s="1"/>
  <c r="J150" i="2"/>
  <c r="Z150" i="2" s="1"/>
  <c r="I150" i="2"/>
  <c r="W150" i="2" s="1"/>
  <c r="H150" i="2"/>
  <c r="V150" i="2" s="1"/>
  <c r="F150" i="2"/>
  <c r="E150" i="2"/>
  <c r="O150" i="2" s="1"/>
  <c r="D150" i="2"/>
  <c r="J149" i="2"/>
  <c r="Z149" i="2" s="1"/>
  <c r="I149" i="2"/>
  <c r="H149" i="2"/>
  <c r="F149" i="2"/>
  <c r="E149" i="2"/>
  <c r="P149" i="2" s="1"/>
  <c r="D149" i="2"/>
  <c r="M149" i="2" s="1"/>
  <c r="J148" i="2"/>
  <c r="Z148" i="2" s="1"/>
  <c r="I148" i="2"/>
  <c r="W148" i="2" s="1"/>
  <c r="H148" i="2"/>
  <c r="V148" i="2" s="1"/>
  <c r="F148" i="2"/>
  <c r="E148" i="2"/>
  <c r="D148" i="2"/>
  <c r="N148" i="2" s="1"/>
  <c r="J147" i="2"/>
  <c r="Z147" i="2" s="1"/>
  <c r="I147" i="2"/>
  <c r="W147" i="2" s="1"/>
  <c r="H147" i="2"/>
  <c r="F147" i="2"/>
  <c r="E147" i="2"/>
  <c r="O147" i="2" s="1"/>
  <c r="D147" i="2"/>
  <c r="N147" i="2" s="1"/>
  <c r="J146" i="2"/>
  <c r="Z146" i="2" s="1"/>
  <c r="I146" i="2"/>
  <c r="H146" i="2"/>
  <c r="V146" i="2" s="1"/>
  <c r="F146" i="2"/>
  <c r="E146" i="2"/>
  <c r="D146" i="2"/>
  <c r="N146" i="2" s="1"/>
  <c r="J145" i="2"/>
  <c r="Z145" i="2" s="1"/>
  <c r="I145" i="2"/>
  <c r="H145" i="2"/>
  <c r="F145" i="2"/>
  <c r="E145" i="2"/>
  <c r="D145" i="2"/>
  <c r="N145" i="2" s="1"/>
  <c r="J144" i="2"/>
  <c r="Z144" i="2" s="1"/>
  <c r="I144" i="2"/>
  <c r="H144" i="2"/>
  <c r="V144" i="2" s="1"/>
  <c r="F144" i="2"/>
  <c r="E144" i="2"/>
  <c r="O144" i="2" s="1"/>
  <c r="D144" i="2"/>
  <c r="N144" i="2" s="1"/>
  <c r="J143" i="2"/>
  <c r="Z143" i="2" s="1"/>
  <c r="I143" i="2"/>
  <c r="W143" i="2" s="1"/>
  <c r="H143" i="2"/>
  <c r="F143" i="2"/>
  <c r="E143" i="2"/>
  <c r="O143" i="2" s="1"/>
  <c r="D143" i="2"/>
  <c r="N143" i="2" s="1"/>
  <c r="J142" i="2"/>
  <c r="Z142" i="2" s="1"/>
  <c r="I142" i="2"/>
  <c r="H142" i="2"/>
  <c r="V142" i="2" s="1"/>
  <c r="F142" i="2"/>
  <c r="E142" i="2"/>
  <c r="O142" i="2" s="1"/>
  <c r="D142" i="2"/>
  <c r="N142" i="2" s="1"/>
  <c r="J141" i="2"/>
  <c r="I141" i="2"/>
  <c r="W141" i="2" s="1"/>
  <c r="H141" i="2"/>
  <c r="F141" i="2"/>
  <c r="R141" i="2" s="1"/>
  <c r="E141" i="2"/>
  <c r="O141" i="2" s="1"/>
  <c r="D141" i="2"/>
  <c r="N141" i="2" s="1"/>
  <c r="J140" i="2"/>
  <c r="Y140" i="2" s="1"/>
  <c r="I140" i="2"/>
  <c r="H140" i="2"/>
  <c r="F140" i="2"/>
  <c r="Q140" i="2" s="1"/>
  <c r="E140" i="2"/>
  <c r="O140" i="2" s="1"/>
  <c r="D140" i="2"/>
  <c r="J139" i="2"/>
  <c r="Z139" i="2" s="1"/>
  <c r="I139" i="2"/>
  <c r="W139" i="2" s="1"/>
  <c r="H139" i="2"/>
  <c r="F139" i="2"/>
  <c r="R139" i="2" s="1"/>
  <c r="E139" i="2"/>
  <c r="O139" i="2" s="1"/>
  <c r="D139" i="2"/>
  <c r="N139" i="2" s="1"/>
  <c r="J138" i="2"/>
  <c r="Z138" i="2" s="1"/>
  <c r="I138" i="2"/>
  <c r="H138" i="2"/>
  <c r="U138" i="2" s="1"/>
  <c r="F138" i="2"/>
  <c r="E138" i="2"/>
  <c r="O138" i="2" s="1"/>
  <c r="D138" i="2"/>
  <c r="C138" i="2" s="1"/>
  <c r="J137" i="2"/>
  <c r="I137" i="2"/>
  <c r="H137" i="2"/>
  <c r="F137" i="2"/>
  <c r="R137" i="2" s="1"/>
  <c r="E137" i="2"/>
  <c r="O137" i="2" s="1"/>
  <c r="D137" i="2"/>
  <c r="M137" i="2" s="1"/>
  <c r="J136" i="2"/>
  <c r="Z136" i="2" s="1"/>
  <c r="I136" i="2"/>
  <c r="W136" i="2" s="1"/>
  <c r="H136" i="2"/>
  <c r="F136" i="2"/>
  <c r="Q136" i="2" s="1"/>
  <c r="E136" i="2"/>
  <c r="O136" i="2" s="1"/>
  <c r="D136" i="2"/>
  <c r="N136" i="2" s="1"/>
  <c r="J135" i="2"/>
  <c r="Z135" i="2" s="1"/>
  <c r="I135" i="2"/>
  <c r="W135" i="2" s="1"/>
  <c r="H135" i="2"/>
  <c r="V135" i="2" s="1"/>
  <c r="F135" i="2"/>
  <c r="Q135" i="2" s="1"/>
  <c r="E135" i="2"/>
  <c r="D135" i="2"/>
  <c r="N135" i="2" s="1"/>
  <c r="J134" i="2"/>
  <c r="I134" i="2"/>
  <c r="X134" i="2" s="1"/>
  <c r="H134" i="2"/>
  <c r="F134" i="2"/>
  <c r="E134" i="2"/>
  <c r="P134" i="2" s="1"/>
  <c r="D134" i="2"/>
  <c r="J133" i="2"/>
  <c r="Z133" i="2" s="1"/>
  <c r="I133" i="2"/>
  <c r="X133" i="2" s="1"/>
  <c r="H133" i="2"/>
  <c r="U133" i="2" s="1"/>
  <c r="F133" i="2"/>
  <c r="E133" i="2"/>
  <c r="D133" i="2"/>
  <c r="J132" i="2"/>
  <c r="Z132" i="2" s="1"/>
  <c r="I132" i="2"/>
  <c r="X132" i="2" s="1"/>
  <c r="H132" i="2"/>
  <c r="F132" i="2"/>
  <c r="E132" i="2"/>
  <c r="D132" i="2"/>
  <c r="J131" i="2"/>
  <c r="I131" i="2"/>
  <c r="X131" i="2" s="1"/>
  <c r="H131" i="2"/>
  <c r="U131" i="2" s="1"/>
  <c r="F131" i="2"/>
  <c r="E131" i="2"/>
  <c r="D131" i="2"/>
  <c r="J130" i="2"/>
  <c r="Z130" i="2" s="1"/>
  <c r="I130" i="2"/>
  <c r="X130" i="2" s="1"/>
  <c r="H130" i="2"/>
  <c r="U130" i="2" s="1"/>
  <c r="F130" i="2"/>
  <c r="E130" i="2"/>
  <c r="D130" i="2"/>
  <c r="N130" i="2" s="1"/>
  <c r="J129" i="2"/>
  <c r="Z129" i="2" s="1"/>
  <c r="I129" i="2"/>
  <c r="X129" i="2" s="1"/>
  <c r="H129" i="2"/>
  <c r="U129" i="2" s="1"/>
  <c r="F129" i="2"/>
  <c r="E129" i="2"/>
  <c r="P129" i="2" s="1"/>
  <c r="D129" i="2"/>
  <c r="J128" i="2"/>
  <c r="Z128" i="2" s="1"/>
  <c r="I128" i="2"/>
  <c r="X128" i="2" s="1"/>
  <c r="H128" i="2"/>
  <c r="U128" i="2" s="1"/>
  <c r="F128" i="2"/>
  <c r="E128" i="2"/>
  <c r="P128" i="2" s="1"/>
  <c r="D128" i="2"/>
  <c r="N128" i="2" s="1"/>
  <c r="J127" i="2"/>
  <c r="I127" i="2"/>
  <c r="X127" i="2" s="1"/>
  <c r="H127" i="2"/>
  <c r="U127" i="2" s="1"/>
  <c r="F127" i="2"/>
  <c r="E127" i="2"/>
  <c r="P127" i="2" s="1"/>
  <c r="D127" i="2"/>
  <c r="N127" i="2" s="1"/>
  <c r="J126" i="2"/>
  <c r="I126" i="2"/>
  <c r="X126" i="2" s="1"/>
  <c r="H126" i="2"/>
  <c r="U126" i="2" s="1"/>
  <c r="F126" i="2"/>
  <c r="E126" i="2"/>
  <c r="D126" i="2"/>
  <c r="J125" i="2"/>
  <c r="I125" i="2"/>
  <c r="X125" i="2" s="1"/>
  <c r="H125" i="2"/>
  <c r="U125" i="2" s="1"/>
  <c r="F125" i="2"/>
  <c r="E125" i="2"/>
  <c r="P125" i="2" s="1"/>
  <c r="D125" i="2"/>
  <c r="N125" i="2" s="1"/>
  <c r="L125" i="2" s="1"/>
  <c r="J124" i="2"/>
  <c r="I124" i="2"/>
  <c r="X124" i="2" s="1"/>
  <c r="H124" i="2"/>
  <c r="F124" i="2"/>
  <c r="E124" i="2"/>
  <c r="P124" i="2" s="1"/>
  <c r="D124" i="2"/>
  <c r="J123" i="2"/>
  <c r="I123" i="2"/>
  <c r="X123" i="2" s="1"/>
  <c r="H123" i="2"/>
  <c r="U123" i="2" s="1"/>
  <c r="F123" i="2"/>
  <c r="E123" i="2"/>
  <c r="P123" i="2" s="1"/>
  <c r="D123" i="2"/>
  <c r="N123" i="2" s="1"/>
  <c r="J122" i="2"/>
  <c r="I122" i="2"/>
  <c r="H122" i="2"/>
  <c r="U122" i="2" s="1"/>
  <c r="F122" i="2"/>
  <c r="E122" i="2"/>
  <c r="P122" i="2" s="1"/>
  <c r="D122" i="2"/>
  <c r="N122" i="2" s="1"/>
  <c r="J121" i="2"/>
  <c r="Z121" i="2" s="1"/>
  <c r="I121" i="2"/>
  <c r="H121" i="2"/>
  <c r="F121" i="2"/>
  <c r="R121" i="2" s="1"/>
  <c r="E121" i="2"/>
  <c r="P121" i="2" s="1"/>
  <c r="D121" i="2"/>
  <c r="J120" i="2"/>
  <c r="Z120" i="2" s="1"/>
  <c r="I120" i="2"/>
  <c r="X120" i="2" s="1"/>
  <c r="H120" i="2"/>
  <c r="U120" i="2" s="1"/>
  <c r="F120" i="2"/>
  <c r="R120" i="2" s="1"/>
  <c r="E120" i="2"/>
  <c r="P120" i="2" s="1"/>
  <c r="D120" i="2"/>
  <c r="N120" i="2" s="1"/>
  <c r="J119" i="2"/>
  <c r="I119" i="2"/>
  <c r="H119" i="2"/>
  <c r="F119" i="2"/>
  <c r="E119" i="2"/>
  <c r="D119" i="2"/>
  <c r="J118" i="2"/>
  <c r="Y118" i="2" s="1"/>
  <c r="I118" i="2"/>
  <c r="H118" i="2"/>
  <c r="F118" i="2"/>
  <c r="E118" i="2"/>
  <c r="D118" i="2"/>
  <c r="M118" i="2" s="1"/>
  <c r="J117" i="2"/>
  <c r="Y117" i="2" s="1"/>
  <c r="I117" i="2"/>
  <c r="H117" i="2"/>
  <c r="U117" i="2" s="1"/>
  <c r="F117" i="2"/>
  <c r="R117" i="2" s="1"/>
  <c r="E117" i="2"/>
  <c r="P117" i="2" s="1"/>
  <c r="D117" i="2"/>
  <c r="J116" i="2"/>
  <c r="Y116" i="2" s="1"/>
  <c r="I116" i="2"/>
  <c r="W116" i="2" s="1"/>
  <c r="H116" i="2"/>
  <c r="F116" i="2"/>
  <c r="E116" i="2"/>
  <c r="P116" i="2" s="1"/>
  <c r="D116" i="2"/>
  <c r="N116" i="2" s="1"/>
  <c r="J115" i="2"/>
  <c r="Y115" i="2" s="1"/>
  <c r="I115" i="2"/>
  <c r="X115" i="2" s="1"/>
  <c r="H115" i="2"/>
  <c r="F115" i="2"/>
  <c r="E115" i="2"/>
  <c r="P115" i="2" s="1"/>
  <c r="D115" i="2"/>
  <c r="J114" i="2"/>
  <c r="Z114" i="2" s="1"/>
  <c r="I114" i="2"/>
  <c r="X114" i="2" s="1"/>
  <c r="H114" i="2"/>
  <c r="U114" i="2" s="1"/>
  <c r="F114" i="2"/>
  <c r="E114" i="2"/>
  <c r="P114" i="2" s="1"/>
  <c r="D114" i="2"/>
  <c r="J113" i="2"/>
  <c r="I113" i="2"/>
  <c r="X113" i="2" s="1"/>
  <c r="H113" i="2"/>
  <c r="F113" i="2"/>
  <c r="E113" i="2"/>
  <c r="P113" i="2" s="1"/>
  <c r="D113" i="2"/>
  <c r="N113" i="2" s="1"/>
  <c r="L113" i="2" s="1"/>
  <c r="J112" i="2"/>
  <c r="Z112" i="2" s="1"/>
  <c r="I112" i="2"/>
  <c r="X112" i="2" s="1"/>
  <c r="H112" i="2"/>
  <c r="U112" i="2" s="1"/>
  <c r="F112" i="2"/>
  <c r="E112" i="2"/>
  <c r="P112" i="2" s="1"/>
  <c r="D112" i="2"/>
  <c r="J111" i="2"/>
  <c r="I111" i="2"/>
  <c r="X111" i="2" s="1"/>
  <c r="H111" i="2"/>
  <c r="F111" i="2"/>
  <c r="E111" i="2"/>
  <c r="D111" i="2"/>
  <c r="J110" i="2"/>
  <c r="Z110" i="2" s="1"/>
  <c r="I110" i="2"/>
  <c r="X110" i="2" s="1"/>
  <c r="H110" i="2"/>
  <c r="G110" i="2" s="1"/>
  <c r="F110" i="2"/>
  <c r="E110" i="2"/>
  <c r="P110" i="2" s="1"/>
  <c r="D110" i="2"/>
  <c r="J109" i="2"/>
  <c r="I109" i="2"/>
  <c r="X109" i="2" s="1"/>
  <c r="H109" i="2"/>
  <c r="F109" i="2"/>
  <c r="E109" i="2"/>
  <c r="P109" i="2" s="1"/>
  <c r="D109" i="2"/>
  <c r="J108" i="2"/>
  <c r="I108" i="2"/>
  <c r="H108" i="2"/>
  <c r="U108" i="2" s="1"/>
  <c r="F108" i="2"/>
  <c r="E108" i="2"/>
  <c r="P108" i="2" s="1"/>
  <c r="D108" i="2"/>
  <c r="J107" i="2"/>
  <c r="I107" i="2"/>
  <c r="X107" i="2" s="1"/>
  <c r="H107" i="2"/>
  <c r="F107" i="2"/>
  <c r="E107" i="2"/>
  <c r="P107" i="2" s="1"/>
  <c r="D107" i="2"/>
  <c r="J106" i="2"/>
  <c r="Z106" i="2" s="1"/>
  <c r="I106" i="2"/>
  <c r="X106" i="2" s="1"/>
  <c r="H106" i="2"/>
  <c r="U106" i="2" s="1"/>
  <c r="F106" i="2"/>
  <c r="E106" i="2"/>
  <c r="P106" i="2" s="1"/>
  <c r="D106" i="2"/>
  <c r="J105" i="2"/>
  <c r="I105" i="2"/>
  <c r="X105" i="2" s="1"/>
  <c r="H105" i="2"/>
  <c r="F105" i="2"/>
  <c r="E105" i="2"/>
  <c r="P105" i="2" s="1"/>
  <c r="D105" i="2"/>
  <c r="J104" i="2"/>
  <c r="Z104" i="2" s="1"/>
  <c r="I104" i="2"/>
  <c r="X104" i="2" s="1"/>
  <c r="H104" i="2"/>
  <c r="U104" i="2" s="1"/>
  <c r="F104" i="2"/>
  <c r="E104" i="2"/>
  <c r="D104" i="2"/>
  <c r="J103" i="2"/>
  <c r="Z103" i="2" s="1"/>
  <c r="I103" i="2"/>
  <c r="X103" i="2" s="1"/>
  <c r="H103" i="2"/>
  <c r="U103" i="2" s="1"/>
  <c r="F103" i="2"/>
  <c r="E103" i="2"/>
  <c r="D103" i="2"/>
  <c r="J102" i="2"/>
  <c r="Z102" i="2" s="1"/>
  <c r="I102" i="2"/>
  <c r="X102" i="2" s="1"/>
  <c r="H102" i="2"/>
  <c r="U102" i="2" s="1"/>
  <c r="F102" i="2"/>
  <c r="E102" i="2"/>
  <c r="P102" i="2" s="1"/>
  <c r="D102" i="2"/>
  <c r="J101" i="2"/>
  <c r="Z101" i="2" s="1"/>
  <c r="I101" i="2"/>
  <c r="X101" i="2" s="1"/>
  <c r="H101" i="2"/>
  <c r="U101" i="2" s="1"/>
  <c r="F101" i="2"/>
  <c r="E101" i="2"/>
  <c r="P101" i="2" s="1"/>
  <c r="D101" i="2"/>
  <c r="J100" i="2"/>
  <c r="Z100" i="2" s="1"/>
  <c r="I100" i="2"/>
  <c r="X100" i="2" s="1"/>
  <c r="H100" i="2"/>
  <c r="U100" i="2" s="1"/>
  <c r="F100" i="2"/>
  <c r="E100" i="2"/>
  <c r="P100" i="2" s="1"/>
  <c r="D100" i="2"/>
  <c r="J99" i="2"/>
  <c r="Z99" i="2" s="1"/>
  <c r="I99" i="2"/>
  <c r="X99" i="2" s="1"/>
  <c r="H99" i="2"/>
  <c r="U99" i="2" s="1"/>
  <c r="F99" i="2"/>
  <c r="E99" i="2"/>
  <c r="D99" i="2"/>
  <c r="J98" i="2"/>
  <c r="Z98" i="2" s="1"/>
  <c r="I98" i="2"/>
  <c r="X98" i="2" s="1"/>
  <c r="H98" i="2"/>
  <c r="U98" i="2" s="1"/>
  <c r="F98" i="2"/>
  <c r="E98" i="2"/>
  <c r="P98" i="2" s="1"/>
  <c r="D98" i="2"/>
  <c r="J97" i="2"/>
  <c r="Z97" i="2" s="1"/>
  <c r="I97" i="2"/>
  <c r="X97" i="2" s="1"/>
  <c r="H97" i="2"/>
  <c r="U97" i="2" s="1"/>
  <c r="F97" i="2"/>
  <c r="E97" i="2"/>
  <c r="P97" i="2" s="1"/>
  <c r="D97" i="2"/>
  <c r="J96" i="2"/>
  <c r="Z96" i="2" s="1"/>
  <c r="I96" i="2"/>
  <c r="X96" i="2" s="1"/>
  <c r="H96" i="2"/>
  <c r="U96" i="2" s="1"/>
  <c r="F96" i="2"/>
  <c r="E96" i="2"/>
  <c r="P96" i="2" s="1"/>
  <c r="D96" i="2"/>
  <c r="J95" i="2"/>
  <c r="Z95" i="2" s="1"/>
  <c r="I95" i="2"/>
  <c r="X95" i="2" s="1"/>
  <c r="H95" i="2"/>
  <c r="U95" i="2" s="1"/>
  <c r="F95" i="2"/>
  <c r="E95" i="2"/>
  <c r="P95" i="2" s="1"/>
  <c r="D95" i="2"/>
  <c r="N95" i="2" s="1"/>
  <c r="J94" i="2"/>
  <c r="Z94" i="2" s="1"/>
  <c r="I94" i="2"/>
  <c r="X94" i="2" s="1"/>
  <c r="H94" i="2"/>
  <c r="F94" i="2"/>
  <c r="E94" i="2"/>
  <c r="P94" i="2" s="1"/>
  <c r="D94" i="2"/>
  <c r="J93" i="2"/>
  <c r="Z93" i="2" s="1"/>
  <c r="I93" i="2"/>
  <c r="H93" i="2"/>
  <c r="F93" i="2"/>
  <c r="E93" i="2"/>
  <c r="P93" i="2" s="1"/>
  <c r="D93" i="2"/>
  <c r="J92" i="2"/>
  <c r="Z92" i="2" s="1"/>
  <c r="I92" i="2"/>
  <c r="X92" i="2" s="1"/>
  <c r="H92" i="2"/>
  <c r="F92" i="2"/>
  <c r="E92" i="2"/>
  <c r="P92" i="2" s="1"/>
  <c r="D92" i="2"/>
  <c r="J91" i="2"/>
  <c r="Z91" i="2" s="1"/>
  <c r="I91" i="2"/>
  <c r="X91" i="2" s="1"/>
  <c r="H91" i="2"/>
  <c r="F91" i="2"/>
  <c r="E91" i="2"/>
  <c r="D91" i="2"/>
  <c r="J90" i="2"/>
  <c r="Z90" i="2" s="1"/>
  <c r="I90" i="2"/>
  <c r="X90" i="2" s="1"/>
  <c r="H90" i="2"/>
  <c r="U90" i="2" s="1"/>
  <c r="F90" i="2"/>
  <c r="E90" i="2"/>
  <c r="P90" i="2" s="1"/>
  <c r="D90" i="2"/>
  <c r="J89" i="2"/>
  <c r="Z89" i="2" s="1"/>
  <c r="I89" i="2"/>
  <c r="X89" i="2" s="1"/>
  <c r="H89" i="2"/>
  <c r="G89" i="2"/>
  <c r="F89" i="2"/>
  <c r="E89" i="2"/>
  <c r="D89" i="2"/>
  <c r="J88" i="2"/>
  <c r="Z88" i="2" s="1"/>
  <c r="I88" i="2"/>
  <c r="X88" i="2" s="1"/>
  <c r="H88" i="2"/>
  <c r="F88" i="2"/>
  <c r="E88" i="2"/>
  <c r="D88" i="2"/>
  <c r="N88" i="2" s="1"/>
  <c r="W87" i="2"/>
  <c r="J87" i="2"/>
  <c r="Z87" i="2" s="1"/>
  <c r="I87" i="2"/>
  <c r="X87" i="2" s="1"/>
  <c r="H87" i="2"/>
  <c r="U87" i="2" s="1"/>
  <c r="F87" i="2"/>
  <c r="E87" i="2"/>
  <c r="D87" i="2"/>
  <c r="J86" i="2"/>
  <c r="Z86" i="2" s="1"/>
  <c r="I86" i="2"/>
  <c r="X86" i="2" s="1"/>
  <c r="H86" i="2"/>
  <c r="U86" i="2" s="1"/>
  <c r="F86" i="2"/>
  <c r="E86" i="2"/>
  <c r="D86" i="2"/>
  <c r="J85" i="2"/>
  <c r="I85" i="2"/>
  <c r="H85" i="2"/>
  <c r="U85" i="2" s="1"/>
  <c r="F85" i="2"/>
  <c r="E85" i="2"/>
  <c r="D85" i="2"/>
  <c r="J84" i="2"/>
  <c r="Z84" i="2" s="1"/>
  <c r="I84" i="2"/>
  <c r="H84" i="2"/>
  <c r="U84" i="2" s="1"/>
  <c r="F84" i="2"/>
  <c r="R84" i="2" s="1"/>
  <c r="E84" i="2"/>
  <c r="P84" i="2" s="1"/>
  <c r="D84" i="2"/>
  <c r="N84" i="2" s="1"/>
  <c r="J83" i="2"/>
  <c r="Z83" i="2" s="1"/>
  <c r="I83" i="2"/>
  <c r="X83" i="2" s="1"/>
  <c r="H83" i="2"/>
  <c r="V83" i="2" s="1"/>
  <c r="F83" i="2"/>
  <c r="Q83" i="2" s="1"/>
  <c r="E83" i="2"/>
  <c r="D83" i="2"/>
  <c r="N83" i="2" s="1"/>
  <c r="J82" i="2"/>
  <c r="I82" i="2"/>
  <c r="H82" i="2"/>
  <c r="U82" i="2" s="1"/>
  <c r="F82" i="2"/>
  <c r="R82" i="2" s="1"/>
  <c r="E82" i="2"/>
  <c r="P82" i="2" s="1"/>
  <c r="D82" i="2"/>
  <c r="J81" i="2"/>
  <c r="I81" i="2"/>
  <c r="H81" i="2"/>
  <c r="V81" i="2" s="1"/>
  <c r="F81" i="2"/>
  <c r="Q81" i="2" s="1"/>
  <c r="E81" i="2"/>
  <c r="P81" i="2" s="1"/>
  <c r="D81" i="2"/>
  <c r="N81" i="2" s="1"/>
  <c r="J80" i="2"/>
  <c r="Y80" i="2" s="1"/>
  <c r="I80" i="2"/>
  <c r="W80" i="2" s="1"/>
  <c r="H80" i="2"/>
  <c r="V80" i="2" s="1"/>
  <c r="F80" i="2"/>
  <c r="Q80" i="2" s="1"/>
  <c r="E80" i="2"/>
  <c r="O80" i="2" s="1"/>
  <c r="D80" i="2"/>
  <c r="J79" i="2"/>
  <c r="Y79" i="2" s="1"/>
  <c r="I79" i="2"/>
  <c r="H79" i="2"/>
  <c r="F79" i="2"/>
  <c r="Q79" i="2" s="1"/>
  <c r="E79" i="2"/>
  <c r="P79" i="2" s="1"/>
  <c r="D79" i="2"/>
  <c r="N79" i="2" s="1"/>
  <c r="J78" i="2"/>
  <c r="Y78" i="2" s="1"/>
  <c r="I78" i="2"/>
  <c r="W78" i="2" s="1"/>
  <c r="H78" i="2"/>
  <c r="F78" i="2"/>
  <c r="R78" i="2" s="1"/>
  <c r="E78" i="2"/>
  <c r="D78" i="2"/>
  <c r="J77" i="2"/>
  <c r="Z77" i="2" s="1"/>
  <c r="I77" i="2"/>
  <c r="X77" i="2" s="1"/>
  <c r="H77" i="2"/>
  <c r="V77" i="2" s="1"/>
  <c r="F77" i="2"/>
  <c r="R77" i="2" s="1"/>
  <c r="E77" i="2"/>
  <c r="O77" i="2" s="1"/>
  <c r="D77" i="2"/>
  <c r="J76" i="2"/>
  <c r="Z76" i="2" s="1"/>
  <c r="I76" i="2"/>
  <c r="X76" i="2" s="1"/>
  <c r="H76" i="2"/>
  <c r="U76" i="2" s="1"/>
  <c r="F76" i="2"/>
  <c r="R76" i="2" s="1"/>
  <c r="E76" i="2"/>
  <c r="D76" i="2"/>
  <c r="M76" i="2" s="1"/>
  <c r="J75" i="2"/>
  <c r="Z75" i="2" s="1"/>
  <c r="I75" i="2"/>
  <c r="H75" i="2"/>
  <c r="F75" i="2"/>
  <c r="R75" i="2" s="1"/>
  <c r="E75" i="2"/>
  <c r="D75" i="2"/>
  <c r="M75" i="2" s="1"/>
  <c r="J74" i="2"/>
  <c r="Z74" i="2" s="1"/>
  <c r="I74" i="2"/>
  <c r="H74" i="2"/>
  <c r="F74" i="2"/>
  <c r="R74" i="2" s="1"/>
  <c r="E74" i="2"/>
  <c r="P74" i="2" s="1"/>
  <c r="D74" i="2"/>
  <c r="M74" i="2" s="1"/>
  <c r="J73" i="2"/>
  <c r="Z73" i="2" s="1"/>
  <c r="I73" i="2"/>
  <c r="W73" i="2" s="1"/>
  <c r="H73" i="2"/>
  <c r="F73" i="2"/>
  <c r="R73" i="2" s="1"/>
  <c r="E73" i="2"/>
  <c r="P73" i="2" s="1"/>
  <c r="D73" i="2"/>
  <c r="M73" i="2" s="1"/>
  <c r="J72" i="2"/>
  <c r="Z72" i="2" s="1"/>
  <c r="I72" i="2"/>
  <c r="X72" i="2" s="1"/>
  <c r="H72" i="2"/>
  <c r="U72" i="2" s="1"/>
  <c r="F72" i="2"/>
  <c r="R72" i="2" s="1"/>
  <c r="E72" i="2"/>
  <c r="P72" i="2" s="1"/>
  <c r="D72" i="2"/>
  <c r="M72" i="2" s="1"/>
  <c r="J71" i="2"/>
  <c r="Z71" i="2" s="1"/>
  <c r="I71" i="2"/>
  <c r="W71" i="2" s="1"/>
  <c r="H71" i="2"/>
  <c r="F71" i="2"/>
  <c r="R71" i="2" s="1"/>
  <c r="E71" i="2"/>
  <c r="P71" i="2" s="1"/>
  <c r="D71" i="2"/>
  <c r="J70" i="2"/>
  <c r="Z70" i="2" s="1"/>
  <c r="I70" i="2"/>
  <c r="X70" i="2" s="1"/>
  <c r="H70" i="2"/>
  <c r="U70" i="2" s="1"/>
  <c r="F70" i="2"/>
  <c r="R70" i="2" s="1"/>
  <c r="E70" i="2"/>
  <c r="P70" i="2" s="1"/>
  <c r="D70" i="2"/>
  <c r="M70" i="2" s="1"/>
  <c r="P69" i="2"/>
  <c r="J69" i="2"/>
  <c r="Z69" i="2" s="1"/>
  <c r="I69" i="2"/>
  <c r="W69" i="2" s="1"/>
  <c r="H69" i="2"/>
  <c r="F69" i="2"/>
  <c r="R69" i="2" s="1"/>
  <c r="E69" i="2"/>
  <c r="O69" i="2" s="1"/>
  <c r="D69" i="2"/>
  <c r="J68" i="2"/>
  <c r="Z68" i="2" s="1"/>
  <c r="I68" i="2"/>
  <c r="X68" i="2" s="1"/>
  <c r="H68" i="2"/>
  <c r="F68" i="2"/>
  <c r="R68" i="2" s="1"/>
  <c r="E68" i="2"/>
  <c r="P68" i="2" s="1"/>
  <c r="D68" i="2"/>
  <c r="M68" i="2" s="1"/>
  <c r="J67" i="2"/>
  <c r="Z67" i="2" s="1"/>
  <c r="I67" i="2"/>
  <c r="H67" i="2"/>
  <c r="F67" i="2"/>
  <c r="R67" i="2" s="1"/>
  <c r="E67" i="2"/>
  <c r="P67" i="2" s="1"/>
  <c r="D67" i="2"/>
  <c r="M67" i="2" s="1"/>
  <c r="J66" i="2"/>
  <c r="Z66" i="2" s="1"/>
  <c r="I66" i="2"/>
  <c r="X66" i="2" s="1"/>
  <c r="H66" i="2"/>
  <c r="F66" i="2"/>
  <c r="R66" i="2" s="1"/>
  <c r="E66" i="2"/>
  <c r="P66" i="2" s="1"/>
  <c r="D66" i="2"/>
  <c r="M66" i="2" s="1"/>
  <c r="J65" i="2"/>
  <c r="Z65" i="2" s="1"/>
  <c r="I65" i="2"/>
  <c r="W65" i="2" s="1"/>
  <c r="H65" i="2"/>
  <c r="F65" i="2"/>
  <c r="R65" i="2" s="1"/>
  <c r="E65" i="2"/>
  <c r="P65" i="2" s="1"/>
  <c r="D65" i="2"/>
  <c r="W64" i="2"/>
  <c r="J64" i="2"/>
  <c r="Z64" i="2" s="1"/>
  <c r="I64" i="2"/>
  <c r="X64" i="2" s="1"/>
  <c r="H64" i="2"/>
  <c r="U64" i="2" s="1"/>
  <c r="F64" i="2"/>
  <c r="R64" i="2" s="1"/>
  <c r="E64" i="2"/>
  <c r="P64" i="2" s="1"/>
  <c r="D64" i="2"/>
  <c r="M64" i="2" s="1"/>
  <c r="J63" i="2"/>
  <c r="Z63" i="2" s="1"/>
  <c r="I63" i="2"/>
  <c r="W63" i="2" s="1"/>
  <c r="H63" i="2"/>
  <c r="F63" i="2"/>
  <c r="R63" i="2" s="1"/>
  <c r="E63" i="2"/>
  <c r="P63" i="2" s="1"/>
  <c r="D63" i="2"/>
  <c r="M63" i="2" s="1"/>
  <c r="J62" i="2"/>
  <c r="Z62" i="2" s="1"/>
  <c r="I62" i="2"/>
  <c r="X62" i="2" s="1"/>
  <c r="H62" i="2"/>
  <c r="F62" i="2"/>
  <c r="R62" i="2" s="1"/>
  <c r="E62" i="2"/>
  <c r="P62" i="2" s="1"/>
  <c r="D62" i="2"/>
  <c r="M62" i="2" s="1"/>
  <c r="J61" i="2"/>
  <c r="Z61" i="2" s="1"/>
  <c r="I61" i="2"/>
  <c r="H61" i="2"/>
  <c r="F61" i="2"/>
  <c r="R61" i="2" s="1"/>
  <c r="E61" i="2"/>
  <c r="D61" i="2"/>
  <c r="M61" i="2" s="1"/>
  <c r="J60" i="2"/>
  <c r="Z60" i="2" s="1"/>
  <c r="I60" i="2"/>
  <c r="H60" i="2"/>
  <c r="U60" i="2" s="1"/>
  <c r="F60" i="2"/>
  <c r="R60" i="2" s="1"/>
  <c r="E60" i="2"/>
  <c r="P60" i="2" s="1"/>
  <c r="D60" i="2"/>
  <c r="M60" i="2" s="1"/>
  <c r="J59" i="2"/>
  <c r="Z59" i="2" s="1"/>
  <c r="I59" i="2"/>
  <c r="W59" i="2" s="1"/>
  <c r="H59" i="2"/>
  <c r="F59" i="2"/>
  <c r="R59" i="2" s="1"/>
  <c r="E59" i="2"/>
  <c r="O59" i="2" s="1"/>
  <c r="D59" i="2"/>
  <c r="M59" i="2" s="1"/>
  <c r="J58" i="2"/>
  <c r="Z58" i="2" s="1"/>
  <c r="I58" i="2"/>
  <c r="H58" i="2"/>
  <c r="U58" i="2" s="1"/>
  <c r="F58" i="2"/>
  <c r="R58" i="2" s="1"/>
  <c r="E58" i="2"/>
  <c r="O58" i="2" s="1"/>
  <c r="D58" i="2"/>
  <c r="J57" i="2"/>
  <c r="Z57" i="2" s="1"/>
  <c r="I57" i="2"/>
  <c r="W57" i="2" s="1"/>
  <c r="H57" i="2"/>
  <c r="F57" i="2"/>
  <c r="R57" i="2" s="1"/>
  <c r="E57" i="2"/>
  <c r="O57" i="2" s="1"/>
  <c r="D57" i="2"/>
  <c r="M57" i="2" s="1"/>
  <c r="J56" i="2"/>
  <c r="Z56" i="2" s="1"/>
  <c r="I56" i="2"/>
  <c r="X56" i="2" s="1"/>
  <c r="H56" i="2"/>
  <c r="U56" i="2" s="1"/>
  <c r="F56" i="2"/>
  <c r="R56" i="2" s="1"/>
  <c r="E56" i="2"/>
  <c r="O56" i="2" s="1"/>
  <c r="D56" i="2"/>
  <c r="J55" i="2"/>
  <c r="Z55" i="2" s="1"/>
  <c r="I55" i="2"/>
  <c r="W55" i="2" s="1"/>
  <c r="H55" i="2"/>
  <c r="F55" i="2"/>
  <c r="R55" i="2" s="1"/>
  <c r="E55" i="2"/>
  <c r="O55" i="2" s="1"/>
  <c r="D55" i="2"/>
  <c r="M55" i="2" s="1"/>
  <c r="J54" i="2"/>
  <c r="Z54" i="2" s="1"/>
  <c r="I54" i="2"/>
  <c r="X54" i="2" s="1"/>
  <c r="H54" i="2"/>
  <c r="U54" i="2" s="1"/>
  <c r="F54" i="2"/>
  <c r="R54" i="2" s="1"/>
  <c r="E54" i="2"/>
  <c r="P54" i="2" s="1"/>
  <c r="D54" i="2"/>
  <c r="J53" i="2"/>
  <c r="Z53" i="2" s="1"/>
  <c r="I53" i="2"/>
  <c r="W53" i="2" s="1"/>
  <c r="H53" i="2"/>
  <c r="F53" i="2"/>
  <c r="R53" i="2" s="1"/>
  <c r="E53" i="2"/>
  <c r="D53" i="2"/>
  <c r="M53" i="2" s="1"/>
  <c r="J52" i="2"/>
  <c r="Z52" i="2" s="1"/>
  <c r="I52" i="2"/>
  <c r="X52" i="2" s="1"/>
  <c r="H52" i="2"/>
  <c r="U52" i="2" s="1"/>
  <c r="F52" i="2"/>
  <c r="R52" i="2" s="1"/>
  <c r="E52" i="2"/>
  <c r="P52" i="2" s="1"/>
  <c r="D52" i="2"/>
  <c r="J51" i="2"/>
  <c r="Z51" i="2" s="1"/>
  <c r="I51" i="2"/>
  <c r="W51" i="2" s="1"/>
  <c r="H51" i="2"/>
  <c r="F51" i="2"/>
  <c r="R51" i="2" s="1"/>
  <c r="E51" i="2"/>
  <c r="D51" i="2"/>
  <c r="M51" i="2" s="1"/>
  <c r="J50" i="2"/>
  <c r="Z50" i="2" s="1"/>
  <c r="I50" i="2"/>
  <c r="X50" i="2" s="1"/>
  <c r="H50" i="2"/>
  <c r="U50" i="2" s="1"/>
  <c r="F50" i="2"/>
  <c r="R50" i="2" s="1"/>
  <c r="E50" i="2"/>
  <c r="O50" i="2" s="1"/>
  <c r="D50" i="2"/>
  <c r="J49" i="2"/>
  <c r="Z49" i="2" s="1"/>
  <c r="I49" i="2"/>
  <c r="W49" i="2" s="1"/>
  <c r="H49" i="2"/>
  <c r="F49" i="2"/>
  <c r="R49" i="2" s="1"/>
  <c r="E49" i="2"/>
  <c r="O49" i="2" s="1"/>
  <c r="D49" i="2"/>
  <c r="J48" i="2"/>
  <c r="Z48" i="2" s="1"/>
  <c r="I48" i="2"/>
  <c r="H48" i="2"/>
  <c r="F48" i="2"/>
  <c r="R48" i="2" s="1"/>
  <c r="E48" i="2"/>
  <c r="D48" i="2"/>
  <c r="J47" i="2"/>
  <c r="Z47" i="2" s="1"/>
  <c r="I47" i="2"/>
  <c r="W47" i="2" s="1"/>
  <c r="H47" i="2"/>
  <c r="F47" i="2"/>
  <c r="R47" i="2" s="1"/>
  <c r="E47" i="2"/>
  <c r="P47" i="2" s="1"/>
  <c r="D47" i="2"/>
  <c r="M47" i="2" s="1"/>
  <c r="J46" i="2"/>
  <c r="Z46" i="2" s="1"/>
  <c r="I46" i="2"/>
  <c r="X46" i="2" s="1"/>
  <c r="H46" i="2"/>
  <c r="U46" i="2" s="1"/>
  <c r="F46" i="2"/>
  <c r="R46" i="2" s="1"/>
  <c r="E46" i="2"/>
  <c r="P46" i="2" s="1"/>
  <c r="D46" i="2"/>
  <c r="J45" i="2"/>
  <c r="Z45" i="2" s="1"/>
  <c r="I45" i="2"/>
  <c r="W45" i="2" s="1"/>
  <c r="H45" i="2"/>
  <c r="U45" i="2" s="1"/>
  <c r="F45" i="2"/>
  <c r="R45" i="2" s="1"/>
  <c r="E45" i="2"/>
  <c r="P45" i="2" s="1"/>
  <c r="D45" i="2"/>
  <c r="M45" i="2" s="1"/>
  <c r="J44" i="2"/>
  <c r="Z44" i="2" s="1"/>
  <c r="I44" i="2"/>
  <c r="W44" i="2" s="1"/>
  <c r="H44" i="2"/>
  <c r="F44" i="2"/>
  <c r="R44" i="2" s="1"/>
  <c r="E44" i="2"/>
  <c r="P44" i="2" s="1"/>
  <c r="D44" i="2"/>
  <c r="M44" i="2" s="1"/>
  <c r="J43" i="2"/>
  <c r="Z43" i="2" s="1"/>
  <c r="I43" i="2"/>
  <c r="X43" i="2" s="1"/>
  <c r="H43" i="2"/>
  <c r="F43" i="2"/>
  <c r="R43" i="2" s="1"/>
  <c r="E43" i="2"/>
  <c r="P43" i="2" s="1"/>
  <c r="D43" i="2"/>
  <c r="M43" i="2" s="1"/>
  <c r="J42" i="2"/>
  <c r="Z42" i="2" s="1"/>
  <c r="I42" i="2"/>
  <c r="H42" i="2"/>
  <c r="U42" i="2" s="1"/>
  <c r="F42" i="2"/>
  <c r="R42" i="2" s="1"/>
  <c r="E42" i="2"/>
  <c r="P42" i="2" s="1"/>
  <c r="D42" i="2"/>
  <c r="M42" i="2" s="1"/>
  <c r="J41" i="2"/>
  <c r="Z41" i="2" s="1"/>
  <c r="I41" i="2"/>
  <c r="X41" i="2" s="1"/>
  <c r="H41" i="2"/>
  <c r="U41" i="2" s="1"/>
  <c r="F41" i="2"/>
  <c r="R41" i="2" s="1"/>
  <c r="E41" i="2"/>
  <c r="P41" i="2" s="1"/>
  <c r="D41" i="2"/>
  <c r="M41" i="2" s="1"/>
  <c r="J40" i="2"/>
  <c r="Z40" i="2" s="1"/>
  <c r="I40" i="2"/>
  <c r="X40" i="2" s="1"/>
  <c r="H40" i="2"/>
  <c r="U40" i="2" s="1"/>
  <c r="F40" i="2"/>
  <c r="R40" i="2" s="1"/>
  <c r="E40" i="2"/>
  <c r="P40" i="2" s="1"/>
  <c r="D40" i="2"/>
  <c r="M40" i="2" s="1"/>
  <c r="Z39" i="2"/>
  <c r="Y39" i="2"/>
  <c r="X39" i="2"/>
  <c r="W39" i="2"/>
  <c r="V39" i="2"/>
  <c r="U39" i="2"/>
  <c r="S39" i="2" s="1"/>
  <c r="R39" i="2"/>
  <c r="Q39" i="2"/>
  <c r="P39" i="2"/>
  <c r="O39" i="2"/>
  <c r="N39" i="2"/>
  <c r="M39" i="2"/>
  <c r="G39" i="2"/>
  <c r="C39" i="2"/>
  <c r="Z38" i="2"/>
  <c r="Y38" i="2"/>
  <c r="X38" i="2"/>
  <c r="W38" i="2"/>
  <c r="V38" i="2"/>
  <c r="U38" i="2"/>
  <c r="S38" i="2" s="1"/>
  <c r="R38" i="2"/>
  <c r="Q38" i="2"/>
  <c r="P38" i="2"/>
  <c r="O38" i="2"/>
  <c r="N38" i="2"/>
  <c r="M38" i="2"/>
  <c r="G38" i="2"/>
  <c r="C38" i="2"/>
  <c r="Z37" i="2"/>
  <c r="Y37" i="2"/>
  <c r="X37" i="2"/>
  <c r="W37" i="2"/>
  <c r="V37" i="2"/>
  <c r="U37" i="2"/>
  <c r="S37" i="2" s="1"/>
  <c r="R37" i="2"/>
  <c r="Q37" i="2"/>
  <c r="P37" i="2"/>
  <c r="O37" i="2"/>
  <c r="N37" i="2"/>
  <c r="L37" i="2" s="1"/>
  <c r="M37" i="2"/>
  <c r="G37" i="2"/>
  <c r="C37" i="2"/>
  <c r="Z36" i="2"/>
  <c r="Y36" i="2"/>
  <c r="X36" i="2"/>
  <c r="W36" i="2"/>
  <c r="V36" i="2"/>
  <c r="U36" i="2"/>
  <c r="R36" i="2"/>
  <c r="Q36" i="2"/>
  <c r="P36" i="2"/>
  <c r="O36" i="2"/>
  <c r="N36" i="2"/>
  <c r="M36" i="2"/>
  <c r="G36" i="2"/>
  <c r="C36" i="2"/>
  <c r="Z35" i="2"/>
  <c r="Y35" i="2"/>
  <c r="X35" i="2"/>
  <c r="W35" i="2"/>
  <c r="V35" i="2"/>
  <c r="U35" i="2"/>
  <c r="S35" i="2" s="1"/>
  <c r="R35" i="2"/>
  <c r="Q35" i="2"/>
  <c r="P35" i="2"/>
  <c r="O35" i="2"/>
  <c r="N35" i="2"/>
  <c r="M35" i="2"/>
  <c r="G35" i="2"/>
  <c r="C35" i="2"/>
  <c r="Z34" i="2"/>
  <c r="Y34" i="2"/>
  <c r="X34" i="2"/>
  <c r="R34" i="2"/>
  <c r="Q34" i="2"/>
  <c r="P34" i="2"/>
  <c r="O34" i="2"/>
  <c r="N34" i="2"/>
  <c r="M34" i="2"/>
  <c r="I34" i="2"/>
  <c r="W34" i="2" s="1"/>
  <c r="H34" i="2"/>
  <c r="C34" i="2"/>
  <c r="Z33" i="2"/>
  <c r="Y33" i="2"/>
  <c r="X33" i="2"/>
  <c r="W33" i="2"/>
  <c r="V33" i="2"/>
  <c r="T33" i="2" s="1"/>
  <c r="U33" i="2"/>
  <c r="R33" i="2"/>
  <c r="Q33" i="2"/>
  <c r="P33" i="2"/>
  <c r="O33" i="2"/>
  <c r="N33" i="2"/>
  <c r="L33" i="2" s="1"/>
  <c r="M33" i="2"/>
  <c r="G33" i="2"/>
  <c r="C33" i="2"/>
  <c r="Z32" i="2"/>
  <c r="Y32" i="2"/>
  <c r="X32" i="2"/>
  <c r="W32" i="2"/>
  <c r="V32" i="2"/>
  <c r="T32" i="2" s="1"/>
  <c r="U32" i="2"/>
  <c r="R32" i="2"/>
  <c r="Q32" i="2"/>
  <c r="P32" i="2"/>
  <c r="O32" i="2"/>
  <c r="N32" i="2"/>
  <c r="M32" i="2"/>
  <c r="K32" i="2" s="1"/>
  <c r="G32" i="2"/>
  <c r="C32" i="2"/>
  <c r="Z31" i="2"/>
  <c r="Y31" i="2"/>
  <c r="X31" i="2"/>
  <c r="W31" i="2"/>
  <c r="V31" i="2"/>
  <c r="U31" i="2"/>
  <c r="R31" i="2"/>
  <c r="Q31" i="2"/>
  <c r="P31" i="2"/>
  <c r="L31" i="2" s="1"/>
  <c r="O31" i="2"/>
  <c r="N31" i="2"/>
  <c r="M31" i="2"/>
  <c r="G31" i="2"/>
  <c r="C31" i="2"/>
  <c r="Z30" i="2"/>
  <c r="Y30" i="2"/>
  <c r="X30" i="2"/>
  <c r="W30" i="2"/>
  <c r="V30" i="2"/>
  <c r="U30" i="2"/>
  <c r="R30" i="2"/>
  <c r="Q30" i="2"/>
  <c r="P30" i="2"/>
  <c r="O30" i="2"/>
  <c r="K30" i="2" s="1"/>
  <c r="N30" i="2"/>
  <c r="L30" i="2" s="1"/>
  <c r="M30" i="2"/>
  <c r="G30" i="2"/>
  <c r="C30" i="2"/>
  <c r="Z29" i="2"/>
  <c r="Y29" i="2"/>
  <c r="X29" i="2"/>
  <c r="W29" i="2"/>
  <c r="V29" i="2"/>
  <c r="T29" i="2" s="1"/>
  <c r="U29" i="2"/>
  <c r="R29" i="2"/>
  <c r="Q29" i="2"/>
  <c r="P29" i="2"/>
  <c r="O29" i="2"/>
  <c r="N29" i="2"/>
  <c r="M29" i="2"/>
  <c r="G29" i="2"/>
  <c r="C29" i="2"/>
  <c r="Z28" i="2"/>
  <c r="Y28" i="2"/>
  <c r="X28" i="2"/>
  <c r="W28" i="2"/>
  <c r="V28" i="2"/>
  <c r="U28" i="2"/>
  <c r="R28" i="2"/>
  <c r="Q28" i="2"/>
  <c r="P28" i="2"/>
  <c r="O28" i="2"/>
  <c r="N28" i="2"/>
  <c r="M28" i="2"/>
  <c r="G28" i="2"/>
  <c r="C28" i="2"/>
  <c r="Z27" i="2"/>
  <c r="Y27" i="2"/>
  <c r="X27" i="2"/>
  <c r="T27" i="2" s="1"/>
  <c r="W27" i="2"/>
  <c r="V27" i="2"/>
  <c r="U27" i="2"/>
  <c r="S27" i="2" s="1"/>
  <c r="R27" i="2"/>
  <c r="Q27" i="2"/>
  <c r="P27" i="2"/>
  <c r="O27" i="2"/>
  <c r="N27" i="2"/>
  <c r="M27" i="2"/>
  <c r="K27" i="2" s="1"/>
  <c r="G27" i="2"/>
  <c r="C27" i="2"/>
  <c r="Z26" i="2"/>
  <c r="Y26" i="2"/>
  <c r="X26" i="2"/>
  <c r="W26" i="2"/>
  <c r="V26" i="2"/>
  <c r="U26" i="2"/>
  <c r="R26" i="2"/>
  <c r="Q26" i="2"/>
  <c r="P26" i="2"/>
  <c r="O26" i="2"/>
  <c r="N26" i="2"/>
  <c r="L26" i="2" s="1"/>
  <c r="M26" i="2"/>
  <c r="G26" i="2"/>
  <c r="C26" i="2"/>
  <c r="Z25" i="2"/>
  <c r="Y25" i="2"/>
  <c r="X25" i="2"/>
  <c r="W25" i="2"/>
  <c r="V25" i="2"/>
  <c r="T25" i="2" s="1"/>
  <c r="U25" i="2"/>
  <c r="S25" i="2" s="1"/>
  <c r="R25" i="2"/>
  <c r="Q25" i="2"/>
  <c r="P25" i="2"/>
  <c r="O25" i="2"/>
  <c r="N25" i="2"/>
  <c r="M25" i="2"/>
  <c r="G25" i="2"/>
  <c r="C25" i="2"/>
  <c r="Z24" i="2"/>
  <c r="Y24" i="2"/>
  <c r="X24" i="2"/>
  <c r="W24" i="2"/>
  <c r="V24" i="2"/>
  <c r="U24" i="2"/>
  <c r="R24" i="2"/>
  <c r="Q24" i="2"/>
  <c r="P24" i="2"/>
  <c r="O24" i="2"/>
  <c r="N24" i="2"/>
  <c r="M24" i="2"/>
  <c r="G24" i="2"/>
  <c r="C24" i="2"/>
  <c r="Z23" i="2"/>
  <c r="Y23" i="2"/>
  <c r="X23" i="2"/>
  <c r="T23" i="2" s="1"/>
  <c r="W23" i="2"/>
  <c r="V23" i="2"/>
  <c r="U23" i="2"/>
  <c r="S23" i="2" s="1"/>
  <c r="R23" i="2"/>
  <c r="Q23" i="2"/>
  <c r="P23" i="2"/>
  <c r="O23" i="2"/>
  <c r="N23" i="2"/>
  <c r="M23" i="2"/>
  <c r="K23" i="2" s="1"/>
  <c r="G23" i="2"/>
  <c r="C23" i="2"/>
  <c r="Z22" i="2"/>
  <c r="Y22" i="2"/>
  <c r="X22" i="2"/>
  <c r="W22" i="2"/>
  <c r="S22" i="2" s="1"/>
  <c r="V22" i="2"/>
  <c r="U22" i="2"/>
  <c r="R22" i="2"/>
  <c r="Q22" i="2"/>
  <c r="P22" i="2"/>
  <c r="O22" i="2"/>
  <c r="K22" i="2" s="1"/>
  <c r="N22" i="2"/>
  <c r="L22" i="2" s="1"/>
  <c r="M22" i="2"/>
  <c r="G22" i="2"/>
  <c r="C22" i="2"/>
  <c r="Z21" i="2"/>
  <c r="Y21" i="2"/>
  <c r="X21" i="2"/>
  <c r="W21" i="2"/>
  <c r="V21" i="2"/>
  <c r="T21" i="2" s="1"/>
  <c r="U21" i="2"/>
  <c r="R21" i="2"/>
  <c r="Q21" i="2"/>
  <c r="P21" i="2"/>
  <c r="O21" i="2"/>
  <c r="N21" i="2"/>
  <c r="M21" i="2"/>
  <c r="G21" i="2"/>
  <c r="C21" i="2"/>
  <c r="Z20" i="2"/>
  <c r="Y20" i="2"/>
  <c r="X20" i="2"/>
  <c r="W20" i="2"/>
  <c r="V20" i="2"/>
  <c r="U20" i="2"/>
  <c r="R20" i="2"/>
  <c r="Q20" i="2"/>
  <c r="P20" i="2"/>
  <c r="O20" i="2"/>
  <c r="N20" i="2"/>
  <c r="M20" i="2"/>
  <c r="G20" i="2"/>
  <c r="C20" i="2"/>
  <c r="Z19" i="2"/>
  <c r="Y19" i="2"/>
  <c r="X19" i="2"/>
  <c r="T19" i="2" s="1"/>
  <c r="W19" i="2"/>
  <c r="V19" i="2"/>
  <c r="U19" i="2"/>
  <c r="R19" i="2"/>
  <c r="Q19" i="2"/>
  <c r="P19" i="2"/>
  <c r="O19" i="2"/>
  <c r="N19" i="2"/>
  <c r="M19" i="2"/>
  <c r="K19" i="2" s="1"/>
  <c r="G19" i="2"/>
  <c r="C19" i="2"/>
  <c r="Z18" i="2"/>
  <c r="Y18" i="2"/>
  <c r="X18" i="2"/>
  <c r="W18" i="2"/>
  <c r="V18" i="2"/>
  <c r="U18" i="2"/>
  <c r="R18" i="2"/>
  <c r="Q18" i="2"/>
  <c r="P18" i="2"/>
  <c r="O18" i="2"/>
  <c r="K18" i="2" s="1"/>
  <c r="N18" i="2"/>
  <c r="L18" i="2" s="1"/>
  <c r="M18" i="2"/>
  <c r="G18" i="2"/>
  <c r="C18" i="2"/>
  <c r="Z17" i="2"/>
  <c r="Y17" i="2"/>
  <c r="X17" i="2"/>
  <c r="W17" i="2"/>
  <c r="V17" i="2"/>
  <c r="T17" i="2" s="1"/>
  <c r="U17" i="2"/>
  <c r="R17" i="2"/>
  <c r="Q17" i="2"/>
  <c r="P17" i="2"/>
  <c r="O17" i="2"/>
  <c r="N17" i="2"/>
  <c r="M17" i="2"/>
  <c r="G17" i="2"/>
  <c r="C17" i="2"/>
  <c r="Z16" i="2"/>
  <c r="Y16" i="2"/>
  <c r="X16" i="2"/>
  <c r="W16" i="2"/>
  <c r="V16" i="2"/>
  <c r="T16" i="2" s="1"/>
  <c r="U16" i="2"/>
  <c r="R16" i="2"/>
  <c r="Q16" i="2"/>
  <c r="P16" i="2"/>
  <c r="O16" i="2"/>
  <c r="N16" i="2"/>
  <c r="M16" i="2"/>
  <c r="G16" i="2"/>
  <c r="C16" i="2"/>
  <c r="Z15" i="2"/>
  <c r="Y15" i="2"/>
  <c r="X15" i="2"/>
  <c r="T15" i="2" s="1"/>
  <c r="W15" i="2"/>
  <c r="V15" i="2"/>
  <c r="U15" i="2"/>
  <c r="R15" i="2"/>
  <c r="Q15" i="2"/>
  <c r="P15" i="2"/>
  <c r="O15" i="2"/>
  <c r="N15" i="2"/>
  <c r="M15" i="2"/>
  <c r="K15" i="2" s="1"/>
  <c r="G15" i="2"/>
  <c r="C15" i="2"/>
  <c r="Z14" i="2"/>
  <c r="Y14" i="2"/>
  <c r="X14" i="2"/>
  <c r="W14" i="2"/>
  <c r="V14" i="2"/>
  <c r="U14" i="2"/>
  <c r="R14" i="2"/>
  <c r="Q14" i="2"/>
  <c r="P14" i="2"/>
  <c r="O14" i="2"/>
  <c r="K14" i="2" s="1"/>
  <c r="N14" i="2"/>
  <c r="L14" i="2" s="1"/>
  <c r="M14" i="2"/>
  <c r="G14" i="2"/>
  <c r="C14" i="2"/>
  <c r="Z13" i="2"/>
  <c r="Y13" i="2"/>
  <c r="X13" i="2"/>
  <c r="W13" i="2"/>
  <c r="V13" i="2"/>
  <c r="T13" i="2" s="1"/>
  <c r="U13" i="2"/>
  <c r="R13" i="2"/>
  <c r="Q13" i="2"/>
  <c r="P13" i="2"/>
  <c r="O13" i="2"/>
  <c r="N13" i="2"/>
  <c r="M13" i="2"/>
  <c r="G13" i="2"/>
  <c r="C13" i="2"/>
  <c r="Z12" i="2"/>
  <c r="Y12" i="2"/>
  <c r="X12" i="2"/>
  <c r="W12" i="2"/>
  <c r="V12" i="2"/>
  <c r="T12" i="2" s="1"/>
  <c r="U12" i="2"/>
  <c r="R12" i="2"/>
  <c r="Q12" i="2"/>
  <c r="P12" i="2"/>
  <c r="O12" i="2"/>
  <c r="N12" i="2"/>
  <c r="M12" i="2"/>
  <c r="G12" i="2"/>
  <c r="C12" i="2"/>
  <c r="Z11" i="2"/>
  <c r="Y11" i="2"/>
  <c r="X11" i="2"/>
  <c r="T11" i="2" s="1"/>
  <c r="W11" i="2"/>
  <c r="V11" i="2"/>
  <c r="U11" i="2"/>
  <c r="R11" i="2"/>
  <c r="Q11" i="2"/>
  <c r="P11" i="2"/>
  <c r="O11" i="2"/>
  <c r="N11" i="2"/>
  <c r="M11" i="2"/>
  <c r="K11" i="2" s="1"/>
  <c r="G11" i="2"/>
  <c r="C11" i="2"/>
  <c r="Z10" i="2"/>
  <c r="Y10" i="2"/>
  <c r="X10" i="2"/>
  <c r="W10" i="2"/>
  <c r="V10" i="2"/>
  <c r="U10" i="2"/>
  <c r="R10" i="2"/>
  <c r="Q10" i="2"/>
  <c r="P10" i="2"/>
  <c r="O10" i="2"/>
  <c r="K10" i="2" s="1"/>
  <c r="N10" i="2"/>
  <c r="L10" i="2" s="1"/>
  <c r="M10" i="2"/>
  <c r="G10" i="2"/>
  <c r="C10" i="2"/>
  <c r="Z9" i="2"/>
  <c r="Y9" i="2"/>
  <c r="X9" i="2"/>
  <c r="W9" i="2"/>
  <c r="V9" i="2"/>
  <c r="T9" i="2" s="1"/>
  <c r="U9" i="2"/>
  <c r="R9" i="2"/>
  <c r="Q9" i="2"/>
  <c r="P9" i="2"/>
  <c r="O9" i="2"/>
  <c r="N9" i="2"/>
  <c r="M9" i="2"/>
  <c r="G9" i="2"/>
  <c r="C9" i="2"/>
  <c r="Z8" i="2"/>
  <c r="Y8" i="2"/>
  <c r="X8" i="2"/>
  <c r="W8" i="2"/>
  <c r="V8" i="2"/>
  <c r="T8" i="2" s="1"/>
  <c r="U8" i="2"/>
  <c r="R8" i="2"/>
  <c r="Q8" i="2"/>
  <c r="P8" i="2"/>
  <c r="O8" i="2"/>
  <c r="N8" i="2"/>
  <c r="M8" i="2"/>
  <c r="G8" i="2"/>
  <c r="C8" i="2"/>
  <c r="Z7" i="2"/>
  <c r="Y7" i="2"/>
  <c r="X7" i="2"/>
  <c r="T7" i="2" s="1"/>
  <c r="W7" i="2"/>
  <c r="V7" i="2"/>
  <c r="U7" i="2"/>
  <c r="R7" i="2"/>
  <c r="Q7" i="2"/>
  <c r="P7" i="2"/>
  <c r="O7" i="2"/>
  <c r="N7" i="2"/>
  <c r="M7" i="2"/>
  <c r="K7" i="2" s="1"/>
  <c r="G7" i="2"/>
  <c r="C7" i="2"/>
  <c r="Z6" i="2"/>
  <c r="Y6" i="2"/>
  <c r="X6" i="2"/>
  <c r="W6" i="2"/>
  <c r="V6" i="2"/>
  <c r="U6" i="2"/>
  <c r="R6" i="2"/>
  <c r="Q6" i="2"/>
  <c r="P6" i="2"/>
  <c r="O6" i="2"/>
  <c r="K6" i="2" s="1"/>
  <c r="N6" i="2"/>
  <c r="L6" i="2" s="1"/>
  <c r="M6" i="2"/>
  <c r="G6" i="2"/>
  <c r="C6" i="2"/>
  <c r="Z5" i="2"/>
  <c r="Y5" i="2"/>
  <c r="X5" i="2"/>
  <c r="W5" i="2"/>
  <c r="V5" i="2"/>
  <c r="T5" i="2" s="1"/>
  <c r="U5" i="2"/>
  <c r="R5" i="2"/>
  <c r="Q5" i="2"/>
  <c r="P5" i="2"/>
  <c r="O5" i="2"/>
  <c r="N5" i="2"/>
  <c r="M5" i="2"/>
  <c r="G5" i="2"/>
  <c r="C5" i="2"/>
  <c r="Z4" i="2"/>
  <c r="Y4" i="2"/>
  <c r="X4" i="2"/>
  <c r="W4" i="2"/>
  <c r="V4" i="2"/>
  <c r="T4" i="2" s="1"/>
  <c r="U4" i="2"/>
  <c r="R4" i="2"/>
  <c r="Q4" i="2"/>
  <c r="P4" i="2"/>
  <c r="O4" i="2"/>
  <c r="N4" i="2"/>
  <c r="M4" i="2"/>
  <c r="G4" i="2"/>
  <c r="C4" i="2"/>
  <c r="Z3" i="2"/>
  <c r="Y3" i="2"/>
  <c r="X3" i="2"/>
  <c r="W3" i="2"/>
  <c r="V3" i="2"/>
  <c r="U3" i="2"/>
  <c r="R3" i="2"/>
  <c r="Q3" i="2"/>
  <c r="P3" i="2"/>
  <c r="O3" i="2"/>
  <c r="N3" i="2"/>
  <c r="M3" i="2"/>
  <c r="G3" i="2"/>
  <c r="C3" i="2"/>
  <c r="Z2" i="2"/>
  <c r="Y2" i="2"/>
  <c r="X2" i="2"/>
  <c r="W2" i="2"/>
  <c r="V2" i="2"/>
  <c r="U2" i="2"/>
  <c r="S2" i="2" s="1"/>
  <c r="R2" i="2"/>
  <c r="Q2" i="2"/>
  <c r="P2" i="2"/>
  <c r="O2" i="2"/>
  <c r="N2" i="2"/>
  <c r="L2" i="2" s="1"/>
  <c r="M2" i="2"/>
  <c r="G2" i="2"/>
  <c r="C2" i="2"/>
  <c r="O71" i="2" l="1"/>
  <c r="V130" i="2"/>
  <c r="V262" i="2"/>
  <c r="Z79" i="2"/>
  <c r="O117" i="2"/>
  <c r="P150" i="2"/>
  <c r="Y103" i="2"/>
  <c r="L122" i="2"/>
  <c r="G132" i="2"/>
  <c r="G136" i="2"/>
  <c r="T255" i="2"/>
  <c r="C261" i="2"/>
  <c r="C199" i="2"/>
  <c r="C244" i="2"/>
  <c r="G162" i="2"/>
  <c r="U263" i="2"/>
  <c r="G83" i="2"/>
  <c r="V101" i="2"/>
  <c r="Y112" i="2"/>
  <c r="Y129" i="2"/>
  <c r="N149" i="2"/>
  <c r="V244" i="2"/>
  <c r="T244" i="2" s="1"/>
  <c r="G259" i="2"/>
  <c r="G265" i="2"/>
  <c r="V58" i="2"/>
  <c r="X63" i="2"/>
  <c r="V100" i="2"/>
  <c r="T100" i="2" s="1"/>
  <c r="M138" i="2"/>
  <c r="K138" i="2" s="1"/>
  <c r="X147" i="2"/>
  <c r="X148" i="2"/>
  <c r="T148" i="2" s="1"/>
  <c r="P56" i="2"/>
  <c r="P57" i="2"/>
  <c r="W62" i="2"/>
  <c r="V99" i="2"/>
  <c r="T99" i="2" s="1"/>
  <c r="W110" i="2"/>
  <c r="W170" i="2"/>
  <c r="Z188" i="2"/>
  <c r="C252" i="2"/>
  <c r="P49" i="2"/>
  <c r="V54" i="2"/>
  <c r="T54" i="2" s="1"/>
  <c r="P55" i="2"/>
  <c r="V56" i="2"/>
  <c r="T56" i="2" s="1"/>
  <c r="N73" i="2"/>
  <c r="L73" i="2" s="1"/>
  <c r="O98" i="2"/>
  <c r="Q169" i="2"/>
  <c r="Z187" i="2"/>
  <c r="R215" i="2"/>
  <c r="U259" i="2"/>
  <c r="X53" i="2"/>
  <c r="W54" i="2"/>
  <c r="K57" i="2"/>
  <c r="O73" i="2"/>
  <c r="O97" i="2"/>
  <c r="G112" i="2"/>
  <c r="W164" i="2"/>
  <c r="U186" i="2"/>
  <c r="Y208" i="2"/>
  <c r="Q213" i="2"/>
  <c r="Z214" i="2"/>
  <c r="R224" i="2"/>
  <c r="Y241" i="2"/>
  <c r="U249" i="2"/>
  <c r="U258" i="2"/>
  <c r="R212" i="2"/>
  <c r="X213" i="2"/>
  <c r="X223" i="2"/>
  <c r="N247" i="2"/>
  <c r="Y248" i="2"/>
  <c r="G256" i="2"/>
  <c r="N47" i="2"/>
  <c r="L47" i="2" s="1"/>
  <c r="O70" i="2"/>
  <c r="U81" i="2"/>
  <c r="W86" i="2"/>
  <c r="G90" i="2"/>
  <c r="O107" i="2"/>
  <c r="K213" i="2"/>
  <c r="Z218" i="2"/>
  <c r="G251" i="2"/>
  <c r="T266" i="2"/>
  <c r="X45" i="2"/>
  <c r="W46" i="2"/>
  <c r="W70" i="2"/>
  <c r="W72" i="2"/>
  <c r="V96" i="2"/>
  <c r="V97" i="2"/>
  <c r="T97" i="2" s="1"/>
  <c r="X116" i="2"/>
  <c r="Y135" i="2"/>
  <c r="Y136" i="2"/>
  <c r="L169" i="2"/>
  <c r="C180" i="2"/>
  <c r="U184" i="2"/>
  <c r="G199" i="2"/>
  <c r="Q221" i="2"/>
  <c r="R222" i="2"/>
  <c r="C224" i="2"/>
  <c r="S235" i="2"/>
  <c r="G246" i="2"/>
  <c r="C253" i="2"/>
  <c r="M257" i="2"/>
  <c r="V259" i="2"/>
  <c r="M260" i="2"/>
  <c r="V46" i="2"/>
  <c r="T46" i="2" s="1"/>
  <c r="V72" i="2"/>
  <c r="T72" i="2" s="1"/>
  <c r="V95" i="2"/>
  <c r="O105" i="2"/>
  <c r="V106" i="2"/>
  <c r="T106" i="2" s="1"/>
  <c r="W114" i="2"/>
  <c r="O115" i="2"/>
  <c r="Z116" i="2"/>
  <c r="Q117" i="2"/>
  <c r="Z118" i="2"/>
  <c r="L128" i="2"/>
  <c r="V133" i="2"/>
  <c r="T133" i="2" s="1"/>
  <c r="O134" i="2"/>
  <c r="U190" i="2"/>
  <c r="G193" i="2"/>
  <c r="X218" i="2"/>
  <c r="Q219" i="2"/>
  <c r="X221" i="2"/>
  <c r="C257" i="2"/>
  <c r="C260" i="2"/>
  <c r="U266" i="2"/>
  <c r="V45" i="2"/>
  <c r="T45" i="2" s="1"/>
  <c r="V136" i="2"/>
  <c r="C198" i="2"/>
  <c r="Z238" i="2"/>
  <c r="W41" i="2"/>
  <c r="S41" i="2" s="1"/>
  <c r="N42" i="2"/>
  <c r="N43" i="2"/>
  <c r="L43" i="2" s="1"/>
  <c r="N67" i="2"/>
  <c r="Y83" i="2"/>
  <c r="G86" i="2"/>
  <c r="W90" i="2"/>
  <c r="S90" i="2" s="1"/>
  <c r="V103" i="2"/>
  <c r="T103" i="2" s="1"/>
  <c r="V104" i="2"/>
  <c r="T104" i="2" s="1"/>
  <c r="W112" i="2"/>
  <c r="O113" i="2"/>
  <c r="Y114" i="2"/>
  <c r="C117" i="2"/>
  <c r="V122" i="2"/>
  <c r="G129" i="2"/>
  <c r="Y133" i="2"/>
  <c r="G139" i="2"/>
  <c r="U162" i="2"/>
  <c r="L168" i="2"/>
  <c r="M177" i="2"/>
  <c r="Q189" i="2"/>
  <c r="U200" i="2"/>
  <c r="R217" i="2"/>
  <c r="Q236" i="2"/>
  <c r="G253" i="2"/>
  <c r="G262" i="2"/>
  <c r="V265" i="2"/>
  <c r="V52" i="2"/>
  <c r="T52" i="2" s="1"/>
  <c r="V40" i="2"/>
  <c r="V42" i="2"/>
  <c r="P58" i="2"/>
  <c r="N59" i="2"/>
  <c r="O65" i="2"/>
  <c r="O66" i="2"/>
  <c r="O67" i="2"/>
  <c r="V76" i="2"/>
  <c r="T76" i="2" s="1"/>
  <c r="G79" i="2"/>
  <c r="L95" i="2"/>
  <c r="O102" i="2"/>
  <c r="L123" i="2"/>
  <c r="L127" i="2"/>
  <c r="G165" i="2"/>
  <c r="M199" i="2"/>
  <c r="R235" i="2"/>
  <c r="M249" i="2"/>
  <c r="N151" i="2"/>
  <c r="N152" i="2"/>
  <c r="L152" i="2" s="1"/>
  <c r="G184" i="2"/>
  <c r="N198" i="2"/>
  <c r="G206" i="2"/>
  <c r="P215" i="2"/>
  <c r="Z80" i="2"/>
  <c r="G133" i="2"/>
  <c r="O151" i="2"/>
  <c r="K151" i="2" s="1"/>
  <c r="M170" i="2"/>
  <c r="V34" i="2"/>
  <c r="T34" i="2" s="1"/>
  <c r="G34" i="2"/>
  <c r="T37" i="2"/>
  <c r="N51" i="2"/>
  <c r="L51" i="2" s="1"/>
  <c r="W61" i="2"/>
  <c r="X61" i="2"/>
  <c r="M65" i="2"/>
  <c r="N65" i="2"/>
  <c r="L65" i="2" s="1"/>
  <c r="X74" i="2"/>
  <c r="W74" i="2"/>
  <c r="O83" i="2"/>
  <c r="P83" i="2"/>
  <c r="L83" i="2" s="1"/>
  <c r="P91" i="2"/>
  <c r="O91" i="2"/>
  <c r="Q119" i="2"/>
  <c r="R119" i="2"/>
  <c r="Z125" i="2"/>
  <c r="Y125" i="2"/>
  <c r="P133" i="2"/>
  <c r="O133" i="2"/>
  <c r="O155" i="2"/>
  <c r="P155" i="2"/>
  <c r="W181" i="2"/>
  <c r="X181" i="2"/>
  <c r="G181" i="2"/>
  <c r="W216" i="2"/>
  <c r="S216" i="2" s="1"/>
  <c r="X216" i="2"/>
  <c r="Y231" i="2"/>
  <c r="Z231" i="2"/>
  <c r="Y235" i="2"/>
  <c r="Z235" i="2"/>
  <c r="R239" i="2"/>
  <c r="Q239" i="2"/>
  <c r="N256" i="2"/>
  <c r="U48" i="2"/>
  <c r="V48" i="2"/>
  <c r="P50" i="2"/>
  <c r="O53" i="2"/>
  <c r="K53" i="2" s="1"/>
  <c r="P53" i="2"/>
  <c r="P76" i="2"/>
  <c r="O76" i="2"/>
  <c r="K76" i="2" s="1"/>
  <c r="X108" i="2"/>
  <c r="W108" i="2"/>
  <c r="G108" i="2"/>
  <c r="Z175" i="2"/>
  <c r="Y175" i="2"/>
  <c r="Y181" i="2"/>
  <c r="Z181" i="2"/>
  <c r="N189" i="2"/>
  <c r="L189" i="2" s="1"/>
  <c r="M189" i="2"/>
  <c r="Q196" i="2"/>
  <c r="R196" i="2"/>
  <c r="R206" i="2"/>
  <c r="Q206" i="2"/>
  <c r="Y230" i="2"/>
  <c r="Z230" i="2"/>
  <c r="N242" i="2"/>
  <c r="C242" i="2"/>
  <c r="M242" i="2"/>
  <c r="N251" i="2"/>
  <c r="M251" i="2"/>
  <c r="C256" i="2"/>
  <c r="N259" i="2"/>
  <c r="M259" i="2"/>
  <c r="X48" i="2"/>
  <c r="W48" i="2"/>
  <c r="S48" i="2" s="1"/>
  <c r="N246" i="2"/>
  <c r="M246" i="2"/>
  <c r="P111" i="2"/>
  <c r="O111" i="2"/>
  <c r="N188" i="2"/>
  <c r="M188" i="2"/>
  <c r="W229" i="2"/>
  <c r="X229" i="2"/>
  <c r="X58" i="2"/>
  <c r="W58" i="2"/>
  <c r="S58" i="2" s="1"/>
  <c r="W67" i="2"/>
  <c r="X67" i="2"/>
  <c r="W118" i="2"/>
  <c r="X118" i="2"/>
  <c r="Z123" i="2"/>
  <c r="Y123" i="2"/>
  <c r="P131" i="2"/>
  <c r="O131" i="2"/>
  <c r="N186" i="2"/>
  <c r="L186" i="2" s="1"/>
  <c r="M186" i="2"/>
  <c r="R241" i="2"/>
  <c r="Q241" i="2"/>
  <c r="N254" i="2"/>
  <c r="M254" i="2"/>
  <c r="V118" i="2"/>
  <c r="U118" i="2"/>
  <c r="G118" i="2"/>
  <c r="O51" i="2"/>
  <c r="K51" i="2" s="1"/>
  <c r="P51" i="2"/>
  <c r="P75" i="2"/>
  <c r="O75" i="2"/>
  <c r="K75" i="2" s="1"/>
  <c r="P88" i="2"/>
  <c r="L88" i="2" s="1"/>
  <c r="O88" i="2"/>
  <c r="M49" i="2"/>
  <c r="K49" i="2" s="1"/>
  <c r="N49" i="2"/>
  <c r="U94" i="2"/>
  <c r="V94" i="2"/>
  <c r="X42" i="2"/>
  <c r="W42" i="2"/>
  <c r="S42" i="2" s="1"/>
  <c r="O61" i="2"/>
  <c r="K61" i="2" s="1"/>
  <c r="P61" i="2"/>
  <c r="U62" i="2"/>
  <c r="S62" i="2" s="1"/>
  <c r="V62" i="2"/>
  <c r="M69" i="2"/>
  <c r="K69" i="2" s="1"/>
  <c r="N69" i="2"/>
  <c r="L69" i="2" s="1"/>
  <c r="P77" i="2"/>
  <c r="U110" i="2"/>
  <c r="V110" i="2"/>
  <c r="T110" i="2" s="1"/>
  <c r="Z122" i="2"/>
  <c r="Y122" i="2"/>
  <c r="Z127" i="2"/>
  <c r="Y127" i="2"/>
  <c r="P130" i="2"/>
  <c r="O130" i="2"/>
  <c r="N165" i="2"/>
  <c r="C165" i="2"/>
  <c r="R193" i="2"/>
  <c r="Q193" i="2"/>
  <c r="Q204" i="2"/>
  <c r="R204" i="2"/>
  <c r="W232" i="2"/>
  <c r="S232" i="2" s="1"/>
  <c r="X232" i="2"/>
  <c r="O240" i="2"/>
  <c r="K240" i="2" s="1"/>
  <c r="C240" i="2"/>
  <c r="U241" i="2"/>
  <c r="V241" i="2"/>
  <c r="U43" i="2"/>
  <c r="V43" i="2"/>
  <c r="T43" i="2" s="1"/>
  <c r="M71" i="2"/>
  <c r="K71" i="2" s="1"/>
  <c r="N71" i="2"/>
  <c r="L71" i="2" s="1"/>
  <c r="N41" i="2"/>
  <c r="L41" i="2" s="1"/>
  <c r="X44" i="2"/>
  <c r="N53" i="2"/>
  <c r="X57" i="2"/>
  <c r="W75" i="2"/>
  <c r="X75" i="2"/>
  <c r="P85" i="2"/>
  <c r="O85" i="2"/>
  <c r="U93" i="2"/>
  <c r="V93" i="2"/>
  <c r="G93" i="2"/>
  <c r="O165" i="2"/>
  <c r="P165" i="2"/>
  <c r="N185" i="2"/>
  <c r="L185" i="2" s="1"/>
  <c r="M185" i="2"/>
  <c r="V199" i="2"/>
  <c r="U199" i="2"/>
  <c r="M244" i="2"/>
  <c r="N244" i="2"/>
  <c r="X60" i="2"/>
  <c r="W60" i="2"/>
  <c r="S60" i="2" s="1"/>
  <c r="U68" i="2"/>
  <c r="V68" i="2"/>
  <c r="T68" i="2" s="1"/>
  <c r="Z108" i="2"/>
  <c r="Y108" i="2"/>
  <c r="W142" i="2"/>
  <c r="X142" i="2"/>
  <c r="T142" i="2" s="1"/>
  <c r="U44" i="2"/>
  <c r="S44" i="2" s="1"/>
  <c r="V44" i="2"/>
  <c r="U66" i="2"/>
  <c r="V66" i="2"/>
  <c r="T66" i="2" s="1"/>
  <c r="W168" i="2"/>
  <c r="X168" i="2"/>
  <c r="M46" i="2"/>
  <c r="N46" i="2"/>
  <c r="L46" i="2" s="1"/>
  <c r="O48" i="2"/>
  <c r="P48" i="2"/>
  <c r="O63" i="2"/>
  <c r="K63" i="2" s="1"/>
  <c r="U74" i="2"/>
  <c r="S74" i="2" s="1"/>
  <c r="V74" i="2"/>
  <c r="M77" i="2"/>
  <c r="K77" i="2" s="1"/>
  <c r="N77" i="2"/>
  <c r="X93" i="2"/>
  <c r="W93" i="2"/>
  <c r="O119" i="2"/>
  <c r="P119" i="2"/>
  <c r="Z126" i="2"/>
  <c r="Y126" i="2"/>
  <c r="W161" i="2"/>
  <c r="X161" i="2"/>
  <c r="Y172" i="2"/>
  <c r="Z172" i="2"/>
  <c r="R192" i="2"/>
  <c r="Q192" i="2"/>
  <c r="R203" i="2"/>
  <c r="Q203" i="2"/>
  <c r="N263" i="2"/>
  <c r="M263" i="2"/>
  <c r="S4" i="2"/>
  <c r="K5" i="2"/>
  <c r="S8" i="2"/>
  <c r="K9" i="2"/>
  <c r="S12" i="2"/>
  <c r="K13" i="2"/>
  <c r="S16" i="2"/>
  <c r="K17" i="2"/>
  <c r="S20" i="2"/>
  <c r="S24" i="2"/>
  <c r="K26" i="2"/>
  <c r="S28" i="2"/>
  <c r="K33" i="2"/>
  <c r="S36" i="2"/>
  <c r="K37" i="2"/>
  <c r="W40" i="2"/>
  <c r="S40" i="2" s="1"/>
  <c r="V41" i="2"/>
  <c r="T41" i="2" s="1"/>
  <c r="X49" i="2"/>
  <c r="V50" i="2"/>
  <c r="T50" i="2" s="1"/>
  <c r="W52" i="2"/>
  <c r="S52" i="2" s="1"/>
  <c r="O54" i="2"/>
  <c r="V64" i="2"/>
  <c r="T64" i="2" s="1"/>
  <c r="X69" i="2"/>
  <c r="V70" i="2"/>
  <c r="T70" i="2" s="1"/>
  <c r="W76" i="2"/>
  <c r="Z78" i="2"/>
  <c r="R79" i="2"/>
  <c r="X80" i="2"/>
  <c r="T80" i="2" s="1"/>
  <c r="R81" i="2"/>
  <c r="U83" i="2"/>
  <c r="T96" i="2"/>
  <c r="O101" i="2"/>
  <c r="Y110" i="2"/>
  <c r="V112" i="2"/>
  <c r="T112" i="2" s="1"/>
  <c r="O116" i="2"/>
  <c r="C119" i="2"/>
  <c r="L130" i="2"/>
  <c r="Y130" i="2"/>
  <c r="Y132" i="2"/>
  <c r="R135" i="2"/>
  <c r="Z184" i="2"/>
  <c r="Y185" i="2"/>
  <c r="Q186" i="2"/>
  <c r="R187" i="2"/>
  <c r="Q190" i="2"/>
  <c r="U193" i="2"/>
  <c r="U206" i="2"/>
  <c r="Y243" i="2"/>
  <c r="U246" i="2"/>
  <c r="U251" i="2"/>
  <c r="V253" i="2"/>
  <c r="U254" i="2"/>
  <c r="Y255" i="2"/>
  <c r="L5" i="2"/>
  <c r="L9" i="2"/>
  <c r="L13" i="2"/>
  <c r="L17" i="2"/>
  <c r="L21" i="2"/>
  <c r="L25" i="2"/>
  <c r="L29" i="2"/>
  <c r="T36" i="2"/>
  <c r="O47" i="2"/>
  <c r="K47" i="2" s="1"/>
  <c r="P59" i="2"/>
  <c r="O60" i="2"/>
  <c r="K60" i="2" s="1"/>
  <c r="X65" i="2"/>
  <c r="L67" i="2"/>
  <c r="X71" i="2"/>
  <c r="S86" i="2"/>
  <c r="T95" i="2"/>
  <c r="W106" i="2"/>
  <c r="V123" i="2"/>
  <c r="T123" i="2" s="1"/>
  <c r="O124" i="2"/>
  <c r="V126" i="2"/>
  <c r="T126" i="2" s="1"/>
  <c r="O149" i="2"/>
  <c r="M171" i="2"/>
  <c r="R172" i="2"/>
  <c r="M173" i="2"/>
  <c r="P176" i="2"/>
  <c r="U177" i="2"/>
  <c r="P178" i="2"/>
  <c r="R179" i="2"/>
  <c r="P180" i="2"/>
  <c r="Q181" i="2"/>
  <c r="C212" i="2"/>
  <c r="X215" i="2"/>
  <c r="C219" i="2"/>
  <c r="P231" i="2"/>
  <c r="Q232" i="2"/>
  <c r="Q234" i="2"/>
  <c r="S3" i="2"/>
  <c r="S7" i="2"/>
  <c r="S11" i="2"/>
  <c r="S15" i="2"/>
  <c r="S19" i="2"/>
  <c r="L34" i="2"/>
  <c r="W43" i="2"/>
  <c r="N44" i="2"/>
  <c r="L44" i="2" s="1"/>
  <c r="X59" i="2"/>
  <c r="V60" i="2"/>
  <c r="N61" i="2"/>
  <c r="W66" i="2"/>
  <c r="K73" i="2"/>
  <c r="N75" i="2"/>
  <c r="G85" i="2"/>
  <c r="Y106" i="2"/>
  <c r="V108" i="2"/>
  <c r="O121" i="2"/>
  <c r="O127" i="2"/>
  <c r="G131" i="2"/>
  <c r="P143" i="2"/>
  <c r="L143" i="2" s="1"/>
  <c r="P144" i="2"/>
  <c r="L144" i="2" s="1"/>
  <c r="P160" i="2"/>
  <c r="Y167" i="2"/>
  <c r="Y170" i="2"/>
  <c r="Q171" i="2"/>
  <c r="Q173" i="2"/>
  <c r="P174" i="2"/>
  <c r="X178" i="2"/>
  <c r="N182" i="2"/>
  <c r="L182" i="2" s="1"/>
  <c r="N183" i="2"/>
  <c r="Q210" i="2"/>
  <c r="Z215" i="2"/>
  <c r="Q227" i="2"/>
  <c r="R233" i="2"/>
  <c r="G244" i="2"/>
  <c r="T2" i="2"/>
  <c r="T3" i="2"/>
  <c r="T6" i="2"/>
  <c r="T10" i="2"/>
  <c r="T14" i="2"/>
  <c r="T18" i="2"/>
  <c r="T22" i="2"/>
  <c r="T26" i="2"/>
  <c r="T30" i="2"/>
  <c r="L35" i="2"/>
  <c r="L36" i="2"/>
  <c r="L39" i="2"/>
  <c r="X47" i="2"/>
  <c r="O62" i="2"/>
  <c r="K62" i="2" s="1"/>
  <c r="K67" i="2"/>
  <c r="X73" i="2"/>
  <c r="G99" i="2"/>
  <c r="G100" i="2"/>
  <c r="G102" i="2"/>
  <c r="G103" i="2"/>
  <c r="G106" i="2"/>
  <c r="O109" i="2"/>
  <c r="G114" i="2"/>
  <c r="V127" i="2"/>
  <c r="T127" i="2" s="1"/>
  <c r="X141" i="2"/>
  <c r="N157" i="2"/>
  <c r="N158" i="2"/>
  <c r="W159" i="2"/>
  <c r="Z182" i="2"/>
  <c r="R183" i="2"/>
  <c r="X197" i="2"/>
  <c r="T197" i="2" s="1"/>
  <c r="R198" i="2"/>
  <c r="N203" i="2"/>
  <c r="R209" i="2"/>
  <c r="K2" i="2"/>
  <c r="K3" i="2"/>
  <c r="S5" i="2"/>
  <c r="S6" i="2"/>
  <c r="S9" i="2"/>
  <c r="S10" i="2"/>
  <c r="S13" i="2"/>
  <c r="S14" i="2"/>
  <c r="S17" i="2"/>
  <c r="S18" i="2"/>
  <c r="S21" i="2"/>
  <c r="S26" i="2"/>
  <c r="S29" i="2"/>
  <c r="S30" i="2"/>
  <c r="K31" i="2"/>
  <c r="K38" i="2"/>
  <c r="N40" i="2"/>
  <c r="L40" i="2" s="1"/>
  <c r="N45" i="2"/>
  <c r="N63" i="2"/>
  <c r="L63" i="2" s="1"/>
  <c r="W68" i="2"/>
  <c r="G81" i="2"/>
  <c r="V86" i="2"/>
  <c r="T86" i="2" s="1"/>
  <c r="V87" i="2"/>
  <c r="T87" i="2" s="1"/>
  <c r="W89" i="2"/>
  <c r="V90" i="2"/>
  <c r="T90" i="2" s="1"/>
  <c r="T101" i="2"/>
  <c r="G104" i="2"/>
  <c r="O128" i="2"/>
  <c r="V129" i="2"/>
  <c r="T129" i="2" s="1"/>
  <c r="N155" i="2"/>
  <c r="X156" i="2"/>
  <c r="T156" i="2" s="1"/>
  <c r="W157" i="2"/>
  <c r="P158" i="2"/>
  <c r="K160" i="2"/>
  <c r="T170" i="2"/>
  <c r="Z183" i="2"/>
  <c r="M184" i="2"/>
  <c r="M192" i="2"/>
  <c r="N195" i="2"/>
  <c r="Y196" i="2"/>
  <c r="Q199" i="2"/>
  <c r="M200" i="2"/>
  <c r="M201" i="2"/>
  <c r="N202" i="2"/>
  <c r="W204" i="2"/>
  <c r="P205" i="2"/>
  <c r="M206" i="2"/>
  <c r="S215" i="2"/>
  <c r="N240" i="2"/>
  <c r="G248" i="2"/>
  <c r="N253" i="2"/>
  <c r="U265" i="2"/>
  <c r="M266" i="2"/>
  <c r="M267" i="2"/>
  <c r="O148" i="2"/>
  <c r="P148" i="2"/>
  <c r="L148" i="2" s="1"/>
  <c r="W237" i="2"/>
  <c r="X237" i="2"/>
  <c r="L3" i="2"/>
  <c r="L7" i="2"/>
  <c r="L11" i="2"/>
  <c r="L15" i="2"/>
  <c r="L19" i="2"/>
  <c r="L23" i="2"/>
  <c r="L27" i="2"/>
  <c r="S32" i="2"/>
  <c r="S33" i="2"/>
  <c r="T38" i="2"/>
  <c r="O40" i="2"/>
  <c r="K40" i="2" s="1"/>
  <c r="O42" i="2"/>
  <c r="K42" i="2" s="1"/>
  <c r="O44" i="2"/>
  <c r="K44" i="2" s="1"/>
  <c r="S45" i="2"/>
  <c r="O46" i="2"/>
  <c r="U47" i="2"/>
  <c r="S47" i="2" s="1"/>
  <c r="V47" i="2"/>
  <c r="U51" i="2"/>
  <c r="S51" i="2" s="1"/>
  <c r="V51" i="2"/>
  <c r="U63" i="2"/>
  <c r="S63" i="2" s="1"/>
  <c r="V63" i="2"/>
  <c r="X79" i="2"/>
  <c r="W79" i="2"/>
  <c r="G98" i="2"/>
  <c r="P103" i="2"/>
  <c r="O103" i="2"/>
  <c r="Y104" i="2"/>
  <c r="Z107" i="2"/>
  <c r="Y107" i="2"/>
  <c r="U109" i="2"/>
  <c r="G109" i="2"/>
  <c r="V109" i="2"/>
  <c r="T109" i="2" s="1"/>
  <c r="R122" i="2"/>
  <c r="Q122" i="2"/>
  <c r="P132" i="2"/>
  <c r="O132" i="2"/>
  <c r="Y137" i="2"/>
  <c r="Z137" i="2"/>
  <c r="O145" i="2"/>
  <c r="P145" i="2"/>
  <c r="L145" i="2" s="1"/>
  <c r="N160" i="2"/>
  <c r="W231" i="2"/>
  <c r="S231" i="2" s="1"/>
  <c r="X231" i="2"/>
  <c r="W234" i="2"/>
  <c r="X234" i="2"/>
  <c r="P86" i="2"/>
  <c r="O86" i="2"/>
  <c r="U107" i="2"/>
  <c r="G107" i="2"/>
  <c r="V107" i="2"/>
  <c r="T107" i="2" s="1"/>
  <c r="Z113" i="2"/>
  <c r="Y113" i="2"/>
  <c r="O227" i="2"/>
  <c r="P227" i="2"/>
  <c r="L227" i="2" s="1"/>
  <c r="C227" i="2"/>
  <c r="L42" i="2"/>
  <c r="M48" i="2"/>
  <c r="N48" i="2"/>
  <c r="M58" i="2"/>
  <c r="K58" i="2" s="1"/>
  <c r="N58" i="2"/>
  <c r="U73" i="2"/>
  <c r="S73" i="2" s="1"/>
  <c r="V73" i="2"/>
  <c r="P87" i="2"/>
  <c r="O87" i="2"/>
  <c r="Y222" i="2"/>
  <c r="Z222" i="2"/>
  <c r="W236" i="2"/>
  <c r="S236" i="2" s="1"/>
  <c r="X236" i="2"/>
  <c r="N239" i="2"/>
  <c r="C239" i="2"/>
  <c r="N265" i="2"/>
  <c r="C265" i="2"/>
  <c r="M265" i="2"/>
  <c r="L38" i="2"/>
  <c r="M54" i="2"/>
  <c r="K54" i="2" s="1"/>
  <c r="N54" i="2"/>
  <c r="L54" i="2" s="1"/>
  <c r="N55" i="2"/>
  <c r="U57" i="2"/>
  <c r="S57" i="2" s="1"/>
  <c r="V57" i="2"/>
  <c r="T57" i="2" s="1"/>
  <c r="K59" i="2"/>
  <c r="U69" i="2"/>
  <c r="S69" i="2" s="1"/>
  <c r="V69" i="2"/>
  <c r="O72" i="2"/>
  <c r="K72" i="2" s="1"/>
  <c r="U88" i="2"/>
  <c r="G88" i="2"/>
  <c r="V88" i="2"/>
  <c r="T88" i="2" s="1"/>
  <c r="U89" i="2"/>
  <c r="V89" i="2"/>
  <c r="T89" i="2" s="1"/>
  <c r="U92" i="2"/>
  <c r="V92" i="2"/>
  <c r="T92" i="2" s="1"/>
  <c r="G92" i="2"/>
  <c r="P104" i="2"/>
  <c r="O104" i="2"/>
  <c r="Z115" i="2"/>
  <c r="P126" i="2"/>
  <c r="O126" i="2"/>
  <c r="W146" i="2"/>
  <c r="X146" i="2"/>
  <c r="T146" i="2" s="1"/>
  <c r="X166" i="2"/>
  <c r="W166" i="2"/>
  <c r="S166" i="2" s="1"/>
  <c r="Q202" i="2"/>
  <c r="R202" i="2"/>
  <c r="V204" i="2"/>
  <c r="T204" i="2" s="1"/>
  <c r="U204" i="2"/>
  <c r="R226" i="2"/>
  <c r="Q226" i="2"/>
  <c r="W228" i="2"/>
  <c r="S228" i="2" s="1"/>
  <c r="X228" i="2"/>
  <c r="N262" i="2"/>
  <c r="C262" i="2"/>
  <c r="M262" i="2"/>
  <c r="U61" i="2"/>
  <c r="V61" i="2"/>
  <c r="P89" i="2"/>
  <c r="O89" i="2"/>
  <c r="P118" i="2"/>
  <c r="O118" i="2"/>
  <c r="U137" i="2"/>
  <c r="V137" i="2"/>
  <c r="R229" i="2"/>
  <c r="Q229" i="2"/>
  <c r="X85" i="2"/>
  <c r="W85" i="2"/>
  <c r="S85" i="2" s="1"/>
  <c r="Z109" i="2"/>
  <c r="Y109" i="2"/>
  <c r="V191" i="2"/>
  <c r="U191" i="2"/>
  <c r="Y198" i="2"/>
  <c r="Z198" i="2"/>
  <c r="T20" i="2"/>
  <c r="K21" i="2"/>
  <c r="T24" i="2"/>
  <c r="K25" i="2"/>
  <c r="T28" i="2"/>
  <c r="K29" i="2"/>
  <c r="L32" i="2"/>
  <c r="L45" i="2"/>
  <c r="M50" i="2"/>
  <c r="K50" i="2" s="1"/>
  <c r="N50" i="2"/>
  <c r="U53" i="2"/>
  <c r="S53" i="2" s="1"/>
  <c r="V53" i="2"/>
  <c r="T53" i="2" s="1"/>
  <c r="K55" i="2"/>
  <c r="X55" i="2"/>
  <c r="T62" i="2"/>
  <c r="U65" i="2"/>
  <c r="S65" i="2" s="1"/>
  <c r="V65" i="2"/>
  <c r="O68" i="2"/>
  <c r="K68" i="2" s="1"/>
  <c r="Y77" i="2"/>
  <c r="P80" i="2"/>
  <c r="Z81" i="2"/>
  <c r="Y81" i="2"/>
  <c r="Y82" i="2"/>
  <c r="Z82" i="2"/>
  <c r="X84" i="2"/>
  <c r="W84" i="2"/>
  <c r="S84" i="2" s="1"/>
  <c r="U119" i="2"/>
  <c r="V119" i="2"/>
  <c r="G120" i="2"/>
  <c r="U124" i="2"/>
  <c r="V124" i="2"/>
  <c r="T124" i="2" s="1"/>
  <c r="Y128" i="2"/>
  <c r="O129" i="2"/>
  <c r="U132" i="2"/>
  <c r="V132" i="2"/>
  <c r="T132" i="2" s="1"/>
  <c r="G135" i="2"/>
  <c r="P142" i="2"/>
  <c r="L142" i="2" s="1"/>
  <c r="W145" i="2"/>
  <c r="X145" i="2"/>
  <c r="P147" i="2"/>
  <c r="R177" i="2"/>
  <c r="Q177" i="2"/>
  <c r="V242" i="2"/>
  <c r="U242" i="2"/>
  <c r="M52" i="2"/>
  <c r="N52" i="2"/>
  <c r="L52" i="2" s="1"/>
  <c r="U55" i="2"/>
  <c r="S55" i="2" s="1"/>
  <c r="V55" i="2"/>
  <c r="U67" i="2"/>
  <c r="V67" i="2"/>
  <c r="T67" i="2" s="1"/>
  <c r="P99" i="2"/>
  <c r="O99" i="2"/>
  <c r="Z105" i="2"/>
  <c r="Y105" i="2"/>
  <c r="Z134" i="2"/>
  <c r="Y134" i="2"/>
  <c r="T40" i="2"/>
  <c r="U75" i="2"/>
  <c r="S75" i="2" s="1"/>
  <c r="V75" i="2"/>
  <c r="U111" i="2"/>
  <c r="G111" i="2"/>
  <c r="V111" i="2"/>
  <c r="T111" i="2" s="1"/>
  <c r="W185" i="2"/>
  <c r="X185" i="2"/>
  <c r="K4" i="2"/>
  <c r="K8" i="2"/>
  <c r="K12" i="2"/>
  <c r="K16" i="2"/>
  <c r="K20" i="2"/>
  <c r="K24" i="2"/>
  <c r="K28" i="2"/>
  <c r="S31" i="2"/>
  <c r="K34" i="2"/>
  <c r="T35" i="2"/>
  <c r="K36" i="2"/>
  <c r="T39" i="2"/>
  <c r="O41" i="2"/>
  <c r="K41" i="2" s="1"/>
  <c r="O43" i="2"/>
  <c r="K43" i="2" s="1"/>
  <c r="O45" i="2"/>
  <c r="S46" i="2"/>
  <c r="U49" i="2"/>
  <c r="S49" i="2" s="1"/>
  <c r="V49" i="2"/>
  <c r="W50" i="2"/>
  <c r="S50" i="2" s="1"/>
  <c r="O52" i="2"/>
  <c r="M56" i="2"/>
  <c r="K56" i="2" s="1"/>
  <c r="N56" i="2"/>
  <c r="N57" i="2"/>
  <c r="L57" i="2" s="1"/>
  <c r="U59" i="2"/>
  <c r="S59" i="2" s="1"/>
  <c r="V59" i="2"/>
  <c r="T59" i="2" s="1"/>
  <c r="U71" i="2"/>
  <c r="S71" i="2" s="1"/>
  <c r="V71" i="2"/>
  <c r="T71" i="2" s="1"/>
  <c r="O74" i="2"/>
  <c r="K74" i="2" s="1"/>
  <c r="R83" i="2"/>
  <c r="O90" i="2"/>
  <c r="W92" i="2"/>
  <c r="O93" i="2"/>
  <c r="O100" i="2"/>
  <c r="U105" i="2"/>
  <c r="G105" i="2"/>
  <c r="V105" i="2"/>
  <c r="T105" i="2" s="1"/>
  <c r="Z111" i="2"/>
  <c r="Y111" i="2"/>
  <c r="U113" i="2"/>
  <c r="G113" i="2"/>
  <c r="V113" i="2"/>
  <c r="T113" i="2" s="1"/>
  <c r="R116" i="2"/>
  <c r="Q116" i="2"/>
  <c r="U134" i="2"/>
  <c r="G134" i="2"/>
  <c r="V134" i="2"/>
  <c r="T134" i="2" s="1"/>
  <c r="R138" i="2"/>
  <c r="Q138" i="2"/>
  <c r="W140" i="2"/>
  <c r="X140" i="2"/>
  <c r="X153" i="2"/>
  <c r="T153" i="2" s="1"/>
  <c r="P157" i="2"/>
  <c r="O157" i="2"/>
  <c r="Z197" i="2"/>
  <c r="R237" i="2"/>
  <c r="Q237" i="2"/>
  <c r="O146" i="2"/>
  <c r="P146" i="2"/>
  <c r="L146" i="2" s="1"/>
  <c r="X175" i="2"/>
  <c r="T175" i="2" s="1"/>
  <c r="G175" i="2"/>
  <c r="N241" i="2"/>
  <c r="C241" i="2"/>
  <c r="M241" i="2"/>
  <c r="Q78" i="2"/>
  <c r="W82" i="2"/>
  <c r="X82" i="2"/>
  <c r="U91" i="2"/>
  <c r="G91" i="2"/>
  <c r="V91" i="2"/>
  <c r="T91" i="2" s="1"/>
  <c r="U121" i="2"/>
  <c r="V121" i="2"/>
  <c r="G121" i="2"/>
  <c r="W144" i="2"/>
  <c r="X144" i="2"/>
  <c r="T144" i="2" s="1"/>
  <c r="V187" i="2"/>
  <c r="U187" i="2"/>
  <c r="W208" i="2"/>
  <c r="X208" i="2"/>
  <c r="N215" i="2"/>
  <c r="L215" i="2" s="1"/>
  <c r="C215" i="2"/>
  <c r="L4" i="2"/>
  <c r="L8" i="2"/>
  <c r="L12" i="2"/>
  <c r="L16" i="2"/>
  <c r="L20" i="2"/>
  <c r="L24" i="2"/>
  <c r="L28" i="2"/>
  <c r="T31" i="2"/>
  <c r="K35" i="2"/>
  <c r="K39" i="2"/>
  <c r="K45" i="2"/>
  <c r="X51" i="2"/>
  <c r="W56" i="2"/>
  <c r="O64" i="2"/>
  <c r="K64" i="2" s="1"/>
  <c r="T77" i="2"/>
  <c r="P78" i="2"/>
  <c r="O78" i="2"/>
  <c r="T94" i="2"/>
  <c r="V115" i="2"/>
  <c r="T115" i="2" s="1"/>
  <c r="G115" i="2"/>
  <c r="U115" i="2"/>
  <c r="Z119" i="2"/>
  <c r="Y119" i="2"/>
  <c r="O123" i="2"/>
  <c r="Z124" i="2"/>
  <c r="Y124" i="2"/>
  <c r="G128" i="2"/>
  <c r="T130" i="2"/>
  <c r="Z131" i="2"/>
  <c r="Y131" i="2"/>
  <c r="X143" i="2"/>
  <c r="L147" i="2"/>
  <c r="U179" i="2"/>
  <c r="V179" i="2"/>
  <c r="W180" i="2"/>
  <c r="X180" i="2"/>
  <c r="Z191" i="2"/>
  <c r="O232" i="2"/>
  <c r="C232" i="2"/>
  <c r="Z242" i="2"/>
  <c r="Y242" i="2"/>
  <c r="Z244" i="2"/>
  <c r="Y244" i="2"/>
  <c r="G247" i="2"/>
  <c r="V247" i="2"/>
  <c r="T247" i="2" s="1"/>
  <c r="U247" i="2"/>
  <c r="G250" i="2"/>
  <c r="U250" i="2"/>
  <c r="V250" i="2"/>
  <c r="T250" i="2" s="1"/>
  <c r="Z252" i="2"/>
  <c r="Y252" i="2"/>
  <c r="K66" i="2"/>
  <c r="K70" i="2"/>
  <c r="C78" i="2"/>
  <c r="X78" i="2"/>
  <c r="C80" i="2"/>
  <c r="S82" i="2"/>
  <c r="V114" i="2"/>
  <c r="T114" i="2" s="1"/>
  <c r="R136" i="2"/>
  <c r="W149" i="2"/>
  <c r="X149" i="2"/>
  <c r="W152" i="2"/>
  <c r="X152" i="2"/>
  <c r="O154" i="2"/>
  <c r="K154" i="2" s="1"/>
  <c r="O168" i="2"/>
  <c r="X188" i="2"/>
  <c r="G188" i="2"/>
  <c r="W200" i="2"/>
  <c r="S200" i="2" s="1"/>
  <c r="G200" i="2"/>
  <c r="R208" i="2"/>
  <c r="Q208" i="2"/>
  <c r="Y219" i="2"/>
  <c r="Z219" i="2"/>
  <c r="R228" i="2"/>
  <c r="Q228" i="2"/>
  <c r="G245" i="2"/>
  <c r="U245" i="2"/>
  <c r="G252" i="2"/>
  <c r="V252" i="2"/>
  <c r="U252" i="2"/>
  <c r="G255" i="2"/>
  <c r="U255" i="2"/>
  <c r="S54" i="2"/>
  <c r="S56" i="2"/>
  <c r="S64" i="2"/>
  <c r="S70" i="2"/>
  <c r="S72" i="2"/>
  <c r="S76" i="2"/>
  <c r="G78" i="2"/>
  <c r="L79" i="2"/>
  <c r="U79" i="2"/>
  <c r="L81" i="2"/>
  <c r="O82" i="2"/>
  <c r="S106" i="2"/>
  <c r="S108" i="2"/>
  <c r="S112" i="2"/>
  <c r="S114" i="2"/>
  <c r="P159" i="2"/>
  <c r="O159" i="2"/>
  <c r="O170" i="2"/>
  <c r="P170" i="2"/>
  <c r="L170" i="2" s="1"/>
  <c r="V182" i="2"/>
  <c r="U182" i="2"/>
  <c r="N220" i="2"/>
  <c r="C220" i="2"/>
  <c r="R223" i="2"/>
  <c r="Q223" i="2"/>
  <c r="W226" i="2"/>
  <c r="X226" i="2"/>
  <c r="Z247" i="2"/>
  <c r="Y247" i="2"/>
  <c r="G260" i="2"/>
  <c r="V260" i="2"/>
  <c r="U260" i="2"/>
  <c r="G261" i="2"/>
  <c r="U261" i="2"/>
  <c r="G264" i="2"/>
  <c r="U264" i="2"/>
  <c r="V79" i="2"/>
  <c r="V82" i="2"/>
  <c r="T83" i="2"/>
  <c r="V85" i="2"/>
  <c r="G87" i="2"/>
  <c r="W91" i="2"/>
  <c r="O92" i="2"/>
  <c r="W115" i="2"/>
  <c r="V131" i="2"/>
  <c r="T131" i="2" s="1"/>
  <c r="R140" i="2"/>
  <c r="K149" i="2"/>
  <c r="M150" i="2"/>
  <c r="K150" i="2" s="1"/>
  <c r="N150" i="2"/>
  <c r="X163" i="2"/>
  <c r="W163" i="2"/>
  <c r="O167" i="2"/>
  <c r="K167" i="2" s="1"/>
  <c r="P167" i="2"/>
  <c r="N172" i="2"/>
  <c r="M172" i="2"/>
  <c r="X173" i="2"/>
  <c r="N190" i="2"/>
  <c r="M190" i="2"/>
  <c r="X200" i="2"/>
  <c r="T200" i="2" s="1"/>
  <c r="R218" i="2"/>
  <c r="Q218" i="2"/>
  <c r="N243" i="2"/>
  <c r="M243" i="2"/>
  <c r="W77" i="2"/>
  <c r="C82" i="2"/>
  <c r="L84" i="2"/>
  <c r="S87" i="2"/>
  <c r="W88" i="2"/>
  <c r="G94" i="2"/>
  <c r="G96" i="2"/>
  <c r="G97" i="2"/>
  <c r="V98" i="2"/>
  <c r="T98" i="2" s="1"/>
  <c r="G101" i="2"/>
  <c r="V102" i="2"/>
  <c r="T102" i="2" s="1"/>
  <c r="W105" i="2"/>
  <c r="W107" i="2"/>
  <c r="W109" i="2"/>
  <c r="W111" i="2"/>
  <c r="W113" i="2"/>
  <c r="Z117" i="2"/>
  <c r="O122" i="2"/>
  <c r="O125" i="2"/>
  <c r="G130" i="2"/>
  <c r="Y139" i="2"/>
  <c r="C174" i="2"/>
  <c r="N174" i="2"/>
  <c r="C176" i="2"/>
  <c r="N176" i="2"/>
  <c r="C178" i="2"/>
  <c r="N178" i="2"/>
  <c r="V196" i="2"/>
  <c r="T196" i="2" s="1"/>
  <c r="U196" i="2"/>
  <c r="G196" i="2"/>
  <c r="V197" i="2"/>
  <c r="U197" i="2"/>
  <c r="G197" i="2"/>
  <c r="U203" i="2"/>
  <c r="Y207" i="2"/>
  <c r="Z207" i="2"/>
  <c r="R220" i="2"/>
  <c r="Q220" i="2"/>
  <c r="N60" i="2"/>
  <c r="L60" i="2" s="1"/>
  <c r="N62" i="2"/>
  <c r="L62" i="2" s="1"/>
  <c r="N64" i="2"/>
  <c r="L64" i="2" s="1"/>
  <c r="N66" i="2"/>
  <c r="L66" i="2" s="1"/>
  <c r="N68" i="2"/>
  <c r="L68" i="2" s="1"/>
  <c r="N70" i="2"/>
  <c r="L70" i="2" s="1"/>
  <c r="N72" i="2"/>
  <c r="L72" i="2" s="1"/>
  <c r="N74" i="2"/>
  <c r="L74" i="2" s="1"/>
  <c r="N76" i="2"/>
  <c r="O106" i="2"/>
  <c r="O108" i="2"/>
  <c r="O110" i="2"/>
  <c r="O112" i="2"/>
  <c r="O114" i="2"/>
  <c r="K118" i="2"/>
  <c r="L120" i="2"/>
  <c r="Y121" i="2"/>
  <c r="V125" i="2"/>
  <c r="T125" i="2" s="1"/>
  <c r="V128" i="2"/>
  <c r="T128" i="2" s="1"/>
  <c r="Z140" i="2"/>
  <c r="P141" i="2"/>
  <c r="L141" i="2" s="1"/>
  <c r="W155" i="2"/>
  <c r="X155" i="2"/>
  <c r="X158" i="2"/>
  <c r="W158" i="2"/>
  <c r="M164" i="2"/>
  <c r="C164" i="2"/>
  <c r="N164" i="2"/>
  <c r="R194" i="2"/>
  <c r="Q194" i="2"/>
  <c r="O203" i="2"/>
  <c r="K203" i="2" s="1"/>
  <c r="P203" i="2"/>
  <c r="C205" i="2"/>
  <c r="N205" i="2"/>
  <c r="W214" i="2"/>
  <c r="X214" i="2"/>
  <c r="O235" i="2"/>
  <c r="P235" i="2"/>
  <c r="L235" i="2" s="1"/>
  <c r="N248" i="2"/>
  <c r="M248" i="2"/>
  <c r="N258" i="2"/>
  <c r="M258" i="2"/>
  <c r="V261" i="2"/>
  <c r="V264" i="2"/>
  <c r="T264" i="2" s="1"/>
  <c r="X150" i="2"/>
  <c r="T150" i="2" s="1"/>
  <c r="K157" i="2"/>
  <c r="Z161" i="2"/>
  <c r="R162" i="2"/>
  <c r="G163" i="2"/>
  <c r="X172" i="2"/>
  <c r="Y173" i="2"/>
  <c r="Y177" i="2"/>
  <c r="U181" i="2"/>
  <c r="G191" i="2"/>
  <c r="Z194" i="2"/>
  <c r="Z200" i="2"/>
  <c r="P219" i="2"/>
  <c r="L219" i="2" s="1"/>
  <c r="X220" i="2"/>
  <c r="Z223" i="2"/>
  <c r="X230" i="2"/>
  <c r="X235" i="2"/>
  <c r="P239" i="2"/>
  <c r="Y245" i="2"/>
  <c r="C248" i="2"/>
  <c r="V248" i="2"/>
  <c r="T248" i="2" s="1"/>
  <c r="Y250" i="2"/>
  <c r="G257" i="2"/>
  <c r="G267" i="2"/>
  <c r="X151" i="2"/>
  <c r="T151" i="2" s="1"/>
  <c r="O152" i="2"/>
  <c r="K152" i="2" s="1"/>
  <c r="X154" i="2"/>
  <c r="T154" i="2" s="1"/>
  <c r="W160" i="2"/>
  <c r="W162" i="2"/>
  <c r="S162" i="2" s="1"/>
  <c r="U165" i="2"/>
  <c r="Z168" i="2"/>
  <c r="R174" i="2"/>
  <c r="V176" i="2"/>
  <c r="T176" i="2" s="1"/>
  <c r="Y179" i="2"/>
  <c r="N180" i="2"/>
  <c r="L180" i="2" s="1"/>
  <c r="U183" i="2"/>
  <c r="M191" i="2"/>
  <c r="X193" i="2"/>
  <c r="T193" i="2" s="1"/>
  <c r="C195" i="2"/>
  <c r="Q195" i="2"/>
  <c r="M197" i="2"/>
  <c r="K197" i="2" s="1"/>
  <c r="C201" i="2"/>
  <c r="Q201" i="2"/>
  <c r="G202" i="2"/>
  <c r="U202" i="2"/>
  <c r="W203" i="2"/>
  <c r="M204" i="2"/>
  <c r="Q205" i="2"/>
  <c r="W206" i="2"/>
  <c r="S206" i="2" s="1"/>
  <c r="R207" i="2"/>
  <c r="X209" i="2"/>
  <c r="M211" i="2"/>
  <c r="K211" i="2" s="1"/>
  <c r="Z213" i="2"/>
  <c r="Q214" i="2"/>
  <c r="Q216" i="2"/>
  <c r="X222" i="2"/>
  <c r="Q225" i="2"/>
  <c r="X227" i="2"/>
  <c r="C231" i="2"/>
  <c r="Q231" i="2"/>
  <c r="X233" i="2"/>
  <c r="C236" i="2"/>
  <c r="G243" i="2"/>
  <c r="C249" i="2"/>
  <c r="V251" i="2"/>
  <c r="T251" i="2" s="1"/>
  <c r="M252" i="2"/>
  <c r="Y253" i="2"/>
  <c r="U256" i="2"/>
  <c r="G258" i="2"/>
  <c r="N153" i="2"/>
  <c r="L153" i="2" s="1"/>
  <c r="K155" i="2"/>
  <c r="N156" i="2"/>
  <c r="L156" i="2" s="1"/>
  <c r="K158" i="2"/>
  <c r="M161" i="2"/>
  <c r="K161" i="2" s="1"/>
  <c r="P163" i="2"/>
  <c r="L163" i="2" s="1"/>
  <c r="W165" i="2"/>
  <c r="X174" i="2"/>
  <c r="M175" i="2"/>
  <c r="W176" i="2"/>
  <c r="S176" i="2" s="1"/>
  <c r="Q185" i="2"/>
  <c r="Q188" i="2"/>
  <c r="G189" i="2"/>
  <c r="U189" i="2"/>
  <c r="S189" i="2" s="1"/>
  <c r="Z190" i="2"/>
  <c r="G192" i="2"/>
  <c r="U192" i="2"/>
  <c r="Y193" i="2"/>
  <c r="M194" i="2"/>
  <c r="Q200" i="2"/>
  <c r="W202" i="2"/>
  <c r="P208" i="2"/>
  <c r="C211" i="2"/>
  <c r="Q211" i="2"/>
  <c r="C216" i="2"/>
  <c r="P223" i="2"/>
  <c r="L223" i="2" s="1"/>
  <c r="X224" i="2"/>
  <c r="Z227" i="2"/>
  <c r="Y239" i="2"/>
  <c r="Y251" i="2"/>
  <c r="V256" i="2"/>
  <c r="T256" i="2" s="1"/>
  <c r="O153" i="2"/>
  <c r="K153" i="2" s="1"/>
  <c r="O156" i="2"/>
  <c r="K156" i="2" s="1"/>
  <c r="N159" i="2"/>
  <c r="Z160" i="2"/>
  <c r="N161" i="2"/>
  <c r="Z162" i="2"/>
  <c r="U173" i="2"/>
  <c r="S173" i="2" s="1"/>
  <c r="Y178" i="2"/>
  <c r="M179" i="2"/>
  <c r="Q182" i="2"/>
  <c r="M187" i="2"/>
  <c r="X189" i="2"/>
  <c r="Q191" i="2"/>
  <c r="Y192" i="2"/>
  <c r="G195" i="2"/>
  <c r="U195" i="2"/>
  <c r="M196" i="2"/>
  <c r="Q197" i="2"/>
  <c r="U198" i="2"/>
  <c r="T201" i="2"/>
  <c r="W201" i="2"/>
  <c r="W205" i="2"/>
  <c r="X219" i="2"/>
  <c r="C223" i="2"/>
  <c r="X225" i="2"/>
  <c r="C228" i="2"/>
  <c r="Z234" i="2"/>
  <c r="Q238" i="2"/>
  <c r="G239" i="2"/>
  <c r="P240" i="2"/>
  <c r="L240" i="2" s="1"/>
  <c r="M245" i="2"/>
  <c r="M250" i="2"/>
  <c r="M255" i="2"/>
  <c r="M261" i="2"/>
  <c r="C263" i="2"/>
  <c r="M264" i="2"/>
  <c r="P161" i="2"/>
  <c r="C167" i="2"/>
  <c r="W167" i="2"/>
  <c r="Z169" i="2"/>
  <c r="G173" i="2"/>
  <c r="Q175" i="2"/>
  <c r="Z180" i="2"/>
  <c r="M181" i="2"/>
  <c r="Q184" i="2"/>
  <c r="G185" i="2"/>
  <c r="U185" i="2"/>
  <c r="Z186" i="2"/>
  <c r="U188" i="2"/>
  <c r="Y189" i="2"/>
  <c r="M193" i="2"/>
  <c r="Z202" i="2"/>
  <c r="C235" i="2"/>
  <c r="Y240" i="2"/>
  <c r="C245" i="2"/>
  <c r="Y249" i="2"/>
  <c r="Y254" i="2"/>
  <c r="U257" i="2"/>
  <c r="C264" i="2"/>
  <c r="U267" i="2"/>
  <c r="N154" i="2"/>
  <c r="L154" i="2" s="1"/>
  <c r="T158" i="2"/>
  <c r="K159" i="2"/>
  <c r="U164" i="2"/>
  <c r="C170" i="2"/>
  <c r="Y171" i="2"/>
  <c r="U175" i="2"/>
  <c r="C194" i="2"/>
  <c r="Z201" i="2"/>
  <c r="C203" i="2"/>
  <c r="X211" i="2"/>
  <c r="X217" i="2"/>
  <c r="S224" i="2"/>
  <c r="Z226" i="2"/>
  <c r="X238" i="2"/>
  <c r="G249" i="2"/>
  <c r="G254" i="2"/>
  <c r="V257" i="2"/>
  <c r="T257" i="2" s="1"/>
  <c r="G263" i="2"/>
  <c r="G266" i="2"/>
  <c r="V267" i="2"/>
  <c r="S212" i="2"/>
  <c r="T265" i="2"/>
  <c r="K214" i="2"/>
  <c r="S219" i="2"/>
  <c r="K210" i="2"/>
  <c r="S227" i="2"/>
  <c r="L231" i="2"/>
  <c r="S211" i="2"/>
  <c r="S220" i="2"/>
  <c r="K209" i="2"/>
  <c r="S223" i="2"/>
  <c r="M82" i="2"/>
  <c r="C86" i="2"/>
  <c r="M86" i="2"/>
  <c r="N86" i="2"/>
  <c r="R92" i="2"/>
  <c r="Q92" i="2"/>
  <c r="C94" i="2"/>
  <c r="M94" i="2"/>
  <c r="N94" i="2"/>
  <c r="L94" i="2" s="1"/>
  <c r="C97" i="2"/>
  <c r="M97" i="2"/>
  <c r="N97" i="2"/>
  <c r="L97" i="2" s="1"/>
  <c r="C99" i="2"/>
  <c r="M99" i="2"/>
  <c r="K99" i="2" s="1"/>
  <c r="N99" i="2"/>
  <c r="L99" i="2" s="1"/>
  <c r="C101" i="2"/>
  <c r="M101" i="2"/>
  <c r="K101" i="2" s="1"/>
  <c r="N101" i="2"/>
  <c r="L101" i="2" s="1"/>
  <c r="C103" i="2"/>
  <c r="M103" i="2"/>
  <c r="N103" i="2"/>
  <c r="C106" i="2"/>
  <c r="M106" i="2"/>
  <c r="K106" i="2" s="1"/>
  <c r="N106" i="2"/>
  <c r="L106" i="2" s="1"/>
  <c r="R107" i="2"/>
  <c r="Q107" i="2"/>
  <c r="C110" i="2"/>
  <c r="M110" i="2"/>
  <c r="N110" i="2"/>
  <c r="L110" i="2" s="1"/>
  <c r="R111" i="2"/>
  <c r="Q111" i="2"/>
  <c r="C114" i="2"/>
  <c r="M114" i="2"/>
  <c r="N114" i="2"/>
  <c r="L114" i="2" s="1"/>
  <c r="R115" i="2"/>
  <c r="Q115" i="2"/>
  <c r="V116" i="2"/>
  <c r="U116" i="2"/>
  <c r="S116" i="2" s="1"/>
  <c r="G116" i="2"/>
  <c r="X119" i="2"/>
  <c r="W11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C79" i="2"/>
  <c r="M79" i="2"/>
  <c r="G80" i="2"/>
  <c r="N82" i="2"/>
  <c r="L82" i="2" s="1"/>
  <c r="Y84" i="2"/>
  <c r="Z85" i="2"/>
  <c r="Y85" i="2"/>
  <c r="R89" i="2"/>
  <c r="Q89" i="2"/>
  <c r="C91" i="2"/>
  <c r="M91" i="2"/>
  <c r="N91" i="2"/>
  <c r="R124" i="2"/>
  <c r="Q124" i="2"/>
  <c r="R128" i="2"/>
  <c r="Q128" i="2"/>
  <c r="R86" i="2"/>
  <c r="Q86" i="2"/>
  <c r="R94" i="2"/>
  <c r="Q94" i="2"/>
  <c r="R101" i="2"/>
  <c r="Q101" i="2"/>
  <c r="C105" i="2"/>
  <c r="M105" i="2"/>
  <c r="K105" i="2" s="1"/>
  <c r="Q40" i="2"/>
  <c r="Y40" i="2"/>
  <c r="Q41" i="2"/>
  <c r="Y41" i="2"/>
  <c r="Q42" i="2"/>
  <c r="Y42" i="2"/>
  <c r="Q43" i="2"/>
  <c r="Y43" i="2"/>
  <c r="Q44" i="2"/>
  <c r="Y44" i="2"/>
  <c r="Q45" i="2"/>
  <c r="Y45" i="2"/>
  <c r="Q46" i="2"/>
  <c r="Y46" i="2"/>
  <c r="Q47" i="2"/>
  <c r="Y47" i="2"/>
  <c r="Q48" i="2"/>
  <c r="Y48" i="2"/>
  <c r="Q49" i="2"/>
  <c r="Y49" i="2"/>
  <c r="Q50" i="2"/>
  <c r="Y50" i="2"/>
  <c r="Q51" i="2"/>
  <c r="Y51" i="2"/>
  <c r="Q52" i="2"/>
  <c r="Y52" i="2"/>
  <c r="Q53" i="2"/>
  <c r="Y53" i="2"/>
  <c r="Q54" i="2"/>
  <c r="Y54" i="2"/>
  <c r="Q55" i="2"/>
  <c r="Y55" i="2"/>
  <c r="Q56" i="2"/>
  <c r="Y56" i="2"/>
  <c r="Q57" i="2"/>
  <c r="Y57" i="2"/>
  <c r="Q58" i="2"/>
  <c r="Y58" i="2"/>
  <c r="Q59" i="2"/>
  <c r="Y59" i="2"/>
  <c r="Q60" i="2"/>
  <c r="Y60" i="2"/>
  <c r="Q61" i="2"/>
  <c r="Y61" i="2"/>
  <c r="Q62" i="2"/>
  <c r="Y62" i="2"/>
  <c r="Q63" i="2"/>
  <c r="Y63" i="2"/>
  <c r="Q64" i="2"/>
  <c r="Y64" i="2"/>
  <c r="Q65" i="2"/>
  <c r="Y65" i="2"/>
  <c r="Q66" i="2"/>
  <c r="Y66" i="2"/>
  <c r="Q67" i="2"/>
  <c r="Y67" i="2"/>
  <c r="Q68" i="2"/>
  <c r="Y68" i="2"/>
  <c r="Q69" i="2"/>
  <c r="Y69" i="2"/>
  <c r="Q70" i="2"/>
  <c r="Y70" i="2"/>
  <c r="Q71" i="2"/>
  <c r="Y71" i="2"/>
  <c r="Q72" i="2"/>
  <c r="Y72" i="2"/>
  <c r="Q73" i="2"/>
  <c r="Y73" i="2"/>
  <c r="Q74" i="2"/>
  <c r="Y74" i="2"/>
  <c r="Q75" i="2"/>
  <c r="Y75" i="2"/>
  <c r="Q76" i="2"/>
  <c r="Y76" i="2"/>
  <c r="Q77" i="2"/>
  <c r="U78" i="2"/>
  <c r="S78" i="2" s="1"/>
  <c r="O79" i="2"/>
  <c r="R80" i="2"/>
  <c r="C81" i="2"/>
  <c r="M81" i="2"/>
  <c r="G82" i="2"/>
  <c r="O84" i="2"/>
  <c r="C85" i="2"/>
  <c r="M85" i="2"/>
  <c r="N85" i="2"/>
  <c r="R91" i="2"/>
  <c r="Q91" i="2"/>
  <c r="C93" i="2"/>
  <c r="M93" i="2"/>
  <c r="N93" i="2"/>
  <c r="L93" i="2" s="1"/>
  <c r="C95" i="2"/>
  <c r="M95" i="2"/>
  <c r="L116" i="2"/>
  <c r="G117" i="2"/>
  <c r="C126" i="2"/>
  <c r="M126" i="2"/>
  <c r="N126" i="2"/>
  <c r="Z141" i="2"/>
  <c r="Y141" i="2"/>
  <c r="U147" i="2"/>
  <c r="S147" i="2" s="1"/>
  <c r="G147" i="2"/>
  <c r="V147" i="2"/>
  <c r="R152" i="2"/>
  <c r="Q152" i="2"/>
  <c r="R97" i="2"/>
  <c r="Q97" i="2"/>
  <c r="R110" i="2"/>
  <c r="Q110" i="2"/>
  <c r="M78" i="2"/>
  <c r="V78" i="2"/>
  <c r="W81" i="2"/>
  <c r="S81" i="2" s="1"/>
  <c r="Q82" i="2"/>
  <c r="Q84" i="2"/>
  <c r="R88" i="2"/>
  <c r="Q88" i="2"/>
  <c r="C90" i="2"/>
  <c r="M90" i="2"/>
  <c r="N90" i="2"/>
  <c r="L90" i="2" s="1"/>
  <c r="C98" i="2"/>
  <c r="M98" i="2"/>
  <c r="K98" i="2" s="1"/>
  <c r="N98" i="2"/>
  <c r="L98" i="2" s="1"/>
  <c r="C100" i="2"/>
  <c r="M100" i="2"/>
  <c r="N100" i="2"/>
  <c r="L100" i="2" s="1"/>
  <c r="C102" i="2"/>
  <c r="M102" i="2"/>
  <c r="N102" i="2"/>
  <c r="L102" i="2" s="1"/>
  <c r="R105" i="2"/>
  <c r="Q105" i="2"/>
  <c r="C108" i="2"/>
  <c r="M108" i="2"/>
  <c r="N108" i="2"/>
  <c r="L108" i="2" s="1"/>
  <c r="R109" i="2"/>
  <c r="Q109" i="2"/>
  <c r="C112" i="2"/>
  <c r="M112" i="2"/>
  <c r="N112" i="2"/>
  <c r="L112" i="2" s="1"/>
  <c r="R113" i="2"/>
  <c r="Q113" i="2"/>
  <c r="X117" i="2"/>
  <c r="W117" i="2"/>
  <c r="S117" i="2" s="1"/>
  <c r="C118" i="2"/>
  <c r="N118" i="2"/>
  <c r="N105" i="2"/>
  <c r="L105" i="2" s="1"/>
  <c r="C109" i="2"/>
  <c r="M109" i="2"/>
  <c r="R114" i="2"/>
  <c r="Q114" i="2"/>
  <c r="U34" i="2"/>
  <c r="S34" i="2" s="1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N78" i="2"/>
  <c r="U80" i="2"/>
  <c r="S80" i="2" s="1"/>
  <c r="O81" i="2"/>
  <c r="X81" i="2"/>
  <c r="T81" i="2" s="1"/>
  <c r="C83" i="2"/>
  <c r="M83" i="2"/>
  <c r="K83" i="2" s="1"/>
  <c r="G84" i="2"/>
  <c r="R85" i="2"/>
  <c r="Q85" i="2"/>
  <c r="C87" i="2"/>
  <c r="M87" i="2"/>
  <c r="N87" i="2"/>
  <c r="L87" i="2" s="1"/>
  <c r="R93" i="2"/>
  <c r="Q93" i="2"/>
  <c r="R95" i="2"/>
  <c r="Q95" i="2"/>
  <c r="C96" i="2"/>
  <c r="M96" i="2"/>
  <c r="N96" i="2"/>
  <c r="L96" i="2" s="1"/>
  <c r="C104" i="2"/>
  <c r="M104" i="2"/>
  <c r="K104" i="2" s="1"/>
  <c r="N104" i="2"/>
  <c r="R126" i="2"/>
  <c r="Q126" i="2"/>
  <c r="C130" i="2"/>
  <c r="M130" i="2"/>
  <c r="C140" i="2"/>
  <c r="M140" i="2"/>
  <c r="K140" i="2" s="1"/>
  <c r="N140" i="2"/>
  <c r="U143" i="2"/>
  <c r="S143" i="2" s="1"/>
  <c r="G143" i="2"/>
  <c r="V143" i="2"/>
  <c r="R103" i="2"/>
  <c r="Q103" i="2"/>
  <c r="R106" i="2"/>
  <c r="Q106" i="2"/>
  <c r="N109" i="2"/>
  <c r="L109" i="2" s="1"/>
  <c r="C197" i="2"/>
  <c r="P197" i="2"/>
  <c r="L197" i="2" s="1"/>
  <c r="U77" i="2"/>
  <c r="M80" i="2"/>
  <c r="K80" i="2" s="1"/>
  <c r="W83" i="2"/>
  <c r="R90" i="2"/>
  <c r="Q90" i="2"/>
  <c r="C92" i="2"/>
  <c r="M92" i="2"/>
  <c r="N92" i="2"/>
  <c r="L92" i="2" s="1"/>
  <c r="R98" i="2"/>
  <c r="Q98" i="2"/>
  <c r="R100" i="2"/>
  <c r="Q100" i="2"/>
  <c r="R102" i="2"/>
  <c r="Q102" i="2"/>
  <c r="C107" i="2"/>
  <c r="M107" i="2"/>
  <c r="K107" i="2" s="1"/>
  <c r="N107" i="2"/>
  <c r="L107" i="2" s="1"/>
  <c r="R108" i="2"/>
  <c r="Q108" i="2"/>
  <c r="C111" i="2"/>
  <c r="M111" i="2"/>
  <c r="N111" i="2"/>
  <c r="R112" i="2"/>
  <c r="Q112" i="2"/>
  <c r="C115" i="2"/>
  <c r="M115" i="2"/>
  <c r="K115" i="2" s="1"/>
  <c r="N115" i="2"/>
  <c r="L115" i="2" s="1"/>
  <c r="R118" i="2"/>
  <c r="Q118" i="2"/>
  <c r="G119" i="2"/>
  <c r="C120" i="2"/>
  <c r="M120" i="2"/>
  <c r="Y120" i="2"/>
  <c r="C84" i="2"/>
  <c r="M84" i="2"/>
  <c r="C88" i="2"/>
  <c r="M88" i="2"/>
  <c r="K88" i="2" s="1"/>
  <c r="R99" i="2"/>
  <c r="Q99" i="2"/>
  <c r="C113" i="2"/>
  <c r="M113" i="2"/>
  <c r="K113" i="2" s="1"/>
  <c r="R134" i="2"/>
  <c r="Q134" i="2"/>
  <c r="N80" i="2"/>
  <c r="L80" i="2" s="1"/>
  <c r="V84" i="2"/>
  <c r="T84" i="2" s="1"/>
  <c r="R87" i="2"/>
  <c r="Q87" i="2"/>
  <c r="C89" i="2"/>
  <c r="M89" i="2"/>
  <c r="N89" i="2"/>
  <c r="R96" i="2"/>
  <c r="Q96" i="2"/>
  <c r="R104" i="2"/>
  <c r="Q104" i="2"/>
  <c r="C124" i="2"/>
  <c r="M124" i="2"/>
  <c r="K124" i="2" s="1"/>
  <c r="N124" i="2"/>
  <c r="L124" i="2" s="1"/>
  <c r="C128" i="2"/>
  <c r="M128" i="2"/>
  <c r="C121" i="2"/>
  <c r="M121" i="2"/>
  <c r="N121" i="2"/>
  <c r="L121" i="2" s="1"/>
  <c r="R131" i="2"/>
  <c r="Q131" i="2"/>
  <c r="C133" i="2"/>
  <c r="M133" i="2"/>
  <c r="K133" i="2" s="1"/>
  <c r="N133" i="2"/>
  <c r="L133" i="2" s="1"/>
  <c r="W138" i="2"/>
  <c r="S138" i="2" s="1"/>
  <c r="X138" i="2"/>
  <c r="U155" i="2"/>
  <c r="G155" i="2"/>
  <c r="O94" i="2"/>
  <c r="W94" i="2"/>
  <c r="S94" i="2" s="1"/>
  <c r="G95" i="2"/>
  <c r="O95" i="2"/>
  <c r="W95" i="2"/>
  <c r="S95" i="2" s="1"/>
  <c r="O96" i="2"/>
  <c r="W96" i="2"/>
  <c r="S96" i="2" s="1"/>
  <c r="W97" i="2"/>
  <c r="S97" i="2" s="1"/>
  <c r="W98" i="2"/>
  <c r="S98" i="2" s="1"/>
  <c r="W99" i="2"/>
  <c r="S99" i="2" s="1"/>
  <c r="W100" i="2"/>
  <c r="S100" i="2" s="1"/>
  <c r="W101" i="2"/>
  <c r="S101" i="2" s="1"/>
  <c r="W102" i="2"/>
  <c r="S102" i="2" s="1"/>
  <c r="W103" i="2"/>
  <c r="S103" i="2" s="1"/>
  <c r="W104" i="2"/>
  <c r="S104" i="2" s="1"/>
  <c r="M117" i="2"/>
  <c r="K117" i="2" s="1"/>
  <c r="V117" i="2"/>
  <c r="O120" i="2"/>
  <c r="Q121" i="2"/>
  <c r="X122" i="2"/>
  <c r="W122" i="2"/>
  <c r="S122" i="2" s="1"/>
  <c r="G122" i="2"/>
  <c r="R133" i="2"/>
  <c r="Q133" i="2"/>
  <c r="U149" i="2"/>
  <c r="G149" i="2"/>
  <c r="V149" i="2"/>
  <c r="Q163" i="2"/>
  <c r="R163" i="2"/>
  <c r="N117" i="2"/>
  <c r="L117" i="2" s="1"/>
  <c r="Q120" i="2"/>
  <c r="C123" i="2"/>
  <c r="M123" i="2"/>
  <c r="C125" i="2"/>
  <c r="M125" i="2"/>
  <c r="C127" i="2"/>
  <c r="M127" i="2"/>
  <c r="R130" i="2"/>
  <c r="Q130" i="2"/>
  <c r="C132" i="2"/>
  <c r="M132" i="2"/>
  <c r="K132" i="2" s="1"/>
  <c r="N132" i="2"/>
  <c r="O135" i="2"/>
  <c r="P135" i="2"/>
  <c r="L135" i="2" s="1"/>
  <c r="R150" i="2"/>
  <c r="Q150" i="2"/>
  <c r="R159" i="2"/>
  <c r="Q159" i="2"/>
  <c r="O181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M119" i="2"/>
  <c r="K119" i="2" s="1"/>
  <c r="C129" i="2"/>
  <c r="M129" i="2"/>
  <c r="N129" i="2"/>
  <c r="L129" i="2" s="1"/>
  <c r="U145" i="2"/>
  <c r="G145" i="2"/>
  <c r="V145" i="2"/>
  <c r="O172" i="2"/>
  <c r="P172" i="2"/>
  <c r="C116" i="2"/>
  <c r="M116" i="2"/>
  <c r="K116" i="2" s="1"/>
  <c r="N119" i="2"/>
  <c r="V120" i="2"/>
  <c r="T120" i="2" s="1"/>
  <c r="X121" i="2"/>
  <c r="W121" i="2"/>
  <c r="R123" i="2"/>
  <c r="Q123" i="2"/>
  <c r="R125" i="2"/>
  <c r="Q125" i="2"/>
  <c r="R127" i="2"/>
  <c r="Q127" i="2"/>
  <c r="R132" i="2"/>
  <c r="Q132" i="2"/>
  <c r="C134" i="2"/>
  <c r="M134" i="2"/>
  <c r="K134" i="2" s="1"/>
  <c r="N134" i="2"/>
  <c r="L134" i="2" s="1"/>
  <c r="C136" i="2"/>
  <c r="M136" i="2"/>
  <c r="K136" i="2" s="1"/>
  <c r="W137" i="2"/>
  <c r="S137" i="2" s="1"/>
  <c r="X137" i="2"/>
  <c r="Q139" i="2"/>
  <c r="R157" i="2"/>
  <c r="Q157" i="2"/>
  <c r="G167" i="2"/>
  <c r="V167" i="2"/>
  <c r="T167" i="2" s="1"/>
  <c r="U167" i="2"/>
  <c r="X177" i="2"/>
  <c r="T177" i="2" s="1"/>
  <c r="W177" i="2"/>
  <c r="S177" i="2" s="1"/>
  <c r="G177" i="2"/>
  <c r="G182" i="2"/>
  <c r="W182" i="2"/>
  <c r="X182" i="2"/>
  <c r="S118" i="2"/>
  <c r="W120" i="2"/>
  <c r="S120" i="2" s="1"/>
  <c r="C122" i="2"/>
  <c r="M122" i="2"/>
  <c r="R129" i="2"/>
  <c r="Q129" i="2"/>
  <c r="C131" i="2"/>
  <c r="M131" i="2"/>
  <c r="K131" i="2" s="1"/>
  <c r="N131" i="2"/>
  <c r="C139" i="2"/>
  <c r="M139" i="2"/>
  <c r="K139" i="2" s="1"/>
  <c r="V155" i="2"/>
  <c r="R168" i="2"/>
  <c r="Q168" i="2"/>
  <c r="X136" i="2"/>
  <c r="G138" i="2"/>
  <c r="P139" i="2"/>
  <c r="L139" i="2" s="1"/>
  <c r="M142" i="2"/>
  <c r="K142" i="2" s="1"/>
  <c r="C142" i="2"/>
  <c r="M144" i="2"/>
  <c r="K144" i="2" s="1"/>
  <c r="C144" i="2"/>
  <c r="M146" i="2"/>
  <c r="K146" i="2" s="1"/>
  <c r="C146" i="2"/>
  <c r="M148" i="2"/>
  <c r="C148" i="2"/>
  <c r="L151" i="2"/>
  <c r="U152" i="2"/>
  <c r="G152" i="2"/>
  <c r="R155" i="2"/>
  <c r="Q155" i="2"/>
  <c r="U157" i="2"/>
  <c r="S157" i="2" s="1"/>
  <c r="G157" i="2"/>
  <c r="U159" i="2"/>
  <c r="S159" i="2" s="1"/>
  <c r="G159" i="2"/>
  <c r="G161" i="2"/>
  <c r="V161" i="2"/>
  <c r="T161" i="2" s="1"/>
  <c r="U161" i="2"/>
  <c r="G123" i="2"/>
  <c r="W123" i="2"/>
  <c r="S123" i="2" s="1"/>
  <c r="G124" i="2"/>
  <c r="W124" i="2"/>
  <c r="G125" i="2"/>
  <c r="W125" i="2"/>
  <c r="S125" i="2" s="1"/>
  <c r="G126" i="2"/>
  <c r="W126" i="2"/>
  <c r="S126" i="2" s="1"/>
  <c r="G127" i="2"/>
  <c r="W127" i="2"/>
  <c r="S127" i="2" s="1"/>
  <c r="W128" i="2"/>
  <c r="S128" i="2" s="1"/>
  <c r="W129" i="2"/>
  <c r="S129" i="2" s="1"/>
  <c r="W130" i="2"/>
  <c r="S130" i="2" s="1"/>
  <c r="W131" i="2"/>
  <c r="S131" i="2" s="1"/>
  <c r="W132" i="2"/>
  <c r="W133" i="2"/>
  <c r="S133" i="2" s="1"/>
  <c r="W134" i="2"/>
  <c r="P136" i="2"/>
  <c r="L136" i="2" s="1"/>
  <c r="K137" i="2"/>
  <c r="P140" i="2"/>
  <c r="M141" i="2"/>
  <c r="K141" i="2" s="1"/>
  <c r="C141" i="2"/>
  <c r="R142" i="2"/>
  <c r="Q142" i="2"/>
  <c r="R144" i="2"/>
  <c r="Q144" i="2"/>
  <c r="R146" i="2"/>
  <c r="Q146" i="2"/>
  <c r="R148" i="2"/>
  <c r="Q148" i="2"/>
  <c r="L149" i="2"/>
  <c r="U150" i="2"/>
  <c r="S150" i="2" s="1"/>
  <c r="G150" i="2"/>
  <c r="R153" i="2"/>
  <c r="Q153" i="2"/>
  <c r="N162" i="2"/>
  <c r="C162" i="2"/>
  <c r="C137" i="2"/>
  <c r="N137" i="2"/>
  <c r="V138" i="2"/>
  <c r="Q141" i="2"/>
  <c r="U142" i="2"/>
  <c r="S142" i="2" s="1"/>
  <c r="G142" i="2"/>
  <c r="U144" i="2"/>
  <c r="S144" i="2" s="1"/>
  <c r="G144" i="2"/>
  <c r="U146" i="2"/>
  <c r="S146" i="2" s="1"/>
  <c r="G146" i="2"/>
  <c r="U148" i="2"/>
  <c r="S148" i="2" s="1"/>
  <c r="G148" i="2"/>
  <c r="U153" i="2"/>
  <c r="S153" i="2" s="1"/>
  <c r="G153" i="2"/>
  <c r="R156" i="2"/>
  <c r="Q156" i="2"/>
  <c r="R158" i="2"/>
  <c r="Q158" i="2"/>
  <c r="Q160" i="2"/>
  <c r="R160" i="2"/>
  <c r="O164" i="2"/>
  <c r="P164" i="2"/>
  <c r="G174" i="2"/>
  <c r="U174" i="2"/>
  <c r="S174" i="2" s="1"/>
  <c r="V174" i="2"/>
  <c r="R178" i="2"/>
  <c r="Q178" i="2"/>
  <c r="O193" i="2"/>
  <c r="N208" i="2"/>
  <c r="C208" i="2"/>
  <c r="M208" i="2"/>
  <c r="K208" i="2" s="1"/>
  <c r="U135" i="2"/>
  <c r="S135" i="2" s="1"/>
  <c r="P137" i="2"/>
  <c r="U139" i="2"/>
  <c r="S139" i="2" s="1"/>
  <c r="U140" i="2"/>
  <c r="S140" i="2" s="1"/>
  <c r="G140" i="2"/>
  <c r="M143" i="2"/>
  <c r="K143" i="2" s="1"/>
  <c r="C143" i="2"/>
  <c r="M145" i="2"/>
  <c r="C145" i="2"/>
  <c r="M147" i="2"/>
  <c r="K147" i="2" s="1"/>
  <c r="C147" i="2"/>
  <c r="R151" i="2"/>
  <c r="Q151" i="2"/>
  <c r="U156" i="2"/>
  <c r="S156" i="2" s="1"/>
  <c r="G156" i="2"/>
  <c r="U158" i="2"/>
  <c r="S158" i="2" s="1"/>
  <c r="G158" i="2"/>
  <c r="V160" i="2"/>
  <c r="T160" i="2" s="1"/>
  <c r="U160" i="2"/>
  <c r="G160" i="2"/>
  <c r="G166" i="2"/>
  <c r="V166" i="2"/>
  <c r="O175" i="2"/>
  <c r="O185" i="2"/>
  <c r="X191" i="2"/>
  <c r="T191" i="2" s="1"/>
  <c r="W191" i="2"/>
  <c r="G210" i="2"/>
  <c r="V210" i="2"/>
  <c r="U210" i="2"/>
  <c r="S210" i="2" s="1"/>
  <c r="Y220" i="2"/>
  <c r="Z220" i="2"/>
  <c r="G221" i="2"/>
  <c r="V221" i="2"/>
  <c r="U221" i="2"/>
  <c r="S221" i="2" s="1"/>
  <c r="O234" i="2"/>
  <c r="P234" i="2"/>
  <c r="L234" i="2" s="1"/>
  <c r="Q137" i="2"/>
  <c r="N138" i="2"/>
  <c r="Y138" i="2"/>
  <c r="V139" i="2"/>
  <c r="U141" i="2"/>
  <c r="S141" i="2" s="1"/>
  <c r="G141" i="2"/>
  <c r="U151" i="2"/>
  <c r="S151" i="2" s="1"/>
  <c r="G151" i="2"/>
  <c r="R154" i="2"/>
  <c r="Q154" i="2"/>
  <c r="Z174" i="2"/>
  <c r="Y174" i="2"/>
  <c r="X183" i="2"/>
  <c r="T183" i="2" s="1"/>
  <c r="W183" i="2"/>
  <c r="G183" i="2"/>
  <c r="O188" i="2"/>
  <c r="C135" i="2"/>
  <c r="M135" i="2"/>
  <c r="X135" i="2"/>
  <c r="T135" i="2" s="1"/>
  <c r="U136" i="2"/>
  <c r="S136" i="2" s="1"/>
  <c r="G137" i="2"/>
  <c r="P138" i="2"/>
  <c r="X139" i="2"/>
  <c r="V140" i="2"/>
  <c r="V141" i="2"/>
  <c r="R143" i="2"/>
  <c r="Q143" i="2"/>
  <c r="R145" i="2"/>
  <c r="Q145" i="2"/>
  <c r="R147" i="2"/>
  <c r="Q147" i="2"/>
  <c r="R149" i="2"/>
  <c r="Q149" i="2"/>
  <c r="V152" i="2"/>
  <c r="T152" i="2" s="1"/>
  <c r="U154" i="2"/>
  <c r="S154" i="2" s="1"/>
  <c r="G154" i="2"/>
  <c r="V157" i="2"/>
  <c r="T157" i="2" s="1"/>
  <c r="V159" i="2"/>
  <c r="T159" i="2" s="1"/>
  <c r="X171" i="2"/>
  <c r="W171" i="2"/>
  <c r="S171" i="2" s="1"/>
  <c r="O226" i="2"/>
  <c r="P226" i="2"/>
  <c r="L226" i="2" s="1"/>
  <c r="R161" i="2"/>
  <c r="V162" i="2"/>
  <c r="T162" i="2" s="1"/>
  <c r="V165" i="2"/>
  <c r="T165" i="2" s="1"/>
  <c r="R167" i="2"/>
  <c r="Q167" i="2"/>
  <c r="V168" i="2"/>
  <c r="U168" i="2"/>
  <c r="G168" i="2"/>
  <c r="R170" i="2"/>
  <c r="Q170" i="2"/>
  <c r="G179" i="2"/>
  <c r="X179" i="2"/>
  <c r="T179" i="2" s="1"/>
  <c r="W179" i="2"/>
  <c r="S179" i="2" s="1"/>
  <c r="O184" i="2"/>
  <c r="X187" i="2"/>
  <c r="W187" i="2"/>
  <c r="O189" i="2"/>
  <c r="K189" i="2" s="1"/>
  <c r="L201" i="2"/>
  <c r="C202" i="2"/>
  <c r="P202" i="2"/>
  <c r="O202" i="2"/>
  <c r="K202" i="2" s="1"/>
  <c r="Y205" i="2"/>
  <c r="Z205" i="2"/>
  <c r="Y232" i="2"/>
  <c r="Z232" i="2"/>
  <c r="G233" i="2"/>
  <c r="V233" i="2"/>
  <c r="U233" i="2"/>
  <c r="S233" i="2" s="1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Z163" i="2"/>
  <c r="Y163" i="2"/>
  <c r="R164" i="2"/>
  <c r="Q164" i="2"/>
  <c r="M165" i="2"/>
  <c r="K165" i="2" s="1"/>
  <c r="T178" i="2"/>
  <c r="G186" i="2"/>
  <c r="W186" i="2"/>
  <c r="S186" i="2" s="1"/>
  <c r="O192" i="2"/>
  <c r="X195" i="2"/>
  <c r="T195" i="2" s="1"/>
  <c r="W195" i="2"/>
  <c r="S195" i="2" s="1"/>
  <c r="C196" i="2"/>
  <c r="P196" i="2"/>
  <c r="L196" i="2" s="1"/>
  <c r="O196" i="2"/>
  <c r="K196" i="2" s="1"/>
  <c r="X199" i="2"/>
  <c r="W199" i="2"/>
  <c r="C200" i="2"/>
  <c r="P200" i="2"/>
  <c r="L200" i="2" s="1"/>
  <c r="O200" i="2"/>
  <c r="K200" i="2" s="1"/>
  <c r="W207" i="2"/>
  <c r="S207" i="2" s="1"/>
  <c r="X207" i="2"/>
  <c r="Y224" i="2"/>
  <c r="Z224" i="2"/>
  <c r="G225" i="2"/>
  <c r="V225" i="2"/>
  <c r="U225" i="2"/>
  <c r="S225" i="2" s="1"/>
  <c r="O238" i="2"/>
  <c r="P238" i="2"/>
  <c r="L238" i="2" s="1"/>
  <c r="P162" i="2"/>
  <c r="U163" i="2"/>
  <c r="C166" i="2"/>
  <c r="V172" i="2"/>
  <c r="U172" i="2"/>
  <c r="S172" i="2" s="1"/>
  <c r="G172" i="2"/>
  <c r="Z176" i="2"/>
  <c r="Y176" i="2"/>
  <c r="R180" i="2"/>
  <c r="G190" i="2"/>
  <c r="W190" i="2"/>
  <c r="S190" i="2" s="1"/>
  <c r="Y211" i="2"/>
  <c r="G213" i="2"/>
  <c r="V213" i="2"/>
  <c r="T213" i="2" s="1"/>
  <c r="U213" i="2"/>
  <c r="S213" i="2" s="1"/>
  <c r="O218" i="2"/>
  <c r="P218" i="2"/>
  <c r="L218" i="2" s="1"/>
  <c r="Y236" i="2"/>
  <c r="Z236" i="2"/>
  <c r="G237" i="2"/>
  <c r="V237" i="2"/>
  <c r="T237" i="2" s="1"/>
  <c r="U237" i="2"/>
  <c r="S237" i="2" s="1"/>
  <c r="R252" i="2"/>
  <c r="Q252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3" i="2"/>
  <c r="V163" i="2"/>
  <c r="R165" i="2"/>
  <c r="Q165" i="2"/>
  <c r="M166" i="2"/>
  <c r="K166" i="2" s="1"/>
  <c r="G194" i="2"/>
  <c r="W194" i="2"/>
  <c r="S194" i="2" s="1"/>
  <c r="G198" i="2"/>
  <c r="W198" i="2"/>
  <c r="G217" i="2"/>
  <c r="V217" i="2"/>
  <c r="U217" i="2"/>
  <c r="S217" i="2" s="1"/>
  <c r="O230" i="2"/>
  <c r="P230" i="2"/>
  <c r="L230" i="2" s="1"/>
  <c r="M163" i="2"/>
  <c r="K163" i="2" s="1"/>
  <c r="G169" i="2"/>
  <c r="V169" i="2"/>
  <c r="O173" i="2"/>
  <c r="V180" i="2"/>
  <c r="U180" i="2"/>
  <c r="G180" i="2"/>
  <c r="Z203" i="2"/>
  <c r="Y228" i="2"/>
  <c r="Z228" i="2"/>
  <c r="G229" i="2"/>
  <c r="V229" i="2"/>
  <c r="U229" i="2"/>
  <c r="V164" i="2"/>
  <c r="T164" i="2" s="1"/>
  <c r="R166" i="2"/>
  <c r="Q166" i="2"/>
  <c r="P166" i="2"/>
  <c r="L166" i="2" s="1"/>
  <c r="N167" i="2"/>
  <c r="L167" i="2" s="1"/>
  <c r="X169" i="2"/>
  <c r="W169" i="2"/>
  <c r="S169" i="2" s="1"/>
  <c r="G171" i="2"/>
  <c r="V171" i="2"/>
  <c r="G187" i="2"/>
  <c r="V205" i="2"/>
  <c r="T205" i="2" s="1"/>
  <c r="G205" i="2"/>
  <c r="U205" i="2"/>
  <c r="O222" i="2"/>
  <c r="P222" i="2"/>
  <c r="L222" i="2" s="1"/>
  <c r="C173" i="2"/>
  <c r="L173" i="2"/>
  <c r="K176" i="2"/>
  <c r="C181" i="2"/>
  <c r="L181" i="2"/>
  <c r="C185" i="2"/>
  <c r="C189" i="2"/>
  <c r="C193" i="2"/>
  <c r="L193" i="2"/>
  <c r="O201" i="2"/>
  <c r="K201" i="2" s="1"/>
  <c r="T206" i="2"/>
  <c r="G207" i="2"/>
  <c r="V207" i="2"/>
  <c r="N209" i="2"/>
  <c r="C209" i="2"/>
  <c r="Y210" i="2"/>
  <c r="R244" i="2"/>
  <c r="Q244" i="2"/>
  <c r="P246" i="2"/>
  <c r="L246" i="2" s="1"/>
  <c r="O246" i="2"/>
  <c r="C169" i="2"/>
  <c r="M169" i="2"/>
  <c r="G170" i="2"/>
  <c r="C171" i="2"/>
  <c r="L171" i="2"/>
  <c r="K174" i="2"/>
  <c r="G178" i="2"/>
  <c r="C179" i="2"/>
  <c r="L179" i="2"/>
  <c r="C182" i="2"/>
  <c r="T184" i="2"/>
  <c r="C186" i="2"/>
  <c r="T188" i="2"/>
  <c r="C190" i="2"/>
  <c r="L190" i="2"/>
  <c r="T192" i="2"/>
  <c r="G201" i="2"/>
  <c r="C204" i="2"/>
  <c r="L204" i="2"/>
  <c r="Z204" i="2"/>
  <c r="K205" i="2"/>
  <c r="N214" i="2"/>
  <c r="C214" i="2"/>
  <c r="P214" i="2"/>
  <c r="R242" i="2"/>
  <c r="Q242" i="2"/>
  <c r="P251" i="2"/>
  <c r="L251" i="2" s="1"/>
  <c r="O251" i="2"/>
  <c r="C251" i="2"/>
  <c r="P260" i="2"/>
  <c r="L260" i="2" s="1"/>
  <c r="O260" i="2"/>
  <c r="O171" i="2"/>
  <c r="O179" i="2"/>
  <c r="K179" i="2" s="1"/>
  <c r="O182" i="2"/>
  <c r="K182" i="2" s="1"/>
  <c r="O186" i="2"/>
  <c r="K186" i="2" s="1"/>
  <c r="O190" i="2"/>
  <c r="K190" i="2" s="1"/>
  <c r="O194" i="2"/>
  <c r="K194" i="2" s="1"/>
  <c r="O198" i="2"/>
  <c r="K198" i="2" s="1"/>
  <c r="O204" i="2"/>
  <c r="G209" i="2"/>
  <c r="V209" i="2"/>
  <c r="U209" i="2"/>
  <c r="S209" i="2" s="1"/>
  <c r="Y217" i="2"/>
  <c r="Z217" i="2"/>
  <c r="G218" i="2"/>
  <c r="V218" i="2"/>
  <c r="T218" i="2" s="1"/>
  <c r="U218" i="2"/>
  <c r="S218" i="2" s="1"/>
  <c r="Y221" i="2"/>
  <c r="Z221" i="2"/>
  <c r="G222" i="2"/>
  <c r="V222" i="2"/>
  <c r="T222" i="2" s="1"/>
  <c r="U222" i="2"/>
  <c r="S222" i="2" s="1"/>
  <c r="Y225" i="2"/>
  <c r="Z225" i="2"/>
  <c r="G226" i="2"/>
  <c r="V226" i="2"/>
  <c r="U226" i="2"/>
  <c r="Y229" i="2"/>
  <c r="Z229" i="2"/>
  <c r="G230" i="2"/>
  <c r="V230" i="2"/>
  <c r="T230" i="2" s="1"/>
  <c r="U230" i="2"/>
  <c r="S230" i="2" s="1"/>
  <c r="Y233" i="2"/>
  <c r="Z233" i="2"/>
  <c r="G234" i="2"/>
  <c r="V234" i="2"/>
  <c r="T234" i="2" s="1"/>
  <c r="U234" i="2"/>
  <c r="S234" i="2" s="1"/>
  <c r="Y237" i="2"/>
  <c r="Z237" i="2"/>
  <c r="G238" i="2"/>
  <c r="V238" i="2"/>
  <c r="U238" i="2"/>
  <c r="S238" i="2" s="1"/>
  <c r="Y164" i="2"/>
  <c r="Y165" i="2"/>
  <c r="Y166" i="2"/>
  <c r="O169" i="2"/>
  <c r="U170" i="2"/>
  <c r="S170" i="2" s="1"/>
  <c r="K172" i="2"/>
  <c r="G176" i="2"/>
  <c r="Q176" i="2"/>
  <c r="C177" i="2"/>
  <c r="L177" i="2"/>
  <c r="U178" i="2"/>
  <c r="S178" i="2" s="1"/>
  <c r="K180" i="2"/>
  <c r="T181" i="2"/>
  <c r="C183" i="2"/>
  <c r="L183" i="2"/>
  <c r="W184" i="2"/>
  <c r="S184" i="2" s="1"/>
  <c r="T185" i="2"/>
  <c r="C187" i="2"/>
  <c r="L187" i="2"/>
  <c r="W188" i="2"/>
  <c r="T189" i="2"/>
  <c r="C191" i="2"/>
  <c r="L191" i="2"/>
  <c r="W192" i="2"/>
  <c r="P194" i="2"/>
  <c r="L194" i="2" s="1"/>
  <c r="Y195" i="2"/>
  <c r="W196" i="2"/>
  <c r="P198" i="2"/>
  <c r="Y199" i="2"/>
  <c r="U201" i="2"/>
  <c r="T202" i="2"/>
  <c r="G203" i="2"/>
  <c r="C206" i="2"/>
  <c r="L206" i="2"/>
  <c r="Z206" i="2"/>
  <c r="P207" i="2"/>
  <c r="L207" i="2" s="1"/>
  <c r="G208" i="2"/>
  <c r="V208" i="2"/>
  <c r="U208" i="2"/>
  <c r="R263" i="2"/>
  <c r="Q263" i="2"/>
  <c r="R266" i="2"/>
  <c r="Q266" i="2"/>
  <c r="C168" i="2"/>
  <c r="M168" i="2"/>
  <c r="C172" i="2"/>
  <c r="W175" i="2"/>
  <c r="O177" i="2"/>
  <c r="K177" i="2" s="1"/>
  <c r="O183" i="2"/>
  <c r="K183" i="2" s="1"/>
  <c r="O187" i="2"/>
  <c r="K187" i="2" s="1"/>
  <c r="O191" i="2"/>
  <c r="S193" i="2"/>
  <c r="O195" i="2"/>
  <c r="K195" i="2" s="1"/>
  <c r="S197" i="2"/>
  <c r="O199" i="2"/>
  <c r="K199" i="2" s="1"/>
  <c r="T203" i="2"/>
  <c r="G204" i="2"/>
  <c r="O206" i="2"/>
  <c r="Y209" i="2"/>
  <c r="X212" i="2"/>
  <c r="G214" i="2"/>
  <c r="V214" i="2"/>
  <c r="U214" i="2"/>
  <c r="R247" i="2"/>
  <c r="Q247" i="2"/>
  <c r="R258" i="2"/>
  <c r="Q258" i="2"/>
  <c r="T261" i="2"/>
  <c r="T173" i="2"/>
  <c r="C175" i="2"/>
  <c r="L175" i="2"/>
  <c r="K178" i="2"/>
  <c r="C184" i="2"/>
  <c r="L184" i="2"/>
  <c r="T186" i="2"/>
  <c r="C188" i="2"/>
  <c r="L188" i="2"/>
  <c r="T190" i="2"/>
  <c r="C192" i="2"/>
  <c r="L192" i="2"/>
  <c r="T194" i="2"/>
  <c r="P195" i="2"/>
  <c r="T198" i="2"/>
  <c r="P199" i="2"/>
  <c r="L199" i="2" s="1"/>
  <c r="N210" i="2"/>
  <c r="C210" i="2"/>
  <c r="Y212" i="2"/>
  <c r="Z212" i="2"/>
  <c r="N213" i="2"/>
  <c r="C213" i="2"/>
  <c r="Y216" i="2"/>
  <c r="Z216" i="2"/>
  <c r="C246" i="2"/>
  <c r="P254" i="2"/>
  <c r="O254" i="2"/>
  <c r="C254" i="2"/>
  <c r="R261" i="2"/>
  <c r="Q261" i="2"/>
  <c r="P211" i="2"/>
  <c r="L211" i="2" s="1"/>
  <c r="M215" i="2"/>
  <c r="K215" i="2" s="1"/>
  <c r="M219" i="2"/>
  <c r="K219" i="2" s="1"/>
  <c r="M223" i="2"/>
  <c r="K223" i="2" s="1"/>
  <c r="M227" i="2"/>
  <c r="K227" i="2" s="1"/>
  <c r="M231" i="2"/>
  <c r="K231" i="2" s="1"/>
  <c r="M235" i="2"/>
  <c r="M239" i="2"/>
  <c r="K239" i="2" s="1"/>
  <c r="P241" i="2"/>
  <c r="L241" i="2" s="1"/>
  <c r="O241" i="2"/>
  <c r="R249" i="2"/>
  <c r="Q249" i="2"/>
  <c r="P258" i="2"/>
  <c r="O258" i="2"/>
  <c r="C258" i="2"/>
  <c r="P266" i="2"/>
  <c r="L266" i="2" s="1"/>
  <c r="O266" i="2"/>
  <c r="C266" i="2"/>
  <c r="C207" i="2"/>
  <c r="P209" i="2"/>
  <c r="G211" i="2"/>
  <c r="V211" i="2"/>
  <c r="M212" i="2"/>
  <c r="K212" i="2" s="1"/>
  <c r="M216" i="2"/>
  <c r="K216" i="2" s="1"/>
  <c r="M220" i="2"/>
  <c r="K220" i="2" s="1"/>
  <c r="M224" i="2"/>
  <c r="K224" i="2" s="1"/>
  <c r="M228" i="2"/>
  <c r="K228" i="2" s="1"/>
  <c r="M232" i="2"/>
  <c r="M236" i="2"/>
  <c r="K236" i="2" s="1"/>
  <c r="Q240" i="2"/>
  <c r="R251" i="2"/>
  <c r="Q251" i="2"/>
  <c r="M207" i="2"/>
  <c r="K207" i="2" s="1"/>
  <c r="X210" i="2"/>
  <c r="P212" i="2"/>
  <c r="L212" i="2" s="1"/>
  <c r="G215" i="2"/>
  <c r="V215" i="2"/>
  <c r="P216" i="2"/>
  <c r="L216" i="2" s="1"/>
  <c r="C217" i="2"/>
  <c r="G219" i="2"/>
  <c r="V219" i="2"/>
  <c r="P220" i="2"/>
  <c r="L220" i="2" s="1"/>
  <c r="C221" i="2"/>
  <c r="G223" i="2"/>
  <c r="V223" i="2"/>
  <c r="T223" i="2" s="1"/>
  <c r="P224" i="2"/>
  <c r="L224" i="2" s="1"/>
  <c r="C225" i="2"/>
  <c r="G227" i="2"/>
  <c r="V227" i="2"/>
  <c r="T227" i="2" s="1"/>
  <c r="P228" i="2"/>
  <c r="L228" i="2" s="1"/>
  <c r="C229" i="2"/>
  <c r="G231" i="2"/>
  <c r="V231" i="2"/>
  <c r="P232" i="2"/>
  <c r="L232" i="2" s="1"/>
  <c r="C233" i="2"/>
  <c r="G235" i="2"/>
  <c r="V235" i="2"/>
  <c r="P236" i="2"/>
  <c r="L236" i="2" s="1"/>
  <c r="C237" i="2"/>
  <c r="X241" i="2"/>
  <c r="T241" i="2" s="1"/>
  <c r="W241" i="2"/>
  <c r="P243" i="2"/>
  <c r="O243" i="2"/>
  <c r="C243" i="2"/>
  <c r="R253" i="2"/>
  <c r="Q253" i="2"/>
  <c r="R256" i="2"/>
  <c r="Q256" i="2"/>
  <c r="R262" i="2"/>
  <c r="Q262" i="2"/>
  <c r="R264" i="2"/>
  <c r="Q264" i="2"/>
  <c r="M217" i="2"/>
  <c r="K217" i="2" s="1"/>
  <c r="M221" i="2"/>
  <c r="K221" i="2" s="1"/>
  <c r="M225" i="2"/>
  <c r="K225" i="2" s="1"/>
  <c r="M229" i="2"/>
  <c r="K229" i="2" s="1"/>
  <c r="M233" i="2"/>
  <c r="K233" i="2" s="1"/>
  <c r="M237" i="2"/>
  <c r="K237" i="2" s="1"/>
  <c r="G240" i="2"/>
  <c r="U240" i="2"/>
  <c r="V240" i="2"/>
  <c r="R243" i="2"/>
  <c r="Q243" i="2"/>
  <c r="R248" i="2"/>
  <c r="Q248" i="2"/>
  <c r="P250" i="2"/>
  <c r="L250" i="2" s="1"/>
  <c r="O250" i="2"/>
  <c r="P255" i="2"/>
  <c r="L255" i="2" s="1"/>
  <c r="O255" i="2"/>
  <c r="K255" i="2" s="1"/>
  <c r="C255" i="2"/>
  <c r="P259" i="2"/>
  <c r="L259" i="2" s="1"/>
  <c r="O259" i="2"/>
  <c r="C259" i="2"/>
  <c r="P267" i="2"/>
  <c r="L267" i="2" s="1"/>
  <c r="O267" i="2"/>
  <c r="K267" i="2" s="1"/>
  <c r="C267" i="2"/>
  <c r="P210" i="2"/>
  <c r="G212" i="2"/>
  <c r="V212" i="2"/>
  <c r="P213" i="2"/>
  <c r="G216" i="2"/>
  <c r="V216" i="2"/>
  <c r="T216" i="2" s="1"/>
  <c r="P217" i="2"/>
  <c r="L217" i="2" s="1"/>
  <c r="C218" i="2"/>
  <c r="G220" i="2"/>
  <c r="V220" i="2"/>
  <c r="P221" i="2"/>
  <c r="L221" i="2" s="1"/>
  <c r="C222" i="2"/>
  <c r="G224" i="2"/>
  <c r="V224" i="2"/>
  <c r="P225" i="2"/>
  <c r="L225" i="2" s="1"/>
  <c r="C226" i="2"/>
  <c r="G228" i="2"/>
  <c r="V228" i="2"/>
  <c r="P229" i="2"/>
  <c r="L229" i="2" s="1"/>
  <c r="C230" i="2"/>
  <c r="G232" i="2"/>
  <c r="V232" i="2"/>
  <c r="P233" i="2"/>
  <c r="L233" i="2" s="1"/>
  <c r="C234" i="2"/>
  <c r="G236" i="2"/>
  <c r="V236" i="2"/>
  <c r="T236" i="2" s="1"/>
  <c r="P237" i="2"/>
  <c r="L237" i="2" s="1"/>
  <c r="C238" i="2"/>
  <c r="U239" i="2"/>
  <c r="S239" i="2" s="1"/>
  <c r="W240" i="2"/>
  <c r="X240" i="2"/>
  <c r="R245" i="2"/>
  <c r="Q245" i="2"/>
  <c r="R255" i="2"/>
  <c r="Q255" i="2"/>
  <c r="M218" i="2"/>
  <c r="M222" i="2"/>
  <c r="M226" i="2"/>
  <c r="K226" i="2" s="1"/>
  <c r="M230" i="2"/>
  <c r="M234" i="2"/>
  <c r="M238" i="2"/>
  <c r="P242" i="2"/>
  <c r="L242" i="2" s="1"/>
  <c r="O242" i="2"/>
  <c r="K242" i="2" s="1"/>
  <c r="P247" i="2"/>
  <c r="L247" i="2" s="1"/>
  <c r="O247" i="2"/>
  <c r="K247" i="2" s="1"/>
  <c r="C247" i="2"/>
  <c r="T252" i="2"/>
  <c r="T259" i="2"/>
  <c r="P261" i="2"/>
  <c r="L261" i="2" s="1"/>
  <c r="O261" i="2"/>
  <c r="P263" i="2"/>
  <c r="O263" i="2"/>
  <c r="K263" i="2" s="1"/>
  <c r="T267" i="2"/>
  <c r="X239" i="2"/>
  <c r="T239" i="2" s="1"/>
  <c r="G242" i="2"/>
  <c r="X243" i="2"/>
  <c r="T243" i="2" s="1"/>
  <c r="W243" i="2"/>
  <c r="S243" i="2" s="1"/>
  <c r="R246" i="2"/>
  <c r="Q246" i="2"/>
  <c r="R250" i="2"/>
  <c r="Q250" i="2"/>
  <c r="R254" i="2"/>
  <c r="Q254" i="2"/>
  <c r="P257" i="2"/>
  <c r="L257" i="2" s="1"/>
  <c r="O257" i="2"/>
  <c r="K257" i="2" s="1"/>
  <c r="R260" i="2"/>
  <c r="Q260" i="2"/>
  <c r="T263" i="2"/>
  <c r="P265" i="2"/>
  <c r="L265" i="2" s="1"/>
  <c r="O265" i="2"/>
  <c r="G241" i="2"/>
  <c r="X242" i="2"/>
  <c r="W242" i="2"/>
  <c r="S242" i="2" s="1"/>
  <c r="P245" i="2"/>
  <c r="L245" i="2" s="1"/>
  <c r="O245" i="2"/>
  <c r="T246" i="2"/>
  <c r="P249" i="2"/>
  <c r="L249" i="2" s="1"/>
  <c r="O249" i="2"/>
  <c r="K249" i="2" s="1"/>
  <c r="P253" i="2"/>
  <c r="L253" i="2" s="1"/>
  <c r="O253" i="2"/>
  <c r="K253" i="2" s="1"/>
  <c r="T254" i="2"/>
  <c r="R257" i="2"/>
  <c r="Q257" i="2"/>
  <c r="T260" i="2"/>
  <c r="P262" i="2"/>
  <c r="L262" i="2" s="1"/>
  <c r="O262" i="2"/>
  <c r="R265" i="2"/>
  <c r="Q265" i="2"/>
  <c r="P244" i="2"/>
  <c r="O244" i="2"/>
  <c r="K244" i="2" s="1"/>
  <c r="T245" i="2"/>
  <c r="P248" i="2"/>
  <c r="O248" i="2"/>
  <c r="K248" i="2" s="1"/>
  <c r="T249" i="2"/>
  <c r="P252" i="2"/>
  <c r="L252" i="2" s="1"/>
  <c r="O252" i="2"/>
  <c r="T253" i="2"/>
  <c r="P256" i="2"/>
  <c r="L256" i="2" s="1"/>
  <c r="O256" i="2"/>
  <c r="K256" i="2" s="1"/>
  <c r="R259" i="2"/>
  <c r="Q259" i="2"/>
  <c r="T262" i="2"/>
  <c r="P264" i="2"/>
  <c r="L264" i="2" s="1"/>
  <c r="O264" i="2"/>
  <c r="K264" i="2" s="1"/>
  <c r="R267" i="2"/>
  <c r="Q267" i="2"/>
  <c r="W244" i="2"/>
  <c r="S244" i="2" s="1"/>
  <c r="W245" i="2"/>
  <c r="W246" i="2"/>
  <c r="S246" i="2" s="1"/>
  <c r="W247" i="2"/>
  <c r="W248" i="2"/>
  <c r="S248" i="2" s="1"/>
  <c r="W249" i="2"/>
  <c r="W250" i="2"/>
  <c r="W251" i="2"/>
  <c r="W252" i="2"/>
  <c r="W253" i="2"/>
  <c r="S253" i="2" s="1"/>
  <c r="W254" i="2"/>
  <c r="W255" i="2"/>
  <c r="S255" i="2" s="1"/>
  <c r="W256" i="2"/>
  <c r="W257" i="2"/>
  <c r="W258" i="2"/>
  <c r="S258" i="2" s="1"/>
  <c r="W259" i="2"/>
  <c r="S259" i="2" s="1"/>
  <c r="W260" i="2"/>
  <c r="W261" i="2"/>
  <c r="W262" i="2"/>
  <c r="S262" i="2" s="1"/>
  <c r="W263" i="2"/>
  <c r="S263" i="2" s="1"/>
  <c r="W264" i="2"/>
  <c r="S264" i="2" s="1"/>
  <c r="W265" i="2"/>
  <c r="W266" i="2"/>
  <c r="S266" i="2" s="1"/>
  <c r="W267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S229" i="2" l="1"/>
  <c r="L248" i="2"/>
  <c r="K259" i="2"/>
  <c r="S214" i="2"/>
  <c r="K173" i="2"/>
  <c r="T163" i="2"/>
  <c r="S187" i="2"/>
  <c r="T166" i="2"/>
  <c r="S182" i="2"/>
  <c r="L78" i="2"/>
  <c r="K85" i="2"/>
  <c r="K97" i="2"/>
  <c r="K86" i="2"/>
  <c r="L55" i="2"/>
  <c r="T63" i="2"/>
  <c r="T58" i="2"/>
  <c r="L150" i="2"/>
  <c r="T215" i="2"/>
  <c r="T209" i="2"/>
  <c r="T180" i="2"/>
  <c r="L164" i="2"/>
  <c r="K245" i="2"/>
  <c r="L254" i="2"/>
  <c r="T238" i="2"/>
  <c r="K204" i="2"/>
  <c r="K260" i="2"/>
  <c r="S198" i="2"/>
  <c r="S168" i="2"/>
  <c r="S77" i="2"/>
  <c r="T143" i="2"/>
  <c r="K100" i="2"/>
  <c r="L58" i="2"/>
  <c r="L165" i="2"/>
  <c r="S110" i="2"/>
  <c r="K266" i="2"/>
  <c r="T199" i="2"/>
  <c r="T219" i="2"/>
  <c r="S249" i="2"/>
  <c r="K252" i="2"/>
  <c r="S163" i="2"/>
  <c r="K48" i="2"/>
  <c r="T47" i="2"/>
  <c r="T60" i="2"/>
  <c r="K102" i="2"/>
  <c r="T147" i="2"/>
  <c r="T116" i="2"/>
  <c r="K170" i="2"/>
  <c r="S167" i="2"/>
  <c r="K78" i="2"/>
  <c r="S265" i="2"/>
  <c r="T229" i="2"/>
  <c r="K127" i="2"/>
  <c r="T74" i="2"/>
  <c r="S188" i="2"/>
  <c r="T225" i="2"/>
  <c r="T187" i="2"/>
  <c r="L208" i="2"/>
  <c r="T182" i="2"/>
  <c r="K128" i="2"/>
  <c r="S83" i="2"/>
  <c r="K90" i="2"/>
  <c r="L103" i="2"/>
  <c r="L56" i="2"/>
  <c r="T73" i="2"/>
  <c r="T108" i="2"/>
  <c r="K188" i="2"/>
  <c r="S247" i="2"/>
  <c r="S88" i="2"/>
  <c r="S68" i="2"/>
  <c r="T42" i="2"/>
  <c r="T136" i="2"/>
  <c r="S254" i="2"/>
  <c r="S161" i="2"/>
  <c r="K218" i="2"/>
  <c r="K232" i="2"/>
  <c r="L202" i="2"/>
  <c r="K181" i="2"/>
  <c r="S149" i="2"/>
  <c r="L59" i="2"/>
  <c r="L49" i="2"/>
  <c r="K254" i="2"/>
  <c r="L263" i="2"/>
  <c r="S175" i="2"/>
  <c r="T174" i="2"/>
  <c r="K122" i="2"/>
  <c r="T137" i="2"/>
  <c r="T121" i="2"/>
  <c r="K92" i="2"/>
  <c r="S119" i="2"/>
  <c r="K114" i="2"/>
  <c r="K82" i="2"/>
  <c r="S203" i="2"/>
  <c r="L178" i="2"/>
  <c r="T49" i="2"/>
  <c r="L205" i="2"/>
  <c r="L155" i="2"/>
  <c r="L203" i="2"/>
  <c r="T48" i="2"/>
  <c r="S164" i="2"/>
  <c r="K262" i="2"/>
  <c r="K265" i="2"/>
  <c r="L198" i="2"/>
  <c r="S191" i="2"/>
  <c r="S132" i="2"/>
  <c r="K108" i="2"/>
  <c r="S185" i="2"/>
  <c r="S66" i="2"/>
  <c r="S241" i="2"/>
  <c r="T231" i="2"/>
  <c r="K251" i="2"/>
  <c r="S180" i="2"/>
  <c r="T221" i="2"/>
  <c r="S152" i="2"/>
  <c r="T155" i="2"/>
  <c r="T145" i="2"/>
  <c r="K123" i="2"/>
  <c r="T117" i="2"/>
  <c r="K109" i="2"/>
  <c r="K91" i="2"/>
  <c r="K65" i="2"/>
  <c r="S260" i="2"/>
  <c r="T212" i="2"/>
  <c r="L111" i="2"/>
  <c r="L126" i="2"/>
  <c r="T93" i="2"/>
  <c r="S267" i="2"/>
  <c r="K192" i="2"/>
  <c r="T141" i="2"/>
  <c r="K164" i="2"/>
  <c r="L119" i="2"/>
  <c r="K121" i="2"/>
  <c r="T82" i="2"/>
  <c r="T69" i="2"/>
  <c r="S93" i="2"/>
  <c r="T118" i="2"/>
  <c r="S250" i="2"/>
  <c r="L244" i="2"/>
  <c r="K171" i="2"/>
  <c r="K261" i="2"/>
  <c r="K175" i="2"/>
  <c r="T61" i="2"/>
  <c r="L158" i="2"/>
  <c r="S43" i="2"/>
  <c r="T122" i="2"/>
  <c r="T75" i="2"/>
  <c r="T242" i="2"/>
  <c r="L48" i="2"/>
  <c r="L157" i="2"/>
  <c r="L75" i="2"/>
  <c r="L172" i="2"/>
  <c r="S252" i="2"/>
  <c r="S251" i="2"/>
  <c r="T220" i="2"/>
  <c r="L210" i="2"/>
  <c r="K246" i="2"/>
  <c r="K111" i="2"/>
  <c r="K112" i="2"/>
  <c r="T119" i="2"/>
  <c r="S202" i="2"/>
  <c r="T85" i="2"/>
  <c r="L160" i="2"/>
  <c r="S121" i="2"/>
  <c r="K185" i="2"/>
  <c r="L89" i="2"/>
  <c r="T78" i="2"/>
  <c r="S245" i="2"/>
  <c r="K46" i="2"/>
  <c r="L61" i="2"/>
  <c r="K250" i="2"/>
  <c r="S145" i="2"/>
  <c r="K130" i="2"/>
  <c r="L176" i="2"/>
  <c r="S67" i="2"/>
  <c r="S61" i="2"/>
  <c r="S204" i="2"/>
  <c r="S109" i="2"/>
  <c r="T44" i="2"/>
  <c r="T232" i="2"/>
  <c r="K258" i="2"/>
  <c r="S199" i="2"/>
  <c r="K184" i="2"/>
  <c r="T168" i="2"/>
  <c r="K148" i="2"/>
  <c r="L85" i="2"/>
  <c r="K103" i="2"/>
  <c r="L161" i="2"/>
  <c r="S181" i="2"/>
  <c r="S89" i="2"/>
  <c r="T214" i="2"/>
  <c r="K84" i="2"/>
  <c r="L195" i="2"/>
  <c r="K206" i="2"/>
  <c r="S192" i="2"/>
  <c r="T140" i="2"/>
  <c r="L131" i="2"/>
  <c r="L91" i="2"/>
  <c r="L76" i="2"/>
  <c r="L174" i="2"/>
  <c r="S134" i="2"/>
  <c r="T65" i="2"/>
  <c r="S261" i="2"/>
  <c r="L159" i="2"/>
  <c r="L50" i="2"/>
  <c r="T51" i="2"/>
  <c r="L77" i="2"/>
  <c r="L53" i="2"/>
  <c r="K191" i="2"/>
  <c r="S113" i="2"/>
  <c r="T224" i="2"/>
  <c r="S196" i="2"/>
  <c r="T172" i="2"/>
  <c r="K145" i="2"/>
  <c r="K125" i="2"/>
  <c r="T149" i="2"/>
  <c r="T235" i="2"/>
  <c r="K241" i="2"/>
  <c r="S205" i="2"/>
  <c r="T171" i="2"/>
  <c r="K135" i="2"/>
  <c r="S124" i="2"/>
  <c r="L132" i="2"/>
  <c r="K110" i="2"/>
  <c r="L86" i="2"/>
  <c r="S91" i="2"/>
  <c r="T55" i="2"/>
  <c r="S92" i="2"/>
  <c r="L243" i="2"/>
  <c r="T211" i="2"/>
  <c r="S208" i="2"/>
  <c r="S226" i="2"/>
  <c r="K193" i="2"/>
  <c r="K79" i="2"/>
  <c r="T79" i="2"/>
  <c r="S79" i="2"/>
  <c r="S115" i="2"/>
  <c r="L239" i="2"/>
  <c r="S257" i="2"/>
  <c r="S256" i="2"/>
  <c r="T228" i="2"/>
  <c r="K235" i="2"/>
  <c r="T208" i="2"/>
  <c r="S201" i="2"/>
  <c r="T226" i="2"/>
  <c r="T217" i="2"/>
  <c r="T138" i="2"/>
  <c r="K89" i="2"/>
  <c r="K93" i="2"/>
  <c r="S105" i="2"/>
  <c r="K52" i="2"/>
  <c r="S107" i="2"/>
  <c r="K243" i="2"/>
  <c r="L104" i="2"/>
  <c r="K238" i="2"/>
  <c r="L258" i="2"/>
  <c r="K168" i="2"/>
  <c r="T233" i="2"/>
  <c r="S183" i="2"/>
  <c r="S160" i="2"/>
  <c r="L137" i="2"/>
  <c r="K129" i="2"/>
  <c r="S155" i="2"/>
  <c r="K87" i="2"/>
  <c r="L118" i="2"/>
  <c r="K126" i="2"/>
  <c r="S165" i="2"/>
  <c r="S111" i="2"/>
  <c r="K234" i="2"/>
  <c r="K230" i="2"/>
  <c r="T210" i="2"/>
  <c r="K222" i="2"/>
  <c r="L213" i="2"/>
  <c r="K94" i="2"/>
  <c r="L162" i="2"/>
  <c r="K120" i="2"/>
  <c r="K96" i="2"/>
  <c r="K81" i="2"/>
  <c r="T240" i="2"/>
  <c r="T139" i="2"/>
  <c r="S240" i="2"/>
  <c r="L209" i="2"/>
  <c r="L140" i="2"/>
  <c r="K95" i="2"/>
  <c r="L214" i="2"/>
  <c r="T207" i="2"/>
  <c r="T169" i="2"/>
  <c r="L138" i="2"/>
  <c r="K169" i="2"/>
</calcChain>
</file>

<file path=xl/sharedStrings.xml><?xml version="1.0" encoding="utf-8"?>
<sst xmlns="http://schemas.openxmlformats.org/spreadsheetml/2006/main" count="560" uniqueCount="72">
  <si>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</si>
  <si>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</si>
  <si>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</si>
  <si>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</si>
  <si>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</si>
  <si>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</si>
  <si>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</si>
  <si>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</si>
  <si>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</si>
  <si>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</si>
  <si>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</si>
  <si>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</si>
  <si>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</si>
  <si>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</si>
  <si>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</si>
  <si>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</si>
  <si>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</si>
  <si>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</si>
  <si>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</si>
  <si>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</si>
  <si>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</si>
  <si>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</si>
  <si>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</si>
  <si>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</si>
  <si>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qf_ppp</t>
  </si>
  <si>
    <t>AUS</t>
  </si>
  <si>
    <t>Q1.2020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</si>
  <si>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</si>
  <si>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</si>
  <si>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</si>
  <si>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</si>
  <si>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</si>
  <si>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</si>
  <si>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</si>
  <si>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</si>
  <si>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</si>
  <si>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</si>
  <si>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</si>
  <si>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</si>
  <si>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</si>
  <si>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</si>
  <si>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</si>
  <si>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</si>
  <si>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</si>
  <si>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</si>
  <si>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</si>
  <si>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</si>
  <si>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</si>
  <si>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</si>
  <si>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</si>
  <si>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</si>
  <si>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</si>
  <si>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</si>
  <si>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</si>
  <si>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</si>
  <si>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</si>
  <si>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</si>
  <si>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</si>
  <si>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</si>
  <si>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</si>
  <si>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</si>
  <si>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</si>
  <si>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</si>
  <si>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</si>
  <si>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Q2.2020</t>
  </si>
  <si>
    <t>Q3.2020</t>
  </si>
  <si>
    <t>Q4.2020</t>
  </si>
  <si>
    <t>Q1.2021</t>
  </si>
  <si>
    <t>Q2.2021</t>
  </si>
  <si>
    <t>Q3.2021</t>
  </si>
  <si>
    <t>gdp_ppp_bn</t>
  </si>
  <si>
    <t>gdp_real_bn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</si>
</sst>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"/>
    <numFmt numFmtId="169" formatCode="_(* #,##0.000_);_(* \(#,##0.000\);_(* &quot;-&quot;??_);_(@_)"/>
    <numFmt numFmtId="170" formatCode="0.000000"/>
    <numFmt numFmtId="171" formatCode="0.00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8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</cellStyleXfs>
  <cellXfs count="33">
    <xf numFmtId="0" fontId="0" fillId="0" borderId="0" xfId="0"/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1" xfId="2" applyFont="1" applyBorder="1" applyAlignment="1">
      <alignment horizontal="left" indent="1"/>
    </xf>
    <xf numFmtId="166" fontId="6" fillId="0" borderId="1" xfId="3" applyNumberFormat="1" applyFont="1" applyFill="1" applyBorder="1" applyAlignment="1">
      <alignment horizontal="right"/>
    </xf>
    <xf numFmtId="166" fontId="5" fillId="0" borderId="1" xfId="3" applyNumberFormat="1" applyFont="1" applyFill="1" applyBorder="1" applyAlignment="1"/>
    <xf numFmtId="166" fontId="6" fillId="0" borderId="1" xfId="3" applyNumberFormat="1" applyFont="1" applyFill="1" applyBorder="1" applyAlignment="1"/>
    <xf numFmtId="168" fontId="5" fillId="0" borderId="1" xfId="3" applyNumberFormat="1" applyFont="1" applyFill="1" applyBorder="1" applyAlignment="1"/>
    <xf numFmtId="0" fontId="4" fillId="0" borderId="1" xfId="2" applyBorder="1" applyAlignment="1">
      <alignment horizontal="left" indent="1"/>
    </xf>
    <xf numFmtId="169" fontId="5" fillId="0" borderId="1" xfId="3" applyNumberFormat="1" applyFont="1" applyFill="1" applyBorder="1"/>
    <xf numFmtId="170" fontId="5" fillId="0" borderId="1" xfId="3" applyNumberFormat="1" applyFont="1" applyFill="1" applyBorder="1" applyAlignment="1"/>
    <xf numFmtId="170" fontId="5" fillId="0" borderId="0" xfId="3" applyNumberFormat="1" applyFont="1" applyFill="1" applyAlignment="1"/>
    <xf numFmtId="0" fontId="5" fillId="0" borderId="0" xfId="2" applyFont="1"/>
    <xf numFmtId="0" fontId="5" fillId="0" borderId="1" xfId="1" applyFont="1" applyBorder="1" applyAlignment="1">
      <alignment horizontal="left" indent="1"/>
    </xf>
    <xf numFmtId="2" fontId="5" fillId="0" borderId="1" xfId="3" applyNumberFormat="1" applyFont="1" applyFill="1" applyBorder="1"/>
    <xf numFmtId="0" fontId="5" fillId="0" borderId="1" xfId="3" applyNumberFormat="1" applyFont="1" applyFill="1" applyBorder="1" applyAlignment="1"/>
    <xf numFmtId="166" fontId="6" fillId="0" borderId="2" xfId="3" applyNumberFormat="1" applyFont="1" applyFill="1" applyBorder="1" applyAlignment="1"/>
    <xf numFmtId="170" fontId="6" fillId="0" borderId="1" xfId="3" applyNumberFormat="1" applyFont="1" applyFill="1" applyBorder="1" applyAlignment="1"/>
    <xf numFmtId="171" fontId="6" fillId="0" borderId="1" xfId="3" applyNumberFormat="1" applyFont="1" applyFill="1" applyBorder="1" applyAlignment="1">
      <alignment horizontal="right"/>
    </xf>
    <xf numFmtId="171" fontId="6" fillId="0" borderId="1" xfId="3" applyNumberFormat="1" applyFont="1" applyFill="1" applyBorder="1" applyAlignment="1"/>
    <xf numFmtId="0" fontId="2" fillId="0" borderId="0" xfId="1" applyFont="1"/>
    <xf numFmtId="167" fontId="7" fillId="0" borderId="0" xfId="2" applyNumberFormat="1" applyFont="1" applyAlignment="1">
      <alignment horizontal="center" vertical="center"/>
    </xf>
    <xf numFmtId="0" fontId="1" fillId="0" borderId="0" xfId="1"/>
    <xf numFmtId="167" fontId="4" fillId="0" borderId="0" xfId="2" applyNumberFormat="1" applyAlignment="1">
      <alignment horizontal="center"/>
    </xf>
    <xf numFmtId="0" fontId="8" fillId="0" borderId="0" xfId="2" applyFont="1" applyAlignment="1">
      <alignment horizontal="right" vertical="top"/>
    </xf>
    <xf numFmtId="2" fontId="1" fillId="0" borderId="0" xfId="1" applyNumberFormat="1"/>
    <xf numFmtId="0" fontId="4" fillId="0" borderId="0" xfId="2"/>
    <xf numFmtId="0" fontId="1" fillId="0" borderId="0" xfId="1" applyAlignment="1">
      <alignment horizontal="center"/>
    </xf>
    <xf numFmtId="171" fontId="5" fillId="0" borderId="1" xfId="3" applyNumberFormat="1" applyFont="1" applyFill="1" applyBorder="1" applyAlignme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</cellXfs>
  <cellStyles count="4">
    <cellStyle name="Komma 2" xfId="3" xr:uid="{AFBB8C7F-4DD1-4C94-AAA7-73E6941FB14D}"/>
    <cellStyle name="Standard" xfId="0" builtinId="0"/>
    <cellStyle name="Standard 2" xfId="1" xr:uid="{F624EC0C-1780-49FE-B8F5-FFD7515402DC}"/>
    <cellStyle name="Standard 3" xfId="2" xr:uid="{13AFB3AA-FC91-457B-9063-F0639B089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6dcfa39c5054bb9/Studium/Wirtschaftswissenschaften/Master-Thesis/New/Working/Policy%20Reactions/IMF/dataq.xlsx" TargetMode="External"/><Relationship Id="rId1" Type="http://schemas.openxmlformats.org/officeDocument/2006/relationships/externalLinkPath" Target="data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0"/>
      <sheetName val="2021"/>
      <sheetName val="data"/>
      <sheetName val="diff"/>
      <sheetName val="Security"/>
      <sheetName val="Database"/>
      <sheetName val="Figure"/>
    </sheetNames>
    <sheetDataSet>
      <sheetData sheetId="0"/>
      <sheetData sheetId="1"/>
      <sheetData sheetId="2">
        <row r="2">
          <cell r="D2">
            <v>2.1168</v>
          </cell>
          <cell r="E2">
            <v>107.8883</v>
          </cell>
          <cell r="F2">
            <v>0</v>
          </cell>
          <cell r="H2">
            <v>9.8137357930805607</v>
          </cell>
          <cell r="I2">
            <v>13.084981057440746</v>
          </cell>
          <cell r="J2">
            <v>0</v>
          </cell>
        </row>
        <row r="3">
          <cell r="D3">
            <v>2.4</v>
          </cell>
          <cell r="E3">
            <v>78.599999999999994</v>
          </cell>
          <cell r="F3">
            <v>63.75</v>
          </cell>
          <cell r="H3">
            <v>3.599255278880459</v>
          </cell>
          <cell r="I3">
            <v>46.79031862544597</v>
          </cell>
          <cell r="J3">
            <v>0</v>
          </cell>
        </row>
        <row r="4">
          <cell r="D4">
            <v>5.5</v>
          </cell>
          <cell r="E4">
            <v>11</v>
          </cell>
          <cell r="F4">
            <v>48.5</v>
          </cell>
          <cell r="H4">
            <v>0</v>
          </cell>
          <cell r="I4">
            <v>348</v>
          </cell>
          <cell r="J4">
            <v>0</v>
          </cell>
        </row>
        <row r="5">
          <cell r="D5">
            <v>11.2</v>
          </cell>
          <cell r="E5">
            <v>131.80000000000001</v>
          </cell>
          <cell r="F5">
            <v>0</v>
          </cell>
          <cell r="H5">
            <v>113.82634135997297</v>
          </cell>
          <cell r="I5">
            <v>849</v>
          </cell>
          <cell r="J5">
            <v>0</v>
          </cell>
        </row>
        <row r="6">
          <cell r="D6">
            <v>3.63</v>
          </cell>
          <cell r="E6">
            <v>18.37</v>
          </cell>
          <cell r="F6">
            <v>0</v>
          </cell>
          <cell r="H6">
            <v>0</v>
          </cell>
          <cell r="I6">
            <v>579.20099732616302</v>
          </cell>
          <cell r="J6">
            <v>0</v>
          </cell>
        </row>
        <row r="7">
          <cell r="D7">
            <v>12.1906</v>
          </cell>
          <cell r="E7">
            <v>484.80939999999998</v>
          </cell>
          <cell r="F7">
            <v>0</v>
          </cell>
          <cell r="H7">
            <v>0</v>
          </cell>
          <cell r="I7">
            <v>19</v>
          </cell>
          <cell r="J7">
            <v>0</v>
          </cell>
        </row>
        <row r="8">
          <cell r="D8">
            <v>2.5</v>
          </cell>
          <cell r="E8">
            <v>21.5</v>
          </cell>
          <cell r="F8">
            <v>14</v>
          </cell>
          <cell r="H8">
            <v>0</v>
          </cell>
          <cell r="I8">
            <v>28.03087410667397</v>
          </cell>
          <cell r="J8">
            <v>0</v>
          </cell>
        </row>
        <row r="9">
          <cell r="D9">
            <v>4.1786000000000003</v>
          </cell>
          <cell r="E9">
            <v>10.7143</v>
          </cell>
          <cell r="F9">
            <v>0</v>
          </cell>
          <cell r="H9">
            <v>0</v>
          </cell>
          <cell r="I9">
            <v>114.63808418776323</v>
          </cell>
          <cell r="J9">
            <v>11.4316</v>
          </cell>
        </row>
        <row r="10">
          <cell r="D10">
            <v>6.384615385</v>
          </cell>
          <cell r="E10">
            <v>76.61538462</v>
          </cell>
          <cell r="F10">
            <v>0</v>
          </cell>
          <cell r="H10">
            <v>1.2419179468562151</v>
          </cell>
          <cell r="I10">
            <v>422.2521019311132</v>
          </cell>
          <cell r="J10">
            <v>0</v>
          </cell>
        </row>
        <row r="11">
          <cell r="D11">
            <v>9.4499999999999993</v>
          </cell>
          <cell r="E11">
            <v>1385.55</v>
          </cell>
          <cell r="F11">
            <v>0</v>
          </cell>
          <cell r="H11">
            <v>56</v>
          </cell>
          <cell r="I11">
            <v>454</v>
          </cell>
          <cell r="J11">
            <v>0</v>
          </cell>
        </row>
        <row r="12">
          <cell r="D12">
            <v>1.8620000000000001</v>
          </cell>
          <cell r="E12">
            <v>0</v>
          </cell>
          <cell r="F12">
            <v>0</v>
          </cell>
          <cell r="H12">
            <v>0.89362142798687472</v>
          </cell>
          <cell r="I12">
            <v>0</v>
          </cell>
          <cell r="J12">
            <v>2.9766293957792835</v>
          </cell>
        </row>
        <row r="13"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>
            <v>3.8</v>
          </cell>
          <cell r="J13">
            <v>0</v>
          </cell>
        </row>
        <row r="14">
          <cell r="D14">
            <v>0</v>
          </cell>
          <cell r="E14">
            <v>31.764700000000001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54</v>
          </cell>
          <cell r="J15">
            <v>0</v>
          </cell>
        </row>
        <row r="16">
          <cell r="D16">
            <v>2.2540984E-2</v>
          </cell>
          <cell r="E16">
            <v>9.0525805604483107</v>
          </cell>
          <cell r="F16">
            <v>0</v>
          </cell>
          <cell r="H16">
            <v>3.2475625328962539E-2</v>
          </cell>
          <cell r="I16">
            <v>20.297265830601589</v>
          </cell>
          <cell r="J16">
            <v>0</v>
          </cell>
        </row>
        <row r="17">
          <cell r="D17">
            <v>0</v>
          </cell>
          <cell r="E17">
            <v>6.0209269622214112</v>
          </cell>
          <cell r="F17">
            <v>0</v>
          </cell>
          <cell r="H17">
            <v>0</v>
          </cell>
          <cell r="I17">
            <v>9.6999999999999993</v>
          </cell>
          <cell r="J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H18">
            <v>0.166216216</v>
          </cell>
          <cell r="I18">
            <v>0.17729729189999999</v>
          </cell>
          <cell r="J18">
            <v>0</v>
          </cell>
        </row>
        <row r="19">
          <cell r="D19">
            <v>2.8823529000000001E-2</v>
          </cell>
          <cell r="E19">
            <v>4.3235289999999997</v>
          </cell>
          <cell r="F19">
            <v>4.5</v>
          </cell>
          <cell r="H19">
            <v>1.1000000000000001</v>
          </cell>
          <cell r="I19">
            <v>12</v>
          </cell>
          <cell r="J19">
            <v>0</v>
          </cell>
        </row>
        <row r="20">
          <cell r="D20">
            <v>0.34294841930759717</v>
          </cell>
          <cell r="E20">
            <v>12.917723793919494</v>
          </cell>
          <cell r="F20">
            <v>1.3717936772303887</v>
          </cell>
          <cell r="H20">
            <v>8.862629246676515E-2</v>
          </cell>
          <cell r="I20">
            <v>0.23264401772525847</v>
          </cell>
          <cell r="J20">
            <v>0</v>
          </cell>
        </row>
        <row r="21">
          <cell r="D21">
            <v>2.1328006607137996E-2</v>
          </cell>
          <cell r="E21">
            <v>0.85853416239471891</v>
          </cell>
          <cell r="F21">
            <v>0</v>
          </cell>
          <cell r="H21">
            <v>8.862629246676515E-2</v>
          </cell>
          <cell r="I21">
            <v>0.23264401772525847</v>
          </cell>
          <cell r="J21">
            <v>0</v>
          </cell>
        </row>
        <row r="22">
          <cell r="D22">
            <v>2.2863227953839709</v>
          </cell>
          <cell r="E22">
            <v>19.310999999999996</v>
          </cell>
          <cell r="F22">
            <v>2.46</v>
          </cell>
          <cell r="H22">
            <v>3.69</v>
          </cell>
          <cell r="I22">
            <v>2.2863227953839709</v>
          </cell>
          <cell r="J22">
            <v>0</v>
          </cell>
        </row>
        <row r="23">
          <cell r="D23">
            <v>4.0163261841927023</v>
          </cell>
          <cell r="E23">
            <v>21.901980198691138</v>
          </cell>
          <cell r="F23">
            <v>2.0803991745458603</v>
          </cell>
          <cell r="H23">
            <v>0.92630689611642281</v>
          </cell>
          <cell r="I23">
            <v>10.199734841870674</v>
          </cell>
          <cell r="J23">
            <v>0</v>
          </cell>
        </row>
        <row r="24">
          <cell r="D24">
            <v>0.2311060355223796</v>
          </cell>
          <cell r="E24">
            <v>2.3789705344234271</v>
          </cell>
          <cell r="F24">
            <v>0</v>
          </cell>
          <cell r="H24">
            <v>0.22765268271994518</v>
          </cell>
          <cell r="I24">
            <v>0.75125385297581915</v>
          </cell>
          <cell r="J24">
            <v>0</v>
          </cell>
        </row>
        <row r="25">
          <cell r="D25">
            <v>0.56913170679986291</v>
          </cell>
          <cell r="E25">
            <v>2.0181410323123141</v>
          </cell>
          <cell r="F25">
            <v>2.4927968757833998</v>
          </cell>
          <cell r="H25">
            <v>0.3642442923519123</v>
          </cell>
          <cell r="I25">
            <v>1.1412818593544125</v>
          </cell>
          <cell r="J25">
            <v>0</v>
          </cell>
        </row>
        <row r="26">
          <cell r="D26">
            <v>0.22765268271994518</v>
          </cell>
          <cell r="E26">
            <v>2.7318321926393425</v>
          </cell>
          <cell r="F26">
            <v>5.2145883075488326</v>
          </cell>
          <cell r="H26">
            <v>0</v>
          </cell>
          <cell r="I26">
            <v>2.8456585339993148</v>
          </cell>
          <cell r="J26">
            <v>1.0244370722397533</v>
          </cell>
        </row>
        <row r="27">
          <cell r="D27">
            <v>0</v>
          </cell>
          <cell r="E27">
            <v>22</v>
          </cell>
          <cell r="F27">
            <v>45</v>
          </cell>
          <cell r="H27">
            <v>0</v>
          </cell>
          <cell r="I27">
            <v>0</v>
          </cell>
          <cell r="J27">
            <v>0</v>
          </cell>
        </row>
        <row r="28">
          <cell r="D28">
            <v>0.31570903379703813</v>
          </cell>
          <cell r="E28">
            <v>10.7728065</v>
          </cell>
          <cell r="F28">
            <v>0</v>
          </cell>
          <cell r="H28">
            <v>1.619654605028892</v>
          </cell>
          <cell r="I28">
            <v>3.9463629224629799</v>
          </cell>
          <cell r="J28"/>
        </row>
        <row r="29">
          <cell r="D29">
            <v>0</v>
          </cell>
          <cell r="E29">
            <v>0</v>
          </cell>
          <cell r="F29">
            <v>0</v>
          </cell>
          <cell r="H29">
            <v>5.3</v>
          </cell>
          <cell r="I29">
            <v>5.3</v>
          </cell>
          <cell r="J29">
            <v>0</v>
          </cell>
        </row>
        <row r="30">
          <cell r="D30">
            <v>1.8290582363071768</v>
          </cell>
          <cell r="E30">
            <v>5.3728585691523305</v>
          </cell>
          <cell r="F30">
            <v>9.0309750417666859</v>
          </cell>
          <cell r="H30">
            <v>0</v>
          </cell>
          <cell r="I30">
            <v>13.124741382575744</v>
          </cell>
          <cell r="J30">
            <v>0</v>
          </cell>
        </row>
        <row r="31">
          <cell r="D31">
            <v>0.153665560835963</v>
          </cell>
          <cell r="E31">
            <v>2.3320492512916506</v>
          </cell>
          <cell r="F31">
            <v>1.4060885191611421</v>
          </cell>
          <cell r="H31">
            <v>0</v>
          </cell>
          <cell r="I31">
            <v>4.5644362885349006</v>
          </cell>
          <cell r="J31">
            <v>0</v>
          </cell>
        </row>
        <row r="32">
          <cell r="D32">
            <v>0.11431613976919908</v>
          </cell>
          <cell r="E32">
            <v>2.3106747296074519</v>
          </cell>
          <cell r="F32">
            <v>0</v>
          </cell>
          <cell r="H32">
            <v>0.68589683861519435</v>
          </cell>
          <cell r="I32">
            <v>2.5</v>
          </cell>
          <cell r="J32">
            <v>0.11431613976919908</v>
          </cell>
        </row>
        <row r="33">
          <cell r="D33">
            <v>0</v>
          </cell>
          <cell r="E33">
            <v>11</v>
          </cell>
          <cell r="F33">
            <v>0</v>
          </cell>
          <cell r="H33">
            <v>0</v>
          </cell>
          <cell r="I33">
            <v>23.420286378961965</v>
          </cell>
          <cell r="J33">
            <v>0</v>
          </cell>
        </row>
        <row r="34">
          <cell r="D34">
            <v>0</v>
          </cell>
          <cell r="E34">
            <v>1.6825977000000001</v>
          </cell>
          <cell r="F34">
            <v>0</v>
          </cell>
          <cell r="H34">
            <v>0</v>
          </cell>
          <cell r="I34">
            <v>42.953062190002953</v>
          </cell>
          <cell r="J34">
            <v>0</v>
          </cell>
        </row>
        <row r="35">
          <cell r="D35">
            <v>1</v>
          </cell>
          <cell r="E35">
            <v>3.6</v>
          </cell>
          <cell r="F35">
            <v>4.7152702260000003</v>
          </cell>
          <cell r="H35">
            <v>0</v>
          </cell>
          <cell r="I35">
            <v>0</v>
          </cell>
          <cell r="J35">
            <v>5.6145524312524948</v>
          </cell>
        </row>
        <row r="36">
          <cell r="D36">
            <v>0</v>
          </cell>
          <cell r="E36">
            <v>0</v>
          </cell>
          <cell r="F36">
            <v>0</v>
          </cell>
          <cell r="H36">
            <v>0.1</v>
          </cell>
          <cell r="I36">
            <v>0</v>
          </cell>
          <cell r="J36">
            <v>0</v>
          </cell>
        </row>
        <row r="37">
          <cell r="D37">
            <v>0.17</v>
          </cell>
          <cell r="E37">
            <v>0.54743399999999998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D38">
            <v>0</v>
          </cell>
          <cell r="E38">
            <v>4.4197489986439065</v>
          </cell>
          <cell r="F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D39">
            <v>2.169577558058819</v>
          </cell>
          <cell r="E39">
            <v>9</v>
          </cell>
          <cell r="F39">
            <v>0</v>
          </cell>
          <cell r="H39">
            <v>0</v>
          </cell>
          <cell r="I39">
            <v>17</v>
          </cell>
          <cell r="J39">
            <v>0</v>
          </cell>
        </row>
        <row r="41">
          <cell r="D41">
            <v>3.2712452643601866</v>
          </cell>
          <cell r="E41">
            <v>107.10056995515251</v>
          </cell>
          <cell r="F41">
            <v>0</v>
          </cell>
          <cell r="H41">
            <v>9.8137357930805607</v>
          </cell>
          <cell r="I41">
            <v>13.084981057440746</v>
          </cell>
          <cell r="J41">
            <v>0</v>
          </cell>
        </row>
        <row r="42">
          <cell r="D42">
            <v>2.8794042231043675</v>
          </cell>
          <cell r="E42">
            <v>83.502722470026654</v>
          </cell>
          <cell r="F42">
            <v>61.187339740967808</v>
          </cell>
          <cell r="H42">
            <v>3.599255278880459</v>
          </cell>
          <cell r="I42">
            <v>46.79031862544597</v>
          </cell>
          <cell r="J42">
            <v>0</v>
          </cell>
        </row>
        <row r="43">
          <cell r="D43">
            <v>8.7426565634137816</v>
          </cell>
          <cell r="E43">
            <v>53.87662107203743</v>
          </cell>
          <cell r="F43">
            <v>60.652179908683117</v>
          </cell>
          <cell r="H43">
            <v>18.006206750642018</v>
          </cell>
          <cell r="I43">
            <v>357.35608702953834</v>
          </cell>
          <cell r="J43">
            <v>0</v>
          </cell>
        </row>
        <row r="44">
          <cell r="D44">
            <v>25.135137619814568</v>
          </cell>
          <cell r="E44">
            <v>289.21983361607363</v>
          </cell>
          <cell r="F44">
            <v>0</v>
          </cell>
          <cell r="H44">
            <v>113.82634135997297</v>
          </cell>
          <cell r="I44">
            <v>896.12229774991067</v>
          </cell>
          <cell r="J44">
            <v>0</v>
          </cell>
        </row>
        <row r="45">
          <cell r="D45">
            <v>7.103408457773698</v>
          </cell>
          <cell r="E45">
            <v>53.002355415696051</v>
          </cell>
          <cell r="F45">
            <v>7.6498244929870598</v>
          </cell>
          <cell r="H45">
            <v>3.6063458324081847</v>
          </cell>
          <cell r="I45">
            <v>579.20099732616302</v>
          </cell>
          <cell r="J45">
            <v>0</v>
          </cell>
        </row>
        <row r="46">
          <cell r="D46">
            <v>38.427516652536532</v>
          </cell>
          <cell r="E46">
            <v>507.50888354867544</v>
          </cell>
          <cell r="F46">
            <v>242.55939287252869</v>
          </cell>
          <cell r="H46">
            <v>0</v>
          </cell>
          <cell r="I46">
            <v>146.46855646533464</v>
          </cell>
          <cell r="J46">
            <v>1016.8836085809857</v>
          </cell>
        </row>
        <row r="47">
          <cell r="D47">
            <v>3.7812909352111514</v>
          </cell>
          <cell r="E47">
            <v>43.97805761604274</v>
          </cell>
          <cell r="F47">
            <v>27.126652361297392</v>
          </cell>
          <cell r="H47">
            <v>0</v>
          </cell>
          <cell r="I47">
            <v>28.03087410667397</v>
          </cell>
          <cell r="J47">
            <v>104.39377432263932</v>
          </cell>
        </row>
        <row r="48">
          <cell r="D48">
            <v>4.6991779028349079</v>
          </cell>
          <cell r="E48">
            <v>35.079909460697799</v>
          </cell>
          <cell r="F48">
            <v>0</v>
          </cell>
          <cell r="H48">
            <v>0.13551117673291363</v>
          </cell>
          <cell r="I48">
            <v>114.63808418776323</v>
          </cell>
          <cell r="J48">
            <v>10.928320704267227</v>
          </cell>
        </row>
        <row r="49">
          <cell r="D49">
            <v>8.1966584492510197</v>
          </cell>
          <cell r="E49">
            <v>146.42212593434778</v>
          </cell>
          <cell r="F49">
            <v>0</v>
          </cell>
          <cell r="H49">
            <v>1.2419179468562151</v>
          </cell>
          <cell r="I49">
            <v>422.2521019311132</v>
          </cell>
          <cell r="J49">
            <v>0</v>
          </cell>
        </row>
        <row r="50">
          <cell r="D50">
            <v>304</v>
          </cell>
          <cell r="E50">
            <v>2139</v>
          </cell>
          <cell r="F50">
            <v>0</v>
          </cell>
          <cell r="H50">
            <v>56</v>
          </cell>
          <cell r="I50">
            <v>454</v>
          </cell>
          <cell r="J50">
            <v>0</v>
          </cell>
        </row>
        <row r="51">
          <cell r="D51">
            <v>1.8317719358641744</v>
          </cell>
          <cell r="E51">
            <v>4.8812388597816945</v>
          </cell>
          <cell r="F51">
            <v>2.1248554456024422</v>
          </cell>
          <cell r="H51">
            <v>0.89362142798687472</v>
          </cell>
          <cell r="I51">
            <v>0</v>
          </cell>
          <cell r="J51">
            <v>2.9766293957792835</v>
          </cell>
        </row>
        <row r="52">
          <cell r="D52">
            <v>0</v>
          </cell>
          <cell r="E52">
            <v>1.6541353383458646</v>
          </cell>
          <cell r="F52">
            <v>9.9097744360902258</v>
          </cell>
          <cell r="H52">
            <v>2.8929023177546362</v>
          </cell>
          <cell r="I52">
            <v>43.44633931777836</v>
          </cell>
          <cell r="J52">
            <v>15.3179177725108</v>
          </cell>
        </row>
        <row r="53">
          <cell r="D53">
            <v>2.0488741444795067</v>
          </cell>
          <cell r="E53">
            <v>34.375555090711721</v>
          </cell>
          <cell r="F53">
            <v>0</v>
          </cell>
          <cell r="H53">
            <v>0</v>
          </cell>
          <cell r="I53">
            <v>8.4705999999999992</v>
          </cell>
          <cell r="J53">
            <v>0</v>
          </cell>
        </row>
        <row r="54">
          <cell r="D54">
            <v>2.2949473478961178</v>
          </cell>
          <cell r="E54">
            <v>13.441834466248691</v>
          </cell>
          <cell r="F54">
            <v>12.021152774693951</v>
          </cell>
          <cell r="H54">
            <v>0</v>
          </cell>
          <cell r="I54">
            <v>56.827267662189584</v>
          </cell>
          <cell r="J54">
            <v>0</v>
          </cell>
        </row>
        <row r="55">
          <cell r="D55">
            <v>2.5315222329475802</v>
          </cell>
          <cell r="E55">
            <v>8.0418167674423984</v>
          </cell>
          <cell r="F55">
            <v>1.5892575253152907</v>
          </cell>
          <cell r="H55">
            <v>3.2475625328962539E-2</v>
          </cell>
          <cell r="I55">
            <v>20.297265830601589</v>
          </cell>
          <cell r="J55">
            <v>0</v>
          </cell>
        </row>
        <row r="56">
          <cell r="D56">
            <v>0.11675143395921074</v>
          </cell>
          <cell r="E56">
            <v>6.0209269622214112</v>
          </cell>
          <cell r="F56">
            <v>24.284298263515833</v>
          </cell>
          <cell r="H56">
            <v>8.7010778173287289</v>
          </cell>
          <cell r="I56">
            <v>6.0838799453960295</v>
          </cell>
          <cell r="J56">
            <v>0</v>
          </cell>
        </row>
        <row r="57">
          <cell r="D57">
            <v>0.22389999999999999</v>
          </cell>
          <cell r="E57">
            <v>0.74940000000000007</v>
          </cell>
          <cell r="F57">
            <v>0</v>
          </cell>
          <cell r="H57">
            <v>0.78287837800000004</v>
          </cell>
          <cell r="I57">
            <v>0.23629729190000001</v>
          </cell>
          <cell r="J57">
            <v>0</v>
          </cell>
        </row>
        <row r="58">
          <cell r="D58">
            <v>1.4861098169995812</v>
          </cell>
          <cell r="E58">
            <v>5.3728585691523323</v>
          </cell>
          <cell r="F58">
            <v>4.9155940100755373</v>
          </cell>
          <cell r="H58">
            <v>1.8260509749670601</v>
          </cell>
          <cell r="I58">
            <v>13.923638684123832</v>
          </cell>
          <cell r="J58">
            <v>1.0928320704267227</v>
          </cell>
        </row>
        <row r="59">
          <cell r="D59">
            <v>0.34294841930759717</v>
          </cell>
          <cell r="E59">
            <v>12.917723793919494</v>
          </cell>
          <cell r="F59">
            <v>1.3717936772303887</v>
          </cell>
          <cell r="H59">
            <v>8.862629246676515E-2</v>
          </cell>
          <cell r="I59">
            <v>0.23264401772525847</v>
          </cell>
          <cell r="J59">
            <v>0</v>
          </cell>
        </row>
        <row r="60">
          <cell r="D60">
            <v>2.1328006607137996E-2</v>
          </cell>
          <cell r="E60">
            <v>0.85853416239471891</v>
          </cell>
          <cell r="F60">
            <v>0</v>
          </cell>
          <cell r="H60">
            <v>8.862629246676515E-2</v>
          </cell>
          <cell r="I60">
            <v>0.23264401772525847</v>
          </cell>
          <cell r="J60">
            <v>0</v>
          </cell>
        </row>
        <row r="61">
          <cell r="D61">
            <v>2.2863227953839709</v>
          </cell>
          <cell r="E61">
            <v>19.310999999999996</v>
          </cell>
          <cell r="F61">
            <v>2.46</v>
          </cell>
          <cell r="H61">
            <v>3.69</v>
          </cell>
          <cell r="I61">
            <v>2.2863227953839709</v>
          </cell>
          <cell r="J61">
            <v>0</v>
          </cell>
        </row>
        <row r="62">
          <cell r="D62">
            <v>4.0163261841927023</v>
          </cell>
          <cell r="E62">
            <v>21.901980198691138</v>
          </cell>
          <cell r="F62">
            <v>2.0803991745458603</v>
          </cell>
          <cell r="H62">
            <v>0.92630689611642281</v>
          </cell>
          <cell r="I62">
            <v>10.199734841870674</v>
          </cell>
          <cell r="J62">
            <v>0</v>
          </cell>
        </row>
        <row r="63">
          <cell r="D63">
            <v>0.2311060355223796</v>
          </cell>
          <cell r="E63">
            <v>2.3789705344234271</v>
          </cell>
          <cell r="F63">
            <v>0</v>
          </cell>
          <cell r="H63">
            <v>0.22765268271994518</v>
          </cell>
          <cell r="I63">
            <v>0.75125385297581915</v>
          </cell>
          <cell r="J63">
            <v>0</v>
          </cell>
        </row>
        <row r="64">
          <cell r="D64">
            <v>0.56913170679986291</v>
          </cell>
          <cell r="E64">
            <v>2.0181410323123141</v>
          </cell>
          <cell r="F64">
            <v>2.4927968757833998</v>
          </cell>
          <cell r="H64">
            <v>0.3642442923519123</v>
          </cell>
          <cell r="I64">
            <v>1.1412818593544125</v>
          </cell>
          <cell r="J64">
            <v>0</v>
          </cell>
        </row>
        <row r="65">
          <cell r="D65">
            <v>0.22765268271994518</v>
          </cell>
          <cell r="E65">
            <v>2.7318321926393425</v>
          </cell>
          <cell r="F65">
            <v>5.2145883075488326</v>
          </cell>
          <cell r="H65">
            <v>0</v>
          </cell>
          <cell r="I65">
            <v>2.8456585339993148</v>
          </cell>
          <cell r="J65">
            <v>1.0244370722397533</v>
          </cell>
        </row>
        <row r="66">
          <cell r="D66">
            <v>0.76498244929870585</v>
          </cell>
          <cell r="E66">
            <v>33.222094940972369</v>
          </cell>
          <cell r="F66">
            <v>30.86535773768361</v>
          </cell>
          <cell r="H66">
            <v>0</v>
          </cell>
          <cell r="I66">
            <v>33.440661355057721</v>
          </cell>
          <cell r="J66">
            <v>0</v>
          </cell>
        </row>
        <row r="67">
          <cell r="D67">
            <v>0.51484322249598913</v>
          </cell>
          <cell r="E67">
            <v>37.133067422523219</v>
          </cell>
          <cell r="F67">
            <v>0</v>
          </cell>
          <cell r="H67">
            <v>1.619654605028892</v>
          </cell>
          <cell r="I67">
            <v>4.0491365125722298</v>
          </cell>
          <cell r="J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H68">
            <v>5.3242412078748709</v>
          </cell>
          <cell r="I68">
            <v>8.2440167736196095</v>
          </cell>
          <cell r="J68">
            <v>0</v>
          </cell>
        </row>
        <row r="69">
          <cell r="D69">
            <v>1.8290582363071768</v>
          </cell>
          <cell r="E69">
            <v>5.3728585691523305</v>
          </cell>
          <cell r="F69">
            <v>8.9922809674378357</v>
          </cell>
          <cell r="H69">
            <v>0</v>
          </cell>
          <cell r="I69">
            <v>13.124741382575744</v>
          </cell>
          <cell r="J69">
            <v>0</v>
          </cell>
        </row>
        <row r="70">
          <cell r="D70">
            <v>0.153665560835963</v>
          </cell>
          <cell r="E70">
            <v>2.3320492512916506</v>
          </cell>
          <cell r="F70">
            <v>1.4060885191611421</v>
          </cell>
          <cell r="H70">
            <v>0</v>
          </cell>
          <cell r="I70">
            <v>4.5644362885349006</v>
          </cell>
          <cell r="J70">
            <v>0</v>
          </cell>
        </row>
        <row r="71">
          <cell r="D71">
            <v>0.11431613976919908</v>
          </cell>
          <cell r="E71">
            <v>2.3106747296074519</v>
          </cell>
          <cell r="F71">
            <v>0</v>
          </cell>
          <cell r="H71">
            <v>0.68589683861519435</v>
          </cell>
          <cell r="I71">
            <v>2.5</v>
          </cell>
          <cell r="J71">
            <v>0.11431613976919908</v>
          </cell>
        </row>
        <row r="72">
          <cell r="D72">
            <v>1.5449973683666396</v>
          </cell>
          <cell r="E72">
            <v>18.248811267466294</v>
          </cell>
          <cell r="F72">
            <v>34.112156247618515</v>
          </cell>
          <cell r="H72">
            <v>0</v>
          </cell>
          <cell r="I72">
            <v>23.420286378961965</v>
          </cell>
          <cell r="J72">
            <v>0</v>
          </cell>
        </row>
        <row r="73">
          <cell r="D73">
            <v>2.6975353066185432</v>
          </cell>
          <cell r="E73">
            <v>29.257882941016504</v>
          </cell>
          <cell r="F73">
            <v>0</v>
          </cell>
          <cell r="H73">
            <v>0</v>
          </cell>
          <cell r="I73">
            <v>42.953062190002953</v>
          </cell>
          <cell r="J73">
            <v>0</v>
          </cell>
        </row>
        <row r="74">
          <cell r="D74">
            <v>1.7213831286474848</v>
          </cell>
          <cell r="E74">
            <v>16.476095659911639</v>
          </cell>
          <cell r="F74">
            <v>3.8116340705765732</v>
          </cell>
          <cell r="H74">
            <v>0</v>
          </cell>
          <cell r="I74">
            <v>0</v>
          </cell>
          <cell r="J74">
            <v>5.6145524312524948</v>
          </cell>
        </row>
        <row r="75">
          <cell r="D75">
            <v>1.9136139057485111</v>
          </cell>
          <cell r="E75">
            <v>1.9107240440017739</v>
          </cell>
          <cell r="F75">
            <v>0.10508588169953384</v>
          </cell>
          <cell r="H75">
            <v>0.92028960898366752</v>
          </cell>
          <cell r="I75">
            <v>0</v>
          </cell>
          <cell r="J75">
            <v>0</v>
          </cell>
        </row>
        <row r="76">
          <cell r="D76">
            <v>0.17</v>
          </cell>
          <cell r="E76">
            <v>0.61793399999999998</v>
          </cell>
          <cell r="F76">
            <v>0.40684985167435311</v>
          </cell>
          <cell r="H76">
            <v>0</v>
          </cell>
          <cell r="I76">
            <v>0</v>
          </cell>
          <cell r="J76">
            <v>0</v>
          </cell>
        </row>
        <row r="77">
          <cell r="D77">
            <v>1.7694150329493317</v>
          </cell>
          <cell r="E77">
            <v>4.2281340131456639</v>
          </cell>
          <cell r="F77">
            <v>0</v>
          </cell>
          <cell r="H77">
            <v>0</v>
          </cell>
          <cell r="I77">
            <v>6.4935767703113596</v>
          </cell>
          <cell r="J77">
            <v>0</v>
          </cell>
        </row>
        <row r="78">
          <cell r="D78">
            <v>2.1654285875212778</v>
          </cell>
          <cell r="E78">
            <v>34.746782289825745</v>
          </cell>
          <cell r="F78">
            <v>0</v>
          </cell>
          <cell r="H78">
            <v>0</v>
          </cell>
          <cell r="I78">
            <v>18.888086976041485</v>
          </cell>
          <cell r="J78">
            <v>9.8869334416288517</v>
          </cell>
        </row>
        <row r="80">
          <cell r="D80">
            <v>6.6083475783839196</v>
          </cell>
          <cell r="E80">
            <v>149.92688568458519</v>
          </cell>
          <cell r="F80">
            <v>0</v>
          </cell>
          <cell r="H80">
            <v>10.325543091224874</v>
          </cell>
          <cell r="I80">
            <v>13.767390788299833</v>
          </cell>
          <cell r="J80">
            <v>0</v>
          </cell>
        </row>
        <row r="81">
          <cell r="D81">
            <v>14.693581842972383</v>
          </cell>
          <cell r="E81">
            <v>184.93134319538979</v>
          </cell>
          <cell r="F81">
            <v>63.07850791175013</v>
          </cell>
          <cell r="H81">
            <v>3.8589204840129492</v>
          </cell>
          <cell r="I81">
            <v>62.053641598824733</v>
          </cell>
          <cell r="J81">
            <v>0</v>
          </cell>
        </row>
        <row r="82">
          <cell r="D82">
            <v>16.004259567687797</v>
          </cell>
          <cell r="E82">
            <v>117.51699168273612</v>
          </cell>
          <cell r="F82">
            <v>62.604487747984926</v>
          </cell>
          <cell r="H82">
            <v>18.006206750642018</v>
          </cell>
          <cell r="I82">
            <v>377.81484193720121</v>
          </cell>
          <cell r="J82">
            <v>0</v>
          </cell>
        </row>
        <row r="83">
          <cell r="D83">
            <v>26.292712146915786</v>
          </cell>
          <cell r="E83">
            <v>289.21983361607363</v>
          </cell>
          <cell r="F83">
            <v>0</v>
          </cell>
          <cell r="H83">
            <v>113.82634135997297</v>
          </cell>
          <cell r="I83">
            <v>937.39234610743233</v>
          </cell>
          <cell r="J83">
            <v>0</v>
          </cell>
        </row>
        <row r="84">
          <cell r="D84">
            <v>7.4305490849979057</v>
          </cell>
          <cell r="E84">
            <v>84.022362730360939</v>
          </cell>
          <cell r="F84">
            <v>7.9678438951980812</v>
          </cell>
          <cell r="H84">
            <v>3.6993560941991093</v>
          </cell>
          <cell r="I84">
            <v>605.87554077675236</v>
          </cell>
          <cell r="J84">
            <v>0</v>
          </cell>
        </row>
        <row r="85">
          <cell r="D85">
            <v>47.578957832688324</v>
          </cell>
          <cell r="E85">
            <v>507.50888354867544</v>
          </cell>
          <cell r="F85">
            <v>242.55939287252869</v>
          </cell>
          <cell r="H85">
            <v>0</v>
          </cell>
          <cell r="I85">
            <v>146.46855646533464</v>
          </cell>
          <cell r="J85">
            <v>1016.8836085809857</v>
          </cell>
        </row>
        <row r="86">
          <cell r="D86">
            <v>4.2592659923636838</v>
          </cell>
          <cell r="E86">
            <v>51.111191908364205</v>
          </cell>
          <cell r="F86">
            <v>27.559956421176778</v>
          </cell>
          <cell r="H86">
            <v>0</v>
          </cell>
          <cell r="I86">
            <v>59.212148795801021</v>
          </cell>
          <cell r="J86">
            <v>104.39377432263932</v>
          </cell>
        </row>
        <row r="87">
          <cell r="D87">
            <v>5.0083590198387942</v>
          </cell>
          <cell r="E87">
            <v>37.495693844297122</v>
          </cell>
          <cell r="F87">
            <v>0</v>
          </cell>
          <cell r="H87">
            <v>0.68589683861519124</v>
          </cell>
          <cell r="I87">
            <v>164.6152412676459</v>
          </cell>
          <cell r="J87">
            <v>11.382634135997259</v>
          </cell>
        </row>
        <row r="88">
          <cell r="D88">
            <v>40.752852274615869</v>
          </cell>
          <cell r="E88">
            <v>200.68857440895744</v>
          </cell>
          <cell r="F88">
            <v>5.126144940203254</v>
          </cell>
          <cell r="H88">
            <v>1.2806574343647736</v>
          </cell>
          <cell r="I88">
            <v>435.42352768402304</v>
          </cell>
          <cell r="J88">
            <v>0</v>
          </cell>
        </row>
        <row r="89">
          <cell r="D89">
            <v>304</v>
          </cell>
          <cell r="E89">
            <v>2145</v>
          </cell>
          <cell r="F89">
            <v>18</v>
          </cell>
          <cell r="H89">
            <v>56</v>
          </cell>
          <cell r="I89">
            <v>454</v>
          </cell>
          <cell r="J89">
            <v>0</v>
          </cell>
        </row>
        <row r="90">
          <cell r="D90">
            <v>1.8317719358641744</v>
          </cell>
          <cell r="E90">
            <v>4.8812388597816945</v>
          </cell>
          <cell r="F90">
            <v>2.1248554456024422</v>
          </cell>
          <cell r="H90">
            <v>0.89362142798687472</v>
          </cell>
          <cell r="I90">
            <v>0</v>
          </cell>
          <cell r="J90">
            <v>2.9766293957792835</v>
          </cell>
        </row>
        <row r="91">
          <cell r="D91">
            <v>1.9527090644843794</v>
          </cell>
          <cell r="E91">
            <v>2.9507603641097289</v>
          </cell>
          <cell r="F91">
            <v>9.6189002065341658</v>
          </cell>
          <cell r="H91">
            <v>2.8929023177546362</v>
          </cell>
          <cell r="I91">
            <v>43.44633931777836</v>
          </cell>
          <cell r="J91">
            <v>15.3179177725108</v>
          </cell>
        </row>
        <row r="92">
          <cell r="D92">
            <v>2.0488741444795067</v>
          </cell>
          <cell r="E92">
            <v>34.375555090711721</v>
          </cell>
          <cell r="F92">
            <v>0</v>
          </cell>
          <cell r="H92">
            <v>0</v>
          </cell>
          <cell r="I92">
            <v>10.244370722397534</v>
          </cell>
          <cell r="J92">
            <v>0</v>
          </cell>
        </row>
        <row r="93">
          <cell r="D93">
            <v>3.7724326123835521</v>
          </cell>
          <cell r="E93">
            <v>16.118575707456994</v>
          </cell>
          <cell r="F93">
            <v>15.708035107676219</v>
          </cell>
          <cell r="H93">
            <v>1.1382634135997258</v>
          </cell>
          <cell r="I93">
            <v>59.189697507185748</v>
          </cell>
          <cell r="J93">
            <v>0</v>
          </cell>
        </row>
        <row r="94">
          <cell r="D94">
            <v>2.5315222329475802</v>
          </cell>
          <cell r="E94">
            <v>8.0418167674423984</v>
          </cell>
          <cell r="F94">
            <v>1.5581815067044105</v>
          </cell>
          <cell r="H94">
            <v>4.2925110377531973E-2</v>
          </cell>
          <cell r="I94">
            <v>37.087295366187625</v>
          </cell>
          <cell r="J94">
            <v>0</v>
          </cell>
        </row>
        <row r="95">
          <cell r="D95">
            <v>0.12194282455131972</v>
          </cell>
          <cell r="E95">
            <v>6.0209269622214112</v>
          </cell>
          <cell r="F95">
            <v>26.73596428287685</v>
          </cell>
          <cell r="H95">
            <v>8.7010778173287289</v>
          </cell>
          <cell r="I95">
            <v>6.0838799453960295</v>
          </cell>
          <cell r="J95">
            <v>0</v>
          </cell>
        </row>
        <row r="96">
          <cell r="D96">
            <v>0.22389999999999999</v>
          </cell>
          <cell r="E96">
            <v>0.74940000000000007</v>
          </cell>
          <cell r="F96">
            <v>0</v>
          </cell>
          <cell r="H96">
            <v>0.97890653569576425</v>
          </cell>
          <cell r="I96">
            <v>0.34147902407991776</v>
          </cell>
          <cell r="J96">
            <v>0</v>
          </cell>
        </row>
        <row r="97">
          <cell r="D97">
            <v>1.4861098169995812</v>
          </cell>
          <cell r="E97">
            <v>5.3728585691523323</v>
          </cell>
          <cell r="F97">
            <v>4.8376195077988351</v>
          </cell>
          <cell r="H97">
            <v>1.8260509749670601</v>
          </cell>
          <cell r="I97">
            <v>13.923638684123832</v>
          </cell>
          <cell r="J97">
            <v>1.1382634135997258</v>
          </cell>
        </row>
        <row r="98">
          <cell r="D98">
            <v>0.34294841930759717</v>
          </cell>
          <cell r="E98">
            <v>12.917723793919494</v>
          </cell>
          <cell r="F98">
            <v>1.3717936772303887</v>
          </cell>
          <cell r="H98">
            <v>0</v>
          </cell>
          <cell r="I98">
            <v>2.9127752413191792</v>
          </cell>
          <cell r="J98">
            <v>0</v>
          </cell>
        </row>
        <row r="99">
          <cell r="D99">
            <v>2.1328006607137996E-2</v>
          </cell>
          <cell r="E99">
            <v>0.85853416239471891</v>
          </cell>
          <cell r="F99">
            <v>0</v>
          </cell>
          <cell r="H99">
            <v>8.862629246676515E-2</v>
          </cell>
          <cell r="I99">
            <v>0.23264401772525847</v>
          </cell>
          <cell r="J99">
            <v>0</v>
          </cell>
        </row>
        <row r="100">
          <cell r="D100">
            <v>2.2863227953839709</v>
          </cell>
          <cell r="E100">
            <v>19.310999999999996</v>
          </cell>
          <cell r="F100">
            <v>2.46</v>
          </cell>
          <cell r="H100">
            <v>3.69</v>
          </cell>
          <cell r="I100">
            <v>2.2863227953839709</v>
          </cell>
          <cell r="J100">
            <v>0</v>
          </cell>
        </row>
        <row r="101">
          <cell r="D101">
            <v>4.0163261841927023</v>
          </cell>
          <cell r="E101">
            <v>21.901980198691138</v>
          </cell>
          <cell r="F101">
            <v>2.0803991745458603</v>
          </cell>
          <cell r="H101">
            <v>0.92630689611642281</v>
          </cell>
          <cell r="I101">
            <v>10.199734841870674</v>
          </cell>
          <cell r="J101">
            <v>0</v>
          </cell>
        </row>
        <row r="102">
          <cell r="D102">
            <v>0.2311060355223796</v>
          </cell>
          <cell r="E102">
            <v>2.3789705344234271</v>
          </cell>
          <cell r="F102">
            <v>0</v>
          </cell>
          <cell r="H102">
            <v>0.22765268271994518</v>
          </cell>
          <cell r="I102">
            <v>0.75125385297581915</v>
          </cell>
          <cell r="J102">
            <v>0</v>
          </cell>
        </row>
        <row r="103">
          <cell r="D103">
            <v>0.56913170679986291</v>
          </cell>
          <cell r="E103">
            <v>2.0181410323123141</v>
          </cell>
          <cell r="F103">
            <v>2.4927968757833998</v>
          </cell>
          <cell r="H103">
            <v>0.3642442923519123</v>
          </cell>
          <cell r="I103">
            <v>1.1412818593544125</v>
          </cell>
          <cell r="J103">
            <v>0</v>
          </cell>
        </row>
        <row r="104">
          <cell r="D104">
            <v>0.22765268271994518</v>
          </cell>
          <cell r="E104">
            <v>2.7318321926393425</v>
          </cell>
          <cell r="F104">
            <v>5.2145883075488326</v>
          </cell>
          <cell r="H104">
            <v>0</v>
          </cell>
          <cell r="I104">
            <v>2.8456585339993148</v>
          </cell>
          <cell r="J104">
            <v>1.0244370722397533</v>
          </cell>
        </row>
        <row r="105">
          <cell r="D105">
            <v>4.2296971714603462</v>
          </cell>
          <cell r="E105">
            <v>33.806423383911863</v>
          </cell>
          <cell r="F105">
            <v>14.342119011356546</v>
          </cell>
          <cell r="H105">
            <v>0</v>
          </cell>
          <cell r="I105">
            <v>37.724326123835517</v>
          </cell>
          <cell r="J105">
            <v>0</v>
          </cell>
        </row>
        <row r="106">
          <cell r="D106">
            <v>0.51484322249598913</v>
          </cell>
          <cell r="E106">
            <v>37.133067422523219</v>
          </cell>
          <cell r="F106">
            <v>0</v>
          </cell>
          <cell r="H106">
            <v>1.619654605028892</v>
          </cell>
          <cell r="I106">
            <v>4.0491365125722298</v>
          </cell>
          <cell r="J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H107">
            <v>5.3242412078748709</v>
          </cell>
          <cell r="I107">
            <v>8.2440167736196095</v>
          </cell>
          <cell r="J107">
            <v>0</v>
          </cell>
        </row>
        <row r="108">
          <cell r="D108">
            <v>1.8290582363071768</v>
          </cell>
          <cell r="E108">
            <v>5.3728585691523305</v>
          </cell>
          <cell r="F108">
            <v>8.9922809674378357</v>
          </cell>
          <cell r="H108">
            <v>0</v>
          </cell>
          <cell r="I108">
            <v>13.124741382575744</v>
          </cell>
          <cell r="J108">
            <v>0</v>
          </cell>
        </row>
        <row r="109">
          <cell r="D109">
            <v>0.153665560835963</v>
          </cell>
          <cell r="E109">
            <v>2.3320492512916506</v>
          </cell>
          <cell r="F109">
            <v>0.54465904340746885</v>
          </cell>
          <cell r="H109">
            <v>0</v>
          </cell>
          <cell r="I109">
            <v>4.5644362885349006</v>
          </cell>
          <cell r="J109">
            <v>0</v>
          </cell>
        </row>
        <row r="110">
          <cell r="D110">
            <v>0.11431613976919908</v>
          </cell>
          <cell r="E110">
            <v>2.3106747296074519</v>
          </cell>
          <cell r="F110">
            <v>0</v>
          </cell>
          <cell r="H110">
            <v>0.68589683861519435</v>
          </cell>
          <cell r="I110">
            <v>2.5</v>
          </cell>
          <cell r="J110">
            <v>0.11431613976919908</v>
          </cell>
        </row>
        <row r="111">
          <cell r="D111">
            <v>1.5449973683666396</v>
          </cell>
          <cell r="E111">
            <v>18.248811267466294</v>
          </cell>
          <cell r="F111">
            <v>34.272828946161376</v>
          </cell>
          <cell r="H111">
            <v>1.2663765826177678</v>
          </cell>
          <cell r="I111">
            <v>27.059328688413846</v>
          </cell>
          <cell r="J111">
            <v>0</v>
          </cell>
        </row>
        <row r="112">
          <cell r="D112">
            <v>2.7773796194155169</v>
          </cell>
          <cell r="E112">
            <v>30.978464985788456</v>
          </cell>
          <cell r="F112">
            <v>0</v>
          </cell>
          <cell r="H112">
            <v>0.85051942145296811</v>
          </cell>
          <cell r="I112">
            <v>44.014380060191094</v>
          </cell>
          <cell r="J112">
            <v>0</v>
          </cell>
        </row>
        <row r="113">
          <cell r="D113">
            <v>1.746749645278554</v>
          </cell>
          <cell r="E113">
            <v>18.520112055661777</v>
          </cell>
          <cell r="F113">
            <v>3.04</v>
          </cell>
          <cell r="H113">
            <v>0</v>
          </cell>
          <cell r="I113">
            <v>0</v>
          </cell>
          <cell r="J113">
            <v>5.6145524312524948</v>
          </cell>
        </row>
        <row r="114">
          <cell r="D114">
            <v>2.366534055873502</v>
          </cell>
          <cell r="E114">
            <v>4.6836777473482227</v>
          </cell>
          <cell r="F114">
            <v>0.10508588169953384</v>
          </cell>
          <cell r="H114">
            <v>0.92028960898366752</v>
          </cell>
          <cell r="I114">
            <v>5.9938359774371612</v>
          </cell>
          <cell r="J114">
            <v>0</v>
          </cell>
        </row>
        <row r="115">
          <cell r="D115">
            <v>0.1953834292316359</v>
          </cell>
          <cell r="E115">
            <v>0.6512780974387864</v>
          </cell>
          <cell r="F115">
            <v>0.40684985167435311</v>
          </cell>
          <cell r="H115">
            <v>0</v>
          </cell>
          <cell r="I115">
            <v>0</v>
          </cell>
          <cell r="J115">
            <v>0</v>
          </cell>
        </row>
        <row r="116">
          <cell r="D116">
            <v>1.7694150329493317</v>
          </cell>
          <cell r="E116">
            <v>4.2281340131456639</v>
          </cell>
          <cell r="F116">
            <v>0</v>
          </cell>
          <cell r="H116">
            <v>0</v>
          </cell>
          <cell r="I116">
            <v>6.4935767703113596</v>
          </cell>
          <cell r="J116">
            <v>0</v>
          </cell>
        </row>
        <row r="117">
          <cell r="D117">
            <v>2.1654285875212778</v>
          </cell>
          <cell r="E117">
            <v>34.746782289825745</v>
          </cell>
          <cell r="F117">
            <v>0</v>
          </cell>
          <cell r="H117">
            <v>9.7444850702094339</v>
          </cell>
          <cell r="I117">
            <v>18.888086976041485</v>
          </cell>
          <cell r="J117">
            <v>0</v>
          </cell>
        </row>
        <row r="119">
          <cell r="D119">
            <v>11.460913817997604</v>
          </cell>
          <cell r="E119">
            <v>206.98686521901695</v>
          </cell>
          <cell r="F119">
            <v>0</v>
          </cell>
          <cell r="H119">
            <v>10.356247425901449</v>
          </cell>
          <cell r="I119">
            <v>13.808329901201931</v>
          </cell>
          <cell r="J119">
            <v>0</v>
          </cell>
        </row>
        <row r="120">
          <cell r="D120">
            <v>39.211353864005552</v>
          </cell>
          <cell r="E120">
            <v>200.89308431274193</v>
          </cell>
          <cell r="F120">
            <v>63.244119135492831</v>
          </cell>
          <cell r="H120">
            <v>3.8690519941713259</v>
          </cell>
          <cell r="I120">
            <v>62.053641598824733</v>
          </cell>
          <cell r="J120">
            <v>0</v>
          </cell>
        </row>
        <row r="121">
          <cell r="D121">
            <v>20.261088762075122</v>
          </cell>
          <cell r="E121">
            <v>177.79674520427716</v>
          </cell>
          <cell r="F121">
            <v>62.604487747984926</v>
          </cell>
          <cell r="H121">
            <v>18.006206750642018</v>
          </cell>
          <cell r="I121">
            <v>381.20735177783257</v>
          </cell>
          <cell r="J121">
            <v>0</v>
          </cell>
        </row>
        <row r="122">
          <cell r="D122">
            <v>45.530536543989193</v>
          </cell>
          <cell r="E122">
            <v>372.21213624711163</v>
          </cell>
          <cell r="F122">
            <v>0</v>
          </cell>
          <cell r="H122">
            <v>113.82634135997297</v>
          </cell>
          <cell r="I122">
            <v>940.54705865745666</v>
          </cell>
          <cell r="J122">
            <v>0</v>
          </cell>
        </row>
        <row r="123">
          <cell r="D123">
            <v>10.813502429197396</v>
          </cell>
          <cell r="E123">
            <v>116.6719998939719</v>
          </cell>
          <cell r="F123">
            <v>7.9678438951980812</v>
          </cell>
          <cell r="H123">
            <v>3.6993560941991093</v>
          </cell>
          <cell r="I123">
            <v>659.05451647424127</v>
          </cell>
          <cell r="J123">
            <v>0</v>
          </cell>
        </row>
        <row r="124">
          <cell r="D124">
            <v>89.837276369187336</v>
          </cell>
          <cell r="E124">
            <v>692.49567201248567</v>
          </cell>
          <cell r="F124">
            <v>243.30929016654903</v>
          </cell>
          <cell r="H124">
            <v>0</v>
          </cell>
          <cell r="I124">
            <v>146.92137906210846</v>
          </cell>
          <cell r="J124">
            <v>1281.1169932230987</v>
          </cell>
        </row>
        <row r="125">
          <cell r="D125">
            <v>4.3138686179866008</v>
          </cell>
          <cell r="E125">
            <v>51.766423415839213</v>
          </cell>
          <cell r="F125">
            <v>27.913267528148594</v>
          </cell>
          <cell r="H125">
            <v>0</v>
          </cell>
          <cell r="I125">
            <v>59.971232355931377</v>
          </cell>
          <cell r="J125">
            <v>105.73207397025983</v>
          </cell>
        </row>
        <row r="126">
          <cell r="D126">
            <v>5.0083590198387942</v>
          </cell>
          <cell r="E126">
            <v>47.465584347108575</v>
          </cell>
          <cell r="F126">
            <v>0.614662243343852</v>
          </cell>
          <cell r="H126">
            <v>0.72735032129022481</v>
          </cell>
          <cell r="I126">
            <v>171.4224700881187</v>
          </cell>
          <cell r="J126">
            <v>11.382634135997259</v>
          </cell>
        </row>
        <row r="127">
          <cell r="D127">
            <v>144.71429008321942</v>
          </cell>
          <cell r="E127">
            <v>295.83186733826267</v>
          </cell>
          <cell r="F127">
            <v>8.9646020405534159</v>
          </cell>
          <cell r="H127">
            <v>1.2806574343647736</v>
          </cell>
          <cell r="I127">
            <v>435.42352768402304</v>
          </cell>
          <cell r="J127">
            <v>0</v>
          </cell>
        </row>
        <row r="128">
          <cell r="D128">
            <v>483.8</v>
          </cell>
          <cell r="E128">
            <v>3019.5</v>
          </cell>
          <cell r="F128">
            <v>18</v>
          </cell>
          <cell r="H128">
            <v>56</v>
          </cell>
          <cell r="I128">
            <v>454</v>
          </cell>
          <cell r="J128">
            <v>0</v>
          </cell>
        </row>
        <row r="129">
          <cell r="D129">
            <v>2.2247450134256517</v>
          </cell>
          <cell r="E129">
            <v>4.8032151754294405</v>
          </cell>
          <cell r="F129">
            <v>4.2819360091037746</v>
          </cell>
          <cell r="H129">
            <v>0.89362142798687472</v>
          </cell>
          <cell r="I129">
            <v>0.17686257428906896</v>
          </cell>
          <cell r="J129">
            <v>10.593227025507003</v>
          </cell>
        </row>
        <row r="130">
          <cell r="D130">
            <v>2.0161373147465773</v>
          </cell>
          <cell r="E130">
            <v>5.5940711409165607</v>
          </cell>
          <cell r="F130">
            <v>9.86771432217515</v>
          </cell>
          <cell r="H130">
            <v>2.9816115218083188</v>
          </cell>
          <cell r="I130">
            <v>43.44633931777836</v>
          </cell>
          <cell r="J130">
            <v>17.548913528357534</v>
          </cell>
        </row>
        <row r="131">
          <cell r="D131">
            <v>2.0488741444795067</v>
          </cell>
          <cell r="E131">
            <v>34.375555090711721</v>
          </cell>
          <cell r="F131">
            <v>0</v>
          </cell>
          <cell r="H131">
            <v>0</v>
          </cell>
          <cell r="I131">
            <v>10.244370722397534</v>
          </cell>
          <cell r="J131">
            <v>0</v>
          </cell>
        </row>
        <row r="132">
          <cell r="D132">
            <v>9.2199336501577793</v>
          </cell>
          <cell r="E132">
            <v>27.31832192639342</v>
          </cell>
          <cell r="F132">
            <v>15.708035107676219</v>
          </cell>
          <cell r="H132">
            <v>1.1382634135997258</v>
          </cell>
          <cell r="I132">
            <v>59.189697507185748</v>
          </cell>
          <cell r="J132">
            <v>0</v>
          </cell>
        </row>
        <row r="133">
          <cell r="D133">
            <v>2.8588123511436292</v>
          </cell>
          <cell r="E133">
            <v>10.207591247777104</v>
          </cell>
          <cell r="F133">
            <v>1.5581815067044105</v>
          </cell>
          <cell r="H133">
            <v>4.2925110377531973E-2</v>
          </cell>
          <cell r="I133">
            <v>37.087295366187625</v>
          </cell>
          <cell r="J133">
            <v>0</v>
          </cell>
        </row>
        <row r="134">
          <cell r="D134">
            <v>0.12194282455131972</v>
          </cell>
          <cell r="E134">
            <v>6.0209269622214112</v>
          </cell>
          <cell r="F134">
            <v>26.73596428287685</v>
          </cell>
          <cell r="H134">
            <v>8.7010778173287289</v>
          </cell>
          <cell r="I134">
            <v>6.0838799453960295</v>
          </cell>
          <cell r="J134">
            <v>0</v>
          </cell>
        </row>
        <row r="135">
          <cell r="D135">
            <v>0.22389999999999999</v>
          </cell>
          <cell r="E135">
            <v>0.74940000000000007</v>
          </cell>
          <cell r="F135">
            <v>0</v>
          </cell>
          <cell r="H135">
            <v>0.97890653569576425</v>
          </cell>
          <cell r="I135">
            <v>0.34147902407991776</v>
          </cell>
          <cell r="J135">
            <v>0</v>
          </cell>
        </row>
        <row r="136">
          <cell r="D136">
            <v>2.105787315159493</v>
          </cell>
          <cell r="E136">
            <v>5.8051434093586014</v>
          </cell>
          <cell r="F136">
            <v>4.8376195077988351</v>
          </cell>
          <cell r="H136">
            <v>1.8260509749670601</v>
          </cell>
          <cell r="I136">
            <v>13.923638684123832</v>
          </cell>
          <cell r="J136">
            <v>1.1382634135997258</v>
          </cell>
        </row>
        <row r="137">
          <cell r="D137">
            <v>0.70761690517133902</v>
          </cell>
          <cell r="E137">
            <v>20.506029151798835</v>
          </cell>
          <cell r="F137">
            <v>1.7913339101833412</v>
          </cell>
          <cell r="H137">
            <v>3.7662301358695611</v>
          </cell>
          <cell r="I137">
            <v>3.1955892061923548</v>
          </cell>
          <cell r="J137">
            <v>0</v>
          </cell>
        </row>
        <row r="138">
          <cell r="D138">
            <v>5.0270792906436608E-2</v>
          </cell>
          <cell r="E138">
            <v>0.85853416239471891</v>
          </cell>
          <cell r="F138">
            <v>0</v>
          </cell>
          <cell r="H138">
            <v>8.862629246676515E-2</v>
          </cell>
          <cell r="I138">
            <v>0.23264401772525847</v>
          </cell>
          <cell r="J138">
            <v>0</v>
          </cell>
        </row>
        <row r="139">
          <cell r="D139">
            <v>3.0750000000000006</v>
          </cell>
          <cell r="E139">
            <v>19.310999999999996</v>
          </cell>
          <cell r="F139">
            <v>2.46</v>
          </cell>
          <cell r="H139">
            <v>3.69</v>
          </cell>
          <cell r="I139">
            <v>2.46</v>
          </cell>
          <cell r="J139">
            <v>0</v>
          </cell>
        </row>
        <row r="140">
          <cell r="D140">
            <v>4.4578519375602843</v>
          </cell>
          <cell r="E140">
            <v>22.433995140319613</v>
          </cell>
          <cell r="F140">
            <v>2.0841905162619514</v>
          </cell>
          <cell r="H140">
            <v>0.92630689611642281</v>
          </cell>
          <cell r="I140">
            <v>10.218322947784287</v>
          </cell>
          <cell r="J140">
            <v>0</v>
          </cell>
        </row>
        <row r="141">
          <cell r="D141">
            <v>0.23903531685594243</v>
          </cell>
          <cell r="E141">
            <v>2.3789705344234271</v>
          </cell>
          <cell r="F141">
            <v>0</v>
          </cell>
          <cell r="H141">
            <v>0.22765268271994499</v>
          </cell>
          <cell r="I141">
            <v>0.75125385297581915</v>
          </cell>
          <cell r="J141">
            <v>0</v>
          </cell>
        </row>
        <row r="142">
          <cell r="D142">
            <v>0.56913170679986291</v>
          </cell>
          <cell r="E142">
            <v>2.0181410323123141</v>
          </cell>
          <cell r="F142">
            <v>2.4927968757833998</v>
          </cell>
          <cell r="H142">
            <v>0.42227428796113264</v>
          </cell>
          <cell r="I142">
            <v>1.1412818593544125</v>
          </cell>
          <cell r="J142">
            <v>0</v>
          </cell>
        </row>
        <row r="143">
          <cell r="D143">
            <v>0.22765268271994518</v>
          </cell>
          <cell r="E143">
            <v>2.7318321926393425</v>
          </cell>
          <cell r="F143">
            <v>5.2360117025587387</v>
          </cell>
          <cell r="H143">
            <v>0.45530536543989036</v>
          </cell>
          <cell r="I143">
            <v>2.8456585339993148</v>
          </cell>
          <cell r="J143">
            <v>1.0244370722397533</v>
          </cell>
        </row>
        <row r="144">
          <cell r="D144">
            <v>6.7157541402383831</v>
          </cell>
          <cell r="E144">
            <v>33.806423383911863</v>
          </cell>
          <cell r="F144">
            <v>14.342119011356546</v>
          </cell>
          <cell r="H144">
            <v>0</v>
          </cell>
          <cell r="I144">
            <v>39.716608705533552</v>
          </cell>
          <cell r="J144">
            <v>0</v>
          </cell>
        </row>
        <row r="145">
          <cell r="D145">
            <v>2.5266611838450714</v>
          </cell>
          <cell r="E145">
            <v>37.381628284066828</v>
          </cell>
          <cell r="F145">
            <v>0</v>
          </cell>
          <cell r="H145">
            <v>1.619654605028892</v>
          </cell>
          <cell r="I145">
            <v>4.0491365125722298</v>
          </cell>
          <cell r="J145">
            <v>0</v>
          </cell>
        </row>
        <row r="146">
          <cell r="D146">
            <v>1.1414792455781</v>
          </cell>
          <cell r="E146">
            <v>12.207486376321347</v>
          </cell>
          <cell r="F146">
            <v>0</v>
          </cell>
          <cell r="H146">
            <v>5.4960111824130733</v>
          </cell>
          <cell r="I146">
            <v>8.2440167736196095</v>
          </cell>
          <cell r="J146">
            <v>0</v>
          </cell>
        </row>
        <row r="147">
          <cell r="D147">
            <v>2.5041795099193971</v>
          </cell>
          <cell r="E147">
            <v>8.3093229192779994</v>
          </cell>
          <cell r="F147">
            <v>8.9922809674378357</v>
          </cell>
          <cell r="H147">
            <v>0</v>
          </cell>
          <cell r="I147">
            <v>13.124741382575744</v>
          </cell>
          <cell r="J147">
            <v>0</v>
          </cell>
        </row>
        <row r="148">
          <cell r="D148">
            <v>0.153665560835963</v>
          </cell>
          <cell r="E148">
            <v>3.8135129008785356</v>
          </cell>
          <cell r="F148">
            <v>0.54465904340746885</v>
          </cell>
          <cell r="H148">
            <v>0</v>
          </cell>
          <cell r="I148">
            <v>4.5644362885349006</v>
          </cell>
          <cell r="J148">
            <v>0</v>
          </cell>
        </row>
        <row r="149">
          <cell r="D149">
            <v>0.45530536543989192</v>
          </cell>
          <cell r="E149">
            <v>2.3106747296074519</v>
          </cell>
          <cell r="F149">
            <v>0.1</v>
          </cell>
          <cell r="H149">
            <v>1</v>
          </cell>
          <cell r="I149">
            <v>2.5</v>
          </cell>
          <cell r="J149">
            <v>0</v>
          </cell>
        </row>
        <row r="150">
          <cell r="D150">
            <v>4.0762172736226612</v>
          </cell>
          <cell r="E150">
            <v>18.248811267466294</v>
          </cell>
          <cell r="F150">
            <v>36.259500442474554</v>
          </cell>
          <cell r="H150">
            <v>1.2663765826177678</v>
          </cell>
          <cell r="I150">
            <v>27.059328688413846</v>
          </cell>
          <cell r="J150">
            <v>0</v>
          </cell>
        </row>
        <row r="151">
          <cell r="D151">
            <v>3.1894478304486302</v>
          </cell>
          <cell r="E151">
            <v>36.300168907612672</v>
          </cell>
          <cell r="F151">
            <v>0</v>
          </cell>
          <cell r="H151">
            <v>0.85051942145296811</v>
          </cell>
          <cell r="I151">
            <v>44.014380060191094</v>
          </cell>
          <cell r="J151">
            <v>0</v>
          </cell>
        </row>
        <row r="152">
          <cell r="D152">
            <v>2.21544520875785</v>
          </cell>
          <cell r="E152">
            <v>18.520112055661777</v>
          </cell>
          <cell r="F152">
            <v>3.04</v>
          </cell>
          <cell r="H152">
            <v>0</v>
          </cell>
          <cell r="I152">
            <v>0</v>
          </cell>
          <cell r="J152">
            <v>4.5003203243428693</v>
          </cell>
        </row>
        <row r="153">
          <cell r="D153">
            <v>2.9135225289071882</v>
          </cell>
          <cell r="E153">
            <v>8.1465314606639669</v>
          </cell>
          <cell r="F153">
            <v>0.10756165425876577</v>
          </cell>
          <cell r="H153">
            <v>8.5363617861112981</v>
          </cell>
          <cell r="I153">
            <v>6.8750720360846609</v>
          </cell>
          <cell r="J153">
            <v>0</v>
          </cell>
        </row>
        <row r="154">
          <cell r="D154">
            <v>0.1953834292316359</v>
          </cell>
          <cell r="E154">
            <v>0.6512780974387864</v>
          </cell>
          <cell r="F154">
            <v>0.40447797630408838</v>
          </cell>
          <cell r="H154">
            <v>0</v>
          </cell>
          <cell r="I154">
            <v>0</v>
          </cell>
          <cell r="J154">
            <v>0</v>
          </cell>
        </row>
        <row r="155">
          <cell r="D155">
            <v>1.7694150329493317</v>
          </cell>
          <cell r="E155">
            <v>4.2281340131456639</v>
          </cell>
          <cell r="F155">
            <v>0</v>
          </cell>
          <cell r="H155">
            <v>0</v>
          </cell>
          <cell r="I155">
            <v>6.4935767703113596</v>
          </cell>
          <cell r="J155">
            <v>0</v>
          </cell>
        </row>
        <row r="156">
          <cell r="D156">
            <v>2.1654285875212778</v>
          </cell>
          <cell r="E156">
            <v>34.746782289825745</v>
          </cell>
          <cell r="F156">
            <v>0</v>
          </cell>
          <cell r="H156">
            <v>9.7444850702094339</v>
          </cell>
          <cell r="I156">
            <v>18.888086976041485</v>
          </cell>
          <cell r="J156">
            <v>0</v>
          </cell>
        </row>
        <row r="158">
          <cell r="D158">
            <v>11.461012528828688</v>
          </cell>
          <cell r="E158">
            <v>207.81715489020692</v>
          </cell>
          <cell r="F158">
            <v>0</v>
          </cell>
          <cell r="H158">
            <v>10.356336622435562</v>
          </cell>
          <cell r="I158">
            <v>13.808448829914079</v>
          </cell>
          <cell r="J158">
            <v>0</v>
          </cell>
        </row>
        <row r="159">
          <cell r="D159">
            <v>39.294556907241891</v>
          </cell>
          <cell r="E159">
            <v>201.3193617638579</v>
          </cell>
          <cell r="F159">
            <v>63.378317592325629</v>
          </cell>
          <cell r="H159">
            <v>3.8772617821187447</v>
          </cell>
          <cell r="I159">
            <v>62.053641598824733</v>
          </cell>
          <cell r="J159">
            <v>0</v>
          </cell>
        </row>
        <row r="160">
          <cell r="D160">
            <v>21.456098955862956</v>
          </cell>
          <cell r="E160">
            <v>177.12694457180481</v>
          </cell>
          <cell r="F160">
            <v>79.319089225131677</v>
          </cell>
          <cell r="H160">
            <v>18.006206750642018</v>
          </cell>
          <cell r="I160">
            <v>381.20735177783257</v>
          </cell>
          <cell r="J160">
            <v>0</v>
          </cell>
        </row>
        <row r="161">
          <cell r="D161">
            <v>45.651274374176502</v>
          </cell>
          <cell r="E161">
            <v>373.19916800889291</v>
          </cell>
          <cell r="F161">
            <v>0</v>
          </cell>
          <cell r="H161">
            <v>114.12818593544125</v>
          </cell>
          <cell r="I161">
            <v>943.04120038455096</v>
          </cell>
          <cell r="J161">
            <v>0</v>
          </cell>
        </row>
        <row r="162">
          <cell r="D162">
            <v>11.412818593544126</v>
          </cell>
          <cell r="E162">
            <v>148.36664171607362</v>
          </cell>
          <cell r="F162">
            <v>7.9889730154808873</v>
          </cell>
          <cell r="H162">
            <v>3.7091660429018405</v>
          </cell>
          <cell r="I162">
            <v>660.80219656620488</v>
          </cell>
          <cell r="J162">
            <v>0</v>
          </cell>
        </row>
        <row r="163">
          <cell r="D163">
            <v>89.909038242870778</v>
          </cell>
          <cell r="E163">
            <v>710.8433336076971</v>
          </cell>
          <cell r="F163">
            <v>243.50364524110836</v>
          </cell>
          <cell r="H163">
            <v>0</v>
          </cell>
          <cell r="I163">
            <v>147.0387396263616</v>
          </cell>
          <cell r="J163">
            <v>1282.1403474426052</v>
          </cell>
        </row>
        <row r="164">
          <cell r="D164">
            <v>8.4744654298982489</v>
          </cell>
          <cell r="E164">
            <v>64.999149847319558</v>
          </cell>
          <cell r="F164">
            <v>39.575753557624822</v>
          </cell>
          <cell r="H164">
            <v>0</v>
          </cell>
          <cell r="I164">
            <v>60.08395989797858</v>
          </cell>
          <cell r="J164">
            <v>105.9308178737281</v>
          </cell>
        </row>
        <row r="165">
          <cell r="D165">
            <v>16.092074216897217</v>
          </cell>
          <cell r="E165">
            <v>80.916883828227853</v>
          </cell>
          <cell r="F165">
            <v>5.1357683670948562E-2</v>
          </cell>
          <cell r="H165">
            <v>0.72927910812746966</v>
          </cell>
          <cell r="I165">
            <v>171.87704801877453</v>
          </cell>
          <cell r="J165">
            <v>11.412818593544126</v>
          </cell>
        </row>
        <row r="166">
          <cell r="D166">
            <v>203.99190920386684</v>
          </cell>
          <cell r="E166">
            <v>236.55424826422299</v>
          </cell>
          <cell r="F166">
            <v>14.112647806556826</v>
          </cell>
          <cell r="H166">
            <v>1.2829679824142568</v>
          </cell>
          <cell r="I166">
            <v>436.20911402084732</v>
          </cell>
          <cell r="J166">
            <v>0</v>
          </cell>
        </row>
        <row r="167">
          <cell r="D167">
            <v>690.4</v>
          </cell>
          <cell r="E167">
            <v>4637.6279999999997</v>
          </cell>
          <cell r="F167">
            <v>17.98</v>
          </cell>
          <cell r="H167">
            <v>56</v>
          </cell>
          <cell r="I167">
            <v>454</v>
          </cell>
          <cell r="J167">
            <v>0</v>
          </cell>
        </row>
        <row r="168">
          <cell r="D168">
            <v>2.2247450134256517</v>
          </cell>
          <cell r="E168">
            <v>4.8032151754294405</v>
          </cell>
          <cell r="F168">
            <v>4.2819360091037746</v>
          </cell>
          <cell r="H168">
            <v>0.89362142798687472</v>
          </cell>
          <cell r="I168">
            <v>0.17686257428906896</v>
          </cell>
          <cell r="J168">
            <v>11.789286859847676</v>
          </cell>
        </row>
        <row r="169">
          <cell r="D169">
            <v>2.3964569606812369</v>
          </cell>
          <cell r="E169">
            <v>11.126407317448601</v>
          </cell>
          <cell r="F169">
            <v>10.042295835235661</v>
          </cell>
          <cell r="H169">
            <v>2.995571200851546</v>
          </cell>
          <cell r="I169">
            <v>45.932091746390377</v>
          </cell>
          <cell r="J169">
            <v>18.47268907191787</v>
          </cell>
        </row>
        <row r="170">
          <cell r="D170">
            <v>2.8532046483860314</v>
          </cell>
          <cell r="E170">
            <v>47.36319716320812</v>
          </cell>
          <cell r="F170">
            <v>0</v>
          </cell>
          <cell r="H170">
            <v>0</v>
          </cell>
          <cell r="I170">
            <v>10.271536734189713</v>
          </cell>
          <cell r="J170">
            <v>0</v>
          </cell>
        </row>
        <row r="171">
          <cell r="D171">
            <v>9.5867676185770652</v>
          </cell>
          <cell r="E171">
            <v>31.156994760375461</v>
          </cell>
          <cell r="F171">
            <v>15.52143328722001</v>
          </cell>
          <cell r="H171">
            <v>1.2554100452898538</v>
          </cell>
          <cell r="I171">
            <v>59.346656686429448</v>
          </cell>
          <cell r="J171">
            <v>0</v>
          </cell>
        </row>
        <row r="172">
          <cell r="D172">
            <v>2.8694219148867419</v>
          </cell>
          <cell r="E172">
            <v>10.245473443844855</v>
          </cell>
          <cell r="F172">
            <v>1.5639641968526836</v>
          </cell>
          <cell r="H172">
            <v>4.3084413136437572E-2</v>
          </cell>
          <cell r="I172">
            <v>37.22493294988206</v>
          </cell>
          <cell r="J172">
            <v>0</v>
          </cell>
        </row>
        <row r="173">
          <cell r="D173">
            <v>0.12228391743782471</v>
          </cell>
          <cell r="E173">
            <v>12.151964295383831</v>
          </cell>
          <cell r="F173">
            <v>48.730141098973149</v>
          </cell>
          <cell r="H173">
            <v>33.826788661238261</v>
          </cell>
          <cell r="I173">
            <v>12.56467251673649</v>
          </cell>
          <cell r="J173">
            <v>0</v>
          </cell>
        </row>
        <row r="174">
          <cell r="D174">
            <v>0.22389999999999999</v>
          </cell>
          <cell r="E174">
            <v>0.74940000000000007</v>
          </cell>
          <cell r="F174">
            <v>0</v>
          </cell>
          <cell r="H174">
            <v>1.0269999999999999</v>
          </cell>
          <cell r="I174">
            <v>0.35</v>
          </cell>
          <cell r="J174">
            <v>0</v>
          </cell>
        </row>
        <row r="175">
          <cell r="D175">
            <v>2.105787315159493</v>
          </cell>
          <cell r="E175">
            <v>5.8051434093586014</v>
          </cell>
          <cell r="F175">
            <v>2.3966919046442663</v>
          </cell>
          <cell r="H175">
            <v>1.8260509749670601</v>
          </cell>
          <cell r="I175">
            <v>13.923638684123832</v>
          </cell>
          <cell r="J175">
            <v>4.56512743741765</v>
          </cell>
        </row>
        <row r="176">
          <cell r="D176">
            <v>1.0613921291996038</v>
          </cell>
          <cell r="E176">
            <v>24.275065148468354</v>
          </cell>
          <cell r="F176">
            <v>0.84454857592226529</v>
          </cell>
          <cell r="H176">
            <v>3.7662301358695611</v>
          </cell>
          <cell r="I176">
            <v>3.1955892061923548</v>
          </cell>
          <cell r="J176">
            <v>0</v>
          </cell>
        </row>
        <row r="177">
          <cell r="D177">
            <v>0.10494830132939439</v>
          </cell>
          <cell r="E177">
            <v>1.90417282127031</v>
          </cell>
          <cell r="F177">
            <v>0</v>
          </cell>
          <cell r="H177">
            <v>8.862629246676515E-2</v>
          </cell>
          <cell r="I177">
            <v>0.23264401772525847</v>
          </cell>
          <cell r="J177">
            <v>0</v>
          </cell>
        </row>
        <row r="178">
          <cell r="D178">
            <v>5.9326480235392491</v>
          </cell>
          <cell r="E178">
            <v>30.612463801462525</v>
          </cell>
          <cell r="F178">
            <v>2.3730592094156995</v>
          </cell>
          <cell r="H178">
            <v>5.4580361816561087</v>
          </cell>
          <cell r="I178">
            <v>2.3730592094156995</v>
          </cell>
          <cell r="J178">
            <v>0</v>
          </cell>
        </row>
        <row r="179">
          <cell r="D179">
            <v>5.0110302915150085</v>
          </cell>
          <cell r="E179">
            <v>35.222459295431584</v>
          </cell>
          <cell r="F179">
            <v>2.1002753047915084</v>
          </cell>
          <cell r="H179">
            <v>2</v>
          </cell>
          <cell r="I179">
            <v>13.3</v>
          </cell>
          <cell r="J179">
            <v>0</v>
          </cell>
        </row>
        <row r="180">
          <cell r="D180">
            <v>0.67911263411214207</v>
          </cell>
          <cell r="E180">
            <v>2.2335052624742486</v>
          </cell>
          <cell r="F180">
            <v>0</v>
          </cell>
          <cell r="H180">
            <v>0.2896249719004359</v>
          </cell>
          <cell r="I180">
            <v>0.75592117666013769</v>
          </cell>
          <cell r="J180">
            <v>0</v>
          </cell>
        </row>
        <row r="181">
          <cell r="D181">
            <v>0.73042038998682401</v>
          </cell>
          <cell r="E181">
            <v>2.8760302855731195</v>
          </cell>
          <cell r="F181">
            <v>1.4950792357542804</v>
          </cell>
          <cell r="H181">
            <v>0.42227428796113264</v>
          </cell>
          <cell r="I181">
            <v>1.1412818593544125</v>
          </cell>
          <cell r="J181">
            <v>0</v>
          </cell>
        </row>
        <row r="182">
          <cell r="D182">
            <v>0.34238455780632376</v>
          </cell>
          <cell r="E182">
            <v>2.7390764624505901</v>
          </cell>
          <cell r="F182">
            <v>5.2384837344367536</v>
          </cell>
          <cell r="H182">
            <v>0.45651274374176504</v>
          </cell>
          <cell r="I182">
            <v>2.8532046483860314</v>
          </cell>
          <cell r="J182">
            <v>1.0157408548254272</v>
          </cell>
        </row>
        <row r="183">
          <cell r="D183">
            <v>6.8020398817522985</v>
          </cell>
          <cell r="E183">
            <v>34.398235240941993</v>
          </cell>
          <cell r="F183">
            <v>14.380151427865597</v>
          </cell>
          <cell r="H183">
            <v>0</v>
          </cell>
          <cell r="I183">
            <v>39.716608705533552</v>
          </cell>
          <cell r="J183">
            <v>0</v>
          </cell>
        </row>
        <row r="184">
          <cell r="D184">
            <v>2.5350837557910677</v>
          </cell>
          <cell r="E184">
            <v>37.831249894112858</v>
          </cell>
          <cell r="F184">
            <v>0</v>
          </cell>
          <cell r="H184">
            <v>1.619654605028892</v>
          </cell>
          <cell r="I184">
            <v>4.0491365125722298</v>
          </cell>
          <cell r="J184">
            <v>0</v>
          </cell>
        </row>
        <row r="185">
          <cell r="D185">
            <v>1.1470041596601461</v>
          </cell>
          <cell r="E185">
            <v>12.266572263032117</v>
          </cell>
          <cell r="F185">
            <v>0</v>
          </cell>
          <cell r="H185">
            <v>5.4801309850429201</v>
          </cell>
          <cell r="I185">
            <v>8.2839189308788317</v>
          </cell>
          <cell r="J185">
            <v>0</v>
          </cell>
        </row>
        <row r="186">
          <cell r="D186">
            <v>2.1684355327733837</v>
          </cell>
          <cell r="E186">
            <v>10.385664920125153</v>
          </cell>
          <cell r="F186">
            <v>1.2554100452898538</v>
          </cell>
          <cell r="H186">
            <v>0</v>
          </cell>
          <cell r="I186">
            <v>13.124741382575744</v>
          </cell>
          <cell r="J186">
            <v>0</v>
          </cell>
        </row>
        <row r="187">
          <cell r="D187">
            <v>0.28079327190109787</v>
          </cell>
          <cell r="E187">
            <v>4.3389316014230443</v>
          </cell>
          <cell r="F187">
            <v>0.6006120601465349</v>
          </cell>
          <cell r="H187">
            <v>0</v>
          </cell>
          <cell r="I187">
            <v>4.5823680163275764</v>
          </cell>
          <cell r="J187">
            <v>0</v>
          </cell>
        </row>
        <row r="188">
          <cell r="D188">
            <v>0.45651274374176504</v>
          </cell>
          <cell r="E188">
            <v>3.3667814850955171</v>
          </cell>
          <cell r="F188">
            <v>0.1</v>
          </cell>
          <cell r="H188">
            <v>1</v>
          </cell>
          <cell r="I188">
            <v>2.5</v>
          </cell>
          <cell r="J188">
            <v>0</v>
          </cell>
        </row>
        <row r="189">
          <cell r="D189">
            <v>4.125811618561432</v>
          </cell>
          <cell r="E189">
            <v>18.349004303602158</v>
          </cell>
          <cell r="F189">
            <v>36.372286637317892</v>
          </cell>
          <cell r="H189">
            <v>1.2703156825570725</v>
          </cell>
          <cell r="I189">
            <v>27.143497490535736</v>
          </cell>
          <cell r="J189">
            <v>0</v>
          </cell>
        </row>
        <row r="190">
          <cell r="D190">
            <v>4.7396136259453741</v>
          </cell>
          <cell r="E190">
            <v>49.611506223940566</v>
          </cell>
          <cell r="F190">
            <v>0</v>
          </cell>
          <cell r="H190">
            <v>1.0650817136955897</v>
          </cell>
          <cell r="I190">
            <v>45.558870303328845</v>
          </cell>
          <cell r="J190">
            <v>0</v>
          </cell>
        </row>
        <row r="191">
          <cell r="D191">
            <v>2.21544520875785</v>
          </cell>
          <cell r="E191">
            <v>18.520112055661802</v>
          </cell>
          <cell r="F191">
            <v>3.0397675570876941</v>
          </cell>
          <cell r="H191">
            <v>0</v>
          </cell>
          <cell r="I191">
            <v>0</v>
          </cell>
          <cell r="J191">
            <v>4.5003203243428693</v>
          </cell>
        </row>
        <row r="192">
          <cell r="D192">
            <v>2.9336557811933468</v>
          </cell>
          <cell r="E192">
            <v>8.2028262624124864</v>
          </cell>
          <cell r="F192">
            <v>0.10830493525282782</v>
          </cell>
          <cell r="H192">
            <v>8.5953504240025485</v>
          </cell>
          <cell r="I192">
            <v>6.922580699022622</v>
          </cell>
          <cell r="J192">
            <v>0</v>
          </cell>
        </row>
        <row r="193">
          <cell r="D193">
            <v>0.2</v>
          </cell>
          <cell r="E193">
            <v>0.65465337395785705</v>
          </cell>
          <cell r="F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D194">
            <v>4.2</v>
          </cell>
          <cell r="E194">
            <v>9.5</v>
          </cell>
          <cell r="F194">
            <v>2.9</v>
          </cell>
          <cell r="H194">
            <v>0</v>
          </cell>
          <cell r="I194">
            <v>6.4935767703113596</v>
          </cell>
          <cell r="J194">
            <v>0</v>
          </cell>
        </row>
        <row r="195">
          <cell r="D195">
            <v>2.1796874499152681</v>
          </cell>
          <cell r="E195">
            <v>34.746782289825745</v>
          </cell>
          <cell r="F195">
            <v>0</v>
          </cell>
          <cell r="H195">
            <v>9.7444850702094339</v>
          </cell>
          <cell r="I195">
            <v>18.976102505144688</v>
          </cell>
          <cell r="J195">
            <v>0</v>
          </cell>
        </row>
        <row r="197">
          <cell r="D197">
            <v>13.808448829914081</v>
          </cell>
          <cell r="E197">
            <v>235.91734825908208</v>
          </cell>
          <cell r="F197">
            <v>0</v>
          </cell>
          <cell r="H197">
            <v>10.356336622435562</v>
          </cell>
          <cell r="I197">
            <v>13.808448829914079</v>
          </cell>
          <cell r="J197">
            <v>0</v>
          </cell>
        </row>
        <row r="198">
          <cell r="D198">
            <v>44.961324127261591</v>
          </cell>
          <cell r="E198">
            <v>216.15734435311998</v>
          </cell>
          <cell r="F198">
            <v>63.452880318904832</v>
          </cell>
          <cell r="H198">
            <v>3.8772617821187447</v>
          </cell>
          <cell r="I198">
            <v>62.053641598824733</v>
          </cell>
          <cell r="J198">
            <v>0</v>
          </cell>
        </row>
        <row r="199">
          <cell r="D199">
            <v>38.633570180174964</v>
          </cell>
          <cell r="E199">
            <v>214.25106766586705</v>
          </cell>
          <cell r="F199">
            <v>79.204517036051911</v>
          </cell>
          <cell r="H199">
            <v>18.006206750642018</v>
          </cell>
          <cell r="I199">
            <v>381.20735177783257</v>
          </cell>
          <cell r="J199">
            <v>0</v>
          </cell>
        </row>
        <row r="200">
          <cell r="D200">
            <v>69.618193420619164</v>
          </cell>
          <cell r="E200">
            <v>449.66505258563853</v>
          </cell>
          <cell r="F200">
            <v>0</v>
          </cell>
          <cell r="H200">
            <v>114.12818593544125</v>
          </cell>
          <cell r="I200">
            <v>943.84009768609917</v>
          </cell>
          <cell r="J200">
            <v>0</v>
          </cell>
        </row>
        <row r="201">
          <cell r="D201">
            <v>22.825637187088251</v>
          </cell>
          <cell r="E201">
            <v>182.60509749670601</v>
          </cell>
          <cell r="F201">
            <v>7.9889730154808873</v>
          </cell>
          <cell r="H201">
            <v>3.7091660429018405</v>
          </cell>
          <cell r="I201">
            <v>660.80219656620488</v>
          </cell>
          <cell r="J201">
            <v>0</v>
          </cell>
        </row>
        <row r="202">
          <cell r="D202">
            <v>94.591800651353637</v>
          </cell>
          <cell r="E202">
            <v>736.13025061350504</v>
          </cell>
          <cell r="F202">
            <v>27.16002196920055</v>
          </cell>
          <cell r="H202">
            <v>0</v>
          </cell>
          <cell r="I202">
            <v>147.0387396263616</v>
          </cell>
          <cell r="J202">
            <v>1282.1403474426052</v>
          </cell>
        </row>
        <row r="203">
          <cell r="D203">
            <v>8.4745388590804875</v>
          </cell>
          <cell r="E203">
            <v>64.999713049147346</v>
          </cell>
          <cell r="F203">
            <v>39.576096471905878</v>
          </cell>
          <cell r="H203">
            <v>0</v>
          </cell>
          <cell r="I203">
            <v>60.08448051088066</v>
          </cell>
          <cell r="J203">
            <v>105.93173573850609</v>
          </cell>
        </row>
        <row r="204">
          <cell r="D204">
            <v>16.092074216897217</v>
          </cell>
          <cell r="E204">
            <v>80.928296646821394</v>
          </cell>
          <cell r="F204">
            <v>5.1357683670948562E-2</v>
          </cell>
          <cell r="H204">
            <v>0.72927910812746966</v>
          </cell>
          <cell r="I204">
            <v>171.87704801877453</v>
          </cell>
          <cell r="J204">
            <v>11.412818593544126</v>
          </cell>
        </row>
        <row r="205">
          <cell r="D205">
            <v>203.99190920386684</v>
          </cell>
          <cell r="E205">
            <v>236.55424826422299</v>
          </cell>
          <cell r="F205">
            <v>14.112647806556826</v>
          </cell>
          <cell r="H205">
            <v>1.2829679824142568</v>
          </cell>
          <cell r="I205">
            <v>451.60472980981842</v>
          </cell>
          <cell r="J205">
            <v>0</v>
          </cell>
        </row>
        <row r="206">
          <cell r="D206">
            <v>687.3</v>
          </cell>
          <cell r="E206">
            <v>4641</v>
          </cell>
          <cell r="F206">
            <v>17.98</v>
          </cell>
          <cell r="H206">
            <v>56</v>
          </cell>
          <cell r="I206">
            <v>454</v>
          </cell>
          <cell r="J206">
            <v>0</v>
          </cell>
        </row>
        <row r="207">
          <cell r="D207">
            <v>4.8032151754294405</v>
          </cell>
          <cell r="E207">
            <v>2.2247450134256517</v>
          </cell>
          <cell r="F207">
            <v>4.2819360091037746</v>
          </cell>
          <cell r="H207">
            <v>0.89362142798687272</v>
          </cell>
          <cell r="I207">
            <v>0.17686257428906854</v>
          </cell>
          <cell r="J207">
            <v>11.78928685984765</v>
          </cell>
        </row>
        <row r="208">
          <cell r="D208">
            <v>3</v>
          </cell>
          <cell r="E208">
            <v>17</v>
          </cell>
          <cell r="F208">
            <v>10</v>
          </cell>
          <cell r="H208">
            <v>2.995571200851546</v>
          </cell>
          <cell r="I208">
            <v>45.932091746390377</v>
          </cell>
          <cell r="J208">
            <v>19</v>
          </cell>
        </row>
        <row r="209">
          <cell r="D209">
            <v>2.8532046483860314</v>
          </cell>
          <cell r="E209">
            <v>47.36319716320812</v>
          </cell>
          <cell r="F209">
            <v>0</v>
          </cell>
          <cell r="H209">
            <v>0</v>
          </cell>
          <cell r="I209">
            <v>10.271536734189713</v>
          </cell>
          <cell r="J209">
            <v>0</v>
          </cell>
        </row>
        <row r="210">
          <cell r="D210">
            <v>10.499793106060594</v>
          </cell>
          <cell r="E210">
            <v>31.156994760375461</v>
          </cell>
          <cell r="F210">
            <v>15.064920543478244</v>
          </cell>
          <cell r="H210">
            <v>1.8260509749670601</v>
          </cell>
          <cell r="I210">
            <v>59.346656686429448</v>
          </cell>
          <cell r="J210">
            <v>0</v>
          </cell>
        </row>
        <row r="211">
          <cell r="D211">
            <v>6.3937269094473352</v>
          </cell>
          <cell r="E211">
            <v>16.156654926164087</v>
          </cell>
          <cell r="F211">
            <v>1.5639641968526836</v>
          </cell>
          <cell r="H211">
            <v>4.3084413136437572E-2</v>
          </cell>
          <cell r="I211">
            <v>37.724712142264735</v>
          </cell>
          <cell r="J211">
            <v>0</v>
          </cell>
        </row>
        <row r="212">
          <cell r="D212">
            <v>0.12228391743782471</v>
          </cell>
          <cell r="E212">
            <v>12.151964295383831</v>
          </cell>
          <cell r="F212">
            <v>48.730141098973149</v>
          </cell>
          <cell r="H212">
            <v>43.105080896833208</v>
          </cell>
          <cell r="I212">
            <v>12.56467251673649</v>
          </cell>
          <cell r="J212">
            <v>0</v>
          </cell>
        </row>
        <row r="213">
          <cell r="D213">
            <v>0.435</v>
          </cell>
          <cell r="E213">
            <v>1.1520999999999999</v>
          </cell>
          <cell r="F213">
            <v>0</v>
          </cell>
          <cell r="H213">
            <v>1.0269999999999999</v>
          </cell>
          <cell r="I213">
            <v>0.35</v>
          </cell>
          <cell r="J213">
            <v>0</v>
          </cell>
        </row>
        <row r="214">
          <cell r="D214">
            <v>4.1086146936758849</v>
          </cell>
          <cell r="E214">
            <v>7.4753961787714021</v>
          </cell>
          <cell r="F214">
            <v>2.3966919046442663</v>
          </cell>
          <cell r="H214">
            <v>1.8260509749670601</v>
          </cell>
          <cell r="I214">
            <v>13.923638684123832</v>
          </cell>
          <cell r="J214">
            <v>4.56512743741765</v>
          </cell>
        </row>
        <row r="215">
          <cell r="D215">
            <v>1.55</v>
          </cell>
          <cell r="E215">
            <v>31.547173921277963</v>
          </cell>
          <cell r="F215">
            <v>1.7918125191864278</v>
          </cell>
          <cell r="H215">
            <v>3.7662301358695611</v>
          </cell>
          <cell r="I215">
            <v>3.1955892061923548</v>
          </cell>
          <cell r="J215">
            <v>0</v>
          </cell>
        </row>
        <row r="216">
          <cell r="D216">
            <v>0.10494830132939439</v>
          </cell>
          <cell r="E216">
            <v>1.9041728212703097</v>
          </cell>
          <cell r="F216">
            <v>0</v>
          </cell>
          <cell r="H216">
            <v>8.862629246676515E-2</v>
          </cell>
          <cell r="I216">
            <v>0.23264401772525847</v>
          </cell>
          <cell r="J216">
            <v>0</v>
          </cell>
        </row>
        <row r="217">
          <cell r="D217">
            <v>5.0216401811594151</v>
          </cell>
          <cell r="E217">
            <v>38.118814102437376</v>
          </cell>
          <cell r="F217">
            <v>2.8532046483860314</v>
          </cell>
          <cell r="H217">
            <v>7.9889730154808873</v>
          </cell>
          <cell r="I217">
            <v>5.7064092967720628</v>
          </cell>
          <cell r="J217">
            <v>0</v>
          </cell>
        </row>
        <row r="218">
          <cell r="D218">
            <v>6.5</v>
          </cell>
          <cell r="E218">
            <v>34.9</v>
          </cell>
          <cell r="F218">
            <v>2.1</v>
          </cell>
          <cell r="H218">
            <v>2</v>
          </cell>
          <cell r="I218">
            <v>13.3</v>
          </cell>
          <cell r="J218">
            <v>0</v>
          </cell>
        </row>
        <row r="219">
          <cell r="D219">
            <v>0.67911263411214207</v>
          </cell>
          <cell r="E219">
            <v>2.2335052624742486</v>
          </cell>
          <cell r="F219">
            <v>0</v>
          </cell>
          <cell r="H219">
            <v>0.2896249719004359</v>
          </cell>
          <cell r="I219">
            <v>0.75592117666013769</v>
          </cell>
          <cell r="J219">
            <v>0</v>
          </cell>
        </row>
        <row r="220">
          <cell r="D220">
            <v>1.086606</v>
          </cell>
          <cell r="E220">
            <v>3.0755970000000001</v>
          </cell>
          <cell r="F220">
            <v>1.5986199999999999</v>
          </cell>
          <cell r="H220">
            <v>0.42227428796113264</v>
          </cell>
          <cell r="I220">
            <v>1.1412818593544125</v>
          </cell>
          <cell r="J220">
            <v>0</v>
          </cell>
        </row>
        <row r="221">
          <cell r="D221">
            <v>0.34238455780632376</v>
          </cell>
          <cell r="E221">
            <v>2.7390764624505901</v>
          </cell>
          <cell r="F221">
            <v>5.2384837344367536</v>
          </cell>
          <cell r="H221">
            <v>0.45651274374176504</v>
          </cell>
          <cell r="I221">
            <v>2.8532046483860314</v>
          </cell>
          <cell r="J221">
            <v>1.0157408548254272</v>
          </cell>
        </row>
        <row r="222">
          <cell r="D222">
            <v>18.94527886528325</v>
          </cell>
          <cell r="E222">
            <v>74.982218159584903</v>
          </cell>
          <cell r="F222">
            <v>14.380151427865597</v>
          </cell>
          <cell r="H222">
            <v>0</v>
          </cell>
          <cell r="I222">
            <v>39.716608705533552</v>
          </cell>
          <cell r="J222">
            <v>0</v>
          </cell>
        </row>
        <row r="223">
          <cell r="D223">
            <v>3.3151095268037039</v>
          </cell>
          <cell r="E223">
            <v>37.051224123100226</v>
          </cell>
          <cell r="F223">
            <v>0</v>
          </cell>
          <cell r="H223">
            <v>1.619654605028892</v>
          </cell>
          <cell r="I223">
            <v>4.0491365125722298</v>
          </cell>
          <cell r="J223">
            <v>0</v>
          </cell>
        </row>
        <row r="224">
          <cell r="D224">
            <v>2.6232409947782966</v>
          </cell>
          <cell r="E224">
            <v>21.293919815912897</v>
          </cell>
          <cell r="F224">
            <v>0</v>
          </cell>
          <cell r="H224">
            <v>6.3191432870165452</v>
          </cell>
          <cell r="I224">
            <v>8.2839189308788317</v>
          </cell>
          <cell r="J224">
            <v>0</v>
          </cell>
        </row>
        <row r="225">
          <cell r="D225">
            <v>2.1684355327733837</v>
          </cell>
          <cell r="E225">
            <v>10.842177663866918</v>
          </cell>
          <cell r="F225">
            <v>1.2554100452898538</v>
          </cell>
          <cell r="H225">
            <v>0</v>
          </cell>
          <cell r="I225">
            <v>13.124741382575744</v>
          </cell>
          <cell r="J225">
            <v>0</v>
          </cell>
        </row>
        <row r="226">
          <cell r="D226">
            <v>0.28079327190109787</v>
          </cell>
          <cell r="E226">
            <v>4.3389316014230443</v>
          </cell>
          <cell r="F226">
            <v>0.6006120601465349</v>
          </cell>
          <cell r="H226">
            <v>0</v>
          </cell>
          <cell r="I226">
            <v>4.5823680163275764</v>
          </cell>
          <cell r="J226">
            <v>0</v>
          </cell>
        </row>
        <row r="227">
          <cell r="D227">
            <v>0.41199999999999998</v>
          </cell>
          <cell r="E227">
            <v>3.7670000000000003</v>
          </cell>
          <cell r="F227">
            <v>0.47399999999999998</v>
          </cell>
          <cell r="H227">
            <v>1</v>
          </cell>
          <cell r="I227">
            <v>2.5</v>
          </cell>
          <cell r="J227">
            <v>0</v>
          </cell>
        </row>
        <row r="228">
          <cell r="D228">
            <v>4.125811618561432</v>
          </cell>
          <cell r="E228">
            <v>18.349004303602158</v>
          </cell>
          <cell r="F228">
            <v>36.372286637317892</v>
          </cell>
          <cell r="H228">
            <v>1.2703156825570725</v>
          </cell>
          <cell r="I228">
            <v>27.143497490535736</v>
          </cell>
          <cell r="J228">
            <v>0</v>
          </cell>
        </row>
        <row r="229">
          <cell r="D229">
            <v>7.0384605142862338</v>
          </cell>
          <cell r="E229">
            <v>51.144939242506375</v>
          </cell>
          <cell r="F229">
            <v>0</v>
          </cell>
          <cell r="H229">
            <v>1.0651423296438005</v>
          </cell>
          <cell r="I229">
            <v>45.561463150513568</v>
          </cell>
          <cell r="J229">
            <v>0</v>
          </cell>
        </row>
        <row r="230">
          <cell r="D230">
            <v>1.5165334699489497</v>
          </cell>
          <cell r="E230">
            <v>30.547459864780031</v>
          </cell>
          <cell r="F230">
            <v>3.2859281358385646</v>
          </cell>
          <cell r="H230">
            <v>3.2859281358385646</v>
          </cell>
          <cell r="I230">
            <v>0</v>
          </cell>
          <cell r="J230">
            <v>3.0330682022598419</v>
          </cell>
        </row>
        <row r="231">
          <cell r="D231">
            <v>3.8751505833461795</v>
          </cell>
          <cell r="E231">
            <v>8.6622287215211689</v>
          </cell>
          <cell r="F231">
            <v>0.4819569618750838</v>
          </cell>
          <cell r="H231">
            <v>8.6584380487873194</v>
          </cell>
          <cell r="I231">
            <v>6.9247467977276784</v>
          </cell>
          <cell r="J231">
            <v>0</v>
          </cell>
        </row>
        <row r="232">
          <cell r="D232">
            <v>0.2</v>
          </cell>
          <cell r="E232">
            <v>0.65465337395785705</v>
          </cell>
          <cell r="F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D233">
            <v>7.0357904306323586</v>
          </cell>
          <cell r="E233">
            <v>9.253346897693687</v>
          </cell>
          <cell r="F233">
            <v>0</v>
          </cell>
          <cell r="H233">
            <v>0</v>
          </cell>
          <cell r="I233">
            <v>6.4935767703113596</v>
          </cell>
          <cell r="J233">
            <v>0</v>
          </cell>
        </row>
        <row r="234">
          <cell r="D234">
            <v>3.7695771192652283</v>
          </cell>
          <cell r="E234">
            <v>34.746782289825745</v>
          </cell>
          <cell r="F234">
            <v>0</v>
          </cell>
          <cell r="H234">
            <v>9.7444850702094339</v>
          </cell>
          <cell r="I234">
            <v>18.976102505144688</v>
          </cell>
          <cell r="J234">
            <v>0</v>
          </cell>
        </row>
        <row r="236">
          <cell r="D236">
            <v>13.808448829914081</v>
          </cell>
          <cell r="E236">
            <v>235.91734825908208</v>
          </cell>
          <cell r="F236">
            <v>0</v>
          </cell>
          <cell r="H236">
            <v>10.356336622435562</v>
          </cell>
          <cell r="I236">
            <v>13.808448829914079</v>
          </cell>
          <cell r="J236">
            <v>0</v>
          </cell>
        </row>
        <row r="237">
          <cell r="D237">
            <v>45.632388666474455</v>
          </cell>
          <cell r="E237">
            <v>216.15734435311998</v>
          </cell>
          <cell r="F237">
            <v>68.027303732528338</v>
          </cell>
          <cell r="H237">
            <v>3.8772617821187447</v>
          </cell>
          <cell r="I237">
            <v>62.053641598824733</v>
          </cell>
          <cell r="J237">
            <v>0</v>
          </cell>
        </row>
        <row r="238">
          <cell r="D238">
            <v>38.633570180174964</v>
          </cell>
          <cell r="E238">
            <v>214.25106766586705</v>
          </cell>
          <cell r="F238">
            <v>79.204517036051911</v>
          </cell>
          <cell r="H238">
            <v>18.006206750642018</v>
          </cell>
          <cell r="I238">
            <v>381.20735177783257</v>
          </cell>
          <cell r="J238">
            <v>0</v>
          </cell>
        </row>
        <row r="239">
          <cell r="D239">
            <v>69.618193420619164</v>
          </cell>
          <cell r="E239">
            <v>519.28324600625774</v>
          </cell>
          <cell r="F239">
            <v>0</v>
          </cell>
          <cell r="H239">
            <v>114.12818593544125</v>
          </cell>
          <cell r="I239">
            <v>943.84009768609917</v>
          </cell>
          <cell r="J239">
            <v>0</v>
          </cell>
        </row>
        <row r="240">
          <cell r="D240">
            <v>22.825637187088251</v>
          </cell>
          <cell r="E240">
            <v>182.60509749670601</v>
          </cell>
          <cell r="F240">
            <v>7.9889730154808873</v>
          </cell>
          <cell r="H240">
            <v>3.7091660429018405</v>
          </cell>
          <cell r="I240">
            <v>660.80219656620488</v>
          </cell>
          <cell r="J240">
            <v>0</v>
          </cell>
        </row>
        <row r="241">
          <cell r="D241">
            <v>104.89387795001592</v>
          </cell>
          <cell r="E241">
            <v>738.93990805859426</v>
          </cell>
          <cell r="F241">
            <v>27.16002196920055</v>
          </cell>
          <cell r="H241">
            <v>0</v>
          </cell>
          <cell r="I241">
            <v>147.0387396263616</v>
          </cell>
          <cell r="J241">
            <v>1282.1403474426052</v>
          </cell>
        </row>
        <row r="242">
          <cell r="D242">
            <v>11.949099791303487</v>
          </cell>
          <cell r="E242">
            <v>92.880945895522146</v>
          </cell>
          <cell r="F242">
            <v>27.965978234965611</v>
          </cell>
          <cell r="H242">
            <v>0</v>
          </cell>
          <cell r="I242">
            <v>60.08448051088066</v>
          </cell>
          <cell r="J242">
            <v>105.93173573850609</v>
          </cell>
        </row>
        <row r="243">
          <cell r="D243">
            <v>21.924024518198266</v>
          </cell>
          <cell r="E243">
            <v>85.527662540019676</v>
          </cell>
          <cell r="F243">
            <v>5.1357683670948562E-2</v>
          </cell>
          <cell r="H243">
            <v>0.72927910812746966</v>
          </cell>
          <cell r="I243">
            <v>171.87704801877453</v>
          </cell>
          <cell r="J243">
            <v>11.412818593544126</v>
          </cell>
        </row>
        <row r="244">
          <cell r="D244">
            <v>130.8627342062542</v>
          </cell>
          <cell r="E244">
            <v>391.30523463634825</v>
          </cell>
          <cell r="F244">
            <v>16.03709978017821</v>
          </cell>
          <cell r="H244">
            <v>1.3214570218866846</v>
          </cell>
          <cell r="I244">
            <v>451.60472980981842</v>
          </cell>
          <cell r="J244">
            <v>0</v>
          </cell>
        </row>
        <row r="245">
          <cell r="D245">
            <v>687.3</v>
          </cell>
          <cell r="E245">
            <v>4641</v>
          </cell>
          <cell r="F245">
            <v>17.98</v>
          </cell>
          <cell r="H245">
            <v>56</v>
          </cell>
          <cell r="I245">
            <v>454</v>
          </cell>
          <cell r="J245">
            <v>0</v>
          </cell>
        </row>
        <row r="246">
          <cell r="D246">
            <v>4.8032151754294405</v>
          </cell>
          <cell r="E246">
            <v>2.2247450134256517</v>
          </cell>
          <cell r="F246">
            <v>4.2819360091037746</v>
          </cell>
          <cell r="H246">
            <v>0.89362142798687272</v>
          </cell>
          <cell r="I246">
            <v>0.27925669624589772</v>
          </cell>
          <cell r="J246">
            <v>12.240751852111851</v>
          </cell>
        </row>
        <row r="247">
          <cell r="D247">
            <v>2.7673372045961901</v>
          </cell>
          <cell r="E247">
            <v>22.466784006386597</v>
          </cell>
          <cell r="F247">
            <v>10.01376658570374</v>
          </cell>
          <cell r="H247">
            <v>2.995571200851546</v>
          </cell>
          <cell r="I247">
            <v>45.932091746390377</v>
          </cell>
          <cell r="J247">
            <v>20.426942664854352</v>
          </cell>
        </row>
        <row r="248">
          <cell r="D248">
            <v>7.6465884576745644</v>
          </cell>
          <cell r="E248">
            <v>58.091246641139598</v>
          </cell>
          <cell r="F248">
            <v>0</v>
          </cell>
          <cell r="H248">
            <v>0</v>
          </cell>
          <cell r="I248">
            <v>12.211715895092214</v>
          </cell>
          <cell r="J248">
            <v>0</v>
          </cell>
        </row>
        <row r="249">
          <cell r="D249">
            <v>10.95630584980236</v>
          </cell>
          <cell r="E249">
            <v>31.156994760375461</v>
          </cell>
          <cell r="F249">
            <v>14.722535985671922</v>
          </cell>
          <cell r="H249">
            <v>1.8260509749670601</v>
          </cell>
          <cell r="I249">
            <v>59.346656686429448</v>
          </cell>
          <cell r="J249">
            <v>0</v>
          </cell>
        </row>
        <row r="250">
          <cell r="D250">
            <v>6.3937269094473352</v>
          </cell>
          <cell r="E250">
            <v>16.156654926164087</v>
          </cell>
          <cell r="F250">
            <v>0.61610710785105727</v>
          </cell>
          <cell r="H250">
            <v>3.8775971822793812E-2</v>
          </cell>
          <cell r="I250">
            <v>37.931517325319632</v>
          </cell>
          <cell r="J250">
            <v>0</v>
          </cell>
        </row>
        <row r="251">
          <cell r="D251">
            <v>0.12228391743782471</v>
          </cell>
          <cell r="E251">
            <v>12.151964295383831</v>
          </cell>
          <cell r="F251">
            <v>48.730141098973149</v>
          </cell>
          <cell r="H251">
            <v>43.105080896833208</v>
          </cell>
          <cell r="I251">
            <v>12.56467251673649</v>
          </cell>
          <cell r="J251">
            <v>0</v>
          </cell>
        </row>
        <row r="252">
          <cell r="D252">
            <v>0.435</v>
          </cell>
          <cell r="E252">
            <v>1.1520999999999999</v>
          </cell>
          <cell r="F252">
            <v>0</v>
          </cell>
          <cell r="H252">
            <v>1.0269999999999999</v>
          </cell>
          <cell r="I252">
            <v>0.35</v>
          </cell>
          <cell r="J252">
            <v>0</v>
          </cell>
        </row>
        <row r="253">
          <cell r="D253">
            <v>4.6792556233530913</v>
          </cell>
          <cell r="E253">
            <v>8.2172293873517699</v>
          </cell>
          <cell r="F253">
            <v>0.57064092967720625</v>
          </cell>
          <cell r="H253">
            <v>1.8260509749670601</v>
          </cell>
          <cell r="I253">
            <v>13.923638684123832</v>
          </cell>
          <cell r="J253">
            <v>4.56512743741765</v>
          </cell>
        </row>
        <row r="254">
          <cell r="D254">
            <v>1.55</v>
          </cell>
          <cell r="E254">
            <v>31.547173921277963</v>
          </cell>
          <cell r="F254">
            <v>1.9401791609025012</v>
          </cell>
          <cell r="H254">
            <v>3.7662301358695611</v>
          </cell>
          <cell r="I254">
            <v>3.1955892061923548</v>
          </cell>
          <cell r="J254">
            <v>0</v>
          </cell>
        </row>
        <row r="255">
          <cell r="D255">
            <v>0.12491350018021706</v>
          </cell>
          <cell r="E255">
            <v>2.0793120734657271</v>
          </cell>
          <cell r="F255">
            <v>7.5320270858253366E-2</v>
          </cell>
          <cell r="H255">
            <v>8.862629246676515E-2</v>
          </cell>
          <cell r="I255">
            <v>0.23482202091102522</v>
          </cell>
          <cell r="J255">
            <v>0</v>
          </cell>
        </row>
        <row r="256">
          <cell r="D256">
            <v>5.1357683670948564</v>
          </cell>
          <cell r="E256">
            <v>44.007828496706153</v>
          </cell>
          <cell r="F256">
            <v>3.309717392127796</v>
          </cell>
          <cell r="H256">
            <v>7.9889730154808873</v>
          </cell>
          <cell r="I256">
            <v>5.7064092967720628</v>
          </cell>
          <cell r="J256">
            <v>0</v>
          </cell>
        </row>
        <row r="257">
          <cell r="D257">
            <v>9.4</v>
          </cell>
          <cell r="E257">
            <v>33.5</v>
          </cell>
          <cell r="F257">
            <v>2.1</v>
          </cell>
          <cell r="H257">
            <v>2</v>
          </cell>
          <cell r="I257">
            <v>13.3</v>
          </cell>
          <cell r="J257">
            <v>0</v>
          </cell>
        </row>
        <row r="258">
          <cell r="D258">
            <v>0.67911263411214207</v>
          </cell>
          <cell r="E258">
            <v>2.8695942283954139</v>
          </cell>
          <cell r="F258">
            <v>0</v>
          </cell>
          <cell r="H258">
            <v>0.2896249719004359</v>
          </cell>
          <cell r="I258">
            <v>0.75592117666013769</v>
          </cell>
          <cell r="J258">
            <v>0</v>
          </cell>
        </row>
        <row r="259">
          <cell r="D259">
            <v>1.1000000000000001</v>
          </cell>
          <cell r="E259">
            <v>3.3000000000000003</v>
          </cell>
          <cell r="F259">
            <v>1.6</v>
          </cell>
          <cell r="H259">
            <v>0.43368710655467674</v>
          </cell>
          <cell r="I259">
            <v>1.1412818593544125</v>
          </cell>
          <cell r="J259">
            <v>0</v>
          </cell>
        </row>
        <row r="260">
          <cell r="D260">
            <v>0.34238455780632376</v>
          </cell>
          <cell r="E260">
            <v>2.7390764624505901</v>
          </cell>
          <cell r="F260">
            <v>5.2384837344367536</v>
          </cell>
          <cell r="H260">
            <v>0.45651274374176504</v>
          </cell>
          <cell r="I260">
            <v>2.8532046483860314</v>
          </cell>
          <cell r="J260">
            <v>1.0157408548254272</v>
          </cell>
        </row>
        <row r="261">
          <cell r="D261">
            <v>18.94527886528325</v>
          </cell>
          <cell r="E261">
            <v>74.982218159584903</v>
          </cell>
          <cell r="F261">
            <v>13.124741382575744</v>
          </cell>
          <cell r="H261">
            <v>0</v>
          </cell>
          <cell r="I261">
            <v>39.716608705533552</v>
          </cell>
          <cell r="J261">
            <v>0</v>
          </cell>
        </row>
        <row r="262">
          <cell r="D262">
            <v>3.3151095268037039</v>
          </cell>
          <cell r="E262">
            <v>37.051224123100226</v>
          </cell>
          <cell r="F262">
            <v>0</v>
          </cell>
          <cell r="H262">
            <v>2.2100730178691359</v>
          </cell>
          <cell r="I262">
            <v>4.0491365125722298</v>
          </cell>
          <cell r="J262">
            <v>0</v>
          </cell>
        </row>
        <row r="263">
          <cell r="D263">
            <v>2.6232409947782966</v>
          </cell>
          <cell r="E263">
            <v>21.293919815912897</v>
          </cell>
          <cell r="F263">
            <v>0</v>
          </cell>
          <cell r="H263">
            <v>6.3191432870165452</v>
          </cell>
          <cell r="I263">
            <v>8.2839189308788317</v>
          </cell>
          <cell r="J263">
            <v>0</v>
          </cell>
        </row>
        <row r="264">
          <cell r="D264">
            <v>2.5108200905797076</v>
          </cell>
          <cell r="E264">
            <v>11.298690407608685</v>
          </cell>
          <cell r="F264">
            <v>1.2554100452898538</v>
          </cell>
          <cell r="H264">
            <v>0</v>
          </cell>
          <cell r="I264">
            <v>13.124741382575744</v>
          </cell>
          <cell r="J264">
            <v>0</v>
          </cell>
        </row>
        <row r="265">
          <cell r="D265">
            <v>1.3</v>
          </cell>
          <cell r="E265">
            <v>5</v>
          </cell>
          <cell r="F265">
            <v>0.6006120601465349</v>
          </cell>
          <cell r="H265">
            <v>0</v>
          </cell>
          <cell r="I265">
            <v>4.5823680163275764</v>
          </cell>
          <cell r="J265">
            <v>0</v>
          </cell>
        </row>
        <row r="266">
          <cell r="D266">
            <v>0.4</v>
          </cell>
          <cell r="E266">
            <v>4.8</v>
          </cell>
          <cell r="F266">
            <v>0.47399999999999998</v>
          </cell>
          <cell r="H266">
            <v>1</v>
          </cell>
          <cell r="I266">
            <v>2.5</v>
          </cell>
          <cell r="J266">
            <v>0</v>
          </cell>
        </row>
        <row r="267">
          <cell r="D267">
            <v>4.125811618561432</v>
          </cell>
          <cell r="E267">
            <v>18.349004303602158</v>
          </cell>
          <cell r="F267">
            <v>36.372286637317892</v>
          </cell>
          <cell r="H267">
            <v>1.2703156825570725</v>
          </cell>
          <cell r="I267">
            <v>27.143497490535736</v>
          </cell>
          <cell r="J267">
            <v>0</v>
          </cell>
        </row>
        <row r="268">
          <cell r="D268">
            <v>7.6892624776985965</v>
          </cell>
          <cell r="E268">
            <v>51.792545778929799</v>
          </cell>
          <cell r="F268">
            <v>0</v>
          </cell>
          <cell r="H268">
            <v>1.1716565626081807</v>
          </cell>
          <cell r="I268">
            <v>45.561463150513568</v>
          </cell>
          <cell r="J268">
            <v>0</v>
          </cell>
        </row>
        <row r="269">
          <cell r="D269">
            <v>1.5165334699489497</v>
          </cell>
          <cell r="E269">
            <v>30.547459864780031</v>
          </cell>
          <cell r="F269">
            <v>4.0446076631681755</v>
          </cell>
          <cell r="H269">
            <v>3.2859281358385646</v>
          </cell>
          <cell r="I269">
            <v>0</v>
          </cell>
          <cell r="J269">
            <v>3.0330682022598419</v>
          </cell>
        </row>
        <row r="270">
          <cell r="D270">
            <v>3.8751505833461795</v>
          </cell>
          <cell r="E270">
            <v>8.6622287215211689</v>
          </cell>
          <cell r="F270">
            <v>0.4819569618750838</v>
          </cell>
          <cell r="H270">
            <v>8.6584380487873194</v>
          </cell>
          <cell r="I270">
            <v>6.9247467977276784</v>
          </cell>
          <cell r="J270">
            <v>0</v>
          </cell>
        </row>
        <row r="271">
          <cell r="D271">
            <v>0.2</v>
          </cell>
          <cell r="E271">
            <v>0.8</v>
          </cell>
          <cell r="F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D272">
            <v>7.7</v>
          </cell>
          <cell r="E272">
            <v>10.100000000000001</v>
          </cell>
          <cell r="F272">
            <v>0</v>
          </cell>
          <cell r="H272">
            <v>0</v>
          </cell>
          <cell r="I272">
            <v>6.5</v>
          </cell>
          <cell r="J272">
            <v>0</v>
          </cell>
        </row>
        <row r="273">
          <cell r="D273">
            <v>3.7695771192652283</v>
          </cell>
          <cell r="E273">
            <v>34.746782289825745</v>
          </cell>
          <cell r="F273">
            <v>0</v>
          </cell>
          <cell r="H273">
            <v>9.7444850702094339</v>
          </cell>
          <cell r="I273">
            <v>18.976102505144688</v>
          </cell>
          <cell r="J273">
            <v>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4D81-38EE-4769-8FC6-4A669B8962B9}">
  <dimension ref="A1:AC267"/>
  <sheetViews>
    <sheetView tabSelected="1" topLeftCell="A14" zoomScale="120" zoomScaleNormal="100" workbookViewId="0">
      <pane xSplit="1" topLeftCell="R1" activePane="topRight" state="frozen"/>
      <selection pane="topRight" activeCell="X50" sqref="X50"/>
    </sheetView>
  </sheetViews>
  <sheetFormatPr baseColWidth="10" defaultRowHeight="14.5" x14ac:dyDescent="0.35"/>
  <cols>
    <col min="1" max="1" width="15.26953125" style="24" customWidth="1"/>
    <col min="2" max="2" width="10.90625" style="24"/>
    <col min="3" max="3" width="16" style="24" customWidth="1"/>
    <col min="4" max="4" width="14.6328125" style="24" customWidth="1"/>
    <col min="5" max="5" width="12" style="24" customWidth="1"/>
    <col min="6" max="6" width="11.6328125" style="24" customWidth="1"/>
    <col min="7" max="7" width="13.6328125" style="24" bestFit="1" customWidth="1"/>
    <col min="8" max="9" width="11" style="24" bestFit="1" customWidth="1"/>
    <col min="10" max="10" width="11.26953125" style="24" bestFit="1" customWidth="1"/>
    <col min="11" max="14" width="10.90625" style="24"/>
    <col min="15" max="15" width="11.6328125" style="24" customWidth="1"/>
    <col min="16" max="18" width="14.1796875" style="24" customWidth="1"/>
    <col min="19" max="26" width="10.90625" style="24"/>
    <col min="27" max="27" width="31.54296875" style="24" customWidth="1"/>
    <col min="28" max="28" width="23.36328125" style="29" customWidth="1"/>
    <col min="29" max="29" width="32.6328125" style="24" customWidth="1"/>
    <col min="30" max="16384" width="10.90625" style="24"/>
  </cols>
  <sheetData>
    <row r="1" spans="1:28" s="22" customFormat="1" ht="61.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9</v>
      </c>
      <c r="Z1" s="4" t="s">
        <v>24</v>
      </c>
      <c r="AA1" s="31" t="s">
        <v>70</v>
      </c>
      <c r="AB1" s="32" t="s">
        <v>71</v>
      </c>
    </row>
    <row r="2" spans="1:28" x14ac:dyDescent="0.35">
      <c r="A2" s="5" t="s">
        <v>25</v>
      </c>
      <c r="B2" s="5" t="s">
        <v>26</v>
      </c>
      <c r="C2" s="6">
        <f>D2+E2</f>
        <v>130.0051</v>
      </c>
      <c r="D2" s="7">
        <v>2.1168</v>
      </c>
      <c r="E2" s="7">
        <v>127.8883</v>
      </c>
      <c r="F2" s="7">
        <v>0</v>
      </c>
      <c r="G2" s="8">
        <f>H2+I2</f>
        <v>24.0029</v>
      </c>
      <c r="H2" s="7">
        <v>10.3255</v>
      </c>
      <c r="I2" s="7">
        <v>13.6774</v>
      </c>
      <c r="J2" s="7">
        <v>0</v>
      </c>
      <c r="K2" s="8">
        <f>M2+O2</f>
        <v>8.6973117749133309</v>
      </c>
      <c r="L2" s="8">
        <f>N2+P2</f>
        <v>10.599546192138643</v>
      </c>
      <c r="M2" s="7">
        <f t="shared" ref="M2:M65" si="0">($D2/$AB2)*100</f>
        <v>0.14161344105067059</v>
      </c>
      <c r="N2" s="7">
        <f t="shared" ref="N2:N65" si="1">($D2/$AA2)*100</f>
        <v>0.1725864552969005</v>
      </c>
      <c r="O2" s="7">
        <f t="shared" ref="O2:O65" si="2">($E2/$AB2)*100</f>
        <v>8.5556983338626598</v>
      </c>
      <c r="P2" s="7">
        <f t="shared" ref="P2:P65" si="3">($E2/$AA2)*100</f>
        <v>10.426959736841743</v>
      </c>
      <c r="Q2" s="7">
        <f t="shared" ref="Q2:Q65" si="4">($F2/$AB2)*100</f>
        <v>0</v>
      </c>
      <c r="R2" s="7">
        <f t="shared" ref="R2:R65" si="5">($F2/$AA2)*100</f>
        <v>0</v>
      </c>
      <c r="S2" s="8">
        <f>U2+W2</f>
        <v>1.6057885790793376</v>
      </c>
      <c r="T2" s="8">
        <f>V2+X2</f>
        <v>1.9569989738501388</v>
      </c>
      <c r="U2" s="7">
        <f t="shared" ref="U2:U65" si="6">($H2/$AB2)*100</f>
        <v>0.690773613741827</v>
      </c>
      <c r="V2" s="7">
        <f t="shared" ref="V2:V65" si="7">($H2/AA2)*100</f>
        <v>0.84185631338253319</v>
      </c>
      <c r="W2" s="7">
        <f t="shared" ref="W2:W65" si="8">($I2/$AB2)*100</f>
        <v>0.91501496533751059</v>
      </c>
      <c r="X2" s="7">
        <f t="shared" ref="X2:X65" si="9">($I2/$AA2)*100</f>
        <v>1.1151426604676056</v>
      </c>
      <c r="Y2" s="7">
        <f t="shared" ref="Y2:Y65" si="10">($J2/$AB2)*100</f>
        <v>0</v>
      </c>
      <c r="Z2" s="7">
        <f t="shared" ref="Z2:Z65" si="11">($J2/$AA2)*100</f>
        <v>0</v>
      </c>
      <c r="AA2" s="23">
        <v>1226.51571721458</v>
      </c>
      <c r="AB2" s="29">
        <v>1494.77336635199</v>
      </c>
    </row>
    <row r="3" spans="1:28" x14ac:dyDescent="0.35">
      <c r="A3" s="5" t="s">
        <v>27</v>
      </c>
      <c r="B3" s="5" t="s">
        <v>26</v>
      </c>
      <c r="C3" s="6">
        <f t="shared" ref="C3:C66" si="12">D3+E3</f>
        <v>81</v>
      </c>
      <c r="D3" s="7">
        <v>2.4</v>
      </c>
      <c r="E3" s="7">
        <v>78.599999999999994</v>
      </c>
      <c r="F3" s="7">
        <v>63.75</v>
      </c>
      <c r="G3" s="8">
        <f t="shared" ref="G3:G66" si="13">H3+I3</f>
        <v>51.7</v>
      </c>
      <c r="H3" s="7">
        <v>3.7</v>
      </c>
      <c r="I3" s="7">
        <v>48</v>
      </c>
      <c r="J3" s="7">
        <v>0</v>
      </c>
      <c r="K3" s="8">
        <f t="shared" ref="K3:L66" si="14">M3+O3</f>
        <v>4.7742400680565593</v>
      </c>
      <c r="L3" s="8">
        <f t="shared" si="14"/>
        <v>4.6997712099071647</v>
      </c>
      <c r="M3" s="7">
        <f t="shared" si="0"/>
        <v>0.14145896497945359</v>
      </c>
      <c r="N3" s="7">
        <f t="shared" si="1"/>
        <v>0.13925248029354564</v>
      </c>
      <c r="O3" s="7">
        <f t="shared" si="2"/>
        <v>4.6327811030771056</v>
      </c>
      <c r="P3" s="7">
        <f t="shared" si="3"/>
        <v>4.5605187296136194</v>
      </c>
      <c r="Q3" s="7">
        <f t="shared" si="4"/>
        <v>3.7575037572667362</v>
      </c>
      <c r="R3" s="7">
        <f t="shared" si="5"/>
        <v>3.6988940077973065</v>
      </c>
      <c r="S3" s="8">
        <f t="shared" ref="S3:T66" si="15">U3+W3</f>
        <v>3.0472618705990637</v>
      </c>
      <c r="T3" s="8">
        <f t="shared" si="15"/>
        <v>2.999730512990129</v>
      </c>
      <c r="U3" s="7">
        <f t="shared" si="6"/>
        <v>0.21808257100999098</v>
      </c>
      <c r="V3" s="7">
        <f t="shared" si="7"/>
        <v>0.21468090711921622</v>
      </c>
      <c r="W3" s="7">
        <f t="shared" si="8"/>
        <v>2.8291792995890725</v>
      </c>
      <c r="X3" s="7">
        <f t="shared" si="9"/>
        <v>2.7850496058709129</v>
      </c>
      <c r="Y3" s="7">
        <f t="shared" si="10"/>
        <v>0</v>
      </c>
      <c r="Z3" s="7">
        <f t="shared" si="11"/>
        <v>0</v>
      </c>
      <c r="AA3" s="23">
        <v>1723.48815255626</v>
      </c>
      <c r="AB3" s="29">
        <v>1696.60508992738</v>
      </c>
    </row>
    <row r="4" spans="1:28" x14ac:dyDescent="0.35">
      <c r="A4" s="5" t="s">
        <v>28</v>
      </c>
      <c r="B4" s="5" t="s">
        <v>26</v>
      </c>
      <c r="C4" s="6">
        <f t="shared" si="12"/>
        <v>16.5</v>
      </c>
      <c r="D4" s="9">
        <v>5.5</v>
      </c>
      <c r="E4" s="9">
        <v>11</v>
      </c>
      <c r="F4" s="9">
        <v>48.5</v>
      </c>
      <c r="G4" s="8">
        <f t="shared" si="13"/>
        <v>348</v>
      </c>
      <c r="H4" s="9">
        <v>0</v>
      </c>
      <c r="I4" s="9">
        <v>348</v>
      </c>
      <c r="J4" s="7">
        <v>0</v>
      </c>
      <c r="K4" s="8">
        <f t="shared" si="14"/>
        <v>0.630538110393977</v>
      </c>
      <c r="L4" s="8">
        <f t="shared" si="14"/>
        <v>0.56757783839276432</v>
      </c>
      <c r="M4" s="7">
        <f t="shared" si="0"/>
        <v>0.21017937013132568</v>
      </c>
      <c r="N4" s="7">
        <f t="shared" si="1"/>
        <v>0.18919261279758812</v>
      </c>
      <c r="O4" s="7">
        <f t="shared" si="2"/>
        <v>0.42035874026265135</v>
      </c>
      <c r="P4" s="7">
        <f t="shared" si="3"/>
        <v>0.37838522559517623</v>
      </c>
      <c r="Q4" s="7">
        <f t="shared" si="4"/>
        <v>1.8533999002489625</v>
      </c>
      <c r="R4" s="7">
        <f t="shared" si="5"/>
        <v>1.6683348583060043</v>
      </c>
      <c r="S4" s="8">
        <f t="shared" si="15"/>
        <v>13.298621964672968</v>
      </c>
      <c r="T4" s="8">
        <f t="shared" si="15"/>
        <v>11.970732591556484</v>
      </c>
      <c r="U4" s="7">
        <f t="shared" si="6"/>
        <v>0</v>
      </c>
      <c r="V4" s="7">
        <f t="shared" si="7"/>
        <v>0</v>
      </c>
      <c r="W4" s="7">
        <f t="shared" si="8"/>
        <v>13.298621964672968</v>
      </c>
      <c r="X4" s="7">
        <f t="shared" si="9"/>
        <v>11.970732591556484</v>
      </c>
      <c r="Y4" s="7">
        <f t="shared" si="10"/>
        <v>0</v>
      </c>
      <c r="Z4" s="7">
        <f t="shared" si="11"/>
        <v>0</v>
      </c>
      <c r="AA4" s="23">
        <v>2907.0902498102801</v>
      </c>
      <c r="AB4" s="29">
        <v>2616.8124857180101</v>
      </c>
    </row>
    <row r="5" spans="1:28" x14ac:dyDescent="0.35">
      <c r="A5" s="5" t="s">
        <v>29</v>
      </c>
      <c r="B5" s="5" t="s">
        <v>26</v>
      </c>
      <c r="C5" s="6">
        <f t="shared" si="12"/>
        <v>143</v>
      </c>
      <c r="D5" s="7">
        <v>11.2</v>
      </c>
      <c r="E5" s="7">
        <v>131.80000000000001</v>
      </c>
      <c r="F5" s="7">
        <v>0</v>
      </c>
      <c r="G5" s="8">
        <f t="shared" si="13"/>
        <v>1072</v>
      </c>
      <c r="H5" s="7">
        <v>223</v>
      </c>
      <c r="I5" s="7">
        <v>849</v>
      </c>
      <c r="J5" s="7">
        <v>0</v>
      </c>
      <c r="K5" s="8">
        <f t="shared" si="14"/>
        <v>3.9751844662002656</v>
      </c>
      <c r="L5" s="8">
        <f t="shared" si="14"/>
        <v>3.4360258824878329</v>
      </c>
      <c r="M5" s="7">
        <f t="shared" si="0"/>
        <v>0.3113431190310697</v>
      </c>
      <c r="N5" s="7">
        <f t="shared" si="1"/>
        <v>0.26911531387317289</v>
      </c>
      <c r="O5" s="7">
        <f t="shared" si="2"/>
        <v>3.6638413471691957</v>
      </c>
      <c r="P5" s="7">
        <f t="shared" si="3"/>
        <v>3.1669105686146599</v>
      </c>
      <c r="Q5" s="7">
        <f t="shared" si="4"/>
        <v>0</v>
      </c>
      <c r="R5" s="7">
        <f t="shared" si="5"/>
        <v>0</v>
      </c>
      <c r="S5" s="8">
        <f t="shared" si="15"/>
        <v>29.799984250116676</v>
      </c>
      <c r="T5" s="8">
        <f t="shared" si="15"/>
        <v>25.758180042146549</v>
      </c>
      <c r="U5" s="7">
        <f t="shared" si="6"/>
        <v>6.1990638878507633</v>
      </c>
      <c r="V5" s="7">
        <f t="shared" si="7"/>
        <v>5.3582781244390683</v>
      </c>
      <c r="W5" s="7">
        <f t="shared" si="8"/>
        <v>23.600920362265914</v>
      </c>
      <c r="X5" s="7">
        <f t="shared" si="9"/>
        <v>20.399901917707481</v>
      </c>
      <c r="Y5" s="7">
        <f t="shared" si="10"/>
        <v>0</v>
      </c>
      <c r="Z5" s="7">
        <f t="shared" si="11"/>
        <v>0</v>
      </c>
      <c r="AA5" s="23">
        <v>4161.7847155581303</v>
      </c>
      <c r="AB5" s="29">
        <v>3597.3173374942398</v>
      </c>
    </row>
    <row r="6" spans="1:28" x14ac:dyDescent="0.35">
      <c r="A6" s="5" t="s">
        <v>30</v>
      </c>
      <c r="B6" s="5" t="s">
        <v>26</v>
      </c>
      <c r="C6" s="6">
        <f t="shared" si="12"/>
        <v>22</v>
      </c>
      <c r="D6" s="7">
        <v>3.63</v>
      </c>
      <c r="E6" s="7">
        <v>18.37</v>
      </c>
      <c r="F6" s="7">
        <v>0</v>
      </c>
      <c r="G6" s="8">
        <f t="shared" si="13"/>
        <v>591</v>
      </c>
      <c r="H6" s="7">
        <v>0</v>
      </c>
      <c r="I6" s="7">
        <v>591</v>
      </c>
      <c r="J6" s="7">
        <v>0</v>
      </c>
      <c r="K6" s="8">
        <f t="shared" si="14"/>
        <v>1.1469339016069102</v>
      </c>
      <c r="L6" s="8">
        <f t="shared" si="14"/>
        <v>0.94111212635674024</v>
      </c>
      <c r="M6" s="7">
        <f t="shared" si="0"/>
        <v>0.18924409376514018</v>
      </c>
      <c r="N6" s="7">
        <f t="shared" si="1"/>
        <v>0.15528350084886214</v>
      </c>
      <c r="O6" s="7">
        <f t="shared" si="2"/>
        <v>0.95768980784176994</v>
      </c>
      <c r="P6" s="7">
        <f t="shared" si="3"/>
        <v>0.78582862550787813</v>
      </c>
      <c r="Q6" s="7">
        <f t="shared" si="4"/>
        <v>0</v>
      </c>
      <c r="R6" s="7">
        <f t="shared" si="5"/>
        <v>0</v>
      </c>
      <c r="S6" s="8">
        <f t="shared" si="15"/>
        <v>30.810815265894721</v>
      </c>
      <c r="T6" s="8">
        <f t="shared" si="15"/>
        <v>25.281693939856066</v>
      </c>
      <c r="U6" s="7">
        <f t="shared" si="6"/>
        <v>0</v>
      </c>
      <c r="V6" s="7">
        <f t="shared" si="7"/>
        <v>0</v>
      </c>
      <c r="W6" s="7">
        <f t="shared" si="8"/>
        <v>30.810815265894721</v>
      </c>
      <c r="X6" s="7">
        <f t="shared" si="9"/>
        <v>25.281693939856066</v>
      </c>
      <c r="Y6" s="7">
        <f t="shared" si="10"/>
        <v>0</v>
      </c>
      <c r="Z6" s="7">
        <f t="shared" si="11"/>
        <v>0</v>
      </c>
      <c r="AA6" s="23">
        <v>2337.6598158571201</v>
      </c>
      <c r="AB6" s="29">
        <v>1918.15761738117</v>
      </c>
    </row>
    <row r="7" spans="1:28" x14ac:dyDescent="0.35">
      <c r="A7" s="5" t="s">
        <v>31</v>
      </c>
      <c r="B7" s="5" t="s">
        <v>26</v>
      </c>
      <c r="C7" s="6">
        <f t="shared" si="12"/>
        <v>497</v>
      </c>
      <c r="D7" s="7">
        <v>12.1906</v>
      </c>
      <c r="E7" s="7">
        <v>484.80939999999998</v>
      </c>
      <c r="F7" s="7">
        <v>0</v>
      </c>
      <c r="G7" s="8">
        <f t="shared" si="13"/>
        <v>518</v>
      </c>
      <c r="H7" s="7">
        <v>499</v>
      </c>
      <c r="I7" s="7">
        <v>19</v>
      </c>
      <c r="J7" s="7">
        <v>0</v>
      </c>
      <c r="K7" s="8">
        <f t="shared" si="14"/>
        <v>10.88877715515526</v>
      </c>
      <c r="L7" s="8">
        <f t="shared" si="14"/>
        <v>9.3335923458114554</v>
      </c>
      <c r="M7" s="7">
        <f t="shared" si="0"/>
        <v>0.26708395731918655</v>
      </c>
      <c r="N7" s="7">
        <f t="shared" si="1"/>
        <v>0.22893780855301635</v>
      </c>
      <c r="O7" s="7">
        <f t="shared" si="2"/>
        <v>10.621693197836073</v>
      </c>
      <c r="P7" s="7">
        <f t="shared" si="3"/>
        <v>9.1046545372584387</v>
      </c>
      <c r="Q7" s="7">
        <f t="shared" si="4"/>
        <v>0</v>
      </c>
      <c r="R7" s="7">
        <f t="shared" si="5"/>
        <v>0</v>
      </c>
      <c r="S7" s="8">
        <f t="shared" si="15"/>
        <v>11.348866330725201</v>
      </c>
      <c r="T7" s="8">
        <f t="shared" si="15"/>
        <v>9.7279694871837705</v>
      </c>
      <c r="U7" s="7">
        <f t="shared" si="6"/>
        <v>10.932595171876207</v>
      </c>
      <c r="V7" s="7">
        <f t="shared" si="7"/>
        <v>9.3711520735612002</v>
      </c>
      <c r="W7" s="7">
        <f t="shared" si="8"/>
        <v>0.41627115884899385</v>
      </c>
      <c r="X7" s="7">
        <f t="shared" si="9"/>
        <v>0.35681741362257074</v>
      </c>
      <c r="Y7" s="7">
        <f t="shared" si="10"/>
        <v>0</v>
      </c>
      <c r="Z7" s="7">
        <f t="shared" si="11"/>
        <v>0</v>
      </c>
      <c r="AA7" s="23">
        <v>5324.8522282316499</v>
      </c>
      <c r="AB7" s="29">
        <v>4564.3325500944502</v>
      </c>
    </row>
    <row r="8" spans="1:28" x14ac:dyDescent="0.35">
      <c r="A8" s="5" t="s">
        <v>32</v>
      </c>
      <c r="B8" s="5" t="s">
        <v>26</v>
      </c>
      <c r="C8" s="6">
        <f t="shared" si="12"/>
        <v>24</v>
      </c>
      <c r="D8" s="7">
        <v>2.5</v>
      </c>
      <c r="E8" s="7">
        <v>21.5</v>
      </c>
      <c r="F8" s="7">
        <v>14</v>
      </c>
      <c r="G8" s="8">
        <f t="shared" si="13"/>
        <v>215</v>
      </c>
      <c r="H8" s="7">
        <v>101</v>
      </c>
      <c r="I8" s="7">
        <v>114</v>
      </c>
      <c r="J8" s="7">
        <v>0</v>
      </c>
      <c r="K8" s="8">
        <f t="shared" si="14"/>
        <v>1.465070020161209</v>
      </c>
      <c r="L8" s="8">
        <f t="shared" si="14"/>
        <v>1.1128940232744176</v>
      </c>
      <c r="M8" s="7">
        <f t="shared" si="0"/>
        <v>0.15261146043345927</v>
      </c>
      <c r="N8" s="7">
        <f t="shared" si="1"/>
        <v>0.11592646075775184</v>
      </c>
      <c r="O8" s="7">
        <f t="shared" si="2"/>
        <v>1.3124585597277498</v>
      </c>
      <c r="P8" s="7">
        <f t="shared" si="3"/>
        <v>0.99696756251666574</v>
      </c>
      <c r="Q8" s="7">
        <f t="shared" si="4"/>
        <v>0.85462417842737204</v>
      </c>
      <c r="R8" s="7">
        <f t="shared" si="5"/>
        <v>0.64918818024341018</v>
      </c>
      <c r="S8" s="8">
        <f t="shared" si="15"/>
        <v>13.124585597277498</v>
      </c>
      <c r="T8" s="8">
        <f t="shared" si="15"/>
        <v>9.9696756251666585</v>
      </c>
      <c r="U8" s="7">
        <f t="shared" si="6"/>
        <v>6.1655030015117545</v>
      </c>
      <c r="V8" s="7">
        <f t="shared" si="7"/>
        <v>4.6834290146131741</v>
      </c>
      <c r="W8" s="7">
        <f t="shared" si="8"/>
        <v>6.9590825957657438</v>
      </c>
      <c r="X8" s="7">
        <f t="shared" si="9"/>
        <v>5.2862466105534835</v>
      </c>
      <c r="Y8" s="7">
        <f t="shared" si="10"/>
        <v>0</v>
      </c>
      <c r="Z8" s="7">
        <f t="shared" si="11"/>
        <v>0</v>
      </c>
      <c r="AA8" s="23">
        <v>2156.5395714307001</v>
      </c>
      <c r="AB8" s="29">
        <v>1638.14696019506</v>
      </c>
    </row>
    <row r="9" spans="1:28" x14ac:dyDescent="0.35">
      <c r="A9" s="5" t="s">
        <v>33</v>
      </c>
      <c r="B9" s="5" t="s">
        <v>26</v>
      </c>
      <c r="C9" s="6">
        <f t="shared" si="12"/>
        <v>14.892900000000001</v>
      </c>
      <c r="D9" s="7">
        <v>4.1786000000000003</v>
      </c>
      <c r="E9" s="7">
        <v>10.7143</v>
      </c>
      <c r="F9" s="7">
        <v>0</v>
      </c>
      <c r="G9" s="8">
        <f t="shared" si="13"/>
        <v>175.61519999999999</v>
      </c>
      <c r="H9" s="7">
        <v>11</v>
      </c>
      <c r="I9" s="7">
        <v>164.61519999999999</v>
      </c>
      <c r="J9" s="7">
        <v>11.4316</v>
      </c>
      <c r="K9" s="8">
        <f t="shared" si="14"/>
        <v>1.1249106429758049</v>
      </c>
      <c r="L9" s="8">
        <f t="shared" si="14"/>
        <v>0.82898248866192525</v>
      </c>
      <c r="M9" s="7">
        <f t="shared" si="0"/>
        <v>0.31562366045153722</v>
      </c>
      <c r="N9" s="7">
        <f t="shared" si="1"/>
        <v>0.23259313009035992</v>
      </c>
      <c r="O9" s="7">
        <f t="shared" si="2"/>
        <v>0.80928698252426767</v>
      </c>
      <c r="P9" s="7">
        <f t="shared" si="3"/>
        <v>0.59638935857156539</v>
      </c>
      <c r="Q9" s="7">
        <f t="shared" si="4"/>
        <v>0</v>
      </c>
      <c r="R9" s="7">
        <f t="shared" si="5"/>
        <v>0</v>
      </c>
      <c r="S9" s="8">
        <f t="shared" si="15"/>
        <v>13.264804540977552</v>
      </c>
      <c r="T9" s="8">
        <f t="shared" si="15"/>
        <v>9.7752570381095509</v>
      </c>
      <c r="U9" s="7">
        <f t="shared" si="6"/>
        <v>0.83086686090243378</v>
      </c>
      <c r="V9" s="7">
        <f t="shared" si="7"/>
        <v>0.61229225841046264</v>
      </c>
      <c r="W9" s="7">
        <f t="shared" si="8"/>
        <v>12.433937680075118</v>
      </c>
      <c r="X9" s="7">
        <f t="shared" si="9"/>
        <v>9.1629647796990881</v>
      </c>
      <c r="Y9" s="7">
        <f t="shared" si="10"/>
        <v>0.86346705519020561</v>
      </c>
      <c r="Z9" s="7">
        <f t="shared" si="11"/>
        <v>0.63631638011318581</v>
      </c>
      <c r="AA9" s="23">
        <v>1796.5276955414199</v>
      </c>
      <c r="AB9" s="29">
        <v>1323.9184901480501</v>
      </c>
    </row>
    <row r="10" spans="1:28" x14ac:dyDescent="0.35">
      <c r="A10" s="5" t="s">
        <v>34</v>
      </c>
      <c r="B10" s="5" t="s">
        <v>26</v>
      </c>
      <c r="C10" s="6">
        <f t="shared" si="12"/>
        <v>83.000000005000004</v>
      </c>
      <c r="D10" s="7">
        <v>6.384615385</v>
      </c>
      <c r="E10" s="7">
        <v>76.61538462</v>
      </c>
      <c r="F10" s="7">
        <v>0</v>
      </c>
      <c r="G10" s="8">
        <f t="shared" si="13"/>
        <v>423</v>
      </c>
      <c r="H10" s="7">
        <v>423</v>
      </c>
      <c r="I10" s="7">
        <v>0</v>
      </c>
      <c r="J10" s="7">
        <v>0</v>
      </c>
      <c r="K10" s="8">
        <f t="shared" si="14"/>
        <v>2.628755024499684</v>
      </c>
      <c r="L10" s="8">
        <f t="shared" si="14"/>
        <v>2.8212212457603547</v>
      </c>
      <c r="M10" s="7">
        <f t="shared" si="0"/>
        <v>0.20221192496151416</v>
      </c>
      <c r="N10" s="7">
        <f t="shared" si="1"/>
        <v>0.2170170189046427</v>
      </c>
      <c r="O10" s="7">
        <f t="shared" si="2"/>
        <v>2.4265430995381698</v>
      </c>
      <c r="P10" s="7">
        <f t="shared" si="3"/>
        <v>2.6042042268557122</v>
      </c>
      <c r="Q10" s="7">
        <f t="shared" si="4"/>
        <v>0</v>
      </c>
      <c r="R10" s="7">
        <f t="shared" si="5"/>
        <v>0</v>
      </c>
      <c r="S10" s="8">
        <f t="shared" si="15"/>
        <v>13.397149099956392</v>
      </c>
      <c r="T10" s="8">
        <f t="shared" si="15"/>
        <v>14.378031167286023</v>
      </c>
      <c r="U10" s="7">
        <f t="shared" si="6"/>
        <v>13.397149099956392</v>
      </c>
      <c r="V10" s="7">
        <f t="shared" si="7"/>
        <v>14.378031167286023</v>
      </c>
      <c r="W10" s="7">
        <f t="shared" si="8"/>
        <v>0</v>
      </c>
      <c r="X10" s="7">
        <f t="shared" si="9"/>
        <v>0</v>
      </c>
      <c r="Y10" s="7">
        <f t="shared" si="10"/>
        <v>0</v>
      </c>
      <c r="Z10" s="7">
        <f t="shared" si="11"/>
        <v>0</v>
      </c>
      <c r="AA10" s="23">
        <v>2941.9883367789698</v>
      </c>
      <c r="AB10" s="29">
        <v>3157.38816403392</v>
      </c>
    </row>
    <row r="11" spans="1:28" x14ac:dyDescent="0.35">
      <c r="A11" s="5" t="s">
        <v>35</v>
      </c>
      <c r="B11" s="5" t="s">
        <v>26</v>
      </c>
      <c r="C11" s="6">
        <f t="shared" si="12"/>
        <v>1395</v>
      </c>
      <c r="D11" s="7">
        <v>9.4499999999999993</v>
      </c>
      <c r="E11" s="7">
        <v>1385.55</v>
      </c>
      <c r="F11" s="7">
        <v>0</v>
      </c>
      <c r="G11" s="8">
        <f t="shared" si="13"/>
        <v>859</v>
      </c>
      <c r="H11" s="7">
        <v>405</v>
      </c>
      <c r="I11" s="7">
        <v>454</v>
      </c>
      <c r="J11" s="7">
        <v>0</v>
      </c>
      <c r="K11" s="8">
        <f t="shared" si="14"/>
        <v>6.9998581774039028</v>
      </c>
      <c r="L11" s="8">
        <f t="shared" si="14"/>
        <v>6.9840045164241253</v>
      </c>
      <c r="M11" s="7">
        <f t="shared" si="0"/>
        <v>4.7418394104994176E-2</v>
      </c>
      <c r="N11" s="7">
        <f t="shared" si="1"/>
        <v>4.7310998337066652E-2</v>
      </c>
      <c r="O11" s="7">
        <f t="shared" si="2"/>
        <v>6.9524397832989084</v>
      </c>
      <c r="P11" s="7">
        <f t="shared" si="3"/>
        <v>6.9366935180870586</v>
      </c>
      <c r="Q11" s="7">
        <f t="shared" si="4"/>
        <v>0</v>
      </c>
      <c r="R11" s="7">
        <f t="shared" si="5"/>
        <v>0</v>
      </c>
      <c r="S11" s="8">
        <f t="shared" si="15"/>
        <v>4.3103069350465608</v>
      </c>
      <c r="T11" s="8">
        <f t="shared" si="15"/>
        <v>4.3005447165651063</v>
      </c>
      <c r="U11" s="7">
        <f t="shared" si="6"/>
        <v>2.0322168902140363</v>
      </c>
      <c r="V11" s="7">
        <f t="shared" si="7"/>
        <v>2.0276142144457139</v>
      </c>
      <c r="W11" s="7">
        <f t="shared" si="8"/>
        <v>2.2780900448325245</v>
      </c>
      <c r="X11" s="7">
        <f t="shared" si="9"/>
        <v>2.2729305021193928</v>
      </c>
      <c r="Y11" s="7">
        <f t="shared" si="10"/>
        <v>0</v>
      </c>
      <c r="Z11" s="7">
        <f t="shared" si="11"/>
        <v>0</v>
      </c>
      <c r="AA11" s="23">
        <v>19974.2138871676</v>
      </c>
      <c r="AB11" s="29">
        <v>19928.975197</v>
      </c>
    </row>
    <row r="12" spans="1:28" x14ac:dyDescent="0.35">
      <c r="A12" s="5" t="s">
        <v>36</v>
      </c>
      <c r="B12" s="5" t="s">
        <v>26</v>
      </c>
      <c r="C12" s="6">
        <f t="shared" si="12"/>
        <v>7.9</v>
      </c>
      <c r="D12" s="7">
        <v>7.9</v>
      </c>
      <c r="E12" s="7">
        <v>0</v>
      </c>
      <c r="F12" s="7">
        <v>0</v>
      </c>
      <c r="G12" s="8">
        <f t="shared" si="13"/>
        <v>3.3</v>
      </c>
      <c r="H12" s="7">
        <v>3.3</v>
      </c>
      <c r="I12" s="7">
        <v>0</v>
      </c>
      <c r="J12" s="7">
        <v>0</v>
      </c>
      <c r="K12" s="8">
        <f t="shared" si="14"/>
        <v>0.61759698290329401</v>
      </c>
      <c r="L12" s="8">
        <f t="shared" si="14"/>
        <v>0.33170036555446009</v>
      </c>
      <c r="M12" s="7">
        <f t="shared" si="0"/>
        <v>0.61759698290329401</v>
      </c>
      <c r="N12" s="7">
        <f t="shared" si="1"/>
        <v>0.33170036555446009</v>
      </c>
      <c r="O12" s="7">
        <f t="shared" si="2"/>
        <v>0</v>
      </c>
      <c r="P12" s="7">
        <f t="shared" si="3"/>
        <v>0</v>
      </c>
      <c r="Q12" s="7">
        <f t="shared" si="4"/>
        <v>0</v>
      </c>
      <c r="R12" s="7">
        <f t="shared" si="5"/>
        <v>0</v>
      </c>
      <c r="S12" s="8">
        <f t="shared" si="15"/>
        <v>0.25798354982036326</v>
      </c>
      <c r="T12" s="8">
        <f t="shared" si="15"/>
        <v>0.1385583805480656</v>
      </c>
      <c r="U12" s="7">
        <f t="shared" si="6"/>
        <v>0.25798354982036326</v>
      </c>
      <c r="V12" s="7">
        <f t="shared" si="7"/>
        <v>0.1385583805480656</v>
      </c>
      <c r="W12" s="7">
        <f t="shared" si="8"/>
        <v>0</v>
      </c>
      <c r="X12" s="7">
        <f t="shared" si="9"/>
        <v>0</v>
      </c>
      <c r="Y12" s="7">
        <f t="shared" si="10"/>
        <v>0</v>
      </c>
      <c r="Z12" s="7">
        <f t="shared" si="11"/>
        <v>0</v>
      </c>
      <c r="AA12" s="23">
        <v>2381.6675591522499</v>
      </c>
      <c r="AB12" s="29">
        <v>1279.1513266244399</v>
      </c>
    </row>
    <row r="13" spans="1:28" x14ac:dyDescent="0.35">
      <c r="A13" s="5" t="s">
        <v>37</v>
      </c>
      <c r="B13" s="5" t="s">
        <v>26</v>
      </c>
      <c r="C13" s="6">
        <f t="shared" si="12"/>
        <v>11</v>
      </c>
      <c r="D13" s="7">
        <v>11</v>
      </c>
      <c r="E13" s="7">
        <v>0</v>
      </c>
      <c r="F13" s="7">
        <v>0</v>
      </c>
      <c r="G13" s="8">
        <f t="shared" si="13"/>
        <v>3.8</v>
      </c>
      <c r="H13" s="7">
        <v>0</v>
      </c>
      <c r="I13" s="7">
        <v>3.8</v>
      </c>
      <c r="J13" s="7">
        <v>0</v>
      </c>
      <c r="K13" s="8">
        <f t="shared" si="14"/>
        <v>1.1032506713583083</v>
      </c>
      <c r="L13" s="8">
        <f t="shared" si="14"/>
        <v>0.47133765581692705</v>
      </c>
      <c r="M13" s="7">
        <f t="shared" si="0"/>
        <v>1.1032506713583083</v>
      </c>
      <c r="N13" s="7">
        <f t="shared" si="1"/>
        <v>0.47133765581692705</v>
      </c>
      <c r="O13" s="7">
        <f t="shared" si="2"/>
        <v>0</v>
      </c>
      <c r="P13" s="7">
        <f t="shared" si="3"/>
        <v>0</v>
      </c>
      <c r="Q13" s="7">
        <f t="shared" si="4"/>
        <v>0</v>
      </c>
      <c r="R13" s="7">
        <f t="shared" si="5"/>
        <v>0</v>
      </c>
      <c r="S13" s="8">
        <f t="shared" si="15"/>
        <v>0.38112295919650652</v>
      </c>
      <c r="T13" s="8">
        <f t="shared" si="15"/>
        <v>0.16282573564584751</v>
      </c>
      <c r="U13" s="7">
        <f t="shared" si="6"/>
        <v>0</v>
      </c>
      <c r="V13" s="7">
        <f t="shared" si="7"/>
        <v>0</v>
      </c>
      <c r="W13" s="7">
        <f t="shared" si="8"/>
        <v>0.38112295919650652</v>
      </c>
      <c r="X13" s="7">
        <f t="shared" si="9"/>
        <v>0.16282573564584751</v>
      </c>
      <c r="Y13" s="7">
        <f t="shared" si="10"/>
        <v>0</v>
      </c>
      <c r="Z13" s="7">
        <f t="shared" si="11"/>
        <v>0</v>
      </c>
      <c r="AA13" s="23">
        <v>2333.7834064911899</v>
      </c>
      <c r="AB13" s="29">
        <v>997.05355143423003</v>
      </c>
    </row>
    <row r="14" spans="1:28" x14ac:dyDescent="0.35">
      <c r="A14" s="10" t="s">
        <v>38</v>
      </c>
      <c r="B14" s="5" t="s">
        <v>26</v>
      </c>
      <c r="C14" s="6">
        <f t="shared" si="12"/>
        <v>31.764700000000001</v>
      </c>
      <c r="D14" s="7">
        <v>0</v>
      </c>
      <c r="E14" s="7">
        <v>31.764700000000001</v>
      </c>
      <c r="F14" s="7">
        <v>0</v>
      </c>
      <c r="G14" s="8">
        <f t="shared" si="13"/>
        <v>0</v>
      </c>
      <c r="H14" s="7">
        <v>0</v>
      </c>
      <c r="I14" s="7">
        <v>0</v>
      </c>
      <c r="J14" s="7">
        <v>0</v>
      </c>
      <c r="K14" s="8">
        <f t="shared" si="14"/>
        <v>7.6735681329126031</v>
      </c>
      <c r="L14" s="8">
        <f t="shared" si="14"/>
        <v>6.7786506242927107</v>
      </c>
      <c r="M14" s="7">
        <f t="shared" si="0"/>
        <v>0</v>
      </c>
      <c r="N14" s="7">
        <f t="shared" si="1"/>
        <v>0</v>
      </c>
      <c r="O14" s="7">
        <f t="shared" si="2"/>
        <v>7.6735681329126031</v>
      </c>
      <c r="P14" s="7">
        <f t="shared" si="3"/>
        <v>6.7786506242927107</v>
      </c>
      <c r="Q14" s="7">
        <f t="shared" si="4"/>
        <v>0</v>
      </c>
      <c r="R14" s="7">
        <f t="shared" si="5"/>
        <v>0</v>
      </c>
      <c r="S14" s="8">
        <f t="shared" si="15"/>
        <v>0</v>
      </c>
      <c r="T14" s="8">
        <f t="shared" si="15"/>
        <v>0</v>
      </c>
      <c r="U14" s="7">
        <f t="shared" si="6"/>
        <v>0</v>
      </c>
      <c r="V14" s="7">
        <f t="shared" si="7"/>
        <v>0</v>
      </c>
      <c r="W14" s="7">
        <f t="shared" si="8"/>
        <v>0</v>
      </c>
      <c r="X14" s="7">
        <f t="shared" si="9"/>
        <v>0</v>
      </c>
      <c r="Y14" s="7">
        <f t="shared" si="10"/>
        <v>0</v>
      </c>
      <c r="Z14" s="7">
        <f t="shared" si="11"/>
        <v>0</v>
      </c>
      <c r="AA14" s="23">
        <v>468.59916169988998</v>
      </c>
      <c r="AB14" s="29">
        <v>413.94954015926999</v>
      </c>
    </row>
    <row r="15" spans="1:28" x14ac:dyDescent="0.35">
      <c r="A15" s="5" t="s">
        <v>39</v>
      </c>
      <c r="B15" s="5" t="s">
        <v>26</v>
      </c>
      <c r="C15" s="6">
        <f t="shared" si="12"/>
        <v>0</v>
      </c>
      <c r="D15" s="7">
        <v>0</v>
      </c>
      <c r="E15" s="7">
        <v>0</v>
      </c>
      <c r="F15" s="7">
        <v>0</v>
      </c>
      <c r="G15" s="8">
        <f t="shared" si="13"/>
        <v>54</v>
      </c>
      <c r="H15" s="7">
        <v>0</v>
      </c>
      <c r="I15" s="7">
        <v>54</v>
      </c>
      <c r="J15" s="7">
        <v>0</v>
      </c>
      <c r="K15" s="8">
        <f t="shared" si="14"/>
        <v>0</v>
      </c>
      <c r="L15" s="8">
        <f t="shared" si="14"/>
        <v>0</v>
      </c>
      <c r="M15" s="7">
        <f t="shared" si="0"/>
        <v>0</v>
      </c>
      <c r="N15" s="7">
        <f t="shared" si="1"/>
        <v>0</v>
      </c>
      <c r="O15" s="7">
        <f t="shared" si="2"/>
        <v>0</v>
      </c>
      <c r="P15" s="7">
        <f t="shared" si="3"/>
        <v>0</v>
      </c>
      <c r="Q15" s="7">
        <f t="shared" si="4"/>
        <v>0</v>
      </c>
      <c r="R15" s="7">
        <f t="shared" si="5"/>
        <v>0</v>
      </c>
      <c r="S15" s="8">
        <f t="shared" si="15"/>
        <v>10.90562054178165</v>
      </c>
      <c r="T15" s="8">
        <f t="shared" si="15"/>
        <v>9.7240885633744618</v>
      </c>
      <c r="U15" s="7">
        <f t="shared" si="6"/>
        <v>0</v>
      </c>
      <c r="V15" s="7">
        <f t="shared" si="7"/>
        <v>0</v>
      </c>
      <c r="W15" s="7">
        <f t="shared" si="8"/>
        <v>10.90562054178165</v>
      </c>
      <c r="X15" s="7">
        <f t="shared" si="9"/>
        <v>9.7240885633744618</v>
      </c>
      <c r="Y15" s="7">
        <f t="shared" si="10"/>
        <v>0</v>
      </c>
      <c r="Z15" s="7">
        <f t="shared" si="11"/>
        <v>0</v>
      </c>
      <c r="AA15" s="23">
        <v>555.32196820367994</v>
      </c>
      <c r="AB15" s="29">
        <v>495.15751802582002</v>
      </c>
    </row>
    <row r="16" spans="1:28" x14ac:dyDescent="0.35">
      <c r="A16" s="10" t="s">
        <v>40</v>
      </c>
      <c r="B16" s="5" t="s">
        <v>26</v>
      </c>
      <c r="C16" s="6">
        <f t="shared" si="12"/>
        <v>9.0751215444483115</v>
      </c>
      <c r="D16" s="7">
        <v>2.2540984E-2</v>
      </c>
      <c r="E16" s="11">
        <v>9.0525805604483107</v>
      </c>
      <c r="F16" s="7">
        <v>0</v>
      </c>
      <c r="G16" s="8">
        <f t="shared" si="13"/>
        <v>21.104230256601589</v>
      </c>
      <c r="H16" s="7">
        <v>0.80696442599999996</v>
      </c>
      <c r="I16" s="11">
        <v>20.297265830601589</v>
      </c>
      <c r="J16" s="7">
        <v>0</v>
      </c>
      <c r="K16" s="8">
        <f t="shared" si="14"/>
        <v>4.2084524748499499</v>
      </c>
      <c r="L16" s="8">
        <f t="shared" si="14"/>
        <v>2.2275928706634165</v>
      </c>
      <c r="M16" s="7">
        <f t="shared" si="0"/>
        <v>1.0453045662885387E-2</v>
      </c>
      <c r="N16" s="7">
        <f t="shared" si="1"/>
        <v>5.5329435545527564E-3</v>
      </c>
      <c r="O16" s="7">
        <f t="shared" si="2"/>
        <v>4.1979994291870648</v>
      </c>
      <c r="P16" s="7">
        <f t="shared" si="3"/>
        <v>2.2220599271088637</v>
      </c>
      <c r="Q16" s="7">
        <f t="shared" si="4"/>
        <v>0</v>
      </c>
      <c r="R16" s="7">
        <f t="shared" si="5"/>
        <v>0</v>
      </c>
      <c r="S16" s="8">
        <f t="shared" si="15"/>
        <v>9.7867725096785385</v>
      </c>
      <c r="T16" s="8">
        <f t="shared" si="15"/>
        <v>5.1802758376502558</v>
      </c>
      <c r="U16" s="7">
        <f t="shared" si="6"/>
        <v>0.37421773571651062</v>
      </c>
      <c r="V16" s="7">
        <f t="shared" si="7"/>
        <v>0.19807869166625844</v>
      </c>
      <c r="W16" s="7">
        <f t="shared" si="8"/>
        <v>9.4125547739620288</v>
      </c>
      <c r="X16" s="7">
        <f t="shared" si="9"/>
        <v>4.9821971459839975</v>
      </c>
      <c r="Y16" s="7">
        <f t="shared" si="10"/>
        <v>0</v>
      </c>
      <c r="Z16" s="7">
        <f t="shared" si="11"/>
        <v>0</v>
      </c>
      <c r="AA16" s="23">
        <v>407.39587848230002</v>
      </c>
      <c r="AB16" s="29">
        <v>215.64034757863999</v>
      </c>
    </row>
    <row r="17" spans="1:29" x14ac:dyDescent="0.35">
      <c r="A17" s="10" t="s">
        <v>41</v>
      </c>
      <c r="B17" s="5" t="s">
        <v>26</v>
      </c>
      <c r="C17" s="6">
        <f t="shared" si="12"/>
        <v>9</v>
      </c>
      <c r="D17" s="7">
        <v>0</v>
      </c>
      <c r="E17" s="7">
        <v>9</v>
      </c>
      <c r="F17" s="7">
        <v>0</v>
      </c>
      <c r="G17" s="8">
        <f t="shared" si="13"/>
        <v>9.6999999999999993</v>
      </c>
      <c r="H17" s="7">
        <v>0</v>
      </c>
      <c r="I17" s="7">
        <v>9.6999999999999993</v>
      </c>
      <c r="J17" s="7">
        <v>0</v>
      </c>
      <c r="K17" s="8">
        <f t="shared" si="14"/>
        <v>2.7059324055091158</v>
      </c>
      <c r="L17" s="8">
        <f t="shared" si="14"/>
        <v>2.8932995220407594</v>
      </c>
      <c r="M17" s="7">
        <f t="shared" si="0"/>
        <v>0</v>
      </c>
      <c r="N17" s="7">
        <f t="shared" si="1"/>
        <v>0</v>
      </c>
      <c r="O17" s="7">
        <f t="shared" si="2"/>
        <v>2.7059324055091158</v>
      </c>
      <c r="P17" s="7">
        <f t="shared" si="3"/>
        <v>2.8932995220407594</v>
      </c>
      <c r="Q17" s="7">
        <f t="shared" si="4"/>
        <v>0</v>
      </c>
      <c r="R17" s="7">
        <f t="shared" si="5"/>
        <v>0</v>
      </c>
      <c r="S17" s="8">
        <f t="shared" si="15"/>
        <v>2.9163938148264918</v>
      </c>
      <c r="T17" s="8">
        <f t="shared" si="15"/>
        <v>3.1183339293105963</v>
      </c>
      <c r="U17" s="7">
        <f t="shared" si="6"/>
        <v>0</v>
      </c>
      <c r="V17" s="7">
        <f t="shared" si="7"/>
        <v>0</v>
      </c>
      <c r="W17" s="7">
        <f t="shared" si="8"/>
        <v>2.9163938148264918</v>
      </c>
      <c r="X17" s="7">
        <f t="shared" si="9"/>
        <v>3.1183339293105963</v>
      </c>
      <c r="Y17" s="7">
        <f t="shared" si="10"/>
        <v>0</v>
      </c>
      <c r="Z17" s="7">
        <f t="shared" si="11"/>
        <v>0</v>
      </c>
      <c r="AA17" s="23">
        <v>311.06354290107998</v>
      </c>
      <c r="AB17" s="29">
        <v>332.60254327404999</v>
      </c>
    </row>
    <row r="18" spans="1:29" x14ac:dyDescent="0.35">
      <c r="A18" s="10" t="s">
        <v>42</v>
      </c>
      <c r="B18" s="5" t="s">
        <v>26</v>
      </c>
      <c r="C18" s="6">
        <f t="shared" si="12"/>
        <v>0</v>
      </c>
      <c r="D18" s="7">
        <v>0</v>
      </c>
      <c r="E18" s="7">
        <v>0</v>
      </c>
      <c r="F18" s="7">
        <v>0</v>
      </c>
      <c r="G18" s="8">
        <f t="shared" si="13"/>
        <v>0.34351350790000001</v>
      </c>
      <c r="H18" s="7">
        <v>0.166216216</v>
      </c>
      <c r="I18" s="7">
        <v>0.17729729189999999</v>
      </c>
      <c r="J18" s="7">
        <v>0</v>
      </c>
      <c r="K18" s="8">
        <f t="shared" si="14"/>
        <v>0</v>
      </c>
      <c r="L18" s="8">
        <f t="shared" si="14"/>
        <v>0</v>
      </c>
      <c r="M18" s="7">
        <f t="shared" si="0"/>
        <v>0</v>
      </c>
      <c r="N18" s="7">
        <f t="shared" si="1"/>
        <v>0</v>
      </c>
      <c r="O18" s="7">
        <f t="shared" si="2"/>
        <v>0</v>
      </c>
      <c r="P18" s="7">
        <f t="shared" si="3"/>
        <v>0</v>
      </c>
      <c r="Q18" s="7">
        <f t="shared" si="4"/>
        <v>0</v>
      </c>
      <c r="R18" s="7">
        <f t="shared" si="5"/>
        <v>0</v>
      </c>
      <c r="S18" s="8">
        <f t="shared" si="15"/>
        <v>1.2772080118792744</v>
      </c>
      <c r="T18" s="8">
        <f t="shared" si="15"/>
        <v>0.74820679582493232</v>
      </c>
      <c r="U18" s="7">
        <f t="shared" si="6"/>
        <v>0.61800388601095835</v>
      </c>
      <c r="V18" s="7">
        <f t="shared" si="7"/>
        <v>0.36203555181215297</v>
      </c>
      <c r="W18" s="7">
        <f t="shared" si="8"/>
        <v>0.659204125868316</v>
      </c>
      <c r="X18" s="7">
        <f t="shared" si="9"/>
        <v>0.38617124401277941</v>
      </c>
      <c r="Y18" s="7">
        <f t="shared" si="10"/>
        <v>0</v>
      </c>
      <c r="Z18" s="7">
        <f t="shared" si="11"/>
        <v>0</v>
      </c>
      <c r="AA18" s="23">
        <v>45.911572818750003</v>
      </c>
      <c r="AB18" s="29">
        <v>26.895658710639999</v>
      </c>
    </row>
    <row r="19" spans="1:29" x14ac:dyDescent="0.35">
      <c r="A19" s="10" t="s">
        <v>43</v>
      </c>
      <c r="B19" s="5" t="s">
        <v>26</v>
      </c>
      <c r="C19" s="6">
        <f t="shared" si="12"/>
        <v>4.352352529</v>
      </c>
      <c r="D19" s="7">
        <v>2.8823529000000001E-2</v>
      </c>
      <c r="E19" s="7">
        <v>4.3235289999999997</v>
      </c>
      <c r="F19" s="7">
        <v>4.5</v>
      </c>
      <c r="G19" s="8">
        <f t="shared" si="13"/>
        <v>13.1</v>
      </c>
      <c r="H19" s="7">
        <v>1.1000000000000001</v>
      </c>
      <c r="I19" s="7">
        <v>12</v>
      </c>
      <c r="J19" s="7">
        <v>0</v>
      </c>
      <c r="K19" s="8">
        <f t="shared" si="14"/>
        <v>1.7085190625524533</v>
      </c>
      <c r="L19" s="8">
        <f t="shared" si="14"/>
        <v>1.7140488294221521</v>
      </c>
      <c r="M19" s="7">
        <f t="shared" si="0"/>
        <v>1.1314696688378813E-2</v>
      </c>
      <c r="N19" s="7">
        <f t="shared" si="1"/>
        <v>1.1351317663970748E-2</v>
      </c>
      <c r="O19" s="7">
        <f t="shared" si="2"/>
        <v>1.6972043658640745</v>
      </c>
      <c r="P19" s="7">
        <f t="shared" si="3"/>
        <v>1.7026975117581813</v>
      </c>
      <c r="Q19" s="7">
        <f t="shared" si="4"/>
        <v>1.7664781816863806</v>
      </c>
      <c r="R19" s="7">
        <f t="shared" si="5"/>
        <v>1.7721955381614918</v>
      </c>
      <c r="S19" s="8">
        <f t="shared" si="15"/>
        <v>5.1424142622425748</v>
      </c>
      <c r="T19" s="8">
        <f t="shared" si="15"/>
        <v>5.1590581222034544</v>
      </c>
      <c r="U19" s="7">
        <f t="shared" si="6"/>
        <v>0.43180577774555973</v>
      </c>
      <c r="V19" s="7">
        <f t="shared" si="7"/>
        <v>0.43320335377280911</v>
      </c>
      <c r="W19" s="7">
        <f t="shared" si="8"/>
        <v>4.7106084844970146</v>
      </c>
      <c r="X19" s="7">
        <f t="shared" si="9"/>
        <v>4.7258547684306453</v>
      </c>
      <c r="Y19" s="7">
        <f t="shared" si="10"/>
        <v>0</v>
      </c>
      <c r="Z19" s="7">
        <f t="shared" si="11"/>
        <v>0</v>
      </c>
      <c r="AA19" s="23">
        <v>253.92231856471</v>
      </c>
      <c r="AB19" s="29">
        <v>254.7441596875</v>
      </c>
    </row>
    <row r="20" spans="1:29" x14ac:dyDescent="0.35">
      <c r="A20" s="10" t="s">
        <v>44</v>
      </c>
      <c r="B20" s="5" t="s">
        <v>26</v>
      </c>
      <c r="C20" s="6">
        <f>D20+E20</f>
        <v>6.3664610000000001</v>
      </c>
      <c r="D20" s="7">
        <v>5.4100000000000003E-4</v>
      </c>
      <c r="E20" s="7">
        <v>6.36592</v>
      </c>
      <c r="F20" s="7">
        <v>0</v>
      </c>
      <c r="G20" s="8">
        <f>H20+I20</f>
        <v>2.2164000000000001</v>
      </c>
      <c r="H20" s="7">
        <v>1.1082000000000001</v>
      </c>
      <c r="I20" s="7">
        <v>1.1082000000000001</v>
      </c>
      <c r="J20" s="7">
        <v>0</v>
      </c>
      <c r="K20" s="8">
        <f t="shared" si="14"/>
        <v>3.1222987126848292</v>
      </c>
      <c r="L20" s="8">
        <f t="shared" si="14"/>
        <v>2.1112823412204826</v>
      </c>
      <c r="M20" s="7">
        <f t="shared" si="0"/>
        <v>2.6532222589009696E-4</v>
      </c>
      <c r="N20" s="7">
        <f t="shared" si="1"/>
        <v>1.7940952541769769E-4</v>
      </c>
      <c r="O20" s="7">
        <f t="shared" si="2"/>
        <v>3.122033390458939</v>
      </c>
      <c r="P20" s="7">
        <f t="shared" si="3"/>
        <v>2.1111029316950649</v>
      </c>
      <c r="Q20" s="7">
        <f t="shared" si="4"/>
        <v>0</v>
      </c>
      <c r="R20" s="7">
        <f t="shared" si="5"/>
        <v>0</v>
      </c>
      <c r="S20" s="8">
        <f t="shared" si="15"/>
        <v>1.0869873964192438</v>
      </c>
      <c r="T20" s="8">
        <f t="shared" si="15"/>
        <v>0.73501529045431646</v>
      </c>
      <c r="U20" s="7">
        <f t="shared" si="6"/>
        <v>0.5434936982096219</v>
      </c>
      <c r="V20" s="7">
        <f t="shared" si="7"/>
        <v>0.36750764522715823</v>
      </c>
      <c r="W20" s="7">
        <f t="shared" si="8"/>
        <v>0.5434936982096219</v>
      </c>
      <c r="X20" s="7">
        <f t="shared" si="9"/>
        <v>0.36750764522715823</v>
      </c>
      <c r="Y20" s="7">
        <f t="shared" si="10"/>
        <v>0</v>
      </c>
      <c r="Z20" s="7">
        <f t="shared" si="11"/>
        <v>0</v>
      </c>
      <c r="AA20" s="23">
        <v>301.54474727050001</v>
      </c>
      <c r="AB20" s="29">
        <v>203.90300819506001</v>
      </c>
    </row>
    <row r="21" spans="1:29" x14ac:dyDescent="0.35">
      <c r="A21" s="10" t="s">
        <v>45</v>
      </c>
      <c r="B21" s="5" t="s">
        <v>26</v>
      </c>
      <c r="C21" s="6">
        <f t="shared" si="12"/>
        <v>0.88253820443329634</v>
      </c>
      <c r="D21" s="12">
        <v>2.1328006607137996E-2</v>
      </c>
      <c r="E21" s="12">
        <v>0.86121019782615837</v>
      </c>
      <c r="F21" s="7">
        <v>0</v>
      </c>
      <c r="G21" s="8">
        <f t="shared" si="13"/>
        <v>0.91931062961801713</v>
      </c>
      <c r="H21" s="7">
        <v>0</v>
      </c>
      <c r="I21" s="13">
        <v>0.91931062961801713</v>
      </c>
      <c r="J21" s="7">
        <v>0</v>
      </c>
      <c r="K21" s="8">
        <f t="shared" si="14"/>
        <v>4.2572996227017779</v>
      </c>
      <c r="L21" s="8">
        <f t="shared" si="14"/>
        <v>4.6280958337256317</v>
      </c>
      <c r="M21" s="7">
        <f t="shared" si="0"/>
        <v>0.10288474088195963</v>
      </c>
      <c r="N21" s="7">
        <f t="shared" si="1"/>
        <v>0.11184564931503611</v>
      </c>
      <c r="O21" s="7">
        <f t="shared" si="2"/>
        <v>4.1544148818198181</v>
      </c>
      <c r="P21" s="7">
        <f t="shared" si="3"/>
        <v>4.5162501844105956</v>
      </c>
      <c r="Q21" s="7">
        <f t="shared" si="4"/>
        <v>0</v>
      </c>
      <c r="R21" s="7">
        <f t="shared" si="5"/>
        <v>0</v>
      </c>
      <c r="S21" s="8">
        <f t="shared" si="15"/>
        <v>4.434687106981019</v>
      </c>
      <c r="T21" s="8">
        <f t="shared" si="15"/>
        <v>4.8209331601308669</v>
      </c>
      <c r="U21" s="7">
        <f t="shared" si="6"/>
        <v>0</v>
      </c>
      <c r="V21" s="7">
        <f t="shared" si="7"/>
        <v>0</v>
      </c>
      <c r="W21" s="7">
        <f t="shared" si="8"/>
        <v>4.434687106981019</v>
      </c>
      <c r="X21" s="7">
        <f t="shared" si="9"/>
        <v>4.8209331601308669</v>
      </c>
      <c r="Y21" s="7">
        <f t="shared" si="10"/>
        <v>0</v>
      </c>
      <c r="Z21" s="7">
        <f t="shared" si="11"/>
        <v>0</v>
      </c>
      <c r="AA21" s="23">
        <v>19.06914282116</v>
      </c>
      <c r="AB21" s="29">
        <v>20.729999827290001</v>
      </c>
    </row>
    <row r="22" spans="1:29" x14ac:dyDescent="0.35">
      <c r="A22" s="10" t="s">
        <v>46</v>
      </c>
      <c r="B22" s="5" t="s">
        <v>26</v>
      </c>
      <c r="C22" s="6">
        <f t="shared" si="12"/>
        <v>23.434808652685703</v>
      </c>
      <c r="D22" s="12">
        <v>2.2863227953839709</v>
      </c>
      <c r="E22" s="12">
        <v>21.148485857301733</v>
      </c>
      <c r="F22" s="12">
        <v>2.8579034942299635</v>
      </c>
      <c r="G22" s="8">
        <f t="shared" si="13"/>
        <v>6.8589683861519131</v>
      </c>
      <c r="H22" s="13">
        <v>4.5726455907679417</v>
      </c>
      <c r="I22" s="13">
        <v>2.2863227953839709</v>
      </c>
      <c r="J22" s="7">
        <v>0</v>
      </c>
      <c r="K22" s="8">
        <f t="shared" si="14"/>
        <v>6.308725700048833</v>
      </c>
      <c r="L22" s="8">
        <f t="shared" si="14"/>
        <v>5.6078791341391749</v>
      </c>
      <c r="M22" s="7">
        <f t="shared" si="0"/>
        <v>0.61548543415110557</v>
      </c>
      <c r="N22" s="7">
        <f t="shared" si="1"/>
        <v>0.54711015942821217</v>
      </c>
      <c r="O22" s="7">
        <f t="shared" si="2"/>
        <v>5.6932402658977272</v>
      </c>
      <c r="P22" s="7">
        <f t="shared" si="3"/>
        <v>5.060768974710963</v>
      </c>
      <c r="Q22" s="7">
        <f t="shared" si="4"/>
        <v>0.76935679268888202</v>
      </c>
      <c r="R22" s="7">
        <f t="shared" si="5"/>
        <v>0.68388769928526516</v>
      </c>
      <c r="S22" s="8">
        <f t="shared" si="15"/>
        <v>1.8464563024533167</v>
      </c>
      <c r="T22" s="8">
        <f t="shared" si="15"/>
        <v>1.6413304782846365</v>
      </c>
      <c r="U22" s="7">
        <f t="shared" si="6"/>
        <v>1.2309708683022111</v>
      </c>
      <c r="V22" s="7">
        <f t="shared" si="7"/>
        <v>1.0942203188564243</v>
      </c>
      <c r="W22" s="7">
        <f t="shared" si="8"/>
        <v>0.61548543415110557</v>
      </c>
      <c r="X22" s="7">
        <f t="shared" si="9"/>
        <v>0.54711015942821217</v>
      </c>
      <c r="Y22" s="7">
        <f t="shared" si="10"/>
        <v>0</v>
      </c>
      <c r="Z22" s="7">
        <f t="shared" si="11"/>
        <v>0</v>
      </c>
      <c r="AA22" s="23">
        <v>417.89075855828003</v>
      </c>
      <c r="AB22" s="29">
        <v>371.46659669328</v>
      </c>
    </row>
    <row r="23" spans="1:29" x14ac:dyDescent="0.35">
      <c r="A23" s="10" t="s">
        <v>47</v>
      </c>
      <c r="B23" s="5" t="s">
        <v>26</v>
      </c>
      <c r="C23" s="6">
        <f t="shared" si="12"/>
        <v>25.918306382883841</v>
      </c>
      <c r="D23" s="12">
        <v>4.0163261841927023</v>
      </c>
      <c r="E23" s="12">
        <v>21.901980198691138</v>
      </c>
      <c r="F23" s="12">
        <v>2.0803991745458603</v>
      </c>
      <c r="G23" s="8">
        <f t="shared" si="13"/>
        <v>11.153251130204193</v>
      </c>
      <c r="H23" s="13">
        <v>0.9535162883335192</v>
      </c>
      <c r="I23" s="13">
        <v>10.199734841870674</v>
      </c>
      <c r="J23" s="7">
        <v>0</v>
      </c>
      <c r="K23" s="8">
        <f t="shared" si="14"/>
        <v>7.2304547534162724</v>
      </c>
      <c r="L23" s="8">
        <f t="shared" si="14"/>
        <v>7.5696715765084619</v>
      </c>
      <c r="M23" s="7">
        <f t="shared" si="0"/>
        <v>1.1204383620121092</v>
      </c>
      <c r="N23" s="7">
        <f t="shared" si="1"/>
        <v>1.1730037337064394</v>
      </c>
      <c r="O23" s="7">
        <f t="shared" si="2"/>
        <v>6.1100163914041632</v>
      </c>
      <c r="P23" s="7">
        <f t="shared" si="3"/>
        <v>6.3966678428020227</v>
      </c>
      <c r="Q23" s="7">
        <f t="shared" si="4"/>
        <v>0.5803709501069918</v>
      </c>
      <c r="R23" s="7">
        <f t="shared" si="5"/>
        <v>0.60759905630837163</v>
      </c>
      <c r="S23" s="8">
        <f t="shared" si="15"/>
        <v>3.1114331491847054</v>
      </c>
      <c r="T23" s="8">
        <f t="shared" si="15"/>
        <v>3.257406051875436</v>
      </c>
      <c r="U23" s="7">
        <f t="shared" si="6"/>
        <v>0.2660033521323712</v>
      </c>
      <c r="V23" s="7">
        <f t="shared" si="7"/>
        <v>0.27848290080800364</v>
      </c>
      <c r="W23" s="7">
        <f t="shared" si="8"/>
        <v>2.8454297970523341</v>
      </c>
      <c r="X23" s="7">
        <f t="shared" si="9"/>
        <v>2.9789231510674323</v>
      </c>
      <c r="Y23" s="7">
        <f t="shared" si="10"/>
        <v>0</v>
      </c>
      <c r="Z23" s="7">
        <f t="shared" si="11"/>
        <v>0</v>
      </c>
      <c r="AA23" s="23">
        <v>342.39670930134002</v>
      </c>
      <c r="AB23" s="29">
        <v>358.46025273358998</v>
      </c>
    </row>
    <row r="24" spans="1:29" x14ac:dyDescent="0.35">
      <c r="A24" s="10" t="s">
        <v>48</v>
      </c>
      <c r="B24" s="5" t="s">
        <v>26</v>
      </c>
      <c r="C24" s="6">
        <f t="shared" si="12"/>
        <v>2.6412118346100706</v>
      </c>
      <c r="D24" s="12">
        <v>0.2311060355223796</v>
      </c>
      <c r="E24" s="12">
        <v>2.4101057990876908</v>
      </c>
      <c r="F24" s="7">
        <v>0</v>
      </c>
      <c r="G24" s="8">
        <f t="shared" si="13"/>
        <v>1.0485610983298868</v>
      </c>
      <c r="H24" s="13">
        <v>0.2311060355223796</v>
      </c>
      <c r="I24" s="13">
        <v>0.81745506280750724</v>
      </c>
      <c r="J24" s="7">
        <v>0</v>
      </c>
      <c r="K24" s="8">
        <f t="shared" si="14"/>
        <v>8.7573111594010662</v>
      </c>
      <c r="L24" s="8">
        <f t="shared" si="14"/>
        <v>4.7655871856594887</v>
      </c>
      <c r="M24" s="7">
        <f t="shared" si="0"/>
        <v>0.76626472642769428</v>
      </c>
      <c r="N24" s="7">
        <f t="shared" si="1"/>
        <v>0.41698887873437651</v>
      </c>
      <c r="O24" s="7">
        <f t="shared" si="2"/>
        <v>7.9910464329733726</v>
      </c>
      <c r="P24" s="7">
        <f t="shared" si="3"/>
        <v>4.348598306925112</v>
      </c>
      <c r="Q24" s="7">
        <f t="shared" si="4"/>
        <v>0</v>
      </c>
      <c r="R24" s="7">
        <f t="shared" si="5"/>
        <v>0</v>
      </c>
      <c r="S24" s="8">
        <f t="shared" si="15"/>
        <v>3.4766525302480353</v>
      </c>
      <c r="T24" s="8">
        <f t="shared" si="15"/>
        <v>1.8919381126882124</v>
      </c>
      <c r="U24" s="7">
        <f t="shared" si="6"/>
        <v>0.76626472642769428</v>
      </c>
      <c r="V24" s="7">
        <f t="shared" si="7"/>
        <v>0.41698887873437651</v>
      </c>
      <c r="W24" s="7">
        <f t="shared" si="8"/>
        <v>2.7103878038203408</v>
      </c>
      <c r="X24" s="7">
        <f t="shared" si="9"/>
        <v>1.4749492339538359</v>
      </c>
      <c r="Y24" s="7">
        <f t="shared" si="10"/>
        <v>0</v>
      </c>
      <c r="Z24" s="7">
        <f t="shared" si="11"/>
        <v>0</v>
      </c>
      <c r="AA24" s="25">
        <v>55.422589739999999</v>
      </c>
      <c r="AB24" s="29">
        <v>30.160077523049999</v>
      </c>
      <c r="AC24" s="26"/>
    </row>
    <row r="25" spans="1:29" x14ac:dyDescent="0.35">
      <c r="A25" s="10" t="s">
        <v>49</v>
      </c>
      <c r="B25" s="5" t="s">
        <v>26</v>
      </c>
      <c r="C25" s="6">
        <f t="shared" si="12"/>
        <v>2.5949763727608071</v>
      </c>
      <c r="D25" s="12">
        <v>0.57158069884599272</v>
      </c>
      <c r="E25" s="12">
        <v>2.0233956739148145</v>
      </c>
      <c r="F25" s="12">
        <v>2.503523460945448</v>
      </c>
      <c r="G25" s="8">
        <f t="shared" si="13"/>
        <v>1.9662376040302147</v>
      </c>
      <c r="H25" s="13">
        <v>0.36581164726143534</v>
      </c>
      <c r="I25" s="13">
        <v>1.6004259567687795</v>
      </c>
      <c r="J25" s="7">
        <v>0</v>
      </c>
      <c r="K25" s="8">
        <f t="shared" si="14"/>
        <v>5.3818960772623692</v>
      </c>
      <c r="L25" s="8">
        <f t="shared" si="14"/>
        <v>2.6714857655953939</v>
      </c>
      <c r="M25" s="7">
        <f t="shared" si="0"/>
        <v>1.1854396645952354</v>
      </c>
      <c r="N25" s="7">
        <f t="shared" si="1"/>
        <v>0.5884329880166066</v>
      </c>
      <c r="O25" s="7">
        <f t="shared" si="2"/>
        <v>4.1964564126671338</v>
      </c>
      <c r="P25" s="7">
        <f t="shared" si="3"/>
        <v>2.0830527775787875</v>
      </c>
      <c r="Q25" s="7">
        <f t="shared" si="4"/>
        <v>5.19222573092713</v>
      </c>
      <c r="R25" s="7">
        <f t="shared" si="5"/>
        <v>2.5773364875127363</v>
      </c>
      <c r="S25" s="8">
        <f t="shared" si="15"/>
        <v>4.0779124462076091</v>
      </c>
      <c r="T25" s="8">
        <f t="shared" si="15"/>
        <v>2.0242094787771263</v>
      </c>
      <c r="U25" s="7">
        <f t="shared" si="6"/>
        <v>0.75868138534095053</v>
      </c>
      <c r="V25" s="7">
        <f t="shared" si="7"/>
        <v>0.3765971123306282</v>
      </c>
      <c r="W25" s="7">
        <f t="shared" si="8"/>
        <v>3.3192310608666586</v>
      </c>
      <c r="X25" s="7">
        <f t="shared" si="9"/>
        <v>1.6476123664464981</v>
      </c>
      <c r="Y25" s="7">
        <f t="shared" si="10"/>
        <v>0</v>
      </c>
      <c r="Z25" s="7">
        <f t="shared" si="11"/>
        <v>0</v>
      </c>
      <c r="AA25" s="23">
        <v>97.136073348400004</v>
      </c>
      <c r="AB25" s="29">
        <v>48.216768505140003</v>
      </c>
    </row>
    <row r="26" spans="1:29" x14ac:dyDescent="0.35">
      <c r="A26" s="10" t="s">
        <v>50</v>
      </c>
      <c r="B26" s="5" t="s">
        <v>26</v>
      </c>
      <c r="C26" s="6">
        <f t="shared" si="12"/>
        <v>3.5438003328451551</v>
      </c>
      <c r="D26" s="12">
        <v>0.2286322795383971</v>
      </c>
      <c r="E26" s="12">
        <v>3.315168053306758</v>
      </c>
      <c r="F26" s="12">
        <v>5.2145883075488326</v>
      </c>
      <c r="G26" s="8">
        <f t="shared" si="13"/>
        <v>2.8579034942299635</v>
      </c>
      <c r="H26" s="13">
        <v>0</v>
      </c>
      <c r="I26" s="13">
        <v>2.8579034942299635</v>
      </c>
      <c r="J26" s="13">
        <v>1.2574775374611842</v>
      </c>
      <c r="K26" s="8">
        <f t="shared" si="14"/>
        <v>5.3244195640159759</v>
      </c>
      <c r="L26" s="8">
        <f t="shared" si="14"/>
        <v>5.3415951260588308</v>
      </c>
      <c r="M26" s="7">
        <f t="shared" si="0"/>
        <v>0.34351093961393397</v>
      </c>
      <c r="N26" s="7">
        <f t="shared" si="1"/>
        <v>0.34461904039089231</v>
      </c>
      <c r="O26" s="7">
        <f t="shared" si="2"/>
        <v>4.9809086244020424</v>
      </c>
      <c r="P26" s="7">
        <f t="shared" si="3"/>
        <v>4.9969760856679386</v>
      </c>
      <c r="Q26" s="7">
        <f t="shared" si="4"/>
        <v>7.8347122849077095</v>
      </c>
      <c r="R26" s="7">
        <f t="shared" si="5"/>
        <v>7.8599855725063756</v>
      </c>
      <c r="S26" s="8">
        <f t="shared" si="15"/>
        <v>4.2938867451741736</v>
      </c>
      <c r="T26" s="8">
        <f t="shared" si="15"/>
        <v>4.3077380048861542</v>
      </c>
      <c r="U26" s="7">
        <f t="shared" si="6"/>
        <v>0</v>
      </c>
      <c r="V26" s="7">
        <f t="shared" si="7"/>
        <v>0</v>
      </c>
      <c r="W26" s="7">
        <f t="shared" si="8"/>
        <v>4.2938867451741736</v>
      </c>
      <c r="X26" s="7">
        <f t="shared" si="9"/>
        <v>4.3077380048861542</v>
      </c>
      <c r="Y26" s="7">
        <f t="shared" si="10"/>
        <v>1.8893101678766371</v>
      </c>
      <c r="Z26" s="7">
        <f t="shared" si="11"/>
        <v>1.8954047221499077</v>
      </c>
      <c r="AA26" s="23">
        <v>66.343484468840003</v>
      </c>
      <c r="AB26" s="29">
        <v>66.557495896739994</v>
      </c>
    </row>
    <row r="27" spans="1:29" x14ac:dyDescent="0.35">
      <c r="A27" s="10" t="s">
        <v>51</v>
      </c>
      <c r="B27" s="5" t="s">
        <v>26</v>
      </c>
      <c r="C27" s="6">
        <f t="shared" si="12"/>
        <v>22</v>
      </c>
      <c r="D27" s="7">
        <v>0</v>
      </c>
      <c r="E27" s="7">
        <v>22</v>
      </c>
      <c r="F27" s="7">
        <v>45</v>
      </c>
      <c r="G27" s="8">
        <f t="shared" si="13"/>
        <v>0</v>
      </c>
      <c r="H27" s="7">
        <v>0</v>
      </c>
      <c r="I27" s="7">
        <v>0</v>
      </c>
      <c r="J27" s="7">
        <v>0</v>
      </c>
      <c r="K27" s="8">
        <f t="shared" si="14"/>
        <v>2.6182670370692831</v>
      </c>
      <c r="L27" s="8">
        <f t="shared" si="14"/>
        <v>2.3594000418604768</v>
      </c>
      <c r="M27" s="7">
        <f t="shared" si="0"/>
        <v>0</v>
      </c>
      <c r="N27" s="7">
        <f t="shared" si="1"/>
        <v>0</v>
      </c>
      <c r="O27" s="7">
        <f t="shared" si="2"/>
        <v>2.6182670370692831</v>
      </c>
      <c r="P27" s="7">
        <f t="shared" si="3"/>
        <v>2.3594000418604768</v>
      </c>
      <c r="Q27" s="7">
        <f t="shared" si="4"/>
        <v>5.3555462121871695</v>
      </c>
      <c r="R27" s="7">
        <f t="shared" si="5"/>
        <v>4.826045540169158</v>
      </c>
      <c r="S27" s="8">
        <f t="shared" si="15"/>
        <v>0</v>
      </c>
      <c r="T27" s="8">
        <f t="shared" si="15"/>
        <v>0</v>
      </c>
      <c r="U27" s="7">
        <f t="shared" si="6"/>
        <v>0</v>
      </c>
      <c r="V27" s="7">
        <f t="shared" si="7"/>
        <v>0</v>
      </c>
      <c r="W27" s="7">
        <f t="shared" si="8"/>
        <v>0</v>
      </c>
      <c r="X27" s="7">
        <f t="shared" si="9"/>
        <v>0</v>
      </c>
      <c r="Y27" s="7">
        <f t="shared" si="10"/>
        <v>0</v>
      </c>
      <c r="Z27" s="7">
        <f t="shared" si="11"/>
        <v>0</v>
      </c>
      <c r="AA27" s="23">
        <v>932.44043441874999</v>
      </c>
      <c r="AB27" s="29">
        <v>840.25042856688003</v>
      </c>
    </row>
    <row r="28" spans="1:29" x14ac:dyDescent="0.35">
      <c r="A28" s="10" t="s">
        <v>52</v>
      </c>
      <c r="B28" s="5" t="s">
        <v>26</v>
      </c>
      <c r="C28" s="6">
        <f t="shared" si="12"/>
        <v>11.088515533797038</v>
      </c>
      <c r="D28" s="11">
        <v>0.31570903379703813</v>
      </c>
      <c r="E28" s="7">
        <v>10.7728065</v>
      </c>
      <c r="F28" s="7">
        <v>0</v>
      </c>
      <c r="G28" s="8">
        <f t="shared" si="13"/>
        <v>6.6522016324629796</v>
      </c>
      <c r="H28" s="14">
        <v>2.7058387100000001</v>
      </c>
      <c r="I28" s="7">
        <v>3.9463629224629799</v>
      </c>
      <c r="J28" s="7"/>
      <c r="K28" s="8">
        <f t="shared" si="14"/>
        <v>5.4639624481968951</v>
      </c>
      <c r="L28" s="8">
        <f t="shared" si="14"/>
        <v>5.7165015304406683</v>
      </c>
      <c r="M28" s="7">
        <f t="shared" si="0"/>
        <v>0.15556837161527984</v>
      </c>
      <c r="N28" s="7">
        <f t="shared" si="1"/>
        <v>0.16275859192999773</v>
      </c>
      <c r="O28" s="7">
        <f t="shared" si="2"/>
        <v>5.3083940765816156</v>
      </c>
      <c r="P28" s="7">
        <f t="shared" si="3"/>
        <v>5.5537429385106707</v>
      </c>
      <c r="Q28" s="7">
        <f t="shared" si="4"/>
        <v>0</v>
      </c>
      <c r="R28" s="7">
        <f t="shared" si="5"/>
        <v>0</v>
      </c>
      <c r="S28" s="8">
        <f t="shared" si="15"/>
        <v>3.2779301978544808</v>
      </c>
      <c r="T28" s="8">
        <f t="shared" si="15"/>
        <v>3.4294329747629302</v>
      </c>
      <c r="U28" s="7">
        <f t="shared" si="6"/>
        <v>1.3333255526634809</v>
      </c>
      <c r="V28" s="7">
        <f t="shared" si="7"/>
        <v>1.3949505756379568</v>
      </c>
      <c r="W28" s="7">
        <f t="shared" si="8"/>
        <v>1.9446046451909997</v>
      </c>
      <c r="X28" s="7">
        <f t="shared" si="9"/>
        <v>2.0344823991249732</v>
      </c>
      <c r="Y28" s="7">
        <f t="shared" si="10"/>
        <v>0</v>
      </c>
      <c r="Z28" s="7">
        <f t="shared" si="11"/>
        <v>0</v>
      </c>
      <c r="AA28" s="23">
        <v>193.97380504054999</v>
      </c>
      <c r="AB28" s="29">
        <v>202.93908750153</v>
      </c>
    </row>
    <row r="29" spans="1:29" x14ac:dyDescent="0.35">
      <c r="A29" s="10" t="s">
        <v>53</v>
      </c>
      <c r="B29" s="5" t="s">
        <v>26</v>
      </c>
      <c r="C29" s="6">
        <f t="shared" si="12"/>
        <v>8.1</v>
      </c>
      <c r="D29" s="7">
        <v>0</v>
      </c>
      <c r="E29" s="7">
        <v>8.1</v>
      </c>
      <c r="F29" s="7">
        <v>0</v>
      </c>
      <c r="G29" s="8">
        <f t="shared" si="13"/>
        <v>10.6</v>
      </c>
      <c r="H29" s="7">
        <v>5.3</v>
      </c>
      <c r="I29" s="7">
        <v>5.3</v>
      </c>
      <c r="J29" s="7">
        <v>0</v>
      </c>
      <c r="K29" s="8">
        <f t="shared" si="14"/>
        <v>1.9744090578931335</v>
      </c>
      <c r="L29" s="8">
        <f t="shared" si="14"/>
        <v>2.4511712488266704</v>
      </c>
      <c r="M29" s="7">
        <f t="shared" si="0"/>
        <v>0</v>
      </c>
      <c r="N29" s="7">
        <f t="shared" si="1"/>
        <v>0</v>
      </c>
      <c r="O29" s="7">
        <f t="shared" si="2"/>
        <v>1.9744090578931335</v>
      </c>
      <c r="P29" s="7">
        <f t="shared" si="3"/>
        <v>2.4511712488266704</v>
      </c>
      <c r="Q29" s="7">
        <f t="shared" si="4"/>
        <v>0</v>
      </c>
      <c r="R29" s="7">
        <f t="shared" si="5"/>
        <v>0</v>
      </c>
      <c r="S29" s="8">
        <f t="shared" si="15"/>
        <v>2.5837945695885449</v>
      </c>
      <c r="T29" s="8">
        <f t="shared" si="15"/>
        <v>3.2077055848842844</v>
      </c>
      <c r="U29" s="7">
        <f t="shared" si="6"/>
        <v>1.2918972847942725</v>
      </c>
      <c r="V29" s="7">
        <f t="shared" si="7"/>
        <v>1.6038527924421422</v>
      </c>
      <c r="W29" s="7">
        <f t="shared" si="8"/>
        <v>1.2918972847942725</v>
      </c>
      <c r="X29" s="7">
        <f t="shared" si="9"/>
        <v>1.6038527924421422</v>
      </c>
      <c r="Y29" s="7">
        <f t="shared" si="10"/>
        <v>0</v>
      </c>
      <c r="Z29" s="7">
        <f t="shared" si="11"/>
        <v>0</v>
      </c>
      <c r="AA29" s="23">
        <v>330.45426768437</v>
      </c>
      <c r="AB29" s="29">
        <v>410.24933347112</v>
      </c>
      <c r="AC29" s="27"/>
    </row>
    <row r="30" spans="1:29" x14ac:dyDescent="0.35">
      <c r="A30" s="10" t="s">
        <v>54</v>
      </c>
      <c r="B30" s="5" t="s">
        <v>26</v>
      </c>
      <c r="C30" s="6">
        <f t="shared" si="12"/>
        <v>7.2019168054595077</v>
      </c>
      <c r="D30" s="12">
        <v>1.8290582363071768</v>
      </c>
      <c r="E30" s="12">
        <v>5.3728585691523305</v>
      </c>
      <c r="F30" s="12">
        <v>9.0309750417666859</v>
      </c>
      <c r="G30" s="8">
        <f t="shared" si="13"/>
        <v>14.861098169995811</v>
      </c>
      <c r="H30" s="12">
        <v>0</v>
      </c>
      <c r="I30" s="12">
        <v>14.861098169995811</v>
      </c>
      <c r="J30" s="12">
        <v>0</v>
      </c>
      <c r="K30" s="8">
        <f t="shared" si="14"/>
        <v>3.2388197867879107</v>
      </c>
      <c r="L30" s="8">
        <f t="shared" si="14"/>
        <v>2.1106625637775824</v>
      </c>
      <c r="M30" s="7">
        <f t="shared" si="0"/>
        <v>0.82255740616835848</v>
      </c>
      <c r="N30" s="7">
        <f t="shared" si="1"/>
        <v>0.53604128603875123</v>
      </c>
      <c r="O30" s="7">
        <f t="shared" si="2"/>
        <v>2.4162623806195525</v>
      </c>
      <c r="P30" s="7">
        <f t="shared" si="3"/>
        <v>1.5746212777388313</v>
      </c>
      <c r="Q30" s="7">
        <f t="shared" si="4"/>
        <v>4.0613771929562708</v>
      </c>
      <c r="R30" s="7">
        <f t="shared" si="5"/>
        <v>2.6467038498163342</v>
      </c>
      <c r="S30" s="8">
        <f t="shared" si="15"/>
        <v>6.6832789251179126</v>
      </c>
      <c r="T30" s="8">
        <f t="shared" si="15"/>
        <v>4.3553354490648539</v>
      </c>
      <c r="U30" s="7">
        <f t="shared" si="6"/>
        <v>0</v>
      </c>
      <c r="V30" s="7">
        <f t="shared" si="7"/>
        <v>0</v>
      </c>
      <c r="W30" s="7">
        <f t="shared" si="8"/>
        <v>6.6832789251179126</v>
      </c>
      <c r="X30" s="7">
        <f t="shared" si="9"/>
        <v>4.3553354490648539</v>
      </c>
      <c r="Y30" s="7">
        <f t="shared" si="10"/>
        <v>0</v>
      </c>
      <c r="Z30" s="7">
        <f t="shared" si="11"/>
        <v>0</v>
      </c>
      <c r="AA30" s="23">
        <v>341.21592570296002</v>
      </c>
      <c r="AB30" s="29">
        <v>222.36238134761999</v>
      </c>
    </row>
    <row r="31" spans="1:29" x14ac:dyDescent="0.35">
      <c r="A31" s="10" t="s">
        <v>55</v>
      </c>
      <c r="B31" s="5" t="s">
        <v>26</v>
      </c>
      <c r="C31" s="6">
        <f t="shared" si="12"/>
        <v>2.5149550749223684</v>
      </c>
      <c r="D31" s="12">
        <v>0.18290582363071767</v>
      </c>
      <c r="E31" s="12">
        <v>2.3320492512916506</v>
      </c>
      <c r="F31" s="12">
        <v>1.4060885191611421</v>
      </c>
      <c r="G31" s="8">
        <f t="shared" si="13"/>
        <v>4.5840772047448617</v>
      </c>
      <c r="H31" s="12">
        <v>0</v>
      </c>
      <c r="I31" s="12">
        <v>4.5840772047448617</v>
      </c>
      <c r="J31" s="12">
        <v>0</v>
      </c>
      <c r="K31" s="8">
        <f t="shared" si="14"/>
        <v>2.52787094908023</v>
      </c>
      <c r="L31" s="8">
        <f t="shared" si="14"/>
        <v>1.3840355185893003</v>
      </c>
      <c r="M31" s="7">
        <f t="shared" si="0"/>
        <v>0.18384515993310763</v>
      </c>
      <c r="N31" s="7">
        <f t="shared" si="1"/>
        <v>0.10065712862467636</v>
      </c>
      <c r="O31" s="7">
        <f t="shared" si="2"/>
        <v>2.3440257891471226</v>
      </c>
      <c r="P31" s="7">
        <f t="shared" si="3"/>
        <v>1.2833783899646238</v>
      </c>
      <c r="Q31" s="7">
        <f t="shared" si="4"/>
        <v>1.4133096669857648</v>
      </c>
      <c r="R31" s="7">
        <f t="shared" si="5"/>
        <v>0.77380167630219954</v>
      </c>
      <c r="S31" s="8">
        <f t="shared" si="15"/>
        <v>4.6076193208235097</v>
      </c>
      <c r="T31" s="8">
        <f t="shared" si="15"/>
        <v>2.5227192861559513</v>
      </c>
      <c r="U31" s="7">
        <f t="shared" si="6"/>
        <v>0</v>
      </c>
      <c r="V31" s="7">
        <f t="shared" si="7"/>
        <v>0</v>
      </c>
      <c r="W31" s="7">
        <f t="shared" si="8"/>
        <v>4.6076193208235097</v>
      </c>
      <c r="X31" s="7">
        <f t="shared" si="9"/>
        <v>2.5227192861559513</v>
      </c>
      <c r="Y31" s="7">
        <f t="shared" si="10"/>
        <v>0</v>
      </c>
      <c r="Z31" s="7">
        <f t="shared" si="11"/>
        <v>0</v>
      </c>
      <c r="AA31" s="23">
        <v>181.71174374815001</v>
      </c>
      <c r="AB31" s="29">
        <v>99.489061173690004</v>
      </c>
    </row>
    <row r="32" spans="1:29" x14ac:dyDescent="0.35">
      <c r="A32" s="10" t="s">
        <v>56</v>
      </c>
      <c r="B32" s="5" t="s">
        <v>26</v>
      </c>
      <c r="C32" s="6">
        <f t="shared" si="12"/>
        <v>4.1153810316911672</v>
      </c>
      <c r="D32" s="12">
        <v>0.11431613976919908</v>
      </c>
      <c r="E32" s="12">
        <v>4.0010648919219678</v>
      </c>
      <c r="F32" s="12">
        <v>0</v>
      </c>
      <c r="G32" s="8">
        <f t="shared" si="13"/>
        <v>3.3151680533067727</v>
      </c>
      <c r="H32" s="12">
        <v>0.68589683861519435</v>
      </c>
      <c r="I32" s="12">
        <v>2.6292712146915784</v>
      </c>
      <c r="J32" s="12">
        <v>0.11431613976919908</v>
      </c>
      <c r="K32" s="8">
        <f t="shared" si="14"/>
        <v>8.1625269737342627</v>
      </c>
      <c r="L32" s="8">
        <f t="shared" si="14"/>
        <v>5.4123140293972885</v>
      </c>
      <c r="M32" s="7">
        <f t="shared" si="0"/>
        <v>0.22673686038150731</v>
      </c>
      <c r="N32" s="7">
        <f t="shared" si="1"/>
        <v>0.1503420563721469</v>
      </c>
      <c r="O32" s="7">
        <f t="shared" si="2"/>
        <v>7.9357901133527555</v>
      </c>
      <c r="P32" s="7">
        <f t="shared" si="3"/>
        <v>5.2619719730251413</v>
      </c>
      <c r="Q32" s="7">
        <f t="shared" si="4"/>
        <v>0</v>
      </c>
      <c r="R32" s="7">
        <f t="shared" si="5"/>
        <v>0</v>
      </c>
      <c r="S32" s="8">
        <f t="shared" si="15"/>
        <v>6.5753689510637106</v>
      </c>
      <c r="T32" s="8">
        <f t="shared" si="15"/>
        <v>4.3599196347922593</v>
      </c>
      <c r="U32" s="7">
        <f t="shared" si="6"/>
        <v>1.3604211622890434</v>
      </c>
      <c r="V32" s="7">
        <f t="shared" si="7"/>
        <v>0.90205233823288122</v>
      </c>
      <c r="W32" s="7">
        <f t="shared" si="8"/>
        <v>5.2149477887746674</v>
      </c>
      <c r="X32" s="7">
        <f t="shared" si="9"/>
        <v>3.4578672965593782</v>
      </c>
      <c r="Y32" s="7">
        <f t="shared" si="10"/>
        <v>0.22673686038150731</v>
      </c>
      <c r="Z32" s="7">
        <f t="shared" si="11"/>
        <v>0.1503420563721469</v>
      </c>
      <c r="AA32" s="23">
        <v>76.037366075549997</v>
      </c>
      <c r="AB32" s="29">
        <v>50.417977728389999</v>
      </c>
      <c r="AC32" s="28"/>
    </row>
    <row r="33" spans="1:29" x14ac:dyDescent="0.35">
      <c r="A33" s="10" t="s">
        <v>57</v>
      </c>
      <c r="B33" s="5" t="s">
        <v>26</v>
      </c>
      <c r="C33" s="6">
        <f t="shared" si="12"/>
        <v>11</v>
      </c>
      <c r="D33" s="7">
        <v>0</v>
      </c>
      <c r="E33" s="7">
        <v>11</v>
      </c>
      <c r="F33" s="7">
        <v>0</v>
      </c>
      <c r="G33" s="8">
        <f t="shared" si="13"/>
        <v>25</v>
      </c>
      <c r="H33" s="7">
        <v>0</v>
      </c>
      <c r="I33" s="7">
        <v>25</v>
      </c>
      <c r="J33" s="7">
        <v>0</v>
      </c>
      <c r="K33" s="8">
        <f t="shared" si="14"/>
        <v>2.0006500950731745</v>
      </c>
      <c r="L33" s="8">
        <f t="shared" si="14"/>
        <v>2.111306177863205</v>
      </c>
      <c r="M33" s="7">
        <f t="shared" si="0"/>
        <v>0</v>
      </c>
      <c r="N33" s="7">
        <f t="shared" si="1"/>
        <v>0</v>
      </c>
      <c r="O33" s="7">
        <f t="shared" si="2"/>
        <v>2.0006500950731745</v>
      </c>
      <c r="P33" s="7">
        <f t="shared" si="3"/>
        <v>2.111306177863205</v>
      </c>
      <c r="Q33" s="7">
        <f t="shared" si="4"/>
        <v>0</v>
      </c>
      <c r="R33" s="7">
        <f t="shared" si="5"/>
        <v>0</v>
      </c>
      <c r="S33" s="8">
        <f t="shared" si="15"/>
        <v>4.5469320342572148</v>
      </c>
      <c r="T33" s="8">
        <f t="shared" si="15"/>
        <v>4.7984231315072847</v>
      </c>
      <c r="U33" s="7">
        <f t="shared" si="6"/>
        <v>0</v>
      </c>
      <c r="V33" s="7">
        <f t="shared" si="7"/>
        <v>0</v>
      </c>
      <c r="W33" s="7">
        <f t="shared" si="8"/>
        <v>4.5469320342572148</v>
      </c>
      <c r="X33" s="7">
        <f t="shared" si="9"/>
        <v>4.7984231315072847</v>
      </c>
      <c r="Y33" s="7">
        <f t="shared" si="10"/>
        <v>0</v>
      </c>
      <c r="Z33" s="7">
        <f t="shared" si="11"/>
        <v>0</v>
      </c>
      <c r="AA33" s="23">
        <v>521.00449074291998</v>
      </c>
      <c r="AB33" s="29">
        <v>549.82128194673999</v>
      </c>
    </row>
    <row r="34" spans="1:29" x14ac:dyDescent="0.35">
      <c r="A34" s="10" t="s">
        <v>58</v>
      </c>
      <c r="B34" s="5" t="s">
        <v>26</v>
      </c>
      <c r="C34" s="6">
        <f t="shared" si="12"/>
        <v>1.6825977000000001</v>
      </c>
      <c r="D34" s="7">
        <v>0</v>
      </c>
      <c r="E34" s="7">
        <v>1.6825977000000001</v>
      </c>
      <c r="F34" s="7">
        <v>0</v>
      </c>
      <c r="G34" s="8">
        <f t="shared" si="13"/>
        <v>0.21161296000000002</v>
      </c>
      <c r="H34" s="14">
        <f>0.0516129+0.05677419</f>
        <v>0.10838709000000001</v>
      </c>
      <c r="I34" s="14">
        <f>0.10322587</f>
        <v>0.10322587</v>
      </c>
      <c r="J34" s="7">
        <v>0</v>
      </c>
      <c r="K34" s="8">
        <f t="shared" si="14"/>
        <v>0.22521425078179022</v>
      </c>
      <c r="L34" s="8">
        <f t="shared" si="14"/>
        <v>0.28479302795803385</v>
      </c>
      <c r="M34" s="7">
        <f t="shared" si="0"/>
        <v>0</v>
      </c>
      <c r="N34" s="7">
        <f t="shared" si="1"/>
        <v>0</v>
      </c>
      <c r="O34" s="7">
        <f t="shared" si="2"/>
        <v>0.22521425078179022</v>
      </c>
      <c r="P34" s="7">
        <f t="shared" si="3"/>
        <v>0.28479302795803385</v>
      </c>
      <c r="Q34" s="7">
        <f t="shared" si="4"/>
        <v>0</v>
      </c>
      <c r="R34" s="7">
        <f t="shared" si="5"/>
        <v>0</v>
      </c>
      <c r="S34" s="8">
        <f t="shared" si="15"/>
        <v>2.8324212164391373E-2</v>
      </c>
      <c r="T34" s="8">
        <f t="shared" si="15"/>
        <v>3.5817174618485631E-2</v>
      </c>
      <c r="U34" s="7">
        <f t="shared" si="6"/>
        <v>1.4507518504731386E-2</v>
      </c>
      <c r="V34" s="7">
        <f t="shared" si="7"/>
        <v>1.8345376053146827E-2</v>
      </c>
      <c r="W34" s="7">
        <f t="shared" si="8"/>
        <v>1.3816693659659988E-2</v>
      </c>
      <c r="X34" s="7">
        <f t="shared" si="9"/>
        <v>1.74717985653388E-2</v>
      </c>
      <c r="Y34" s="7">
        <f t="shared" si="10"/>
        <v>0</v>
      </c>
      <c r="Z34" s="7">
        <f t="shared" si="11"/>
        <v>0</v>
      </c>
      <c r="AA34" s="23">
        <v>590.81421763174001</v>
      </c>
      <c r="AB34" s="29">
        <v>747.10978286638999</v>
      </c>
      <c r="AC34" s="27"/>
    </row>
    <row r="35" spans="1:29" x14ac:dyDescent="0.35">
      <c r="A35" s="5" t="s">
        <v>59</v>
      </c>
      <c r="B35" s="5" t="s">
        <v>26</v>
      </c>
      <c r="C35" s="6">
        <f t="shared" si="12"/>
        <v>4.5999999999999996</v>
      </c>
      <c r="D35" s="7">
        <v>1</v>
      </c>
      <c r="E35" s="7">
        <v>3.6</v>
      </c>
      <c r="F35" s="7">
        <v>4.7152702260000003</v>
      </c>
      <c r="G35" s="8">
        <f t="shared" si="13"/>
        <v>2.4</v>
      </c>
      <c r="H35" s="7">
        <v>2.4</v>
      </c>
      <c r="I35" s="7">
        <v>0</v>
      </c>
      <c r="J35" s="7">
        <v>0</v>
      </c>
      <c r="K35" s="8">
        <f t="shared" si="14"/>
        <v>1.7559969186421984</v>
      </c>
      <c r="L35" s="8">
        <f t="shared" si="14"/>
        <v>1.0424015476762831</v>
      </c>
      <c r="M35" s="7">
        <f t="shared" si="0"/>
        <v>0.38173846057439093</v>
      </c>
      <c r="N35" s="7">
        <f t="shared" si="1"/>
        <v>0.2266090321035398</v>
      </c>
      <c r="O35" s="7">
        <f t="shared" si="2"/>
        <v>1.3742584580678074</v>
      </c>
      <c r="P35" s="7">
        <f t="shared" si="3"/>
        <v>0.81579251557274324</v>
      </c>
      <c r="Q35" s="7">
        <f t="shared" si="4"/>
        <v>1.7999999972655005</v>
      </c>
      <c r="R35" s="7">
        <f t="shared" si="5"/>
        <v>1.0685228220204994</v>
      </c>
      <c r="S35" s="8">
        <f t="shared" si="15"/>
        <v>0.91617230537853822</v>
      </c>
      <c r="T35" s="8">
        <f t="shared" si="15"/>
        <v>0.54386167704849553</v>
      </c>
      <c r="U35" s="7">
        <f t="shared" si="6"/>
        <v>0.91617230537853822</v>
      </c>
      <c r="V35" s="7">
        <f t="shared" si="7"/>
        <v>0.54386167704849553</v>
      </c>
      <c r="W35" s="7">
        <f t="shared" si="8"/>
        <v>0</v>
      </c>
      <c r="X35" s="7">
        <f t="shared" si="9"/>
        <v>0</v>
      </c>
      <c r="Y35" s="7">
        <f t="shared" si="10"/>
        <v>0</v>
      </c>
      <c r="Z35" s="7">
        <f t="shared" si="11"/>
        <v>0</v>
      </c>
      <c r="AA35" s="23">
        <v>441.28867711817003</v>
      </c>
      <c r="AB35" s="29">
        <v>261.95945739796002</v>
      </c>
    </row>
    <row r="36" spans="1:29" x14ac:dyDescent="0.35">
      <c r="A36" s="5" t="s">
        <v>60</v>
      </c>
      <c r="B36" s="5" t="s">
        <v>26</v>
      </c>
      <c r="C36" s="6">
        <f t="shared" si="12"/>
        <v>0</v>
      </c>
      <c r="D36" s="7">
        <v>0</v>
      </c>
      <c r="E36" s="7">
        <v>0</v>
      </c>
      <c r="F36" s="7">
        <v>0</v>
      </c>
      <c r="G36" s="8">
        <f t="shared" si="13"/>
        <v>0.1</v>
      </c>
      <c r="H36" s="7">
        <v>0.1</v>
      </c>
      <c r="I36" s="7">
        <v>0</v>
      </c>
      <c r="J36" s="7">
        <v>0</v>
      </c>
      <c r="K36" s="8">
        <f t="shared" si="14"/>
        <v>0</v>
      </c>
      <c r="L36" s="8">
        <f t="shared" si="14"/>
        <v>0</v>
      </c>
      <c r="M36" s="7">
        <f t="shared" si="0"/>
        <v>0</v>
      </c>
      <c r="N36" s="7">
        <f t="shared" si="1"/>
        <v>0</v>
      </c>
      <c r="O36" s="7">
        <f t="shared" si="2"/>
        <v>0</v>
      </c>
      <c r="P36" s="7">
        <f t="shared" si="3"/>
        <v>0</v>
      </c>
      <c r="Q36" s="7">
        <f t="shared" si="4"/>
        <v>0</v>
      </c>
      <c r="R36" s="7">
        <f t="shared" si="5"/>
        <v>0</v>
      </c>
      <c r="S36" s="8">
        <f t="shared" si="15"/>
        <v>3.111333402933561E-2</v>
      </c>
      <c r="T36" s="8">
        <f t="shared" si="15"/>
        <v>1.4482906740415585E-2</v>
      </c>
      <c r="U36" s="7">
        <f t="shared" si="6"/>
        <v>3.111333402933561E-2</v>
      </c>
      <c r="V36" s="7">
        <f t="shared" si="7"/>
        <v>1.4482906740415585E-2</v>
      </c>
      <c r="W36" s="7">
        <f t="shared" si="8"/>
        <v>0</v>
      </c>
      <c r="X36" s="7">
        <f t="shared" si="9"/>
        <v>0</v>
      </c>
      <c r="Y36" s="7">
        <f t="shared" si="10"/>
        <v>0</v>
      </c>
      <c r="Z36" s="7">
        <f t="shared" si="11"/>
        <v>0</v>
      </c>
      <c r="AA36" s="23">
        <v>690.46912883131995</v>
      </c>
      <c r="AB36" s="29">
        <v>321.40560669490998</v>
      </c>
    </row>
    <row r="37" spans="1:29" x14ac:dyDescent="0.35">
      <c r="A37" s="5" t="s">
        <v>61</v>
      </c>
      <c r="B37" s="5" t="s">
        <v>26</v>
      </c>
      <c r="C37" s="6">
        <f t="shared" si="12"/>
        <v>0.71743400000000002</v>
      </c>
      <c r="D37" s="7">
        <v>0.17</v>
      </c>
      <c r="E37" s="7">
        <v>0.54743399999999998</v>
      </c>
      <c r="F37" s="7">
        <v>0</v>
      </c>
      <c r="G37" s="8">
        <f t="shared" si="13"/>
        <v>0</v>
      </c>
      <c r="H37" s="7">
        <v>0</v>
      </c>
      <c r="I37" s="7">
        <v>0</v>
      </c>
      <c r="J37" s="7">
        <v>0</v>
      </c>
      <c r="K37" s="8">
        <f t="shared" si="14"/>
        <v>1.1143308580281421</v>
      </c>
      <c r="L37" s="8">
        <f t="shared" si="14"/>
        <v>0.7863713384702169</v>
      </c>
      <c r="M37" s="7">
        <f t="shared" si="0"/>
        <v>0.26404693095780818</v>
      </c>
      <c r="N37" s="7">
        <f t="shared" si="1"/>
        <v>0.18633508802194609</v>
      </c>
      <c r="O37" s="7">
        <f t="shared" si="2"/>
        <v>0.85028392707033384</v>
      </c>
      <c r="P37" s="7">
        <f t="shared" si="3"/>
        <v>0.6000362504482708</v>
      </c>
      <c r="Q37" s="7">
        <f t="shared" si="4"/>
        <v>0</v>
      </c>
      <c r="R37" s="7">
        <f t="shared" si="5"/>
        <v>0</v>
      </c>
      <c r="S37" s="8">
        <f t="shared" si="15"/>
        <v>0</v>
      </c>
      <c r="T37" s="8">
        <f t="shared" si="15"/>
        <v>0</v>
      </c>
      <c r="U37" s="7">
        <f t="shared" si="6"/>
        <v>0</v>
      </c>
      <c r="V37" s="7">
        <f t="shared" si="7"/>
        <v>0</v>
      </c>
      <c r="W37" s="7">
        <f t="shared" si="8"/>
        <v>0</v>
      </c>
      <c r="X37" s="7">
        <f t="shared" si="9"/>
        <v>0</v>
      </c>
      <c r="Y37" s="7">
        <f t="shared" si="10"/>
        <v>0</v>
      </c>
      <c r="Z37" s="7">
        <f t="shared" si="11"/>
        <v>0</v>
      </c>
      <c r="AA37" s="23">
        <v>91.233487908610002</v>
      </c>
      <c r="AB37" s="29">
        <v>64.38249419652</v>
      </c>
    </row>
    <row r="38" spans="1:29" x14ac:dyDescent="0.35">
      <c r="A38" s="5" t="s">
        <v>62</v>
      </c>
      <c r="B38" s="5" t="s">
        <v>26</v>
      </c>
      <c r="C38" s="6">
        <f t="shared" si="12"/>
        <v>4.4197489986439065</v>
      </c>
      <c r="D38" s="7">
        <v>0</v>
      </c>
      <c r="E38" s="13">
        <v>4.4197489986439065</v>
      </c>
      <c r="F38" s="7">
        <v>0</v>
      </c>
      <c r="G38" s="8">
        <f t="shared" si="13"/>
        <v>0</v>
      </c>
      <c r="H38" s="7">
        <v>0</v>
      </c>
      <c r="I38" s="7">
        <v>0</v>
      </c>
      <c r="J38" s="7">
        <v>0</v>
      </c>
      <c r="K38" s="8">
        <f t="shared" si="14"/>
        <v>2.998798899106466</v>
      </c>
      <c r="L38" s="8">
        <f t="shared" si="14"/>
        <v>1.4262400226188992</v>
      </c>
      <c r="M38" s="7">
        <f t="shared" si="0"/>
        <v>0</v>
      </c>
      <c r="N38" s="7">
        <f t="shared" si="1"/>
        <v>0</v>
      </c>
      <c r="O38" s="7">
        <f t="shared" si="2"/>
        <v>2.998798899106466</v>
      </c>
      <c r="P38" s="7">
        <f t="shared" si="3"/>
        <v>1.4262400226188992</v>
      </c>
      <c r="Q38" s="7">
        <f t="shared" si="4"/>
        <v>0</v>
      </c>
      <c r="R38" s="7">
        <f t="shared" si="5"/>
        <v>0</v>
      </c>
      <c r="S38" s="8">
        <f t="shared" si="15"/>
        <v>0</v>
      </c>
      <c r="T38" s="8">
        <f t="shared" si="15"/>
        <v>0</v>
      </c>
      <c r="U38" s="7">
        <f t="shared" si="6"/>
        <v>0</v>
      </c>
      <c r="V38" s="7">
        <f t="shared" si="7"/>
        <v>0</v>
      </c>
      <c r="W38" s="7">
        <f t="shared" si="8"/>
        <v>0</v>
      </c>
      <c r="X38" s="7">
        <f t="shared" si="9"/>
        <v>0</v>
      </c>
      <c r="Y38" s="7">
        <f t="shared" si="10"/>
        <v>0</v>
      </c>
      <c r="Z38" s="7">
        <f t="shared" si="11"/>
        <v>0</v>
      </c>
      <c r="AA38" s="23">
        <v>309.88816247970999</v>
      </c>
      <c r="AB38" s="29">
        <v>147.38397429586999</v>
      </c>
    </row>
    <row r="39" spans="1:29" x14ac:dyDescent="0.35">
      <c r="A39" s="5" t="s">
        <v>63</v>
      </c>
      <c r="B39" s="5" t="s">
        <v>26</v>
      </c>
      <c r="C39" s="6">
        <f t="shared" si="12"/>
        <v>17</v>
      </c>
      <c r="D39" s="7">
        <v>8</v>
      </c>
      <c r="E39" s="7">
        <v>9</v>
      </c>
      <c r="F39" s="7">
        <v>0</v>
      </c>
      <c r="G39" s="8">
        <f t="shared" si="13"/>
        <v>17</v>
      </c>
      <c r="H39" s="7">
        <v>0</v>
      </c>
      <c r="I39" s="7">
        <v>17</v>
      </c>
      <c r="J39" s="7">
        <v>0</v>
      </c>
      <c r="K39" s="8">
        <f t="shared" si="14"/>
        <v>2.9746119470950942</v>
      </c>
      <c r="L39" s="8">
        <f t="shared" si="14"/>
        <v>1.3986901541599801</v>
      </c>
      <c r="M39" s="7">
        <f t="shared" si="0"/>
        <v>1.3998173868682795</v>
      </c>
      <c r="N39" s="7">
        <f t="shared" si="1"/>
        <v>0.65820713136940245</v>
      </c>
      <c r="O39" s="7">
        <f t="shared" si="2"/>
        <v>1.5747945602268145</v>
      </c>
      <c r="P39" s="7">
        <f t="shared" si="3"/>
        <v>0.74048302279057776</v>
      </c>
      <c r="Q39" s="7">
        <f t="shared" si="4"/>
        <v>0</v>
      </c>
      <c r="R39" s="7">
        <f t="shared" si="5"/>
        <v>0</v>
      </c>
      <c r="S39" s="8">
        <f t="shared" si="15"/>
        <v>2.9746119470950938</v>
      </c>
      <c r="T39" s="8">
        <f t="shared" si="15"/>
        <v>1.3986901541599803</v>
      </c>
      <c r="U39" s="7">
        <f t="shared" si="6"/>
        <v>0</v>
      </c>
      <c r="V39" s="7">
        <f t="shared" si="7"/>
        <v>0</v>
      </c>
      <c r="W39" s="7">
        <f t="shared" si="8"/>
        <v>2.9746119470950938</v>
      </c>
      <c r="X39" s="7">
        <f t="shared" si="9"/>
        <v>1.3986901541599803</v>
      </c>
      <c r="Y39" s="7">
        <f t="shared" si="10"/>
        <v>0</v>
      </c>
      <c r="Z39" s="7">
        <f t="shared" si="11"/>
        <v>0</v>
      </c>
      <c r="AA39" s="23">
        <v>1215.4228689920101</v>
      </c>
      <c r="AB39" s="29">
        <v>571.50311712429004</v>
      </c>
    </row>
    <row r="40" spans="1:29" x14ac:dyDescent="0.35">
      <c r="A40" s="5" t="s">
        <v>25</v>
      </c>
      <c r="B40" s="15" t="s">
        <v>64</v>
      </c>
      <c r="C40" s="6">
        <f t="shared" si="12"/>
        <v>0.36671521951269392</v>
      </c>
      <c r="D40" s="11">
        <f>[1]data!D41-[1]data!D2</f>
        <v>1.1544452643601866</v>
      </c>
      <c r="E40" s="16">
        <f>[1]data!E41-[1]data!E2</f>
        <v>-0.78773004484749265</v>
      </c>
      <c r="F40" s="16">
        <f>[1]data!F41-[1]data!F2</f>
        <v>0</v>
      </c>
      <c r="G40" s="8">
        <f t="shared" si="13"/>
        <v>0</v>
      </c>
      <c r="H40" s="16">
        <f>[1]data!H41-[1]data!H2</f>
        <v>0</v>
      </c>
      <c r="I40" s="16">
        <f>[1]data!I41-[1]data!I2</f>
        <v>0</v>
      </c>
      <c r="J40" s="16">
        <f>[1]data!J41-[1]data!J2</f>
        <v>0</v>
      </c>
      <c r="K40" s="8">
        <f t="shared" si="14"/>
        <v>2.4533165212039229E-2</v>
      </c>
      <c r="L40" s="8">
        <f t="shared" si="14"/>
        <v>2.9898941722940581E-2</v>
      </c>
      <c r="M40" s="7">
        <f t="shared" si="0"/>
        <v>7.723212697973221E-2</v>
      </c>
      <c r="N40" s="7">
        <f t="shared" si="1"/>
        <v>9.4123968258795279E-2</v>
      </c>
      <c r="O40" s="7">
        <f t="shared" si="2"/>
        <v>-5.2698961767692981E-2</v>
      </c>
      <c r="P40" s="7">
        <f t="shared" si="3"/>
        <v>-6.4225026535854698E-2</v>
      </c>
      <c r="Q40" s="7">
        <f t="shared" si="4"/>
        <v>0</v>
      </c>
      <c r="R40" s="7">
        <f t="shared" si="5"/>
        <v>0</v>
      </c>
      <c r="S40" s="8">
        <f t="shared" si="15"/>
        <v>0</v>
      </c>
      <c r="T40" s="8">
        <f t="shared" si="15"/>
        <v>0</v>
      </c>
      <c r="U40" s="7">
        <f t="shared" si="6"/>
        <v>0</v>
      </c>
      <c r="V40" s="7">
        <f t="shared" si="7"/>
        <v>0</v>
      </c>
      <c r="W40" s="7">
        <f t="shared" si="8"/>
        <v>0</v>
      </c>
      <c r="X40" s="7">
        <f t="shared" si="9"/>
        <v>0</v>
      </c>
      <c r="Y40" s="7">
        <f t="shared" si="10"/>
        <v>0</v>
      </c>
      <c r="Z40" s="7">
        <f t="shared" si="11"/>
        <v>0</v>
      </c>
      <c r="AA40" s="23">
        <v>1226.51571721458</v>
      </c>
      <c r="AB40" s="29">
        <v>1494.77336635199</v>
      </c>
    </row>
    <row r="41" spans="1:29" x14ac:dyDescent="0.35">
      <c r="A41" s="5" t="s">
        <v>27</v>
      </c>
      <c r="B41" s="15" t="s">
        <v>64</v>
      </c>
      <c r="C41" s="6">
        <f t="shared" si="12"/>
        <v>5.3821266931310277</v>
      </c>
      <c r="D41" s="11">
        <f>[1]data!D42-[1]data!D3</f>
        <v>0.47940422310436759</v>
      </c>
      <c r="E41" s="16">
        <f>[1]data!E42-[1]data!E3</f>
        <v>4.9027224700266601</v>
      </c>
      <c r="F41" s="16">
        <f>[1]data!F42-[1]data!F3</f>
        <v>-2.5626602590321923</v>
      </c>
      <c r="G41" s="8">
        <f t="shared" si="13"/>
        <v>0</v>
      </c>
      <c r="H41" s="16">
        <f>[1]data!H42-[1]data!H3</f>
        <v>0</v>
      </c>
      <c r="I41" s="16">
        <f>[1]data!I42-[1]data!I3</f>
        <v>0</v>
      </c>
      <c r="J41" s="16">
        <f>[1]data!J42-[1]data!J3</f>
        <v>0</v>
      </c>
      <c r="K41" s="8">
        <f t="shared" si="14"/>
        <v>0.31722919641608521</v>
      </c>
      <c r="L41" s="8">
        <f t="shared" si="14"/>
        <v>0.31228103803024765</v>
      </c>
      <c r="M41" s="7">
        <f t="shared" si="0"/>
        <v>2.8256677169634543E-2</v>
      </c>
      <c r="N41" s="7">
        <f t="shared" si="1"/>
        <v>2.7815927971034798E-2</v>
      </c>
      <c r="O41" s="7">
        <f t="shared" si="2"/>
        <v>0.28897251924645068</v>
      </c>
      <c r="P41" s="7">
        <f t="shared" si="3"/>
        <v>0.28446511005921288</v>
      </c>
      <c r="Q41" s="7">
        <f t="shared" si="4"/>
        <v>-0.15104636159861351</v>
      </c>
      <c r="R41" s="7">
        <f t="shared" si="5"/>
        <v>-0.14869033217497205</v>
      </c>
      <c r="S41" s="8">
        <f t="shared" si="15"/>
        <v>0</v>
      </c>
      <c r="T41" s="8">
        <f t="shared" si="15"/>
        <v>0</v>
      </c>
      <c r="U41" s="7">
        <f t="shared" si="6"/>
        <v>0</v>
      </c>
      <c r="V41" s="7">
        <f t="shared" si="7"/>
        <v>0</v>
      </c>
      <c r="W41" s="7">
        <f t="shared" si="8"/>
        <v>0</v>
      </c>
      <c r="X41" s="7">
        <f t="shared" si="9"/>
        <v>0</v>
      </c>
      <c r="Y41" s="7">
        <f t="shared" si="10"/>
        <v>0</v>
      </c>
      <c r="Z41" s="7">
        <f t="shared" si="11"/>
        <v>0</v>
      </c>
      <c r="AA41" s="23">
        <v>1723.48815255626</v>
      </c>
      <c r="AB41" s="29">
        <v>1696.60508992738</v>
      </c>
    </row>
    <row r="42" spans="1:29" x14ac:dyDescent="0.35">
      <c r="A42" s="5" t="s">
        <v>28</v>
      </c>
      <c r="B42" s="15" t="s">
        <v>64</v>
      </c>
      <c r="C42" s="6">
        <f t="shared" si="12"/>
        <v>46.119277635451212</v>
      </c>
      <c r="D42" s="11">
        <f>[1]data!D43-[1]data!D4</f>
        <v>3.2426565634137816</v>
      </c>
      <c r="E42" s="16">
        <f>[1]data!E43-[1]data!E4</f>
        <v>42.87662107203743</v>
      </c>
      <c r="F42" s="16">
        <f>[1]data!F43-[1]data!F4</f>
        <v>12.152179908683117</v>
      </c>
      <c r="G42" s="8">
        <f t="shared" si="13"/>
        <v>27.362293780180362</v>
      </c>
      <c r="H42" s="16">
        <f>[1]data!H43-[1]data!H4</f>
        <v>18.006206750642018</v>
      </c>
      <c r="I42" s="16">
        <f>[1]data!I43-[1]data!I4</f>
        <v>9.3560870295383438</v>
      </c>
      <c r="J42" s="16">
        <f>[1]data!J43-[1]data!J4</f>
        <v>0</v>
      </c>
      <c r="K42" s="8">
        <f t="shared" si="14"/>
        <v>1.7624219498783402</v>
      </c>
      <c r="L42" s="8">
        <f t="shared" si="14"/>
        <v>1.5864412065797067</v>
      </c>
      <c r="M42" s="7">
        <f t="shared" si="0"/>
        <v>0.12391627528191231</v>
      </c>
      <c r="N42" s="7">
        <f t="shared" si="1"/>
        <v>0.11154303047954568</v>
      </c>
      <c r="O42" s="7">
        <f t="shared" si="2"/>
        <v>1.6385056745964279</v>
      </c>
      <c r="P42" s="7">
        <f t="shared" si="3"/>
        <v>1.4748981761001609</v>
      </c>
      <c r="Q42" s="7">
        <f t="shared" si="4"/>
        <v>0.46438863980537598</v>
      </c>
      <c r="R42" s="7">
        <f t="shared" si="5"/>
        <v>0.41801866692911172</v>
      </c>
      <c r="S42" s="8">
        <f t="shared" si="15"/>
        <v>1.0456344858302906</v>
      </c>
      <c r="T42" s="8">
        <f t="shared" si="15"/>
        <v>0.94122615498318485</v>
      </c>
      <c r="U42" s="7">
        <f t="shared" si="6"/>
        <v>0.68809694423715706</v>
      </c>
      <c r="V42" s="7">
        <f t="shared" si="7"/>
        <v>0.61938932758682408</v>
      </c>
      <c r="W42" s="7">
        <f t="shared" si="8"/>
        <v>0.35753754159313361</v>
      </c>
      <c r="X42" s="7">
        <f t="shared" si="9"/>
        <v>0.32183682739636077</v>
      </c>
      <c r="Y42" s="7">
        <f t="shared" si="10"/>
        <v>0</v>
      </c>
      <c r="Z42" s="7">
        <f t="shared" si="11"/>
        <v>0</v>
      </c>
      <c r="AA42" s="23">
        <v>2907.0902498102801</v>
      </c>
      <c r="AB42" s="29">
        <v>2616.8124857180101</v>
      </c>
    </row>
    <row r="43" spans="1:29" x14ac:dyDescent="0.35">
      <c r="A43" s="5" t="s">
        <v>29</v>
      </c>
      <c r="B43" s="15" t="s">
        <v>64</v>
      </c>
      <c r="C43" s="6">
        <f t="shared" si="12"/>
        <v>171.35497123588817</v>
      </c>
      <c r="D43" s="11">
        <f>[1]data!D44-[1]data!D5</f>
        <v>13.935137619814569</v>
      </c>
      <c r="E43" s="16">
        <f>[1]data!E44-[1]data!E5</f>
        <v>157.41983361607362</v>
      </c>
      <c r="F43" s="16">
        <f>[1]data!F44-[1]data!F5</f>
        <v>0</v>
      </c>
      <c r="G43" s="8">
        <f t="shared" si="13"/>
        <v>47.122297749910672</v>
      </c>
      <c r="H43" s="16">
        <f>[1]data!H44-[1]data!H5</f>
        <v>0</v>
      </c>
      <c r="I43" s="16">
        <f>[1]data!I44-[1]data!I5</f>
        <v>47.122297749910672</v>
      </c>
      <c r="J43" s="16">
        <f>[1]data!J44-[1]data!J5</f>
        <v>0</v>
      </c>
      <c r="K43" s="8">
        <f t="shared" si="14"/>
        <v>4.7634099291125596</v>
      </c>
      <c r="L43" s="8">
        <f t="shared" si="14"/>
        <v>4.1173434703459435</v>
      </c>
      <c r="M43" s="7">
        <f t="shared" si="0"/>
        <v>0.38737582238216656</v>
      </c>
      <c r="N43" s="7">
        <f t="shared" si="1"/>
        <v>0.33483561914484444</v>
      </c>
      <c r="O43" s="7">
        <f t="shared" si="2"/>
        <v>4.3760341067303932</v>
      </c>
      <c r="P43" s="7">
        <f t="shared" si="3"/>
        <v>3.7825078512010992</v>
      </c>
      <c r="Q43" s="7">
        <f t="shared" si="4"/>
        <v>0</v>
      </c>
      <c r="R43" s="7">
        <f t="shared" si="5"/>
        <v>0</v>
      </c>
      <c r="S43" s="8">
        <f t="shared" si="15"/>
        <v>1.3099288533364239</v>
      </c>
      <c r="T43" s="8">
        <f t="shared" si="15"/>
        <v>1.1322617811957429</v>
      </c>
      <c r="U43" s="7">
        <f t="shared" si="6"/>
        <v>0</v>
      </c>
      <c r="V43" s="7">
        <f t="shared" si="7"/>
        <v>0</v>
      </c>
      <c r="W43" s="7">
        <f t="shared" si="8"/>
        <v>1.3099288533364239</v>
      </c>
      <c r="X43" s="7">
        <f t="shared" si="9"/>
        <v>1.1322617811957429</v>
      </c>
      <c r="Y43" s="7">
        <f t="shared" si="10"/>
        <v>0</v>
      </c>
      <c r="Z43" s="7">
        <f t="shared" si="11"/>
        <v>0</v>
      </c>
      <c r="AA43" s="23">
        <v>4161.7847155581303</v>
      </c>
      <c r="AB43" s="29">
        <v>3597.3173374942398</v>
      </c>
    </row>
    <row r="44" spans="1:29" x14ac:dyDescent="0.35">
      <c r="A44" s="5" t="s">
        <v>30</v>
      </c>
      <c r="B44" s="15" t="s">
        <v>64</v>
      </c>
      <c r="C44" s="6">
        <f t="shared" si="12"/>
        <v>38.105763873469755</v>
      </c>
      <c r="D44" s="11">
        <f>[1]data!D45-[1]data!D6</f>
        <v>3.4734084577736981</v>
      </c>
      <c r="E44" s="16">
        <f>[1]data!E45-[1]data!E6</f>
        <v>34.632355415696054</v>
      </c>
      <c r="F44" s="16">
        <f>[1]data!F45-[1]data!F6</f>
        <v>7.6498244929870598</v>
      </c>
      <c r="G44" s="8">
        <f t="shared" si="13"/>
        <v>3.6063458324081847</v>
      </c>
      <c r="H44" s="16">
        <f>[1]data!H45-[1]data!H6</f>
        <v>3.6063458324081847</v>
      </c>
      <c r="I44" s="16">
        <f>[1]data!I45-[1]data!I6</f>
        <v>0</v>
      </c>
      <c r="J44" s="16">
        <f>[1]data!J45-[1]data!J6</f>
        <v>0</v>
      </c>
      <c r="K44" s="8">
        <f t="shared" si="14"/>
        <v>1.9865814742322869</v>
      </c>
      <c r="L44" s="8">
        <f t="shared" si="14"/>
        <v>1.6300816575185897</v>
      </c>
      <c r="M44" s="7">
        <f t="shared" si="0"/>
        <v>0.18108045065221948</v>
      </c>
      <c r="N44" s="7">
        <f t="shared" si="1"/>
        <v>0.1485848554273132</v>
      </c>
      <c r="O44" s="7">
        <f t="shared" si="2"/>
        <v>1.8055010235800675</v>
      </c>
      <c r="P44" s="7">
        <f t="shared" si="3"/>
        <v>1.4814968020912764</v>
      </c>
      <c r="Q44" s="7">
        <f t="shared" si="4"/>
        <v>0.39881104783407961</v>
      </c>
      <c r="R44" s="7">
        <f t="shared" si="5"/>
        <v>0.32724284522049651</v>
      </c>
      <c r="S44" s="8">
        <f t="shared" si="15"/>
        <v>0.18801092255035179</v>
      </c>
      <c r="T44" s="8">
        <f t="shared" si="15"/>
        <v>0.15427162703251979</v>
      </c>
      <c r="U44" s="7">
        <f t="shared" si="6"/>
        <v>0.18801092255035179</v>
      </c>
      <c r="V44" s="7">
        <f t="shared" si="7"/>
        <v>0.15427162703251979</v>
      </c>
      <c r="W44" s="7">
        <f t="shared" si="8"/>
        <v>0</v>
      </c>
      <c r="X44" s="7">
        <f t="shared" si="9"/>
        <v>0</v>
      </c>
      <c r="Y44" s="7">
        <f t="shared" si="10"/>
        <v>0</v>
      </c>
      <c r="Z44" s="7">
        <f t="shared" si="11"/>
        <v>0</v>
      </c>
      <c r="AA44" s="23">
        <v>2337.6598158571201</v>
      </c>
      <c r="AB44" s="29">
        <v>1918.15761738117</v>
      </c>
    </row>
    <row r="45" spans="1:29" x14ac:dyDescent="0.35">
      <c r="A45" s="5" t="s">
        <v>31</v>
      </c>
      <c r="B45" s="15" t="s">
        <v>64</v>
      </c>
      <c r="C45" s="6">
        <f t="shared" si="12"/>
        <v>48.936400201211995</v>
      </c>
      <c r="D45" s="11">
        <f>[1]data!D46-[1]data!D7</f>
        <v>26.236916652536532</v>
      </c>
      <c r="E45" s="16">
        <f>[1]data!E46-[1]data!E7</f>
        <v>22.69948354867546</v>
      </c>
      <c r="F45" s="16">
        <f>[1]data!F46-[1]data!F7</f>
        <v>242.55939287252869</v>
      </c>
      <c r="G45" s="8">
        <f t="shared" si="13"/>
        <v>127.46855646533464</v>
      </c>
      <c r="H45" s="16">
        <f>[1]data!H46-[1]data!H7</f>
        <v>0</v>
      </c>
      <c r="I45" s="16">
        <f>[1]data!I46-[1]data!I7</f>
        <v>127.46855646533464</v>
      </c>
      <c r="J45" s="16">
        <f>[1]data!J46-[1]data!J7</f>
        <v>1016.8836085809857</v>
      </c>
      <c r="K45" s="8">
        <f t="shared" si="14"/>
        <v>1.0721480011398237</v>
      </c>
      <c r="L45" s="8">
        <f t="shared" si="14"/>
        <v>0.91901893430502701</v>
      </c>
      <c r="M45" s="7">
        <f t="shared" si="0"/>
        <v>0.57482482629346554</v>
      </c>
      <c r="N45" s="7">
        <f t="shared" si="1"/>
        <v>0.49272572323100217</v>
      </c>
      <c r="O45" s="7">
        <f t="shared" si="2"/>
        <v>0.49732317484635818</v>
      </c>
      <c r="P45" s="7">
        <f t="shared" si="3"/>
        <v>0.42629321107402485</v>
      </c>
      <c r="Q45" s="7">
        <f t="shared" si="4"/>
        <v>5.3142357663555728</v>
      </c>
      <c r="R45" s="7">
        <f t="shared" si="5"/>
        <v>4.5552323797177214</v>
      </c>
      <c r="S45" s="8">
        <f t="shared" si="15"/>
        <v>2.792709669296487</v>
      </c>
      <c r="T45" s="8">
        <f t="shared" si="15"/>
        <v>2.3938421387454381</v>
      </c>
      <c r="U45" s="7">
        <f t="shared" si="6"/>
        <v>0</v>
      </c>
      <c r="V45" s="7">
        <f t="shared" si="7"/>
        <v>0</v>
      </c>
      <c r="W45" s="7">
        <f t="shared" si="8"/>
        <v>2.792709669296487</v>
      </c>
      <c r="X45" s="7">
        <f t="shared" si="9"/>
        <v>2.3938421387454381</v>
      </c>
      <c r="Y45" s="7">
        <f t="shared" si="10"/>
        <v>22.278911482029134</v>
      </c>
      <c r="Z45" s="7">
        <f t="shared" si="11"/>
        <v>19.096935745739678</v>
      </c>
      <c r="AA45" s="23">
        <v>5324.8522282316499</v>
      </c>
      <c r="AB45" s="29">
        <v>4564.3325500944502</v>
      </c>
    </row>
    <row r="46" spans="1:29" x14ac:dyDescent="0.35">
      <c r="A46" s="5" t="s">
        <v>32</v>
      </c>
      <c r="B46" s="15" t="s">
        <v>64</v>
      </c>
      <c r="C46" s="6">
        <f t="shared" si="12"/>
        <v>23.759348551253893</v>
      </c>
      <c r="D46" s="11">
        <f>[1]data!D47-[1]data!D8</f>
        <v>1.2812909352111514</v>
      </c>
      <c r="E46" s="16">
        <f>[1]data!E47-[1]data!E8</f>
        <v>22.47805761604274</v>
      </c>
      <c r="F46" s="16">
        <f>[1]data!F47-[1]data!F8</f>
        <v>13.126652361297392</v>
      </c>
      <c r="G46" s="8">
        <f t="shared" si="13"/>
        <v>0</v>
      </c>
      <c r="H46" s="16">
        <f>[1]data!H47-[1]data!H8</f>
        <v>0</v>
      </c>
      <c r="I46" s="16">
        <f>[1]data!I47-[1]data!I8</f>
        <v>0</v>
      </c>
      <c r="J46" s="16">
        <f>[1]data!J47-[1]data!J8</f>
        <v>104.39377432263932</v>
      </c>
      <c r="K46" s="8">
        <f t="shared" si="14"/>
        <v>1.4503795525417806</v>
      </c>
      <c r="L46" s="8">
        <f t="shared" si="14"/>
        <v>1.1017348749826728</v>
      </c>
      <c r="M46" s="7">
        <f t="shared" si="0"/>
        <v>7.821587234509067E-2</v>
      </c>
      <c r="N46" s="7">
        <f t="shared" si="1"/>
        <v>5.9414209328007471E-2</v>
      </c>
      <c r="O46" s="7">
        <f t="shared" si="2"/>
        <v>1.3721636801966899</v>
      </c>
      <c r="P46" s="7">
        <f t="shared" si="3"/>
        <v>1.0423206656546653</v>
      </c>
      <c r="Q46" s="7">
        <f t="shared" si="4"/>
        <v>0.80131103498396472</v>
      </c>
      <c r="R46" s="7">
        <f t="shared" si="5"/>
        <v>0.60869053993703703</v>
      </c>
      <c r="S46" s="8">
        <f t="shared" si="15"/>
        <v>0</v>
      </c>
      <c r="T46" s="8">
        <f t="shared" si="15"/>
        <v>0</v>
      </c>
      <c r="U46" s="7">
        <f t="shared" si="6"/>
        <v>0</v>
      </c>
      <c r="V46" s="7">
        <f t="shared" si="7"/>
        <v>0</v>
      </c>
      <c r="W46" s="7">
        <f t="shared" si="8"/>
        <v>0</v>
      </c>
      <c r="X46" s="7">
        <f t="shared" si="9"/>
        <v>0</v>
      </c>
      <c r="Y46" s="7">
        <f t="shared" si="10"/>
        <v>6.3726745438155792</v>
      </c>
      <c r="Z46" s="7">
        <f t="shared" si="11"/>
        <v>4.8408003129468193</v>
      </c>
      <c r="AA46" s="23">
        <v>2156.5395714307001</v>
      </c>
      <c r="AB46" s="29">
        <v>1638.14696019506</v>
      </c>
    </row>
    <row r="47" spans="1:29" x14ac:dyDescent="0.35">
      <c r="A47" s="5" t="s">
        <v>33</v>
      </c>
      <c r="B47" s="15" t="s">
        <v>64</v>
      </c>
      <c r="C47" s="6">
        <f t="shared" si="12"/>
        <v>24.886187363532706</v>
      </c>
      <c r="D47" s="11">
        <f>[1]data!D48-[1]data!D9</f>
        <v>0.52057790283490757</v>
      </c>
      <c r="E47" s="16">
        <f>[1]data!E48-[1]data!E9</f>
        <v>24.365609460697797</v>
      </c>
      <c r="F47" s="16">
        <f>[1]data!F48-[1]data!F9</f>
        <v>0</v>
      </c>
      <c r="G47" s="8">
        <f t="shared" si="13"/>
        <v>0.13551117673291363</v>
      </c>
      <c r="H47" s="16">
        <f>[1]data!H48-[1]data!H9</f>
        <v>0.13551117673291363</v>
      </c>
      <c r="I47" s="16">
        <f>[1]data!I48-[1]data!I9</f>
        <v>0</v>
      </c>
      <c r="J47" s="16">
        <f>[1]data!J48-[1]data!J9</f>
        <v>-0.50327929573277252</v>
      </c>
      <c r="K47" s="8">
        <f t="shared" si="14"/>
        <v>1.8797371249607484</v>
      </c>
      <c r="L47" s="8">
        <f t="shared" si="14"/>
        <v>1.385238169458487</v>
      </c>
      <c r="M47" s="7">
        <f t="shared" si="0"/>
        <v>3.9320993453055619E-2</v>
      </c>
      <c r="N47" s="7">
        <f t="shared" si="1"/>
        <v>2.89768927095789E-2</v>
      </c>
      <c r="O47" s="7">
        <f t="shared" si="2"/>
        <v>1.8404161315076928</v>
      </c>
      <c r="P47" s="7">
        <f t="shared" si="3"/>
        <v>1.3562612767489082</v>
      </c>
      <c r="Q47" s="7">
        <f t="shared" si="4"/>
        <v>0</v>
      </c>
      <c r="R47" s="7">
        <f t="shared" si="5"/>
        <v>0</v>
      </c>
      <c r="S47" s="8">
        <f t="shared" si="15"/>
        <v>1.023561327538826E-2</v>
      </c>
      <c r="T47" s="8">
        <f t="shared" si="15"/>
        <v>7.5429494946959112E-3</v>
      </c>
      <c r="U47" s="7">
        <f t="shared" si="6"/>
        <v>1.023561327538826E-2</v>
      </c>
      <c r="V47" s="7">
        <f t="shared" si="7"/>
        <v>7.5429494946959112E-3</v>
      </c>
      <c r="W47" s="7">
        <f t="shared" si="8"/>
        <v>0</v>
      </c>
      <c r="X47" s="7">
        <f t="shared" si="9"/>
        <v>0</v>
      </c>
      <c r="Y47" s="7">
        <f t="shared" si="10"/>
        <v>-3.801437169115239E-2</v>
      </c>
      <c r="Z47" s="7">
        <f t="shared" si="11"/>
        <v>-2.8014001508676948E-2</v>
      </c>
      <c r="AA47" s="23">
        <v>1796.5276955414199</v>
      </c>
      <c r="AB47" s="29">
        <v>1323.9184901480501</v>
      </c>
    </row>
    <row r="48" spans="1:29" x14ac:dyDescent="0.35">
      <c r="A48" s="5" t="s">
        <v>34</v>
      </c>
      <c r="B48" s="15" t="s">
        <v>64</v>
      </c>
      <c r="C48" s="6">
        <f t="shared" si="12"/>
        <v>71.618784378598789</v>
      </c>
      <c r="D48" s="11">
        <f>[1]data!D49-[1]data!D10</f>
        <v>1.8120430642510197</v>
      </c>
      <c r="E48" s="16">
        <f>[1]data!E49-[1]data!E10</f>
        <v>69.806741314347775</v>
      </c>
      <c r="F48" s="16">
        <f>[1]data!F49-[1]data!F10</f>
        <v>0</v>
      </c>
      <c r="G48" s="8">
        <f t="shared" si="13"/>
        <v>0</v>
      </c>
      <c r="H48" s="16">
        <f>[1]data!H49-[1]data!H10</f>
        <v>0</v>
      </c>
      <c r="I48" s="16">
        <f>[1]data!I49-[1]data!I10</f>
        <v>0</v>
      </c>
      <c r="J48" s="16">
        <f>[1]data!J49-[1]data!J10</f>
        <v>0</v>
      </c>
      <c r="K48" s="8">
        <f t="shared" si="14"/>
        <v>2.2682920394272243</v>
      </c>
      <c r="L48" s="8">
        <f t="shared" si="14"/>
        <v>2.434366699665794</v>
      </c>
      <c r="M48" s="7">
        <f t="shared" si="0"/>
        <v>5.7390569993647216E-2</v>
      </c>
      <c r="N48" s="7">
        <f t="shared" si="1"/>
        <v>6.1592462539635059E-2</v>
      </c>
      <c r="O48" s="7">
        <f t="shared" si="2"/>
        <v>2.2109014694335771</v>
      </c>
      <c r="P48" s="7">
        <f t="shared" si="3"/>
        <v>2.3727742371261589</v>
      </c>
      <c r="Q48" s="7">
        <f t="shared" si="4"/>
        <v>0</v>
      </c>
      <c r="R48" s="7">
        <f t="shared" si="5"/>
        <v>0</v>
      </c>
      <c r="S48" s="8">
        <f t="shared" si="15"/>
        <v>0</v>
      </c>
      <c r="T48" s="8">
        <f t="shared" si="15"/>
        <v>0</v>
      </c>
      <c r="U48" s="7">
        <f t="shared" si="6"/>
        <v>0</v>
      </c>
      <c r="V48" s="7">
        <f t="shared" si="7"/>
        <v>0</v>
      </c>
      <c r="W48" s="7">
        <f t="shared" si="8"/>
        <v>0</v>
      </c>
      <c r="X48" s="7">
        <f t="shared" si="9"/>
        <v>0</v>
      </c>
      <c r="Y48" s="7">
        <f t="shared" si="10"/>
        <v>0</v>
      </c>
      <c r="Z48" s="7">
        <f t="shared" si="11"/>
        <v>0</v>
      </c>
      <c r="AA48" s="23">
        <v>2941.9883367789698</v>
      </c>
      <c r="AB48" s="29">
        <v>3157.38816403392</v>
      </c>
    </row>
    <row r="49" spans="1:28" x14ac:dyDescent="0.35">
      <c r="A49" s="5" t="s">
        <v>35</v>
      </c>
      <c r="B49" s="15" t="s">
        <v>64</v>
      </c>
      <c r="C49" s="6">
        <f t="shared" si="12"/>
        <v>1048</v>
      </c>
      <c r="D49" s="11">
        <f>[1]data!D50-[1]data!D11</f>
        <v>294.55</v>
      </c>
      <c r="E49" s="16">
        <f>[1]data!E50-[1]data!E11</f>
        <v>753.45</v>
      </c>
      <c r="F49" s="16">
        <f>[1]data!F50-[1]data!F11</f>
        <v>0</v>
      </c>
      <c r="G49" s="8">
        <f t="shared" si="13"/>
        <v>0</v>
      </c>
      <c r="H49" s="16">
        <f>[1]data!H50-[1]data!H11</f>
        <v>0</v>
      </c>
      <c r="I49" s="16">
        <f>[1]data!I50-[1]data!I11</f>
        <v>0</v>
      </c>
      <c r="J49" s="16">
        <f>[1]data!J50-[1]data!J11</f>
        <v>0</v>
      </c>
      <c r="K49" s="8">
        <f t="shared" si="14"/>
        <v>5.2586748171464448</v>
      </c>
      <c r="L49" s="8">
        <f t="shared" si="14"/>
        <v>5.2467646833064396</v>
      </c>
      <c r="M49" s="7">
        <f t="shared" si="0"/>
        <v>1.4779987284260356</v>
      </c>
      <c r="N49" s="7">
        <f t="shared" si="1"/>
        <v>1.4746512762098396</v>
      </c>
      <c r="O49" s="7">
        <f t="shared" si="2"/>
        <v>3.7806760887204089</v>
      </c>
      <c r="P49" s="7">
        <f t="shared" si="3"/>
        <v>3.7721134070966</v>
      </c>
      <c r="Q49" s="7">
        <f t="shared" si="4"/>
        <v>0</v>
      </c>
      <c r="R49" s="7">
        <f t="shared" si="5"/>
        <v>0</v>
      </c>
      <c r="S49" s="8">
        <f t="shared" si="15"/>
        <v>0</v>
      </c>
      <c r="T49" s="8">
        <f t="shared" si="15"/>
        <v>0</v>
      </c>
      <c r="U49" s="7">
        <f t="shared" si="6"/>
        <v>0</v>
      </c>
      <c r="V49" s="7">
        <f t="shared" si="7"/>
        <v>0</v>
      </c>
      <c r="W49" s="7">
        <f t="shared" si="8"/>
        <v>0</v>
      </c>
      <c r="X49" s="7">
        <f t="shared" si="9"/>
        <v>0</v>
      </c>
      <c r="Y49" s="7">
        <f t="shared" si="10"/>
        <v>0</v>
      </c>
      <c r="Z49" s="7">
        <f t="shared" si="11"/>
        <v>0</v>
      </c>
      <c r="AA49" s="23">
        <v>19974.2138871676</v>
      </c>
      <c r="AB49" s="29">
        <v>19928.975197</v>
      </c>
    </row>
    <row r="50" spans="1:28" x14ac:dyDescent="0.35">
      <c r="A50" s="5" t="s">
        <v>36</v>
      </c>
      <c r="B50" s="15" t="s">
        <v>64</v>
      </c>
      <c r="C50" s="6">
        <f t="shared" si="12"/>
        <v>4.8510107956458688</v>
      </c>
      <c r="D50" s="11">
        <f>[1]data!D51-[1]data!D12</f>
        <v>-3.0228064135825683E-2</v>
      </c>
      <c r="E50" s="16">
        <f>[1]data!E51-[1]data!E12</f>
        <v>4.8812388597816945</v>
      </c>
      <c r="F50" s="16">
        <f>[1]data!F51-[1]data!F12</f>
        <v>2.1248554456024422</v>
      </c>
      <c r="G50" s="8">
        <f t="shared" si="13"/>
        <v>0</v>
      </c>
      <c r="H50" s="16">
        <f>[1]data!H51-[1]data!H12</f>
        <v>0</v>
      </c>
      <c r="I50" s="16">
        <f>[1]data!I51-[1]data!I12</f>
        <v>0</v>
      </c>
      <c r="J50" s="16">
        <f>[1]data!J51-[1]data!J12</f>
        <v>0</v>
      </c>
      <c r="K50" s="8">
        <f t="shared" si="14"/>
        <v>0.37923666220534125</v>
      </c>
      <c r="L50" s="8">
        <f t="shared" si="14"/>
        <v>0.20368127268662869</v>
      </c>
      <c r="M50" s="7">
        <f t="shared" si="0"/>
        <v>-2.3631343302902793E-3</v>
      </c>
      <c r="N50" s="7">
        <f t="shared" si="1"/>
        <v>-1.2691974587160815E-3</v>
      </c>
      <c r="O50" s="7">
        <f t="shared" si="2"/>
        <v>0.38159979653563153</v>
      </c>
      <c r="P50" s="7">
        <f t="shared" si="3"/>
        <v>0.20495047014534479</v>
      </c>
      <c r="Q50" s="7">
        <f t="shared" si="4"/>
        <v>0.16611446991262058</v>
      </c>
      <c r="R50" s="7">
        <f t="shared" si="5"/>
        <v>8.9217130133761438E-2</v>
      </c>
      <c r="S50" s="8">
        <f t="shared" si="15"/>
        <v>0</v>
      </c>
      <c r="T50" s="8">
        <f t="shared" si="15"/>
        <v>0</v>
      </c>
      <c r="U50" s="7">
        <f t="shared" si="6"/>
        <v>0</v>
      </c>
      <c r="V50" s="7">
        <f t="shared" si="7"/>
        <v>0</v>
      </c>
      <c r="W50" s="7">
        <f t="shared" si="8"/>
        <v>0</v>
      </c>
      <c r="X50" s="7">
        <f t="shared" si="9"/>
        <v>0</v>
      </c>
      <c r="Y50" s="7">
        <f t="shared" si="10"/>
        <v>0</v>
      </c>
      <c r="Z50" s="7">
        <f t="shared" si="11"/>
        <v>0</v>
      </c>
      <c r="AA50" s="23">
        <v>2381.6675591522499</v>
      </c>
      <c r="AB50" s="29">
        <v>1279.1513266244399</v>
      </c>
    </row>
    <row r="51" spans="1:28" x14ac:dyDescent="0.35">
      <c r="A51" s="5" t="s">
        <v>37</v>
      </c>
      <c r="B51" s="15" t="s">
        <v>64</v>
      </c>
      <c r="C51" s="6">
        <f t="shared" si="12"/>
        <v>1.6541353383458646</v>
      </c>
      <c r="D51" s="11">
        <f>[1]data!D52-[1]data!D13</f>
        <v>0</v>
      </c>
      <c r="E51" s="16">
        <f>[1]data!E52-[1]data!E13</f>
        <v>1.6541353383458646</v>
      </c>
      <c r="F51" s="16">
        <f>[1]data!F52-[1]data!F13</f>
        <v>9.9097744360902258</v>
      </c>
      <c r="G51" s="8">
        <f t="shared" si="13"/>
        <v>42.539241635533003</v>
      </c>
      <c r="H51" s="16">
        <f>[1]data!H52-[1]data!H13</f>
        <v>2.8929023177546362</v>
      </c>
      <c r="I51" s="16">
        <f>[1]data!I52-[1]data!I13</f>
        <v>39.646339317778363</v>
      </c>
      <c r="J51" s="16">
        <f>[1]data!J52-[1]data!J13</f>
        <v>15.3179177725108</v>
      </c>
      <c r="K51" s="8">
        <f t="shared" si="14"/>
        <v>0.16590235659523436</v>
      </c>
      <c r="L51" s="8">
        <f t="shared" si="14"/>
        <v>7.0877842979989017E-2</v>
      </c>
      <c r="M51" s="7">
        <f t="shared" si="0"/>
        <v>0</v>
      </c>
      <c r="N51" s="7">
        <f t="shared" si="1"/>
        <v>0</v>
      </c>
      <c r="O51" s="7">
        <f t="shared" si="2"/>
        <v>0.16590235659523436</v>
      </c>
      <c r="P51" s="7">
        <f t="shared" si="3"/>
        <v>7.0877842979989017E-2</v>
      </c>
      <c r="Q51" s="7">
        <f t="shared" si="4"/>
        <v>0.99390593632963131</v>
      </c>
      <c r="R51" s="7">
        <f t="shared" si="5"/>
        <v>0.42462271385284334</v>
      </c>
      <c r="S51" s="8">
        <f t="shared" si="15"/>
        <v>4.2664951721340989</v>
      </c>
      <c r="T51" s="8">
        <f t="shared" si="15"/>
        <v>1.8227587666110858</v>
      </c>
      <c r="U51" s="7">
        <f t="shared" si="6"/>
        <v>0.29014512947607357</v>
      </c>
      <c r="V51" s="7">
        <f t="shared" si="7"/>
        <v>0.12395761790525683</v>
      </c>
      <c r="W51" s="7">
        <f t="shared" si="8"/>
        <v>3.9763500426580252</v>
      </c>
      <c r="X51" s="7">
        <f t="shared" si="9"/>
        <v>1.698801148705829</v>
      </c>
      <c r="Y51" s="7">
        <f t="shared" si="10"/>
        <v>1.5363184605758096</v>
      </c>
      <c r="Z51" s="7">
        <f t="shared" si="11"/>
        <v>0.65635558680833506</v>
      </c>
      <c r="AA51" s="23">
        <v>2333.7834064911899</v>
      </c>
      <c r="AB51" s="29">
        <v>997.05355143423003</v>
      </c>
    </row>
    <row r="52" spans="1:28" x14ac:dyDescent="0.35">
      <c r="A52" s="10" t="s">
        <v>38</v>
      </c>
      <c r="B52" s="15" t="s">
        <v>64</v>
      </c>
      <c r="C52" s="6">
        <f t="shared" si="12"/>
        <v>4.6597292351912269</v>
      </c>
      <c r="D52" s="11">
        <f>[1]data!D53-[1]data!D14</f>
        <v>2.0488741444795067</v>
      </c>
      <c r="E52" s="16">
        <f>[1]data!E53-[1]data!E14</f>
        <v>2.6108550907117198</v>
      </c>
      <c r="F52" s="16">
        <f>[1]data!F53-[1]data!F14</f>
        <v>0</v>
      </c>
      <c r="G52" s="8">
        <f t="shared" si="13"/>
        <v>8.4705999999999992</v>
      </c>
      <c r="H52" s="16">
        <f>[1]data!H53-[1]data!H14</f>
        <v>0</v>
      </c>
      <c r="I52" s="16">
        <f>[1]data!I53-[1]data!I14</f>
        <v>8.4705999999999992</v>
      </c>
      <c r="J52" s="16">
        <f>[1]data!J53-[1]data!J14</f>
        <v>0</v>
      </c>
      <c r="K52" s="8">
        <f t="shared" si="14"/>
        <v>1.1256756640914163</v>
      </c>
      <c r="L52" s="8">
        <f t="shared" si="14"/>
        <v>0.994395555102488</v>
      </c>
      <c r="M52" s="7">
        <f t="shared" si="0"/>
        <v>0.49495746358147613</v>
      </c>
      <c r="N52" s="7">
        <f t="shared" si="1"/>
        <v>0.43723384759097994</v>
      </c>
      <c r="O52" s="7">
        <f t="shared" si="2"/>
        <v>0.6307182005099401</v>
      </c>
      <c r="P52" s="7">
        <f t="shared" si="3"/>
        <v>0.55716170751150806</v>
      </c>
      <c r="Q52" s="7">
        <f t="shared" si="4"/>
        <v>0</v>
      </c>
      <c r="R52" s="7">
        <f t="shared" si="5"/>
        <v>0</v>
      </c>
      <c r="S52" s="8">
        <f t="shared" si="15"/>
        <v>2.0462880564478647</v>
      </c>
      <c r="T52" s="8">
        <f t="shared" si="15"/>
        <v>1.8076430118381042</v>
      </c>
      <c r="U52" s="7">
        <f t="shared" si="6"/>
        <v>0</v>
      </c>
      <c r="V52" s="7">
        <f t="shared" si="7"/>
        <v>0</v>
      </c>
      <c r="W52" s="7">
        <f t="shared" si="8"/>
        <v>2.0462880564478647</v>
      </c>
      <c r="X52" s="7">
        <f t="shared" si="9"/>
        <v>1.8076430118381042</v>
      </c>
      <c r="Y52" s="7">
        <f t="shared" si="10"/>
        <v>0</v>
      </c>
      <c r="Z52" s="7">
        <f t="shared" si="11"/>
        <v>0</v>
      </c>
      <c r="AA52" s="23">
        <v>468.59916169988998</v>
      </c>
      <c r="AB52" s="29">
        <v>413.94954015926999</v>
      </c>
    </row>
    <row r="53" spans="1:28" x14ac:dyDescent="0.35">
      <c r="A53" s="5" t="s">
        <v>39</v>
      </c>
      <c r="B53" s="15" t="s">
        <v>64</v>
      </c>
      <c r="C53" s="6">
        <f t="shared" si="12"/>
        <v>15.736781814144809</v>
      </c>
      <c r="D53" s="11">
        <f>[1]data!D54-[1]data!D15</f>
        <v>2.2949473478961178</v>
      </c>
      <c r="E53" s="16">
        <f>[1]data!E54-[1]data!E15</f>
        <v>13.441834466248691</v>
      </c>
      <c r="F53" s="16">
        <f>[1]data!F54-[1]data!F15</f>
        <v>12.021152774693951</v>
      </c>
      <c r="G53" s="8">
        <f t="shared" si="13"/>
        <v>2.827267662189584</v>
      </c>
      <c r="H53" s="16">
        <f>[1]data!H54-[1]data!H15</f>
        <v>0</v>
      </c>
      <c r="I53" s="16">
        <f>[1]data!I54-[1]data!I15</f>
        <v>2.827267662189584</v>
      </c>
      <c r="J53" s="16">
        <f>[1]data!J54-[1]data!J15</f>
        <v>0</v>
      </c>
      <c r="K53" s="8">
        <f t="shared" si="14"/>
        <v>3.1781365002569171</v>
      </c>
      <c r="L53" s="8">
        <f t="shared" si="14"/>
        <v>2.8338122233934211</v>
      </c>
      <c r="M53" s="7">
        <f t="shared" si="0"/>
        <v>0.46347823962080037</v>
      </c>
      <c r="N53" s="7">
        <f t="shared" si="1"/>
        <v>0.41326428257820719</v>
      </c>
      <c r="O53" s="7">
        <f t="shared" si="2"/>
        <v>2.7146582606361167</v>
      </c>
      <c r="P53" s="7">
        <f t="shared" si="3"/>
        <v>2.4205479408152137</v>
      </c>
      <c r="Q53" s="7">
        <f t="shared" si="4"/>
        <v>2.427743159918478</v>
      </c>
      <c r="R53" s="7">
        <f t="shared" si="5"/>
        <v>2.164717670647752</v>
      </c>
      <c r="S53" s="8">
        <f t="shared" si="15"/>
        <v>0.57098348692388345</v>
      </c>
      <c r="T53" s="8">
        <f t="shared" si="15"/>
        <v>0.50912224332400335</v>
      </c>
      <c r="U53" s="7">
        <f t="shared" si="6"/>
        <v>0</v>
      </c>
      <c r="V53" s="7">
        <f t="shared" si="7"/>
        <v>0</v>
      </c>
      <c r="W53" s="7">
        <f t="shared" si="8"/>
        <v>0.57098348692388345</v>
      </c>
      <c r="X53" s="7">
        <f t="shared" si="9"/>
        <v>0.50912224332400335</v>
      </c>
      <c r="Y53" s="7">
        <f t="shared" si="10"/>
        <v>0</v>
      </c>
      <c r="Z53" s="7">
        <f t="shared" si="11"/>
        <v>0</v>
      </c>
      <c r="AA53" s="23">
        <v>555.32196820367994</v>
      </c>
      <c r="AB53" s="29">
        <v>495.15751802582002</v>
      </c>
    </row>
    <row r="54" spans="1:28" x14ac:dyDescent="0.35">
      <c r="A54" s="10" t="s">
        <v>40</v>
      </c>
      <c r="B54" s="15" t="s">
        <v>64</v>
      </c>
      <c r="C54" s="6">
        <f t="shared" si="12"/>
        <v>1.4982174559416679</v>
      </c>
      <c r="D54" s="11">
        <f>[1]data!D55-[1]data!D16</f>
        <v>2.5089812489475802</v>
      </c>
      <c r="E54" s="16">
        <f>[1]data!E55-[1]data!E16</f>
        <v>-1.0107637930059123</v>
      </c>
      <c r="F54" s="16">
        <f>[1]data!F55-[1]data!F16</f>
        <v>1.5892575253152907</v>
      </c>
      <c r="G54" s="8">
        <f t="shared" si="13"/>
        <v>0</v>
      </c>
      <c r="H54" s="16">
        <f>[1]data!H55-[1]data!H16</f>
        <v>0</v>
      </c>
      <c r="I54" s="16">
        <f>[1]data!I55-[1]data!I16</f>
        <v>0</v>
      </c>
      <c r="J54" s="16">
        <f>[1]data!J55-[1]data!J16</f>
        <v>0</v>
      </c>
      <c r="K54" s="8">
        <f t="shared" si="14"/>
        <v>0.69477603461722137</v>
      </c>
      <c r="L54" s="8">
        <f t="shared" si="14"/>
        <v>0.36775469146204443</v>
      </c>
      <c r="M54" s="7">
        <f t="shared" si="0"/>
        <v>1.1635026919220681</v>
      </c>
      <c r="N54" s="7">
        <f t="shared" si="1"/>
        <v>0.61585827973873009</v>
      </c>
      <c r="O54" s="7">
        <f t="shared" si="2"/>
        <v>-0.46872665730484681</v>
      </c>
      <c r="P54" s="7">
        <f t="shared" si="3"/>
        <v>-0.24810358827668569</v>
      </c>
      <c r="Q54" s="7">
        <f t="shared" si="4"/>
        <v>0.73699451107391589</v>
      </c>
      <c r="R54" s="7">
        <f t="shared" si="5"/>
        <v>0.39010152268497694</v>
      </c>
      <c r="S54" s="8">
        <f t="shared" si="15"/>
        <v>0</v>
      </c>
      <c r="T54" s="8">
        <f t="shared" si="15"/>
        <v>0</v>
      </c>
      <c r="U54" s="7">
        <f t="shared" si="6"/>
        <v>0</v>
      </c>
      <c r="V54" s="7">
        <f t="shared" si="7"/>
        <v>0</v>
      </c>
      <c r="W54" s="7">
        <f t="shared" si="8"/>
        <v>0</v>
      </c>
      <c r="X54" s="7">
        <f t="shared" si="9"/>
        <v>0</v>
      </c>
      <c r="Y54" s="7">
        <f t="shared" si="10"/>
        <v>0</v>
      </c>
      <c r="Z54" s="7">
        <f t="shared" si="11"/>
        <v>0</v>
      </c>
      <c r="AA54" s="23">
        <v>407.39587848230002</v>
      </c>
      <c r="AB54" s="29">
        <v>215.64034757863999</v>
      </c>
    </row>
    <row r="55" spans="1:28" x14ac:dyDescent="0.35">
      <c r="A55" s="10" t="s">
        <v>41</v>
      </c>
      <c r="B55" s="15" t="s">
        <v>64</v>
      </c>
      <c r="C55" s="6">
        <f t="shared" si="12"/>
        <v>0.11675143395921074</v>
      </c>
      <c r="D55" s="11">
        <f>[1]data!D56-[1]data!D17</f>
        <v>0.11675143395921074</v>
      </c>
      <c r="E55" s="16">
        <f>[1]data!E56-[1]data!E17</f>
        <v>0</v>
      </c>
      <c r="F55" s="16">
        <f>[1]data!F56-[1]data!F17</f>
        <v>24.284298263515833</v>
      </c>
      <c r="G55" s="8">
        <f t="shared" si="13"/>
        <v>5.0849577627247591</v>
      </c>
      <c r="H55" s="16">
        <f>[1]data!H56-[1]data!H17</f>
        <v>8.7010778173287289</v>
      </c>
      <c r="I55" s="16">
        <f>[1]data!I56-[1]data!I17</f>
        <v>-3.6161200546039698</v>
      </c>
      <c r="J55" s="16">
        <f>[1]data!J56-[1]data!J17</f>
        <v>0</v>
      </c>
      <c r="K55" s="8">
        <f t="shared" si="14"/>
        <v>3.5102387615542872E-2</v>
      </c>
      <c r="L55" s="8">
        <f t="shared" si="14"/>
        <v>3.7532985341306419E-2</v>
      </c>
      <c r="M55" s="7">
        <f t="shared" si="0"/>
        <v>3.5102387615542872E-2</v>
      </c>
      <c r="N55" s="7">
        <f t="shared" si="1"/>
        <v>3.7532985341306419E-2</v>
      </c>
      <c r="O55" s="7">
        <f t="shared" si="2"/>
        <v>0</v>
      </c>
      <c r="P55" s="7">
        <f t="shared" si="3"/>
        <v>0</v>
      </c>
      <c r="Q55" s="7">
        <f t="shared" si="4"/>
        <v>7.3012966240329176</v>
      </c>
      <c r="R55" s="7">
        <f t="shared" si="5"/>
        <v>7.8068609509917337</v>
      </c>
      <c r="S55" s="8">
        <f t="shared" si="15"/>
        <v>1.5288391100891179</v>
      </c>
      <c r="T55" s="8">
        <f t="shared" si="15"/>
        <v>1.6347006516098881</v>
      </c>
      <c r="U55" s="7">
        <f t="shared" si="6"/>
        <v>2.6160587143073708</v>
      </c>
      <c r="V55" s="7">
        <f t="shared" si="7"/>
        <v>2.7972026989018515</v>
      </c>
      <c r="W55" s="7">
        <f t="shared" si="8"/>
        <v>-1.0872196042182529</v>
      </c>
      <c r="X55" s="7">
        <f t="shared" si="9"/>
        <v>-1.1625020472919634</v>
      </c>
      <c r="Y55" s="7">
        <f t="shared" si="10"/>
        <v>0</v>
      </c>
      <c r="Z55" s="7">
        <f t="shared" si="11"/>
        <v>0</v>
      </c>
      <c r="AA55" s="23">
        <v>311.06354290107998</v>
      </c>
      <c r="AB55" s="29">
        <v>332.60254327404999</v>
      </c>
    </row>
    <row r="56" spans="1:28" x14ac:dyDescent="0.35">
      <c r="A56" s="10" t="s">
        <v>42</v>
      </c>
      <c r="B56" s="15" t="s">
        <v>64</v>
      </c>
      <c r="C56" s="6">
        <f t="shared" si="12"/>
        <v>0.97330000000000005</v>
      </c>
      <c r="D56" s="11">
        <f>[1]data!D57-[1]data!D18</f>
        <v>0.22389999999999999</v>
      </c>
      <c r="E56" s="16">
        <f>[1]data!E57-[1]data!E18</f>
        <v>0.74940000000000007</v>
      </c>
      <c r="F56" s="16">
        <f>[1]data!F57-[1]data!F18</f>
        <v>0</v>
      </c>
      <c r="G56" s="8">
        <f t="shared" si="13"/>
        <v>0.67566216200000007</v>
      </c>
      <c r="H56" s="16">
        <f>[1]data!H57-[1]data!H18</f>
        <v>0.61666216200000001</v>
      </c>
      <c r="I56" s="16">
        <f>[1]data!I57-[1]data!I18</f>
        <v>5.9000000000000025E-2</v>
      </c>
      <c r="J56" s="16">
        <f>[1]data!J57-[1]data!J18</f>
        <v>0</v>
      </c>
      <c r="K56" s="8">
        <f t="shared" si="14"/>
        <v>3.6187996377830292</v>
      </c>
      <c r="L56" s="8">
        <f t="shared" si="14"/>
        <v>2.1199447987599989</v>
      </c>
      <c r="M56" s="7">
        <f t="shared" si="0"/>
        <v>0.83247635764884431</v>
      </c>
      <c r="N56" s="7">
        <f t="shared" si="1"/>
        <v>0.48767660581769617</v>
      </c>
      <c r="O56" s="7">
        <f t="shared" si="2"/>
        <v>2.7863232801341851</v>
      </c>
      <c r="P56" s="7">
        <f t="shared" si="3"/>
        <v>1.6322681929423026</v>
      </c>
      <c r="Q56" s="7">
        <f t="shared" si="4"/>
        <v>0</v>
      </c>
      <c r="R56" s="7">
        <f t="shared" si="5"/>
        <v>0</v>
      </c>
      <c r="S56" s="8">
        <f t="shared" si="15"/>
        <v>2.5121606771902787</v>
      </c>
      <c r="T56" s="8">
        <f t="shared" si="15"/>
        <v>1.4716598027852006</v>
      </c>
      <c r="U56" s="7">
        <f t="shared" si="6"/>
        <v>2.2927944194802214</v>
      </c>
      <c r="V56" s="7">
        <f t="shared" si="7"/>
        <v>1.3431518986170716</v>
      </c>
      <c r="W56" s="7">
        <f t="shared" si="8"/>
        <v>0.21936625771005733</v>
      </c>
      <c r="X56" s="7">
        <f t="shared" si="9"/>
        <v>0.12850790416812902</v>
      </c>
      <c r="Y56" s="7">
        <f t="shared" si="10"/>
        <v>0</v>
      </c>
      <c r="Z56" s="7">
        <f t="shared" si="11"/>
        <v>0</v>
      </c>
      <c r="AA56" s="23">
        <v>45.911572818750003</v>
      </c>
      <c r="AB56" s="29">
        <v>26.895658710639999</v>
      </c>
    </row>
    <row r="57" spans="1:28" x14ac:dyDescent="0.35">
      <c r="A57" s="10" t="s">
        <v>43</v>
      </c>
      <c r="B57" s="15" t="s">
        <v>64</v>
      </c>
      <c r="C57" s="6">
        <f t="shared" si="12"/>
        <v>2.5066158571519139</v>
      </c>
      <c r="D57" s="11">
        <f>[1]data!D58-[1]data!D19</f>
        <v>1.4572862879995812</v>
      </c>
      <c r="E57" s="16">
        <f>[1]data!E58-[1]data!E19</f>
        <v>1.0493295691523326</v>
      </c>
      <c r="F57" s="16">
        <f>[1]data!F58-[1]data!F19</f>
        <v>0.41559401007553731</v>
      </c>
      <c r="G57" s="8">
        <f t="shared" si="13"/>
        <v>2.6496896590908916</v>
      </c>
      <c r="H57" s="16">
        <f>[1]data!H58-[1]data!H19</f>
        <v>0.72605097496706006</v>
      </c>
      <c r="I57" s="16">
        <f>[1]data!I58-[1]data!I19</f>
        <v>1.9236386841238318</v>
      </c>
      <c r="J57" s="16">
        <f>[1]data!J58-[1]data!J19</f>
        <v>1.0928320704267227</v>
      </c>
      <c r="K57" s="8">
        <f t="shared" si="14"/>
        <v>0.9839738270062135</v>
      </c>
      <c r="L57" s="8">
        <f t="shared" si="14"/>
        <v>0.98715854176210338</v>
      </c>
      <c r="M57" s="7">
        <f t="shared" si="0"/>
        <v>0.57205876271599898</v>
      </c>
      <c r="N57" s="7">
        <f t="shared" si="1"/>
        <v>0.5739102794259513</v>
      </c>
      <c r="O57" s="7">
        <f t="shared" si="2"/>
        <v>0.41191506429021457</v>
      </c>
      <c r="P57" s="7">
        <f t="shared" si="3"/>
        <v>0.41324826233615208</v>
      </c>
      <c r="Q57" s="7">
        <f t="shared" si="4"/>
        <v>0.16314172249733033</v>
      </c>
      <c r="R57" s="7">
        <f t="shared" si="5"/>
        <v>0.16366974452055763</v>
      </c>
      <c r="S57" s="8">
        <f t="shared" si="15"/>
        <v>1.0401375491164633</v>
      </c>
      <c r="T57" s="8">
        <f t="shared" si="15"/>
        <v>1.0435040425230051</v>
      </c>
      <c r="U57" s="7">
        <f t="shared" si="6"/>
        <v>0.28501182357143029</v>
      </c>
      <c r="V57" s="7">
        <f t="shared" si="7"/>
        <v>0.28593428851431663</v>
      </c>
      <c r="W57" s="7">
        <f t="shared" si="8"/>
        <v>0.75512572554503299</v>
      </c>
      <c r="X57" s="7">
        <f t="shared" si="9"/>
        <v>0.75756975400868842</v>
      </c>
      <c r="Y57" s="7">
        <f t="shared" si="10"/>
        <v>0.42899200192354664</v>
      </c>
      <c r="Z57" s="7">
        <f t="shared" si="11"/>
        <v>0.43038047092667181</v>
      </c>
      <c r="AA57" s="23">
        <v>253.92231856471</v>
      </c>
      <c r="AB57" s="29">
        <v>254.7441596875</v>
      </c>
    </row>
    <row r="58" spans="1:28" x14ac:dyDescent="0.35">
      <c r="A58" s="10" t="s">
        <v>44</v>
      </c>
      <c r="B58" s="15" t="s">
        <v>64</v>
      </c>
      <c r="C58" s="6">
        <f t="shared" si="12"/>
        <v>0</v>
      </c>
      <c r="D58" s="11">
        <f>[1]data!D59-[1]data!D20</f>
        <v>0</v>
      </c>
      <c r="E58" s="16">
        <f>[1]data!E59-[1]data!E20</f>
        <v>0</v>
      </c>
      <c r="F58" s="16">
        <f>[1]data!F59-[1]data!F20</f>
        <v>0</v>
      </c>
      <c r="G58" s="8">
        <f t="shared" si="13"/>
        <v>0</v>
      </c>
      <c r="H58" s="16">
        <f>[1]data!H59-[1]data!H20</f>
        <v>0</v>
      </c>
      <c r="I58" s="16">
        <f>[1]data!I59-[1]data!I20</f>
        <v>0</v>
      </c>
      <c r="J58" s="16">
        <f>[1]data!J59-[1]data!J20</f>
        <v>0</v>
      </c>
      <c r="K58" s="8">
        <f t="shared" si="14"/>
        <v>0</v>
      </c>
      <c r="L58" s="8">
        <f t="shared" si="14"/>
        <v>0</v>
      </c>
      <c r="M58" s="7">
        <f t="shared" si="0"/>
        <v>0</v>
      </c>
      <c r="N58" s="7">
        <f t="shared" si="1"/>
        <v>0</v>
      </c>
      <c r="O58" s="7">
        <f t="shared" si="2"/>
        <v>0</v>
      </c>
      <c r="P58" s="7">
        <f t="shared" si="3"/>
        <v>0</v>
      </c>
      <c r="Q58" s="7">
        <f t="shared" si="4"/>
        <v>0</v>
      </c>
      <c r="R58" s="7">
        <f t="shared" si="5"/>
        <v>0</v>
      </c>
      <c r="S58" s="8">
        <f t="shared" si="15"/>
        <v>0</v>
      </c>
      <c r="T58" s="8">
        <f t="shared" si="15"/>
        <v>0</v>
      </c>
      <c r="U58" s="7">
        <f t="shared" si="6"/>
        <v>0</v>
      </c>
      <c r="V58" s="7">
        <f t="shared" si="7"/>
        <v>0</v>
      </c>
      <c r="W58" s="7">
        <f t="shared" si="8"/>
        <v>0</v>
      </c>
      <c r="X58" s="7">
        <f t="shared" si="9"/>
        <v>0</v>
      </c>
      <c r="Y58" s="7">
        <f t="shared" si="10"/>
        <v>0</v>
      </c>
      <c r="Z58" s="7">
        <f t="shared" si="11"/>
        <v>0</v>
      </c>
      <c r="AA58" s="23">
        <v>301.54474727050001</v>
      </c>
      <c r="AB58" s="29">
        <v>203.90300819506001</v>
      </c>
    </row>
    <row r="59" spans="1:28" x14ac:dyDescent="0.35">
      <c r="A59" s="10" t="s">
        <v>45</v>
      </c>
      <c r="B59" s="15" t="s">
        <v>64</v>
      </c>
      <c r="C59" s="6">
        <f t="shared" si="12"/>
        <v>0</v>
      </c>
      <c r="D59" s="11">
        <f>[1]data!D60-[1]data!D21</f>
        <v>0</v>
      </c>
      <c r="E59" s="16">
        <f>[1]data!E60-[1]data!E21</f>
        <v>0</v>
      </c>
      <c r="F59" s="16">
        <f>[1]data!F60-[1]data!F21</f>
        <v>0</v>
      </c>
      <c r="G59" s="8">
        <f t="shared" si="13"/>
        <v>0</v>
      </c>
      <c r="H59" s="16">
        <f>[1]data!H60-[1]data!H21</f>
        <v>0</v>
      </c>
      <c r="I59" s="16">
        <f>[1]data!I60-[1]data!I21</f>
        <v>0</v>
      </c>
      <c r="J59" s="16">
        <f>[1]data!J60-[1]data!J21</f>
        <v>0</v>
      </c>
      <c r="K59" s="8">
        <f t="shared" si="14"/>
        <v>0</v>
      </c>
      <c r="L59" s="8">
        <f t="shared" si="14"/>
        <v>0</v>
      </c>
      <c r="M59" s="7">
        <f t="shared" si="0"/>
        <v>0</v>
      </c>
      <c r="N59" s="7">
        <f t="shared" si="1"/>
        <v>0</v>
      </c>
      <c r="O59" s="7">
        <f t="shared" si="2"/>
        <v>0</v>
      </c>
      <c r="P59" s="7">
        <f t="shared" si="3"/>
        <v>0</v>
      </c>
      <c r="Q59" s="7">
        <f t="shared" si="4"/>
        <v>0</v>
      </c>
      <c r="R59" s="7">
        <f t="shared" si="5"/>
        <v>0</v>
      </c>
      <c r="S59" s="8">
        <f t="shared" si="15"/>
        <v>0</v>
      </c>
      <c r="T59" s="8">
        <f t="shared" si="15"/>
        <v>0</v>
      </c>
      <c r="U59" s="7">
        <f t="shared" si="6"/>
        <v>0</v>
      </c>
      <c r="V59" s="7">
        <f t="shared" si="7"/>
        <v>0</v>
      </c>
      <c r="W59" s="7">
        <f t="shared" si="8"/>
        <v>0</v>
      </c>
      <c r="X59" s="7">
        <f t="shared" si="9"/>
        <v>0</v>
      </c>
      <c r="Y59" s="7">
        <f t="shared" si="10"/>
        <v>0</v>
      </c>
      <c r="Z59" s="7">
        <f t="shared" si="11"/>
        <v>0</v>
      </c>
      <c r="AA59" s="23">
        <v>19.06914282116</v>
      </c>
      <c r="AB59" s="29">
        <v>20.729999827290001</v>
      </c>
    </row>
    <row r="60" spans="1:28" x14ac:dyDescent="0.35">
      <c r="A60" s="10" t="s">
        <v>46</v>
      </c>
      <c r="B60" s="15" t="s">
        <v>64</v>
      </c>
      <c r="C60" s="6">
        <f t="shared" si="12"/>
        <v>0</v>
      </c>
      <c r="D60" s="11">
        <f>[1]data!D61-[1]data!D22</f>
        <v>0</v>
      </c>
      <c r="E60" s="16">
        <f>[1]data!E61-[1]data!E22</f>
        <v>0</v>
      </c>
      <c r="F60" s="16">
        <f>[1]data!F61-[1]data!F22</f>
        <v>0</v>
      </c>
      <c r="G60" s="8">
        <f t="shared" si="13"/>
        <v>0</v>
      </c>
      <c r="H60" s="16">
        <f>[1]data!H61-[1]data!H22</f>
        <v>0</v>
      </c>
      <c r="I60" s="16">
        <f>[1]data!I61-[1]data!I22</f>
        <v>0</v>
      </c>
      <c r="J60" s="16">
        <f>[1]data!J61-[1]data!J22</f>
        <v>0</v>
      </c>
      <c r="K60" s="8">
        <f t="shared" si="14"/>
        <v>0</v>
      </c>
      <c r="L60" s="8">
        <f t="shared" si="14"/>
        <v>0</v>
      </c>
      <c r="M60" s="7">
        <f t="shared" si="0"/>
        <v>0</v>
      </c>
      <c r="N60" s="7">
        <f t="shared" si="1"/>
        <v>0</v>
      </c>
      <c r="O60" s="7">
        <f t="shared" si="2"/>
        <v>0</v>
      </c>
      <c r="P60" s="7">
        <f t="shared" si="3"/>
        <v>0</v>
      </c>
      <c r="Q60" s="7">
        <f t="shared" si="4"/>
        <v>0</v>
      </c>
      <c r="R60" s="7">
        <f t="shared" si="5"/>
        <v>0</v>
      </c>
      <c r="S60" s="8">
        <f t="shared" si="15"/>
        <v>0</v>
      </c>
      <c r="T60" s="8">
        <f t="shared" si="15"/>
        <v>0</v>
      </c>
      <c r="U60" s="7">
        <f t="shared" si="6"/>
        <v>0</v>
      </c>
      <c r="V60" s="7">
        <f t="shared" si="7"/>
        <v>0</v>
      </c>
      <c r="W60" s="7">
        <f t="shared" si="8"/>
        <v>0</v>
      </c>
      <c r="X60" s="7">
        <f t="shared" si="9"/>
        <v>0</v>
      </c>
      <c r="Y60" s="7">
        <f t="shared" si="10"/>
        <v>0</v>
      </c>
      <c r="Z60" s="7">
        <f t="shared" si="11"/>
        <v>0</v>
      </c>
      <c r="AA60" s="23">
        <v>417.89075855828003</v>
      </c>
      <c r="AB60" s="29">
        <v>371.46659669328</v>
      </c>
    </row>
    <row r="61" spans="1:28" x14ac:dyDescent="0.35">
      <c r="A61" s="10" t="s">
        <v>47</v>
      </c>
      <c r="B61" s="15" t="s">
        <v>64</v>
      </c>
      <c r="C61" s="6">
        <f t="shared" si="12"/>
        <v>0</v>
      </c>
      <c r="D61" s="11">
        <f>[1]data!D62-[1]data!D23</f>
        <v>0</v>
      </c>
      <c r="E61" s="16">
        <f>[1]data!E62-[1]data!E23</f>
        <v>0</v>
      </c>
      <c r="F61" s="16">
        <f>[1]data!F62-[1]data!F23</f>
        <v>0</v>
      </c>
      <c r="G61" s="8">
        <f t="shared" si="13"/>
        <v>0</v>
      </c>
      <c r="H61" s="16">
        <f>[1]data!H62-[1]data!H23</f>
        <v>0</v>
      </c>
      <c r="I61" s="16">
        <f>[1]data!I62-[1]data!I23</f>
        <v>0</v>
      </c>
      <c r="J61" s="16">
        <f>[1]data!J62-[1]data!J23</f>
        <v>0</v>
      </c>
      <c r="K61" s="8">
        <f t="shared" si="14"/>
        <v>0</v>
      </c>
      <c r="L61" s="8">
        <f t="shared" si="14"/>
        <v>0</v>
      </c>
      <c r="M61" s="7">
        <f t="shared" si="0"/>
        <v>0</v>
      </c>
      <c r="N61" s="7">
        <f t="shared" si="1"/>
        <v>0</v>
      </c>
      <c r="O61" s="7">
        <f t="shared" si="2"/>
        <v>0</v>
      </c>
      <c r="P61" s="7">
        <f t="shared" si="3"/>
        <v>0</v>
      </c>
      <c r="Q61" s="7">
        <f t="shared" si="4"/>
        <v>0</v>
      </c>
      <c r="R61" s="7">
        <f t="shared" si="5"/>
        <v>0</v>
      </c>
      <c r="S61" s="8">
        <f t="shared" si="15"/>
        <v>0</v>
      </c>
      <c r="T61" s="8">
        <f t="shared" si="15"/>
        <v>0</v>
      </c>
      <c r="U61" s="7">
        <f t="shared" si="6"/>
        <v>0</v>
      </c>
      <c r="V61" s="7">
        <f t="shared" si="7"/>
        <v>0</v>
      </c>
      <c r="W61" s="7">
        <f t="shared" si="8"/>
        <v>0</v>
      </c>
      <c r="X61" s="7">
        <f t="shared" si="9"/>
        <v>0</v>
      </c>
      <c r="Y61" s="7">
        <f t="shared" si="10"/>
        <v>0</v>
      </c>
      <c r="Z61" s="7">
        <f t="shared" si="11"/>
        <v>0</v>
      </c>
      <c r="AA61" s="23">
        <v>342.39670930134002</v>
      </c>
      <c r="AB61" s="29">
        <v>358.46025273358998</v>
      </c>
    </row>
    <row r="62" spans="1:28" x14ac:dyDescent="0.35">
      <c r="A62" s="10" t="s">
        <v>48</v>
      </c>
      <c r="B62" s="15" t="s">
        <v>64</v>
      </c>
      <c r="C62" s="6">
        <f t="shared" si="12"/>
        <v>0</v>
      </c>
      <c r="D62" s="11">
        <f>[1]data!D63-[1]data!D24</f>
        <v>0</v>
      </c>
      <c r="E62" s="16">
        <f>[1]data!E63-[1]data!E24</f>
        <v>0</v>
      </c>
      <c r="F62" s="16">
        <f>[1]data!F63-[1]data!F24</f>
        <v>0</v>
      </c>
      <c r="G62" s="8">
        <f t="shared" si="13"/>
        <v>0</v>
      </c>
      <c r="H62" s="16">
        <f>[1]data!H63-[1]data!H24</f>
        <v>0</v>
      </c>
      <c r="I62" s="16">
        <f>[1]data!I63-[1]data!I24</f>
        <v>0</v>
      </c>
      <c r="J62" s="16">
        <f>[1]data!J63-[1]data!J24</f>
        <v>0</v>
      </c>
      <c r="K62" s="8">
        <f t="shared" si="14"/>
        <v>0</v>
      </c>
      <c r="L62" s="8">
        <f t="shared" si="14"/>
        <v>0</v>
      </c>
      <c r="M62" s="7">
        <f t="shared" si="0"/>
        <v>0</v>
      </c>
      <c r="N62" s="7">
        <f t="shared" si="1"/>
        <v>0</v>
      </c>
      <c r="O62" s="7">
        <f t="shared" si="2"/>
        <v>0</v>
      </c>
      <c r="P62" s="7">
        <f t="shared" si="3"/>
        <v>0</v>
      </c>
      <c r="Q62" s="7">
        <f t="shared" si="4"/>
        <v>0</v>
      </c>
      <c r="R62" s="7">
        <f t="shared" si="5"/>
        <v>0</v>
      </c>
      <c r="S62" s="8">
        <f t="shared" si="15"/>
        <v>0</v>
      </c>
      <c r="T62" s="8">
        <f t="shared" si="15"/>
        <v>0</v>
      </c>
      <c r="U62" s="7">
        <f t="shared" si="6"/>
        <v>0</v>
      </c>
      <c r="V62" s="7">
        <f t="shared" si="7"/>
        <v>0</v>
      </c>
      <c r="W62" s="7">
        <f t="shared" si="8"/>
        <v>0</v>
      </c>
      <c r="X62" s="7">
        <f t="shared" si="9"/>
        <v>0</v>
      </c>
      <c r="Y62" s="7">
        <f t="shared" si="10"/>
        <v>0</v>
      </c>
      <c r="Z62" s="7">
        <f t="shared" si="11"/>
        <v>0</v>
      </c>
      <c r="AA62" s="25">
        <v>55.422589739999999</v>
      </c>
      <c r="AB62" s="29">
        <v>30.160077523049999</v>
      </c>
    </row>
    <row r="63" spans="1:28" x14ac:dyDescent="0.35">
      <c r="A63" s="10" t="s">
        <v>49</v>
      </c>
      <c r="B63" s="15" t="s">
        <v>64</v>
      </c>
      <c r="C63" s="6">
        <f t="shared" si="12"/>
        <v>0</v>
      </c>
      <c r="D63" s="11">
        <f>[1]data!D64-[1]data!D25</f>
        <v>0</v>
      </c>
      <c r="E63" s="16">
        <f>[1]data!E64-[1]data!E25</f>
        <v>0</v>
      </c>
      <c r="F63" s="16">
        <f>[1]data!F64-[1]data!F25</f>
        <v>0</v>
      </c>
      <c r="G63" s="8">
        <f t="shared" si="13"/>
        <v>0</v>
      </c>
      <c r="H63" s="16">
        <f>[1]data!H64-[1]data!H25</f>
        <v>0</v>
      </c>
      <c r="I63" s="16">
        <f>[1]data!I64-[1]data!I25</f>
        <v>0</v>
      </c>
      <c r="J63" s="16">
        <f>[1]data!J64-[1]data!J25</f>
        <v>0</v>
      </c>
      <c r="K63" s="8">
        <f t="shared" si="14"/>
        <v>0</v>
      </c>
      <c r="L63" s="8">
        <f t="shared" si="14"/>
        <v>0</v>
      </c>
      <c r="M63" s="7">
        <f t="shared" si="0"/>
        <v>0</v>
      </c>
      <c r="N63" s="7">
        <f t="shared" si="1"/>
        <v>0</v>
      </c>
      <c r="O63" s="7">
        <f t="shared" si="2"/>
        <v>0</v>
      </c>
      <c r="P63" s="7">
        <f t="shared" si="3"/>
        <v>0</v>
      </c>
      <c r="Q63" s="7">
        <f t="shared" si="4"/>
        <v>0</v>
      </c>
      <c r="R63" s="7">
        <f t="shared" si="5"/>
        <v>0</v>
      </c>
      <c r="S63" s="8">
        <f t="shared" si="15"/>
        <v>0</v>
      </c>
      <c r="T63" s="8">
        <f t="shared" si="15"/>
        <v>0</v>
      </c>
      <c r="U63" s="7">
        <f t="shared" si="6"/>
        <v>0</v>
      </c>
      <c r="V63" s="7">
        <f t="shared" si="7"/>
        <v>0</v>
      </c>
      <c r="W63" s="7">
        <f t="shared" si="8"/>
        <v>0</v>
      </c>
      <c r="X63" s="7">
        <f t="shared" si="9"/>
        <v>0</v>
      </c>
      <c r="Y63" s="7">
        <f t="shared" si="10"/>
        <v>0</v>
      </c>
      <c r="Z63" s="7">
        <f t="shared" si="11"/>
        <v>0</v>
      </c>
      <c r="AA63" s="23">
        <v>97.136073348400004</v>
      </c>
      <c r="AB63" s="29">
        <v>48.216768505140003</v>
      </c>
    </row>
    <row r="64" spans="1:28" x14ac:dyDescent="0.35">
      <c r="A64" s="10" t="s">
        <v>50</v>
      </c>
      <c r="B64" s="15" t="s">
        <v>64</v>
      </c>
      <c r="C64" s="6">
        <f t="shared" si="12"/>
        <v>0</v>
      </c>
      <c r="D64" s="11">
        <f>[1]data!D65-[1]data!D26</f>
        <v>0</v>
      </c>
      <c r="E64" s="16">
        <f>[1]data!E65-[1]data!E26</f>
        <v>0</v>
      </c>
      <c r="F64" s="16">
        <f>[1]data!F65-[1]data!F26</f>
        <v>0</v>
      </c>
      <c r="G64" s="8">
        <f t="shared" si="13"/>
        <v>0</v>
      </c>
      <c r="H64" s="16">
        <f>[1]data!H65-[1]data!H26</f>
        <v>0</v>
      </c>
      <c r="I64" s="16">
        <f>[1]data!I65-[1]data!I26</f>
        <v>0</v>
      </c>
      <c r="J64" s="16">
        <f>[1]data!J65-[1]data!J26</f>
        <v>0</v>
      </c>
      <c r="K64" s="8">
        <f t="shared" si="14"/>
        <v>0</v>
      </c>
      <c r="L64" s="8">
        <f t="shared" si="14"/>
        <v>0</v>
      </c>
      <c r="M64" s="7">
        <f t="shared" si="0"/>
        <v>0</v>
      </c>
      <c r="N64" s="7">
        <f t="shared" si="1"/>
        <v>0</v>
      </c>
      <c r="O64" s="7">
        <f t="shared" si="2"/>
        <v>0</v>
      </c>
      <c r="P64" s="7">
        <f t="shared" si="3"/>
        <v>0</v>
      </c>
      <c r="Q64" s="7">
        <f t="shared" si="4"/>
        <v>0</v>
      </c>
      <c r="R64" s="7">
        <f t="shared" si="5"/>
        <v>0</v>
      </c>
      <c r="S64" s="8">
        <f t="shared" si="15"/>
        <v>0</v>
      </c>
      <c r="T64" s="8">
        <f t="shared" si="15"/>
        <v>0</v>
      </c>
      <c r="U64" s="7">
        <f t="shared" si="6"/>
        <v>0</v>
      </c>
      <c r="V64" s="7">
        <f t="shared" si="7"/>
        <v>0</v>
      </c>
      <c r="W64" s="7">
        <f t="shared" si="8"/>
        <v>0</v>
      </c>
      <c r="X64" s="7">
        <f t="shared" si="9"/>
        <v>0</v>
      </c>
      <c r="Y64" s="7">
        <f t="shared" si="10"/>
        <v>0</v>
      </c>
      <c r="Z64" s="7">
        <f t="shared" si="11"/>
        <v>0</v>
      </c>
      <c r="AA64" s="23">
        <v>66.343484468840003</v>
      </c>
      <c r="AB64" s="29">
        <v>66.557495896739994</v>
      </c>
    </row>
    <row r="65" spans="1:28" x14ac:dyDescent="0.35">
      <c r="A65" s="10" t="s">
        <v>51</v>
      </c>
      <c r="B65" s="15" t="s">
        <v>64</v>
      </c>
      <c r="C65" s="6">
        <f t="shared" si="12"/>
        <v>11.987077390271075</v>
      </c>
      <c r="D65" s="11">
        <f>[1]data!D66-[1]data!D27</f>
        <v>0.76498244929870585</v>
      </c>
      <c r="E65" s="16">
        <f>[1]data!E66-[1]data!E27</f>
        <v>11.222094940972369</v>
      </c>
      <c r="F65" s="16">
        <f>[1]data!F66-[1]data!F27</f>
        <v>-14.13464226231639</v>
      </c>
      <c r="G65" s="8">
        <f t="shared" si="13"/>
        <v>33.440661355057721</v>
      </c>
      <c r="H65" s="16">
        <f>[1]data!H66-[1]data!H27</f>
        <v>0</v>
      </c>
      <c r="I65" s="16">
        <f>[1]data!I66-[1]data!I27</f>
        <v>33.440661355057721</v>
      </c>
      <c r="J65" s="16">
        <f>[1]data!J66-[1]data!J27</f>
        <v>0</v>
      </c>
      <c r="K65" s="8">
        <f t="shared" si="14"/>
        <v>1.4266077091702383</v>
      </c>
      <c r="L65" s="8">
        <f t="shared" si="14"/>
        <v>1.2855595861995615</v>
      </c>
      <c r="M65" s="7">
        <f t="shared" si="0"/>
        <v>9.1042196860696603E-2</v>
      </c>
      <c r="N65" s="7">
        <f t="shared" si="1"/>
        <v>8.2040891949904396E-2</v>
      </c>
      <c r="O65" s="7">
        <f t="shared" si="2"/>
        <v>1.3355655123095416</v>
      </c>
      <c r="P65" s="7">
        <f t="shared" si="3"/>
        <v>1.203518694249657</v>
      </c>
      <c r="Q65" s="7">
        <f t="shared" si="4"/>
        <v>-1.6821939961904273</v>
      </c>
      <c r="R65" s="7">
        <f t="shared" si="5"/>
        <v>-1.5158761611541889</v>
      </c>
      <c r="S65" s="8">
        <f t="shared" si="15"/>
        <v>3.9798446056247383</v>
      </c>
      <c r="T65" s="8">
        <f t="shared" si="15"/>
        <v>3.5863589909529647</v>
      </c>
      <c r="U65" s="7">
        <f t="shared" si="6"/>
        <v>0</v>
      </c>
      <c r="V65" s="7">
        <f t="shared" si="7"/>
        <v>0</v>
      </c>
      <c r="W65" s="7">
        <f t="shared" si="8"/>
        <v>3.9798446056247383</v>
      </c>
      <c r="X65" s="7">
        <f t="shared" si="9"/>
        <v>3.5863589909529647</v>
      </c>
      <c r="Y65" s="7">
        <f t="shared" si="10"/>
        <v>0</v>
      </c>
      <c r="Z65" s="7">
        <f t="shared" si="11"/>
        <v>0</v>
      </c>
      <c r="AA65" s="23">
        <v>932.44043441874999</v>
      </c>
      <c r="AB65" s="29">
        <v>840.25042856688003</v>
      </c>
    </row>
    <row r="66" spans="1:28" x14ac:dyDescent="0.35">
      <c r="A66" s="10" t="s">
        <v>52</v>
      </c>
      <c r="B66" s="15" t="s">
        <v>64</v>
      </c>
      <c r="C66" s="6">
        <f t="shared" si="12"/>
        <v>26.55939511122217</v>
      </c>
      <c r="D66" s="11">
        <f>[1]data!D67-[1]data!D28</f>
        <v>0.199134188698951</v>
      </c>
      <c r="E66" s="16">
        <f>[1]data!E67-[1]data!E28</f>
        <v>26.360260922523217</v>
      </c>
      <c r="F66" s="16">
        <f>[1]data!F67-[1]data!F28</f>
        <v>0</v>
      </c>
      <c r="G66" s="8">
        <f t="shared" si="13"/>
        <v>0.10277359010924991</v>
      </c>
      <c r="H66" s="16">
        <f>[1]data!H67-[1]data!H28</f>
        <v>0</v>
      </c>
      <c r="I66" s="16">
        <f>[1]data!I67-[1]data!I28</f>
        <v>0.10277359010924991</v>
      </c>
      <c r="J66" s="16">
        <f>[1]data!J67-[1]data!J28</f>
        <v>0</v>
      </c>
      <c r="K66" s="8">
        <f t="shared" si="14"/>
        <v>13.087372885236775</v>
      </c>
      <c r="L66" s="8">
        <f t="shared" si="14"/>
        <v>13.692258656095321</v>
      </c>
      <c r="M66" s="7">
        <f t="shared" ref="M66:M129" si="16">($D66/$AB66)*100</f>
        <v>9.8125103029966909E-2</v>
      </c>
      <c r="N66" s="7">
        <f t="shared" ref="N66:N129" si="17">($D66/$AA66)*100</f>
        <v>0.10266035079186193</v>
      </c>
      <c r="O66" s="7">
        <f t="shared" ref="O66:O129" si="18">($E66/$AB66)*100</f>
        <v>12.989247782206808</v>
      </c>
      <c r="P66" s="7">
        <f t="shared" ref="P66:P129" si="19">($E66/$AA66)*100</f>
        <v>13.589598305303459</v>
      </c>
      <c r="Q66" s="17">
        <f t="shared" ref="Q66:Q129" si="20">($F66/$AB66)*100</f>
        <v>0</v>
      </c>
      <c r="R66" s="7">
        <f t="shared" ref="R66:R129" si="21">($F66/$AA66)*100</f>
        <v>0</v>
      </c>
      <c r="S66" s="8">
        <f t="shared" si="15"/>
        <v>5.0642580182329373E-2</v>
      </c>
      <c r="T66" s="8">
        <f t="shared" si="15"/>
        <v>5.2983231466622628E-2</v>
      </c>
      <c r="U66" s="7">
        <f t="shared" ref="U66:U129" si="22">($H66/$AB66)*100</f>
        <v>0</v>
      </c>
      <c r="V66" s="7">
        <f t="shared" ref="V66:V129" si="23">($H66/AA66)*100</f>
        <v>0</v>
      </c>
      <c r="W66" s="7">
        <f t="shared" ref="W66:W129" si="24">($I66/$AB66)*100</f>
        <v>5.0642580182329373E-2</v>
      </c>
      <c r="X66" s="7">
        <f t="shared" ref="X66:X129" si="25">($I66/$AA66)*100</f>
        <v>5.2983231466622628E-2</v>
      </c>
      <c r="Y66" s="7">
        <f t="shared" ref="Y66:Y129" si="26">($J66/$AB66)*100</f>
        <v>0</v>
      </c>
      <c r="Z66" s="7">
        <f t="shared" ref="Z66:Z129" si="27">($J66/$AA66)*100</f>
        <v>0</v>
      </c>
      <c r="AA66" s="23">
        <v>193.97380504054999</v>
      </c>
      <c r="AB66" s="29">
        <v>202.93908750153</v>
      </c>
    </row>
    <row r="67" spans="1:28" x14ac:dyDescent="0.35">
      <c r="A67" s="10" t="s">
        <v>53</v>
      </c>
      <c r="B67" s="15" t="s">
        <v>64</v>
      </c>
      <c r="C67" s="6">
        <f t="shared" ref="C67:C130" si="28">D67+E67</f>
        <v>0</v>
      </c>
      <c r="D67" s="11">
        <f>[1]data!D68-[1]data!D29</f>
        <v>0</v>
      </c>
      <c r="E67" s="16">
        <f>[1]data!E68-[1]data!E29</f>
        <v>0</v>
      </c>
      <c r="F67" s="16">
        <f>[1]data!F68-[1]data!F29</f>
        <v>0</v>
      </c>
      <c r="G67" s="8">
        <f t="shared" ref="G67:G130" si="29">H67+I67</f>
        <v>2.9682579814944807</v>
      </c>
      <c r="H67" s="16">
        <f>[1]data!H68-[1]data!H29</f>
        <v>2.4241207874871051E-2</v>
      </c>
      <c r="I67" s="16">
        <f>[1]data!I68-[1]data!I29</f>
        <v>2.9440167736196097</v>
      </c>
      <c r="J67" s="16">
        <f>[1]data!J68-[1]data!J29</f>
        <v>0</v>
      </c>
      <c r="K67" s="8">
        <f t="shared" ref="K67:L82" si="30">M67+O67</f>
        <v>0</v>
      </c>
      <c r="L67" s="8">
        <f t="shared" si="30"/>
        <v>0</v>
      </c>
      <c r="M67" s="7">
        <f t="shared" si="16"/>
        <v>0</v>
      </c>
      <c r="N67" s="7">
        <f t="shared" si="17"/>
        <v>0</v>
      </c>
      <c r="O67" s="7">
        <f t="shared" si="18"/>
        <v>0</v>
      </c>
      <c r="P67" s="7">
        <f t="shared" si="19"/>
        <v>0</v>
      </c>
      <c r="Q67" s="7">
        <f t="shared" si="20"/>
        <v>0</v>
      </c>
      <c r="R67" s="7">
        <f t="shared" si="21"/>
        <v>0</v>
      </c>
      <c r="S67" s="8">
        <f t="shared" ref="S67:T82" si="31">U67+W67</f>
        <v>0.72352536355880148</v>
      </c>
      <c r="T67" s="8">
        <f t="shared" si="31"/>
        <v>0.89823563251105643</v>
      </c>
      <c r="U67" s="7">
        <f t="shared" si="22"/>
        <v>5.9088963459772549E-3</v>
      </c>
      <c r="V67" s="7">
        <f t="shared" si="23"/>
        <v>7.3357224419400725E-3</v>
      </c>
      <c r="W67" s="7">
        <f t="shared" si="24"/>
        <v>0.71761646721282424</v>
      </c>
      <c r="X67" s="7">
        <f t="shared" si="25"/>
        <v>0.8908999100691164</v>
      </c>
      <c r="Y67" s="7">
        <f t="shared" si="26"/>
        <v>0</v>
      </c>
      <c r="Z67" s="7">
        <f t="shared" si="27"/>
        <v>0</v>
      </c>
      <c r="AA67" s="23">
        <v>330.45426768437</v>
      </c>
      <c r="AB67" s="29">
        <v>410.24933347112</v>
      </c>
    </row>
    <row r="68" spans="1:28" x14ac:dyDescent="0.35">
      <c r="A68" s="10" t="s">
        <v>54</v>
      </c>
      <c r="B68" s="15" t="s">
        <v>64</v>
      </c>
      <c r="C68" s="6">
        <f t="shared" si="28"/>
        <v>0</v>
      </c>
      <c r="D68" s="11">
        <f>[1]data!D69-[1]data!D30</f>
        <v>0</v>
      </c>
      <c r="E68" s="16">
        <f>[1]data!E69-[1]data!E30</f>
        <v>0</v>
      </c>
      <c r="F68" s="16">
        <f>[1]data!F69-[1]data!F30</f>
        <v>-3.8694074328850192E-2</v>
      </c>
      <c r="G68" s="8">
        <f t="shared" si="29"/>
        <v>0</v>
      </c>
      <c r="H68" s="16">
        <f>[1]data!H69-[1]data!H30</f>
        <v>0</v>
      </c>
      <c r="I68" s="16">
        <f>[1]data!I69-[1]data!I30</f>
        <v>0</v>
      </c>
      <c r="J68" s="16">
        <f>[1]data!J69-[1]data!J30</f>
        <v>0</v>
      </c>
      <c r="K68" s="8">
        <f t="shared" si="30"/>
        <v>0</v>
      </c>
      <c r="L68" s="8">
        <f t="shared" si="30"/>
        <v>0</v>
      </c>
      <c r="M68" s="7">
        <f t="shared" si="16"/>
        <v>0</v>
      </c>
      <c r="N68" s="7">
        <f t="shared" si="17"/>
        <v>0</v>
      </c>
      <c r="O68" s="7">
        <f t="shared" si="18"/>
        <v>0</v>
      </c>
      <c r="P68" s="7">
        <f t="shared" si="19"/>
        <v>0</v>
      </c>
      <c r="Q68" s="7">
        <f t="shared" si="20"/>
        <v>-1.7401358131868355E-2</v>
      </c>
      <c r="R68" s="7">
        <f t="shared" si="21"/>
        <v>-1.1340055200862661E-2</v>
      </c>
      <c r="S68" s="8">
        <f t="shared" si="31"/>
        <v>0</v>
      </c>
      <c r="T68" s="8">
        <f t="shared" si="31"/>
        <v>0</v>
      </c>
      <c r="U68" s="7">
        <f t="shared" si="22"/>
        <v>0</v>
      </c>
      <c r="V68" s="7">
        <f t="shared" si="23"/>
        <v>0</v>
      </c>
      <c r="W68" s="7">
        <f t="shared" si="24"/>
        <v>0</v>
      </c>
      <c r="X68" s="7">
        <f t="shared" si="25"/>
        <v>0</v>
      </c>
      <c r="Y68" s="7">
        <f t="shared" si="26"/>
        <v>0</v>
      </c>
      <c r="Z68" s="7">
        <f t="shared" si="27"/>
        <v>0</v>
      </c>
      <c r="AA68" s="23">
        <v>341.21592570296002</v>
      </c>
      <c r="AB68" s="29">
        <v>222.36238134761999</v>
      </c>
    </row>
    <row r="69" spans="1:28" x14ac:dyDescent="0.35">
      <c r="A69" s="10" t="s">
        <v>55</v>
      </c>
      <c r="B69" s="15" t="s">
        <v>64</v>
      </c>
      <c r="C69" s="6">
        <f t="shared" si="28"/>
        <v>0</v>
      </c>
      <c r="D69" s="11">
        <f>[1]data!D70-[1]data!D31</f>
        <v>0</v>
      </c>
      <c r="E69" s="16">
        <f>[1]data!E70-[1]data!E31</f>
        <v>0</v>
      </c>
      <c r="F69" s="16">
        <f>[1]data!F70-[1]data!F31</f>
        <v>0</v>
      </c>
      <c r="G69" s="8">
        <f t="shared" si="29"/>
        <v>0</v>
      </c>
      <c r="H69" s="16">
        <f>[1]data!H70-[1]data!H31</f>
        <v>0</v>
      </c>
      <c r="I69" s="16">
        <f>[1]data!I70-[1]data!I31</f>
        <v>0</v>
      </c>
      <c r="J69" s="16">
        <f>[1]data!J70-[1]data!J31</f>
        <v>0</v>
      </c>
      <c r="K69" s="8">
        <f t="shared" si="30"/>
        <v>0</v>
      </c>
      <c r="L69" s="8">
        <f t="shared" si="30"/>
        <v>0</v>
      </c>
      <c r="M69" s="7">
        <f t="shared" si="16"/>
        <v>0</v>
      </c>
      <c r="N69" s="7">
        <f t="shared" si="17"/>
        <v>0</v>
      </c>
      <c r="O69" s="7">
        <f t="shared" si="18"/>
        <v>0</v>
      </c>
      <c r="P69" s="7">
        <f t="shared" si="19"/>
        <v>0</v>
      </c>
      <c r="Q69" s="7">
        <f t="shared" si="20"/>
        <v>0</v>
      </c>
      <c r="R69" s="7">
        <f t="shared" si="21"/>
        <v>0</v>
      </c>
      <c r="S69" s="8">
        <f t="shared" si="31"/>
        <v>0</v>
      </c>
      <c r="T69" s="8">
        <f t="shared" si="31"/>
        <v>0</v>
      </c>
      <c r="U69" s="7">
        <f t="shared" si="22"/>
        <v>0</v>
      </c>
      <c r="V69" s="7">
        <f t="shared" si="23"/>
        <v>0</v>
      </c>
      <c r="W69" s="7">
        <f t="shared" si="24"/>
        <v>0</v>
      </c>
      <c r="X69" s="7">
        <f t="shared" si="25"/>
        <v>0</v>
      </c>
      <c r="Y69" s="7">
        <f t="shared" si="26"/>
        <v>0</v>
      </c>
      <c r="Z69" s="7">
        <f t="shared" si="27"/>
        <v>0</v>
      </c>
      <c r="AA69" s="23">
        <v>181.71174374815001</v>
      </c>
      <c r="AB69" s="29">
        <v>99.489061173690004</v>
      </c>
    </row>
    <row r="70" spans="1:28" x14ac:dyDescent="0.35">
      <c r="A70" s="10" t="s">
        <v>56</v>
      </c>
      <c r="B70" s="15" t="s">
        <v>64</v>
      </c>
      <c r="C70" s="6">
        <f t="shared" si="28"/>
        <v>0</v>
      </c>
      <c r="D70" s="11">
        <f>[1]data!D71-[1]data!D32</f>
        <v>0</v>
      </c>
      <c r="E70" s="16">
        <f>[1]data!E71-[1]data!E32</f>
        <v>0</v>
      </c>
      <c r="F70" s="16">
        <f>[1]data!F71-[1]data!F32</f>
        <v>0</v>
      </c>
      <c r="G70" s="18">
        <f t="shared" si="29"/>
        <v>0</v>
      </c>
      <c r="H70" s="16">
        <f>[1]data!H71-[1]data!H32</f>
        <v>0</v>
      </c>
      <c r="I70" s="16">
        <f>[1]data!I71-[1]data!I32</f>
        <v>0</v>
      </c>
      <c r="J70" s="16">
        <f>[1]data!J71-[1]data!J32</f>
        <v>0</v>
      </c>
      <c r="K70" s="8">
        <f t="shared" si="30"/>
        <v>0</v>
      </c>
      <c r="L70" s="8">
        <f t="shared" si="30"/>
        <v>0</v>
      </c>
      <c r="M70" s="7">
        <f t="shared" si="16"/>
        <v>0</v>
      </c>
      <c r="N70" s="7">
        <f t="shared" si="17"/>
        <v>0</v>
      </c>
      <c r="O70" s="7">
        <f t="shared" si="18"/>
        <v>0</v>
      </c>
      <c r="P70" s="7">
        <f t="shared" si="19"/>
        <v>0</v>
      </c>
      <c r="Q70" s="7">
        <f t="shared" si="20"/>
        <v>0</v>
      </c>
      <c r="R70" s="7">
        <f t="shared" si="21"/>
        <v>0</v>
      </c>
      <c r="S70" s="8">
        <f t="shared" si="31"/>
        <v>0</v>
      </c>
      <c r="T70" s="8">
        <f t="shared" si="31"/>
        <v>0</v>
      </c>
      <c r="U70" s="7">
        <f t="shared" si="22"/>
        <v>0</v>
      </c>
      <c r="V70" s="7">
        <f t="shared" si="23"/>
        <v>0</v>
      </c>
      <c r="W70" s="7">
        <f t="shared" si="24"/>
        <v>0</v>
      </c>
      <c r="X70" s="7">
        <f t="shared" si="25"/>
        <v>0</v>
      </c>
      <c r="Y70" s="7">
        <f t="shared" si="26"/>
        <v>0</v>
      </c>
      <c r="Z70" s="7">
        <f t="shared" si="27"/>
        <v>0</v>
      </c>
      <c r="AA70" s="23">
        <v>76.037366075549997</v>
      </c>
      <c r="AB70" s="29">
        <v>50.417977728389999</v>
      </c>
    </row>
    <row r="71" spans="1:28" x14ac:dyDescent="0.35">
      <c r="A71" s="10" t="s">
        <v>57</v>
      </c>
      <c r="B71" s="15" t="s">
        <v>64</v>
      </c>
      <c r="C71" s="6">
        <f t="shared" si="28"/>
        <v>8.7938086358329333</v>
      </c>
      <c r="D71" s="11">
        <f>[1]data!D72-[1]data!D33</f>
        <v>1.5449973683666396</v>
      </c>
      <c r="E71" s="16">
        <f>[1]data!E72-[1]data!E33</f>
        <v>7.2488112674662943</v>
      </c>
      <c r="F71" s="16">
        <f>[1]data!F72-[1]data!F33</f>
        <v>34.112156247618515</v>
      </c>
      <c r="G71" s="8">
        <f t="shared" si="29"/>
        <v>0</v>
      </c>
      <c r="H71" s="16">
        <f>[1]data!H72-[1]data!H33</f>
        <v>0</v>
      </c>
      <c r="I71" s="16">
        <f>[1]data!I72-[1]data!I33</f>
        <v>0</v>
      </c>
      <c r="J71" s="16">
        <f>[1]data!J72-[1]data!J33</f>
        <v>0</v>
      </c>
      <c r="K71" s="8">
        <f t="shared" si="30"/>
        <v>1.5993940075758601</v>
      </c>
      <c r="L71" s="8">
        <f t="shared" si="30"/>
        <v>1.6878565908891707</v>
      </c>
      <c r="M71" s="7">
        <f t="shared" si="16"/>
        <v>0.28099992108277472</v>
      </c>
      <c r="N71" s="7">
        <f t="shared" si="17"/>
        <v>0.29654204441953458</v>
      </c>
      <c r="O71" s="7">
        <f t="shared" si="18"/>
        <v>1.3183940864930854</v>
      </c>
      <c r="P71" s="7">
        <f t="shared" si="19"/>
        <v>1.3913145464696361</v>
      </c>
      <c r="Q71" s="7">
        <f t="shared" si="20"/>
        <v>6.2042262399953607</v>
      </c>
      <c r="R71" s="7">
        <f t="shared" si="21"/>
        <v>6.5473823841665366</v>
      </c>
      <c r="S71" s="8">
        <f t="shared" si="31"/>
        <v>0</v>
      </c>
      <c r="T71" s="8">
        <f t="shared" si="31"/>
        <v>0</v>
      </c>
      <c r="U71" s="7">
        <f t="shared" si="22"/>
        <v>0</v>
      </c>
      <c r="V71" s="7">
        <f t="shared" si="23"/>
        <v>0</v>
      </c>
      <c r="W71" s="7">
        <f t="shared" si="24"/>
        <v>0</v>
      </c>
      <c r="X71" s="7">
        <f t="shared" si="25"/>
        <v>0</v>
      </c>
      <c r="Y71" s="7">
        <f t="shared" si="26"/>
        <v>0</v>
      </c>
      <c r="Z71" s="7">
        <f t="shared" si="27"/>
        <v>0</v>
      </c>
      <c r="AA71" s="23">
        <v>521.00449074291998</v>
      </c>
      <c r="AB71" s="29">
        <v>549.82128194673999</v>
      </c>
    </row>
    <row r="72" spans="1:28" x14ac:dyDescent="0.35">
      <c r="A72" s="10" t="s">
        <v>58</v>
      </c>
      <c r="B72" s="15" t="s">
        <v>64</v>
      </c>
      <c r="C72" s="6">
        <f t="shared" si="28"/>
        <v>30.27282054763505</v>
      </c>
      <c r="D72" s="11">
        <f>[1]data!D73-[1]data!D34</f>
        <v>2.6975353066185432</v>
      </c>
      <c r="E72" s="16">
        <f>[1]data!E73-[1]data!E34</f>
        <v>27.575285241016505</v>
      </c>
      <c r="F72" s="16">
        <f>[1]data!F73-[1]data!F34</f>
        <v>0</v>
      </c>
      <c r="G72" s="8">
        <f t="shared" si="29"/>
        <v>0</v>
      </c>
      <c r="H72" s="16">
        <f>[1]data!H73-[1]data!H34</f>
        <v>0</v>
      </c>
      <c r="I72" s="16">
        <f>[1]data!I73-[1]data!I34</f>
        <v>0</v>
      </c>
      <c r="J72" s="16">
        <f>[1]data!J73-[1]data!J34</f>
        <v>0</v>
      </c>
      <c r="K72" s="8">
        <f t="shared" si="30"/>
        <v>4.051990917785762</v>
      </c>
      <c r="L72" s="8">
        <f t="shared" si="30"/>
        <v>5.1239153771523451</v>
      </c>
      <c r="M72" s="7">
        <f t="shared" si="16"/>
        <v>0.3610627739699882</v>
      </c>
      <c r="N72" s="7">
        <f t="shared" si="17"/>
        <v>0.45657928095087619</v>
      </c>
      <c r="O72" s="7">
        <f t="shared" si="18"/>
        <v>3.6909281438157735</v>
      </c>
      <c r="P72" s="7">
        <f t="shared" si="19"/>
        <v>4.6673360962014687</v>
      </c>
      <c r="Q72" s="7">
        <f t="shared" si="20"/>
        <v>0</v>
      </c>
      <c r="R72" s="7">
        <f t="shared" si="21"/>
        <v>0</v>
      </c>
      <c r="S72" s="8">
        <f t="shared" si="31"/>
        <v>0</v>
      </c>
      <c r="T72" s="8">
        <f t="shared" si="31"/>
        <v>0</v>
      </c>
      <c r="U72" s="7">
        <f t="shared" si="22"/>
        <v>0</v>
      </c>
      <c r="V72" s="7">
        <f t="shared" si="23"/>
        <v>0</v>
      </c>
      <c r="W72" s="7">
        <f t="shared" si="24"/>
        <v>0</v>
      </c>
      <c r="X72" s="7">
        <f t="shared" si="25"/>
        <v>0</v>
      </c>
      <c r="Y72" s="7">
        <f t="shared" si="26"/>
        <v>0</v>
      </c>
      <c r="Z72" s="7">
        <f t="shared" si="27"/>
        <v>0</v>
      </c>
      <c r="AA72" s="23">
        <v>590.81421763174001</v>
      </c>
      <c r="AB72" s="29">
        <v>747.10978286638999</v>
      </c>
    </row>
    <row r="73" spans="1:28" x14ac:dyDescent="0.35">
      <c r="A73" s="5" t="s">
        <v>59</v>
      </c>
      <c r="B73" s="15" t="s">
        <v>64</v>
      </c>
      <c r="C73" s="6">
        <f t="shared" si="28"/>
        <v>13.597478788559124</v>
      </c>
      <c r="D73" s="11">
        <f>[1]data!D74-[1]data!D35</f>
        <v>0.72138312864748477</v>
      </c>
      <c r="E73" s="16">
        <f>[1]data!E74-[1]data!E35</f>
        <v>12.876095659911639</v>
      </c>
      <c r="F73" s="16">
        <f>[1]data!F74-[1]data!F35</f>
        <v>-0.90363615542342712</v>
      </c>
      <c r="G73" s="8">
        <f t="shared" si="29"/>
        <v>0</v>
      </c>
      <c r="H73" s="16">
        <f>[1]data!H74-[1]data!H35</f>
        <v>0</v>
      </c>
      <c r="I73" s="16">
        <f>[1]data!I74-[1]data!I35</f>
        <v>0</v>
      </c>
      <c r="J73" s="16">
        <f>[1]data!J74-[1]data!J35</f>
        <v>0</v>
      </c>
      <c r="K73" s="8">
        <f t="shared" si="30"/>
        <v>5.1906806204374938</v>
      </c>
      <c r="L73" s="8">
        <f t="shared" si="30"/>
        <v>3.0813115073237962</v>
      </c>
      <c r="M73" s="7">
        <f t="shared" si="16"/>
        <v>0.2753796850142286</v>
      </c>
      <c r="N73" s="7">
        <f t="shared" si="17"/>
        <v>0.16347193255862985</v>
      </c>
      <c r="O73" s="7">
        <f t="shared" si="18"/>
        <v>4.9153009354232653</v>
      </c>
      <c r="P73" s="7">
        <f t="shared" si="19"/>
        <v>2.9178395747651664</v>
      </c>
      <c r="Q73" s="7">
        <f t="shared" si="20"/>
        <v>-0.34495267489070014</v>
      </c>
      <c r="R73" s="7">
        <f t="shared" si="21"/>
        <v>-0.20477211455426667</v>
      </c>
      <c r="S73" s="8">
        <f t="shared" si="31"/>
        <v>0</v>
      </c>
      <c r="T73" s="8">
        <f t="shared" si="31"/>
        <v>0</v>
      </c>
      <c r="U73" s="7">
        <f t="shared" si="22"/>
        <v>0</v>
      </c>
      <c r="V73" s="7">
        <f t="shared" si="23"/>
        <v>0</v>
      </c>
      <c r="W73" s="7">
        <f t="shared" si="24"/>
        <v>0</v>
      </c>
      <c r="X73" s="7">
        <f t="shared" si="25"/>
        <v>0</v>
      </c>
      <c r="Y73" s="7">
        <f t="shared" si="26"/>
        <v>0</v>
      </c>
      <c r="Z73" s="7">
        <f t="shared" si="27"/>
        <v>0</v>
      </c>
      <c r="AA73" s="23">
        <v>441.28867711817003</v>
      </c>
      <c r="AB73" s="29">
        <v>261.95945739796002</v>
      </c>
    </row>
    <row r="74" spans="1:28" x14ac:dyDescent="0.35">
      <c r="A74" s="5" t="s">
        <v>60</v>
      </c>
      <c r="B74" s="15" t="s">
        <v>64</v>
      </c>
      <c r="C74" s="6">
        <f t="shared" si="28"/>
        <v>3.824337949750285</v>
      </c>
      <c r="D74" s="11">
        <f>[1]data!D75-[1]data!D36</f>
        <v>1.9136139057485111</v>
      </c>
      <c r="E74" s="16">
        <f>[1]data!E75-[1]data!E36</f>
        <v>1.9107240440017739</v>
      </c>
      <c r="F74" s="16">
        <f>[1]data!F75-[1]data!F36</f>
        <v>0.10508588169953384</v>
      </c>
      <c r="G74" s="8">
        <f t="shared" si="29"/>
        <v>0.82028960898366754</v>
      </c>
      <c r="H74" s="16">
        <f>[1]data!H75-[1]data!H36</f>
        <v>0.82028960898366754</v>
      </c>
      <c r="I74" s="16">
        <f>[1]data!I75-[1]data!I36</f>
        <v>0</v>
      </c>
      <c r="J74" s="16">
        <f>[1]data!J75-[1]data!J36</f>
        <v>0</v>
      </c>
      <c r="K74" s="8">
        <f t="shared" si="30"/>
        <v>1.1898790407164512</v>
      </c>
      <c r="L74" s="8">
        <f t="shared" si="30"/>
        <v>0.55387529870065522</v>
      </c>
      <c r="M74" s="7">
        <f t="shared" si="16"/>
        <v>0.59538908652734979</v>
      </c>
      <c r="N74" s="7">
        <f t="shared" si="17"/>
        <v>0.27714691734118102</v>
      </c>
      <c r="O74" s="7">
        <f t="shared" si="18"/>
        <v>0.59448995418910144</v>
      </c>
      <c r="P74" s="7">
        <f t="shared" si="19"/>
        <v>0.27672838135947414</v>
      </c>
      <c r="Q74" s="7">
        <f t="shared" si="20"/>
        <v>3.2695721390848427E-2</v>
      </c>
      <c r="R74" s="7">
        <f t="shared" si="21"/>
        <v>1.5219490243886932E-2</v>
      </c>
      <c r="S74" s="8">
        <f t="shared" si="31"/>
        <v>0.25521944605101943</v>
      </c>
      <c r="T74" s="8">
        <f t="shared" si="31"/>
        <v>0.11880177907042423</v>
      </c>
      <c r="U74" s="7">
        <f t="shared" si="22"/>
        <v>0.25521944605101943</v>
      </c>
      <c r="V74" s="7">
        <f t="shared" si="23"/>
        <v>0.11880177907042423</v>
      </c>
      <c r="W74" s="7">
        <f t="shared" si="24"/>
        <v>0</v>
      </c>
      <c r="X74" s="7">
        <f t="shared" si="25"/>
        <v>0</v>
      </c>
      <c r="Y74" s="7">
        <f t="shared" si="26"/>
        <v>0</v>
      </c>
      <c r="Z74" s="7">
        <f t="shared" si="27"/>
        <v>0</v>
      </c>
      <c r="AA74" s="23">
        <v>690.46912883131995</v>
      </c>
      <c r="AB74" s="29">
        <v>321.40560669490998</v>
      </c>
    </row>
    <row r="75" spans="1:28" x14ac:dyDescent="0.35">
      <c r="A75" s="5" t="s">
        <v>61</v>
      </c>
      <c r="B75" s="15" t="s">
        <v>64</v>
      </c>
      <c r="C75" s="6">
        <f t="shared" si="28"/>
        <v>7.0500000000000007E-2</v>
      </c>
      <c r="D75" s="11">
        <f>[1]data!D76-[1]data!D37</f>
        <v>0</v>
      </c>
      <c r="E75" s="16">
        <f>[1]data!E76-[1]data!E37</f>
        <v>7.0500000000000007E-2</v>
      </c>
      <c r="F75" s="16">
        <f>[1]data!F76-[1]data!F37</f>
        <v>0.40684985167435311</v>
      </c>
      <c r="G75" s="8">
        <f t="shared" si="29"/>
        <v>0</v>
      </c>
      <c r="H75" s="16">
        <f>[1]data!H76-[1]data!H37</f>
        <v>0</v>
      </c>
      <c r="I75" s="16">
        <f>[1]data!I76-[1]data!I37</f>
        <v>0</v>
      </c>
      <c r="J75" s="16">
        <f>[1]data!J76-[1]data!J37</f>
        <v>0</v>
      </c>
      <c r="K75" s="8">
        <f t="shared" si="30"/>
        <v>0.10950181548544397</v>
      </c>
      <c r="L75" s="8">
        <f t="shared" si="30"/>
        <v>7.7274257091454121E-2</v>
      </c>
      <c r="M75" s="7">
        <f t="shared" si="16"/>
        <v>0</v>
      </c>
      <c r="N75" s="7">
        <f t="shared" si="17"/>
        <v>0</v>
      </c>
      <c r="O75" s="7">
        <f t="shared" si="18"/>
        <v>0.10950181548544397</v>
      </c>
      <c r="P75" s="7">
        <f t="shared" si="19"/>
        <v>7.7274257091454121E-2</v>
      </c>
      <c r="Q75" s="7">
        <f t="shared" si="20"/>
        <v>0.63192620408972</v>
      </c>
      <c r="R75" s="7">
        <f t="shared" si="21"/>
        <v>0.4459435466085665</v>
      </c>
      <c r="S75" s="8">
        <f t="shared" si="31"/>
        <v>0</v>
      </c>
      <c r="T75" s="8">
        <f t="shared" si="31"/>
        <v>0</v>
      </c>
      <c r="U75" s="7">
        <f t="shared" si="22"/>
        <v>0</v>
      </c>
      <c r="V75" s="7">
        <f t="shared" si="23"/>
        <v>0</v>
      </c>
      <c r="W75" s="7">
        <f t="shared" si="24"/>
        <v>0</v>
      </c>
      <c r="X75" s="7">
        <f t="shared" si="25"/>
        <v>0</v>
      </c>
      <c r="Y75" s="7">
        <f t="shared" si="26"/>
        <v>0</v>
      </c>
      <c r="Z75" s="7">
        <f t="shared" si="27"/>
        <v>0</v>
      </c>
      <c r="AA75" s="23">
        <v>91.233487908610002</v>
      </c>
      <c r="AB75" s="29">
        <v>64.38249419652</v>
      </c>
    </row>
    <row r="76" spans="1:28" x14ac:dyDescent="0.35">
      <c r="A76" s="5" t="s">
        <v>62</v>
      </c>
      <c r="B76" s="15" t="s">
        <v>64</v>
      </c>
      <c r="C76" s="6">
        <f t="shared" si="28"/>
        <v>1.5778000474510891</v>
      </c>
      <c r="D76" s="11">
        <f>[1]data!D77-[1]data!D38</f>
        <v>1.7694150329493317</v>
      </c>
      <c r="E76" s="16">
        <f>[1]data!E77-[1]data!E38</f>
        <v>-0.19161498549824252</v>
      </c>
      <c r="F76" s="16">
        <f>[1]data!F77-[1]data!F38</f>
        <v>0</v>
      </c>
      <c r="G76" s="8">
        <f t="shared" si="29"/>
        <v>6.4935767703113596</v>
      </c>
      <c r="H76" s="16">
        <f>[1]data!H77-[1]data!H38</f>
        <v>0</v>
      </c>
      <c r="I76" s="16">
        <f>[1]data!I77-[1]data!I38</f>
        <v>6.4935767703113596</v>
      </c>
      <c r="J76" s="16">
        <f>[1]data!J77-[1]data!J38</f>
        <v>0</v>
      </c>
      <c r="K76" s="8">
        <f t="shared" si="30"/>
        <v>1.070537047863624</v>
      </c>
      <c r="L76" s="8">
        <f t="shared" si="30"/>
        <v>0.5091514418703863</v>
      </c>
      <c r="M76" s="7">
        <f t="shared" si="16"/>
        <v>1.2005477809936589</v>
      </c>
      <c r="N76" s="7">
        <f t="shared" si="17"/>
        <v>0.57098503498505992</v>
      </c>
      <c r="O76" s="7">
        <f t="shared" si="18"/>
        <v>-0.13001073313003475</v>
      </c>
      <c r="P76" s="7">
        <f t="shared" si="19"/>
        <v>-6.183359311467361E-2</v>
      </c>
      <c r="Q76" s="7">
        <f t="shared" si="20"/>
        <v>0</v>
      </c>
      <c r="R76" s="7">
        <f t="shared" si="21"/>
        <v>0</v>
      </c>
      <c r="S76" s="8">
        <f t="shared" si="31"/>
        <v>4.4058906684628081</v>
      </c>
      <c r="T76" s="8">
        <f t="shared" si="31"/>
        <v>2.095458154435482</v>
      </c>
      <c r="U76" s="7">
        <f t="shared" si="22"/>
        <v>0</v>
      </c>
      <c r="V76" s="7">
        <f t="shared" si="23"/>
        <v>0</v>
      </c>
      <c r="W76" s="7">
        <f t="shared" si="24"/>
        <v>4.4058906684628081</v>
      </c>
      <c r="X76" s="7">
        <f t="shared" si="25"/>
        <v>2.095458154435482</v>
      </c>
      <c r="Y76" s="7">
        <f t="shared" si="26"/>
        <v>0</v>
      </c>
      <c r="Z76" s="7">
        <f t="shared" si="27"/>
        <v>0</v>
      </c>
      <c r="AA76" s="23">
        <v>309.88816247970999</v>
      </c>
      <c r="AB76" s="29">
        <v>147.38397429586999</v>
      </c>
    </row>
    <row r="77" spans="1:28" x14ac:dyDescent="0.35">
      <c r="A77" s="5" t="s">
        <v>63</v>
      </c>
      <c r="B77" s="15" t="s">
        <v>64</v>
      </c>
      <c r="C77" s="6">
        <f t="shared" si="28"/>
        <v>25.742633319288203</v>
      </c>
      <c r="D77" s="11">
        <f>[1]data!D78-[1]data!D39</f>
        <v>-4.1489705375412633E-3</v>
      </c>
      <c r="E77" s="16">
        <f>[1]data!E78-[1]data!E39</f>
        <v>25.746782289825745</v>
      </c>
      <c r="F77" s="16">
        <f>[1]data!F78-[1]data!F39</f>
        <v>0</v>
      </c>
      <c r="G77" s="8">
        <f t="shared" si="29"/>
        <v>1.8880869760414853</v>
      </c>
      <c r="H77" s="16">
        <f>[1]data!H78-[1]data!H39</f>
        <v>0</v>
      </c>
      <c r="I77" s="16">
        <f>[1]data!I78-[1]data!I39</f>
        <v>1.8880869760414853</v>
      </c>
      <c r="J77" s="16">
        <f>[1]data!J78-[1]data!J39</f>
        <v>9.8869334416288517</v>
      </c>
      <c r="K77" s="8">
        <f t="shared" si="30"/>
        <v>4.5043732130142899</v>
      </c>
      <c r="L77" s="8">
        <f t="shared" si="30"/>
        <v>2.1179981038728859</v>
      </c>
      <c r="M77" s="7">
        <f t="shared" si="16"/>
        <v>-7.2597513700681162E-4</v>
      </c>
      <c r="N77" s="7">
        <f t="shared" si="17"/>
        <v>-3.4136024945640033E-4</v>
      </c>
      <c r="O77" s="7">
        <f t="shared" si="18"/>
        <v>4.5050991881512967</v>
      </c>
      <c r="P77" s="7">
        <f t="shared" si="19"/>
        <v>2.1183394641223421</v>
      </c>
      <c r="Q77" s="7">
        <f t="shared" si="20"/>
        <v>0</v>
      </c>
      <c r="R77" s="7">
        <f t="shared" si="21"/>
        <v>0</v>
      </c>
      <c r="S77" s="8">
        <f t="shared" si="31"/>
        <v>0.33037212212280304</v>
      </c>
      <c r="T77" s="8">
        <f t="shared" si="31"/>
        <v>0.15534403903452448</v>
      </c>
      <c r="U77" s="7">
        <f t="shared" si="22"/>
        <v>0</v>
      </c>
      <c r="V77" s="7">
        <f t="shared" si="23"/>
        <v>0</v>
      </c>
      <c r="W77" s="7">
        <f t="shared" si="24"/>
        <v>0.33037212212280304</v>
      </c>
      <c r="X77" s="7">
        <f t="shared" si="25"/>
        <v>0.15534403903452448</v>
      </c>
      <c r="Y77" s="7">
        <f t="shared" si="26"/>
        <v>1.7299876668001881</v>
      </c>
      <c r="Z77" s="7">
        <f t="shared" si="27"/>
        <v>0.81345626233184243</v>
      </c>
      <c r="AA77" s="23">
        <v>1215.4228689920101</v>
      </c>
      <c r="AB77" s="29">
        <v>571.50311712429004</v>
      </c>
    </row>
    <row r="78" spans="1:28" x14ac:dyDescent="0.35">
      <c r="A78" s="5" t="s">
        <v>25</v>
      </c>
      <c r="B78" s="15" t="s">
        <v>65</v>
      </c>
      <c r="C78" s="6">
        <f t="shared" si="28"/>
        <v>46.16341804345641</v>
      </c>
      <c r="D78" s="12">
        <f>[1]data!D80-[1]data!D41</f>
        <v>3.337102314023733</v>
      </c>
      <c r="E78" s="12">
        <f>[1]data!E80-[1]data!E41</f>
        <v>42.826315729432679</v>
      </c>
      <c r="F78" s="12">
        <f>[1]data!F80-[1]data!F41</f>
        <v>0</v>
      </c>
      <c r="G78" s="19">
        <f t="shared" si="29"/>
        <v>1.1942170290034007</v>
      </c>
      <c r="H78" s="12">
        <f>[1]data!H80-[1]data!H41</f>
        <v>0.5118072981443138</v>
      </c>
      <c r="I78" s="12">
        <f>[1]data!I80-[1]data!I41</f>
        <v>0.68240973085908685</v>
      </c>
      <c r="J78" s="12">
        <f>[1]data!J80-[1]data!J41</f>
        <v>0</v>
      </c>
      <c r="K78" s="8">
        <f t="shared" si="30"/>
        <v>3.0883222221251314</v>
      </c>
      <c r="L78" s="8">
        <f t="shared" si="30"/>
        <v>3.7637852817975816</v>
      </c>
      <c r="M78" s="7">
        <f t="shared" si="16"/>
        <v>0.22325138975201075</v>
      </c>
      <c r="N78" s="7">
        <f t="shared" si="17"/>
        <v>0.27207986552363961</v>
      </c>
      <c r="O78" s="7">
        <f t="shared" si="18"/>
        <v>2.8650708323731209</v>
      </c>
      <c r="P78" s="7">
        <f t="shared" si="19"/>
        <v>3.491705416273942</v>
      </c>
      <c r="Q78" s="7">
        <f t="shared" si="20"/>
        <v>0</v>
      </c>
      <c r="R78" s="7">
        <f t="shared" si="21"/>
        <v>0</v>
      </c>
      <c r="S78" s="8">
        <f t="shared" si="31"/>
        <v>7.9892849035563152E-2</v>
      </c>
      <c r="T78" s="8">
        <f t="shared" si="31"/>
        <v>9.7366630711872987E-2</v>
      </c>
      <c r="U78" s="7">
        <f t="shared" si="22"/>
        <v>3.4239792443812728E-2</v>
      </c>
      <c r="V78" s="7">
        <f t="shared" si="23"/>
        <v>4.1728556019374079E-2</v>
      </c>
      <c r="W78" s="7">
        <f t="shared" si="24"/>
        <v>4.5653056591750424E-2</v>
      </c>
      <c r="X78" s="7">
        <f t="shared" si="25"/>
        <v>5.5638074692498915E-2</v>
      </c>
      <c r="Y78" s="7">
        <f t="shared" si="26"/>
        <v>0</v>
      </c>
      <c r="Z78" s="7">
        <f t="shared" si="27"/>
        <v>0</v>
      </c>
      <c r="AA78" s="23">
        <v>1226.51571721458</v>
      </c>
      <c r="AB78" s="29">
        <v>1494.77336635199</v>
      </c>
    </row>
    <row r="79" spans="1:28" x14ac:dyDescent="0.35">
      <c r="A79" s="5" t="s">
        <v>27</v>
      </c>
      <c r="B79" s="15" t="s">
        <v>65</v>
      </c>
      <c r="C79" s="6">
        <f t="shared" si="28"/>
        <v>113.24279834523115</v>
      </c>
      <c r="D79" s="12">
        <f>[1]data!D81-[1]data!D42</f>
        <v>11.814177619868016</v>
      </c>
      <c r="E79" s="12">
        <f>[1]data!E81-[1]data!E42</f>
        <v>101.42862072536313</v>
      </c>
      <c r="F79" s="12">
        <f>[1]data!F81-[1]data!F42</f>
        <v>1.891168170782322</v>
      </c>
      <c r="G79" s="19">
        <f t="shared" si="29"/>
        <v>15.522988178511254</v>
      </c>
      <c r="H79" s="12">
        <f>[1]data!H81-[1]data!H42</f>
        <v>0.25966520513249014</v>
      </c>
      <c r="I79" s="12">
        <f>[1]data!I81-[1]data!I42</f>
        <v>15.263322973378763</v>
      </c>
      <c r="J79" s="12">
        <f>[1]data!J81-[1]data!J42</f>
        <v>0</v>
      </c>
      <c r="K79" s="8">
        <f t="shared" si="30"/>
        <v>6.6746704355389088</v>
      </c>
      <c r="L79" s="8">
        <f t="shared" si="30"/>
        <v>6.5705585603980268</v>
      </c>
      <c r="M79" s="7">
        <f t="shared" si="16"/>
        <v>0.69634222424581427</v>
      </c>
      <c r="N79" s="7">
        <f t="shared" si="17"/>
        <v>0.6854806400812995</v>
      </c>
      <c r="O79" s="7">
        <f t="shared" si="18"/>
        <v>5.9783282112930944</v>
      </c>
      <c r="P79" s="7">
        <f t="shared" si="19"/>
        <v>5.8850779203167276</v>
      </c>
      <c r="Q79" s="7">
        <f t="shared" si="20"/>
        <v>0.11146778835039743</v>
      </c>
      <c r="R79" s="7">
        <f t="shared" si="21"/>
        <v>0.10972910768068586</v>
      </c>
      <c r="S79" s="8">
        <f t="shared" si="31"/>
        <v>0.91494410046687324</v>
      </c>
      <c r="T79" s="8">
        <f t="shared" si="31"/>
        <v>0.90067275226045018</v>
      </c>
      <c r="U79" s="7">
        <f t="shared" si="22"/>
        <v>1.530498798300815E-2</v>
      </c>
      <c r="V79" s="7">
        <f t="shared" si="23"/>
        <v>1.5066259941929821E-2</v>
      </c>
      <c r="W79" s="7">
        <f t="shared" si="24"/>
        <v>0.89963911248386508</v>
      </c>
      <c r="X79" s="7">
        <f t="shared" si="25"/>
        <v>0.8856064923185204</v>
      </c>
      <c r="Y79" s="7">
        <f t="shared" si="26"/>
        <v>0</v>
      </c>
      <c r="Z79" s="7">
        <f t="shared" si="27"/>
        <v>0</v>
      </c>
      <c r="AA79" s="23">
        <v>1723.48815255626</v>
      </c>
      <c r="AB79" s="29">
        <v>1696.60508992738</v>
      </c>
    </row>
    <row r="80" spans="1:28" x14ac:dyDescent="0.35">
      <c r="A80" s="5" t="s">
        <v>28</v>
      </c>
      <c r="B80" s="15" t="s">
        <v>65</v>
      </c>
      <c r="C80" s="6">
        <f t="shared" si="28"/>
        <v>70.901973614972704</v>
      </c>
      <c r="D80" s="12">
        <f>[1]data!D82-[1]data!D43</f>
        <v>7.2616030042740149</v>
      </c>
      <c r="E80" s="12">
        <f>[1]data!E82-[1]data!E43</f>
        <v>63.640370610698689</v>
      </c>
      <c r="F80" s="12">
        <f>[1]data!F82-[1]data!F43</f>
        <v>1.9523078393018096</v>
      </c>
      <c r="G80" s="19">
        <f t="shared" si="29"/>
        <v>20.458754907662865</v>
      </c>
      <c r="H80" s="12">
        <f>[1]data!H82-[1]data!H43</f>
        <v>0</v>
      </c>
      <c r="I80" s="12">
        <f>[1]data!I82-[1]data!I43</f>
        <v>20.458754907662865</v>
      </c>
      <c r="J80" s="12">
        <f>[1]data!J82-[1]data!J43</f>
        <v>0</v>
      </c>
      <c r="K80" s="8">
        <f t="shared" si="30"/>
        <v>2.7094785737205154</v>
      </c>
      <c r="L80" s="8">
        <f t="shared" si="30"/>
        <v>2.4389326619495164</v>
      </c>
      <c r="M80" s="7">
        <f t="shared" si="16"/>
        <v>0.27749802646946448</v>
      </c>
      <c r="N80" s="7">
        <f t="shared" si="17"/>
        <v>0.24978939008680295</v>
      </c>
      <c r="O80" s="7">
        <f t="shared" si="18"/>
        <v>2.431980547251051</v>
      </c>
      <c r="P80" s="7">
        <f t="shared" si="19"/>
        <v>2.1891432718627133</v>
      </c>
      <c r="Q80" s="7">
        <f t="shared" si="20"/>
        <v>7.4606333084891577E-2</v>
      </c>
      <c r="R80" s="7">
        <f t="shared" si="21"/>
        <v>6.7156767473222384E-2</v>
      </c>
      <c r="S80" s="8">
        <f t="shared" si="31"/>
        <v>0.78181967639340888</v>
      </c>
      <c r="T80" s="8">
        <f t="shared" si="31"/>
        <v>0.7037536901029483</v>
      </c>
      <c r="U80" s="7">
        <f t="shared" si="22"/>
        <v>0</v>
      </c>
      <c r="V80" s="7">
        <f t="shared" si="23"/>
        <v>0</v>
      </c>
      <c r="W80" s="7">
        <f t="shared" si="24"/>
        <v>0.78181967639340888</v>
      </c>
      <c r="X80" s="7">
        <f t="shared" si="25"/>
        <v>0.7037536901029483</v>
      </c>
      <c r="Y80" s="7">
        <f t="shared" si="26"/>
        <v>0</v>
      </c>
      <c r="Z80" s="7">
        <f t="shared" si="27"/>
        <v>0</v>
      </c>
      <c r="AA80" s="23">
        <v>2907.0902498102801</v>
      </c>
      <c r="AB80" s="29">
        <v>2616.8124857180101</v>
      </c>
    </row>
    <row r="81" spans="1:28" x14ac:dyDescent="0.35">
      <c r="A81" s="5" t="s">
        <v>29</v>
      </c>
      <c r="B81" s="15" t="s">
        <v>65</v>
      </c>
      <c r="C81" s="6">
        <f t="shared" si="28"/>
        <v>1.1575745271012181</v>
      </c>
      <c r="D81" s="12">
        <f>[1]data!D83-[1]data!D44</f>
        <v>1.1575745271012181</v>
      </c>
      <c r="E81" s="12">
        <f>[1]data!E83-[1]data!E44</f>
        <v>0</v>
      </c>
      <c r="F81" s="12">
        <f>[1]data!F83-[1]data!F44</f>
        <v>0</v>
      </c>
      <c r="G81" s="19">
        <f t="shared" si="29"/>
        <v>41.270048357521659</v>
      </c>
      <c r="H81" s="12">
        <f>[1]data!H83-[1]data!H44</f>
        <v>0</v>
      </c>
      <c r="I81" s="12">
        <f>[1]data!I83-[1]data!I44</f>
        <v>41.270048357521659</v>
      </c>
      <c r="J81" s="12">
        <f>[1]data!J83-[1]data!J44</f>
        <v>0</v>
      </c>
      <c r="K81" s="8">
        <f t="shared" si="30"/>
        <v>3.2178827123090073E-2</v>
      </c>
      <c r="L81" s="8">
        <f t="shared" si="30"/>
        <v>2.7814377874324472E-2</v>
      </c>
      <c r="M81" s="7">
        <f t="shared" si="16"/>
        <v>3.2178827123090073E-2</v>
      </c>
      <c r="N81" s="7">
        <f t="shared" si="17"/>
        <v>2.7814377874324472E-2</v>
      </c>
      <c r="O81" s="7">
        <f t="shared" si="18"/>
        <v>0</v>
      </c>
      <c r="P81" s="7">
        <f t="shared" si="19"/>
        <v>0</v>
      </c>
      <c r="Q81" s="7">
        <f t="shared" si="20"/>
        <v>0</v>
      </c>
      <c r="R81" s="7">
        <f t="shared" si="21"/>
        <v>0</v>
      </c>
      <c r="S81" s="8">
        <f t="shared" si="31"/>
        <v>1.1472451409101672</v>
      </c>
      <c r="T81" s="8">
        <f t="shared" si="31"/>
        <v>0.99164303725852376</v>
      </c>
      <c r="U81" s="7">
        <f t="shared" si="22"/>
        <v>0</v>
      </c>
      <c r="V81" s="7">
        <f t="shared" si="23"/>
        <v>0</v>
      </c>
      <c r="W81" s="7">
        <f t="shared" si="24"/>
        <v>1.1472451409101672</v>
      </c>
      <c r="X81" s="7">
        <f t="shared" si="25"/>
        <v>0.99164303725852376</v>
      </c>
      <c r="Y81" s="7">
        <f t="shared" si="26"/>
        <v>0</v>
      </c>
      <c r="Z81" s="7">
        <f t="shared" si="27"/>
        <v>0</v>
      </c>
      <c r="AA81" s="23">
        <v>4161.7847155581303</v>
      </c>
      <c r="AB81" s="29">
        <v>3597.3173374942398</v>
      </c>
    </row>
    <row r="82" spans="1:28" x14ac:dyDescent="0.35">
      <c r="A82" s="5" t="s">
        <v>30</v>
      </c>
      <c r="B82" s="15" t="s">
        <v>65</v>
      </c>
      <c r="C82" s="6">
        <f t="shared" si="28"/>
        <v>31.347147941889094</v>
      </c>
      <c r="D82" s="12">
        <f>[1]data!D84-[1]data!D45</f>
        <v>0.32714062722420767</v>
      </c>
      <c r="E82" s="12">
        <f>[1]data!E84-[1]data!E45</f>
        <v>31.020007314664888</v>
      </c>
      <c r="F82" s="12">
        <f>[1]data!F84-[1]data!F45</f>
        <v>0.31801940221102143</v>
      </c>
      <c r="G82" s="19">
        <f t="shared" si="29"/>
        <v>26.767553712380263</v>
      </c>
      <c r="H82" s="12">
        <f>[1]data!H84-[1]data!H45</f>
        <v>9.3010261790924531E-2</v>
      </c>
      <c r="I82" s="12">
        <f>[1]data!I84-[1]data!I45</f>
        <v>26.67454345058934</v>
      </c>
      <c r="J82" s="12">
        <f>[1]data!J84-[1]data!J45</f>
        <v>0</v>
      </c>
      <c r="K82" s="8">
        <f t="shared" si="30"/>
        <v>1.6342321224199947</v>
      </c>
      <c r="L82" s="8">
        <f t="shared" si="30"/>
        <v>1.3409627752186617</v>
      </c>
      <c r="M82" s="7">
        <f t="shared" si="16"/>
        <v>1.7054939816199648E-2</v>
      </c>
      <c r="N82" s="7">
        <f t="shared" si="17"/>
        <v>1.3994364150211443E-2</v>
      </c>
      <c r="O82" s="7">
        <f t="shared" si="18"/>
        <v>1.6171771826037951</v>
      </c>
      <c r="P82" s="7">
        <f t="shared" si="19"/>
        <v>1.3269684110684503</v>
      </c>
      <c r="Q82" s="7">
        <f t="shared" si="20"/>
        <v>1.6579419716572001E-2</v>
      </c>
      <c r="R82" s="7">
        <f t="shared" si="21"/>
        <v>1.3604177992614262E-2</v>
      </c>
      <c r="S82" s="8">
        <f t="shared" si="31"/>
        <v>1.3954824916278559</v>
      </c>
      <c r="T82" s="8">
        <f t="shared" si="31"/>
        <v>1.1450576996193838</v>
      </c>
      <c r="U82" s="7">
        <f t="shared" si="22"/>
        <v>4.848937383879327E-3</v>
      </c>
      <c r="V82" s="7">
        <f t="shared" si="23"/>
        <v>3.9787766021388204E-3</v>
      </c>
      <c r="W82" s="7">
        <f t="shared" si="24"/>
        <v>1.3906335542439765</v>
      </c>
      <c r="X82" s="7">
        <f t="shared" si="25"/>
        <v>1.1410789230172449</v>
      </c>
      <c r="Y82" s="7">
        <f t="shared" si="26"/>
        <v>0</v>
      </c>
      <c r="Z82" s="7">
        <f t="shared" si="27"/>
        <v>0</v>
      </c>
      <c r="AA82" s="23">
        <v>2337.6598158571201</v>
      </c>
      <c r="AB82" s="29">
        <v>1918.15761738117</v>
      </c>
    </row>
    <row r="83" spans="1:28" x14ac:dyDescent="0.35">
      <c r="A83" s="5" t="s">
        <v>31</v>
      </c>
      <c r="B83" s="15" t="s">
        <v>65</v>
      </c>
      <c r="C83" s="6">
        <f t="shared" si="28"/>
        <v>9.1514411801517923</v>
      </c>
      <c r="D83" s="12">
        <f>[1]data!D85-[1]data!D46</f>
        <v>9.1514411801517923</v>
      </c>
      <c r="E83" s="12">
        <f>[1]data!E85-[1]data!E46</f>
        <v>0</v>
      </c>
      <c r="F83" s="12">
        <f>[1]data!F85-[1]data!F46</f>
        <v>0</v>
      </c>
      <c r="G83" s="19">
        <f t="shared" si="29"/>
        <v>0</v>
      </c>
      <c r="H83" s="12">
        <f>[1]data!H85-[1]data!H46</f>
        <v>0</v>
      </c>
      <c r="I83" s="12">
        <f>[1]data!I85-[1]data!I46</f>
        <v>0</v>
      </c>
      <c r="J83" s="12">
        <f>[1]data!J85-[1]data!J46</f>
        <v>0</v>
      </c>
      <c r="K83" s="8">
        <f t="shared" ref="K83:L119" si="32">M83+O83</f>
        <v>0.20049900132632581</v>
      </c>
      <c r="L83" s="8">
        <f t="shared" si="32"/>
        <v>0.17186281962214994</v>
      </c>
      <c r="M83" s="7">
        <f t="shared" si="16"/>
        <v>0.20049900132632581</v>
      </c>
      <c r="N83" s="7">
        <f t="shared" si="17"/>
        <v>0.17186281962214994</v>
      </c>
      <c r="O83" s="7">
        <f t="shared" si="18"/>
        <v>0</v>
      </c>
      <c r="P83" s="7">
        <f t="shared" si="19"/>
        <v>0</v>
      </c>
      <c r="Q83" s="7">
        <f t="shared" si="20"/>
        <v>0</v>
      </c>
      <c r="R83" s="7">
        <f t="shared" si="21"/>
        <v>0</v>
      </c>
      <c r="S83" s="8">
        <f t="shared" ref="S83:T119" si="33">U83+W83</f>
        <v>0</v>
      </c>
      <c r="T83" s="8">
        <f t="shared" si="33"/>
        <v>0</v>
      </c>
      <c r="U83" s="7">
        <f t="shared" si="22"/>
        <v>0</v>
      </c>
      <c r="V83" s="7">
        <f t="shared" si="23"/>
        <v>0</v>
      </c>
      <c r="W83" s="7">
        <f t="shared" si="24"/>
        <v>0</v>
      </c>
      <c r="X83" s="7">
        <f t="shared" si="25"/>
        <v>0</v>
      </c>
      <c r="Y83" s="7">
        <f t="shared" si="26"/>
        <v>0</v>
      </c>
      <c r="Z83" s="7">
        <f t="shared" si="27"/>
        <v>0</v>
      </c>
      <c r="AA83" s="23">
        <v>5324.8522282316499</v>
      </c>
      <c r="AB83" s="29">
        <v>4564.3325500944502</v>
      </c>
    </row>
    <row r="84" spans="1:28" x14ac:dyDescent="0.35">
      <c r="A84" s="5" t="s">
        <v>32</v>
      </c>
      <c r="B84" s="15" t="s">
        <v>65</v>
      </c>
      <c r="C84" s="6">
        <f t="shared" si="28"/>
        <v>7.6111093494739972</v>
      </c>
      <c r="D84" s="12">
        <f>[1]data!D86-[1]data!D47</f>
        <v>0.4779750571525323</v>
      </c>
      <c r="E84" s="12">
        <f>[1]data!E86-[1]data!E47</f>
        <v>7.1331342923214649</v>
      </c>
      <c r="F84" s="12">
        <f>[1]data!F86-[1]data!F47</f>
        <v>0.43330405987938647</v>
      </c>
      <c r="G84" s="19">
        <f t="shared" si="29"/>
        <v>31.181274689127051</v>
      </c>
      <c r="H84" s="12">
        <f>[1]data!H86-[1]data!H47</f>
        <v>0</v>
      </c>
      <c r="I84" s="12">
        <f>[1]data!I86-[1]data!I47</f>
        <v>31.181274689127051</v>
      </c>
      <c r="J84" s="12">
        <f>[1]data!J86-[1]data!J47</f>
        <v>0</v>
      </c>
      <c r="K84" s="8">
        <f t="shared" si="32"/>
        <v>0.46461700533679318</v>
      </c>
      <c r="L84" s="8">
        <f t="shared" si="32"/>
        <v>0.35293158772990213</v>
      </c>
      <c r="M84" s="7">
        <f t="shared" si="16"/>
        <v>2.9177788609125649E-2</v>
      </c>
      <c r="N84" s="7">
        <f t="shared" si="17"/>
        <v>2.2163982682470888E-2</v>
      </c>
      <c r="O84" s="7">
        <f t="shared" si="18"/>
        <v>0.43543921672766756</v>
      </c>
      <c r="P84" s="7">
        <f t="shared" si="19"/>
        <v>0.33076760504743125</v>
      </c>
      <c r="Q84" s="7">
        <f t="shared" si="20"/>
        <v>2.64508661559761E-2</v>
      </c>
      <c r="R84" s="7">
        <f t="shared" si="21"/>
        <v>2.0092562437512899E-2</v>
      </c>
      <c r="S84" s="8">
        <f t="shared" si="33"/>
        <v>1.9034479473938153</v>
      </c>
      <c r="T84" s="8">
        <f t="shared" si="33"/>
        <v>1.445893926650307</v>
      </c>
      <c r="U84" s="7">
        <f t="shared" si="22"/>
        <v>0</v>
      </c>
      <c r="V84" s="7">
        <f t="shared" si="23"/>
        <v>0</v>
      </c>
      <c r="W84" s="7">
        <f t="shared" si="24"/>
        <v>1.9034479473938153</v>
      </c>
      <c r="X84" s="7">
        <f t="shared" si="25"/>
        <v>1.445893926650307</v>
      </c>
      <c r="Y84" s="7">
        <f t="shared" si="26"/>
        <v>0</v>
      </c>
      <c r="Z84" s="7">
        <f t="shared" si="27"/>
        <v>0</v>
      </c>
      <c r="AA84" s="23">
        <v>2156.5395714307001</v>
      </c>
      <c r="AB84" s="29">
        <v>1638.14696019506</v>
      </c>
    </row>
    <row r="85" spans="1:28" x14ac:dyDescent="0.35">
      <c r="A85" s="5" t="s">
        <v>33</v>
      </c>
      <c r="B85" s="15" t="s">
        <v>65</v>
      </c>
      <c r="C85" s="6">
        <f t="shared" si="28"/>
        <v>2.7249655006032096</v>
      </c>
      <c r="D85" s="12">
        <f>[1]data!D87-[1]data!D48</f>
        <v>0.30918111700388629</v>
      </c>
      <c r="E85" s="12">
        <f>[1]data!E87-[1]data!E48</f>
        <v>2.4157843835993233</v>
      </c>
      <c r="F85" s="12">
        <f>[1]data!F87-[1]data!F48</f>
        <v>0</v>
      </c>
      <c r="G85" s="19">
        <f t="shared" si="29"/>
        <v>50.527542741764954</v>
      </c>
      <c r="H85" s="12">
        <f>[1]data!H87-[1]data!H48</f>
        <v>0.55038566188227755</v>
      </c>
      <c r="I85" s="12">
        <f>[1]data!I87-[1]data!I48</f>
        <v>49.977157079882673</v>
      </c>
      <c r="J85" s="12">
        <f>[1]data!J87-[1]data!J48</f>
        <v>0.45431343173003214</v>
      </c>
      <c r="K85" s="8">
        <f t="shared" si="32"/>
        <v>0.20582577559578341</v>
      </c>
      <c r="L85" s="8">
        <f t="shared" si="32"/>
        <v>0.15167957095044873</v>
      </c>
      <c r="M85" s="7">
        <f t="shared" si="16"/>
        <v>2.3353485830484279E-2</v>
      </c>
      <c r="N85" s="7">
        <f t="shared" si="17"/>
        <v>1.720992767165264E-2</v>
      </c>
      <c r="O85" s="7">
        <f t="shared" si="18"/>
        <v>0.18247228976529914</v>
      </c>
      <c r="P85" s="7">
        <f t="shared" si="19"/>
        <v>0.1344696432787961</v>
      </c>
      <c r="Q85" s="7">
        <f t="shared" si="20"/>
        <v>0</v>
      </c>
      <c r="R85" s="7">
        <f t="shared" si="21"/>
        <v>0</v>
      </c>
      <c r="S85" s="8">
        <f t="shared" si="33"/>
        <v>3.8165146206330722</v>
      </c>
      <c r="T85" s="8">
        <f t="shared" si="33"/>
        <v>2.812511205207858</v>
      </c>
      <c r="U85" s="7">
        <f t="shared" si="22"/>
        <v>4.1572473379439659E-2</v>
      </c>
      <c r="V85" s="7">
        <f t="shared" si="23"/>
        <v>3.0636079991876088E-2</v>
      </c>
      <c r="W85" s="7">
        <f t="shared" si="24"/>
        <v>3.7749421472536326</v>
      </c>
      <c r="X85" s="7">
        <f t="shared" si="25"/>
        <v>2.7818751252159819</v>
      </c>
      <c r="Y85" s="7">
        <f t="shared" si="26"/>
        <v>3.4315815898849453E-2</v>
      </c>
      <c r="Z85" s="7">
        <f t="shared" si="27"/>
        <v>2.5288417921835352E-2</v>
      </c>
      <c r="AA85" s="23">
        <v>1796.5276955414199</v>
      </c>
      <c r="AB85" s="29">
        <v>1323.9184901480501</v>
      </c>
    </row>
    <row r="86" spans="1:28" x14ac:dyDescent="0.35">
      <c r="A86" s="5" t="s">
        <v>34</v>
      </c>
      <c r="B86" s="15" t="s">
        <v>65</v>
      </c>
      <c r="C86" s="6">
        <f t="shared" si="28"/>
        <v>86.822642299974518</v>
      </c>
      <c r="D86" s="12">
        <f>[1]data!D88-[1]data!D49</f>
        <v>32.556193825364851</v>
      </c>
      <c r="E86" s="12">
        <f>[1]data!E88-[1]data!E49</f>
        <v>54.26644847460966</v>
      </c>
      <c r="F86" s="12">
        <f>[1]data!F88-[1]data!F49</f>
        <v>5.126144940203254</v>
      </c>
      <c r="G86" s="19">
        <f t="shared" si="29"/>
        <v>13.210165240418398</v>
      </c>
      <c r="H86" s="12">
        <f>[1]data!H88-[1]data!H49</f>
        <v>3.873948750855849E-2</v>
      </c>
      <c r="I86" s="12">
        <f>[1]data!I88-[1]data!I49</f>
        <v>13.17142575290984</v>
      </c>
      <c r="J86" s="12">
        <f>[1]data!J88-[1]data!J49</f>
        <v>0</v>
      </c>
      <c r="K86" s="8">
        <f t="shared" si="32"/>
        <v>2.7498247852126223</v>
      </c>
      <c r="L86" s="8">
        <f t="shared" si="32"/>
        <v>2.9511552175299278</v>
      </c>
      <c r="M86" s="7">
        <f t="shared" si="16"/>
        <v>1.0311115432753961</v>
      </c>
      <c r="N86" s="7">
        <f t="shared" si="17"/>
        <v>1.106605128863595</v>
      </c>
      <c r="O86" s="7">
        <f t="shared" si="18"/>
        <v>1.7187132419372264</v>
      </c>
      <c r="P86" s="7">
        <f t="shared" si="19"/>
        <v>1.8445500886663329</v>
      </c>
      <c r="Q86" s="7">
        <f t="shared" si="20"/>
        <v>0.1623539670730261</v>
      </c>
      <c r="R86" s="7">
        <f t="shared" si="21"/>
        <v>0.17424083148526701</v>
      </c>
      <c r="S86" s="8">
        <f t="shared" si="33"/>
        <v>0.41838901503769871</v>
      </c>
      <c r="T86" s="8">
        <f t="shared" si="33"/>
        <v>0.44902167269913529</v>
      </c>
      <c r="U86" s="7">
        <f t="shared" si="22"/>
        <v>1.2269472581750741E-3</v>
      </c>
      <c r="V86" s="7">
        <f t="shared" si="23"/>
        <v>1.3167790988244481E-3</v>
      </c>
      <c r="W86" s="7">
        <f t="shared" si="24"/>
        <v>0.41716206777952364</v>
      </c>
      <c r="X86" s="7">
        <f t="shared" si="25"/>
        <v>0.44770489360031085</v>
      </c>
      <c r="Y86" s="7">
        <f t="shared" si="26"/>
        <v>0</v>
      </c>
      <c r="Z86" s="7">
        <f t="shared" si="27"/>
        <v>0</v>
      </c>
      <c r="AA86" s="23">
        <v>2941.9883367789698</v>
      </c>
      <c r="AB86" s="29">
        <v>3157.38816403392</v>
      </c>
    </row>
    <row r="87" spans="1:28" x14ac:dyDescent="0.35">
      <c r="A87" s="5" t="s">
        <v>35</v>
      </c>
      <c r="B87" s="15" t="s">
        <v>65</v>
      </c>
      <c r="C87" s="6">
        <f t="shared" si="28"/>
        <v>6</v>
      </c>
      <c r="D87" s="12">
        <f>[1]data!D89-[1]data!D50</f>
        <v>0</v>
      </c>
      <c r="E87" s="12">
        <f>[1]data!E89-[1]data!E50</f>
        <v>6</v>
      </c>
      <c r="F87" s="12">
        <f>[1]data!F89-[1]data!F50</f>
        <v>18</v>
      </c>
      <c r="G87" s="19">
        <f t="shared" si="29"/>
        <v>0</v>
      </c>
      <c r="H87" s="12">
        <f>[1]data!H89-[1]data!H50</f>
        <v>0</v>
      </c>
      <c r="I87" s="12">
        <f>[1]data!I89-[1]data!I50</f>
        <v>0</v>
      </c>
      <c r="J87" s="12">
        <f>[1]data!J89-[1]data!J50</f>
        <v>0</v>
      </c>
      <c r="K87" s="8">
        <f t="shared" si="32"/>
        <v>3.0106916892059795E-2</v>
      </c>
      <c r="L87" s="8">
        <f t="shared" si="32"/>
        <v>3.0038729102899463E-2</v>
      </c>
      <c r="M87" s="7">
        <f t="shared" si="16"/>
        <v>0</v>
      </c>
      <c r="N87" s="7">
        <f t="shared" si="17"/>
        <v>0</v>
      </c>
      <c r="O87" s="7">
        <f t="shared" si="18"/>
        <v>3.0106916892059795E-2</v>
      </c>
      <c r="P87" s="7">
        <f t="shared" si="19"/>
        <v>3.0038729102899463E-2</v>
      </c>
      <c r="Q87" s="7">
        <f t="shared" si="20"/>
        <v>9.0320750676179395E-2</v>
      </c>
      <c r="R87" s="7">
        <f t="shared" si="21"/>
        <v>9.0116187308698387E-2</v>
      </c>
      <c r="S87" s="8">
        <f t="shared" si="33"/>
        <v>0</v>
      </c>
      <c r="T87" s="8">
        <f t="shared" si="33"/>
        <v>0</v>
      </c>
      <c r="U87" s="7">
        <f t="shared" si="22"/>
        <v>0</v>
      </c>
      <c r="V87" s="7">
        <f t="shared" si="23"/>
        <v>0</v>
      </c>
      <c r="W87" s="7">
        <f t="shared" si="24"/>
        <v>0</v>
      </c>
      <c r="X87" s="7">
        <f t="shared" si="25"/>
        <v>0</v>
      </c>
      <c r="Y87" s="7">
        <f t="shared" si="26"/>
        <v>0</v>
      </c>
      <c r="Z87" s="7">
        <f t="shared" si="27"/>
        <v>0</v>
      </c>
      <c r="AA87" s="23">
        <v>19974.2138871676</v>
      </c>
      <c r="AB87" s="29">
        <v>19928.975197</v>
      </c>
    </row>
    <row r="88" spans="1:28" x14ac:dyDescent="0.35">
      <c r="A88" s="5" t="s">
        <v>36</v>
      </c>
      <c r="B88" s="15" t="s">
        <v>65</v>
      </c>
      <c r="C88" s="6">
        <f t="shared" si="28"/>
        <v>0</v>
      </c>
      <c r="D88" s="12">
        <f>[1]data!D90-[1]data!D51</f>
        <v>0</v>
      </c>
      <c r="E88" s="12">
        <f>[1]data!E90-[1]data!E51</f>
        <v>0</v>
      </c>
      <c r="F88" s="12">
        <f>[1]data!F90-[1]data!F51</f>
        <v>0</v>
      </c>
      <c r="G88" s="19">
        <f t="shared" si="29"/>
        <v>0</v>
      </c>
      <c r="H88" s="12">
        <f>[1]data!H90-[1]data!H51</f>
        <v>0</v>
      </c>
      <c r="I88" s="12">
        <f>[1]data!I90-[1]data!I51</f>
        <v>0</v>
      </c>
      <c r="J88" s="12">
        <f>[1]data!J90-[1]data!J51</f>
        <v>0</v>
      </c>
      <c r="K88" s="8">
        <f t="shared" si="32"/>
        <v>0</v>
      </c>
      <c r="L88" s="8">
        <f t="shared" si="32"/>
        <v>0</v>
      </c>
      <c r="M88" s="7">
        <f t="shared" si="16"/>
        <v>0</v>
      </c>
      <c r="N88" s="7">
        <f t="shared" si="17"/>
        <v>0</v>
      </c>
      <c r="O88" s="7">
        <f t="shared" si="18"/>
        <v>0</v>
      </c>
      <c r="P88" s="7">
        <f t="shared" si="19"/>
        <v>0</v>
      </c>
      <c r="Q88" s="7">
        <f t="shared" si="20"/>
        <v>0</v>
      </c>
      <c r="R88" s="7">
        <f t="shared" si="21"/>
        <v>0</v>
      </c>
      <c r="S88" s="8">
        <f t="shared" si="33"/>
        <v>0</v>
      </c>
      <c r="T88" s="8">
        <f t="shared" si="33"/>
        <v>0</v>
      </c>
      <c r="U88" s="7">
        <f t="shared" si="22"/>
        <v>0</v>
      </c>
      <c r="V88" s="7">
        <f t="shared" si="23"/>
        <v>0</v>
      </c>
      <c r="W88" s="7">
        <f t="shared" si="24"/>
        <v>0</v>
      </c>
      <c r="X88" s="7">
        <f t="shared" si="25"/>
        <v>0</v>
      </c>
      <c r="Y88" s="7">
        <f t="shared" si="26"/>
        <v>0</v>
      </c>
      <c r="Z88" s="7">
        <f t="shared" si="27"/>
        <v>0</v>
      </c>
      <c r="AA88" s="23">
        <v>2381.6675591522499</v>
      </c>
      <c r="AB88" s="29">
        <v>1279.1513266244399</v>
      </c>
    </row>
    <row r="89" spans="1:28" x14ac:dyDescent="0.35">
      <c r="A89" s="5" t="s">
        <v>37</v>
      </c>
      <c r="B89" s="15" t="s">
        <v>65</v>
      </c>
      <c r="C89" s="6">
        <f t="shared" si="28"/>
        <v>3.2493340902482437</v>
      </c>
      <c r="D89" s="12">
        <f>[1]data!D91-[1]data!D52</f>
        <v>1.9527090644843794</v>
      </c>
      <c r="E89" s="12">
        <f>[1]data!E91-[1]data!E52</f>
        <v>1.2966250257638643</v>
      </c>
      <c r="F89" s="12">
        <f>[1]data!F91-[1]data!F52</f>
        <v>-0.29087422955606002</v>
      </c>
      <c r="G89" s="19">
        <f t="shared" si="29"/>
        <v>0</v>
      </c>
      <c r="H89" s="12">
        <f>[1]data!H91-[1]data!H52</f>
        <v>0</v>
      </c>
      <c r="I89" s="12">
        <f>[1]data!I91-[1]data!I52</f>
        <v>0</v>
      </c>
      <c r="J89" s="12">
        <f>[1]data!J91-[1]data!J52</f>
        <v>0</v>
      </c>
      <c r="K89" s="8">
        <f t="shared" si="32"/>
        <v>0.32589363786671033</v>
      </c>
      <c r="L89" s="8">
        <f t="shared" si="32"/>
        <v>0.13923031936942132</v>
      </c>
      <c r="M89" s="7">
        <f t="shared" si="16"/>
        <v>0.19584796239634963</v>
      </c>
      <c r="N89" s="7">
        <f t="shared" si="17"/>
        <v>8.3671392086048374E-2</v>
      </c>
      <c r="O89" s="7">
        <f t="shared" si="18"/>
        <v>0.13004567547036067</v>
      </c>
      <c r="P89" s="7">
        <f t="shared" si="19"/>
        <v>5.5558927283372944E-2</v>
      </c>
      <c r="Q89" s="7">
        <f t="shared" si="20"/>
        <v>-2.9173380821686721E-2</v>
      </c>
      <c r="R89" s="7">
        <f t="shared" si="21"/>
        <v>-1.2463634317864366E-2</v>
      </c>
      <c r="S89" s="8">
        <f t="shared" si="33"/>
        <v>0</v>
      </c>
      <c r="T89" s="8">
        <f t="shared" si="33"/>
        <v>0</v>
      </c>
      <c r="U89" s="7">
        <f t="shared" si="22"/>
        <v>0</v>
      </c>
      <c r="V89" s="7">
        <f t="shared" si="23"/>
        <v>0</v>
      </c>
      <c r="W89" s="7">
        <f t="shared" si="24"/>
        <v>0</v>
      </c>
      <c r="X89" s="7">
        <f t="shared" si="25"/>
        <v>0</v>
      </c>
      <c r="Y89" s="7">
        <f t="shared" si="26"/>
        <v>0</v>
      </c>
      <c r="Z89" s="7">
        <f t="shared" si="27"/>
        <v>0</v>
      </c>
      <c r="AA89" s="23">
        <v>2333.7834064911899</v>
      </c>
      <c r="AB89" s="29">
        <v>997.05355143423003</v>
      </c>
    </row>
    <row r="90" spans="1:28" x14ac:dyDescent="0.35">
      <c r="A90" s="10" t="s">
        <v>38</v>
      </c>
      <c r="B90" s="15" t="s">
        <v>65</v>
      </c>
      <c r="C90" s="6">
        <f t="shared" si="28"/>
        <v>0</v>
      </c>
      <c r="D90" s="12">
        <f>[1]data!D92-[1]data!D53</f>
        <v>0</v>
      </c>
      <c r="E90" s="12">
        <f>[1]data!E92-[1]data!E53</f>
        <v>0</v>
      </c>
      <c r="F90" s="12">
        <f>[1]data!F92-[1]data!F53</f>
        <v>0</v>
      </c>
      <c r="G90" s="19">
        <f t="shared" si="29"/>
        <v>1.7737707223975345</v>
      </c>
      <c r="H90" s="12">
        <f>[1]data!H92-[1]data!H53</f>
        <v>0</v>
      </c>
      <c r="I90" s="12">
        <f>[1]data!I92-[1]data!I53</f>
        <v>1.7737707223975345</v>
      </c>
      <c r="J90" s="12">
        <f>[1]data!J92-[1]data!J53</f>
        <v>0</v>
      </c>
      <c r="K90" s="8">
        <f t="shared" si="32"/>
        <v>0</v>
      </c>
      <c r="L90" s="8">
        <f t="shared" si="32"/>
        <v>0</v>
      </c>
      <c r="M90" s="7">
        <f t="shared" si="16"/>
        <v>0</v>
      </c>
      <c r="N90" s="7">
        <f t="shared" si="17"/>
        <v>0</v>
      </c>
      <c r="O90" s="7">
        <f t="shared" si="18"/>
        <v>0</v>
      </c>
      <c r="P90" s="7">
        <f t="shared" si="19"/>
        <v>0</v>
      </c>
      <c r="Q90" s="7">
        <f t="shared" si="20"/>
        <v>0</v>
      </c>
      <c r="R90" s="7">
        <f t="shared" si="21"/>
        <v>0</v>
      </c>
      <c r="S90" s="8">
        <f t="shared" si="33"/>
        <v>0.428499261459516</v>
      </c>
      <c r="T90" s="8">
        <f t="shared" si="33"/>
        <v>0.37852622611679571</v>
      </c>
      <c r="U90" s="7">
        <f t="shared" si="22"/>
        <v>0</v>
      </c>
      <c r="V90" s="7">
        <f t="shared" si="23"/>
        <v>0</v>
      </c>
      <c r="W90" s="7">
        <f t="shared" si="24"/>
        <v>0.428499261459516</v>
      </c>
      <c r="X90" s="7">
        <f t="shared" si="25"/>
        <v>0.37852622611679571</v>
      </c>
      <c r="Y90" s="7">
        <f t="shared" si="26"/>
        <v>0</v>
      </c>
      <c r="Z90" s="7">
        <f t="shared" si="27"/>
        <v>0</v>
      </c>
      <c r="AA90" s="23">
        <v>468.59916169988998</v>
      </c>
      <c r="AB90" s="29">
        <v>413.94954015926999</v>
      </c>
    </row>
    <row r="91" spans="1:28" x14ac:dyDescent="0.35">
      <c r="A91" s="5" t="s">
        <v>39</v>
      </c>
      <c r="B91" s="15" t="s">
        <v>65</v>
      </c>
      <c r="C91" s="6">
        <f t="shared" si="28"/>
        <v>4.1542265056957373</v>
      </c>
      <c r="D91" s="12">
        <f>[1]data!D93-[1]data!D54</f>
        <v>1.4774852644874343</v>
      </c>
      <c r="E91" s="12">
        <f>[1]data!E93-[1]data!E54</f>
        <v>2.6767412412083029</v>
      </c>
      <c r="F91" s="12">
        <f>[1]data!F93-[1]data!F54</f>
        <v>3.6868823329822682</v>
      </c>
      <c r="G91" s="19">
        <f t="shared" si="29"/>
        <v>3.5006932585958901</v>
      </c>
      <c r="H91" s="12">
        <f>[1]data!H93-[1]data!H54</f>
        <v>1.1382634135997258</v>
      </c>
      <c r="I91" s="12">
        <f>[1]data!I93-[1]data!I54</f>
        <v>2.3624298449961643</v>
      </c>
      <c r="J91" s="12">
        <f>[1]data!J93-[1]data!J54</f>
        <v>0</v>
      </c>
      <c r="K91" s="8">
        <f t="shared" si="32"/>
        <v>0.83897070214313385</v>
      </c>
      <c r="L91" s="8">
        <f t="shared" si="32"/>
        <v>0.74807530469820316</v>
      </c>
      <c r="M91" s="7">
        <f t="shared" si="16"/>
        <v>0.2983869194550714</v>
      </c>
      <c r="N91" s="7">
        <f t="shared" si="17"/>
        <v>0.26605921412882499</v>
      </c>
      <c r="O91" s="7">
        <f t="shared" si="18"/>
        <v>0.54058378268806251</v>
      </c>
      <c r="P91" s="7">
        <f t="shared" si="19"/>
        <v>0.48201609056937811</v>
      </c>
      <c r="Q91" s="7">
        <f t="shared" si="20"/>
        <v>0.74458777232783846</v>
      </c>
      <c r="R91" s="7">
        <f t="shared" si="21"/>
        <v>0.66391796904926337</v>
      </c>
      <c r="S91" s="8">
        <f t="shared" si="33"/>
        <v>0.70698578354481256</v>
      </c>
      <c r="T91" s="8">
        <f t="shared" si="33"/>
        <v>0.63038983851471053</v>
      </c>
      <c r="U91" s="7">
        <f t="shared" si="22"/>
        <v>0.22987905306132722</v>
      </c>
      <c r="V91" s="7">
        <f t="shared" si="23"/>
        <v>0.20497359707949384</v>
      </c>
      <c r="W91" s="7">
        <f t="shared" si="24"/>
        <v>0.47710673048348529</v>
      </c>
      <c r="X91" s="7">
        <f t="shared" si="25"/>
        <v>0.42541624143521667</v>
      </c>
      <c r="Y91" s="7">
        <f t="shared" si="26"/>
        <v>0</v>
      </c>
      <c r="Z91" s="7">
        <f t="shared" si="27"/>
        <v>0</v>
      </c>
      <c r="AA91" s="23">
        <v>555.32196820367994</v>
      </c>
      <c r="AB91" s="29">
        <v>495.15751802582002</v>
      </c>
    </row>
    <row r="92" spans="1:28" x14ac:dyDescent="0.35">
      <c r="A92" s="10" t="s">
        <v>40</v>
      </c>
      <c r="B92" s="15" t="s">
        <v>65</v>
      </c>
      <c r="C92" s="6">
        <f t="shared" si="28"/>
        <v>0</v>
      </c>
      <c r="D92" s="12">
        <f>[1]data!D94-[1]data!D55</f>
        <v>0</v>
      </c>
      <c r="E92" s="12">
        <f>[1]data!E94-[1]data!E55</f>
        <v>0</v>
      </c>
      <c r="F92" s="12">
        <f>[1]data!F94-[1]data!F55</f>
        <v>-3.1076018610880274E-2</v>
      </c>
      <c r="G92" s="19">
        <f t="shared" si="29"/>
        <v>16.800479020634604</v>
      </c>
      <c r="H92" s="12">
        <f>[1]data!H94-[1]data!H55</f>
        <v>1.0449485048569435E-2</v>
      </c>
      <c r="I92" s="12">
        <f>[1]data!I94-[1]data!I55</f>
        <v>16.790029535586037</v>
      </c>
      <c r="J92" s="12">
        <f>[1]data!J94-[1]data!J55</f>
        <v>0</v>
      </c>
      <c r="K92" s="8">
        <f t="shared" si="32"/>
        <v>0</v>
      </c>
      <c r="L92" s="8">
        <f t="shared" si="32"/>
        <v>0</v>
      </c>
      <c r="M92" s="7">
        <f t="shared" si="16"/>
        <v>0</v>
      </c>
      <c r="N92" s="7">
        <f t="shared" si="17"/>
        <v>0</v>
      </c>
      <c r="O92" s="7">
        <f t="shared" si="18"/>
        <v>0</v>
      </c>
      <c r="P92" s="7">
        <f t="shared" si="19"/>
        <v>0</v>
      </c>
      <c r="Q92" s="7">
        <f t="shared" si="20"/>
        <v>-1.4411040864951041E-2</v>
      </c>
      <c r="R92" s="7">
        <f t="shared" si="21"/>
        <v>-7.6279658809141389E-3</v>
      </c>
      <c r="S92" s="8">
        <f t="shared" si="33"/>
        <v>7.7909719629383307</v>
      </c>
      <c r="T92" s="8">
        <f t="shared" si="33"/>
        <v>4.1238706398362668</v>
      </c>
      <c r="U92" s="7">
        <f t="shared" si="22"/>
        <v>4.8457930836708117E-3</v>
      </c>
      <c r="V92" s="7">
        <f t="shared" si="23"/>
        <v>2.5649461863722391E-3</v>
      </c>
      <c r="W92" s="7">
        <f t="shared" si="24"/>
        <v>7.7861261698546596</v>
      </c>
      <c r="X92" s="7">
        <f t="shared" si="25"/>
        <v>4.1213056936498944</v>
      </c>
      <c r="Y92" s="7">
        <f t="shared" si="26"/>
        <v>0</v>
      </c>
      <c r="Z92" s="7">
        <f t="shared" si="27"/>
        <v>0</v>
      </c>
      <c r="AA92" s="23">
        <v>407.39587848230002</v>
      </c>
      <c r="AB92" s="29">
        <v>215.64034757863999</v>
      </c>
    </row>
    <row r="93" spans="1:28" x14ac:dyDescent="0.35">
      <c r="A93" s="10" t="s">
        <v>41</v>
      </c>
      <c r="B93" s="15" t="s">
        <v>65</v>
      </c>
      <c r="C93" s="6">
        <f t="shared" si="28"/>
        <v>5.191390592108977E-3</v>
      </c>
      <c r="D93" s="12">
        <f>[1]data!D95-[1]data!D56</f>
        <v>5.191390592108977E-3</v>
      </c>
      <c r="E93" s="12">
        <f>[1]data!E95-[1]data!E56</f>
        <v>0</v>
      </c>
      <c r="F93" s="12">
        <f>[1]data!F95-[1]data!F56</f>
        <v>2.4516660193610171</v>
      </c>
      <c r="G93" s="19">
        <f t="shared" si="29"/>
        <v>0</v>
      </c>
      <c r="H93" s="12">
        <f>[1]data!H95-[1]data!H56</f>
        <v>0</v>
      </c>
      <c r="I93" s="12">
        <f>[1]data!I95-[1]data!I56</f>
        <v>0</v>
      </c>
      <c r="J93" s="12">
        <f>[1]data!J95-[1]data!J56</f>
        <v>0</v>
      </c>
      <c r="K93" s="8">
        <f t="shared" si="32"/>
        <v>1.5608391147603155E-3</v>
      </c>
      <c r="L93" s="8">
        <f t="shared" si="32"/>
        <v>1.6689164354306443E-3</v>
      </c>
      <c r="M93" s="7">
        <f t="shared" si="16"/>
        <v>1.5608391147603155E-3</v>
      </c>
      <c r="N93" s="7">
        <f t="shared" si="17"/>
        <v>1.6689164354306443E-3</v>
      </c>
      <c r="O93" s="7">
        <f t="shared" si="18"/>
        <v>0</v>
      </c>
      <c r="P93" s="7">
        <f t="shared" si="19"/>
        <v>0</v>
      </c>
      <c r="Q93" s="7">
        <f t="shared" si="20"/>
        <v>0.73711583658605739</v>
      </c>
      <c r="R93" s="7">
        <f t="shared" si="21"/>
        <v>0.78815601355786691</v>
      </c>
      <c r="S93" s="8">
        <f t="shared" si="33"/>
        <v>0</v>
      </c>
      <c r="T93" s="8">
        <f t="shared" si="33"/>
        <v>0</v>
      </c>
      <c r="U93" s="7">
        <f t="shared" si="22"/>
        <v>0</v>
      </c>
      <c r="V93" s="7">
        <f t="shared" si="23"/>
        <v>0</v>
      </c>
      <c r="W93" s="7">
        <f t="shared" si="24"/>
        <v>0</v>
      </c>
      <c r="X93" s="7">
        <f t="shared" si="25"/>
        <v>0</v>
      </c>
      <c r="Y93" s="7">
        <f t="shared" si="26"/>
        <v>0</v>
      </c>
      <c r="Z93" s="7">
        <f t="shared" si="27"/>
        <v>0</v>
      </c>
      <c r="AA93" s="23">
        <v>311.06354290107998</v>
      </c>
      <c r="AB93" s="29">
        <v>332.60254327404999</v>
      </c>
    </row>
    <row r="94" spans="1:28" x14ac:dyDescent="0.35">
      <c r="A94" s="10" t="s">
        <v>42</v>
      </c>
      <c r="B94" s="15" t="s">
        <v>65</v>
      </c>
      <c r="C94" s="6">
        <f t="shared" si="28"/>
        <v>0</v>
      </c>
      <c r="D94" s="12">
        <f>[1]data!D96-[1]data!D57</f>
        <v>0</v>
      </c>
      <c r="E94" s="12">
        <f>[1]data!E96-[1]data!E57</f>
        <v>0</v>
      </c>
      <c r="F94" s="12">
        <f>[1]data!F96-[1]data!F57</f>
        <v>0</v>
      </c>
      <c r="G94" s="19">
        <f t="shared" si="29"/>
        <v>0.30120988987568198</v>
      </c>
      <c r="H94" s="12">
        <f>[1]data!H96-[1]data!H57</f>
        <v>0.1960281576957642</v>
      </c>
      <c r="I94" s="12">
        <f>[1]data!I96-[1]data!I57</f>
        <v>0.10518173217991775</v>
      </c>
      <c r="J94" s="12">
        <f>[1]data!J96-[1]data!J57</f>
        <v>0</v>
      </c>
      <c r="K94" s="8">
        <f t="shared" si="32"/>
        <v>0</v>
      </c>
      <c r="L94" s="8">
        <f t="shared" si="32"/>
        <v>0</v>
      </c>
      <c r="M94" s="7">
        <f t="shared" si="16"/>
        <v>0</v>
      </c>
      <c r="N94" s="7">
        <f t="shared" si="17"/>
        <v>0</v>
      </c>
      <c r="O94" s="7">
        <f t="shared" si="18"/>
        <v>0</v>
      </c>
      <c r="P94" s="7">
        <f t="shared" si="19"/>
        <v>0</v>
      </c>
      <c r="Q94" s="7">
        <f t="shared" si="20"/>
        <v>0</v>
      </c>
      <c r="R94" s="7">
        <f t="shared" si="21"/>
        <v>0</v>
      </c>
      <c r="S94" s="8">
        <f t="shared" si="33"/>
        <v>1.1199201072421492</v>
      </c>
      <c r="T94" s="8">
        <f t="shared" si="33"/>
        <v>0.65606528241757311</v>
      </c>
      <c r="U94" s="7">
        <f t="shared" si="22"/>
        <v>0.7288468366019788</v>
      </c>
      <c r="V94" s="7">
        <f t="shared" si="23"/>
        <v>0.42696894412579894</v>
      </c>
      <c r="W94" s="7">
        <f t="shared" si="24"/>
        <v>0.39107327064017045</v>
      </c>
      <c r="X94" s="7">
        <f t="shared" si="25"/>
        <v>0.22909633829177417</v>
      </c>
      <c r="Y94" s="7">
        <f t="shared" si="26"/>
        <v>0</v>
      </c>
      <c r="Z94" s="7">
        <f t="shared" si="27"/>
        <v>0</v>
      </c>
      <c r="AA94" s="23">
        <v>45.911572818750003</v>
      </c>
      <c r="AB94" s="29">
        <v>26.895658710639999</v>
      </c>
    </row>
    <row r="95" spans="1:28" x14ac:dyDescent="0.35">
      <c r="A95" s="10" t="s">
        <v>43</v>
      </c>
      <c r="B95" s="15" t="s">
        <v>65</v>
      </c>
      <c r="C95" s="6">
        <f t="shared" si="28"/>
        <v>0</v>
      </c>
      <c r="D95" s="12">
        <f>[1]data!D97-[1]data!D58</f>
        <v>0</v>
      </c>
      <c r="E95" s="12">
        <f>[1]data!E97-[1]data!E58</f>
        <v>0</v>
      </c>
      <c r="F95" s="12">
        <f>[1]data!F97-[1]data!F58</f>
        <v>-7.7974502276702218E-2</v>
      </c>
      <c r="G95" s="19">
        <f t="shared" si="29"/>
        <v>0</v>
      </c>
      <c r="H95" s="12">
        <f>[1]data!H97-[1]data!H58</f>
        <v>0</v>
      </c>
      <c r="I95" s="12">
        <f>[1]data!I97-[1]data!I58</f>
        <v>0</v>
      </c>
      <c r="J95" s="12">
        <f>[1]data!J97-[1]data!J58</f>
        <v>4.5431343173003125E-2</v>
      </c>
      <c r="K95" s="8">
        <f t="shared" si="32"/>
        <v>0</v>
      </c>
      <c r="L95" s="8">
        <f t="shared" si="32"/>
        <v>0</v>
      </c>
      <c r="M95" s="7">
        <f t="shared" si="16"/>
        <v>0</v>
      </c>
      <c r="N95" s="7">
        <f t="shared" si="17"/>
        <v>0</v>
      </c>
      <c r="O95" s="7">
        <f t="shared" si="18"/>
        <v>0</v>
      </c>
      <c r="P95" s="7">
        <f t="shared" si="19"/>
        <v>0</v>
      </c>
      <c r="Q95" s="7">
        <f t="shared" si="20"/>
        <v>-3.0608945999922105E-2</v>
      </c>
      <c r="R95" s="7">
        <f t="shared" si="21"/>
        <v>-3.0708014450029946E-2</v>
      </c>
      <c r="S95" s="8">
        <f t="shared" si="33"/>
        <v>0</v>
      </c>
      <c r="T95" s="8">
        <f t="shared" si="33"/>
        <v>0</v>
      </c>
      <c r="U95" s="7">
        <f t="shared" si="22"/>
        <v>0</v>
      </c>
      <c r="V95" s="7">
        <f t="shared" si="23"/>
        <v>0</v>
      </c>
      <c r="W95" s="7">
        <f t="shared" si="24"/>
        <v>0</v>
      </c>
      <c r="X95" s="7">
        <f t="shared" si="25"/>
        <v>0</v>
      </c>
      <c r="Y95" s="7">
        <f t="shared" si="26"/>
        <v>1.7834105884403675E-2</v>
      </c>
      <c r="Z95" s="7">
        <f t="shared" si="27"/>
        <v>1.7891827480862151E-2</v>
      </c>
      <c r="AA95" s="23">
        <v>253.92231856471</v>
      </c>
      <c r="AB95" s="29">
        <v>254.7441596875</v>
      </c>
    </row>
    <row r="96" spans="1:28" x14ac:dyDescent="0.35">
      <c r="A96" s="10" t="s">
        <v>44</v>
      </c>
      <c r="B96" s="15" t="s">
        <v>65</v>
      </c>
      <c r="C96" s="6">
        <f t="shared" si="28"/>
        <v>0</v>
      </c>
      <c r="D96" s="12">
        <f>[1]data!D98-[1]data!D59</f>
        <v>0</v>
      </c>
      <c r="E96" s="12">
        <f>[1]data!E98-[1]data!E59</f>
        <v>0</v>
      </c>
      <c r="F96" s="12">
        <f>[1]data!F98-[1]data!F59</f>
        <v>0</v>
      </c>
      <c r="G96" s="19">
        <f t="shared" si="29"/>
        <v>2.5915049311271554</v>
      </c>
      <c r="H96" s="12">
        <f>[1]data!H98-[1]data!H59</f>
        <v>-8.862629246676515E-2</v>
      </c>
      <c r="I96" s="12">
        <f>[1]data!I98-[1]data!I59</f>
        <v>2.6801312235939205</v>
      </c>
      <c r="J96" s="12">
        <f>[1]data!J98-[1]data!J59</f>
        <v>0</v>
      </c>
      <c r="K96" s="8">
        <f t="shared" si="32"/>
        <v>0</v>
      </c>
      <c r="L96" s="8">
        <f t="shared" si="32"/>
        <v>0</v>
      </c>
      <c r="M96" s="7">
        <f t="shared" si="16"/>
        <v>0</v>
      </c>
      <c r="N96" s="7">
        <f t="shared" si="17"/>
        <v>0</v>
      </c>
      <c r="O96" s="7">
        <f t="shared" si="18"/>
        <v>0</v>
      </c>
      <c r="P96" s="7">
        <f t="shared" si="19"/>
        <v>0</v>
      </c>
      <c r="Q96" s="7">
        <f t="shared" si="20"/>
        <v>0</v>
      </c>
      <c r="R96" s="7">
        <f t="shared" si="21"/>
        <v>0</v>
      </c>
      <c r="S96" s="8">
        <f t="shared" si="33"/>
        <v>1.2709498276004052</v>
      </c>
      <c r="T96" s="8">
        <f t="shared" si="33"/>
        <v>0.8594097408708804</v>
      </c>
      <c r="U96" s="7">
        <f t="shared" si="22"/>
        <v>-4.3464926413435967E-2</v>
      </c>
      <c r="V96" s="7">
        <f t="shared" si="23"/>
        <v>-2.9390759835475809E-2</v>
      </c>
      <c r="W96" s="7">
        <f t="shared" si="24"/>
        <v>1.3144147540138411</v>
      </c>
      <c r="X96" s="7">
        <f t="shared" si="25"/>
        <v>0.88880050070635619</v>
      </c>
      <c r="Y96" s="7">
        <f t="shared" si="26"/>
        <v>0</v>
      </c>
      <c r="Z96" s="7">
        <f t="shared" si="27"/>
        <v>0</v>
      </c>
      <c r="AA96" s="23">
        <v>301.54474727050001</v>
      </c>
      <c r="AB96" s="29">
        <v>203.90300819506001</v>
      </c>
    </row>
    <row r="97" spans="1:28" x14ac:dyDescent="0.35">
      <c r="A97" s="10" t="s">
        <v>45</v>
      </c>
      <c r="B97" s="15" t="s">
        <v>65</v>
      </c>
      <c r="C97" s="6">
        <f t="shared" si="28"/>
        <v>0</v>
      </c>
      <c r="D97" s="12">
        <f>[1]data!D99-[1]data!D60</f>
        <v>0</v>
      </c>
      <c r="E97" s="12">
        <f>[1]data!E99-[1]data!E60</f>
        <v>0</v>
      </c>
      <c r="F97" s="12">
        <f>[1]data!F99-[1]data!F60</f>
        <v>0</v>
      </c>
      <c r="G97" s="19">
        <f t="shared" si="29"/>
        <v>0</v>
      </c>
      <c r="H97" s="12">
        <f>[1]data!H99-[1]data!H60</f>
        <v>0</v>
      </c>
      <c r="I97" s="12">
        <f>[1]data!I99-[1]data!I60</f>
        <v>0</v>
      </c>
      <c r="J97" s="12">
        <f>[1]data!J99-[1]data!J60</f>
        <v>0</v>
      </c>
      <c r="K97" s="8">
        <f t="shared" si="32"/>
        <v>0</v>
      </c>
      <c r="L97" s="8">
        <f t="shared" si="32"/>
        <v>0</v>
      </c>
      <c r="M97" s="7">
        <f t="shared" si="16"/>
        <v>0</v>
      </c>
      <c r="N97" s="7">
        <f t="shared" si="17"/>
        <v>0</v>
      </c>
      <c r="O97" s="7">
        <f t="shared" si="18"/>
        <v>0</v>
      </c>
      <c r="P97" s="7">
        <f t="shared" si="19"/>
        <v>0</v>
      </c>
      <c r="Q97" s="7">
        <f t="shared" si="20"/>
        <v>0</v>
      </c>
      <c r="R97" s="7">
        <f t="shared" si="21"/>
        <v>0</v>
      </c>
      <c r="S97" s="8">
        <f t="shared" si="33"/>
        <v>0</v>
      </c>
      <c r="T97" s="8">
        <f t="shared" si="33"/>
        <v>0</v>
      </c>
      <c r="U97" s="7">
        <f t="shared" si="22"/>
        <v>0</v>
      </c>
      <c r="V97" s="7">
        <f t="shared" si="23"/>
        <v>0</v>
      </c>
      <c r="W97" s="7">
        <f t="shared" si="24"/>
        <v>0</v>
      </c>
      <c r="X97" s="7">
        <f t="shared" si="25"/>
        <v>0</v>
      </c>
      <c r="Y97" s="7">
        <f t="shared" si="26"/>
        <v>0</v>
      </c>
      <c r="Z97" s="7">
        <f t="shared" si="27"/>
        <v>0</v>
      </c>
      <c r="AA97" s="23">
        <v>19.06914282116</v>
      </c>
      <c r="AB97" s="29">
        <v>20.729999827290001</v>
      </c>
    </row>
    <row r="98" spans="1:28" x14ac:dyDescent="0.35">
      <c r="A98" s="10" t="s">
        <v>46</v>
      </c>
      <c r="B98" s="15" t="s">
        <v>65</v>
      </c>
      <c r="C98" s="6">
        <f t="shared" si="28"/>
        <v>0</v>
      </c>
      <c r="D98" s="12">
        <f>[1]data!D100-[1]data!D61</f>
        <v>0</v>
      </c>
      <c r="E98" s="12">
        <f>[1]data!E100-[1]data!E61</f>
        <v>0</v>
      </c>
      <c r="F98" s="12">
        <f>[1]data!F100-[1]data!F61</f>
        <v>0</v>
      </c>
      <c r="G98" s="19">
        <f t="shared" si="29"/>
        <v>0</v>
      </c>
      <c r="H98" s="12">
        <f>[1]data!H100-[1]data!H61</f>
        <v>0</v>
      </c>
      <c r="I98" s="12">
        <f>[1]data!I100-[1]data!I61</f>
        <v>0</v>
      </c>
      <c r="J98" s="12">
        <f>[1]data!J100-[1]data!J61</f>
        <v>0</v>
      </c>
      <c r="K98" s="8">
        <f t="shared" si="32"/>
        <v>0</v>
      </c>
      <c r="L98" s="8">
        <f t="shared" si="32"/>
        <v>0</v>
      </c>
      <c r="M98" s="7">
        <f t="shared" si="16"/>
        <v>0</v>
      </c>
      <c r="N98" s="7">
        <f t="shared" si="17"/>
        <v>0</v>
      </c>
      <c r="O98" s="7">
        <f t="shared" si="18"/>
        <v>0</v>
      </c>
      <c r="P98" s="7">
        <f t="shared" si="19"/>
        <v>0</v>
      </c>
      <c r="Q98" s="7">
        <f t="shared" si="20"/>
        <v>0</v>
      </c>
      <c r="R98" s="7">
        <f t="shared" si="21"/>
        <v>0</v>
      </c>
      <c r="S98" s="8">
        <f t="shared" si="33"/>
        <v>0</v>
      </c>
      <c r="T98" s="8">
        <f t="shared" si="33"/>
        <v>0</v>
      </c>
      <c r="U98" s="7">
        <f t="shared" si="22"/>
        <v>0</v>
      </c>
      <c r="V98" s="7">
        <f t="shared" si="23"/>
        <v>0</v>
      </c>
      <c r="W98" s="7">
        <f t="shared" si="24"/>
        <v>0</v>
      </c>
      <c r="X98" s="7">
        <f t="shared" si="25"/>
        <v>0</v>
      </c>
      <c r="Y98" s="7">
        <f t="shared" si="26"/>
        <v>0</v>
      </c>
      <c r="Z98" s="7">
        <f t="shared" si="27"/>
        <v>0</v>
      </c>
      <c r="AA98" s="23">
        <v>417.89075855828003</v>
      </c>
      <c r="AB98" s="29">
        <v>371.46659669328</v>
      </c>
    </row>
    <row r="99" spans="1:28" x14ac:dyDescent="0.35">
      <c r="A99" s="10" t="s">
        <v>47</v>
      </c>
      <c r="B99" s="15" t="s">
        <v>65</v>
      </c>
      <c r="C99" s="6">
        <f t="shared" si="28"/>
        <v>0</v>
      </c>
      <c r="D99" s="12">
        <f>[1]data!D101-[1]data!D62</f>
        <v>0</v>
      </c>
      <c r="E99" s="12">
        <f>[1]data!E101-[1]data!E62</f>
        <v>0</v>
      </c>
      <c r="F99" s="12">
        <f>[1]data!F101-[1]data!F62</f>
        <v>0</v>
      </c>
      <c r="G99" s="19">
        <f t="shared" si="29"/>
        <v>0</v>
      </c>
      <c r="H99" s="12">
        <f>[1]data!H101-[1]data!H62</f>
        <v>0</v>
      </c>
      <c r="I99" s="12">
        <f>[1]data!I101-[1]data!I62</f>
        <v>0</v>
      </c>
      <c r="J99" s="12">
        <f>[1]data!J101-[1]data!J62</f>
        <v>0</v>
      </c>
      <c r="K99" s="8">
        <f t="shared" si="32"/>
        <v>0</v>
      </c>
      <c r="L99" s="8">
        <f t="shared" si="32"/>
        <v>0</v>
      </c>
      <c r="M99" s="7">
        <f t="shared" si="16"/>
        <v>0</v>
      </c>
      <c r="N99" s="7">
        <f t="shared" si="17"/>
        <v>0</v>
      </c>
      <c r="O99" s="7">
        <f t="shared" si="18"/>
        <v>0</v>
      </c>
      <c r="P99" s="7">
        <f t="shared" si="19"/>
        <v>0</v>
      </c>
      <c r="Q99" s="7">
        <f t="shared" si="20"/>
        <v>0</v>
      </c>
      <c r="R99" s="7">
        <f t="shared" si="21"/>
        <v>0</v>
      </c>
      <c r="S99" s="8">
        <f t="shared" si="33"/>
        <v>0</v>
      </c>
      <c r="T99" s="8">
        <f t="shared" si="33"/>
        <v>0</v>
      </c>
      <c r="U99" s="7">
        <f t="shared" si="22"/>
        <v>0</v>
      </c>
      <c r="V99" s="7">
        <f t="shared" si="23"/>
        <v>0</v>
      </c>
      <c r="W99" s="7">
        <f t="shared" si="24"/>
        <v>0</v>
      </c>
      <c r="X99" s="7">
        <f t="shared" si="25"/>
        <v>0</v>
      </c>
      <c r="Y99" s="7">
        <f t="shared" si="26"/>
        <v>0</v>
      </c>
      <c r="Z99" s="7">
        <f t="shared" si="27"/>
        <v>0</v>
      </c>
      <c r="AA99" s="23">
        <v>342.39670930134002</v>
      </c>
      <c r="AB99" s="29">
        <v>358.46025273358998</v>
      </c>
    </row>
    <row r="100" spans="1:28" x14ac:dyDescent="0.35">
      <c r="A100" s="10" t="s">
        <v>48</v>
      </c>
      <c r="B100" s="15" t="s">
        <v>65</v>
      </c>
      <c r="C100" s="6">
        <f t="shared" si="28"/>
        <v>0</v>
      </c>
      <c r="D100" s="12">
        <f>[1]data!D102-[1]data!D63</f>
        <v>0</v>
      </c>
      <c r="E100" s="12">
        <f>[1]data!E102-[1]data!E63</f>
        <v>0</v>
      </c>
      <c r="F100" s="12">
        <f>[1]data!F102-[1]data!F63</f>
        <v>0</v>
      </c>
      <c r="G100" s="19">
        <f t="shared" si="29"/>
        <v>0</v>
      </c>
      <c r="H100" s="12">
        <f>[1]data!H102-[1]data!H63</f>
        <v>0</v>
      </c>
      <c r="I100" s="12">
        <f>[1]data!I102-[1]data!I63</f>
        <v>0</v>
      </c>
      <c r="J100" s="12">
        <f>[1]data!J102-[1]data!J63</f>
        <v>0</v>
      </c>
      <c r="K100" s="8">
        <f t="shared" si="32"/>
        <v>0</v>
      </c>
      <c r="L100" s="8">
        <f t="shared" si="32"/>
        <v>0</v>
      </c>
      <c r="M100" s="7">
        <f t="shared" si="16"/>
        <v>0</v>
      </c>
      <c r="N100" s="7">
        <f t="shared" si="17"/>
        <v>0</v>
      </c>
      <c r="O100" s="7">
        <f t="shared" si="18"/>
        <v>0</v>
      </c>
      <c r="P100" s="7">
        <f t="shared" si="19"/>
        <v>0</v>
      </c>
      <c r="Q100" s="7">
        <f t="shared" si="20"/>
        <v>0</v>
      </c>
      <c r="R100" s="7">
        <f t="shared" si="21"/>
        <v>0</v>
      </c>
      <c r="S100" s="8">
        <f t="shared" si="33"/>
        <v>0</v>
      </c>
      <c r="T100" s="8">
        <f t="shared" si="33"/>
        <v>0</v>
      </c>
      <c r="U100" s="7">
        <f t="shared" si="22"/>
        <v>0</v>
      </c>
      <c r="V100" s="7">
        <f t="shared" si="23"/>
        <v>0</v>
      </c>
      <c r="W100" s="7">
        <f t="shared" si="24"/>
        <v>0</v>
      </c>
      <c r="X100" s="7">
        <f t="shared" si="25"/>
        <v>0</v>
      </c>
      <c r="Y100" s="7">
        <f t="shared" si="26"/>
        <v>0</v>
      </c>
      <c r="Z100" s="7">
        <f t="shared" si="27"/>
        <v>0</v>
      </c>
      <c r="AA100" s="25">
        <v>55.422589739999999</v>
      </c>
      <c r="AB100" s="29">
        <v>30.160077523049999</v>
      </c>
    </row>
    <row r="101" spans="1:28" x14ac:dyDescent="0.35">
      <c r="A101" s="10" t="s">
        <v>49</v>
      </c>
      <c r="B101" s="15" t="s">
        <v>65</v>
      </c>
      <c r="C101" s="6">
        <f t="shared" si="28"/>
        <v>0</v>
      </c>
      <c r="D101" s="12">
        <f>[1]data!D103-[1]data!D64</f>
        <v>0</v>
      </c>
      <c r="E101" s="12">
        <f>[1]data!E103-[1]data!E64</f>
        <v>0</v>
      </c>
      <c r="F101" s="12">
        <f>[1]data!F103-[1]data!F64</f>
        <v>0</v>
      </c>
      <c r="G101" s="19">
        <f>H101+I101</f>
        <v>0</v>
      </c>
      <c r="H101" s="12">
        <f>[1]data!H103-[1]data!H64</f>
        <v>0</v>
      </c>
      <c r="I101" s="12">
        <f>[1]data!I103-[1]data!I64</f>
        <v>0</v>
      </c>
      <c r="J101" s="12">
        <f>[1]data!J103-[1]data!J64</f>
        <v>0</v>
      </c>
      <c r="K101" s="8">
        <f t="shared" si="32"/>
        <v>0</v>
      </c>
      <c r="L101" s="8">
        <f t="shared" si="32"/>
        <v>0</v>
      </c>
      <c r="M101" s="7">
        <f t="shared" si="16"/>
        <v>0</v>
      </c>
      <c r="N101" s="7">
        <f t="shared" si="17"/>
        <v>0</v>
      </c>
      <c r="O101" s="7">
        <f t="shared" si="18"/>
        <v>0</v>
      </c>
      <c r="P101" s="7">
        <f t="shared" si="19"/>
        <v>0</v>
      </c>
      <c r="Q101" s="7">
        <f t="shared" si="20"/>
        <v>0</v>
      </c>
      <c r="R101" s="7">
        <f t="shared" si="21"/>
        <v>0</v>
      </c>
      <c r="S101" s="8">
        <f t="shared" si="33"/>
        <v>0</v>
      </c>
      <c r="T101" s="8">
        <f t="shared" si="33"/>
        <v>0</v>
      </c>
      <c r="U101" s="7">
        <f t="shared" si="22"/>
        <v>0</v>
      </c>
      <c r="V101" s="7">
        <f t="shared" si="23"/>
        <v>0</v>
      </c>
      <c r="W101" s="7">
        <f t="shared" si="24"/>
        <v>0</v>
      </c>
      <c r="X101" s="7">
        <f t="shared" si="25"/>
        <v>0</v>
      </c>
      <c r="Y101" s="7">
        <f t="shared" si="26"/>
        <v>0</v>
      </c>
      <c r="Z101" s="7">
        <f t="shared" si="27"/>
        <v>0</v>
      </c>
      <c r="AA101" s="23">
        <v>97.136073348400004</v>
      </c>
      <c r="AB101" s="29">
        <v>48.216768505140003</v>
      </c>
    </row>
    <row r="102" spans="1:28" x14ac:dyDescent="0.35">
      <c r="A102" s="10" t="s">
        <v>50</v>
      </c>
      <c r="B102" s="15" t="s">
        <v>65</v>
      </c>
      <c r="C102" s="6">
        <f t="shared" si="28"/>
        <v>0</v>
      </c>
      <c r="D102" s="12">
        <f>[1]data!D104-[1]data!D65</f>
        <v>0</v>
      </c>
      <c r="E102" s="12">
        <f>[1]data!E104-[1]data!E65</f>
        <v>0</v>
      </c>
      <c r="F102" s="12">
        <f>[1]data!F104-[1]data!F65</f>
        <v>0</v>
      </c>
      <c r="G102" s="19">
        <f t="shared" si="29"/>
        <v>0</v>
      </c>
      <c r="H102" s="12">
        <f>[1]data!H104-[1]data!H65</f>
        <v>0</v>
      </c>
      <c r="I102" s="12">
        <f>[1]data!I104-[1]data!I65</f>
        <v>0</v>
      </c>
      <c r="J102" s="12">
        <f>[1]data!J104-[1]data!J65</f>
        <v>0</v>
      </c>
      <c r="K102" s="8">
        <f t="shared" si="32"/>
        <v>0</v>
      </c>
      <c r="L102" s="8">
        <f t="shared" si="32"/>
        <v>0</v>
      </c>
      <c r="M102" s="7">
        <f t="shared" si="16"/>
        <v>0</v>
      </c>
      <c r="N102" s="7">
        <f t="shared" si="17"/>
        <v>0</v>
      </c>
      <c r="O102" s="7">
        <f t="shared" si="18"/>
        <v>0</v>
      </c>
      <c r="P102" s="7">
        <f t="shared" si="19"/>
        <v>0</v>
      </c>
      <c r="Q102" s="7">
        <f t="shared" si="20"/>
        <v>0</v>
      </c>
      <c r="R102" s="7">
        <f t="shared" si="21"/>
        <v>0</v>
      </c>
      <c r="S102" s="8">
        <f t="shared" si="33"/>
        <v>0</v>
      </c>
      <c r="T102" s="8">
        <f t="shared" si="33"/>
        <v>0</v>
      </c>
      <c r="U102" s="7">
        <f t="shared" si="22"/>
        <v>0</v>
      </c>
      <c r="V102" s="7">
        <f t="shared" si="23"/>
        <v>0</v>
      </c>
      <c r="W102" s="7">
        <f t="shared" si="24"/>
        <v>0</v>
      </c>
      <c r="X102" s="7">
        <f t="shared" si="25"/>
        <v>0</v>
      </c>
      <c r="Y102" s="7">
        <f t="shared" si="26"/>
        <v>0</v>
      </c>
      <c r="Z102" s="7">
        <f t="shared" si="27"/>
        <v>0</v>
      </c>
      <c r="AA102" s="23">
        <v>66.343484468840003</v>
      </c>
      <c r="AB102" s="29">
        <v>66.557495896739994</v>
      </c>
    </row>
    <row r="103" spans="1:28" x14ac:dyDescent="0.35">
      <c r="A103" s="10" t="s">
        <v>51</v>
      </c>
      <c r="B103" s="15" t="s">
        <v>65</v>
      </c>
      <c r="C103" s="6">
        <f t="shared" si="28"/>
        <v>4.0490431651011347</v>
      </c>
      <c r="D103" s="12">
        <f>[1]data!D105-[1]data!D66</f>
        <v>3.4647147221616406</v>
      </c>
      <c r="E103" s="12">
        <f>[1]data!E105-[1]data!E66</f>
        <v>0.58432844293949415</v>
      </c>
      <c r="F103" s="12">
        <f>[1]data!F105-[1]data!F66</f>
        <v>-16.523238726327065</v>
      </c>
      <c r="G103" s="19">
        <f t="shared" si="29"/>
        <v>4.2836647687777969</v>
      </c>
      <c r="H103" s="12">
        <f>[1]data!H105-[1]data!H66</f>
        <v>0</v>
      </c>
      <c r="I103" s="12">
        <f>[1]data!I105-[1]data!I66</f>
        <v>4.2836647687777969</v>
      </c>
      <c r="J103" s="12">
        <f>[1]data!J105-[1]data!J66</f>
        <v>0</v>
      </c>
      <c r="K103" s="8">
        <f t="shared" si="32"/>
        <v>0.48188528412977172</v>
      </c>
      <c r="L103" s="8">
        <f t="shared" si="32"/>
        <v>0.4342414824197498</v>
      </c>
      <c r="M103" s="7">
        <f t="shared" si="16"/>
        <v>0.41234310681293096</v>
      </c>
      <c r="N103" s="7">
        <f t="shared" si="17"/>
        <v>0.37157491184103569</v>
      </c>
      <c r="O103" s="7">
        <f t="shared" si="18"/>
        <v>6.9542177316840759E-2</v>
      </c>
      <c r="P103" s="7">
        <f t="shared" si="19"/>
        <v>6.2666570578714081E-2</v>
      </c>
      <c r="Q103" s="7">
        <f t="shared" si="20"/>
        <v>-1.9664659683076724</v>
      </c>
      <c r="R103" s="7">
        <f t="shared" si="21"/>
        <v>-1.7720422792075787</v>
      </c>
      <c r="S103" s="8">
        <f t="shared" si="33"/>
        <v>0.50980810281572353</v>
      </c>
      <c r="T103" s="8">
        <f t="shared" si="33"/>
        <v>0.45940358339866294</v>
      </c>
      <c r="U103" s="7">
        <f t="shared" si="22"/>
        <v>0</v>
      </c>
      <c r="V103" s="7">
        <f t="shared" si="23"/>
        <v>0</v>
      </c>
      <c r="W103" s="7">
        <f t="shared" si="24"/>
        <v>0.50980810281572353</v>
      </c>
      <c r="X103" s="7">
        <f t="shared" si="25"/>
        <v>0.45940358339866294</v>
      </c>
      <c r="Y103" s="7">
        <f t="shared" si="26"/>
        <v>0</v>
      </c>
      <c r="Z103" s="7">
        <f t="shared" si="27"/>
        <v>0</v>
      </c>
      <c r="AA103" s="23">
        <v>932.44043441874999</v>
      </c>
      <c r="AB103" s="29">
        <v>840.25042856688003</v>
      </c>
    </row>
    <row r="104" spans="1:28" x14ac:dyDescent="0.35">
      <c r="A104" s="10" t="s">
        <v>52</v>
      </c>
      <c r="B104" s="15" t="s">
        <v>65</v>
      </c>
      <c r="C104" s="6">
        <f t="shared" si="28"/>
        <v>0</v>
      </c>
      <c r="D104" s="12">
        <f>[1]data!D106-[1]data!D67</f>
        <v>0</v>
      </c>
      <c r="E104" s="12">
        <f>[1]data!E106-[1]data!E67</f>
        <v>0</v>
      </c>
      <c r="F104" s="12">
        <f>[1]data!F106-[1]data!F67</f>
        <v>0</v>
      </c>
      <c r="G104" s="19">
        <f t="shared" si="29"/>
        <v>0</v>
      </c>
      <c r="H104" s="12">
        <f>[1]data!H106-[1]data!H67</f>
        <v>0</v>
      </c>
      <c r="I104" s="12">
        <f>[1]data!I106-[1]data!I67</f>
        <v>0</v>
      </c>
      <c r="J104" s="12">
        <f>[1]data!J106-[1]data!J67</f>
        <v>0</v>
      </c>
      <c r="K104" s="8">
        <f t="shared" si="32"/>
        <v>0</v>
      </c>
      <c r="L104" s="8">
        <f t="shared" si="32"/>
        <v>0</v>
      </c>
      <c r="M104" s="7">
        <f t="shared" si="16"/>
        <v>0</v>
      </c>
      <c r="N104" s="7">
        <f t="shared" si="17"/>
        <v>0</v>
      </c>
      <c r="O104" s="7">
        <f t="shared" si="18"/>
        <v>0</v>
      </c>
      <c r="P104" s="7">
        <f t="shared" si="19"/>
        <v>0</v>
      </c>
      <c r="Q104" s="7">
        <f t="shared" si="20"/>
        <v>0</v>
      </c>
      <c r="R104" s="7">
        <f t="shared" si="21"/>
        <v>0</v>
      </c>
      <c r="S104" s="8">
        <f t="shared" si="33"/>
        <v>0</v>
      </c>
      <c r="T104" s="8">
        <f t="shared" si="33"/>
        <v>0</v>
      </c>
      <c r="U104" s="7">
        <f t="shared" si="22"/>
        <v>0</v>
      </c>
      <c r="V104" s="7">
        <f t="shared" si="23"/>
        <v>0</v>
      </c>
      <c r="W104" s="7">
        <f t="shared" si="24"/>
        <v>0</v>
      </c>
      <c r="X104" s="7">
        <f t="shared" si="25"/>
        <v>0</v>
      </c>
      <c r="Y104" s="7">
        <f t="shared" si="26"/>
        <v>0</v>
      </c>
      <c r="Z104" s="7">
        <f t="shared" si="27"/>
        <v>0</v>
      </c>
      <c r="AA104" s="23">
        <v>193.97380504054999</v>
      </c>
      <c r="AB104" s="29">
        <v>202.93908750153</v>
      </c>
    </row>
    <row r="105" spans="1:28" x14ac:dyDescent="0.35">
      <c r="A105" s="10" t="s">
        <v>53</v>
      </c>
      <c r="B105" s="15" t="s">
        <v>65</v>
      </c>
      <c r="C105" s="6">
        <f t="shared" si="28"/>
        <v>0</v>
      </c>
      <c r="D105" s="12">
        <f>[1]data!D107-[1]data!D68</f>
        <v>0</v>
      </c>
      <c r="E105" s="12">
        <f>[1]data!E107-[1]data!E68</f>
        <v>0</v>
      </c>
      <c r="F105" s="12">
        <f>[1]data!F107-[1]data!F68</f>
        <v>0</v>
      </c>
      <c r="G105" s="19">
        <f t="shared" si="29"/>
        <v>0</v>
      </c>
      <c r="H105" s="12">
        <f>[1]data!H107-[1]data!H68</f>
        <v>0</v>
      </c>
      <c r="I105" s="12">
        <f>[1]data!I107-[1]data!I68</f>
        <v>0</v>
      </c>
      <c r="J105" s="12">
        <f>[1]data!J107-[1]data!J68</f>
        <v>0</v>
      </c>
      <c r="K105" s="8">
        <f t="shared" si="32"/>
        <v>0</v>
      </c>
      <c r="L105" s="8">
        <f t="shared" si="32"/>
        <v>0</v>
      </c>
      <c r="M105" s="7">
        <f t="shared" si="16"/>
        <v>0</v>
      </c>
      <c r="N105" s="7">
        <f t="shared" si="17"/>
        <v>0</v>
      </c>
      <c r="O105" s="7">
        <f t="shared" si="18"/>
        <v>0</v>
      </c>
      <c r="P105" s="7">
        <f t="shared" si="19"/>
        <v>0</v>
      </c>
      <c r="Q105" s="7">
        <f t="shared" si="20"/>
        <v>0</v>
      </c>
      <c r="R105" s="7">
        <f t="shared" si="21"/>
        <v>0</v>
      </c>
      <c r="S105" s="8">
        <f t="shared" si="33"/>
        <v>0</v>
      </c>
      <c r="T105" s="8">
        <f t="shared" si="33"/>
        <v>0</v>
      </c>
      <c r="U105" s="7">
        <f t="shared" si="22"/>
        <v>0</v>
      </c>
      <c r="V105" s="7">
        <f t="shared" si="23"/>
        <v>0</v>
      </c>
      <c r="W105" s="7">
        <f t="shared" si="24"/>
        <v>0</v>
      </c>
      <c r="X105" s="7">
        <f t="shared" si="25"/>
        <v>0</v>
      </c>
      <c r="Y105" s="7">
        <f t="shared" si="26"/>
        <v>0</v>
      </c>
      <c r="Z105" s="7">
        <f t="shared" si="27"/>
        <v>0</v>
      </c>
      <c r="AA105" s="23">
        <v>330.45426768437</v>
      </c>
      <c r="AB105" s="29">
        <v>410.24933347112</v>
      </c>
    </row>
    <row r="106" spans="1:28" x14ac:dyDescent="0.35">
      <c r="A106" s="10" t="s">
        <v>54</v>
      </c>
      <c r="B106" s="15" t="s">
        <v>65</v>
      </c>
      <c r="C106" s="6">
        <f t="shared" si="28"/>
        <v>0</v>
      </c>
      <c r="D106" s="12">
        <f>[1]data!D108-[1]data!D69</f>
        <v>0</v>
      </c>
      <c r="E106" s="12">
        <f>[1]data!E108-[1]data!E69</f>
        <v>0</v>
      </c>
      <c r="F106" s="12">
        <f>[1]data!F108-[1]data!F69</f>
        <v>0</v>
      </c>
      <c r="G106" s="19">
        <f t="shared" si="29"/>
        <v>0</v>
      </c>
      <c r="H106" s="12">
        <f>[1]data!H108-[1]data!H69</f>
        <v>0</v>
      </c>
      <c r="I106" s="12">
        <f>[1]data!I108-[1]data!I69</f>
        <v>0</v>
      </c>
      <c r="J106" s="12">
        <f>[1]data!J108-[1]data!J69</f>
        <v>0</v>
      </c>
      <c r="K106" s="8">
        <f t="shared" si="32"/>
        <v>0</v>
      </c>
      <c r="L106" s="8">
        <f t="shared" si="32"/>
        <v>0</v>
      </c>
      <c r="M106" s="7">
        <f t="shared" si="16"/>
        <v>0</v>
      </c>
      <c r="N106" s="7">
        <f t="shared" si="17"/>
        <v>0</v>
      </c>
      <c r="O106" s="7">
        <f t="shared" si="18"/>
        <v>0</v>
      </c>
      <c r="P106" s="7">
        <f t="shared" si="19"/>
        <v>0</v>
      </c>
      <c r="Q106" s="7">
        <f t="shared" si="20"/>
        <v>0</v>
      </c>
      <c r="R106" s="7">
        <f t="shared" si="21"/>
        <v>0</v>
      </c>
      <c r="S106" s="8">
        <f t="shared" si="33"/>
        <v>0</v>
      </c>
      <c r="T106" s="8">
        <f t="shared" si="33"/>
        <v>0</v>
      </c>
      <c r="U106" s="7">
        <f t="shared" si="22"/>
        <v>0</v>
      </c>
      <c r="V106" s="7">
        <f t="shared" si="23"/>
        <v>0</v>
      </c>
      <c r="W106" s="7">
        <f t="shared" si="24"/>
        <v>0</v>
      </c>
      <c r="X106" s="7">
        <f t="shared" si="25"/>
        <v>0</v>
      </c>
      <c r="Y106" s="7">
        <f t="shared" si="26"/>
        <v>0</v>
      </c>
      <c r="Z106" s="7">
        <f t="shared" si="27"/>
        <v>0</v>
      </c>
      <c r="AA106" s="23">
        <v>341.21592570296002</v>
      </c>
      <c r="AB106" s="29">
        <v>222.36238134761999</v>
      </c>
    </row>
    <row r="107" spans="1:28" x14ac:dyDescent="0.35">
      <c r="A107" s="10" t="s">
        <v>55</v>
      </c>
      <c r="B107" s="15" t="s">
        <v>65</v>
      </c>
      <c r="C107" s="6">
        <f>D107+E107</f>
        <v>0</v>
      </c>
      <c r="D107" s="12">
        <f>[1]data!D109-[1]data!D70</f>
        <v>0</v>
      </c>
      <c r="E107" s="12">
        <f>[1]data!E109-[1]data!E70</f>
        <v>0</v>
      </c>
      <c r="F107" s="12">
        <f>[1]data!F109-[1]data!F70</f>
        <v>-0.86142947575367323</v>
      </c>
      <c r="G107" s="19">
        <f t="shared" si="29"/>
        <v>0</v>
      </c>
      <c r="H107" s="12">
        <f>[1]data!H109-[1]data!H70</f>
        <v>0</v>
      </c>
      <c r="I107" s="12">
        <f>[1]data!I109-[1]data!I70</f>
        <v>0</v>
      </c>
      <c r="J107" s="12">
        <f>[1]data!J109-[1]data!J70</f>
        <v>0</v>
      </c>
      <c r="K107" s="8">
        <f t="shared" si="32"/>
        <v>0</v>
      </c>
      <c r="L107" s="8">
        <f t="shared" si="32"/>
        <v>0</v>
      </c>
      <c r="M107" s="7">
        <f t="shared" si="16"/>
        <v>0</v>
      </c>
      <c r="N107" s="7">
        <f t="shared" si="17"/>
        <v>0</v>
      </c>
      <c r="O107" s="7">
        <f t="shared" si="18"/>
        <v>0</v>
      </c>
      <c r="P107" s="7">
        <f t="shared" si="19"/>
        <v>0</v>
      </c>
      <c r="Q107" s="7">
        <f t="shared" si="20"/>
        <v>-0.86585345724568885</v>
      </c>
      <c r="R107" s="7">
        <f t="shared" si="21"/>
        <v>-0.47406373302300298</v>
      </c>
      <c r="S107" s="8">
        <f t="shared" si="33"/>
        <v>0</v>
      </c>
      <c r="T107" s="8">
        <f t="shared" si="33"/>
        <v>0</v>
      </c>
      <c r="U107" s="7">
        <f t="shared" si="22"/>
        <v>0</v>
      </c>
      <c r="V107" s="7">
        <f t="shared" si="23"/>
        <v>0</v>
      </c>
      <c r="W107" s="7">
        <f t="shared" si="24"/>
        <v>0</v>
      </c>
      <c r="X107" s="7">
        <f t="shared" si="25"/>
        <v>0</v>
      </c>
      <c r="Y107" s="7">
        <f t="shared" si="26"/>
        <v>0</v>
      </c>
      <c r="Z107" s="7">
        <f t="shared" si="27"/>
        <v>0</v>
      </c>
      <c r="AA107" s="23">
        <v>181.71174374815001</v>
      </c>
      <c r="AB107" s="29">
        <v>99.489061173690004</v>
      </c>
    </row>
    <row r="108" spans="1:28" x14ac:dyDescent="0.35">
      <c r="A108" s="10" t="s">
        <v>56</v>
      </c>
      <c r="B108" s="15" t="s">
        <v>65</v>
      </c>
      <c r="C108" s="6">
        <f>D108+E108</f>
        <v>0</v>
      </c>
      <c r="D108" s="12">
        <f>[1]data!D110-[1]data!D71</f>
        <v>0</v>
      </c>
      <c r="E108" s="12">
        <f>[1]data!E110-[1]data!E71</f>
        <v>0</v>
      </c>
      <c r="F108" s="12">
        <f>[1]data!F110-[1]data!F71</f>
        <v>0</v>
      </c>
      <c r="G108" s="19">
        <f t="shared" si="29"/>
        <v>0</v>
      </c>
      <c r="H108" s="12">
        <f>[1]data!H110-[1]data!H71</f>
        <v>0</v>
      </c>
      <c r="I108" s="12">
        <f>[1]data!I110-[1]data!I71</f>
        <v>0</v>
      </c>
      <c r="J108" s="12">
        <f>[1]data!J110-[1]data!J71</f>
        <v>0</v>
      </c>
      <c r="K108" s="8">
        <f t="shared" si="32"/>
        <v>0</v>
      </c>
      <c r="L108" s="8">
        <f t="shared" si="32"/>
        <v>0</v>
      </c>
      <c r="M108" s="7">
        <f t="shared" si="16"/>
        <v>0</v>
      </c>
      <c r="N108" s="7">
        <f t="shared" si="17"/>
        <v>0</v>
      </c>
      <c r="O108" s="7">
        <f t="shared" si="18"/>
        <v>0</v>
      </c>
      <c r="P108" s="7">
        <f t="shared" si="19"/>
        <v>0</v>
      </c>
      <c r="Q108" s="7">
        <f t="shared" si="20"/>
        <v>0</v>
      </c>
      <c r="R108" s="7">
        <f t="shared" si="21"/>
        <v>0</v>
      </c>
      <c r="S108" s="8">
        <f t="shared" si="33"/>
        <v>0</v>
      </c>
      <c r="T108" s="8">
        <f t="shared" si="33"/>
        <v>0</v>
      </c>
      <c r="U108" s="7">
        <f t="shared" si="22"/>
        <v>0</v>
      </c>
      <c r="V108" s="7">
        <f t="shared" si="23"/>
        <v>0</v>
      </c>
      <c r="W108" s="7">
        <f t="shared" si="24"/>
        <v>0</v>
      </c>
      <c r="X108" s="7">
        <f t="shared" si="25"/>
        <v>0</v>
      </c>
      <c r="Y108" s="7">
        <f t="shared" si="26"/>
        <v>0</v>
      </c>
      <c r="Z108" s="7">
        <f t="shared" si="27"/>
        <v>0</v>
      </c>
      <c r="AA108" s="23">
        <v>76.037366075549997</v>
      </c>
      <c r="AB108" s="29">
        <v>50.417977728389999</v>
      </c>
    </row>
    <row r="109" spans="1:28" x14ac:dyDescent="0.35">
      <c r="A109" s="10" t="s">
        <v>57</v>
      </c>
      <c r="B109" s="15" t="s">
        <v>65</v>
      </c>
      <c r="C109" s="6">
        <f>D109+E109</f>
        <v>0</v>
      </c>
      <c r="D109" s="12">
        <f>[1]data!D111-[1]data!D72</f>
        <v>0</v>
      </c>
      <c r="E109" s="12">
        <f>[1]data!E111-[1]data!E72</f>
        <v>0</v>
      </c>
      <c r="F109" s="12">
        <f>[1]data!F111-[1]data!F72</f>
        <v>0.16067269854286081</v>
      </c>
      <c r="G109" s="19">
        <f t="shared" si="29"/>
        <v>4.9054188920696484</v>
      </c>
      <c r="H109" s="12">
        <f>[1]data!H111-[1]data!H72</f>
        <v>1.2663765826177678</v>
      </c>
      <c r="I109" s="12">
        <f>[1]data!I111-[1]data!I72</f>
        <v>3.6390423094518809</v>
      </c>
      <c r="J109" s="12">
        <f>[1]data!J111-[1]data!J72</f>
        <v>0</v>
      </c>
      <c r="K109" s="8">
        <f t="shared" si="32"/>
        <v>0</v>
      </c>
      <c r="L109" s="8">
        <f t="shared" si="32"/>
        <v>0</v>
      </c>
      <c r="M109" s="7">
        <f t="shared" si="16"/>
        <v>0</v>
      </c>
      <c r="N109" s="7">
        <f t="shared" si="17"/>
        <v>0</v>
      </c>
      <c r="O109" s="7">
        <f t="shared" si="18"/>
        <v>0</v>
      </c>
      <c r="P109" s="7">
        <f t="shared" si="19"/>
        <v>0</v>
      </c>
      <c r="Q109" s="7">
        <f t="shared" si="20"/>
        <v>2.9222713601403456E-2</v>
      </c>
      <c r="R109" s="7">
        <f t="shared" si="21"/>
        <v>3.0839023731590403E-2</v>
      </c>
      <c r="S109" s="8">
        <f t="shared" si="33"/>
        <v>0.89218425207208074</v>
      </c>
      <c r="T109" s="8">
        <f t="shared" si="33"/>
        <v>0.94153101925759342</v>
      </c>
      <c r="U109" s="7">
        <f t="shared" si="22"/>
        <v>0.23032513003751623</v>
      </c>
      <c r="V109" s="7">
        <f t="shared" si="23"/>
        <v>0.24306442748928966</v>
      </c>
      <c r="W109" s="7">
        <f t="shared" si="24"/>
        <v>0.66185912203456454</v>
      </c>
      <c r="X109" s="7">
        <f t="shared" si="25"/>
        <v>0.69846659176830372</v>
      </c>
      <c r="Y109" s="7">
        <f t="shared" si="26"/>
        <v>0</v>
      </c>
      <c r="Z109" s="7">
        <f t="shared" si="27"/>
        <v>0</v>
      </c>
      <c r="AA109" s="23">
        <v>521.00449074291998</v>
      </c>
      <c r="AB109" s="29">
        <v>549.82128194673999</v>
      </c>
    </row>
    <row r="110" spans="1:28" x14ac:dyDescent="0.35">
      <c r="A110" s="10" t="s">
        <v>58</v>
      </c>
      <c r="B110" s="15" t="s">
        <v>65</v>
      </c>
      <c r="C110" s="6">
        <f>D110+E110</f>
        <v>1.8004263575689254</v>
      </c>
      <c r="D110" s="12">
        <f>[1]data!D112-[1]data!D73</f>
        <v>7.9844312796973682E-2</v>
      </c>
      <c r="E110" s="12">
        <f>[1]data!E112-[1]data!E73</f>
        <v>1.7205820447719518</v>
      </c>
      <c r="F110" s="12">
        <f>[1]data!F112-[1]data!F73</f>
        <v>0</v>
      </c>
      <c r="G110" s="19">
        <f t="shared" si="29"/>
        <v>1.911837291641109</v>
      </c>
      <c r="H110" s="12">
        <f>[1]data!H112-[1]data!H73</f>
        <v>0.85051942145296811</v>
      </c>
      <c r="I110" s="12">
        <f>[1]data!I112-[1]data!I73</f>
        <v>1.0613178701881409</v>
      </c>
      <c r="J110" s="12">
        <f>[1]data!J112-[1]data!J73</f>
        <v>0</v>
      </c>
      <c r="K110" s="8">
        <f t="shared" si="32"/>
        <v>0.2409855149615818</v>
      </c>
      <c r="L110" s="8">
        <f t="shared" si="32"/>
        <v>0.30473646432983231</v>
      </c>
      <c r="M110" s="7">
        <f t="shared" si="16"/>
        <v>1.0687092396332965E-2</v>
      </c>
      <c r="N110" s="7">
        <f t="shared" si="17"/>
        <v>1.3514284256229829E-2</v>
      </c>
      <c r="O110" s="7">
        <f t="shared" si="18"/>
        <v>0.23029842256524882</v>
      </c>
      <c r="P110" s="7">
        <f t="shared" si="19"/>
        <v>0.29122218007360251</v>
      </c>
      <c r="Q110" s="7">
        <f t="shared" si="20"/>
        <v>0</v>
      </c>
      <c r="R110" s="7">
        <f t="shared" si="21"/>
        <v>0</v>
      </c>
      <c r="S110" s="8">
        <f t="shared" si="33"/>
        <v>0.25589777238708894</v>
      </c>
      <c r="T110" s="8">
        <f t="shared" si="33"/>
        <v>0.32359365001483009</v>
      </c>
      <c r="U110" s="7">
        <f t="shared" si="22"/>
        <v>0.11384129092645967</v>
      </c>
      <c r="V110" s="7">
        <f t="shared" si="23"/>
        <v>0.14395716894936081</v>
      </c>
      <c r="W110" s="7">
        <f t="shared" si="24"/>
        <v>0.14205648146062927</v>
      </c>
      <c r="X110" s="7">
        <f t="shared" si="25"/>
        <v>0.17963648106546926</v>
      </c>
      <c r="Y110" s="7">
        <f t="shared" si="26"/>
        <v>0</v>
      </c>
      <c r="Z110" s="7">
        <f t="shared" si="27"/>
        <v>0</v>
      </c>
      <c r="AA110" s="23">
        <v>590.81421763174001</v>
      </c>
      <c r="AB110" s="29">
        <v>747.10978286638999</v>
      </c>
    </row>
    <row r="111" spans="1:28" x14ac:dyDescent="0.35">
      <c r="A111" s="5" t="s">
        <v>59</v>
      </c>
      <c r="B111" s="15" t="s">
        <v>65</v>
      </c>
      <c r="C111" s="6">
        <f>D111+E111</f>
        <v>2.0693829123812071</v>
      </c>
      <c r="D111" s="12">
        <f>[1]data!D113-[1]data!D74</f>
        <v>2.5366516631069258E-2</v>
      </c>
      <c r="E111" s="12">
        <f>[1]data!E113-[1]data!E74</f>
        <v>2.0440163957501376</v>
      </c>
      <c r="F111" s="12">
        <f>[1]data!F113-[1]data!F74</f>
        <v>-0.77163407057657318</v>
      </c>
      <c r="G111" s="19">
        <f t="shared" si="29"/>
        <v>0</v>
      </c>
      <c r="H111" s="12">
        <f>[1]data!H113-[1]data!H74</f>
        <v>0</v>
      </c>
      <c r="I111" s="12">
        <f>[1]data!I113-[1]data!I74</f>
        <v>0</v>
      </c>
      <c r="J111" s="12">
        <f>[1]data!J113-[1]data!J74</f>
        <v>0</v>
      </c>
      <c r="K111" s="8">
        <f t="shared" si="32"/>
        <v>0.78996304731135158</v>
      </c>
      <c r="L111" s="8">
        <f t="shared" si="32"/>
        <v>0.46894085882630965</v>
      </c>
      <c r="M111" s="7">
        <f t="shared" si="16"/>
        <v>9.6833750088790634E-3</v>
      </c>
      <c r="N111" s="7">
        <f t="shared" si="17"/>
        <v>5.7482817816049492E-3</v>
      </c>
      <c r="O111" s="7">
        <f t="shared" si="18"/>
        <v>0.78027967230247253</v>
      </c>
      <c r="P111" s="7">
        <f t="shared" si="19"/>
        <v>0.46319257704470468</v>
      </c>
      <c r="Q111" s="7">
        <f t="shared" si="20"/>
        <v>-0.29456240222865199</v>
      </c>
      <c r="R111" s="7">
        <f t="shared" si="21"/>
        <v>-0.17485924987147178</v>
      </c>
      <c r="S111" s="8">
        <f t="shared" si="33"/>
        <v>0</v>
      </c>
      <c r="T111" s="8">
        <f t="shared" si="33"/>
        <v>0</v>
      </c>
      <c r="U111" s="7">
        <f t="shared" si="22"/>
        <v>0</v>
      </c>
      <c r="V111" s="7">
        <f t="shared" si="23"/>
        <v>0</v>
      </c>
      <c r="W111" s="7">
        <f t="shared" si="24"/>
        <v>0</v>
      </c>
      <c r="X111" s="7">
        <f t="shared" si="25"/>
        <v>0</v>
      </c>
      <c r="Y111" s="7">
        <f t="shared" si="26"/>
        <v>0</v>
      </c>
      <c r="Z111" s="7">
        <f t="shared" si="27"/>
        <v>0</v>
      </c>
      <c r="AA111" s="23">
        <v>441.28867711817003</v>
      </c>
      <c r="AB111" s="29">
        <v>261.95945739796002</v>
      </c>
    </row>
    <row r="112" spans="1:28" x14ac:dyDescent="0.35">
      <c r="A112" s="5" t="s">
        <v>60</v>
      </c>
      <c r="B112" s="15" t="s">
        <v>65</v>
      </c>
      <c r="C112" s="6">
        <f t="shared" si="28"/>
        <v>3.2258738534714397</v>
      </c>
      <c r="D112" s="12">
        <f>[1]data!D114-[1]data!D75</f>
        <v>0.45292015012499087</v>
      </c>
      <c r="E112" s="12">
        <f>[1]data!E114-[1]data!E75</f>
        <v>2.7729537033464489</v>
      </c>
      <c r="F112" s="12">
        <f>[1]data!F114-[1]data!F75</f>
        <v>0</v>
      </c>
      <c r="G112" s="19">
        <f t="shared" si="29"/>
        <v>5.9938359774371612</v>
      </c>
      <c r="H112" s="12">
        <f>[1]data!H114-[1]data!H75</f>
        <v>0</v>
      </c>
      <c r="I112" s="12">
        <f>[1]data!I114-[1]data!I75</f>
        <v>5.9938359774371612</v>
      </c>
      <c r="J112" s="12">
        <f>[1]data!J114-[1]data!J75</f>
        <v>0</v>
      </c>
      <c r="K112" s="8">
        <f t="shared" si="32"/>
        <v>1.0036769073955694</v>
      </c>
      <c r="L112" s="8">
        <f t="shared" si="32"/>
        <v>0.46720030176171912</v>
      </c>
      <c r="M112" s="7">
        <f t="shared" si="16"/>
        <v>0.14091855919455673</v>
      </c>
      <c r="N112" s="7">
        <f t="shared" si="17"/>
        <v>6.5596002951152685E-2</v>
      </c>
      <c r="O112" s="7">
        <f t="shared" si="18"/>
        <v>0.86275834820101271</v>
      </c>
      <c r="P112" s="7">
        <f t="shared" si="19"/>
        <v>0.40160429881056642</v>
      </c>
      <c r="Q112" s="7">
        <f t="shared" si="20"/>
        <v>0</v>
      </c>
      <c r="R112" s="7">
        <f t="shared" si="21"/>
        <v>0</v>
      </c>
      <c r="S112" s="8">
        <f t="shared" si="33"/>
        <v>1.864882208830517</v>
      </c>
      <c r="T112" s="8">
        <f t="shared" si="33"/>
        <v>0.86808167478570097</v>
      </c>
      <c r="U112" s="7">
        <f t="shared" si="22"/>
        <v>0</v>
      </c>
      <c r="V112" s="7">
        <f t="shared" si="23"/>
        <v>0</v>
      </c>
      <c r="W112" s="7">
        <f t="shared" si="24"/>
        <v>1.864882208830517</v>
      </c>
      <c r="X112" s="7">
        <f t="shared" si="25"/>
        <v>0.86808167478570097</v>
      </c>
      <c r="Y112" s="7">
        <f t="shared" si="26"/>
        <v>0</v>
      </c>
      <c r="Z112" s="7">
        <f t="shared" si="27"/>
        <v>0</v>
      </c>
      <c r="AA112" s="23">
        <v>690.46912883131995</v>
      </c>
      <c r="AB112" s="29">
        <v>321.40560669490998</v>
      </c>
    </row>
    <row r="113" spans="1:28" x14ac:dyDescent="0.35">
      <c r="A113" s="5" t="s">
        <v>61</v>
      </c>
      <c r="B113" s="15" t="s">
        <v>65</v>
      </c>
      <c r="C113" s="6">
        <f t="shared" si="28"/>
        <v>5.8727526670422303E-2</v>
      </c>
      <c r="D113" s="12">
        <f>[1]data!D115-[1]data!D76</f>
        <v>2.538342923163589E-2</v>
      </c>
      <c r="E113" s="12">
        <f>[1]data!E115-[1]data!E76</f>
        <v>3.3344097438786413E-2</v>
      </c>
      <c r="F113" s="12">
        <f>[1]data!F115-[1]data!F76</f>
        <v>0</v>
      </c>
      <c r="G113" s="19">
        <f t="shared" si="29"/>
        <v>0</v>
      </c>
      <c r="H113" s="12">
        <f>[1]data!H115-[1]data!H76</f>
        <v>0</v>
      </c>
      <c r="I113" s="12">
        <f>[1]data!I115-[1]data!I76</f>
        <v>0</v>
      </c>
      <c r="J113" s="12">
        <f>[1]data!J115-[1]data!J76</f>
        <v>0</v>
      </c>
      <c r="K113" s="8">
        <f t="shared" si="32"/>
        <v>9.121660694157549E-2</v>
      </c>
      <c r="L113" s="8">
        <f t="shared" si="32"/>
        <v>6.4370581479084282E-2</v>
      </c>
      <c r="M113" s="7">
        <f t="shared" si="16"/>
        <v>3.9425979916459832E-2</v>
      </c>
      <c r="N113" s="7">
        <f t="shared" si="17"/>
        <v>2.7822491295151255E-2</v>
      </c>
      <c r="O113" s="7">
        <f t="shared" si="18"/>
        <v>5.1790627025115665E-2</v>
      </c>
      <c r="P113" s="7">
        <f t="shared" si="19"/>
        <v>3.654809018393302E-2</v>
      </c>
      <c r="Q113" s="7">
        <f t="shared" si="20"/>
        <v>0</v>
      </c>
      <c r="R113" s="7">
        <f t="shared" si="21"/>
        <v>0</v>
      </c>
      <c r="S113" s="8">
        <f t="shared" si="33"/>
        <v>0</v>
      </c>
      <c r="T113" s="8">
        <f t="shared" si="33"/>
        <v>0</v>
      </c>
      <c r="U113" s="7">
        <f t="shared" si="22"/>
        <v>0</v>
      </c>
      <c r="V113" s="7">
        <f t="shared" si="23"/>
        <v>0</v>
      </c>
      <c r="W113" s="7">
        <f t="shared" si="24"/>
        <v>0</v>
      </c>
      <c r="X113" s="7">
        <f t="shared" si="25"/>
        <v>0</v>
      </c>
      <c r="Y113" s="7">
        <f t="shared" si="26"/>
        <v>0</v>
      </c>
      <c r="Z113" s="7">
        <f t="shared" si="27"/>
        <v>0</v>
      </c>
      <c r="AA113" s="23">
        <v>91.233487908610002</v>
      </c>
      <c r="AB113" s="29">
        <v>64.38249419652</v>
      </c>
    </row>
    <row r="114" spans="1:28" x14ac:dyDescent="0.35">
      <c r="A114" s="5" t="s">
        <v>62</v>
      </c>
      <c r="B114" s="15" t="s">
        <v>65</v>
      </c>
      <c r="C114" s="6">
        <f t="shared" si="28"/>
        <v>0</v>
      </c>
      <c r="D114" s="12">
        <f>[1]data!D116-[1]data!D77</f>
        <v>0</v>
      </c>
      <c r="E114" s="12">
        <f>[1]data!E116-[1]data!E77</f>
        <v>0</v>
      </c>
      <c r="F114" s="12">
        <f>[1]data!F116-[1]data!F77</f>
        <v>0</v>
      </c>
      <c r="G114" s="19">
        <f t="shared" si="29"/>
        <v>0</v>
      </c>
      <c r="H114" s="12">
        <f>[1]data!H116-[1]data!H77</f>
        <v>0</v>
      </c>
      <c r="I114" s="12">
        <f>[1]data!I116-[1]data!I77</f>
        <v>0</v>
      </c>
      <c r="J114" s="12">
        <f>[1]data!J116-[1]data!J77</f>
        <v>0</v>
      </c>
      <c r="K114" s="8">
        <f t="shared" si="32"/>
        <v>0</v>
      </c>
      <c r="L114" s="8">
        <f t="shared" si="32"/>
        <v>0</v>
      </c>
      <c r="M114" s="7">
        <f t="shared" si="16"/>
        <v>0</v>
      </c>
      <c r="N114" s="7">
        <f t="shared" si="17"/>
        <v>0</v>
      </c>
      <c r="O114" s="7">
        <f t="shared" si="18"/>
        <v>0</v>
      </c>
      <c r="P114" s="7">
        <f t="shared" si="19"/>
        <v>0</v>
      </c>
      <c r="Q114" s="7">
        <f t="shared" si="20"/>
        <v>0</v>
      </c>
      <c r="R114" s="7">
        <f t="shared" si="21"/>
        <v>0</v>
      </c>
      <c r="S114" s="8">
        <f t="shared" si="33"/>
        <v>0</v>
      </c>
      <c r="T114" s="8">
        <f t="shared" si="33"/>
        <v>0</v>
      </c>
      <c r="U114" s="7">
        <f t="shared" si="22"/>
        <v>0</v>
      </c>
      <c r="V114" s="7">
        <f t="shared" si="23"/>
        <v>0</v>
      </c>
      <c r="W114" s="7">
        <f t="shared" si="24"/>
        <v>0</v>
      </c>
      <c r="X114" s="7">
        <f t="shared" si="25"/>
        <v>0</v>
      </c>
      <c r="Y114" s="7">
        <f t="shared" si="26"/>
        <v>0</v>
      </c>
      <c r="Z114" s="7">
        <f t="shared" si="27"/>
        <v>0</v>
      </c>
      <c r="AA114" s="23">
        <v>309.88816247970999</v>
      </c>
      <c r="AB114" s="29">
        <v>147.38397429586999</v>
      </c>
    </row>
    <row r="115" spans="1:28" x14ac:dyDescent="0.35">
      <c r="A115" s="5" t="s">
        <v>63</v>
      </c>
      <c r="B115" s="15" t="s">
        <v>65</v>
      </c>
      <c r="C115" s="6">
        <f t="shared" si="28"/>
        <v>0</v>
      </c>
      <c r="D115" s="12">
        <f>[1]data!D117-[1]data!D78</f>
        <v>0</v>
      </c>
      <c r="E115" s="12">
        <f>[1]data!E117-[1]data!E78</f>
        <v>0</v>
      </c>
      <c r="F115" s="12">
        <f>[1]data!F117-[1]data!F78</f>
        <v>0</v>
      </c>
      <c r="G115" s="19">
        <f t="shared" si="29"/>
        <v>9.7444850702094339</v>
      </c>
      <c r="H115" s="12">
        <f>[1]data!H117-[1]data!H78</f>
        <v>9.7444850702094339</v>
      </c>
      <c r="I115" s="12">
        <f>[1]data!I117-[1]data!I78</f>
        <v>0</v>
      </c>
      <c r="J115" s="12">
        <f>[1]data!J117-[1]data!J78</f>
        <v>-9.8869334416288517</v>
      </c>
      <c r="K115" s="8">
        <f t="shared" si="32"/>
        <v>0</v>
      </c>
      <c r="L115" s="8">
        <f t="shared" si="32"/>
        <v>0</v>
      </c>
      <c r="M115" s="7">
        <f t="shared" si="16"/>
        <v>0</v>
      </c>
      <c r="N115" s="7">
        <f t="shared" si="17"/>
        <v>0</v>
      </c>
      <c r="O115" s="7">
        <f t="shared" si="18"/>
        <v>0</v>
      </c>
      <c r="P115" s="7">
        <f t="shared" si="19"/>
        <v>0</v>
      </c>
      <c r="Q115" s="7">
        <f t="shared" si="20"/>
        <v>0</v>
      </c>
      <c r="R115" s="7">
        <f t="shared" si="21"/>
        <v>0</v>
      </c>
      <c r="S115" s="8">
        <f t="shared" si="33"/>
        <v>1.7050624534196916</v>
      </c>
      <c r="T115" s="8">
        <f t="shared" si="33"/>
        <v>0.8017361955918153</v>
      </c>
      <c r="U115" s="7">
        <f t="shared" si="22"/>
        <v>1.7050624534196916</v>
      </c>
      <c r="V115" s="7">
        <f t="shared" si="23"/>
        <v>0.8017361955918153</v>
      </c>
      <c r="W115" s="7">
        <f t="shared" si="24"/>
        <v>0</v>
      </c>
      <c r="X115" s="7">
        <f t="shared" si="25"/>
        <v>0</v>
      </c>
      <c r="Y115" s="7">
        <f t="shared" si="26"/>
        <v>-1.7299876668001881</v>
      </c>
      <c r="Z115" s="7">
        <f t="shared" si="27"/>
        <v>-0.81345626233184243</v>
      </c>
      <c r="AA115" s="23">
        <v>1215.4228689920101</v>
      </c>
      <c r="AB115" s="29">
        <v>571.50311712429004</v>
      </c>
    </row>
    <row r="116" spans="1:28" x14ac:dyDescent="0.35">
      <c r="A116" s="5" t="s">
        <v>25</v>
      </c>
      <c r="B116" s="15" t="s">
        <v>66</v>
      </c>
      <c r="C116" s="20">
        <f t="shared" si="28"/>
        <v>61.912545774045448</v>
      </c>
      <c r="D116" s="30">
        <f>[1]data!D119-[1]data!D80</f>
        <v>4.8525662396136839</v>
      </c>
      <c r="E116" s="30">
        <f>[1]data!E119-[1]data!E80</f>
        <v>57.059979534431761</v>
      </c>
      <c r="F116" s="30">
        <f>[1]data!F119-[1]data!F80</f>
        <v>0</v>
      </c>
      <c r="G116" s="21">
        <f t="shared" si="29"/>
        <v>7.1643447578672692E-2</v>
      </c>
      <c r="H116" s="7">
        <f>[1]data!H119-[1]data!H80</f>
        <v>3.0704334676574518E-2</v>
      </c>
      <c r="I116" s="7">
        <f>[1]data!I119-[1]data!I80</f>
        <v>4.0939112902098174E-2</v>
      </c>
      <c r="J116" s="7">
        <f>[1]data!J119-[1]data!J80</f>
        <v>0</v>
      </c>
      <c r="K116" s="8">
        <f t="shared" si="32"/>
        <v>4.1419353038878164</v>
      </c>
      <c r="L116" s="8">
        <f t="shared" si="32"/>
        <v>5.0478395755619809</v>
      </c>
      <c r="M116" s="7">
        <f t="shared" si="16"/>
        <v>0.32463558348356325</v>
      </c>
      <c r="N116" s="7">
        <f t="shared" si="17"/>
        <v>0.39563832501338614</v>
      </c>
      <c r="O116" s="7">
        <f t="shared" si="18"/>
        <v>3.8172997204042534</v>
      </c>
      <c r="P116" s="7">
        <f t="shared" si="19"/>
        <v>4.652201250548595</v>
      </c>
      <c r="Q116" s="7">
        <f t="shared" si="20"/>
        <v>0</v>
      </c>
      <c r="R116" s="7">
        <f t="shared" si="21"/>
        <v>0</v>
      </c>
      <c r="S116" s="8">
        <f t="shared" si="33"/>
        <v>4.792930432893602E-3</v>
      </c>
      <c r="T116" s="8">
        <f t="shared" si="33"/>
        <v>5.8412172443558352E-3</v>
      </c>
      <c r="U116" s="7">
        <f t="shared" si="22"/>
        <v>2.0541130426687203E-3</v>
      </c>
      <c r="V116" s="7">
        <f t="shared" si="23"/>
        <v>2.5033788190096848E-3</v>
      </c>
      <c r="W116" s="7">
        <f t="shared" si="24"/>
        <v>2.7388173902248812E-3</v>
      </c>
      <c r="X116" s="7">
        <f t="shared" si="25"/>
        <v>3.3378384253461499E-3</v>
      </c>
      <c r="Y116" s="7">
        <f t="shared" si="26"/>
        <v>0</v>
      </c>
      <c r="Z116" s="7">
        <f t="shared" si="27"/>
        <v>0</v>
      </c>
      <c r="AA116" s="23">
        <v>1226.51571721458</v>
      </c>
      <c r="AB116" s="29">
        <v>1494.77336635199</v>
      </c>
    </row>
    <row r="117" spans="1:28" x14ac:dyDescent="0.35">
      <c r="A117" s="5" t="s">
        <v>27</v>
      </c>
      <c r="B117" s="15" t="s">
        <v>66</v>
      </c>
      <c r="C117" s="20">
        <f t="shared" si="28"/>
        <v>40.479513138385315</v>
      </c>
      <c r="D117" s="30">
        <f>[1]data!D120-[1]data!D81</f>
        <v>24.517772021033167</v>
      </c>
      <c r="E117" s="30">
        <f>[1]data!E120-[1]data!E81</f>
        <v>15.961741117352148</v>
      </c>
      <c r="F117" s="30">
        <f>[1]data!F120-[1]data!F81</f>
        <v>0.16561122374270099</v>
      </c>
      <c r="G117" s="21">
        <f t="shared" si="29"/>
        <v>1.0131510158376766E-2</v>
      </c>
      <c r="H117" s="7">
        <f>[1]data!H120-[1]data!H81</f>
        <v>1.0131510158376766E-2</v>
      </c>
      <c r="I117" s="7">
        <f>[1]data!I120-[1]data!I81</f>
        <v>0</v>
      </c>
      <c r="J117" s="7">
        <f>[1]data!J120-[1]data!J81</f>
        <v>0</v>
      </c>
      <c r="K117" s="8">
        <f t="shared" si="32"/>
        <v>2.3859125130950751</v>
      </c>
      <c r="L117" s="8">
        <f t="shared" si="32"/>
        <v>2.3486969189980513</v>
      </c>
      <c r="M117" s="7">
        <f t="shared" si="16"/>
        <v>1.4451077723739827</v>
      </c>
      <c r="N117" s="7">
        <f t="shared" si="17"/>
        <v>1.4225669021669025</v>
      </c>
      <c r="O117" s="7">
        <f t="shared" si="18"/>
        <v>0.94080474072109255</v>
      </c>
      <c r="P117" s="7">
        <f t="shared" si="19"/>
        <v>0.92613001683114882</v>
      </c>
      <c r="Q117" s="7">
        <f t="shared" si="20"/>
        <v>9.7613301248429991E-3</v>
      </c>
      <c r="R117" s="7">
        <f t="shared" si="21"/>
        <v>9.6090723627585209E-3</v>
      </c>
      <c r="S117" s="8">
        <f t="shared" si="33"/>
        <v>5.9716372528449896E-4</v>
      </c>
      <c r="T117" s="8">
        <f t="shared" si="33"/>
        <v>5.8784913278050761E-4</v>
      </c>
      <c r="U117" s="7">
        <f t="shared" si="22"/>
        <v>5.9716372528449896E-4</v>
      </c>
      <c r="V117" s="7">
        <f t="shared" si="23"/>
        <v>5.8784913278050761E-4</v>
      </c>
      <c r="W117" s="7">
        <f t="shared" si="24"/>
        <v>0</v>
      </c>
      <c r="X117" s="7">
        <f t="shared" si="25"/>
        <v>0</v>
      </c>
      <c r="Y117" s="7">
        <f t="shared" si="26"/>
        <v>0</v>
      </c>
      <c r="Z117" s="7">
        <f t="shared" si="27"/>
        <v>0</v>
      </c>
      <c r="AA117" s="23">
        <v>1723.48815255626</v>
      </c>
      <c r="AB117" s="29">
        <v>1696.60508992738</v>
      </c>
    </row>
    <row r="118" spans="1:28" x14ac:dyDescent="0.35">
      <c r="A118" s="5" t="s">
        <v>28</v>
      </c>
      <c r="B118" s="15" t="s">
        <v>66</v>
      </c>
      <c r="C118" s="20">
        <f t="shared" si="28"/>
        <v>64.536582715928361</v>
      </c>
      <c r="D118" s="30">
        <f>[1]data!D121-[1]data!D82</f>
        <v>4.2568291943873255</v>
      </c>
      <c r="E118" s="30">
        <f>[1]data!E121-[1]data!E82</f>
        <v>60.279753521541039</v>
      </c>
      <c r="F118" s="30">
        <f>[1]data!F121-[1]data!F82</f>
        <v>0</v>
      </c>
      <c r="G118" s="21">
        <f t="shared" si="29"/>
        <v>3.3925098406313623</v>
      </c>
      <c r="H118" s="7">
        <f>[1]data!H121-[1]data!H82</f>
        <v>0</v>
      </c>
      <c r="I118" s="7">
        <f>[1]data!I121-[1]data!I82</f>
        <v>3.3925098406313623</v>
      </c>
      <c r="J118" s="7">
        <f>[1]data!J121-[1]data!J82</f>
        <v>0</v>
      </c>
      <c r="K118" s="8">
        <f t="shared" si="32"/>
        <v>2.4662287828476401</v>
      </c>
      <c r="L118" s="8">
        <f t="shared" si="32"/>
        <v>2.2199717645553005</v>
      </c>
      <c r="M118" s="7">
        <f t="shared" si="16"/>
        <v>0.16267230524235754</v>
      </c>
      <c r="N118" s="7">
        <f t="shared" si="17"/>
        <v>0.14642920682167096</v>
      </c>
      <c r="O118" s="7">
        <f t="shared" si="18"/>
        <v>2.3035564776052828</v>
      </c>
      <c r="P118" s="7">
        <f t="shared" si="19"/>
        <v>2.0735425577336297</v>
      </c>
      <c r="Q118" s="7">
        <f t="shared" si="20"/>
        <v>0</v>
      </c>
      <c r="R118" s="7">
        <f t="shared" si="21"/>
        <v>0</v>
      </c>
      <c r="S118" s="8">
        <f t="shared" si="33"/>
        <v>0.12964283299422252</v>
      </c>
      <c r="T118" s="8">
        <f t="shared" si="33"/>
        <v>0.11669778194374121</v>
      </c>
      <c r="U118" s="7">
        <f t="shared" si="22"/>
        <v>0</v>
      </c>
      <c r="V118" s="7">
        <f t="shared" si="23"/>
        <v>0</v>
      </c>
      <c r="W118" s="7">
        <f t="shared" si="24"/>
        <v>0.12964283299422252</v>
      </c>
      <c r="X118" s="7">
        <f t="shared" si="25"/>
        <v>0.11669778194374121</v>
      </c>
      <c r="Y118" s="7">
        <f t="shared" si="26"/>
        <v>0</v>
      </c>
      <c r="Z118" s="7">
        <f t="shared" si="27"/>
        <v>0</v>
      </c>
      <c r="AA118" s="23">
        <v>2907.0902498102801</v>
      </c>
      <c r="AB118" s="29">
        <v>2616.8124857180101</v>
      </c>
    </row>
    <row r="119" spans="1:28" x14ac:dyDescent="0.35">
      <c r="A119" s="5" t="s">
        <v>29</v>
      </c>
      <c r="B119" s="15" t="s">
        <v>66</v>
      </c>
      <c r="C119" s="20">
        <f t="shared" si="28"/>
        <v>102.23012702811141</v>
      </c>
      <c r="D119" s="30">
        <f>[1]data!D122-[1]data!D83</f>
        <v>19.237824397073407</v>
      </c>
      <c r="E119" s="30">
        <f>[1]data!E122-[1]data!E83</f>
        <v>82.992302631038001</v>
      </c>
      <c r="F119" s="30">
        <f>[1]data!F122-[1]data!F83</f>
        <v>0</v>
      </c>
      <c r="G119" s="21">
        <f t="shared" si="29"/>
        <v>3.1547125500243283</v>
      </c>
      <c r="H119" s="7">
        <f>[1]data!H122-[1]data!H83</f>
        <v>0</v>
      </c>
      <c r="I119" s="7">
        <f>[1]data!I122-[1]data!I83</f>
        <v>3.1547125500243283</v>
      </c>
      <c r="J119" s="7">
        <f>[1]data!J122-[1]data!J83</f>
        <v>0</v>
      </c>
      <c r="K119" s="8">
        <f t="shared" si="32"/>
        <v>2.8418434471316667</v>
      </c>
      <c r="L119" s="8">
        <f t="shared" si="32"/>
        <v>2.4564011359343341</v>
      </c>
      <c r="M119" s="7">
        <f t="shared" si="16"/>
        <v>0.53478252242471813</v>
      </c>
      <c r="N119" s="7">
        <f t="shared" si="17"/>
        <v>0.46224938846923158</v>
      </c>
      <c r="O119" s="7">
        <f t="shared" si="18"/>
        <v>2.3070609247069487</v>
      </c>
      <c r="P119" s="7">
        <f t="shared" si="19"/>
        <v>1.9941517474651025</v>
      </c>
      <c r="Q119" s="7">
        <f t="shared" si="20"/>
        <v>0</v>
      </c>
      <c r="R119" s="7">
        <f t="shared" si="21"/>
        <v>0</v>
      </c>
      <c r="S119" s="8">
        <f t="shared" si="33"/>
        <v>8.7696254015270897E-2</v>
      </c>
      <c r="T119" s="8">
        <f t="shared" si="33"/>
        <v>7.5801915899949543E-2</v>
      </c>
      <c r="U119" s="7">
        <f t="shared" si="22"/>
        <v>0</v>
      </c>
      <c r="V119" s="7">
        <f t="shared" si="23"/>
        <v>0</v>
      </c>
      <c r="W119" s="7">
        <f t="shared" si="24"/>
        <v>8.7696254015270897E-2</v>
      </c>
      <c r="X119" s="7">
        <f t="shared" si="25"/>
        <v>7.5801915899949543E-2</v>
      </c>
      <c r="Y119" s="7">
        <f t="shared" si="26"/>
        <v>0</v>
      </c>
      <c r="Z119" s="7">
        <f t="shared" si="27"/>
        <v>0</v>
      </c>
      <c r="AA119" s="23">
        <v>4161.7847155581303</v>
      </c>
      <c r="AB119" s="29">
        <v>3597.3173374942398</v>
      </c>
    </row>
    <row r="120" spans="1:28" x14ac:dyDescent="0.35">
      <c r="A120" s="5" t="s">
        <v>30</v>
      </c>
      <c r="B120" s="15" t="s">
        <v>66</v>
      </c>
      <c r="C120" s="20">
        <f t="shared" si="28"/>
        <v>36.032590507810454</v>
      </c>
      <c r="D120" s="30">
        <f>[1]data!D123-[1]data!D84</f>
        <v>3.3829533441994899</v>
      </c>
      <c r="E120" s="30">
        <f>[1]data!E123-[1]data!E84</f>
        <v>32.649637163610961</v>
      </c>
      <c r="F120" s="30">
        <f>[1]data!F123-[1]data!F84</f>
        <v>0</v>
      </c>
      <c r="G120" s="21">
        <f t="shared" si="29"/>
        <v>53.178975697488909</v>
      </c>
      <c r="H120" s="7">
        <f>[1]data!H123-[1]data!H84</f>
        <v>0</v>
      </c>
      <c r="I120" s="7">
        <f>[1]data!I123-[1]data!I84</f>
        <v>53.178975697488909</v>
      </c>
      <c r="J120" s="7">
        <f>[1]data!J123-[1]data!J84</f>
        <v>0</v>
      </c>
      <c r="K120" s="8">
        <f t="shared" ref="K120:L157" si="34">M120+O120</f>
        <v>1.8784999825512343</v>
      </c>
      <c r="L120" s="8">
        <f t="shared" si="34"/>
        <v>1.5413958123157812</v>
      </c>
      <c r="M120" s="7">
        <f t="shared" si="16"/>
        <v>0.17636472172803933</v>
      </c>
      <c r="N120" s="7">
        <f t="shared" si="17"/>
        <v>0.14471538250569216</v>
      </c>
      <c r="O120" s="7">
        <f t="shared" si="18"/>
        <v>1.702135260823195</v>
      </c>
      <c r="P120" s="7">
        <f t="shared" si="19"/>
        <v>1.396680429810089</v>
      </c>
      <c r="Q120" s="7">
        <f t="shared" si="20"/>
        <v>0</v>
      </c>
      <c r="R120" s="7">
        <f t="shared" si="21"/>
        <v>0</v>
      </c>
      <c r="S120" s="8">
        <f t="shared" ref="S120:T157" si="35">U120+W120</f>
        <v>2.7723986400081819</v>
      </c>
      <c r="T120" s="8">
        <f t="shared" si="35"/>
        <v>2.2748808589153269</v>
      </c>
      <c r="U120" s="7">
        <f t="shared" si="22"/>
        <v>0</v>
      </c>
      <c r="V120" s="7">
        <f t="shared" si="23"/>
        <v>0</v>
      </c>
      <c r="W120" s="7">
        <f t="shared" si="24"/>
        <v>2.7723986400081819</v>
      </c>
      <c r="X120" s="7">
        <f t="shared" si="25"/>
        <v>2.2748808589153269</v>
      </c>
      <c r="Y120" s="7">
        <f t="shared" si="26"/>
        <v>0</v>
      </c>
      <c r="Z120" s="7">
        <f t="shared" si="27"/>
        <v>0</v>
      </c>
      <c r="AA120" s="23">
        <v>2337.6598158571201</v>
      </c>
      <c r="AB120" s="29">
        <v>1918.15761738117</v>
      </c>
    </row>
    <row r="121" spans="1:28" x14ac:dyDescent="0.35">
      <c r="A121" s="5" t="s">
        <v>31</v>
      </c>
      <c r="B121" s="15" t="s">
        <v>66</v>
      </c>
      <c r="C121" s="20">
        <f t="shared" si="28"/>
        <v>227.24510700030925</v>
      </c>
      <c r="D121" s="30">
        <f>[1]data!D124-[1]data!D85</f>
        <v>42.258318536499011</v>
      </c>
      <c r="E121" s="30">
        <f>[1]data!E124-[1]data!E85</f>
        <v>184.98678846381023</v>
      </c>
      <c r="F121" s="30">
        <f>[1]data!F124-[1]data!F85</f>
        <v>0.749897294020343</v>
      </c>
      <c r="G121" s="21">
        <f t="shared" si="29"/>
        <v>0.45282259677381376</v>
      </c>
      <c r="H121" s="7">
        <f>[1]data!H124-[1]data!H85</f>
        <v>0</v>
      </c>
      <c r="I121" s="7">
        <f>[1]data!I124-[1]data!I85</f>
        <v>0.45282259677381376</v>
      </c>
      <c r="J121" s="7">
        <f>[1]data!J124-[1]data!J85</f>
        <v>264.23338464211304</v>
      </c>
      <c r="K121" s="8">
        <f t="shared" si="34"/>
        <v>4.978714949146438</v>
      </c>
      <c r="L121" s="8">
        <f t="shared" si="34"/>
        <v>4.2676321756965621</v>
      </c>
      <c r="M121" s="7">
        <f t="shared" si="16"/>
        <v>0.92583785411570318</v>
      </c>
      <c r="N121" s="7">
        <f t="shared" si="17"/>
        <v>0.79360546969643764</v>
      </c>
      <c r="O121" s="7">
        <f t="shared" si="18"/>
        <v>4.0528770950307349</v>
      </c>
      <c r="P121" s="7">
        <f t="shared" si="19"/>
        <v>3.4740267060001244</v>
      </c>
      <c r="Q121" s="7">
        <f t="shared" si="20"/>
        <v>1.6429506084188042E-2</v>
      </c>
      <c r="R121" s="7">
        <f t="shared" si="21"/>
        <v>1.4082969101837014E-2</v>
      </c>
      <c r="S121" s="8">
        <f t="shared" si="35"/>
        <v>9.9208940585287422E-3</v>
      </c>
      <c r="T121" s="8">
        <f t="shared" si="35"/>
        <v>8.5039467268783388E-3</v>
      </c>
      <c r="U121" s="7">
        <f t="shared" si="22"/>
        <v>0</v>
      </c>
      <c r="V121" s="7">
        <f t="shared" si="23"/>
        <v>0</v>
      </c>
      <c r="W121" s="7">
        <f t="shared" si="24"/>
        <v>9.9208940585287422E-3</v>
      </c>
      <c r="X121" s="7">
        <f t="shared" si="25"/>
        <v>8.5039467268783388E-3</v>
      </c>
      <c r="Y121" s="7">
        <f t="shared" si="26"/>
        <v>5.7890914332402277</v>
      </c>
      <c r="Z121" s="7">
        <f t="shared" si="27"/>
        <v>4.9622669947756144</v>
      </c>
      <c r="AA121" s="23">
        <v>5324.8522282316499</v>
      </c>
      <c r="AB121" s="29">
        <v>4564.3325500944502</v>
      </c>
    </row>
    <row r="122" spans="1:28" x14ac:dyDescent="0.35">
      <c r="A122" s="5" t="s">
        <v>32</v>
      </c>
      <c r="B122" s="15" t="s">
        <v>66</v>
      </c>
      <c r="C122" s="20">
        <f t="shared" si="28"/>
        <v>0.70983413309792542</v>
      </c>
      <c r="D122" s="30">
        <f>[1]data!D125-[1]data!D86</f>
        <v>5.4602625622917067E-2</v>
      </c>
      <c r="E122" s="30">
        <f>[1]data!E125-[1]data!E86</f>
        <v>0.65523150747500836</v>
      </c>
      <c r="F122" s="30">
        <f>[1]data!F125-[1]data!F86</f>
        <v>0.353311106971816</v>
      </c>
      <c r="G122" s="21">
        <f t="shared" si="29"/>
        <v>0.75908356013035672</v>
      </c>
      <c r="H122" s="7">
        <f>[1]data!H125-[1]data!H86</f>
        <v>0</v>
      </c>
      <c r="I122" s="7">
        <f>[1]data!I125-[1]data!I86</f>
        <v>0.75908356013035672</v>
      </c>
      <c r="J122" s="7">
        <f>[1]data!J125-[1]data!J86</f>
        <v>1.3382996476205165</v>
      </c>
      <c r="K122" s="8">
        <f t="shared" si="34"/>
        <v>4.3331529487037168E-2</v>
      </c>
      <c r="L122" s="8">
        <f t="shared" si="34"/>
        <v>3.2915423510035777E-2</v>
      </c>
      <c r="M122" s="7">
        <f t="shared" si="16"/>
        <v>3.3331945759259192E-3</v>
      </c>
      <c r="N122" s="7">
        <f t="shared" si="17"/>
        <v>2.5319556546181243E-3</v>
      </c>
      <c r="O122" s="7">
        <f t="shared" si="18"/>
        <v>3.9998334911111252E-2</v>
      </c>
      <c r="P122" s="7">
        <f t="shared" si="19"/>
        <v>3.0383467855417651E-2</v>
      </c>
      <c r="Q122" s="7">
        <f t="shared" si="20"/>
        <v>2.1567729608932398E-2</v>
      </c>
      <c r="R122" s="7">
        <f t="shared" si="21"/>
        <v>1.6383242471058435E-2</v>
      </c>
      <c r="S122" s="8">
        <f t="shared" si="35"/>
        <v>4.6337940281009335E-2</v>
      </c>
      <c r="T122" s="8">
        <f t="shared" si="35"/>
        <v>3.519914821812254E-2</v>
      </c>
      <c r="U122" s="7">
        <f t="shared" si="22"/>
        <v>0</v>
      </c>
      <c r="V122" s="7">
        <f t="shared" si="23"/>
        <v>0</v>
      </c>
      <c r="W122" s="7">
        <f t="shared" si="24"/>
        <v>4.6337940281009335E-2</v>
      </c>
      <c r="X122" s="7">
        <f t="shared" si="25"/>
        <v>3.519914821812254E-2</v>
      </c>
      <c r="Y122" s="7">
        <f t="shared" si="26"/>
        <v>8.1695945488380384E-2</v>
      </c>
      <c r="Z122" s="7">
        <f t="shared" si="27"/>
        <v>6.2057736632797164E-2</v>
      </c>
      <c r="AA122" s="23">
        <v>2156.5395714307001</v>
      </c>
      <c r="AB122" s="29">
        <v>1638.14696019506</v>
      </c>
    </row>
    <row r="123" spans="1:28" x14ac:dyDescent="0.35">
      <c r="A123" s="5" t="s">
        <v>33</v>
      </c>
      <c r="B123" s="15" t="s">
        <v>66</v>
      </c>
      <c r="C123" s="20">
        <f t="shared" si="28"/>
        <v>9.9698905028114524</v>
      </c>
      <c r="D123" s="30">
        <f>[1]data!D126-[1]data!D87</f>
        <v>0</v>
      </c>
      <c r="E123" s="30">
        <f>[1]data!E126-[1]data!E87</f>
        <v>9.9698905028114524</v>
      </c>
      <c r="F123" s="30">
        <f>[1]data!F126-[1]data!F87</f>
        <v>0.614662243343852</v>
      </c>
      <c r="G123" s="21">
        <f t="shared" si="29"/>
        <v>6.848682303147835</v>
      </c>
      <c r="H123" s="7">
        <f>[1]data!H126-[1]data!H87</f>
        <v>4.1453482675033571E-2</v>
      </c>
      <c r="I123" s="7">
        <f>[1]data!I126-[1]data!I87</f>
        <v>6.8072288204728011</v>
      </c>
      <c r="J123" s="7">
        <f>[1]data!J126-[1]data!J87</f>
        <v>0</v>
      </c>
      <c r="K123" s="8">
        <f t="shared" si="34"/>
        <v>0.75305923869199443</v>
      </c>
      <c r="L123" s="8">
        <f t="shared" si="34"/>
        <v>0.55495334291558607</v>
      </c>
      <c r="M123" s="7">
        <f t="shared" si="16"/>
        <v>0</v>
      </c>
      <c r="N123" s="7">
        <f t="shared" si="17"/>
        <v>0</v>
      </c>
      <c r="O123" s="7">
        <f t="shared" si="18"/>
        <v>0.75305923869199443</v>
      </c>
      <c r="P123" s="7">
        <f t="shared" si="19"/>
        <v>0.55495334291558607</v>
      </c>
      <c r="Q123" s="7">
        <f t="shared" si="20"/>
        <v>4.6427498967486741E-2</v>
      </c>
      <c r="R123" s="7">
        <f t="shared" si="21"/>
        <v>3.4213903012422588E-2</v>
      </c>
      <c r="S123" s="8">
        <f t="shared" si="35"/>
        <v>0.51730392423040827</v>
      </c>
      <c r="T123" s="8">
        <f t="shared" si="35"/>
        <v>0.38121774132092329</v>
      </c>
      <c r="U123" s="7">
        <f t="shared" si="22"/>
        <v>3.1311204566980516E-3</v>
      </c>
      <c r="V123" s="7">
        <f t="shared" si="23"/>
        <v>2.3074224114613901E-3</v>
      </c>
      <c r="W123" s="7">
        <f t="shared" si="24"/>
        <v>0.51417280377371022</v>
      </c>
      <c r="X123" s="7">
        <f t="shared" si="25"/>
        <v>0.37891031890946192</v>
      </c>
      <c r="Y123" s="7">
        <f t="shared" si="26"/>
        <v>0</v>
      </c>
      <c r="Z123" s="7">
        <f t="shared" si="27"/>
        <v>0</v>
      </c>
      <c r="AA123" s="23">
        <v>1796.5276955414199</v>
      </c>
      <c r="AB123" s="29">
        <v>1323.9184901480501</v>
      </c>
    </row>
    <row r="124" spans="1:28" x14ac:dyDescent="0.35">
      <c r="A124" s="5" t="s">
        <v>34</v>
      </c>
      <c r="B124" s="15" t="s">
        <v>66</v>
      </c>
      <c r="C124" s="20">
        <f t="shared" si="28"/>
        <v>199.1047307379088</v>
      </c>
      <c r="D124" s="30">
        <f>[1]data!D127-[1]data!D88</f>
        <v>103.96143780860356</v>
      </c>
      <c r="E124" s="30">
        <f>[1]data!E127-[1]data!E88</f>
        <v>95.143292929305233</v>
      </c>
      <c r="F124" s="30">
        <f>[1]data!F127-[1]data!F88</f>
        <v>3.838457100350162</v>
      </c>
      <c r="G124" s="21">
        <f t="shared" si="29"/>
        <v>0</v>
      </c>
      <c r="H124" s="7">
        <f>[1]data!H127-[1]data!H88</f>
        <v>0</v>
      </c>
      <c r="I124" s="7">
        <f>[1]data!I127-[1]data!I88</f>
        <v>0</v>
      </c>
      <c r="J124" s="7">
        <f>[1]data!J127-[1]data!J88</f>
        <v>0</v>
      </c>
      <c r="K124" s="8">
        <f t="shared" si="34"/>
        <v>6.3059947144265598</v>
      </c>
      <c r="L124" s="8">
        <f t="shared" si="34"/>
        <v>6.7676927283776465</v>
      </c>
      <c r="M124" s="7">
        <f t="shared" si="16"/>
        <v>3.2926403852664441</v>
      </c>
      <c r="N124" s="7">
        <f t="shared" si="17"/>
        <v>3.5337134586476826</v>
      </c>
      <c r="O124" s="7">
        <f t="shared" si="18"/>
        <v>3.0133543291601157</v>
      </c>
      <c r="P124" s="7">
        <f t="shared" si="19"/>
        <v>3.2339792697299634</v>
      </c>
      <c r="Q124" s="7">
        <f t="shared" si="20"/>
        <v>0.12157064323209787</v>
      </c>
      <c r="R124" s="7">
        <f t="shared" si="21"/>
        <v>0.13047152676861692</v>
      </c>
      <c r="S124" s="8">
        <f t="shared" si="35"/>
        <v>0</v>
      </c>
      <c r="T124" s="8">
        <f t="shared" si="35"/>
        <v>0</v>
      </c>
      <c r="U124" s="7">
        <f t="shared" si="22"/>
        <v>0</v>
      </c>
      <c r="V124" s="7">
        <f t="shared" si="23"/>
        <v>0</v>
      </c>
      <c r="W124" s="7">
        <f t="shared" si="24"/>
        <v>0</v>
      </c>
      <c r="X124" s="7">
        <f t="shared" si="25"/>
        <v>0</v>
      </c>
      <c r="Y124" s="7">
        <f t="shared" si="26"/>
        <v>0</v>
      </c>
      <c r="Z124" s="7">
        <f t="shared" si="27"/>
        <v>0</v>
      </c>
      <c r="AA124" s="23">
        <v>2941.9883367789698</v>
      </c>
      <c r="AB124" s="29">
        <v>3157.38816403392</v>
      </c>
    </row>
    <row r="125" spans="1:28" x14ac:dyDescent="0.35">
      <c r="A125" s="5" t="s">
        <v>35</v>
      </c>
      <c r="B125" s="15" t="s">
        <v>66</v>
      </c>
      <c r="C125" s="20">
        <f t="shared" si="28"/>
        <v>1054.3</v>
      </c>
      <c r="D125" s="30">
        <f>[1]data!D128-[1]data!D89</f>
        <v>179.8</v>
      </c>
      <c r="E125" s="30">
        <f>[1]data!E128-[1]data!E89</f>
        <v>874.5</v>
      </c>
      <c r="F125" s="30">
        <f>[1]data!F128-[1]data!F89</f>
        <v>0</v>
      </c>
      <c r="G125" s="21">
        <f t="shared" si="29"/>
        <v>0</v>
      </c>
      <c r="H125" s="7">
        <f>[1]data!H128-[1]data!H89</f>
        <v>0</v>
      </c>
      <c r="I125" s="7">
        <f>[1]data!I128-[1]data!I89</f>
        <v>0</v>
      </c>
      <c r="J125" s="7">
        <f>[1]data!J128-[1]data!J89</f>
        <v>0</v>
      </c>
      <c r="K125" s="8">
        <f t="shared" si="34"/>
        <v>5.2902870798831074</v>
      </c>
      <c r="L125" s="8">
        <f t="shared" si="34"/>
        <v>5.2783053488644844</v>
      </c>
      <c r="M125" s="7">
        <f t="shared" si="16"/>
        <v>0.90220394286539185</v>
      </c>
      <c r="N125" s="7">
        <f t="shared" si="17"/>
        <v>0.90016058211688732</v>
      </c>
      <c r="O125" s="7">
        <f t="shared" si="18"/>
        <v>4.3880831370177154</v>
      </c>
      <c r="P125" s="7">
        <f t="shared" si="19"/>
        <v>4.3781447667475968</v>
      </c>
      <c r="Q125" s="7">
        <f t="shared" si="20"/>
        <v>0</v>
      </c>
      <c r="R125" s="7">
        <f t="shared" si="21"/>
        <v>0</v>
      </c>
      <c r="S125" s="8">
        <f t="shared" si="35"/>
        <v>0</v>
      </c>
      <c r="T125" s="8">
        <f t="shared" si="35"/>
        <v>0</v>
      </c>
      <c r="U125" s="7">
        <f t="shared" si="22"/>
        <v>0</v>
      </c>
      <c r="V125" s="7">
        <f t="shared" si="23"/>
        <v>0</v>
      </c>
      <c r="W125" s="7">
        <f t="shared" si="24"/>
        <v>0</v>
      </c>
      <c r="X125" s="7">
        <f t="shared" si="25"/>
        <v>0</v>
      </c>
      <c r="Y125" s="7">
        <f t="shared" si="26"/>
        <v>0</v>
      </c>
      <c r="Z125" s="7">
        <f t="shared" si="27"/>
        <v>0</v>
      </c>
      <c r="AA125" s="23">
        <v>19974.2138871676</v>
      </c>
      <c r="AB125" s="29">
        <v>19928.975197</v>
      </c>
    </row>
    <row r="126" spans="1:28" x14ac:dyDescent="0.35">
      <c r="A126" s="5" t="s">
        <v>36</v>
      </c>
      <c r="B126" s="15" t="s">
        <v>66</v>
      </c>
      <c r="C126" s="20">
        <f t="shared" si="28"/>
        <v>0.31494939320922333</v>
      </c>
      <c r="D126" s="30">
        <f>[1]data!D129-[1]data!D90</f>
        <v>0.39297307756147726</v>
      </c>
      <c r="E126" s="30">
        <f>[1]data!E129-[1]data!E90</f>
        <v>-7.802368435225393E-2</v>
      </c>
      <c r="F126" s="30">
        <f>[1]data!F129-[1]data!F90</f>
        <v>2.1570805635013324</v>
      </c>
      <c r="G126" s="21">
        <f t="shared" si="29"/>
        <v>0.17686257428906896</v>
      </c>
      <c r="H126" s="7">
        <f>[1]data!H129-[1]data!H90</f>
        <v>0</v>
      </c>
      <c r="I126" s="7">
        <f>[1]data!I129-[1]data!I90</f>
        <v>0.17686257428906896</v>
      </c>
      <c r="J126" s="7">
        <f>[1]data!J129-[1]data!J90</f>
        <v>7.6165976297277194</v>
      </c>
      <c r="K126" s="8">
        <f t="shared" si="34"/>
        <v>2.4621746204207529E-2</v>
      </c>
      <c r="L126" s="8">
        <f t="shared" si="34"/>
        <v>1.3223902387171492E-2</v>
      </c>
      <c r="M126" s="7">
        <f t="shared" si="16"/>
        <v>3.0721390767619046E-2</v>
      </c>
      <c r="N126" s="7">
        <f t="shared" si="17"/>
        <v>1.6499913098759901E-2</v>
      </c>
      <c r="O126" s="7">
        <f t="shared" si="18"/>
        <v>-6.0996445634115158E-3</v>
      </c>
      <c r="P126" s="7">
        <f t="shared" si="19"/>
        <v>-3.2760107115884099E-3</v>
      </c>
      <c r="Q126" s="7">
        <f t="shared" si="20"/>
        <v>0.16863372758199496</v>
      </c>
      <c r="R126" s="7">
        <f t="shared" si="21"/>
        <v>9.0570178663773759E-2</v>
      </c>
      <c r="S126" s="8">
        <f t="shared" si="35"/>
        <v>1.3826555983473252E-2</v>
      </c>
      <c r="T126" s="8">
        <f t="shared" si="35"/>
        <v>7.4259975372894969E-3</v>
      </c>
      <c r="U126" s="7">
        <f t="shared" si="22"/>
        <v>0</v>
      </c>
      <c r="V126" s="7">
        <f t="shared" si="23"/>
        <v>0</v>
      </c>
      <c r="W126" s="7">
        <f t="shared" si="24"/>
        <v>1.3826555983473252E-2</v>
      </c>
      <c r="X126" s="7">
        <f t="shared" si="25"/>
        <v>7.4259975372894969E-3</v>
      </c>
      <c r="Y126" s="7">
        <f t="shared" si="26"/>
        <v>0.59544148305167333</v>
      </c>
      <c r="Z126" s="7">
        <f t="shared" si="27"/>
        <v>0.31980104026100237</v>
      </c>
      <c r="AA126" s="23">
        <v>2381.6675591522499</v>
      </c>
      <c r="AB126" s="29">
        <v>1279.1513266244399</v>
      </c>
    </row>
    <row r="127" spans="1:28" x14ac:dyDescent="0.35">
      <c r="A127" s="5" t="s">
        <v>37</v>
      </c>
      <c r="B127" s="15" t="s">
        <v>66</v>
      </c>
      <c r="C127" s="20">
        <f t="shared" si="28"/>
        <v>2.7067390270690295</v>
      </c>
      <c r="D127" s="30">
        <f>[1]data!D130-[1]data!D91</f>
        <v>6.3428250262197894E-2</v>
      </c>
      <c r="E127" s="30">
        <f>[1]data!E130-[1]data!E91</f>
        <v>2.6433107768068318</v>
      </c>
      <c r="F127" s="30">
        <f>[1]data!F130-[1]data!F91</f>
        <v>0.24881411564098421</v>
      </c>
      <c r="G127" s="21">
        <f t="shared" si="29"/>
        <v>8.8709204053682544E-2</v>
      </c>
      <c r="H127" s="7">
        <f>[1]data!H130-[1]data!H91</f>
        <v>8.8709204053682544E-2</v>
      </c>
      <c r="I127" s="7">
        <f>[1]data!I130-[1]data!I91</f>
        <v>0</v>
      </c>
      <c r="J127" s="7">
        <f>[1]data!J130-[1]data!J91</f>
        <v>2.2309957558467346</v>
      </c>
      <c r="K127" s="8">
        <f t="shared" si="34"/>
        <v>0.27147378625505836</v>
      </c>
      <c r="L127" s="8">
        <f t="shared" si="34"/>
        <v>0.11598072981153694</v>
      </c>
      <c r="M127" s="7">
        <f t="shared" si="16"/>
        <v>6.3615690622593297E-3</v>
      </c>
      <c r="N127" s="7">
        <f t="shared" si="17"/>
        <v>2.7178293446503405E-3</v>
      </c>
      <c r="O127" s="7">
        <f t="shared" si="18"/>
        <v>0.26511221719279904</v>
      </c>
      <c r="P127" s="7">
        <f t="shared" si="19"/>
        <v>0.1132629004668866</v>
      </c>
      <c r="Q127" s="7">
        <f t="shared" si="20"/>
        <v>2.4954940011303602E-2</v>
      </c>
      <c r="R127" s="7">
        <f t="shared" si="21"/>
        <v>1.0661405636398481E-2</v>
      </c>
      <c r="S127" s="8">
        <f t="shared" si="35"/>
        <v>8.8971353570805843E-3</v>
      </c>
      <c r="T127" s="8">
        <f t="shared" si="35"/>
        <v>3.8010898443680153E-3</v>
      </c>
      <c r="U127" s="7">
        <f t="shared" si="22"/>
        <v>8.8971353570805843E-3</v>
      </c>
      <c r="V127" s="7">
        <f t="shared" si="23"/>
        <v>3.8010898443680153E-3</v>
      </c>
      <c r="W127" s="7">
        <f t="shared" si="24"/>
        <v>0</v>
      </c>
      <c r="X127" s="7">
        <f t="shared" si="25"/>
        <v>0</v>
      </c>
      <c r="Y127" s="7">
        <f t="shared" si="26"/>
        <v>0.2237588695850406</v>
      </c>
      <c r="Z127" s="7">
        <f t="shared" si="27"/>
        <v>9.5595664518028478E-2</v>
      </c>
      <c r="AA127" s="23">
        <v>2333.7834064911899</v>
      </c>
      <c r="AB127" s="29">
        <v>997.05355143423003</v>
      </c>
    </row>
    <row r="128" spans="1:28" x14ac:dyDescent="0.35">
      <c r="A128" s="10" t="s">
        <v>38</v>
      </c>
      <c r="B128" s="15" t="s">
        <v>66</v>
      </c>
      <c r="C128" s="20">
        <f t="shared" si="28"/>
        <v>0</v>
      </c>
      <c r="D128" s="30">
        <f>[1]data!D131-[1]data!D92</f>
        <v>0</v>
      </c>
      <c r="E128" s="30">
        <f>[1]data!E131-[1]data!E92</f>
        <v>0</v>
      </c>
      <c r="F128" s="30">
        <f>[1]data!F131-[1]data!F92</f>
        <v>0</v>
      </c>
      <c r="G128" s="21">
        <f t="shared" si="29"/>
        <v>0</v>
      </c>
      <c r="H128" s="7">
        <f>[1]data!H131-[1]data!H92</f>
        <v>0</v>
      </c>
      <c r="I128" s="7">
        <f>[1]data!I131-[1]data!I92</f>
        <v>0</v>
      </c>
      <c r="J128" s="7">
        <f>[1]data!J131-[1]data!J92</f>
        <v>0</v>
      </c>
      <c r="K128" s="8">
        <f t="shared" si="34"/>
        <v>0</v>
      </c>
      <c r="L128" s="8">
        <f t="shared" si="34"/>
        <v>0</v>
      </c>
      <c r="M128" s="7">
        <f t="shared" si="16"/>
        <v>0</v>
      </c>
      <c r="N128" s="7">
        <f t="shared" si="17"/>
        <v>0</v>
      </c>
      <c r="O128" s="7">
        <f t="shared" si="18"/>
        <v>0</v>
      </c>
      <c r="P128" s="7">
        <f t="shared" si="19"/>
        <v>0</v>
      </c>
      <c r="Q128" s="7">
        <f t="shared" si="20"/>
        <v>0</v>
      </c>
      <c r="R128" s="7">
        <f t="shared" si="21"/>
        <v>0</v>
      </c>
      <c r="S128" s="8">
        <f t="shared" si="35"/>
        <v>0</v>
      </c>
      <c r="T128" s="8">
        <f t="shared" si="35"/>
        <v>0</v>
      </c>
      <c r="U128" s="7">
        <f t="shared" si="22"/>
        <v>0</v>
      </c>
      <c r="V128" s="7">
        <f t="shared" si="23"/>
        <v>0</v>
      </c>
      <c r="W128" s="7">
        <f t="shared" si="24"/>
        <v>0</v>
      </c>
      <c r="X128" s="7">
        <f t="shared" si="25"/>
        <v>0</v>
      </c>
      <c r="Y128" s="7">
        <f t="shared" si="26"/>
        <v>0</v>
      </c>
      <c r="Z128" s="7">
        <f t="shared" si="27"/>
        <v>0</v>
      </c>
      <c r="AA128" s="23">
        <v>468.59916169988998</v>
      </c>
      <c r="AB128" s="29">
        <v>413.94954015926999</v>
      </c>
    </row>
    <row r="129" spans="1:28" x14ac:dyDescent="0.35">
      <c r="A129" s="5" t="s">
        <v>39</v>
      </c>
      <c r="B129" s="15" t="s">
        <v>66</v>
      </c>
      <c r="C129" s="20">
        <f t="shared" si="28"/>
        <v>16.647247256710653</v>
      </c>
      <c r="D129" s="30">
        <f>[1]data!D132-[1]data!D93</f>
        <v>5.4475010377742272</v>
      </c>
      <c r="E129" s="30">
        <f>[1]data!E132-[1]data!E93</f>
        <v>11.199746218936426</v>
      </c>
      <c r="F129" s="30">
        <f>[1]data!F132-[1]data!F93</f>
        <v>0</v>
      </c>
      <c r="G129" s="21">
        <f t="shared" si="29"/>
        <v>0</v>
      </c>
      <c r="H129" s="7">
        <f>[1]data!H132-[1]data!H93</f>
        <v>0</v>
      </c>
      <c r="I129" s="7">
        <f>[1]data!I132-[1]data!I93</f>
        <v>0</v>
      </c>
      <c r="J129" s="7">
        <f>[1]data!J132-[1]data!J93</f>
        <v>0</v>
      </c>
      <c r="K129" s="8">
        <f t="shared" si="34"/>
        <v>3.3620104008685541</v>
      </c>
      <c r="L129" s="8">
        <f t="shared" si="34"/>
        <v>2.9977649381601279</v>
      </c>
      <c r="M129" s="7">
        <f t="shared" si="16"/>
        <v>1.100155170720879</v>
      </c>
      <c r="N129" s="7">
        <f t="shared" si="17"/>
        <v>0.98096263963686792</v>
      </c>
      <c r="O129" s="7">
        <f t="shared" si="18"/>
        <v>2.2618552301476749</v>
      </c>
      <c r="P129" s="7">
        <f t="shared" si="19"/>
        <v>2.0168022985232601</v>
      </c>
      <c r="Q129" s="7">
        <f t="shared" si="20"/>
        <v>0</v>
      </c>
      <c r="R129" s="7">
        <f t="shared" si="21"/>
        <v>0</v>
      </c>
      <c r="S129" s="8">
        <f t="shared" si="35"/>
        <v>0</v>
      </c>
      <c r="T129" s="8">
        <f t="shared" si="35"/>
        <v>0</v>
      </c>
      <c r="U129" s="7">
        <f t="shared" si="22"/>
        <v>0</v>
      </c>
      <c r="V129" s="7">
        <f t="shared" si="23"/>
        <v>0</v>
      </c>
      <c r="W129" s="7">
        <f t="shared" si="24"/>
        <v>0</v>
      </c>
      <c r="X129" s="7">
        <f t="shared" si="25"/>
        <v>0</v>
      </c>
      <c r="Y129" s="7">
        <f t="shared" si="26"/>
        <v>0</v>
      </c>
      <c r="Z129" s="7">
        <f t="shared" si="27"/>
        <v>0</v>
      </c>
      <c r="AA129" s="23">
        <v>555.32196820367994</v>
      </c>
      <c r="AB129" s="29">
        <v>495.15751802582002</v>
      </c>
    </row>
    <row r="130" spans="1:28" x14ac:dyDescent="0.35">
      <c r="A130" s="10" t="s">
        <v>40</v>
      </c>
      <c r="B130" s="15" t="s">
        <v>66</v>
      </c>
      <c r="C130" s="20">
        <f t="shared" si="28"/>
        <v>2.4930645985307551</v>
      </c>
      <c r="D130" s="30">
        <f>[1]data!D133-[1]data!D94</f>
        <v>0.32729011819604903</v>
      </c>
      <c r="E130" s="30">
        <f>[1]data!E133-[1]data!E94</f>
        <v>2.1657744803347061</v>
      </c>
      <c r="F130" s="30">
        <f>[1]data!F133-[1]data!F94</f>
        <v>0</v>
      </c>
      <c r="G130" s="21">
        <f t="shared" si="29"/>
        <v>0</v>
      </c>
      <c r="H130" s="7">
        <f>[1]data!H133-[1]data!H94</f>
        <v>0</v>
      </c>
      <c r="I130" s="7">
        <f>[1]data!I133-[1]data!I94</f>
        <v>0</v>
      </c>
      <c r="J130" s="7">
        <f>[1]data!J133-[1]data!J94</f>
        <v>0</v>
      </c>
      <c r="K130" s="8">
        <f t="shared" si="34"/>
        <v>1.1561215823126889</v>
      </c>
      <c r="L130" s="8">
        <f t="shared" si="34"/>
        <v>0.61195135498629505</v>
      </c>
      <c r="M130" s="7">
        <f t="shared" ref="M130:M193" si="36">($D130/$AB130)*100</f>
        <v>0.15177591850091618</v>
      </c>
      <c r="N130" s="7">
        <f t="shared" ref="N130:N193" si="37">($D130/$AA130)*100</f>
        <v>8.0337120595162986E-2</v>
      </c>
      <c r="O130" s="7">
        <f t="shared" ref="O130:O193" si="38">($E130/$AB130)*100</f>
        <v>1.0043456638117727</v>
      </c>
      <c r="P130" s="7">
        <f t="shared" ref="P130:P193" si="39">($E130/$AA130)*100</f>
        <v>0.53161423439113209</v>
      </c>
      <c r="Q130" s="7">
        <f t="shared" ref="Q130:Q193" si="40">($F130/$AB130)*100</f>
        <v>0</v>
      </c>
      <c r="R130" s="7">
        <f t="shared" ref="R130:R193" si="41">($F130/$AA130)*100</f>
        <v>0</v>
      </c>
      <c r="S130" s="8">
        <f t="shared" si="35"/>
        <v>0</v>
      </c>
      <c r="T130" s="8">
        <f t="shared" si="35"/>
        <v>0</v>
      </c>
      <c r="U130" s="7">
        <f t="shared" ref="U130:U193" si="42">($H130/$AB130)*100</f>
        <v>0</v>
      </c>
      <c r="V130" s="7">
        <f t="shared" ref="V130:V193" si="43">($H130/AA130)*100</f>
        <v>0</v>
      </c>
      <c r="W130" s="7">
        <f t="shared" ref="W130:W193" si="44">($I130/$AB130)*100</f>
        <v>0</v>
      </c>
      <c r="X130" s="7">
        <f t="shared" ref="X130:X193" si="45">($I130/$AA130)*100</f>
        <v>0</v>
      </c>
      <c r="Y130" s="7">
        <f t="shared" ref="Y130:Y193" si="46">($J130/$AB130)*100</f>
        <v>0</v>
      </c>
      <c r="Z130" s="7">
        <f t="shared" ref="Z130:Z193" si="47">($J130/$AA130)*100</f>
        <v>0</v>
      </c>
      <c r="AA130" s="23">
        <v>407.39587848230002</v>
      </c>
      <c r="AB130" s="29">
        <v>215.64034757863999</v>
      </c>
    </row>
    <row r="131" spans="1:28" x14ac:dyDescent="0.35">
      <c r="A131" s="10" t="s">
        <v>41</v>
      </c>
      <c r="B131" s="15" t="s">
        <v>66</v>
      </c>
      <c r="C131" s="20">
        <f t="shared" ref="C131:C194" si="48">D131+E131</f>
        <v>0</v>
      </c>
      <c r="D131" s="30">
        <f>[1]data!D134-[1]data!D95</f>
        <v>0</v>
      </c>
      <c r="E131" s="30">
        <f>[1]data!E134-[1]data!E95</f>
        <v>0</v>
      </c>
      <c r="F131" s="30">
        <f>[1]data!F134-[1]data!F95</f>
        <v>0</v>
      </c>
      <c r="G131" s="21">
        <f t="shared" ref="G131:G194" si="49">H131+I131</f>
        <v>0</v>
      </c>
      <c r="H131" s="7">
        <f>[1]data!H134-[1]data!H95</f>
        <v>0</v>
      </c>
      <c r="I131" s="7">
        <f>[1]data!I134-[1]data!I95</f>
        <v>0</v>
      </c>
      <c r="J131" s="7">
        <f>[1]data!J134-[1]data!J95</f>
        <v>0</v>
      </c>
      <c r="K131" s="8">
        <f t="shared" si="34"/>
        <v>0</v>
      </c>
      <c r="L131" s="8">
        <f t="shared" si="34"/>
        <v>0</v>
      </c>
      <c r="M131" s="7">
        <f t="shared" si="36"/>
        <v>0</v>
      </c>
      <c r="N131" s="7">
        <f t="shared" si="37"/>
        <v>0</v>
      </c>
      <c r="O131" s="7">
        <f t="shared" si="38"/>
        <v>0</v>
      </c>
      <c r="P131" s="7">
        <f t="shared" si="39"/>
        <v>0</v>
      </c>
      <c r="Q131" s="7">
        <f t="shared" si="40"/>
        <v>0</v>
      </c>
      <c r="R131" s="7">
        <f t="shared" si="41"/>
        <v>0</v>
      </c>
      <c r="S131" s="8">
        <f t="shared" si="35"/>
        <v>0</v>
      </c>
      <c r="T131" s="8">
        <f t="shared" si="35"/>
        <v>0</v>
      </c>
      <c r="U131" s="7">
        <f t="shared" si="42"/>
        <v>0</v>
      </c>
      <c r="V131" s="7">
        <f t="shared" si="43"/>
        <v>0</v>
      </c>
      <c r="W131" s="7">
        <f t="shared" si="44"/>
        <v>0</v>
      </c>
      <c r="X131" s="7">
        <f t="shared" si="45"/>
        <v>0</v>
      </c>
      <c r="Y131" s="7">
        <f t="shared" si="46"/>
        <v>0</v>
      </c>
      <c r="Z131" s="7">
        <f t="shared" si="47"/>
        <v>0</v>
      </c>
      <c r="AA131" s="23">
        <v>311.06354290107998</v>
      </c>
      <c r="AB131" s="29">
        <v>332.60254327404999</v>
      </c>
    </row>
    <row r="132" spans="1:28" x14ac:dyDescent="0.35">
      <c r="A132" s="10" t="s">
        <v>42</v>
      </c>
      <c r="B132" s="15" t="s">
        <v>66</v>
      </c>
      <c r="C132" s="20">
        <f t="shared" si="48"/>
        <v>0</v>
      </c>
      <c r="D132" s="30">
        <f>[1]data!D135-[1]data!D96</f>
        <v>0</v>
      </c>
      <c r="E132" s="30">
        <f>[1]data!E135-[1]data!E96</f>
        <v>0</v>
      </c>
      <c r="F132" s="30">
        <f>[1]data!F135-[1]data!F96</f>
        <v>0</v>
      </c>
      <c r="G132" s="21">
        <f t="shared" si="49"/>
        <v>0</v>
      </c>
      <c r="H132" s="7">
        <f>[1]data!H135-[1]data!H96</f>
        <v>0</v>
      </c>
      <c r="I132" s="7">
        <f>[1]data!I135-[1]data!I96</f>
        <v>0</v>
      </c>
      <c r="J132" s="7">
        <f>[1]data!J135-[1]data!J96</f>
        <v>0</v>
      </c>
      <c r="K132" s="8">
        <f t="shared" si="34"/>
        <v>0</v>
      </c>
      <c r="L132" s="8">
        <f t="shared" si="34"/>
        <v>0</v>
      </c>
      <c r="M132" s="7">
        <f t="shared" si="36"/>
        <v>0</v>
      </c>
      <c r="N132" s="7">
        <f t="shared" si="37"/>
        <v>0</v>
      </c>
      <c r="O132" s="7">
        <f t="shared" si="38"/>
        <v>0</v>
      </c>
      <c r="P132" s="7">
        <f t="shared" si="39"/>
        <v>0</v>
      </c>
      <c r="Q132" s="7">
        <f t="shared" si="40"/>
        <v>0</v>
      </c>
      <c r="R132" s="7">
        <f t="shared" si="41"/>
        <v>0</v>
      </c>
      <c r="S132" s="8">
        <f t="shared" si="35"/>
        <v>0</v>
      </c>
      <c r="T132" s="8">
        <f t="shared" si="35"/>
        <v>0</v>
      </c>
      <c r="U132" s="7">
        <f t="shared" si="42"/>
        <v>0</v>
      </c>
      <c r="V132" s="7">
        <f t="shared" si="43"/>
        <v>0</v>
      </c>
      <c r="W132" s="7">
        <f t="shared" si="44"/>
        <v>0</v>
      </c>
      <c r="X132" s="7">
        <f t="shared" si="45"/>
        <v>0</v>
      </c>
      <c r="Y132" s="7">
        <f t="shared" si="46"/>
        <v>0</v>
      </c>
      <c r="Z132" s="7">
        <f t="shared" si="47"/>
        <v>0</v>
      </c>
      <c r="AA132" s="23">
        <v>45.911572818750003</v>
      </c>
      <c r="AB132" s="29">
        <v>26.895658710639999</v>
      </c>
    </row>
    <row r="133" spans="1:28" x14ac:dyDescent="0.35">
      <c r="A133" s="10" t="s">
        <v>43</v>
      </c>
      <c r="B133" s="15" t="s">
        <v>66</v>
      </c>
      <c r="C133" s="20">
        <f t="shared" si="48"/>
        <v>1.0519623383661809</v>
      </c>
      <c r="D133" s="30">
        <f>[1]data!D136-[1]data!D97</f>
        <v>0.6196774981599118</v>
      </c>
      <c r="E133" s="30">
        <f>[1]data!E136-[1]data!E97</f>
        <v>0.43228484020626912</v>
      </c>
      <c r="F133" s="30">
        <f>[1]data!F136-[1]data!F97</f>
        <v>0</v>
      </c>
      <c r="G133" s="21">
        <f t="shared" si="49"/>
        <v>0</v>
      </c>
      <c r="H133" s="7">
        <f>[1]data!H136-[1]data!H97</f>
        <v>0</v>
      </c>
      <c r="I133" s="7">
        <f>[1]data!I136-[1]data!I97</f>
        <v>0</v>
      </c>
      <c r="J133" s="7">
        <f>[1]data!J136-[1]data!J97</f>
        <v>0</v>
      </c>
      <c r="K133" s="8">
        <f t="shared" si="34"/>
        <v>0.41294855970658767</v>
      </c>
      <c r="L133" s="8">
        <f t="shared" si="34"/>
        <v>0.41428510274810559</v>
      </c>
      <c r="M133" s="7">
        <f t="shared" si="36"/>
        <v>0.24325484004033035</v>
      </c>
      <c r="N133" s="7">
        <f t="shared" si="37"/>
        <v>0.24404215496401593</v>
      </c>
      <c r="O133" s="7">
        <f t="shared" si="38"/>
        <v>0.16969371966625732</v>
      </c>
      <c r="P133" s="7">
        <f t="shared" si="39"/>
        <v>0.17024294778408969</v>
      </c>
      <c r="Q133" s="7">
        <f t="shared" si="40"/>
        <v>0</v>
      </c>
      <c r="R133" s="7">
        <f t="shared" si="41"/>
        <v>0</v>
      </c>
      <c r="S133" s="8">
        <f t="shared" si="35"/>
        <v>0</v>
      </c>
      <c r="T133" s="8">
        <f t="shared" si="35"/>
        <v>0</v>
      </c>
      <c r="U133" s="7">
        <f t="shared" si="42"/>
        <v>0</v>
      </c>
      <c r="V133" s="7">
        <f t="shared" si="43"/>
        <v>0</v>
      </c>
      <c r="W133" s="7">
        <f t="shared" si="44"/>
        <v>0</v>
      </c>
      <c r="X133" s="7">
        <f t="shared" si="45"/>
        <v>0</v>
      </c>
      <c r="Y133" s="7">
        <f t="shared" si="46"/>
        <v>0</v>
      </c>
      <c r="Z133" s="7">
        <f t="shared" si="47"/>
        <v>0</v>
      </c>
      <c r="AA133" s="23">
        <v>253.92231856471</v>
      </c>
      <c r="AB133" s="29">
        <v>254.7441596875</v>
      </c>
    </row>
    <row r="134" spans="1:28" x14ac:dyDescent="0.35">
      <c r="A134" s="10" t="s">
        <v>44</v>
      </c>
      <c r="B134" s="15" t="s">
        <v>66</v>
      </c>
      <c r="C134" s="20">
        <f t="shared" si="48"/>
        <v>7.9529738437430826</v>
      </c>
      <c r="D134" s="30">
        <f>[1]data!D137-[1]data!D98</f>
        <v>0.36466848586374184</v>
      </c>
      <c r="E134" s="30">
        <f>[1]data!E137-[1]data!E98</f>
        <v>7.5883053578793405</v>
      </c>
      <c r="F134" s="30">
        <f>[1]data!F137-[1]data!F98</f>
        <v>0.41954023295295251</v>
      </c>
      <c r="G134" s="21">
        <f t="shared" si="49"/>
        <v>4.0490441007427371</v>
      </c>
      <c r="H134" s="7">
        <f>[1]data!H137-[1]data!H98</f>
        <v>3.7662301358695611</v>
      </c>
      <c r="I134" s="7">
        <f>[1]data!I137-[1]data!I98</f>
        <v>0.28281396487317556</v>
      </c>
      <c r="J134" s="7">
        <f>[1]data!J137-[1]data!J98</f>
        <v>0</v>
      </c>
      <c r="K134" s="8">
        <f t="shared" si="34"/>
        <v>3.9003710215667922</v>
      </c>
      <c r="L134" s="8">
        <f t="shared" si="34"/>
        <v>2.6374108372741394</v>
      </c>
      <c r="M134" s="7">
        <f t="shared" si="36"/>
        <v>0.17884409312632041</v>
      </c>
      <c r="N134" s="7">
        <f t="shared" si="37"/>
        <v>0.12093345653161613</v>
      </c>
      <c r="O134" s="7">
        <f t="shared" si="38"/>
        <v>3.7215269284404719</v>
      </c>
      <c r="P134" s="7">
        <f t="shared" si="39"/>
        <v>2.5164773807425234</v>
      </c>
      <c r="Q134" s="7">
        <f t="shared" si="40"/>
        <v>0.20575480306382099</v>
      </c>
      <c r="R134" s="7">
        <f t="shared" si="41"/>
        <v>0.13913034027304907</v>
      </c>
      <c r="S134" s="8">
        <f t="shared" si="35"/>
        <v>1.9857696738192769</v>
      </c>
      <c r="T134" s="8">
        <f t="shared" si="35"/>
        <v>1.342767246782963</v>
      </c>
      <c r="U134" s="7">
        <f t="shared" si="42"/>
        <v>1.8470694322796195</v>
      </c>
      <c r="V134" s="7">
        <f t="shared" si="43"/>
        <v>1.2489788563589448</v>
      </c>
      <c r="W134" s="7">
        <f t="shared" si="44"/>
        <v>0.13870024153965735</v>
      </c>
      <c r="X134" s="7">
        <f t="shared" si="45"/>
        <v>9.3788390424018209E-2</v>
      </c>
      <c r="Y134" s="7">
        <f t="shared" si="46"/>
        <v>0</v>
      </c>
      <c r="Z134" s="7">
        <f t="shared" si="47"/>
        <v>0</v>
      </c>
      <c r="AA134" s="23">
        <v>301.54474727050001</v>
      </c>
      <c r="AB134" s="29">
        <v>203.90300819506001</v>
      </c>
    </row>
    <row r="135" spans="1:28" x14ac:dyDescent="0.35">
      <c r="A135" s="10" t="s">
        <v>45</v>
      </c>
      <c r="B135" s="15" t="s">
        <v>66</v>
      </c>
      <c r="C135" s="20">
        <f t="shared" si="48"/>
        <v>2.8942786299298612E-2</v>
      </c>
      <c r="D135" s="30">
        <f>[1]data!D138-[1]data!D99</f>
        <v>2.8942786299298612E-2</v>
      </c>
      <c r="E135" s="30">
        <f>[1]data!E138-[1]data!E99</f>
        <v>0</v>
      </c>
      <c r="F135" s="30">
        <f>[1]data!F138-[1]data!F99</f>
        <v>0</v>
      </c>
      <c r="G135" s="21">
        <f>H135+I135</f>
        <v>0</v>
      </c>
      <c r="H135" s="7">
        <f>[1]data!H138-[1]data!H99</f>
        <v>0</v>
      </c>
      <c r="I135" s="7">
        <f>[1]data!I138-[1]data!I99</f>
        <v>0</v>
      </c>
      <c r="J135" s="7">
        <f>[1]data!J138-[1]data!J99</f>
        <v>0</v>
      </c>
      <c r="K135" s="8">
        <f t="shared" si="34"/>
        <v>0.1396178800792699</v>
      </c>
      <c r="L135" s="8">
        <f t="shared" si="34"/>
        <v>0.15177811908347744</v>
      </c>
      <c r="M135" s="7">
        <f t="shared" si="36"/>
        <v>0.1396178800792699</v>
      </c>
      <c r="N135" s="7">
        <f t="shared" si="37"/>
        <v>0.15177811908347744</v>
      </c>
      <c r="O135" s="7">
        <f t="shared" si="38"/>
        <v>0</v>
      </c>
      <c r="P135" s="7">
        <f t="shared" si="39"/>
        <v>0</v>
      </c>
      <c r="Q135" s="7">
        <f t="shared" si="40"/>
        <v>0</v>
      </c>
      <c r="R135" s="7">
        <f t="shared" si="41"/>
        <v>0</v>
      </c>
      <c r="S135" s="8">
        <f t="shared" si="35"/>
        <v>0</v>
      </c>
      <c r="T135" s="8">
        <f t="shared" si="35"/>
        <v>0</v>
      </c>
      <c r="U135" s="7">
        <f t="shared" si="42"/>
        <v>0</v>
      </c>
      <c r="V135" s="7">
        <f t="shared" si="43"/>
        <v>0</v>
      </c>
      <c r="W135" s="7">
        <f t="shared" si="44"/>
        <v>0</v>
      </c>
      <c r="X135" s="7">
        <f t="shared" si="45"/>
        <v>0</v>
      </c>
      <c r="Y135" s="7">
        <f t="shared" si="46"/>
        <v>0</v>
      </c>
      <c r="Z135" s="7">
        <f t="shared" si="47"/>
        <v>0</v>
      </c>
      <c r="AA135" s="23">
        <v>19.06914282116</v>
      </c>
      <c r="AB135" s="29">
        <v>20.729999827290001</v>
      </c>
    </row>
    <row r="136" spans="1:28" x14ac:dyDescent="0.35">
      <c r="A136" s="10" t="s">
        <v>46</v>
      </c>
      <c r="B136" s="15" t="s">
        <v>66</v>
      </c>
      <c r="C136" s="20">
        <f t="shared" si="48"/>
        <v>0.78867720461602975</v>
      </c>
      <c r="D136" s="30">
        <f>[1]data!D139-[1]data!D100</f>
        <v>0.78867720461602975</v>
      </c>
      <c r="E136" s="30">
        <f>[1]data!E139-[1]data!E100</f>
        <v>0</v>
      </c>
      <c r="F136" s="30">
        <f>[1]data!F139-[1]data!F100</f>
        <v>0</v>
      </c>
      <c r="G136" s="21">
        <f t="shared" si="49"/>
        <v>0.17367720461602909</v>
      </c>
      <c r="H136" s="7">
        <f>[1]data!H139-[1]data!H100</f>
        <v>0</v>
      </c>
      <c r="I136" s="7">
        <f>[1]data!I139-[1]data!I100</f>
        <v>0.17367720461602909</v>
      </c>
      <c r="J136" s="7">
        <f>[1]data!J139-[1]data!J100</f>
        <v>0</v>
      </c>
      <c r="K136" s="8">
        <f t="shared" si="34"/>
        <v>0.21231443463198943</v>
      </c>
      <c r="L136" s="8">
        <f t="shared" si="34"/>
        <v>0.18872807987832996</v>
      </c>
      <c r="M136" s="7">
        <f t="shared" si="36"/>
        <v>0.21231443463198943</v>
      </c>
      <c r="N136" s="7">
        <f t="shared" si="37"/>
        <v>0.18872807987832996</v>
      </c>
      <c r="O136" s="7">
        <f t="shared" si="38"/>
        <v>0</v>
      </c>
      <c r="P136" s="7">
        <f t="shared" si="39"/>
        <v>0</v>
      </c>
      <c r="Q136" s="7">
        <f t="shared" si="40"/>
        <v>0</v>
      </c>
      <c r="R136" s="7">
        <f t="shared" si="41"/>
        <v>0</v>
      </c>
      <c r="S136" s="8">
        <f t="shared" si="35"/>
        <v>4.6754460875370274E-2</v>
      </c>
      <c r="T136" s="8">
        <f t="shared" si="35"/>
        <v>4.156043201702142E-2</v>
      </c>
      <c r="U136" s="7">
        <f t="shared" si="42"/>
        <v>0</v>
      </c>
      <c r="V136" s="7">
        <f t="shared" si="43"/>
        <v>0</v>
      </c>
      <c r="W136" s="7">
        <f t="shared" si="44"/>
        <v>4.6754460875370274E-2</v>
      </c>
      <c r="X136" s="7">
        <f t="shared" si="45"/>
        <v>4.156043201702142E-2</v>
      </c>
      <c r="Y136" s="7">
        <f t="shared" si="46"/>
        <v>0</v>
      </c>
      <c r="Z136" s="7">
        <f t="shared" si="47"/>
        <v>0</v>
      </c>
      <c r="AA136" s="23">
        <v>417.89075855828003</v>
      </c>
      <c r="AB136" s="29">
        <v>371.46659669328</v>
      </c>
    </row>
    <row r="137" spans="1:28" x14ac:dyDescent="0.35">
      <c r="A137" s="10" t="s">
        <v>47</v>
      </c>
      <c r="B137" s="15" t="s">
        <v>66</v>
      </c>
      <c r="C137" s="20">
        <f t="shared" si="48"/>
        <v>0.973540694996057</v>
      </c>
      <c r="D137" s="30">
        <f>[1]data!D140-[1]data!D101</f>
        <v>0.44152575336758204</v>
      </c>
      <c r="E137" s="30">
        <f>[1]data!E140-[1]data!E101</f>
        <v>0.53201494162847496</v>
      </c>
      <c r="F137" s="30">
        <f>[1]data!F140-[1]data!F101</f>
        <v>3.791341716091079E-3</v>
      </c>
      <c r="G137" s="21">
        <f t="shared" si="49"/>
        <v>1.8588105913613262E-2</v>
      </c>
      <c r="H137" s="7">
        <f>[1]data!H140-[1]data!H101</f>
        <v>0</v>
      </c>
      <c r="I137" s="7">
        <f>[1]data!I140-[1]data!I101</f>
        <v>1.8588105913613262E-2</v>
      </c>
      <c r="J137" s="7">
        <f>[1]data!J140-[1]data!J101</f>
        <v>0</v>
      </c>
      <c r="K137" s="8">
        <f t="shared" si="34"/>
        <v>0.27158958003625544</v>
      </c>
      <c r="L137" s="8">
        <f t="shared" si="34"/>
        <v>0.28433120662361661</v>
      </c>
      <c r="M137" s="7">
        <f t="shared" si="36"/>
        <v>0.1231728622631215</v>
      </c>
      <c r="N137" s="7">
        <f t="shared" si="37"/>
        <v>0.12895151774925487</v>
      </c>
      <c r="O137" s="7">
        <f t="shared" si="38"/>
        <v>0.14841671777313395</v>
      </c>
      <c r="P137" s="7">
        <f t="shared" si="39"/>
        <v>0.15537968887436174</v>
      </c>
      <c r="Q137" s="7">
        <f t="shared" si="40"/>
        <v>1.0576742294797267E-3</v>
      </c>
      <c r="R137" s="7">
        <f t="shared" si="41"/>
        <v>1.1072950215635269E-3</v>
      </c>
      <c r="S137" s="8">
        <f t="shared" si="35"/>
        <v>5.1855417084214536E-3</v>
      </c>
      <c r="T137" s="8">
        <f t="shared" si="35"/>
        <v>5.42882142516564E-3</v>
      </c>
      <c r="U137" s="7">
        <f t="shared" si="42"/>
        <v>0</v>
      </c>
      <c r="V137" s="7">
        <f t="shared" si="43"/>
        <v>0</v>
      </c>
      <c r="W137" s="7">
        <f t="shared" si="44"/>
        <v>5.1855417084214536E-3</v>
      </c>
      <c r="X137" s="7">
        <f t="shared" si="45"/>
        <v>5.42882142516564E-3</v>
      </c>
      <c r="Y137" s="7">
        <f t="shared" si="46"/>
        <v>0</v>
      </c>
      <c r="Z137" s="7">
        <f t="shared" si="47"/>
        <v>0</v>
      </c>
      <c r="AA137" s="23">
        <v>342.39670930134002</v>
      </c>
      <c r="AB137" s="29">
        <v>358.46025273358998</v>
      </c>
    </row>
    <row r="138" spans="1:28" x14ac:dyDescent="0.35">
      <c r="A138" s="10" t="s">
        <v>48</v>
      </c>
      <c r="B138" s="15" t="s">
        <v>66</v>
      </c>
      <c r="C138" s="20">
        <f t="shared" si="48"/>
        <v>7.9292813335628265E-3</v>
      </c>
      <c r="D138" s="30">
        <f>[1]data!D141-[1]data!D102</f>
        <v>7.9292813335628265E-3</v>
      </c>
      <c r="E138" s="30">
        <f>[1]data!E141-[1]data!E102</f>
        <v>0</v>
      </c>
      <c r="F138" s="30">
        <f>[1]data!F141-[1]data!F102</f>
        <v>0</v>
      </c>
      <c r="G138" s="21">
        <f t="shared" si="49"/>
        <v>0</v>
      </c>
      <c r="H138" s="7">
        <f>[1]data!H141-[1]data!H102</f>
        <v>0</v>
      </c>
      <c r="I138" s="7">
        <f>[1]data!I141-[1]data!I102</f>
        <v>0</v>
      </c>
      <c r="J138" s="7">
        <f>[1]data!J141-[1]data!J102</f>
        <v>0</v>
      </c>
      <c r="K138" s="8">
        <f t="shared" si="34"/>
        <v>2.6290653024690771E-2</v>
      </c>
      <c r="L138" s="8">
        <f t="shared" si="34"/>
        <v>1.4306948431606846E-2</v>
      </c>
      <c r="M138" s="7">
        <f t="shared" si="36"/>
        <v>2.6290653024690771E-2</v>
      </c>
      <c r="N138" s="7">
        <f t="shared" si="37"/>
        <v>1.4306948431606846E-2</v>
      </c>
      <c r="O138" s="7">
        <f t="shared" si="38"/>
        <v>0</v>
      </c>
      <c r="P138" s="7">
        <f t="shared" si="39"/>
        <v>0</v>
      </c>
      <c r="Q138" s="7">
        <f t="shared" si="40"/>
        <v>0</v>
      </c>
      <c r="R138" s="7">
        <f t="shared" si="41"/>
        <v>0</v>
      </c>
      <c r="S138" s="8">
        <f t="shared" si="35"/>
        <v>0</v>
      </c>
      <c r="T138" s="8">
        <f t="shared" si="35"/>
        <v>0</v>
      </c>
      <c r="U138" s="7">
        <f t="shared" si="42"/>
        <v>0</v>
      </c>
      <c r="V138" s="7">
        <f t="shared" si="43"/>
        <v>0</v>
      </c>
      <c r="W138" s="7">
        <f t="shared" si="44"/>
        <v>0</v>
      </c>
      <c r="X138" s="7">
        <f t="shared" si="45"/>
        <v>0</v>
      </c>
      <c r="Y138" s="7">
        <f t="shared" si="46"/>
        <v>0</v>
      </c>
      <c r="Z138" s="7">
        <f t="shared" si="47"/>
        <v>0</v>
      </c>
      <c r="AA138" s="25">
        <v>55.422589739999999</v>
      </c>
      <c r="AB138" s="29">
        <v>30.160077523049999</v>
      </c>
    </row>
    <row r="139" spans="1:28" x14ac:dyDescent="0.35">
      <c r="A139" s="10" t="s">
        <v>49</v>
      </c>
      <c r="B139" s="15" t="s">
        <v>66</v>
      </c>
      <c r="C139" s="20">
        <f t="shared" si="48"/>
        <v>0</v>
      </c>
      <c r="D139" s="30">
        <f>[1]data!D142-[1]data!D103</f>
        <v>0</v>
      </c>
      <c r="E139" s="30">
        <f>[1]data!E142-[1]data!E103</f>
        <v>0</v>
      </c>
      <c r="F139" s="30">
        <f>[1]data!F142-[1]data!F103</f>
        <v>0</v>
      </c>
      <c r="G139" s="21">
        <f t="shared" si="49"/>
        <v>5.8029995609220342E-2</v>
      </c>
      <c r="H139" s="7">
        <f>[1]data!H142-[1]data!H103</f>
        <v>5.8029995609220342E-2</v>
      </c>
      <c r="I139" s="7">
        <f>[1]data!I142-[1]data!I103</f>
        <v>0</v>
      </c>
      <c r="J139" s="7">
        <f>[1]data!J142-[1]data!J103</f>
        <v>0</v>
      </c>
      <c r="K139" s="8">
        <f t="shared" si="34"/>
        <v>0</v>
      </c>
      <c r="L139" s="8">
        <f t="shared" si="34"/>
        <v>0</v>
      </c>
      <c r="M139" s="7">
        <f t="shared" si="36"/>
        <v>0</v>
      </c>
      <c r="N139" s="7">
        <f t="shared" si="37"/>
        <v>0</v>
      </c>
      <c r="O139" s="7">
        <f t="shared" si="38"/>
        <v>0</v>
      </c>
      <c r="P139" s="7">
        <f t="shared" si="39"/>
        <v>0</v>
      </c>
      <c r="Q139" s="7">
        <f t="shared" si="40"/>
        <v>0</v>
      </c>
      <c r="R139" s="7">
        <f t="shared" si="41"/>
        <v>0</v>
      </c>
      <c r="S139" s="8">
        <f t="shared" si="35"/>
        <v>0.12035231187887308</v>
      </c>
      <c r="T139" s="8">
        <f t="shared" si="35"/>
        <v>5.9740932085120359E-2</v>
      </c>
      <c r="U139" s="7">
        <f t="shared" si="42"/>
        <v>0.12035231187887308</v>
      </c>
      <c r="V139" s="7">
        <f t="shared" si="43"/>
        <v>5.9740932085120359E-2</v>
      </c>
      <c r="W139" s="7">
        <f t="shared" si="44"/>
        <v>0</v>
      </c>
      <c r="X139" s="7">
        <f t="shared" si="45"/>
        <v>0</v>
      </c>
      <c r="Y139" s="7">
        <f t="shared" si="46"/>
        <v>0</v>
      </c>
      <c r="Z139" s="7">
        <f t="shared" si="47"/>
        <v>0</v>
      </c>
      <c r="AA139" s="23">
        <v>97.136073348400004</v>
      </c>
      <c r="AB139" s="29">
        <v>48.216768505140003</v>
      </c>
    </row>
    <row r="140" spans="1:28" x14ac:dyDescent="0.35">
      <c r="A140" s="10" t="s">
        <v>50</v>
      </c>
      <c r="B140" s="15" t="s">
        <v>66</v>
      </c>
      <c r="C140" s="20">
        <f t="shared" si="48"/>
        <v>0</v>
      </c>
      <c r="D140" s="30">
        <f>[1]data!D143-[1]data!D104</f>
        <v>0</v>
      </c>
      <c r="E140" s="30">
        <f>[1]data!E143-[1]data!E104</f>
        <v>0</v>
      </c>
      <c r="F140" s="30">
        <f>[1]data!F143-[1]data!F104</f>
        <v>2.1423395009906088E-2</v>
      </c>
      <c r="G140" s="21">
        <f t="shared" si="49"/>
        <v>0.45530536543989036</v>
      </c>
      <c r="H140" s="7">
        <f>[1]data!H143-[1]data!H104</f>
        <v>0.45530536543989036</v>
      </c>
      <c r="I140" s="7">
        <f>[1]data!I143-[1]data!I104</f>
        <v>0</v>
      </c>
      <c r="J140" s="7">
        <f>[1]data!J143-[1]data!J104</f>
        <v>0</v>
      </c>
      <c r="K140" s="8">
        <f t="shared" si="34"/>
        <v>0</v>
      </c>
      <c r="L140" s="8">
        <f t="shared" si="34"/>
        <v>0</v>
      </c>
      <c r="M140" s="7">
        <f t="shared" si="36"/>
        <v>0</v>
      </c>
      <c r="N140" s="7">
        <f t="shared" si="37"/>
        <v>0</v>
      </c>
      <c r="O140" s="7">
        <f t="shared" si="38"/>
        <v>0</v>
      </c>
      <c r="P140" s="7">
        <f t="shared" si="39"/>
        <v>0</v>
      </c>
      <c r="Q140" s="7">
        <f t="shared" si="40"/>
        <v>3.2187802021793631E-2</v>
      </c>
      <c r="R140" s="7">
        <f t="shared" si="41"/>
        <v>3.2291633732274283E-2</v>
      </c>
      <c r="S140" s="8">
        <f t="shared" si="35"/>
        <v>0.68407826842865238</v>
      </c>
      <c r="T140" s="8">
        <f t="shared" si="35"/>
        <v>0.68628497445553482</v>
      </c>
      <c r="U140" s="7">
        <f t="shared" si="42"/>
        <v>0.68407826842865238</v>
      </c>
      <c r="V140" s="7">
        <f t="shared" si="43"/>
        <v>0.68628497445553482</v>
      </c>
      <c r="W140" s="7">
        <f t="shared" si="44"/>
        <v>0</v>
      </c>
      <c r="X140" s="7">
        <f t="shared" si="45"/>
        <v>0</v>
      </c>
      <c r="Y140" s="7">
        <f t="shared" si="46"/>
        <v>0</v>
      </c>
      <c r="Z140" s="7">
        <f t="shared" si="47"/>
        <v>0</v>
      </c>
      <c r="AA140" s="23">
        <v>66.343484468840003</v>
      </c>
      <c r="AB140" s="29">
        <v>66.557495896739994</v>
      </c>
    </row>
    <row r="141" spans="1:28" x14ac:dyDescent="0.35">
      <c r="A141" s="10" t="s">
        <v>51</v>
      </c>
      <c r="B141" s="15" t="s">
        <v>66</v>
      </c>
      <c r="C141" s="20">
        <f t="shared" si="48"/>
        <v>2.4860569687780369</v>
      </c>
      <c r="D141" s="30">
        <f>[1]data!D144-[1]data!D105</f>
        <v>2.4860569687780369</v>
      </c>
      <c r="E141" s="30">
        <f>[1]data!E144-[1]data!E105</f>
        <v>0</v>
      </c>
      <c r="F141" s="30">
        <f>[1]data!F144-[1]data!F105</f>
        <v>0</v>
      </c>
      <c r="G141" s="21">
        <f t="shared" si="49"/>
        <v>1.992282581698035</v>
      </c>
      <c r="H141" s="7">
        <f>[1]data!H144-[1]data!H105</f>
        <v>0</v>
      </c>
      <c r="I141" s="7">
        <f>[1]data!I144-[1]data!I105</f>
        <v>1.992282581698035</v>
      </c>
      <c r="J141" s="7">
        <f>[1]data!J144-[1]data!J105</f>
        <v>0</v>
      </c>
      <c r="K141" s="8">
        <f t="shared" si="34"/>
        <v>0.29587095516490514</v>
      </c>
      <c r="L141" s="8">
        <f t="shared" si="34"/>
        <v>0.26661831437283778</v>
      </c>
      <c r="M141" s="7">
        <f t="shared" si="36"/>
        <v>0.29587095516490514</v>
      </c>
      <c r="N141" s="7">
        <f t="shared" si="37"/>
        <v>0.26661831437283778</v>
      </c>
      <c r="O141" s="7">
        <f t="shared" si="38"/>
        <v>0</v>
      </c>
      <c r="P141" s="7">
        <f t="shared" si="39"/>
        <v>0</v>
      </c>
      <c r="Q141" s="7">
        <f t="shared" si="40"/>
        <v>0</v>
      </c>
      <c r="R141" s="7">
        <f t="shared" si="41"/>
        <v>0</v>
      </c>
      <c r="S141" s="8">
        <f t="shared" si="35"/>
        <v>0.23710580964487524</v>
      </c>
      <c r="T141" s="8">
        <f t="shared" si="35"/>
        <v>0.21366325484801102</v>
      </c>
      <c r="U141" s="7">
        <f t="shared" si="42"/>
        <v>0</v>
      </c>
      <c r="V141" s="7">
        <f t="shared" si="43"/>
        <v>0</v>
      </c>
      <c r="W141" s="7">
        <f t="shared" si="44"/>
        <v>0.23710580964487524</v>
      </c>
      <c r="X141" s="7">
        <f t="shared" si="45"/>
        <v>0.21366325484801102</v>
      </c>
      <c r="Y141" s="7">
        <f t="shared" si="46"/>
        <v>0</v>
      </c>
      <c r="Z141" s="7">
        <f t="shared" si="47"/>
        <v>0</v>
      </c>
      <c r="AA141" s="23">
        <v>932.44043441874999</v>
      </c>
      <c r="AB141" s="29">
        <v>840.25042856688003</v>
      </c>
    </row>
    <row r="142" spans="1:28" x14ac:dyDescent="0.35">
      <c r="A142" s="10" t="s">
        <v>52</v>
      </c>
      <c r="B142" s="15" t="s">
        <v>66</v>
      </c>
      <c r="C142" s="20">
        <f t="shared" si="48"/>
        <v>2.2603788228926915</v>
      </c>
      <c r="D142" s="30">
        <f>[1]data!D145-[1]data!D106</f>
        <v>2.0118179613490823</v>
      </c>
      <c r="E142" s="30">
        <f>[1]data!E145-[1]data!E106</f>
        <v>0.24856086154360924</v>
      </c>
      <c r="F142" s="30">
        <f>[1]data!F145-[1]data!F106</f>
        <v>0</v>
      </c>
      <c r="G142" s="21">
        <f t="shared" si="49"/>
        <v>0</v>
      </c>
      <c r="H142" s="7">
        <f>[1]data!H145-[1]data!H106</f>
        <v>0</v>
      </c>
      <c r="I142" s="7">
        <f>[1]data!I145-[1]data!I106</f>
        <v>0</v>
      </c>
      <c r="J142" s="7">
        <f>[1]data!J145-[1]data!J106</f>
        <v>0</v>
      </c>
      <c r="K142" s="8">
        <f t="shared" si="34"/>
        <v>1.1138213198458626</v>
      </c>
      <c r="L142" s="8">
        <f t="shared" si="34"/>
        <v>1.1653010685747811</v>
      </c>
      <c r="M142" s="7">
        <f t="shared" si="36"/>
        <v>0.99134079398771058</v>
      </c>
      <c r="N142" s="7">
        <f t="shared" si="37"/>
        <v>1.0371596107672962</v>
      </c>
      <c r="O142" s="7">
        <f t="shared" si="38"/>
        <v>0.12248052585815204</v>
      </c>
      <c r="P142" s="7">
        <f t="shared" si="39"/>
        <v>0.12814145780748482</v>
      </c>
      <c r="Q142" s="7">
        <f t="shared" si="40"/>
        <v>0</v>
      </c>
      <c r="R142" s="7">
        <f t="shared" si="41"/>
        <v>0</v>
      </c>
      <c r="S142" s="8">
        <f t="shared" si="35"/>
        <v>0</v>
      </c>
      <c r="T142" s="8">
        <f t="shared" si="35"/>
        <v>0</v>
      </c>
      <c r="U142" s="7">
        <f t="shared" si="42"/>
        <v>0</v>
      </c>
      <c r="V142" s="7">
        <f t="shared" si="43"/>
        <v>0</v>
      </c>
      <c r="W142" s="7">
        <f t="shared" si="44"/>
        <v>0</v>
      </c>
      <c r="X142" s="7">
        <f t="shared" si="45"/>
        <v>0</v>
      </c>
      <c r="Y142" s="7">
        <f t="shared" si="46"/>
        <v>0</v>
      </c>
      <c r="Z142" s="7">
        <f t="shared" si="47"/>
        <v>0</v>
      </c>
      <c r="AA142" s="23">
        <v>193.97380504054999</v>
      </c>
      <c r="AB142" s="29">
        <v>202.93908750153</v>
      </c>
    </row>
    <row r="143" spans="1:28" x14ac:dyDescent="0.35">
      <c r="A143" s="10" t="s">
        <v>53</v>
      </c>
      <c r="B143" s="15" t="s">
        <v>66</v>
      </c>
      <c r="C143" s="20">
        <f t="shared" si="48"/>
        <v>13.348965621899447</v>
      </c>
      <c r="D143" s="30">
        <f>[1]data!D146-[1]data!D107</f>
        <v>1.1414792455781</v>
      </c>
      <c r="E143" s="30">
        <f>[1]data!E146-[1]data!E107</f>
        <v>12.207486376321347</v>
      </c>
      <c r="F143" s="30">
        <f>[1]data!F146-[1]data!F107</f>
        <v>0</v>
      </c>
      <c r="G143" s="21">
        <f t="shared" si="49"/>
        <v>0.17176997453820242</v>
      </c>
      <c r="H143" s="7">
        <f>[1]data!H146-[1]data!H107</f>
        <v>0.17176997453820242</v>
      </c>
      <c r="I143" s="7">
        <f>[1]data!I146-[1]data!I107</f>
        <v>0</v>
      </c>
      <c r="J143" s="7">
        <f>[1]data!J146-[1]data!J107</f>
        <v>0</v>
      </c>
      <c r="K143" s="8">
        <f t="shared" si="34"/>
        <v>3.2538664984422607</v>
      </c>
      <c r="L143" s="8">
        <f t="shared" si="34"/>
        <v>4.0395803375278465</v>
      </c>
      <c r="M143" s="7">
        <f t="shared" si="36"/>
        <v>0.27824036566252114</v>
      </c>
      <c r="N143" s="7">
        <f t="shared" si="37"/>
        <v>0.34542729727078975</v>
      </c>
      <c r="O143" s="7">
        <f t="shared" si="38"/>
        <v>2.9756261327797398</v>
      </c>
      <c r="P143" s="7">
        <f t="shared" si="39"/>
        <v>3.6941530402570568</v>
      </c>
      <c r="Q143" s="7">
        <f t="shared" si="40"/>
        <v>0</v>
      </c>
      <c r="R143" s="7">
        <f t="shared" si="41"/>
        <v>0</v>
      </c>
      <c r="S143" s="8">
        <f t="shared" si="35"/>
        <v>4.1869653531148118E-2</v>
      </c>
      <c r="T143" s="8">
        <f t="shared" si="35"/>
        <v>5.1979953456756905E-2</v>
      </c>
      <c r="U143" s="7">
        <f t="shared" si="42"/>
        <v>4.1869653531148118E-2</v>
      </c>
      <c r="V143" s="7">
        <f t="shared" si="43"/>
        <v>5.1979953456756905E-2</v>
      </c>
      <c r="W143" s="7">
        <f t="shared" si="44"/>
        <v>0</v>
      </c>
      <c r="X143" s="7">
        <f t="shared" si="45"/>
        <v>0</v>
      </c>
      <c r="Y143" s="7">
        <f t="shared" si="46"/>
        <v>0</v>
      </c>
      <c r="Z143" s="7">
        <f t="shared" si="47"/>
        <v>0</v>
      </c>
      <c r="AA143" s="23">
        <v>330.45426768437</v>
      </c>
      <c r="AB143" s="29">
        <v>410.24933347112</v>
      </c>
    </row>
    <row r="144" spans="1:28" x14ac:dyDescent="0.35">
      <c r="A144" s="10" t="s">
        <v>54</v>
      </c>
      <c r="B144" s="15" t="s">
        <v>66</v>
      </c>
      <c r="C144" s="20">
        <f t="shared" si="48"/>
        <v>3.6115856237378892</v>
      </c>
      <c r="D144" s="30">
        <f>[1]data!D147-[1]data!D108</f>
        <v>0.6751212736122203</v>
      </c>
      <c r="E144" s="30">
        <f>[1]data!E147-[1]data!E108</f>
        <v>2.9364643501256689</v>
      </c>
      <c r="F144" s="30">
        <f>[1]data!F147-[1]data!F108</f>
        <v>0</v>
      </c>
      <c r="G144" s="21">
        <f t="shared" si="49"/>
        <v>0</v>
      </c>
      <c r="H144" s="7">
        <f>[1]data!H147-[1]data!H108</f>
        <v>0</v>
      </c>
      <c r="I144" s="7">
        <f>[1]data!I147-[1]data!I108</f>
        <v>0</v>
      </c>
      <c r="J144" s="7">
        <f>[1]data!J147-[1]data!J108</f>
        <v>0</v>
      </c>
      <c r="K144" s="8">
        <f t="shared" si="34"/>
        <v>1.6241891285072554</v>
      </c>
      <c r="L144" s="8">
        <f t="shared" si="34"/>
        <v>1.0584457968359591</v>
      </c>
      <c r="M144" s="7">
        <f t="shared" si="36"/>
        <v>0.30361307947894323</v>
      </c>
      <c r="N144" s="7">
        <f t="shared" si="37"/>
        <v>0.19785749220859525</v>
      </c>
      <c r="O144" s="7">
        <f t="shared" si="38"/>
        <v>1.3205760490283123</v>
      </c>
      <c r="P144" s="7">
        <f t="shared" si="39"/>
        <v>0.8605883046273638</v>
      </c>
      <c r="Q144" s="7">
        <f t="shared" si="40"/>
        <v>0</v>
      </c>
      <c r="R144" s="7">
        <f t="shared" si="41"/>
        <v>0</v>
      </c>
      <c r="S144" s="8">
        <f t="shared" si="35"/>
        <v>0</v>
      </c>
      <c r="T144" s="8">
        <f t="shared" si="35"/>
        <v>0</v>
      </c>
      <c r="U144" s="7">
        <f t="shared" si="42"/>
        <v>0</v>
      </c>
      <c r="V144" s="7">
        <f t="shared" si="43"/>
        <v>0</v>
      </c>
      <c r="W144" s="7">
        <f t="shared" si="44"/>
        <v>0</v>
      </c>
      <c r="X144" s="7">
        <f t="shared" si="45"/>
        <v>0</v>
      </c>
      <c r="Y144" s="7">
        <f t="shared" si="46"/>
        <v>0</v>
      </c>
      <c r="Z144" s="7">
        <f t="shared" si="47"/>
        <v>0</v>
      </c>
      <c r="AA144" s="23">
        <v>341.21592570296002</v>
      </c>
      <c r="AB144" s="29">
        <v>222.36238134761999</v>
      </c>
    </row>
    <row r="145" spans="1:28" x14ac:dyDescent="0.35">
      <c r="A145" s="10" t="s">
        <v>55</v>
      </c>
      <c r="B145" s="15" t="s">
        <v>66</v>
      </c>
      <c r="C145" s="20">
        <f t="shared" si="48"/>
        <v>1.4814636495868849</v>
      </c>
      <c r="D145" s="30">
        <f>[1]data!D148-[1]data!D109</f>
        <v>0</v>
      </c>
      <c r="E145" s="30">
        <f>[1]data!E148-[1]data!E109</f>
        <v>1.4814636495868849</v>
      </c>
      <c r="F145" s="30">
        <f>[1]data!F148-[1]data!F109</f>
        <v>0</v>
      </c>
      <c r="G145" s="21">
        <f t="shared" si="49"/>
        <v>0</v>
      </c>
      <c r="H145" s="7">
        <f>[1]data!H148-[1]data!H109</f>
        <v>0</v>
      </c>
      <c r="I145" s="7">
        <f>[1]data!I148-[1]data!I109</f>
        <v>0</v>
      </c>
      <c r="J145" s="7">
        <f>[1]data!J148-[1]data!J109</f>
        <v>0</v>
      </c>
      <c r="K145" s="8">
        <f t="shared" si="34"/>
        <v>1.4890718960555029</v>
      </c>
      <c r="L145" s="8">
        <f t="shared" si="34"/>
        <v>0.8152822811717515</v>
      </c>
      <c r="M145" s="7">
        <f t="shared" si="36"/>
        <v>0</v>
      </c>
      <c r="N145" s="7">
        <f t="shared" si="37"/>
        <v>0</v>
      </c>
      <c r="O145" s="7">
        <f t="shared" si="38"/>
        <v>1.4890718960555029</v>
      </c>
      <c r="P145" s="7">
        <f t="shared" si="39"/>
        <v>0.8152822811717515</v>
      </c>
      <c r="Q145" s="7">
        <f t="shared" si="40"/>
        <v>0</v>
      </c>
      <c r="R145" s="7">
        <f t="shared" si="41"/>
        <v>0</v>
      </c>
      <c r="S145" s="8">
        <f t="shared" si="35"/>
        <v>0</v>
      </c>
      <c r="T145" s="8">
        <f t="shared" si="35"/>
        <v>0</v>
      </c>
      <c r="U145" s="7">
        <f t="shared" si="42"/>
        <v>0</v>
      </c>
      <c r="V145" s="7">
        <f t="shared" si="43"/>
        <v>0</v>
      </c>
      <c r="W145" s="7">
        <f t="shared" si="44"/>
        <v>0</v>
      </c>
      <c r="X145" s="7">
        <f t="shared" si="45"/>
        <v>0</v>
      </c>
      <c r="Y145" s="7">
        <f t="shared" si="46"/>
        <v>0</v>
      </c>
      <c r="Z145" s="7">
        <f t="shared" si="47"/>
        <v>0</v>
      </c>
      <c r="AA145" s="23">
        <v>181.71174374815001</v>
      </c>
      <c r="AB145" s="29">
        <v>99.489061173690004</v>
      </c>
    </row>
    <row r="146" spans="1:28" x14ac:dyDescent="0.35">
      <c r="A146" s="10" t="s">
        <v>56</v>
      </c>
      <c r="B146" s="15" t="s">
        <v>66</v>
      </c>
      <c r="C146" s="20">
        <f t="shared" si="48"/>
        <v>0.34098922567069284</v>
      </c>
      <c r="D146" s="30">
        <f>[1]data!D149-[1]data!D110</f>
        <v>0.34098922567069284</v>
      </c>
      <c r="E146" s="30">
        <f>[1]data!E149-[1]data!E110</f>
        <v>0</v>
      </c>
      <c r="F146" s="30">
        <f>[1]data!F149-[1]data!F110</f>
        <v>0.1</v>
      </c>
      <c r="G146" s="21">
        <f t="shared" si="49"/>
        <v>0.31410316138480565</v>
      </c>
      <c r="H146" s="7">
        <f>[1]data!H149-[1]data!H110</f>
        <v>0.31410316138480565</v>
      </c>
      <c r="I146" s="7">
        <f>[1]data!I149-[1]data!I110</f>
        <v>0</v>
      </c>
      <c r="J146" s="7">
        <f>[1]data!J149-[1]data!J110</f>
        <v>-0.11431613976919908</v>
      </c>
      <c r="K146" s="8">
        <f t="shared" si="34"/>
        <v>0.67632467828768994</v>
      </c>
      <c r="L146" s="8">
        <f t="shared" si="34"/>
        <v>0.44844954956999594</v>
      </c>
      <c r="M146" s="7">
        <f t="shared" si="36"/>
        <v>0.67632467828768994</v>
      </c>
      <c r="N146" s="7">
        <f t="shared" si="37"/>
        <v>0.44844954956999594</v>
      </c>
      <c r="O146" s="7">
        <f t="shared" si="38"/>
        <v>0</v>
      </c>
      <c r="P146" s="7">
        <f t="shared" si="39"/>
        <v>0</v>
      </c>
      <c r="Q146" s="7">
        <f t="shared" si="40"/>
        <v>0.19834194964882682</v>
      </c>
      <c r="R146" s="7">
        <f t="shared" si="41"/>
        <v>0.13151428720011285</v>
      </c>
      <c r="S146" s="8">
        <f t="shared" si="35"/>
        <v>0.62299833419922446</v>
      </c>
      <c r="T146" s="8">
        <f t="shared" si="35"/>
        <v>0.41309053376824728</v>
      </c>
      <c r="U146" s="7">
        <f t="shared" si="42"/>
        <v>0.62299833419922446</v>
      </c>
      <c r="V146" s="7">
        <f t="shared" si="43"/>
        <v>0.41309053376824728</v>
      </c>
      <c r="W146" s="7">
        <f t="shared" si="44"/>
        <v>0</v>
      </c>
      <c r="X146" s="7">
        <f t="shared" si="45"/>
        <v>0</v>
      </c>
      <c r="Y146" s="7">
        <f t="shared" si="46"/>
        <v>-0.22673686038150731</v>
      </c>
      <c r="Z146" s="7">
        <f t="shared" si="47"/>
        <v>-0.1503420563721469</v>
      </c>
      <c r="AA146" s="23">
        <v>76.037366075549997</v>
      </c>
      <c r="AB146" s="29">
        <v>50.417977728389999</v>
      </c>
    </row>
    <row r="147" spans="1:28" x14ac:dyDescent="0.35">
      <c r="A147" s="10" t="s">
        <v>57</v>
      </c>
      <c r="B147" s="15" t="s">
        <v>66</v>
      </c>
      <c r="C147" s="20">
        <f t="shared" si="48"/>
        <v>2.5312199052560214</v>
      </c>
      <c r="D147" s="30">
        <f>[1]data!D150-[1]data!D111</f>
        <v>2.5312199052560214</v>
      </c>
      <c r="E147" s="30">
        <f>[1]data!E150-[1]data!E111</f>
        <v>0</v>
      </c>
      <c r="F147" s="30">
        <f>[1]data!F150-[1]data!F111</f>
        <v>1.9866714963131784</v>
      </c>
      <c r="G147" s="21">
        <f t="shared" si="49"/>
        <v>0</v>
      </c>
      <c r="H147" s="7">
        <f>[1]data!H150-[1]data!H111</f>
        <v>0</v>
      </c>
      <c r="I147" s="7">
        <f>[1]data!I150-[1]data!I111</f>
        <v>0</v>
      </c>
      <c r="J147" s="7">
        <f>[1]data!J150-[1]data!J111</f>
        <v>0</v>
      </c>
      <c r="K147" s="8">
        <f t="shared" si="34"/>
        <v>0.46037139491832463</v>
      </c>
      <c r="L147" s="8">
        <f t="shared" si="34"/>
        <v>0.48583456577248674</v>
      </c>
      <c r="M147" s="7">
        <f t="shared" si="36"/>
        <v>0.46037139491832463</v>
      </c>
      <c r="N147" s="7">
        <f t="shared" si="37"/>
        <v>0.48583456577248674</v>
      </c>
      <c r="O147" s="7">
        <f t="shared" si="38"/>
        <v>0</v>
      </c>
      <c r="P147" s="7">
        <f t="shared" si="39"/>
        <v>0</v>
      </c>
      <c r="Q147" s="7">
        <f t="shared" si="40"/>
        <v>0.36133041072528421</v>
      </c>
      <c r="R147" s="7">
        <f t="shared" si="41"/>
        <v>0.38131561850461376</v>
      </c>
      <c r="S147" s="8">
        <f t="shared" si="35"/>
        <v>0</v>
      </c>
      <c r="T147" s="8">
        <f t="shared" si="35"/>
        <v>0</v>
      </c>
      <c r="U147" s="7">
        <f t="shared" si="42"/>
        <v>0</v>
      </c>
      <c r="V147" s="7">
        <f t="shared" si="43"/>
        <v>0</v>
      </c>
      <c r="W147" s="7">
        <f t="shared" si="44"/>
        <v>0</v>
      </c>
      <c r="X147" s="7">
        <f t="shared" si="45"/>
        <v>0</v>
      </c>
      <c r="Y147" s="7">
        <f t="shared" si="46"/>
        <v>0</v>
      </c>
      <c r="Z147" s="7">
        <f t="shared" si="47"/>
        <v>0</v>
      </c>
      <c r="AA147" s="23">
        <v>521.00449074291998</v>
      </c>
      <c r="AB147" s="29">
        <v>549.82128194673999</v>
      </c>
    </row>
    <row r="148" spans="1:28" x14ac:dyDescent="0.35">
      <c r="A148" s="10" t="s">
        <v>58</v>
      </c>
      <c r="B148" s="15" t="s">
        <v>66</v>
      </c>
      <c r="C148" s="20">
        <f t="shared" si="48"/>
        <v>5.7337721328573297</v>
      </c>
      <c r="D148" s="30">
        <f>[1]data!D151-[1]data!D112</f>
        <v>0.41206821103311331</v>
      </c>
      <c r="E148" s="30">
        <f>[1]data!E151-[1]data!E112</f>
        <v>5.3217039218242164</v>
      </c>
      <c r="F148" s="30">
        <f>[1]data!F151-[1]data!F112</f>
        <v>0</v>
      </c>
      <c r="G148" s="21">
        <f t="shared" si="49"/>
        <v>0</v>
      </c>
      <c r="H148" s="7">
        <f>[1]data!H151-[1]data!H112</f>
        <v>0</v>
      </c>
      <c r="I148" s="7">
        <f>[1]data!I151-[1]data!I112</f>
        <v>0</v>
      </c>
      <c r="J148" s="7">
        <f>[1]data!J151-[1]data!J112</f>
        <v>0</v>
      </c>
      <c r="K148" s="8">
        <f t="shared" si="34"/>
        <v>0.76746045418638742</v>
      </c>
      <c r="L148" s="8">
        <f t="shared" si="34"/>
        <v>0.970486484878609</v>
      </c>
      <c r="M148" s="7">
        <f t="shared" si="36"/>
        <v>5.515497460790255E-2</v>
      </c>
      <c r="N148" s="7">
        <f t="shared" si="37"/>
        <v>6.9745818352996924E-2</v>
      </c>
      <c r="O148" s="7">
        <f t="shared" si="38"/>
        <v>0.71230547957848489</v>
      </c>
      <c r="P148" s="7">
        <f t="shared" si="39"/>
        <v>0.90074066652561213</v>
      </c>
      <c r="Q148" s="7">
        <f t="shared" si="40"/>
        <v>0</v>
      </c>
      <c r="R148" s="7">
        <f t="shared" si="41"/>
        <v>0</v>
      </c>
      <c r="S148" s="8">
        <f t="shared" si="35"/>
        <v>0</v>
      </c>
      <c r="T148" s="8">
        <f t="shared" si="35"/>
        <v>0</v>
      </c>
      <c r="U148" s="7">
        <f t="shared" si="42"/>
        <v>0</v>
      </c>
      <c r="V148" s="7">
        <f t="shared" si="43"/>
        <v>0</v>
      </c>
      <c r="W148" s="7">
        <f t="shared" si="44"/>
        <v>0</v>
      </c>
      <c r="X148" s="7">
        <f t="shared" si="45"/>
        <v>0</v>
      </c>
      <c r="Y148" s="7">
        <f t="shared" si="46"/>
        <v>0</v>
      </c>
      <c r="Z148" s="7">
        <f t="shared" si="47"/>
        <v>0</v>
      </c>
      <c r="AA148" s="23">
        <v>590.81421763174001</v>
      </c>
      <c r="AB148" s="29">
        <v>747.10978286638999</v>
      </c>
    </row>
    <row r="149" spans="1:28" x14ac:dyDescent="0.35">
      <c r="A149" s="5" t="s">
        <v>59</v>
      </c>
      <c r="B149" s="15" t="s">
        <v>66</v>
      </c>
      <c r="C149" s="20">
        <f t="shared" si="48"/>
        <v>0.46869556347929597</v>
      </c>
      <c r="D149" s="30">
        <f>[1]data!D152-[1]data!D113</f>
        <v>0.46869556347929597</v>
      </c>
      <c r="E149" s="30">
        <f>[1]data!E152-[1]data!E113</f>
        <v>0</v>
      </c>
      <c r="F149" s="30">
        <f>[1]data!F152-[1]data!F113</f>
        <v>0</v>
      </c>
      <c r="G149" s="21">
        <f>H149+I149</f>
        <v>0</v>
      </c>
      <c r="H149" s="7">
        <f>[1]data!H152-[1]data!H113</f>
        <v>0</v>
      </c>
      <c r="I149" s="7">
        <f>[1]data!I152-[1]data!I113</f>
        <v>0</v>
      </c>
      <c r="J149" s="7">
        <f>[1]data!J152-[1]data!J113</f>
        <v>-1.1142321069096255</v>
      </c>
      <c r="K149" s="8">
        <f t="shared" si="34"/>
        <v>0.17891912288063316</v>
      </c>
      <c r="L149" s="8">
        <f t="shared" si="34"/>
        <v>0.10621064799126645</v>
      </c>
      <c r="M149" s="7">
        <f t="shared" si="36"/>
        <v>0.17891912288063316</v>
      </c>
      <c r="N149" s="7">
        <f t="shared" si="37"/>
        <v>0.10621064799126645</v>
      </c>
      <c r="O149" s="7">
        <f t="shared" si="38"/>
        <v>0</v>
      </c>
      <c r="P149" s="7">
        <f t="shared" si="39"/>
        <v>0</v>
      </c>
      <c r="Q149" s="7">
        <f t="shared" si="40"/>
        <v>0</v>
      </c>
      <c r="R149" s="7">
        <f t="shared" si="41"/>
        <v>0</v>
      </c>
      <c r="S149" s="8">
        <f t="shared" si="35"/>
        <v>0</v>
      </c>
      <c r="T149" s="8">
        <f t="shared" si="35"/>
        <v>0</v>
      </c>
      <c r="U149" s="7">
        <f t="shared" si="42"/>
        <v>0</v>
      </c>
      <c r="V149" s="7">
        <f t="shared" si="43"/>
        <v>0</v>
      </c>
      <c r="W149" s="7">
        <f t="shared" si="44"/>
        <v>0</v>
      </c>
      <c r="X149" s="7">
        <f t="shared" si="45"/>
        <v>0</v>
      </c>
      <c r="Y149" s="7">
        <f t="shared" si="46"/>
        <v>-0.42534524921424061</v>
      </c>
      <c r="Z149" s="7">
        <f t="shared" si="47"/>
        <v>-0.25249505928547811</v>
      </c>
      <c r="AA149" s="23">
        <v>441.28867711817003</v>
      </c>
      <c r="AB149" s="29">
        <v>261.95945739796002</v>
      </c>
    </row>
    <row r="150" spans="1:28" x14ac:dyDescent="0.35">
      <c r="A150" s="5" t="s">
        <v>60</v>
      </c>
      <c r="B150" s="15" t="s">
        <v>66</v>
      </c>
      <c r="C150" s="20">
        <f t="shared" si="48"/>
        <v>4.0098421863494309</v>
      </c>
      <c r="D150" s="30">
        <f>[1]data!D153-[1]data!D114</f>
        <v>0.54698847303368625</v>
      </c>
      <c r="E150" s="30">
        <f>[1]data!E153-[1]data!E114</f>
        <v>3.4628537133157442</v>
      </c>
      <c r="F150" s="30">
        <f>[1]data!F153-[1]data!F114</f>
        <v>2.4757725592319257E-3</v>
      </c>
      <c r="G150" s="21">
        <f t="shared" si="49"/>
        <v>8.4973082357751295</v>
      </c>
      <c r="H150" s="7">
        <f>[1]data!H153-[1]data!H114</f>
        <v>7.6160721771276307</v>
      </c>
      <c r="I150" s="7">
        <f>[1]data!I153-[1]data!I114</f>
        <v>0.88123605864749965</v>
      </c>
      <c r="J150" s="7">
        <f>[1]data!J153-[1]data!J114</f>
        <v>0</v>
      </c>
      <c r="K150" s="8">
        <f t="shared" si="34"/>
        <v>1.2475955934881124</v>
      </c>
      <c r="L150" s="8">
        <f t="shared" si="34"/>
        <v>0.58074170428682936</v>
      </c>
      <c r="M150" s="7">
        <f t="shared" si="36"/>
        <v>0.17018635071693314</v>
      </c>
      <c r="N150" s="7">
        <f t="shared" si="37"/>
        <v>7.9219830430292029E-2</v>
      </c>
      <c r="O150" s="7">
        <f t="shared" si="38"/>
        <v>1.0774092427711792</v>
      </c>
      <c r="P150" s="7">
        <f t="shared" si="39"/>
        <v>0.50152187385653735</v>
      </c>
      <c r="Q150" s="7">
        <f t="shared" si="40"/>
        <v>7.7029538616046E-4</v>
      </c>
      <c r="R150" s="7">
        <f t="shared" si="41"/>
        <v>3.5856383085835998E-4</v>
      </c>
      <c r="S150" s="8">
        <f t="shared" si="35"/>
        <v>2.6437958948989611</v>
      </c>
      <c r="T150" s="8">
        <f t="shared" si="35"/>
        <v>1.2306572272329648</v>
      </c>
      <c r="U150" s="7">
        <f t="shared" si="42"/>
        <v>2.3696139763850126</v>
      </c>
      <c r="V150" s="7">
        <f t="shared" si="43"/>
        <v>1.1030286306961334</v>
      </c>
      <c r="W150" s="7">
        <f t="shared" si="44"/>
        <v>0.27418191851394846</v>
      </c>
      <c r="X150" s="7">
        <f t="shared" si="45"/>
        <v>0.12762859653683137</v>
      </c>
      <c r="Y150" s="7">
        <f t="shared" si="46"/>
        <v>0</v>
      </c>
      <c r="Z150" s="7">
        <f t="shared" si="47"/>
        <v>0</v>
      </c>
      <c r="AA150" s="23">
        <v>690.46912883131995</v>
      </c>
      <c r="AB150" s="29">
        <v>321.40560669490998</v>
      </c>
    </row>
    <row r="151" spans="1:28" x14ac:dyDescent="0.35">
      <c r="A151" s="5" t="s">
        <v>61</v>
      </c>
      <c r="B151" s="15" t="s">
        <v>66</v>
      </c>
      <c r="C151" s="20">
        <f t="shared" si="48"/>
        <v>0</v>
      </c>
      <c r="D151" s="30">
        <f>[1]data!D154-[1]data!D115</f>
        <v>0</v>
      </c>
      <c r="E151" s="30">
        <f>[1]data!E154-[1]data!E115</f>
        <v>0</v>
      </c>
      <c r="F151" s="30">
        <f>[1]data!F154-[1]data!F115</f>
        <v>-2.3718753702647311E-3</v>
      </c>
      <c r="G151" s="21">
        <f t="shared" si="49"/>
        <v>0</v>
      </c>
      <c r="H151" s="7">
        <f>[1]data!H154-[1]data!H115</f>
        <v>0</v>
      </c>
      <c r="I151" s="7">
        <f>[1]data!I154-[1]data!I115</f>
        <v>0</v>
      </c>
      <c r="J151" s="7">
        <f>[1]data!J154-[1]data!J115</f>
        <v>0</v>
      </c>
      <c r="K151" s="8">
        <f t="shared" si="34"/>
        <v>0</v>
      </c>
      <c r="L151" s="8">
        <f t="shared" si="34"/>
        <v>0</v>
      </c>
      <c r="M151" s="7">
        <f t="shared" si="36"/>
        <v>0</v>
      </c>
      <c r="N151" s="7">
        <f t="shared" si="37"/>
        <v>0</v>
      </c>
      <c r="O151" s="7">
        <f t="shared" si="38"/>
        <v>0</v>
      </c>
      <c r="P151" s="7">
        <f t="shared" si="39"/>
        <v>0</v>
      </c>
      <c r="Q151" s="7">
        <f t="shared" si="40"/>
        <v>-3.6840377184283357E-3</v>
      </c>
      <c r="R151" s="7">
        <f t="shared" si="41"/>
        <v>-2.5997859170315569E-3</v>
      </c>
      <c r="S151" s="8">
        <f t="shared" si="35"/>
        <v>0</v>
      </c>
      <c r="T151" s="8">
        <f t="shared" si="35"/>
        <v>0</v>
      </c>
      <c r="U151" s="7">
        <f t="shared" si="42"/>
        <v>0</v>
      </c>
      <c r="V151" s="7">
        <f t="shared" si="43"/>
        <v>0</v>
      </c>
      <c r="W151" s="7">
        <f t="shared" si="44"/>
        <v>0</v>
      </c>
      <c r="X151" s="7">
        <f t="shared" si="45"/>
        <v>0</v>
      </c>
      <c r="Y151" s="7">
        <f t="shared" si="46"/>
        <v>0</v>
      </c>
      <c r="Z151" s="7">
        <f t="shared" si="47"/>
        <v>0</v>
      </c>
      <c r="AA151" s="23">
        <v>91.233487908610002</v>
      </c>
      <c r="AB151" s="29">
        <v>64.38249419652</v>
      </c>
    </row>
    <row r="152" spans="1:28" x14ac:dyDescent="0.35">
      <c r="A152" s="5" t="s">
        <v>62</v>
      </c>
      <c r="B152" s="15" t="s">
        <v>66</v>
      </c>
      <c r="C152" s="20">
        <f t="shared" si="48"/>
        <v>0</v>
      </c>
      <c r="D152" s="30">
        <f>[1]data!D155-[1]data!D116</f>
        <v>0</v>
      </c>
      <c r="E152" s="30">
        <f>[1]data!E155-[1]data!E116</f>
        <v>0</v>
      </c>
      <c r="F152" s="30">
        <f>[1]data!F155-[1]data!F116</f>
        <v>0</v>
      </c>
      <c r="G152" s="21">
        <f t="shared" si="49"/>
        <v>0</v>
      </c>
      <c r="H152" s="7">
        <f>[1]data!H155-[1]data!H116</f>
        <v>0</v>
      </c>
      <c r="I152" s="7">
        <f>[1]data!I155-[1]data!I116</f>
        <v>0</v>
      </c>
      <c r="J152" s="7">
        <f>[1]data!J155-[1]data!J116</f>
        <v>0</v>
      </c>
      <c r="K152" s="8">
        <f t="shared" si="34"/>
        <v>0</v>
      </c>
      <c r="L152" s="8">
        <f t="shared" si="34"/>
        <v>0</v>
      </c>
      <c r="M152" s="7">
        <f t="shared" si="36"/>
        <v>0</v>
      </c>
      <c r="N152" s="7">
        <f t="shared" si="37"/>
        <v>0</v>
      </c>
      <c r="O152" s="7">
        <f t="shared" si="38"/>
        <v>0</v>
      </c>
      <c r="P152" s="7">
        <f t="shared" si="39"/>
        <v>0</v>
      </c>
      <c r="Q152" s="7">
        <f t="shared" si="40"/>
        <v>0</v>
      </c>
      <c r="R152" s="7">
        <f t="shared" si="41"/>
        <v>0</v>
      </c>
      <c r="S152" s="8">
        <f t="shared" si="35"/>
        <v>0</v>
      </c>
      <c r="T152" s="8">
        <f t="shared" si="35"/>
        <v>0</v>
      </c>
      <c r="U152" s="7">
        <f t="shared" si="42"/>
        <v>0</v>
      </c>
      <c r="V152" s="7">
        <f t="shared" si="43"/>
        <v>0</v>
      </c>
      <c r="W152" s="7">
        <f t="shared" si="44"/>
        <v>0</v>
      </c>
      <c r="X152" s="7">
        <f t="shared" si="45"/>
        <v>0</v>
      </c>
      <c r="Y152" s="7">
        <f t="shared" si="46"/>
        <v>0</v>
      </c>
      <c r="Z152" s="7">
        <f t="shared" si="47"/>
        <v>0</v>
      </c>
      <c r="AA152" s="23">
        <v>309.88816247970999</v>
      </c>
      <c r="AB152" s="29">
        <v>147.38397429586999</v>
      </c>
    </row>
    <row r="153" spans="1:28" x14ac:dyDescent="0.35">
      <c r="A153" s="5" t="s">
        <v>63</v>
      </c>
      <c r="B153" s="15" t="s">
        <v>66</v>
      </c>
      <c r="C153" s="20">
        <f t="shared" si="48"/>
        <v>0</v>
      </c>
      <c r="D153" s="30">
        <f>[1]data!D156-[1]data!D117</f>
        <v>0</v>
      </c>
      <c r="E153" s="30">
        <f>[1]data!E156-[1]data!E117</f>
        <v>0</v>
      </c>
      <c r="F153" s="30">
        <f>[1]data!F156-[1]data!F117</f>
        <v>0</v>
      </c>
      <c r="G153" s="21">
        <f t="shared" si="49"/>
        <v>0</v>
      </c>
      <c r="H153" s="7">
        <f>[1]data!H156-[1]data!H117</f>
        <v>0</v>
      </c>
      <c r="I153" s="7">
        <f>[1]data!I156-[1]data!I117</f>
        <v>0</v>
      </c>
      <c r="J153" s="7">
        <f>[1]data!J156-[1]data!J117</f>
        <v>0</v>
      </c>
      <c r="K153" s="8">
        <f t="shared" si="34"/>
        <v>0</v>
      </c>
      <c r="L153" s="8">
        <f t="shared" si="34"/>
        <v>0</v>
      </c>
      <c r="M153" s="7">
        <f t="shared" si="36"/>
        <v>0</v>
      </c>
      <c r="N153" s="7">
        <f t="shared" si="37"/>
        <v>0</v>
      </c>
      <c r="O153" s="7">
        <f t="shared" si="38"/>
        <v>0</v>
      </c>
      <c r="P153" s="7">
        <f t="shared" si="39"/>
        <v>0</v>
      </c>
      <c r="Q153" s="7">
        <f t="shared" si="40"/>
        <v>0</v>
      </c>
      <c r="R153" s="7">
        <f t="shared" si="41"/>
        <v>0</v>
      </c>
      <c r="S153" s="8">
        <f t="shared" si="35"/>
        <v>0</v>
      </c>
      <c r="T153" s="8">
        <f t="shared" si="35"/>
        <v>0</v>
      </c>
      <c r="U153" s="7">
        <f t="shared" si="42"/>
        <v>0</v>
      </c>
      <c r="V153" s="7">
        <f t="shared" si="43"/>
        <v>0</v>
      </c>
      <c r="W153" s="7">
        <f t="shared" si="44"/>
        <v>0</v>
      </c>
      <c r="X153" s="7">
        <f t="shared" si="45"/>
        <v>0</v>
      </c>
      <c r="Y153" s="7">
        <f t="shared" si="46"/>
        <v>0</v>
      </c>
      <c r="Z153" s="7">
        <f t="shared" si="47"/>
        <v>0</v>
      </c>
      <c r="AA153" s="23">
        <v>1215.4228689920101</v>
      </c>
      <c r="AB153" s="29">
        <v>571.50311712429004</v>
      </c>
    </row>
    <row r="154" spans="1:28" x14ac:dyDescent="0.35">
      <c r="A154" s="5" t="s">
        <v>25</v>
      </c>
      <c r="B154" s="15" t="s">
        <v>67</v>
      </c>
      <c r="C154" s="20">
        <f t="shared" si="48"/>
        <v>0.83038838202105758</v>
      </c>
      <c r="D154" s="30">
        <f>[1]data!D158-[1]data!D119</f>
        <v>9.8710831084147799E-5</v>
      </c>
      <c r="E154" s="30">
        <f>[1]data!E158-[1]data!E119</f>
        <v>0.83028967118997343</v>
      </c>
      <c r="F154" s="30">
        <f>[1]data!F158-[1]data!F119</f>
        <v>0</v>
      </c>
      <c r="G154" s="21">
        <f t="shared" si="49"/>
        <v>2.0812524626023787E-4</v>
      </c>
      <c r="H154" s="30">
        <f>[1]data!H158-[1]data!H119</f>
        <v>8.9196534112545578E-5</v>
      </c>
      <c r="I154" s="30">
        <f>[1]data!I158-[1]data!I119</f>
        <v>1.1892871214769229E-4</v>
      </c>
      <c r="J154" s="30">
        <f>[1]data!J158-[1]data!J119</f>
        <v>0</v>
      </c>
      <c r="K154" s="8">
        <f t="shared" si="34"/>
        <v>5.5552794872685558E-2</v>
      </c>
      <c r="L154" s="8">
        <f t="shared" si="34"/>
        <v>6.7703036362784769E-2</v>
      </c>
      <c r="M154" s="7">
        <f t="shared" si="36"/>
        <v>6.6037322651160567E-6</v>
      </c>
      <c r="N154" s="7">
        <f t="shared" si="37"/>
        <v>8.0480689891459609E-6</v>
      </c>
      <c r="O154" s="7">
        <f t="shared" si="38"/>
        <v>5.5546191140420441E-2</v>
      </c>
      <c r="P154" s="7">
        <f t="shared" si="39"/>
        <v>6.7694988293795624E-2</v>
      </c>
      <c r="Q154" s="7">
        <f t="shared" si="40"/>
        <v>0</v>
      </c>
      <c r="R154" s="7">
        <f t="shared" si="41"/>
        <v>0</v>
      </c>
      <c r="S154" s="8">
        <f t="shared" si="35"/>
        <v>1.3923531884179185E-5</v>
      </c>
      <c r="T154" s="8">
        <f t="shared" si="35"/>
        <v>1.6968820157713981E-5</v>
      </c>
      <c r="U154" s="7">
        <f t="shared" si="42"/>
        <v>5.9672279504304157E-6</v>
      </c>
      <c r="V154" s="7">
        <f t="shared" si="43"/>
        <v>7.2723514962458939E-6</v>
      </c>
      <c r="W154" s="7">
        <f t="shared" si="44"/>
        <v>7.9563039337487705E-6</v>
      </c>
      <c r="X154" s="7">
        <f t="shared" si="45"/>
        <v>9.6964686614680865E-6</v>
      </c>
      <c r="Y154" s="7">
        <f t="shared" si="46"/>
        <v>0</v>
      </c>
      <c r="Z154" s="7">
        <f t="shared" si="47"/>
        <v>0</v>
      </c>
      <c r="AA154" s="23">
        <v>1226.51571721458</v>
      </c>
      <c r="AB154" s="29">
        <v>1494.77336635199</v>
      </c>
    </row>
    <row r="155" spans="1:28" x14ac:dyDescent="0.35">
      <c r="A155" s="5" t="s">
        <v>27</v>
      </c>
      <c r="B155" s="15" t="s">
        <v>67</v>
      </c>
      <c r="C155" s="20">
        <f t="shared" si="48"/>
        <v>0.50948049435230303</v>
      </c>
      <c r="D155" s="30">
        <f>[1]data!D159-[1]data!D120</f>
        <v>8.3203043236338203E-2</v>
      </c>
      <c r="E155" s="30">
        <f>[1]data!E159-[1]data!E120</f>
        <v>0.42627745111596482</v>
      </c>
      <c r="F155" s="30">
        <f>[1]data!F159-[1]data!F120</f>
        <v>0.13419845683279874</v>
      </c>
      <c r="G155" s="21">
        <f t="shared" si="49"/>
        <v>8.2097879474187785E-3</v>
      </c>
      <c r="H155" s="30">
        <f>[1]data!H159-[1]data!H120</f>
        <v>8.2097879474187785E-3</v>
      </c>
      <c r="I155" s="30">
        <f>[1]data!I159-[1]data!I120</f>
        <v>0</v>
      </c>
      <c r="J155" s="30">
        <f>[1]data!J159-[1]data!J120</f>
        <v>0</v>
      </c>
      <c r="K155" s="8">
        <f t="shared" si="34"/>
        <v>3.0029409753457147E-2</v>
      </c>
      <c r="L155" s="8">
        <f t="shared" si="34"/>
        <v>2.9561009374891659E-2</v>
      </c>
      <c r="M155" s="7">
        <f t="shared" si="36"/>
        <v>4.9040901580638049E-3</v>
      </c>
      <c r="N155" s="7">
        <f t="shared" si="37"/>
        <v>4.8275958910963387E-3</v>
      </c>
      <c r="O155" s="7">
        <f t="shared" si="38"/>
        <v>2.5125319595393342E-2</v>
      </c>
      <c r="P155" s="7">
        <f t="shared" si="39"/>
        <v>2.4733413483795319E-2</v>
      </c>
      <c r="Q155" s="7">
        <f t="shared" si="40"/>
        <v>7.9098228355864979E-3</v>
      </c>
      <c r="R155" s="7">
        <f t="shared" si="41"/>
        <v>7.7864449856389767E-3</v>
      </c>
      <c r="S155" s="8">
        <f t="shared" si="35"/>
        <v>4.8389504405943891E-4</v>
      </c>
      <c r="T155" s="8">
        <f t="shared" si="35"/>
        <v>4.7634722265088418E-4</v>
      </c>
      <c r="U155" s="7">
        <f t="shared" si="42"/>
        <v>4.8389504405943891E-4</v>
      </c>
      <c r="V155" s="7">
        <f t="shared" si="43"/>
        <v>4.7634722265088418E-4</v>
      </c>
      <c r="W155" s="7">
        <f t="shared" si="44"/>
        <v>0</v>
      </c>
      <c r="X155" s="7">
        <f t="shared" si="45"/>
        <v>0</v>
      </c>
      <c r="Y155" s="7">
        <f t="shared" si="46"/>
        <v>0</v>
      </c>
      <c r="Z155" s="7">
        <f t="shared" si="47"/>
        <v>0</v>
      </c>
      <c r="AA155" s="23">
        <v>1723.48815255626</v>
      </c>
      <c r="AB155" s="29">
        <v>1696.60508992738</v>
      </c>
    </row>
    <row r="156" spans="1:28" x14ac:dyDescent="0.35">
      <c r="A156" s="5" t="s">
        <v>28</v>
      </c>
      <c r="B156" s="15" t="s">
        <v>67</v>
      </c>
      <c r="C156" s="20">
        <f t="shared" si="48"/>
        <v>0.52520956131548857</v>
      </c>
      <c r="D156" s="30">
        <f>[1]data!D160-[1]data!D121</f>
        <v>1.1950101937878337</v>
      </c>
      <c r="E156" s="30">
        <f>[1]data!E160-[1]data!E121</f>
        <v>-0.66980063247234511</v>
      </c>
      <c r="F156" s="30">
        <f>[1]data!F160-[1]data!F121</f>
        <v>16.714601477146751</v>
      </c>
      <c r="G156" s="21">
        <f t="shared" si="49"/>
        <v>0</v>
      </c>
      <c r="H156" s="30">
        <f>[1]data!H160-[1]data!H121</f>
        <v>0</v>
      </c>
      <c r="I156" s="30">
        <f>[1]data!I160-[1]data!I121</f>
        <v>0</v>
      </c>
      <c r="J156" s="30">
        <f>[1]data!J160-[1]data!J121</f>
        <v>0</v>
      </c>
      <c r="K156" s="8">
        <f t="shared" si="34"/>
        <v>2.0070584506225325E-2</v>
      </c>
      <c r="L156" s="8">
        <f t="shared" si="34"/>
        <v>1.8066503485736789E-2</v>
      </c>
      <c r="M156" s="7">
        <f t="shared" si="36"/>
        <v>4.566663451469824E-2</v>
      </c>
      <c r="N156" s="7">
        <f t="shared" si="37"/>
        <v>4.1106745614994972E-2</v>
      </c>
      <c r="O156" s="7">
        <f t="shared" si="38"/>
        <v>-2.5596050008472915E-2</v>
      </c>
      <c r="P156" s="7">
        <f t="shared" si="39"/>
        <v>-2.3040242129258183E-2</v>
      </c>
      <c r="Q156" s="7">
        <f t="shared" si="40"/>
        <v>0.63873898372051452</v>
      </c>
      <c r="R156" s="7">
        <f t="shared" si="41"/>
        <v>0.57495984096942165</v>
      </c>
      <c r="S156" s="8">
        <f t="shared" si="35"/>
        <v>0</v>
      </c>
      <c r="T156" s="8">
        <f t="shared" si="35"/>
        <v>0</v>
      </c>
      <c r="U156" s="7">
        <f t="shared" si="42"/>
        <v>0</v>
      </c>
      <c r="V156" s="7">
        <f t="shared" si="43"/>
        <v>0</v>
      </c>
      <c r="W156" s="7">
        <f t="shared" si="44"/>
        <v>0</v>
      </c>
      <c r="X156" s="7">
        <f t="shared" si="45"/>
        <v>0</v>
      </c>
      <c r="Y156" s="7">
        <f t="shared" si="46"/>
        <v>0</v>
      </c>
      <c r="Z156" s="7">
        <f t="shared" si="47"/>
        <v>0</v>
      </c>
      <c r="AA156" s="23">
        <v>2907.0902498102801</v>
      </c>
      <c r="AB156" s="29">
        <v>2616.8124857180101</v>
      </c>
    </row>
    <row r="157" spans="1:28" x14ac:dyDescent="0.35">
      <c r="A157" s="5" t="s">
        <v>29</v>
      </c>
      <c r="B157" s="15" t="s">
        <v>67</v>
      </c>
      <c r="C157" s="20">
        <f t="shared" si="48"/>
        <v>1.1077695919685908</v>
      </c>
      <c r="D157" s="30">
        <f>[1]data!D161-[1]data!D122</f>
        <v>0.12073783018730921</v>
      </c>
      <c r="E157" s="30">
        <f>[1]data!E161-[1]data!E122</f>
        <v>0.9870317617812816</v>
      </c>
      <c r="F157" s="30">
        <f>[1]data!F161-[1]data!F122</f>
        <v>0</v>
      </c>
      <c r="G157" s="21">
        <f t="shared" si="49"/>
        <v>2.7959863025625822</v>
      </c>
      <c r="H157" s="30">
        <f>[1]data!H161-[1]data!H122</f>
        <v>0.30184457546828014</v>
      </c>
      <c r="I157" s="30">
        <f>[1]data!I161-[1]data!I122</f>
        <v>2.494141727094302</v>
      </c>
      <c r="J157" s="30">
        <f>[1]data!J161-[1]data!J122</f>
        <v>0</v>
      </c>
      <c r="K157" s="8">
        <f t="shared" si="34"/>
        <v>3.0794324993863979E-2</v>
      </c>
      <c r="L157" s="8">
        <f t="shared" si="34"/>
        <v>2.6617657271587859E-2</v>
      </c>
      <c r="M157" s="7">
        <f t="shared" si="36"/>
        <v>3.3563296996036158E-3</v>
      </c>
      <c r="N157" s="7">
        <f t="shared" si="37"/>
        <v>2.9011070595735332E-3</v>
      </c>
      <c r="O157" s="7">
        <f t="shared" si="38"/>
        <v>2.7437995294260362E-2</v>
      </c>
      <c r="P157" s="7">
        <f t="shared" si="39"/>
        <v>2.3716550212014326E-2</v>
      </c>
      <c r="Q157" s="7">
        <f t="shared" si="40"/>
        <v>0</v>
      </c>
      <c r="R157" s="7">
        <f t="shared" si="41"/>
        <v>0</v>
      </c>
      <c r="S157" s="8">
        <f t="shared" si="35"/>
        <v>7.7724205018569872E-2</v>
      </c>
      <c r="T157" s="8">
        <f t="shared" si="35"/>
        <v>6.7182386732073357E-2</v>
      </c>
      <c r="U157" s="7">
        <f t="shared" si="42"/>
        <v>8.3908242490092367E-3</v>
      </c>
      <c r="V157" s="7">
        <f t="shared" si="43"/>
        <v>7.252767648934004E-3</v>
      </c>
      <c r="W157" s="7">
        <f t="shared" si="44"/>
        <v>6.9333380769560637E-2</v>
      </c>
      <c r="X157" s="7">
        <f t="shared" si="45"/>
        <v>5.9929619083139346E-2</v>
      </c>
      <c r="Y157" s="7">
        <f t="shared" si="46"/>
        <v>0</v>
      </c>
      <c r="Z157" s="7">
        <f t="shared" si="47"/>
        <v>0</v>
      </c>
      <c r="AA157" s="23">
        <v>4161.7847155581303</v>
      </c>
      <c r="AB157" s="29">
        <v>3597.3173374942398</v>
      </c>
    </row>
    <row r="158" spans="1:28" x14ac:dyDescent="0.35">
      <c r="A158" s="5" t="s">
        <v>30</v>
      </c>
      <c r="B158" s="15" t="s">
        <v>67</v>
      </c>
      <c r="C158" s="20">
        <f t="shared" si="48"/>
        <v>32.293957986448447</v>
      </c>
      <c r="D158" s="30">
        <f>[1]data!D162-[1]data!D123</f>
        <v>0.59931616434672996</v>
      </c>
      <c r="E158" s="30">
        <f>[1]data!E162-[1]data!E123</f>
        <v>31.694641822101715</v>
      </c>
      <c r="F158" s="30">
        <f>[1]data!F162-[1]data!F123</f>
        <v>2.1129120282806113E-2</v>
      </c>
      <c r="G158" s="21">
        <f t="shared" si="49"/>
        <v>1.7574900406663474</v>
      </c>
      <c r="H158" s="30">
        <f>[1]data!H162-[1]data!H123</f>
        <v>9.8099487027312193E-3</v>
      </c>
      <c r="I158" s="30">
        <f>[1]data!I162-[1]data!I123</f>
        <v>1.7476800919636162</v>
      </c>
      <c r="J158" s="30">
        <f>[1]data!J162-[1]data!J123</f>
        <v>0</v>
      </c>
      <c r="K158" s="8">
        <f t="shared" ref="K158:L195" si="50">M158+O158</f>
        <v>1.6835925105330434</v>
      </c>
      <c r="L158" s="8">
        <f t="shared" si="50"/>
        <v>1.381465248595533</v>
      </c>
      <c r="M158" s="7">
        <f t="shared" si="36"/>
        <v>3.1244364848649234E-2</v>
      </c>
      <c r="N158" s="7">
        <f t="shared" si="37"/>
        <v>2.5637441354014395E-2</v>
      </c>
      <c r="O158" s="7">
        <f t="shared" si="38"/>
        <v>1.652348145684394</v>
      </c>
      <c r="P158" s="7">
        <f t="shared" si="39"/>
        <v>1.3558278072415186</v>
      </c>
      <c r="Q158" s="7">
        <f t="shared" si="40"/>
        <v>1.1015320165218415E-3</v>
      </c>
      <c r="R158" s="7">
        <f t="shared" si="41"/>
        <v>9.0385778715449956E-4</v>
      </c>
      <c r="S158" s="8">
        <f t="shared" ref="S158:T195" si="51">U158+W158</f>
        <v>9.1623859517124581E-2</v>
      </c>
      <c r="T158" s="8">
        <f t="shared" si="51"/>
        <v>7.5181599510104544E-2</v>
      </c>
      <c r="U158" s="7">
        <f t="shared" si="42"/>
        <v>5.1142557909941656E-4</v>
      </c>
      <c r="V158" s="7">
        <f t="shared" si="43"/>
        <v>4.1964825832172372E-4</v>
      </c>
      <c r="W158" s="7">
        <f t="shared" si="44"/>
        <v>9.1112433938025164E-2</v>
      </c>
      <c r="X158" s="7">
        <f t="shared" si="45"/>
        <v>7.4761951251782824E-2</v>
      </c>
      <c r="Y158" s="7">
        <f t="shared" si="46"/>
        <v>0</v>
      </c>
      <c r="Z158" s="7">
        <f t="shared" si="47"/>
        <v>0</v>
      </c>
      <c r="AA158" s="23">
        <v>2337.6598158571201</v>
      </c>
      <c r="AB158" s="29">
        <v>1918.15761738117</v>
      </c>
    </row>
    <row r="159" spans="1:28" x14ac:dyDescent="0.35">
      <c r="A159" s="5" t="s">
        <v>31</v>
      </c>
      <c r="B159" s="15" t="s">
        <v>67</v>
      </c>
      <c r="C159" s="20">
        <f t="shared" si="48"/>
        <v>18.419423468894877</v>
      </c>
      <c r="D159" s="30">
        <f>[1]data!D163-[1]data!D124</f>
        <v>7.1761873683442445E-2</v>
      </c>
      <c r="E159" s="30">
        <f>[1]data!E163-[1]data!E124</f>
        <v>18.347661595211434</v>
      </c>
      <c r="F159" s="30">
        <f>[1]data!F163-[1]data!F124</f>
        <v>0.19435507455932566</v>
      </c>
      <c r="G159" s="21">
        <f t="shared" si="49"/>
        <v>0.117360564253147</v>
      </c>
      <c r="H159" s="30">
        <f>[1]data!H163-[1]data!H124</f>
        <v>0</v>
      </c>
      <c r="I159" s="30">
        <f>[1]data!I163-[1]data!I124</f>
        <v>0.117360564253147</v>
      </c>
      <c r="J159" s="30">
        <f>[1]data!J163-[1]data!J124</f>
        <v>1.0233542195064729</v>
      </c>
      <c r="K159" s="8">
        <f t="shared" si="50"/>
        <v>0.40355130277511708</v>
      </c>
      <c r="L159" s="8">
        <f t="shared" si="50"/>
        <v>0.34591426539947101</v>
      </c>
      <c r="M159" s="7">
        <f t="shared" si="36"/>
        <v>1.5722314904937737E-3</v>
      </c>
      <c r="N159" s="7">
        <f t="shared" si="37"/>
        <v>1.3476782191808186E-3</v>
      </c>
      <c r="O159" s="7">
        <f t="shared" si="38"/>
        <v>0.40197907128462329</v>
      </c>
      <c r="P159" s="7">
        <f t="shared" si="39"/>
        <v>0.34456658718029021</v>
      </c>
      <c r="Q159" s="7">
        <f t="shared" si="40"/>
        <v>4.2581269534206889E-3</v>
      </c>
      <c r="R159" s="7">
        <f t="shared" si="41"/>
        <v>3.649961843614762E-3</v>
      </c>
      <c r="S159" s="8">
        <f t="shared" si="51"/>
        <v>2.5712535834120686E-3</v>
      </c>
      <c r="T159" s="8">
        <f t="shared" si="51"/>
        <v>2.2040154209522866E-3</v>
      </c>
      <c r="U159" s="7">
        <f t="shared" si="42"/>
        <v>0</v>
      </c>
      <c r="V159" s="7">
        <f t="shared" si="43"/>
        <v>0</v>
      </c>
      <c r="W159" s="7">
        <f t="shared" si="44"/>
        <v>2.5712535834120686E-3</v>
      </c>
      <c r="X159" s="7">
        <f t="shared" si="45"/>
        <v>2.2040154209522866E-3</v>
      </c>
      <c r="Y159" s="7">
        <f t="shared" si="46"/>
        <v>2.2420676150893003E-2</v>
      </c>
      <c r="Z159" s="7">
        <f t="shared" si="47"/>
        <v>1.9218452938107589E-2</v>
      </c>
      <c r="AA159" s="23">
        <v>5324.8522282316499</v>
      </c>
      <c r="AB159" s="29">
        <v>4564.3325500944502</v>
      </c>
    </row>
    <row r="160" spans="1:28" x14ac:dyDescent="0.35">
      <c r="A160" s="5" t="s">
        <v>32</v>
      </c>
      <c r="B160" s="15" t="s">
        <v>67</v>
      </c>
      <c r="C160" s="20">
        <f t="shared" si="48"/>
        <v>17.393323243391993</v>
      </c>
      <c r="D160" s="30">
        <f>[1]data!D164-[1]data!D125</f>
        <v>4.1605968119116481</v>
      </c>
      <c r="E160" s="30">
        <f>[1]data!E164-[1]data!E125</f>
        <v>13.232726431480344</v>
      </c>
      <c r="F160" s="30">
        <f>[1]data!F164-[1]data!F125</f>
        <v>11.662486029476227</v>
      </c>
      <c r="G160" s="21">
        <f t="shared" si="49"/>
        <v>0.11272754204720314</v>
      </c>
      <c r="H160" s="30">
        <f>[1]data!H164-[1]data!H125</f>
        <v>0</v>
      </c>
      <c r="I160" s="30">
        <f>[1]data!I164-[1]data!I125</f>
        <v>0.11272754204720314</v>
      </c>
      <c r="J160" s="30">
        <f>[1]data!J164-[1]data!J125</f>
        <v>0.19874390346826942</v>
      </c>
      <c r="K160" s="8">
        <f t="shared" si="50"/>
        <v>1.0617681847861138</v>
      </c>
      <c r="L160" s="8">
        <f t="shared" si="50"/>
        <v>0.80653856176878991</v>
      </c>
      <c r="M160" s="7">
        <f t="shared" si="36"/>
        <v>0.2539819022962525</v>
      </c>
      <c r="N160" s="7">
        <f t="shared" si="37"/>
        <v>0.1929293052179612</v>
      </c>
      <c r="O160" s="7">
        <f t="shared" si="38"/>
        <v>0.80778628248986128</v>
      </c>
      <c r="P160" s="7">
        <f t="shared" si="39"/>
        <v>0.61360925655082865</v>
      </c>
      <c r="Q160" s="7">
        <f t="shared" si="40"/>
        <v>0.71193161009727313</v>
      </c>
      <c r="R160" s="7">
        <f t="shared" si="41"/>
        <v>0.54079629161356191</v>
      </c>
      <c r="S160" s="8">
        <f t="shared" si="51"/>
        <v>6.8814059291591439E-3</v>
      </c>
      <c r="T160" s="8">
        <f t="shared" si="51"/>
        <v>5.2272419917811664E-3</v>
      </c>
      <c r="U160" s="7">
        <f t="shared" si="42"/>
        <v>0</v>
      </c>
      <c r="V160" s="7">
        <f t="shared" si="43"/>
        <v>0</v>
      </c>
      <c r="W160" s="7">
        <f t="shared" si="44"/>
        <v>6.8814059291591439E-3</v>
      </c>
      <c r="X160" s="7">
        <f t="shared" si="45"/>
        <v>5.2272419917811664E-3</v>
      </c>
      <c r="Y160" s="7">
        <f t="shared" si="46"/>
        <v>1.2132238944215619E-2</v>
      </c>
      <c r="Z160" s="7">
        <f t="shared" si="47"/>
        <v>9.2158709305027002E-3</v>
      </c>
      <c r="AA160" s="23">
        <v>2156.5395714307001</v>
      </c>
      <c r="AB160" s="29">
        <v>1638.14696019506</v>
      </c>
    </row>
    <row r="161" spans="1:28" x14ac:dyDescent="0.35">
      <c r="A161" s="5" t="s">
        <v>33</v>
      </c>
      <c r="B161" s="15" t="s">
        <v>67</v>
      </c>
      <c r="C161" s="20">
        <f t="shared" si="48"/>
        <v>44.535014678177703</v>
      </c>
      <c r="D161" s="30">
        <f>[1]data!D165-[1]data!D126</f>
        <v>11.083715197058423</v>
      </c>
      <c r="E161" s="30">
        <f>[1]data!E165-[1]data!E126</f>
        <v>33.451299481119278</v>
      </c>
      <c r="F161" s="30">
        <f>[1]data!F165-[1]data!F126</f>
        <v>-0.56330455967290338</v>
      </c>
      <c r="G161" s="21">
        <f t="shared" si="49"/>
        <v>0.45650671749307503</v>
      </c>
      <c r="H161" s="30">
        <f>[1]data!H165-[1]data!H126</f>
        <v>1.9287868372448447E-3</v>
      </c>
      <c r="I161" s="30">
        <f>[1]data!I165-[1]data!I126</f>
        <v>0.45457793065583019</v>
      </c>
      <c r="J161" s="30">
        <f>[1]data!J165-[1]data!J126</f>
        <v>3.0184457546866383E-2</v>
      </c>
      <c r="K161" s="8">
        <f t="shared" si="50"/>
        <v>3.3638788950819376</v>
      </c>
      <c r="L161" s="8">
        <f t="shared" si="50"/>
        <v>2.4789495196040479</v>
      </c>
      <c r="M161" s="7">
        <f t="shared" si="36"/>
        <v>0.83719015026513921</v>
      </c>
      <c r="N161" s="7">
        <f t="shared" si="37"/>
        <v>0.61695209178047883</v>
      </c>
      <c r="O161" s="7">
        <f t="shared" si="38"/>
        <v>2.5266887448167985</v>
      </c>
      <c r="P161" s="7">
        <f t="shared" si="39"/>
        <v>1.8619974278235689</v>
      </c>
      <c r="Q161" s="7">
        <f t="shared" si="40"/>
        <v>-4.2548281020677536E-2</v>
      </c>
      <c r="R161" s="7">
        <f t="shared" si="41"/>
        <v>-3.135518372863938E-2</v>
      </c>
      <c r="S161" s="8">
        <f t="shared" si="51"/>
        <v>3.4481482122213213E-2</v>
      </c>
      <c r="T161" s="8">
        <f t="shared" si="51"/>
        <v>2.5410502639398359E-2</v>
      </c>
      <c r="U161" s="7">
        <f t="shared" si="42"/>
        <v>1.4568773316468703E-4</v>
      </c>
      <c r="V161" s="7">
        <f t="shared" si="43"/>
        <v>1.0736193168809267E-4</v>
      </c>
      <c r="W161" s="7">
        <f t="shared" si="44"/>
        <v>3.4335794389048525E-2</v>
      </c>
      <c r="X161" s="7">
        <f t="shared" si="45"/>
        <v>2.5303140707710267E-2</v>
      </c>
      <c r="Y161" s="7">
        <f t="shared" si="46"/>
        <v>2.2799332263643314E-3</v>
      </c>
      <c r="Z161" s="7">
        <f t="shared" si="47"/>
        <v>1.6801554254786864E-3</v>
      </c>
      <c r="AA161" s="23">
        <v>1796.5276955414199</v>
      </c>
      <c r="AB161" s="29">
        <v>1323.9184901480501</v>
      </c>
    </row>
    <row r="162" spans="1:28" x14ac:dyDescent="0.35">
      <c r="A162" s="5" t="s">
        <v>34</v>
      </c>
      <c r="B162" s="15" t="s">
        <v>67</v>
      </c>
      <c r="C162" s="20">
        <f t="shared" si="48"/>
        <v>4.6607738113380037E-8</v>
      </c>
      <c r="D162" s="30">
        <f>[1]data!D166-[1]data!D127</f>
        <v>59.277619120647415</v>
      </c>
      <c r="E162" s="30">
        <f>[1]data!E166-[1]data!E127</f>
        <v>-59.277619074039677</v>
      </c>
      <c r="F162" s="30">
        <f>[1]data!F166-[1]data!F127</f>
        <v>5.1480457660034098</v>
      </c>
      <c r="G162" s="21">
        <f t="shared" si="49"/>
        <v>0.78789688487376397</v>
      </c>
      <c r="H162" s="30">
        <f>[1]data!H166-[1]data!H127</f>
        <v>2.3105480494831632E-3</v>
      </c>
      <c r="I162" s="30">
        <f>[1]data!I166-[1]data!I127</f>
        <v>0.78558633682428081</v>
      </c>
      <c r="J162" s="30">
        <f>[1]data!J166-[1]data!J127</f>
        <v>0</v>
      </c>
      <c r="K162" s="8">
        <f t="shared" si="50"/>
        <v>1.4761485367387195E-9</v>
      </c>
      <c r="L162" s="8">
        <f t="shared" si="50"/>
        <v>1.5842256395615095E-9</v>
      </c>
      <c r="M162" s="7">
        <f t="shared" si="36"/>
        <v>1.8774257722216061</v>
      </c>
      <c r="N162" s="7">
        <f t="shared" si="37"/>
        <v>2.0148828729058592</v>
      </c>
      <c r="O162" s="7">
        <f t="shared" si="38"/>
        <v>-1.8774257707454576</v>
      </c>
      <c r="P162" s="7">
        <f t="shared" si="39"/>
        <v>-2.0148828713216336</v>
      </c>
      <c r="Q162" s="7">
        <f t="shared" si="40"/>
        <v>0.16304760449301869</v>
      </c>
      <c r="R162" s="7">
        <f t="shared" si="41"/>
        <v>0.17498525407615101</v>
      </c>
      <c r="S162" s="8">
        <f t="shared" si="51"/>
        <v>2.4954071021382959E-2</v>
      </c>
      <c r="T162" s="8">
        <f t="shared" si="51"/>
        <v>2.6781101577594672E-2</v>
      </c>
      <c r="U162" s="7">
        <f t="shared" si="42"/>
        <v>7.3179093904348366E-5</v>
      </c>
      <c r="V162" s="7">
        <f t="shared" si="43"/>
        <v>7.8536954773004373E-5</v>
      </c>
      <c r="W162" s="7">
        <f t="shared" si="44"/>
        <v>2.488089192747861E-2</v>
      </c>
      <c r="X162" s="7">
        <f t="shared" si="45"/>
        <v>2.6702564622821667E-2</v>
      </c>
      <c r="Y162" s="7">
        <f t="shared" si="46"/>
        <v>0</v>
      </c>
      <c r="Z162" s="7">
        <f t="shared" si="47"/>
        <v>0</v>
      </c>
      <c r="AA162" s="23">
        <v>2941.9883367789698</v>
      </c>
      <c r="AB162" s="29">
        <v>3157.38816403392</v>
      </c>
    </row>
    <row r="163" spans="1:28" x14ac:dyDescent="0.35">
      <c r="A163" s="5" t="s">
        <v>35</v>
      </c>
      <c r="B163" s="15" t="s">
        <v>67</v>
      </c>
      <c r="C163" s="20">
        <f t="shared" si="48"/>
        <v>1824.7279999999996</v>
      </c>
      <c r="D163" s="30">
        <f>[1]data!D167-[1]data!D128</f>
        <v>206.59999999999997</v>
      </c>
      <c r="E163" s="30">
        <f>[1]data!E167-[1]data!E128</f>
        <v>1618.1279999999997</v>
      </c>
      <c r="F163" s="30">
        <f>[1]data!F167-[1]data!F128</f>
        <v>-1.9999999999999574E-2</v>
      </c>
      <c r="G163" s="21">
        <f t="shared" si="49"/>
        <v>0</v>
      </c>
      <c r="H163" s="30">
        <f>[1]data!H167-[1]data!H128</f>
        <v>0</v>
      </c>
      <c r="I163" s="30">
        <f>[1]data!I167-[1]data!I128</f>
        <v>0</v>
      </c>
      <c r="J163" s="30">
        <f>[1]data!J167-[1]data!J128</f>
        <v>0</v>
      </c>
      <c r="K163" s="8">
        <f t="shared" si="50"/>
        <v>9.1561557077690789</v>
      </c>
      <c r="L163" s="8">
        <f t="shared" si="50"/>
        <v>9.1354183464125871</v>
      </c>
      <c r="M163" s="7">
        <f t="shared" si="36"/>
        <v>1.0366815049832587</v>
      </c>
      <c r="N163" s="7">
        <f t="shared" si="37"/>
        <v>1.0343335721098381</v>
      </c>
      <c r="O163" s="7">
        <f t="shared" si="38"/>
        <v>8.1194742027858204</v>
      </c>
      <c r="P163" s="7">
        <f t="shared" si="39"/>
        <v>8.1010847743027483</v>
      </c>
      <c r="Q163" s="7">
        <f t="shared" si="40"/>
        <v>-1.003563896401972E-4</v>
      </c>
      <c r="R163" s="7">
        <f t="shared" si="41"/>
        <v>-1.0012909700966276E-4</v>
      </c>
      <c r="S163" s="8">
        <f t="shared" si="51"/>
        <v>0</v>
      </c>
      <c r="T163" s="8">
        <f t="shared" si="51"/>
        <v>0</v>
      </c>
      <c r="U163" s="7">
        <f t="shared" si="42"/>
        <v>0</v>
      </c>
      <c r="V163" s="7">
        <f t="shared" si="43"/>
        <v>0</v>
      </c>
      <c r="W163" s="7">
        <f t="shared" si="44"/>
        <v>0</v>
      </c>
      <c r="X163" s="7">
        <f t="shared" si="45"/>
        <v>0</v>
      </c>
      <c r="Y163" s="7">
        <f t="shared" si="46"/>
        <v>0</v>
      </c>
      <c r="Z163" s="7">
        <f t="shared" si="47"/>
        <v>0</v>
      </c>
      <c r="AA163" s="23">
        <v>19974.2138871676</v>
      </c>
      <c r="AB163" s="29">
        <v>19928.975197</v>
      </c>
    </row>
    <row r="164" spans="1:28" x14ac:dyDescent="0.35">
      <c r="A164" s="5" t="s">
        <v>36</v>
      </c>
      <c r="B164" s="15" t="s">
        <v>67</v>
      </c>
      <c r="C164" s="20">
        <f t="shared" si="48"/>
        <v>0</v>
      </c>
      <c r="D164" s="30">
        <f>[1]data!D168-[1]data!D129</f>
        <v>0</v>
      </c>
      <c r="E164" s="30">
        <f>[1]data!E168-[1]data!E129</f>
        <v>0</v>
      </c>
      <c r="F164" s="30">
        <f>[1]data!F168-[1]data!F129</f>
        <v>0</v>
      </c>
      <c r="G164" s="21">
        <f t="shared" si="49"/>
        <v>0</v>
      </c>
      <c r="H164" s="30">
        <f>[1]data!H168-[1]data!H129</f>
        <v>0</v>
      </c>
      <c r="I164" s="30">
        <f>[1]data!I168-[1]data!I129</f>
        <v>0</v>
      </c>
      <c r="J164" s="30">
        <f>[1]data!J168-[1]data!J129</f>
        <v>1.196059834340673</v>
      </c>
      <c r="K164" s="8">
        <f t="shared" si="50"/>
        <v>0</v>
      </c>
      <c r="L164" s="8">
        <f t="shared" si="50"/>
        <v>0</v>
      </c>
      <c r="M164" s="7">
        <f t="shared" si="36"/>
        <v>0</v>
      </c>
      <c r="N164" s="7">
        <f t="shared" si="37"/>
        <v>0</v>
      </c>
      <c r="O164" s="7">
        <f t="shared" si="38"/>
        <v>0</v>
      </c>
      <c r="P164" s="7">
        <f t="shared" si="39"/>
        <v>0</v>
      </c>
      <c r="Q164" s="7">
        <f t="shared" si="40"/>
        <v>0</v>
      </c>
      <c r="R164" s="7">
        <f t="shared" si="41"/>
        <v>0</v>
      </c>
      <c r="S164" s="8">
        <f t="shared" si="51"/>
        <v>0</v>
      </c>
      <c r="T164" s="8">
        <f t="shared" si="51"/>
        <v>0</v>
      </c>
      <c r="U164" s="7">
        <f t="shared" si="42"/>
        <v>0</v>
      </c>
      <c r="V164" s="7">
        <f t="shared" si="43"/>
        <v>0</v>
      </c>
      <c r="W164" s="7">
        <f t="shared" si="44"/>
        <v>0</v>
      </c>
      <c r="X164" s="7">
        <f t="shared" si="45"/>
        <v>0</v>
      </c>
      <c r="Y164" s="7">
        <f t="shared" si="46"/>
        <v>9.3504170260837113E-2</v>
      </c>
      <c r="Z164" s="7">
        <f t="shared" si="47"/>
        <v>5.0219428389342818E-2</v>
      </c>
      <c r="AA164" s="23">
        <v>2381.6675591522499</v>
      </c>
      <c r="AB164" s="29">
        <v>1279.1513266244399</v>
      </c>
    </row>
    <row r="165" spans="1:28" x14ac:dyDescent="0.35">
      <c r="A165" s="5" t="s">
        <v>37</v>
      </c>
      <c r="B165" s="15" t="s">
        <v>67</v>
      </c>
      <c r="C165" s="20">
        <f t="shared" si="48"/>
        <v>5.9126558224667001</v>
      </c>
      <c r="D165" s="30">
        <f>[1]data!D169-[1]data!D130</f>
        <v>0.38031964593465961</v>
      </c>
      <c r="E165" s="30">
        <f>[1]data!E169-[1]data!E130</f>
        <v>5.5323361765320405</v>
      </c>
      <c r="F165" s="30">
        <f>[1]data!F169-[1]data!F130</f>
        <v>0.17458151306051128</v>
      </c>
      <c r="G165" s="21">
        <f t="shared" si="49"/>
        <v>2.499712107655244</v>
      </c>
      <c r="H165" s="30">
        <f>[1]data!H169-[1]data!H130</f>
        <v>1.3959679043227258E-2</v>
      </c>
      <c r="I165" s="30">
        <f>[1]data!I169-[1]data!I130</f>
        <v>2.4857524286120167</v>
      </c>
      <c r="J165" s="30">
        <f>[1]data!J169-[1]data!J130</f>
        <v>0.92377554356033542</v>
      </c>
      <c r="K165" s="8">
        <f t="shared" si="50"/>
        <v>0.59301286414972709</v>
      </c>
      <c r="L165" s="8">
        <f t="shared" si="50"/>
        <v>0.25335066681943264</v>
      </c>
      <c r="M165" s="7">
        <f t="shared" si="36"/>
        <v>3.8144354973469762E-2</v>
      </c>
      <c r="N165" s="7">
        <f t="shared" si="37"/>
        <v>1.6296270034178741E-2</v>
      </c>
      <c r="O165" s="7">
        <f t="shared" si="38"/>
        <v>0.5548685091762573</v>
      </c>
      <c r="P165" s="7">
        <f t="shared" si="39"/>
        <v>0.23705439678525392</v>
      </c>
      <c r="Q165" s="7">
        <f t="shared" si="40"/>
        <v>1.7509742862796215E-2</v>
      </c>
      <c r="R165" s="7">
        <f t="shared" si="41"/>
        <v>7.4806219195376021E-3</v>
      </c>
      <c r="S165" s="8">
        <f t="shared" si="51"/>
        <v>0.25070991463392184</v>
      </c>
      <c r="T165" s="8">
        <f t="shared" si="51"/>
        <v>0.1071098586399466</v>
      </c>
      <c r="U165" s="7">
        <f t="shared" si="42"/>
        <v>1.400093206944271E-3</v>
      </c>
      <c r="V165" s="7">
        <f t="shared" si="43"/>
        <v>5.9815658147194717E-4</v>
      </c>
      <c r="W165" s="7">
        <f t="shared" si="44"/>
        <v>0.24930982142697755</v>
      </c>
      <c r="X165" s="7">
        <f t="shared" si="45"/>
        <v>0.10651170205847466</v>
      </c>
      <c r="Y165" s="7">
        <f t="shared" si="46"/>
        <v>9.2650544419756939E-2</v>
      </c>
      <c r="Z165" s="7">
        <f t="shared" si="47"/>
        <v>3.9582745382066915E-2</v>
      </c>
      <c r="AA165" s="23">
        <v>2333.7834064911899</v>
      </c>
      <c r="AB165" s="29">
        <v>997.05355143423003</v>
      </c>
    </row>
    <row r="166" spans="1:28" x14ac:dyDescent="0.35">
      <c r="A166" s="10" t="s">
        <v>38</v>
      </c>
      <c r="B166" s="15" t="s">
        <v>67</v>
      </c>
      <c r="C166" s="20">
        <f t="shared" si="48"/>
        <v>13.791972576402923</v>
      </c>
      <c r="D166" s="30">
        <f>[1]data!D170-[1]data!D131</f>
        <v>0.80433050390652472</v>
      </c>
      <c r="E166" s="30">
        <f>[1]data!E170-[1]data!E131</f>
        <v>12.987642072496399</v>
      </c>
      <c r="F166" s="30">
        <f>[1]data!F170-[1]data!F131</f>
        <v>0</v>
      </c>
      <c r="G166" s="21">
        <f t="shared" si="49"/>
        <v>2.7166011792179035E-2</v>
      </c>
      <c r="H166" s="30">
        <f>[1]data!H170-[1]data!H131</f>
        <v>0</v>
      </c>
      <c r="I166" s="30">
        <f>[1]data!I170-[1]data!I131</f>
        <v>2.7166011792179035E-2</v>
      </c>
      <c r="J166" s="30">
        <f>[1]data!J170-[1]data!J131</f>
        <v>0</v>
      </c>
      <c r="K166" s="8">
        <f t="shared" si="50"/>
        <v>3.3318004342018028</v>
      </c>
      <c r="L166" s="8">
        <f t="shared" si="50"/>
        <v>2.9432345816350112</v>
      </c>
      <c r="M166" s="7">
        <f t="shared" si="36"/>
        <v>0.19430641319158198</v>
      </c>
      <c r="N166" s="7">
        <f t="shared" si="37"/>
        <v>0.17164574110391831</v>
      </c>
      <c r="O166" s="7">
        <f t="shared" si="38"/>
        <v>3.1374940210102209</v>
      </c>
      <c r="P166" s="7">
        <f t="shared" si="39"/>
        <v>2.7715888405310927</v>
      </c>
      <c r="Q166" s="7">
        <f t="shared" si="40"/>
        <v>0</v>
      </c>
      <c r="R166" s="7">
        <f t="shared" si="41"/>
        <v>0</v>
      </c>
      <c r="S166" s="8">
        <f t="shared" si="51"/>
        <v>6.5626384756283882E-3</v>
      </c>
      <c r="T166" s="8">
        <f t="shared" si="51"/>
        <v>5.7972813467338756E-3</v>
      </c>
      <c r="U166" s="7">
        <f t="shared" si="42"/>
        <v>0</v>
      </c>
      <c r="V166" s="7">
        <f t="shared" si="43"/>
        <v>0</v>
      </c>
      <c r="W166" s="7">
        <f t="shared" si="44"/>
        <v>6.5626384756283882E-3</v>
      </c>
      <c r="X166" s="7">
        <f t="shared" si="45"/>
        <v>5.7972813467338756E-3</v>
      </c>
      <c r="Y166" s="7">
        <f t="shared" si="46"/>
        <v>0</v>
      </c>
      <c r="Z166" s="7">
        <f t="shared" si="47"/>
        <v>0</v>
      </c>
      <c r="AA166" s="23">
        <v>468.59916169988998</v>
      </c>
      <c r="AB166" s="29">
        <v>413.94954015926999</v>
      </c>
    </row>
    <row r="167" spans="1:28" x14ac:dyDescent="0.35">
      <c r="A167" s="5" t="s">
        <v>39</v>
      </c>
      <c r="B167" s="15" t="s">
        <v>67</v>
      </c>
      <c r="C167" s="20">
        <f t="shared" si="48"/>
        <v>4.2055068024013273</v>
      </c>
      <c r="D167" s="30">
        <f>[1]data!D171-[1]data!D132</f>
        <v>0.36683396841928584</v>
      </c>
      <c r="E167" s="30">
        <f>[1]data!E171-[1]data!E132</f>
        <v>3.8386728339820415</v>
      </c>
      <c r="F167" s="30">
        <f>[1]data!F171-[1]data!F132</f>
        <v>-0.18660182045620921</v>
      </c>
      <c r="G167" s="21">
        <f t="shared" si="49"/>
        <v>0.27410581093382747</v>
      </c>
      <c r="H167" s="30">
        <f>[1]data!H171-[1]data!H132</f>
        <v>0.11714663169012796</v>
      </c>
      <c r="I167" s="30">
        <f>[1]data!I171-[1]data!I132</f>
        <v>0.15695917924369951</v>
      </c>
      <c r="J167" s="30">
        <f>[1]data!J171-[1]data!J132</f>
        <v>0</v>
      </c>
      <c r="K167" s="8">
        <f t="shared" si="50"/>
        <v>0.84932706246056244</v>
      </c>
      <c r="L167" s="8">
        <f t="shared" si="50"/>
        <v>0.75730964074859719</v>
      </c>
      <c r="M167" s="7">
        <f t="shared" si="36"/>
        <v>7.4084297433641561E-2</v>
      </c>
      <c r="N167" s="7">
        <f t="shared" si="37"/>
        <v>6.6057888832652692E-2</v>
      </c>
      <c r="O167" s="7">
        <f t="shared" si="38"/>
        <v>0.77524276502692091</v>
      </c>
      <c r="P167" s="7">
        <f t="shared" si="39"/>
        <v>0.69125175191594446</v>
      </c>
      <c r="Q167" s="7">
        <f t="shared" si="40"/>
        <v>-3.7685345301871967E-2</v>
      </c>
      <c r="R167" s="7">
        <f t="shared" si="41"/>
        <v>-3.3602456077834783E-2</v>
      </c>
      <c r="S167" s="8">
        <f t="shared" si="51"/>
        <v>5.5357295598919734E-2</v>
      </c>
      <c r="T167" s="8">
        <f t="shared" si="51"/>
        <v>4.9359799652891001E-2</v>
      </c>
      <c r="U167" s="7">
        <f t="shared" si="42"/>
        <v>2.3658457647414602E-2</v>
      </c>
      <c r="V167" s="7">
        <f t="shared" si="43"/>
        <v>2.109526336029284E-2</v>
      </c>
      <c r="W167" s="7">
        <f t="shared" si="44"/>
        <v>3.1698837951505132E-2</v>
      </c>
      <c r="X167" s="7">
        <f t="shared" si="45"/>
        <v>2.8264536292598157E-2</v>
      </c>
      <c r="Y167" s="7">
        <f t="shared" si="46"/>
        <v>0</v>
      </c>
      <c r="Z167" s="7">
        <f t="shared" si="47"/>
        <v>0</v>
      </c>
      <c r="AA167" s="23">
        <v>555.32196820367994</v>
      </c>
      <c r="AB167" s="29">
        <v>495.15751802582002</v>
      </c>
    </row>
    <row r="168" spans="1:28" x14ac:dyDescent="0.35">
      <c r="A168" s="10" t="s">
        <v>40</v>
      </c>
      <c r="B168" s="15" t="s">
        <v>67</v>
      </c>
      <c r="C168" s="20">
        <f t="shared" si="48"/>
        <v>4.8491759810862956E-2</v>
      </c>
      <c r="D168" s="30">
        <f>[1]data!D172-[1]data!D133</f>
        <v>1.0609563743112727E-2</v>
      </c>
      <c r="E168" s="30">
        <f>[1]data!E172-[1]data!E133</f>
        <v>3.7882196067750229E-2</v>
      </c>
      <c r="F168" s="30">
        <f>[1]data!F172-[1]data!F133</f>
        <v>5.7826901482731508E-3</v>
      </c>
      <c r="G168" s="21">
        <f t="shared" si="49"/>
        <v>0.1377968864533404</v>
      </c>
      <c r="H168" s="30">
        <f>[1]data!H172-[1]data!H133</f>
        <v>1.5930275890559814E-4</v>
      </c>
      <c r="I168" s="30">
        <f>[1]data!I172-[1]data!I133</f>
        <v>0.1376375836944348</v>
      </c>
      <c r="J168" s="30">
        <f>[1]data!J172-[1]data!J133</f>
        <v>0</v>
      </c>
      <c r="K168" s="8">
        <f t="shared" si="50"/>
        <v>2.2487331501438484E-2</v>
      </c>
      <c r="L168" s="8">
        <f t="shared" si="50"/>
        <v>1.1902859693012274E-2</v>
      </c>
      <c r="M168" s="7">
        <f t="shared" si="36"/>
        <v>4.9200271944672214E-3</v>
      </c>
      <c r="N168" s="7">
        <f t="shared" si="37"/>
        <v>2.604239341506661E-3</v>
      </c>
      <c r="O168" s="7">
        <f t="shared" si="38"/>
        <v>1.7567304306971263E-2</v>
      </c>
      <c r="P168" s="7">
        <f t="shared" si="39"/>
        <v>9.2986203515056133E-3</v>
      </c>
      <c r="Q168" s="7">
        <f t="shared" si="40"/>
        <v>2.6816364438312324E-3</v>
      </c>
      <c r="R168" s="7">
        <f t="shared" si="41"/>
        <v>1.4194277491995759E-3</v>
      </c>
      <c r="S168" s="8">
        <f t="shared" si="51"/>
        <v>6.3901254102314259E-2</v>
      </c>
      <c r="T168" s="8">
        <f t="shared" si="51"/>
        <v>3.3823829285334117E-2</v>
      </c>
      <c r="U168" s="7">
        <f t="shared" si="42"/>
        <v>7.3874282199208288E-5</v>
      </c>
      <c r="V168" s="7">
        <f t="shared" si="43"/>
        <v>3.9102692815415734E-5</v>
      </c>
      <c r="W168" s="7">
        <f t="shared" si="44"/>
        <v>6.3827379820115049E-2</v>
      </c>
      <c r="X168" s="7">
        <f t="shared" si="45"/>
        <v>3.3784726592518702E-2</v>
      </c>
      <c r="Y168" s="7">
        <f t="shared" si="46"/>
        <v>0</v>
      </c>
      <c r="Z168" s="7">
        <f t="shared" si="47"/>
        <v>0</v>
      </c>
      <c r="AA168" s="23">
        <v>407.39587848230002</v>
      </c>
      <c r="AB168" s="29">
        <v>215.64034757863999</v>
      </c>
    </row>
    <row r="169" spans="1:28" x14ac:dyDescent="0.35">
      <c r="A169" s="10" t="s">
        <v>41</v>
      </c>
      <c r="B169" s="15" t="s">
        <v>67</v>
      </c>
      <c r="C169" s="20">
        <f t="shared" si="48"/>
        <v>6.1313784260489248</v>
      </c>
      <c r="D169" s="30">
        <f>[1]data!D173-[1]data!D134</f>
        <v>3.4109288650499558E-4</v>
      </c>
      <c r="E169" s="30">
        <f>[1]data!E173-[1]data!E134</f>
        <v>6.1310373331624195</v>
      </c>
      <c r="F169" s="30">
        <f>[1]data!F173-[1]data!F134</f>
        <v>21.994176816096299</v>
      </c>
      <c r="G169" s="21">
        <f t="shared" si="49"/>
        <v>31.606503415249989</v>
      </c>
      <c r="H169" s="30">
        <f>[1]data!H173-[1]data!H134</f>
        <v>25.12571084390953</v>
      </c>
      <c r="I169" s="30">
        <f>[1]data!I173-[1]data!I134</f>
        <v>6.4807925713404604</v>
      </c>
      <c r="J169" s="30">
        <f>[1]data!J173-[1]data!J134</f>
        <v>0</v>
      </c>
      <c r="K169" s="8">
        <f t="shared" si="50"/>
        <v>1.8434550637205851</v>
      </c>
      <c r="L169" s="8">
        <f t="shared" si="50"/>
        <v>1.9711015855042642</v>
      </c>
      <c r="M169" s="7">
        <f t="shared" si="36"/>
        <v>1.0255269943139007E-4</v>
      </c>
      <c r="N169" s="7">
        <f t="shared" si="37"/>
        <v>1.0965376505515631E-4</v>
      </c>
      <c r="O169" s="7">
        <f t="shared" si="38"/>
        <v>1.8433525110211537</v>
      </c>
      <c r="P169" s="7">
        <f t="shared" si="39"/>
        <v>1.9709919317392091</v>
      </c>
      <c r="Q169" s="7">
        <f t="shared" si="40"/>
        <v>6.6127506421302549</v>
      </c>
      <c r="R169" s="7">
        <f t="shared" si="41"/>
        <v>7.0706379188545974</v>
      </c>
      <c r="S169" s="8">
        <f t="shared" si="51"/>
        <v>9.5027846462399452</v>
      </c>
      <c r="T169" s="8">
        <f t="shared" si="51"/>
        <v>10.160786802746937</v>
      </c>
      <c r="U169" s="7">
        <f t="shared" si="42"/>
        <v>7.5542750204429563</v>
      </c>
      <c r="V169" s="7">
        <f t="shared" si="43"/>
        <v>8.0773563528464187</v>
      </c>
      <c r="W169" s="7">
        <f t="shared" si="44"/>
        <v>1.9485096257969892</v>
      </c>
      <c r="X169" s="7">
        <f t="shared" si="45"/>
        <v>2.0834304499005176</v>
      </c>
      <c r="Y169" s="7">
        <f t="shared" si="46"/>
        <v>0</v>
      </c>
      <c r="Z169" s="7">
        <f t="shared" si="47"/>
        <v>0</v>
      </c>
      <c r="AA169" s="23">
        <v>311.06354290107998</v>
      </c>
      <c r="AB169" s="29">
        <v>332.60254327404999</v>
      </c>
    </row>
    <row r="170" spans="1:28" x14ac:dyDescent="0.35">
      <c r="A170" s="10" t="s">
        <v>42</v>
      </c>
      <c r="B170" s="15" t="s">
        <v>67</v>
      </c>
      <c r="C170" s="20">
        <f t="shared" si="48"/>
        <v>0</v>
      </c>
      <c r="D170" s="30">
        <f>[1]data!D174-[1]data!D135</f>
        <v>0</v>
      </c>
      <c r="E170" s="30">
        <f>[1]data!E174-[1]data!E135</f>
        <v>0</v>
      </c>
      <c r="F170" s="30">
        <f>[1]data!F174-[1]data!F135</f>
        <v>0</v>
      </c>
      <c r="G170" s="21">
        <f t="shared" si="49"/>
        <v>5.6614440224317886E-2</v>
      </c>
      <c r="H170" s="30">
        <f>[1]data!H174-[1]data!H135</f>
        <v>4.8093464304235667E-2</v>
      </c>
      <c r="I170" s="30">
        <f>[1]data!I174-[1]data!I135</f>
        <v>8.5209759200822188E-3</v>
      </c>
      <c r="J170" s="30">
        <f>[1]data!J174-[1]data!J135</f>
        <v>0</v>
      </c>
      <c r="K170" s="8">
        <f t="shared" si="50"/>
        <v>0</v>
      </c>
      <c r="L170" s="8">
        <f t="shared" si="50"/>
        <v>0</v>
      </c>
      <c r="M170" s="7">
        <f t="shared" si="36"/>
        <v>0</v>
      </c>
      <c r="N170" s="7">
        <f t="shared" si="37"/>
        <v>0</v>
      </c>
      <c r="O170" s="7">
        <f t="shared" si="38"/>
        <v>0</v>
      </c>
      <c r="P170" s="7">
        <f t="shared" si="39"/>
        <v>0</v>
      </c>
      <c r="Q170" s="7">
        <f t="shared" si="40"/>
        <v>0</v>
      </c>
      <c r="R170" s="7">
        <f t="shared" si="41"/>
        <v>0</v>
      </c>
      <c r="S170" s="8">
        <f t="shared" si="51"/>
        <v>0.21049657431115845</v>
      </c>
      <c r="T170" s="8">
        <f t="shared" si="51"/>
        <v>0.12331191625218489</v>
      </c>
      <c r="U170" s="7">
        <f t="shared" si="42"/>
        <v>0.17881497092766779</v>
      </c>
      <c r="V170" s="7">
        <f t="shared" si="43"/>
        <v>0.10475237799867879</v>
      </c>
      <c r="W170" s="7">
        <f t="shared" si="44"/>
        <v>3.1681603383490652E-2</v>
      </c>
      <c r="X170" s="7">
        <f t="shared" si="45"/>
        <v>1.8559538253506105E-2</v>
      </c>
      <c r="Y170" s="7">
        <f t="shared" si="46"/>
        <v>0</v>
      </c>
      <c r="Z170" s="7">
        <f t="shared" si="47"/>
        <v>0</v>
      </c>
      <c r="AA170" s="23">
        <v>45.911572818750003</v>
      </c>
      <c r="AB170" s="29">
        <v>26.895658710639999</v>
      </c>
    </row>
    <row r="171" spans="1:28" x14ac:dyDescent="0.35">
      <c r="A171" s="10" t="s">
        <v>43</v>
      </c>
      <c r="B171" s="15" t="s">
        <v>67</v>
      </c>
      <c r="C171" s="20">
        <f t="shared" si="48"/>
        <v>0</v>
      </c>
      <c r="D171" s="30">
        <f>[1]data!D175-[1]data!D136</f>
        <v>0</v>
      </c>
      <c r="E171" s="30">
        <f>[1]data!E175-[1]data!E136</f>
        <v>0</v>
      </c>
      <c r="F171" s="30">
        <f>[1]data!F175-[1]data!F136</f>
        <v>-2.4409276031545688</v>
      </c>
      <c r="G171" s="21">
        <f t="shared" si="49"/>
        <v>0</v>
      </c>
      <c r="H171" s="30">
        <f>[1]data!H175-[1]data!H136</f>
        <v>0</v>
      </c>
      <c r="I171" s="30">
        <f>[1]data!I175-[1]data!I136</f>
        <v>0</v>
      </c>
      <c r="J171" s="30">
        <f>[1]data!J175-[1]data!J136</f>
        <v>3.4268640238179242</v>
      </c>
      <c r="K171" s="8">
        <f t="shared" si="50"/>
        <v>0</v>
      </c>
      <c r="L171" s="8">
        <f t="shared" si="50"/>
        <v>0</v>
      </c>
      <c r="M171" s="7">
        <f t="shared" si="36"/>
        <v>0</v>
      </c>
      <c r="N171" s="7">
        <f t="shared" si="37"/>
        <v>0</v>
      </c>
      <c r="O171" s="7">
        <f t="shared" si="38"/>
        <v>0</v>
      </c>
      <c r="P171" s="7">
        <f t="shared" si="39"/>
        <v>0</v>
      </c>
      <c r="Q171" s="7">
        <f t="shared" si="40"/>
        <v>-0.95818785645523963</v>
      </c>
      <c r="R171" s="7">
        <f t="shared" si="41"/>
        <v>-0.96128911273016693</v>
      </c>
      <c r="S171" s="8">
        <f t="shared" si="51"/>
        <v>0</v>
      </c>
      <c r="T171" s="8">
        <f t="shared" si="51"/>
        <v>0</v>
      </c>
      <c r="U171" s="7">
        <f t="shared" si="42"/>
        <v>0</v>
      </c>
      <c r="V171" s="7">
        <f t="shared" si="43"/>
        <v>0</v>
      </c>
      <c r="W171" s="7">
        <f t="shared" si="44"/>
        <v>0</v>
      </c>
      <c r="X171" s="7">
        <f t="shared" si="45"/>
        <v>0</v>
      </c>
      <c r="Y171" s="7">
        <f t="shared" si="46"/>
        <v>1.3452178954845246</v>
      </c>
      <c r="Z171" s="7">
        <f t="shared" si="47"/>
        <v>1.3495718073102803</v>
      </c>
      <c r="AA171" s="23">
        <v>253.92231856471</v>
      </c>
      <c r="AB171" s="29">
        <v>254.7441596875</v>
      </c>
    </row>
    <row r="172" spans="1:28" x14ac:dyDescent="0.35">
      <c r="A172" s="10" t="s">
        <v>44</v>
      </c>
      <c r="B172" s="15" t="s">
        <v>67</v>
      </c>
      <c r="C172" s="20">
        <f t="shared" si="48"/>
        <v>4.1228112206977841</v>
      </c>
      <c r="D172" s="30">
        <f>[1]data!D176-[1]data!D137</f>
        <v>0.35377522402826478</v>
      </c>
      <c r="E172" s="30">
        <f>[1]data!E176-[1]data!E137</f>
        <v>3.7690359966695191</v>
      </c>
      <c r="F172" s="30">
        <f>[1]data!F176-[1]data!F137</f>
        <v>-0.94678533426107592</v>
      </c>
      <c r="G172" s="21">
        <f t="shared" si="49"/>
        <v>0</v>
      </c>
      <c r="H172" s="30">
        <f>[1]data!H176-[1]data!H137</f>
        <v>0</v>
      </c>
      <c r="I172" s="30">
        <f>[1]data!I176-[1]data!I137</f>
        <v>0</v>
      </c>
      <c r="J172" s="30">
        <f>[1]data!J176-[1]data!J137</f>
        <v>0</v>
      </c>
      <c r="K172" s="8">
        <f t="shared" si="50"/>
        <v>2.0219472273571233</v>
      </c>
      <c r="L172" s="8">
        <f t="shared" si="50"/>
        <v>1.3672303225363185</v>
      </c>
      <c r="M172" s="7">
        <f t="shared" si="36"/>
        <v>0.17350171886126972</v>
      </c>
      <c r="N172" s="7">
        <f t="shared" si="37"/>
        <v>0.11732097051284782</v>
      </c>
      <c r="O172" s="7">
        <f t="shared" si="38"/>
        <v>1.8484455084958538</v>
      </c>
      <c r="P172" s="7">
        <f t="shared" si="39"/>
        <v>1.2499093520234708</v>
      </c>
      <c r="Q172" s="7">
        <f t="shared" si="40"/>
        <v>-0.46433122426293549</v>
      </c>
      <c r="R172" s="7">
        <f t="shared" si="41"/>
        <v>-0.31397838723145272</v>
      </c>
      <c r="S172" s="8">
        <f t="shared" si="51"/>
        <v>0</v>
      </c>
      <c r="T172" s="8">
        <f t="shared" si="51"/>
        <v>0</v>
      </c>
      <c r="U172" s="7">
        <f t="shared" si="42"/>
        <v>0</v>
      </c>
      <c r="V172" s="7">
        <f t="shared" si="43"/>
        <v>0</v>
      </c>
      <c r="W172" s="7">
        <f t="shared" si="44"/>
        <v>0</v>
      </c>
      <c r="X172" s="7">
        <f t="shared" si="45"/>
        <v>0</v>
      </c>
      <c r="Y172" s="7">
        <f t="shared" si="46"/>
        <v>0</v>
      </c>
      <c r="Z172" s="7">
        <f t="shared" si="47"/>
        <v>0</v>
      </c>
      <c r="AA172" s="23">
        <v>301.54474727050001</v>
      </c>
      <c r="AB172" s="29">
        <v>203.90300819506001</v>
      </c>
    </row>
    <row r="173" spans="1:28" x14ac:dyDescent="0.35">
      <c r="A173" s="10" t="s">
        <v>45</v>
      </c>
      <c r="B173" s="15" t="s">
        <v>67</v>
      </c>
      <c r="C173" s="20">
        <f t="shared" si="48"/>
        <v>1.1003161672985489</v>
      </c>
      <c r="D173" s="30">
        <f>[1]data!D177-[1]data!D138</f>
        <v>5.4677508422957787E-2</v>
      </c>
      <c r="E173" s="30">
        <f>[1]data!E177-[1]data!E138</f>
        <v>1.045638658875591</v>
      </c>
      <c r="F173" s="30">
        <f>[1]data!F177-[1]data!F138</f>
        <v>0</v>
      </c>
      <c r="G173" s="21">
        <f t="shared" si="49"/>
        <v>0</v>
      </c>
      <c r="H173" s="30">
        <f>[1]data!H177-[1]data!H138</f>
        <v>0</v>
      </c>
      <c r="I173" s="30">
        <f>[1]data!I177-[1]data!I138</f>
        <v>0</v>
      </c>
      <c r="J173" s="30">
        <f>[1]data!J177-[1]data!J138</f>
        <v>0</v>
      </c>
      <c r="K173" s="8">
        <f t="shared" si="50"/>
        <v>5.307844556033416</v>
      </c>
      <c r="L173" s="8">
        <f t="shared" si="50"/>
        <v>5.7701396314342315</v>
      </c>
      <c r="M173" s="7">
        <f t="shared" si="36"/>
        <v>0.26376029367341142</v>
      </c>
      <c r="N173" s="7">
        <f t="shared" si="37"/>
        <v>0.28673291157211905</v>
      </c>
      <c r="O173" s="7">
        <f t="shared" si="38"/>
        <v>5.0440842623600046</v>
      </c>
      <c r="P173" s="7">
        <f t="shared" si="39"/>
        <v>5.4834067198621126</v>
      </c>
      <c r="Q173" s="7">
        <f t="shared" si="40"/>
        <v>0</v>
      </c>
      <c r="R173" s="7">
        <f t="shared" si="41"/>
        <v>0</v>
      </c>
      <c r="S173" s="8">
        <f t="shared" si="51"/>
        <v>0</v>
      </c>
      <c r="T173" s="8">
        <f t="shared" si="51"/>
        <v>0</v>
      </c>
      <c r="U173" s="7">
        <f t="shared" si="42"/>
        <v>0</v>
      </c>
      <c r="V173" s="7">
        <f t="shared" si="43"/>
        <v>0</v>
      </c>
      <c r="W173" s="7">
        <f t="shared" si="44"/>
        <v>0</v>
      </c>
      <c r="X173" s="7">
        <f t="shared" si="45"/>
        <v>0</v>
      </c>
      <c r="Y173" s="7">
        <f t="shared" si="46"/>
        <v>0</v>
      </c>
      <c r="Z173" s="7">
        <f t="shared" si="47"/>
        <v>0</v>
      </c>
      <c r="AA173" s="23">
        <v>19.06914282116</v>
      </c>
      <c r="AB173" s="29">
        <v>20.729999827290001</v>
      </c>
    </row>
    <row r="174" spans="1:28" x14ac:dyDescent="0.35">
      <c r="A174" s="10" t="s">
        <v>46</v>
      </c>
      <c r="B174" s="15" t="s">
        <v>67</v>
      </c>
      <c r="C174" s="20">
        <f t="shared" si="48"/>
        <v>14.159111825001776</v>
      </c>
      <c r="D174" s="30">
        <f>[1]data!D178-[1]data!D139</f>
        <v>2.8576480235392485</v>
      </c>
      <c r="E174" s="30">
        <f>[1]data!E178-[1]data!E139</f>
        <v>11.301463801462528</v>
      </c>
      <c r="F174" s="30">
        <f>[1]data!F178-[1]data!F139</f>
        <v>-8.6940790584300487E-2</v>
      </c>
      <c r="G174" s="21">
        <f t="shared" si="49"/>
        <v>1.6810953910718083</v>
      </c>
      <c r="H174" s="30">
        <f>[1]data!H178-[1]data!H139</f>
        <v>1.7680361816561088</v>
      </c>
      <c r="I174" s="30">
        <f>[1]data!I178-[1]data!I139</f>
        <v>-8.6940790584300487E-2</v>
      </c>
      <c r="J174" s="30">
        <f>[1]data!J178-[1]data!J139</f>
        <v>0</v>
      </c>
      <c r="K174" s="8">
        <f t="shared" si="50"/>
        <v>3.8116783449826466</v>
      </c>
      <c r="L174" s="8">
        <f t="shared" si="50"/>
        <v>3.3882328180337384</v>
      </c>
      <c r="M174" s="7">
        <f t="shared" si="36"/>
        <v>0.76928801915904399</v>
      </c>
      <c r="N174" s="7">
        <f t="shared" si="37"/>
        <v>0.68382656591835456</v>
      </c>
      <c r="O174" s="7">
        <f t="shared" si="38"/>
        <v>3.0423903258236025</v>
      </c>
      <c r="P174" s="7">
        <f t="shared" si="39"/>
        <v>2.7044062521153838</v>
      </c>
      <c r="Q174" s="7">
        <f t="shared" si="40"/>
        <v>-2.3404739849620316E-2</v>
      </c>
      <c r="R174" s="7">
        <f t="shared" si="41"/>
        <v>-2.0804669355274946E-2</v>
      </c>
      <c r="S174" s="8">
        <f t="shared" si="51"/>
        <v>0.45255627451743369</v>
      </c>
      <c r="T174" s="8">
        <f t="shared" si="51"/>
        <v>0.40228106428377941</v>
      </c>
      <c r="U174" s="7">
        <f t="shared" si="42"/>
        <v>0.47596101436705401</v>
      </c>
      <c r="V174" s="7">
        <f t="shared" si="43"/>
        <v>0.42308573363905438</v>
      </c>
      <c r="W174" s="7">
        <f t="shared" si="44"/>
        <v>-2.3404739849620316E-2</v>
      </c>
      <c r="X174" s="7">
        <f t="shared" si="45"/>
        <v>-2.0804669355274946E-2</v>
      </c>
      <c r="Y174" s="7">
        <f t="shared" si="46"/>
        <v>0</v>
      </c>
      <c r="Z174" s="7">
        <f t="shared" si="47"/>
        <v>0</v>
      </c>
      <c r="AA174" s="23">
        <v>417.89075855828003</v>
      </c>
      <c r="AB174" s="29">
        <v>371.46659669328</v>
      </c>
    </row>
    <row r="175" spans="1:28" x14ac:dyDescent="0.35">
      <c r="A175" s="10" t="s">
        <v>47</v>
      </c>
      <c r="B175" s="15" t="s">
        <v>67</v>
      </c>
      <c r="C175" s="20">
        <f t="shared" si="48"/>
        <v>13.341642509066695</v>
      </c>
      <c r="D175" s="30">
        <f>[1]data!D179-[1]data!D140</f>
        <v>0.55317835395472414</v>
      </c>
      <c r="E175" s="30">
        <f>[1]data!E179-[1]data!E140</f>
        <v>12.788464155111971</v>
      </c>
      <c r="F175" s="30">
        <f>[1]data!F179-[1]data!F140</f>
        <v>1.608478852955697E-2</v>
      </c>
      <c r="G175" s="21">
        <f t="shared" si="49"/>
        <v>4.1553701560992913</v>
      </c>
      <c r="H175" s="30">
        <f>[1]data!H179-[1]data!H140</f>
        <v>1.0736931038835773</v>
      </c>
      <c r="I175" s="30">
        <f>[1]data!I179-[1]data!I140</f>
        <v>3.0816770522157135</v>
      </c>
      <c r="J175" s="30">
        <f>[1]data!J179-[1]data!J140</f>
        <v>0</v>
      </c>
      <c r="K175" s="8">
        <f t="shared" si="50"/>
        <v>3.7219307879532995</v>
      </c>
      <c r="L175" s="8">
        <f t="shared" si="50"/>
        <v>3.8965451906036992</v>
      </c>
      <c r="M175" s="7">
        <f t="shared" si="36"/>
        <v>0.15432069517784164</v>
      </c>
      <c r="N175" s="7">
        <f t="shared" si="37"/>
        <v>0.161560651410314</v>
      </c>
      <c r="O175" s="7">
        <f t="shared" si="38"/>
        <v>3.5676100927754577</v>
      </c>
      <c r="P175" s="7">
        <f t="shared" si="39"/>
        <v>3.7349845391933854</v>
      </c>
      <c r="Q175" s="7">
        <f t="shared" si="40"/>
        <v>4.4871888603814853E-3</v>
      </c>
      <c r="R175" s="7">
        <f t="shared" si="41"/>
        <v>4.6977053495572303E-3</v>
      </c>
      <c r="S175" s="8">
        <f t="shared" si="51"/>
        <v>1.1592275920163426</v>
      </c>
      <c r="T175" s="8">
        <f t="shared" si="51"/>
        <v>1.2136127606419809</v>
      </c>
      <c r="U175" s="7">
        <f t="shared" si="42"/>
        <v>0.29952919345887791</v>
      </c>
      <c r="V175" s="7">
        <f t="shared" si="43"/>
        <v>0.31358160715809641</v>
      </c>
      <c r="W175" s="7">
        <f t="shared" si="44"/>
        <v>0.85969839855746466</v>
      </c>
      <c r="X175" s="7">
        <f t="shared" si="45"/>
        <v>0.90003115348388452</v>
      </c>
      <c r="Y175" s="7">
        <f t="shared" si="46"/>
        <v>0</v>
      </c>
      <c r="Z175" s="7">
        <f t="shared" si="47"/>
        <v>0</v>
      </c>
      <c r="AA175" s="23">
        <v>342.39670930134002</v>
      </c>
      <c r="AB175" s="29">
        <v>358.46025273358998</v>
      </c>
    </row>
    <row r="176" spans="1:28" x14ac:dyDescent="0.35">
      <c r="A176" s="10" t="s">
        <v>48</v>
      </c>
      <c r="B176" s="15" t="s">
        <v>67</v>
      </c>
      <c r="C176" s="20">
        <f t="shared" si="48"/>
        <v>0.29461204530702118</v>
      </c>
      <c r="D176" s="30">
        <f>[1]data!D180-[1]data!D141</f>
        <v>0.44007731725619964</v>
      </c>
      <c r="E176" s="30">
        <f>[1]data!E180-[1]data!E141</f>
        <v>-0.14546527194917847</v>
      </c>
      <c r="F176" s="30">
        <f>[1]data!F180-[1]data!F141</f>
        <v>0</v>
      </c>
      <c r="G176" s="21">
        <f t="shared" si="49"/>
        <v>6.6639612864809461E-2</v>
      </c>
      <c r="H176" s="30">
        <f>[1]data!H180-[1]data!H141</f>
        <v>6.1972289180490914E-2</v>
      </c>
      <c r="I176" s="30">
        <f>[1]data!I180-[1]data!I141</f>
        <v>4.6673236843185473E-3</v>
      </c>
      <c r="J176" s="30">
        <f>[1]data!J180-[1]data!J141</f>
        <v>0</v>
      </c>
      <c r="K176" s="8">
        <f t="shared" si="50"/>
        <v>0.97682787811756222</v>
      </c>
      <c r="L176" s="8">
        <f t="shared" si="50"/>
        <v>0.53157394248286383</v>
      </c>
      <c r="M176" s="7">
        <f t="shared" si="36"/>
        <v>1.4591385480354557</v>
      </c>
      <c r="N176" s="7">
        <f t="shared" si="37"/>
        <v>0.79403961330696138</v>
      </c>
      <c r="O176" s="7">
        <f t="shared" si="38"/>
        <v>-0.48231066991789351</v>
      </c>
      <c r="P176" s="7">
        <f t="shared" si="39"/>
        <v>-0.26246567082409755</v>
      </c>
      <c r="Q176" s="7">
        <f t="shared" si="40"/>
        <v>0</v>
      </c>
      <c r="R176" s="7">
        <f t="shared" si="41"/>
        <v>0</v>
      </c>
      <c r="S176" s="8">
        <f t="shared" si="51"/>
        <v>0.22095305562089415</v>
      </c>
      <c r="T176" s="8">
        <f t="shared" si="51"/>
        <v>0.12023908153233379</v>
      </c>
      <c r="U176" s="7">
        <f t="shared" si="42"/>
        <v>0.20547788424326252</v>
      </c>
      <c r="V176" s="7">
        <f t="shared" si="43"/>
        <v>0.11181774339888671</v>
      </c>
      <c r="W176" s="7">
        <f t="shared" si="44"/>
        <v>1.5475171377631641E-2</v>
      </c>
      <c r="X176" s="7">
        <f t="shared" si="45"/>
        <v>8.4213381334470767E-3</v>
      </c>
      <c r="Y176" s="7">
        <f t="shared" si="46"/>
        <v>0</v>
      </c>
      <c r="Z176" s="7">
        <f t="shared" si="47"/>
        <v>0</v>
      </c>
      <c r="AA176" s="25">
        <v>55.422589739999999</v>
      </c>
      <c r="AB176" s="29">
        <v>30.160077523049999</v>
      </c>
    </row>
    <row r="177" spans="1:28" x14ac:dyDescent="0.35">
      <c r="A177" s="10" t="s">
        <v>49</v>
      </c>
      <c r="B177" s="15" t="s">
        <v>67</v>
      </c>
      <c r="C177" s="20">
        <f t="shared" si="48"/>
        <v>1.0191779364477664</v>
      </c>
      <c r="D177" s="30">
        <f>[1]data!D181-[1]data!D142</f>
        <v>0.1612886831869611</v>
      </c>
      <c r="E177" s="30">
        <f>[1]data!E181-[1]data!E142</f>
        <v>0.85788925326080534</v>
      </c>
      <c r="F177" s="30">
        <f>[1]data!F181-[1]data!F142</f>
        <v>-0.99771764002911945</v>
      </c>
      <c r="G177" s="21">
        <f t="shared" si="49"/>
        <v>0</v>
      </c>
      <c r="H177" s="30">
        <f>[1]data!H181-[1]data!H142</f>
        <v>0</v>
      </c>
      <c r="I177" s="30">
        <f>[1]data!I181-[1]data!I142</f>
        <v>0</v>
      </c>
      <c r="J177" s="30">
        <f>[1]data!J181-[1]data!J142</f>
        <v>0</v>
      </c>
      <c r="K177" s="8">
        <f t="shared" si="50"/>
        <v>2.1137416878925017</v>
      </c>
      <c r="L177" s="8">
        <f t="shared" si="50"/>
        <v>1.0492270289661179</v>
      </c>
      <c r="M177" s="7">
        <f t="shared" si="36"/>
        <v>0.33450745080472866</v>
      </c>
      <c r="N177" s="7">
        <f t="shared" si="37"/>
        <v>0.16604406337124991</v>
      </c>
      <c r="O177" s="7">
        <f t="shared" si="38"/>
        <v>1.779234237087773</v>
      </c>
      <c r="P177" s="7">
        <f t="shared" si="39"/>
        <v>0.88318296559486797</v>
      </c>
      <c r="Q177" s="7">
        <f t="shared" si="40"/>
        <v>-2.0692337354021575</v>
      </c>
      <c r="R177" s="7">
        <f t="shared" si="41"/>
        <v>-1.0271340045325741</v>
      </c>
      <c r="S177" s="8">
        <f t="shared" si="51"/>
        <v>0</v>
      </c>
      <c r="T177" s="8">
        <f t="shared" si="51"/>
        <v>0</v>
      </c>
      <c r="U177" s="7">
        <f t="shared" si="42"/>
        <v>0</v>
      </c>
      <c r="V177" s="7">
        <f t="shared" si="43"/>
        <v>0</v>
      </c>
      <c r="W177" s="7">
        <f t="shared" si="44"/>
        <v>0</v>
      </c>
      <c r="X177" s="7">
        <f t="shared" si="45"/>
        <v>0</v>
      </c>
      <c r="Y177" s="7">
        <f t="shared" si="46"/>
        <v>0</v>
      </c>
      <c r="Z177" s="7">
        <f t="shared" si="47"/>
        <v>0</v>
      </c>
      <c r="AA177" s="23">
        <v>97.136073348400004</v>
      </c>
      <c r="AB177" s="29">
        <v>48.216768505140003</v>
      </c>
    </row>
    <row r="178" spans="1:28" x14ac:dyDescent="0.35">
      <c r="A178" s="10" t="s">
        <v>50</v>
      </c>
      <c r="B178" s="15" t="s">
        <v>67</v>
      </c>
      <c r="C178" s="20">
        <f t="shared" si="48"/>
        <v>0.12197614489762618</v>
      </c>
      <c r="D178" s="30">
        <f>[1]data!D182-[1]data!D143</f>
        <v>0.11473187508637858</v>
      </c>
      <c r="E178" s="30">
        <f>[1]data!E182-[1]data!E143</f>
        <v>7.2442698112475945E-3</v>
      </c>
      <c r="F178" s="30">
        <f>[1]data!F182-[1]data!F143</f>
        <v>2.4720318780149242E-3</v>
      </c>
      <c r="G178" s="21">
        <f t="shared" si="49"/>
        <v>8.7534926885912689E-3</v>
      </c>
      <c r="H178" s="30">
        <f>[1]data!H182-[1]data!H143</f>
        <v>1.2073783018746731E-3</v>
      </c>
      <c r="I178" s="30">
        <f>[1]data!I182-[1]data!I143</f>
        <v>7.5461143867165958E-3</v>
      </c>
      <c r="J178" s="30">
        <f>[1]data!J182-[1]data!J143</f>
        <v>-8.696217414326135E-3</v>
      </c>
      <c r="K178" s="8">
        <f t="shared" si="50"/>
        <v>0.18326432395663581</v>
      </c>
      <c r="L178" s="8">
        <f t="shared" si="50"/>
        <v>0.18385549971363888</v>
      </c>
      <c r="M178" s="7">
        <f t="shared" si="36"/>
        <v>0.17238009564599346</v>
      </c>
      <c r="N178" s="7">
        <f t="shared" si="37"/>
        <v>0.17293616095830103</v>
      </c>
      <c r="O178" s="7">
        <f t="shared" si="38"/>
        <v>1.088422831064235E-2</v>
      </c>
      <c r="P178" s="7">
        <f t="shared" si="39"/>
        <v>1.091933875533785E-2</v>
      </c>
      <c r="Q178" s="7">
        <f t="shared" si="40"/>
        <v>3.7141299333889226E-3</v>
      </c>
      <c r="R178" s="7">
        <f t="shared" si="41"/>
        <v>3.7261110081970145E-3</v>
      </c>
      <c r="S178" s="8">
        <f t="shared" si="51"/>
        <v>1.3151775875360145E-2</v>
      </c>
      <c r="T178" s="8">
        <f t="shared" si="51"/>
        <v>1.3194200996033877E-2</v>
      </c>
      <c r="U178" s="7">
        <f t="shared" si="42"/>
        <v>1.8140380517738361E-3</v>
      </c>
      <c r="V178" s="7">
        <f t="shared" si="43"/>
        <v>1.8198897925564201E-3</v>
      </c>
      <c r="W178" s="7">
        <f t="shared" si="44"/>
        <v>1.1337737823586309E-2</v>
      </c>
      <c r="X178" s="7">
        <f t="shared" si="45"/>
        <v>1.1374311203477457E-2</v>
      </c>
      <c r="Y178" s="7">
        <f t="shared" si="46"/>
        <v>-1.306572204551956E-2</v>
      </c>
      <c r="Z178" s="7">
        <f t="shared" si="47"/>
        <v>-1.3107869572950374E-2</v>
      </c>
      <c r="AA178" s="23">
        <v>66.343484468840003</v>
      </c>
      <c r="AB178" s="29">
        <v>66.557495896739994</v>
      </c>
    </row>
    <row r="179" spans="1:28" x14ac:dyDescent="0.35">
      <c r="A179" s="10" t="s">
        <v>51</v>
      </c>
      <c r="B179" s="15" t="s">
        <v>67</v>
      </c>
      <c r="C179" s="20">
        <f t="shared" si="48"/>
        <v>0.67809759854404561</v>
      </c>
      <c r="D179" s="30">
        <f>[1]data!D183-[1]data!D144</f>
        <v>8.6285741513915326E-2</v>
      </c>
      <c r="E179" s="30">
        <f>[1]data!E183-[1]data!E144</f>
        <v>0.59181185703013028</v>
      </c>
      <c r="F179" s="30">
        <f>[1]data!F183-[1]data!F144</f>
        <v>3.8032416509050648E-2</v>
      </c>
      <c r="G179" s="21">
        <f t="shared" si="49"/>
        <v>0</v>
      </c>
      <c r="H179" s="30">
        <f>[1]data!H183-[1]data!H144</f>
        <v>0</v>
      </c>
      <c r="I179" s="30">
        <f>[1]data!I183-[1]data!I144</f>
        <v>0</v>
      </c>
      <c r="J179" s="30">
        <f>[1]data!J183-[1]data!J144</f>
        <v>0</v>
      </c>
      <c r="K179" s="8">
        <f t="shared" si="50"/>
        <v>8.0701845008350648E-2</v>
      </c>
      <c r="L179" s="8">
        <f t="shared" si="50"/>
        <v>7.2722886472286821E-2</v>
      </c>
      <c r="M179" s="7">
        <f t="shared" si="36"/>
        <v>1.0269050580680231E-2</v>
      </c>
      <c r="N179" s="7">
        <f t="shared" si="37"/>
        <v>9.2537537336315513E-3</v>
      </c>
      <c r="O179" s="7">
        <f t="shared" si="38"/>
        <v>7.043279442767042E-2</v>
      </c>
      <c r="P179" s="7">
        <f t="shared" si="39"/>
        <v>6.3469132738655273E-2</v>
      </c>
      <c r="Q179" s="7">
        <f t="shared" si="40"/>
        <v>4.5263192038971327E-3</v>
      </c>
      <c r="R179" s="7">
        <f t="shared" si="41"/>
        <v>4.0788038683413266E-3</v>
      </c>
      <c r="S179" s="8">
        <f t="shared" si="51"/>
        <v>0</v>
      </c>
      <c r="T179" s="8">
        <f t="shared" si="51"/>
        <v>0</v>
      </c>
      <c r="U179" s="7">
        <f t="shared" si="42"/>
        <v>0</v>
      </c>
      <c r="V179" s="7">
        <f t="shared" si="43"/>
        <v>0</v>
      </c>
      <c r="W179" s="7">
        <f t="shared" si="44"/>
        <v>0</v>
      </c>
      <c r="X179" s="7">
        <f t="shared" si="45"/>
        <v>0</v>
      </c>
      <c r="Y179" s="7">
        <f t="shared" si="46"/>
        <v>0</v>
      </c>
      <c r="Z179" s="7">
        <f t="shared" si="47"/>
        <v>0</v>
      </c>
      <c r="AA179" s="23">
        <v>932.44043441874999</v>
      </c>
      <c r="AB179" s="29">
        <v>840.25042856688003</v>
      </c>
    </row>
    <row r="180" spans="1:28" x14ac:dyDescent="0.35">
      <c r="A180" s="10" t="s">
        <v>52</v>
      </c>
      <c r="B180" s="15" t="s">
        <v>67</v>
      </c>
      <c r="C180" s="20">
        <f t="shared" si="48"/>
        <v>0.45804418199202646</v>
      </c>
      <c r="D180" s="30">
        <f>[1]data!D184-[1]data!D145</f>
        <v>8.4225719459962711E-3</v>
      </c>
      <c r="E180" s="30">
        <f>[1]data!E184-[1]data!E145</f>
        <v>0.44962161004603018</v>
      </c>
      <c r="F180" s="30">
        <f>[1]data!F184-[1]data!F145</f>
        <v>0</v>
      </c>
      <c r="G180" s="21">
        <f t="shared" si="49"/>
        <v>0</v>
      </c>
      <c r="H180" s="30">
        <f>[1]data!H184-[1]data!H145</f>
        <v>0</v>
      </c>
      <c r="I180" s="30">
        <f>[1]data!I184-[1]data!I145</f>
        <v>0</v>
      </c>
      <c r="J180" s="30">
        <f>[1]data!J184-[1]data!J145</f>
        <v>0</v>
      </c>
      <c r="K180" s="8">
        <f t="shared" si="50"/>
        <v>0.22570525354735974</v>
      </c>
      <c r="L180" s="8">
        <f t="shared" si="50"/>
        <v>0.23613713299910413</v>
      </c>
      <c r="M180" s="7">
        <f t="shared" si="36"/>
        <v>4.1502955639005582E-3</v>
      </c>
      <c r="N180" s="7">
        <f t="shared" si="37"/>
        <v>4.3421182278893496E-3</v>
      </c>
      <c r="O180" s="7">
        <f t="shared" si="38"/>
        <v>0.22155495798345917</v>
      </c>
      <c r="P180" s="7">
        <f t="shared" si="39"/>
        <v>0.23179501477121478</v>
      </c>
      <c r="Q180" s="7">
        <f t="shared" si="40"/>
        <v>0</v>
      </c>
      <c r="R180" s="7">
        <f t="shared" si="41"/>
        <v>0</v>
      </c>
      <c r="S180" s="8">
        <f t="shared" si="51"/>
        <v>0</v>
      </c>
      <c r="T180" s="8">
        <f t="shared" si="51"/>
        <v>0</v>
      </c>
      <c r="U180" s="7">
        <f t="shared" si="42"/>
        <v>0</v>
      </c>
      <c r="V180" s="7">
        <f t="shared" si="43"/>
        <v>0</v>
      </c>
      <c r="W180" s="7">
        <f t="shared" si="44"/>
        <v>0</v>
      </c>
      <c r="X180" s="7">
        <f t="shared" si="45"/>
        <v>0</v>
      </c>
      <c r="Y180" s="7">
        <f t="shared" si="46"/>
        <v>0</v>
      </c>
      <c r="Z180" s="7">
        <f t="shared" si="47"/>
        <v>0</v>
      </c>
      <c r="AA180" s="23">
        <v>193.97380504054999</v>
      </c>
      <c r="AB180" s="29">
        <v>202.93908750153</v>
      </c>
    </row>
    <row r="181" spans="1:28" x14ac:dyDescent="0.35">
      <c r="A181" s="10" t="s">
        <v>53</v>
      </c>
      <c r="B181" s="15" t="s">
        <v>67</v>
      </c>
      <c r="C181" s="20">
        <f t="shared" si="48"/>
        <v>6.4610800792816336E-2</v>
      </c>
      <c r="D181" s="30">
        <f>[1]data!D185-[1]data!D146</f>
        <v>5.5249140820461395E-3</v>
      </c>
      <c r="E181" s="30">
        <f>[1]data!E185-[1]data!E146</f>
        <v>5.9085886710770197E-2</v>
      </c>
      <c r="F181" s="30">
        <f>[1]data!F185-[1]data!F146</f>
        <v>0</v>
      </c>
      <c r="G181" s="21">
        <f t="shared" si="49"/>
        <v>2.4021959889068967E-2</v>
      </c>
      <c r="H181" s="30">
        <f>[1]data!H185-[1]data!H146</f>
        <v>-1.5880197370153226E-2</v>
      </c>
      <c r="I181" s="30">
        <f>[1]data!I185-[1]data!I146</f>
        <v>3.9902157259222193E-2</v>
      </c>
      <c r="J181" s="30">
        <f>[1]data!J185-[1]data!J146</f>
        <v>0</v>
      </c>
      <c r="K181" s="8">
        <f t="shared" si="50"/>
        <v>1.5749154360872274E-2</v>
      </c>
      <c r="L181" s="8">
        <f t="shared" si="50"/>
        <v>1.9552115711977631E-2</v>
      </c>
      <c r="M181" s="7">
        <f t="shared" si="36"/>
        <v>1.3467210379843489E-3</v>
      </c>
      <c r="N181" s="7">
        <f t="shared" si="37"/>
        <v>1.6719148827344559E-3</v>
      </c>
      <c r="O181" s="7">
        <f t="shared" si="38"/>
        <v>1.4402433322887926E-2</v>
      </c>
      <c r="P181" s="7">
        <f t="shared" si="39"/>
        <v>1.7880200829243176E-2</v>
      </c>
      <c r="Q181" s="7">
        <f t="shared" si="40"/>
        <v>0</v>
      </c>
      <c r="R181" s="7">
        <f t="shared" si="41"/>
        <v>0</v>
      </c>
      <c r="S181" s="8">
        <f t="shared" si="51"/>
        <v>5.8554537275707762E-3</v>
      </c>
      <c r="T181" s="8">
        <f t="shared" si="51"/>
        <v>7.2693749901917726E-3</v>
      </c>
      <c r="U181" s="7">
        <f t="shared" si="42"/>
        <v>-3.8708648800939815E-3</v>
      </c>
      <c r="V181" s="7">
        <f t="shared" si="43"/>
        <v>-4.8055658295570979E-3</v>
      </c>
      <c r="W181" s="7">
        <f t="shared" si="44"/>
        <v>9.7263186076647582E-3</v>
      </c>
      <c r="X181" s="7">
        <f t="shared" si="45"/>
        <v>1.207494081974887E-2</v>
      </c>
      <c r="Y181" s="7">
        <f t="shared" si="46"/>
        <v>0</v>
      </c>
      <c r="Z181" s="7">
        <f t="shared" si="47"/>
        <v>0</v>
      </c>
      <c r="AA181" s="23">
        <v>330.45426768437</v>
      </c>
      <c r="AB181" s="29">
        <v>410.24933347112</v>
      </c>
    </row>
    <row r="182" spans="1:28" x14ac:dyDescent="0.35">
      <c r="A182" s="10" t="s">
        <v>54</v>
      </c>
      <c r="B182" s="15" t="s">
        <v>67</v>
      </c>
      <c r="C182" s="20">
        <f t="shared" si="48"/>
        <v>1.7405980237011405</v>
      </c>
      <c r="D182" s="30">
        <f>[1]data!D186-[1]data!D147</f>
        <v>-0.33574397714601334</v>
      </c>
      <c r="E182" s="30">
        <f>[1]data!E186-[1]data!E147</f>
        <v>2.0763420008471538</v>
      </c>
      <c r="F182" s="30">
        <f>[1]data!F186-[1]data!F147</f>
        <v>-7.7368709221479817</v>
      </c>
      <c r="G182" s="21">
        <f t="shared" si="49"/>
        <v>0</v>
      </c>
      <c r="H182" s="30">
        <f>[1]data!H186-[1]data!H147</f>
        <v>0</v>
      </c>
      <c r="I182" s="30">
        <f>[1]data!I186-[1]data!I147</f>
        <v>0</v>
      </c>
      <c r="J182" s="30">
        <f>[1]data!J186-[1]data!J147</f>
        <v>0</v>
      </c>
      <c r="K182" s="8">
        <f t="shared" si="50"/>
        <v>0.78277540164496462</v>
      </c>
      <c r="L182" s="8">
        <f t="shared" si="50"/>
        <v>0.51011629076668297</v>
      </c>
      <c r="M182" s="7">
        <f t="shared" si="36"/>
        <v>-0.15098955817582446</v>
      </c>
      <c r="N182" s="7">
        <f t="shared" si="37"/>
        <v>-9.8396338463489469E-2</v>
      </c>
      <c r="O182" s="7">
        <f t="shared" si="38"/>
        <v>0.93376495982078911</v>
      </c>
      <c r="P182" s="7">
        <f t="shared" si="39"/>
        <v>0.60851262923017246</v>
      </c>
      <c r="Q182" s="7">
        <f t="shared" si="40"/>
        <v>-3.4793974031303887</v>
      </c>
      <c r="R182" s="7">
        <f t="shared" si="41"/>
        <v>-2.2674413294774491</v>
      </c>
      <c r="S182" s="8">
        <f t="shared" si="51"/>
        <v>0</v>
      </c>
      <c r="T182" s="8">
        <f t="shared" si="51"/>
        <v>0</v>
      </c>
      <c r="U182" s="7">
        <f t="shared" si="42"/>
        <v>0</v>
      </c>
      <c r="V182" s="7">
        <f t="shared" si="43"/>
        <v>0</v>
      </c>
      <c r="W182" s="7">
        <f t="shared" si="44"/>
        <v>0</v>
      </c>
      <c r="X182" s="7">
        <f t="shared" si="45"/>
        <v>0</v>
      </c>
      <c r="Y182" s="7">
        <f t="shared" si="46"/>
        <v>0</v>
      </c>
      <c r="Z182" s="7">
        <f t="shared" si="47"/>
        <v>0</v>
      </c>
      <c r="AA182" s="23">
        <v>341.21592570296002</v>
      </c>
      <c r="AB182" s="29">
        <v>222.36238134761999</v>
      </c>
    </row>
    <row r="183" spans="1:28" x14ac:dyDescent="0.35">
      <c r="A183" s="10" t="s">
        <v>55</v>
      </c>
      <c r="B183" s="15" t="s">
        <v>67</v>
      </c>
      <c r="C183" s="20">
        <f t="shared" si="48"/>
        <v>0.65254641160964366</v>
      </c>
      <c r="D183" s="30">
        <f>[1]data!D187-[1]data!D148</f>
        <v>0.12712771106513487</v>
      </c>
      <c r="E183" s="30">
        <f>[1]data!E187-[1]data!E148</f>
        <v>0.52541870054450879</v>
      </c>
      <c r="F183" s="30">
        <f>[1]data!F187-[1]data!F148</f>
        <v>5.5953016739066053E-2</v>
      </c>
      <c r="G183" s="21">
        <f t="shared" si="49"/>
        <v>1.7931727792675822E-2</v>
      </c>
      <c r="H183" s="30">
        <f>[1]data!H187-[1]data!H148</f>
        <v>0</v>
      </c>
      <c r="I183" s="30">
        <f>[1]data!I187-[1]data!I148</f>
        <v>1.7931727792675822E-2</v>
      </c>
      <c r="J183" s="30">
        <f>[1]data!J187-[1]data!J148</f>
        <v>0</v>
      </c>
      <c r="K183" s="8">
        <f t="shared" si="50"/>
        <v>0.65589764735081268</v>
      </c>
      <c r="L183" s="8">
        <f t="shared" si="50"/>
        <v>0.35911075319053898</v>
      </c>
      <c r="M183" s="7">
        <f t="shared" si="36"/>
        <v>0.1277805917207247</v>
      </c>
      <c r="N183" s="7">
        <f t="shared" si="37"/>
        <v>6.9961197027161956E-2</v>
      </c>
      <c r="O183" s="7">
        <f t="shared" si="38"/>
        <v>0.52811705563008804</v>
      </c>
      <c r="P183" s="7">
        <f t="shared" si="39"/>
        <v>0.28914955616337701</v>
      </c>
      <c r="Q183" s="7">
        <f t="shared" si="40"/>
        <v>5.6240370628668566E-2</v>
      </c>
      <c r="R183" s="7">
        <f t="shared" si="41"/>
        <v>3.0792185240716287E-2</v>
      </c>
      <c r="S183" s="8">
        <f t="shared" si="51"/>
        <v>1.8023818479270051E-2</v>
      </c>
      <c r="T183" s="8">
        <f t="shared" si="51"/>
        <v>9.8682272388123417E-3</v>
      </c>
      <c r="U183" s="7">
        <f t="shared" si="42"/>
        <v>0</v>
      </c>
      <c r="V183" s="7">
        <f t="shared" si="43"/>
        <v>0</v>
      </c>
      <c r="W183" s="7">
        <f t="shared" si="44"/>
        <v>1.8023818479270051E-2</v>
      </c>
      <c r="X183" s="7">
        <f t="shared" si="45"/>
        <v>9.8682272388123417E-3</v>
      </c>
      <c r="Y183" s="7">
        <f t="shared" si="46"/>
        <v>0</v>
      </c>
      <c r="Z183" s="7">
        <f t="shared" si="47"/>
        <v>0</v>
      </c>
      <c r="AA183" s="23">
        <v>181.71174374815001</v>
      </c>
      <c r="AB183" s="29">
        <v>99.489061173690004</v>
      </c>
    </row>
    <row r="184" spans="1:28" x14ac:dyDescent="0.35">
      <c r="A184" s="10" t="s">
        <v>56</v>
      </c>
      <c r="B184" s="15" t="s">
        <v>67</v>
      </c>
      <c r="C184" s="20">
        <f t="shared" si="48"/>
        <v>1.0573141337899383</v>
      </c>
      <c r="D184" s="30">
        <f>[1]data!D188-[1]data!D149</f>
        <v>1.2073783018731188E-3</v>
      </c>
      <c r="E184" s="30">
        <f>[1]data!E188-[1]data!E149</f>
        <v>1.0561067554880652</v>
      </c>
      <c r="F184" s="30">
        <f>[1]data!F188-[1]data!F149</f>
        <v>0</v>
      </c>
      <c r="G184" s="21">
        <f t="shared" si="49"/>
        <v>0</v>
      </c>
      <c r="H184" s="30">
        <f>[1]data!H188-[1]data!H149</f>
        <v>0</v>
      </c>
      <c r="I184" s="30">
        <f>[1]data!I188-[1]data!I149</f>
        <v>0</v>
      </c>
      <c r="J184" s="30">
        <f>[1]data!J188-[1]data!J149</f>
        <v>0</v>
      </c>
      <c r="K184" s="8">
        <f t="shared" si="50"/>
        <v>2.0970974668715687</v>
      </c>
      <c r="L184" s="8">
        <f t="shared" si="50"/>
        <v>1.390519146519885</v>
      </c>
      <c r="M184" s="7">
        <f t="shared" si="36"/>
        <v>2.3947376635720416E-3</v>
      </c>
      <c r="N184" s="7">
        <f t="shared" si="37"/>
        <v>1.587874967517259E-3</v>
      </c>
      <c r="O184" s="7">
        <f t="shared" si="38"/>
        <v>2.0947027292079965</v>
      </c>
      <c r="P184" s="7">
        <f t="shared" si="39"/>
        <v>1.3889312715523676</v>
      </c>
      <c r="Q184" s="7">
        <f t="shared" si="40"/>
        <v>0</v>
      </c>
      <c r="R184" s="7">
        <f t="shared" si="41"/>
        <v>0</v>
      </c>
      <c r="S184" s="8">
        <f t="shared" si="51"/>
        <v>0</v>
      </c>
      <c r="T184" s="8">
        <f t="shared" si="51"/>
        <v>0</v>
      </c>
      <c r="U184" s="7">
        <f t="shared" si="42"/>
        <v>0</v>
      </c>
      <c r="V184" s="7">
        <f t="shared" si="43"/>
        <v>0</v>
      </c>
      <c r="W184" s="7">
        <f t="shared" si="44"/>
        <v>0</v>
      </c>
      <c r="X184" s="7">
        <f t="shared" si="45"/>
        <v>0</v>
      </c>
      <c r="Y184" s="7">
        <f t="shared" si="46"/>
        <v>0</v>
      </c>
      <c r="Z184" s="7">
        <f t="shared" si="47"/>
        <v>0</v>
      </c>
      <c r="AA184" s="23">
        <v>76.037366075549997</v>
      </c>
      <c r="AB184" s="29">
        <v>50.417977728389999</v>
      </c>
    </row>
    <row r="185" spans="1:28" x14ac:dyDescent="0.35">
      <c r="A185" s="10" t="s">
        <v>57</v>
      </c>
      <c r="B185" s="15" t="s">
        <v>67</v>
      </c>
      <c r="C185" s="20">
        <f t="shared" si="48"/>
        <v>0.14978738107463396</v>
      </c>
      <c r="D185" s="30">
        <f>[1]data!D189-[1]data!D150</f>
        <v>4.9594344938770796E-2</v>
      </c>
      <c r="E185" s="30">
        <f>[1]data!E189-[1]data!E150</f>
        <v>0.10019303613586317</v>
      </c>
      <c r="F185" s="30">
        <f>[1]data!F189-[1]data!F150</f>
        <v>0.11278619484333774</v>
      </c>
      <c r="G185" s="21">
        <f t="shared" si="49"/>
        <v>8.8107902061195453E-2</v>
      </c>
      <c r="H185" s="30">
        <f>[1]data!H189-[1]data!H150</f>
        <v>3.9390999393047466E-3</v>
      </c>
      <c r="I185" s="30">
        <f>[1]data!I189-[1]data!I150</f>
        <v>8.4168802121890707E-2</v>
      </c>
      <c r="J185" s="30">
        <f>[1]data!J189-[1]data!J150</f>
        <v>0</v>
      </c>
      <c r="K185" s="8">
        <f t="shared" si="50"/>
        <v>2.7242921653429841E-2</v>
      </c>
      <c r="L185" s="8">
        <f t="shared" si="50"/>
        <v>2.8749729366256797E-2</v>
      </c>
      <c r="M185" s="7">
        <f t="shared" si="36"/>
        <v>9.0200846288039632E-3</v>
      </c>
      <c r="N185" s="7">
        <f t="shared" si="37"/>
        <v>9.5189860778459607E-3</v>
      </c>
      <c r="O185" s="7">
        <f t="shared" si="38"/>
        <v>1.8222837024625876E-2</v>
      </c>
      <c r="P185" s="7">
        <f t="shared" si="39"/>
        <v>1.9230743288410838E-2</v>
      </c>
      <c r="Q185" s="7">
        <f t="shared" si="40"/>
        <v>2.0513246494205929E-2</v>
      </c>
      <c r="R185" s="7">
        <f t="shared" si="41"/>
        <v>2.1647835450038375E-2</v>
      </c>
      <c r="S185" s="8">
        <f t="shared" si="51"/>
        <v>1.6024825694129875E-2</v>
      </c>
      <c r="T185" s="8">
        <f t="shared" si="51"/>
        <v>1.6911159812760743E-2</v>
      </c>
      <c r="U185" s="7">
        <f t="shared" si="42"/>
        <v>7.1643278800661604E-4</v>
      </c>
      <c r="V185" s="7">
        <f t="shared" si="43"/>
        <v>7.5605873064315339E-4</v>
      </c>
      <c r="W185" s="7">
        <f t="shared" si="44"/>
        <v>1.5308392906123259E-2</v>
      </c>
      <c r="X185" s="7">
        <f t="shared" si="45"/>
        <v>1.6155101082117589E-2</v>
      </c>
      <c r="Y185" s="7">
        <f t="shared" si="46"/>
        <v>0</v>
      </c>
      <c r="Z185" s="7">
        <f t="shared" si="47"/>
        <v>0</v>
      </c>
      <c r="AA185" s="23">
        <v>521.00449074291998</v>
      </c>
      <c r="AB185" s="29">
        <v>549.82128194673999</v>
      </c>
    </row>
    <row r="186" spans="1:28" x14ac:dyDescent="0.35">
      <c r="A186" s="10" t="s">
        <v>58</v>
      </c>
      <c r="B186" s="15" t="s">
        <v>67</v>
      </c>
      <c r="C186" s="20">
        <f t="shared" si="48"/>
        <v>14.861503111824637</v>
      </c>
      <c r="D186" s="30">
        <f>[1]data!D190-[1]data!D151</f>
        <v>1.5501657954967438</v>
      </c>
      <c r="E186" s="30">
        <f>[1]data!E190-[1]data!E151</f>
        <v>13.311337316327894</v>
      </c>
      <c r="F186" s="30">
        <f>[1]data!F190-[1]data!F151</f>
        <v>0</v>
      </c>
      <c r="G186" s="21">
        <f t="shared" si="49"/>
        <v>1.759052535380373</v>
      </c>
      <c r="H186" s="30">
        <f>[1]data!H190-[1]data!H151</f>
        <v>0.21456229224262158</v>
      </c>
      <c r="I186" s="30">
        <f>[1]data!I190-[1]data!I151</f>
        <v>1.5444902431377514</v>
      </c>
      <c r="J186" s="30">
        <f>[1]data!J190-[1]data!J151</f>
        <v>0</v>
      </c>
      <c r="K186" s="8">
        <f t="shared" si="50"/>
        <v>1.9891993723876062</v>
      </c>
      <c r="L186" s="8">
        <f t="shared" si="50"/>
        <v>2.5154274674357873</v>
      </c>
      <c r="M186" s="7">
        <f t="shared" si="36"/>
        <v>0.20748835459620382</v>
      </c>
      <c r="N186" s="7">
        <f t="shared" si="37"/>
        <v>0.2623778760285313</v>
      </c>
      <c r="O186" s="7">
        <f t="shared" si="38"/>
        <v>1.7817110177914024</v>
      </c>
      <c r="P186" s="7">
        <f t="shared" si="39"/>
        <v>2.2530495914072559</v>
      </c>
      <c r="Q186" s="7">
        <f t="shared" si="40"/>
        <v>0</v>
      </c>
      <c r="R186" s="7">
        <f t="shared" si="41"/>
        <v>0</v>
      </c>
      <c r="S186" s="8">
        <f t="shared" si="51"/>
        <v>0.23544766454958263</v>
      </c>
      <c r="T186" s="8">
        <f t="shared" si="51"/>
        <v>0.29773361623413175</v>
      </c>
      <c r="U186" s="7">
        <f t="shared" si="42"/>
        <v>2.8718977741052146E-2</v>
      </c>
      <c r="V186" s="7">
        <f t="shared" si="43"/>
        <v>3.6316372531231177E-2</v>
      </c>
      <c r="W186" s="7">
        <f t="shared" si="44"/>
        <v>0.20672868680853049</v>
      </c>
      <c r="X186" s="7">
        <f t="shared" si="45"/>
        <v>0.26141724370290059</v>
      </c>
      <c r="Y186" s="7">
        <f t="shared" si="46"/>
        <v>0</v>
      </c>
      <c r="Z186" s="7">
        <f t="shared" si="47"/>
        <v>0</v>
      </c>
      <c r="AA186" s="23">
        <v>590.81421763174001</v>
      </c>
      <c r="AB186" s="29">
        <v>747.10978286638999</v>
      </c>
    </row>
    <row r="187" spans="1:28" x14ac:dyDescent="0.35">
      <c r="A187" s="5" t="s">
        <v>59</v>
      </c>
      <c r="B187" s="15" t="s">
        <v>67</v>
      </c>
      <c r="C187" s="20">
        <f t="shared" si="48"/>
        <v>0</v>
      </c>
      <c r="D187" s="30">
        <f>[1]data!D191-[1]data!D152</f>
        <v>0</v>
      </c>
      <c r="E187" s="30">
        <f>[1]data!E191-[1]data!E152</f>
        <v>0</v>
      </c>
      <c r="F187" s="30">
        <f>[1]data!F191-[1]data!F152</f>
        <v>-2.3244291230595238E-4</v>
      </c>
      <c r="G187" s="21">
        <f t="shared" si="49"/>
        <v>0</v>
      </c>
      <c r="H187" s="30">
        <f>[1]data!H191-[1]data!H152</f>
        <v>0</v>
      </c>
      <c r="I187" s="30">
        <f>[1]data!I191-[1]data!I152</f>
        <v>0</v>
      </c>
      <c r="J187" s="30">
        <f>[1]data!J191-[1]data!J152</f>
        <v>0</v>
      </c>
      <c r="K187" s="8">
        <f t="shared" si="50"/>
        <v>0</v>
      </c>
      <c r="L187" s="8">
        <f t="shared" si="50"/>
        <v>0</v>
      </c>
      <c r="M187" s="7">
        <f t="shared" si="36"/>
        <v>0</v>
      </c>
      <c r="N187" s="7">
        <f t="shared" si="37"/>
        <v>0</v>
      </c>
      <c r="O187" s="7">
        <f t="shared" si="38"/>
        <v>0</v>
      </c>
      <c r="P187" s="7">
        <f t="shared" si="39"/>
        <v>0</v>
      </c>
      <c r="Q187" s="7">
        <f t="shared" si="40"/>
        <v>-8.8732399515102401E-5</v>
      </c>
      <c r="R187" s="7">
        <f t="shared" si="41"/>
        <v>-5.2673663376979842E-5</v>
      </c>
      <c r="S187" s="8">
        <f t="shared" si="51"/>
        <v>0</v>
      </c>
      <c r="T187" s="8">
        <f t="shared" si="51"/>
        <v>0</v>
      </c>
      <c r="U187" s="7">
        <f t="shared" si="42"/>
        <v>0</v>
      </c>
      <c r="V187" s="7">
        <f t="shared" si="43"/>
        <v>0</v>
      </c>
      <c r="W187" s="7">
        <f t="shared" si="44"/>
        <v>0</v>
      </c>
      <c r="X187" s="7">
        <f t="shared" si="45"/>
        <v>0</v>
      </c>
      <c r="Y187" s="7">
        <f t="shared" si="46"/>
        <v>0</v>
      </c>
      <c r="Z187" s="7">
        <f t="shared" si="47"/>
        <v>0</v>
      </c>
      <c r="AA187" s="23">
        <v>441.28867711817003</v>
      </c>
      <c r="AB187" s="29">
        <v>261.95945739796002</v>
      </c>
    </row>
    <row r="188" spans="1:28" x14ac:dyDescent="0.35">
      <c r="A188" s="5" t="s">
        <v>60</v>
      </c>
      <c r="B188" s="15" t="s">
        <v>67</v>
      </c>
      <c r="C188" s="20">
        <f t="shared" si="48"/>
        <v>7.6428054034678006E-2</v>
      </c>
      <c r="D188" s="30">
        <f>[1]data!D192-[1]data!D153</f>
        <v>2.0133252286158587E-2</v>
      </c>
      <c r="E188" s="30">
        <f>[1]data!E192-[1]data!E153</f>
        <v>5.6294801748519419E-2</v>
      </c>
      <c r="F188" s="30">
        <f>[1]data!F192-[1]data!F153</f>
        <v>7.4328099406205383E-4</v>
      </c>
      <c r="G188" s="21">
        <f t="shared" si="49"/>
        <v>0.10649730082921138</v>
      </c>
      <c r="H188" s="30">
        <f>[1]data!H192-[1]data!H153</f>
        <v>5.8988637891250306E-2</v>
      </c>
      <c r="I188" s="30">
        <f>[1]data!I192-[1]data!I153</f>
        <v>4.7508662937961077E-2</v>
      </c>
      <c r="J188" s="30">
        <f>[1]data!J192-[1]data!J153</f>
        <v>0</v>
      </c>
      <c r="K188" s="8">
        <f t="shared" si="50"/>
        <v>2.3779315743930479E-2</v>
      </c>
      <c r="L188" s="8">
        <f t="shared" si="50"/>
        <v>1.1069003789356845E-2</v>
      </c>
      <c r="M188" s="7">
        <f t="shared" si="36"/>
        <v>6.2641260347613692E-3</v>
      </c>
      <c r="N188" s="7">
        <f t="shared" si="37"/>
        <v>2.9158801524169367E-3</v>
      </c>
      <c r="O188" s="7">
        <f t="shared" si="38"/>
        <v>1.7515189709169109E-2</v>
      </c>
      <c r="P188" s="7">
        <f t="shared" si="39"/>
        <v>8.1531236369399088E-3</v>
      </c>
      <c r="Q188" s="7">
        <f t="shared" si="40"/>
        <v>2.31259498459093E-4</v>
      </c>
      <c r="R188" s="7">
        <f t="shared" si="41"/>
        <v>1.0764869318924115E-4</v>
      </c>
      <c r="S188" s="8">
        <f t="shared" si="51"/>
        <v>3.3134860939218941E-2</v>
      </c>
      <c r="T188" s="8">
        <f t="shared" si="51"/>
        <v>1.5423904760154516E-2</v>
      </c>
      <c r="U188" s="7">
        <f t="shared" si="42"/>
        <v>1.8353331946459942E-2</v>
      </c>
      <c r="V188" s="7">
        <f t="shared" si="43"/>
        <v>8.5432694132312314E-3</v>
      </c>
      <c r="W188" s="7">
        <f t="shared" si="44"/>
        <v>1.4781528992759E-2</v>
      </c>
      <c r="X188" s="7">
        <f t="shared" si="45"/>
        <v>6.8806353469232848E-3</v>
      </c>
      <c r="Y188" s="7">
        <f t="shared" si="46"/>
        <v>0</v>
      </c>
      <c r="Z188" s="7">
        <f t="shared" si="47"/>
        <v>0</v>
      </c>
      <c r="AA188" s="23">
        <v>690.46912883131995</v>
      </c>
      <c r="AB188" s="29">
        <v>321.40560669490998</v>
      </c>
    </row>
    <row r="189" spans="1:28" x14ac:dyDescent="0.35">
      <c r="A189" s="5" t="s">
        <v>61</v>
      </c>
      <c r="B189" s="15" t="s">
        <v>67</v>
      </c>
      <c r="C189" s="20">
        <f t="shared" si="48"/>
        <v>7.9918472874347668E-3</v>
      </c>
      <c r="D189" s="30">
        <f>[1]data!D193-[1]data!D154</f>
        <v>4.6165707683641088E-3</v>
      </c>
      <c r="E189" s="30">
        <f>[1]data!E193-[1]data!E154</f>
        <v>3.375276519070658E-3</v>
      </c>
      <c r="F189" s="30">
        <f>[1]data!F193-[1]data!F154</f>
        <v>-0.40447797630408838</v>
      </c>
      <c r="G189" s="21">
        <f t="shared" si="49"/>
        <v>0</v>
      </c>
      <c r="H189" s="30">
        <f>[1]data!H193-[1]data!H154</f>
        <v>0</v>
      </c>
      <c r="I189" s="30">
        <f>[1]data!I193-[1]data!I154</f>
        <v>0</v>
      </c>
      <c r="J189" s="30">
        <f>[1]data!J193-[1]data!J154</f>
        <v>0</v>
      </c>
      <c r="K189" s="8">
        <f t="shared" si="50"/>
        <v>1.2413074993709614E-2</v>
      </c>
      <c r="L189" s="8">
        <f t="shared" si="50"/>
        <v>8.7597739280124032E-3</v>
      </c>
      <c r="M189" s="7">
        <f t="shared" si="36"/>
        <v>7.170537311388666E-3</v>
      </c>
      <c r="N189" s="7">
        <f t="shared" si="37"/>
        <v>5.0601712969568797E-3</v>
      </c>
      <c r="O189" s="7">
        <f t="shared" si="38"/>
        <v>5.2425376823209474E-3</v>
      </c>
      <c r="P189" s="7">
        <f t="shared" si="39"/>
        <v>3.6996026310555231E-3</v>
      </c>
      <c r="Q189" s="7">
        <f t="shared" si="40"/>
        <v>-0.62824216637129171</v>
      </c>
      <c r="R189" s="7">
        <f t="shared" si="41"/>
        <v>-0.44334376069153497</v>
      </c>
      <c r="S189" s="8">
        <f t="shared" si="51"/>
        <v>0</v>
      </c>
      <c r="T189" s="8">
        <f t="shared" si="51"/>
        <v>0</v>
      </c>
      <c r="U189" s="7">
        <f t="shared" si="42"/>
        <v>0</v>
      </c>
      <c r="V189" s="7">
        <f t="shared" si="43"/>
        <v>0</v>
      </c>
      <c r="W189" s="7">
        <f t="shared" si="44"/>
        <v>0</v>
      </c>
      <c r="X189" s="7">
        <f t="shared" si="45"/>
        <v>0</v>
      </c>
      <c r="Y189" s="7">
        <f t="shared" si="46"/>
        <v>0</v>
      </c>
      <c r="Z189" s="7">
        <f t="shared" si="47"/>
        <v>0</v>
      </c>
      <c r="AA189" s="23">
        <v>91.233487908610002</v>
      </c>
      <c r="AB189" s="29">
        <v>64.38249419652</v>
      </c>
    </row>
    <row r="190" spans="1:28" x14ac:dyDescent="0.35">
      <c r="A190" s="5" t="s">
        <v>62</v>
      </c>
      <c r="B190" s="15" t="s">
        <v>67</v>
      </c>
      <c r="C190" s="20">
        <f t="shared" si="48"/>
        <v>7.7024509539050046</v>
      </c>
      <c r="D190" s="30">
        <f>[1]data!D194-[1]data!D155</f>
        <v>2.4305849670506685</v>
      </c>
      <c r="E190" s="30">
        <f>[1]data!E194-[1]data!E155</f>
        <v>5.2718659868543361</v>
      </c>
      <c r="F190" s="30">
        <f>[1]data!F194-[1]data!F155</f>
        <v>2.9</v>
      </c>
      <c r="G190" s="21">
        <f t="shared" si="49"/>
        <v>0</v>
      </c>
      <c r="H190" s="30">
        <f>[1]data!H194-[1]data!H155</f>
        <v>0</v>
      </c>
      <c r="I190" s="30">
        <f>[1]data!I194-[1]data!I155</f>
        <v>0</v>
      </c>
      <c r="J190" s="30">
        <f>[1]data!J194-[1]data!J155</f>
        <v>0</v>
      </c>
      <c r="K190" s="8">
        <f t="shared" si="50"/>
        <v>5.2261115841824903</v>
      </c>
      <c r="L190" s="8">
        <f t="shared" si="50"/>
        <v>2.4855583034441739</v>
      </c>
      <c r="M190" s="7">
        <f t="shared" si="36"/>
        <v>1.6491514621334098</v>
      </c>
      <c r="N190" s="7">
        <f t="shared" si="37"/>
        <v>0.78434263109673041</v>
      </c>
      <c r="O190" s="7">
        <f t="shared" si="38"/>
        <v>3.5769601220490803</v>
      </c>
      <c r="P190" s="7">
        <f t="shared" si="39"/>
        <v>1.7012156723474434</v>
      </c>
      <c r="Q190" s="7">
        <f t="shared" si="40"/>
        <v>1.9676494773972615</v>
      </c>
      <c r="R190" s="7">
        <f t="shared" si="41"/>
        <v>0.93582148372314089</v>
      </c>
      <c r="S190" s="8">
        <f t="shared" si="51"/>
        <v>0</v>
      </c>
      <c r="T190" s="8">
        <f t="shared" si="51"/>
        <v>0</v>
      </c>
      <c r="U190" s="7">
        <f t="shared" si="42"/>
        <v>0</v>
      </c>
      <c r="V190" s="7">
        <f t="shared" si="43"/>
        <v>0</v>
      </c>
      <c r="W190" s="7">
        <f t="shared" si="44"/>
        <v>0</v>
      </c>
      <c r="X190" s="7">
        <f t="shared" si="45"/>
        <v>0</v>
      </c>
      <c r="Y190" s="7">
        <f t="shared" si="46"/>
        <v>0</v>
      </c>
      <c r="Z190" s="7">
        <f t="shared" si="47"/>
        <v>0</v>
      </c>
      <c r="AA190" s="23">
        <v>309.88816247970999</v>
      </c>
      <c r="AB190" s="29">
        <v>147.38397429586999</v>
      </c>
    </row>
    <row r="191" spans="1:28" x14ac:dyDescent="0.35">
      <c r="A191" s="5" t="s">
        <v>63</v>
      </c>
      <c r="B191" s="15" t="s">
        <v>67</v>
      </c>
      <c r="C191" s="20">
        <f t="shared" si="48"/>
        <v>1.4258862393990324E-2</v>
      </c>
      <c r="D191" s="30">
        <f>[1]data!D195-[1]data!D156</f>
        <v>1.4258862393990324E-2</v>
      </c>
      <c r="E191" s="30">
        <f>[1]data!E195-[1]data!E156</f>
        <v>0</v>
      </c>
      <c r="F191" s="30">
        <f>[1]data!F195-[1]data!F156</f>
        <v>0</v>
      </c>
      <c r="G191" s="21">
        <f t="shared" si="49"/>
        <v>8.8015529103202539E-2</v>
      </c>
      <c r="H191" s="30">
        <f>[1]data!H195-[1]data!H156</f>
        <v>0</v>
      </c>
      <c r="I191" s="30">
        <f>[1]data!I195-[1]data!I156</f>
        <v>8.8015529103202539E-2</v>
      </c>
      <c r="J191" s="30">
        <f>[1]data!J195-[1]data!J156</f>
        <v>0</v>
      </c>
      <c r="K191" s="8">
        <f t="shared" si="50"/>
        <v>2.4949754370087395E-3</v>
      </c>
      <c r="L191" s="8">
        <f t="shared" si="50"/>
        <v>1.1731606141174276E-3</v>
      </c>
      <c r="M191" s="7">
        <f t="shared" si="36"/>
        <v>2.4949754370087395E-3</v>
      </c>
      <c r="N191" s="7">
        <f t="shared" si="37"/>
        <v>1.1731606141174276E-3</v>
      </c>
      <c r="O191" s="7">
        <f t="shared" si="38"/>
        <v>0</v>
      </c>
      <c r="P191" s="7">
        <f t="shared" si="39"/>
        <v>0</v>
      </c>
      <c r="Q191" s="7">
        <f t="shared" si="40"/>
        <v>0</v>
      </c>
      <c r="R191" s="7">
        <f t="shared" si="41"/>
        <v>0</v>
      </c>
      <c r="S191" s="8">
        <f t="shared" si="51"/>
        <v>1.5400708494134248E-2</v>
      </c>
      <c r="T191" s="8">
        <f t="shared" si="51"/>
        <v>7.2415561158723878E-3</v>
      </c>
      <c r="U191" s="7">
        <f t="shared" si="42"/>
        <v>0</v>
      </c>
      <c r="V191" s="7">
        <f t="shared" si="43"/>
        <v>0</v>
      </c>
      <c r="W191" s="7">
        <f t="shared" si="44"/>
        <v>1.5400708494134248E-2</v>
      </c>
      <c r="X191" s="7">
        <f t="shared" si="45"/>
        <v>7.2415561158723878E-3</v>
      </c>
      <c r="Y191" s="7">
        <f t="shared" si="46"/>
        <v>0</v>
      </c>
      <c r="Z191" s="7">
        <f t="shared" si="47"/>
        <v>0</v>
      </c>
      <c r="AA191" s="23">
        <v>1215.4228689920101</v>
      </c>
      <c r="AB191" s="29">
        <v>571.50311712429004</v>
      </c>
    </row>
    <row r="192" spans="1:28" x14ac:dyDescent="0.35">
      <c r="A192" s="5" t="s">
        <v>25</v>
      </c>
      <c r="B192" s="15" t="s">
        <v>68</v>
      </c>
      <c r="C192" s="20">
        <f t="shared" si="48"/>
        <v>30.447629669960548</v>
      </c>
      <c r="D192" s="30">
        <f>[1]data!D197-[1]data!D158</f>
        <v>2.3474363010853931</v>
      </c>
      <c r="E192" s="30">
        <f>[1]data!E197-[1]data!E158</f>
        <v>28.100193368875154</v>
      </c>
      <c r="F192" s="30">
        <f>[1]data!F197-[1]data!F158</f>
        <v>0</v>
      </c>
      <c r="G192" s="21">
        <f t="shared" si="49"/>
        <v>0</v>
      </c>
      <c r="H192" s="30">
        <f>[1]data!H197-[1]data!H158</f>
        <v>0</v>
      </c>
      <c r="I192" s="30">
        <f>[1]data!I197-[1]data!I158</f>
        <v>0</v>
      </c>
      <c r="J192" s="30">
        <f>[1]data!J197-[1]data!J158</f>
        <v>0</v>
      </c>
      <c r="K192" s="8">
        <f t="shared" si="50"/>
        <v>2.0369395358085827</v>
      </c>
      <c r="L192" s="8">
        <f t="shared" si="50"/>
        <v>2.482449204899484</v>
      </c>
      <c r="M192" s="7">
        <f t="shared" si="36"/>
        <v>0.15704295740927843</v>
      </c>
      <c r="N192" s="7">
        <f t="shared" si="37"/>
        <v>0.19139064164757924</v>
      </c>
      <c r="O192" s="7">
        <f t="shared" si="38"/>
        <v>1.8798965783993042</v>
      </c>
      <c r="P192" s="7">
        <f t="shared" si="39"/>
        <v>2.2910585632519047</v>
      </c>
      <c r="Q192" s="7">
        <f t="shared" si="40"/>
        <v>0</v>
      </c>
      <c r="R192" s="7">
        <f t="shared" si="41"/>
        <v>0</v>
      </c>
      <c r="S192" s="8">
        <f t="shared" si="51"/>
        <v>0</v>
      </c>
      <c r="T192" s="8">
        <f t="shared" si="51"/>
        <v>0</v>
      </c>
      <c r="U192" s="7">
        <f t="shared" si="42"/>
        <v>0</v>
      </c>
      <c r="V192" s="7">
        <f t="shared" si="43"/>
        <v>0</v>
      </c>
      <c r="W192" s="7">
        <f t="shared" si="44"/>
        <v>0</v>
      </c>
      <c r="X192" s="7">
        <f t="shared" si="45"/>
        <v>0</v>
      </c>
      <c r="Y192" s="7">
        <f t="shared" si="46"/>
        <v>0</v>
      </c>
      <c r="Z192" s="7">
        <f t="shared" si="47"/>
        <v>0</v>
      </c>
      <c r="AA192" s="23">
        <v>1226.51571721458</v>
      </c>
      <c r="AB192" s="29">
        <v>1494.77336635199</v>
      </c>
    </row>
    <row r="193" spans="1:28" x14ac:dyDescent="0.35">
      <c r="A193" s="5" t="s">
        <v>27</v>
      </c>
      <c r="B193" s="15" t="s">
        <v>68</v>
      </c>
      <c r="C193" s="20">
        <f t="shared" si="48"/>
        <v>20.504749809281783</v>
      </c>
      <c r="D193" s="30">
        <f>[1]data!D198-[1]data!D159</f>
        <v>5.6667672200197003</v>
      </c>
      <c r="E193" s="30">
        <f>[1]data!E198-[1]data!E159</f>
        <v>14.837982589262083</v>
      </c>
      <c r="F193" s="30">
        <f>[1]data!F198-[1]data!F159</f>
        <v>7.4562726579202376E-2</v>
      </c>
      <c r="G193" s="21">
        <f t="shared" si="49"/>
        <v>0</v>
      </c>
      <c r="H193" s="30">
        <f>[1]data!H198-[1]data!H159</f>
        <v>0</v>
      </c>
      <c r="I193" s="30">
        <f>[1]data!I198-[1]data!I159</f>
        <v>0</v>
      </c>
      <c r="J193" s="30">
        <f>[1]data!J198-[1]data!J159</f>
        <v>0</v>
      </c>
      <c r="K193" s="8">
        <f t="shared" si="50"/>
        <v>1.2085752854931875</v>
      </c>
      <c r="L193" s="8">
        <f t="shared" si="50"/>
        <v>1.1897238619754564</v>
      </c>
      <c r="M193" s="7">
        <f t="shared" si="36"/>
        <v>0.33400626071811768</v>
      </c>
      <c r="N193" s="7">
        <f t="shared" si="37"/>
        <v>0.32879641276412658</v>
      </c>
      <c r="O193" s="7">
        <f t="shared" si="38"/>
        <v>0.8745690247750697</v>
      </c>
      <c r="P193" s="7">
        <f t="shared" si="39"/>
        <v>0.8609274492113298</v>
      </c>
      <c r="Q193" s="7">
        <f t="shared" si="40"/>
        <v>4.3948192199749847E-3</v>
      </c>
      <c r="R193" s="7">
        <f t="shared" si="41"/>
        <v>4.3262685890014209E-3</v>
      </c>
      <c r="S193" s="8">
        <f t="shared" si="51"/>
        <v>0</v>
      </c>
      <c r="T193" s="8">
        <f t="shared" si="51"/>
        <v>0</v>
      </c>
      <c r="U193" s="7">
        <f t="shared" si="42"/>
        <v>0</v>
      </c>
      <c r="V193" s="7">
        <f t="shared" si="43"/>
        <v>0</v>
      </c>
      <c r="W193" s="7">
        <f t="shared" si="44"/>
        <v>0</v>
      </c>
      <c r="X193" s="7">
        <f t="shared" si="45"/>
        <v>0</v>
      </c>
      <c r="Y193" s="7">
        <f t="shared" si="46"/>
        <v>0</v>
      </c>
      <c r="Z193" s="7">
        <f t="shared" si="47"/>
        <v>0</v>
      </c>
      <c r="AA193" s="23">
        <v>1723.48815255626</v>
      </c>
      <c r="AB193" s="29">
        <v>1696.60508992738</v>
      </c>
    </row>
    <row r="194" spans="1:28" x14ac:dyDescent="0.35">
      <c r="A194" s="5" t="s">
        <v>28</v>
      </c>
      <c r="B194" s="15" t="s">
        <v>68</v>
      </c>
      <c r="C194" s="20">
        <f t="shared" si="48"/>
        <v>54.301594318374249</v>
      </c>
      <c r="D194" s="30">
        <f>[1]data!D199-[1]data!D160</f>
        <v>17.177471224312008</v>
      </c>
      <c r="E194" s="30">
        <f>[1]data!E199-[1]data!E160</f>
        <v>37.124123094062242</v>
      </c>
      <c r="F194" s="30">
        <f>[1]data!F199-[1]data!F160</f>
        <v>-0.11457218907976596</v>
      </c>
      <c r="G194" s="21">
        <f t="shared" si="49"/>
        <v>0</v>
      </c>
      <c r="H194" s="30">
        <f>[1]data!H199-[1]data!H160</f>
        <v>0</v>
      </c>
      <c r="I194" s="30">
        <f>[1]data!I199-[1]data!I160</f>
        <v>0</v>
      </c>
      <c r="J194" s="30">
        <f>[1]data!J199-[1]data!J160</f>
        <v>0</v>
      </c>
      <c r="K194" s="8">
        <f t="shared" si="50"/>
        <v>2.0751045256295768</v>
      </c>
      <c r="L194" s="8">
        <f t="shared" si="50"/>
        <v>1.8679019105759798</v>
      </c>
      <c r="M194" s="7">
        <f t="shared" ref="M194:M257" si="52">($D194/$AB194)*100</f>
        <v>0.65642728770452174</v>
      </c>
      <c r="N194" s="7">
        <f t="shared" ref="N194:N257" si="53">($D194/$AA194)*100</f>
        <v>0.5908819385787224</v>
      </c>
      <c r="O194" s="7">
        <f t="shared" ref="O194:O257" si="54">($E194/$AB194)*100</f>
        <v>1.4186772379250552</v>
      </c>
      <c r="P194" s="7">
        <f t="shared" ref="P194:P257" si="55">($E194/$AA194)*100</f>
        <v>1.2770199719972575</v>
      </c>
      <c r="Q194" s="7">
        <f t="shared" ref="Q194:Q257" si="56">($F194/$AB194)*100</f>
        <v>-4.3783110064277023E-3</v>
      </c>
      <c r="R194" s="7">
        <f t="shared" ref="R194:R257" si="57">($F194/$AA194)*100</f>
        <v>-3.9411294192618568E-3</v>
      </c>
      <c r="S194" s="8">
        <f t="shared" si="51"/>
        <v>0</v>
      </c>
      <c r="T194" s="8">
        <f t="shared" si="51"/>
        <v>0</v>
      </c>
      <c r="U194" s="7">
        <f t="shared" ref="U194:U257" si="58">($H194/$AB194)*100</f>
        <v>0</v>
      </c>
      <c r="V194" s="7">
        <f t="shared" ref="V194:V257" si="59">($H194/AA194)*100</f>
        <v>0</v>
      </c>
      <c r="W194" s="7">
        <f t="shared" ref="W194:W257" si="60">($I194/$AB194)*100</f>
        <v>0</v>
      </c>
      <c r="X194" s="7">
        <f t="shared" ref="X194:X257" si="61">($I194/$AA194)*100</f>
        <v>0</v>
      </c>
      <c r="Y194" s="7">
        <f t="shared" ref="Y194:Y257" si="62">($J194/$AB194)*100</f>
        <v>0</v>
      </c>
      <c r="Z194" s="7">
        <f t="shared" ref="Z194:Z257" si="63">($J194/$AA194)*100</f>
        <v>0</v>
      </c>
      <c r="AA194" s="23">
        <v>2907.0902498102801</v>
      </c>
      <c r="AB194" s="29">
        <v>2616.8124857180101</v>
      </c>
    </row>
    <row r="195" spans="1:28" x14ac:dyDescent="0.35">
      <c r="A195" s="5" t="s">
        <v>29</v>
      </c>
      <c r="B195" s="15" t="s">
        <v>68</v>
      </c>
      <c r="C195" s="20">
        <f t="shared" ref="C195:C258" si="64">D195+E195</f>
        <v>100.43280362318828</v>
      </c>
      <c r="D195" s="30">
        <f>[1]data!D200-[1]data!D161</f>
        <v>23.966919046442662</v>
      </c>
      <c r="E195" s="30">
        <f>[1]data!E200-[1]data!E161</f>
        <v>76.465884576745623</v>
      </c>
      <c r="F195" s="30">
        <f>[1]data!F200-[1]data!F161</f>
        <v>0</v>
      </c>
      <c r="G195" s="21">
        <f t="shared" ref="G195:G258" si="65">H195+I195</f>
        <v>0.79889730154820882</v>
      </c>
      <c r="H195" s="30">
        <f>[1]data!H200-[1]data!H161</f>
        <v>0</v>
      </c>
      <c r="I195" s="30">
        <f>[1]data!I200-[1]data!I161</f>
        <v>0.79889730154820882</v>
      </c>
      <c r="J195" s="30">
        <f>[1]data!J200-[1]data!J161</f>
        <v>0</v>
      </c>
      <c r="K195" s="8">
        <f t="shared" si="50"/>
        <v>2.7918805654534253</v>
      </c>
      <c r="L195" s="8">
        <f t="shared" si="50"/>
        <v>2.4132147741265229</v>
      </c>
      <c r="M195" s="7">
        <f t="shared" si="52"/>
        <v>0.66624422584684018</v>
      </c>
      <c r="N195" s="7">
        <f t="shared" si="53"/>
        <v>0.57588079837110207</v>
      </c>
      <c r="O195" s="7">
        <f t="shared" si="54"/>
        <v>2.1256363396065852</v>
      </c>
      <c r="P195" s="7">
        <f t="shared" si="55"/>
        <v>1.8373339757554206</v>
      </c>
      <c r="Q195" s="7">
        <f t="shared" si="56"/>
        <v>0</v>
      </c>
      <c r="R195" s="7">
        <f t="shared" si="57"/>
        <v>0</v>
      </c>
      <c r="S195" s="8">
        <f t="shared" si="51"/>
        <v>2.2208140861564678E-2</v>
      </c>
      <c r="T195" s="8">
        <f t="shared" si="51"/>
        <v>1.9196026612372956E-2</v>
      </c>
      <c r="U195" s="7">
        <f t="shared" si="58"/>
        <v>0</v>
      </c>
      <c r="V195" s="7">
        <f t="shared" si="59"/>
        <v>0</v>
      </c>
      <c r="W195" s="7">
        <f t="shared" si="60"/>
        <v>2.2208140861564678E-2</v>
      </c>
      <c r="X195" s="7">
        <f t="shared" si="61"/>
        <v>1.9196026612372956E-2</v>
      </c>
      <c r="Y195" s="7">
        <f t="shared" si="62"/>
        <v>0</v>
      </c>
      <c r="Z195" s="7">
        <f t="shared" si="63"/>
        <v>0</v>
      </c>
      <c r="AA195" s="23">
        <v>4161.7847155581303</v>
      </c>
      <c r="AB195" s="29">
        <v>3597.3173374942398</v>
      </c>
    </row>
    <row r="196" spans="1:28" x14ac:dyDescent="0.35">
      <c r="A196" s="5" t="s">
        <v>30</v>
      </c>
      <c r="B196" s="15" t="s">
        <v>68</v>
      </c>
      <c r="C196" s="20">
        <f t="shared" si="64"/>
        <v>45.651274374176516</v>
      </c>
      <c r="D196" s="30">
        <f>[1]data!D201-[1]data!D162</f>
        <v>11.412818593544126</v>
      </c>
      <c r="E196" s="30">
        <f>[1]data!E201-[1]data!E162</f>
        <v>34.238455780632393</v>
      </c>
      <c r="F196" s="30">
        <f>[1]data!F201-[1]data!F162</f>
        <v>0</v>
      </c>
      <c r="G196" s="21">
        <f t="shared" si="65"/>
        <v>0</v>
      </c>
      <c r="H196" s="30">
        <f>[1]data!H201-[1]data!H162</f>
        <v>0</v>
      </c>
      <c r="I196" s="30">
        <f>[1]data!I201-[1]data!I162</f>
        <v>0</v>
      </c>
      <c r="J196" s="30">
        <f>[1]data!J201-[1]data!J162</f>
        <v>0</v>
      </c>
      <c r="K196" s="8">
        <f t="shared" ref="K196:L233" si="66">M196+O196</f>
        <v>2.3799542832409921</v>
      </c>
      <c r="L196" s="8">
        <f t="shared" si="66"/>
        <v>1.9528621771443739</v>
      </c>
      <c r="M196" s="7">
        <f t="shared" si="52"/>
        <v>0.59498857081024792</v>
      </c>
      <c r="N196" s="7">
        <f t="shared" si="53"/>
        <v>0.48821554428609326</v>
      </c>
      <c r="O196" s="7">
        <f t="shared" si="54"/>
        <v>1.7849657124307443</v>
      </c>
      <c r="P196" s="7">
        <f t="shared" si="55"/>
        <v>1.4646466328582808</v>
      </c>
      <c r="Q196" s="7">
        <f t="shared" si="56"/>
        <v>0</v>
      </c>
      <c r="R196" s="7">
        <f t="shared" si="57"/>
        <v>0</v>
      </c>
      <c r="S196" s="8">
        <f t="shared" ref="S196:T233" si="67">U196+W196</f>
        <v>0</v>
      </c>
      <c r="T196" s="8">
        <f t="shared" si="67"/>
        <v>0</v>
      </c>
      <c r="U196" s="7">
        <f t="shared" si="58"/>
        <v>0</v>
      </c>
      <c r="V196" s="7">
        <f t="shared" si="59"/>
        <v>0</v>
      </c>
      <c r="W196" s="7">
        <f t="shared" si="60"/>
        <v>0</v>
      </c>
      <c r="X196" s="7">
        <f t="shared" si="61"/>
        <v>0</v>
      </c>
      <c r="Y196" s="7">
        <f t="shared" si="62"/>
        <v>0</v>
      </c>
      <c r="Z196" s="7">
        <f t="shared" si="63"/>
        <v>0</v>
      </c>
      <c r="AA196" s="23">
        <v>2337.6598158571201</v>
      </c>
      <c r="AB196" s="29">
        <v>1918.15761738117</v>
      </c>
    </row>
    <row r="197" spans="1:28" x14ac:dyDescent="0.35">
      <c r="A197" s="5" t="s">
        <v>31</v>
      </c>
      <c r="B197" s="15" t="s">
        <v>68</v>
      </c>
      <c r="C197" s="20">
        <f t="shared" si="64"/>
        <v>29.969679414290795</v>
      </c>
      <c r="D197" s="30">
        <f>[1]data!D202-[1]data!D163</f>
        <v>4.6827624084828585</v>
      </c>
      <c r="E197" s="30">
        <f>[1]data!E202-[1]data!E163</f>
        <v>25.286917005807936</v>
      </c>
      <c r="F197" s="30">
        <f>[1]data!F202-[1]data!F163</f>
        <v>-216.3436232719078</v>
      </c>
      <c r="G197" s="21">
        <f t="shared" si="65"/>
        <v>0</v>
      </c>
      <c r="H197" s="30">
        <f>[1]data!H202-[1]data!H163</f>
        <v>0</v>
      </c>
      <c r="I197" s="30">
        <f>[1]data!I202-[1]data!I163</f>
        <v>0</v>
      </c>
      <c r="J197" s="30">
        <f>[1]data!J202-[1]data!J163</f>
        <v>0</v>
      </c>
      <c r="K197" s="8">
        <f t="shared" si="66"/>
        <v>0.65660595684840328</v>
      </c>
      <c r="L197" s="8">
        <f t="shared" si="66"/>
        <v>0.56282649977393906</v>
      </c>
      <c r="M197" s="7">
        <f t="shared" si="52"/>
        <v>0.10259468075756131</v>
      </c>
      <c r="N197" s="7">
        <f t="shared" si="53"/>
        <v>8.7941640589676504E-2</v>
      </c>
      <c r="O197" s="7">
        <f t="shared" si="54"/>
        <v>0.554011276090842</v>
      </c>
      <c r="P197" s="7">
        <f t="shared" si="55"/>
        <v>0.47488485918426254</v>
      </c>
      <c r="Q197" s="7">
        <f t="shared" si="56"/>
        <v>-4.7398742509993275</v>
      </c>
      <c r="R197" s="7">
        <f t="shared" si="57"/>
        <v>-4.0629037952430496</v>
      </c>
      <c r="S197" s="8">
        <f t="shared" si="67"/>
        <v>0</v>
      </c>
      <c r="T197" s="8">
        <f t="shared" si="67"/>
        <v>0</v>
      </c>
      <c r="U197" s="7">
        <f t="shared" si="58"/>
        <v>0</v>
      </c>
      <c r="V197" s="7">
        <f t="shared" si="59"/>
        <v>0</v>
      </c>
      <c r="W197" s="7">
        <f t="shared" si="60"/>
        <v>0</v>
      </c>
      <c r="X197" s="7">
        <f t="shared" si="61"/>
        <v>0</v>
      </c>
      <c r="Y197" s="7">
        <f t="shared" si="62"/>
        <v>0</v>
      </c>
      <c r="Z197" s="7">
        <f t="shared" si="63"/>
        <v>0</v>
      </c>
      <c r="AA197" s="23">
        <v>5324.8522282316499</v>
      </c>
      <c r="AB197" s="29">
        <v>4564.3325500944502</v>
      </c>
    </row>
    <row r="198" spans="1:28" x14ac:dyDescent="0.35">
      <c r="A198" s="5" t="s">
        <v>32</v>
      </c>
      <c r="B198" s="15" t="s">
        <v>68</v>
      </c>
      <c r="C198" s="20">
        <f t="shared" si="64"/>
        <v>6.3663101002653377E-4</v>
      </c>
      <c r="D198" s="30">
        <f>[1]data!D203-[1]data!D164</f>
        <v>7.3429182238626822E-5</v>
      </c>
      <c r="E198" s="30">
        <f>[1]data!E203-[1]data!E164</f>
        <v>5.6320182778790695E-4</v>
      </c>
      <c r="F198" s="30">
        <f>[1]data!F203-[1]data!F164</f>
        <v>3.4291428105603927E-4</v>
      </c>
      <c r="G198" s="21">
        <f t="shared" si="65"/>
        <v>5.20612902079165E-4</v>
      </c>
      <c r="H198" s="30">
        <f>[1]data!H203-[1]data!H164</f>
        <v>0</v>
      </c>
      <c r="I198" s="30">
        <f>[1]data!I203-[1]data!I164</f>
        <v>5.20612902079165E-4</v>
      </c>
      <c r="J198" s="30">
        <f>[1]data!J203-[1]data!J164</f>
        <v>9.1786477798905253E-4</v>
      </c>
      <c r="K198" s="8">
        <f t="shared" si="66"/>
        <v>3.8862875278951031E-5</v>
      </c>
      <c r="L198" s="8">
        <f t="shared" si="66"/>
        <v>2.9520951920403551E-5</v>
      </c>
      <c r="M198" s="7">
        <f t="shared" si="52"/>
        <v>4.4824538959485871E-6</v>
      </c>
      <c r="N198" s="7">
        <f t="shared" si="53"/>
        <v>3.4049540853039923E-6</v>
      </c>
      <c r="O198" s="7">
        <f t="shared" si="54"/>
        <v>3.4380421383002445E-5</v>
      </c>
      <c r="P198" s="7">
        <f t="shared" si="55"/>
        <v>2.6115997835099558E-5</v>
      </c>
      <c r="Q198" s="7">
        <f t="shared" si="56"/>
        <v>2.0933059694180748E-5</v>
      </c>
      <c r="R198" s="7">
        <f t="shared" si="57"/>
        <v>1.5901135578446248E-5</v>
      </c>
      <c r="S198" s="8">
        <f t="shared" si="67"/>
        <v>3.1780598122721162E-5</v>
      </c>
      <c r="T198" s="8">
        <f t="shared" si="67"/>
        <v>2.4141124465143847E-5</v>
      </c>
      <c r="U198" s="7">
        <f t="shared" si="58"/>
        <v>0</v>
      </c>
      <c r="V198" s="7">
        <f t="shared" si="59"/>
        <v>0</v>
      </c>
      <c r="W198" s="7">
        <f t="shared" si="60"/>
        <v>3.1780598122721162E-5</v>
      </c>
      <c r="X198" s="7">
        <f t="shared" si="61"/>
        <v>2.4141124465143847E-5</v>
      </c>
      <c r="Y198" s="7">
        <f t="shared" si="62"/>
        <v>5.603067369973687E-5</v>
      </c>
      <c r="Z198" s="7">
        <f t="shared" si="63"/>
        <v>4.2561926066588195E-5</v>
      </c>
      <c r="AA198" s="23">
        <v>2156.5395714307001</v>
      </c>
      <c r="AB198" s="29">
        <v>1638.14696019506</v>
      </c>
    </row>
    <row r="199" spans="1:28" x14ac:dyDescent="0.35">
      <c r="A199" s="5" t="s">
        <v>33</v>
      </c>
      <c r="B199" s="15" t="s">
        <v>68</v>
      </c>
      <c r="C199" s="20">
        <f t="shared" si="64"/>
        <v>1.1412818593541374E-2</v>
      </c>
      <c r="D199" s="30">
        <f>[1]data!D204-[1]data!D165</f>
        <v>0</v>
      </c>
      <c r="E199" s="30">
        <f>[1]data!E204-[1]data!E165</f>
        <v>1.1412818593541374E-2</v>
      </c>
      <c r="F199" s="30">
        <f>[1]data!F204-[1]data!F165</f>
        <v>0</v>
      </c>
      <c r="G199" s="21">
        <f t="shared" si="65"/>
        <v>0</v>
      </c>
      <c r="H199" s="30">
        <f>[1]data!H204-[1]data!H165</f>
        <v>0</v>
      </c>
      <c r="I199" s="30">
        <f>[1]data!I204-[1]data!I165</f>
        <v>0</v>
      </c>
      <c r="J199" s="30">
        <f>[1]data!J204-[1]data!J165</f>
        <v>0</v>
      </c>
      <c r="K199" s="8">
        <f t="shared" si="66"/>
        <v>8.62048432624059E-4</v>
      </c>
      <c r="L199" s="8">
        <f t="shared" si="66"/>
        <v>6.3527095195166979E-4</v>
      </c>
      <c r="M199" s="7">
        <f t="shared" si="52"/>
        <v>0</v>
      </c>
      <c r="N199" s="7">
        <f t="shared" si="53"/>
        <v>0</v>
      </c>
      <c r="O199" s="7">
        <f t="shared" si="54"/>
        <v>8.62048432624059E-4</v>
      </c>
      <c r="P199" s="7">
        <f t="shared" si="55"/>
        <v>6.3527095195166979E-4</v>
      </c>
      <c r="Q199" s="7">
        <f t="shared" si="56"/>
        <v>0</v>
      </c>
      <c r="R199" s="7">
        <f t="shared" si="57"/>
        <v>0</v>
      </c>
      <c r="S199" s="8">
        <f t="shared" si="67"/>
        <v>0</v>
      </c>
      <c r="T199" s="8">
        <f t="shared" si="67"/>
        <v>0</v>
      </c>
      <c r="U199" s="7">
        <f t="shared" si="58"/>
        <v>0</v>
      </c>
      <c r="V199" s="7">
        <f t="shared" si="59"/>
        <v>0</v>
      </c>
      <c r="W199" s="7">
        <f t="shared" si="60"/>
        <v>0</v>
      </c>
      <c r="X199" s="7">
        <f t="shared" si="61"/>
        <v>0</v>
      </c>
      <c r="Y199" s="7">
        <f t="shared" si="62"/>
        <v>0</v>
      </c>
      <c r="Z199" s="7">
        <f t="shared" si="63"/>
        <v>0</v>
      </c>
      <c r="AA199" s="23">
        <v>1796.5276955414199</v>
      </c>
      <c r="AB199" s="29">
        <v>1323.9184901480501</v>
      </c>
    </row>
    <row r="200" spans="1:28" x14ac:dyDescent="0.35">
      <c r="A200" s="5" t="s">
        <v>34</v>
      </c>
      <c r="B200" s="15" t="s">
        <v>68</v>
      </c>
      <c r="C200" s="20">
        <f t="shared" si="64"/>
        <v>0</v>
      </c>
      <c r="D200" s="30">
        <f>[1]data!D205-[1]data!D166</f>
        <v>0</v>
      </c>
      <c r="E200" s="30">
        <f>[1]data!E205-[1]data!E166</f>
        <v>0</v>
      </c>
      <c r="F200" s="30">
        <f>[1]data!F205-[1]data!F166</f>
        <v>0</v>
      </c>
      <c r="G200" s="21">
        <f t="shared" si="65"/>
        <v>15.395615788971099</v>
      </c>
      <c r="H200" s="30">
        <f>[1]data!H205-[1]data!H166</f>
        <v>0</v>
      </c>
      <c r="I200" s="30">
        <f>[1]data!I205-[1]data!I166</f>
        <v>15.395615788971099</v>
      </c>
      <c r="J200" s="30">
        <f>[1]data!J205-[1]data!J166</f>
        <v>0</v>
      </c>
      <c r="K200" s="8">
        <f t="shared" si="66"/>
        <v>0</v>
      </c>
      <c r="L200" s="8">
        <f t="shared" si="66"/>
        <v>0</v>
      </c>
      <c r="M200" s="7">
        <f t="shared" si="52"/>
        <v>0</v>
      </c>
      <c r="N200" s="7">
        <f t="shared" si="53"/>
        <v>0</v>
      </c>
      <c r="O200" s="7">
        <f t="shared" si="54"/>
        <v>0</v>
      </c>
      <c r="P200" s="7">
        <f t="shared" si="55"/>
        <v>0</v>
      </c>
      <c r="Q200" s="7">
        <f t="shared" si="56"/>
        <v>0</v>
      </c>
      <c r="R200" s="7">
        <f t="shared" si="57"/>
        <v>0</v>
      </c>
      <c r="S200" s="8">
        <f t="shared" si="67"/>
        <v>0.48760605250706524</v>
      </c>
      <c r="T200" s="8">
        <f t="shared" si="67"/>
        <v>0.52330648617822051</v>
      </c>
      <c r="U200" s="7">
        <f t="shared" si="58"/>
        <v>0</v>
      </c>
      <c r="V200" s="7">
        <f t="shared" si="59"/>
        <v>0</v>
      </c>
      <c r="W200" s="7">
        <f t="shared" si="60"/>
        <v>0.48760605250706524</v>
      </c>
      <c r="X200" s="7">
        <f t="shared" si="61"/>
        <v>0.52330648617822051</v>
      </c>
      <c r="Y200" s="7">
        <f t="shared" si="62"/>
        <v>0</v>
      </c>
      <c r="Z200" s="7">
        <f t="shared" si="63"/>
        <v>0</v>
      </c>
      <c r="AA200" s="23">
        <v>2941.9883367789698</v>
      </c>
      <c r="AB200" s="29">
        <v>3157.38816403392</v>
      </c>
    </row>
    <row r="201" spans="1:28" x14ac:dyDescent="0.35">
      <c r="A201" s="5" t="s">
        <v>35</v>
      </c>
      <c r="B201" s="15" t="s">
        <v>68</v>
      </c>
      <c r="C201" s="20">
        <f t="shared" si="64"/>
        <v>0.27200000000027558</v>
      </c>
      <c r="D201" s="30">
        <f>[1]data!D206-[1]data!D167</f>
        <v>-3.1000000000000227</v>
      </c>
      <c r="E201" s="30">
        <f>[1]data!E206-[1]data!E167</f>
        <v>3.3720000000002983</v>
      </c>
      <c r="F201" s="30">
        <f>[1]data!F206-[1]data!F167</f>
        <v>0</v>
      </c>
      <c r="G201" s="21">
        <f t="shared" si="65"/>
        <v>0</v>
      </c>
      <c r="H201" s="30">
        <f>[1]data!H206-[1]data!H167</f>
        <v>0</v>
      </c>
      <c r="I201" s="30">
        <f>[1]data!I206-[1]data!I167</f>
        <v>0</v>
      </c>
      <c r="J201" s="30">
        <f>[1]data!J206-[1]data!J167</f>
        <v>0</v>
      </c>
      <c r="K201" s="8">
        <f t="shared" si="66"/>
        <v>1.3648468991080947E-3</v>
      </c>
      <c r="L201" s="8">
        <f t="shared" si="66"/>
        <v>1.36175571933282E-3</v>
      </c>
      <c r="M201" s="7">
        <f t="shared" si="52"/>
        <v>-1.5555240394231009E-2</v>
      </c>
      <c r="N201" s="7">
        <f t="shared" si="53"/>
        <v>-1.5520010036498172E-2</v>
      </c>
      <c r="O201" s="7">
        <f t="shared" si="54"/>
        <v>1.6920087293339103E-2</v>
      </c>
      <c r="P201" s="7">
        <f t="shared" si="55"/>
        <v>1.6881765755830992E-2</v>
      </c>
      <c r="Q201" s="7">
        <f t="shared" si="56"/>
        <v>0</v>
      </c>
      <c r="R201" s="7">
        <f t="shared" si="57"/>
        <v>0</v>
      </c>
      <c r="S201" s="8">
        <f t="shared" si="67"/>
        <v>0</v>
      </c>
      <c r="T201" s="8">
        <f t="shared" si="67"/>
        <v>0</v>
      </c>
      <c r="U201" s="7">
        <f t="shared" si="58"/>
        <v>0</v>
      </c>
      <c r="V201" s="7">
        <f t="shared" si="59"/>
        <v>0</v>
      </c>
      <c r="W201" s="7">
        <f t="shared" si="60"/>
        <v>0</v>
      </c>
      <c r="X201" s="7">
        <f t="shared" si="61"/>
        <v>0</v>
      </c>
      <c r="Y201" s="7">
        <f t="shared" si="62"/>
        <v>0</v>
      </c>
      <c r="Z201" s="7">
        <f t="shared" si="63"/>
        <v>0</v>
      </c>
      <c r="AA201" s="23">
        <v>19974.2138871676</v>
      </c>
      <c r="AB201" s="29">
        <v>19928.975197</v>
      </c>
    </row>
    <row r="202" spans="1:28" x14ac:dyDescent="0.35">
      <c r="A202" s="5" t="s">
        <v>36</v>
      </c>
      <c r="B202" s="15" t="s">
        <v>68</v>
      </c>
      <c r="C202" s="20">
        <f t="shared" si="64"/>
        <v>0</v>
      </c>
      <c r="D202" s="30">
        <f>[1]data!D207-[1]data!D168</f>
        <v>2.5784701620037889</v>
      </c>
      <c r="E202" s="30">
        <f>[1]data!E207-[1]data!E168</f>
        <v>-2.5784701620037889</v>
      </c>
      <c r="F202" s="30">
        <f>[1]data!F207-[1]data!F168</f>
        <v>0</v>
      </c>
      <c r="G202" s="21">
        <f t="shared" si="65"/>
        <v>-2.4147350785597155E-15</v>
      </c>
      <c r="H202" s="30">
        <f>[1]data!H207-[1]data!H168</f>
        <v>-1.9984014443252818E-15</v>
      </c>
      <c r="I202" s="30">
        <f>[1]data!I207-[1]data!I168</f>
        <v>-4.163336342344337E-16</v>
      </c>
      <c r="J202" s="30">
        <f>[1]data!J207-[1]data!J168</f>
        <v>-2.6645352591003757E-14</v>
      </c>
      <c r="K202" s="8">
        <f t="shared" si="66"/>
        <v>0</v>
      </c>
      <c r="L202" s="8">
        <f t="shared" si="66"/>
        <v>0</v>
      </c>
      <c r="M202" s="7">
        <f t="shared" si="52"/>
        <v>0.20157663196958323</v>
      </c>
      <c r="N202" s="7">
        <f t="shared" si="53"/>
        <v>0.10826322725416768</v>
      </c>
      <c r="O202" s="7">
        <f t="shared" si="54"/>
        <v>-0.20157663196958323</v>
      </c>
      <c r="P202" s="7">
        <f t="shared" si="55"/>
        <v>-0.10826322725416768</v>
      </c>
      <c r="Q202" s="7">
        <f t="shared" si="56"/>
        <v>0</v>
      </c>
      <c r="R202" s="7">
        <f t="shared" si="57"/>
        <v>0</v>
      </c>
      <c r="S202" s="8">
        <f t="shared" si="67"/>
        <v>-1.8877634164926947E-16</v>
      </c>
      <c r="T202" s="8">
        <f t="shared" si="67"/>
        <v>-1.0138841876904248E-16</v>
      </c>
      <c r="U202" s="7">
        <f t="shared" si="58"/>
        <v>-1.5622869653732645E-16</v>
      </c>
      <c r="V202" s="7">
        <f t="shared" si="59"/>
        <v>-8.390765691231102E-17</v>
      </c>
      <c r="W202" s="7">
        <f t="shared" si="60"/>
        <v>-3.2547645111943016E-17</v>
      </c>
      <c r="X202" s="7">
        <f t="shared" si="61"/>
        <v>-1.7480761856731461E-17</v>
      </c>
      <c r="Y202" s="7">
        <f t="shared" si="62"/>
        <v>-2.083049287164353E-15</v>
      </c>
      <c r="Z202" s="7">
        <f t="shared" si="63"/>
        <v>-1.1187687588308135E-15</v>
      </c>
      <c r="AA202" s="23">
        <v>2381.6675591522499</v>
      </c>
      <c r="AB202" s="29">
        <v>1279.1513266244399</v>
      </c>
    </row>
    <row r="203" spans="1:28" x14ac:dyDescent="0.35">
      <c r="A203" s="5" t="s">
        <v>37</v>
      </c>
      <c r="B203" s="15" t="s">
        <v>68</v>
      </c>
      <c r="C203" s="20">
        <f t="shared" si="64"/>
        <v>6.4771357218701624</v>
      </c>
      <c r="D203" s="30">
        <f>[1]data!D208-[1]data!D169</f>
        <v>0.60354303931876307</v>
      </c>
      <c r="E203" s="30">
        <f>[1]data!E208-[1]data!E169</f>
        <v>5.8735926825513989</v>
      </c>
      <c r="F203" s="30">
        <f>[1]data!F208-[1]data!F169</f>
        <v>-4.2295835235661272E-2</v>
      </c>
      <c r="G203" s="21">
        <f t="shared" si="65"/>
        <v>0</v>
      </c>
      <c r="H203" s="30">
        <f>[1]data!H208-[1]data!H169</f>
        <v>0</v>
      </c>
      <c r="I203" s="30">
        <f>[1]data!I208-[1]data!I169</f>
        <v>0</v>
      </c>
      <c r="J203" s="30">
        <f>[1]data!J208-[1]data!J169</f>
        <v>0.5273109280821302</v>
      </c>
      <c r="K203" s="8">
        <f t="shared" si="66"/>
        <v>0.64962766669383076</v>
      </c>
      <c r="L203" s="8">
        <f t="shared" si="66"/>
        <v>0.2775379970503965</v>
      </c>
      <c r="M203" s="7">
        <f t="shared" si="52"/>
        <v>6.0532660302005395E-2</v>
      </c>
      <c r="N203" s="7">
        <f t="shared" si="53"/>
        <v>2.586114193973902E-2</v>
      </c>
      <c r="O203" s="7">
        <f t="shared" si="54"/>
        <v>0.58909500639182533</v>
      </c>
      <c r="P203" s="7">
        <f t="shared" si="55"/>
        <v>0.25167685511065746</v>
      </c>
      <c r="Q203" s="7">
        <f t="shared" si="56"/>
        <v>-4.2420826017639723E-3</v>
      </c>
      <c r="R203" s="7">
        <f t="shared" si="57"/>
        <v>-1.8123290755268696E-3</v>
      </c>
      <c r="S203" s="8">
        <f t="shared" si="67"/>
        <v>0</v>
      </c>
      <c r="T203" s="8">
        <f t="shared" si="67"/>
        <v>0</v>
      </c>
      <c r="U203" s="7">
        <f t="shared" si="58"/>
        <v>0</v>
      </c>
      <c r="V203" s="7">
        <f t="shared" si="59"/>
        <v>0</v>
      </c>
      <c r="W203" s="7">
        <f t="shared" si="60"/>
        <v>0</v>
      </c>
      <c r="X203" s="7">
        <f t="shared" si="61"/>
        <v>0</v>
      </c>
      <c r="Y203" s="7">
        <f t="shared" si="62"/>
        <v>5.2886921401925711E-2</v>
      </c>
      <c r="Z203" s="7">
        <f t="shared" si="63"/>
        <v>2.2594681520807222E-2</v>
      </c>
      <c r="AA203" s="23">
        <v>2333.7834064911899</v>
      </c>
      <c r="AB203" s="29">
        <v>997.05355143423003</v>
      </c>
    </row>
    <row r="204" spans="1:28" x14ac:dyDescent="0.35">
      <c r="A204" s="10" t="s">
        <v>38</v>
      </c>
      <c r="B204" s="15" t="s">
        <v>68</v>
      </c>
      <c r="C204" s="20">
        <f t="shared" si="64"/>
        <v>0</v>
      </c>
      <c r="D204" s="30">
        <f>[1]data!D209-[1]data!D170</f>
        <v>0</v>
      </c>
      <c r="E204" s="30">
        <f>[1]data!E209-[1]data!E170</f>
        <v>0</v>
      </c>
      <c r="F204" s="30">
        <f>[1]data!F209-[1]data!F170</f>
        <v>0</v>
      </c>
      <c r="G204" s="21">
        <f t="shared" si="65"/>
        <v>0</v>
      </c>
      <c r="H204" s="30">
        <f>[1]data!H209-[1]data!H170</f>
        <v>0</v>
      </c>
      <c r="I204" s="30">
        <f>[1]data!I209-[1]data!I170</f>
        <v>0</v>
      </c>
      <c r="J204" s="30">
        <f>[1]data!J209-[1]data!J170</f>
        <v>0</v>
      </c>
      <c r="K204" s="8">
        <f t="shared" si="66"/>
        <v>0</v>
      </c>
      <c r="L204" s="8">
        <f t="shared" si="66"/>
        <v>0</v>
      </c>
      <c r="M204" s="7">
        <f t="shared" si="52"/>
        <v>0</v>
      </c>
      <c r="N204" s="7">
        <f t="shared" si="53"/>
        <v>0</v>
      </c>
      <c r="O204" s="7">
        <f t="shared" si="54"/>
        <v>0</v>
      </c>
      <c r="P204" s="7">
        <f t="shared" si="55"/>
        <v>0</v>
      </c>
      <c r="Q204" s="7">
        <f t="shared" si="56"/>
        <v>0</v>
      </c>
      <c r="R204" s="7">
        <f t="shared" si="57"/>
        <v>0</v>
      </c>
      <c r="S204" s="8">
        <f t="shared" si="67"/>
        <v>0</v>
      </c>
      <c r="T204" s="8">
        <f t="shared" si="67"/>
        <v>0</v>
      </c>
      <c r="U204" s="7">
        <f t="shared" si="58"/>
        <v>0</v>
      </c>
      <c r="V204" s="7">
        <f t="shared" si="59"/>
        <v>0</v>
      </c>
      <c r="W204" s="7">
        <f t="shared" si="60"/>
        <v>0</v>
      </c>
      <c r="X204" s="7">
        <f t="shared" si="61"/>
        <v>0</v>
      </c>
      <c r="Y204" s="7">
        <f t="shared" si="62"/>
        <v>0</v>
      </c>
      <c r="Z204" s="7">
        <f t="shared" si="63"/>
        <v>0</v>
      </c>
      <c r="AA204" s="23">
        <v>468.59916169988998</v>
      </c>
      <c r="AB204" s="29">
        <v>413.94954015926999</v>
      </c>
    </row>
    <row r="205" spans="1:28" x14ac:dyDescent="0.35">
      <c r="A205" s="5" t="s">
        <v>39</v>
      </c>
      <c r="B205" s="15" t="s">
        <v>68</v>
      </c>
      <c r="C205" s="20">
        <f t="shared" si="64"/>
        <v>0.91302548748352841</v>
      </c>
      <c r="D205" s="30">
        <f>[1]data!D210-[1]data!D171</f>
        <v>0.91302548748352841</v>
      </c>
      <c r="E205" s="30">
        <f>[1]data!E210-[1]data!E171</f>
        <v>0</v>
      </c>
      <c r="F205" s="30">
        <f>[1]data!F210-[1]data!F171</f>
        <v>-0.45651274374176509</v>
      </c>
      <c r="G205" s="21">
        <f t="shared" si="65"/>
        <v>0.57064092967720637</v>
      </c>
      <c r="H205" s="30">
        <f>[1]data!H210-[1]data!H171</f>
        <v>0.57064092967720637</v>
      </c>
      <c r="I205" s="30">
        <f>[1]data!I210-[1]data!I171</f>
        <v>0</v>
      </c>
      <c r="J205" s="30">
        <f>[1]data!J210-[1]data!J171</f>
        <v>0</v>
      </c>
      <c r="K205" s="8">
        <f t="shared" si="66"/>
        <v>0.18439091687908465</v>
      </c>
      <c r="L205" s="8">
        <f t="shared" si="66"/>
        <v>0.16441371668348093</v>
      </c>
      <c r="M205" s="7">
        <f t="shared" si="52"/>
        <v>0.18439091687908465</v>
      </c>
      <c r="N205" s="7">
        <f t="shared" si="53"/>
        <v>0.16441371668348093</v>
      </c>
      <c r="O205" s="7">
        <f t="shared" si="54"/>
        <v>0</v>
      </c>
      <c r="P205" s="7">
        <f t="shared" si="55"/>
        <v>0</v>
      </c>
      <c r="Q205" s="7">
        <f t="shared" si="56"/>
        <v>-9.2195458439542508E-2</v>
      </c>
      <c r="R205" s="7">
        <f t="shared" si="57"/>
        <v>-8.220685834174063E-2</v>
      </c>
      <c r="S205" s="8">
        <f t="shared" si="67"/>
        <v>0.11524432304942814</v>
      </c>
      <c r="T205" s="8">
        <f t="shared" si="67"/>
        <v>0.10275857292717579</v>
      </c>
      <c r="U205" s="7">
        <f t="shared" si="58"/>
        <v>0.11524432304942814</v>
      </c>
      <c r="V205" s="7">
        <f t="shared" si="59"/>
        <v>0.10275857292717579</v>
      </c>
      <c r="W205" s="7">
        <f t="shared" si="60"/>
        <v>0</v>
      </c>
      <c r="X205" s="7">
        <f t="shared" si="61"/>
        <v>0</v>
      </c>
      <c r="Y205" s="7">
        <f t="shared" si="62"/>
        <v>0</v>
      </c>
      <c r="Z205" s="7">
        <f t="shared" si="63"/>
        <v>0</v>
      </c>
      <c r="AA205" s="23">
        <v>555.32196820367994</v>
      </c>
      <c r="AB205" s="29">
        <v>495.15751802582002</v>
      </c>
    </row>
    <row r="206" spans="1:28" x14ac:dyDescent="0.35">
      <c r="A206" s="10" t="s">
        <v>40</v>
      </c>
      <c r="B206" s="15" t="s">
        <v>68</v>
      </c>
      <c r="C206" s="20">
        <f t="shared" si="64"/>
        <v>9.4354864768798254</v>
      </c>
      <c r="D206" s="30">
        <f>[1]data!D211-[1]data!D172</f>
        <v>3.5243049945605933</v>
      </c>
      <c r="E206" s="30">
        <f>[1]data!E211-[1]data!E172</f>
        <v>5.9111814823192326</v>
      </c>
      <c r="F206" s="30">
        <f>[1]data!F211-[1]data!F172</f>
        <v>0</v>
      </c>
      <c r="G206" s="21">
        <f t="shared" si="65"/>
        <v>0.49977919238267532</v>
      </c>
      <c r="H206" s="30">
        <f>[1]data!H211-[1]data!H172</f>
        <v>0</v>
      </c>
      <c r="I206" s="30">
        <f>[1]data!I211-[1]data!I172</f>
        <v>0.49977919238267532</v>
      </c>
      <c r="J206" s="30">
        <f>[1]data!J211-[1]data!J172</f>
        <v>0</v>
      </c>
      <c r="K206" s="8">
        <f t="shared" si="66"/>
        <v>4.3755663459218272</v>
      </c>
      <c r="L206" s="8">
        <f t="shared" si="66"/>
        <v>2.3160485844948888</v>
      </c>
      <c r="M206" s="7">
        <f t="shared" si="52"/>
        <v>1.6343439593443179</v>
      </c>
      <c r="N206" s="7">
        <f t="shared" si="53"/>
        <v>0.86508116078393582</v>
      </c>
      <c r="O206" s="7">
        <f t="shared" si="54"/>
        <v>2.7412223865775096</v>
      </c>
      <c r="P206" s="7">
        <f t="shared" si="55"/>
        <v>1.4509674237109529</v>
      </c>
      <c r="Q206" s="7">
        <f t="shared" si="56"/>
        <v>0</v>
      </c>
      <c r="R206" s="7">
        <f t="shared" si="57"/>
        <v>0</v>
      </c>
      <c r="S206" s="8">
        <f t="shared" si="67"/>
        <v>0.23176515804882719</v>
      </c>
      <c r="T206" s="8">
        <f t="shared" si="67"/>
        <v>0.12267654602803965</v>
      </c>
      <c r="U206" s="7">
        <f t="shared" si="58"/>
        <v>0</v>
      </c>
      <c r="V206" s="7">
        <f t="shared" si="59"/>
        <v>0</v>
      </c>
      <c r="W206" s="7">
        <f t="shared" si="60"/>
        <v>0.23176515804882719</v>
      </c>
      <c r="X206" s="7">
        <f t="shared" si="61"/>
        <v>0.12267654602803965</v>
      </c>
      <c r="Y206" s="7">
        <f t="shared" si="62"/>
        <v>0</v>
      </c>
      <c r="Z206" s="7">
        <f t="shared" si="63"/>
        <v>0</v>
      </c>
      <c r="AA206" s="23">
        <v>407.39587848230002</v>
      </c>
      <c r="AB206" s="29">
        <v>215.64034757863999</v>
      </c>
    </row>
    <row r="207" spans="1:28" x14ac:dyDescent="0.35">
      <c r="A207" s="10" t="s">
        <v>41</v>
      </c>
      <c r="B207" s="15" t="s">
        <v>68</v>
      </c>
      <c r="C207" s="20">
        <f t="shared" si="64"/>
        <v>0</v>
      </c>
      <c r="D207" s="30">
        <f>[1]data!D212-[1]data!D173</f>
        <v>0</v>
      </c>
      <c r="E207" s="30">
        <f>[1]data!E212-[1]data!E173</f>
        <v>0</v>
      </c>
      <c r="F207" s="30">
        <f>[1]data!F212-[1]data!F173</f>
        <v>0</v>
      </c>
      <c r="G207" s="21">
        <f t="shared" si="65"/>
        <v>9.2782922355949466</v>
      </c>
      <c r="H207" s="30">
        <f>[1]data!H212-[1]data!H173</f>
        <v>9.2782922355949466</v>
      </c>
      <c r="I207" s="30">
        <f>[1]data!I212-[1]data!I173</f>
        <v>0</v>
      </c>
      <c r="J207" s="30">
        <f>[1]data!J212-[1]data!J173</f>
        <v>0</v>
      </c>
      <c r="K207" s="8">
        <f t="shared" si="66"/>
        <v>0</v>
      </c>
      <c r="L207" s="8">
        <f t="shared" si="66"/>
        <v>0</v>
      </c>
      <c r="M207" s="7">
        <f t="shared" si="52"/>
        <v>0</v>
      </c>
      <c r="N207" s="7">
        <f t="shared" si="53"/>
        <v>0</v>
      </c>
      <c r="O207" s="7">
        <f t="shared" si="54"/>
        <v>0</v>
      </c>
      <c r="P207" s="7">
        <f t="shared" si="55"/>
        <v>0</v>
      </c>
      <c r="Q207" s="7">
        <f t="shared" si="56"/>
        <v>0</v>
      </c>
      <c r="R207" s="7">
        <f t="shared" si="57"/>
        <v>0</v>
      </c>
      <c r="S207" s="8">
        <f t="shared" si="67"/>
        <v>2.7896035142311102</v>
      </c>
      <c r="T207" s="8">
        <f t="shared" si="67"/>
        <v>2.9827642767334832</v>
      </c>
      <c r="U207" s="7">
        <f t="shared" si="58"/>
        <v>2.7896035142311102</v>
      </c>
      <c r="V207" s="7">
        <f t="shared" si="59"/>
        <v>2.9827642767334832</v>
      </c>
      <c r="W207" s="7">
        <f t="shared" si="60"/>
        <v>0</v>
      </c>
      <c r="X207" s="7">
        <f t="shared" si="61"/>
        <v>0</v>
      </c>
      <c r="Y207" s="7">
        <f t="shared" si="62"/>
        <v>0</v>
      </c>
      <c r="Z207" s="7">
        <f t="shared" si="63"/>
        <v>0</v>
      </c>
      <c r="AA207" s="23">
        <v>311.06354290107998</v>
      </c>
      <c r="AB207" s="29">
        <v>332.60254327404999</v>
      </c>
    </row>
    <row r="208" spans="1:28" x14ac:dyDescent="0.35">
      <c r="A208" s="10" t="s">
        <v>42</v>
      </c>
      <c r="B208" s="15" t="s">
        <v>68</v>
      </c>
      <c r="C208" s="20">
        <f t="shared" si="64"/>
        <v>0.6137999999999999</v>
      </c>
      <c r="D208" s="30">
        <f>[1]data!D213-[1]data!D174</f>
        <v>0.21110000000000001</v>
      </c>
      <c r="E208" s="30">
        <f>[1]data!E213-[1]data!E174</f>
        <v>0.40269999999999984</v>
      </c>
      <c r="F208" s="30">
        <f>[1]data!F213-[1]data!F174</f>
        <v>0</v>
      </c>
      <c r="G208" s="21">
        <f t="shared" si="65"/>
        <v>0</v>
      </c>
      <c r="H208" s="30">
        <f>[1]data!H213-[1]data!H174</f>
        <v>0</v>
      </c>
      <c r="I208" s="30">
        <f>[1]data!I213-[1]data!I174</f>
        <v>0</v>
      </c>
      <c r="J208" s="30">
        <f>[1]data!J213-[1]data!J174</f>
        <v>0</v>
      </c>
      <c r="K208" s="8">
        <f t="shared" si="66"/>
        <v>2.2821526946175101</v>
      </c>
      <c r="L208" s="8">
        <f t="shared" si="66"/>
        <v>1.3369178233626702</v>
      </c>
      <c r="M208" s="7">
        <f t="shared" si="52"/>
        <v>0.78488503394225573</v>
      </c>
      <c r="N208" s="7">
        <f t="shared" si="53"/>
        <v>0.45979692491342417</v>
      </c>
      <c r="O208" s="7">
        <f t="shared" si="54"/>
        <v>1.4972676606752544</v>
      </c>
      <c r="P208" s="7">
        <f t="shared" si="55"/>
        <v>0.87712089844924601</v>
      </c>
      <c r="Q208" s="7">
        <f t="shared" si="56"/>
        <v>0</v>
      </c>
      <c r="R208" s="7">
        <f t="shared" si="57"/>
        <v>0</v>
      </c>
      <c r="S208" s="8">
        <f t="shared" si="67"/>
        <v>0</v>
      </c>
      <c r="T208" s="8">
        <f t="shared" si="67"/>
        <v>0</v>
      </c>
      <c r="U208" s="7">
        <f t="shared" si="58"/>
        <v>0</v>
      </c>
      <c r="V208" s="7">
        <f t="shared" si="59"/>
        <v>0</v>
      </c>
      <c r="W208" s="7">
        <f t="shared" si="60"/>
        <v>0</v>
      </c>
      <c r="X208" s="7">
        <f t="shared" si="61"/>
        <v>0</v>
      </c>
      <c r="Y208" s="7">
        <f t="shared" si="62"/>
        <v>0</v>
      </c>
      <c r="Z208" s="7">
        <f t="shared" si="63"/>
        <v>0</v>
      </c>
      <c r="AA208" s="23">
        <v>45.911572818750003</v>
      </c>
      <c r="AB208" s="29">
        <v>26.895658710639999</v>
      </c>
    </row>
    <row r="209" spans="1:28" x14ac:dyDescent="0.35">
      <c r="A209" s="10" t="s">
        <v>43</v>
      </c>
      <c r="B209" s="15" t="s">
        <v>68</v>
      </c>
      <c r="C209" s="20">
        <f t="shared" si="64"/>
        <v>3.6730801479291926</v>
      </c>
      <c r="D209" s="30">
        <f>[1]data!D214-[1]data!D175</f>
        <v>2.0028273785163919</v>
      </c>
      <c r="E209" s="30">
        <f>[1]data!E214-[1]data!E175</f>
        <v>1.6702527694128007</v>
      </c>
      <c r="F209" s="30">
        <f>[1]data!F214-[1]data!F175</f>
        <v>0</v>
      </c>
      <c r="G209" s="21">
        <f t="shared" si="65"/>
        <v>0</v>
      </c>
      <c r="H209" s="30">
        <f>[1]data!H214-[1]data!H175</f>
        <v>0</v>
      </c>
      <c r="I209" s="30">
        <f>[1]data!I214-[1]data!I175</f>
        <v>0</v>
      </c>
      <c r="J209" s="30">
        <f>[1]data!J214-[1]data!J175</f>
        <v>0</v>
      </c>
      <c r="K209" s="8">
        <f t="shared" si="66"/>
        <v>1.4418702090894004</v>
      </c>
      <c r="L209" s="8">
        <f t="shared" si="66"/>
        <v>1.4465369443265925</v>
      </c>
      <c r="M209" s="7">
        <f t="shared" si="52"/>
        <v>0.7862113035185192</v>
      </c>
      <c r="N209" s="7">
        <f t="shared" si="53"/>
        <v>0.78875594309209485</v>
      </c>
      <c r="O209" s="7">
        <f t="shared" si="54"/>
        <v>0.65565890557088125</v>
      </c>
      <c r="P209" s="7">
        <f t="shared" si="55"/>
        <v>0.65778100123449779</v>
      </c>
      <c r="Q209" s="7">
        <f t="shared" si="56"/>
        <v>0</v>
      </c>
      <c r="R209" s="7">
        <f t="shared" si="57"/>
        <v>0</v>
      </c>
      <c r="S209" s="8">
        <f t="shared" si="67"/>
        <v>0</v>
      </c>
      <c r="T209" s="8">
        <f t="shared" si="67"/>
        <v>0</v>
      </c>
      <c r="U209" s="7">
        <f t="shared" si="58"/>
        <v>0</v>
      </c>
      <c r="V209" s="7">
        <f t="shared" si="59"/>
        <v>0</v>
      </c>
      <c r="W209" s="7">
        <f t="shared" si="60"/>
        <v>0</v>
      </c>
      <c r="X209" s="7">
        <f t="shared" si="61"/>
        <v>0</v>
      </c>
      <c r="Y209" s="7">
        <f t="shared" si="62"/>
        <v>0</v>
      </c>
      <c r="Z209" s="7">
        <f t="shared" si="63"/>
        <v>0</v>
      </c>
      <c r="AA209" s="23">
        <v>253.92231856471</v>
      </c>
      <c r="AB209" s="29">
        <v>254.7441596875</v>
      </c>
    </row>
    <row r="210" spans="1:28" x14ac:dyDescent="0.35">
      <c r="A210" s="10" t="s">
        <v>44</v>
      </c>
      <c r="B210" s="15" t="s">
        <v>68</v>
      </c>
      <c r="C210" s="20">
        <f t="shared" si="64"/>
        <v>7.7607166436100057</v>
      </c>
      <c r="D210" s="30">
        <f>[1]data!D215-[1]data!D176</f>
        <v>0.48860787080039625</v>
      </c>
      <c r="E210" s="30">
        <f>[1]data!E215-[1]data!E176</f>
        <v>7.2721087728096094</v>
      </c>
      <c r="F210" s="30">
        <f>[1]data!F215-[1]data!F176</f>
        <v>0.94726394326416252</v>
      </c>
      <c r="G210" s="21">
        <f t="shared" si="65"/>
        <v>0</v>
      </c>
      <c r="H210" s="30">
        <f>[1]data!H215-[1]data!H176</f>
        <v>0</v>
      </c>
      <c r="I210" s="30">
        <f>[1]data!I215-[1]data!I176</f>
        <v>0</v>
      </c>
      <c r="J210" s="30">
        <f>[1]data!J215-[1]data!J176</f>
        <v>0</v>
      </c>
      <c r="K210" s="8">
        <f t="shared" si="66"/>
        <v>3.8060824665155799</v>
      </c>
      <c r="L210" s="8">
        <f t="shared" si="66"/>
        <v>2.5736534009820682</v>
      </c>
      <c r="M210" s="7">
        <f t="shared" si="52"/>
        <v>0.23962759310200005</v>
      </c>
      <c r="N210" s="7">
        <f t="shared" si="53"/>
        <v>0.16203494679417901</v>
      </c>
      <c r="O210" s="7">
        <f t="shared" si="54"/>
        <v>3.5664548734135799</v>
      </c>
      <c r="P210" s="7">
        <f t="shared" si="55"/>
        <v>2.4116184541878893</v>
      </c>
      <c r="Q210" s="7">
        <f t="shared" si="56"/>
        <v>0.46456594811881352</v>
      </c>
      <c r="R210" s="7">
        <f t="shared" si="57"/>
        <v>0.31413710629634073</v>
      </c>
      <c r="S210" s="8">
        <f t="shared" si="67"/>
        <v>0</v>
      </c>
      <c r="T210" s="8">
        <f t="shared" si="67"/>
        <v>0</v>
      </c>
      <c r="U210" s="7">
        <f t="shared" si="58"/>
        <v>0</v>
      </c>
      <c r="V210" s="7">
        <f t="shared" si="59"/>
        <v>0</v>
      </c>
      <c r="W210" s="7">
        <f t="shared" si="60"/>
        <v>0</v>
      </c>
      <c r="X210" s="7">
        <f t="shared" si="61"/>
        <v>0</v>
      </c>
      <c r="Y210" s="7">
        <f t="shared" si="62"/>
        <v>0</v>
      </c>
      <c r="Z210" s="7">
        <f t="shared" si="63"/>
        <v>0</v>
      </c>
      <c r="AA210" s="23">
        <v>301.54474727050001</v>
      </c>
      <c r="AB210" s="29">
        <v>203.90300819506001</v>
      </c>
    </row>
    <row r="211" spans="1:28" x14ac:dyDescent="0.35">
      <c r="A211" s="10" t="s">
        <v>45</v>
      </c>
      <c r="B211" s="15" t="s">
        <v>68</v>
      </c>
      <c r="C211" s="20">
        <f t="shared" si="64"/>
        <v>0</v>
      </c>
      <c r="D211" s="30">
        <f>[1]data!D216-[1]data!D177</f>
        <v>0</v>
      </c>
      <c r="E211" s="30">
        <f>[1]data!E216-[1]data!E177</f>
        <v>0</v>
      </c>
      <c r="F211" s="30">
        <f>[1]data!F216-[1]data!F177</f>
        <v>0</v>
      </c>
      <c r="G211" s="21">
        <f t="shared" si="65"/>
        <v>0</v>
      </c>
      <c r="H211" s="30">
        <f>[1]data!H216-[1]data!H177</f>
        <v>0</v>
      </c>
      <c r="I211" s="30">
        <f>[1]data!I216-[1]data!I177</f>
        <v>0</v>
      </c>
      <c r="J211" s="30">
        <f>[1]data!J216-[1]data!J177</f>
        <v>0</v>
      </c>
      <c r="K211" s="8">
        <f t="shared" si="66"/>
        <v>0</v>
      </c>
      <c r="L211" s="8">
        <f t="shared" si="66"/>
        <v>0</v>
      </c>
      <c r="M211" s="7">
        <f t="shared" si="52"/>
        <v>0</v>
      </c>
      <c r="N211" s="7">
        <f t="shared" si="53"/>
        <v>0</v>
      </c>
      <c r="O211" s="7">
        <f t="shared" si="54"/>
        <v>0</v>
      </c>
      <c r="P211" s="7">
        <f t="shared" si="55"/>
        <v>0</v>
      </c>
      <c r="Q211" s="7">
        <f t="shared" si="56"/>
        <v>0</v>
      </c>
      <c r="R211" s="7">
        <f t="shared" si="57"/>
        <v>0</v>
      </c>
      <c r="S211" s="8">
        <f t="shared" si="67"/>
        <v>0</v>
      </c>
      <c r="T211" s="8">
        <f t="shared" si="67"/>
        <v>0</v>
      </c>
      <c r="U211" s="7">
        <f t="shared" si="58"/>
        <v>0</v>
      </c>
      <c r="V211" s="7">
        <f t="shared" si="59"/>
        <v>0</v>
      </c>
      <c r="W211" s="7">
        <f t="shared" si="60"/>
        <v>0</v>
      </c>
      <c r="X211" s="7">
        <f t="shared" si="61"/>
        <v>0</v>
      </c>
      <c r="Y211" s="7">
        <f t="shared" si="62"/>
        <v>0</v>
      </c>
      <c r="Z211" s="7">
        <f t="shared" si="63"/>
        <v>0</v>
      </c>
      <c r="AA211" s="23">
        <v>19.06914282116</v>
      </c>
      <c r="AB211" s="29">
        <v>20.729999827290001</v>
      </c>
    </row>
    <row r="212" spans="1:28" x14ac:dyDescent="0.35">
      <c r="A212" s="10" t="s">
        <v>46</v>
      </c>
      <c r="B212" s="15" t="s">
        <v>68</v>
      </c>
      <c r="C212" s="20">
        <f t="shared" si="64"/>
        <v>6.5953424585950176</v>
      </c>
      <c r="D212" s="30">
        <f>[1]data!D217-[1]data!D178</f>
        <v>-0.91100784237983401</v>
      </c>
      <c r="E212" s="30">
        <f>[1]data!E217-[1]data!E178</f>
        <v>7.5063503009748516</v>
      </c>
      <c r="F212" s="30">
        <f>[1]data!F217-[1]data!F178</f>
        <v>0.48014543897033191</v>
      </c>
      <c r="G212" s="21">
        <f t="shared" si="65"/>
        <v>5.8642869211811419</v>
      </c>
      <c r="H212" s="30">
        <f>[1]data!H217-[1]data!H178</f>
        <v>2.5309368338247786</v>
      </c>
      <c r="I212" s="30">
        <f>[1]data!I217-[1]data!I178</f>
        <v>3.3333500873563633</v>
      </c>
      <c r="J212" s="30">
        <f>[1]data!J217-[1]data!J178</f>
        <v>0</v>
      </c>
      <c r="K212" s="8">
        <f t="shared" si="66"/>
        <v>1.7754873566844003</v>
      </c>
      <c r="L212" s="8">
        <f t="shared" si="66"/>
        <v>1.5782455877581258</v>
      </c>
      <c r="M212" s="7">
        <f t="shared" si="52"/>
        <v>-0.2452462349211047</v>
      </c>
      <c r="N212" s="7">
        <f t="shared" si="53"/>
        <v>-0.2180014330833264</v>
      </c>
      <c r="O212" s="7">
        <f t="shared" si="54"/>
        <v>2.0207335916055049</v>
      </c>
      <c r="P212" s="7">
        <f t="shared" si="55"/>
        <v>1.7962470208414523</v>
      </c>
      <c r="Q212" s="7">
        <f t="shared" si="56"/>
        <v>0.12925669313055033</v>
      </c>
      <c r="R212" s="7">
        <f t="shared" si="57"/>
        <v>0.11489735753593357</v>
      </c>
      <c r="S212" s="8">
        <f t="shared" si="67"/>
        <v>1.5786848597919247</v>
      </c>
      <c r="T212" s="8">
        <f t="shared" si="67"/>
        <v>1.403306199307419</v>
      </c>
      <c r="U212" s="7">
        <f t="shared" si="58"/>
        <v>0.68133631835396857</v>
      </c>
      <c r="V212" s="7">
        <f t="shared" si="59"/>
        <v>0.60564556214559317</v>
      </c>
      <c r="W212" s="7">
        <f t="shared" si="60"/>
        <v>0.89734854143795617</v>
      </c>
      <c r="X212" s="7">
        <f t="shared" si="61"/>
        <v>0.79766063716182578</v>
      </c>
      <c r="Y212" s="7">
        <f t="shared" si="62"/>
        <v>0</v>
      </c>
      <c r="Z212" s="7">
        <f t="shared" si="63"/>
        <v>0</v>
      </c>
      <c r="AA212" s="23">
        <v>417.89075855828003</v>
      </c>
      <c r="AB212" s="29">
        <v>371.46659669328</v>
      </c>
    </row>
    <row r="213" spans="1:28" x14ac:dyDescent="0.35">
      <c r="A213" s="10" t="s">
        <v>47</v>
      </c>
      <c r="B213" s="15" t="s">
        <v>68</v>
      </c>
      <c r="C213" s="20">
        <f t="shared" si="64"/>
        <v>1.1665104130534063</v>
      </c>
      <c r="D213" s="30">
        <f>[1]data!D218-[1]data!D179</f>
        <v>1.4889697084849915</v>
      </c>
      <c r="E213" s="30">
        <f>[1]data!E218-[1]data!E179</f>
        <v>-0.32245929543158525</v>
      </c>
      <c r="F213" s="30">
        <f>[1]data!F218-[1]data!F179</f>
        <v>-2.7530479150827958E-4</v>
      </c>
      <c r="G213" s="21">
        <f t="shared" si="65"/>
        <v>0</v>
      </c>
      <c r="H213" s="30">
        <f>[1]data!H218-[1]data!H179</f>
        <v>0</v>
      </c>
      <c r="I213" s="30">
        <f>[1]data!I218-[1]data!I179</f>
        <v>0</v>
      </c>
      <c r="J213" s="30">
        <f>[1]data!J218-[1]data!J179</f>
        <v>0</v>
      </c>
      <c r="K213" s="8">
        <f t="shared" si="66"/>
        <v>0.32542252708848152</v>
      </c>
      <c r="L213" s="8">
        <f t="shared" si="66"/>
        <v>0.34068972667221864</v>
      </c>
      <c r="M213" s="7">
        <f t="shared" si="52"/>
        <v>0.41537930555207286</v>
      </c>
      <c r="N213" s="7">
        <f t="shared" si="53"/>
        <v>0.43486682787437764</v>
      </c>
      <c r="O213" s="7">
        <f t="shared" si="54"/>
        <v>-8.9956778463591361E-2</v>
      </c>
      <c r="P213" s="7">
        <f t="shared" si="55"/>
        <v>-9.4177101202159025E-2</v>
      </c>
      <c r="Q213" s="7">
        <f t="shared" si="56"/>
        <v>-7.6802041344563773E-5</v>
      </c>
      <c r="R213" s="7">
        <f t="shared" si="57"/>
        <v>-8.0405209521446227E-5</v>
      </c>
      <c r="S213" s="8">
        <f t="shared" si="67"/>
        <v>0</v>
      </c>
      <c r="T213" s="8">
        <f t="shared" si="67"/>
        <v>0</v>
      </c>
      <c r="U213" s="7">
        <f t="shared" si="58"/>
        <v>0</v>
      </c>
      <c r="V213" s="7">
        <f t="shared" si="59"/>
        <v>0</v>
      </c>
      <c r="W213" s="7">
        <f t="shared" si="60"/>
        <v>0</v>
      </c>
      <c r="X213" s="7">
        <f t="shared" si="61"/>
        <v>0</v>
      </c>
      <c r="Y213" s="7">
        <f t="shared" si="62"/>
        <v>0</v>
      </c>
      <c r="Z213" s="7">
        <f t="shared" si="63"/>
        <v>0</v>
      </c>
      <c r="AA213" s="23">
        <v>342.39670930134002</v>
      </c>
      <c r="AB213" s="29">
        <v>358.46025273358998</v>
      </c>
    </row>
    <row r="214" spans="1:28" x14ac:dyDescent="0.35">
      <c r="A214" s="10" t="s">
        <v>48</v>
      </c>
      <c r="B214" s="15" t="s">
        <v>68</v>
      </c>
      <c r="C214" s="20">
        <f t="shared" si="64"/>
        <v>0</v>
      </c>
      <c r="D214" s="30">
        <f>[1]data!D219-[1]data!D180</f>
        <v>0</v>
      </c>
      <c r="E214" s="30">
        <f>[1]data!E219-[1]data!E180</f>
        <v>0</v>
      </c>
      <c r="F214" s="30">
        <f>[1]data!F219-[1]data!F180</f>
        <v>0</v>
      </c>
      <c r="G214" s="21">
        <f t="shared" si="65"/>
        <v>0</v>
      </c>
      <c r="H214" s="30">
        <f>[1]data!H219-[1]data!H180</f>
        <v>0</v>
      </c>
      <c r="I214" s="30">
        <f>[1]data!I219-[1]data!I180</f>
        <v>0</v>
      </c>
      <c r="J214" s="30">
        <f>[1]data!J219-[1]data!J180</f>
        <v>0</v>
      </c>
      <c r="K214" s="8">
        <f t="shared" si="66"/>
        <v>0</v>
      </c>
      <c r="L214" s="8">
        <f t="shared" si="66"/>
        <v>0</v>
      </c>
      <c r="M214" s="7">
        <f t="shared" si="52"/>
        <v>0</v>
      </c>
      <c r="N214" s="7">
        <f t="shared" si="53"/>
        <v>0</v>
      </c>
      <c r="O214" s="7">
        <f t="shared" si="54"/>
        <v>0</v>
      </c>
      <c r="P214" s="7">
        <f t="shared" si="55"/>
        <v>0</v>
      </c>
      <c r="Q214" s="7">
        <f t="shared" si="56"/>
        <v>0</v>
      </c>
      <c r="R214" s="7">
        <f t="shared" si="57"/>
        <v>0</v>
      </c>
      <c r="S214" s="8">
        <f t="shared" si="67"/>
        <v>0</v>
      </c>
      <c r="T214" s="8">
        <f t="shared" si="67"/>
        <v>0</v>
      </c>
      <c r="U214" s="7">
        <f t="shared" si="58"/>
        <v>0</v>
      </c>
      <c r="V214" s="7">
        <f t="shared" si="59"/>
        <v>0</v>
      </c>
      <c r="W214" s="7">
        <f t="shared" si="60"/>
        <v>0</v>
      </c>
      <c r="X214" s="7">
        <f t="shared" si="61"/>
        <v>0</v>
      </c>
      <c r="Y214" s="7">
        <f t="shared" si="62"/>
        <v>0</v>
      </c>
      <c r="Z214" s="7">
        <f t="shared" si="63"/>
        <v>0</v>
      </c>
      <c r="AA214" s="25">
        <v>55.422589739999999</v>
      </c>
      <c r="AB214" s="29">
        <v>30.160077523049999</v>
      </c>
    </row>
    <row r="215" spans="1:28" x14ac:dyDescent="0.35">
      <c r="A215" s="10" t="s">
        <v>49</v>
      </c>
      <c r="B215" s="15" t="s">
        <v>68</v>
      </c>
      <c r="C215" s="20">
        <f t="shared" si="64"/>
        <v>0.55575232444005662</v>
      </c>
      <c r="D215" s="30">
        <f>[1]data!D220-[1]data!D181</f>
        <v>0.35618561001317595</v>
      </c>
      <c r="E215" s="30">
        <f>[1]data!E220-[1]data!E181</f>
        <v>0.19956671442688068</v>
      </c>
      <c r="F215" s="30">
        <f>[1]data!F220-[1]data!F181</f>
        <v>0.10354076424571956</v>
      </c>
      <c r="G215" s="21">
        <f t="shared" si="65"/>
        <v>0</v>
      </c>
      <c r="H215" s="30">
        <f>[1]data!H220-[1]data!H181</f>
        <v>0</v>
      </c>
      <c r="I215" s="30">
        <f>[1]data!I220-[1]data!I181</f>
        <v>0</v>
      </c>
      <c r="J215" s="30">
        <f>[1]data!J220-[1]data!J181</f>
        <v>0</v>
      </c>
      <c r="K215" s="8">
        <f t="shared" si="66"/>
        <v>1.1526121340562512</v>
      </c>
      <c r="L215" s="8">
        <f t="shared" si="66"/>
        <v>0.57213793525164225</v>
      </c>
      <c r="M215" s="7">
        <f t="shared" si="52"/>
        <v>0.73871729909731676</v>
      </c>
      <c r="N215" s="7">
        <f t="shared" si="53"/>
        <v>0.36668726430358933</v>
      </c>
      <c r="O215" s="7">
        <f t="shared" si="54"/>
        <v>0.41389483495893442</v>
      </c>
      <c r="P215" s="7">
        <f t="shared" si="55"/>
        <v>0.20545067094805297</v>
      </c>
      <c r="Q215" s="7">
        <f t="shared" si="56"/>
        <v>0.21474015670436708</v>
      </c>
      <c r="R215" s="7">
        <f t="shared" si="57"/>
        <v>0.10659352460578443</v>
      </c>
      <c r="S215" s="8">
        <f t="shared" si="67"/>
        <v>0</v>
      </c>
      <c r="T215" s="8">
        <f t="shared" si="67"/>
        <v>0</v>
      </c>
      <c r="U215" s="7">
        <f t="shared" si="58"/>
        <v>0</v>
      </c>
      <c r="V215" s="7">
        <f t="shared" si="59"/>
        <v>0</v>
      </c>
      <c r="W215" s="7">
        <f t="shared" si="60"/>
        <v>0</v>
      </c>
      <c r="X215" s="7">
        <f t="shared" si="61"/>
        <v>0</v>
      </c>
      <c r="Y215" s="7">
        <f t="shared" si="62"/>
        <v>0</v>
      </c>
      <c r="Z215" s="7">
        <f t="shared" si="63"/>
        <v>0</v>
      </c>
      <c r="AA215" s="23">
        <v>97.136073348400004</v>
      </c>
      <c r="AB215" s="29">
        <v>48.216768505140003</v>
      </c>
    </row>
    <row r="216" spans="1:28" x14ac:dyDescent="0.35">
      <c r="A216" s="10" t="s">
        <v>50</v>
      </c>
      <c r="B216" s="15" t="s">
        <v>68</v>
      </c>
      <c r="C216" s="20">
        <f t="shared" si="64"/>
        <v>0</v>
      </c>
      <c r="D216" s="30">
        <f>[1]data!D221-[1]data!D182</f>
        <v>0</v>
      </c>
      <c r="E216" s="30">
        <f>[1]data!E221-[1]data!E182</f>
        <v>0</v>
      </c>
      <c r="F216" s="30">
        <f>[1]data!F221-[1]data!F182</f>
        <v>0</v>
      </c>
      <c r="G216" s="21">
        <f t="shared" si="65"/>
        <v>0</v>
      </c>
      <c r="H216" s="30">
        <f>[1]data!H221-[1]data!H182</f>
        <v>0</v>
      </c>
      <c r="I216" s="30">
        <f>[1]data!I221-[1]data!I182</f>
        <v>0</v>
      </c>
      <c r="J216" s="30">
        <f>[1]data!J221-[1]data!J182</f>
        <v>0</v>
      </c>
      <c r="K216" s="8">
        <f t="shared" si="66"/>
        <v>0</v>
      </c>
      <c r="L216" s="8">
        <f t="shared" si="66"/>
        <v>0</v>
      </c>
      <c r="M216" s="7">
        <f t="shared" si="52"/>
        <v>0</v>
      </c>
      <c r="N216" s="7">
        <f t="shared" si="53"/>
        <v>0</v>
      </c>
      <c r="O216" s="7">
        <f t="shared" si="54"/>
        <v>0</v>
      </c>
      <c r="P216" s="7">
        <f t="shared" si="55"/>
        <v>0</v>
      </c>
      <c r="Q216" s="7">
        <f t="shared" si="56"/>
        <v>0</v>
      </c>
      <c r="R216" s="7">
        <f t="shared" si="57"/>
        <v>0</v>
      </c>
      <c r="S216" s="8">
        <f t="shared" si="67"/>
        <v>0</v>
      </c>
      <c r="T216" s="8">
        <f t="shared" si="67"/>
        <v>0</v>
      </c>
      <c r="U216" s="7">
        <f t="shared" si="58"/>
        <v>0</v>
      </c>
      <c r="V216" s="7">
        <f t="shared" si="59"/>
        <v>0</v>
      </c>
      <c r="W216" s="7">
        <f t="shared" si="60"/>
        <v>0</v>
      </c>
      <c r="X216" s="7">
        <f t="shared" si="61"/>
        <v>0</v>
      </c>
      <c r="Y216" s="7">
        <f t="shared" si="62"/>
        <v>0</v>
      </c>
      <c r="Z216" s="7">
        <f t="shared" si="63"/>
        <v>0</v>
      </c>
      <c r="AA216" s="23">
        <v>66.343484468840003</v>
      </c>
      <c r="AB216" s="29">
        <v>66.557495896739994</v>
      </c>
    </row>
    <row r="217" spans="1:28" x14ac:dyDescent="0.35">
      <c r="A217" s="10" t="s">
        <v>51</v>
      </c>
      <c r="B217" s="15" t="s">
        <v>68</v>
      </c>
      <c r="C217" s="20">
        <f t="shared" si="64"/>
        <v>52.727221902173859</v>
      </c>
      <c r="D217" s="30">
        <f>[1]data!D222-[1]data!D183</f>
        <v>12.143238983530951</v>
      </c>
      <c r="E217" s="30">
        <f>[1]data!E222-[1]data!E183</f>
        <v>40.58398291864291</v>
      </c>
      <c r="F217" s="30">
        <f>[1]data!F222-[1]data!F183</f>
        <v>0</v>
      </c>
      <c r="G217" s="21">
        <f t="shared" si="65"/>
        <v>0</v>
      </c>
      <c r="H217" s="30">
        <f>[1]data!H222-[1]data!H183</f>
        <v>0</v>
      </c>
      <c r="I217" s="30">
        <f>[1]data!I222-[1]data!I183</f>
        <v>0</v>
      </c>
      <c r="J217" s="30">
        <f>[1]data!J222-[1]data!J183</f>
        <v>0</v>
      </c>
      <c r="K217" s="8">
        <f t="shared" si="66"/>
        <v>6.2751794119408792</v>
      </c>
      <c r="L217" s="8">
        <f t="shared" si="66"/>
        <v>5.6547549801443484</v>
      </c>
      <c r="M217" s="7">
        <f t="shared" si="52"/>
        <v>1.4451928342651723</v>
      </c>
      <c r="N217" s="7">
        <f t="shared" si="53"/>
        <v>1.3023072075483955</v>
      </c>
      <c r="O217" s="7">
        <f t="shared" si="54"/>
        <v>4.8299865776757072</v>
      </c>
      <c r="P217" s="7">
        <f t="shared" si="55"/>
        <v>4.3524477725959532</v>
      </c>
      <c r="Q217" s="7">
        <f t="shared" si="56"/>
        <v>0</v>
      </c>
      <c r="R217" s="7">
        <f t="shared" si="57"/>
        <v>0</v>
      </c>
      <c r="S217" s="8">
        <f t="shared" si="67"/>
        <v>0</v>
      </c>
      <c r="T217" s="8">
        <f t="shared" si="67"/>
        <v>0</v>
      </c>
      <c r="U217" s="7">
        <f t="shared" si="58"/>
        <v>0</v>
      </c>
      <c r="V217" s="7">
        <f t="shared" si="59"/>
        <v>0</v>
      </c>
      <c r="W217" s="7">
        <f t="shared" si="60"/>
        <v>0</v>
      </c>
      <c r="X217" s="7">
        <f t="shared" si="61"/>
        <v>0</v>
      </c>
      <c r="Y217" s="7">
        <f t="shared" si="62"/>
        <v>0</v>
      </c>
      <c r="Z217" s="7">
        <f t="shared" si="63"/>
        <v>0</v>
      </c>
      <c r="AA217" s="23">
        <v>932.44043441874999</v>
      </c>
      <c r="AB217" s="29">
        <v>840.25042856688003</v>
      </c>
    </row>
    <row r="218" spans="1:28" x14ac:dyDescent="0.35">
      <c r="A218" s="10" t="s">
        <v>52</v>
      </c>
      <c r="B218" s="15" t="s">
        <v>68</v>
      </c>
      <c r="C218" s="20">
        <f t="shared" si="64"/>
        <v>4.4408920985006262E-15</v>
      </c>
      <c r="D218" s="30">
        <f>[1]data!D223-[1]data!D184</f>
        <v>0.78002577101263615</v>
      </c>
      <c r="E218" s="30">
        <f>[1]data!E223-[1]data!E184</f>
        <v>-0.78002577101263171</v>
      </c>
      <c r="F218" s="30">
        <f>[1]data!F223-[1]data!F184</f>
        <v>0</v>
      </c>
      <c r="G218" s="21">
        <f t="shared" si="65"/>
        <v>0</v>
      </c>
      <c r="H218" s="30">
        <f>[1]data!H223-[1]data!H184</f>
        <v>0</v>
      </c>
      <c r="I218" s="30">
        <f>[1]data!I223-[1]data!I184</f>
        <v>0</v>
      </c>
      <c r="J218" s="30">
        <f>[1]data!J223-[1]data!J184</f>
        <v>0</v>
      </c>
      <c r="K218" s="8">
        <f t="shared" si="66"/>
        <v>2.1649348980190553E-15</v>
      </c>
      <c r="L218" s="8">
        <f t="shared" si="66"/>
        <v>2.2759572004815709E-15</v>
      </c>
      <c r="M218" s="7">
        <f t="shared" si="52"/>
        <v>0.38436448129134088</v>
      </c>
      <c r="N218" s="7">
        <f t="shared" si="53"/>
        <v>0.40212943745139851</v>
      </c>
      <c r="O218" s="7">
        <f t="shared" si="54"/>
        <v>-0.38436448129133871</v>
      </c>
      <c r="P218" s="7">
        <f t="shared" si="55"/>
        <v>-0.40212943745139623</v>
      </c>
      <c r="Q218" s="7">
        <f t="shared" si="56"/>
        <v>0</v>
      </c>
      <c r="R218" s="7">
        <f t="shared" si="57"/>
        <v>0</v>
      </c>
      <c r="S218" s="8">
        <f t="shared" si="67"/>
        <v>0</v>
      </c>
      <c r="T218" s="8">
        <f t="shared" si="67"/>
        <v>0</v>
      </c>
      <c r="U218" s="7">
        <f t="shared" si="58"/>
        <v>0</v>
      </c>
      <c r="V218" s="7">
        <f t="shared" si="59"/>
        <v>0</v>
      </c>
      <c r="W218" s="7">
        <f t="shared" si="60"/>
        <v>0</v>
      </c>
      <c r="X218" s="7">
        <f t="shared" si="61"/>
        <v>0</v>
      </c>
      <c r="Y218" s="7">
        <f t="shared" si="62"/>
        <v>0</v>
      </c>
      <c r="Z218" s="7">
        <f t="shared" si="63"/>
        <v>0</v>
      </c>
      <c r="AA218" s="23">
        <v>193.97380504054999</v>
      </c>
      <c r="AB218" s="29">
        <v>202.93908750153</v>
      </c>
    </row>
    <row r="219" spans="1:28" x14ac:dyDescent="0.35">
      <c r="A219" s="10" t="s">
        <v>53</v>
      </c>
      <c r="B219" s="15" t="s">
        <v>68</v>
      </c>
      <c r="C219" s="20">
        <f t="shared" si="64"/>
        <v>10.503584387998931</v>
      </c>
      <c r="D219" s="30">
        <f>[1]data!D224-[1]data!D185</f>
        <v>1.4762368351181505</v>
      </c>
      <c r="E219" s="30">
        <f>[1]data!E224-[1]data!E185</f>
        <v>9.0273475528807801</v>
      </c>
      <c r="F219" s="30">
        <f>[1]data!F224-[1]data!F185</f>
        <v>0</v>
      </c>
      <c r="G219" s="21">
        <f t="shared" si="65"/>
        <v>0.83901230197362509</v>
      </c>
      <c r="H219" s="30">
        <f>[1]data!H224-[1]data!H185</f>
        <v>0.83901230197362509</v>
      </c>
      <c r="I219" s="30">
        <f>[1]data!I224-[1]data!I185</f>
        <v>0</v>
      </c>
      <c r="J219" s="30">
        <f>[1]data!J224-[1]data!J185</f>
        <v>0</v>
      </c>
      <c r="K219" s="8">
        <f t="shared" si="66"/>
        <v>2.5602928587666662</v>
      </c>
      <c r="L219" s="8">
        <f t="shared" si="66"/>
        <v>3.1785288964799574</v>
      </c>
      <c r="M219" s="7">
        <f t="shared" si="52"/>
        <v>0.35983893566083563</v>
      </c>
      <c r="N219" s="7">
        <f t="shared" si="53"/>
        <v>0.44672954156796152</v>
      </c>
      <c r="O219" s="7">
        <f t="shared" si="54"/>
        <v>2.2004539231058304</v>
      </c>
      <c r="P219" s="7">
        <f t="shared" si="55"/>
        <v>2.7317993549119959</v>
      </c>
      <c r="Q219" s="7">
        <f t="shared" si="56"/>
        <v>0</v>
      </c>
      <c r="R219" s="7">
        <f t="shared" si="57"/>
        <v>0</v>
      </c>
      <c r="S219" s="8">
        <f t="shared" si="67"/>
        <v>0.2045127763827771</v>
      </c>
      <c r="T219" s="8">
        <f t="shared" si="67"/>
        <v>0.25389664592711481</v>
      </c>
      <c r="U219" s="7">
        <f t="shared" si="58"/>
        <v>0.2045127763827771</v>
      </c>
      <c r="V219" s="7">
        <f t="shared" si="59"/>
        <v>0.25389664592711481</v>
      </c>
      <c r="W219" s="7">
        <f t="shared" si="60"/>
        <v>0</v>
      </c>
      <c r="X219" s="7">
        <f t="shared" si="61"/>
        <v>0</v>
      </c>
      <c r="Y219" s="7">
        <f t="shared" si="62"/>
        <v>0</v>
      </c>
      <c r="Z219" s="7">
        <f t="shared" si="63"/>
        <v>0</v>
      </c>
      <c r="AA219" s="23">
        <v>330.45426768437</v>
      </c>
      <c r="AB219" s="29">
        <v>410.24933347112</v>
      </c>
    </row>
    <row r="220" spans="1:28" x14ac:dyDescent="0.35">
      <c r="A220" s="10" t="s">
        <v>54</v>
      </c>
      <c r="B220" s="15" t="s">
        <v>68</v>
      </c>
      <c r="C220" s="20">
        <f t="shared" si="64"/>
        <v>0.45651274374176509</v>
      </c>
      <c r="D220" s="30">
        <f>[1]data!D225-[1]data!D186</f>
        <v>0</v>
      </c>
      <c r="E220" s="30">
        <f>[1]data!E225-[1]data!E186</f>
        <v>0.45651274374176509</v>
      </c>
      <c r="F220" s="30">
        <f>[1]data!F225-[1]data!F186</f>
        <v>0</v>
      </c>
      <c r="G220" s="21">
        <f t="shared" si="65"/>
        <v>0</v>
      </c>
      <c r="H220" s="30">
        <f>[1]data!H225-[1]data!H186</f>
        <v>0</v>
      </c>
      <c r="I220" s="30">
        <f>[1]data!I225-[1]data!I186</f>
        <v>0</v>
      </c>
      <c r="J220" s="30">
        <f>[1]data!J225-[1]data!J186</f>
        <v>0</v>
      </c>
      <c r="K220" s="8">
        <f t="shared" si="66"/>
        <v>0.20530124788873211</v>
      </c>
      <c r="L220" s="8">
        <f t="shared" si="66"/>
        <v>0.13378998732291728</v>
      </c>
      <c r="M220" s="7">
        <f t="shared" si="52"/>
        <v>0</v>
      </c>
      <c r="N220" s="7">
        <f t="shared" si="53"/>
        <v>0</v>
      </c>
      <c r="O220" s="7">
        <f t="shared" si="54"/>
        <v>0.20530124788873211</v>
      </c>
      <c r="P220" s="7">
        <f t="shared" si="55"/>
        <v>0.13378998732291728</v>
      </c>
      <c r="Q220" s="7">
        <f t="shared" si="56"/>
        <v>0</v>
      </c>
      <c r="R220" s="7">
        <f t="shared" si="57"/>
        <v>0</v>
      </c>
      <c r="S220" s="8">
        <f t="shared" si="67"/>
        <v>0</v>
      </c>
      <c r="T220" s="8">
        <f t="shared" si="67"/>
        <v>0</v>
      </c>
      <c r="U220" s="7">
        <f t="shared" si="58"/>
        <v>0</v>
      </c>
      <c r="V220" s="7">
        <f t="shared" si="59"/>
        <v>0</v>
      </c>
      <c r="W220" s="7">
        <f t="shared" si="60"/>
        <v>0</v>
      </c>
      <c r="X220" s="7">
        <f t="shared" si="61"/>
        <v>0</v>
      </c>
      <c r="Y220" s="7">
        <f t="shared" si="62"/>
        <v>0</v>
      </c>
      <c r="Z220" s="7">
        <f t="shared" si="63"/>
        <v>0</v>
      </c>
      <c r="AA220" s="23">
        <v>341.21592570296002</v>
      </c>
      <c r="AB220" s="29">
        <v>222.36238134761999</v>
      </c>
    </row>
    <row r="221" spans="1:28" x14ac:dyDescent="0.35">
      <c r="A221" s="10" t="s">
        <v>55</v>
      </c>
      <c r="B221" s="15" t="s">
        <v>68</v>
      </c>
      <c r="C221" s="20">
        <f t="shared" si="64"/>
        <v>0</v>
      </c>
      <c r="D221" s="30">
        <f>[1]data!D226-[1]data!D187</f>
        <v>0</v>
      </c>
      <c r="E221" s="30">
        <f>[1]data!E226-[1]data!E187</f>
        <v>0</v>
      </c>
      <c r="F221" s="30">
        <f>[1]data!F226-[1]data!F187</f>
        <v>0</v>
      </c>
      <c r="G221" s="21">
        <f t="shared" si="65"/>
        <v>0</v>
      </c>
      <c r="H221" s="30">
        <f>[1]data!H226-[1]data!H187</f>
        <v>0</v>
      </c>
      <c r="I221" s="30">
        <f>[1]data!I226-[1]data!I187</f>
        <v>0</v>
      </c>
      <c r="J221" s="30">
        <f>[1]data!J226-[1]data!J187</f>
        <v>0</v>
      </c>
      <c r="K221" s="8">
        <f t="shared" si="66"/>
        <v>0</v>
      </c>
      <c r="L221" s="8">
        <f t="shared" si="66"/>
        <v>0</v>
      </c>
      <c r="M221" s="7">
        <f t="shared" si="52"/>
        <v>0</v>
      </c>
      <c r="N221" s="7">
        <f t="shared" si="53"/>
        <v>0</v>
      </c>
      <c r="O221" s="7">
        <f t="shared" si="54"/>
        <v>0</v>
      </c>
      <c r="P221" s="7">
        <f t="shared" si="55"/>
        <v>0</v>
      </c>
      <c r="Q221" s="7">
        <f t="shared" si="56"/>
        <v>0</v>
      </c>
      <c r="R221" s="7">
        <f t="shared" si="57"/>
        <v>0</v>
      </c>
      <c r="S221" s="8">
        <f t="shared" si="67"/>
        <v>0</v>
      </c>
      <c r="T221" s="8">
        <f t="shared" si="67"/>
        <v>0</v>
      </c>
      <c r="U221" s="7">
        <f t="shared" si="58"/>
        <v>0</v>
      </c>
      <c r="V221" s="7">
        <f t="shared" si="59"/>
        <v>0</v>
      </c>
      <c r="W221" s="7">
        <f t="shared" si="60"/>
        <v>0</v>
      </c>
      <c r="X221" s="7">
        <f t="shared" si="61"/>
        <v>0</v>
      </c>
      <c r="Y221" s="7">
        <f t="shared" si="62"/>
        <v>0</v>
      </c>
      <c r="Z221" s="7">
        <f t="shared" si="63"/>
        <v>0</v>
      </c>
      <c r="AA221" s="23">
        <v>181.71174374815001</v>
      </c>
      <c r="AB221" s="29">
        <v>99.489061173690004</v>
      </c>
    </row>
    <row r="222" spans="1:28" x14ac:dyDescent="0.35">
      <c r="A222" s="10" t="s">
        <v>56</v>
      </c>
      <c r="B222" s="15" t="s">
        <v>68</v>
      </c>
      <c r="C222" s="20">
        <f t="shared" si="64"/>
        <v>0.35570577116271818</v>
      </c>
      <c r="D222" s="30">
        <f>[1]data!D227-[1]data!D188</f>
        <v>-4.451274374176506E-2</v>
      </c>
      <c r="E222" s="30">
        <f>[1]data!E227-[1]data!E188</f>
        <v>0.40021851490448324</v>
      </c>
      <c r="F222" s="30">
        <f>[1]data!F227-[1]data!F188</f>
        <v>0.374</v>
      </c>
      <c r="G222" s="21">
        <f t="shared" si="65"/>
        <v>0</v>
      </c>
      <c r="H222" s="30">
        <f>[1]data!H227-[1]data!H188</f>
        <v>0</v>
      </c>
      <c r="I222" s="30">
        <f>[1]data!I227-[1]data!I188</f>
        <v>0</v>
      </c>
      <c r="J222" s="30">
        <f>[1]data!J227-[1]data!J188</f>
        <v>0</v>
      </c>
      <c r="K222" s="8">
        <f t="shared" si="66"/>
        <v>0.70551376153752954</v>
      </c>
      <c r="L222" s="8">
        <f t="shared" si="66"/>
        <v>0.4678039094743135</v>
      </c>
      <c r="M222" s="7">
        <f t="shared" si="52"/>
        <v>-8.8287443779602959E-2</v>
      </c>
      <c r="N222" s="7">
        <f t="shared" si="53"/>
        <v>-5.8540617645195157E-2</v>
      </c>
      <c r="O222" s="7">
        <f t="shared" si="54"/>
        <v>0.7938012053171325</v>
      </c>
      <c r="P222" s="7">
        <f t="shared" si="55"/>
        <v>0.52634452711950863</v>
      </c>
      <c r="Q222" s="7">
        <f t="shared" si="56"/>
        <v>0.74179889168661228</v>
      </c>
      <c r="R222" s="7">
        <f t="shared" si="57"/>
        <v>0.49186343412842204</v>
      </c>
      <c r="S222" s="8">
        <f t="shared" si="67"/>
        <v>0</v>
      </c>
      <c r="T222" s="8">
        <f t="shared" si="67"/>
        <v>0</v>
      </c>
      <c r="U222" s="7">
        <f t="shared" si="58"/>
        <v>0</v>
      </c>
      <c r="V222" s="7">
        <f t="shared" si="59"/>
        <v>0</v>
      </c>
      <c r="W222" s="7">
        <f t="shared" si="60"/>
        <v>0</v>
      </c>
      <c r="X222" s="7">
        <f t="shared" si="61"/>
        <v>0</v>
      </c>
      <c r="Y222" s="7">
        <f t="shared" si="62"/>
        <v>0</v>
      </c>
      <c r="Z222" s="7">
        <f t="shared" si="63"/>
        <v>0</v>
      </c>
      <c r="AA222" s="23">
        <v>76.037366075549997</v>
      </c>
      <c r="AB222" s="29">
        <v>50.417977728389999</v>
      </c>
    </row>
    <row r="223" spans="1:28" x14ac:dyDescent="0.35">
      <c r="A223" s="10" t="s">
        <v>57</v>
      </c>
      <c r="B223" s="15" t="s">
        <v>68</v>
      </c>
      <c r="C223" s="20">
        <f t="shared" si="64"/>
        <v>0</v>
      </c>
      <c r="D223" s="30">
        <f>[1]data!D228-[1]data!D189</f>
        <v>0</v>
      </c>
      <c r="E223" s="30">
        <f>[1]data!E228-[1]data!E189</f>
        <v>0</v>
      </c>
      <c r="F223" s="30">
        <f>[1]data!F228-[1]data!F189</f>
        <v>0</v>
      </c>
      <c r="G223" s="21">
        <f t="shared" si="65"/>
        <v>0</v>
      </c>
      <c r="H223" s="30">
        <f>[1]data!H228-[1]data!H189</f>
        <v>0</v>
      </c>
      <c r="I223" s="30">
        <f>[1]data!I228-[1]data!I189</f>
        <v>0</v>
      </c>
      <c r="J223" s="30">
        <f>[1]data!J228-[1]data!J189</f>
        <v>0</v>
      </c>
      <c r="K223" s="8">
        <f t="shared" si="66"/>
        <v>0</v>
      </c>
      <c r="L223" s="8">
        <f t="shared" si="66"/>
        <v>0</v>
      </c>
      <c r="M223" s="7">
        <f t="shared" si="52"/>
        <v>0</v>
      </c>
      <c r="N223" s="7">
        <f t="shared" si="53"/>
        <v>0</v>
      </c>
      <c r="O223" s="7">
        <f t="shared" si="54"/>
        <v>0</v>
      </c>
      <c r="P223" s="7">
        <f t="shared" si="55"/>
        <v>0</v>
      </c>
      <c r="Q223" s="7">
        <f t="shared" si="56"/>
        <v>0</v>
      </c>
      <c r="R223" s="7">
        <f t="shared" si="57"/>
        <v>0</v>
      </c>
      <c r="S223" s="8">
        <f t="shared" si="67"/>
        <v>0</v>
      </c>
      <c r="T223" s="8">
        <f t="shared" si="67"/>
        <v>0</v>
      </c>
      <c r="U223" s="7">
        <f t="shared" si="58"/>
        <v>0</v>
      </c>
      <c r="V223" s="7">
        <f t="shared" si="59"/>
        <v>0</v>
      </c>
      <c r="W223" s="7">
        <f t="shared" si="60"/>
        <v>0</v>
      </c>
      <c r="X223" s="7">
        <f t="shared" si="61"/>
        <v>0</v>
      </c>
      <c r="Y223" s="7">
        <f t="shared" si="62"/>
        <v>0</v>
      </c>
      <c r="Z223" s="7">
        <f t="shared" si="63"/>
        <v>0</v>
      </c>
      <c r="AA223" s="23">
        <v>521.00449074291998</v>
      </c>
      <c r="AB223" s="29">
        <v>549.82128194673999</v>
      </c>
    </row>
    <row r="224" spans="1:28" x14ac:dyDescent="0.35">
      <c r="A224" s="10" t="s">
        <v>58</v>
      </c>
      <c r="B224" s="15" t="s">
        <v>68</v>
      </c>
      <c r="C224" s="20">
        <f t="shared" si="64"/>
        <v>3.8322799069066686</v>
      </c>
      <c r="D224" s="30">
        <f>[1]data!D229-[1]data!D190</f>
        <v>2.2988468883408597</v>
      </c>
      <c r="E224" s="30">
        <f>[1]data!E229-[1]data!E190</f>
        <v>1.5334330185658089</v>
      </c>
      <c r="F224" s="30">
        <f>[1]data!F229-[1]data!F190</f>
        <v>0</v>
      </c>
      <c r="G224" s="21">
        <f t="shared" si="65"/>
        <v>2.6534631329331315E-3</v>
      </c>
      <c r="H224" s="30">
        <f>[1]data!H229-[1]data!H190</f>
        <v>6.0615948210829274E-5</v>
      </c>
      <c r="I224" s="30">
        <f>[1]data!I229-[1]data!I190</f>
        <v>2.5928471847223022E-3</v>
      </c>
      <c r="J224" s="30">
        <f>[1]data!J229-[1]data!J190</f>
        <v>0</v>
      </c>
      <c r="K224" s="8">
        <f t="shared" si="66"/>
        <v>0.51294735991859142</v>
      </c>
      <c r="L224" s="8">
        <f t="shared" si="66"/>
        <v>0.64864381941725113</v>
      </c>
      <c r="M224" s="7">
        <f t="shared" si="52"/>
        <v>0.30769867308135301</v>
      </c>
      <c r="N224" s="7">
        <f t="shared" si="53"/>
        <v>0.38909809881619206</v>
      </c>
      <c r="O224" s="7">
        <f t="shared" si="54"/>
        <v>0.20524868683723846</v>
      </c>
      <c r="P224" s="7">
        <f t="shared" si="55"/>
        <v>0.25954572060105907</v>
      </c>
      <c r="Q224" s="7">
        <f t="shared" si="56"/>
        <v>0</v>
      </c>
      <c r="R224" s="7">
        <f t="shared" si="57"/>
        <v>0</v>
      </c>
      <c r="S224" s="8">
        <f t="shared" si="67"/>
        <v>3.5516375153765934E-4</v>
      </c>
      <c r="T224" s="8">
        <f t="shared" si="67"/>
        <v>4.4911971542754234E-4</v>
      </c>
      <c r="U224" s="7">
        <f t="shared" si="58"/>
        <v>8.1133923823441052E-6</v>
      </c>
      <c r="V224" s="7">
        <f t="shared" si="59"/>
        <v>1.0259730792161092E-5</v>
      </c>
      <c r="W224" s="7">
        <f t="shared" si="60"/>
        <v>3.4705035915531525E-4</v>
      </c>
      <c r="X224" s="7">
        <f t="shared" si="61"/>
        <v>4.3885998463538125E-4</v>
      </c>
      <c r="Y224" s="7">
        <f t="shared" si="62"/>
        <v>0</v>
      </c>
      <c r="Z224" s="7">
        <f t="shared" si="63"/>
        <v>0</v>
      </c>
      <c r="AA224" s="23">
        <v>590.81421763174001</v>
      </c>
      <c r="AB224" s="29">
        <v>747.10978286638999</v>
      </c>
    </row>
    <row r="225" spans="1:28" x14ac:dyDescent="0.35">
      <c r="A225" s="5" t="s">
        <v>59</v>
      </c>
      <c r="B225" s="15" t="s">
        <v>68</v>
      </c>
      <c r="C225" s="20">
        <f t="shared" si="64"/>
        <v>11.328436070309328</v>
      </c>
      <c r="D225" s="30">
        <f>[1]data!D230-[1]data!D191</f>
        <v>-0.69891173880890034</v>
      </c>
      <c r="E225" s="30">
        <f>[1]data!E230-[1]data!E191</f>
        <v>12.027347809118229</v>
      </c>
      <c r="F225" s="30">
        <f>[1]data!F230-[1]data!F191</f>
        <v>0.2461605787508705</v>
      </c>
      <c r="G225" s="21">
        <f t="shared" si="65"/>
        <v>3.2859281358385646</v>
      </c>
      <c r="H225" s="30">
        <f>[1]data!H230-[1]data!H191</f>
        <v>3.2859281358385646</v>
      </c>
      <c r="I225" s="30">
        <f>[1]data!I230-[1]data!I191</f>
        <v>0</v>
      </c>
      <c r="J225" s="30">
        <f>[1]data!J230-[1]data!J191</f>
        <v>-1.4672521220830275</v>
      </c>
      <c r="K225" s="8">
        <f t="shared" si="66"/>
        <v>4.3244997461952863</v>
      </c>
      <c r="L225" s="8">
        <f t="shared" si="66"/>
        <v>2.5671259331396246</v>
      </c>
      <c r="M225" s="7">
        <f t="shared" si="52"/>
        <v>-0.26680149125028041</v>
      </c>
      <c r="N225" s="7">
        <f t="shared" si="53"/>
        <v>-0.15837971265728693</v>
      </c>
      <c r="O225" s="7">
        <f t="shared" si="54"/>
        <v>4.5913012374455668</v>
      </c>
      <c r="P225" s="7">
        <f t="shared" si="55"/>
        <v>2.7255056457969116</v>
      </c>
      <c r="Q225" s="7">
        <f t="shared" si="56"/>
        <v>9.3968960386458425E-2</v>
      </c>
      <c r="R225" s="7">
        <f t="shared" si="57"/>
        <v>5.5782210492781953E-2</v>
      </c>
      <c r="S225" s="8">
        <f t="shared" si="67"/>
        <v>1.2543651481330917</v>
      </c>
      <c r="T225" s="8">
        <f t="shared" si="67"/>
        <v>0.74462099442416596</v>
      </c>
      <c r="U225" s="7">
        <f t="shared" si="58"/>
        <v>1.2543651481330917</v>
      </c>
      <c r="V225" s="7">
        <f t="shared" si="59"/>
        <v>0.74462099442416596</v>
      </c>
      <c r="W225" s="7">
        <f t="shared" si="60"/>
        <v>0</v>
      </c>
      <c r="X225" s="7">
        <f t="shared" si="61"/>
        <v>0</v>
      </c>
      <c r="Y225" s="7">
        <f t="shared" si="62"/>
        <v>-0.56010656635848322</v>
      </c>
      <c r="Z225" s="7">
        <f t="shared" si="63"/>
        <v>-0.33249258323709968</v>
      </c>
      <c r="AA225" s="23">
        <v>441.28867711817003</v>
      </c>
      <c r="AB225" s="29">
        <v>261.95945739796002</v>
      </c>
    </row>
    <row r="226" spans="1:28" x14ac:dyDescent="0.35">
      <c r="A226" s="5" t="s">
        <v>60</v>
      </c>
      <c r="B226" s="15" t="s">
        <v>68</v>
      </c>
      <c r="C226" s="20">
        <f t="shared" si="64"/>
        <v>1.4008972612615151</v>
      </c>
      <c r="D226" s="30">
        <f>[1]data!D231-[1]data!D192</f>
        <v>0.94149480215283265</v>
      </c>
      <c r="E226" s="30">
        <f>[1]data!E231-[1]data!E192</f>
        <v>0.45940245910868249</v>
      </c>
      <c r="F226" s="30">
        <f>[1]data!F231-[1]data!F192</f>
        <v>0.37365202662225599</v>
      </c>
      <c r="G226" s="21">
        <f t="shared" si="65"/>
        <v>6.5253723489827387E-2</v>
      </c>
      <c r="H226" s="30">
        <f>[1]data!H231-[1]data!H192</f>
        <v>6.3087624784770924E-2</v>
      </c>
      <c r="I226" s="30">
        <f>[1]data!I231-[1]data!I192</f>
        <v>2.1660987050564628E-3</v>
      </c>
      <c r="J226" s="30">
        <f>[1]data!J231-[1]data!J192</f>
        <v>0</v>
      </c>
      <c r="K226" s="8">
        <f t="shared" si="66"/>
        <v>0.43586584430410957</v>
      </c>
      <c r="L226" s="8">
        <f t="shared" si="66"/>
        <v>0.2028906438775413</v>
      </c>
      <c r="M226" s="7">
        <f t="shared" si="52"/>
        <v>0.29293042266264324</v>
      </c>
      <c r="N226" s="7">
        <f t="shared" si="53"/>
        <v>0.13635581416165496</v>
      </c>
      <c r="O226" s="7">
        <f t="shared" si="54"/>
        <v>0.14293542164146633</v>
      </c>
      <c r="P226" s="7">
        <f t="shared" si="55"/>
        <v>6.6534829715886326E-2</v>
      </c>
      <c r="Q226" s="7">
        <f t="shared" si="56"/>
        <v>0.11625560315036453</v>
      </c>
      <c r="R226" s="7">
        <f t="shared" si="57"/>
        <v>5.4115674549374146E-2</v>
      </c>
      <c r="S226" s="8">
        <f t="shared" si="67"/>
        <v>2.0302608955969029E-2</v>
      </c>
      <c r="T226" s="8">
        <f t="shared" si="67"/>
        <v>9.4506359176803577E-3</v>
      </c>
      <c r="U226" s="7">
        <f t="shared" si="58"/>
        <v>1.96286634304597E-2</v>
      </c>
      <c r="V226" s="7">
        <f t="shared" si="59"/>
        <v>9.1369218623216803E-3</v>
      </c>
      <c r="W226" s="7">
        <f t="shared" si="60"/>
        <v>6.739455255093304E-4</v>
      </c>
      <c r="X226" s="7">
        <f t="shared" si="61"/>
        <v>3.1371405535867715E-4</v>
      </c>
      <c r="Y226" s="7">
        <f t="shared" si="62"/>
        <v>0</v>
      </c>
      <c r="Z226" s="7">
        <f t="shared" si="63"/>
        <v>0</v>
      </c>
      <c r="AA226" s="23">
        <v>690.46912883131995</v>
      </c>
      <c r="AB226" s="29">
        <v>321.40560669490998</v>
      </c>
    </row>
    <row r="227" spans="1:28" x14ac:dyDescent="0.35">
      <c r="A227" s="5" t="s">
        <v>61</v>
      </c>
      <c r="B227" s="15" t="s">
        <v>68</v>
      </c>
      <c r="C227" s="20">
        <f t="shared" si="64"/>
        <v>0</v>
      </c>
      <c r="D227" s="30">
        <f>[1]data!D232-[1]data!D193</f>
        <v>0</v>
      </c>
      <c r="E227" s="30">
        <f>[1]data!E232-[1]data!E193</f>
        <v>0</v>
      </c>
      <c r="F227" s="30">
        <f>[1]data!F232-[1]data!F193</f>
        <v>0</v>
      </c>
      <c r="G227" s="21">
        <f t="shared" si="65"/>
        <v>0</v>
      </c>
      <c r="H227" s="30">
        <f>[1]data!H232-[1]data!H193</f>
        <v>0</v>
      </c>
      <c r="I227" s="30">
        <f>[1]data!I232-[1]data!I193</f>
        <v>0</v>
      </c>
      <c r="J227" s="30">
        <f>[1]data!J232-[1]data!J193</f>
        <v>0</v>
      </c>
      <c r="K227" s="8">
        <f t="shared" si="66"/>
        <v>0</v>
      </c>
      <c r="L227" s="8">
        <f t="shared" si="66"/>
        <v>0</v>
      </c>
      <c r="M227" s="7">
        <f t="shared" si="52"/>
        <v>0</v>
      </c>
      <c r="N227" s="7">
        <f t="shared" si="53"/>
        <v>0</v>
      </c>
      <c r="O227" s="7">
        <f t="shared" si="54"/>
        <v>0</v>
      </c>
      <c r="P227" s="7">
        <f t="shared" si="55"/>
        <v>0</v>
      </c>
      <c r="Q227" s="7">
        <f t="shared" si="56"/>
        <v>0</v>
      </c>
      <c r="R227" s="7">
        <f t="shared" si="57"/>
        <v>0</v>
      </c>
      <c r="S227" s="8">
        <f t="shared" si="67"/>
        <v>0</v>
      </c>
      <c r="T227" s="8">
        <f t="shared" si="67"/>
        <v>0</v>
      </c>
      <c r="U227" s="7">
        <f t="shared" si="58"/>
        <v>0</v>
      </c>
      <c r="V227" s="7">
        <f t="shared" si="59"/>
        <v>0</v>
      </c>
      <c r="W227" s="7">
        <f t="shared" si="60"/>
        <v>0</v>
      </c>
      <c r="X227" s="7">
        <f t="shared" si="61"/>
        <v>0</v>
      </c>
      <c r="Y227" s="7">
        <f t="shared" si="62"/>
        <v>0</v>
      </c>
      <c r="Z227" s="7">
        <f t="shared" si="63"/>
        <v>0</v>
      </c>
      <c r="AA227" s="23">
        <v>91.233487908610002</v>
      </c>
      <c r="AB227" s="29">
        <v>64.38249419652</v>
      </c>
    </row>
    <row r="228" spans="1:28" x14ac:dyDescent="0.35">
      <c r="A228" s="5" t="s">
        <v>62</v>
      </c>
      <c r="B228" s="15" t="s">
        <v>68</v>
      </c>
      <c r="C228" s="20">
        <f t="shared" si="64"/>
        <v>2.5891373283260455</v>
      </c>
      <c r="D228" s="30">
        <f>[1]data!D233-[1]data!D194</f>
        <v>2.8357904306323585</v>
      </c>
      <c r="E228" s="30">
        <f>[1]data!E233-[1]data!E194</f>
        <v>-0.24665310230631299</v>
      </c>
      <c r="F228" s="30">
        <f>[1]data!F233-[1]data!F194</f>
        <v>-2.9</v>
      </c>
      <c r="G228" s="21">
        <f t="shared" si="65"/>
        <v>0</v>
      </c>
      <c r="H228" s="30">
        <f>[1]data!H233-[1]data!H194</f>
        <v>0</v>
      </c>
      <c r="I228" s="30">
        <f>[1]data!I233-[1]data!I194</f>
        <v>0</v>
      </c>
      <c r="J228" s="30">
        <f>[1]data!J233-[1]data!J194</f>
        <v>0</v>
      </c>
      <c r="K228" s="8">
        <f t="shared" si="66"/>
        <v>1.7567292106863743</v>
      </c>
      <c r="L228" s="8">
        <f t="shared" si="66"/>
        <v>0.83550701246794812</v>
      </c>
      <c r="M228" s="7">
        <f t="shared" si="52"/>
        <v>1.9240832961523846</v>
      </c>
      <c r="N228" s="7">
        <f t="shared" si="53"/>
        <v>0.91510124424905481</v>
      </c>
      <c r="O228" s="7">
        <f t="shared" si="54"/>
        <v>-0.16735408546601035</v>
      </c>
      <c r="P228" s="7">
        <f t="shared" si="55"/>
        <v>-7.9594231781106722E-2</v>
      </c>
      <c r="Q228" s="7">
        <f t="shared" si="56"/>
        <v>-1.9676494773972615</v>
      </c>
      <c r="R228" s="7">
        <f t="shared" si="57"/>
        <v>-0.93582148372314089</v>
      </c>
      <c r="S228" s="8">
        <f t="shared" si="67"/>
        <v>0</v>
      </c>
      <c r="T228" s="8">
        <f t="shared" si="67"/>
        <v>0</v>
      </c>
      <c r="U228" s="7">
        <f t="shared" si="58"/>
        <v>0</v>
      </c>
      <c r="V228" s="7">
        <f t="shared" si="59"/>
        <v>0</v>
      </c>
      <c r="W228" s="7">
        <f t="shared" si="60"/>
        <v>0</v>
      </c>
      <c r="X228" s="7">
        <f t="shared" si="61"/>
        <v>0</v>
      </c>
      <c r="Y228" s="7">
        <f t="shared" si="62"/>
        <v>0</v>
      </c>
      <c r="Z228" s="7">
        <f t="shared" si="63"/>
        <v>0</v>
      </c>
      <c r="AA228" s="23">
        <v>309.88816247970999</v>
      </c>
      <c r="AB228" s="29">
        <v>147.38397429586999</v>
      </c>
    </row>
    <row r="229" spans="1:28" x14ac:dyDescent="0.35">
      <c r="A229" s="5" t="s">
        <v>63</v>
      </c>
      <c r="B229" s="15" t="s">
        <v>68</v>
      </c>
      <c r="C229" s="20">
        <f t="shared" si="64"/>
        <v>1.5898896693499602</v>
      </c>
      <c r="D229" s="30">
        <f>[1]data!D234-[1]data!D195</f>
        <v>1.5898896693499602</v>
      </c>
      <c r="E229" s="30">
        <f>[1]data!E234-[1]data!E195</f>
        <v>0</v>
      </c>
      <c r="F229" s="30">
        <f>[1]data!F234-[1]data!F195</f>
        <v>0</v>
      </c>
      <c r="G229" s="21">
        <f t="shared" si="65"/>
        <v>0</v>
      </c>
      <c r="H229" s="30">
        <f>[1]data!H234-[1]data!H195</f>
        <v>0</v>
      </c>
      <c r="I229" s="30">
        <f>[1]data!I234-[1]data!I195</f>
        <v>0</v>
      </c>
      <c r="J229" s="30">
        <f>[1]data!J234-[1]data!J195</f>
        <v>0</v>
      </c>
      <c r="K229" s="8">
        <f t="shared" si="66"/>
        <v>0.27819440029479181</v>
      </c>
      <c r="L229" s="8">
        <f t="shared" si="66"/>
        <v>0.13080958980708565</v>
      </c>
      <c r="M229" s="7">
        <f t="shared" si="52"/>
        <v>0.27819440029479181</v>
      </c>
      <c r="N229" s="7">
        <f t="shared" si="53"/>
        <v>0.13080958980708565</v>
      </c>
      <c r="O229" s="7">
        <f t="shared" si="54"/>
        <v>0</v>
      </c>
      <c r="P229" s="7">
        <f t="shared" si="55"/>
        <v>0</v>
      </c>
      <c r="Q229" s="7">
        <f t="shared" si="56"/>
        <v>0</v>
      </c>
      <c r="R229" s="7">
        <f t="shared" si="57"/>
        <v>0</v>
      </c>
      <c r="S229" s="8">
        <f t="shared" si="67"/>
        <v>0</v>
      </c>
      <c r="T229" s="8">
        <f t="shared" si="67"/>
        <v>0</v>
      </c>
      <c r="U229" s="7">
        <f t="shared" si="58"/>
        <v>0</v>
      </c>
      <c r="V229" s="7">
        <f t="shared" si="59"/>
        <v>0</v>
      </c>
      <c r="W229" s="7">
        <f t="shared" si="60"/>
        <v>0</v>
      </c>
      <c r="X229" s="7">
        <f t="shared" si="61"/>
        <v>0</v>
      </c>
      <c r="Y229" s="7">
        <f t="shared" si="62"/>
        <v>0</v>
      </c>
      <c r="Z229" s="7">
        <f t="shared" si="63"/>
        <v>0</v>
      </c>
      <c r="AA229" s="23">
        <v>1215.4228689920101</v>
      </c>
      <c r="AB229" s="29">
        <v>571.50311712429004</v>
      </c>
    </row>
    <row r="230" spans="1:28" x14ac:dyDescent="0.35">
      <c r="A230" s="5" t="s">
        <v>25</v>
      </c>
      <c r="B230" s="15" t="s">
        <v>69</v>
      </c>
      <c r="C230" s="6">
        <f t="shared" si="64"/>
        <v>0</v>
      </c>
      <c r="D230" s="9">
        <f>[1]data!D236-[1]data!D197</f>
        <v>0</v>
      </c>
      <c r="E230" s="9">
        <f>[1]data!E236-[1]data!E197</f>
        <v>0</v>
      </c>
      <c r="F230" s="9">
        <f>[1]data!F236-[1]data!F197</f>
        <v>0</v>
      </c>
      <c r="G230" s="8">
        <f t="shared" si="65"/>
        <v>0</v>
      </c>
      <c r="H230" s="9">
        <f>[1]data!H236-[1]data!H197</f>
        <v>0</v>
      </c>
      <c r="I230" s="9">
        <f>[1]data!I236-[1]data!I197</f>
        <v>0</v>
      </c>
      <c r="J230" s="9">
        <f>[1]data!J236-[1]data!J197</f>
        <v>0</v>
      </c>
      <c r="K230" s="8">
        <f t="shared" si="66"/>
        <v>0</v>
      </c>
      <c r="L230" s="8">
        <f t="shared" si="66"/>
        <v>0</v>
      </c>
      <c r="M230" s="7">
        <f t="shared" si="52"/>
        <v>0</v>
      </c>
      <c r="N230" s="7">
        <f t="shared" si="53"/>
        <v>0</v>
      </c>
      <c r="O230" s="7">
        <f t="shared" si="54"/>
        <v>0</v>
      </c>
      <c r="P230" s="7">
        <f t="shared" si="55"/>
        <v>0</v>
      </c>
      <c r="Q230" s="7">
        <f t="shared" si="56"/>
        <v>0</v>
      </c>
      <c r="R230" s="7">
        <f t="shared" si="57"/>
        <v>0</v>
      </c>
      <c r="S230" s="8">
        <f t="shared" si="67"/>
        <v>0</v>
      </c>
      <c r="T230" s="8">
        <f t="shared" si="67"/>
        <v>0</v>
      </c>
      <c r="U230" s="7">
        <f t="shared" si="58"/>
        <v>0</v>
      </c>
      <c r="V230" s="7">
        <f t="shared" si="59"/>
        <v>0</v>
      </c>
      <c r="W230" s="7">
        <f t="shared" si="60"/>
        <v>0</v>
      </c>
      <c r="X230" s="7">
        <f t="shared" si="61"/>
        <v>0</v>
      </c>
      <c r="Y230" s="7">
        <f t="shared" si="62"/>
        <v>0</v>
      </c>
      <c r="Z230" s="7">
        <f t="shared" si="63"/>
        <v>0</v>
      </c>
      <c r="AA230" s="23">
        <v>1226.51571721458</v>
      </c>
      <c r="AB230" s="29">
        <v>1494.77336635199</v>
      </c>
    </row>
    <row r="231" spans="1:28" x14ac:dyDescent="0.35">
      <c r="A231" s="5" t="s">
        <v>27</v>
      </c>
      <c r="B231" s="15" t="s">
        <v>69</v>
      </c>
      <c r="C231" s="6">
        <f t="shared" si="64"/>
        <v>0.67106453921286402</v>
      </c>
      <c r="D231" s="9">
        <f>[1]data!D237-[1]data!D198</f>
        <v>0.67106453921286402</v>
      </c>
      <c r="E231" s="9">
        <f>[1]data!E237-[1]data!E198</f>
        <v>0</v>
      </c>
      <c r="F231" s="9">
        <f>[1]data!F237-[1]data!F198</f>
        <v>4.5744234136235065</v>
      </c>
      <c r="G231" s="8">
        <f t="shared" si="65"/>
        <v>0</v>
      </c>
      <c r="H231" s="9">
        <f>[1]data!H237-[1]data!H198</f>
        <v>0</v>
      </c>
      <c r="I231" s="9">
        <f>[1]data!I237-[1]data!I198</f>
        <v>0</v>
      </c>
      <c r="J231" s="9">
        <f>[1]data!J237-[1]data!J198</f>
        <v>0</v>
      </c>
      <c r="K231" s="8">
        <f t="shared" si="66"/>
        <v>3.9553372979777374E-2</v>
      </c>
      <c r="L231" s="8">
        <f t="shared" si="66"/>
        <v>3.8936417301015262E-2</v>
      </c>
      <c r="M231" s="7">
        <f t="shared" si="52"/>
        <v>3.9553372979777374E-2</v>
      </c>
      <c r="N231" s="7">
        <f t="shared" si="53"/>
        <v>3.8936417301015262E-2</v>
      </c>
      <c r="O231" s="7">
        <f t="shared" si="54"/>
        <v>0</v>
      </c>
      <c r="P231" s="7">
        <f t="shared" si="55"/>
        <v>0</v>
      </c>
      <c r="Q231" s="7">
        <f t="shared" si="56"/>
        <v>0.26962216727873345</v>
      </c>
      <c r="R231" s="7">
        <f t="shared" si="57"/>
        <v>0.26541658594164214</v>
      </c>
      <c r="S231" s="8">
        <f t="shared" si="67"/>
        <v>0</v>
      </c>
      <c r="T231" s="8">
        <f t="shared" si="67"/>
        <v>0</v>
      </c>
      <c r="U231" s="7">
        <f t="shared" si="58"/>
        <v>0</v>
      </c>
      <c r="V231" s="7">
        <f t="shared" si="59"/>
        <v>0</v>
      </c>
      <c r="W231" s="7">
        <f t="shared" si="60"/>
        <v>0</v>
      </c>
      <c r="X231" s="7">
        <f t="shared" si="61"/>
        <v>0</v>
      </c>
      <c r="Y231" s="7">
        <f t="shared" si="62"/>
        <v>0</v>
      </c>
      <c r="Z231" s="7">
        <f t="shared" si="63"/>
        <v>0</v>
      </c>
      <c r="AA231" s="23">
        <v>1723.48815255626</v>
      </c>
      <c r="AB231" s="29">
        <v>1696.60508992738</v>
      </c>
    </row>
    <row r="232" spans="1:28" x14ac:dyDescent="0.35">
      <c r="A232" s="5" t="s">
        <v>28</v>
      </c>
      <c r="B232" s="15" t="s">
        <v>69</v>
      </c>
      <c r="C232" s="6">
        <f t="shared" si="64"/>
        <v>0</v>
      </c>
      <c r="D232" s="9">
        <f>[1]data!D238-[1]data!D199</f>
        <v>0</v>
      </c>
      <c r="E232" s="9">
        <f>[1]data!E238-[1]data!E199</f>
        <v>0</v>
      </c>
      <c r="F232" s="9">
        <f>[1]data!F238-[1]data!F199</f>
        <v>0</v>
      </c>
      <c r="G232" s="8">
        <f t="shared" si="65"/>
        <v>0</v>
      </c>
      <c r="H232" s="9">
        <f>[1]data!H238-[1]data!H199</f>
        <v>0</v>
      </c>
      <c r="I232" s="9">
        <f>[1]data!I238-[1]data!I199</f>
        <v>0</v>
      </c>
      <c r="J232" s="9">
        <f>[1]data!J238-[1]data!J199</f>
        <v>0</v>
      </c>
      <c r="K232" s="8">
        <f t="shared" si="66"/>
        <v>0</v>
      </c>
      <c r="L232" s="8">
        <f t="shared" si="66"/>
        <v>0</v>
      </c>
      <c r="M232" s="7">
        <f t="shared" si="52"/>
        <v>0</v>
      </c>
      <c r="N232" s="7">
        <f t="shared" si="53"/>
        <v>0</v>
      </c>
      <c r="O232" s="7">
        <f t="shared" si="54"/>
        <v>0</v>
      </c>
      <c r="P232" s="7">
        <f t="shared" si="55"/>
        <v>0</v>
      </c>
      <c r="Q232" s="7">
        <f t="shared" si="56"/>
        <v>0</v>
      </c>
      <c r="R232" s="7">
        <f t="shared" si="57"/>
        <v>0</v>
      </c>
      <c r="S232" s="8">
        <f t="shared" si="67"/>
        <v>0</v>
      </c>
      <c r="T232" s="8">
        <f t="shared" si="67"/>
        <v>0</v>
      </c>
      <c r="U232" s="7">
        <f t="shared" si="58"/>
        <v>0</v>
      </c>
      <c r="V232" s="7">
        <f t="shared" si="59"/>
        <v>0</v>
      </c>
      <c r="W232" s="7">
        <f t="shared" si="60"/>
        <v>0</v>
      </c>
      <c r="X232" s="7">
        <f t="shared" si="61"/>
        <v>0</v>
      </c>
      <c r="Y232" s="7">
        <f t="shared" si="62"/>
        <v>0</v>
      </c>
      <c r="Z232" s="7">
        <f t="shared" si="63"/>
        <v>0</v>
      </c>
      <c r="AA232" s="23">
        <v>2907.0902498102801</v>
      </c>
      <c r="AB232" s="29">
        <v>2616.8124857180101</v>
      </c>
    </row>
    <row r="233" spans="1:28" x14ac:dyDescent="0.35">
      <c r="A233" s="5" t="s">
        <v>29</v>
      </c>
      <c r="B233" s="15" t="s">
        <v>69</v>
      </c>
      <c r="C233" s="6">
        <f t="shared" si="64"/>
        <v>69.618193420619207</v>
      </c>
      <c r="D233" s="9">
        <f>[1]data!D239-[1]data!D200</f>
        <v>0</v>
      </c>
      <c r="E233" s="9">
        <f>[1]data!E239-[1]data!E200</f>
        <v>69.618193420619207</v>
      </c>
      <c r="F233" s="9">
        <f>[1]data!F239-[1]data!F200</f>
        <v>0</v>
      </c>
      <c r="G233" s="8">
        <f t="shared" si="65"/>
        <v>0</v>
      </c>
      <c r="H233" s="9">
        <f>[1]data!H239-[1]data!H200</f>
        <v>0</v>
      </c>
      <c r="I233" s="9">
        <f>[1]data!I239-[1]data!I200</f>
        <v>0</v>
      </c>
      <c r="J233" s="9">
        <f>[1]data!J239-[1]data!J200</f>
        <v>0</v>
      </c>
      <c r="K233" s="8">
        <f t="shared" si="66"/>
        <v>1.9352808465074895</v>
      </c>
      <c r="L233" s="8">
        <f t="shared" si="66"/>
        <v>1.67279660479225</v>
      </c>
      <c r="M233" s="7">
        <f t="shared" si="52"/>
        <v>0</v>
      </c>
      <c r="N233" s="7">
        <f t="shared" si="53"/>
        <v>0</v>
      </c>
      <c r="O233" s="7">
        <f t="shared" si="54"/>
        <v>1.9352808465074895</v>
      </c>
      <c r="P233" s="7">
        <f t="shared" si="55"/>
        <v>1.67279660479225</v>
      </c>
      <c r="Q233" s="7">
        <f t="shared" si="56"/>
        <v>0</v>
      </c>
      <c r="R233" s="7">
        <f t="shared" si="57"/>
        <v>0</v>
      </c>
      <c r="S233" s="8">
        <f t="shared" si="67"/>
        <v>0</v>
      </c>
      <c r="T233" s="8">
        <f t="shared" si="67"/>
        <v>0</v>
      </c>
      <c r="U233" s="7">
        <f t="shared" si="58"/>
        <v>0</v>
      </c>
      <c r="V233" s="7">
        <f t="shared" si="59"/>
        <v>0</v>
      </c>
      <c r="W233" s="7">
        <f t="shared" si="60"/>
        <v>0</v>
      </c>
      <c r="X233" s="7">
        <f t="shared" si="61"/>
        <v>0</v>
      </c>
      <c r="Y233" s="7">
        <f t="shared" si="62"/>
        <v>0</v>
      </c>
      <c r="Z233" s="7">
        <f t="shared" si="63"/>
        <v>0</v>
      </c>
      <c r="AA233" s="23">
        <v>4161.7847155581303</v>
      </c>
      <c r="AB233" s="29">
        <v>3597.3173374942398</v>
      </c>
    </row>
    <row r="234" spans="1:28" x14ac:dyDescent="0.35">
      <c r="A234" s="5" t="s">
        <v>30</v>
      </c>
      <c r="B234" s="15" t="s">
        <v>69</v>
      </c>
      <c r="C234" s="6">
        <f t="shared" si="64"/>
        <v>0</v>
      </c>
      <c r="D234" s="9">
        <f>[1]data!D240-[1]data!D201</f>
        <v>0</v>
      </c>
      <c r="E234" s="9">
        <f>[1]data!E240-[1]data!E201</f>
        <v>0</v>
      </c>
      <c r="F234" s="9">
        <f>[1]data!F240-[1]data!F201</f>
        <v>0</v>
      </c>
      <c r="G234" s="8">
        <f t="shared" si="65"/>
        <v>0</v>
      </c>
      <c r="H234" s="9">
        <f>[1]data!H240-[1]data!H201</f>
        <v>0</v>
      </c>
      <c r="I234" s="9">
        <f>[1]data!I240-[1]data!I201</f>
        <v>0</v>
      </c>
      <c r="J234" s="9">
        <f>[1]data!J240-[1]data!J201</f>
        <v>0</v>
      </c>
      <c r="K234" s="8">
        <f t="shared" ref="K234:L267" si="68">M234+O234</f>
        <v>0</v>
      </c>
      <c r="L234" s="8">
        <f t="shared" si="68"/>
        <v>0</v>
      </c>
      <c r="M234" s="7">
        <f t="shared" si="52"/>
        <v>0</v>
      </c>
      <c r="N234" s="7">
        <f t="shared" si="53"/>
        <v>0</v>
      </c>
      <c r="O234" s="7">
        <f t="shared" si="54"/>
        <v>0</v>
      </c>
      <c r="P234" s="7">
        <f t="shared" si="55"/>
        <v>0</v>
      </c>
      <c r="Q234" s="7">
        <f t="shared" si="56"/>
        <v>0</v>
      </c>
      <c r="R234" s="7">
        <f t="shared" si="57"/>
        <v>0</v>
      </c>
      <c r="S234" s="8">
        <f t="shared" ref="S234:T267" si="69">U234+W234</f>
        <v>0</v>
      </c>
      <c r="T234" s="8">
        <f t="shared" si="69"/>
        <v>0</v>
      </c>
      <c r="U234" s="7">
        <f t="shared" si="58"/>
        <v>0</v>
      </c>
      <c r="V234" s="7">
        <f t="shared" si="59"/>
        <v>0</v>
      </c>
      <c r="W234" s="7">
        <f t="shared" si="60"/>
        <v>0</v>
      </c>
      <c r="X234" s="7">
        <f t="shared" si="61"/>
        <v>0</v>
      </c>
      <c r="Y234" s="7">
        <f t="shared" si="62"/>
        <v>0</v>
      </c>
      <c r="Z234" s="7">
        <f t="shared" si="63"/>
        <v>0</v>
      </c>
      <c r="AA234" s="23">
        <v>2337.6598158571201</v>
      </c>
      <c r="AB234" s="29">
        <v>1918.15761738117</v>
      </c>
    </row>
    <row r="235" spans="1:28" x14ac:dyDescent="0.35">
      <c r="A235" s="5" t="s">
        <v>31</v>
      </c>
      <c r="B235" s="15" t="s">
        <v>69</v>
      </c>
      <c r="C235" s="6">
        <f t="shared" si="64"/>
        <v>13.111734743751498</v>
      </c>
      <c r="D235" s="9">
        <f>[1]data!D241-[1]data!D202</f>
        <v>10.302077298662283</v>
      </c>
      <c r="E235" s="9">
        <f>[1]data!E241-[1]data!E202</f>
        <v>2.8096574450892149</v>
      </c>
      <c r="F235" s="9">
        <f>[1]data!F241-[1]data!F202</f>
        <v>0</v>
      </c>
      <c r="G235" s="8">
        <f t="shared" si="65"/>
        <v>0</v>
      </c>
      <c r="H235" s="9">
        <f>[1]data!H241-[1]data!H202</f>
        <v>0</v>
      </c>
      <c r="I235" s="9">
        <f>[1]data!I241-[1]data!I202</f>
        <v>0</v>
      </c>
      <c r="J235" s="9">
        <f>[1]data!J241-[1]data!J202</f>
        <v>0</v>
      </c>
      <c r="K235" s="8">
        <f t="shared" si="68"/>
        <v>0.28726510612116063</v>
      </c>
      <c r="L235" s="8">
        <f t="shared" si="68"/>
        <v>0.24623659365108472</v>
      </c>
      <c r="M235" s="7">
        <f t="shared" si="52"/>
        <v>0.22570829766663478</v>
      </c>
      <c r="N235" s="7">
        <f t="shared" si="53"/>
        <v>0.19347160929728821</v>
      </c>
      <c r="O235" s="7">
        <f t="shared" si="54"/>
        <v>6.1556808454525831E-2</v>
      </c>
      <c r="P235" s="7">
        <f t="shared" si="55"/>
        <v>5.2764984353796514E-2</v>
      </c>
      <c r="Q235" s="7">
        <f t="shared" si="56"/>
        <v>0</v>
      </c>
      <c r="R235" s="7">
        <f t="shared" si="57"/>
        <v>0</v>
      </c>
      <c r="S235" s="8">
        <f t="shared" si="69"/>
        <v>0</v>
      </c>
      <c r="T235" s="8">
        <f t="shared" si="69"/>
        <v>0</v>
      </c>
      <c r="U235" s="7">
        <f t="shared" si="58"/>
        <v>0</v>
      </c>
      <c r="V235" s="7">
        <f t="shared" si="59"/>
        <v>0</v>
      </c>
      <c r="W235" s="7">
        <f t="shared" si="60"/>
        <v>0</v>
      </c>
      <c r="X235" s="7">
        <f t="shared" si="61"/>
        <v>0</v>
      </c>
      <c r="Y235" s="7">
        <f t="shared" si="62"/>
        <v>0</v>
      </c>
      <c r="Z235" s="7">
        <f t="shared" si="63"/>
        <v>0</v>
      </c>
      <c r="AA235" s="23">
        <v>5324.8522282316499</v>
      </c>
      <c r="AB235" s="29">
        <v>4564.3325500944502</v>
      </c>
    </row>
    <row r="236" spans="1:28" x14ac:dyDescent="0.35">
      <c r="A236" s="5" t="s">
        <v>32</v>
      </c>
      <c r="B236" s="15" t="s">
        <v>69</v>
      </c>
      <c r="C236" s="6">
        <f t="shared" si="64"/>
        <v>31.3557937785978</v>
      </c>
      <c r="D236" s="9">
        <f>[1]data!D242-[1]data!D203</f>
        <v>3.4745609322229996</v>
      </c>
      <c r="E236" s="9">
        <f>[1]data!E242-[1]data!E203</f>
        <v>27.8812328463748</v>
      </c>
      <c r="F236" s="9">
        <f>[1]data!F242-[1]data!F203</f>
        <v>-11.610118236940266</v>
      </c>
      <c r="G236" s="8">
        <f t="shared" si="65"/>
        <v>0</v>
      </c>
      <c r="H236" s="9">
        <f>[1]data!H242-[1]data!H203</f>
        <v>0</v>
      </c>
      <c r="I236" s="9">
        <f>[1]data!I242-[1]data!I203</f>
        <v>0</v>
      </c>
      <c r="J236" s="9">
        <f>[1]data!J242-[1]data!J203</f>
        <v>0</v>
      </c>
      <c r="K236" s="8">
        <f t="shared" si="68"/>
        <v>1.9141013926408748</v>
      </c>
      <c r="L236" s="8">
        <f t="shared" si="68"/>
        <v>1.4539864788011108</v>
      </c>
      <c r="M236" s="7">
        <f t="shared" si="52"/>
        <v>0.21210312729263747</v>
      </c>
      <c r="N236" s="7">
        <f t="shared" si="53"/>
        <v>0.16111742062390688</v>
      </c>
      <c r="O236" s="7">
        <f t="shared" si="54"/>
        <v>1.7019982653482373</v>
      </c>
      <c r="P236" s="7">
        <f t="shared" si="55"/>
        <v>1.2928690581772038</v>
      </c>
      <c r="Q236" s="7">
        <f t="shared" si="56"/>
        <v>-0.70873483997783737</v>
      </c>
      <c r="R236" s="7">
        <f t="shared" si="57"/>
        <v>-0.53836796647500584</v>
      </c>
      <c r="S236" s="8">
        <f t="shared" si="69"/>
        <v>0</v>
      </c>
      <c r="T236" s="8">
        <f t="shared" si="69"/>
        <v>0</v>
      </c>
      <c r="U236" s="7">
        <f t="shared" si="58"/>
        <v>0</v>
      </c>
      <c r="V236" s="7">
        <f t="shared" si="59"/>
        <v>0</v>
      </c>
      <c r="W236" s="7">
        <f t="shared" si="60"/>
        <v>0</v>
      </c>
      <c r="X236" s="7">
        <f t="shared" si="61"/>
        <v>0</v>
      </c>
      <c r="Y236" s="7">
        <f t="shared" si="62"/>
        <v>0</v>
      </c>
      <c r="Z236" s="7">
        <f t="shared" si="63"/>
        <v>0</v>
      </c>
      <c r="AA236" s="23">
        <v>2156.5395714307001</v>
      </c>
      <c r="AB236" s="29">
        <v>1638.14696019506</v>
      </c>
    </row>
    <row r="237" spans="1:28" x14ac:dyDescent="0.35">
      <c r="A237" s="5" t="s">
        <v>33</v>
      </c>
      <c r="B237" s="15" t="s">
        <v>69</v>
      </c>
      <c r="C237" s="6">
        <f t="shared" si="64"/>
        <v>10.431316194499331</v>
      </c>
      <c r="D237" s="9">
        <f>[1]data!D243-[1]data!D204</f>
        <v>5.831950301301049</v>
      </c>
      <c r="E237" s="9">
        <f>[1]data!E243-[1]data!E204</f>
        <v>4.5993658931982822</v>
      </c>
      <c r="F237" s="9">
        <f>[1]data!F243-[1]data!F204</f>
        <v>0</v>
      </c>
      <c r="G237" s="8">
        <f t="shared" si="65"/>
        <v>0</v>
      </c>
      <c r="H237" s="9">
        <f>[1]data!H243-[1]data!H204</f>
        <v>0</v>
      </c>
      <c r="I237" s="9">
        <f>[1]data!I243-[1]data!I204</f>
        <v>0</v>
      </c>
      <c r="J237" s="9">
        <f>[1]data!J243-[1]data!J204</f>
        <v>0</v>
      </c>
      <c r="K237" s="8">
        <f t="shared" si="68"/>
        <v>0.78791226741858011</v>
      </c>
      <c r="L237" s="8">
        <f t="shared" si="68"/>
        <v>0.58063765008396617</v>
      </c>
      <c r="M237" s="7">
        <f t="shared" si="52"/>
        <v>0.44050674907100051</v>
      </c>
      <c r="N237" s="7">
        <f t="shared" si="53"/>
        <v>0.32462345644738155</v>
      </c>
      <c r="O237" s="7">
        <f t="shared" si="54"/>
        <v>0.34740551834757954</v>
      </c>
      <c r="P237" s="7">
        <f t="shared" si="55"/>
        <v>0.25601419363658462</v>
      </c>
      <c r="Q237" s="7">
        <f t="shared" si="56"/>
        <v>0</v>
      </c>
      <c r="R237" s="7">
        <f t="shared" si="57"/>
        <v>0</v>
      </c>
      <c r="S237" s="8">
        <f t="shared" si="69"/>
        <v>0</v>
      </c>
      <c r="T237" s="8">
        <f t="shared" si="69"/>
        <v>0</v>
      </c>
      <c r="U237" s="7">
        <f t="shared" si="58"/>
        <v>0</v>
      </c>
      <c r="V237" s="7">
        <f t="shared" si="59"/>
        <v>0</v>
      </c>
      <c r="W237" s="7">
        <f t="shared" si="60"/>
        <v>0</v>
      </c>
      <c r="X237" s="7">
        <f t="shared" si="61"/>
        <v>0</v>
      </c>
      <c r="Y237" s="7">
        <f t="shared" si="62"/>
        <v>0</v>
      </c>
      <c r="Z237" s="7">
        <f t="shared" si="63"/>
        <v>0</v>
      </c>
      <c r="AA237" s="23">
        <v>1796.5276955414199</v>
      </c>
      <c r="AB237" s="29">
        <v>1323.9184901480501</v>
      </c>
    </row>
    <row r="238" spans="1:28" x14ac:dyDescent="0.35">
      <c r="A238" s="5" t="s">
        <v>34</v>
      </c>
      <c r="B238" s="15" t="s">
        <v>69</v>
      </c>
      <c r="C238" s="6">
        <f t="shared" si="64"/>
        <v>81.621811374512617</v>
      </c>
      <c r="D238" s="9">
        <f>[1]data!D244-[1]data!D205</f>
        <v>-73.129174997612637</v>
      </c>
      <c r="E238" s="9">
        <f>[1]data!E244-[1]data!E205</f>
        <v>154.75098637212525</v>
      </c>
      <c r="F238" s="9">
        <f>[1]data!F244-[1]data!F205</f>
        <v>1.9244519736213839</v>
      </c>
      <c r="G238" s="8">
        <f t="shared" si="65"/>
        <v>3.8489039472427766E-2</v>
      </c>
      <c r="H238" s="9">
        <f>[1]data!H244-[1]data!H205</f>
        <v>3.8489039472427766E-2</v>
      </c>
      <c r="I238" s="9">
        <f>[1]data!I244-[1]data!I205</f>
        <v>0</v>
      </c>
      <c r="J238" s="9">
        <f>[1]data!J244-[1]data!J205</f>
        <v>0</v>
      </c>
      <c r="K238" s="8">
        <f t="shared" si="68"/>
        <v>2.5851053824890355</v>
      </c>
      <c r="L238" s="8">
        <f t="shared" si="68"/>
        <v>2.7743757632933415</v>
      </c>
      <c r="M238" s="7">
        <f t="shared" si="52"/>
        <v>-2.3161287494085574</v>
      </c>
      <c r="N238" s="7">
        <f t="shared" si="53"/>
        <v>-2.4857058093465447</v>
      </c>
      <c r="O238" s="7">
        <f t="shared" si="54"/>
        <v>4.9012341318975929</v>
      </c>
      <c r="P238" s="7">
        <f t="shared" si="55"/>
        <v>5.2600815726398862</v>
      </c>
      <c r="Q238" s="7">
        <f t="shared" si="56"/>
        <v>6.095075656338305E-2</v>
      </c>
      <c r="R238" s="7">
        <f t="shared" si="57"/>
        <v>6.5413310772277453E-2</v>
      </c>
      <c r="S238" s="8">
        <f t="shared" si="69"/>
        <v>1.2190151312676638E-3</v>
      </c>
      <c r="T238" s="8">
        <f t="shared" si="69"/>
        <v>1.308266215445552E-3</v>
      </c>
      <c r="U238" s="7">
        <f t="shared" si="58"/>
        <v>1.2190151312676638E-3</v>
      </c>
      <c r="V238" s="7">
        <f t="shared" si="59"/>
        <v>1.308266215445552E-3</v>
      </c>
      <c r="W238" s="7">
        <f t="shared" si="60"/>
        <v>0</v>
      </c>
      <c r="X238" s="7">
        <f t="shared" si="61"/>
        <v>0</v>
      </c>
      <c r="Y238" s="7">
        <f t="shared" si="62"/>
        <v>0</v>
      </c>
      <c r="Z238" s="7">
        <f t="shared" si="63"/>
        <v>0</v>
      </c>
      <c r="AA238" s="23">
        <v>2941.9883367789698</v>
      </c>
      <c r="AB238" s="29">
        <v>3157.38816403392</v>
      </c>
    </row>
    <row r="239" spans="1:28" x14ac:dyDescent="0.35">
      <c r="A239" s="5" t="s">
        <v>35</v>
      </c>
      <c r="B239" s="15" t="s">
        <v>69</v>
      </c>
      <c r="C239" s="6">
        <f t="shared" si="64"/>
        <v>0</v>
      </c>
      <c r="D239" s="9">
        <f>[1]data!D245-[1]data!D206</f>
        <v>0</v>
      </c>
      <c r="E239" s="9">
        <f>[1]data!E245-[1]data!E206</f>
        <v>0</v>
      </c>
      <c r="F239" s="9">
        <f>[1]data!F245-[1]data!F206</f>
        <v>0</v>
      </c>
      <c r="G239" s="8">
        <f t="shared" si="65"/>
        <v>0</v>
      </c>
      <c r="H239" s="9">
        <f>[1]data!H245-[1]data!H206</f>
        <v>0</v>
      </c>
      <c r="I239" s="9">
        <f>[1]data!I245-[1]data!I206</f>
        <v>0</v>
      </c>
      <c r="J239" s="9">
        <f>[1]data!J245-[1]data!J206</f>
        <v>0</v>
      </c>
      <c r="K239" s="8">
        <f t="shared" si="68"/>
        <v>0</v>
      </c>
      <c r="L239" s="8">
        <f t="shared" si="68"/>
        <v>0</v>
      </c>
      <c r="M239" s="7">
        <f t="shared" si="52"/>
        <v>0</v>
      </c>
      <c r="N239" s="7">
        <f t="shared" si="53"/>
        <v>0</v>
      </c>
      <c r="O239" s="7">
        <f t="shared" si="54"/>
        <v>0</v>
      </c>
      <c r="P239" s="7">
        <f t="shared" si="55"/>
        <v>0</v>
      </c>
      <c r="Q239" s="7">
        <f t="shared" si="56"/>
        <v>0</v>
      </c>
      <c r="R239" s="7">
        <f t="shared" si="57"/>
        <v>0</v>
      </c>
      <c r="S239" s="8">
        <f t="shared" si="69"/>
        <v>0</v>
      </c>
      <c r="T239" s="8">
        <f t="shared" si="69"/>
        <v>0</v>
      </c>
      <c r="U239" s="7">
        <f t="shared" si="58"/>
        <v>0</v>
      </c>
      <c r="V239" s="7">
        <f t="shared" si="59"/>
        <v>0</v>
      </c>
      <c r="W239" s="7">
        <f t="shared" si="60"/>
        <v>0</v>
      </c>
      <c r="X239" s="7">
        <f t="shared" si="61"/>
        <v>0</v>
      </c>
      <c r="Y239" s="7">
        <f t="shared" si="62"/>
        <v>0</v>
      </c>
      <c r="Z239" s="7">
        <f t="shared" si="63"/>
        <v>0</v>
      </c>
      <c r="AA239" s="23">
        <v>19974.2138871676</v>
      </c>
      <c r="AB239" s="29">
        <v>19928.975197</v>
      </c>
    </row>
    <row r="240" spans="1:28" x14ac:dyDescent="0.35">
      <c r="A240" s="5" t="s">
        <v>36</v>
      </c>
      <c r="B240" s="15" t="s">
        <v>69</v>
      </c>
      <c r="C240" s="6">
        <f t="shared" si="64"/>
        <v>0</v>
      </c>
      <c r="D240" s="9">
        <f>[1]data!D246-[1]data!D207</f>
        <v>0</v>
      </c>
      <c r="E240" s="9">
        <f>[1]data!E246-[1]data!E207</f>
        <v>0</v>
      </c>
      <c r="F240" s="9">
        <f>[1]data!F246-[1]data!F207</f>
        <v>0</v>
      </c>
      <c r="G240" s="8">
        <f t="shared" si="65"/>
        <v>0.10239412195682918</v>
      </c>
      <c r="H240" s="9">
        <f>[1]data!H246-[1]data!H207</f>
        <v>0</v>
      </c>
      <c r="I240" s="9">
        <f>[1]data!I246-[1]data!I207</f>
        <v>0.10239412195682918</v>
      </c>
      <c r="J240" s="9">
        <f>[1]data!J246-[1]data!J207</f>
        <v>0.45146499226420111</v>
      </c>
      <c r="K240" s="8">
        <f t="shared" si="68"/>
        <v>0</v>
      </c>
      <c r="L240" s="8">
        <f t="shared" si="68"/>
        <v>0</v>
      </c>
      <c r="M240" s="7">
        <f t="shared" si="52"/>
        <v>0</v>
      </c>
      <c r="N240" s="7">
        <f t="shared" si="53"/>
        <v>0</v>
      </c>
      <c r="O240" s="7">
        <f t="shared" si="54"/>
        <v>0</v>
      </c>
      <c r="P240" s="7">
        <f t="shared" si="55"/>
        <v>0</v>
      </c>
      <c r="Q240" s="7">
        <f t="shared" si="56"/>
        <v>0</v>
      </c>
      <c r="R240" s="7">
        <f t="shared" si="57"/>
        <v>0</v>
      </c>
      <c r="S240" s="8">
        <f t="shared" si="69"/>
        <v>8.0048482009581808E-3</v>
      </c>
      <c r="T240" s="8">
        <f t="shared" si="69"/>
        <v>4.2992617321149628E-3</v>
      </c>
      <c r="U240" s="7">
        <f t="shared" si="58"/>
        <v>0</v>
      </c>
      <c r="V240" s="7">
        <f t="shared" si="59"/>
        <v>0</v>
      </c>
      <c r="W240" s="7">
        <f t="shared" si="60"/>
        <v>8.0048482009581808E-3</v>
      </c>
      <c r="X240" s="7">
        <f t="shared" si="61"/>
        <v>4.2992617321149628E-3</v>
      </c>
      <c r="Y240" s="7">
        <f t="shared" si="62"/>
        <v>3.5294103431497408E-2</v>
      </c>
      <c r="Z240" s="7">
        <f t="shared" si="63"/>
        <v>1.895583581887051E-2</v>
      </c>
      <c r="AA240" s="23">
        <v>2381.6675591522499</v>
      </c>
      <c r="AB240" s="29">
        <v>1279.1513266244399</v>
      </c>
    </row>
    <row r="241" spans="1:28" x14ac:dyDescent="0.35">
      <c r="A241" s="5" t="s">
        <v>37</v>
      </c>
      <c r="B241" s="15" t="s">
        <v>69</v>
      </c>
      <c r="C241" s="6">
        <f t="shared" si="64"/>
        <v>5.2341212109827868</v>
      </c>
      <c r="D241" s="9">
        <f>[1]data!D247-[1]data!D208</f>
        <v>-0.23266279540380985</v>
      </c>
      <c r="E241" s="9">
        <f>[1]data!E247-[1]data!E208</f>
        <v>5.4667840063865967</v>
      </c>
      <c r="F241" s="9">
        <f>[1]data!F247-[1]data!F208</f>
        <v>1.376658570374012E-2</v>
      </c>
      <c r="G241" s="8">
        <f t="shared" si="65"/>
        <v>0</v>
      </c>
      <c r="H241" s="9">
        <f>[1]data!H247-[1]data!H208</f>
        <v>0</v>
      </c>
      <c r="I241" s="9">
        <f>[1]data!I247-[1]data!I208</f>
        <v>0</v>
      </c>
      <c r="J241" s="9">
        <f>[1]data!J247-[1]data!J208</f>
        <v>1.4269426648543515</v>
      </c>
      <c r="K241" s="8">
        <f t="shared" si="68"/>
        <v>0.52495888545341107</v>
      </c>
      <c r="L241" s="8">
        <f t="shared" si="68"/>
        <v>0.22427622016784382</v>
      </c>
      <c r="M241" s="7">
        <f t="shared" si="52"/>
        <v>-2.333503502085036E-2</v>
      </c>
      <c r="N241" s="7">
        <f t="shared" si="53"/>
        <v>-9.9693396892222771E-3</v>
      </c>
      <c r="O241" s="7">
        <f t="shared" si="54"/>
        <v>0.5482939204742614</v>
      </c>
      <c r="P241" s="7">
        <f t="shared" si="55"/>
        <v>0.2342455598570661</v>
      </c>
      <c r="Q241" s="7">
        <f t="shared" si="56"/>
        <v>1.3807268109057253E-3</v>
      </c>
      <c r="R241" s="7">
        <f t="shared" si="57"/>
        <v>5.8988274856397167E-4</v>
      </c>
      <c r="S241" s="8">
        <f t="shared" si="69"/>
        <v>0</v>
      </c>
      <c r="T241" s="8">
        <f t="shared" si="69"/>
        <v>0</v>
      </c>
      <c r="U241" s="7">
        <f t="shared" si="58"/>
        <v>0</v>
      </c>
      <c r="V241" s="7">
        <f t="shared" si="59"/>
        <v>0</v>
      </c>
      <c r="W241" s="7">
        <f t="shared" si="60"/>
        <v>0</v>
      </c>
      <c r="X241" s="7">
        <f t="shared" si="61"/>
        <v>0</v>
      </c>
      <c r="Y241" s="7">
        <f t="shared" si="62"/>
        <v>0.14311595027185245</v>
      </c>
      <c r="Z241" s="7">
        <f t="shared" si="63"/>
        <v>6.1142891876146278E-2</v>
      </c>
      <c r="AA241" s="23">
        <v>2333.7834064911899</v>
      </c>
      <c r="AB241" s="29">
        <v>997.05355143423003</v>
      </c>
    </row>
    <row r="242" spans="1:28" x14ac:dyDescent="0.35">
      <c r="A242" s="10" t="s">
        <v>38</v>
      </c>
      <c r="B242" s="15" t="s">
        <v>69</v>
      </c>
      <c r="C242" s="6">
        <f t="shared" si="64"/>
        <v>15.521433287220011</v>
      </c>
      <c r="D242" s="9">
        <f>[1]data!D248-[1]data!D209</f>
        <v>4.7933838092885335</v>
      </c>
      <c r="E242" s="9">
        <f>[1]data!E248-[1]data!E209</f>
        <v>10.728049477931478</v>
      </c>
      <c r="F242" s="9">
        <f>[1]data!F248-[1]data!F209</f>
        <v>0</v>
      </c>
      <c r="G242" s="8">
        <f t="shared" si="65"/>
        <v>1.9401791609025008</v>
      </c>
      <c r="H242" s="9">
        <f>[1]data!H248-[1]data!H209</f>
        <v>0</v>
      </c>
      <c r="I242" s="9">
        <f>[1]data!I248-[1]data!I209</f>
        <v>1.9401791609025008</v>
      </c>
      <c r="J242" s="9">
        <f>[1]data!J248-[1]data!J209</f>
        <v>0</v>
      </c>
      <c r="K242" s="8">
        <f t="shared" si="68"/>
        <v>3.7495954896454364</v>
      </c>
      <c r="L242" s="8">
        <f t="shared" si="68"/>
        <v>3.3123049625002468</v>
      </c>
      <c r="M242" s="7">
        <f t="shared" si="52"/>
        <v>1.1579633129787377</v>
      </c>
      <c r="N242" s="7">
        <f t="shared" si="53"/>
        <v>1.0229177090074293</v>
      </c>
      <c r="O242" s="7">
        <f t="shared" si="54"/>
        <v>2.5916321766666988</v>
      </c>
      <c r="P242" s="7">
        <f t="shared" si="55"/>
        <v>2.2893872534928175</v>
      </c>
      <c r="Q242" s="7">
        <f t="shared" si="56"/>
        <v>0</v>
      </c>
      <c r="R242" s="7">
        <f t="shared" si="57"/>
        <v>0</v>
      </c>
      <c r="S242" s="8">
        <f t="shared" si="69"/>
        <v>0.46869943620567944</v>
      </c>
      <c r="T242" s="8">
        <f t="shared" si="69"/>
        <v>0.41403812031253068</v>
      </c>
      <c r="U242" s="7">
        <f t="shared" si="58"/>
        <v>0</v>
      </c>
      <c r="V242" s="7">
        <f t="shared" si="59"/>
        <v>0</v>
      </c>
      <c r="W242" s="7">
        <f t="shared" si="60"/>
        <v>0.46869943620567944</v>
      </c>
      <c r="X242" s="7">
        <f t="shared" si="61"/>
        <v>0.41403812031253068</v>
      </c>
      <c r="Y242" s="7">
        <f t="shared" si="62"/>
        <v>0</v>
      </c>
      <c r="Z242" s="7">
        <f t="shared" si="63"/>
        <v>0</v>
      </c>
      <c r="AA242" s="23">
        <v>468.59916169988998</v>
      </c>
      <c r="AB242" s="29">
        <v>413.94954015926999</v>
      </c>
    </row>
    <row r="243" spans="1:28" x14ac:dyDescent="0.35">
      <c r="A243" s="5" t="s">
        <v>39</v>
      </c>
      <c r="B243" s="15" t="s">
        <v>69</v>
      </c>
      <c r="C243" s="6">
        <f t="shared" si="64"/>
        <v>0.45651274374176687</v>
      </c>
      <c r="D243" s="9">
        <f>[1]data!D249-[1]data!D210</f>
        <v>0.45651274374176687</v>
      </c>
      <c r="E243" s="9">
        <f>[1]data!E249-[1]data!E210</f>
        <v>0</v>
      </c>
      <c r="F243" s="9">
        <f>[1]data!F249-[1]data!F210</f>
        <v>-0.34238455780632293</v>
      </c>
      <c r="G243" s="8">
        <f t="shared" si="65"/>
        <v>0</v>
      </c>
      <c r="H243" s="9">
        <f>[1]data!H249-[1]data!H210</f>
        <v>0</v>
      </c>
      <c r="I243" s="9">
        <f>[1]data!I249-[1]data!I210</f>
        <v>0</v>
      </c>
      <c r="J243" s="9">
        <f>[1]data!J249-[1]data!J210</f>
        <v>0</v>
      </c>
      <c r="K243" s="8">
        <f t="shared" si="68"/>
        <v>9.2195458439542868E-2</v>
      </c>
      <c r="L243" s="8">
        <f t="shared" si="68"/>
        <v>8.2206858341740949E-2</v>
      </c>
      <c r="M243" s="7">
        <f t="shared" si="52"/>
        <v>9.2195458439542868E-2</v>
      </c>
      <c r="N243" s="7">
        <f t="shared" si="53"/>
        <v>8.2206858341740949E-2</v>
      </c>
      <c r="O243" s="7">
        <f t="shared" si="54"/>
        <v>0</v>
      </c>
      <c r="P243" s="7">
        <f t="shared" si="55"/>
        <v>0</v>
      </c>
      <c r="Q243" s="7">
        <f t="shared" si="56"/>
        <v>-6.9146593829656697E-2</v>
      </c>
      <c r="R243" s="7">
        <f t="shared" si="57"/>
        <v>-6.1655143756305306E-2</v>
      </c>
      <c r="S243" s="8">
        <f t="shared" si="69"/>
        <v>0</v>
      </c>
      <c r="T243" s="8">
        <f t="shared" si="69"/>
        <v>0</v>
      </c>
      <c r="U243" s="7">
        <f t="shared" si="58"/>
        <v>0</v>
      </c>
      <c r="V243" s="7">
        <f t="shared" si="59"/>
        <v>0</v>
      </c>
      <c r="W243" s="7">
        <f t="shared" si="60"/>
        <v>0</v>
      </c>
      <c r="X243" s="7">
        <f t="shared" si="61"/>
        <v>0</v>
      </c>
      <c r="Y243" s="7">
        <f t="shared" si="62"/>
        <v>0</v>
      </c>
      <c r="Z243" s="7">
        <f t="shared" si="63"/>
        <v>0</v>
      </c>
      <c r="AA243" s="23">
        <v>555.32196820367994</v>
      </c>
      <c r="AB243" s="29">
        <v>495.15751802582002</v>
      </c>
    </row>
    <row r="244" spans="1:28" x14ac:dyDescent="0.35">
      <c r="A244" s="10" t="s">
        <v>40</v>
      </c>
      <c r="B244" s="15" t="s">
        <v>69</v>
      </c>
      <c r="C244" s="6">
        <f t="shared" si="64"/>
        <v>0</v>
      </c>
      <c r="D244" s="9">
        <f>[1]data!D250-[1]data!D211</f>
        <v>0</v>
      </c>
      <c r="E244" s="9">
        <f>[1]data!E250-[1]data!E211</f>
        <v>0</v>
      </c>
      <c r="F244" s="9">
        <f>[1]data!F250-[1]data!F211</f>
        <v>-0.94785708900162635</v>
      </c>
      <c r="G244" s="8">
        <f t="shared" si="65"/>
        <v>0.20249674174125293</v>
      </c>
      <c r="H244" s="9">
        <f>[1]data!H250-[1]data!H211</f>
        <v>-4.3084413136437599E-3</v>
      </c>
      <c r="I244" s="9">
        <f>[1]data!I250-[1]data!I211</f>
        <v>0.2068051830548967</v>
      </c>
      <c r="J244" s="9">
        <f>[1]data!J250-[1]data!J211</f>
        <v>0</v>
      </c>
      <c r="K244" s="8">
        <f t="shared" si="68"/>
        <v>0</v>
      </c>
      <c r="L244" s="8">
        <f t="shared" si="68"/>
        <v>0</v>
      </c>
      <c r="M244" s="7">
        <f t="shared" si="52"/>
        <v>0</v>
      </c>
      <c r="N244" s="7">
        <f t="shared" si="53"/>
        <v>0</v>
      </c>
      <c r="O244" s="7">
        <f t="shared" si="54"/>
        <v>0</v>
      </c>
      <c r="P244" s="7">
        <f t="shared" si="55"/>
        <v>0</v>
      </c>
      <c r="Q244" s="7">
        <f t="shared" si="56"/>
        <v>-0.43955461009260366</v>
      </c>
      <c r="R244" s="7">
        <f t="shared" si="57"/>
        <v>-0.23266241488076506</v>
      </c>
      <c r="S244" s="8">
        <f t="shared" si="69"/>
        <v>9.3904848519781856E-2</v>
      </c>
      <c r="T244" s="8">
        <f t="shared" si="69"/>
        <v>4.9705152269980749E-2</v>
      </c>
      <c r="U244" s="7">
        <f t="shared" si="58"/>
        <v>-1.9979755004209273E-3</v>
      </c>
      <c r="V244" s="7">
        <f t="shared" si="59"/>
        <v>-1.0575564312762058E-3</v>
      </c>
      <c r="W244" s="7">
        <f t="shared" si="60"/>
        <v>9.5902824020202782E-2</v>
      </c>
      <c r="X244" s="7">
        <f t="shared" si="61"/>
        <v>5.0762708701256952E-2</v>
      </c>
      <c r="Y244" s="7">
        <f t="shared" si="62"/>
        <v>0</v>
      </c>
      <c r="Z244" s="7">
        <f t="shared" si="63"/>
        <v>0</v>
      </c>
      <c r="AA244" s="23">
        <v>407.39587848230002</v>
      </c>
      <c r="AB244" s="29">
        <v>215.64034757863999</v>
      </c>
    </row>
    <row r="245" spans="1:28" x14ac:dyDescent="0.35">
      <c r="A245" s="10" t="s">
        <v>41</v>
      </c>
      <c r="B245" s="15" t="s">
        <v>69</v>
      </c>
      <c r="C245" s="6">
        <f t="shared" si="64"/>
        <v>0</v>
      </c>
      <c r="D245" s="9">
        <f>[1]data!D251-[1]data!D212</f>
        <v>0</v>
      </c>
      <c r="E245" s="9">
        <f>[1]data!E251-[1]data!E212</f>
        <v>0</v>
      </c>
      <c r="F245" s="9">
        <f>[1]data!F251-[1]data!F212</f>
        <v>0</v>
      </c>
      <c r="G245" s="8">
        <f t="shared" si="65"/>
        <v>0</v>
      </c>
      <c r="H245" s="9">
        <f>[1]data!H251-[1]data!H212</f>
        <v>0</v>
      </c>
      <c r="I245" s="9">
        <f>[1]data!I251-[1]data!I212</f>
        <v>0</v>
      </c>
      <c r="J245" s="9">
        <f>[1]data!J251-[1]data!J212</f>
        <v>0</v>
      </c>
      <c r="K245" s="8">
        <f t="shared" si="68"/>
        <v>0</v>
      </c>
      <c r="L245" s="8">
        <f t="shared" si="68"/>
        <v>0</v>
      </c>
      <c r="M245" s="7">
        <f t="shared" si="52"/>
        <v>0</v>
      </c>
      <c r="N245" s="7">
        <f t="shared" si="53"/>
        <v>0</v>
      </c>
      <c r="O245" s="7">
        <f t="shared" si="54"/>
        <v>0</v>
      </c>
      <c r="P245" s="7">
        <f t="shared" si="55"/>
        <v>0</v>
      </c>
      <c r="Q245" s="7">
        <f t="shared" si="56"/>
        <v>0</v>
      </c>
      <c r="R245" s="7">
        <f t="shared" si="57"/>
        <v>0</v>
      </c>
      <c r="S245" s="8">
        <f t="shared" si="69"/>
        <v>0</v>
      </c>
      <c r="T245" s="8">
        <f t="shared" si="69"/>
        <v>0</v>
      </c>
      <c r="U245" s="7">
        <f t="shared" si="58"/>
        <v>0</v>
      </c>
      <c r="V245" s="7">
        <f t="shared" si="59"/>
        <v>0</v>
      </c>
      <c r="W245" s="7">
        <f t="shared" si="60"/>
        <v>0</v>
      </c>
      <c r="X245" s="7">
        <f t="shared" si="61"/>
        <v>0</v>
      </c>
      <c r="Y245" s="7">
        <f t="shared" si="62"/>
        <v>0</v>
      </c>
      <c r="Z245" s="7">
        <f t="shared" si="63"/>
        <v>0</v>
      </c>
      <c r="AA245" s="23">
        <v>311.06354290107998</v>
      </c>
      <c r="AB245" s="29">
        <v>332.60254327404999</v>
      </c>
    </row>
    <row r="246" spans="1:28" x14ac:dyDescent="0.35">
      <c r="A246" s="10" t="s">
        <v>42</v>
      </c>
      <c r="B246" s="15" t="s">
        <v>69</v>
      </c>
      <c r="C246" s="6">
        <f t="shared" si="64"/>
        <v>0</v>
      </c>
      <c r="D246" s="9">
        <f>[1]data!D252-[1]data!D213</f>
        <v>0</v>
      </c>
      <c r="E246" s="9">
        <f>[1]data!E252-[1]data!E213</f>
        <v>0</v>
      </c>
      <c r="F246" s="9">
        <f>[1]data!F252-[1]data!F213</f>
        <v>0</v>
      </c>
      <c r="G246" s="8">
        <f t="shared" si="65"/>
        <v>0</v>
      </c>
      <c r="H246" s="9">
        <f>[1]data!H252-[1]data!H213</f>
        <v>0</v>
      </c>
      <c r="I246" s="9">
        <f>[1]data!I252-[1]data!I213</f>
        <v>0</v>
      </c>
      <c r="J246" s="9">
        <f>[1]data!J252-[1]data!J213</f>
        <v>0</v>
      </c>
      <c r="K246" s="8">
        <f t="shared" si="68"/>
        <v>0</v>
      </c>
      <c r="L246" s="8">
        <f t="shared" si="68"/>
        <v>0</v>
      </c>
      <c r="M246" s="7">
        <f t="shared" si="52"/>
        <v>0</v>
      </c>
      <c r="N246" s="7">
        <f t="shared" si="53"/>
        <v>0</v>
      </c>
      <c r="O246" s="7">
        <f t="shared" si="54"/>
        <v>0</v>
      </c>
      <c r="P246" s="7">
        <f t="shared" si="55"/>
        <v>0</v>
      </c>
      <c r="Q246" s="7">
        <f t="shared" si="56"/>
        <v>0</v>
      </c>
      <c r="R246" s="7">
        <f t="shared" si="57"/>
        <v>0</v>
      </c>
      <c r="S246" s="8">
        <f t="shared" si="69"/>
        <v>0</v>
      </c>
      <c r="T246" s="8">
        <f t="shared" si="69"/>
        <v>0</v>
      </c>
      <c r="U246" s="7">
        <f t="shared" si="58"/>
        <v>0</v>
      </c>
      <c r="V246" s="7">
        <f t="shared" si="59"/>
        <v>0</v>
      </c>
      <c r="W246" s="7">
        <f t="shared" si="60"/>
        <v>0</v>
      </c>
      <c r="X246" s="7">
        <f t="shared" si="61"/>
        <v>0</v>
      </c>
      <c r="Y246" s="7">
        <f t="shared" si="62"/>
        <v>0</v>
      </c>
      <c r="Z246" s="7">
        <f t="shared" si="63"/>
        <v>0</v>
      </c>
      <c r="AA246" s="23">
        <v>45.911572818750003</v>
      </c>
      <c r="AB246" s="29">
        <v>26.895658710639999</v>
      </c>
    </row>
    <row r="247" spans="1:28" x14ac:dyDescent="0.35">
      <c r="A247" s="10" t="s">
        <v>43</v>
      </c>
      <c r="B247" s="15" t="s">
        <v>69</v>
      </c>
      <c r="C247" s="6">
        <f t="shared" si="64"/>
        <v>1.3124741382575742</v>
      </c>
      <c r="D247" s="9">
        <f>[1]data!D253-[1]data!D214</f>
        <v>0.57064092967720637</v>
      </c>
      <c r="E247" s="9">
        <f>[1]data!E253-[1]data!E214</f>
        <v>0.74183320858036783</v>
      </c>
      <c r="F247" s="9">
        <f>[1]data!F253-[1]data!F214</f>
        <v>-1.8260509749670599</v>
      </c>
      <c r="G247" s="8">
        <f t="shared" si="65"/>
        <v>0</v>
      </c>
      <c r="H247" s="9">
        <f>[1]data!H253-[1]data!H214</f>
        <v>0</v>
      </c>
      <c r="I247" s="9">
        <f>[1]data!I253-[1]data!I214</f>
        <v>0</v>
      </c>
      <c r="J247" s="9">
        <f>[1]data!J253-[1]data!J214</f>
        <v>0</v>
      </c>
      <c r="K247" s="8">
        <f t="shared" si="68"/>
        <v>0.51521265094658641</v>
      </c>
      <c r="L247" s="8">
        <f t="shared" si="68"/>
        <v>0.51688018039387151</v>
      </c>
      <c r="M247" s="7">
        <f t="shared" si="52"/>
        <v>0.22400550041155939</v>
      </c>
      <c r="N247" s="7">
        <f t="shared" si="53"/>
        <v>0.22473051321472681</v>
      </c>
      <c r="O247" s="7">
        <f t="shared" si="54"/>
        <v>0.29120715053502705</v>
      </c>
      <c r="P247" s="7">
        <f t="shared" si="55"/>
        <v>0.2921496671791447</v>
      </c>
      <c r="Q247" s="7">
        <f t="shared" si="56"/>
        <v>-0.71681760131698991</v>
      </c>
      <c r="R247" s="7">
        <f t="shared" si="57"/>
        <v>-0.71913764228712573</v>
      </c>
      <c r="S247" s="8">
        <f t="shared" si="69"/>
        <v>0</v>
      </c>
      <c r="T247" s="8">
        <f t="shared" si="69"/>
        <v>0</v>
      </c>
      <c r="U247" s="7">
        <f t="shared" si="58"/>
        <v>0</v>
      </c>
      <c r="V247" s="7">
        <f t="shared" si="59"/>
        <v>0</v>
      </c>
      <c r="W247" s="7">
        <f t="shared" si="60"/>
        <v>0</v>
      </c>
      <c r="X247" s="7">
        <f t="shared" si="61"/>
        <v>0</v>
      </c>
      <c r="Y247" s="7">
        <f t="shared" si="62"/>
        <v>0</v>
      </c>
      <c r="Z247" s="7">
        <f t="shared" si="63"/>
        <v>0</v>
      </c>
      <c r="AA247" s="23">
        <v>253.92231856471</v>
      </c>
      <c r="AB247" s="29">
        <v>254.7441596875</v>
      </c>
    </row>
    <row r="248" spans="1:28" x14ac:dyDescent="0.35">
      <c r="A248" s="10" t="s">
        <v>44</v>
      </c>
      <c r="B248" s="15" t="s">
        <v>69</v>
      </c>
      <c r="C248" s="6">
        <f t="shared" si="64"/>
        <v>0</v>
      </c>
      <c r="D248" s="9">
        <f>[1]data!D254-[1]data!D215</f>
        <v>0</v>
      </c>
      <c r="E248" s="9">
        <f>[1]data!E254-[1]data!E215</f>
        <v>0</v>
      </c>
      <c r="F248" s="9">
        <f>[1]data!F254-[1]data!F215</f>
        <v>0.14836664171607339</v>
      </c>
      <c r="G248" s="8">
        <f t="shared" si="65"/>
        <v>0</v>
      </c>
      <c r="H248" s="9">
        <f>[1]data!H254-[1]data!H215</f>
        <v>0</v>
      </c>
      <c r="I248" s="9">
        <f>[1]data!I254-[1]data!I215</f>
        <v>0</v>
      </c>
      <c r="J248" s="9">
        <f>[1]data!J254-[1]data!J215</f>
        <v>0</v>
      </c>
      <c r="K248" s="8">
        <f t="shared" si="68"/>
        <v>0</v>
      </c>
      <c r="L248" s="8">
        <f t="shared" si="68"/>
        <v>0</v>
      </c>
      <c r="M248" s="7">
        <f t="shared" si="52"/>
        <v>0</v>
      </c>
      <c r="N248" s="7">
        <f t="shared" si="53"/>
        <v>0</v>
      </c>
      <c r="O248" s="7">
        <f t="shared" si="54"/>
        <v>0</v>
      </c>
      <c r="P248" s="7">
        <f t="shared" si="55"/>
        <v>0</v>
      </c>
      <c r="Q248" s="7">
        <f t="shared" si="56"/>
        <v>7.2763341271621262E-2</v>
      </c>
      <c r="R248" s="7">
        <f t="shared" si="57"/>
        <v>4.9202197371715925E-2</v>
      </c>
      <c r="S248" s="8">
        <f t="shared" si="69"/>
        <v>0</v>
      </c>
      <c r="T248" s="8">
        <f t="shared" si="69"/>
        <v>0</v>
      </c>
      <c r="U248" s="7">
        <f t="shared" si="58"/>
        <v>0</v>
      </c>
      <c r="V248" s="7">
        <f t="shared" si="59"/>
        <v>0</v>
      </c>
      <c r="W248" s="7">
        <f t="shared" si="60"/>
        <v>0</v>
      </c>
      <c r="X248" s="7">
        <f t="shared" si="61"/>
        <v>0</v>
      </c>
      <c r="Y248" s="7">
        <f t="shared" si="62"/>
        <v>0</v>
      </c>
      <c r="Z248" s="7">
        <f t="shared" si="63"/>
        <v>0</v>
      </c>
      <c r="AA248" s="23">
        <v>301.54474727050001</v>
      </c>
      <c r="AB248" s="29">
        <v>203.90300819506001</v>
      </c>
    </row>
    <row r="249" spans="1:28" x14ac:dyDescent="0.35">
      <c r="A249" s="10" t="s">
        <v>45</v>
      </c>
      <c r="B249" s="15" t="s">
        <v>69</v>
      </c>
      <c r="C249" s="6">
        <f t="shared" si="64"/>
        <v>0.19510445104624002</v>
      </c>
      <c r="D249" s="9">
        <f>[1]data!D255-[1]data!D216</f>
        <v>1.9965198850822666E-2</v>
      </c>
      <c r="E249" s="9">
        <f>[1]data!E255-[1]data!E216</f>
        <v>0.17513925219541737</v>
      </c>
      <c r="F249" s="9">
        <f>[1]data!F255-[1]data!F216</f>
        <v>7.5320270858253366E-2</v>
      </c>
      <c r="G249" s="8">
        <f t="shared" si="65"/>
        <v>2.178003185766747E-3</v>
      </c>
      <c r="H249" s="9">
        <f>[1]data!H255-[1]data!H216</f>
        <v>0</v>
      </c>
      <c r="I249" s="9">
        <f>[1]data!I255-[1]data!I216</f>
        <v>2.178003185766747E-3</v>
      </c>
      <c r="J249" s="9">
        <f>[1]data!J255-[1]data!J216</f>
        <v>0</v>
      </c>
      <c r="K249" s="8">
        <f t="shared" si="68"/>
        <v>0.94116957391092138</v>
      </c>
      <c r="L249" s="8">
        <f t="shared" si="68"/>
        <v>1.0231422192178621</v>
      </c>
      <c r="M249" s="7">
        <f t="shared" si="52"/>
        <v>9.6310656136810419E-2</v>
      </c>
      <c r="N249" s="7">
        <f t="shared" si="53"/>
        <v>0.1046989843123329</v>
      </c>
      <c r="O249" s="7">
        <f t="shared" si="54"/>
        <v>0.84485891777411093</v>
      </c>
      <c r="P249" s="7">
        <f t="shared" si="55"/>
        <v>0.91844323490552915</v>
      </c>
      <c r="Q249" s="7">
        <f t="shared" si="56"/>
        <v>0.3633394668874913</v>
      </c>
      <c r="R249" s="7">
        <f t="shared" si="57"/>
        <v>0.39498508960074769</v>
      </c>
      <c r="S249" s="8">
        <f t="shared" si="69"/>
        <v>1.0506527756452345E-2</v>
      </c>
      <c r="T249" s="8">
        <f t="shared" si="69"/>
        <v>1.142161032718227E-2</v>
      </c>
      <c r="U249" s="7">
        <f t="shared" si="58"/>
        <v>0</v>
      </c>
      <c r="V249" s="7">
        <f t="shared" si="59"/>
        <v>0</v>
      </c>
      <c r="W249" s="7">
        <f t="shared" si="60"/>
        <v>1.0506527756452345E-2</v>
      </c>
      <c r="X249" s="7">
        <f t="shared" si="61"/>
        <v>1.142161032718227E-2</v>
      </c>
      <c r="Y249" s="7">
        <f t="shared" si="62"/>
        <v>0</v>
      </c>
      <c r="Z249" s="7">
        <f t="shared" si="63"/>
        <v>0</v>
      </c>
      <c r="AA249" s="23">
        <v>19.06914282116</v>
      </c>
      <c r="AB249" s="29">
        <v>20.729999827290001</v>
      </c>
    </row>
    <row r="250" spans="1:28" x14ac:dyDescent="0.35">
      <c r="A250" s="10" t="s">
        <v>46</v>
      </c>
      <c r="B250" s="15" t="s">
        <v>69</v>
      </c>
      <c r="C250" s="6">
        <f t="shared" si="64"/>
        <v>6.0031425802042184</v>
      </c>
      <c r="D250" s="9">
        <f>[1]data!D256-[1]data!D217</f>
        <v>0.11412818593544127</v>
      </c>
      <c r="E250" s="9">
        <f>[1]data!E256-[1]data!E217</f>
        <v>5.8890143942687772</v>
      </c>
      <c r="F250" s="9">
        <f>[1]data!F256-[1]data!F217</f>
        <v>0.45651274374176465</v>
      </c>
      <c r="G250" s="8">
        <f t="shared" si="65"/>
        <v>0</v>
      </c>
      <c r="H250" s="9">
        <f>[1]data!H256-[1]data!H217</f>
        <v>0</v>
      </c>
      <c r="I250" s="9">
        <f>[1]data!I256-[1]data!I217</f>
        <v>0</v>
      </c>
      <c r="J250" s="9">
        <f>[1]data!J256-[1]data!J217</f>
        <v>0</v>
      </c>
      <c r="K250" s="8">
        <f t="shared" si="68"/>
        <v>1.6160652488387841</v>
      </c>
      <c r="L250" s="8">
        <f t="shared" si="68"/>
        <v>1.4365339403328792</v>
      </c>
      <c r="M250" s="7">
        <f t="shared" si="52"/>
        <v>3.072367393229624E-2</v>
      </c>
      <c r="N250" s="7">
        <f t="shared" si="53"/>
        <v>2.7310531185035691E-2</v>
      </c>
      <c r="O250" s="7">
        <f t="shared" si="54"/>
        <v>1.5853415749064879</v>
      </c>
      <c r="P250" s="7">
        <f t="shared" si="55"/>
        <v>1.4092234091478435</v>
      </c>
      <c r="Q250" s="7">
        <f t="shared" si="56"/>
        <v>0.12289469572918485</v>
      </c>
      <c r="R250" s="7">
        <f t="shared" si="57"/>
        <v>0.10924212474014265</v>
      </c>
      <c r="S250" s="8">
        <f t="shared" si="69"/>
        <v>0</v>
      </c>
      <c r="T250" s="8">
        <f t="shared" si="69"/>
        <v>0</v>
      </c>
      <c r="U250" s="7">
        <f t="shared" si="58"/>
        <v>0</v>
      </c>
      <c r="V250" s="7">
        <f t="shared" si="59"/>
        <v>0</v>
      </c>
      <c r="W250" s="7">
        <f t="shared" si="60"/>
        <v>0</v>
      </c>
      <c r="X250" s="7">
        <f t="shared" si="61"/>
        <v>0</v>
      </c>
      <c r="Y250" s="7">
        <f t="shared" si="62"/>
        <v>0</v>
      </c>
      <c r="Z250" s="7">
        <f t="shared" si="63"/>
        <v>0</v>
      </c>
      <c r="AA250" s="23">
        <v>417.89075855828003</v>
      </c>
      <c r="AB250" s="29">
        <v>371.46659669328</v>
      </c>
    </row>
    <row r="251" spans="1:28" x14ac:dyDescent="0.35">
      <c r="A251" s="10" t="s">
        <v>47</v>
      </c>
      <c r="B251" s="15" t="s">
        <v>69</v>
      </c>
      <c r="C251" s="6">
        <f t="shared" si="64"/>
        <v>1.5000000000000018</v>
      </c>
      <c r="D251" s="9">
        <f>[1]data!D257-[1]data!D218</f>
        <v>2.9000000000000004</v>
      </c>
      <c r="E251" s="9">
        <f>[1]data!E257-[1]data!E218</f>
        <v>-1.3999999999999986</v>
      </c>
      <c r="F251" s="9">
        <f>[1]data!F257-[1]data!F218</f>
        <v>0</v>
      </c>
      <c r="G251" s="8">
        <f t="shared" si="65"/>
        <v>0</v>
      </c>
      <c r="H251" s="9">
        <f>[1]data!H257-[1]data!H218</f>
        <v>0</v>
      </c>
      <c r="I251" s="9">
        <f>[1]data!I257-[1]data!I218</f>
        <v>0</v>
      </c>
      <c r="J251" s="9">
        <f>[1]data!J257-[1]data!J218</f>
        <v>0</v>
      </c>
      <c r="K251" s="8">
        <f t="shared" si="68"/>
        <v>0.41845643653964942</v>
      </c>
      <c r="L251" s="8">
        <f t="shared" si="68"/>
        <v>0.43808832247855112</v>
      </c>
      <c r="M251" s="7">
        <f t="shared" si="52"/>
        <v>0.80901577730998797</v>
      </c>
      <c r="N251" s="7">
        <f t="shared" si="53"/>
        <v>0.84697075679186462</v>
      </c>
      <c r="O251" s="7">
        <f t="shared" si="54"/>
        <v>-0.39055934077033855</v>
      </c>
      <c r="P251" s="7">
        <f t="shared" si="55"/>
        <v>-0.4088824343133135</v>
      </c>
      <c r="Q251" s="7">
        <f t="shared" si="56"/>
        <v>0</v>
      </c>
      <c r="R251" s="7">
        <f t="shared" si="57"/>
        <v>0</v>
      </c>
      <c r="S251" s="8">
        <f t="shared" si="69"/>
        <v>0</v>
      </c>
      <c r="T251" s="8">
        <f t="shared" si="69"/>
        <v>0</v>
      </c>
      <c r="U251" s="7">
        <f t="shared" si="58"/>
        <v>0</v>
      </c>
      <c r="V251" s="7">
        <f t="shared" si="59"/>
        <v>0</v>
      </c>
      <c r="W251" s="7">
        <f t="shared" si="60"/>
        <v>0</v>
      </c>
      <c r="X251" s="7">
        <f t="shared" si="61"/>
        <v>0</v>
      </c>
      <c r="Y251" s="7">
        <f t="shared" si="62"/>
        <v>0</v>
      </c>
      <c r="Z251" s="7">
        <f t="shared" si="63"/>
        <v>0</v>
      </c>
      <c r="AA251" s="23">
        <v>342.39670930134002</v>
      </c>
      <c r="AB251" s="29">
        <v>358.46025273358998</v>
      </c>
    </row>
    <row r="252" spans="1:28" x14ac:dyDescent="0.35">
      <c r="A252" s="10" t="s">
        <v>48</v>
      </c>
      <c r="B252" s="15" t="s">
        <v>69</v>
      </c>
      <c r="C252" s="6">
        <f t="shared" si="64"/>
        <v>0.63608896592116526</v>
      </c>
      <c r="D252" s="9">
        <f>[1]data!D258-[1]data!D219</f>
        <v>0</v>
      </c>
      <c r="E252" s="9">
        <f>[1]data!E258-[1]data!E219</f>
        <v>0.63608896592116526</v>
      </c>
      <c r="F252" s="9">
        <f>[1]data!F258-[1]data!F219</f>
        <v>0</v>
      </c>
      <c r="G252" s="8">
        <f t="shared" si="65"/>
        <v>0</v>
      </c>
      <c r="H252" s="9">
        <f>[1]data!H258-[1]data!H219</f>
        <v>0</v>
      </c>
      <c r="I252" s="9">
        <f>[1]data!I258-[1]data!I219</f>
        <v>0</v>
      </c>
      <c r="J252" s="9">
        <f>[1]data!J258-[1]data!J219</f>
        <v>0</v>
      </c>
      <c r="K252" s="8">
        <f t="shared" si="68"/>
        <v>2.1090428744257399</v>
      </c>
      <c r="L252" s="8">
        <f t="shared" si="68"/>
        <v>1.1477070431122105</v>
      </c>
      <c r="M252" s="7">
        <f t="shared" si="52"/>
        <v>0</v>
      </c>
      <c r="N252" s="7">
        <f t="shared" si="53"/>
        <v>0</v>
      </c>
      <c r="O252" s="7">
        <f t="shared" si="54"/>
        <v>2.1090428744257399</v>
      </c>
      <c r="P252" s="7">
        <f t="shared" si="55"/>
        <v>1.1477070431122105</v>
      </c>
      <c r="Q252" s="7">
        <f t="shared" si="56"/>
        <v>0</v>
      </c>
      <c r="R252" s="7">
        <f t="shared" si="57"/>
        <v>0</v>
      </c>
      <c r="S252" s="8">
        <f t="shared" si="69"/>
        <v>0</v>
      </c>
      <c r="T252" s="8">
        <f t="shared" si="69"/>
        <v>0</v>
      </c>
      <c r="U252" s="7">
        <f t="shared" si="58"/>
        <v>0</v>
      </c>
      <c r="V252" s="7">
        <f t="shared" si="59"/>
        <v>0</v>
      </c>
      <c r="W252" s="7">
        <f t="shared" si="60"/>
        <v>0</v>
      </c>
      <c r="X252" s="7">
        <f t="shared" si="61"/>
        <v>0</v>
      </c>
      <c r="Y252" s="7">
        <f t="shared" si="62"/>
        <v>0</v>
      </c>
      <c r="Z252" s="7">
        <f t="shared" si="63"/>
        <v>0</v>
      </c>
      <c r="AA252" s="25">
        <v>55.422589739999999</v>
      </c>
      <c r="AB252" s="29">
        <v>30.160077523049999</v>
      </c>
    </row>
    <row r="253" spans="1:28" x14ac:dyDescent="0.35">
      <c r="A253" s="10" t="s">
        <v>49</v>
      </c>
      <c r="B253" s="15" t="s">
        <v>69</v>
      </c>
      <c r="C253" s="6">
        <f t="shared" si="64"/>
        <v>0.23779700000000026</v>
      </c>
      <c r="D253" s="9">
        <f>[1]data!D259-[1]data!D220</f>
        <v>1.3394000000000128E-2</v>
      </c>
      <c r="E253" s="9">
        <f>[1]data!E259-[1]data!E220</f>
        <v>0.22440300000000013</v>
      </c>
      <c r="F253" s="9">
        <f>[1]data!F259-[1]data!F220</f>
        <v>1.3800000000001589E-3</v>
      </c>
      <c r="G253" s="8">
        <f t="shared" si="65"/>
        <v>1.1412818593544094E-2</v>
      </c>
      <c r="H253" s="9">
        <f>[1]data!H259-[1]data!H220</f>
        <v>1.1412818593544094E-2</v>
      </c>
      <c r="I253" s="9">
        <f>[1]data!I259-[1]data!I220</f>
        <v>0</v>
      </c>
      <c r="J253" s="9">
        <f>[1]data!J259-[1]data!J220</f>
        <v>0</v>
      </c>
      <c r="K253" s="8">
        <f t="shared" si="68"/>
        <v>0.49318319616265999</v>
      </c>
      <c r="L253" s="8">
        <f t="shared" si="68"/>
        <v>0.2448081251412014</v>
      </c>
      <c r="M253" s="7">
        <f t="shared" si="52"/>
        <v>2.7778717685264E-2</v>
      </c>
      <c r="N253" s="7">
        <f t="shared" si="53"/>
        <v>1.3788904099468367E-2</v>
      </c>
      <c r="O253" s="7">
        <f t="shared" si="54"/>
        <v>0.46540447847739597</v>
      </c>
      <c r="P253" s="7">
        <f t="shared" si="55"/>
        <v>0.23101922104173303</v>
      </c>
      <c r="Q253" s="7">
        <f t="shared" si="56"/>
        <v>2.8620748399035664E-3</v>
      </c>
      <c r="R253" s="7">
        <f t="shared" si="57"/>
        <v>1.4206874464139433E-3</v>
      </c>
      <c r="S253" s="8">
        <f t="shared" si="69"/>
        <v>2.3669812281856811E-2</v>
      </c>
      <c r="T253" s="8">
        <f t="shared" si="69"/>
        <v>1.1749310220323089E-2</v>
      </c>
      <c r="U253" s="7">
        <f t="shared" si="58"/>
        <v>2.3669812281856811E-2</v>
      </c>
      <c r="V253" s="7">
        <f t="shared" si="59"/>
        <v>1.1749310220323089E-2</v>
      </c>
      <c r="W253" s="7">
        <f t="shared" si="60"/>
        <v>0</v>
      </c>
      <c r="X253" s="7">
        <f t="shared" si="61"/>
        <v>0</v>
      </c>
      <c r="Y253" s="7">
        <f t="shared" si="62"/>
        <v>0</v>
      </c>
      <c r="Z253" s="7">
        <f t="shared" si="63"/>
        <v>0</v>
      </c>
      <c r="AA253" s="23">
        <v>97.136073348400004</v>
      </c>
      <c r="AB253" s="29">
        <v>48.216768505140003</v>
      </c>
    </row>
    <row r="254" spans="1:28" x14ac:dyDescent="0.35">
      <c r="A254" s="10" t="s">
        <v>50</v>
      </c>
      <c r="B254" s="15" t="s">
        <v>69</v>
      </c>
      <c r="C254" s="6">
        <f t="shared" si="64"/>
        <v>0</v>
      </c>
      <c r="D254" s="9">
        <f>[1]data!D260-[1]data!D221</f>
        <v>0</v>
      </c>
      <c r="E254" s="9">
        <f>[1]data!E260-[1]data!E221</f>
        <v>0</v>
      </c>
      <c r="F254" s="9">
        <f>[1]data!F260-[1]data!F221</f>
        <v>0</v>
      </c>
      <c r="G254" s="8">
        <f t="shared" si="65"/>
        <v>0</v>
      </c>
      <c r="H254" s="9">
        <f>[1]data!H260-[1]data!H221</f>
        <v>0</v>
      </c>
      <c r="I254" s="9">
        <f>[1]data!I260-[1]data!I221</f>
        <v>0</v>
      </c>
      <c r="J254" s="9">
        <f>[1]data!J260-[1]data!J221</f>
        <v>0</v>
      </c>
      <c r="K254" s="8">
        <f t="shared" si="68"/>
        <v>0</v>
      </c>
      <c r="L254" s="8">
        <f t="shared" si="68"/>
        <v>0</v>
      </c>
      <c r="M254" s="7">
        <f t="shared" si="52"/>
        <v>0</v>
      </c>
      <c r="N254" s="7">
        <f t="shared" si="53"/>
        <v>0</v>
      </c>
      <c r="O254" s="7">
        <f t="shared" si="54"/>
        <v>0</v>
      </c>
      <c r="P254" s="7">
        <f t="shared" si="55"/>
        <v>0</v>
      </c>
      <c r="Q254" s="7">
        <f t="shared" si="56"/>
        <v>0</v>
      </c>
      <c r="R254" s="7">
        <f t="shared" si="57"/>
        <v>0</v>
      </c>
      <c r="S254" s="8">
        <f t="shared" si="69"/>
        <v>0</v>
      </c>
      <c r="T254" s="8">
        <f t="shared" si="69"/>
        <v>0</v>
      </c>
      <c r="U254" s="7">
        <f t="shared" si="58"/>
        <v>0</v>
      </c>
      <c r="V254" s="7">
        <f t="shared" si="59"/>
        <v>0</v>
      </c>
      <c r="W254" s="7">
        <f t="shared" si="60"/>
        <v>0</v>
      </c>
      <c r="X254" s="7">
        <f t="shared" si="61"/>
        <v>0</v>
      </c>
      <c r="Y254" s="7">
        <f t="shared" si="62"/>
        <v>0</v>
      </c>
      <c r="Z254" s="7">
        <f t="shared" si="63"/>
        <v>0</v>
      </c>
      <c r="AA254" s="23">
        <v>66.343484468840003</v>
      </c>
      <c r="AB254" s="29">
        <v>66.557495896739994</v>
      </c>
    </row>
    <row r="255" spans="1:28" x14ac:dyDescent="0.35">
      <c r="A255" s="10" t="s">
        <v>51</v>
      </c>
      <c r="B255" s="15" t="s">
        <v>69</v>
      </c>
      <c r="C255" s="6">
        <f t="shared" si="64"/>
        <v>0</v>
      </c>
      <c r="D255" s="9">
        <f>[1]data!D261-[1]data!D222</f>
        <v>0</v>
      </c>
      <c r="E255" s="9">
        <f>[1]data!E261-[1]data!E222</f>
        <v>0</v>
      </c>
      <c r="F255" s="9">
        <f>[1]data!F261-[1]data!F222</f>
        <v>-1.2554100452898531</v>
      </c>
      <c r="G255" s="8">
        <f t="shared" si="65"/>
        <v>0</v>
      </c>
      <c r="H255" s="9">
        <f>[1]data!H261-[1]data!H222</f>
        <v>0</v>
      </c>
      <c r="I255" s="9">
        <f>[1]data!I261-[1]data!I222</f>
        <v>0</v>
      </c>
      <c r="J255" s="9">
        <f>[1]data!J261-[1]data!J222</f>
        <v>0</v>
      </c>
      <c r="K255" s="8">
        <f t="shared" si="68"/>
        <v>0</v>
      </c>
      <c r="L255" s="8">
        <f t="shared" si="68"/>
        <v>0</v>
      </c>
      <c r="M255" s="7">
        <f t="shared" si="52"/>
        <v>0</v>
      </c>
      <c r="N255" s="7">
        <f t="shared" si="53"/>
        <v>0</v>
      </c>
      <c r="O255" s="7">
        <f t="shared" si="54"/>
        <v>0</v>
      </c>
      <c r="P255" s="7">
        <f t="shared" si="55"/>
        <v>0</v>
      </c>
      <c r="Q255" s="7">
        <f t="shared" si="56"/>
        <v>-0.14940903361763991</v>
      </c>
      <c r="R255" s="7">
        <f t="shared" si="57"/>
        <v>-0.13463702333677011</v>
      </c>
      <c r="S255" s="8">
        <f t="shared" si="69"/>
        <v>0</v>
      </c>
      <c r="T255" s="8">
        <f t="shared" si="69"/>
        <v>0</v>
      </c>
      <c r="U255" s="7">
        <f t="shared" si="58"/>
        <v>0</v>
      </c>
      <c r="V255" s="7">
        <f t="shared" si="59"/>
        <v>0</v>
      </c>
      <c r="W255" s="7">
        <f t="shared" si="60"/>
        <v>0</v>
      </c>
      <c r="X255" s="7">
        <f t="shared" si="61"/>
        <v>0</v>
      </c>
      <c r="Y255" s="7">
        <f t="shared" si="62"/>
        <v>0</v>
      </c>
      <c r="Z255" s="7">
        <f t="shared" si="63"/>
        <v>0</v>
      </c>
      <c r="AA255" s="23">
        <v>932.44043441874999</v>
      </c>
      <c r="AB255" s="29">
        <v>840.25042856688003</v>
      </c>
    </row>
    <row r="256" spans="1:28" x14ac:dyDescent="0.35">
      <c r="A256" s="10" t="s">
        <v>52</v>
      </c>
      <c r="B256" s="15" t="s">
        <v>69</v>
      </c>
      <c r="C256" s="6">
        <f t="shared" si="64"/>
        <v>0</v>
      </c>
      <c r="D256" s="9">
        <f>[1]data!D262-[1]data!D223</f>
        <v>0</v>
      </c>
      <c r="E256" s="9">
        <f>[1]data!E262-[1]data!E223</f>
        <v>0</v>
      </c>
      <c r="F256" s="9">
        <f>[1]data!F262-[1]data!F223</f>
        <v>0</v>
      </c>
      <c r="G256" s="8">
        <f t="shared" si="65"/>
        <v>0.59041841284024388</v>
      </c>
      <c r="H256" s="9">
        <f>[1]data!H262-[1]data!H223</f>
        <v>0.59041841284024388</v>
      </c>
      <c r="I256" s="9">
        <f>[1]data!I262-[1]data!I223</f>
        <v>0</v>
      </c>
      <c r="J256" s="9">
        <f>[1]data!J262-[1]data!J223</f>
        <v>0</v>
      </c>
      <c r="K256" s="8">
        <f t="shared" si="68"/>
        <v>0</v>
      </c>
      <c r="L256" s="8">
        <f t="shared" si="68"/>
        <v>0</v>
      </c>
      <c r="M256" s="7">
        <f t="shared" si="52"/>
        <v>0</v>
      </c>
      <c r="N256" s="7">
        <f t="shared" si="53"/>
        <v>0</v>
      </c>
      <c r="O256" s="7">
        <f t="shared" si="54"/>
        <v>0</v>
      </c>
      <c r="P256" s="7">
        <f t="shared" si="55"/>
        <v>0</v>
      </c>
      <c r="Q256" s="7">
        <f t="shared" si="56"/>
        <v>0</v>
      </c>
      <c r="R256" s="7">
        <f t="shared" si="57"/>
        <v>0</v>
      </c>
      <c r="S256" s="8">
        <f t="shared" si="69"/>
        <v>0.29093380684280085</v>
      </c>
      <c r="T256" s="8">
        <f t="shared" si="69"/>
        <v>0.30438048720899075</v>
      </c>
      <c r="U256" s="7">
        <f t="shared" si="58"/>
        <v>0.29093380684280085</v>
      </c>
      <c r="V256" s="7">
        <f t="shared" si="59"/>
        <v>0.30438048720899075</v>
      </c>
      <c r="W256" s="7">
        <f t="shared" si="60"/>
        <v>0</v>
      </c>
      <c r="X256" s="7">
        <f t="shared" si="61"/>
        <v>0</v>
      </c>
      <c r="Y256" s="7">
        <f t="shared" si="62"/>
        <v>0</v>
      </c>
      <c r="Z256" s="7">
        <f t="shared" si="63"/>
        <v>0</v>
      </c>
      <c r="AA256" s="23">
        <v>193.97380504054999</v>
      </c>
      <c r="AB256" s="29">
        <v>202.93908750153</v>
      </c>
    </row>
    <row r="257" spans="1:28" x14ac:dyDescent="0.35">
      <c r="A257" s="10" t="s">
        <v>53</v>
      </c>
      <c r="B257" s="15" t="s">
        <v>69</v>
      </c>
      <c r="C257" s="6">
        <f t="shared" si="64"/>
        <v>0</v>
      </c>
      <c r="D257" s="9">
        <f>[1]data!D263-[1]data!D224</f>
        <v>0</v>
      </c>
      <c r="E257" s="9">
        <f>[1]data!E263-[1]data!E224</f>
        <v>0</v>
      </c>
      <c r="F257" s="9">
        <f>[1]data!F263-[1]data!F224</f>
        <v>0</v>
      </c>
      <c r="G257" s="8">
        <f t="shared" si="65"/>
        <v>0</v>
      </c>
      <c r="H257" s="9">
        <f>[1]data!H263-[1]data!H224</f>
        <v>0</v>
      </c>
      <c r="I257" s="9">
        <f>[1]data!I263-[1]data!I224</f>
        <v>0</v>
      </c>
      <c r="J257" s="9">
        <f>[1]data!J263-[1]data!J224</f>
        <v>0</v>
      </c>
      <c r="K257" s="8">
        <f t="shared" si="68"/>
        <v>0</v>
      </c>
      <c r="L257" s="8">
        <f t="shared" si="68"/>
        <v>0</v>
      </c>
      <c r="M257" s="7">
        <f t="shared" si="52"/>
        <v>0</v>
      </c>
      <c r="N257" s="7">
        <f t="shared" si="53"/>
        <v>0</v>
      </c>
      <c r="O257" s="7">
        <f t="shared" si="54"/>
        <v>0</v>
      </c>
      <c r="P257" s="7">
        <f t="shared" si="55"/>
        <v>0</v>
      </c>
      <c r="Q257" s="7">
        <f t="shared" si="56"/>
        <v>0</v>
      </c>
      <c r="R257" s="7">
        <f t="shared" si="57"/>
        <v>0</v>
      </c>
      <c r="S257" s="8">
        <f t="shared" si="69"/>
        <v>0</v>
      </c>
      <c r="T257" s="8">
        <f t="shared" si="69"/>
        <v>0</v>
      </c>
      <c r="U257" s="7">
        <f t="shared" si="58"/>
        <v>0</v>
      </c>
      <c r="V257" s="7">
        <f t="shared" si="59"/>
        <v>0</v>
      </c>
      <c r="W257" s="7">
        <f t="shared" si="60"/>
        <v>0</v>
      </c>
      <c r="X257" s="7">
        <f t="shared" si="61"/>
        <v>0</v>
      </c>
      <c r="Y257" s="7">
        <f t="shared" si="62"/>
        <v>0</v>
      </c>
      <c r="Z257" s="7">
        <f t="shared" si="63"/>
        <v>0</v>
      </c>
      <c r="AA257" s="23">
        <v>330.45426768437</v>
      </c>
      <c r="AB257" s="29">
        <v>410.24933347112</v>
      </c>
    </row>
    <row r="258" spans="1:28" x14ac:dyDescent="0.35">
      <c r="A258" s="10" t="s">
        <v>54</v>
      </c>
      <c r="B258" s="15" t="s">
        <v>69</v>
      </c>
      <c r="C258" s="6">
        <f t="shared" si="64"/>
        <v>0.79889730154809069</v>
      </c>
      <c r="D258" s="9">
        <f>[1]data!D264-[1]data!D225</f>
        <v>0.34238455780632382</v>
      </c>
      <c r="E258" s="9">
        <f>[1]data!E264-[1]data!E225</f>
        <v>0.45651274374176687</v>
      </c>
      <c r="F258" s="9">
        <f>[1]data!F264-[1]data!F225</f>
        <v>0</v>
      </c>
      <c r="G258" s="8">
        <f t="shared" si="65"/>
        <v>0</v>
      </c>
      <c r="H258" s="9">
        <f>[1]data!H264-[1]data!H225</f>
        <v>0</v>
      </c>
      <c r="I258" s="9">
        <f>[1]data!I264-[1]data!I225</f>
        <v>0</v>
      </c>
      <c r="J258" s="9">
        <f>[1]data!J264-[1]data!J225</f>
        <v>0</v>
      </c>
      <c r="K258" s="8">
        <f t="shared" si="68"/>
        <v>0.35927718380528195</v>
      </c>
      <c r="L258" s="8">
        <f t="shared" si="68"/>
        <v>0.23413247781510577</v>
      </c>
      <c r="M258" s="7">
        <f t="shared" ref="M258:M267" si="70">($D258/$AB258)*100</f>
        <v>0.15397593591654907</v>
      </c>
      <c r="N258" s="7">
        <f t="shared" ref="N258:N267" si="71">($D258/$AA258)*100</f>
        <v>0.10034249049218798</v>
      </c>
      <c r="O258" s="7">
        <f t="shared" ref="O258:O267" si="72">($E258/$AB258)*100</f>
        <v>0.20530124788873289</v>
      </c>
      <c r="P258" s="7">
        <f t="shared" ref="P258:P267" si="73">($E258/$AA258)*100</f>
        <v>0.1337899873229178</v>
      </c>
      <c r="Q258" s="7">
        <f t="shared" ref="Q258:Q267" si="74">($F258/$AB258)*100</f>
        <v>0</v>
      </c>
      <c r="R258" s="7">
        <f t="shared" ref="R258:R267" si="75">($F258/$AA258)*100</f>
        <v>0</v>
      </c>
      <c r="S258" s="8">
        <f t="shared" si="69"/>
        <v>0</v>
      </c>
      <c r="T258" s="8">
        <f t="shared" si="69"/>
        <v>0</v>
      </c>
      <c r="U258" s="7">
        <f t="shared" ref="U258:U267" si="76">($H258/$AB258)*100</f>
        <v>0</v>
      </c>
      <c r="V258" s="7">
        <f t="shared" ref="V258:V267" si="77">($H258/AA258)*100</f>
        <v>0</v>
      </c>
      <c r="W258" s="7">
        <f t="shared" ref="W258:W267" si="78">($I258/$AB258)*100</f>
        <v>0</v>
      </c>
      <c r="X258" s="7">
        <f t="shared" ref="X258:X267" si="79">($I258/$AA258)*100</f>
        <v>0</v>
      </c>
      <c r="Y258" s="7">
        <f t="shared" ref="Y258:Y267" si="80">($J258/$AB258)*100</f>
        <v>0</v>
      </c>
      <c r="Z258" s="7">
        <f t="shared" ref="Z258:Z267" si="81">($J258/$AA258)*100</f>
        <v>0</v>
      </c>
      <c r="AA258" s="23">
        <v>341.21592570296002</v>
      </c>
      <c r="AB258" s="29">
        <v>222.36238134761999</v>
      </c>
    </row>
    <row r="259" spans="1:28" x14ac:dyDescent="0.35">
      <c r="A259" s="10" t="s">
        <v>55</v>
      </c>
      <c r="B259" s="15" t="s">
        <v>69</v>
      </c>
      <c r="C259" s="6">
        <f t="shared" ref="C259:C267" si="82">D259+E259</f>
        <v>1.6802751266758578</v>
      </c>
      <c r="D259" s="9">
        <f>[1]data!D265-[1]data!D226</f>
        <v>1.0192067280989021</v>
      </c>
      <c r="E259" s="9">
        <f>[1]data!E265-[1]data!E226</f>
        <v>0.66106839857695565</v>
      </c>
      <c r="F259" s="9">
        <f>[1]data!F265-[1]data!F226</f>
        <v>0</v>
      </c>
      <c r="G259" s="8">
        <f t="shared" ref="G259:G267" si="83">H259+I259</f>
        <v>0</v>
      </c>
      <c r="H259" s="9">
        <f>[1]data!H265-[1]data!H226</f>
        <v>0</v>
      </c>
      <c r="I259" s="9">
        <f>[1]data!I265-[1]data!I226</f>
        <v>0</v>
      </c>
      <c r="J259" s="9">
        <f>[1]data!J265-[1]data!J226</f>
        <v>0</v>
      </c>
      <c r="K259" s="8">
        <f t="shared" si="68"/>
        <v>1.6889043949690103</v>
      </c>
      <c r="L259" s="8">
        <f t="shared" si="68"/>
        <v>0.92469264342358415</v>
      </c>
      <c r="M259" s="7">
        <f t="shared" si="70"/>
        <v>1.0244409948944542</v>
      </c>
      <c r="N259" s="7">
        <f t="shared" si="71"/>
        <v>0.56089205192566349</v>
      </c>
      <c r="O259" s="7">
        <f t="shared" si="72"/>
        <v>0.66446340007455607</v>
      </c>
      <c r="P259" s="7">
        <f t="shared" si="73"/>
        <v>0.36380059149792066</v>
      </c>
      <c r="Q259" s="7">
        <f t="shared" si="74"/>
        <v>0</v>
      </c>
      <c r="R259" s="7">
        <f t="shared" si="75"/>
        <v>0</v>
      </c>
      <c r="S259" s="8">
        <f t="shared" si="69"/>
        <v>0</v>
      </c>
      <c r="T259" s="8">
        <f t="shared" si="69"/>
        <v>0</v>
      </c>
      <c r="U259" s="7">
        <f t="shared" si="76"/>
        <v>0</v>
      </c>
      <c r="V259" s="7">
        <f t="shared" si="77"/>
        <v>0</v>
      </c>
      <c r="W259" s="7">
        <f t="shared" si="78"/>
        <v>0</v>
      </c>
      <c r="X259" s="7">
        <f t="shared" si="79"/>
        <v>0</v>
      </c>
      <c r="Y259" s="7">
        <f t="shared" si="80"/>
        <v>0</v>
      </c>
      <c r="Z259" s="7">
        <f t="shared" si="81"/>
        <v>0</v>
      </c>
      <c r="AA259" s="23">
        <v>181.71174374815001</v>
      </c>
      <c r="AB259" s="29">
        <v>99.489061173690004</v>
      </c>
    </row>
    <row r="260" spans="1:28" x14ac:dyDescent="0.35">
      <c r="A260" s="10" t="s">
        <v>56</v>
      </c>
      <c r="B260" s="15" t="s">
        <v>69</v>
      </c>
      <c r="C260" s="6">
        <f t="shared" si="82"/>
        <v>1.0209999999999995</v>
      </c>
      <c r="D260" s="9">
        <f>[1]data!D266-[1]data!D227</f>
        <v>-1.1999999999999955E-2</v>
      </c>
      <c r="E260" s="9">
        <f>[1]data!E266-[1]data!E227</f>
        <v>1.0329999999999995</v>
      </c>
      <c r="F260" s="9">
        <f>[1]data!F266-[1]data!F227</f>
        <v>0</v>
      </c>
      <c r="G260" s="8">
        <f t="shared" si="83"/>
        <v>0</v>
      </c>
      <c r="H260" s="9">
        <f>[1]data!H266-[1]data!H227</f>
        <v>0</v>
      </c>
      <c r="I260" s="9">
        <f>[1]data!I266-[1]data!I227</f>
        <v>0</v>
      </c>
      <c r="J260" s="9">
        <f>[1]data!J266-[1]data!J227</f>
        <v>0</v>
      </c>
      <c r="K260" s="8">
        <f t="shared" si="68"/>
        <v>2.0250713059145209</v>
      </c>
      <c r="L260" s="8">
        <f t="shared" si="68"/>
        <v>1.3427608723131514</v>
      </c>
      <c r="M260" s="7">
        <f t="shared" si="70"/>
        <v>-2.3801033957859128E-2</v>
      </c>
      <c r="N260" s="7">
        <f t="shared" si="71"/>
        <v>-1.5781714464013483E-2</v>
      </c>
      <c r="O260" s="7">
        <f t="shared" si="72"/>
        <v>2.0488723398723798</v>
      </c>
      <c r="P260" s="7">
        <f t="shared" si="73"/>
        <v>1.358542586777165</v>
      </c>
      <c r="Q260" s="7">
        <f t="shared" si="74"/>
        <v>0</v>
      </c>
      <c r="R260" s="7">
        <f t="shared" si="75"/>
        <v>0</v>
      </c>
      <c r="S260" s="8">
        <f t="shared" si="69"/>
        <v>0</v>
      </c>
      <c r="T260" s="8">
        <f t="shared" si="69"/>
        <v>0</v>
      </c>
      <c r="U260" s="7">
        <f t="shared" si="76"/>
        <v>0</v>
      </c>
      <c r="V260" s="7">
        <f t="shared" si="77"/>
        <v>0</v>
      </c>
      <c r="W260" s="7">
        <f t="shared" si="78"/>
        <v>0</v>
      </c>
      <c r="X260" s="7">
        <f t="shared" si="79"/>
        <v>0</v>
      </c>
      <c r="Y260" s="7">
        <f t="shared" si="80"/>
        <v>0</v>
      </c>
      <c r="Z260" s="7">
        <f t="shared" si="81"/>
        <v>0</v>
      </c>
      <c r="AA260" s="23">
        <v>76.037366075549997</v>
      </c>
      <c r="AB260" s="29">
        <v>50.417977728389999</v>
      </c>
    </row>
    <row r="261" spans="1:28" x14ac:dyDescent="0.35">
      <c r="A261" s="10" t="s">
        <v>57</v>
      </c>
      <c r="B261" s="15" t="s">
        <v>69</v>
      </c>
      <c r="C261" s="6">
        <f t="shared" si="82"/>
        <v>0</v>
      </c>
      <c r="D261" s="9">
        <f>[1]data!D267-[1]data!D228</f>
        <v>0</v>
      </c>
      <c r="E261" s="9">
        <f>[1]data!E267-[1]data!E228</f>
        <v>0</v>
      </c>
      <c r="F261" s="9">
        <f>[1]data!F267-[1]data!F228</f>
        <v>0</v>
      </c>
      <c r="G261" s="8">
        <f t="shared" si="83"/>
        <v>0</v>
      </c>
      <c r="H261" s="9">
        <f>[1]data!H267-[1]data!H228</f>
        <v>0</v>
      </c>
      <c r="I261" s="9">
        <f>[1]data!I267-[1]data!I228</f>
        <v>0</v>
      </c>
      <c r="J261" s="9">
        <f>[1]data!J267-[1]data!J228</f>
        <v>0</v>
      </c>
      <c r="K261" s="8">
        <f t="shared" si="68"/>
        <v>0</v>
      </c>
      <c r="L261" s="8">
        <f t="shared" si="68"/>
        <v>0</v>
      </c>
      <c r="M261" s="7">
        <f t="shared" si="70"/>
        <v>0</v>
      </c>
      <c r="N261" s="7">
        <f t="shared" si="71"/>
        <v>0</v>
      </c>
      <c r="O261" s="7">
        <f t="shared" si="72"/>
        <v>0</v>
      </c>
      <c r="P261" s="7">
        <f t="shared" si="73"/>
        <v>0</v>
      </c>
      <c r="Q261" s="7">
        <f t="shared" si="74"/>
        <v>0</v>
      </c>
      <c r="R261" s="7">
        <f t="shared" si="75"/>
        <v>0</v>
      </c>
      <c r="S261" s="8">
        <f t="shared" si="69"/>
        <v>0</v>
      </c>
      <c r="T261" s="8">
        <f t="shared" si="69"/>
        <v>0</v>
      </c>
      <c r="U261" s="7">
        <f t="shared" si="76"/>
        <v>0</v>
      </c>
      <c r="V261" s="7">
        <f t="shared" si="77"/>
        <v>0</v>
      </c>
      <c r="W261" s="7">
        <f t="shared" si="78"/>
        <v>0</v>
      </c>
      <c r="X261" s="7">
        <f t="shared" si="79"/>
        <v>0</v>
      </c>
      <c r="Y261" s="7">
        <f t="shared" si="80"/>
        <v>0</v>
      </c>
      <c r="Z261" s="7">
        <f t="shared" si="81"/>
        <v>0</v>
      </c>
      <c r="AA261" s="23">
        <v>521.00449074291998</v>
      </c>
      <c r="AB261" s="29">
        <v>549.82128194673999</v>
      </c>
    </row>
    <row r="262" spans="1:28" x14ac:dyDescent="0.35">
      <c r="A262" s="10" t="s">
        <v>58</v>
      </c>
      <c r="B262" s="15" t="s">
        <v>69</v>
      </c>
      <c r="C262" s="6">
        <f t="shared" si="82"/>
        <v>1.2984084998357872</v>
      </c>
      <c r="D262" s="9">
        <f>[1]data!D268-[1]data!D229</f>
        <v>0.65080196341236274</v>
      </c>
      <c r="E262" s="9">
        <f>[1]data!E268-[1]data!E229</f>
        <v>0.64760653642342447</v>
      </c>
      <c r="F262" s="9">
        <f>[1]data!F268-[1]data!F229</f>
        <v>0</v>
      </c>
      <c r="G262" s="8">
        <f t="shared" si="83"/>
        <v>0.10651423296438023</v>
      </c>
      <c r="H262" s="9">
        <f>[1]data!H268-[1]data!H229</f>
        <v>0.10651423296438023</v>
      </c>
      <c r="I262" s="9">
        <f>[1]data!I268-[1]data!I229</f>
        <v>0</v>
      </c>
      <c r="J262" s="9">
        <f>[1]data!J268-[1]data!J229</f>
        <v>0</v>
      </c>
      <c r="K262" s="8">
        <f t="shared" si="68"/>
        <v>0.17379085773101022</v>
      </c>
      <c r="L262" s="8">
        <f t="shared" si="68"/>
        <v>0.21976595367667628</v>
      </c>
      <c r="M262" s="7">
        <f t="shared" si="70"/>
        <v>8.7109281438595421E-2</v>
      </c>
      <c r="N262" s="7">
        <f t="shared" si="71"/>
        <v>0.11015340254015579</v>
      </c>
      <c r="O262" s="7">
        <f t="shared" si="72"/>
        <v>8.6681576292414811E-2</v>
      </c>
      <c r="P262" s="7">
        <f t="shared" si="73"/>
        <v>0.10961255113652048</v>
      </c>
      <c r="Q262" s="7">
        <f t="shared" si="74"/>
        <v>0</v>
      </c>
      <c r="R262" s="7">
        <f t="shared" si="75"/>
        <v>0</v>
      </c>
      <c r="S262" s="8">
        <f t="shared" si="69"/>
        <v>1.4256838205989438E-2</v>
      </c>
      <c r="T262" s="8">
        <f t="shared" si="69"/>
        <v>1.8028380121138443E-2</v>
      </c>
      <c r="U262" s="7">
        <f t="shared" si="76"/>
        <v>1.4256838205989438E-2</v>
      </c>
      <c r="V262" s="7">
        <f t="shared" si="77"/>
        <v>1.8028380121138443E-2</v>
      </c>
      <c r="W262" s="7">
        <f t="shared" si="78"/>
        <v>0</v>
      </c>
      <c r="X262" s="7">
        <f t="shared" si="79"/>
        <v>0</v>
      </c>
      <c r="Y262" s="7">
        <f t="shared" si="80"/>
        <v>0</v>
      </c>
      <c r="Z262" s="7">
        <f t="shared" si="81"/>
        <v>0</v>
      </c>
      <c r="AA262" s="23">
        <v>590.81421763174001</v>
      </c>
      <c r="AB262" s="29">
        <v>747.10978286638999</v>
      </c>
    </row>
    <row r="263" spans="1:28" x14ac:dyDescent="0.35">
      <c r="A263" s="5" t="s">
        <v>59</v>
      </c>
      <c r="B263" s="15" t="s">
        <v>69</v>
      </c>
      <c r="C263" s="6">
        <f t="shared" si="82"/>
        <v>0</v>
      </c>
      <c r="D263" s="9">
        <f>[1]data!D269-[1]data!D230</f>
        <v>0</v>
      </c>
      <c r="E263" s="9">
        <f>[1]data!E269-[1]data!E230</f>
        <v>0</v>
      </c>
      <c r="F263" s="9">
        <f>[1]data!F269-[1]data!F230</f>
        <v>0.75867952732961097</v>
      </c>
      <c r="G263" s="8">
        <f t="shared" si="83"/>
        <v>0</v>
      </c>
      <c r="H263" s="9">
        <f>[1]data!H269-[1]data!H230</f>
        <v>0</v>
      </c>
      <c r="I263" s="9">
        <f>[1]data!I269-[1]data!I230</f>
        <v>0</v>
      </c>
      <c r="J263" s="9">
        <f>[1]data!J269-[1]data!J230</f>
        <v>0</v>
      </c>
      <c r="K263" s="8">
        <f t="shared" si="68"/>
        <v>0</v>
      </c>
      <c r="L263" s="8">
        <f t="shared" si="68"/>
        <v>0</v>
      </c>
      <c r="M263" s="7">
        <f t="shared" si="70"/>
        <v>0</v>
      </c>
      <c r="N263" s="7">
        <f t="shared" si="71"/>
        <v>0</v>
      </c>
      <c r="O263" s="7">
        <f t="shared" si="72"/>
        <v>0</v>
      </c>
      <c r="P263" s="7">
        <f t="shared" si="73"/>
        <v>0</v>
      </c>
      <c r="Q263" s="7">
        <f t="shared" si="74"/>
        <v>0.28961715483211226</v>
      </c>
      <c r="R263" s="7">
        <f t="shared" si="75"/>
        <v>0.17192363336493421</v>
      </c>
      <c r="S263" s="8">
        <f t="shared" si="69"/>
        <v>0</v>
      </c>
      <c r="T263" s="8">
        <f t="shared" si="69"/>
        <v>0</v>
      </c>
      <c r="U263" s="7">
        <f t="shared" si="76"/>
        <v>0</v>
      </c>
      <c r="V263" s="7">
        <f t="shared" si="77"/>
        <v>0</v>
      </c>
      <c r="W263" s="7">
        <f t="shared" si="78"/>
        <v>0</v>
      </c>
      <c r="X263" s="7">
        <f t="shared" si="79"/>
        <v>0</v>
      </c>
      <c r="Y263" s="7">
        <f t="shared" si="80"/>
        <v>0</v>
      </c>
      <c r="Z263" s="7">
        <f t="shared" si="81"/>
        <v>0</v>
      </c>
      <c r="AA263" s="23">
        <v>441.28867711817003</v>
      </c>
      <c r="AB263" s="29">
        <v>261.95945739796002</v>
      </c>
    </row>
    <row r="264" spans="1:28" x14ac:dyDescent="0.35">
      <c r="A264" s="5" t="s">
        <v>60</v>
      </c>
      <c r="B264" s="15" t="s">
        <v>69</v>
      </c>
      <c r="C264" s="6">
        <f t="shared" si="82"/>
        <v>0</v>
      </c>
      <c r="D264" s="9">
        <f>[1]data!D270-[1]data!D231</f>
        <v>0</v>
      </c>
      <c r="E264" s="9">
        <f>[1]data!E270-[1]data!E231</f>
        <v>0</v>
      </c>
      <c r="F264" s="9">
        <f>[1]data!F270-[1]data!F231</f>
        <v>0</v>
      </c>
      <c r="G264" s="8">
        <f t="shared" si="83"/>
        <v>0</v>
      </c>
      <c r="H264" s="9">
        <f>[1]data!H270-[1]data!H231</f>
        <v>0</v>
      </c>
      <c r="I264" s="9">
        <f>[1]data!I270-[1]data!I231</f>
        <v>0</v>
      </c>
      <c r="J264" s="9">
        <f>[1]data!J270-[1]data!J231</f>
        <v>0</v>
      </c>
      <c r="K264" s="8">
        <f t="shared" si="68"/>
        <v>0</v>
      </c>
      <c r="L264" s="8">
        <f t="shared" si="68"/>
        <v>0</v>
      </c>
      <c r="M264" s="7">
        <f t="shared" si="70"/>
        <v>0</v>
      </c>
      <c r="N264" s="7">
        <f t="shared" si="71"/>
        <v>0</v>
      </c>
      <c r="O264" s="7">
        <f t="shared" si="72"/>
        <v>0</v>
      </c>
      <c r="P264" s="7">
        <f t="shared" si="73"/>
        <v>0</v>
      </c>
      <c r="Q264" s="7">
        <f t="shared" si="74"/>
        <v>0</v>
      </c>
      <c r="R264" s="7">
        <f t="shared" si="75"/>
        <v>0</v>
      </c>
      <c r="S264" s="8">
        <f t="shared" si="69"/>
        <v>0</v>
      </c>
      <c r="T264" s="8">
        <f t="shared" si="69"/>
        <v>0</v>
      </c>
      <c r="U264" s="7">
        <f t="shared" si="76"/>
        <v>0</v>
      </c>
      <c r="V264" s="7">
        <f t="shared" si="77"/>
        <v>0</v>
      </c>
      <c r="W264" s="7">
        <f t="shared" si="78"/>
        <v>0</v>
      </c>
      <c r="X264" s="7">
        <f t="shared" si="79"/>
        <v>0</v>
      </c>
      <c r="Y264" s="7">
        <f t="shared" si="80"/>
        <v>0</v>
      </c>
      <c r="Z264" s="7">
        <f t="shared" si="81"/>
        <v>0</v>
      </c>
      <c r="AA264" s="23">
        <v>690.46912883131995</v>
      </c>
      <c r="AB264" s="29">
        <v>321.40560669490998</v>
      </c>
    </row>
    <row r="265" spans="1:28" x14ac:dyDescent="0.35">
      <c r="A265" s="5" t="s">
        <v>61</v>
      </c>
      <c r="B265" s="15" t="s">
        <v>69</v>
      </c>
      <c r="C265" s="6">
        <f t="shared" si="82"/>
        <v>0.14534662604214299</v>
      </c>
      <c r="D265" s="9">
        <f>[1]data!D271-[1]data!D232</f>
        <v>0</v>
      </c>
      <c r="E265" s="9">
        <f>[1]data!E271-[1]data!E232</f>
        <v>0.14534662604214299</v>
      </c>
      <c r="F265" s="9">
        <f>[1]data!F271-[1]data!F232</f>
        <v>0</v>
      </c>
      <c r="G265" s="8">
        <f t="shared" si="83"/>
        <v>0</v>
      </c>
      <c r="H265" s="9">
        <f>[1]data!H271-[1]data!H232</f>
        <v>0</v>
      </c>
      <c r="I265" s="9">
        <f>[1]data!I271-[1]data!I232</f>
        <v>0</v>
      </c>
      <c r="J265" s="9">
        <f>[1]data!J271-[1]data!J232</f>
        <v>0</v>
      </c>
      <c r="K265" s="8">
        <f t="shared" si="68"/>
        <v>0.2257548854794123</v>
      </c>
      <c r="L265" s="8">
        <f t="shared" si="68"/>
        <v>0.1593128021015035</v>
      </c>
      <c r="M265" s="7">
        <f t="shared" si="70"/>
        <v>0</v>
      </c>
      <c r="N265" s="7">
        <f t="shared" si="71"/>
        <v>0</v>
      </c>
      <c r="O265" s="7">
        <f t="shared" si="72"/>
        <v>0.2257548854794123</v>
      </c>
      <c r="P265" s="7">
        <f t="shared" si="73"/>
        <v>0.1593128021015035</v>
      </c>
      <c r="Q265" s="7">
        <f t="shared" si="74"/>
        <v>0</v>
      </c>
      <c r="R265" s="7">
        <f t="shared" si="75"/>
        <v>0</v>
      </c>
      <c r="S265" s="8">
        <f t="shared" si="69"/>
        <v>0</v>
      </c>
      <c r="T265" s="8">
        <f t="shared" si="69"/>
        <v>0</v>
      </c>
      <c r="U265" s="7">
        <f t="shared" si="76"/>
        <v>0</v>
      </c>
      <c r="V265" s="7">
        <f t="shared" si="77"/>
        <v>0</v>
      </c>
      <c r="W265" s="7">
        <f t="shared" si="78"/>
        <v>0</v>
      </c>
      <c r="X265" s="7">
        <f t="shared" si="79"/>
        <v>0</v>
      </c>
      <c r="Y265" s="7">
        <f t="shared" si="80"/>
        <v>0</v>
      </c>
      <c r="Z265" s="7">
        <f t="shared" si="81"/>
        <v>0</v>
      </c>
      <c r="AA265" s="23">
        <v>91.233487908610002</v>
      </c>
      <c r="AB265" s="29">
        <v>64.38249419652</v>
      </c>
    </row>
    <row r="266" spans="1:28" x14ac:dyDescent="0.35">
      <c r="A266" s="5" t="s">
        <v>62</v>
      </c>
      <c r="B266" s="15" t="s">
        <v>69</v>
      </c>
      <c r="C266" s="6">
        <f t="shared" si="82"/>
        <v>1.5108626716739559</v>
      </c>
      <c r="D266" s="9">
        <f>[1]data!D272-[1]data!D233</f>
        <v>0.66420956936764153</v>
      </c>
      <c r="E266" s="9">
        <f>[1]data!E272-[1]data!E233</f>
        <v>0.84665310230631441</v>
      </c>
      <c r="F266" s="9">
        <f>[1]data!F272-[1]data!F233</f>
        <v>0</v>
      </c>
      <c r="G266" s="8">
        <f t="shared" si="83"/>
        <v>6.4232296886403972E-3</v>
      </c>
      <c r="H266" s="9">
        <f>[1]data!H272-[1]data!H233</f>
        <v>0</v>
      </c>
      <c r="I266" s="9">
        <f>[1]data!I272-[1]data!I233</f>
        <v>6.4232296886403972E-3</v>
      </c>
      <c r="J266" s="9">
        <f>[1]data!J272-[1]data!J233</f>
        <v>0</v>
      </c>
      <c r="K266" s="8">
        <f t="shared" si="68"/>
        <v>1.0251200504614792</v>
      </c>
      <c r="L266" s="8">
        <f t="shared" si="68"/>
        <v>0.48755094727856219</v>
      </c>
      <c r="M266" s="7">
        <f t="shared" si="70"/>
        <v>0.45066607312017243</v>
      </c>
      <c r="N266" s="7">
        <f t="shared" si="71"/>
        <v>0.21433847748577065</v>
      </c>
      <c r="O266" s="7">
        <f t="shared" si="72"/>
        <v>0.57445397734130677</v>
      </c>
      <c r="P266" s="7">
        <f t="shared" si="73"/>
        <v>0.27321246979279151</v>
      </c>
      <c r="Q266" s="7">
        <f t="shared" si="74"/>
        <v>0</v>
      </c>
      <c r="R266" s="7">
        <f t="shared" si="75"/>
        <v>0</v>
      </c>
      <c r="S266" s="8">
        <f t="shared" si="69"/>
        <v>4.3581601862261558E-3</v>
      </c>
      <c r="T266" s="8">
        <f t="shared" si="69"/>
        <v>2.0727573577648227E-3</v>
      </c>
      <c r="U266" s="7">
        <f t="shared" si="76"/>
        <v>0</v>
      </c>
      <c r="V266" s="7">
        <f t="shared" si="77"/>
        <v>0</v>
      </c>
      <c r="W266" s="7">
        <f t="shared" si="78"/>
        <v>4.3581601862261558E-3</v>
      </c>
      <c r="X266" s="7">
        <f t="shared" si="79"/>
        <v>2.0727573577648227E-3</v>
      </c>
      <c r="Y266" s="7">
        <f t="shared" si="80"/>
        <v>0</v>
      </c>
      <c r="Z266" s="7">
        <f t="shared" si="81"/>
        <v>0</v>
      </c>
      <c r="AA266" s="23">
        <v>309.88816247970999</v>
      </c>
      <c r="AB266" s="29">
        <v>147.38397429586999</v>
      </c>
    </row>
    <row r="267" spans="1:28" x14ac:dyDescent="0.35">
      <c r="A267" s="5" t="s">
        <v>63</v>
      </c>
      <c r="B267" s="15" t="s">
        <v>69</v>
      </c>
      <c r="C267" s="6">
        <f t="shared" si="82"/>
        <v>0</v>
      </c>
      <c r="D267" s="9">
        <f>[1]data!D273-[1]data!D234</f>
        <v>0</v>
      </c>
      <c r="E267" s="9">
        <f>[1]data!E273-[1]data!E234</f>
        <v>0</v>
      </c>
      <c r="F267" s="9">
        <f>[1]data!F273-[1]data!F234</f>
        <v>0</v>
      </c>
      <c r="G267" s="8">
        <f t="shared" si="83"/>
        <v>0</v>
      </c>
      <c r="H267" s="9">
        <f>[1]data!H273-[1]data!H234</f>
        <v>0</v>
      </c>
      <c r="I267" s="9">
        <f>[1]data!I273-[1]data!I234</f>
        <v>0</v>
      </c>
      <c r="J267" s="9">
        <f>[1]data!J273-[1]data!J234</f>
        <v>0</v>
      </c>
      <c r="K267" s="8">
        <f t="shared" si="68"/>
        <v>0</v>
      </c>
      <c r="L267" s="8">
        <f t="shared" si="68"/>
        <v>0</v>
      </c>
      <c r="M267" s="7">
        <f t="shared" si="70"/>
        <v>0</v>
      </c>
      <c r="N267" s="7">
        <f t="shared" si="71"/>
        <v>0</v>
      </c>
      <c r="O267" s="7">
        <f t="shared" si="72"/>
        <v>0</v>
      </c>
      <c r="P267" s="7">
        <f t="shared" si="73"/>
        <v>0</v>
      </c>
      <c r="Q267" s="7">
        <f t="shared" si="74"/>
        <v>0</v>
      </c>
      <c r="R267" s="7">
        <f t="shared" si="75"/>
        <v>0</v>
      </c>
      <c r="S267" s="8">
        <f t="shared" si="69"/>
        <v>0</v>
      </c>
      <c r="T267" s="8">
        <f t="shared" si="69"/>
        <v>0</v>
      </c>
      <c r="U267" s="7">
        <f t="shared" si="76"/>
        <v>0</v>
      </c>
      <c r="V267" s="7">
        <f t="shared" si="77"/>
        <v>0</v>
      </c>
      <c r="W267" s="7">
        <f t="shared" si="78"/>
        <v>0</v>
      </c>
      <c r="X267" s="7">
        <f t="shared" si="79"/>
        <v>0</v>
      </c>
      <c r="Y267" s="7">
        <f t="shared" si="80"/>
        <v>0</v>
      </c>
      <c r="Z267" s="7">
        <f t="shared" si="81"/>
        <v>0</v>
      </c>
      <c r="AA267" s="23">
        <v>1215.4228689920101</v>
      </c>
      <c r="AB267" s="29">
        <v>571.50311712429004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5A18-9C17-412B-A121-8A0A848EC854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diff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2024-04-30T13:13:55Z</dcterms:created>
  <dcterms:modified xsi:type="dcterms:W3CDTF">2024-05-09T17:23:23Z</dcterms:modified>
</cp:coreProperties>
</file>