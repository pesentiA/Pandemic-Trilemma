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Yearly/"/>
    </mc:Choice>
  </mc:AlternateContent>
  <xr:revisionPtr revIDLastSave="880" documentId="13_ncr:1_{3645C15B-4CB2-4567-836C-37D6B3343794}" xr6:coauthVersionLast="47" xr6:coauthVersionMax="47" xr10:uidLastSave="{96D1A84E-CC02-4EF1-9696-5C36960ACB1E}"/>
  <bookViews>
    <workbookView xWindow="-30480" yWindow="-21720" windowWidth="51840" windowHeight="21120" activeTab="2" xr2:uid="{5DEAAF2B-380D-4CA8-952E-F9231D85968A}"/>
  </bookViews>
  <sheets>
    <sheet name="2020" sheetId="11" r:id="rId1"/>
    <sheet name="2021" sheetId="12" r:id="rId2"/>
    <sheet name="data" sheetId="13" r:id="rId3"/>
    <sheet name="Security" sheetId="14" r:id="rId4"/>
    <sheet name="Database" sheetId="8" r:id="rId5"/>
    <sheet name="Figure" sheetId="1" r:id="rId6"/>
  </sheets>
  <definedNames>
    <definedName name="_xlnm._FilterDatabase" localSheetId="4" hidden="1">Database!$A$5:$F$197</definedName>
    <definedName name="_xlnm.Print_Area" localSheetId="0">'2020'!$B$1:$Z$46</definedName>
    <definedName name="_xlnm.Print_Area" localSheetId="1">'2021'!$B$1:$Y$46</definedName>
    <definedName name="_xlnm.Print_Area" localSheetId="4">Database!$C$2:$X$198</definedName>
    <definedName name="_xlnm.Print_Titles" localSheetId="0">'2020'!$1:$6</definedName>
    <definedName name="_xlnm.Print_Titles" localSheetId="1">'2021'!$1:$6</definedName>
    <definedName name="_xlnm.Print_Titles" localSheetId="4">Database!$4:$5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54" i="13" l="1"/>
  <c r="T61" i="13"/>
  <c r="T70" i="13"/>
  <c r="Z41" i="13"/>
  <c r="Z42" i="13"/>
  <c r="Z43" i="13"/>
  <c r="Z44" i="13"/>
  <c r="Z45" i="13"/>
  <c r="T45" i="13" s="1"/>
  <c r="Z46" i="13"/>
  <c r="T46" i="13" s="1"/>
  <c r="Z47" i="13"/>
  <c r="Z48" i="13"/>
  <c r="Z49" i="13"/>
  <c r="Z50" i="13"/>
  <c r="Z51" i="13"/>
  <c r="Z52" i="13"/>
  <c r="Z53" i="13"/>
  <c r="T53" i="13" s="1"/>
  <c r="Z54" i="13"/>
  <c r="Z55" i="13"/>
  <c r="Z56" i="13"/>
  <c r="Z57" i="13"/>
  <c r="Z58" i="13"/>
  <c r="Z59" i="13"/>
  <c r="Z60" i="13"/>
  <c r="Z61" i="13"/>
  <c r="Z62" i="13"/>
  <c r="T62" i="13" s="1"/>
  <c r="Z63" i="13"/>
  <c r="Z64" i="13"/>
  <c r="Z65" i="13"/>
  <c r="Z66" i="13"/>
  <c r="Z67" i="13"/>
  <c r="Z68" i="13"/>
  <c r="Z69" i="13"/>
  <c r="T69" i="13" s="1"/>
  <c r="Z70" i="13"/>
  <c r="Z71" i="13"/>
  <c r="Z72" i="13"/>
  <c r="Z73" i="13"/>
  <c r="Z74" i="13"/>
  <c r="Z75" i="13"/>
  <c r="Z76" i="13"/>
  <c r="Z77" i="13"/>
  <c r="T77" i="13" s="1"/>
  <c r="Z40" i="13"/>
  <c r="T40" i="13" s="1"/>
  <c r="X41" i="13"/>
  <c r="X42" i="13"/>
  <c r="X43" i="13"/>
  <c r="X44" i="13"/>
  <c r="X45" i="13"/>
  <c r="X46" i="13"/>
  <c r="X47" i="13"/>
  <c r="X48" i="13"/>
  <c r="T48" i="13" s="1"/>
  <c r="X49" i="13"/>
  <c r="X50" i="13"/>
  <c r="X51" i="13"/>
  <c r="X52" i="13"/>
  <c r="X53" i="13"/>
  <c r="X54" i="13"/>
  <c r="X55" i="13"/>
  <c r="X56" i="13"/>
  <c r="T56" i="13" s="1"/>
  <c r="X57" i="13"/>
  <c r="X58" i="13"/>
  <c r="X59" i="13"/>
  <c r="X60" i="13"/>
  <c r="X61" i="13"/>
  <c r="X62" i="13"/>
  <c r="X63" i="13"/>
  <c r="X64" i="13"/>
  <c r="T64" i="13" s="1"/>
  <c r="X65" i="13"/>
  <c r="X66" i="13"/>
  <c r="X67" i="13"/>
  <c r="X68" i="13"/>
  <c r="X69" i="13"/>
  <c r="X70" i="13"/>
  <c r="X71" i="13"/>
  <c r="X72" i="13"/>
  <c r="T72" i="13" s="1"/>
  <c r="X73" i="13"/>
  <c r="X74" i="13"/>
  <c r="X75" i="13"/>
  <c r="X76" i="13"/>
  <c r="X77" i="13"/>
  <c r="X40" i="13"/>
  <c r="V41" i="13"/>
  <c r="T41" i="13" s="1"/>
  <c r="V42" i="13"/>
  <c r="T42" i="13" s="1"/>
  <c r="V43" i="13"/>
  <c r="T43" i="13" s="1"/>
  <c r="V44" i="13"/>
  <c r="T44" i="13" s="1"/>
  <c r="V45" i="13"/>
  <c r="V46" i="13"/>
  <c r="V47" i="13"/>
  <c r="T47" i="13" s="1"/>
  <c r="V48" i="13"/>
  <c r="V49" i="13"/>
  <c r="T49" i="13" s="1"/>
  <c r="V50" i="13"/>
  <c r="T50" i="13" s="1"/>
  <c r="V51" i="13"/>
  <c r="T51" i="13" s="1"/>
  <c r="V52" i="13"/>
  <c r="T52" i="13" s="1"/>
  <c r="V53" i="13"/>
  <c r="V54" i="13"/>
  <c r="V55" i="13"/>
  <c r="T55" i="13" s="1"/>
  <c r="V56" i="13"/>
  <c r="V57" i="13"/>
  <c r="T57" i="13" s="1"/>
  <c r="V58" i="13"/>
  <c r="T58" i="13" s="1"/>
  <c r="V59" i="13"/>
  <c r="T59" i="13" s="1"/>
  <c r="V60" i="13"/>
  <c r="T60" i="13" s="1"/>
  <c r="V61" i="13"/>
  <c r="V62" i="13"/>
  <c r="V63" i="13"/>
  <c r="T63" i="13" s="1"/>
  <c r="V64" i="13"/>
  <c r="V65" i="13"/>
  <c r="T65" i="13" s="1"/>
  <c r="V66" i="13"/>
  <c r="T66" i="13" s="1"/>
  <c r="V67" i="13"/>
  <c r="T67" i="13" s="1"/>
  <c r="V68" i="13"/>
  <c r="T68" i="13" s="1"/>
  <c r="V69" i="13"/>
  <c r="V70" i="13"/>
  <c r="V71" i="13"/>
  <c r="T71" i="13" s="1"/>
  <c r="V72" i="13"/>
  <c r="V73" i="13"/>
  <c r="T73" i="13" s="1"/>
  <c r="V74" i="13"/>
  <c r="T74" i="13" s="1"/>
  <c r="V75" i="13"/>
  <c r="T75" i="13" s="1"/>
  <c r="V76" i="13"/>
  <c r="T76" i="13" s="1"/>
  <c r="V77" i="13"/>
  <c r="V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40" i="13"/>
  <c r="L45" i="13"/>
  <c r="L46" i="13"/>
  <c r="L53" i="13"/>
  <c r="L54" i="13"/>
  <c r="L61" i="13"/>
  <c r="L62" i="13"/>
  <c r="L69" i="13"/>
  <c r="L70" i="13"/>
  <c r="L77" i="13"/>
  <c r="L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66" i="13"/>
  <c r="P67" i="13"/>
  <c r="P68" i="13"/>
  <c r="P69" i="13"/>
  <c r="P70" i="13"/>
  <c r="P71" i="13"/>
  <c r="P72" i="13"/>
  <c r="P73" i="13"/>
  <c r="P74" i="13"/>
  <c r="P75" i="13"/>
  <c r="P76" i="13"/>
  <c r="P77" i="13"/>
  <c r="P40" i="13"/>
  <c r="K40" i="13"/>
  <c r="N41" i="13"/>
  <c r="L41" i="13" s="1"/>
  <c r="N42" i="13"/>
  <c r="L42" i="13" s="1"/>
  <c r="N43" i="13"/>
  <c r="L43" i="13" s="1"/>
  <c r="N44" i="13"/>
  <c r="L44" i="13" s="1"/>
  <c r="N45" i="13"/>
  <c r="N46" i="13"/>
  <c r="N47" i="13"/>
  <c r="L47" i="13" s="1"/>
  <c r="N48" i="13"/>
  <c r="L48" i="13" s="1"/>
  <c r="N49" i="13"/>
  <c r="L49" i="13" s="1"/>
  <c r="N50" i="13"/>
  <c r="L50" i="13" s="1"/>
  <c r="N51" i="13"/>
  <c r="L51" i="13" s="1"/>
  <c r="N52" i="13"/>
  <c r="L52" i="13" s="1"/>
  <c r="N53" i="13"/>
  <c r="N54" i="13"/>
  <c r="N55" i="13"/>
  <c r="L55" i="13" s="1"/>
  <c r="N56" i="13"/>
  <c r="L56" i="13" s="1"/>
  <c r="N57" i="13"/>
  <c r="L57" i="13" s="1"/>
  <c r="N58" i="13"/>
  <c r="L58" i="13" s="1"/>
  <c r="N59" i="13"/>
  <c r="L59" i="13" s="1"/>
  <c r="N60" i="13"/>
  <c r="L60" i="13" s="1"/>
  <c r="N61" i="13"/>
  <c r="N62" i="13"/>
  <c r="N63" i="13"/>
  <c r="L63" i="13" s="1"/>
  <c r="N64" i="13"/>
  <c r="L64" i="13" s="1"/>
  <c r="N65" i="13"/>
  <c r="L65" i="13" s="1"/>
  <c r="N66" i="13"/>
  <c r="L66" i="13" s="1"/>
  <c r="N67" i="13"/>
  <c r="L67" i="13" s="1"/>
  <c r="N68" i="13"/>
  <c r="L68" i="13" s="1"/>
  <c r="N69" i="13"/>
  <c r="N70" i="13"/>
  <c r="N71" i="13"/>
  <c r="L71" i="13" s="1"/>
  <c r="N72" i="13"/>
  <c r="L72" i="13" s="1"/>
  <c r="N73" i="13"/>
  <c r="L73" i="13" s="1"/>
  <c r="N74" i="13"/>
  <c r="L74" i="13" s="1"/>
  <c r="N75" i="13"/>
  <c r="L75" i="13" s="1"/>
  <c r="N76" i="13"/>
  <c r="L76" i="13" s="1"/>
  <c r="N77" i="13"/>
  <c r="N40" i="13"/>
  <c r="O41" i="13"/>
  <c r="O42" i="13"/>
  <c r="O43" i="13"/>
  <c r="O44" i="13"/>
  <c r="O45" i="13"/>
  <c r="O46" i="13"/>
  <c r="O47" i="13"/>
  <c r="O48" i="13"/>
  <c r="O49" i="13"/>
  <c r="O50" i="13"/>
  <c r="O51" i="13"/>
  <c r="O52" i="13"/>
  <c r="O53" i="13"/>
  <c r="O54" i="13"/>
  <c r="O55" i="13"/>
  <c r="O56" i="13"/>
  <c r="O57" i="13"/>
  <c r="O58" i="13"/>
  <c r="O59" i="13"/>
  <c r="O60" i="13"/>
  <c r="O61" i="13"/>
  <c r="O62" i="13"/>
  <c r="O63" i="13"/>
  <c r="O64" i="13"/>
  <c r="O65" i="13"/>
  <c r="O66" i="13"/>
  <c r="O67" i="13"/>
  <c r="O68" i="13"/>
  <c r="O69" i="13"/>
  <c r="O70" i="13"/>
  <c r="O71" i="13"/>
  <c r="O72" i="13"/>
  <c r="O73" i="13"/>
  <c r="O74" i="13"/>
  <c r="O75" i="13"/>
  <c r="O76" i="13"/>
  <c r="O77" i="13"/>
  <c r="O40"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41" i="13"/>
  <c r="M40" i="13"/>
  <c r="S3" i="13"/>
  <c r="T2" i="13"/>
  <c r="S26" i="13"/>
  <c r="S4" i="13"/>
  <c r="S5" i="13"/>
  <c r="S6" i="13"/>
  <c r="S7" i="13"/>
  <c r="S8" i="13"/>
  <c r="S9" i="13"/>
  <c r="S10" i="13"/>
  <c r="S11" i="13"/>
  <c r="S12" i="13"/>
  <c r="S13" i="13"/>
  <c r="S14" i="13"/>
  <c r="S15" i="13"/>
  <c r="S16" i="13"/>
  <c r="S17" i="13"/>
  <c r="S18" i="13"/>
  <c r="S19" i="13"/>
  <c r="S20" i="13"/>
  <c r="S21" i="13"/>
  <c r="S22" i="13"/>
  <c r="S23" i="13"/>
  <c r="S24" i="13"/>
  <c r="S25" i="13"/>
  <c r="S27" i="13"/>
  <c r="S28" i="13"/>
  <c r="S29" i="13"/>
  <c r="S30" i="13"/>
  <c r="S31" i="13"/>
  <c r="S32" i="13"/>
  <c r="S33" i="13"/>
  <c r="S34" i="13"/>
  <c r="S35" i="13"/>
  <c r="S36" i="13"/>
  <c r="S37" i="13"/>
  <c r="S38" i="13"/>
  <c r="S39" i="13"/>
  <c r="S2" i="13"/>
  <c r="Z3" i="13"/>
  <c r="Z4" i="13"/>
  <c r="Z5" i="13"/>
  <c r="Z6" i="13"/>
  <c r="Z7" i="13"/>
  <c r="Z8" i="13"/>
  <c r="Z9" i="13"/>
  <c r="Z10" i="13"/>
  <c r="Z11" i="13"/>
  <c r="Z12" i="13"/>
  <c r="Z13" i="13"/>
  <c r="Z14" i="13"/>
  <c r="Z15" i="13"/>
  <c r="Z16" i="13"/>
  <c r="Z17" i="13"/>
  <c r="Z18" i="13"/>
  <c r="Z19" i="13"/>
  <c r="Z20" i="13"/>
  <c r="Z21" i="13"/>
  <c r="Z22" i="13"/>
  <c r="Z23" i="13"/>
  <c r="Z24" i="13"/>
  <c r="Z25" i="13"/>
  <c r="Z26" i="13"/>
  <c r="Z27" i="13"/>
  <c r="Z28" i="13"/>
  <c r="Z29" i="13"/>
  <c r="Z30" i="13"/>
  <c r="Z31" i="13"/>
  <c r="Z32" i="13"/>
  <c r="Z33" i="13"/>
  <c r="Z34" i="13"/>
  <c r="Z35" i="13"/>
  <c r="Z36" i="13"/>
  <c r="Z37" i="13"/>
  <c r="Z38" i="13"/>
  <c r="Z39" i="13"/>
  <c r="Z2" i="13"/>
  <c r="X3" i="13"/>
  <c r="X4" i="13"/>
  <c r="X5" i="13"/>
  <c r="X6" i="13"/>
  <c r="X7" i="13"/>
  <c r="X8" i="13"/>
  <c r="X9" i="13"/>
  <c r="X10" i="13"/>
  <c r="X11" i="13"/>
  <c r="X12" i="13"/>
  <c r="X13" i="13"/>
  <c r="X14" i="13"/>
  <c r="X15" i="13"/>
  <c r="X16" i="13"/>
  <c r="X17" i="13"/>
  <c r="X18" i="13"/>
  <c r="X19" i="13"/>
  <c r="X20" i="13"/>
  <c r="X21" i="13"/>
  <c r="X22" i="13"/>
  <c r="X23" i="13"/>
  <c r="X24" i="13"/>
  <c r="X25" i="13"/>
  <c r="X26" i="13"/>
  <c r="X27" i="13"/>
  <c r="X28" i="13"/>
  <c r="X29" i="13"/>
  <c r="X30" i="13"/>
  <c r="X31" i="13"/>
  <c r="X32" i="13"/>
  <c r="X33" i="13"/>
  <c r="X34" i="13"/>
  <c r="X35" i="13"/>
  <c r="X36" i="13"/>
  <c r="X37" i="13"/>
  <c r="X38" i="13"/>
  <c r="X39" i="13"/>
  <c r="X2" i="13"/>
  <c r="V3" i="13"/>
  <c r="T3" i="13" s="1"/>
  <c r="V4" i="13"/>
  <c r="T4" i="13" s="1"/>
  <c r="V5" i="13"/>
  <c r="T5" i="13" s="1"/>
  <c r="V6" i="13"/>
  <c r="T6" i="13" s="1"/>
  <c r="V7" i="13"/>
  <c r="T7" i="13" s="1"/>
  <c r="V8" i="13"/>
  <c r="T8" i="13" s="1"/>
  <c r="V9" i="13"/>
  <c r="T9" i="13" s="1"/>
  <c r="V10" i="13"/>
  <c r="T10" i="13" s="1"/>
  <c r="V11" i="13"/>
  <c r="T11" i="13" s="1"/>
  <c r="V12" i="13"/>
  <c r="T12" i="13" s="1"/>
  <c r="V13" i="13"/>
  <c r="T13" i="13" s="1"/>
  <c r="V14" i="13"/>
  <c r="T14" i="13" s="1"/>
  <c r="V15" i="13"/>
  <c r="T15" i="13" s="1"/>
  <c r="V16" i="13"/>
  <c r="T16" i="13" s="1"/>
  <c r="V17" i="13"/>
  <c r="T17" i="13" s="1"/>
  <c r="V18" i="13"/>
  <c r="T18" i="13" s="1"/>
  <c r="V19" i="13"/>
  <c r="T19" i="13" s="1"/>
  <c r="V20" i="13"/>
  <c r="T20" i="13" s="1"/>
  <c r="V21" i="13"/>
  <c r="T21" i="13" s="1"/>
  <c r="V22" i="13"/>
  <c r="T22" i="13" s="1"/>
  <c r="V23" i="13"/>
  <c r="T23" i="13" s="1"/>
  <c r="V24" i="13"/>
  <c r="T24" i="13" s="1"/>
  <c r="V25" i="13"/>
  <c r="T25" i="13" s="1"/>
  <c r="V26" i="13"/>
  <c r="T26" i="13" s="1"/>
  <c r="V27" i="13"/>
  <c r="T27" i="13" s="1"/>
  <c r="V28" i="13"/>
  <c r="T28" i="13" s="1"/>
  <c r="V29" i="13"/>
  <c r="T29" i="13" s="1"/>
  <c r="V30" i="13"/>
  <c r="T30" i="13" s="1"/>
  <c r="V31" i="13"/>
  <c r="T31" i="13" s="1"/>
  <c r="V32" i="13"/>
  <c r="T32" i="13" s="1"/>
  <c r="V33" i="13"/>
  <c r="T33" i="13" s="1"/>
  <c r="V34" i="13"/>
  <c r="T34" i="13" s="1"/>
  <c r="V35" i="13"/>
  <c r="T35" i="13" s="1"/>
  <c r="V36" i="13"/>
  <c r="T36" i="13" s="1"/>
  <c r="V37" i="13"/>
  <c r="T37" i="13" s="1"/>
  <c r="V38" i="13"/>
  <c r="T38" i="13" s="1"/>
  <c r="V39" i="13"/>
  <c r="T39" i="13" s="1"/>
  <c r="V2" i="13"/>
  <c r="L15" i="13"/>
  <c r="R2" i="13"/>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P3" i="13"/>
  <c r="P4" i="13"/>
  <c r="P5" i="13"/>
  <c r="P6" i="13"/>
  <c r="P7" i="13"/>
  <c r="P8" i="13"/>
  <c r="P9" i="13"/>
  <c r="P10" i="13"/>
  <c r="P11" i="13"/>
  <c r="P12" i="13"/>
  <c r="P13" i="13"/>
  <c r="P14" i="13"/>
  <c r="P15" i="13"/>
  <c r="P16" i="13"/>
  <c r="P17" i="13"/>
  <c r="P18" i="13"/>
  <c r="P19" i="13"/>
  <c r="P20" i="13"/>
  <c r="P21" i="13"/>
  <c r="P22" i="13"/>
  <c r="P23" i="13"/>
  <c r="P24" i="13"/>
  <c r="P25" i="13"/>
  <c r="P26" i="13"/>
  <c r="P27" i="13"/>
  <c r="P28" i="13"/>
  <c r="P29" i="13"/>
  <c r="P30" i="13"/>
  <c r="P31" i="13"/>
  <c r="P32" i="13"/>
  <c r="P33" i="13"/>
  <c r="P34" i="13"/>
  <c r="P35" i="13"/>
  <c r="P36" i="13"/>
  <c r="P37" i="13"/>
  <c r="P38" i="13"/>
  <c r="P39" i="13"/>
  <c r="P2" i="13"/>
  <c r="N3" i="13"/>
  <c r="N4" i="13"/>
  <c r="N5" i="13"/>
  <c r="N6" i="13"/>
  <c r="L6" i="13" s="1"/>
  <c r="N7" i="13"/>
  <c r="N8" i="13"/>
  <c r="L8" i="13" s="1"/>
  <c r="N9" i="13"/>
  <c r="L9" i="13" s="1"/>
  <c r="N10" i="13"/>
  <c r="L10" i="13" s="1"/>
  <c r="N11" i="13"/>
  <c r="N12" i="13"/>
  <c r="N13" i="13"/>
  <c r="N14" i="13"/>
  <c r="N15" i="13"/>
  <c r="N16" i="13"/>
  <c r="L16" i="13" s="1"/>
  <c r="N17" i="13"/>
  <c r="L17" i="13" s="1"/>
  <c r="N18" i="13"/>
  <c r="L18" i="13" s="1"/>
  <c r="N19" i="13"/>
  <c r="N20" i="13"/>
  <c r="N21" i="13"/>
  <c r="N22" i="13"/>
  <c r="L22" i="13" s="1"/>
  <c r="N23" i="13"/>
  <c r="N24" i="13"/>
  <c r="L24" i="13" s="1"/>
  <c r="N25" i="13"/>
  <c r="L25" i="13" s="1"/>
  <c r="N26" i="13"/>
  <c r="L26" i="13" s="1"/>
  <c r="N27" i="13"/>
  <c r="N28" i="13"/>
  <c r="N29" i="13"/>
  <c r="N30" i="13"/>
  <c r="L30" i="13" s="1"/>
  <c r="N31" i="13"/>
  <c r="N32" i="13"/>
  <c r="L32" i="13" s="1"/>
  <c r="N33" i="13"/>
  <c r="L33" i="13" s="1"/>
  <c r="N34" i="13"/>
  <c r="L34" i="13" s="1"/>
  <c r="N35" i="13"/>
  <c r="N36" i="13"/>
  <c r="N37" i="13"/>
  <c r="N38" i="13"/>
  <c r="L38" i="13" s="1"/>
  <c r="N39" i="13"/>
  <c r="N2" i="13"/>
  <c r="L2" i="13" s="1"/>
  <c r="H42" i="13"/>
  <c r="V26" i="12"/>
  <c r="O40" i="12"/>
  <c r="N22" i="12"/>
  <c r="M22" i="12"/>
  <c r="K22" i="12"/>
  <c r="M9" i="12"/>
  <c r="K9" i="12" s="1"/>
  <c r="N9" i="12"/>
  <c r="L9" i="12" s="1"/>
  <c r="O9" i="12"/>
  <c r="P9" i="12"/>
  <c r="Q9" i="12"/>
  <c r="R9" i="12"/>
  <c r="S9" i="12"/>
  <c r="M10" i="12"/>
  <c r="K10" i="12" s="1"/>
  <c r="N10" i="12"/>
  <c r="O10" i="12"/>
  <c r="P10" i="12"/>
  <c r="L10" i="12" s="1"/>
  <c r="Q10" i="12"/>
  <c r="R10" i="12"/>
  <c r="S10" i="12"/>
  <c r="M11" i="12"/>
  <c r="N11" i="12"/>
  <c r="O11" i="12"/>
  <c r="K11" i="12" s="1"/>
  <c r="P11" i="12"/>
  <c r="L11" i="12" s="1"/>
  <c r="Q11" i="12"/>
  <c r="R11" i="12"/>
  <c r="S11" i="12"/>
  <c r="M12" i="12"/>
  <c r="N12" i="12"/>
  <c r="L12" i="12" s="1"/>
  <c r="O12" i="12"/>
  <c r="K12" i="12" s="1"/>
  <c r="P12" i="12"/>
  <c r="Q12" i="12"/>
  <c r="R12" i="12"/>
  <c r="S12" i="12"/>
  <c r="M13" i="12"/>
  <c r="K13" i="12" s="1"/>
  <c r="N13" i="12"/>
  <c r="L13" i="12" s="1"/>
  <c r="O13" i="12"/>
  <c r="P13" i="12"/>
  <c r="Q13" i="12"/>
  <c r="R13" i="12"/>
  <c r="S13" i="12"/>
  <c r="L14" i="12"/>
  <c r="M14" i="12"/>
  <c r="K14" i="12" s="1"/>
  <c r="N14" i="12"/>
  <c r="O14" i="12"/>
  <c r="P14" i="12"/>
  <c r="Q14" i="12"/>
  <c r="R14" i="12"/>
  <c r="S14" i="12"/>
  <c r="K15" i="12"/>
  <c r="L15" i="12"/>
  <c r="M15" i="12"/>
  <c r="N15" i="12"/>
  <c r="O15" i="12"/>
  <c r="P15" i="12"/>
  <c r="Q15" i="12"/>
  <c r="R15" i="12"/>
  <c r="S15" i="12"/>
  <c r="K16" i="12"/>
  <c r="M16" i="12"/>
  <c r="N16" i="12"/>
  <c r="L16" i="12" s="1"/>
  <c r="O16" i="12"/>
  <c r="P16" i="12"/>
  <c r="Q16" i="12"/>
  <c r="R16" i="12"/>
  <c r="S16" i="12"/>
  <c r="M17" i="12"/>
  <c r="K17" i="12" s="1"/>
  <c r="N17" i="12"/>
  <c r="L17" i="12" s="1"/>
  <c r="O17" i="12"/>
  <c r="P17" i="12"/>
  <c r="Q17" i="12"/>
  <c r="R17" i="12"/>
  <c r="S17" i="12"/>
  <c r="M18" i="12"/>
  <c r="K18" i="12" s="1"/>
  <c r="N18" i="12"/>
  <c r="O18" i="12"/>
  <c r="P18" i="12"/>
  <c r="L18" i="12" s="1"/>
  <c r="Q18" i="12"/>
  <c r="R18" i="12"/>
  <c r="S18" i="12"/>
  <c r="M19" i="12"/>
  <c r="N19" i="12"/>
  <c r="O19" i="12"/>
  <c r="K19" i="12" s="1"/>
  <c r="P19" i="12"/>
  <c r="L19" i="12" s="1"/>
  <c r="Q19" i="12"/>
  <c r="R19" i="12"/>
  <c r="S19" i="12"/>
  <c r="M20" i="12"/>
  <c r="N20" i="12"/>
  <c r="L20" i="12" s="1"/>
  <c r="O20" i="12"/>
  <c r="K20" i="12" s="1"/>
  <c r="P20" i="12"/>
  <c r="Q20" i="12"/>
  <c r="R20" i="12"/>
  <c r="S20" i="12"/>
  <c r="M21" i="12"/>
  <c r="K21" i="12" s="1"/>
  <c r="N21" i="12"/>
  <c r="L21" i="12" s="1"/>
  <c r="O21" i="12"/>
  <c r="P21" i="12"/>
  <c r="Q21" i="12"/>
  <c r="R21" i="12"/>
  <c r="S21" i="12"/>
  <c r="L22" i="12"/>
  <c r="O22" i="12"/>
  <c r="P22" i="12"/>
  <c r="Q22" i="12"/>
  <c r="R22" i="12"/>
  <c r="S22" i="12"/>
  <c r="K23" i="12"/>
  <c r="L23" i="12"/>
  <c r="M23" i="12"/>
  <c r="N23" i="12"/>
  <c r="O23" i="12"/>
  <c r="P23" i="12"/>
  <c r="Q23" i="12"/>
  <c r="R23" i="12"/>
  <c r="S23" i="12"/>
  <c r="K24" i="12"/>
  <c r="M24" i="12"/>
  <c r="N24" i="12"/>
  <c r="L24" i="12" s="1"/>
  <c r="O24" i="12"/>
  <c r="P24" i="12"/>
  <c r="Q24" i="12"/>
  <c r="R24" i="12"/>
  <c r="S24" i="12"/>
  <c r="M25" i="12"/>
  <c r="K25" i="12" s="1"/>
  <c r="N25" i="12"/>
  <c r="L25" i="12" s="1"/>
  <c r="O25" i="12"/>
  <c r="P25" i="12"/>
  <c r="Q25" i="12"/>
  <c r="R25" i="12"/>
  <c r="S25" i="12"/>
  <c r="M26" i="12"/>
  <c r="K26" i="12" s="1"/>
  <c r="N26" i="12"/>
  <c r="O26" i="12"/>
  <c r="P26" i="12"/>
  <c r="L26" i="12" s="1"/>
  <c r="Q26" i="12"/>
  <c r="R26" i="12"/>
  <c r="S26" i="12"/>
  <c r="M27" i="12"/>
  <c r="N27" i="12"/>
  <c r="O27" i="12"/>
  <c r="K27" i="12" s="1"/>
  <c r="P27" i="12"/>
  <c r="L27" i="12" s="1"/>
  <c r="Q27" i="12"/>
  <c r="R27" i="12"/>
  <c r="S27" i="12"/>
  <c r="M28" i="12"/>
  <c r="N28" i="12"/>
  <c r="L28" i="12" s="1"/>
  <c r="O28" i="12"/>
  <c r="K28" i="12" s="1"/>
  <c r="P28" i="12"/>
  <c r="Q28" i="12"/>
  <c r="R28" i="12"/>
  <c r="S28" i="12"/>
  <c r="M29" i="12"/>
  <c r="K29" i="12" s="1"/>
  <c r="N29" i="12"/>
  <c r="L29" i="12" s="1"/>
  <c r="O29" i="12"/>
  <c r="P29" i="12"/>
  <c r="Q29" i="12"/>
  <c r="R29" i="12"/>
  <c r="S29" i="12"/>
  <c r="L30" i="12"/>
  <c r="M30" i="12"/>
  <c r="K30" i="12" s="1"/>
  <c r="N30" i="12"/>
  <c r="O30" i="12"/>
  <c r="P30" i="12"/>
  <c r="Q30" i="12"/>
  <c r="R30" i="12"/>
  <c r="S30" i="12"/>
  <c r="K31" i="12"/>
  <c r="L31" i="12"/>
  <c r="M31" i="12"/>
  <c r="N31" i="12"/>
  <c r="O31" i="12"/>
  <c r="P31" i="12"/>
  <c r="Q31" i="12"/>
  <c r="R31" i="12"/>
  <c r="S31" i="12"/>
  <c r="K32" i="12"/>
  <c r="M32" i="12"/>
  <c r="N32" i="12"/>
  <c r="L32" i="12" s="1"/>
  <c r="O32" i="12"/>
  <c r="P32" i="12"/>
  <c r="Q32" i="12"/>
  <c r="R32" i="12"/>
  <c r="S32" i="12"/>
  <c r="M33" i="12"/>
  <c r="K33" i="12" s="1"/>
  <c r="N33" i="12"/>
  <c r="L33" i="12" s="1"/>
  <c r="O33" i="12"/>
  <c r="P33" i="12"/>
  <c r="Q33" i="12"/>
  <c r="R33" i="12"/>
  <c r="S33" i="12"/>
  <c r="M34" i="12"/>
  <c r="K34" i="12" s="1"/>
  <c r="N34" i="12"/>
  <c r="O34" i="12"/>
  <c r="P34" i="12"/>
  <c r="L34" i="12" s="1"/>
  <c r="Q34" i="12"/>
  <c r="R34" i="12"/>
  <c r="S34" i="12"/>
  <c r="M35" i="12"/>
  <c r="N35" i="12"/>
  <c r="O35" i="12"/>
  <c r="K35" i="12" s="1"/>
  <c r="P35" i="12"/>
  <c r="L35" i="12" s="1"/>
  <c r="Q35" i="12"/>
  <c r="R35" i="12"/>
  <c r="S35" i="12"/>
  <c r="M36" i="12"/>
  <c r="N36" i="12"/>
  <c r="L36" i="12" s="1"/>
  <c r="O36" i="12"/>
  <c r="K36" i="12" s="1"/>
  <c r="P36" i="12"/>
  <c r="Q36" i="12"/>
  <c r="R36" i="12"/>
  <c r="S36" i="12"/>
  <c r="M37" i="12"/>
  <c r="K37" i="12" s="1"/>
  <c r="N37" i="12"/>
  <c r="L37" i="12" s="1"/>
  <c r="O37" i="12"/>
  <c r="P37" i="12"/>
  <c r="Q37" i="12"/>
  <c r="R37" i="12"/>
  <c r="S37" i="12"/>
  <c r="L38" i="12"/>
  <c r="M38" i="12"/>
  <c r="K38" i="12" s="1"/>
  <c r="N38" i="12"/>
  <c r="O38" i="12"/>
  <c r="P38" i="12"/>
  <c r="Q38" i="12"/>
  <c r="R38" i="12"/>
  <c r="S38" i="12"/>
  <c r="K39" i="12"/>
  <c r="L39" i="12"/>
  <c r="M39" i="12"/>
  <c r="N39" i="12"/>
  <c r="O39" i="12"/>
  <c r="P39" i="12"/>
  <c r="Q39" i="12"/>
  <c r="R39" i="12"/>
  <c r="S39" i="12"/>
  <c r="K40" i="12"/>
  <c r="M40" i="12"/>
  <c r="N40" i="12"/>
  <c r="L40" i="12" s="1"/>
  <c r="P40" i="12"/>
  <c r="Q40" i="12"/>
  <c r="R40" i="12"/>
  <c r="S40" i="12"/>
  <c r="M41" i="12"/>
  <c r="K41" i="12" s="1"/>
  <c r="N41" i="12"/>
  <c r="L41" i="12" s="1"/>
  <c r="O41" i="12"/>
  <c r="P41" i="12"/>
  <c r="Q41" i="12"/>
  <c r="R41" i="12"/>
  <c r="S41" i="12"/>
  <c r="M42" i="12"/>
  <c r="K42" i="12" s="1"/>
  <c r="N42" i="12"/>
  <c r="O42" i="12"/>
  <c r="P42" i="12"/>
  <c r="L42" i="12" s="1"/>
  <c r="Q42" i="12"/>
  <c r="R42" i="12"/>
  <c r="S42" i="12"/>
  <c r="M43" i="12"/>
  <c r="N43" i="12"/>
  <c r="O43" i="12"/>
  <c r="K43" i="12" s="1"/>
  <c r="P43" i="12"/>
  <c r="L43" i="12" s="1"/>
  <c r="Q43" i="12"/>
  <c r="R43" i="12"/>
  <c r="S43" i="12"/>
  <c r="M44" i="12"/>
  <c r="N44" i="12"/>
  <c r="L44" i="12" s="1"/>
  <c r="O44" i="12"/>
  <c r="K44" i="12" s="1"/>
  <c r="P44" i="12"/>
  <c r="Q44" i="12"/>
  <c r="R44" i="12"/>
  <c r="S44" i="12"/>
  <c r="M45" i="12"/>
  <c r="K45" i="12" s="1"/>
  <c r="N45" i="12"/>
  <c r="L45" i="12" s="1"/>
  <c r="O45" i="12"/>
  <c r="P45" i="12"/>
  <c r="Q45" i="12"/>
  <c r="R45" i="12"/>
  <c r="S45" i="12"/>
  <c r="W9" i="12"/>
  <c r="X9" i="12"/>
  <c r="Y9" i="12"/>
  <c r="Z9" i="12"/>
  <c r="W10" i="12"/>
  <c r="X10" i="12"/>
  <c r="Y10" i="12"/>
  <c r="Z10" i="12"/>
  <c r="W11" i="12"/>
  <c r="X11" i="12"/>
  <c r="Y11" i="12"/>
  <c r="Z11" i="12"/>
  <c r="W12" i="12"/>
  <c r="X12" i="12"/>
  <c r="Y12" i="12"/>
  <c r="Z12" i="12"/>
  <c r="W13" i="12"/>
  <c r="X13" i="12"/>
  <c r="Y13" i="12"/>
  <c r="Z13" i="12"/>
  <c r="W14" i="12"/>
  <c r="X14" i="12"/>
  <c r="Y14" i="12"/>
  <c r="Z14" i="12"/>
  <c r="W15" i="12"/>
  <c r="X15" i="12"/>
  <c r="Y15" i="12"/>
  <c r="Z15" i="12"/>
  <c r="W16" i="12"/>
  <c r="X16" i="12"/>
  <c r="Y16" i="12"/>
  <c r="Z16" i="12"/>
  <c r="W17" i="12"/>
  <c r="X17" i="12"/>
  <c r="Y17" i="12"/>
  <c r="Z17" i="12"/>
  <c r="W18" i="12"/>
  <c r="X18" i="12"/>
  <c r="Y18" i="12"/>
  <c r="Z18" i="12"/>
  <c r="W19" i="12"/>
  <c r="X19" i="12"/>
  <c r="Y19" i="12"/>
  <c r="Z19" i="12"/>
  <c r="W20" i="12"/>
  <c r="X20" i="12"/>
  <c r="Y20" i="12"/>
  <c r="Z20" i="12"/>
  <c r="W21" i="12"/>
  <c r="X21" i="12"/>
  <c r="Y21" i="12"/>
  <c r="Z21" i="12"/>
  <c r="W22" i="12"/>
  <c r="X22" i="12"/>
  <c r="Y22" i="12"/>
  <c r="Z22" i="12"/>
  <c r="W23" i="12"/>
  <c r="X23" i="12"/>
  <c r="Y23" i="12"/>
  <c r="Z23" i="12"/>
  <c r="W24" i="12"/>
  <c r="X24" i="12"/>
  <c r="Y24" i="12"/>
  <c r="Z24" i="12"/>
  <c r="W25" i="12"/>
  <c r="X25" i="12"/>
  <c r="Y25" i="12"/>
  <c r="Z25" i="12"/>
  <c r="W26" i="12"/>
  <c r="X26" i="12"/>
  <c r="Y26" i="12"/>
  <c r="Z26" i="12"/>
  <c r="W27" i="12"/>
  <c r="X27" i="12"/>
  <c r="Y27" i="12"/>
  <c r="Z27" i="12"/>
  <c r="W28" i="12"/>
  <c r="X28" i="12"/>
  <c r="Y28" i="12"/>
  <c r="Z28" i="12"/>
  <c r="W29" i="12"/>
  <c r="X29" i="12"/>
  <c r="Y29" i="12"/>
  <c r="Z29" i="12"/>
  <c r="W30" i="12"/>
  <c r="X30" i="12"/>
  <c r="Y30" i="12"/>
  <c r="Z30" i="12"/>
  <c r="W31" i="12"/>
  <c r="X31" i="12"/>
  <c r="Y31" i="12"/>
  <c r="Z31" i="12"/>
  <c r="W32" i="12"/>
  <c r="X32" i="12"/>
  <c r="Y32" i="12"/>
  <c r="Z32" i="12"/>
  <c r="W33" i="12"/>
  <c r="X33" i="12"/>
  <c r="T33" i="12" s="1"/>
  <c r="Y33" i="12"/>
  <c r="Z33" i="12"/>
  <c r="W34" i="12"/>
  <c r="X34" i="12"/>
  <c r="Y34" i="12"/>
  <c r="Z34" i="12"/>
  <c r="W35" i="12"/>
  <c r="X35" i="12"/>
  <c r="Y35" i="12"/>
  <c r="Z35" i="12"/>
  <c r="W36" i="12"/>
  <c r="X36" i="12"/>
  <c r="Y36" i="12"/>
  <c r="Z36" i="12"/>
  <c r="W37" i="12"/>
  <c r="X37" i="12"/>
  <c r="Y37" i="12"/>
  <c r="Z37" i="12"/>
  <c r="W38" i="12"/>
  <c r="X38" i="12"/>
  <c r="Y38" i="12"/>
  <c r="Z38" i="12"/>
  <c r="W39" i="12"/>
  <c r="X39" i="12"/>
  <c r="Y39" i="12"/>
  <c r="Z39" i="12"/>
  <c r="W40" i="12"/>
  <c r="X40" i="12"/>
  <c r="Y40" i="12"/>
  <c r="Z40" i="12"/>
  <c r="W41" i="12"/>
  <c r="X41" i="12"/>
  <c r="Y41" i="12"/>
  <c r="Z41" i="12"/>
  <c r="W42" i="12"/>
  <c r="X42" i="12"/>
  <c r="Y42" i="12"/>
  <c r="Z42" i="12"/>
  <c r="W43" i="12"/>
  <c r="X43" i="12"/>
  <c r="Y43" i="12"/>
  <c r="Z43" i="12"/>
  <c r="W44" i="12"/>
  <c r="X44" i="12"/>
  <c r="Y44" i="12"/>
  <c r="Z44" i="12"/>
  <c r="W45" i="12"/>
  <c r="X45" i="12"/>
  <c r="Y45" i="12"/>
  <c r="Z45" i="12"/>
  <c r="V9" i="12"/>
  <c r="V10" i="12"/>
  <c r="V11" i="12"/>
  <c r="T11" i="12" s="1"/>
  <c r="V12" i="12"/>
  <c r="V13" i="12"/>
  <c r="V14" i="12"/>
  <c r="V15" i="12"/>
  <c r="T15" i="12" s="1"/>
  <c r="V16" i="12"/>
  <c r="T16" i="12" s="1"/>
  <c r="V17" i="12"/>
  <c r="V18" i="12"/>
  <c r="V19" i="12"/>
  <c r="T19" i="12" s="1"/>
  <c r="V20" i="12"/>
  <c r="V21" i="12"/>
  <c r="V22" i="12"/>
  <c r="V23" i="12"/>
  <c r="T23" i="12" s="1"/>
  <c r="V24" i="12"/>
  <c r="T24" i="12" s="1"/>
  <c r="V25" i="12"/>
  <c r="V27" i="12"/>
  <c r="T27" i="12" s="1"/>
  <c r="V28" i="12"/>
  <c r="V29" i="12"/>
  <c r="V30" i="12"/>
  <c r="V31" i="12"/>
  <c r="T31" i="12" s="1"/>
  <c r="V32" i="12"/>
  <c r="T32" i="12" s="1"/>
  <c r="V33" i="12"/>
  <c r="V34" i="12"/>
  <c r="V35" i="12"/>
  <c r="T35" i="12" s="1"/>
  <c r="V36" i="12"/>
  <c r="V37" i="12"/>
  <c r="V38" i="12"/>
  <c r="V39" i="12"/>
  <c r="V40" i="12"/>
  <c r="T40" i="12" s="1"/>
  <c r="V41" i="12"/>
  <c r="V42" i="12"/>
  <c r="V43" i="12"/>
  <c r="T43" i="12" s="1"/>
  <c r="V44" i="12"/>
  <c r="V45" i="12"/>
  <c r="U9" i="12"/>
  <c r="U10" i="12"/>
  <c r="U11" i="12"/>
  <c r="U12" i="12"/>
  <c r="U13" i="12"/>
  <c r="U14" i="12"/>
  <c r="U15" i="12"/>
  <c r="U16" i="12"/>
  <c r="U17" i="12"/>
  <c r="U18" i="12"/>
  <c r="U19" i="12"/>
  <c r="U20" i="12"/>
  <c r="U21" i="12"/>
  <c r="U22" i="12"/>
  <c r="U23" i="12"/>
  <c r="U24" i="12"/>
  <c r="U25" i="12"/>
  <c r="U26" i="12"/>
  <c r="U27" i="12"/>
  <c r="U28" i="12"/>
  <c r="U29" i="12"/>
  <c r="U30" i="12"/>
  <c r="U31" i="12"/>
  <c r="U32" i="12"/>
  <c r="U33" i="12"/>
  <c r="U34" i="12"/>
  <c r="U35" i="12"/>
  <c r="U36" i="12"/>
  <c r="U37" i="12"/>
  <c r="U38" i="12"/>
  <c r="U39" i="12"/>
  <c r="U40" i="12"/>
  <c r="U41" i="12"/>
  <c r="U42" i="12"/>
  <c r="U43" i="12"/>
  <c r="U44" i="12"/>
  <c r="U45" i="12"/>
  <c r="T9" i="12"/>
  <c r="T10" i="12"/>
  <c r="T12" i="12"/>
  <c r="T13" i="12"/>
  <c r="T14" i="12"/>
  <c r="T17" i="12"/>
  <c r="T18" i="12"/>
  <c r="T20" i="12"/>
  <c r="T21" i="12"/>
  <c r="T22" i="12"/>
  <c r="T25" i="12"/>
  <c r="T26" i="12"/>
  <c r="T28" i="12"/>
  <c r="T29" i="12"/>
  <c r="T30" i="12"/>
  <c r="T34" i="12"/>
  <c r="T36" i="12"/>
  <c r="T37" i="12"/>
  <c r="T38" i="12"/>
  <c r="T41" i="12"/>
  <c r="T42" i="12"/>
  <c r="T44" i="12"/>
  <c r="T45" i="12"/>
  <c r="T8" i="12"/>
  <c r="Z8" i="12"/>
  <c r="Y8" i="12"/>
  <c r="X8" i="12"/>
  <c r="W8" i="12"/>
  <c r="S8" i="12"/>
  <c r="V8" i="12"/>
  <c r="U8" i="12"/>
  <c r="Q8" i="12"/>
  <c r="R8" i="12"/>
  <c r="L8" i="12"/>
  <c r="K8" i="12"/>
  <c r="P8" i="12"/>
  <c r="O8" i="12"/>
  <c r="N8" i="12"/>
  <c r="M8" i="12"/>
  <c r="O9" i="11"/>
  <c r="P9" i="11"/>
  <c r="Q9" i="11"/>
  <c r="S9" i="11"/>
  <c r="U9" i="11"/>
  <c r="V9" i="11"/>
  <c r="W9" i="11"/>
  <c r="T9" i="11" s="1"/>
  <c r="X9" i="11"/>
  <c r="Y9" i="11"/>
  <c r="Z9" i="11"/>
  <c r="AA9" i="11"/>
  <c r="O10" i="11"/>
  <c r="P10" i="11"/>
  <c r="Q10" i="11"/>
  <c r="S10" i="11"/>
  <c r="V10" i="11"/>
  <c r="W10" i="11"/>
  <c r="X10" i="11"/>
  <c r="Y10" i="11"/>
  <c r="T10" i="11" s="1"/>
  <c r="Z10" i="11"/>
  <c r="AA10" i="11"/>
  <c r="O11" i="11"/>
  <c r="P11" i="11"/>
  <c r="Q11" i="11"/>
  <c r="S11" i="11"/>
  <c r="U11" i="11"/>
  <c r="V11" i="11"/>
  <c r="W11" i="11"/>
  <c r="T11" i="11" s="1"/>
  <c r="X11" i="11"/>
  <c r="Y11" i="11"/>
  <c r="Z11" i="11"/>
  <c r="AA11" i="11"/>
  <c r="O12" i="11"/>
  <c r="P12" i="11"/>
  <c r="L12" i="11" s="1"/>
  <c r="Q12" i="11"/>
  <c r="S12" i="11"/>
  <c r="V12" i="11"/>
  <c r="W12" i="11"/>
  <c r="X12" i="11"/>
  <c r="Y12" i="11"/>
  <c r="T12" i="11" s="1"/>
  <c r="Z12" i="11"/>
  <c r="AA12" i="11"/>
  <c r="O13" i="11"/>
  <c r="P13" i="11"/>
  <c r="Q13" i="11"/>
  <c r="S13" i="11"/>
  <c r="U13" i="11"/>
  <c r="V13" i="11"/>
  <c r="W13" i="11"/>
  <c r="T13" i="11" s="1"/>
  <c r="X13" i="11"/>
  <c r="Y13" i="11"/>
  <c r="Z13" i="11"/>
  <c r="AA13" i="11"/>
  <c r="O14" i="11"/>
  <c r="P14" i="11"/>
  <c r="L14" i="11" s="1"/>
  <c r="Q14" i="11"/>
  <c r="S14" i="11"/>
  <c r="V14" i="11"/>
  <c r="W14" i="11"/>
  <c r="X14" i="11"/>
  <c r="Y14" i="11"/>
  <c r="T14" i="11" s="1"/>
  <c r="Z14" i="11"/>
  <c r="AA14" i="11"/>
  <c r="O15" i="11"/>
  <c r="P15" i="11"/>
  <c r="Q15" i="11"/>
  <c r="S15" i="11"/>
  <c r="U15" i="11"/>
  <c r="V15" i="11"/>
  <c r="W15" i="11"/>
  <c r="T15" i="11" s="1"/>
  <c r="X15" i="11"/>
  <c r="Y15" i="11"/>
  <c r="Z15" i="11"/>
  <c r="AA15" i="11"/>
  <c r="O16" i="11"/>
  <c r="K16" i="11" s="1"/>
  <c r="P16" i="11"/>
  <c r="L16" i="11" s="1"/>
  <c r="Q16" i="11"/>
  <c r="S16" i="11"/>
  <c r="V16" i="11"/>
  <c r="W16" i="11"/>
  <c r="X16" i="11"/>
  <c r="Y16" i="11"/>
  <c r="T16" i="11" s="1"/>
  <c r="Z16" i="11"/>
  <c r="AA16" i="11"/>
  <c r="O17" i="11"/>
  <c r="P17" i="11"/>
  <c r="Q17" i="11"/>
  <c r="S17" i="11"/>
  <c r="U17" i="11"/>
  <c r="V17" i="11"/>
  <c r="W17" i="11"/>
  <c r="T17" i="11" s="1"/>
  <c r="X17" i="11"/>
  <c r="Y17" i="11"/>
  <c r="Z17" i="11"/>
  <c r="AA17" i="11"/>
  <c r="O18" i="11"/>
  <c r="P18" i="11"/>
  <c r="Q18" i="11"/>
  <c r="S18" i="11"/>
  <c r="V18" i="11"/>
  <c r="W18" i="11"/>
  <c r="X18" i="11"/>
  <c r="Y18" i="11"/>
  <c r="T18" i="11" s="1"/>
  <c r="Z18" i="11"/>
  <c r="AA18" i="11"/>
  <c r="O19" i="11"/>
  <c r="P19" i="11"/>
  <c r="Q19" i="11"/>
  <c r="S19" i="11"/>
  <c r="U19" i="11"/>
  <c r="V19" i="11"/>
  <c r="W19" i="11"/>
  <c r="T19" i="11" s="1"/>
  <c r="X19" i="11"/>
  <c r="Y19" i="11"/>
  <c r="Z19" i="11"/>
  <c r="AA19" i="11"/>
  <c r="O20" i="11"/>
  <c r="P20" i="11"/>
  <c r="L20" i="11" s="1"/>
  <c r="Q20" i="11"/>
  <c r="S20" i="11"/>
  <c r="V20" i="11"/>
  <c r="W20" i="11"/>
  <c r="X20" i="11"/>
  <c r="Y20" i="11"/>
  <c r="T20" i="11" s="1"/>
  <c r="Z20" i="11"/>
  <c r="AA20" i="11"/>
  <c r="O21" i="11"/>
  <c r="P21" i="11"/>
  <c r="Q21" i="11"/>
  <c r="S21" i="11"/>
  <c r="U21" i="11"/>
  <c r="V21" i="11"/>
  <c r="W21" i="11"/>
  <c r="T21" i="11" s="1"/>
  <c r="X21" i="11"/>
  <c r="Y21" i="11"/>
  <c r="Z21" i="11"/>
  <c r="AA21" i="11"/>
  <c r="O22" i="11"/>
  <c r="P22" i="11"/>
  <c r="Q22" i="11"/>
  <c r="S22" i="11"/>
  <c r="V22" i="11"/>
  <c r="W22" i="11"/>
  <c r="X22" i="11"/>
  <c r="Y22" i="11"/>
  <c r="T22" i="11" s="1"/>
  <c r="Z22" i="11"/>
  <c r="AA22" i="11"/>
  <c r="O23" i="11"/>
  <c r="P23" i="11"/>
  <c r="Q23" i="11"/>
  <c r="S23" i="11"/>
  <c r="U23" i="11"/>
  <c r="V23" i="11"/>
  <c r="W23" i="11"/>
  <c r="T23" i="11" s="1"/>
  <c r="X23" i="11"/>
  <c r="Y23" i="11"/>
  <c r="Z23" i="11"/>
  <c r="AA23" i="11"/>
  <c r="O24" i="11"/>
  <c r="P24" i="11"/>
  <c r="L24" i="11" s="1"/>
  <c r="Q24" i="11"/>
  <c r="S24" i="11"/>
  <c r="V24" i="11"/>
  <c r="W24" i="11"/>
  <c r="X24" i="11"/>
  <c r="Y24" i="11"/>
  <c r="T24" i="11" s="1"/>
  <c r="Z24" i="11"/>
  <c r="AA24" i="11"/>
  <c r="O25" i="11"/>
  <c r="P25" i="11"/>
  <c r="L25" i="11" s="1"/>
  <c r="Q25" i="11"/>
  <c r="S25" i="11"/>
  <c r="U25" i="11"/>
  <c r="V25" i="11"/>
  <c r="W25" i="11"/>
  <c r="T25" i="11" s="1"/>
  <c r="X25" i="11"/>
  <c r="Y25" i="11"/>
  <c r="Z25" i="11"/>
  <c r="AA25" i="11"/>
  <c r="O26" i="11"/>
  <c r="P26" i="11"/>
  <c r="Q26" i="11"/>
  <c r="S26" i="11"/>
  <c r="V26" i="11"/>
  <c r="W26" i="11"/>
  <c r="T26" i="11" s="1"/>
  <c r="X26" i="11"/>
  <c r="Y26" i="11"/>
  <c r="Z26" i="11"/>
  <c r="AA26" i="11"/>
  <c r="O27" i="11"/>
  <c r="P27" i="11"/>
  <c r="Q27" i="11"/>
  <c r="S27" i="11"/>
  <c r="U27" i="11"/>
  <c r="V27" i="11"/>
  <c r="W27" i="11"/>
  <c r="T27" i="11" s="1"/>
  <c r="X27" i="11"/>
  <c r="Y27" i="11"/>
  <c r="Z27" i="11"/>
  <c r="AA27" i="11"/>
  <c r="O28" i="11"/>
  <c r="P28" i="11"/>
  <c r="L28" i="11" s="1"/>
  <c r="Q28" i="11"/>
  <c r="S28" i="11"/>
  <c r="V28" i="11"/>
  <c r="W28" i="11"/>
  <c r="T28" i="11" s="1"/>
  <c r="X28" i="11"/>
  <c r="Y28" i="11"/>
  <c r="Z28" i="11"/>
  <c r="AA28" i="11"/>
  <c r="O29" i="11"/>
  <c r="P29" i="11"/>
  <c r="Q29" i="11"/>
  <c r="S29" i="11"/>
  <c r="U29" i="11"/>
  <c r="V29" i="11"/>
  <c r="W29" i="11"/>
  <c r="T29" i="11" s="1"/>
  <c r="X29" i="11"/>
  <c r="Y29" i="11"/>
  <c r="Z29" i="11"/>
  <c r="AA29" i="11"/>
  <c r="O30" i="11"/>
  <c r="K30" i="11" s="1"/>
  <c r="P30" i="11"/>
  <c r="L30" i="11" s="1"/>
  <c r="Q30" i="11"/>
  <c r="S30" i="11"/>
  <c r="V30" i="11"/>
  <c r="W30" i="11"/>
  <c r="T30" i="11" s="1"/>
  <c r="X30" i="11"/>
  <c r="Y30" i="11"/>
  <c r="Z30" i="11"/>
  <c r="AA30" i="11"/>
  <c r="O31" i="11"/>
  <c r="P31" i="11"/>
  <c r="Q31" i="11"/>
  <c r="S31" i="11"/>
  <c r="U31" i="11"/>
  <c r="V31" i="11"/>
  <c r="W31" i="11"/>
  <c r="T31" i="11" s="1"/>
  <c r="X31" i="11"/>
  <c r="Y31" i="11"/>
  <c r="Z31" i="11"/>
  <c r="AA31" i="11"/>
  <c r="O32" i="11"/>
  <c r="K32" i="11" s="1"/>
  <c r="P32" i="11"/>
  <c r="L32" i="11" s="1"/>
  <c r="Q32" i="11"/>
  <c r="S32" i="11"/>
  <c r="V32" i="11"/>
  <c r="W32" i="11"/>
  <c r="T32" i="11" s="1"/>
  <c r="X32" i="11"/>
  <c r="Y32" i="11"/>
  <c r="Z32" i="11"/>
  <c r="AA32" i="11"/>
  <c r="O33" i="11"/>
  <c r="P33" i="11"/>
  <c r="Q33" i="11"/>
  <c r="S33" i="11"/>
  <c r="U33" i="11"/>
  <c r="V33" i="11"/>
  <c r="W33" i="11"/>
  <c r="T33" i="11" s="1"/>
  <c r="X33" i="11"/>
  <c r="Y33" i="11"/>
  <c r="Z33" i="11"/>
  <c r="AA33" i="11"/>
  <c r="O34" i="11"/>
  <c r="P34" i="11"/>
  <c r="Q34" i="11"/>
  <c r="S34" i="11"/>
  <c r="V34" i="11"/>
  <c r="W34" i="11"/>
  <c r="T34" i="11" s="1"/>
  <c r="X34" i="11"/>
  <c r="Y34" i="11"/>
  <c r="Z34" i="11"/>
  <c r="AA34" i="11"/>
  <c r="O35" i="11"/>
  <c r="P35" i="11"/>
  <c r="Q35" i="11"/>
  <c r="S35" i="11"/>
  <c r="U35" i="11"/>
  <c r="V35" i="11"/>
  <c r="W35" i="11"/>
  <c r="T35" i="11" s="1"/>
  <c r="X35" i="11"/>
  <c r="Y35" i="11"/>
  <c r="Z35" i="11"/>
  <c r="AA35" i="11"/>
  <c r="O36" i="11"/>
  <c r="K36" i="11" s="1"/>
  <c r="P36" i="11"/>
  <c r="L36" i="11" s="1"/>
  <c r="Q36" i="11"/>
  <c r="S36" i="11"/>
  <c r="V36" i="11"/>
  <c r="W36" i="11"/>
  <c r="T36" i="11" s="1"/>
  <c r="X36" i="11"/>
  <c r="Y36" i="11"/>
  <c r="Z36" i="11"/>
  <c r="AA36" i="11"/>
  <c r="O37" i="11"/>
  <c r="P37" i="11"/>
  <c r="Q37" i="11"/>
  <c r="S37" i="11"/>
  <c r="U37" i="11"/>
  <c r="V37" i="11"/>
  <c r="W37" i="11"/>
  <c r="T37" i="11" s="1"/>
  <c r="X37" i="11"/>
  <c r="Y37" i="11"/>
  <c r="Z37" i="11"/>
  <c r="AA37" i="11"/>
  <c r="O38" i="11"/>
  <c r="P38" i="11"/>
  <c r="L38" i="11" s="1"/>
  <c r="Q38" i="11"/>
  <c r="S38" i="11"/>
  <c r="V38" i="11"/>
  <c r="W38" i="11"/>
  <c r="T38" i="11" s="1"/>
  <c r="X38" i="11"/>
  <c r="Y38" i="11"/>
  <c r="Z38" i="11"/>
  <c r="AA38" i="11"/>
  <c r="O39" i="11"/>
  <c r="P39" i="11"/>
  <c r="L39" i="11" s="1"/>
  <c r="Q39" i="11"/>
  <c r="S39" i="11"/>
  <c r="U39" i="11"/>
  <c r="V39" i="11"/>
  <c r="W39" i="11"/>
  <c r="T39" i="11" s="1"/>
  <c r="X39" i="11"/>
  <c r="Y39" i="11"/>
  <c r="Z39" i="11"/>
  <c r="AA39" i="11"/>
  <c r="O40" i="11"/>
  <c r="P40" i="11"/>
  <c r="Q40" i="11"/>
  <c r="S40" i="11"/>
  <c r="V40" i="11"/>
  <c r="W40" i="11"/>
  <c r="T40" i="11" s="1"/>
  <c r="X40" i="11"/>
  <c r="Y40" i="11"/>
  <c r="Z40" i="11"/>
  <c r="AA40" i="11"/>
  <c r="O41" i="11"/>
  <c r="P41" i="11"/>
  <c r="Q41" i="11"/>
  <c r="S41" i="11"/>
  <c r="U41" i="11"/>
  <c r="V41" i="11"/>
  <c r="W41" i="11"/>
  <c r="T41" i="11" s="1"/>
  <c r="X41" i="11"/>
  <c r="Y41" i="11"/>
  <c r="Z41" i="11"/>
  <c r="AA41" i="11"/>
  <c r="O42" i="11"/>
  <c r="P42" i="11"/>
  <c r="Q42" i="11"/>
  <c r="S42" i="11"/>
  <c r="V42" i="11"/>
  <c r="W42" i="11"/>
  <c r="T42" i="11" s="1"/>
  <c r="X42" i="11"/>
  <c r="Y42" i="11"/>
  <c r="Z42" i="11"/>
  <c r="AA42" i="11"/>
  <c r="O43" i="11"/>
  <c r="P43" i="11"/>
  <c r="Q43" i="11"/>
  <c r="S43" i="11"/>
  <c r="U43" i="11"/>
  <c r="V43" i="11"/>
  <c r="W43" i="11"/>
  <c r="T43" i="11" s="1"/>
  <c r="X43" i="11"/>
  <c r="Y43" i="11"/>
  <c r="Z43" i="11"/>
  <c r="AA43" i="11"/>
  <c r="O44" i="11"/>
  <c r="P44" i="11"/>
  <c r="L44" i="11" s="1"/>
  <c r="Q44" i="11"/>
  <c r="S44" i="11"/>
  <c r="V44" i="11"/>
  <c r="W44" i="11"/>
  <c r="T44" i="11" s="1"/>
  <c r="X44" i="11"/>
  <c r="Y44" i="11"/>
  <c r="Z44" i="11"/>
  <c r="AA44" i="11"/>
  <c r="O45" i="11"/>
  <c r="P45" i="11"/>
  <c r="Q45" i="11"/>
  <c r="S45" i="11"/>
  <c r="U45" i="11"/>
  <c r="V45" i="11"/>
  <c r="W45" i="11"/>
  <c r="T45" i="11" s="1"/>
  <c r="X45" i="11"/>
  <c r="Y45" i="11"/>
  <c r="Z45" i="11"/>
  <c r="AA45" i="11"/>
  <c r="N9" i="11"/>
  <c r="N10" i="11"/>
  <c r="L10" i="11" s="1"/>
  <c r="N11" i="11"/>
  <c r="L11" i="11" s="1"/>
  <c r="N12" i="11"/>
  <c r="N13" i="11"/>
  <c r="L13" i="11" s="1"/>
  <c r="N14" i="11"/>
  <c r="N15" i="11"/>
  <c r="N16" i="11"/>
  <c r="N17" i="11"/>
  <c r="N18" i="11"/>
  <c r="L18" i="11" s="1"/>
  <c r="N19" i="11"/>
  <c r="L19" i="11" s="1"/>
  <c r="N20" i="11"/>
  <c r="N21" i="11"/>
  <c r="N22" i="11"/>
  <c r="N23" i="11"/>
  <c r="N24" i="11"/>
  <c r="N25" i="11"/>
  <c r="N26" i="11"/>
  <c r="L26" i="11" s="1"/>
  <c r="N27" i="11"/>
  <c r="L27" i="11" s="1"/>
  <c r="N28" i="11"/>
  <c r="N29" i="11"/>
  <c r="N30" i="11"/>
  <c r="N31" i="11"/>
  <c r="N32" i="11"/>
  <c r="N33" i="11"/>
  <c r="N34" i="11"/>
  <c r="L34" i="11" s="1"/>
  <c r="N35" i="11"/>
  <c r="L35" i="11" s="1"/>
  <c r="N36" i="11"/>
  <c r="N37" i="11"/>
  <c r="N38" i="11"/>
  <c r="N39" i="11"/>
  <c r="N40" i="11"/>
  <c r="N41" i="11"/>
  <c r="N42" i="11"/>
  <c r="L42" i="11" s="1"/>
  <c r="N43" i="11"/>
  <c r="L43" i="11" s="1"/>
  <c r="N44" i="11"/>
  <c r="N45" i="11"/>
  <c r="M9" i="11"/>
  <c r="K9" i="11" s="1"/>
  <c r="M10" i="11"/>
  <c r="M11" i="11"/>
  <c r="K11" i="11" s="1"/>
  <c r="M12" i="11"/>
  <c r="M13" i="11"/>
  <c r="M14" i="11"/>
  <c r="M15" i="11"/>
  <c r="M16" i="11"/>
  <c r="M17" i="11"/>
  <c r="K17" i="11" s="1"/>
  <c r="M18" i="11"/>
  <c r="M19" i="11"/>
  <c r="K19" i="11" s="1"/>
  <c r="M20" i="11"/>
  <c r="M21" i="11"/>
  <c r="M22" i="11"/>
  <c r="M23" i="11"/>
  <c r="M24" i="11"/>
  <c r="M25" i="11"/>
  <c r="K25" i="11" s="1"/>
  <c r="M26" i="11"/>
  <c r="M27" i="11"/>
  <c r="K27" i="11" s="1"/>
  <c r="M28" i="11"/>
  <c r="M29" i="11"/>
  <c r="M30" i="11"/>
  <c r="M31" i="11"/>
  <c r="M32" i="11"/>
  <c r="M33" i="11"/>
  <c r="K33" i="11" s="1"/>
  <c r="M34" i="11"/>
  <c r="M35" i="11"/>
  <c r="K35" i="11" s="1"/>
  <c r="M36" i="11"/>
  <c r="M37" i="11"/>
  <c r="M38" i="11"/>
  <c r="M39" i="11"/>
  <c r="M40" i="11"/>
  <c r="M41" i="11"/>
  <c r="K41" i="11" s="1"/>
  <c r="M42" i="11"/>
  <c r="M43" i="11"/>
  <c r="K43" i="11" s="1"/>
  <c r="M44" i="11"/>
  <c r="M45" i="11"/>
  <c r="L9" i="11"/>
  <c r="L15" i="11"/>
  <c r="L17" i="11"/>
  <c r="L22" i="11"/>
  <c r="L23" i="11"/>
  <c r="L31" i="11"/>
  <c r="L33" i="11"/>
  <c r="L41" i="11"/>
  <c r="K8" i="11"/>
  <c r="K12" i="11"/>
  <c r="K13" i="11"/>
  <c r="K14" i="11"/>
  <c r="K15" i="11"/>
  <c r="K20" i="11"/>
  <c r="K21" i="11"/>
  <c r="K22" i="11"/>
  <c r="K23" i="11"/>
  <c r="K24" i="11"/>
  <c r="K28" i="11"/>
  <c r="K29" i="11"/>
  <c r="K31" i="11"/>
  <c r="K37" i="11"/>
  <c r="K38" i="11"/>
  <c r="K39" i="11"/>
  <c r="K44" i="11"/>
  <c r="K45" i="11"/>
  <c r="M8" i="11"/>
  <c r="N8" i="11"/>
  <c r="U8" i="11"/>
  <c r="T8" i="11"/>
  <c r="X8" i="11"/>
  <c r="Y8" i="11"/>
  <c r="AA8" i="11"/>
  <c r="Z8" i="11"/>
  <c r="V8" i="11"/>
  <c r="W8" i="11"/>
  <c r="O8" i="11"/>
  <c r="P8" i="11"/>
  <c r="Q8" i="11"/>
  <c r="S8" i="11"/>
  <c r="L14" i="13" l="1"/>
  <c r="L39" i="13"/>
  <c r="L31" i="13"/>
  <c r="L23" i="13"/>
  <c r="L7" i="13"/>
  <c r="L36" i="13"/>
  <c r="L28" i="13"/>
  <c r="L20" i="13"/>
  <c r="L12" i="13"/>
  <c r="L4" i="13"/>
  <c r="L37" i="13"/>
  <c r="L21" i="13"/>
  <c r="L5" i="13"/>
  <c r="L35" i="13"/>
  <c r="L27" i="13"/>
  <c r="L19" i="13"/>
  <c r="L11" i="13"/>
  <c r="L3" i="13"/>
  <c r="L29" i="13"/>
  <c r="L13" i="13"/>
  <c r="T39" i="12"/>
  <c r="L40" i="11"/>
  <c r="K42" i="11"/>
  <c r="K34" i="11"/>
  <c r="K26" i="11"/>
  <c r="K18" i="11"/>
  <c r="K10" i="11"/>
  <c r="U44" i="11"/>
  <c r="U42" i="11"/>
  <c r="U40" i="11"/>
  <c r="U38" i="11"/>
  <c r="U36" i="11"/>
  <c r="U34" i="11"/>
  <c r="U32" i="11"/>
  <c r="U30" i="11"/>
  <c r="U28" i="11"/>
  <c r="U26" i="11"/>
  <c r="U24" i="11"/>
  <c r="U22" i="11"/>
  <c r="U20" i="11"/>
  <c r="U18" i="11"/>
  <c r="U16" i="11"/>
  <c r="U14" i="11"/>
  <c r="U12" i="11"/>
  <c r="U10" i="11"/>
  <c r="K40" i="11"/>
  <c r="L45" i="11"/>
  <c r="L37" i="11"/>
  <c r="L29" i="11"/>
  <c r="L21" i="11"/>
  <c r="L8" i="11"/>
  <c r="I44" i="14" l="1"/>
  <c r="H44" i="14"/>
  <c r="G44" i="14"/>
  <c r="E44" i="14"/>
  <c r="D44" i="14"/>
  <c r="C44" i="14"/>
  <c r="I43" i="14"/>
  <c r="H43" i="14"/>
  <c r="G43" i="14"/>
  <c r="E43" i="14"/>
  <c r="D43" i="14"/>
  <c r="C43" i="14"/>
  <c r="I42" i="14"/>
  <c r="H42" i="14"/>
  <c r="G42" i="14"/>
  <c r="E42" i="14"/>
  <c r="D42" i="14"/>
  <c r="C42" i="14"/>
  <c r="I41" i="14"/>
  <c r="H41" i="14"/>
  <c r="G41" i="14"/>
  <c r="E41" i="14"/>
  <c r="D41" i="14"/>
  <c r="C41" i="14"/>
  <c r="I40" i="14"/>
  <c r="H40" i="14"/>
  <c r="G40" i="14"/>
  <c r="E40" i="14"/>
  <c r="D40" i="14"/>
  <c r="C40" i="14"/>
  <c r="I39" i="14"/>
  <c r="H39" i="14"/>
  <c r="G39" i="14"/>
  <c r="E39" i="14"/>
  <c r="D39" i="14"/>
  <c r="C39" i="14"/>
  <c r="I38" i="14"/>
  <c r="H38" i="14"/>
  <c r="G38" i="14"/>
  <c r="E38" i="14"/>
  <c r="D38" i="14"/>
  <c r="C38" i="14"/>
  <c r="I37" i="14"/>
  <c r="H37" i="14"/>
  <c r="G37" i="14"/>
  <c r="E37" i="14"/>
  <c r="D37" i="14"/>
  <c r="C37" i="14"/>
  <c r="I36" i="14"/>
  <c r="H36" i="14"/>
  <c r="G36" i="14"/>
  <c r="E36" i="14"/>
  <c r="D36" i="14"/>
  <c r="C36" i="14"/>
  <c r="I35" i="14"/>
  <c r="H35" i="14"/>
  <c r="G35" i="14"/>
  <c r="E35" i="14"/>
  <c r="D35" i="14"/>
  <c r="C35" i="14"/>
  <c r="I34" i="14"/>
  <c r="H34" i="14"/>
  <c r="G34" i="14"/>
  <c r="E34" i="14"/>
  <c r="D34" i="14"/>
  <c r="C34" i="14"/>
  <c r="I33" i="14"/>
  <c r="H33" i="14"/>
  <c r="G33" i="14"/>
  <c r="E33" i="14"/>
  <c r="D33" i="14"/>
  <c r="C33" i="14"/>
  <c r="I32" i="14"/>
  <c r="H32" i="14"/>
  <c r="G32" i="14"/>
  <c r="E32" i="14"/>
  <c r="D32" i="14"/>
  <c r="C32" i="14"/>
  <c r="I31" i="14"/>
  <c r="H31" i="14"/>
  <c r="G31" i="14"/>
  <c r="E31" i="14"/>
  <c r="D31" i="14"/>
  <c r="C31" i="14"/>
  <c r="I30" i="14"/>
  <c r="H30" i="14"/>
  <c r="G30" i="14"/>
  <c r="E30" i="14"/>
  <c r="D30" i="14"/>
  <c r="C30" i="14"/>
  <c r="I29" i="14"/>
  <c r="H29" i="14"/>
  <c r="G29" i="14"/>
  <c r="E29" i="14"/>
  <c r="D29" i="14"/>
  <c r="C29" i="14"/>
  <c r="I28" i="14"/>
  <c r="H28" i="14"/>
  <c r="G28" i="14"/>
  <c r="E28" i="14"/>
  <c r="D28" i="14"/>
  <c r="C28" i="14"/>
  <c r="I27" i="14"/>
  <c r="H27" i="14"/>
  <c r="G27" i="14"/>
  <c r="E27" i="14"/>
  <c r="D27" i="14"/>
  <c r="C27" i="14"/>
  <c r="I26" i="14"/>
  <c r="H26" i="14"/>
  <c r="G26" i="14"/>
  <c r="E26" i="14"/>
  <c r="D26" i="14"/>
  <c r="C26" i="14"/>
  <c r="I25" i="14"/>
  <c r="H25" i="14"/>
  <c r="G25" i="14"/>
  <c r="E25" i="14"/>
  <c r="D25" i="14"/>
  <c r="C25" i="14"/>
  <c r="I24" i="14"/>
  <c r="H24" i="14"/>
  <c r="G24" i="14"/>
  <c r="E24" i="14"/>
  <c r="D24" i="14"/>
  <c r="C24" i="14"/>
  <c r="I23" i="14"/>
  <c r="H23" i="14"/>
  <c r="G23" i="14"/>
  <c r="E23" i="14"/>
  <c r="D23" i="14"/>
  <c r="C23" i="14"/>
  <c r="I22" i="14"/>
  <c r="H22" i="14"/>
  <c r="G22" i="14"/>
  <c r="E22" i="14"/>
  <c r="D22" i="14"/>
  <c r="C22" i="14"/>
  <c r="I21" i="14"/>
  <c r="H21" i="14"/>
  <c r="G21" i="14"/>
  <c r="E21" i="14"/>
  <c r="D21" i="14"/>
  <c r="C21" i="14"/>
  <c r="I20" i="14"/>
  <c r="H20" i="14"/>
  <c r="G20" i="14"/>
  <c r="E20" i="14"/>
  <c r="D20" i="14"/>
  <c r="C20" i="14"/>
  <c r="I19" i="14"/>
  <c r="H19" i="14"/>
  <c r="G19" i="14"/>
  <c r="E19" i="14"/>
  <c r="D19" i="14"/>
  <c r="C19" i="14"/>
  <c r="I18" i="14"/>
  <c r="H18" i="14"/>
  <c r="G18" i="14"/>
  <c r="E18" i="14"/>
  <c r="D18" i="14"/>
  <c r="C18" i="14"/>
  <c r="I17" i="14"/>
  <c r="H17" i="14"/>
  <c r="G17" i="14"/>
  <c r="E17" i="14"/>
  <c r="D17" i="14"/>
  <c r="C17" i="14"/>
  <c r="I16" i="14"/>
  <c r="H16" i="14"/>
  <c r="G16" i="14"/>
  <c r="E16" i="14"/>
  <c r="D16" i="14"/>
  <c r="C16" i="14"/>
  <c r="I15" i="14"/>
  <c r="H15" i="14"/>
  <c r="G15" i="14"/>
  <c r="E15" i="14"/>
  <c r="D15" i="14"/>
  <c r="C15" i="14"/>
  <c r="I14" i="14"/>
  <c r="H14" i="14"/>
  <c r="G14" i="14"/>
  <c r="E14" i="14"/>
  <c r="D14" i="14"/>
  <c r="C14" i="14"/>
  <c r="I13" i="14"/>
  <c r="H13" i="14"/>
  <c r="G13" i="14"/>
  <c r="E13" i="14"/>
  <c r="D13" i="14"/>
  <c r="C13" i="14"/>
  <c r="I12" i="14"/>
  <c r="H12" i="14"/>
  <c r="G12" i="14"/>
  <c r="E12" i="14"/>
  <c r="D12" i="14"/>
  <c r="C12" i="14"/>
  <c r="I11" i="14"/>
  <c r="H11" i="14"/>
  <c r="G11" i="14"/>
  <c r="E11" i="14"/>
  <c r="D11" i="14"/>
  <c r="C11" i="14"/>
  <c r="I10" i="14"/>
  <c r="H10" i="14"/>
  <c r="G10" i="14"/>
  <c r="E10" i="14"/>
  <c r="D10" i="14"/>
  <c r="C10" i="14"/>
  <c r="I9" i="14"/>
  <c r="H9" i="14"/>
  <c r="G9" i="14"/>
  <c r="E9" i="14"/>
  <c r="D9" i="14"/>
  <c r="C9" i="14"/>
  <c r="I8" i="14"/>
  <c r="H8" i="14"/>
  <c r="G8" i="14"/>
  <c r="E8" i="14"/>
  <c r="D8" i="14"/>
  <c r="C8" i="14"/>
  <c r="I7" i="14"/>
  <c r="H7" i="14"/>
  <c r="G7" i="14"/>
  <c r="E7" i="14"/>
  <c r="D7" i="14"/>
  <c r="C7" i="14"/>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I41" i="13"/>
  <c r="I42" i="13"/>
  <c r="G42" i="13" s="1"/>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H41"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J40" i="13"/>
  <c r="I40" i="13"/>
  <c r="H40" i="13"/>
  <c r="F40" i="13"/>
  <c r="E40" i="13"/>
  <c r="D40" i="13"/>
  <c r="B10" i="14" l="1"/>
  <c r="B14" i="14"/>
  <c r="B38" i="14"/>
  <c r="F33" i="14"/>
  <c r="F7" i="14"/>
  <c r="F17" i="14"/>
  <c r="B8" i="14"/>
  <c r="B40" i="14"/>
  <c r="F16" i="14"/>
  <c r="F24" i="14"/>
  <c r="K22" i="14"/>
  <c r="K37" i="14"/>
  <c r="K21" i="14"/>
  <c r="K13" i="14"/>
  <c r="K31" i="14"/>
  <c r="K15" i="14"/>
  <c r="B22" i="14"/>
  <c r="Q38" i="14"/>
  <c r="Q34" i="14"/>
  <c r="Q30" i="14"/>
  <c r="Q22" i="14"/>
  <c r="Y51" i="13"/>
  <c r="Q14" i="14"/>
  <c r="Q10" i="14"/>
  <c r="B11" i="14"/>
  <c r="B26" i="14"/>
  <c r="B37" i="14"/>
  <c r="W77" i="13"/>
  <c r="P38" i="14"/>
  <c r="W70" i="13"/>
  <c r="P30" i="14"/>
  <c r="P29" i="14"/>
  <c r="P27" i="14"/>
  <c r="W47" i="13"/>
  <c r="W45" i="13"/>
  <c r="W40" i="13"/>
  <c r="F23" i="14"/>
  <c r="F29" i="14"/>
  <c r="F40" i="14"/>
  <c r="O44" i="14"/>
  <c r="U73" i="13"/>
  <c r="O39" i="14"/>
  <c r="O38" i="14"/>
  <c r="O37" i="14"/>
  <c r="U69" i="13"/>
  <c r="U65" i="13"/>
  <c r="U62" i="13"/>
  <c r="O28" i="14"/>
  <c r="O23" i="14"/>
  <c r="O22" i="14"/>
  <c r="U54" i="13"/>
  <c r="U53" i="13"/>
  <c r="O16" i="14"/>
  <c r="U47" i="13"/>
  <c r="U46" i="13"/>
  <c r="U45" i="13"/>
  <c r="U41" i="13"/>
  <c r="F12" i="14"/>
  <c r="F20" i="14"/>
  <c r="B25" i="14"/>
  <c r="M41" i="14"/>
  <c r="Q69" i="13"/>
  <c r="M34" i="14"/>
  <c r="M33" i="14"/>
  <c r="M26" i="14"/>
  <c r="Q58" i="13"/>
  <c r="Q52" i="13"/>
  <c r="Q51" i="13"/>
  <c r="M10" i="14"/>
  <c r="L30" i="14"/>
  <c r="B24" i="14"/>
  <c r="B9" i="14"/>
  <c r="B18" i="14"/>
  <c r="B34" i="14"/>
  <c r="F35" i="14"/>
  <c r="F41" i="14"/>
  <c r="B7" i="14"/>
  <c r="B36" i="14"/>
  <c r="B42" i="14"/>
  <c r="B21" i="14"/>
  <c r="F28" i="14"/>
  <c r="B39" i="14"/>
  <c r="B31" i="14"/>
  <c r="C73" i="13"/>
  <c r="C65" i="13"/>
  <c r="C57" i="13"/>
  <c r="B12" i="14"/>
  <c r="B15" i="14"/>
  <c r="F32" i="14"/>
  <c r="B35" i="14"/>
  <c r="F36" i="14"/>
  <c r="F44" i="14"/>
  <c r="O32" i="14"/>
  <c r="K8" i="14"/>
  <c r="M20" i="14"/>
  <c r="Q53" i="13"/>
  <c r="P28" i="14"/>
  <c r="W61" i="13"/>
  <c r="P12" i="14"/>
  <c r="U67" i="13"/>
  <c r="O34" i="14"/>
  <c r="W71" i="13"/>
  <c r="L14" i="14"/>
  <c r="K47" i="13"/>
  <c r="U57" i="13"/>
  <c r="O24" i="14"/>
  <c r="Q68" i="13"/>
  <c r="M35" i="14"/>
  <c r="Y63" i="13"/>
  <c r="O35" i="14"/>
  <c r="U68" i="13"/>
  <c r="O19" i="14"/>
  <c r="U52" i="13"/>
  <c r="U44" i="13"/>
  <c r="O11" i="14"/>
  <c r="W63" i="13"/>
  <c r="F11" i="14"/>
  <c r="P44" i="14"/>
  <c r="O41" i="14"/>
  <c r="P41" i="14"/>
  <c r="L41" i="14"/>
  <c r="O33" i="14"/>
  <c r="P33" i="14"/>
  <c r="Q66" i="13"/>
  <c r="O25" i="14"/>
  <c r="W58" i="13"/>
  <c r="O17" i="14"/>
  <c r="P17" i="14"/>
  <c r="L17" i="14"/>
  <c r="M17" i="14"/>
  <c r="U42" i="13"/>
  <c r="W42" i="13"/>
  <c r="U64" i="13"/>
  <c r="O31" i="14"/>
  <c r="U48" i="13"/>
  <c r="O15" i="14"/>
  <c r="P37" i="14"/>
  <c r="K40" i="14"/>
  <c r="K23" i="14"/>
  <c r="L7" i="14"/>
  <c r="W46" i="13"/>
  <c r="P13" i="14"/>
  <c r="B23" i="14"/>
  <c r="P7" i="14"/>
  <c r="P14" i="14"/>
  <c r="Y47" i="13"/>
  <c r="G48" i="13"/>
  <c r="W62" i="13"/>
  <c r="O8" i="14"/>
  <c r="M36" i="14"/>
  <c r="O40" i="14"/>
  <c r="Q73" i="13"/>
  <c r="M24" i="14"/>
  <c r="L8" i="14"/>
  <c r="M8" i="14"/>
  <c r="K30" i="14"/>
  <c r="K14" i="14"/>
  <c r="P36" i="14"/>
  <c r="W69" i="13"/>
  <c r="Y71" i="13"/>
  <c r="Y55" i="13"/>
  <c r="B17" i="14"/>
  <c r="M19" i="14"/>
  <c r="B30" i="14"/>
  <c r="K38" i="14"/>
  <c r="B41" i="14"/>
  <c r="M31" i="14"/>
  <c r="Q75" i="13"/>
  <c r="M42" i="14"/>
  <c r="B43" i="14"/>
  <c r="B13" i="14"/>
  <c r="O13" i="14"/>
  <c r="B19" i="14"/>
  <c r="B27" i="14"/>
  <c r="L42" i="14"/>
  <c r="L34" i="14"/>
  <c r="L26" i="14"/>
  <c r="W75" i="13"/>
  <c r="P34" i="14"/>
  <c r="P26" i="14"/>
  <c r="P10" i="14"/>
  <c r="C71" i="13"/>
  <c r="F8" i="14"/>
  <c r="F21" i="14"/>
  <c r="F25" i="14"/>
  <c r="K29" i="14"/>
  <c r="B32" i="14"/>
  <c r="B33" i="14"/>
  <c r="F37" i="14"/>
  <c r="C62" i="13"/>
  <c r="C46" i="13"/>
  <c r="F9" i="14"/>
  <c r="F19" i="14"/>
  <c r="F27" i="14"/>
  <c r="O29" i="14"/>
  <c r="B44" i="14"/>
  <c r="F13" i="14"/>
  <c r="F15" i="14"/>
  <c r="B16" i="14"/>
  <c r="B20" i="14"/>
  <c r="B28" i="14"/>
  <c r="B29" i="14"/>
  <c r="F31" i="14"/>
  <c r="C61" i="13"/>
  <c r="C49" i="13"/>
  <c r="G64" i="13"/>
  <c r="C45" i="13"/>
  <c r="C53" i="13"/>
  <c r="G52" i="13"/>
  <c r="C77" i="13"/>
  <c r="C48" i="13"/>
  <c r="C41" i="13"/>
  <c r="C76" i="13"/>
  <c r="C68" i="13"/>
  <c r="C60" i="13"/>
  <c r="C52" i="13"/>
  <c r="C44" i="13"/>
  <c r="C72" i="13"/>
  <c r="C56" i="13"/>
  <c r="C63" i="13"/>
  <c r="C55" i="13"/>
  <c r="C47" i="13"/>
  <c r="P9" i="14"/>
  <c r="W74" i="13"/>
  <c r="W43" i="13"/>
  <c r="U66" i="13"/>
  <c r="U50" i="13"/>
  <c r="U49" i="13"/>
  <c r="U72" i="13"/>
  <c r="U56" i="13"/>
  <c r="O21" i="14"/>
  <c r="U70" i="13"/>
  <c r="M25" i="14"/>
  <c r="M18" i="14"/>
  <c r="M40" i="14"/>
  <c r="Q67" i="13"/>
  <c r="Q59" i="13"/>
  <c r="Q43" i="13"/>
  <c r="Q74" i="13"/>
  <c r="L33" i="14"/>
  <c r="L9" i="14"/>
  <c r="K18" i="14"/>
  <c r="K9" i="14"/>
  <c r="K24" i="14"/>
  <c r="K39" i="14"/>
  <c r="K41" i="14"/>
  <c r="K7" i="14"/>
  <c r="C64" i="13"/>
  <c r="F39" i="14"/>
  <c r="F43" i="14"/>
  <c r="C70" i="13"/>
  <c r="C54" i="13"/>
  <c r="G56" i="13"/>
  <c r="C69" i="13"/>
  <c r="F10" i="14"/>
  <c r="F14" i="14"/>
  <c r="F18" i="14"/>
  <c r="F22" i="14"/>
  <c r="F26" i="14"/>
  <c r="F30" i="14"/>
  <c r="F34" i="14"/>
  <c r="F38" i="14"/>
  <c r="F42" i="14"/>
  <c r="C75" i="13"/>
  <c r="C67" i="13"/>
  <c r="C59" i="13"/>
  <c r="C51" i="13"/>
  <c r="C43" i="13"/>
  <c r="C74" i="13"/>
  <c r="C66" i="13"/>
  <c r="C58" i="13"/>
  <c r="C50" i="13"/>
  <c r="C42" i="13"/>
  <c r="G69" i="13"/>
  <c r="G41" i="13"/>
  <c r="G75" i="13"/>
  <c r="G67" i="13"/>
  <c r="G59" i="13"/>
  <c r="G47" i="13"/>
  <c r="G66" i="13"/>
  <c r="G57" i="13"/>
  <c r="G53" i="13"/>
  <c r="G72" i="13"/>
  <c r="G44" i="13"/>
  <c r="G74" i="13"/>
  <c r="G58" i="13"/>
  <c r="G71" i="13"/>
  <c r="G63" i="13"/>
  <c r="G51" i="13"/>
  <c r="G43" i="13"/>
  <c r="G73" i="13"/>
  <c r="G49" i="13"/>
  <c r="G70" i="13"/>
  <c r="G62" i="13"/>
  <c r="G50" i="13"/>
  <c r="G61" i="13"/>
  <c r="G55" i="13"/>
  <c r="G68" i="13"/>
  <c r="G60" i="13"/>
  <c r="G77" i="13"/>
  <c r="G46" i="13"/>
  <c r="G65" i="13"/>
  <c r="G45" i="13"/>
  <c r="G54" i="13"/>
  <c r="G76" i="13"/>
  <c r="G40" i="13"/>
  <c r="C40" i="13"/>
  <c r="J30" i="14" l="1"/>
  <c r="K41" i="13"/>
  <c r="S47" i="13"/>
  <c r="K63" i="13"/>
  <c r="K46" i="13"/>
  <c r="J41" i="14"/>
  <c r="U77" i="13"/>
  <c r="L13" i="14"/>
  <c r="J13" i="14" s="1"/>
  <c r="U71" i="13"/>
  <c r="S71" i="13" s="1"/>
  <c r="M12" i="14"/>
  <c r="Q45" i="13"/>
  <c r="Q61" i="13"/>
  <c r="M28" i="14"/>
  <c r="M44" i="14"/>
  <c r="Q77" i="13"/>
  <c r="U60" i="13"/>
  <c r="O27" i="14"/>
  <c r="U76" i="13"/>
  <c r="O43" i="14"/>
  <c r="L27" i="14"/>
  <c r="Q46" i="13"/>
  <c r="M13" i="14"/>
  <c r="P11" i="14"/>
  <c r="W44" i="13"/>
  <c r="P19" i="14"/>
  <c r="W52" i="13"/>
  <c r="W68" i="13"/>
  <c r="P35" i="14"/>
  <c r="P43" i="14"/>
  <c r="W76" i="13"/>
  <c r="Y59" i="13"/>
  <c r="Q26" i="14"/>
  <c r="Y75" i="13"/>
  <c r="Q42" i="14"/>
  <c r="L12" i="14"/>
  <c r="L20" i="14"/>
  <c r="L28" i="14"/>
  <c r="P20" i="14"/>
  <c r="W53" i="13"/>
  <c r="Y44" i="13"/>
  <c r="Q11" i="14"/>
  <c r="Q19" i="14"/>
  <c r="Y52" i="13"/>
  <c r="Y60" i="13"/>
  <c r="Q27" i="14"/>
  <c r="Q35" i="14"/>
  <c r="Y68" i="13"/>
  <c r="Q43" i="14"/>
  <c r="Y76" i="13"/>
  <c r="Q70" i="13"/>
  <c r="M37" i="14"/>
  <c r="Y67" i="13"/>
  <c r="L21" i="14"/>
  <c r="J21" i="14" s="1"/>
  <c r="K54" i="13"/>
  <c r="L29" i="14"/>
  <c r="J29" i="14" s="1"/>
  <c r="K62" i="13"/>
  <c r="K70" i="13"/>
  <c r="L37" i="14"/>
  <c r="J37" i="14" s="1"/>
  <c r="Q40" i="13"/>
  <c r="M7" i="14"/>
  <c r="U63" i="13"/>
  <c r="S63" i="13" s="1"/>
  <c r="O30" i="14"/>
  <c r="N30" i="14" s="1"/>
  <c r="P21" i="14"/>
  <c r="W54" i="13"/>
  <c r="Q12" i="14"/>
  <c r="Y45" i="13"/>
  <c r="S45" i="13" s="1"/>
  <c r="Q20" i="14"/>
  <c r="Y53" i="13"/>
  <c r="Y61" i="13"/>
  <c r="Q28" i="14"/>
  <c r="N28" i="14" s="1"/>
  <c r="Q36" i="14"/>
  <c r="Y69" i="13"/>
  <c r="S69" i="13" s="1"/>
  <c r="Y77" i="13"/>
  <c r="Q44" i="14"/>
  <c r="N44" i="14" s="1"/>
  <c r="L11" i="14"/>
  <c r="L19" i="14"/>
  <c r="Q62" i="13"/>
  <c r="M29" i="14"/>
  <c r="Y43" i="13"/>
  <c r="L44" i="14"/>
  <c r="O12" i="14"/>
  <c r="O14" i="14"/>
  <c r="N14" i="14" s="1"/>
  <c r="J8" i="14"/>
  <c r="L22" i="14"/>
  <c r="J22" i="14" s="1"/>
  <c r="K55" i="13"/>
  <c r="K71" i="13"/>
  <c r="L38" i="14"/>
  <c r="J38" i="14" s="1"/>
  <c r="O7" i="14"/>
  <c r="U40" i="13"/>
  <c r="S40" i="13" s="1"/>
  <c r="P22" i="14"/>
  <c r="N22" i="14" s="1"/>
  <c r="W55" i="13"/>
  <c r="Y46" i="13"/>
  <c r="S46" i="13" s="1"/>
  <c r="Q13" i="14"/>
  <c r="N13" i="14" s="1"/>
  <c r="Q21" i="14"/>
  <c r="Y54" i="13"/>
  <c r="Y62" i="13"/>
  <c r="S62" i="13" s="1"/>
  <c r="Q29" i="14"/>
  <c r="N29" i="14" s="1"/>
  <c r="Q37" i="14"/>
  <c r="N37" i="14" s="1"/>
  <c r="Y70" i="13"/>
  <c r="S70" i="13" s="1"/>
  <c r="L43" i="14"/>
  <c r="U61" i="13"/>
  <c r="O36" i="14"/>
  <c r="W60" i="13"/>
  <c r="L36" i="14"/>
  <c r="O20" i="14"/>
  <c r="Q7" i="14"/>
  <c r="Y40" i="13"/>
  <c r="Q54" i="13"/>
  <c r="M21" i="14"/>
  <c r="L35" i="14"/>
  <c r="Q18" i="14"/>
  <c r="U55" i="13"/>
  <c r="Q44" i="13"/>
  <c r="M11" i="14"/>
  <c r="M27" i="14"/>
  <c r="Q60" i="13"/>
  <c r="Q76" i="13"/>
  <c r="M43" i="14"/>
  <c r="U43" i="13"/>
  <c r="O10" i="14"/>
  <c r="N10" i="14" s="1"/>
  <c r="U51" i="13"/>
  <c r="O18" i="14"/>
  <c r="U59" i="13"/>
  <c r="O26" i="14"/>
  <c r="U75" i="13"/>
  <c r="O42" i="14"/>
  <c r="J14" i="14"/>
  <c r="N38" i="14"/>
  <c r="N34" i="14"/>
  <c r="Q63" i="13"/>
  <c r="M30" i="14"/>
  <c r="K11" i="14"/>
  <c r="K12" i="14"/>
  <c r="Y58" i="13"/>
  <c r="Q25" i="14"/>
  <c r="K32" i="14"/>
  <c r="U74" i="13"/>
  <c r="K20" i="14"/>
  <c r="L23" i="14"/>
  <c r="J23" i="14" s="1"/>
  <c r="K56" i="13"/>
  <c r="L39" i="14"/>
  <c r="J39" i="14" s="1"/>
  <c r="K72" i="13"/>
  <c r="Q16" i="14"/>
  <c r="Y49" i="13"/>
  <c r="K28" i="14"/>
  <c r="W56" i="13"/>
  <c r="P23" i="14"/>
  <c r="L16" i="14"/>
  <c r="Q23" i="14"/>
  <c r="Y56" i="13"/>
  <c r="Q65" i="13"/>
  <c r="M32" i="14"/>
  <c r="O9" i="14"/>
  <c r="P39" i="14"/>
  <c r="W72" i="13"/>
  <c r="W59" i="13"/>
  <c r="K36" i="14"/>
  <c r="P32" i="14"/>
  <c r="W65" i="13"/>
  <c r="Y42" i="13"/>
  <c r="S42" i="13" s="1"/>
  <c r="Q9" i="14"/>
  <c r="K58" i="13"/>
  <c r="K25" i="14"/>
  <c r="K77" i="13"/>
  <c r="K44" i="14"/>
  <c r="Q15" i="14"/>
  <c r="Y48" i="13"/>
  <c r="Q42" i="13"/>
  <c r="M9" i="14"/>
  <c r="J7" i="14"/>
  <c r="Q41" i="13"/>
  <c r="K34" i="14"/>
  <c r="J34" i="14" s="1"/>
  <c r="K48" i="13"/>
  <c r="L15" i="14"/>
  <c r="J15" i="14" s="1"/>
  <c r="L31" i="14"/>
  <c r="J31" i="14" s="1"/>
  <c r="K64" i="13"/>
  <c r="Y41" i="13"/>
  <c r="Q8" i="14"/>
  <c r="Q40" i="14"/>
  <c r="Y73" i="13"/>
  <c r="K17" i="14"/>
  <c r="J17" i="14" s="1"/>
  <c r="W50" i="13"/>
  <c r="K42" i="14"/>
  <c r="J42" i="14" s="1"/>
  <c r="P31" i="14"/>
  <c r="W64" i="13"/>
  <c r="L24" i="14"/>
  <c r="J24" i="14" s="1"/>
  <c r="K57" i="13"/>
  <c r="L40" i="14"/>
  <c r="J40" i="14" s="1"/>
  <c r="K73" i="13"/>
  <c r="Y66" i="13"/>
  <c r="Q33" i="14"/>
  <c r="N33" i="14" s="1"/>
  <c r="Y72" i="13"/>
  <c r="Q39" i="14"/>
  <c r="Q49" i="13"/>
  <c r="M16" i="14"/>
  <c r="M38" i="14"/>
  <c r="Q71" i="13"/>
  <c r="K19" i="14"/>
  <c r="Q32" i="14"/>
  <c r="Y65" i="13"/>
  <c r="K66" i="13"/>
  <c r="K10" i="14"/>
  <c r="K27" i="14"/>
  <c r="L32" i="14"/>
  <c r="Q17" i="14"/>
  <c r="N17" i="14" s="1"/>
  <c r="Y50" i="13"/>
  <c r="K35" i="14"/>
  <c r="K68" i="13"/>
  <c r="L10" i="14"/>
  <c r="Q48" i="13"/>
  <c r="M15" i="14"/>
  <c r="W49" i="13"/>
  <c r="P16" i="14"/>
  <c r="Q41" i="14"/>
  <c r="N41" i="14" s="1"/>
  <c r="Y74" i="13"/>
  <c r="K50" i="13"/>
  <c r="Q64" i="13"/>
  <c r="W67" i="13"/>
  <c r="K26" i="14"/>
  <c r="J26" i="14" s="1"/>
  <c r="K43" i="14"/>
  <c r="L18" i="14"/>
  <c r="J18" i="14" s="1"/>
  <c r="Q31" i="14"/>
  <c r="Y64" i="13"/>
  <c r="K33" i="14"/>
  <c r="J33" i="14" s="1"/>
  <c r="P42" i="14"/>
  <c r="Y57" i="13"/>
  <c r="Q24" i="14"/>
  <c r="J9" i="14"/>
  <c r="Q57" i="13"/>
  <c r="Q47" i="13"/>
  <c r="M14" i="14"/>
  <c r="P15" i="14"/>
  <c r="W48" i="13"/>
  <c r="L25" i="14"/>
  <c r="Q50" i="13"/>
  <c r="U58" i="13"/>
  <c r="W66" i="13"/>
  <c r="P25" i="14"/>
  <c r="M22" i="14"/>
  <c r="Q55" i="13"/>
  <c r="W51" i="13"/>
  <c r="P18" i="14"/>
  <c r="Q56" i="13"/>
  <c r="M23" i="14"/>
  <c r="Q72" i="13"/>
  <c r="M39" i="14"/>
  <c r="W41" i="13"/>
  <c r="S41" i="13" s="1"/>
  <c r="P8" i="14"/>
  <c r="W57" i="13"/>
  <c r="P24" i="14"/>
  <c r="P40" i="14"/>
  <c r="W73" i="13"/>
  <c r="K42" i="13"/>
  <c r="K74" i="13"/>
  <c r="K16" i="14"/>
  <c r="K67" i="13"/>
  <c r="K59" i="13"/>
  <c r="K75" i="13"/>
  <c r="S55" i="13" l="1"/>
  <c r="S67" i="13"/>
  <c r="K61" i="13"/>
  <c r="S60" i="13"/>
  <c r="K60" i="13"/>
  <c r="S68" i="13"/>
  <c r="K45" i="13"/>
  <c r="N35" i="14"/>
  <c r="K53" i="13"/>
  <c r="N8" i="14"/>
  <c r="K76" i="13"/>
  <c r="J12" i="14"/>
  <c r="N7" i="14"/>
  <c r="S74" i="13"/>
  <c r="N36" i="14"/>
  <c r="N19" i="14"/>
  <c r="J27" i="14"/>
  <c r="S44" i="13"/>
  <c r="S75" i="13"/>
  <c r="J20" i="14"/>
  <c r="S57" i="13"/>
  <c r="S51" i="13"/>
  <c r="N26" i="14"/>
  <c r="S66" i="13"/>
  <c r="S61" i="13"/>
  <c r="S49" i="13"/>
  <c r="K44" i="13"/>
  <c r="S43" i="13"/>
  <c r="S53" i="13"/>
  <c r="S52" i="13"/>
  <c r="N42" i="14"/>
  <c r="N25" i="14"/>
  <c r="N11" i="14"/>
  <c r="K52" i="13"/>
  <c r="J19" i="14"/>
  <c r="J11" i="14"/>
  <c r="S54" i="13"/>
  <c r="N43" i="14"/>
  <c r="J28" i="14"/>
  <c r="N20" i="14"/>
  <c r="N21" i="14"/>
  <c r="S76" i="13"/>
  <c r="N18" i="14"/>
  <c r="J44" i="14"/>
  <c r="K69" i="13"/>
  <c r="S56" i="13"/>
  <c r="N27" i="14"/>
  <c r="S72" i="13"/>
  <c r="K43" i="13"/>
  <c r="N24" i="14"/>
  <c r="J43" i="14"/>
  <c r="J35" i="14"/>
  <c r="J36" i="14"/>
  <c r="K65" i="13"/>
  <c r="S59" i="13"/>
  <c r="N12" i="14"/>
  <c r="S77" i="13"/>
  <c r="S50" i="13"/>
  <c r="J25" i="14"/>
  <c r="S65" i="13"/>
  <c r="K51" i="13"/>
  <c r="S64" i="13"/>
  <c r="J10" i="14"/>
  <c r="N15" i="14"/>
  <c r="N23" i="14"/>
  <c r="J32" i="14"/>
  <c r="S73" i="13"/>
  <c r="S58" i="13"/>
  <c r="N32" i="14"/>
  <c r="N9" i="14"/>
  <c r="S48" i="13"/>
  <c r="N39" i="14"/>
  <c r="N31" i="14"/>
  <c r="J16" i="14"/>
  <c r="N40" i="14"/>
  <c r="K49" i="13"/>
  <c r="N1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tc={E6476814-DF47-4CB1-9A3D-358965AD66AF}</author>
  </authors>
  <commentList>
    <comment ref="G99" authorId="0" shapeId="0" xr:uid="{E6476814-DF47-4CB1-9A3D-358965AD66A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Also from the originally adopted 19bn, a 2bn lek was not used (for humanitarian relief) and an additional 1bn was kept as reserve fund (hence not appropriated). With those subtractions, the figures match. from Linda</t>
      </text>
    </comment>
  </commentList>
</comments>
</file>

<file path=xl/sharedStrings.xml><?xml version="1.0" encoding="utf-8"?>
<sst xmlns="http://schemas.openxmlformats.org/spreadsheetml/2006/main" count="1594" uniqueCount="557">
  <si>
    <t>Table 1. Summary of Country Fiscal Measures in Response to the COVID-19 Pandemic</t>
  </si>
  <si>
    <t>(USD billion and percent of GDP)</t>
  </si>
  <si>
    <t>USD Billion</t>
  </si>
  <si>
    <t>Above the line measures</t>
  </si>
  <si>
    <t>Liquidity support</t>
  </si>
  <si>
    <t>Additional spending or foregone revenues</t>
  </si>
  <si>
    <t>Accelerated spending / deferred revenue</t>
  </si>
  <si>
    <r>
      <rPr>
        <b/>
        <sz val="8.5"/>
        <color theme="1"/>
        <rFont val="Arial"/>
        <family val="2"/>
      </rPr>
      <t>Below the line measures:</t>
    </r>
    <r>
      <rPr>
        <sz val="8.5"/>
        <color theme="1"/>
        <rFont val="Arial"/>
        <family val="2"/>
      </rPr>
      <t xml:space="preserve"> equity injections, loans, asset purchase or debt assumptions.</t>
    </r>
  </si>
  <si>
    <t>Contingent liabilities</t>
  </si>
  <si>
    <t>Subtotal</t>
  </si>
  <si>
    <t>Health sector</t>
  </si>
  <si>
    <t>Non-health sector</t>
  </si>
  <si>
    <t>Guarantees</t>
  </si>
  <si>
    <t>Quasi-fiscal operations</t>
  </si>
  <si>
    <t>G20: Advanced economies</t>
  </si>
  <si>
    <t>Australia</t>
  </si>
  <si>
    <t>Canada</t>
  </si>
  <si>
    <t>European Union</t>
  </si>
  <si>
    <t>France</t>
  </si>
  <si>
    <t>Germany</t>
  </si>
  <si>
    <t>Italy</t>
  </si>
  <si>
    <t>Japan</t>
  </si>
  <si>
    <t>Korea</t>
  </si>
  <si>
    <t>Spain</t>
  </si>
  <si>
    <t>United Kingdom</t>
  </si>
  <si>
    <t>United States</t>
  </si>
  <si>
    <t>Argentina</t>
  </si>
  <si>
    <t>Brazil</t>
  </si>
  <si>
    <t>China</t>
  </si>
  <si>
    <t>India</t>
  </si>
  <si>
    <t>Indonesia</t>
  </si>
  <si>
    <t>Mexico</t>
  </si>
  <si>
    <t>Russia</t>
  </si>
  <si>
    <t>Saudi Arabia</t>
  </si>
  <si>
    <t>South Africa</t>
  </si>
  <si>
    <t>Turkey</t>
  </si>
  <si>
    <t>Austria</t>
  </si>
  <si>
    <t>Belgium</t>
  </si>
  <si>
    <t>Czech republic</t>
  </si>
  <si>
    <t>Denmark</t>
  </si>
  <si>
    <t>Estonia</t>
  </si>
  <si>
    <t>Finland</t>
  </si>
  <si>
    <t>Greece</t>
  </si>
  <si>
    <t>Iceland</t>
  </si>
  <si>
    <t>Ireland</t>
  </si>
  <si>
    <t>Israel</t>
  </si>
  <si>
    <t>Latvia</t>
  </si>
  <si>
    <t>Lithuania</t>
  </si>
  <si>
    <t>Luxembourg</t>
  </si>
  <si>
    <t>The Netherlands</t>
  </si>
  <si>
    <t>New Zealand</t>
  </si>
  <si>
    <t>Norway</t>
  </si>
  <si>
    <t>Portugal</t>
  </si>
  <si>
    <t>Singapore</t>
  </si>
  <si>
    <t>Slovak Republic</t>
  </si>
  <si>
    <t>Slovenia</t>
  </si>
  <si>
    <t>Sweden</t>
  </si>
  <si>
    <t>Switzerland</t>
  </si>
  <si>
    <t>Albania</t>
  </si>
  <si>
    <t>Bulgaria</t>
  </si>
  <si>
    <t>Chile</t>
  </si>
  <si>
    <t>Colombia</t>
  </si>
  <si>
    <t>Costa Rica</t>
  </si>
  <si>
    <t>Egypt</t>
  </si>
  <si>
    <t>Georgia</t>
  </si>
  <si>
    <t>Hungary</t>
  </si>
  <si>
    <t>Kazakhstan</t>
  </si>
  <si>
    <t>Mauritius</t>
  </si>
  <si>
    <t>North Macedonia</t>
  </si>
  <si>
    <t>Pakistan</t>
  </si>
  <si>
    <t>Peru</t>
  </si>
  <si>
    <t>Philippines</t>
  </si>
  <si>
    <t>Poland</t>
  </si>
  <si>
    <t>Romania</t>
  </si>
  <si>
    <t>Serbia</t>
  </si>
  <si>
    <t>Thailand</t>
  </si>
  <si>
    <t>Tunisia</t>
  </si>
  <si>
    <t>United Arab Emirates</t>
  </si>
  <si>
    <t>Bangladesh</t>
  </si>
  <si>
    <t>Ethiopia</t>
  </si>
  <si>
    <t>Ghana</t>
  </si>
  <si>
    <t>Guinea-Bissau</t>
  </si>
  <si>
    <t>Honduras</t>
  </si>
  <si>
    <t>Kenya</t>
  </si>
  <si>
    <t>Myanmar</t>
  </si>
  <si>
    <t>Nepal</t>
  </si>
  <si>
    <t>Niger</t>
  </si>
  <si>
    <t>Nigeria</t>
  </si>
  <si>
    <t>Senegal</t>
  </si>
  <si>
    <t>Uzbekistan</t>
  </si>
  <si>
    <t>Vietnam</t>
  </si>
  <si>
    <t>Zambia</t>
  </si>
  <si>
    <t>Sources: National authorities and IMF staff estimates.</t>
  </si>
  <si>
    <t/>
  </si>
  <si>
    <t>Fiscal Monitor: Database of Country Fiscal Measures in Response to the COVID-19 Pandemic</t>
  </si>
  <si>
    <t>This database summarizes key fiscal measures governments have announced or taken in selected economies in response to the COVID-19 pandemic as of December 31, 2020 for selected economies.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</si>
  <si>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A. Above-the line measures</t>
  </si>
  <si>
    <t>B. Below the line measures</t>
  </si>
  <si>
    <t>C. Contingent liabilities</t>
  </si>
  <si>
    <t>Other measures</t>
  </si>
  <si>
    <t>G20 + Spain</t>
  </si>
  <si>
    <t>Country Group</t>
  </si>
  <si>
    <t>Country /1</t>
  </si>
  <si>
    <t>Government Level</t>
  </si>
  <si>
    <t>Unit</t>
  </si>
  <si>
    <t>Total on-budget 
(A-D)</t>
  </si>
  <si>
    <t>Total size</t>
  </si>
  <si>
    <t>Additional spending and forgone revenue in the health sector</t>
  </si>
  <si>
    <t>Total 
size</t>
  </si>
  <si>
    <t>Additional spending and forgone revenue
in areas other than health</t>
  </si>
  <si>
    <t>D. Accelerated spending and deferred revenue in areas other than health</t>
  </si>
  <si>
    <t>Total off-budget (B+C)</t>
  </si>
  <si>
    <t>Equity injections, asset purchases, loans, debt assumptions, including through extra-budgetary funds</t>
  </si>
  <si>
    <t>Guarantees (on loans, deposits etc.)</t>
  </si>
  <si>
    <t>Quasi-fiscal operations (noncommercial activity of public corporations on behalf of government)</t>
  </si>
  <si>
    <t>Automatic stabilizers, contingency lines</t>
  </si>
  <si>
    <t>AE</t>
  </si>
  <si>
    <t>General Government</t>
  </si>
  <si>
    <t>LC bn</t>
  </si>
  <si>
    <r>
      <t xml:space="preserve">Additional spending (AUD 16.6 bn):
</t>
    </r>
    <r>
      <rPr>
        <sz val="10"/>
        <rFont val="Arial"/>
        <family val="2"/>
      </rPr>
      <t xml:space="preserve"> •Australia is co-funding the WHO’s Pacific regional coronavirus response plan (together with New Zealand).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</si>
  <si>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r>
      <rPr>
        <b/>
        <sz val="10"/>
        <color theme="1"/>
        <rFont val="Arial"/>
        <family val="2"/>
      </rPr>
      <t>Additional spending (AUD 226 bn)</t>
    </r>
    <r>
      <rPr>
        <sz val="10"/>
        <color theme="1"/>
        <rFont val="Arial"/>
        <family val="2"/>
      </rPr>
      <t xml:space="preserve">: 
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
</t>
    </r>
    <r>
      <rPr>
        <b/>
        <sz val="10"/>
        <color theme="1"/>
        <rFont val="Arial"/>
        <family val="2"/>
      </rPr>
      <t>Forgone revenue (AUD 74 bn)</t>
    </r>
    <r>
      <rPr>
        <sz val="10"/>
        <color theme="1"/>
        <rFont val="Arial"/>
        <family val="2"/>
      </rPr>
      <t xml:space="preserve">: 
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At state and local government levels
• Measures include payroll tax relief for businesses. </t>
    </r>
  </si>
  <si>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</si>
  <si>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t>• The Coronavirus SME Guarantee Scheme provides a loan guarantee arrangement between the government and participating banks to cover the immediate cash flow needs of SMEs.</t>
  </si>
  <si>
    <t>Parliament approved an advance authorization of A$40 billion for unforeseen events.</t>
  </si>
  <si>
    <t>USD bn</t>
  </si>
  <si>
    <t>% GDP</t>
  </si>
  <si>
    <t>Central Government</t>
  </si>
  <si>
    <r>
      <rPr>
        <b/>
        <sz val="10"/>
        <color theme="1"/>
        <rFont val="Arial"/>
        <family val="2"/>
      </rPr>
      <t>Additional spending (CAD 52.7 bn):</t>
    </r>
    <r>
      <rPr>
        <sz val="10"/>
        <color theme="1"/>
        <rFont val="Arial"/>
        <family val="2"/>
      </rPr>
      <t xml:space="preserve"> Support to the health system including
•  Immediate public health response, including COVID-19 Response Fund;
• Funding for personal protective equipment and supplies; PPE and related equipment for essential workers;
• Reducing import costs to facilitate access to critical medical goods;
• Health and social support for Northern Communities (critical priorities, air carriers, food subsidy enhancement); 
• COVID-19 medical research and vaccine development (over two years); 
• Consular assistance;  
• Virtual care and mental health tools for Canadians; 
• Enhancing public health measures in indigenous communities;
• Provincial safe restart agreement.</t>
    </r>
  </si>
  <si>
    <r>
      <rPr>
        <b/>
        <sz val="10"/>
        <color theme="1"/>
        <rFont val="Arial"/>
        <family val="2"/>
      </rPr>
      <t xml:space="preserve">Additional spending (CAD 270 bn): 
</t>
    </r>
    <r>
      <rPr>
        <sz val="10"/>
        <color theme="1"/>
        <rFont val="Arial"/>
        <family val="2"/>
      </rPr>
      <t>Households (CAN 240.7 bn)
of which:	
• Emergency response benefit (CAN 83.0 bn)
• Recovery benefits and enhanced employment insurance (CAN 33.2 bn)
• Wage subsidies and protecting jobs (CAN 105.2 bn)
• Others, including support to students, seniors, and vulnerable groups (CAN 19.3 bn)
Businesses (CAN 29.2 bn)
of which:	
• Emergency business account with 25% loan forgiveness (CAN 14.6 bn)
• Emergency commercial rent assistance (CAN 4.4 bn)
• Others, including sector-specific support and sub-nationals support (CAN 10.3 bn)</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</si>
  <si>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</si>
  <si>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</si>
  <si>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the Mid-Market Guarantee and Financing Program, the Large Employer Emergency Financing Facility, and Support for the Agriculture and Agri-Food Sector.
</t>
  </si>
  <si>
    <t>n.a.</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</si>
  <si>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</si>
  <si>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t>
    </r>
  </si>
  <si>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and short-time work schemes. Loans will be guaranteed by the EU budget and EU member states.
•The ESM will provide Pandemic Crisis Support to its members to finance crisis-related health spending of up to 2 percent of a requesting member’s 2019 GDP. Should all 19 countries draw from the credit line, this would amount to around €240 bn.
On December 11, EU leaders agreed on the Next Generation EU (NGEU) recovery package, which includes €360 bn in loans from the Recovery and Resilience Facility (RRF), for which EU members can apply for to finance parts of their national recovery and resilience plans.</t>
  </si>
  <si>
    <t>•The EU Council agreed on a new pan-European guarantee fund of €25 bn, which could support €200 bn of total financing for hard-hit SMEs throughout the European Investment Bank or national development banks. The guarantee fund comes on top of an earlier support package of up to €40 bn for the European Investment Bank in March, and both packages are likely to be funded by voluntary contributions from member states.</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</si>
  <si>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</si>
  <si>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r>
      <rPr>
        <b/>
        <sz val="10"/>
        <color theme="1"/>
        <rFont val="Arial"/>
        <family val="2"/>
      </rPr>
      <t xml:space="preserve">Additional spending (€17.8 bn): 
</t>
    </r>
    <r>
      <rPr>
        <sz val="10"/>
        <color theme="1"/>
        <rFont val="Arial"/>
        <family val="2"/>
      </rPr>
      <t>• Support for streamlining and boosting health insurance (paid sick leave) for the sick or their caregivers, higher spending on health supplies; bonuses for health workers.
• Additional investment and equipment in the health sector announced in the Plan de Relance for 2021 and beyond.</t>
    </r>
  </si>
  <si>
    <r>
      <rPr>
        <b/>
        <sz val="10"/>
        <rFont val="Arial"/>
        <family val="2"/>
      </rPr>
      <t>Additional spending (€126.5 bn):</t>
    </r>
    <r>
      <rPr>
        <sz val="10"/>
        <rFont val="Arial"/>
        <family val="2"/>
      </rPr>
      <t xml:space="preserve"> Support for wages of workers under the subsidized short-time work scheme; direct financial support for affected affected small and very small enterprises (and regardless of size for heavily affected firms in December 2020), liberal professions, and independent workers; direct transfers for low-income families; extension of expiring unemployment and other benefits; additional transfers for self-employed; additional spending in social programs (expired); incentives to purchase greener vehicles; subsidies for green investment for the auto and aerospace sectors. The recovery plan includes spending mostly from 2021 onward. Key measures include: subsidies for energy renovation of buildings; investment aimed at ecological transformation of the transport sector and the development of clean energy; extension of the short-time work scheme; financing for training programs; hiring subsidies and other support for youth workers; further increase in social transfers for low-income households.
</t>
    </r>
    <r>
      <rPr>
        <b/>
        <sz val="10"/>
        <rFont val="Arial"/>
        <family val="2"/>
      </rPr>
      <t xml:space="preserve">Foregone revenue (€29.7 bn): </t>
    </r>
    <r>
      <rPr>
        <sz val="10"/>
        <rFont val="Arial"/>
        <family val="2"/>
      </rPr>
      <t xml:space="preserve">Exoneration of social security contributions for affected firms in selected sectors; carry back for corporate income taxes; permanent tax cuts (production taxes) announced in the Plan de Relance for 2021 onward. </t>
    </r>
  </si>
  <si>
    <r>
      <rPr>
        <b/>
        <sz val="10"/>
        <rFont val="Arial"/>
        <family val="2"/>
      </rPr>
      <t>Accelerated spending (€17 bn)</t>
    </r>
    <r>
      <rPr>
        <sz val="10"/>
        <rFont val="Arial"/>
        <family val="2"/>
      </rPr>
      <t xml:space="preserve">: Accelerated refund of tax credits (e.g. CIT and VAT).
</t>
    </r>
    <r>
      <rPr>
        <b/>
        <sz val="10"/>
        <rFont val="Arial"/>
        <family val="2"/>
      </rPr>
      <t xml:space="preserve">
Deferred revenue (€38 bn)</t>
    </r>
    <r>
      <rPr>
        <sz val="10"/>
        <rFont val="Arial"/>
        <family val="2"/>
      </rPr>
      <t>: Postponement of social security contributions and tax payment for companies.</t>
    </r>
  </si>
  <si>
    <t>• The authorities announced potential direct equity support to firms (€21 bn euros), mostly in strategic companies.</t>
  </si>
  <si>
    <t xml:space="preserve">• State guarantees for  bank loans to companies and credit reinsurance schemes (€315 bn); other guarantees (€12.5 bn).
• The Plan de Relance includes the creation of a up to €20 bn fund leveraged by public guarantees (€7 bn), to provide quasi-equity support or equity loans to firms. </t>
  </si>
  <si>
    <t>Liquidity support through postponement of social security contributions and tax payment for companies (€33.5 bn).</t>
  </si>
  <si>
    <r>
      <rPr>
        <b/>
        <sz val="10"/>
        <color theme="1"/>
        <rFont val="Arial"/>
        <family val="2"/>
      </rPr>
      <t>Additional spending (€40 bn):</t>
    </r>
    <r>
      <rPr>
        <sz val="10"/>
        <color theme="1"/>
        <rFont val="Arial"/>
        <family val="2"/>
      </rPr>
      <t xml:space="preserve"> on hospital capacity, medical equipment, research, and information campaigns. </t>
    </r>
  </si>
  <si>
    <r>
      <rPr>
        <b/>
        <sz val="10"/>
        <color theme="1"/>
        <rFont val="Arial"/>
        <family val="2"/>
      </rPr>
      <t>Additional spending (€286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Forgone revenue (€42 bn):</t>
    </r>
    <r>
      <rPr>
        <sz val="10"/>
        <color theme="1"/>
        <rFont val="Arial"/>
        <family val="2"/>
      </rPr>
      <t xml:space="preserve"> a temporary VAT reduction, corporate tax reliefs, personal income reliefs, and social security contribution reduction.</t>
    </r>
  </si>
  <si>
    <r>
      <rPr>
        <b/>
        <sz val="10"/>
        <color theme="1"/>
        <rFont val="Arial"/>
        <family val="2"/>
      </rPr>
      <t>Deferred revenue</t>
    </r>
    <r>
      <rPr>
        <sz val="10"/>
        <color theme="1"/>
        <rFont val="Arial"/>
        <family val="2"/>
      </rPr>
      <t>: including options for deferring tax payments and reducing prepayments until the year-end without penalties.</t>
    </r>
  </si>
  <si>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</si>
  <si>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€69.3 bn.</t>
  </si>
  <si>
    <t>The government provides options for deferring tax payments and reducing prepayments; while tax penalties will not be levied until the end of this year.</t>
  </si>
  <si>
    <r>
      <rPr>
        <b/>
        <sz val="10"/>
        <color theme="1"/>
        <rFont val="Arial"/>
        <family val="2"/>
      </rPr>
      <t xml:space="preserve">Additional spending (€9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</si>
  <si>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(€93.5 bn): </t>
    </r>
    <r>
      <rPr>
        <sz val="10"/>
        <rFont val="Arial"/>
        <family val="2"/>
      </rPr>
      <t xml:space="preserve">including broadening the wage supplementation fund to provide income support to laid-off workers and the self-employed, vouchers for the payment of babysitters (€56.5 bn), grants for SME to cover rents and utility bill (€29 bn), education (€4 bn), and other (€4 bn) .
</t>
    </r>
    <r>
      <rPr>
        <b/>
        <sz val="10"/>
        <rFont val="Arial"/>
        <family val="2"/>
      </rPr>
      <t>Forgone revenue (€9 bn)</t>
    </r>
    <r>
      <rPr>
        <sz val="10"/>
        <rFont val="Arial"/>
        <family val="2"/>
      </rPr>
      <t>: corporate income tax credits and social security contribution reduction.</t>
    </r>
  </si>
  <si>
    <r>
      <rPr>
        <b/>
        <sz val="10"/>
        <rFont val="Arial"/>
        <family val="2"/>
      </rPr>
      <t>Deferred revenue:</t>
    </r>
    <r>
      <rPr>
        <sz val="10"/>
        <rFont val="Arial"/>
        <family val="2"/>
      </rPr>
      <t xml:space="preserve"> mostly due to postponement of VAT, CIT, and social security contributions as well as property taxes.  </t>
    </r>
  </si>
  <si>
    <t>• Equity injection to Alitalia (€3.3 bn)</t>
  </si>
  <si>
    <t xml:space="preserve">The total guarantee is estimated at about 579 bn euros, aimed to unlock more than 750 billion euros of liquidity for businesses and households.
</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</si>
  <si>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</si>
  <si>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</si>
  <si>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</si>
  <si>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</si>
  <si>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r>
      <rPr>
        <b/>
        <sz val="10"/>
        <rFont val="Arial"/>
        <family val="2"/>
      </rPr>
      <t>Additional spending: 
•</t>
    </r>
    <r>
      <rPr>
        <sz val="10"/>
        <rFont val="Arial"/>
        <family val="2"/>
      </rPr>
      <t xml:space="preserve">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t>
    </r>
  </si>
  <si>
    <r>
      <rPr>
        <b/>
        <sz val="10"/>
        <rFont val="Arial"/>
        <family val="2"/>
      </rPr>
      <t xml:space="preserve">Additional Spending (KRW 57.8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21.3 tn).
•The 4th supplementary budget: KRW 7.8 tn (KRW 3.9 tn for SME support, KRW 1.5 tn for employment relationship, KRW 0.4 tn support for unemployed and low income household, KRW 1.8 tn in daycare support and mobile bills, and KRW 0.2 tn for emergency disease prevention).
</t>
    </r>
    <r>
      <rPr>
        <b/>
        <sz val="10"/>
        <rFont val="Arial"/>
        <family val="2"/>
      </rPr>
      <t xml:space="preserve">Forgone revenue (KRW 3.4 tn):
</t>
    </r>
    <r>
      <rPr>
        <sz val="10"/>
        <rFont val="Arial"/>
        <family val="2"/>
      </rPr>
      <t xml:space="preserve">•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</si>
  <si>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 xml:space="preserve">
Deferred revenue (KRW 29.7 tn)</t>
    </r>
    <r>
      <rPr>
        <sz val="10"/>
        <rFont val="Arial"/>
        <family val="2"/>
      </rPr>
      <t>: Tax deferral covering a broad range of taxes for small businesses and the self-employed in medical, tourism, performance, hospitality, and other affected sectors (VAT and corporation tax--KRW 4.9 tn); social security contribution payment and electricity charge deferral for households (KRW 10 tn); additional tax deferral for small shop owners and freelancers for 3 months (KRW 12.4 tn); transportation, energy, environment tax deferral for oil refinement companies and liquor tax deferral for brewing companies (KRW 2tn); deferral of customs duties (KRW 0.4 tn).</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</si>
  <si>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</si>
  <si>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Tax payment deferral covering a broad range of taxes for small businesses and the self-employed in medical, tourism, performance, hospitality, and other affected sectors. Social security contribution payment deferral for households</t>
  </si>
  <si>
    <r>
      <rPr>
        <b/>
        <sz val="10"/>
        <color theme="1"/>
        <rFont val="Arial"/>
        <family val="2"/>
      </rPr>
      <t>Additional spending (€4.4 bn):</t>
    </r>
    <r>
      <rPr>
        <sz val="10"/>
        <color theme="1"/>
        <rFont val="Arial"/>
        <family val="2"/>
      </rPr>
      <t xml:space="preserve">
• Budget support from the contingency fund to the Ministry of Health (€1.4 bn); advance transfer to the regions for health services (€2.9 bn); additional healthcare related spending including research related to COVID-19 (€160 mn).</t>
    </r>
  </si>
  <si>
    <r>
      <rPr>
        <b/>
        <sz val="10"/>
        <rFont val="Arial"/>
        <family val="2"/>
      </rPr>
      <t>Additional spending (€40.6 bn):</t>
    </r>
    <r>
      <rPr>
        <sz val="10"/>
        <rFont val="Arial"/>
        <family val="2"/>
      </rPr>
      <t xml:space="preserve">
• Unemployment benefit for workers temporary laid off under the ERTE due to COVID-19, with no requirement for prior minimum contribution or reduction of accumulated entitlement (about €19 bn depending on duration); and exemptions of social contributions for companies that maintain employment under the ERTEs (about €6.8 bn);
• An allowance for self-employed workers affected by economic activity suspension (about €5¾ bn depending on the duration), and exemption of social contributions for self-employed that receive this benefit (about €2.9 bn or more depending on the duration)
• Increased sick pay for infected or quarantined workers (€1.4 bn); 
• Introduction of a new means-tested "minimum income scheme"; and new rental assistance programs for certain vulnerable renters and additional state contribution to the State Housing Plan 2018-21;
• Benefits for workers under permanent discontinuous contracts with activities suspended due to COVID-19; temporary entitlement to unemployment benefits for workers unemployed in their probationary period; a temporary monthly allowance for temporary workers whose contracts expired during state of emergency and do not qualify for unemployment benefits; a temporary subsidy for household employees affected by COVID-19; and other support for households and firms.
</t>
    </r>
    <r>
      <rPr>
        <b/>
        <sz val="10"/>
        <rFont val="Arial"/>
        <family val="2"/>
      </rPr>
      <t xml:space="preserve">Forgone revenue (€1.1 bn): </t>
    </r>
    <r>
      <rPr>
        <sz val="10"/>
        <rFont val="Arial"/>
        <family val="2"/>
      </rPr>
      <t xml:space="preserve">
• Temporary waiver of VAT on purchases of certain medical material, as well COVID-19 tests and vaccines;
• Flexibility in filing income tax and VAT installment payment for SMEs and self-employed;
• Tax incentives for landlords that reduce rents of properties used for activities related to the hotel, restaurant and tourism industries;
• 6-month moratorium on social security contributions  for the self-employed and companies in selected industries;
• Reduction in the contribution for Employed Agricultural Workers who have completed a maximum of 55 real days of contribution in 2019;
• Reduction in VAT on digital publications and other revenue measures.</t>
    </r>
  </si>
  <si>
    <r>
      <rPr>
        <b/>
        <sz val="10"/>
        <color theme="1"/>
        <rFont val="Arial"/>
        <family val="2"/>
      </rPr>
      <t>Deferred revenue</t>
    </r>
    <r>
      <rPr>
        <sz val="10"/>
        <color theme="1"/>
        <rFont val="Arial"/>
        <family val="2"/>
      </rPr>
      <t>: Deferral of social security debts for companies and the self-employed; Deferral of tax debts and debts arising from customs declaration; tax payment deferrals for small and medium enterprises and self-employed for six months, with the first four months exempt from interest.</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</si>
  <si>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</si>
  <si>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 Additional loan guarantees for SMEs and self-employed through the Compañía Española de Reafianzamiento (€1.1 bn) and line of guarantees for listed companies (€1 billion)
• Expansion of the ICO credit lines for the tourism sector (€200 million)
• Guarantees for loan maturity extensions to farmers using the special 2017 drought credit lines.</t>
  </si>
  <si>
    <t>• Additional funding for the Instituto de Crédito Official (ICO) credit lines (€10 bn)</t>
  </si>
  <si>
    <r>
      <rPr>
        <b/>
        <sz val="10"/>
        <color theme="1"/>
        <rFont val="Arial"/>
        <family val="2"/>
      </rPr>
      <t>Additional spending (£110.8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(£2.2 bn)</t>
    </r>
    <r>
      <rPr>
        <sz val="10"/>
        <color theme="1"/>
        <rFont val="Arial"/>
        <family val="2"/>
      </rPr>
      <t>:
• Waiver of VAT and customs duties on critical medical import.</t>
    </r>
  </si>
  <si>
    <r>
      <rPr>
        <b/>
        <sz val="10"/>
        <color theme="1"/>
        <rFont val="Arial"/>
        <family val="2"/>
      </rPr>
      <t>Additional spending (£211.3 bn)</t>
    </r>
    <r>
      <rPr>
        <sz val="10"/>
        <color theme="1"/>
        <rFont val="Arial"/>
        <family val="2"/>
      </rPr>
      <t xml:space="preserve">:
• Coronavirus Job Retention Scheme to subsidize furloughed employees' wages and firms' social security contributions (initially for 3 months and extended until March 2021); 
• Income support for the self-employed (initially for 3 months and extended for 6 months);
• Paid sick leave for self-isolating individuals and compensation for small firms for up to 2 weeks, and support for low-income people in need to self-isolate.  
• Direct grants for small firms in the most-affected (retail and hospitality) sectors; 
• Support for the vulnerable by expanding the Universal Credit and Working Tax Credit schemes until April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Provide support to boost work search, skills, and apprenticeships.
• Entitle every diner to a 50% discount of up to £10 in August. 
• Public sector and social housing decarbonization (£1.1bn) and Green Homes Grant (£3bn).
• Support for low-income people in need to self-isolate 
• Help the job search of those claiming unemployment benefits for at least 13 weeks.
• Grant for businesses required to close (£5bn).
• Additional transfers to devolved administrations (£2bn).
</t>
    </r>
    <r>
      <rPr>
        <b/>
        <sz val="10"/>
        <color theme="1"/>
        <rFont val="Arial"/>
        <family val="2"/>
      </rPr>
      <t xml:space="preserve">Forgone revenue (£19.7 bn): </t>
    </r>
    <r>
      <rPr>
        <sz val="10"/>
        <color theme="1"/>
        <rFont val="Arial"/>
        <family val="2"/>
      </rPr>
      <t xml:space="preserve">
• Property tax (business rate) holiday for firms in affected sectors for 12 months.
• Temporary cut on stamp duty land tax for 10 months.
• VAT rate reduction for hospitality, accommodation, and attractions for 8 months.</t>
    </r>
  </si>
  <si>
    <r>
      <rPr>
        <b/>
        <sz val="10"/>
        <color theme="1"/>
        <rFont val="Arial"/>
        <family val="2"/>
      </rPr>
      <t xml:space="preserve">Accelerated spending (£4 bn):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 (£3 bn):</t>
    </r>
    <r>
      <rPr>
        <sz val="10"/>
        <color theme="1"/>
        <rFont val="Arial"/>
        <family val="2"/>
      </rPr>
      <t xml:space="preserve"> 
• Deferral of VAT for the second quarter of 2020 until the end of the financial year; 
• Deferral of income tax (self-assessment) of the self-employed until the end of January 2021.</t>
    </r>
  </si>
  <si>
    <t>•  The government has put in place a £1 bn program to support firms driving innovation and development through grants and loans.
•  The government has provided a £30 mn convertible loan to the steel company, Celsa.</t>
  </si>
  <si>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</si>
  <si>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</si>
  <si>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r>
      <rPr>
        <b/>
        <sz val="10"/>
        <color theme="1"/>
        <rFont val="Arial"/>
        <family val="2"/>
      </rPr>
      <t>Additional spending ($475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cost of $178.9 bn. 
• Coronavirus Aid, Relief, and Economic Security Act (March 27, 2020) approved $128.8 bn for additional health spending, which includes funding for hospitals ($100 bn), the Center of Disease Control ($4.3 bn), and vaccine development and expanding Medicare payments and provision of tax advantages for certain medical expense.
• Paycheck Protection Program and Health Care Enhancement Act (April 23, 2020) includes $75 bn for hospitals and $25 bn for testing, with an estimated budget cost of $99.6 bn.
• Consolidated Appropriation Act (Dec.21, 2020) includes $20 bn for vaccine procurement, $9 bn for vaccine distribution, $22 bn for testing/tracing/covid mitigation programs , $9 bn for healthcare providers and other support, with a total estimated cost of $69.5 bn.
</t>
    </r>
    <r>
      <rPr>
        <b/>
        <sz val="10"/>
        <color theme="1"/>
        <rFont val="Arial"/>
        <family val="2"/>
      </rPr>
      <t>Forgone revenue ($9 bn)</t>
    </r>
    <r>
      <rPr>
        <sz val="10"/>
        <color theme="1"/>
        <rFont val="Arial"/>
        <family val="2"/>
      </rPr>
      <t xml:space="preserve">
• CARES act includes expansion of qualified medical expenses which is estimated to reduce revenue by $9 bn.
</t>
    </r>
  </si>
  <si>
    <r>
      <rPr>
        <b/>
        <sz val="10"/>
        <color theme="1"/>
        <rFont val="Arial"/>
        <family val="2"/>
      </rPr>
      <t xml:space="preserve">Additional spending ($2637.0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cost from this Act is $38.8 bn.
• Coronavirus Aid, Relief, and Economic Security Act (March 27, 2020) includes $437 bn unemployment insurance and $350 bn in emergency appropriations, and $349 bn forgivable small business loans and other items. Estimated increase in spending from this Act is $1512 bn.
• Paycheck Protection Program and Health Care Enhancement Act (April 23, 2020) includes $62.1 bn for the Small Business Administration's loan programs and other expense, and $321 bn for the Paycheck Protection Program and small business assistance (of the $310 bn for the Paycheck Protection Program only $176 bn was used).
• The federal government reallocated (August 8, 2020) $44 billion from the Department of Homeland Security's Disaster Relief Fund to provide extra unemployment benefits of $300 per week following the expiration of enhanced unemployment benefits. Of the $44 bn, $18 bn is estimated to be pre-COVID-19 appropriated funds, therefore counted as additional COVID-19 expenditure.
• Consolidated Appropriation Act (Dec.21, 2020) includes $324 bn support to households, $395 bn support for businesses, $92 bn for education and childcare, and $7 bn other support.
</t>
    </r>
    <r>
      <rPr>
        <b/>
        <sz val="10"/>
        <color theme="1"/>
        <rFont val="Arial"/>
        <family val="2"/>
      </rPr>
      <t xml:space="preserve">Forgone revenue ($382.5 bn): </t>
    </r>
    <r>
      <rPr>
        <sz val="10"/>
        <color theme="1"/>
        <rFont val="Arial"/>
        <family val="2"/>
      </rPr>
      <t xml:space="preserve">
• Coronavirus Aid, Relief, and Economic Security Act (March 27, 2020) includes tax rebates: $1+K39,200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 Families First Coronavirus Response Act (March 16, 2020) has revenue implications on the budget, estimated to cost around $94 bn.</t>
    </r>
  </si>
  <si>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</si>
  <si>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t xml:space="preserve">• Coronavirus Aid, Relief, and Economic Security Act (March 27, 2020) includes $56 bn in loans for distress businesses (e.g., passenger and cargo air carriers, postal service).
</t>
  </si>
  <si>
    <t>• Coronavirus Aid, Relief, and Economic Security Act (March 27, 2020) includes $454 bn to backstop section 13(3) Federal Reserve facilities that purchase corporate obligations in primary or secondary market.</t>
  </si>
  <si>
    <t xml:space="preserve">IRS extended income tax filing deadline by 90 days; Delay of employers' payroll taxes to 2021 and 2022 </t>
  </si>
  <si>
    <t>EM</t>
  </si>
  <si>
    <r>
      <rPr>
        <b/>
        <sz val="10"/>
        <rFont val="Arial"/>
        <family val="2"/>
      </rPr>
      <t>Additional spending (AR $48.9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Health Strategy for Families and Communities. 
• Financial Assistance for Health Insurance Agents.
• Other (non-costed) support for the health sector includes discretionary transfers related to healthcare to provinces. 
</t>
    </r>
    <r>
      <rPr>
        <b/>
        <sz val="10"/>
        <rFont val="Arial"/>
        <family val="2"/>
      </rPr>
      <t>Forgone revenue (AR $29.1 bn):</t>
    </r>
    <r>
      <rPr>
        <sz val="10"/>
        <rFont val="Arial"/>
        <family val="2"/>
      </rPr>
      <t xml:space="preserve">
•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
•  Special tax compensation scheme for those who make sales of essential goods, including a VAT refund for milk sales.</t>
    </r>
  </si>
  <si>
    <t>Additional spending (AR $892.4 bn):
•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Forgone revenue (AR $67.1 bn):
• Most affected sectors granted 95% reduction in employers’ contributions to the pension system.
• Reduction in employers' contributions to Social Security. 
•  Special benefits (tax breaks) for police and security at the forefront of COVID response.</t>
  </si>
  <si>
    <r>
      <rPr>
        <b/>
        <sz val="10"/>
        <rFont val="Arial"/>
        <family val="2"/>
      </rPr>
      <t xml:space="preserve">Accelerated spending:
</t>
    </r>
    <r>
      <rPr>
        <sz val="10"/>
        <rFont val="Arial"/>
        <family val="2"/>
      </rPr>
      <t xml:space="preserve">• Advance tax reimbursements to exporters of manufactured products.
</t>
    </r>
    <r>
      <rPr>
        <b/>
        <sz val="10"/>
        <rFont val="Arial"/>
        <family val="2"/>
      </rPr>
      <t xml:space="preserve">
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</si>
  <si>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State guaranteed, subsidized bank lending (estimated at 2 percent of GDP):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</si>
  <si>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</si>
  <si>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r>
      <t>Additional spending (BRL 79.3 bn):</t>
    </r>
    <r>
      <rPr>
        <sz val="10"/>
        <color theme="1"/>
        <rFont val="Arial"/>
        <family val="2"/>
      </rPr>
      <t xml:space="preserve"> Federal Government spending (BRL 69.3 bn) and transfers to Local Governments (BRL 10 bn) to combat the health crisis and cover higher health spending.
</t>
    </r>
    <r>
      <rPr>
        <b/>
        <sz val="10"/>
        <color theme="1"/>
        <rFont val="Arial"/>
        <family val="2"/>
      </rPr>
      <t xml:space="preserve">
Forgone revenue (BRL 7.1 bn):</t>
    </r>
    <r>
      <rPr>
        <sz val="10"/>
        <color theme="1"/>
        <rFont val="Arial"/>
        <family val="2"/>
      </rPr>
      <t xml:space="preserve"> a temporary reduction in taxes (IPI, the Industrialized Products Tax, and zero import taxes) for listed imported and domestic goods necessary to combat Covid-19. IPI reduction expires in December 2020</t>
    </r>
  </si>
  <si>
    <r>
      <rPr>
        <b/>
        <sz val="10"/>
        <color theme="1"/>
        <rFont val="Arial"/>
        <family val="2"/>
      </rPr>
      <t xml:space="preserve">Additional spending (BRL 504.7 bn):
</t>
    </r>
    <r>
      <rPr>
        <sz val="10"/>
        <color theme="1"/>
        <rFont val="Arial"/>
        <family val="2"/>
      </rPr>
      <t xml:space="preserve">• Targeted assistance for the elderly, poor, and unemployed, including include (i) expanding the cash transfer program 'Bolsa Família' to accommodate 1.2 million new beneficiaries; (ii) “Covid-19” cash transfer ("Emergency Aid) for informal workers and  low-income households, of BRL600 per month in April-August and BRL 300 per month in September-December;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and multilateral financial institutions.
</t>
    </r>
    <r>
      <rPr>
        <b/>
        <sz val="10"/>
        <color theme="1"/>
        <rFont val="Arial"/>
        <family val="2"/>
      </rPr>
      <t xml:space="preserve">
Forgone revenue (BRL 19.1 bn): 
</t>
    </r>
    <r>
      <rPr>
        <sz val="10"/>
        <color theme="1"/>
        <rFont val="Arial"/>
        <family val="2"/>
      </rPr>
      <t>• Elimination of the financial transactions tax (during 9 months)</t>
    </r>
  </si>
  <si>
    <r>
      <rPr>
        <b/>
        <sz val="10"/>
        <rFont val="Arial"/>
        <family val="2"/>
      </rPr>
      <t xml:space="preserve">Accelerated spending (BRL 58.7 bn): </t>
    </r>
    <r>
      <rPr>
        <sz val="10"/>
        <rFont val="Arial"/>
        <family val="2"/>
      </rPr>
      <t xml:space="preserve">Advance payment of 13th pension benefit, wage bonuses to low-income workers, and sickness/disability benefits.
</t>
    </r>
    <r>
      <rPr>
        <b/>
        <sz val="10"/>
        <rFont val="Arial"/>
        <family val="2"/>
      </rPr>
      <t xml:space="preserve">
Deferred revenue (BRL 143.1 bn)</t>
    </r>
    <r>
      <rPr>
        <sz val="10"/>
        <rFont val="Arial"/>
        <family val="2"/>
      </rPr>
      <t>: 
• 4-month deferral of social contributions paid by firms and employers, 3-month deferral of small business taxes, and delayed PIT filling. Deferral of taxes paid by the telecommunications sector and of tax debt payment obligations.</t>
    </r>
  </si>
  <si>
    <t>• BRL 6.8 billion credit line to SMEs (to finance payroll costs during 7 months); BRL 48.1 billion support to funds which lend to microbusinesses; BRL 20 billion support to a investment guarantee fund (to finance SMEs), 5bn credit support to the tourism sector.</t>
  </si>
  <si>
    <t xml:space="preserve">
</t>
  </si>
  <si>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and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</si>
  <si>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t>Payment of employers’ contributions to the FGTS and small business taxes will be postponed by 3 months.</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</si>
  <si>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</si>
  <si>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r>
      <rPr>
        <b/>
        <sz val="10"/>
        <rFont val="Arial"/>
        <family val="2"/>
      </rPr>
      <t xml:space="preserve">Additional spending (RMB 3.1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</si>
  <si>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</si>
  <si>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</si>
  <si>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</si>
  <si>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was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</si>
  <si>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</si>
  <si>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ventilators and medical screening.</t>
    </r>
  </si>
  <si>
    <r>
      <rPr>
        <b/>
        <sz val="10"/>
        <rFont val="Arial"/>
        <family val="2"/>
      </rPr>
      <t xml:space="preserve">Additional spending (Rs 5638.7 bn):
</t>
    </r>
    <r>
      <rPr>
        <sz val="10"/>
        <rFont val="Arial"/>
        <family val="2"/>
      </rPr>
      <t>•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</si>
  <si>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</si>
  <si>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(500 billion Rs.) and a viability-gap funding scheme for private sector involvement in social infrastructure (81 billion Rs.), both announced in May; and equity infusion in infrastructure financing funds and platforms (60 billion Rs.) announced in November.</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</si>
  <si>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t>
  </si>
  <si>
    <t>• Loans to companies in the electricity distribution sector (Rs 900 bn),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</si>
  <si>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r>
      <rPr>
        <b/>
        <sz val="10"/>
        <color theme="1"/>
        <rFont val="Arial"/>
        <family val="2"/>
      </rPr>
      <t>Additional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 75 tn to boost testing and treatment capability, including the acquisition of personal protective equipment, test kits, ventilators, and the upgrade of 132 referral hospitals to handle COVID-19 patients.</t>
    </r>
  </si>
  <si>
    <r>
      <rPr>
        <b/>
        <sz val="10"/>
        <color theme="1"/>
        <rFont val="Arial"/>
        <family val="2"/>
      </rPr>
      <t>Additional spending (IDR 252.2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</si>
  <si>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</si>
  <si>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t>• Capital injection to SOEs.</t>
  </si>
  <si>
    <t xml:space="preserve">• Government guarantees for bank lending to micro, small, and medium enterprises (IDR 150 tn), expected to be financed by Bank of Indonesia's purchase of new government recovery bonds.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</si>
  <si>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</si>
  <si>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t>Non-financial Public Sector</t>
  </si>
  <si>
    <r>
      <rPr>
        <b/>
        <sz val="10"/>
        <color theme="1"/>
        <rFont val="Arial"/>
        <family val="2"/>
      </rPr>
      <t>Additional spending:</t>
    </r>
    <r>
      <rPr>
        <sz val="10"/>
        <color theme="1"/>
        <rFont val="Arial"/>
        <family val="2"/>
      </rPr>
      <t xml:space="preserve">
The authorities have increased public health spending and are trying to ensure sufficient supply of medical equipment and materials.</t>
    </r>
  </si>
  <si>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Expansion of Welfare Programs and improvement program.</t>
    </r>
  </si>
  <si>
    <r>
      <rPr>
        <b/>
        <sz val="10"/>
        <rFont val="Arial"/>
        <family val="2"/>
      </rPr>
      <t xml:space="preserve">Accelerated spending:
</t>
    </r>
    <r>
      <rPr>
        <sz val="10"/>
        <rFont val="Arial"/>
        <family val="2"/>
      </rPr>
      <t>• Frontloaded social pension payments for the elderly and disabled people
• Procurement processes and VAT refunds are to be accelerated.</t>
    </r>
  </si>
  <si>
    <t>• Institute for Social Security and Services (ISSSTE) loans to state workers with low interest rates (MXN 34.3 bn).
• Personal loans granted by the Institute of the National Fund for the Consumption of Workers (Fonacot) (MXN 3 bn).
• Special Program to Reactivate the Economy against COVID by Housing Fund of the Institute for Social Security and Services(Fovissste) (MXN 2 bn).</t>
  </si>
  <si>
    <t>• Development bank guarantees program</t>
  </si>
  <si>
    <t>• Development banks to provide loans, particularly to small- and medium-scale enterprises</t>
  </si>
  <si>
    <t>At the state-level, several state governments have announced support, including deferral of tax payments or tax holidays.</t>
  </si>
  <si>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t>
    </r>
    <r>
      <rPr>
        <sz val="10"/>
        <color theme="1"/>
        <rFont val="Arial"/>
        <family val="2"/>
      </rPr>
      <t xml:space="preserve">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</si>
  <si>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1.9 tn):  </t>
    </r>
    <r>
      <rPr>
        <sz val="10"/>
        <rFont val="Arial"/>
        <family val="2"/>
      </rPr>
      <t xml:space="preserve">
•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t>
    </r>
    <r>
      <rPr>
        <b/>
        <sz val="10"/>
        <rFont val="Arial"/>
        <family val="2"/>
      </rPr>
      <t xml:space="preserve">Forgone revenue (RUB 460 bn): </t>
    </r>
    <r>
      <rPr>
        <sz val="10"/>
        <rFont val="Arial"/>
        <family val="2"/>
      </rPr>
      <t xml:space="preserve">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
•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Forgone revenue (RUB 474 bn):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</si>
  <si>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</si>
  <si>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RUB 70 billion for restructuring regional debt to the federal government.
• Recapitalization of leasing firms due to potential problems of their clients in the transportation sector.</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</si>
  <si>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</si>
  <si>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</si>
  <si>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</si>
  <si>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</si>
  <si>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Deferred revenue (SAR 56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</si>
  <si>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</si>
  <si>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</si>
  <si>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220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Jan 2021).
• Increase transfers to households: grants and food distribution and public work program expansions. 
• Increase child support and all other grants from May till Oct.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</si>
  <si>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</si>
  <si>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(with a cap of R100 million per loan) pay operating expenses including salaries, suppliers etc.</t>
  </si>
  <si>
    <t>Programs from the industrial development corporation to support businesses.</t>
  </si>
  <si>
    <r>
      <rPr>
        <b/>
        <sz val="10"/>
        <rFont val="Arial"/>
        <family val="2"/>
      </rPr>
      <t>Additional spending:</t>
    </r>
    <r>
      <rPr>
        <sz val="10"/>
        <rFont val="Arial"/>
        <family val="2"/>
      </rPr>
      <t xml:space="preserve"> including on Covid-19 treatment (TL1.4 bn), new hospitals (TL5 bn), and performance pay for medics (TL6 bn).</t>
    </r>
  </si>
  <si>
    <r>
      <rPr>
        <b/>
        <sz val="10"/>
        <rFont val="Arial"/>
        <family val="2"/>
      </rPr>
      <t xml:space="preserve">Additional spending: 
</t>
    </r>
    <r>
      <rPr>
        <sz val="10"/>
        <rFont val="Arial"/>
        <family val="2"/>
      </rPr>
      <t xml:space="preserve">• Raised the minimum pension and cash assistance to families in need.
• Increased employment protection by loosening short-term work allowance rules. On July 24, a new bill mandated the state to cover the employee and employer shares of social security contributions for three months after a business exits the short-term work allowance system.
• Subsidies to firms for workers placed on unpaid leave and for workers' salaries in firms affected by COVID-19.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 On July 31, VAT rate on several affected services sectors, including business rental services, were reduced temporarily till the end of 2020. The personal income tax on rental income and corporate withholding tax for certain lease payments have also been reduced to 10% from 20% previously till end-2020.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</si>
  <si>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</si>
  <si>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t>• Turkey Wealth Fund (TWF) has been granted new rights to take equity in firms affected by Covid-19, and was assigned to inject a core capital of 0.4 percent of GDP into three state banks, funded by issuance of Treasury bonds.</t>
  </si>
  <si>
    <t>• Treasury guaranteed loans.
• Credit guarantee fund (set up in 2016) doubled in size from TL25 to 50 billion as part of the fiscal package.</t>
  </si>
  <si>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t>
  </si>
  <si>
    <r>
      <t>Additional spending (€8.1 bn):</t>
    </r>
    <r>
      <rPr>
        <sz val="10"/>
        <color theme="1"/>
        <rFont val="Arial"/>
        <family val="2"/>
      </rPr>
      <t xml:space="preserve"> on medical equipment, tests, administration etc. Measures include advance payments to hospitals as well as a structural increase in the budget for mental health care and the federal health sector. An additional one-off payment will also be allocated to federal health workers in 2020.</t>
    </r>
  </si>
  <si>
    <r>
      <rPr>
        <b/>
        <sz val="10"/>
        <rFont val="Arial"/>
        <family val="2"/>
      </rPr>
      <t xml:space="preserve">Additional spending (€19.6 bn): 
</t>
    </r>
    <r>
      <rPr>
        <sz val="10"/>
        <rFont val="Arial"/>
        <family val="2"/>
      </rPr>
      <t xml:space="preserve">•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etc.), social assistance benefits, and support to local social services. Key temporary measures have been extended until end-August, end-December 2020 (replacement income), or end-March 2021 (temporary unemployment), with eligibility widened and benefits increased for some of them to support firms and households through the second lockdown (Nov-Dec). Additional measures have been taken to support hard-hit sectors and vulnerable groups.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in the context of the re-imposition of restrictions and the second lockdown.
</t>
    </r>
    <r>
      <rPr>
        <b/>
        <sz val="10"/>
        <rFont val="Arial"/>
        <family val="2"/>
      </rPr>
      <t xml:space="preserve">
Forgone revenue (€4.4 bn): </t>
    </r>
    <r>
      <rPr>
        <sz val="10"/>
        <rFont val="Arial"/>
        <family val="2"/>
      </rPr>
      <t xml:space="preserve"> 
•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t>
    </r>
  </si>
  <si>
    <r>
      <rPr>
        <b/>
        <sz val="10"/>
        <color theme="1"/>
        <rFont val="Arial"/>
        <family val="2"/>
      </rPr>
      <t xml:space="preserve">Deferred revenue (€13.8 bn): </t>
    </r>
    <r>
      <rPr>
        <sz val="10"/>
        <color theme="1"/>
        <rFont val="Arial"/>
        <family val="2"/>
      </rPr>
      <t xml:space="preserve">
•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</si>
  <si>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rFont val="Arial"/>
        <family val="2"/>
      </rPr>
      <t xml:space="preserve">Government loans (0.8bn):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</si>
  <si>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t>• The federal government launched a guarantee mechanism for all new credits and credit lines, initially with a maximum maturity of 12 months granted by banks to viable non-financial corporations and self-employed. Modified end-July to extend the maturity to 36 months, replace the loss tranching by uniform loss sharing between government and banks (80-20), and ease the viability criterion. The modified scheme applies to 10bn out of a total envelope of 50bn total envelope. Take-up is about 1.5bn.
· Regional governments also provide guarantees for affected companies and self-employed in need of bridge loans. Take-up is about 0.4bn.
· The federal government signed a memorandum of understanding with Credendo ECA, Assuralia and private credit-insurance firms, committing to provide reinsurance for short-term (&lt; 2yrs) trade credit insurance.</t>
  </si>
  <si>
    <t>Czech Republic</t>
  </si>
  <si>
    <r>
      <t xml:space="preserve">Additional spending: 
• </t>
    </r>
    <r>
      <rPr>
        <sz val="10"/>
        <rFont val="Arial"/>
        <family val="2"/>
      </rPr>
      <t>Purchases of medical equipment, vaccine etc. (CZK 19.4bn).
• The government approved higher premium payments on state-covered health insurance--increase by CZK500 per person as of June (CZK 21.1bn).
• Debt relief of hospitals (CZK 6.6bn). 
• Bonus for workers in social services, hospitals, emergency responders, hygienically stations (CZK 17.2 bn). 
• Other health measures: (mobile collection teams, Smart Quarantine establishment, anti-covid programmes for firms) (CZK 2.3bn).</t>
    </r>
  </si>
  <si>
    <r>
      <rPr>
        <b/>
        <sz val="10"/>
        <rFont val="Arial"/>
        <family val="2"/>
      </rP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25.6bn).
• Care Allowance to parents, who cannot work because they need to care for children up to 13 years, of 80% of eligible income until end of June (calculated based on a progressive table) for sick leave. During the second wave of COVID, care allowance to parents with children up to 10 years, 70% of eligible income (CZK 10.2bn). 
• Care Allowance to self-employed persons (CZK 434 per day in March, CZK 500 per day since April), who cannot work because they need to care for children up to 13 years. During the second wave of COVID for parents with children up to 10 years, CZK 400 per day (CZK 2.6bn)
• The state covers half of business property rents in Q2-Q4 (CZK 8.8bn).
• Programs in support of the sports, culture, tourism, transport, restaurants, agriculture and other closed sectors (CZK 28.4bn).
• Other expenditure (CZK 3bn).
• One-off cash benefit for pensioners in amount of CZK 5000 (CZK 15.2bn).
</t>
    </r>
    <r>
      <rPr>
        <b/>
        <sz val="10"/>
        <rFont val="Arial"/>
        <family val="2"/>
      </rPr>
      <t xml:space="preserve">Forgone Revenue: 
</t>
    </r>
    <r>
      <rPr>
        <sz val="10"/>
        <rFont val="Arial"/>
        <family val="2"/>
      </rPr>
      <t>•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Loss carryback measure: Taxpayers who report tax losses in 2020 due to the state of emergency, will be able to reduce their tax bases for the tax years 2019 and 2018 by this loss (maximum CZK 30 million) (CZK 20bn).
• Reduced VAT rate to 10% for accommodation, sports and culture services (CZK 1.2bn).
• Reduced road tax rate for vehicles above 3.5t (CZK 1bn).
• Abolition of the real property transfer tax (CZK 13.8bn).
• Lower dividends from Airport Prague (CZK 1.5bn).
• Self-employed receive lump sum of CZK 500 per day during Mar 12 and Jun 8 (CZK 20.2bn).  
• Additional lump-sum assistance grant (CZK 500 per day) to micro businesses during Mar 12 and Jun 8. Eligible businesses are limited liability companies with up to two partners and turnover of at least at CZK 180,000 in 2019 (CZK 1.8bn). Additional lump-sum assistance grant (CZK 350 per day) to contract workers (not employees) (CZK 1bn)
• Selected (from affected sectors) lump-sum for self-employed persons, small business (Ltd) and contractors (CZK 500 per day) during 5 Oct and 23 Jan (CZK 13.7bn).</t>
    </r>
  </si>
  <si>
    <r>
      <t xml:space="preserve">Deferred revenue: 
</t>
    </r>
    <r>
      <rPr>
        <sz val="10"/>
        <rFont val="Arial"/>
        <family val="2"/>
      </rPr>
      <t xml:space="preserve">• Postponement of (i) advance payments on personal and corporate income taxes (CZK 22bn); (ii) advance payments on social security and health insurance contributions for self-employed by 6 months (CZK 14.3bn); (iii) advance payments on road tax
• Deferral of the VAT </t>
    </r>
  </si>
  <si>
    <t xml:space="preserve">• The CMZRB provided CZK 1bn through interest-free loans, the rest will be handled through state guarantees on loans of commercial banks (COVID I Programme).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</si>
  <si>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(1.6bn).
• Other guarantees (National guarantee, Expansion guarantee) (CZK 12bn).</t>
  </si>
  <si>
    <r>
      <rPr>
        <b/>
        <sz val="10"/>
        <color theme="1"/>
        <rFont val="Arial"/>
        <family val="2"/>
      </rPr>
      <t>Additional spending:</t>
    </r>
    <r>
      <rPr>
        <sz val="10"/>
        <color theme="1"/>
        <rFont val="Arial"/>
        <family val="2"/>
      </rPr>
      <t xml:space="preserve"> Resources to hire social and health workers nationwide. </t>
    </r>
  </si>
  <si>
    <r>
      <rPr>
        <b/>
        <sz val="10"/>
        <rFont val="Arial"/>
        <family val="2"/>
      </rPr>
      <t xml:space="preserve">Additional spending:
• </t>
    </r>
    <r>
      <rPr>
        <sz val="10"/>
        <rFont val="Arial"/>
        <family val="2"/>
      </rPr>
      <t>Compensation scheme for the cancellation and postponement of major events following COVID-19 (Announced: DKK 2.4 billion)
• Temporary salary compensation between 75% and 90% of workers salary (Announced: DKK 6.2 billion, Uptake: DKK 12.7 billion) Temporary compensation scheme for self-employed and freelancers (Announced: DKK 14.1 billion Uptake: DKK 5.9 bn).
• Sickness benefit reimbursement (Announced: DKK 1.7 billion) and increased access to unemployment benefits and sickness benefits (Announced: DKK 0.3 billion). 
• Temporary compensation scheme for companies’ fixed costs (Announced: DKK 65.3 billion, Uptake: DKK 7.1 bn). 
• Boosting liquidity and facilitating the advancement and completion of various construction projects in the Danish municipalities and regions (Announced: DKK 2.5 billion).
• Other initiatives (about DKK 2 bn)
• UI benefits expanded eligibility (Announced: DKK 0.4 bn)
• Extension of cultural aid packages to 8/8 (Announced: DKK 0.1 bn)
• One-time grants to low-income families (Announced: DKK 1.8 bn).
• Increase in corporate deductions for R&amp;D (Announced DKK 1.3 bn).
• Support for tourism sector (Announced DKK 0.8 bn).
• Export package (Announced DKK 0.5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</si>
  <si>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(DKK 90 billion)
The payment deadline for VAT for businesses that pay VAT on a monthly basis is postponed (DKK 35 billion)
• Small enterprises’ VAT period will be extended from 6 months to 12 months in 2020, while medium-sized enterprises’ VAT periods will be extended from 3 months to 6 months for the first half of 2020 (DKK 35 billion)
• Temporary postponement of payment deadlines for B-taxes (provisional tax paid by self-employed businessmen) (DKK 5 billion)
• Temporary postponement of payment deadlines for payroll tax for certain businesses. (DKK 0.4 billion)
•Further extension of payment deadlines for a-tax and VAT (DKK 9 billion)</t>
    </r>
  </si>
  <si>
    <t>• Increase the Danish Students’ Loan Scheme (DKK 1.5 billion). 
• Interest free loans based on VAT payments and payroll tax payments (DKK 35 billion). 
• Loans and equity to start-ups and high growth enterprises (Announced: less than DKK 3.4 billion, Uptake: DKK 1.6 bn) State capital injection into Recapitalization Fund (DKK 10 bn)
• State capital injection into Restart Fund (administered by the Growth Fund) (DKK 3 bn)
• Plan to recapitalize Scandinavian Airlines (up to DKK 6 bn)</t>
  </si>
  <si>
    <t xml:space="preserve">• The government will guarantee 70% of the value of new loans to 1) large companies that can demonstrate a fall in turnover over more than 30 percent and 2) SMEs that have seen operating profits fall by more than 30 percent (Announced: DKK 60.7 bn Uptake 7.4 bn). 
• Credit guarantee for Scandinavian Airlines (SAS). (Announced DKK 1 bn)
• Increased access to export credit for SMEs. (Announced DKK 1.3 bn Uptake: DKK 30 bn) 
• Strengthening the Travel Guarantee Fund. (Announced DKK 1.5 bn)
</t>
  </si>
  <si>
    <t>Another 2 percent of GDP in countercyclical support is expected to come through the stronger automatic stabilizers—including from weaker tax receipts and higher social benefits.</t>
  </si>
  <si>
    <r>
      <rPr>
        <b/>
        <sz val="10"/>
        <color theme="1"/>
        <rFont val="Arial"/>
        <family val="2"/>
      </rPr>
      <t>Additional spending</t>
    </r>
    <r>
      <rPr>
        <sz val="10"/>
        <color theme="1"/>
        <rFont val="Arial"/>
        <family val="2"/>
      </rPr>
      <t>: 
• The supplementary budget includes €265 million in additional spending for healthcare and testing, PPE and medical equipment.  Another supplemental budget has been announced, but not yet passed, that adds another €600 million for health equipment and medicine. 
• The third supplementary budget includes €16 million for vaccine and drug development research, and the development and maintenance of a contact tracing app. 
• The fourth supplementary budget includes an additional €310 million for coronavirus vaccine and testing (€110 million) and transfers to hospital district authorities (€200 million).
• On September 24, the government submitted a sixth supplementary budget proposal for 2020 which included €200 million to support the rapid increase in cross-border testing capacity and analysis as part of the hybrid strategy for cross-border traffic and travel. 
•The seventh supplementary budget, submitted on October 23, included EUR 200 million to the country’s hospital districts for pandemic-related costs. It also included $355 million to municipalities for implementing the hybrid testing and tracing strategy.</t>
    </r>
  </si>
  <si>
    <r>
      <rPr>
        <b/>
        <sz val="10"/>
        <color theme="1"/>
        <rFont val="Arial"/>
        <family val="2"/>
      </rPr>
      <t>Additional spending</t>
    </r>
    <r>
      <rPr>
        <sz val="10"/>
        <color theme="1"/>
        <rFont val="Arial"/>
        <family val="2"/>
      </rPr>
      <t xml:space="preserve">: (i) grants to SMEs through Business Finland and the Employment Centers (€450 million); increased parental allowance  (€94 million); additional social assistance and unemployment benefits (€1.547 billion); additional public safety and border controls, etc.  measures to support restaurant to employ workers EUR 40 million, measures to support businesses for imposed restrictions on activities, EUR 83 million, Share acquisitions in state ownership steering, EUR 700 mn. The fourth supplementary budget includes additional support for households and employment (€652 million); support for businesses (€520 million); and increased public investment (€963 million). The seventh supplementary budget included EUR 400 million in support to municipalities for basic public services.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</si>
  <si>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€3.5 billion (1.6 percent of GDP) in relief. Adjusted VAT tax payments provide an additional €750 million in relief.</t>
    </r>
  </si>
  <si>
    <t>• SME capital injections of €150 million. Share acquisitions in state ownership steering €700 million.
• On April 29, the government announced a recapitalization of Finnair of €500 million. Finnair is 56% publicly owned.
• Increased capitalization of €300 million into national climate fund. 
• Increased capital funding for state-owned enterprises of €770 million.</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</si>
  <si>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€ 880 million, for SURE, € 432 million, for the EIB, € 372 million.</t>
    </r>
  </si>
  <si>
    <t>The State Pension Fund will invest in commercial paper (€1 bn).</t>
  </si>
  <si>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</si>
  <si>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</si>
  <si>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t>
    </r>
  </si>
  <si>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On August 28, the government announced the third support package which primarily aims at expanding measures already in place on the expenditure side through June 2021. This new package includes additional expenditure of 12.5 billion (or 1.7 percent of GDP), of which 1.5 billion of public investment.</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</si>
  <si>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</si>
  <si>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was expanded to cover up to 90 percent of total loan for SMEs (with maturity of 1 year or less) and 80 percent for large firms.
• A guarantee scheme for supplier credit was also established.</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</si>
  <si>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</si>
  <si>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r>
      <rPr>
        <b/>
        <sz val="10"/>
        <color theme="1"/>
        <rFont val="Arial"/>
        <family val="2"/>
      </rPr>
      <t>Additional spending</t>
    </r>
    <r>
      <rPr>
        <sz val="10"/>
        <color theme="1"/>
        <rFont val="Arial"/>
        <family val="2"/>
      </rPr>
      <t>: doubling resources for public health units; expanding intensive care capacity and equipment at hospitals; expanding health line capacity; support for primary care; the purchasing of vaccines, the cost of managed isolation.</t>
    </r>
  </si>
  <si>
    <r>
      <t>Additional spending</t>
    </r>
    <r>
      <rPr>
        <sz val="10"/>
        <rFont val="Arial"/>
        <family val="2"/>
      </rPr>
      <t xml:space="preserve"> (NZ$ 52.3 bn)</t>
    </r>
    <r>
      <rPr>
        <b/>
        <sz val="10"/>
        <rFont val="Arial"/>
        <family val="2"/>
      </rPr>
      <t xml:space="preserve">: </t>
    </r>
    <r>
      <rPr>
        <sz val="10"/>
        <rFont val="Arial"/>
        <family val="2"/>
      </rPr>
      <t xml:space="preserve"> including wage subsidies available for all employers significantly affected by COVID-19 (NZ $14.8 bn); income relief payment to support people who have lost their job (NZ$ 570 mn); financial support for workers not paid normally during self-isolation (NZ$126 mn); temporary increase in winter energy payment (NZ $480 mn); permanent increase in benefits (NZ$ 2.4 bn in the next four years); infrastructure investment (NZ$ 3.8 bn); support package for the aviation sector (NZ$ 600 mn); tourism recover package (NZ$ 400 mn); government housing program (NZ$ 670 mn); and school infrastructure upgrade (NZ$ 214 mn); and transport projects (NZ$ 600 mn).
</t>
    </r>
    <r>
      <rPr>
        <b/>
        <sz val="10"/>
        <rFont val="Arial"/>
        <family val="2"/>
      </rPr>
      <t xml:space="preserve">Forgone revenue </t>
    </r>
    <r>
      <rPr>
        <sz val="10"/>
        <rFont val="Arial"/>
        <family val="2"/>
      </rPr>
      <t>(NZ$ 5.9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</si>
  <si>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 NZ$ 900 mn loan is granted to Air New Zealand, an airline company, of which the government owns 52 percent of shares.
• Maximum NZ$100 thousand loan is granted to small businesses that employ 50 or fewer full time equivalent employees (NZ$ 1.6 bn).</t>
  </si>
  <si>
    <t>• A loan guarantee scheme for firms with a turnover of between NZ$ 250 thousand and NZ$ 200 mn per annum, with the Government carrying 80% of the credit risk. The loans will be limited to NZ$ 5 mn for a maximum of five years and expected to be provided by the banks at competitive, transparent rates.</t>
  </si>
  <si>
    <r>
      <rPr>
        <b/>
        <sz val="10"/>
        <color theme="1"/>
        <rFont val="Arial"/>
        <family val="2"/>
      </rPr>
      <t>Additional spending:</t>
    </r>
    <r>
      <rPr>
        <sz val="10"/>
        <color theme="1"/>
        <rFont val="Arial"/>
        <family val="2"/>
      </rPr>
      <t xml:space="preserve"> 
• Strengthening the financial situation in the hospital trust through increased appropriations.  
• Increased appropriations to cover expenses for necessary medicines, medical equipment and laboratory analyzes (NOK 4.8 bn).
</t>
    </r>
    <r>
      <rPr>
        <b/>
        <sz val="10"/>
        <color theme="1"/>
        <rFont val="Arial"/>
        <family val="2"/>
      </rPr>
      <t>Forgone revenue:</t>
    </r>
    <r>
      <rPr>
        <sz val="10"/>
        <color theme="1"/>
        <rFont val="Arial"/>
        <family val="2"/>
      </rPr>
      <t xml:space="preserve">  
• Strengthening the financial situation in the hospital trust by NOK 6 bn through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</si>
  <si>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amendments to the petroleum tax system to improve liquidity in the sector;
• Temporary cut of employers’ social insurance contributions.</t>
    </r>
  </si>
  <si>
    <t>• Deferral of various tax payments.</t>
  </si>
  <si>
    <t xml:space="preserve">• The reinstatement of a government fund that buys bonds issued by Norwegian companies to increase liquidity and access to capital in the Norwegian bond market, with a ceiling of NOK 50 bn.                                      • Increased funding for Innovation Norway’s innovation loan scheme (NOK 1.6 bn). </t>
  </si>
  <si>
    <t>• Establish a government guarantee scheme for bank loans to SMEs (NOK 50 bn).              
• A scheme for re-insurance of private credit insurance providers (NOK 20 bn).                    
• A guarantee scheme for the aviation industry (NOK 6 bn).                              
 • A loan scheme for package tour operators  for trips cancelled due to the pandemic (NOK 2 bn).</t>
  </si>
  <si>
    <t>Automatic stabilizers, contingency lines, advance payments and tax deferrals, international aid; Deferral of various tax payments.</t>
  </si>
  <si>
    <r>
      <rPr>
        <b/>
        <sz val="10"/>
        <color theme="1"/>
        <rFont val="Arial"/>
        <family val="2"/>
      </rPr>
      <t>Additional spending</t>
    </r>
    <r>
      <rPr>
        <sz val="10"/>
        <color theme="1"/>
        <rFont val="Arial"/>
        <family val="2"/>
      </rPr>
      <t>: to contain the outbreak, provided mainly to the Ministry of Health.</t>
    </r>
  </si>
  <si>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job creation,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</si>
  <si>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t>• S$22 bn in loan capital was set aside to help businesses facing cash flow challenges with loan obligations and insurance premium payments.</t>
  </si>
  <si>
    <r>
      <rPr>
        <b/>
        <sz val="10"/>
        <rFont val="Arial"/>
        <family val="2"/>
      </rPr>
      <t>Additional spending:</t>
    </r>
    <r>
      <rPr>
        <sz val="10"/>
        <rFont val="Arial"/>
        <family val="2"/>
      </rPr>
      <t xml:space="preserve"> 
Additional spending: 
• Increased testing and tracing for Covid-19 (SEK 7 bn); funding of extraordinary costs associated with Covid-19 for municipalities and regions (SEK 5 bn) and elderly care boost (SEK 2.2 bn).
• Extra funding to train up to 10,000 people in health and social care during 2020Q4.
• Increased funding to enable the National Board of Health and Welfare's credit framework to purchases personal protective equipment and intensive care equipment.
• Removing income ceiling for health and medical care students to assist in the health care without their aid being reduced.
</t>
    </r>
  </si>
  <si>
    <r>
      <rPr>
        <b/>
        <sz val="10"/>
        <rFont val="Arial"/>
        <family val="2"/>
      </rPr>
      <t xml:space="preserve">Additional spending (SEK 136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</si>
  <si>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bn if uptake similar to GFC, and SEK 315 bn if fully used by all firms), deferral of annual VAT for 2019 (SEK 7 bn) and deferral of SME taxes (SEK 13 bn).</t>
    </r>
  </si>
  <si>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</si>
  <si>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</si>
  <si>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r>
      <rPr>
        <b/>
        <sz val="10"/>
        <rFont val="Arial"/>
        <family val="2"/>
      </rPr>
      <t xml:space="preserve">Additional spending: </t>
    </r>
    <r>
      <rPr>
        <sz val="10"/>
        <rFont val="Arial"/>
        <family val="2"/>
      </rPr>
      <t>Includes army pharmacy (CHF 2.264 bn), corona tests (CHF 578 mn), information campaign, mobilization, and contact tracing (CHF 51 mn),  medication (CHF 34 mn), vaccination (CHF 29 mn), health protection (CHF 13 mn).</t>
    </r>
  </si>
  <si>
    <r>
      <t xml:space="preserve">Additional spending: </t>
    </r>
    <r>
      <rPr>
        <sz val="10"/>
        <rFont val="Arial"/>
        <family val="2"/>
      </rPr>
      <t>Benefits COVID income replacement directly and indirectly affected (CHF 7.5 bn); financing for short term work program and the unemployment fund (CHF 20.2 bn), COVID bridging loan losses (CHF 2 bn); support for transport sector (CHF 1.335 bn); support for sports and cultural sectors (CHF 610 mn); international support and development aid incl. contribution to IMF (CHF 343 mn); support to cantonal hardship programs (CHF 1930 mn); and other measures.</t>
    </r>
  </si>
  <si>
    <t xml:space="preserve">• Loan support to sports clubs (CHF 400 mn)
• Financial support to air traffic control company Skyguide (CHF 400 mn)
</t>
  </si>
  <si>
    <t xml:space="preserve">• Guarantees for Covid-19 bridge loans for firms with annual turnover up to CHF 500 mn (CHF 40 bn)
• Guarantees for startups (CHF 0.1 bn)
• Guarantees for airlines (CHF 1.275 bn)
 </t>
  </si>
  <si>
    <r>
      <rPr>
        <b/>
        <sz val="10"/>
        <color theme="1"/>
        <rFont val="Arial"/>
        <family val="2"/>
      </rPr>
      <t xml:space="preserve">Additional spending:   </t>
    </r>
    <r>
      <rPr>
        <sz val="10"/>
        <color theme="1"/>
        <rFont val="Arial"/>
        <family val="2"/>
      </rPr>
      <t xml:space="preserve">        
· Additional health equipment (ventilators)
· Personal Protective Equipment
· Bonuses for front line health-workers dealing with Covid-19
· Setting up a new quarantine center</t>
    </r>
  </si>
  <si>
    <r>
      <rPr>
        <b/>
        <sz val="10"/>
        <rFont val="Arial"/>
        <family val="2"/>
      </rPr>
      <t xml:space="preserve">Additional spending: 
</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t>
    </r>
    <r>
      <rPr>
        <b/>
        <sz val="10"/>
        <rFont val="Arial"/>
        <family val="2"/>
      </rPr>
      <t>Foregone revenue:</t>
    </r>
    <r>
      <rPr>
        <sz val="10"/>
        <rFont val="Arial"/>
        <family val="2"/>
      </rPr>
      <t xml:space="preserve">
· Small businesses (those below an annual turnover threshold of Lk14 million) will not pay profit tax in 2020 (normative act April 23). Estimated amount Lk81 mn.</t>
    </r>
  </si>
  <si>
    <r>
      <rPr>
        <b/>
        <sz val="10"/>
        <color theme="1"/>
        <rFont val="Arial"/>
        <family val="2"/>
      </rPr>
      <t>Accelerated spending (2.1):</t>
    </r>
    <r>
      <rPr>
        <sz val="10"/>
        <color theme="1"/>
        <rFont val="Arial"/>
        <family val="2"/>
      </rPr>
      <t xml:space="preserve">
· Annual indexation of pensions to CPI - usually applied in July, brought forward to April. Pensions were increased by 2.3% effective April 1.
</t>
    </r>
    <r>
      <rPr>
        <b/>
        <sz val="10"/>
        <color theme="1"/>
        <rFont val="Arial"/>
        <family val="2"/>
      </rPr>
      <t xml:space="preserve">Deferred revenue (0): </t>
    </r>
    <r>
      <rPr>
        <sz val="10"/>
        <color theme="1"/>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</si>
  <si>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</si>
  <si>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r>
      <t xml:space="preserve">Additional spending and foregone revenue (BGN 0.49 bn in 2020 and 1.07 bn in 2021):
</t>
    </r>
    <r>
      <rPr>
        <sz val="10"/>
        <color theme="1"/>
        <rFont val="Arial"/>
        <family val="2"/>
      </rPr>
      <t>• Purchase of protection equipment as well as for disinfectants, disinfection of work premises, thermometers for remote measurement, PCR tests etc. (86.6 mn in 2020 and 116.7 mn in 2021)
• Support for first-line staff directly involved in activities to prevent the spread of COVID-19 (34.2 mn in 2020 and 157.4 mn in 2021)
• Funding the providers of medical care, dental care and medical diagnostic activities for work in unfavorable conditions in connection with the declared epidemic situation and the treatment of COVID-19 (320.6 mn in 2020 and 427.5 mn in 2021)
• Subsidies, capital transfers and expenses to medical institutions (35.1 mn in 2020 and 35.3 mn in 2021)
• Supplement to the remuneration of hospital care providers (237 mn in 2021)
• Provision of medicinal products to individuals in the fight against the pandemic of COVID-19 / 2021 provision vaccine (BGN 12 mn in 2020 and 94.4 mn in 2021)</t>
    </r>
    <r>
      <rPr>
        <b/>
        <sz val="10"/>
        <color theme="1"/>
        <rFont val="Arial"/>
        <family val="2"/>
      </rPr>
      <t xml:space="preserve">
Foregone Revenue:
</t>
    </r>
    <r>
      <rPr>
        <sz val="10"/>
        <color theme="1"/>
        <rFont val="Arial"/>
        <family val="2"/>
      </rPr>
      <t>• Exemption from VAT and customs duties on imports of certain medical supplies needed to combat the effects of the COVID-19 pandemic (2.8 mn in 2021)</t>
    </r>
  </si>
  <si>
    <r>
      <t xml:space="preserve">Additional spending (BGN 1.43 bn in 2020 and 1.63 bn in 2021): 
</t>
    </r>
    <r>
      <rPr>
        <sz val="10"/>
        <rFont val="Arial"/>
        <family val="2"/>
      </rPr>
      <t xml:space="preserve">• Support to households: (i) Payment of additional amounts to the pensions in the amount of BGN 50 per month from August 2020 to March 2021 (530 mn in 2020 and 318 mn in 2021) and increase in minimum pension starting January 2021 (BGN 474 mn in 2021); (ii) Support for children and families (BGN 65 mn in 2020 and BGN 114.7 mn in 2021); (iii) increase in the cost of short-term benefits and allowances linked to the expected increase in unemployed (BGN 297.5 mn in 2021); (iv) One-time financial support for food products to pensioners receiving a low pension (BGN 47 mn in 2021); (v) Assistance for the use of tourist services for domestic tourism (BGN 10 mn in 2021)
• Support to firms: (i) Support to Bulgarian artists and artists directly affected by the cessation of mass events in the country (BGN 2.5 mn in both 2020 and 2021); (ii) Subsidy for tour operators who use air carriers with a valid operating license to operate charter flights to the Republic of Bulgaria for tourism in the amount of 35 euros for each seat of the maximum passenger capacity of the aircraft for each flight (BGN7.2 mn in 2020 and BGN 40 mn in 2021); (iii) Support to farmers affected by the pandemic (BGN 84.6 mn in 2020)
• Support to employment: (i) Job retention scheme ("60/40 scheme) under which the state covers 60 percent (80 percent in the tourism sector) of the wages and employer's insurance payments of employees of private companies affected by the pandemic (BGN 719 mn in 2020 and BGN 300 mn in 2021); (ii) Employment programs and training measures to support the unemployed and employers (BGN 0.004 mn in 2020 and 0.010 in 2021)
• Other spending: (i) Providing opportunities for distance learning in the education system (17 mn in 2020 and 11.9 mn in 2021); (ii) Support for remote form of work in case of declared emergency epidemic situation (0.2 mn in 2020 and 2021) 
</t>
    </r>
    <r>
      <rPr>
        <b/>
        <sz val="10"/>
        <rFont val="Arial"/>
        <family val="2"/>
      </rPr>
      <t xml:space="preserve">Forgone revenue (BGN 0.11 bn in 2020 and 0.38 bn in 2021):  
</t>
    </r>
    <r>
      <rPr>
        <sz val="10"/>
        <rFont val="Arial"/>
        <family val="2"/>
      </rPr>
      <t>• Reduction of the VAT rate to 9% for the period July 2020 - December 2021, for supplies of certain goods and services (BGN 108.3 mn in 2020 and BGN 234.4 in 2021)
• Tax relief for children and for children with disabilities starting in 2021 (BGN 143.4 mn in 2021)</t>
    </r>
  </si>
  <si>
    <r>
      <rPr>
        <b/>
        <sz val="10"/>
        <color theme="1"/>
        <rFont val="Arial"/>
        <family val="2"/>
      </rPr>
      <t>Deferred revenue</t>
    </r>
    <r>
      <rPr>
        <sz val="10"/>
        <color theme="1"/>
        <rFont val="Arial"/>
        <family val="2"/>
      </rPr>
      <t xml:space="preserve">: Deferral of corporate tax payments till June 30. </t>
    </r>
  </si>
  <si>
    <t xml:space="preserve">• Capital increase in the state-owned bank (BGN 700 Mn) for the provision of financial instruments to support individuals and companies affected by the pandemic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</si>
  <si>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6900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</si>
  <si>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t>Deferment of the payment of corporate taxes until June 30 (about 0.5 percent of 2019 GDP)</t>
  </si>
  <si>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</si>
  <si>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</si>
  <si>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r>
      <rPr>
        <b/>
        <sz val="10"/>
        <rFont val="Arial"/>
        <family val="2"/>
      </rPr>
      <t xml:space="preserve">Accelerated spending: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 Tax deferrals (corporate income tax, VAT, property).
</t>
    </r>
  </si>
  <si>
    <t>Loans to unemployment insurance fund and capitalization of state-owned financial institutions to provide loan guarantees.</t>
  </si>
  <si>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</si>
  <si>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r>
      <rPr>
        <b/>
        <sz val="10"/>
        <color theme="1"/>
        <rFont val="Arial"/>
        <family val="2"/>
      </rPr>
      <t>Additional spending (10,150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</si>
  <si>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</si>
  <si>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</si>
  <si>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</si>
  <si>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Support to SMEs through the National Guarantee Fund, with the government providing a capital injection of 0.2 percent of GDP to guarantee loans up to 2.5 percent of GDP.</t>
  </si>
  <si>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</si>
  <si>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</si>
  <si>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 xml:space="preserve">Deferred revenue: </t>
    </r>
    <r>
      <rPr>
        <sz val="10"/>
        <color theme="1"/>
        <rFont val="Arial"/>
        <family val="2"/>
      </rPr>
      <t>6-month grace period for MSMEs to pay insurance premiums.</t>
    </r>
  </si>
  <si>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</si>
  <si>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t>• Stock-purchase by the central bank of EGP 20 billion 
• Various loan subsidies to tourism, industry, agriculture and housing: The preferential interest rate has been reduced to 8 percent from 10 percent, for the tourism, industry, agriculture and construction sectors, as well as for housing loans for middle-class families. The central bank has approved an EGP 100 billion guarantee to cover lending at preferential rates to the manufacturing, agriculture and contracting sectors, previously covered a under a lending support initiative.
• Housing initiative to avail housing units to all applicant with low cost of financing</t>
  </si>
  <si>
    <r>
      <t xml:space="preserve">Additional spending:  </t>
    </r>
    <r>
      <rPr>
        <sz val="10"/>
        <color theme="1"/>
        <rFont val="Arial"/>
        <family val="2"/>
      </rPr>
      <t xml:space="preserve">Support to public clinics, provision of lab tests; treatment of patients; medical supply and equipment acquisition. </t>
    </r>
    <r>
      <rPr>
        <b/>
        <sz val="10"/>
        <color theme="1"/>
        <rFont val="Arial"/>
        <family val="2"/>
      </rPr>
      <t xml:space="preserve">
Forgone revenue: </t>
    </r>
    <r>
      <rPr>
        <sz val="10"/>
        <color theme="1"/>
        <rFont val="Arial"/>
        <family val="2"/>
      </rPr>
      <t>VAT waiver on the supply of pharmaceutical goods produced nationally.</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</si>
  <si>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2020.  
• Subsidy on utility costs (for electricity and natural gas) for low-level consumers from March to May 2020 and from November 2020 to February 2021.  
•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 Support to businesses in the form of a credit guarantee scheme for SMEs, microgrants, support to the agriculture sector and construction sector  including through the acquisition of houses for refugees.
• Cash transfer of 300 GEL and assistance with loan postponement for persons employed at mals, markets, shops and retail trade, which were forced to shut during the second lockdown.
</t>
    </r>
    <r>
      <rPr>
        <b/>
        <sz val="10"/>
        <color theme="1"/>
        <rFont val="Arial"/>
        <family val="2"/>
      </rPr>
      <t xml:space="preserve">
Forgone revenue:
</t>
    </r>
    <r>
      <rPr>
        <sz val="10"/>
        <color theme="1"/>
        <rFont val="Arial"/>
        <family val="2"/>
      </rPr>
      <t>• Income tax relief to businesses who retain workers. Over the course of 6 months in 2020: (1) salaries up to 750 GEL will be fully exempt from income tax; and (2) for salaries up to 1,500 GEL, 750 GEL will be exempt from income tax.
• Property and income tax waiver to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</si>
  <si>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</si>
  <si>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t>• Within the frame of the new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t>
  </si>
  <si>
    <t>Credit guarantee scheme to support SMEs and micro enterprises.</t>
  </si>
  <si>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</si>
  <si>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</si>
  <si>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 xml:space="preserve">Deferred revenue: </t>
    </r>
    <r>
      <rPr>
        <sz val="10"/>
        <color theme="1"/>
        <rFont val="Arial"/>
        <family val="2"/>
      </rPr>
      <t xml:space="preserve">
• Postponement of tax reporting from Q2 to Q3. </t>
    </r>
  </si>
  <si>
    <t xml:space="preserve">• Subsidized lending will be provided under the state program (“Economy of Simple Things”, KZT 1 tn), along with policy to help SMEs finance working capital. </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</si>
  <si>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</si>
  <si>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800 bn) program will be financed by Kazakhstan stability fund, a subsidiary of the National Bank of Kazakhstan.</t>
  </si>
  <si>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</si>
  <si>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 Implementation of a Wage Support Scheme and Self-Employed Assistance Scheme, providing financial support to employees who become unemployed during the lockdown/curfew period, as well as those employed in informal sectors or self-employed. The schemes were extended until the borders open for employees in the tourism sector only.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</si>
  <si>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bn (0.7 percent of GDP) to make equity investments in troubled firms, including SMEs. 
• The Development bank will give Rs 0.2 bn (0.04 percent of GDP) in credit for firms short on cash.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</si>
  <si>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t>The Parliament amended the law governing the central bank to allow for a range of unconventional financing measures, including 1) one-off exceptional transfer (grant, not advance) from the central bank to the government of the amount R60 bn (12 percent of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
• The Bank of Mauritius made 2.5 percent two-year savings bonds available to retail investors, worth Rs 5 bn (1 percent of GDP).</t>
  </si>
  <si>
    <r>
      <rPr>
        <b/>
        <sz val="10"/>
        <color theme="1"/>
        <rFont val="Arial"/>
        <family val="2"/>
      </rPr>
      <t>Non-Spending Measures:</t>
    </r>
    <r>
      <rPr>
        <sz val="10"/>
        <color theme="1"/>
        <rFont val="Arial"/>
        <family val="2"/>
      </rPr>
      <t xml:space="preserve">
Abolished the import duty on medical supplies</t>
    </r>
  </si>
  <si>
    <t>Several interest free or low interest rate loans to SMEs from the MKD development banks channeled through commercial banks</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</si>
  <si>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</si>
  <si>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for the construction sector until the end of December 2021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</si>
  <si>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</si>
  <si>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t>• Risk sharing facility under the refinance scheme for the payment of wages and salaries to prevent layoffs, whereby the Government of Pakistan bears 60 percent first loss on disbursed portfolio for eligible SMEs.
• Temporary Economic Refinance Facility to stimulate new investment in manufacturing at maximum interest rate of 7 percent fixed for 10 years.
• Refinance Facility for Combating COVID-19 to support hospitals and medical centers in combating the virus at maximum interest rate of 3 percent fixed.</t>
  </si>
  <si>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</si>
  <si>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</si>
  <si>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</si>
  <si>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</si>
  <si>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</si>
  <si>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</si>
  <si>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t>• Credit guarantees for small businesses and support to the agriculture sector.</t>
  </si>
  <si>
    <t xml:space="preserve">• Microfinancing special loan package for affected micro entrepreneurs and MSMEs. </t>
  </si>
  <si>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</si>
  <si>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r>
      <rPr>
        <b/>
        <sz val="10"/>
        <color theme="1"/>
        <rFont val="Arial"/>
        <family val="2"/>
      </rPr>
      <t xml:space="preserve">Additional spending (PLN 151 bn): </t>
    </r>
    <r>
      <rPr>
        <sz val="10"/>
        <color theme="1"/>
        <rFont val="Arial"/>
        <family val="2"/>
      </rPr>
      <t>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during the second wave, with eligibility limited to companies in sectors most impacted by the partial lockdown.</t>
    </r>
    <r>
      <rPr>
        <b/>
        <sz val="10"/>
        <color theme="1"/>
        <rFont val="Arial"/>
        <family val="2"/>
      </rPr>
      <t xml:space="preserve">
Foregone revenue: (PLN 15.7 bn or 0.7 percent of GDP)</t>
    </r>
    <r>
      <rPr>
        <sz val="10"/>
        <color theme="1"/>
        <rFont val="Arial"/>
        <family val="2"/>
      </rPr>
      <t xml:space="preserve"> For micro firms up to 9 employees social insurance contributions will be covered by the budget for 3 months. For companies employing from 10 to 49 employees 50% of social insurance contributions will be paid by the budget. Extended to month of November for affected industries. </t>
    </r>
  </si>
  <si>
    <r>
      <rPr>
        <b/>
        <sz val="10"/>
        <color theme="1"/>
        <rFont val="Arial"/>
        <family val="2"/>
      </rPr>
      <t>Deferred revenue</t>
    </r>
    <r>
      <rPr>
        <sz val="10"/>
        <color theme="1"/>
        <rFont val="Arial"/>
        <family val="2"/>
      </rPr>
      <t xml:space="preserve">: Postponement of social insurance contributions. Possible deferral, payment in installments of taxes. </t>
    </r>
  </si>
  <si>
    <t>The share of below-the-line activity in the PFR liquidity loans for firms.</t>
  </si>
  <si>
    <t xml:space="preserve">• Credit guarantees and micro-loans for entrepreneurs from the Polish Development Fund and BGK state-owned development bank estimated to be 74 bn (3.2 percent of GDP)
</t>
  </si>
  <si>
    <t>“Accelerated EU funds absorption; relaxed state aid rules (in line with EU approval)”</t>
  </si>
  <si>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Financial support to quarantine centers (0.7 billion RON)
Purchase of medical and protective equipment (reallocation of EU Funds) (1.75 billion RON); Increasing the health budget via 2nd budget revision for health programs, sick leaves (2.9 billion RON)
</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</si>
  <si>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(RON2 billion); covering partially the wages of parents staying home when schools are closed (RON1.5 billion); Reserve Fund (3 billion RON); continue to pay technical unemployment benefits to those returning to work of up to 41% of base wage (for 3 months) (3.3 billion RON; The state finances 75% of the gross salary for professional athletes (160 million RON); employers hiring job-seekers over 50 or below 30 or Romanian citizens returning to the country after losing their jobs abroad, can receive a monthly allowance of 50% of the gross salary conditioned to maintaining the employment relationship for one additional year after the end of the hiring support measure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</si>
  <si>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Deferred revenue</t>
    </r>
    <r>
      <rPr>
        <sz val="10"/>
        <rFont val="Arial"/>
        <family val="2"/>
      </rPr>
      <t>: Deferring by 3 months the payment of property taxes; expediting VAT refunds; temporary suspension of tax controls and enforcement; and deferral of rent and utility payments for affected SMEs.</t>
    </r>
  </si>
  <si>
    <t>• RON1.1 billion loan to buy medical supplies granted to pharmaceutical SOE;  and RON0.6 billion loan to low-cost carrier Blue Air and state-owned airline Tarom.</t>
  </si>
  <si>
    <r>
      <rPr>
        <sz val="10"/>
        <color theme="1"/>
        <rFont val="Symbol"/>
        <family val="1"/>
        <charset val="2"/>
      </rPr>
      <t>·</t>
    </r>
    <r>
      <rPr>
        <sz val="10"/>
        <color theme="1"/>
        <rFont val="Arial"/>
        <family val="2"/>
      </rPr>
      <t xml:space="preserve"> Loan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
</t>
    </r>
    <r>
      <rPr>
        <sz val="10"/>
        <color theme="1"/>
        <rFont val="Symbol"/>
        <family val="1"/>
        <charset val="2"/>
      </rPr>
      <t>·</t>
    </r>
    <r>
      <rPr>
        <sz val="10"/>
        <color theme="1"/>
        <rFont val="Arial"/>
        <family val="2"/>
      </rPr>
      <t xml:space="preserve"> State guarantee scheme for large companies to be implemented by state-owned Eximbank. The guarantee is up to 80% of loan
</t>
    </r>
    <r>
      <rPr>
        <sz val="10"/>
        <color theme="1"/>
        <rFont val="Symbol"/>
        <family val="1"/>
        <charset val="2"/>
      </rPr>
      <t xml:space="preserve">· </t>
    </r>
    <r>
      <rPr>
        <sz val="10"/>
        <color theme="1"/>
        <rFont val="Arial"/>
        <family val="2"/>
      </rPr>
      <t xml:space="preserve">State guarantees for factoring (SMEs)
</t>
    </r>
    <r>
      <rPr>
        <sz val="10"/>
        <color theme="1"/>
        <rFont val="Symbol"/>
        <family val="1"/>
        <charset val="2"/>
      </rPr>
      <t xml:space="preserve">· </t>
    </r>
    <r>
      <rPr>
        <sz val="10"/>
        <color theme="1"/>
        <rFont val="Arial"/>
        <family val="2"/>
      </rPr>
      <t>State guarantees for holiday vouchers and trade credit insurance (SMEs)</t>
    </r>
  </si>
  <si>
    <t>· 10 percent wage increase for public healthcare sector (RSD 13bn)
· Increased healthcare spending (about RSD 26bn though recently reported to be higher- as much as RSD 60bn)</t>
  </si>
  <si>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70bn)
Support to 14,000 most vulnerable women in 50 municipalities across Serbia (worth RSD 12bn) in hygiene packages and essential foods</t>
    </r>
  </si>
  <si>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</si>
  <si>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 xml:space="preserve">• A state guarantee scheme for bank loans to SMEs has been approved (exposure of RSD 56.5bn)
</t>
  </si>
  <si>
    <t>EUR 200mn (0.4 percent of GDP) subsidized loans (1 percent interest rate) to SMEs from the Development Fund</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</si>
  <si>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</si>
  <si>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t xml:space="preserve">Additional spending: </t>
    </r>
    <r>
      <rPr>
        <sz val="10"/>
        <color theme="1"/>
        <rFont val="Arial"/>
        <family val="2"/>
      </rPr>
      <t xml:space="preserve">
·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 Stimulus package to the tourism sector amounting to THB 22.4 billion including subsidies for 5 million domestic trips between July and October, 2020 (40 percent of certain accommodation, event and food costs).
· Transfers to elderly, children up to 6-years-old, and holders of state-welfare cards that had previously not received assistance linked to the impact of Covid-19. This program covers about 6.8 million people with approximate cost of THB 20 billion.
· On September 22 the government passed a new shopping subsidy package for welfare cardholders worth THB 51 billion. The package will cover 24 million mainly low-income people via two schemes:14 million welfare cardholders will receive an extra monthly discount of Bt500 from October to December on their shopping;10 million people will get daily discounts of up to B100 on food, beverages and household essentials.
</t>
    </r>
    <r>
      <rPr>
        <b/>
        <sz val="10"/>
        <color theme="1"/>
        <rFont val="Arial"/>
        <family val="2"/>
      </rPr>
      <t>Forgone revenue:</t>
    </r>
    <r>
      <rPr>
        <sz val="10"/>
        <color theme="1"/>
        <rFont val="Arial"/>
        <family val="2"/>
      </rPr>
      <t xml:space="preserve">
· 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
· 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
· 400,000 baht limit (form 200,000) for tax deduction of investments in the Super Saving Fund.
· As of October 8th, income tax deductions (to rebate VAT) on products worth THB 30,000 per person running from October 23 to December 31, 2020, to help boost spending on goods and services.</t>
    </r>
  </si>
  <si>
    <r>
      <rPr>
        <b/>
        <sz val="10"/>
        <color theme="1"/>
        <rFont val="Arial"/>
        <family val="2"/>
      </rPr>
      <t>Deferred revenue</t>
    </r>
    <r>
      <rPr>
        <sz val="10"/>
        <color theme="1"/>
        <rFont val="Arial"/>
        <family val="2"/>
      </rPr>
      <t xml:space="preserve">: 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t>
    </r>
    <r>
      <rPr>
        <sz val="10"/>
        <color theme="1"/>
        <rFont val="Symbol"/>
        <family val="1"/>
        <charset val="2"/>
      </rPr>
      <t xml:space="preserve">· </t>
    </r>
    <r>
      <rPr>
        <sz val="10"/>
        <color theme="1"/>
        <rFont val="Arial"/>
        <family val="2"/>
      </rPr>
      <t xml:space="preserve">Expedited VAT refund process for exporters. 
</t>
    </r>
    <r>
      <rPr>
        <sz val="10"/>
        <color theme="1"/>
        <rFont val="Symbol"/>
        <family val="1"/>
        <charset val="2"/>
      </rPr>
      <t>·</t>
    </r>
    <r>
      <rPr>
        <sz val="10"/>
        <color theme="1"/>
        <rFont val="Arial"/>
        <family val="2"/>
      </rPr>
      <t xml:space="preserve"> Delay in collection of fees and charges levied by government agencies and SOEs.</t>
    </r>
  </si>
  <si>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</si>
  <si>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t>• The Bank of Thailand has been authorized to lend THB500 billion to financial institutions for on-lending to SMEs. Financial institutions will be compensated up to 60 or 70 percent of the additional loans in case these turn nonperforming.</t>
  </si>
  <si>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</si>
  <si>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r>
      <rPr>
        <b/>
        <sz val="10"/>
        <color theme="1"/>
        <rFont val="Arial"/>
        <family val="2"/>
      </rPr>
      <t>Additional spending</t>
    </r>
    <r>
      <rPr>
        <sz val="10"/>
        <color theme="1"/>
        <rFont val="Arial"/>
        <family val="2"/>
      </rPr>
      <t xml:space="preserve">: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t>
    </r>
  </si>
  <si>
    <r>
      <t>Additional spending</t>
    </r>
    <r>
      <rPr>
        <sz val="10"/>
        <color theme="1"/>
        <rFont val="Arial"/>
        <family val="2"/>
      </rPr>
      <t xml:space="preserve">: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Forgone revenue</t>
    </r>
    <r>
      <rPr>
        <sz val="10"/>
        <color theme="1"/>
        <rFont val="Arial"/>
        <family val="2"/>
      </rPr>
      <t xml:space="preserve">: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</si>
  <si>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</si>
  <si>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</si>
  <si>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</si>
  <si>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t>Postponement of CIT payments, other taxes and social contributions until end-May.</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</si>
  <si>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</si>
  <si>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</si>
  <si>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The Abu Dhabi government announced provision of loans to SMEs. 
• State-owned enterprises and banks support the private sector through loan restructuring, lowering lease payments (by real estate companies), halting evictions etc.</t>
  </si>
  <si>
    <t>• Abu Dhabi: Credit guarantees and liquidity support to small- and medium-sized enterprises.</t>
  </si>
  <si>
    <t>• State-owned enterprises and banks have been asked to support the private sector through loan restructuring, lowering lease payments (by real estate companies), halting evictions, etc.</t>
  </si>
  <si>
    <t>LIDC</t>
  </si>
  <si>
    <r>
      <rPr>
        <b/>
        <sz val="10"/>
        <color theme="1"/>
        <rFont val="Arial"/>
        <family val="2"/>
      </rPr>
      <t>Additional spending</t>
    </r>
    <r>
      <rPr>
        <sz val="10"/>
        <color theme="1"/>
        <rFont val="Arial"/>
        <family val="2"/>
      </rPr>
      <t xml:space="preserve">: Additional spending on healthcare equipment, testing; compensation against COVID-19 related health risks of officials, doctors and field staff; hiring of additional healthcare workers, etc.  
</t>
    </r>
    <r>
      <rPr>
        <b/>
        <sz val="10"/>
        <color theme="1"/>
        <rFont val="Arial"/>
        <family val="2"/>
      </rPr>
      <t xml:space="preserve">
Forgone revenue</t>
    </r>
    <r>
      <rPr>
        <sz val="10"/>
        <color theme="1"/>
        <rFont val="Arial"/>
        <family val="2"/>
      </rPr>
      <t>: The National Board of Revenue has temporarily suspended duties and taxes on imports of medical supplies, including protective equipment and test kits.</t>
    </r>
  </si>
  <si>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and food aid distribution; Cash assistance to the jobless poor affected by COVID-19 (Corona-Cash). 
· Wage support (50bn loan) for export-oriented industries; working capital loan interest subsidies (30bn) for COVID-19 affected large industries and the service sector, and Cottage, Micro, Small and Medium Enterprises (CMSMEs); interest waiver subsidies (20bn); and housing scheme support.
·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</si>
  <si>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r>
      <rPr>
        <b/>
        <sz val="10"/>
        <color theme="1"/>
        <rFont val="Arial"/>
        <family val="2"/>
      </rPr>
      <t>Additional spending</t>
    </r>
    <r>
      <rPr>
        <sz val="10"/>
        <color theme="1"/>
        <rFont val="Arial"/>
        <family val="2"/>
      </rPr>
      <t xml:space="preserve">: Increasing healthcare capacity, diagnostic and medical equipment, boosting human resources.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</si>
  <si>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and agricultural sector support.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</si>
  <si>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t>• Capital injection into the Development Bank of Ethiopia by the Ministry of Finance. Not strictly related to Covid, but aimed at facilitating lending by DBE to private enterprises.</t>
  </si>
  <si>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</si>
  <si>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</si>
  <si>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Deferred revenue</t>
    </r>
    <r>
      <rPr>
        <sz val="10"/>
        <color theme="1"/>
        <rFont val="Arial"/>
        <family val="2"/>
      </rPr>
      <t>:
• Tax filing dates were extended by six months.</t>
    </r>
  </si>
  <si>
    <t>• Soft loan scheme to support MSMEs including a one-year postponement of interest payments for non-marketable debt and a two-year repayment period.</t>
  </si>
  <si>
    <r>
      <t xml:space="preserve">Additional spending: </t>
    </r>
    <r>
      <rPr>
        <sz val="10"/>
        <color theme="1"/>
        <rFont val="Arial"/>
        <family val="2"/>
      </rPr>
      <t xml:space="preserve">Emergency measures to upgrade the main national hospital, pharmaceuticals, food provision and medical equipment to the country’s hospitals. </t>
    </r>
  </si>
  <si>
    <r>
      <rPr>
        <b/>
        <sz val="10"/>
        <rFont val="Arial"/>
        <family val="2"/>
      </rPr>
      <t>Additional spending:</t>
    </r>
    <r>
      <rPr>
        <sz val="10"/>
        <rFont val="Arial"/>
        <family val="2"/>
      </rPr>
      <t xml:space="preserve"> Transfers to vulnerable families (0.1 percent of GDP), citizen security to enforce COVID-19 measures (0.2 percent of GDP) and investments to strengthen the agricultural sector (0.5 percent of GDP). </t>
    </r>
  </si>
  <si>
    <t>Loans to banks for on-lending to the cashew sector.</t>
  </si>
  <si>
    <r>
      <rPr>
        <b/>
        <sz val="10"/>
        <color theme="1"/>
        <rFont val="Arial"/>
        <family val="2"/>
      </rPr>
      <t>Additional spending</t>
    </r>
    <r>
      <rPr>
        <sz val="10"/>
        <color theme="1"/>
        <rFont val="Arial"/>
        <family val="2"/>
      </rPr>
      <t>: medical supplies, personnel, adaptation of facilities.</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</si>
  <si>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</si>
  <si>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</si>
  <si>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</si>
  <si>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</si>
  <si>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r>
      <rPr>
        <b/>
        <sz val="10"/>
        <color theme="1"/>
        <rFont val="Arial"/>
        <family val="2"/>
      </rPr>
      <t>Additional spending</t>
    </r>
    <r>
      <rPr>
        <sz val="10"/>
        <color theme="1"/>
        <rFont val="Arial"/>
        <family val="2"/>
      </rPr>
      <t>: Recruitment of additional health workers, expansion of hospital bed capacity, enhanced surveillance, laboratory services, isolation units, equipment, supplies, and communication.</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</si>
  <si>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</si>
  <si>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</si>
  <si>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r>
      <rPr>
        <sz val="10"/>
        <color theme="1"/>
        <rFont val="Symbol"/>
        <family val="1"/>
        <charset val="2"/>
      </rPr>
      <t>·</t>
    </r>
    <r>
      <rPr>
        <sz val="10"/>
        <color theme="1"/>
        <rFont val="Arial"/>
        <family val="2"/>
      </rPr>
      <t xml:space="preserve"> </t>
    </r>
    <r>
      <rPr>
        <sz val="10"/>
        <color theme="1"/>
        <rFont val="Arial"/>
        <family val="2"/>
      </rPr>
      <t>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</si>
  <si>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color theme="1"/>
        <rFont val="Arial"/>
        <family val="2"/>
      </rPr>
      <t xml:space="preserve">Additional spending: </t>
    </r>
    <r>
      <rPr>
        <sz val="10"/>
        <color theme="1"/>
        <rFont val="Arial"/>
        <family val="2"/>
      </rPr>
      <t xml:space="preserve">Cash transfers, food, cash-for-work, pension support, health benefit extension. Support for productivity enhancement in businesses.
Waive the 2% Withholding Tax on exports.
Further tax relief on additional salary and wage expenses and additional expenditures for capital equipment during Income Year 2019-2020 was granted by an order of the President Office on June 12.
</t>
    </r>
    <r>
      <rPr>
        <b/>
        <sz val="10"/>
        <color theme="1"/>
        <rFont val="Arial"/>
        <family val="2"/>
      </rPr>
      <t>Forgone revenue:</t>
    </r>
    <r>
      <rPr>
        <sz val="10"/>
        <color theme="1"/>
        <rFont val="Arial"/>
        <family val="2"/>
      </rPr>
      <t xml:space="preserve"> Exempt electricity tariffs for all households (excluding embassies and international organizations) up to 150 units per month for April, May and June, and 75 units for July.</t>
    </r>
  </si>
  <si>
    <t>Establish funds to on lend to support SME, MFI, small farmers, trade financing.
Additional 100 billion kyat from re-appropriation of ministries’ budget was allocated to COVID-19 Fund for providing soft loans to COVID-19 affected businesses.</t>
  </si>
  <si>
    <t>1.3 percent of GDP is the estimated health cost related to COVID control and prevention, including the establishment of necessary facilities (0.7 percent of GDP), additional medical supplies (0.2 percent of GDP) , basic health service COVID at local level (0.1 percent of GDP), additional health insurance (0.2 percent of GDP), and other COVID related health spending (0.1 percent of GDP).</t>
  </si>
  <si>
    <t>0.5 percent of GDP is the estimated cost of additional social spending, including through expanding employment program in labor-intensive construction sector, e.g. food for work program (0.3 percent of GDP) as well as training for work in manufacturing and services sectors and subsidy for hiring (0.2 percent of GDP).</t>
  </si>
  <si>
    <t>Lending program to provide support for small and medium-sized enterprises and firms in tourism sector (1.4 percent of GDP)</t>
  </si>
  <si>
    <r>
      <rPr>
        <sz val="10"/>
        <color theme="1"/>
        <rFont val="Symbol"/>
        <family val="1"/>
        <charset val="2"/>
      </rPr>
      <t>·</t>
    </r>
    <r>
      <rPr>
        <sz val="10"/>
        <color theme="1"/>
        <rFont val="Arial"/>
        <family val="2"/>
      </rPr>
      <t xml:space="preserve"> </t>
    </r>
    <r>
      <rPr>
        <sz val="10"/>
        <color theme="1"/>
        <rFont val="Arial"/>
        <family val="2"/>
      </rPr>
      <t xml:space="preserve">Reinforced protection for medical staff; increased capacity to quarantine; recruitment of 1,500 health workers; set up isolation sites; 
</t>
    </r>
    <r>
      <rPr>
        <sz val="10"/>
        <color theme="1"/>
        <rFont val="Symbol"/>
        <family val="1"/>
        <charset val="2"/>
      </rPr>
      <t>·</t>
    </r>
    <r>
      <rPr>
        <sz val="10"/>
        <color theme="1"/>
        <rFont val="Arial"/>
        <family val="2"/>
      </rPr>
      <t xml:space="preserve"> </t>
    </r>
    <r>
      <rPr>
        <sz val="10"/>
        <color theme="1"/>
        <rFont val="Arial"/>
        <family val="2"/>
      </rPr>
      <t>Exemption of VAT and duties on medical goods.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</si>
  <si>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t>
    </r>
    <r>
      <rPr>
        <sz val="10"/>
        <color theme="1"/>
        <rFont val="Arial"/>
        <family val="2"/>
      </rPr>
      <t xml:space="preserve">Compensation for job losses and to businesses for loss of value added. 
</t>
    </r>
    <r>
      <rPr>
        <sz val="10"/>
        <color theme="1"/>
        <rFont val="Symbol"/>
        <family val="1"/>
        <charset val="2"/>
      </rPr>
      <t>·</t>
    </r>
    <r>
      <rPr>
        <sz val="10"/>
        <color theme="1"/>
        <rFont val="Arial"/>
        <family val="2"/>
      </rPr>
      <t xml:space="preserve"> </t>
    </r>
    <r>
      <rPr>
        <sz val="10"/>
        <color theme="1"/>
        <rFont val="Arial"/>
        <family val="2"/>
      </rPr>
      <t xml:space="preserve">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t>
    </r>
    <r>
      <rPr>
        <sz val="10"/>
        <color theme="1"/>
        <rFont val="Arial"/>
        <family val="2"/>
      </rPr>
      <t xml:space="preserve">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t>
    </r>
    <r>
      <rPr>
        <sz val="10"/>
        <color theme="1"/>
        <rFont val="Arial"/>
        <family val="2"/>
      </rPr>
      <t xml:space="preserve">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t>
    </r>
    <r>
      <rPr>
        <sz val="10"/>
        <color theme="1"/>
        <rFont val="Arial"/>
        <family val="2"/>
      </rPr>
      <t>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</si>
  <si>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</si>
  <si>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bn supporting a total of 150 bn in new loans to private sector.</t>
  </si>
  <si>
    <r>
      <rPr>
        <b/>
        <sz val="10"/>
        <color theme="1"/>
        <rFont val="Arial"/>
        <family val="2"/>
      </rPr>
      <t>Additional spending</t>
    </r>
    <r>
      <rPr>
        <sz val="10"/>
        <color theme="1"/>
        <rFont val="Arial"/>
        <family val="2"/>
      </rPr>
      <t>: A total of N500 bn was allocated for health sector, including contingency funds released to Nigeria’s Center for Disease Control for more testing kits and opening more centers and train medical personnel.</t>
    </r>
  </si>
  <si>
    <r>
      <t xml:space="preserve">The Federal Executive Council (FEC) approved the N2.3 trillion stimulus package. 
</t>
    </r>
    <r>
      <rPr>
        <b/>
        <sz val="10"/>
        <color theme="1"/>
        <rFont val="Arial"/>
        <family val="2"/>
      </rPr>
      <t>Additional spending</t>
    </r>
    <r>
      <rPr>
        <sz val="10"/>
        <color theme="1"/>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</si>
  <si>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r>
      <rPr>
        <b/>
        <sz val="10"/>
        <color theme="1"/>
        <rFont val="Arial"/>
        <family val="2"/>
      </rPr>
      <t>Additional spending</t>
    </r>
    <r>
      <rPr>
        <sz val="10"/>
        <color theme="1"/>
        <rFont val="Arial"/>
        <family val="2"/>
      </rPr>
      <t>: Enhance treatment and testing capacity through procuring medical supplies, improve prevention, intensify communication.</t>
    </r>
  </si>
  <si>
    <r>
      <rPr>
        <b/>
        <sz val="10"/>
        <color theme="1"/>
        <rFont val="Arial"/>
        <family val="2"/>
      </rPr>
      <t>Additional spending (324 bn):</t>
    </r>
    <r>
      <rPr>
        <sz val="10"/>
        <color theme="1"/>
        <rFont val="Arial"/>
        <family val="2"/>
      </rPr>
      <t xml:space="preserve"> (i) social safety net programs: urgent food aid, subsidies to help the most vulnerable to pay utility bills (water, electricity) and support to diaspora (CFAF 103 bn - 0.72% of GDP), (ii) other economic support measures, such as direct support to heavily hit sectors (CFAF 100 bn - 0.70% of GDP), (iii) some arrears to private sector suppliers will be settled faster than originally anticipated (CFAF 87 billion - 0.61% of GDP), and (iv) action on securing key food and energy supplies (CFAF 34 billion - 0.24%  of GDP).
</t>
    </r>
    <r>
      <rPr>
        <b/>
        <sz val="10"/>
        <color theme="1"/>
        <rFont val="Arial"/>
        <family val="2"/>
      </rPr>
      <t xml:space="preserve">
Forgone revenue (40 bn)</t>
    </r>
    <r>
      <rPr>
        <sz val="10"/>
        <color theme="1"/>
        <rFont val="Arial"/>
        <family val="2"/>
      </rPr>
      <t>: Tax rebates for companies that keep their workers on payroll or pay 70% of salary (FCFA 40 billion - 0.28% of GDP).</t>
    </r>
  </si>
  <si>
    <r>
      <rPr>
        <b/>
        <sz val="10"/>
        <color theme="1"/>
        <rFont val="Arial"/>
        <family val="2"/>
      </rPr>
      <t>Deferred revenue</t>
    </r>
    <r>
      <rPr>
        <sz val="10"/>
        <color theme="1"/>
        <rFont val="Arial"/>
        <family val="2"/>
      </rPr>
      <t>: Deadline for payment of suspended VAT extended from 12 to 24 months (CFAF 15 billion). Accelerated refund of VAT credits, deferral of CIT for SMEs and companies in hardest hit sectors.</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</si>
  <si>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</si>
  <si>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</si>
  <si>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t>
    </r>
    <r>
      <rPr>
        <sz val="10"/>
        <color theme="1"/>
        <rFont val="Arial"/>
        <family val="2"/>
      </rPr>
      <t xml:space="preserve">(12,950 billion):
</t>
    </r>
    <r>
      <rPr>
        <sz val="10"/>
        <color theme="1"/>
        <rFont val="Symbol"/>
        <family val="1"/>
        <charset val="2"/>
      </rPr>
      <t>·</t>
    </r>
    <r>
      <rPr>
        <sz val="10"/>
        <color theme="1"/>
        <rFont val="Arial"/>
        <family val="2"/>
      </rPr>
      <t xml:space="preserve"> Expanded the number of recipients of social benefits by about 35 percent; 
</t>
    </r>
    <r>
      <rPr>
        <sz val="10"/>
        <color theme="1"/>
        <rFont val="Symbol"/>
        <family val="1"/>
        <charset val="2"/>
      </rPr>
      <t>·</t>
    </r>
    <r>
      <rPr>
        <sz val="10"/>
        <color theme="1"/>
        <rFont val="Arial"/>
        <family val="2"/>
      </rPr>
      <t xml:space="preserve"> Raised spending to cover the average salary for worker taking care of their children during the quarantine period. 
</t>
    </r>
    <r>
      <rPr>
        <sz val="10"/>
        <color theme="1"/>
        <rFont val="Symbol"/>
        <family val="1"/>
        <charset val="2"/>
      </rPr>
      <t>·</t>
    </r>
    <r>
      <rPr>
        <sz val="10"/>
        <color theme="1"/>
        <rFont val="Arial"/>
        <family val="2"/>
      </rPr>
      <t xml:space="preserve"> Increased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(4750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</si>
  <si>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equity injections and new loans to SOEs to repay debt and finance additional investment. Rollover loans issued under the government program for individual entrepreneurs.</t>
  </si>
  <si>
    <t>General government</t>
  </si>
  <si>
    <r>
      <rPr>
        <b/>
        <sz val="10"/>
        <color theme="1"/>
        <rFont val="Arial"/>
        <family val="2"/>
      </rPr>
      <t>Additional spendin</t>
    </r>
    <r>
      <rPr>
        <b/>
        <sz val="10"/>
        <rFont val="Arial"/>
        <family val="2"/>
      </rPr>
      <t>g</t>
    </r>
    <r>
      <rPr>
        <sz val="10"/>
        <rFont val="Arial"/>
        <family val="2"/>
      </rPr>
      <t xml:space="preserve">: Additional spending on medical equipment and materials. </t>
    </r>
    <r>
      <rPr>
        <sz val="10"/>
        <color theme="1"/>
        <rFont val="Arial"/>
        <family val="2"/>
      </rPr>
      <t xml:space="preserve">Treatment costs of Covid-19 positive patients are covered by either Health Insurance Fund (under Vietnam Social Security) or by the state budget.
</t>
    </r>
    <r>
      <rPr>
        <b/>
        <sz val="10"/>
        <color theme="1"/>
        <rFont val="Arial"/>
        <family val="2"/>
      </rPr>
      <t xml:space="preserve">
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</si>
  <si>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t>
    </r>
    <r>
      <rPr>
        <b/>
        <sz val="10"/>
        <color theme="1"/>
        <rFont val="Arial"/>
        <family val="2"/>
      </rPr>
      <t xml:space="preserve">
Forgone revenue: </t>
    </r>
    <r>
      <rPr>
        <sz val="10"/>
        <color theme="1"/>
        <rFont val="Arial"/>
        <family val="2"/>
      </rPr>
      <t xml:space="preserve">Raise the deductibles of personal income tax starting in July, including individual thresholds and dependent deduction. Fees reduction for supporting firms and workers, effectively from May through December 2020,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</si>
  <si>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 xml:space="preserve">Accelerated spending: </t>
    </r>
    <r>
      <rPr>
        <sz val="10"/>
        <rFont val="Arial"/>
        <family val="2"/>
      </rPr>
      <t>Government is targeting 100 percent disbursement of public investment capital valued VND 686 trillion or nearly 9 percent of GDP (of which VND 225 trillion is carried-over from previous years).</t>
    </r>
    <r>
      <rPr>
        <b/>
        <sz val="10"/>
        <rFont val="Arial"/>
        <family val="2"/>
      </rPr>
      <t xml:space="preserve">
Deferred revenue: </t>
    </r>
    <r>
      <rPr>
        <sz val="10"/>
        <rFont val="Arial"/>
        <family val="2"/>
      </rPr>
      <t>Payments of VAT, CIT and of land rental fees are deferred by 5 months, and payment of PIT tax obligations is deferred to year-end (total value of VND 180 tn).</t>
    </r>
    <r>
      <rPr>
        <b/>
        <sz val="10"/>
        <rFont val="Arial"/>
        <family val="2"/>
      </rPr>
      <t xml:space="preserve"> </t>
    </r>
    <r>
      <rPr>
        <sz val="10"/>
        <rFont val="Arial"/>
        <family val="2"/>
      </rPr>
      <t>In addition, affected firms and workers are allowed to defer their contribution (up to 12 months) to the pension fund and survivor-ship fund with no interest penalty for late payment (estimated to be VND 9.5 tn).</t>
    </r>
  </si>
  <si>
    <t>Affected firms and workers are allowed to defer their contribution (up to 12 months) to the pension fund and survivor-ship fund with no interest penalty for late payment (estimated to be VND 9.5 tn).</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</si>
  <si>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</si>
  <si>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 xml:space="preserve">Measures include 30 tn VND tax and land rental payment deferrals (for 5 months) to support affected entities; affected firms are allowed to defer their contribution (due Mar-Jun) to the pension fund with no interest penalty for late payment; </t>
  </si>
  <si>
    <t>The government has announced an 8 billion kwacha Covid-19 Mitigation Bond to finance related spending, which includes 1 billion in health-related spending: purchases of equipment and clearance of arrears to local drug suppliers.</t>
  </si>
  <si>
    <r>
      <t xml:space="preserve">Additional spending:
</t>
    </r>
    <r>
      <rPr>
        <sz val="10"/>
        <color theme="1"/>
        <rFont val="Symbol"/>
        <family val="1"/>
        <charset val="2"/>
      </rPr>
      <t>·</t>
    </r>
    <r>
      <rPr>
        <sz val="10"/>
        <color theme="1"/>
        <rFont val="Arial"/>
        <family val="2"/>
      </rPr>
      <t xml:space="preserve"> </t>
    </r>
    <r>
      <rPr>
        <sz val="10"/>
        <color theme="1"/>
        <rFont val="Arial"/>
        <family val="2"/>
      </rPr>
      <t xml:space="preserve">3.1 billion to clear arrears to suppliers of goods and services, on VAT refunds, on pensions, as well as third-party arrears to micro-finance institutions.
</t>
    </r>
    <r>
      <rPr>
        <sz val="10"/>
        <color theme="1"/>
        <rFont val="Symbol"/>
        <family val="1"/>
        <charset val="2"/>
      </rPr>
      <t>·</t>
    </r>
    <r>
      <rPr>
        <sz val="10"/>
        <color theme="1"/>
        <rFont val="Arial"/>
        <family val="2"/>
      </rPr>
      <t xml:space="preserve"> 0.5 billion for youth empowerment programs;
</t>
    </r>
    <r>
      <rPr>
        <sz val="10"/>
        <color theme="1"/>
        <rFont val="Symbol"/>
        <family val="1"/>
        <charset val="2"/>
      </rPr>
      <t>·</t>
    </r>
    <r>
      <rPr>
        <sz val="10"/>
        <color theme="1"/>
        <rFont val="Arial"/>
        <family val="2"/>
      </rPr>
      <t xml:space="preserve"> 1.7 billion for grain purchases; 
</t>
    </r>
    <r>
      <rPr>
        <sz val="10"/>
        <color theme="1"/>
        <rFont val="Symbol"/>
        <family val="1"/>
        <charset val="2"/>
      </rPr>
      <t>·</t>
    </r>
    <r>
      <rPr>
        <sz val="10"/>
        <color theme="1"/>
        <rFont val="Arial"/>
        <family val="2"/>
      </rPr>
      <t xml:space="preserve"> 0.8 billion for other purposes; 
</t>
    </r>
    <r>
      <rPr>
        <b/>
        <sz val="10"/>
        <color theme="1"/>
        <rFont val="Arial"/>
        <family val="2"/>
      </rPr>
      <t xml:space="preserve">
Forgone revenues:</t>
    </r>
    <r>
      <rPr>
        <sz val="10"/>
        <color theme="1"/>
        <rFont val="Arial"/>
        <family val="2"/>
      </rPr>
      <t xml:space="preserve"> Import duties on mineral concentrate and export duties on precious metals and crocodile skin were suspended. The government has waived tax penalties and interest on outstanding tax liabilities resulting from the impact of COVID-19.</t>
    </r>
  </si>
  <si>
    <t>Recapitalize NATSAVE (development bank).</t>
  </si>
  <si>
    <t xml:space="preserve">1/ The country list includes European Union as well, but the total global fiscal support does not include measures announced by the European Union because those are financing the measures by member states, which are included individually. </t>
  </si>
  <si>
    <t>iso</t>
  </si>
  <si>
    <t>AEs</t>
  </si>
  <si>
    <t>country</t>
  </si>
  <si>
    <t>Additional spending and forgone revenue</t>
  </si>
  <si>
    <t>Equity, loans, and guarantees</t>
  </si>
  <si>
    <t>EMMIEs</t>
  </si>
  <si>
    <t>LIDCs</t>
  </si>
  <si>
    <t>Cote d'Ivoire</t>
  </si>
  <si>
    <t>NER</t>
  </si>
  <si>
    <t>NPL</t>
  </si>
  <si>
    <t>CIV</t>
  </si>
  <si>
    <t>ZMB</t>
  </si>
  <si>
    <t>UZB</t>
  </si>
  <si>
    <t>DNK</t>
  </si>
  <si>
    <t>FIN</t>
  </si>
  <si>
    <t>KOR</t>
  </si>
  <si>
    <t>ESP</t>
  </si>
  <si>
    <t>SWE</t>
  </si>
  <si>
    <t>NOR</t>
  </si>
  <si>
    <t>NLD</t>
  </si>
  <si>
    <t>CHE</t>
  </si>
  <si>
    <t>CZE</t>
  </si>
  <si>
    <t>ITA</t>
  </si>
  <si>
    <t>BEL</t>
  </si>
  <si>
    <t>FRA</t>
  </si>
  <si>
    <t>DEU</t>
  </si>
  <si>
    <t>CAN</t>
  </si>
  <si>
    <t>JPN</t>
  </si>
  <si>
    <t>AUS</t>
  </si>
  <si>
    <t>SGP</t>
  </si>
  <si>
    <t>GBR</t>
  </si>
  <si>
    <t>USA</t>
  </si>
  <si>
    <t>NZL</t>
  </si>
  <si>
    <t>MEX</t>
  </si>
  <si>
    <t>TUR</t>
  </si>
  <si>
    <t>ALB</t>
  </si>
  <si>
    <t>EGY</t>
  </si>
  <si>
    <t>PAK</t>
  </si>
  <si>
    <t>SAU</t>
  </si>
  <si>
    <t>ROU</t>
  </si>
  <si>
    <t>KAZ</t>
  </si>
  <si>
    <t>TUN</t>
  </si>
  <si>
    <t>ARE</t>
  </si>
  <si>
    <t>PHL</t>
  </si>
  <si>
    <t>IDN</t>
  </si>
  <si>
    <t>RUS</t>
  </si>
  <si>
    <t>IND</t>
  </si>
  <si>
    <t>ARG</t>
  </si>
  <si>
    <t>COL</t>
  </si>
  <si>
    <t>BGR</t>
  </si>
  <si>
    <t>CHN</t>
  </si>
  <si>
    <t>PER</t>
  </si>
  <si>
    <t>ZAF</t>
  </si>
  <si>
    <t>GEO</t>
  </si>
  <si>
    <t>POL</t>
  </si>
  <si>
    <t>BRA</t>
  </si>
  <si>
    <t>THA</t>
  </si>
  <si>
    <t>CHL</t>
  </si>
  <si>
    <t>VNM</t>
  </si>
  <si>
    <t>BGD</t>
  </si>
  <si>
    <t>NGA</t>
  </si>
  <si>
    <t>ETH</t>
  </si>
  <si>
    <t>HND</t>
  </si>
  <si>
    <t>KEN</t>
  </si>
  <si>
    <t>GHA</t>
  </si>
  <si>
    <t>SEN</t>
  </si>
  <si>
    <t>GNB</t>
  </si>
  <si>
    <t>Emerging Economies</t>
  </si>
  <si>
    <t>Advanced Economies</t>
  </si>
  <si>
    <t>Low-Income Developing Countries</t>
  </si>
  <si>
    <r>
      <rPr>
        <b/>
        <sz val="10"/>
        <color theme="1"/>
        <rFont val="Arial"/>
        <family val="2"/>
      </rPr>
      <t>Additional spending (JPY 9.6 tn):</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4.8 tn)</t>
    </r>
  </si>
  <si>
    <r>
      <t>Additional spending (JPY 74 tn):</t>
    </r>
    <r>
      <rPr>
        <sz val="10"/>
        <color theme="1"/>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The government announced additional measures on December 8,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the health and non-health measures (including below measures) totaling JPY 4.7 tn (excluding the spending approved on December 11, which is a part of the December 2020 package.
•  Replenishment of the cash transfer program for affected firms (JPY 0.9 tn)
•  Replenishment of the emergency loan program for affected households (JPY 0.5 tn)
•  Enhancement of healthcare capacity (JPY1.7 tn)
•  Procurement of vaccines (JPY 0.8 tn)
•  Top up the Employment Adjustment Subsidy (JPY 0.4 tn)
</t>
    </r>
    <r>
      <rPr>
        <b/>
        <sz val="10"/>
        <color theme="1"/>
        <rFont val="Arial"/>
        <family val="2"/>
      </rPr>
      <t xml:space="preserve">
Forgone revenue</t>
    </r>
    <r>
      <rPr>
        <sz val="10"/>
        <color theme="1"/>
        <rFont val="Arial"/>
        <family val="2"/>
      </rPr>
      <t>: Revenue measures included in the past economic packages include expansion of the loss carry-back and carry-forward schemes, tax incentives for firms’ decarbonization and digitalization, and reduction of property tax and the aviation fuel tax.</t>
    </r>
  </si>
  <si>
    <t>• Concessional loans and guarantees to affected firms through the public and private financial institutions. (JPY 112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</si>
  <si>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r>
      <rPr>
        <b/>
        <sz val="10"/>
        <color theme="1"/>
        <rFont val="Arial"/>
        <family val="2"/>
      </rPr>
      <t>Spending Measures:</t>
    </r>
    <r>
      <rPr>
        <sz val="10"/>
        <color theme="1"/>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color theme="1"/>
        <rFont val="Arial"/>
        <family val="2"/>
      </rPr>
      <t>Non-Spending Measures:</t>
    </r>
    <r>
      <rPr>
        <sz val="10"/>
        <color theme="1"/>
        <rFont val="Arial"/>
        <family val="2"/>
      </rPr>
      <t xml:space="preserve">
Lowering the late interest rate for public taxes and duties from 0.03% to 0.015%.
Lowering the penalty rate, by 50% i.e. to 5% for corporates and to 4% for the households.</t>
    </r>
  </si>
  <si>
    <r>
      <rPr>
        <b/>
        <sz val="10"/>
        <color theme="1"/>
        <rFont val="Arial"/>
        <family val="2"/>
      </rPr>
      <t xml:space="preserve">Additional spending (331bn): </t>
    </r>
    <r>
      <rPr>
        <sz val="10"/>
        <color theme="1"/>
        <rFont val="Arial"/>
        <family val="2"/>
      </rPr>
      <t xml:space="preserve">Cash aid to low-income households and social protection measures for vulnerable workers. Subsidies to rice farmers and wages for small businesses. Retraining of displaced workers.
</t>
    </r>
    <r>
      <rPr>
        <b/>
        <sz val="10"/>
        <color theme="1"/>
        <rFont val="Arial"/>
        <family val="2"/>
      </rPr>
      <t xml:space="preserve">
Forgone revenue (42bn)</t>
    </r>
    <r>
      <rPr>
        <sz val="10"/>
        <color theme="1"/>
        <rFont val="Arial"/>
        <family val="2"/>
      </rPr>
      <t xml:space="preserve">: Planned corporate income tax rate reduction from 30 to 20 percent starting in July 2020. </t>
    </r>
  </si>
  <si>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December 31, 2020 but the implementation could span across 2020, 2021, or beyond. Measures are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GDP are based on January 2021 World Economic Outlook Update for 2020 estimates unless otherwise stated. For Argentina, U.S. dollar values use end-December 2020 exchange rate. G20 = Group of Twenty; AE = Advanced Economy; EM = Emerging Market; LIDC = Low Income Developing Country. </t>
  </si>
  <si>
    <t>MMR</t>
  </si>
  <si>
    <t>• Credit recovery program by KAMCO(KRW 2.0tn)
• Loan expansion to SMEs provided by state-backed financial institutions(KRW 21.2tn)
• Support package to stabilize corporate bond and short-term funding market (except P-CBO)(KRW 11.1tn)
• Low-rated corporate bond and CP purchase program(KRW 20.0tn)
• Key Industry Stabilization Fund(KRW 40.0tn)
• Stock Market Stabilization Fund(KRW 10.7tn)
• Bond Market Stabilization Fund(KRW 20.0tn)</t>
  </si>
  <si>
    <t>Table 1. Summary of Country Fiscal Measures in Response to the COVID-19 Pandemic since January 2020</t>
  </si>
  <si>
    <t>(USD billion and percent of 2020 GDP)</t>
  </si>
  <si>
    <t>ab_us</t>
  </si>
  <si>
    <t>health_us</t>
  </si>
  <si>
    <t>nhealth_us</t>
  </si>
  <si>
    <t>acc_us</t>
  </si>
  <si>
    <t>of_us</t>
  </si>
  <si>
    <t>be_us</t>
  </si>
  <si>
    <t>gu_us</t>
  </si>
  <si>
    <t>qf_us</t>
  </si>
  <si>
    <t>ab_per</t>
  </si>
  <si>
    <t>health_per</t>
  </si>
  <si>
    <t>nhealth_per</t>
  </si>
  <si>
    <t>acc_per</t>
  </si>
  <si>
    <t>of_per</t>
  </si>
  <si>
    <t>be_per</t>
  </si>
  <si>
    <t>gu_per</t>
  </si>
  <si>
    <t>Country</t>
  </si>
  <si>
    <t>Year</t>
  </si>
  <si>
    <t>AUT</t>
  </si>
  <si>
    <t>EST</t>
  </si>
  <si>
    <t>GRC</t>
  </si>
  <si>
    <t>ISL</t>
  </si>
  <si>
    <t>IRL</t>
  </si>
  <si>
    <t>ISR</t>
  </si>
  <si>
    <t>LVA</t>
  </si>
  <si>
    <t>LTU</t>
  </si>
  <si>
    <t>LUX</t>
  </si>
  <si>
    <t>PRT</t>
  </si>
  <si>
    <t>SVK</t>
  </si>
  <si>
    <t>SVN</t>
  </si>
  <si>
    <t>CRI</t>
  </si>
  <si>
    <t>HUN</t>
  </si>
  <si>
    <t>GDP 2019 in US Dollar constant PPP 2019</t>
  </si>
  <si>
    <t>in bn</t>
  </si>
  <si>
    <t>GDP 2019 in US Dollar constant Prices 2015</t>
  </si>
  <si>
    <t>health_ppp</t>
  </si>
  <si>
    <t>ab_ppp</t>
  </si>
  <si>
    <t>nhealth_ppp</t>
  </si>
  <si>
    <t>acc_ppp</t>
  </si>
  <si>
    <t>of_ppp</t>
  </si>
  <si>
    <t>be_ppp</t>
  </si>
  <si>
    <t>gu_ppp</t>
  </si>
  <si>
    <t>qf_ppp</t>
  </si>
  <si>
    <t>qf_per</t>
  </si>
  <si>
    <t>nohealth_per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</si>
</sst>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0.0"/>
    <numFmt numFmtId="166" formatCode="_(* #,##0_);_(* \(#,##0\);_(* &quot;-&quot;??_);_(@_)"/>
    <numFmt numFmtId="167" formatCode="_(* #,##0.0_);_(* \(#,##0.0\);_(* &quot;-&quot;??_);_(@_)"/>
    <numFmt numFmtId="168" formatCode="0.0000"/>
    <numFmt numFmtId="169" formatCode="0.00000"/>
    <numFmt numFmtId="170" formatCode="0.000000"/>
    <numFmt numFmtId="171" formatCode="0.00000000000"/>
    <numFmt numFmtId="172" formatCode="&quot;CHF&quot;\ #,##0.00"/>
  </numFmts>
  <fonts count="29">
    <font>
      <sz val="10"/>
      <color theme="1"/>
      <name val="Arial"/>
      <family val="2"/>
    </font>
    <font>
      <sz val="11"/>
      <color theme="1"/>
      <name val="Calibri"/>
      <family val="2"/>
      <scheme val="minor"/>
    </font>
    <font>
      <sz val="10"/>
      <color theme="1"/>
      <name val="Arial"/>
      <family val="2"/>
    </font>
    <font>
      <sz val="11"/>
      <name val="Calibri"/>
      <family val="2"/>
    </font>
    <font>
      <b/>
      <sz val="10"/>
      <color rgb="FF7030A0"/>
      <name val="HelveticaNeueLT Std"/>
      <family val="2"/>
    </font>
    <font>
      <i/>
      <sz val="10"/>
      <color rgb="FF7030A0"/>
      <name val="HelveticaNeueLT Std"/>
    </font>
    <font>
      <b/>
      <sz val="8.5"/>
      <name val="Arial"/>
      <family val="2"/>
    </font>
    <font>
      <b/>
      <i/>
      <sz val="8.5"/>
      <name val="Arial"/>
      <family val="2"/>
    </font>
    <font>
      <sz val="8.5"/>
      <color theme="1"/>
      <name val="Arial"/>
      <family val="2"/>
    </font>
    <font>
      <sz val="9"/>
      <color theme="1"/>
      <name val="Arial"/>
      <family val="2"/>
    </font>
    <font>
      <b/>
      <sz val="8.5"/>
      <color theme="1"/>
      <name val="Arial"/>
      <family val="2"/>
    </font>
    <font>
      <b/>
      <sz val="9"/>
      <color theme="1"/>
      <name val="Arial"/>
      <family val="2"/>
    </font>
    <font>
      <sz val="10"/>
      <color rgb="FFFF0000"/>
      <name val="Arial"/>
      <family val="2"/>
    </font>
    <font>
      <b/>
      <sz val="10"/>
      <color theme="1"/>
      <name val="Arial"/>
      <family val="2"/>
    </font>
    <font>
      <b/>
      <sz val="16"/>
      <color rgb="FF7030A0"/>
      <name val="Arial"/>
      <family val="2"/>
    </font>
    <font>
      <b/>
      <sz val="10"/>
      <color rgb="FF7030A0"/>
      <name val="Arial"/>
      <family val="2"/>
    </font>
    <font>
      <sz val="15"/>
      <color theme="1"/>
      <name val="Arial"/>
      <family val="2"/>
    </font>
    <font>
      <b/>
      <sz val="10"/>
      <name val="Arial"/>
      <family val="2"/>
    </font>
    <font>
      <sz val="10"/>
      <name val="Arial"/>
      <family val="2"/>
    </font>
    <font>
      <sz val="11"/>
      <name val="Calibri"/>
      <family val="2"/>
      <charset val="238"/>
      <scheme val="minor"/>
    </font>
    <font>
      <sz val="10"/>
      <color theme="1"/>
      <name val="Arial"/>
      <family val="1"/>
      <charset val="2"/>
    </font>
    <font>
      <sz val="10"/>
      <color theme="1"/>
      <name val="Calibri"/>
      <family val="2"/>
    </font>
    <font>
      <sz val="10"/>
      <color theme="1"/>
      <name val="Symbol"/>
      <family val="1"/>
      <charset val="2"/>
    </font>
    <font>
      <sz val="7"/>
      <color theme="1"/>
      <name val="Arial"/>
      <family val="2"/>
    </font>
    <font>
      <sz val="10"/>
      <color theme="1"/>
      <name val="Arial"/>
      <family val="2"/>
      <charset val="2"/>
    </font>
    <font>
      <sz val="6.6"/>
      <color theme="1"/>
      <name val="Arial"/>
      <family val="2"/>
    </font>
    <font>
      <sz val="8"/>
      <color theme="1"/>
      <name val="Arial"/>
      <family val="2"/>
    </font>
    <font>
      <b/>
      <sz val="10"/>
      <color theme="1"/>
      <name val="Symbol"/>
      <family val="1"/>
      <charset val="2"/>
    </font>
    <font>
      <b/>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F00"/>
        <bgColor indexed="64"/>
      </patternFill>
    </fill>
  </fills>
  <borders count="13">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theme="0" tint="-0.499984740745262"/>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rgb="FFC0C0C0"/>
      </left>
      <right style="thin">
        <color rgb="FFC0C0C0"/>
      </right>
      <top style="thin">
        <color rgb="FFC0C0C0"/>
      </top>
      <bottom style="thin">
        <color rgb="FFC0C0C0"/>
      </bottom>
      <diagonal/>
    </border>
  </borders>
  <cellStyleXfs count="5">
    <xf numFmtId="0" fontId="0" fillId="0" borderId="0"/>
    <xf numFmtId="164" fontId="2" fillId="0" borderId="0" applyFont="0" applyFill="0" applyBorder="0" applyAlignment="0" applyProtection="0"/>
    <xf numFmtId="0" fontId="3" fillId="0" borderId="0"/>
    <xf numFmtId="0" fontId="1" fillId="0" borderId="0"/>
    <xf numFmtId="43" fontId="1" fillId="0" borderId="0" applyFont="0" applyFill="0" applyBorder="0" applyAlignment="0" applyProtection="0"/>
  </cellStyleXfs>
  <cellXfs count="323">
    <xf numFmtId="0" fontId="0" fillId="0" borderId="0" xfId="0"/>
    <xf numFmtId="0" fontId="4" fillId="2" borderId="0" xfId="2" applyFont="1" applyFill="1"/>
    <xf numFmtId="0" fontId="0" fillId="2" borderId="0" xfId="0" applyFill="1"/>
    <xf numFmtId="0" fontId="5" fillId="2" borderId="0" xfId="2" applyFont="1" applyFill="1"/>
    <xf numFmtId="0" fontId="9" fillId="0" borderId="0" xfId="0" applyFont="1"/>
    <xf numFmtId="0" fontId="8" fillId="2" borderId="0" xfId="0" applyFont="1" applyFill="1" applyAlignment="1">
      <alignment horizontal="center"/>
    </xf>
    <xf numFmtId="0" fontId="10" fillId="2" borderId="0" xfId="0" applyFont="1" applyFill="1"/>
    <xf numFmtId="0" fontId="10" fillId="2" borderId="0" xfId="0" applyFont="1" applyFill="1" applyAlignment="1">
      <alignment wrapText="1"/>
    </xf>
    <xf numFmtId="0" fontId="8" fillId="2" borderId="3" xfId="0" applyFont="1" applyFill="1" applyBorder="1"/>
    <xf numFmtId="165" fontId="8" fillId="2" borderId="3" xfId="0" applyNumberFormat="1" applyFont="1" applyFill="1" applyBorder="1" applyAlignment="1">
      <alignment horizontal="center" vertical="center" wrapText="1"/>
    </xf>
    <xf numFmtId="0" fontId="8" fillId="2" borderId="3" xfId="0" applyFont="1" applyFill="1" applyBorder="1" applyAlignment="1">
      <alignment horizontal="left" vertical="center"/>
    </xf>
    <xf numFmtId="0" fontId="8" fillId="2" borderId="3" xfId="0" applyFont="1" applyFill="1" applyBorder="1" applyAlignment="1">
      <alignment vertical="center" wrapText="1"/>
    </xf>
    <xf numFmtId="0" fontId="8" fillId="2" borderId="3" xfId="0" applyFont="1" applyFill="1" applyBorder="1" applyAlignment="1">
      <alignment horizontal="left" vertical="center" wrapText="1"/>
    </xf>
    <xf numFmtId="0" fontId="11" fillId="2" borderId="0" xfId="0" applyFont="1" applyFill="1"/>
    <xf numFmtId="0" fontId="9" fillId="2" borderId="0" xfId="0" applyFont="1" applyFill="1"/>
    <xf numFmtId="0" fontId="9" fillId="2" borderId="0" xfId="0" applyFont="1" applyFill="1" applyAlignment="1">
      <alignment horizontal="left" indent="1"/>
    </xf>
    <xf numFmtId="0" fontId="0" fillId="2" borderId="0" xfId="0" applyFill="1" applyAlignment="1">
      <alignment horizontal="left" indent="1"/>
    </xf>
    <xf numFmtId="0" fontId="0" fillId="0" borderId="0" xfId="0" applyAlignment="1">
      <alignment horizontal="left" indent="1"/>
    </xf>
    <xf numFmtId="0" fontId="0" fillId="2" borderId="3" xfId="0" applyFill="1" applyBorder="1"/>
    <xf numFmtId="166" fontId="0" fillId="2" borderId="0" xfId="0" applyNumberFormat="1" applyFill="1"/>
    <xf numFmtId="0" fontId="0" fillId="2" borderId="0" xfId="0" applyFill="1" applyAlignment="1">
      <alignment wrapText="1"/>
    </xf>
    <xf numFmtId="0" fontId="14" fillId="2" borderId="3" xfId="0" applyFont="1" applyFill="1" applyBorder="1" applyAlignment="1">
      <alignment horizontal="left" vertical="center"/>
    </xf>
    <xf numFmtId="0" fontId="0" fillId="2" borderId="3" xfId="0" applyFill="1" applyBorder="1" applyAlignment="1">
      <alignment vertical="center"/>
    </xf>
    <xf numFmtId="0" fontId="15" fillId="2" borderId="3" xfId="0" applyFont="1" applyFill="1" applyBorder="1" applyAlignment="1">
      <alignment horizontal="left" vertical="center"/>
    </xf>
    <xf numFmtId="165" fontId="13" fillId="2" borderId="3" xfId="0" applyNumberFormat="1" applyFont="1" applyFill="1" applyBorder="1" applyAlignment="1">
      <alignment horizontal="center" vertical="center"/>
    </xf>
    <xf numFmtId="0" fontId="0" fillId="2" borderId="3" xfId="0" applyFill="1" applyBorder="1" applyAlignment="1">
      <alignment horizontal="left" vertical="center"/>
    </xf>
    <xf numFmtId="165" fontId="2" fillId="2" borderId="3" xfId="1" applyNumberFormat="1" applyFont="1" applyFill="1" applyBorder="1" applyAlignment="1">
      <alignment horizontal="center" vertical="center"/>
    </xf>
    <xf numFmtId="165" fontId="0" fillId="2" borderId="3" xfId="0" applyNumberFormat="1" applyFill="1" applyBorder="1" applyAlignment="1">
      <alignment horizontal="center" vertical="center"/>
    </xf>
    <xf numFmtId="0" fontId="0" fillId="2" borderId="0" xfId="0" applyFill="1" applyAlignment="1">
      <alignment horizontal="left" vertical="center"/>
    </xf>
    <xf numFmtId="0" fontId="0" fillId="2" borderId="0" xfId="0" applyFill="1" applyAlignment="1">
      <alignment vertical="center"/>
    </xf>
    <xf numFmtId="0" fontId="0" fillId="2" borderId="2" xfId="0" applyFill="1" applyBorder="1" applyAlignment="1">
      <alignment vertical="center" wrapText="1"/>
    </xf>
    <xf numFmtId="0" fontId="0" fillId="2" borderId="2" xfId="0" applyFill="1" applyBorder="1" applyAlignment="1">
      <alignment vertical="center" textRotation="90" wrapText="1"/>
    </xf>
    <xf numFmtId="165" fontId="13" fillId="2" borderId="2" xfId="0" applyNumberFormat="1" applyFont="1" applyFill="1" applyBorder="1" applyAlignment="1">
      <alignment vertical="center" wrapText="1"/>
    </xf>
    <xf numFmtId="165" fontId="13" fillId="2" borderId="2" xfId="1" applyNumberFormat="1" applyFont="1" applyFill="1" applyBorder="1" applyAlignment="1">
      <alignment vertical="center" wrapText="1"/>
    </xf>
    <xf numFmtId="0" fontId="0" fillId="4" borderId="0" xfId="0" applyFill="1" applyAlignment="1">
      <alignment horizontal="left" vertical="center"/>
    </xf>
    <xf numFmtId="0" fontId="0" fillId="2" borderId="3" xfId="0" applyFill="1" applyBorder="1" applyAlignment="1">
      <alignment horizontal="center" vertical="center" wrapText="1"/>
    </xf>
    <xf numFmtId="0" fontId="0" fillId="2" borderId="0" xfId="0" applyFill="1" applyAlignment="1">
      <alignment vertical="center" wrapText="1"/>
    </xf>
    <xf numFmtId="0" fontId="0" fillId="0" borderId="3" xfId="0" applyBorder="1" applyAlignment="1">
      <alignment horizontal="center" vertical="center" textRotation="90" wrapText="1"/>
    </xf>
    <xf numFmtId="0" fontId="0" fillId="2" borderId="3" xfId="0" applyFill="1" applyBorder="1" applyAlignment="1">
      <alignment vertical="center" textRotation="90" wrapText="1"/>
    </xf>
    <xf numFmtId="0" fontId="0" fillId="2" borderId="3" xfId="0" applyFill="1" applyBorder="1" applyAlignment="1">
      <alignment vertical="center" wrapText="1"/>
    </xf>
    <xf numFmtId="0" fontId="0" fillId="0" borderId="3" xfId="0" applyBorder="1" applyAlignment="1">
      <alignment vertical="center" textRotation="90" wrapText="1"/>
    </xf>
    <xf numFmtId="165" fontId="13" fillId="2" borderId="3" xfId="0" applyNumberFormat="1" applyFont="1" applyFill="1" applyBorder="1" applyAlignment="1">
      <alignment horizontal="center" vertical="center" wrapText="1"/>
    </xf>
    <xf numFmtId="165" fontId="0" fillId="2" borderId="3" xfId="0" applyNumberFormat="1" applyFill="1" applyBorder="1" applyAlignment="1">
      <alignment horizontal="center" vertical="center" wrapText="1"/>
    </xf>
    <xf numFmtId="165" fontId="13" fillId="2" borderId="3" xfId="1" applyNumberFormat="1" applyFont="1" applyFill="1" applyBorder="1" applyAlignment="1">
      <alignment horizontal="center" vertical="center" wrapText="1"/>
    </xf>
    <xf numFmtId="165" fontId="0" fillId="2" borderId="3" xfId="1" applyNumberFormat="1" applyFont="1" applyFill="1" applyBorder="1" applyAlignment="1">
      <alignment horizontal="center" vertical="center" wrapText="1"/>
    </xf>
    <xf numFmtId="0" fontId="0" fillId="2" borderId="3" xfId="0" applyFill="1" applyBorder="1" applyAlignment="1">
      <alignment horizontal="left" vertical="center" textRotation="90" wrapText="1"/>
    </xf>
    <xf numFmtId="0" fontId="0" fillId="2" borderId="3" xfId="0" applyFill="1" applyBorder="1" applyAlignment="1">
      <alignment wrapText="1"/>
    </xf>
    <xf numFmtId="0" fontId="0" fillId="5" borderId="0" xfId="0" applyFill="1" applyAlignment="1">
      <alignment horizontal="left" vertical="center" textRotation="90"/>
    </xf>
    <xf numFmtId="1" fontId="0" fillId="5" borderId="0" xfId="0" applyNumberFormat="1" applyFill="1" applyAlignment="1">
      <alignment horizontal="center" vertical="center" wrapText="1"/>
    </xf>
    <xf numFmtId="165" fontId="0" fillId="5" borderId="0" xfId="0" applyNumberFormat="1" applyFill="1" applyAlignment="1">
      <alignment horizontal="center" vertical="center"/>
    </xf>
    <xf numFmtId="165" fontId="18" fillId="5" borderId="0" xfId="0" applyNumberFormat="1" applyFont="1" applyFill="1" applyAlignment="1">
      <alignment horizontal="left" vertical="center" wrapText="1"/>
    </xf>
    <xf numFmtId="1" fontId="0" fillId="5" borderId="0" xfId="0" applyNumberFormat="1" applyFill="1" applyAlignment="1">
      <alignment horizontal="center" vertical="center"/>
    </xf>
    <xf numFmtId="1" fontId="2" fillId="5" borderId="0" xfId="1" applyNumberFormat="1" applyFont="1" applyFill="1" applyBorder="1" applyAlignment="1">
      <alignment horizontal="center" vertical="center" wrapText="1"/>
    </xf>
    <xf numFmtId="1" fontId="18" fillId="5" borderId="0" xfId="0" applyNumberFormat="1" applyFont="1" applyFill="1" applyAlignment="1">
      <alignment horizontal="center" vertical="center"/>
    </xf>
    <xf numFmtId="1" fontId="0" fillId="5" borderId="0" xfId="1" applyNumberFormat="1" applyFont="1" applyFill="1" applyBorder="1" applyAlignment="1">
      <alignment horizontal="center" vertical="center"/>
    </xf>
    <xf numFmtId="0" fontId="0" fillId="5" borderId="3" xfId="0" applyFill="1" applyBorder="1" applyAlignment="1">
      <alignment horizontal="left" vertical="center" textRotation="90"/>
    </xf>
    <xf numFmtId="165" fontId="0" fillId="5" borderId="3" xfId="0" applyNumberFormat="1" applyFill="1" applyBorder="1" applyAlignment="1">
      <alignment horizontal="center" vertical="center"/>
    </xf>
    <xf numFmtId="165" fontId="18" fillId="5" borderId="3" xfId="0" applyNumberFormat="1" applyFont="1" applyFill="1" applyBorder="1" applyAlignment="1">
      <alignment horizontal="center" vertical="center"/>
    </xf>
    <xf numFmtId="165" fontId="2" fillId="5" borderId="3" xfId="1" applyNumberFormat="1" applyFont="1" applyFill="1" applyBorder="1" applyAlignment="1">
      <alignment horizontal="center" vertical="center"/>
    </xf>
    <xf numFmtId="165" fontId="0" fillId="5" borderId="0" xfId="1" applyNumberFormat="1" applyFont="1" applyFill="1" applyBorder="1" applyAlignment="1">
      <alignment horizontal="center" vertical="center"/>
    </xf>
    <xf numFmtId="0" fontId="0" fillId="2" borderId="2" xfId="0" applyFill="1" applyBorder="1" applyAlignment="1">
      <alignment horizontal="left" vertical="center"/>
    </xf>
    <xf numFmtId="0" fontId="0" fillId="5" borderId="2" xfId="0" applyFill="1" applyBorder="1" applyAlignment="1">
      <alignment horizontal="left" vertical="center" textRotation="90"/>
    </xf>
    <xf numFmtId="1" fontId="0" fillId="5" borderId="2" xfId="0" applyNumberFormat="1" applyFill="1" applyBorder="1" applyAlignment="1">
      <alignment horizontal="center" vertical="center"/>
    </xf>
    <xf numFmtId="1" fontId="0" fillId="5" borderId="2" xfId="0" applyNumberFormat="1" applyFill="1" applyBorder="1" applyAlignment="1">
      <alignment vertical="center" wrapText="1"/>
    </xf>
    <xf numFmtId="165" fontId="2" fillId="5" borderId="2" xfId="1" applyNumberFormat="1" applyFont="1" applyFill="1" applyBorder="1" applyAlignment="1">
      <alignment horizontal="center" vertical="center"/>
    </xf>
    <xf numFmtId="165" fontId="0" fillId="5" borderId="2" xfId="0" applyNumberFormat="1" applyFill="1" applyBorder="1" applyAlignment="1">
      <alignment horizontal="center" vertical="center"/>
    </xf>
    <xf numFmtId="0" fontId="0" fillId="2" borderId="2" xfId="0" applyFill="1" applyBorder="1" applyAlignment="1">
      <alignment vertical="center"/>
    </xf>
    <xf numFmtId="1" fontId="0" fillId="5" borderId="0" xfId="0" applyNumberFormat="1" applyFill="1" applyAlignment="1">
      <alignment vertical="center" wrapText="1"/>
    </xf>
    <xf numFmtId="165" fontId="2" fillId="5" borderId="0" xfId="1" applyNumberFormat="1" applyFont="1" applyFill="1" applyBorder="1" applyAlignment="1">
      <alignment horizontal="center" vertical="center"/>
    </xf>
    <xf numFmtId="165" fontId="0" fillId="5" borderId="3" xfId="0" applyNumberFormat="1" applyFill="1" applyBorder="1" applyAlignment="1">
      <alignment horizontal="right" vertical="center"/>
    </xf>
    <xf numFmtId="1" fontId="2" fillId="5" borderId="2" xfId="1" applyNumberFormat="1" applyFont="1" applyFill="1" applyBorder="1" applyAlignment="1">
      <alignment horizontal="center" vertical="center"/>
    </xf>
    <xf numFmtId="0" fontId="0" fillId="5" borderId="2" xfId="0" applyFill="1" applyBorder="1" applyAlignment="1">
      <alignment horizontal="left" vertical="center"/>
    </xf>
    <xf numFmtId="1" fontId="2" fillId="5" borderId="0" xfId="1" applyNumberFormat="1" applyFont="1" applyFill="1" applyBorder="1" applyAlignment="1">
      <alignment horizontal="center" vertical="center"/>
    </xf>
    <xf numFmtId="1" fontId="0" fillId="5" borderId="2" xfId="0" applyNumberFormat="1" applyFill="1" applyBorder="1" applyAlignment="1">
      <alignment horizontal="center" vertical="center" wrapText="1"/>
    </xf>
    <xf numFmtId="0" fontId="0" fillId="5" borderId="2" xfId="0" applyFill="1" applyBorder="1" applyAlignment="1">
      <alignment horizontal="center" vertical="center" wrapText="1"/>
    </xf>
    <xf numFmtId="166" fontId="0" fillId="5" borderId="2" xfId="1" applyNumberFormat="1" applyFont="1" applyFill="1" applyBorder="1" applyAlignment="1">
      <alignment horizontal="center" vertical="center"/>
    </xf>
    <xf numFmtId="0" fontId="0" fillId="2" borderId="2" xfId="0" applyFill="1" applyBorder="1"/>
    <xf numFmtId="165" fontId="0" fillId="5" borderId="0" xfId="0" applyNumberFormat="1" applyFill="1" applyAlignment="1">
      <alignment horizontal="left" vertical="center" wrapText="1"/>
    </xf>
    <xf numFmtId="166" fontId="0" fillId="5" borderId="0" xfId="1" applyNumberFormat="1" applyFont="1" applyFill="1" applyBorder="1" applyAlignment="1">
      <alignment horizontal="center" vertical="center"/>
    </xf>
    <xf numFmtId="165" fontId="0" fillId="5" borderId="3" xfId="0" applyNumberFormat="1" applyFill="1" applyBorder="1" applyAlignment="1">
      <alignment horizontal="left" vertical="center" wrapText="1"/>
    </xf>
    <xf numFmtId="2" fontId="0" fillId="5" borderId="3" xfId="0" applyNumberFormat="1" applyFill="1" applyBorder="1" applyAlignment="1">
      <alignment horizontal="center" vertical="center"/>
    </xf>
    <xf numFmtId="166" fontId="18" fillId="5" borderId="2" xfId="0" applyNumberFormat="1" applyFont="1" applyFill="1" applyBorder="1" applyAlignment="1">
      <alignment horizontal="center" vertical="center"/>
    </xf>
    <xf numFmtId="166" fontId="2" fillId="5" borderId="2" xfId="1" applyNumberFormat="1" applyFill="1" applyBorder="1" applyAlignment="1">
      <alignment horizontal="center" vertical="center"/>
    </xf>
    <xf numFmtId="166" fontId="18" fillId="5" borderId="2" xfId="1" applyNumberFormat="1" applyFont="1" applyFill="1" applyBorder="1" applyAlignment="1">
      <alignment horizontal="center" vertical="center"/>
    </xf>
    <xf numFmtId="1" fontId="2" fillId="5" borderId="0" xfId="1" applyNumberFormat="1" applyFill="1" applyAlignment="1">
      <alignment horizontal="center" vertical="center"/>
    </xf>
    <xf numFmtId="166" fontId="0" fillId="5" borderId="0" xfId="0" applyNumberFormat="1" applyFill="1" applyAlignment="1">
      <alignment vertical="center"/>
    </xf>
    <xf numFmtId="165" fontId="2" fillId="5" borderId="3" xfId="1" applyNumberFormat="1" applyFill="1" applyBorder="1" applyAlignment="1">
      <alignment horizontal="center" vertical="center"/>
    </xf>
    <xf numFmtId="167" fontId="0" fillId="5" borderId="0" xfId="0" applyNumberFormat="1" applyFill="1" applyAlignment="1">
      <alignment vertical="center"/>
    </xf>
    <xf numFmtId="166" fontId="18" fillId="5" borderId="2" xfId="1" applyNumberFormat="1" applyFont="1" applyFill="1" applyBorder="1" applyAlignment="1">
      <alignment horizontal="left" vertical="center"/>
    </xf>
    <xf numFmtId="37" fontId="18" fillId="5" borderId="2" xfId="0" applyNumberFormat="1" applyFont="1" applyFill="1" applyBorder="1" applyAlignment="1">
      <alignment horizontal="center" vertical="center"/>
    </xf>
    <xf numFmtId="3" fontId="18" fillId="5" borderId="2" xfId="0" applyNumberFormat="1" applyFont="1" applyFill="1" applyBorder="1" applyAlignment="1">
      <alignment horizontal="center" vertical="center"/>
    </xf>
    <xf numFmtId="165" fontId="18" fillId="5" borderId="0" xfId="0" applyNumberFormat="1" applyFont="1" applyFill="1" applyAlignment="1">
      <alignment horizontal="center" vertical="center"/>
    </xf>
    <xf numFmtId="1" fontId="2" fillId="5" borderId="0" xfId="0" applyNumberFormat="1" applyFont="1" applyFill="1" applyAlignment="1">
      <alignment horizontal="center" vertical="center"/>
    </xf>
    <xf numFmtId="165" fontId="2" fillId="5" borderId="3" xfId="0" applyNumberFormat="1" applyFont="1" applyFill="1" applyBorder="1" applyAlignment="1">
      <alignment horizontal="center" vertical="center"/>
    </xf>
    <xf numFmtId="167" fontId="0" fillId="5" borderId="3" xfId="0" applyNumberFormat="1" applyFill="1" applyBorder="1" applyAlignment="1">
      <alignment vertical="center"/>
    </xf>
    <xf numFmtId="165" fontId="0" fillId="5" borderId="2" xfId="0" applyNumberFormat="1" applyFill="1" applyBorder="1" applyAlignment="1">
      <alignment horizontal="center" vertical="center" wrapText="1"/>
    </xf>
    <xf numFmtId="165" fontId="2" fillId="5" borderId="2" xfId="1" applyNumberFormat="1" applyFont="1" applyFill="1" applyBorder="1" applyAlignment="1">
      <alignment horizontal="center" vertical="center" wrapText="1"/>
    </xf>
    <xf numFmtId="165" fontId="0" fillId="5" borderId="0" xfId="0" applyNumberFormat="1" applyFill="1" applyAlignment="1">
      <alignment horizontal="center" vertical="center" wrapText="1"/>
    </xf>
    <xf numFmtId="165" fontId="2" fillId="5" borderId="0" xfId="0" applyNumberFormat="1" applyFont="1" applyFill="1" applyAlignment="1">
      <alignment horizontal="center" vertical="center"/>
    </xf>
    <xf numFmtId="165" fontId="0" fillId="5" borderId="3" xfId="0" applyNumberFormat="1" applyFill="1" applyBorder="1" applyAlignment="1">
      <alignment horizontal="center" vertical="center" wrapText="1"/>
    </xf>
    <xf numFmtId="1" fontId="18" fillId="5" borderId="2" xfId="1" applyNumberFormat="1" applyFont="1" applyFill="1" applyBorder="1" applyAlignment="1">
      <alignment horizontal="center" vertical="center"/>
    </xf>
    <xf numFmtId="0" fontId="0" fillId="5" borderId="0" xfId="0" applyFill="1" applyAlignment="1">
      <alignment horizontal="center" vertical="center" wrapText="1"/>
    </xf>
    <xf numFmtId="165" fontId="0" fillId="5" borderId="3" xfId="1" applyNumberFormat="1" applyFont="1" applyFill="1" applyBorder="1" applyAlignment="1">
      <alignment horizontal="center" vertical="center"/>
    </xf>
    <xf numFmtId="1" fontId="18" fillId="5" borderId="0" xfId="0" applyNumberFormat="1" applyFont="1" applyFill="1" applyAlignment="1">
      <alignment horizontal="center" vertical="center" wrapText="1"/>
    </xf>
    <xf numFmtId="1" fontId="0" fillId="5" borderId="2" xfId="1" applyNumberFormat="1" applyFont="1" applyFill="1" applyBorder="1" applyAlignment="1">
      <alignment horizontal="center" vertical="center"/>
    </xf>
    <xf numFmtId="166" fontId="0" fillId="5" borderId="2" xfId="1" applyNumberFormat="1" applyFont="1" applyFill="1" applyBorder="1" applyAlignment="1">
      <alignment horizontal="center" vertical="center" wrapText="1"/>
    </xf>
    <xf numFmtId="1" fontId="2" fillId="5" borderId="2" xfId="1" applyNumberFormat="1" applyFont="1" applyFill="1" applyBorder="1" applyAlignment="1">
      <alignment horizontal="center" vertical="center" wrapText="1"/>
    </xf>
    <xf numFmtId="166" fontId="18" fillId="5" borderId="2" xfId="1" applyNumberFormat="1" applyFont="1" applyFill="1" applyBorder="1" applyAlignment="1">
      <alignment horizontal="center" vertical="center" wrapText="1"/>
    </xf>
    <xf numFmtId="3" fontId="0" fillId="5" borderId="2" xfId="0" applyNumberFormat="1" applyFill="1" applyBorder="1" applyAlignment="1">
      <alignment horizontal="center" vertical="center" wrapText="1"/>
    </xf>
    <xf numFmtId="166" fontId="18" fillId="5" borderId="2" xfId="0" applyNumberFormat="1" applyFont="1" applyFill="1" applyBorder="1" applyAlignment="1">
      <alignment horizontal="center" vertical="center" wrapText="1"/>
    </xf>
    <xf numFmtId="166" fontId="2" fillId="5" borderId="2" xfId="1" applyNumberFormat="1" applyFont="1" applyFill="1" applyBorder="1" applyAlignment="1">
      <alignment horizontal="center" vertical="center" wrapText="1"/>
    </xf>
    <xf numFmtId="3" fontId="12" fillId="5" borderId="2" xfId="0" applyNumberFormat="1" applyFont="1" applyFill="1" applyBorder="1" applyAlignment="1">
      <alignment horizontal="left" vertical="center" wrapText="1"/>
    </xf>
    <xf numFmtId="165" fontId="12" fillId="5" borderId="0" xfId="0" applyNumberFormat="1" applyFont="1" applyFill="1" applyAlignment="1">
      <alignment horizontal="left" vertical="center" wrapText="1"/>
    </xf>
    <xf numFmtId="165" fontId="12" fillId="5" borderId="3" xfId="0" applyNumberFormat="1" applyFont="1" applyFill="1" applyBorder="1" applyAlignment="1">
      <alignment horizontal="left" vertical="center" wrapText="1"/>
    </xf>
    <xf numFmtId="0" fontId="0" fillId="0" borderId="0" xfId="0" applyAlignment="1">
      <alignment vertical="center" wrapText="1"/>
    </xf>
    <xf numFmtId="165" fontId="18" fillId="5" borderId="0" xfId="0" applyNumberFormat="1" applyFont="1" applyFill="1" applyAlignment="1">
      <alignment horizontal="center" vertical="center" wrapText="1"/>
    </xf>
    <xf numFmtId="165" fontId="0" fillId="5" borderId="0" xfId="0" applyNumberFormat="1" applyFill="1" applyAlignment="1">
      <alignment vertical="center" wrapText="1"/>
    </xf>
    <xf numFmtId="1" fontId="18" fillId="5" borderId="2" xfId="0" applyNumberFormat="1" applyFont="1" applyFill="1" applyBorder="1" applyAlignment="1">
      <alignment horizontal="center" vertical="center" wrapText="1"/>
    </xf>
    <xf numFmtId="165" fontId="18" fillId="5" borderId="3" xfId="0" applyNumberFormat="1" applyFont="1" applyFill="1" applyBorder="1" applyAlignment="1">
      <alignment horizontal="center" vertical="center" wrapText="1"/>
    </xf>
    <xf numFmtId="1" fontId="19" fillId="5" borderId="2" xfId="0" applyNumberFormat="1" applyFont="1" applyFill="1" applyBorder="1" applyAlignment="1">
      <alignment horizontal="center" vertical="center" wrapText="1"/>
    </xf>
    <xf numFmtId="1" fontId="19" fillId="5" borderId="2" xfId="1" applyNumberFormat="1" applyFont="1" applyFill="1" applyBorder="1" applyAlignment="1">
      <alignment horizontal="center" vertical="center" wrapText="1"/>
    </xf>
    <xf numFmtId="165" fontId="2" fillId="5" borderId="0" xfId="1" applyNumberFormat="1" applyFont="1" applyFill="1" applyBorder="1" applyAlignment="1">
      <alignment horizontal="center" vertical="center" wrapText="1"/>
    </xf>
    <xf numFmtId="165" fontId="18" fillId="5" borderId="2" xfId="0" applyNumberFormat="1" applyFont="1" applyFill="1" applyBorder="1" applyAlignment="1">
      <alignment horizontal="center" vertical="center"/>
    </xf>
    <xf numFmtId="1" fontId="18" fillId="5" borderId="2" xfId="0" applyNumberFormat="1" applyFont="1" applyFill="1" applyBorder="1" applyAlignment="1">
      <alignment horizontal="center" vertical="center"/>
    </xf>
    <xf numFmtId="0" fontId="0" fillId="5" borderId="0" xfId="0" applyFill="1" applyAlignment="1">
      <alignment horizontal="left" wrapText="1"/>
    </xf>
    <xf numFmtId="165" fontId="18" fillId="5" borderId="0" xfId="1" applyNumberFormat="1" applyFont="1" applyFill="1" applyBorder="1" applyAlignment="1">
      <alignment horizontal="center" vertical="center"/>
    </xf>
    <xf numFmtId="1" fontId="0" fillId="5" borderId="3" xfId="0" applyNumberFormat="1" applyFill="1" applyBorder="1" applyAlignment="1">
      <alignment horizontal="center" vertical="center"/>
    </xf>
    <xf numFmtId="166" fontId="2" fillId="5" borderId="2" xfId="1" applyNumberFormat="1" applyFont="1" applyFill="1" applyBorder="1" applyAlignment="1">
      <alignment horizontal="left" vertical="center" wrapText="1"/>
    </xf>
    <xf numFmtId="165" fontId="12" fillId="5" borderId="0" xfId="0" applyNumberFormat="1" applyFont="1" applyFill="1" applyAlignment="1">
      <alignment horizontal="center" vertical="center"/>
    </xf>
    <xf numFmtId="0" fontId="0" fillId="5" borderId="3" xfId="0" applyFill="1" applyBorder="1" applyAlignment="1">
      <alignment horizontal="center" vertical="center" wrapText="1"/>
    </xf>
    <xf numFmtId="0" fontId="0" fillId="5" borderId="4" xfId="0" applyFill="1" applyBorder="1" applyAlignment="1">
      <alignment horizontal="left" vertical="center" textRotation="90"/>
    </xf>
    <xf numFmtId="1" fontId="0" fillId="5" borderId="2" xfId="1" applyNumberFormat="1" applyFont="1" applyFill="1" applyBorder="1" applyAlignment="1">
      <alignment horizontal="center" vertical="center" wrapText="1"/>
    </xf>
    <xf numFmtId="0" fontId="2" fillId="0" borderId="0" xfId="0" applyFont="1" applyAlignment="1">
      <alignment vertical="center"/>
    </xf>
    <xf numFmtId="165" fontId="0" fillId="5" borderId="2" xfId="0" applyNumberFormat="1" applyFill="1" applyBorder="1" applyAlignment="1">
      <alignment vertical="center" wrapText="1"/>
    </xf>
    <xf numFmtId="165" fontId="0" fillId="5" borderId="2" xfId="1" applyNumberFormat="1" applyFont="1" applyFill="1" applyBorder="1" applyAlignment="1">
      <alignment horizontal="center" vertical="center" wrapText="1"/>
    </xf>
    <xf numFmtId="165" fontId="18" fillId="5" borderId="0" xfId="1" applyNumberFormat="1" applyFont="1" applyFill="1" applyAlignment="1">
      <alignment horizontal="center" vertical="center"/>
    </xf>
    <xf numFmtId="0" fontId="0" fillId="2" borderId="2" xfId="0" applyFill="1" applyBorder="1" applyAlignment="1">
      <alignment horizontal="left" vertical="center" textRotation="90"/>
    </xf>
    <xf numFmtId="1" fontId="0" fillId="5" borderId="0" xfId="0" applyNumberFormat="1" applyFill="1" applyAlignment="1">
      <alignment horizontal="right" vertical="center"/>
    </xf>
    <xf numFmtId="165" fontId="0" fillId="5" borderId="0" xfId="0" applyNumberFormat="1" applyFill="1" applyAlignment="1">
      <alignment horizontal="right" vertical="center"/>
    </xf>
    <xf numFmtId="1" fontId="0" fillId="5" borderId="2" xfId="0" applyNumberFormat="1" applyFill="1" applyBorder="1" applyAlignment="1">
      <alignment horizontal="right" vertical="center"/>
    </xf>
    <xf numFmtId="166" fontId="0" fillId="5" borderId="2" xfId="1" applyNumberFormat="1" applyFont="1" applyFill="1" applyBorder="1" applyAlignment="1">
      <alignment vertical="center" wrapText="1"/>
    </xf>
    <xf numFmtId="166" fontId="0" fillId="5" borderId="2" xfId="0" applyNumberFormat="1" applyFill="1" applyBorder="1" applyAlignment="1">
      <alignment horizontal="center" vertical="center" wrapText="1"/>
    </xf>
    <xf numFmtId="167" fontId="0" fillId="5" borderId="0" xfId="0" applyNumberFormat="1" applyFill="1" applyAlignment="1">
      <alignment horizontal="left" vertical="center"/>
    </xf>
    <xf numFmtId="167" fontId="0" fillId="5" borderId="3" xfId="0" applyNumberFormat="1" applyFill="1" applyBorder="1" applyAlignment="1">
      <alignment horizontal="left" vertical="center"/>
    </xf>
    <xf numFmtId="167" fontId="0" fillId="5" borderId="2" xfId="0" applyNumberFormat="1" applyFill="1" applyBorder="1" applyAlignment="1">
      <alignment horizontal="left" vertical="center"/>
    </xf>
    <xf numFmtId="165" fontId="0" fillId="2" borderId="0" xfId="0" applyNumberFormat="1" applyFill="1" applyAlignment="1">
      <alignment horizontal="center" vertical="center"/>
    </xf>
    <xf numFmtId="165" fontId="2" fillId="2" borderId="0" xfId="1" applyNumberFormat="1" applyFont="1" applyFill="1" applyBorder="1" applyAlignment="1">
      <alignment horizontal="center" vertical="center"/>
    </xf>
    <xf numFmtId="0" fontId="0" fillId="0" borderId="0" xfId="0" applyAlignment="1">
      <alignment horizontal="center" vertical="center"/>
    </xf>
    <xf numFmtId="0" fontId="18" fillId="0" borderId="0" xfId="0" applyFont="1"/>
    <xf numFmtId="0" fontId="18" fillId="0" borderId="6" xfId="0" applyFont="1" applyBorder="1"/>
    <xf numFmtId="0" fontId="18" fillId="0" borderId="2" xfId="0" applyFont="1" applyBorder="1"/>
    <xf numFmtId="0" fontId="3" fillId="0" borderId="2" xfId="2" applyBorder="1"/>
    <xf numFmtId="0" fontId="3" fillId="0" borderId="7" xfId="2" applyBorder="1"/>
    <xf numFmtId="0" fontId="18" fillId="0" borderId="5" xfId="0" applyFont="1" applyBorder="1"/>
    <xf numFmtId="165" fontId="18" fillId="0" borderId="0" xfId="0" applyNumberFormat="1" applyFont="1"/>
    <xf numFmtId="0" fontId="18" fillId="0" borderId="8" xfId="0" applyFont="1" applyBorder="1"/>
    <xf numFmtId="2" fontId="18" fillId="0" borderId="0" xfId="0" applyNumberFormat="1" applyFont="1"/>
    <xf numFmtId="0" fontId="18" fillId="0" borderId="0" xfId="0" quotePrefix="1" applyFont="1"/>
    <xf numFmtId="0" fontId="18" fillId="0" borderId="9" xfId="0" applyFont="1" applyBorder="1"/>
    <xf numFmtId="0" fontId="18" fillId="0" borderId="3" xfId="0" applyFont="1" applyBorder="1"/>
    <xf numFmtId="1" fontId="18" fillId="0" borderId="0" xfId="0" applyNumberFormat="1" applyFont="1"/>
    <xf numFmtId="1" fontId="18" fillId="0" borderId="8" xfId="0" applyNumberFormat="1" applyFont="1" applyBorder="1"/>
    <xf numFmtId="0" fontId="18" fillId="0" borderId="10" xfId="0" applyFont="1" applyBorder="1"/>
    <xf numFmtId="0" fontId="3" fillId="0" borderId="0" xfId="2"/>
    <xf numFmtId="0" fontId="3" fillId="0" borderId="8" xfId="2" applyBorder="1"/>
    <xf numFmtId="165" fontId="18" fillId="0" borderId="3" xfId="0" applyNumberFormat="1" applyFont="1" applyBorder="1"/>
    <xf numFmtId="0" fontId="13" fillId="2" borderId="0" xfId="0" applyFont="1" applyFill="1"/>
    <xf numFmtId="165" fontId="0" fillId="5" borderId="0" xfId="1" applyNumberFormat="1" applyFont="1" applyFill="1" applyBorder="1" applyAlignment="1">
      <alignment horizontal="center" vertical="center" wrapText="1"/>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3" xfId="0" applyFill="1" applyBorder="1" applyAlignment="1">
      <alignment horizontal="left" vertical="center" wrapText="1"/>
    </xf>
    <xf numFmtId="0" fontId="0" fillId="2" borderId="0" xfId="0" applyFill="1" applyAlignment="1">
      <alignment horizontal="left" vertical="center" wrapText="1"/>
    </xf>
    <xf numFmtId="0" fontId="12" fillId="5" borderId="0" xfId="0" applyFont="1" applyFill="1" applyAlignment="1">
      <alignment horizontal="left" vertical="center" wrapText="1"/>
    </xf>
    <xf numFmtId="0" fontId="12" fillId="5" borderId="3" xfId="0" applyFont="1" applyFill="1" applyBorder="1" applyAlignment="1">
      <alignment horizontal="left" vertical="center" wrapText="1"/>
    </xf>
    <xf numFmtId="0" fontId="0" fillId="2" borderId="0" xfId="0" applyFill="1" applyAlignment="1">
      <alignment horizontal="center" vertical="center"/>
    </xf>
    <xf numFmtId="0" fontId="0" fillId="5" borderId="2" xfId="0" applyFill="1" applyBorder="1" applyAlignment="1">
      <alignment vertical="center" wrapText="1"/>
    </xf>
    <xf numFmtId="0" fontId="0" fillId="5" borderId="0" xfId="0" applyFill="1" applyAlignment="1">
      <alignment vertical="center" wrapText="1"/>
    </xf>
    <xf numFmtId="0" fontId="18" fillId="5" borderId="2" xfId="0" applyFont="1" applyFill="1" applyBorder="1" applyAlignment="1">
      <alignment horizontal="left" vertical="center" wrapText="1"/>
    </xf>
    <xf numFmtId="0" fontId="18" fillId="5" borderId="0" xfId="0" applyFont="1" applyFill="1" applyAlignment="1">
      <alignment horizontal="left" vertical="center" wrapText="1"/>
    </xf>
    <xf numFmtId="0" fontId="18" fillId="5" borderId="3" xfId="0"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2" xfId="0" applyNumberFormat="1" applyFill="1" applyBorder="1" applyAlignment="1">
      <alignment horizontal="left" vertical="center" wrapText="1"/>
    </xf>
    <xf numFmtId="0" fontId="12" fillId="5" borderId="2" xfId="0" applyFont="1"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5" borderId="0" xfId="0" applyFill="1" applyAlignment="1">
      <alignment horizontal="left" vertical="center"/>
    </xf>
    <xf numFmtId="0" fontId="0" fillId="5" borderId="3" xfId="0" applyFill="1" applyBorder="1" applyAlignment="1">
      <alignment horizontal="left" vertical="center"/>
    </xf>
    <xf numFmtId="0" fontId="18" fillId="5" borderId="2" xfId="0" applyFont="1" applyFill="1" applyBorder="1" applyAlignment="1">
      <alignment horizontal="center" vertical="center" wrapText="1"/>
    </xf>
    <xf numFmtId="0" fontId="18" fillId="5" borderId="0" xfId="0" applyFont="1" applyFill="1" applyAlignment="1">
      <alignment horizontal="center" vertical="center" wrapText="1"/>
    </xf>
    <xf numFmtId="0" fontId="8" fillId="2" borderId="3" xfId="0" applyFont="1" applyFill="1" applyBorder="1" applyAlignment="1">
      <alignment horizontal="center" vertical="center" wrapText="1"/>
    </xf>
    <xf numFmtId="169" fontId="9" fillId="0" borderId="0" xfId="1" applyNumberFormat="1" applyFont="1" applyFill="1" applyAlignment="1"/>
    <xf numFmtId="169" fontId="11" fillId="0" borderId="0" xfId="1" applyNumberFormat="1" applyFont="1" applyFill="1" applyAlignment="1">
      <alignment horizontal="right"/>
    </xf>
    <xf numFmtId="169" fontId="11" fillId="0" borderId="0" xfId="1" applyNumberFormat="1" applyFont="1" applyFill="1" applyAlignment="1"/>
    <xf numFmtId="170" fontId="11" fillId="0" borderId="0" xfId="1" applyNumberFormat="1" applyFont="1" applyFill="1" applyAlignment="1">
      <alignment horizontal="right"/>
    </xf>
    <xf numFmtId="170" fontId="9" fillId="0" borderId="0" xfId="1" applyNumberFormat="1" applyFont="1" applyFill="1" applyAlignment="1"/>
    <xf numFmtId="170" fontId="11" fillId="0" borderId="0" xfId="1" applyNumberFormat="1" applyFont="1" applyFill="1" applyAlignment="1"/>
    <xf numFmtId="1" fontId="0" fillId="0" borderId="0" xfId="0" applyNumberFormat="1"/>
    <xf numFmtId="0" fontId="0" fillId="6" borderId="0" xfId="0" applyFill="1" applyAlignment="1">
      <alignment horizontal="left" indent="1"/>
    </xf>
    <xf numFmtId="0" fontId="0" fillId="6" borderId="0" xfId="0" applyFill="1"/>
    <xf numFmtId="0" fontId="1" fillId="0" borderId="0" xfId="3"/>
    <xf numFmtId="168" fontId="9" fillId="0" borderId="0" xfId="4" applyNumberFormat="1" applyFont="1" applyFill="1" applyAlignment="1"/>
    <xf numFmtId="168" fontId="11" fillId="0" borderId="0" xfId="4" applyNumberFormat="1" applyFont="1" applyFill="1" applyAlignment="1"/>
    <xf numFmtId="168" fontId="11" fillId="0" borderId="0" xfId="4" applyNumberFormat="1" applyFont="1" applyFill="1" applyAlignment="1">
      <alignment horizontal="right"/>
    </xf>
    <xf numFmtId="0" fontId="9" fillId="2" borderId="0" xfId="3" applyFont="1" applyFill="1" applyAlignment="1">
      <alignment horizontal="left" indent="1"/>
    </xf>
    <xf numFmtId="0" fontId="1" fillId="2" borderId="0" xfId="3" applyFill="1" applyAlignment="1">
      <alignment horizontal="left" indent="1"/>
    </xf>
    <xf numFmtId="0" fontId="1" fillId="0" borderId="0" xfId="3" applyAlignment="1">
      <alignment horizontal="left" indent="1"/>
    </xf>
    <xf numFmtId="0" fontId="8" fillId="2" borderId="3" xfId="3" applyFont="1" applyFill="1" applyBorder="1" applyAlignment="1">
      <alignment horizontal="center" vertical="center" wrapText="1"/>
    </xf>
    <xf numFmtId="0" fontId="8" fillId="2" borderId="3" xfId="3" applyFont="1" applyFill="1" applyBorder="1" applyAlignment="1">
      <alignment horizontal="left" vertical="center" wrapText="1"/>
    </xf>
    <xf numFmtId="0" fontId="8" fillId="2" borderId="3" xfId="3" applyFont="1" applyFill="1" applyBorder="1" applyAlignment="1">
      <alignment vertical="center" wrapText="1"/>
    </xf>
    <xf numFmtId="165" fontId="8" fillId="2" borderId="3" xfId="3" applyNumberFormat="1" applyFont="1" applyFill="1" applyBorder="1" applyAlignment="1">
      <alignment horizontal="center" vertical="center" wrapText="1"/>
    </xf>
    <xf numFmtId="0" fontId="8" fillId="2" borderId="3" xfId="3" applyFont="1" applyFill="1" applyBorder="1"/>
    <xf numFmtId="0" fontId="10" fillId="2" borderId="0" xfId="3" applyFont="1" applyFill="1" applyAlignment="1">
      <alignment wrapText="1"/>
    </xf>
    <xf numFmtId="0" fontId="8" fillId="2" borderId="0" xfId="3" applyFont="1" applyFill="1" applyAlignment="1">
      <alignment horizontal="center"/>
    </xf>
    <xf numFmtId="0" fontId="1" fillId="2" borderId="0" xfId="3" applyFill="1"/>
    <xf numFmtId="0" fontId="8" fillId="2" borderId="11" xfId="3" applyFont="1" applyFill="1" applyBorder="1" applyAlignment="1">
      <alignment horizontal="center" vertical="center"/>
    </xf>
    <xf numFmtId="165" fontId="8" fillId="2" borderId="11" xfId="3" applyNumberFormat="1" applyFont="1" applyFill="1" applyBorder="1" applyAlignment="1">
      <alignment horizontal="center" vertical="center" wrapText="1"/>
    </xf>
    <xf numFmtId="0" fontId="8" fillId="2" borderId="11" xfId="3" applyFont="1" applyFill="1" applyBorder="1" applyAlignment="1">
      <alignment horizontal="center" vertical="center" wrapText="1"/>
    </xf>
    <xf numFmtId="0" fontId="9" fillId="2" borderId="11" xfId="3" applyFont="1" applyFill="1" applyBorder="1" applyAlignment="1">
      <alignment horizontal="left" indent="1"/>
    </xf>
    <xf numFmtId="168" fontId="11" fillId="0" borderId="11" xfId="4" applyNumberFormat="1" applyFont="1" applyFill="1" applyBorder="1" applyAlignment="1">
      <alignment horizontal="right"/>
    </xf>
    <xf numFmtId="168" fontId="9" fillId="0" borderId="11" xfId="4" applyNumberFormat="1" applyFont="1" applyFill="1" applyBorder="1" applyAlignment="1"/>
    <xf numFmtId="168" fontId="11" fillId="0" borderId="11" xfId="4" applyNumberFormat="1" applyFont="1" applyFill="1" applyBorder="1" applyAlignment="1"/>
    <xf numFmtId="0" fontId="9" fillId="2" borderId="11" xfId="0" applyFont="1" applyFill="1" applyBorder="1" applyAlignment="1">
      <alignment horizontal="left" indent="1"/>
    </xf>
    <xf numFmtId="169" fontId="11" fillId="0" borderId="11" xfId="1" applyNumberFormat="1" applyFont="1" applyFill="1" applyBorder="1" applyAlignment="1">
      <alignment horizontal="right"/>
    </xf>
    <xf numFmtId="169" fontId="9" fillId="0" borderId="11" xfId="1" applyNumberFormat="1" applyFont="1" applyFill="1" applyBorder="1" applyAlignment="1"/>
    <xf numFmtId="169" fontId="11" fillId="0" borderId="11" xfId="1" applyNumberFormat="1" applyFont="1" applyFill="1" applyBorder="1" applyAlignment="1"/>
    <xf numFmtId="0" fontId="0" fillId="2" borderId="11" xfId="0" applyFill="1" applyBorder="1" applyAlignment="1">
      <alignment horizontal="left" indent="1"/>
    </xf>
    <xf numFmtId="0" fontId="0" fillId="0" borderId="11" xfId="0" applyBorder="1" applyAlignment="1">
      <alignment horizontal="left" indent="1"/>
    </xf>
    <xf numFmtId="0" fontId="8" fillId="2" borderId="0" xfId="0" applyFont="1" applyFill="1" applyAlignment="1">
      <alignment horizontal="center" wrapText="1"/>
    </xf>
    <xf numFmtId="0" fontId="8" fillId="2" borderId="3" xfId="0" applyFont="1" applyFill="1" applyBorder="1" applyAlignment="1">
      <alignment horizontal="center" wrapText="1"/>
    </xf>
    <xf numFmtId="0" fontId="10" fillId="2" borderId="3" xfId="0" applyFont="1" applyFill="1" applyBorder="1" applyAlignment="1">
      <alignment horizontal="center"/>
    </xf>
    <xf numFmtId="168" fontId="11" fillId="0" borderId="0" xfId="1" applyNumberFormat="1" applyFont="1" applyFill="1" applyAlignment="1">
      <alignment horizontal="right"/>
    </xf>
    <xf numFmtId="168" fontId="9" fillId="0" borderId="0" xfId="1" applyNumberFormat="1" applyFont="1" applyFill="1" applyAlignment="1"/>
    <xf numFmtId="168" fontId="11" fillId="0" borderId="0" xfId="1" applyNumberFormat="1" applyFont="1" applyFill="1" applyAlignment="1"/>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0" xfId="0" applyFont="1" applyFill="1" applyAlignment="1">
      <alignment horizontal="center" wrapText="1"/>
    </xf>
    <xf numFmtId="0" fontId="8" fillId="2" borderId="3" xfId="0" applyFont="1" applyFill="1" applyBorder="1" applyAlignment="1">
      <alignment horizontal="center" wrapText="1"/>
    </xf>
    <xf numFmtId="0" fontId="10" fillId="2" borderId="3" xfId="0" applyFont="1" applyFill="1" applyBorder="1" applyAlignment="1">
      <alignment horizontal="center"/>
    </xf>
    <xf numFmtId="0" fontId="6" fillId="2" borderId="1" xfId="2" applyFont="1" applyFill="1" applyBorder="1" applyAlignment="1">
      <alignment horizontal="center"/>
    </xf>
    <xf numFmtId="0" fontId="7" fillId="2" borderId="1" xfId="2" applyFont="1" applyFill="1" applyBorder="1" applyAlignment="1">
      <alignment horizontal="center"/>
    </xf>
    <xf numFmtId="0" fontId="10" fillId="2" borderId="1" xfId="0" applyFont="1" applyFill="1" applyBorder="1" applyAlignment="1">
      <alignment horizontal="center" wrapText="1"/>
    </xf>
    <xf numFmtId="0" fontId="10" fillId="2" borderId="3" xfId="3" applyFont="1" applyFill="1" applyBorder="1" applyAlignment="1">
      <alignment horizontal="center"/>
    </xf>
    <xf numFmtId="0" fontId="10" fillId="2" borderId="1" xfId="3" applyFont="1" applyFill="1" applyBorder="1" applyAlignment="1">
      <alignment horizontal="center" wrapText="1"/>
    </xf>
    <xf numFmtId="0" fontId="8" fillId="2" borderId="0" xfId="3" applyFont="1" applyFill="1" applyAlignment="1">
      <alignment horizontal="center" wrapText="1"/>
    </xf>
    <xf numFmtId="0" fontId="8" fillId="2" borderId="3" xfId="3" applyFont="1" applyFill="1" applyBorder="1" applyAlignment="1">
      <alignment horizontal="center" wrapText="1"/>
    </xf>
    <xf numFmtId="0" fontId="8" fillId="2" borderId="2" xfId="3" applyFont="1" applyFill="1" applyBorder="1" applyAlignment="1">
      <alignment horizontal="center" vertical="center" wrapText="1"/>
    </xf>
    <xf numFmtId="0" fontId="8" fillId="2" borderId="3" xfId="3" applyFont="1" applyFill="1" applyBorder="1" applyAlignment="1">
      <alignment horizontal="center" vertical="center" wrapText="1"/>
    </xf>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3" xfId="0" applyFill="1" applyBorder="1" applyAlignment="1">
      <alignment horizontal="left" vertical="center" wrapText="1"/>
    </xf>
    <xf numFmtId="0" fontId="0" fillId="2" borderId="0" xfId="0" applyFill="1" applyAlignment="1">
      <alignment horizontal="left" vertical="center" wrapText="1"/>
    </xf>
    <xf numFmtId="0" fontId="17" fillId="5" borderId="2" xfId="0" applyFont="1" applyFill="1" applyBorder="1" applyAlignment="1">
      <alignment horizontal="left" vertical="center" wrapText="1"/>
    </xf>
    <xf numFmtId="0" fontId="12" fillId="5" borderId="0" xfId="0" applyFont="1" applyFill="1" applyAlignment="1">
      <alignment horizontal="left" vertical="center" wrapText="1"/>
    </xf>
    <xf numFmtId="0" fontId="12" fillId="5" borderId="3" xfId="0" applyFont="1" applyFill="1" applyBorder="1" applyAlignment="1">
      <alignment horizontal="left" vertical="center" wrapText="1"/>
    </xf>
    <xf numFmtId="0" fontId="0" fillId="2" borderId="0" xfId="0" applyFill="1" applyAlignment="1">
      <alignment horizontal="center" vertical="center"/>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3" xfId="0" applyFill="1" applyBorder="1" applyAlignment="1">
      <alignment horizontal="center" vertical="center" textRotation="90"/>
    </xf>
    <xf numFmtId="0" fontId="0" fillId="5" borderId="2" xfId="0" applyFill="1" applyBorder="1" applyAlignment="1">
      <alignment horizontal="center" vertical="center" textRotation="90"/>
    </xf>
    <xf numFmtId="0" fontId="0" fillId="5" borderId="0" xfId="0" applyFill="1" applyAlignment="1">
      <alignment horizontal="center" vertical="center" textRotation="90"/>
    </xf>
    <xf numFmtId="0" fontId="0" fillId="5" borderId="3" xfId="0" applyFill="1" applyBorder="1" applyAlignment="1">
      <alignment horizontal="center" vertical="center" textRotation="90"/>
    </xf>
    <xf numFmtId="0" fontId="0" fillId="5" borderId="2" xfId="0" applyFill="1" applyBorder="1" applyAlignment="1">
      <alignment vertical="center" wrapText="1"/>
    </xf>
    <xf numFmtId="0" fontId="0" fillId="5" borderId="0" xfId="0" applyFill="1" applyAlignment="1">
      <alignment vertical="center" wrapText="1"/>
    </xf>
    <xf numFmtId="0" fontId="0" fillId="5" borderId="3" xfId="0" applyFill="1" applyBorder="1" applyAlignment="1">
      <alignment vertical="center" wrapText="1"/>
    </xf>
    <xf numFmtId="0" fontId="18" fillId="5" borderId="2" xfId="0" applyFont="1" applyFill="1" applyBorder="1" applyAlignment="1">
      <alignment horizontal="left" vertical="center" wrapText="1"/>
    </xf>
    <xf numFmtId="0" fontId="18" fillId="5" borderId="0" xfId="0" applyFont="1" applyFill="1" applyAlignment="1">
      <alignment horizontal="left" vertical="center" wrapText="1"/>
    </xf>
    <xf numFmtId="0" fontId="18" fillId="5" borderId="3" xfId="0" applyFont="1" applyFill="1" applyBorder="1" applyAlignment="1">
      <alignment horizontal="left" vertical="center" wrapText="1"/>
    </xf>
    <xf numFmtId="1" fontId="20" fillId="5" borderId="2" xfId="0" applyNumberFormat="1"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3" xfId="0" applyNumberFormat="1" applyFill="1" applyBorder="1" applyAlignment="1">
      <alignment horizontal="left" vertical="center" wrapText="1"/>
    </xf>
    <xf numFmtId="0" fontId="24" fillId="5" borderId="2" xfId="0" applyFont="1" applyFill="1" applyBorder="1" applyAlignment="1">
      <alignment horizontal="left" vertical="center" wrapText="1"/>
    </xf>
    <xf numFmtId="1" fontId="0" fillId="5" borderId="2" xfId="0" applyNumberFormat="1" applyFill="1" applyBorder="1" applyAlignment="1">
      <alignment horizontal="left" vertical="center" wrapText="1"/>
    </xf>
    <xf numFmtId="0" fontId="20" fillId="5" borderId="2" xfId="0" applyFont="1" applyFill="1" applyBorder="1" applyAlignment="1">
      <alignment horizontal="left" vertical="center" wrapText="1"/>
    </xf>
    <xf numFmtId="0" fontId="13" fillId="5" borderId="2" xfId="0" applyFont="1" applyFill="1" applyBorder="1" applyAlignment="1">
      <alignment horizontal="left" vertical="center" wrapText="1"/>
    </xf>
    <xf numFmtId="0" fontId="13" fillId="5" borderId="0" xfId="0" applyFont="1" applyFill="1" applyAlignment="1">
      <alignment horizontal="left" vertical="center" wrapText="1"/>
    </xf>
    <xf numFmtId="0" fontId="13" fillId="5" borderId="3" xfId="0" applyFont="1" applyFill="1" applyBorder="1" applyAlignment="1">
      <alignment horizontal="left" vertical="center" wrapText="1"/>
    </xf>
    <xf numFmtId="0" fontId="20" fillId="5" borderId="0" xfId="0" applyFont="1" applyFill="1" applyAlignment="1">
      <alignment horizontal="left" vertical="center" wrapText="1"/>
    </xf>
    <xf numFmtId="0" fontId="20" fillId="5" borderId="3"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8" fillId="5" borderId="2" xfId="0" applyFont="1" applyFill="1" applyBorder="1" applyAlignment="1">
      <alignment vertical="center" wrapText="1"/>
    </xf>
    <xf numFmtId="0" fontId="18" fillId="5" borderId="0" xfId="0" applyFont="1" applyFill="1" applyAlignment="1">
      <alignment vertical="center" wrapText="1"/>
    </xf>
    <xf numFmtId="0" fontId="18" fillId="5" borderId="3" xfId="0" applyFont="1" applyFill="1" applyBorder="1" applyAlignment="1">
      <alignment vertical="center" wrapText="1"/>
    </xf>
    <xf numFmtId="0" fontId="21" fillId="5" borderId="2" xfId="0" applyFont="1" applyFill="1" applyBorder="1" applyAlignment="1">
      <alignment horizontal="left" vertical="center" wrapText="1"/>
    </xf>
    <xf numFmtId="0" fontId="0" fillId="5" borderId="2" xfId="0" quotePrefix="1" applyFill="1" applyBorder="1" applyAlignment="1">
      <alignment vertical="center" wrapText="1"/>
    </xf>
    <xf numFmtId="0" fontId="18" fillId="5" borderId="2" xfId="0" quotePrefix="1" applyFont="1" applyFill="1" applyBorder="1" applyAlignment="1">
      <alignment horizontal="left" vertical="center" wrapText="1"/>
    </xf>
    <xf numFmtId="0" fontId="2" fillId="5" borderId="0" xfId="0" applyFont="1" applyFill="1" applyAlignment="1">
      <alignment horizontal="left" vertical="center" wrapText="1"/>
    </xf>
    <xf numFmtId="0" fontId="2" fillId="5" borderId="3" xfId="0" applyFont="1" applyFill="1" applyBorder="1" applyAlignment="1">
      <alignment horizontal="left" vertical="center" wrapText="1"/>
    </xf>
    <xf numFmtId="0" fontId="18" fillId="3" borderId="0" xfId="0" applyFont="1" applyFill="1" applyAlignment="1">
      <alignment horizontal="center" vertical="center" textRotation="90"/>
    </xf>
    <xf numFmtId="0" fontId="18" fillId="3" borderId="3" xfId="0" applyFont="1" applyFill="1" applyBorder="1" applyAlignment="1">
      <alignment horizontal="center" vertical="center" textRotation="90"/>
    </xf>
    <xf numFmtId="0" fontId="13" fillId="5" borderId="2" xfId="0" applyFont="1" applyFill="1" applyBorder="1" applyAlignment="1">
      <alignmen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5" borderId="2" xfId="0" quotePrefix="1" applyFill="1" applyBorder="1" applyAlignment="1">
      <alignment horizontal="left" vertical="center" wrapText="1"/>
    </xf>
    <xf numFmtId="0" fontId="0" fillId="5" borderId="0" xfId="0" quotePrefix="1" applyFill="1" applyAlignment="1">
      <alignment horizontal="left" vertical="center" wrapText="1"/>
    </xf>
    <xf numFmtId="0" fontId="0" fillId="5" borderId="3" xfId="0" quotePrefix="1" applyFill="1" applyBorder="1" applyAlignment="1">
      <alignment horizontal="left" vertical="center" wrapText="1"/>
    </xf>
    <xf numFmtId="0" fontId="18" fillId="3" borderId="2" xfId="0" applyFont="1" applyFill="1" applyBorder="1" applyAlignment="1">
      <alignment horizontal="center" vertical="center" textRotation="90"/>
    </xf>
    <xf numFmtId="0" fontId="0" fillId="5" borderId="0" xfId="0" applyFill="1" applyAlignment="1">
      <alignment horizontal="left" vertical="center"/>
    </xf>
    <xf numFmtId="0" fontId="0" fillId="5" borderId="3" xfId="0" applyFill="1" applyBorder="1" applyAlignment="1">
      <alignment horizontal="left" vertical="center"/>
    </xf>
    <xf numFmtId="0" fontId="12" fillId="5" borderId="0" xfId="0" applyFont="1" applyFill="1" applyAlignment="1">
      <alignment horizontal="left" vertical="center"/>
    </xf>
    <xf numFmtId="0" fontId="12" fillId="5" borderId="3" xfId="0" applyFont="1" applyFill="1" applyBorder="1" applyAlignment="1">
      <alignment horizontal="left" vertical="center"/>
    </xf>
    <xf numFmtId="0" fontId="18" fillId="5" borderId="0" xfId="0" applyFont="1" applyFill="1" applyAlignment="1">
      <alignment horizontal="center" vertical="center" textRotation="90"/>
    </xf>
    <xf numFmtId="0" fontId="18" fillId="5" borderId="3" xfId="0" applyFont="1" applyFill="1" applyBorder="1" applyAlignment="1">
      <alignment horizontal="center" vertical="center" textRotation="90"/>
    </xf>
    <xf numFmtId="0" fontId="16" fillId="2" borderId="0" xfId="0" applyFont="1" applyFill="1" applyAlignment="1">
      <alignment horizontal="left" vertical="center" wrapText="1"/>
    </xf>
    <xf numFmtId="0" fontId="13" fillId="3" borderId="2" xfId="0" applyFont="1" applyFill="1" applyBorder="1" applyAlignment="1">
      <alignment horizontal="center"/>
    </xf>
    <xf numFmtId="0" fontId="13" fillId="3" borderId="2" xfId="0" applyFont="1" applyFill="1" applyBorder="1" applyAlignment="1">
      <alignment horizontal="center" vertical="center"/>
    </xf>
    <xf numFmtId="0" fontId="0" fillId="2" borderId="2" xfId="0" applyFill="1" applyBorder="1" applyAlignment="1">
      <alignment horizontal="center" vertical="center"/>
    </xf>
    <xf numFmtId="0" fontId="18" fillId="5" borderId="2" xfId="0" applyFont="1" applyFill="1" applyBorder="1" applyAlignment="1">
      <alignment horizontal="center" vertical="center" wrapText="1"/>
    </xf>
    <xf numFmtId="0" fontId="18" fillId="5" borderId="0" xfId="0" applyFont="1" applyFill="1" applyAlignment="1">
      <alignment horizontal="center" vertical="center" wrapText="1"/>
    </xf>
    <xf numFmtId="0" fontId="18" fillId="5" borderId="3" xfId="0" applyFont="1" applyFill="1" applyBorder="1" applyAlignment="1">
      <alignment horizontal="center" vertical="center" wrapText="1"/>
    </xf>
    <xf numFmtId="0" fontId="28" fillId="0" borderId="0" xfId="3" applyFont="1" applyAlignment="1">
      <alignment wrapText="1"/>
    </xf>
    <xf numFmtId="0" fontId="28" fillId="0" borderId="0" xfId="3" applyFont="1"/>
    <xf numFmtId="2" fontId="18" fillId="0" borderId="12" xfId="0" applyNumberFormat="1" applyFont="1" applyBorder="1" applyAlignment="1">
      <alignment horizontal="center" vertical="center"/>
    </xf>
    <xf numFmtId="171" fontId="18" fillId="0" borderId="0" xfId="0" applyNumberFormat="1" applyFont="1" applyAlignment="1">
      <alignment horizontal="center" vertical="center"/>
    </xf>
    <xf numFmtId="2" fontId="0" fillId="0" borderId="0" xfId="0" applyNumberFormat="1"/>
    <xf numFmtId="172" fontId="18" fillId="0" borderId="12" xfId="0" applyNumberFormat="1" applyFont="1" applyBorder="1" applyAlignment="1">
      <alignment horizontal="center" vertical="center"/>
    </xf>
    <xf numFmtId="172" fontId="0" fillId="0" borderId="0" xfId="0" applyNumberFormat="1" applyAlignment="1">
      <alignment horizontal="center"/>
    </xf>
    <xf numFmtId="171" fontId="0" fillId="0" borderId="0" xfId="0" applyNumberFormat="1" applyAlignment="1">
      <alignment horizontal="center"/>
    </xf>
    <xf numFmtId="0" fontId="10" fillId="2" borderId="2" xfId="0" applyFont="1" applyFill="1" applyBorder="1" applyAlignment="1">
      <alignment horizontal="center" wrapText="1"/>
    </xf>
    <xf numFmtId="0" fontId="7" fillId="2" borderId="0" xfId="2" applyFont="1" applyFill="1" applyBorder="1" applyAlignment="1">
      <alignment horizontal="center"/>
    </xf>
    <xf numFmtId="0" fontId="10" fillId="2" borderId="0" xfId="0" applyFont="1" applyFill="1" applyBorder="1" applyAlignment="1">
      <alignment horizontal="center" wrapText="1"/>
    </xf>
    <xf numFmtId="0" fontId="10" fillId="2" borderId="0" xfId="0" applyFont="1" applyFill="1" applyBorder="1" applyAlignment="1">
      <alignment horizontal="center"/>
    </xf>
    <xf numFmtId="0" fontId="8" fillId="2" borderId="0" xfId="0" applyFont="1" applyFill="1" applyBorder="1" applyAlignment="1">
      <alignment horizontal="center" vertical="center" wrapText="1"/>
    </xf>
    <xf numFmtId="0" fontId="18" fillId="0" borderId="0" xfId="0" applyFont="1" applyFill="1"/>
  </cellXfs>
  <cellStyles count="5">
    <cellStyle name="Komma" xfId="1" builtinId="3"/>
    <cellStyle name="Komma 2" xfId="4" xr:uid="{47A21BBE-0428-406B-AE25-9A5C00B8F435}"/>
    <cellStyle name="Normal 2" xfId="2" xr:uid="{3D55AB7E-3F67-403D-8CEF-621540E46167}"/>
    <cellStyle name="Standard" xfId="0" builtinId="0"/>
    <cellStyle name="Standard 2" xfId="3" xr:uid="{B9174BC0-4C7F-490B-92AE-9C8A44E163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742966894896863E-2"/>
          <c:y val="2.7064085739282588E-2"/>
          <c:w val="0.91984230096237973"/>
          <c:h val="0.85929899387576558"/>
        </c:manualLayout>
      </c:layout>
      <c:barChart>
        <c:barDir val="col"/>
        <c:grouping val="clustered"/>
        <c:varyColors val="0"/>
        <c:ser>
          <c:idx val="0"/>
          <c:order val="0"/>
          <c:tx>
            <c:strRef>
              <c:f>Figure!$D$4</c:f>
              <c:strCache>
                <c:ptCount val="1"/>
                <c:pt idx="0">
                  <c:v>Additional spending and forgone revenue</c:v>
                </c:pt>
              </c:strCache>
            </c:strRef>
          </c:tx>
          <c:spPr>
            <a:solidFill>
              <a:schemeClr val="accent1"/>
            </a:solidFill>
            <a:ln>
              <a:solidFill>
                <a:schemeClr val="tx1"/>
              </a:solidFill>
            </a:ln>
            <a:effectLst/>
          </c:spPr>
          <c:invertIfNegative val="0"/>
          <c:cat>
            <c:strRef>
              <c:f>Figure!$B$5:$B$25</c:f>
              <c:strCache>
                <c:ptCount val="21"/>
                <c:pt idx="0">
                  <c:v>DNK</c:v>
                </c:pt>
                <c:pt idx="1">
                  <c:v>FIN</c:v>
                </c:pt>
                <c:pt idx="2">
                  <c:v>KOR</c:v>
                </c:pt>
                <c:pt idx="3">
                  <c:v>ESP</c:v>
                </c:pt>
                <c:pt idx="4">
                  <c:v>SWE</c:v>
                </c:pt>
                <c:pt idx="5">
                  <c:v>NOR</c:v>
                </c:pt>
                <c:pt idx="6">
                  <c:v>NLD</c:v>
                </c:pt>
                <c:pt idx="7">
                  <c:v>CHE</c:v>
                </c:pt>
                <c:pt idx="8">
                  <c:v>CZE</c:v>
                </c:pt>
                <c:pt idx="9">
                  <c:v>ITA</c:v>
                </c:pt>
                <c:pt idx="10">
                  <c:v>BEL</c:v>
                </c:pt>
                <c:pt idx="11">
                  <c:v>FRA</c:v>
                </c:pt>
                <c:pt idx="12">
                  <c:v>DEU</c:v>
                </c:pt>
                <c:pt idx="13">
                  <c:v>AEs</c:v>
                </c:pt>
                <c:pt idx="14">
                  <c:v>CAN</c:v>
                </c:pt>
                <c:pt idx="15">
                  <c:v>JPN</c:v>
                </c:pt>
                <c:pt idx="16">
                  <c:v>AUS</c:v>
                </c:pt>
                <c:pt idx="17">
                  <c:v>SGP</c:v>
                </c:pt>
                <c:pt idx="18">
                  <c:v>GBR</c:v>
                </c:pt>
                <c:pt idx="19">
                  <c:v>USA</c:v>
                </c:pt>
                <c:pt idx="20">
                  <c:v>NZL</c:v>
                </c:pt>
              </c:strCache>
            </c:strRef>
          </c:cat>
          <c:val>
            <c:numRef>
              <c:f>Figure!$D$5:$D$25</c:f>
              <c:numCache>
                <c:formatCode>0.0</c:formatCode>
                <c:ptCount val="21"/>
                <c:pt idx="0">
                  <c:v>1.7728572264249522</c:v>
                </c:pt>
                <c:pt idx="1">
                  <c:v>2.9740073275675076</c:v>
                </c:pt>
                <c:pt idx="2">
                  <c:v>3.4422076683139151</c:v>
                </c:pt>
                <c:pt idx="3">
                  <c:v>4.129848567413041</c:v>
                </c:pt>
                <c:pt idx="4">
                  <c:v>4.2006968782557186</c:v>
                </c:pt>
                <c:pt idx="5">
                  <c:v>4.2369754101110404</c:v>
                </c:pt>
                <c:pt idx="6">
                  <c:v>4.5192778176981978</c:v>
                </c:pt>
                <c:pt idx="7">
                  <c:v>5.2882597816353591</c:v>
                </c:pt>
                <c:pt idx="8">
                  <c:v>5.44423346092535</c:v>
                </c:pt>
                <c:pt idx="9">
                  <c:v>6.8248555163513647</c:v>
                </c:pt>
                <c:pt idx="10">
                  <c:v>7.2204845013748731</c:v>
                </c:pt>
                <c:pt idx="11">
                  <c:v>7.7103009294197555</c:v>
                </c:pt>
                <c:pt idx="12" formatCode="0.00">
                  <c:v>11.03370544006278</c:v>
                </c:pt>
                <c:pt idx="13" formatCode="0.00">
                  <c:v>12.683283892845772</c:v>
                </c:pt>
                <c:pt idx="14">
                  <c:v>14.646141686967878</c:v>
                </c:pt>
                <c:pt idx="15">
                  <c:v>15.580392937317248</c:v>
                </c:pt>
                <c:pt idx="16">
                  <c:v>16.177852301431432</c:v>
                </c:pt>
                <c:pt idx="17">
                  <c:v>16.25793005941393</c:v>
                </c:pt>
                <c:pt idx="18">
                  <c:v>16.258004012956349</c:v>
                </c:pt>
                <c:pt idx="19">
                  <c:v>16.719306053544834</c:v>
                </c:pt>
                <c:pt idx="20">
                  <c:v>19.063391654531198</c:v>
                </c:pt>
              </c:numCache>
            </c:numRef>
          </c:val>
          <c:extLst>
            <c:ext xmlns:c16="http://schemas.microsoft.com/office/drawing/2014/chart" uri="{C3380CC4-5D6E-409C-BE32-E72D297353CC}">
              <c16:uniqueId val="{00000000-E0D3-42ED-B6BF-355BC3FE3133}"/>
            </c:ext>
          </c:extLst>
        </c:ser>
        <c:ser>
          <c:idx val="1"/>
          <c:order val="1"/>
          <c:tx>
            <c:strRef>
              <c:f>Figure!$E$4</c:f>
              <c:strCache>
                <c:ptCount val="1"/>
                <c:pt idx="0">
                  <c:v>Equity, loans, and guarantees</c:v>
                </c:pt>
              </c:strCache>
            </c:strRef>
          </c:tx>
          <c:spPr>
            <a:solidFill>
              <a:schemeClr val="accent1">
                <a:alpha val="50000"/>
              </a:schemeClr>
            </a:solidFill>
            <a:ln>
              <a:solidFill>
                <a:schemeClr val="tx1"/>
              </a:solidFill>
            </a:ln>
            <a:effectLst/>
          </c:spPr>
          <c:invertIfNegative val="0"/>
          <c:cat>
            <c:strRef>
              <c:f>Figure!$B$5:$B$25</c:f>
              <c:strCache>
                <c:ptCount val="21"/>
                <c:pt idx="0">
                  <c:v>DNK</c:v>
                </c:pt>
                <c:pt idx="1">
                  <c:v>FIN</c:v>
                </c:pt>
                <c:pt idx="2">
                  <c:v>KOR</c:v>
                </c:pt>
                <c:pt idx="3">
                  <c:v>ESP</c:v>
                </c:pt>
                <c:pt idx="4">
                  <c:v>SWE</c:v>
                </c:pt>
                <c:pt idx="5">
                  <c:v>NOR</c:v>
                </c:pt>
                <c:pt idx="6">
                  <c:v>NLD</c:v>
                </c:pt>
                <c:pt idx="7">
                  <c:v>CHE</c:v>
                </c:pt>
                <c:pt idx="8">
                  <c:v>CZE</c:v>
                </c:pt>
                <c:pt idx="9">
                  <c:v>ITA</c:v>
                </c:pt>
                <c:pt idx="10">
                  <c:v>BEL</c:v>
                </c:pt>
                <c:pt idx="11">
                  <c:v>FRA</c:v>
                </c:pt>
                <c:pt idx="12">
                  <c:v>DEU</c:v>
                </c:pt>
                <c:pt idx="13">
                  <c:v>AEs</c:v>
                </c:pt>
                <c:pt idx="14">
                  <c:v>CAN</c:v>
                </c:pt>
                <c:pt idx="15">
                  <c:v>JPN</c:v>
                </c:pt>
                <c:pt idx="16">
                  <c:v>AUS</c:v>
                </c:pt>
                <c:pt idx="17">
                  <c:v>SGP</c:v>
                </c:pt>
                <c:pt idx="18">
                  <c:v>GBR</c:v>
                </c:pt>
                <c:pt idx="19">
                  <c:v>USA</c:v>
                </c:pt>
                <c:pt idx="20">
                  <c:v>NZL</c:v>
                </c:pt>
              </c:strCache>
            </c:strRef>
          </c:cat>
          <c:val>
            <c:numRef>
              <c:f>Figure!$E$5:$E$25</c:f>
              <c:numCache>
                <c:formatCode>0.0</c:formatCode>
                <c:ptCount val="21"/>
                <c:pt idx="0">
                  <c:v>4.2669989958887014</c:v>
                </c:pt>
                <c:pt idx="1">
                  <c:v>6.9835682857412555</c:v>
                </c:pt>
                <c:pt idx="2">
                  <c:v>10.170867001850619</c:v>
                </c:pt>
                <c:pt idx="3">
                  <c:v>14.444526098939509</c:v>
                </c:pt>
                <c:pt idx="4">
                  <c:v>5.3297894552483349</c:v>
                </c:pt>
                <c:pt idx="5">
                  <c:v>4.3610989969472307</c:v>
                </c:pt>
                <c:pt idx="6">
                  <c:v>8.2514903974826659</c:v>
                </c:pt>
                <c:pt idx="7">
                  <c:v>6.0080918260018352</c:v>
                </c:pt>
                <c:pt idx="8">
                  <c:v>15.470637134364086</c:v>
                </c:pt>
                <c:pt idx="9">
                  <c:v>35.480108253531988</c:v>
                </c:pt>
                <c:pt idx="10">
                  <c:v>11.921672229684368</c:v>
                </c:pt>
                <c:pt idx="11">
                  <c:v>15.752942416142089</c:v>
                </c:pt>
                <c:pt idx="12">
                  <c:v>27.848832013978619</c:v>
                </c:pt>
                <c:pt idx="13">
                  <c:v>11.278336604300787</c:v>
                </c:pt>
                <c:pt idx="14">
                  <c:v>4.0212214238157857</c:v>
                </c:pt>
                <c:pt idx="15">
                  <c:v>28.439808160701094</c:v>
                </c:pt>
                <c:pt idx="16">
                  <c:v>1.7895854315742734</c:v>
                </c:pt>
                <c:pt idx="17">
                  <c:v>4.7499928460439111</c:v>
                </c:pt>
                <c:pt idx="18">
                  <c:v>16.116219094238705</c:v>
                </c:pt>
                <c:pt idx="19">
                  <c:v>2.4339468750343576</c:v>
                </c:pt>
                <c:pt idx="20">
                  <c:v>2.7078681327459089</c:v>
                </c:pt>
              </c:numCache>
            </c:numRef>
          </c:val>
          <c:extLst>
            <c:ext xmlns:c16="http://schemas.microsoft.com/office/drawing/2014/chart" uri="{C3380CC4-5D6E-409C-BE32-E72D297353CC}">
              <c16:uniqueId val="{00000001-E0D3-42ED-B6BF-355BC3FE3133}"/>
            </c:ext>
          </c:extLst>
        </c:ser>
        <c:dLbls>
          <c:showLegendKey val="0"/>
          <c:showVal val="0"/>
          <c:showCatName val="0"/>
          <c:showSerName val="0"/>
          <c:showPercent val="0"/>
          <c:showBubbleSize val="0"/>
        </c:dLbls>
        <c:gapWidth val="219"/>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5"/>
      </c:valAx>
      <c:spPr>
        <a:solidFill>
          <a:sysClr val="window" lastClr="FFFFFF"/>
        </a:solidFill>
        <a:ln>
          <a:solidFill>
            <a:schemeClr val="bg1">
              <a:lumMod val="65000"/>
            </a:schemeClr>
          </a:solidFill>
        </a:ln>
        <a:effectLst/>
      </c:spPr>
    </c:plotArea>
    <c:legend>
      <c:legendPos val="t"/>
      <c:layout>
        <c:manualLayout>
          <c:xMode val="edge"/>
          <c:yMode val="edge"/>
          <c:x val="0.32879677896883225"/>
          <c:y val="2.9435504235439957E-2"/>
          <c:w val="0.6339671330403378"/>
          <c:h val="0.11420460197577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49588717316279E-2"/>
          <c:y val="1.8730476576258863E-2"/>
          <c:w val="0.90659446677405175"/>
          <c:h val="0.87739216972878398"/>
        </c:manualLayout>
      </c:layout>
      <c:barChart>
        <c:barDir val="col"/>
        <c:grouping val="clustered"/>
        <c:varyColors val="0"/>
        <c:ser>
          <c:idx val="0"/>
          <c:order val="0"/>
          <c:tx>
            <c:strRef>
              <c:f>Figure!$D$28</c:f>
              <c:strCache>
                <c:ptCount val="1"/>
                <c:pt idx="0">
                  <c:v>Additional spending and forgone revenue</c:v>
                </c:pt>
              </c:strCache>
            </c:strRef>
          </c:tx>
          <c:spPr>
            <a:solidFill>
              <a:srgbClr val="C00000"/>
            </a:solidFill>
            <a:ln>
              <a:solidFill>
                <a:schemeClr val="tx1"/>
              </a:solidFill>
            </a:ln>
            <a:effectLst/>
          </c:spPr>
          <c:invertIfNegative val="0"/>
          <c:cat>
            <c:strRef>
              <c:extLst>
                <c:ext xmlns:c15="http://schemas.microsoft.com/office/drawing/2012/chart" uri="{02D57815-91ED-43cb-92C2-25804820EDAC}">
                  <c15:fullRef>
                    <c15:sqref>Figure!$B$29:$B$54</c15:sqref>
                  </c15:fullRef>
                </c:ext>
              </c:extLst>
              <c:f>(Figure!$B$29:$B$30,Figure!$B$32:$B$33,Figure!$B$35:$B$36,Figure!$B$39:$B$40,Figure!$B$42:$B$47,Figure!$B$49:$B$54)</c:f>
              <c:strCache>
                <c:ptCount val="20"/>
                <c:pt idx="0">
                  <c:v>MEX</c:v>
                </c:pt>
                <c:pt idx="1">
                  <c:v>TUR</c:v>
                </c:pt>
                <c:pt idx="2">
                  <c:v>EGY</c:v>
                </c:pt>
                <c:pt idx="3">
                  <c:v>PAK</c:v>
                </c:pt>
                <c:pt idx="4">
                  <c:v>ROU</c:v>
                </c:pt>
                <c:pt idx="5">
                  <c:v>KAZ</c:v>
                </c:pt>
                <c:pt idx="6">
                  <c:v>PHL</c:v>
                </c:pt>
                <c:pt idx="7">
                  <c:v>IDN</c:v>
                </c:pt>
                <c:pt idx="8">
                  <c:v>IND</c:v>
                </c:pt>
                <c:pt idx="9">
                  <c:v>EMMIEs</c:v>
                </c:pt>
                <c:pt idx="10">
                  <c:v>ARG</c:v>
                </c:pt>
                <c:pt idx="11">
                  <c:v>COL</c:v>
                </c:pt>
                <c:pt idx="12">
                  <c:v>BGR</c:v>
                </c:pt>
                <c:pt idx="13">
                  <c:v>CHN</c:v>
                </c:pt>
                <c:pt idx="14">
                  <c:v>ZAF</c:v>
                </c:pt>
                <c:pt idx="15">
                  <c:v>GEO</c:v>
                </c:pt>
                <c:pt idx="16">
                  <c:v>POL</c:v>
                </c:pt>
                <c:pt idx="17">
                  <c:v>CHL</c:v>
                </c:pt>
                <c:pt idx="18">
                  <c:v>BRA</c:v>
                </c:pt>
                <c:pt idx="19">
                  <c:v>THA</c:v>
                </c:pt>
              </c:strCache>
            </c:strRef>
          </c:cat>
          <c:val>
            <c:numRef>
              <c:extLst>
                <c:ext xmlns:c15="http://schemas.microsoft.com/office/drawing/2012/chart" uri="{02D57815-91ED-43cb-92C2-25804820EDAC}">
                  <c15:fullRef>
                    <c15:sqref>Figure!$D$29:$D$54</c15:sqref>
                  </c15:fullRef>
                </c:ext>
              </c:extLst>
              <c:f>(Figure!$D$29:$D$30,Figure!$D$32:$D$33,Figure!$D$35:$D$36,Figure!$D$39:$D$40,Figure!$D$42:$D$47,Figure!$D$49:$D$54)</c:f>
              <c:numCache>
                <c:formatCode>0.0</c:formatCode>
                <c:ptCount val="20"/>
                <c:pt idx="0">
                  <c:v>0.68126555483297013</c:v>
                </c:pt>
                <c:pt idx="1">
                  <c:v>1.0708244081170604</c:v>
                </c:pt>
                <c:pt idx="2">
                  <c:v>1.574089347079038</c:v>
                </c:pt>
                <c:pt idx="3">
                  <c:v>1.9843417699892416</c:v>
                </c:pt>
                <c:pt idx="4">
                  <c:v>2.2661937174174835</c:v>
                </c:pt>
                <c:pt idx="5">
                  <c:v>2.410373216215953</c:v>
                </c:pt>
                <c:pt idx="6">
                  <c:v>2.5426457949039269</c:v>
                </c:pt>
                <c:pt idx="7">
                  <c:v>2.6804100904569146</c:v>
                </c:pt>
                <c:pt idx="8">
                  <c:v>3.0568212569433708</c:v>
                </c:pt>
                <c:pt idx="9">
                  <c:v>3.6269039160512979</c:v>
                </c:pt>
                <c:pt idx="10">
                  <c:v>3.7991928411281406</c:v>
                </c:pt>
                <c:pt idx="11">
                  <c:v>4.1001315963942302</c:v>
                </c:pt>
                <c:pt idx="12">
                  <c:v>4.3861065138416224</c:v>
                </c:pt>
                <c:pt idx="13">
                  <c:v>4.7347943347338237</c:v>
                </c:pt>
                <c:pt idx="14">
                  <c:v>5.4774789744919543</c:v>
                </c:pt>
                <c:pt idx="15">
                  <c:v>6.4171911765327883</c:v>
                </c:pt>
                <c:pt idx="16">
                  <c:v>7.6769895099565364</c:v>
                </c:pt>
                <c:pt idx="17">
                  <c:v>8.2454087590096599</c:v>
                </c:pt>
                <c:pt idx="18">
                  <c:v>8.256941459558897</c:v>
                </c:pt>
                <c:pt idx="19">
                  <c:v>8.2790021605857174</c:v>
                </c:pt>
              </c:numCache>
            </c:numRef>
          </c:val>
          <c:extLst>
            <c:ext xmlns:c16="http://schemas.microsoft.com/office/drawing/2014/chart" uri="{C3380CC4-5D6E-409C-BE32-E72D297353CC}">
              <c16:uniqueId val="{00000000-8AF6-494E-B351-5F52EC8CC331}"/>
            </c:ext>
          </c:extLst>
        </c:ser>
        <c:ser>
          <c:idx val="1"/>
          <c:order val="1"/>
          <c:tx>
            <c:strRef>
              <c:f>Figure!$E$28</c:f>
              <c:strCache>
                <c:ptCount val="1"/>
                <c:pt idx="0">
                  <c:v>Equity, loans, and guarantees</c:v>
                </c:pt>
              </c:strCache>
            </c:strRef>
          </c:tx>
          <c:spPr>
            <a:solidFill>
              <a:srgbClr val="C00000">
                <a:alpha val="25000"/>
              </a:srgbClr>
            </a:solidFill>
            <a:ln>
              <a:solidFill>
                <a:schemeClr val="tx1"/>
              </a:solidFill>
            </a:ln>
            <a:effectLst/>
          </c:spPr>
          <c:invertIfNegative val="0"/>
          <c:cat>
            <c:strRef>
              <c:extLst>
                <c:ext xmlns:c15="http://schemas.microsoft.com/office/drawing/2012/chart" uri="{02D57815-91ED-43cb-92C2-25804820EDAC}">
                  <c15:fullRef>
                    <c15:sqref>Figure!$B$29:$B$54</c15:sqref>
                  </c15:fullRef>
                </c:ext>
              </c:extLst>
              <c:f>(Figure!$B$29:$B$30,Figure!$B$32:$B$33,Figure!$B$35:$B$36,Figure!$B$39:$B$40,Figure!$B$42:$B$47,Figure!$B$49:$B$54)</c:f>
              <c:strCache>
                <c:ptCount val="20"/>
                <c:pt idx="0">
                  <c:v>MEX</c:v>
                </c:pt>
                <c:pt idx="1">
                  <c:v>TUR</c:v>
                </c:pt>
                <c:pt idx="2">
                  <c:v>EGY</c:v>
                </c:pt>
                <c:pt idx="3">
                  <c:v>PAK</c:v>
                </c:pt>
                <c:pt idx="4">
                  <c:v>ROU</c:v>
                </c:pt>
                <c:pt idx="5">
                  <c:v>KAZ</c:v>
                </c:pt>
                <c:pt idx="6">
                  <c:v>PHL</c:v>
                </c:pt>
                <c:pt idx="7">
                  <c:v>IDN</c:v>
                </c:pt>
                <c:pt idx="8">
                  <c:v>IND</c:v>
                </c:pt>
                <c:pt idx="9">
                  <c:v>EMMIEs</c:v>
                </c:pt>
                <c:pt idx="10">
                  <c:v>ARG</c:v>
                </c:pt>
                <c:pt idx="11">
                  <c:v>COL</c:v>
                </c:pt>
                <c:pt idx="12">
                  <c:v>BGR</c:v>
                </c:pt>
                <c:pt idx="13">
                  <c:v>CHN</c:v>
                </c:pt>
                <c:pt idx="14">
                  <c:v>ZAF</c:v>
                </c:pt>
                <c:pt idx="15">
                  <c:v>GEO</c:v>
                </c:pt>
                <c:pt idx="16">
                  <c:v>POL</c:v>
                </c:pt>
                <c:pt idx="17">
                  <c:v>CHL</c:v>
                </c:pt>
                <c:pt idx="18">
                  <c:v>BRA</c:v>
                </c:pt>
                <c:pt idx="19">
                  <c:v>THA</c:v>
                </c:pt>
              </c:strCache>
            </c:strRef>
          </c:cat>
          <c:val>
            <c:numRef>
              <c:extLst>
                <c:ext xmlns:c15="http://schemas.microsoft.com/office/drawing/2012/chart" uri="{02D57815-91ED-43cb-92C2-25804820EDAC}">
                  <c15:fullRef>
                    <c15:sqref>Figure!$E$29:$E$54</c15:sqref>
                  </c15:fullRef>
                </c:ext>
              </c:extLst>
              <c:f>(Figure!$E$29:$E$30,Figure!$E$32:$E$33,Figure!$E$35:$E$36,Figure!$E$39:$E$40,Figure!$E$42:$E$47,Figure!$E$49:$E$54)</c:f>
              <c:numCache>
                <c:formatCode>0.0</c:formatCode>
                <c:ptCount val="20"/>
                <c:pt idx="0">
                  <c:v>1.280743852667551</c:v>
                </c:pt>
                <c:pt idx="1">
                  <c:v>9.0021171324169291</c:v>
                </c:pt>
                <c:pt idx="2">
                  <c:v>0.12783505154639177</c:v>
                </c:pt>
                <c:pt idx="3">
                  <c:v>0</c:v>
                </c:pt>
                <c:pt idx="4">
                  <c:v>3.2088541292844197</c:v>
                </c:pt>
                <c:pt idx="5">
                  <c:v>3.090222072071735</c:v>
                </c:pt>
                <c:pt idx="6">
                  <c:v>0.92126458215706097</c:v>
                </c:pt>
                <c:pt idx="7">
                  <c:v>0.85337437862250176</c:v>
                </c:pt>
                <c:pt idx="8">
                  <c:v>5.0912199606783508</c:v>
                </c:pt>
                <c:pt idx="9">
                  <c:v>2.5044941274599504</c:v>
                </c:pt>
                <c:pt idx="10">
                  <c:v>1.941158674777858</c:v>
                </c:pt>
                <c:pt idx="11">
                  <c:v>5.713254819525023</c:v>
                </c:pt>
                <c:pt idx="12">
                  <c:v>3.9260326327640933</c:v>
                </c:pt>
                <c:pt idx="13">
                  <c:v>1.284110209053015</c:v>
                </c:pt>
                <c:pt idx="14">
                  <c:v>4.180181322638596</c:v>
                </c:pt>
                <c:pt idx="15">
                  <c:v>1.8215652368232442E-4</c:v>
                </c:pt>
                <c:pt idx="16">
                  <c:v>5.4241977164365274</c:v>
                </c:pt>
                <c:pt idx="17">
                  <c:v>1.7895338016479629</c:v>
                </c:pt>
                <c:pt idx="18">
                  <c:v>6.1933826713210536</c:v>
                </c:pt>
                <c:pt idx="19">
                  <c:v>4.267857702937599</c:v>
                </c:pt>
              </c:numCache>
            </c:numRef>
          </c:val>
          <c:extLst>
            <c:ext xmlns:c16="http://schemas.microsoft.com/office/drawing/2014/chart" uri="{C3380CC4-5D6E-409C-BE32-E72D297353CC}">
              <c16:uniqueId val="{00000001-8AF6-494E-B351-5F52EC8CC331}"/>
            </c:ext>
          </c:extLst>
        </c:ser>
        <c:dLbls>
          <c:showLegendKey val="0"/>
          <c:showVal val="0"/>
          <c:showCatName val="0"/>
          <c:showSerName val="0"/>
          <c:showPercent val="0"/>
          <c:showBubbleSize val="0"/>
        </c:dLbls>
        <c:gapWidth val="10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3"/>
      </c:valAx>
      <c:spPr>
        <a:solidFill>
          <a:sysClr val="window" lastClr="FFFFFF"/>
        </a:solidFill>
        <a:ln>
          <a:solidFill>
            <a:schemeClr val="bg1">
              <a:lumMod val="65000"/>
            </a:schemeClr>
          </a:solidFill>
        </a:ln>
        <a:effectLst/>
      </c:spPr>
    </c:plotArea>
    <c:legend>
      <c:legendPos val="t"/>
      <c:layout>
        <c:manualLayout>
          <c:xMode val="edge"/>
          <c:yMode val="edge"/>
          <c:x val="0.37346485284110725"/>
          <c:y val="1.860111236095488E-2"/>
          <c:w val="0.59030346696858971"/>
          <c:h val="0.1567714239801657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498115728043059E-2"/>
          <c:y val="2.7100602709185986E-2"/>
          <c:w val="0.90764434737628596"/>
          <c:h val="0.84456282808398953"/>
        </c:manualLayout>
      </c:layout>
      <c:barChart>
        <c:barDir val="col"/>
        <c:grouping val="clustered"/>
        <c:varyColors val="0"/>
        <c:ser>
          <c:idx val="0"/>
          <c:order val="0"/>
          <c:tx>
            <c:strRef>
              <c:f>Figure!$D$58</c:f>
              <c:strCache>
                <c:ptCount val="1"/>
                <c:pt idx="0">
                  <c:v>Additional spending and forgone revenue</c:v>
                </c:pt>
              </c:strCache>
            </c:strRef>
          </c:tx>
          <c:spPr>
            <a:solidFill>
              <a:schemeClr val="accent6">
                <a:lumMod val="75000"/>
              </a:schemeClr>
            </a:solidFill>
            <a:ln>
              <a:solidFill>
                <a:schemeClr val="tx1"/>
              </a:solidFill>
            </a:ln>
            <a:effectLst/>
          </c:spPr>
          <c:invertIfNegative val="0"/>
          <c:cat>
            <c:strRef>
              <c:f>Figure!$B$59:$B$74</c:f>
              <c:strCache>
                <c:ptCount val="16"/>
                <c:pt idx="0">
                  <c:v>VNM</c:v>
                </c:pt>
                <c:pt idx="1">
                  <c:v>MMR</c:v>
                </c:pt>
                <c:pt idx="2">
                  <c:v>NER</c:v>
                </c:pt>
                <c:pt idx="3">
                  <c:v>BGD</c:v>
                </c:pt>
                <c:pt idx="4">
                  <c:v>CIV</c:v>
                </c:pt>
                <c:pt idx="5">
                  <c:v>NGA</c:v>
                </c:pt>
                <c:pt idx="6">
                  <c:v>ETH</c:v>
                </c:pt>
                <c:pt idx="7">
                  <c:v>LIDCs</c:v>
                </c:pt>
                <c:pt idx="8">
                  <c:v>NPL</c:v>
                </c:pt>
                <c:pt idx="9">
                  <c:v>ZMB</c:v>
                </c:pt>
                <c:pt idx="10">
                  <c:v>HND</c:v>
                </c:pt>
                <c:pt idx="11">
                  <c:v>KEN</c:v>
                </c:pt>
                <c:pt idx="12">
                  <c:v>GHA</c:v>
                </c:pt>
                <c:pt idx="13">
                  <c:v>SEN</c:v>
                </c:pt>
                <c:pt idx="14">
                  <c:v>UZB</c:v>
                </c:pt>
                <c:pt idx="15">
                  <c:v>GNB</c:v>
                </c:pt>
              </c:strCache>
            </c:strRef>
          </c:cat>
          <c:val>
            <c:numRef>
              <c:f>Figure!$D$59:$D$74</c:f>
              <c:numCache>
                <c:formatCode>0.0</c:formatCode>
                <c:ptCount val="16"/>
                <c:pt idx="0">
                  <c:v>0.53561329172394667</c:v>
                </c:pt>
                <c:pt idx="1">
                  <c:v>0.7303367342895809</c:v>
                </c:pt>
                <c:pt idx="2">
                  <c:v>0.75126848355144216</c:v>
                </c:pt>
                <c:pt idx="3">
                  <c:v>1.2725932342664057</c:v>
                </c:pt>
                <c:pt idx="4">
                  <c:v>1.4</c:v>
                </c:pt>
                <c:pt idx="5">
                  <c:v>1.4589170592426774</c:v>
                </c:pt>
                <c:pt idx="6">
                  <c:v>1.5410379122087119</c:v>
                </c:pt>
                <c:pt idx="7">
                  <c:v>1.5876485248498626</c:v>
                </c:pt>
                <c:pt idx="8">
                  <c:v>1.8311737233930707</c:v>
                </c:pt>
                <c:pt idx="9">
                  <c:v>2.0995999624452013</c:v>
                </c:pt>
                <c:pt idx="10">
                  <c:v>2.2719587745556735</c:v>
                </c:pt>
                <c:pt idx="11">
                  <c:v>2.3882593762032762</c:v>
                </c:pt>
                <c:pt idx="12">
                  <c:v>2.8833694498395888</c:v>
                </c:pt>
                <c:pt idx="13">
                  <c:v>3.1628411514016226</c:v>
                </c:pt>
                <c:pt idx="14">
                  <c:v>3.704564006123956</c:v>
                </c:pt>
                <c:pt idx="15">
                  <c:v>5.1553452632492336</c:v>
                </c:pt>
              </c:numCache>
            </c:numRef>
          </c:val>
          <c:extLst>
            <c:ext xmlns:c16="http://schemas.microsoft.com/office/drawing/2014/chart" uri="{C3380CC4-5D6E-409C-BE32-E72D297353CC}">
              <c16:uniqueId val="{00000000-2329-4A9A-904C-FD6220F6BA0D}"/>
            </c:ext>
          </c:extLst>
        </c:ser>
        <c:ser>
          <c:idx val="1"/>
          <c:order val="1"/>
          <c:tx>
            <c:strRef>
              <c:f>Figure!$E$58</c:f>
              <c:strCache>
                <c:ptCount val="1"/>
                <c:pt idx="0">
                  <c:v>Equity, loans, and guarantees</c:v>
                </c:pt>
              </c:strCache>
            </c:strRef>
          </c:tx>
          <c:spPr>
            <a:solidFill>
              <a:schemeClr val="accent6">
                <a:lumMod val="60000"/>
                <a:lumOff val="40000"/>
              </a:schemeClr>
            </a:solidFill>
            <a:ln>
              <a:solidFill>
                <a:schemeClr val="tx1"/>
              </a:solidFill>
            </a:ln>
            <a:effectLst/>
          </c:spPr>
          <c:invertIfNegative val="0"/>
          <c:cat>
            <c:strRef>
              <c:f>Figure!$B$59:$B$74</c:f>
              <c:strCache>
                <c:ptCount val="16"/>
                <c:pt idx="0">
                  <c:v>VNM</c:v>
                </c:pt>
                <c:pt idx="1">
                  <c:v>MMR</c:v>
                </c:pt>
                <c:pt idx="2">
                  <c:v>NER</c:v>
                </c:pt>
                <c:pt idx="3">
                  <c:v>BGD</c:v>
                </c:pt>
                <c:pt idx="4">
                  <c:v>CIV</c:v>
                </c:pt>
                <c:pt idx="5">
                  <c:v>NGA</c:v>
                </c:pt>
                <c:pt idx="6">
                  <c:v>ETH</c:v>
                </c:pt>
                <c:pt idx="7">
                  <c:v>LIDCs</c:v>
                </c:pt>
                <c:pt idx="8">
                  <c:v>NPL</c:v>
                </c:pt>
                <c:pt idx="9">
                  <c:v>ZMB</c:v>
                </c:pt>
                <c:pt idx="10">
                  <c:v>HND</c:v>
                </c:pt>
                <c:pt idx="11">
                  <c:v>KEN</c:v>
                </c:pt>
                <c:pt idx="12">
                  <c:v>GHA</c:v>
                </c:pt>
                <c:pt idx="13">
                  <c:v>SEN</c:v>
                </c:pt>
                <c:pt idx="14">
                  <c:v>UZB</c:v>
                </c:pt>
                <c:pt idx="15">
                  <c:v>GNB</c:v>
                </c:pt>
              </c:strCache>
            </c:strRef>
          </c:cat>
          <c:val>
            <c:numRef>
              <c:f>Figure!$E$59:$E$74</c:f>
              <c:numCache>
                <c:formatCode>0.0</c:formatCode>
                <c:ptCount val="16"/>
                <c:pt idx="0">
                  <c:v>0.47038638031962526</c:v>
                </c:pt>
                <c:pt idx="1">
                  <c:v>0.26334257246018544</c:v>
                </c:pt>
                <c:pt idx="2">
                  <c:v>1.284439192257552</c:v>
                </c:pt>
                <c:pt idx="3">
                  <c:v>0</c:v>
                </c:pt>
                <c:pt idx="4">
                  <c:v>0</c:v>
                </c:pt>
                <c:pt idx="5">
                  <c:v>0</c:v>
                </c:pt>
                <c:pt idx="6">
                  <c:v>0.62234223377659526</c:v>
                </c:pt>
                <c:pt idx="7">
                  <c:v>0.22001660716709234</c:v>
                </c:pt>
                <c:pt idx="8">
                  <c:v>1.369989230094075</c:v>
                </c:pt>
                <c:pt idx="9">
                  <c:v>0.26614647411277198</c:v>
                </c:pt>
                <c:pt idx="10">
                  <c:v>2.0840210082780901</c:v>
                </c:pt>
                <c:pt idx="11">
                  <c:v>0</c:v>
                </c:pt>
                <c:pt idx="12">
                  <c:v>0.30893244105424167</c:v>
                </c:pt>
                <c:pt idx="13">
                  <c:v>0.49977173949912773</c:v>
                </c:pt>
                <c:pt idx="14">
                  <c:v>2.4321630805971468</c:v>
                </c:pt>
                <c:pt idx="15">
                  <c:v>1.8420719139766197</c:v>
                </c:pt>
              </c:numCache>
            </c:numRef>
          </c:val>
          <c:extLst>
            <c:ext xmlns:c16="http://schemas.microsoft.com/office/drawing/2014/chart" uri="{C3380CC4-5D6E-409C-BE32-E72D297353CC}">
              <c16:uniqueId val="{00000001-2329-4A9A-904C-FD6220F6BA0D}"/>
            </c:ext>
          </c:extLst>
        </c:ser>
        <c:dLbls>
          <c:showLegendKey val="0"/>
          <c:showVal val="0"/>
          <c:showCatName val="0"/>
          <c:showSerName val="0"/>
          <c:showPercent val="0"/>
          <c:showBubbleSize val="0"/>
        </c:dLbls>
        <c:gapWidth val="38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0.5"/>
      </c:valAx>
      <c:spPr>
        <a:solidFill>
          <a:sysClr val="window" lastClr="FFFFFF"/>
        </a:solidFill>
        <a:ln>
          <a:solidFill>
            <a:schemeClr val="bg1">
              <a:lumMod val="65000"/>
            </a:schemeClr>
          </a:solidFill>
        </a:ln>
        <a:effectLst/>
      </c:spPr>
    </c:plotArea>
    <c:legend>
      <c:legendPos val="t"/>
      <c:layout>
        <c:manualLayout>
          <c:xMode val="edge"/>
          <c:yMode val="edge"/>
          <c:x val="0.36038868952646463"/>
          <c:y val="3.1567445719384482E-2"/>
          <c:w val="0.61097961511211973"/>
          <c:h val="9.83702547385658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481293</xdr:colOff>
      <xdr:row>6</xdr:row>
      <xdr:rowOff>100852</xdr:rowOff>
    </xdr:from>
    <xdr:to>
      <xdr:col>14</xdr:col>
      <xdr:colOff>554318</xdr:colOff>
      <xdr:row>26</xdr:row>
      <xdr:rowOff>129427</xdr:rowOff>
    </xdr:to>
    <xdr:graphicFrame macro="">
      <xdr:nvGraphicFramePr>
        <xdr:cNvPr id="2" name="Chart 1">
          <a:extLst>
            <a:ext uri="{FF2B5EF4-FFF2-40B4-BE49-F238E27FC236}">
              <a16:creationId xmlns:a16="http://schemas.microsoft.com/office/drawing/2014/main" id="{1F2ABD2C-9D62-4EE1-BBE3-1927C6EDE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166968</xdr:colOff>
      <xdr:row>7</xdr:row>
      <xdr:rowOff>29695</xdr:rowOff>
    </xdr:from>
    <xdr:to>
      <xdr:col>22</xdr:col>
      <xdr:colOff>271743</xdr:colOff>
      <xdr:row>27</xdr:row>
      <xdr:rowOff>58270</xdr:rowOff>
    </xdr:to>
    <xdr:graphicFrame macro="">
      <xdr:nvGraphicFramePr>
        <xdr:cNvPr id="3" name="Chart 2">
          <a:extLst>
            <a:ext uri="{FF2B5EF4-FFF2-40B4-BE49-F238E27FC236}">
              <a16:creationId xmlns:a16="http://schemas.microsoft.com/office/drawing/2014/main" id="{39E93B84-452A-455B-AAF2-997229251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414618</xdr:colOff>
      <xdr:row>7</xdr:row>
      <xdr:rowOff>48745</xdr:rowOff>
    </xdr:from>
    <xdr:to>
      <xdr:col>29</xdr:col>
      <xdr:colOff>487643</xdr:colOff>
      <xdr:row>27</xdr:row>
      <xdr:rowOff>77320</xdr:rowOff>
    </xdr:to>
    <xdr:graphicFrame macro="">
      <xdr:nvGraphicFramePr>
        <xdr:cNvPr id="4" name="Chart 3">
          <a:extLst>
            <a:ext uri="{FF2B5EF4-FFF2-40B4-BE49-F238E27FC236}">
              <a16:creationId xmlns:a16="http://schemas.microsoft.com/office/drawing/2014/main" id="{12E612B7-8205-4281-96EC-697FE2812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78441</xdr:colOff>
      <xdr:row>1</xdr:row>
      <xdr:rowOff>33617</xdr:rowOff>
    </xdr:from>
    <xdr:to>
      <xdr:col>16</xdr:col>
      <xdr:colOff>259556</xdr:colOff>
      <xdr:row>6</xdr:row>
      <xdr:rowOff>15687</xdr:rowOff>
    </xdr:to>
    <xdr:sp macro="" textlink="">
      <xdr:nvSpPr>
        <xdr:cNvPr id="5" name="TextBox 4">
          <a:extLst>
            <a:ext uri="{FF2B5EF4-FFF2-40B4-BE49-F238E27FC236}">
              <a16:creationId xmlns:a16="http://schemas.microsoft.com/office/drawing/2014/main" id="{8D175AED-684E-4A37-9CCB-C73B626C2D15}"/>
            </a:ext>
          </a:extLst>
        </xdr:cNvPr>
        <xdr:cNvSpPr txBox="1"/>
      </xdr:nvSpPr>
      <xdr:spPr>
        <a:xfrm>
          <a:off x="4919382" y="190499"/>
          <a:ext cx="5022056"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rgbClr val="7030A0"/>
              </a:solidFill>
              <a:latin typeface="HelveticaNeueLT Std" panose="020B0604020202020204"/>
            </a:rPr>
            <a:t>Figure 1. Discretionary Fiscal Response to the COVID-19</a:t>
          </a:r>
          <a:r>
            <a:rPr lang="en-US" sz="1300" b="1" baseline="0">
              <a:solidFill>
                <a:srgbClr val="7030A0"/>
              </a:solidFill>
              <a:latin typeface="HelveticaNeueLT Std" panose="020B0604020202020204"/>
            </a:rPr>
            <a:t> Crisis in Selected Economies</a:t>
          </a:r>
          <a:endParaRPr lang="en-US" sz="1300" b="1">
            <a:solidFill>
              <a:srgbClr val="7030A0"/>
            </a:solidFill>
            <a:latin typeface="HelveticaNeueLT Std" panose="020B0604020202020204"/>
          </a:endParaRPr>
        </a:p>
        <a:p>
          <a:r>
            <a:rPr lang="en-US" sz="1300" b="0" i="1">
              <a:solidFill>
                <a:srgbClr val="7030A0"/>
              </a:solidFill>
              <a:latin typeface="HelveticaNeueLT Std" panose="020B0604020202020204"/>
            </a:rPr>
            <a:t>(Percent of GDP)</a:t>
          </a:r>
        </a:p>
      </xdr:txBody>
    </xdr:sp>
    <xdr:clientData/>
  </xdr:twoCellAnchor>
  <xdr:twoCellAnchor>
    <xdr:from>
      <xdr:col>8</xdr:col>
      <xdr:colOff>0</xdr:colOff>
      <xdr:row>29</xdr:row>
      <xdr:rowOff>0</xdr:rowOff>
    </xdr:from>
    <xdr:to>
      <xdr:col>19</xdr:col>
      <xdr:colOff>265660</xdr:colOff>
      <xdr:row>36</xdr:row>
      <xdr:rowOff>153681</xdr:rowOff>
    </xdr:to>
    <xdr:sp macro="" textlink="">
      <xdr:nvSpPr>
        <xdr:cNvPr id="6" name="TextBox 5">
          <a:extLst>
            <a:ext uri="{FF2B5EF4-FFF2-40B4-BE49-F238E27FC236}">
              <a16:creationId xmlns:a16="http://schemas.microsoft.com/office/drawing/2014/main" id="{E17F47EF-C4A2-419E-91B1-5B30292D0958}"/>
            </a:ext>
          </a:extLst>
        </xdr:cNvPr>
        <xdr:cNvSpPr txBox="1"/>
      </xdr:nvSpPr>
      <xdr:spPr>
        <a:xfrm>
          <a:off x="4840941" y="4616824"/>
          <a:ext cx="6921954" cy="1251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mn-lt"/>
              <a:ea typeface="+mn-ea"/>
              <a:cs typeface="+mn-cs"/>
            </a:rPr>
            <a:t>Sources: Database of Country Fiscal Measures in Response to the COVID-19 Pandemic; and IMF staff estimates.</a:t>
          </a:r>
        </a:p>
        <a:p>
          <a:r>
            <a:rPr lang="en-US" sz="1000">
              <a:solidFill>
                <a:schemeClr val="dk1"/>
              </a:solidFill>
              <a:effectLst/>
              <a:latin typeface="+mn-lt"/>
              <a:ea typeface="+mn-ea"/>
              <a:cs typeface="+mn-cs"/>
            </a:rPr>
            <a:t>Note: Estimates as of end-December, 2020. Numbers in U.S. dollar and percent of GDP are based on January 2021 World Economic Outlook Update unless otherwise stated. For Argentina, U.S. dollar values use end-December 2020 exchange rate. </a:t>
          </a:r>
        </a:p>
        <a:p>
          <a:r>
            <a:rPr lang="en-US" sz="1000">
              <a:solidFill>
                <a:schemeClr val="dk1"/>
              </a:solidFill>
              <a:effectLst/>
              <a:latin typeface="+mn-lt"/>
              <a:ea typeface="+mn-ea"/>
              <a:cs typeface="+mn-cs"/>
            </a:rPr>
            <a:t>Country group averages are weighted by GDP in US dollars adjusted by purchasing power parity. Data labels use International Organization for Standardization country codes. AEs = advanced economies; EMMIEs = emerging market and middle-income economies; LIDCs = low-income developing countries.</a:t>
          </a:r>
          <a:endParaRPr lang="en-US" sz="1000" b="0" i="1">
            <a:solidFill>
              <a:srgbClr val="7030A0"/>
            </a:solidFill>
            <a:latin typeface="HelveticaNeueLT Std" panose="020B0604020202020204"/>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0.63829</cdr:x>
      <cdr:y>0.875</cdr:y>
    </cdr:from>
    <cdr:to>
      <cdr:x>0.67829</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750292" y="2770444"/>
          <a:ext cx="172354" cy="395778"/>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0.4708</cdr:x>
      <cdr:y>0.82857</cdr:y>
    </cdr:from>
    <cdr:to>
      <cdr:x>0.5108</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2043539" y="2623437"/>
          <a:ext cx="173624" cy="542785"/>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0.48129</cdr:x>
      <cdr:y>0.875</cdr:y>
    </cdr:from>
    <cdr:to>
      <cdr:x>0.52129</cdr:x>
      <cdr:y>1</cdr:y>
    </cdr:to>
    <cdr:sp macro="" textlink="">
      <cdr:nvSpPr>
        <cdr:cNvPr id="2" name="Oval 1">
          <a:extLst xmlns:a="http://schemas.openxmlformats.org/drawingml/2006/main">
            <a:ext uri="{FF2B5EF4-FFF2-40B4-BE49-F238E27FC236}">
              <a16:creationId xmlns:a16="http://schemas.microsoft.com/office/drawing/2014/main" id="{973CD3B6-920C-4A6F-8791-4533D8729BF2}"/>
            </a:ext>
          </a:extLst>
        </cdr:cNvPr>
        <cdr:cNvSpPr/>
      </cdr:nvSpPr>
      <cdr:spPr>
        <a:xfrm xmlns:a="http://schemas.openxmlformats.org/drawingml/2006/main">
          <a:off x="2088887" y="2858691"/>
          <a:ext cx="173609" cy="408384"/>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ersons/person.xml><?xml version="1.0" encoding="utf-8"?>
<personList xmlns="http://schemas.microsoft.com/office/spreadsheetml/2018/threadedcomments" xmlns:x="http://schemas.openxmlformats.org/spreadsheetml/2006/main">
  <person displayName="Xiang, Yuan" id="{BD8F11D6-3597-4B71-A977-E781051E2A85}" userId="S::YXiang@imf.org::e94fa55b-6db6-4762-b16b-673156678b54"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99" dT="2020-12-16T17:41:42.68" personId="{BD8F11D6-3597-4B71-A977-E781051E2A85}" id="{E6476814-DF47-4CB1-9A3D-358965AD66AF}">
    <text>Also from the originally adopted 19bn, a 2bn lek was not used (for humanitarian relief) and an additional 1bn was kept as reserve fund (hence not appropriated). With those subtractions, the figures match. from Linda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FCB24-8A78-4627-ADED-A52C44C84BDC}">
  <sheetPr>
    <tabColor rgb="FFFF0000"/>
    <pageSetUpPr fitToPage="1"/>
  </sheetPr>
  <dimension ref="A1:AE48"/>
  <sheetViews>
    <sheetView showGridLines="0" zoomScaleNormal="100" zoomScaleSheetLayoutView="100" workbookViewId="0">
      <pane xSplit="2" ySplit="7" topLeftCell="C8" activePane="bottomRight" state="frozen"/>
      <selection activeCell="I219" sqref="I219"/>
      <selection pane="topRight" activeCell="I219" sqref="I219"/>
      <selection pane="bottomLeft" activeCell="I219" sqref="I219"/>
      <selection pane="bottomRight" activeCell="N8" sqref="N8"/>
    </sheetView>
  </sheetViews>
  <sheetFormatPr baseColWidth="10" defaultColWidth="9.1796875" defaultRowHeight="12.5"/>
  <cols>
    <col min="1" max="1" width="10.26953125" customWidth="1"/>
    <col min="2" max="2" width="26.54296875" style="2" customWidth="1"/>
    <col min="3" max="3" width="10.453125" style="2" customWidth="1"/>
    <col min="4" max="4" width="11.08984375" style="2" customWidth="1"/>
    <col min="5" max="5" width="9.90625" style="2" bestFit="1" customWidth="1"/>
    <col min="6" max="6" width="9.7265625" style="2" customWidth="1"/>
    <col min="7" max="7" width="9.81640625" style="2" customWidth="1"/>
    <col min="8" max="8" width="18.81640625" style="2" customWidth="1"/>
    <col min="9" max="9" width="9.26953125" style="2" customWidth="1"/>
    <col min="10" max="10" width="9.90625" style="2" bestFit="1" customWidth="1"/>
    <col min="11" max="12" width="11.1796875" style="2" customWidth="1"/>
    <col min="13" max="14" width="11" style="2" customWidth="1"/>
    <col min="15" max="15" width="11.81640625" style="2" customWidth="1"/>
    <col min="16" max="16" width="13.90625" style="2" customWidth="1"/>
    <col min="17" max="17" width="9.81640625" style="2" customWidth="1"/>
    <col min="18" max="18" width="1.81640625" style="2" customWidth="1"/>
    <col min="19" max="19" width="10.81640625" style="2" customWidth="1"/>
    <col min="20" max="21" width="12.08984375" style="2" customWidth="1"/>
    <col min="22" max="23" width="18.81640625" style="2" customWidth="1"/>
    <col min="24" max="25" width="8.81640625" style="2" customWidth="1"/>
    <col min="26" max="27" width="18.26953125" style="2" customWidth="1"/>
    <col min="28" max="28" width="25.1796875" customWidth="1"/>
    <col min="29" max="29" width="16.453125" customWidth="1"/>
    <col min="30" max="30" width="25.6328125" customWidth="1"/>
    <col min="31" max="31" width="17" customWidth="1"/>
    <col min="41" max="41" width="19.7265625" customWidth="1"/>
  </cols>
  <sheetData>
    <row r="1" spans="1:31" ht="15.75" customHeight="1">
      <c r="B1" s="1" t="s">
        <v>0</v>
      </c>
    </row>
    <row r="2" spans="1:31" ht="15.75" customHeight="1">
      <c r="B2" s="3" t="s">
        <v>1</v>
      </c>
    </row>
    <row r="3" spans="1:31" ht="15.75" customHeight="1">
      <c r="B3" s="238" t="s">
        <v>2</v>
      </c>
      <c r="C3" s="239"/>
      <c r="D3" s="239"/>
      <c r="E3" s="239"/>
      <c r="F3" s="239"/>
      <c r="G3" s="239"/>
      <c r="H3" s="239"/>
      <c r="I3" s="239"/>
      <c r="J3" s="239"/>
      <c r="K3" s="239"/>
      <c r="L3" s="239"/>
      <c r="M3" s="239"/>
      <c r="N3" s="239"/>
      <c r="O3" s="239"/>
      <c r="P3" s="239"/>
      <c r="Q3" s="239"/>
      <c r="R3" s="239"/>
      <c r="S3" s="239"/>
      <c r="T3" s="239"/>
      <c r="U3" s="239"/>
      <c r="V3" s="239"/>
      <c r="W3" s="239"/>
      <c r="X3" s="239"/>
      <c r="Y3" s="239"/>
      <c r="Z3" s="239"/>
      <c r="AA3" s="318"/>
    </row>
    <row r="4" spans="1:31" ht="11.15" customHeight="1">
      <c r="A4" s="4"/>
      <c r="B4" s="5"/>
      <c r="C4" s="237" t="s">
        <v>3</v>
      </c>
      <c r="D4" s="237"/>
      <c r="E4" s="237"/>
      <c r="F4" s="237"/>
      <c r="G4" s="240" t="s">
        <v>4</v>
      </c>
      <c r="H4" s="240"/>
      <c r="I4" s="240"/>
      <c r="J4" s="240"/>
      <c r="K4" s="237" t="s">
        <v>3</v>
      </c>
      <c r="L4" s="237"/>
      <c r="M4" s="237"/>
      <c r="N4" s="237"/>
      <c r="O4" s="237"/>
      <c r="P4" s="237"/>
      <c r="Q4" s="237"/>
      <c r="R4" s="6"/>
      <c r="S4" s="6"/>
      <c r="T4" s="240" t="s">
        <v>4</v>
      </c>
      <c r="U4" s="240"/>
      <c r="V4" s="240"/>
      <c r="W4" s="240"/>
      <c r="X4" s="240"/>
      <c r="Y4" s="240"/>
      <c r="Z4" s="240"/>
      <c r="AA4" s="319"/>
    </row>
    <row r="5" spans="1:31" ht="27" customHeight="1">
      <c r="A5" s="4"/>
      <c r="B5" s="5"/>
      <c r="C5" s="240" t="s">
        <v>5</v>
      </c>
      <c r="D5" s="240"/>
      <c r="E5" s="240"/>
      <c r="F5" s="233" t="s">
        <v>6</v>
      </c>
      <c r="G5" s="7"/>
      <c r="H5" s="235" t="s">
        <v>7</v>
      </c>
      <c r="I5" s="237" t="s">
        <v>8</v>
      </c>
      <c r="J5" s="237"/>
      <c r="K5" s="240" t="s">
        <v>5</v>
      </c>
      <c r="L5" s="240"/>
      <c r="M5" s="240"/>
      <c r="N5" s="240"/>
      <c r="O5" s="240"/>
      <c r="P5" s="317"/>
      <c r="Q5" s="233" t="s">
        <v>6</v>
      </c>
      <c r="R5" s="6"/>
      <c r="S5" s="6"/>
      <c r="T5" s="7"/>
      <c r="U5" s="7"/>
      <c r="V5" s="235" t="s">
        <v>7</v>
      </c>
      <c r="W5" s="227"/>
      <c r="X5" s="237" t="s">
        <v>8</v>
      </c>
      <c r="Y5" s="237"/>
      <c r="Z5" s="237"/>
      <c r="AA5" s="320"/>
    </row>
    <row r="6" spans="1:31" ht="29.5" customHeight="1">
      <c r="A6" s="4"/>
      <c r="B6" s="8"/>
      <c r="C6" s="9" t="s">
        <v>9</v>
      </c>
      <c r="D6" s="189" t="s">
        <v>10</v>
      </c>
      <c r="E6" s="189" t="s">
        <v>11</v>
      </c>
      <c r="F6" s="234"/>
      <c r="G6" s="11" t="s">
        <v>9</v>
      </c>
      <c r="H6" s="236"/>
      <c r="I6" s="12" t="s">
        <v>12</v>
      </c>
      <c r="J6" s="12" t="s">
        <v>13</v>
      </c>
      <c r="K6" s="9" t="s">
        <v>9</v>
      </c>
      <c r="L6" s="9"/>
      <c r="M6" s="189" t="s">
        <v>10</v>
      </c>
      <c r="N6" s="189"/>
      <c r="O6" s="189" t="s">
        <v>11</v>
      </c>
      <c r="P6" s="189"/>
      <c r="Q6" s="234"/>
      <c r="R6" s="10"/>
      <c r="S6" s="10"/>
      <c r="T6" s="11" t="s">
        <v>9</v>
      </c>
      <c r="U6" s="11"/>
      <c r="V6" s="236"/>
      <c r="W6" s="228"/>
      <c r="X6" s="12" t="s">
        <v>12</v>
      </c>
      <c r="Y6" s="12"/>
      <c r="Z6" s="189" t="s">
        <v>13</v>
      </c>
      <c r="AA6" s="321"/>
    </row>
    <row r="7" spans="1:31" ht="29">
      <c r="A7" s="13"/>
      <c r="B7" s="13" t="s">
        <v>14</v>
      </c>
      <c r="C7" s="14"/>
      <c r="D7" s="14"/>
      <c r="E7" s="14"/>
      <c r="F7" s="14"/>
      <c r="G7" s="14"/>
      <c r="H7" s="14"/>
      <c r="I7" s="14"/>
      <c r="J7" s="14"/>
      <c r="K7" s="2" t="s">
        <v>521</v>
      </c>
      <c r="L7" s="2" t="s">
        <v>548</v>
      </c>
      <c r="M7" s="2" t="s">
        <v>522</v>
      </c>
      <c r="N7" s="2" t="s">
        <v>547</v>
      </c>
      <c r="O7" s="2" t="s">
        <v>523</v>
      </c>
      <c r="P7" s="2" t="s">
        <v>549</v>
      </c>
      <c r="Q7" s="2" t="s">
        <v>524</v>
      </c>
      <c r="S7" s="2" t="s">
        <v>550</v>
      </c>
      <c r="T7" s="2" t="s">
        <v>525</v>
      </c>
      <c r="U7" s="2" t="s">
        <v>551</v>
      </c>
      <c r="V7" s="2" t="s">
        <v>526</v>
      </c>
      <c r="W7" s="2" t="s">
        <v>552</v>
      </c>
      <c r="X7" s="2" t="s">
        <v>527</v>
      </c>
      <c r="Y7" s="2" t="s">
        <v>553</v>
      </c>
      <c r="Z7" s="2" t="s">
        <v>555</v>
      </c>
      <c r="AA7" s="2" t="s">
        <v>554</v>
      </c>
      <c r="AB7" s="309" t="s">
        <v>544</v>
      </c>
      <c r="AC7" s="309" t="s">
        <v>545</v>
      </c>
      <c r="AD7" s="310" t="s">
        <v>546</v>
      </c>
      <c r="AE7" s="310" t="s">
        <v>545</v>
      </c>
    </row>
    <row r="8" spans="1:31" ht="14.5">
      <c r="A8" s="15"/>
      <c r="B8" s="15" t="s">
        <v>15</v>
      </c>
      <c r="C8" s="191">
        <v>218.44777903701456</v>
      </c>
      <c r="D8" s="190">
        <v>11.460913817997604</v>
      </c>
      <c r="E8" s="190">
        <v>206.98686521901695</v>
      </c>
      <c r="F8" s="190">
        <v>0</v>
      </c>
      <c r="G8" s="192">
        <v>24.16457732710338</v>
      </c>
      <c r="H8" s="190">
        <v>10.356247425901449</v>
      </c>
      <c r="I8" s="190">
        <v>13.808329901201899</v>
      </c>
      <c r="J8" s="190">
        <v>0</v>
      </c>
      <c r="K8" s="192">
        <f>M8+O8</f>
        <v>14.614106991358739</v>
      </c>
      <c r="L8" s="192">
        <f>N8+P8</f>
        <v>17.810434548128736</v>
      </c>
      <c r="M8" s="190">
        <f>($D8/$AE8)*100</f>
        <v>0.76673254126597679</v>
      </c>
      <c r="N8" s="190">
        <f>($D8/$AC8)*100</f>
        <v>0.93442861409272149</v>
      </c>
      <c r="O8" s="190">
        <f>($E8/$AE8)*100</f>
        <v>13.847374450092762</v>
      </c>
      <c r="P8" s="190">
        <f>($E8/$AC8)*100</f>
        <v>16.876005934036016</v>
      </c>
      <c r="Q8" s="190">
        <f>($F8/$AE8)*100</f>
        <v>0</v>
      </c>
      <c r="R8" s="190"/>
      <c r="S8" s="190">
        <f>($F8/$AC8)*100</f>
        <v>0</v>
      </c>
      <c r="T8" s="192">
        <f>W8+Y8</f>
        <v>1.9701808128460967</v>
      </c>
      <c r="U8" s="192">
        <f>W8+Y8</f>
        <v>1.9701808128460967</v>
      </c>
      <c r="V8" s="190">
        <f>($H8/$AE8)*100</f>
        <v>0.69283060957768994</v>
      </c>
      <c r="W8" s="190">
        <f>($H8/$AC8)*100</f>
        <v>0.84436320550547117</v>
      </c>
      <c r="X8" s="190">
        <f>($I8/$AE8)*100</f>
        <v>0.92377414610358444</v>
      </c>
      <c r="Y8" s="190">
        <f>($I8/$AC8)*100</f>
        <v>1.1258176073406256</v>
      </c>
      <c r="Z8" s="190">
        <f>($J8/AE8)*100</f>
        <v>0</v>
      </c>
      <c r="AA8" s="190">
        <f>($J8/$AC8)*100</f>
        <v>0</v>
      </c>
      <c r="AB8" s="311">
        <v>1226515717214.5801</v>
      </c>
      <c r="AC8" s="312">
        <v>1226.51571721458</v>
      </c>
      <c r="AD8" s="313">
        <v>1494773366351.988</v>
      </c>
      <c r="AE8" s="199">
        <v>1494.77336635199</v>
      </c>
    </row>
    <row r="9" spans="1:31" ht="14.5">
      <c r="A9" s="15"/>
      <c r="B9" s="15" t="s">
        <v>16</v>
      </c>
      <c r="C9" s="191">
        <v>240.10443817674746</v>
      </c>
      <c r="D9" s="190">
        <v>39.211353864005552</v>
      </c>
      <c r="E9" s="190">
        <v>200.89308431274193</v>
      </c>
      <c r="F9" s="190">
        <v>63.244119135492831</v>
      </c>
      <c r="G9" s="192">
        <v>65.922693592996055</v>
      </c>
      <c r="H9" s="190">
        <v>3.8690519941713259</v>
      </c>
      <c r="I9" s="190">
        <v>62.053641598824733</v>
      </c>
      <c r="J9" s="190">
        <v>0</v>
      </c>
      <c r="K9" s="192">
        <f t="shared" ref="K9:K45" si="0">M9+O9</f>
        <v>14.152052213106629</v>
      </c>
      <c r="L9" s="192">
        <f t="shared" ref="L9:L45" si="1">N9+P9</f>
        <v>13.931307727333492</v>
      </c>
      <c r="M9" s="190">
        <f t="shared" ref="M9:M45" si="2">($D9/$AE9)*100</f>
        <v>2.3111656387688853</v>
      </c>
      <c r="N9" s="190">
        <f t="shared" ref="N9:N45" si="3">($D9/$AC9)*100</f>
        <v>2.2751159505127827</v>
      </c>
      <c r="O9" s="190">
        <f t="shared" ref="O9:O45" si="4">($E9/$AE9)*100</f>
        <v>11.840886574337743</v>
      </c>
      <c r="P9" s="190">
        <f t="shared" ref="P9:P45" si="5">($E9/$AC9)*100</f>
        <v>11.656191776820709</v>
      </c>
      <c r="Q9" s="190">
        <f t="shared" ref="Q9:Q45" si="6">($F9/$AE9)*100</f>
        <v>3.7276865141433637</v>
      </c>
      <c r="R9" s="190"/>
      <c r="S9" s="190">
        <f t="shared" ref="S9:S45" si="7">($F9/$AC9)*100</f>
        <v>3.6695418556657788</v>
      </c>
      <c r="T9" s="192">
        <f t="shared" ref="T9:T45" si="8">W9+Y9</f>
        <v>3.8249577460233888</v>
      </c>
      <c r="U9" s="192">
        <f t="shared" ref="U9:U45" si="9">W9+Y9</f>
        <v>3.8249577460233888</v>
      </c>
      <c r="V9" s="190">
        <f t="shared" ref="V9:V45" si="10">($H9/$AE9)*100</f>
        <v>0.22804670439465283</v>
      </c>
      <c r="W9" s="190">
        <f t="shared" ref="W9:W45" si="11">($H9/$AC9)*100</f>
        <v>0.22448961940543585</v>
      </c>
      <c r="X9" s="190">
        <f t="shared" ref="X9:X45" si="12">($I9/$AE9)*100</f>
        <v>3.657518297406547</v>
      </c>
      <c r="Y9" s="190">
        <f t="shared" ref="Y9:Y45" si="13">($I9/$AC9)*100</f>
        <v>3.6004681266179528</v>
      </c>
      <c r="Z9" s="190">
        <f t="shared" ref="Z9:Z45" si="14">($J9/AE9)*100</f>
        <v>0</v>
      </c>
      <c r="AA9" s="190">
        <f t="shared" ref="AA9:AA45" si="15">($J9/$AC9)*100</f>
        <v>0</v>
      </c>
      <c r="AB9" s="311">
        <v>1723488152556.26</v>
      </c>
      <c r="AC9" s="312">
        <v>1723.48815255626</v>
      </c>
      <c r="AD9" s="313">
        <v>1696605089927.3779</v>
      </c>
      <c r="AE9" s="199">
        <v>1696.60508992738</v>
      </c>
    </row>
    <row r="10" spans="1:31" ht="14.5">
      <c r="A10" s="15"/>
      <c r="B10" s="15" t="s">
        <v>18</v>
      </c>
      <c r="C10" s="191">
        <v>198.05783396635229</v>
      </c>
      <c r="D10" s="190">
        <v>20.261088762075122</v>
      </c>
      <c r="E10" s="190">
        <v>177.79674520427716</v>
      </c>
      <c r="F10" s="190">
        <v>62.604487747984926</v>
      </c>
      <c r="G10" s="192">
        <v>404.65264353470258</v>
      </c>
      <c r="H10" s="190">
        <v>23.903531685594242</v>
      </c>
      <c r="I10" s="190">
        <v>380.74911184910832</v>
      </c>
      <c r="J10" s="190">
        <v>0</v>
      </c>
      <c r="K10" s="192">
        <f t="shared" si="0"/>
        <v>7.568667416840472</v>
      </c>
      <c r="L10" s="192">
        <f t="shared" si="1"/>
        <v>6.8129234714772871</v>
      </c>
      <c r="M10" s="190">
        <f t="shared" si="2"/>
        <v>0.77426597712506007</v>
      </c>
      <c r="N10" s="190">
        <f t="shared" si="3"/>
        <v>0.6969542401856077</v>
      </c>
      <c r="O10" s="190">
        <f t="shared" si="4"/>
        <v>6.7944014397154122</v>
      </c>
      <c r="P10" s="190">
        <f t="shared" si="5"/>
        <v>6.1159692312916798</v>
      </c>
      <c r="Q10" s="190">
        <f t="shared" si="6"/>
        <v>2.3923948731392306</v>
      </c>
      <c r="R10" s="190"/>
      <c r="S10" s="190">
        <f t="shared" si="7"/>
        <v>2.1535102927083383</v>
      </c>
      <c r="T10" s="192">
        <f t="shared" si="8"/>
        <v>13.919507437414804</v>
      </c>
      <c r="U10" s="192">
        <f t="shared" si="9"/>
        <v>13.919507437414804</v>
      </c>
      <c r="V10" s="190">
        <f t="shared" si="10"/>
        <v>0.91345986065316054</v>
      </c>
      <c r="W10" s="190">
        <f t="shared" si="11"/>
        <v>0.82224938448863827</v>
      </c>
      <c r="X10" s="190">
        <f t="shared" si="12"/>
        <v>14.550110637546773</v>
      </c>
      <c r="Y10" s="190">
        <f t="shared" si="13"/>
        <v>13.097258052926167</v>
      </c>
      <c r="Z10" s="190">
        <f t="shared" si="14"/>
        <v>0</v>
      </c>
      <c r="AA10" s="190">
        <f t="shared" si="15"/>
        <v>0</v>
      </c>
      <c r="AB10" s="311">
        <v>2907090249810.2798</v>
      </c>
      <c r="AC10" s="312">
        <v>2907.0902498102801</v>
      </c>
      <c r="AD10" s="313">
        <v>2616812485718.0068</v>
      </c>
      <c r="AE10" s="199">
        <v>2616.8124857180101</v>
      </c>
    </row>
    <row r="11" spans="1:31" ht="14.5">
      <c r="A11" s="15"/>
      <c r="B11" s="15" t="s">
        <v>19</v>
      </c>
      <c r="C11" s="191">
        <v>417.7426727911008</v>
      </c>
      <c r="D11" s="190">
        <v>45.530536543989193</v>
      </c>
      <c r="E11" s="190">
        <v>372.21213624711163</v>
      </c>
      <c r="F11" s="190">
        <v>0</v>
      </c>
      <c r="G11" s="192">
        <v>1054.3734000174297</v>
      </c>
      <c r="H11" s="190">
        <v>113.82634135997297</v>
      </c>
      <c r="I11" s="190">
        <v>940.54705865745666</v>
      </c>
      <c r="J11" s="190">
        <v>0</v>
      </c>
      <c r="K11" s="192">
        <f t="shared" si="0"/>
        <v>11.612616669567583</v>
      </c>
      <c r="L11" s="192">
        <f t="shared" si="1"/>
        <v>10.037584866642435</v>
      </c>
      <c r="M11" s="190">
        <f t="shared" si="2"/>
        <v>1.2656802909610445</v>
      </c>
      <c r="N11" s="190">
        <f t="shared" si="3"/>
        <v>1.0940146993615734</v>
      </c>
      <c r="O11" s="190">
        <f t="shared" si="4"/>
        <v>10.346936378606538</v>
      </c>
      <c r="P11" s="190">
        <f t="shared" si="5"/>
        <v>8.9435701672808623</v>
      </c>
      <c r="Q11" s="190">
        <f t="shared" si="6"/>
        <v>0</v>
      </c>
      <c r="R11" s="190"/>
      <c r="S11" s="190">
        <f t="shared" si="7"/>
        <v>0</v>
      </c>
      <c r="T11" s="192">
        <f t="shared" si="8"/>
        <v>25.334645400465632</v>
      </c>
      <c r="U11" s="192">
        <f t="shared" si="9"/>
        <v>25.334645400465632</v>
      </c>
      <c r="V11" s="190">
        <f t="shared" si="10"/>
        <v>3.1642007274026107</v>
      </c>
      <c r="W11" s="190">
        <f t="shared" si="11"/>
        <v>2.7350367484039335</v>
      </c>
      <c r="X11" s="190">
        <f t="shared" si="12"/>
        <v>26.145790610527776</v>
      </c>
      <c r="Y11" s="190">
        <f t="shared" si="13"/>
        <v>22.599608652061701</v>
      </c>
      <c r="Z11" s="190">
        <f t="shared" si="14"/>
        <v>0</v>
      </c>
      <c r="AA11" s="190">
        <f t="shared" si="15"/>
        <v>0</v>
      </c>
      <c r="AB11" s="311">
        <v>4161784715558.1299</v>
      </c>
      <c r="AC11" s="312">
        <v>4161.7847155581303</v>
      </c>
      <c r="AD11" s="313">
        <v>3597317337494.2358</v>
      </c>
      <c r="AE11" s="199">
        <v>3597.3173374942398</v>
      </c>
    </row>
    <row r="12" spans="1:31" ht="14.5">
      <c r="A12" s="15"/>
      <c r="B12" s="15" t="s">
        <v>20</v>
      </c>
      <c r="C12" s="191">
        <v>127.4855023231693</v>
      </c>
      <c r="D12" s="190">
        <v>10.813502429197396</v>
      </c>
      <c r="E12" s="190">
        <v>116.6719998939719</v>
      </c>
      <c r="F12" s="190">
        <v>7.9678438951980812</v>
      </c>
      <c r="G12" s="192">
        <v>662.75387256844044</v>
      </c>
      <c r="H12" s="190">
        <v>3.6993560941991093</v>
      </c>
      <c r="I12" s="190">
        <v>659.05451647424127</v>
      </c>
      <c r="J12" s="190">
        <v>0</v>
      </c>
      <c r="K12" s="192">
        <f t="shared" si="0"/>
        <v>6.6462474808104259</v>
      </c>
      <c r="L12" s="192">
        <f t="shared" si="1"/>
        <v>5.4535523714097724</v>
      </c>
      <c r="M12" s="190">
        <f t="shared" si="2"/>
        <v>0.56374420596159858</v>
      </c>
      <c r="N12" s="190">
        <f t="shared" si="3"/>
        <v>0.46257810293207896</v>
      </c>
      <c r="O12" s="190">
        <f t="shared" si="4"/>
        <v>6.0825032748488272</v>
      </c>
      <c r="P12" s="190">
        <f t="shared" si="5"/>
        <v>4.9909742684776939</v>
      </c>
      <c r="Q12" s="190">
        <f t="shared" si="6"/>
        <v>0.41539046755065162</v>
      </c>
      <c r="R12" s="190"/>
      <c r="S12" s="190">
        <f t="shared" si="7"/>
        <v>0.34084702321311078</v>
      </c>
      <c r="T12" s="192">
        <f t="shared" si="8"/>
        <v>28.351168466547676</v>
      </c>
      <c r="U12" s="192">
        <f t="shared" si="9"/>
        <v>28.351168466547676</v>
      </c>
      <c r="V12" s="190">
        <f t="shared" si="10"/>
        <v>0.1928598599342311</v>
      </c>
      <c r="W12" s="190">
        <f t="shared" si="11"/>
        <v>0.15825040363465859</v>
      </c>
      <c r="X12" s="190">
        <f t="shared" si="12"/>
        <v>34.358725815975326</v>
      </c>
      <c r="Y12" s="190">
        <f t="shared" si="13"/>
        <v>28.192918062913019</v>
      </c>
      <c r="Z12" s="190">
        <f t="shared" si="14"/>
        <v>0</v>
      </c>
      <c r="AA12" s="190">
        <f t="shared" si="15"/>
        <v>0</v>
      </c>
      <c r="AB12" s="311">
        <v>2337659815857.1201</v>
      </c>
      <c r="AC12" s="312">
        <v>2337.6598158571201</v>
      </c>
      <c r="AD12" s="313">
        <v>1918157617381.1699</v>
      </c>
      <c r="AE12" s="199">
        <v>1918.15761738117</v>
      </c>
    </row>
    <row r="13" spans="1:31" ht="14.5">
      <c r="A13" s="15"/>
      <c r="B13" s="15" t="s">
        <v>21</v>
      </c>
      <c r="C13" s="191">
        <v>782.33294838167308</v>
      </c>
      <c r="D13" s="190">
        <v>89.837276369187336</v>
      </c>
      <c r="E13" s="190">
        <v>692.49567201248567</v>
      </c>
      <c r="F13" s="190">
        <v>243.30929016654903</v>
      </c>
      <c r="G13" s="192">
        <v>1428.0383722852071</v>
      </c>
      <c r="H13" s="190">
        <v>0</v>
      </c>
      <c r="I13" s="190">
        <v>146.92137906210846</v>
      </c>
      <c r="J13" s="190">
        <v>1281.1169932230987</v>
      </c>
      <c r="K13" s="192">
        <f t="shared" si="0"/>
        <v>17.140139106767847</v>
      </c>
      <c r="L13" s="192">
        <f t="shared" si="1"/>
        <v>14.692106275435194</v>
      </c>
      <c r="M13" s="190">
        <f t="shared" si="2"/>
        <v>1.9682456390546812</v>
      </c>
      <c r="N13" s="190">
        <f t="shared" si="3"/>
        <v>1.6871318211026061</v>
      </c>
      <c r="O13" s="190">
        <f t="shared" si="4"/>
        <v>15.171893467713165</v>
      </c>
      <c r="P13" s="190">
        <f t="shared" si="5"/>
        <v>13.004974454332588</v>
      </c>
      <c r="Q13" s="190">
        <f t="shared" si="6"/>
        <v>5.3306652724397612</v>
      </c>
      <c r="R13" s="190"/>
      <c r="S13" s="190">
        <f t="shared" si="7"/>
        <v>4.5693153488195577</v>
      </c>
      <c r="T13" s="192">
        <f t="shared" si="8"/>
        <v>2.7591634990948872</v>
      </c>
      <c r="U13" s="192">
        <f t="shared" si="9"/>
        <v>2.7591634990948872</v>
      </c>
      <c r="V13" s="190">
        <f t="shared" si="10"/>
        <v>0</v>
      </c>
      <c r="W13" s="190">
        <f t="shared" si="11"/>
        <v>0</v>
      </c>
      <c r="X13" s="190">
        <f t="shared" si="12"/>
        <v>3.2189017222040093</v>
      </c>
      <c r="Y13" s="190">
        <f t="shared" si="13"/>
        <v>2.7591634990948872</v>
      </c>
      <c r="Z13" s="190">
        <f t="shared" si="14"/>
        <v>28.068002915269364</v>
      </c>
      <c r="AA13" s="190">
        <f t="shared" si="15"/>
        <v>24.059202740515293</v>
      </c>
      <c r="AB13" s="311">
        <v>5324852228231.6504</v>
      </c>
      <c r="AC13" s="312">
        <v>5324.8522282316499</v>
      </c>
      <c r="AD13" s="313">
        <v>4564332550094.4502</v>
      </c>
      <c r="AE13" s="199">
        <v>4564.3325500944502</v>
      </c>
    </row>
    <row r="14" spans="1:31" ht="14.5">
      <c r="A14" s="15"/>
      <c r="B14" s="15" t="s">
        <v>22</v>
      </c>
      <c r="C14" s="191">
        <v>56.080292033825813</v>
      </c>
      <c r="D14" s="190">
        <v>4.3138686179866008</v>
      </c>
      <c r="E14" s="190">
        <v>51.766423415839213</v>
      </c>
      <c r="F14" s="190">
        <v>27.913267528148594</v>
      </c>
      <c r="G14" s="192">
        <v>165.70330632619121</v>
      </c>
      <c r="H14" s="190">
        <v>0</v>
      </c>
      <c r="I14" s="190">
        <v>59.971232355931377</v>
      </c>
      <c r="J14" s="190">
        <v>105.73207397025983</v>
      </c>
      <c r="K14" s="192">
        <f t="shared" si="0"/>
        <v>3.4233981075268196</v>
      </c>
      <c r="L14" s="192">
        <f t="shared" si="1"/>
        <v>2.6004759094970282</v>
      </c>
      <c r="M14" s="190">
        <f t="shared" si="2"/>
        <v>0.26333831596360152</v>
      </c>
      <c r="N14" s="190">
        <f t="shared" si="3"/>
        <v>0.20003660842284832</v>
      </c>
      <c r="O14" s="190">
        <f t="shared" si="4"/>
        <v>3.160059791563218</v>
      </c>
      <c r="P14" s="190">
        <f t="shared" si="5"/>
        <v>2.4004393010741798</v>
      </c>
      <c r="Q14" s="190">
        <f t="shared" si="6"/>
        <v>1.7039538091762452</v>
      </c>
      <c r="R14" s="190"/>
      <c r="S14" s="190">
        <f t="shared" si="7"/>
        <v>1.2943545250890187</v>
      </c>
      <c r="T14" s="192">
        <f t="shared" si="8"/>
        <v>2.7809010857215584</v>
      </c>
      <c r="U14" s="192">
        <f t="shared" si="9"/>
        <v>2.7809010857215584</v>
      </c>
      <c r="V14" s="190">
        <f t="shared" si="10"/>
        <v>0</v>
      </c>
      <c r="W14" s="190">
        <f t="shared" si="11"/>
        <v>0</v>
      </c>
      <c r="X14" s="190">
        <f t="shared" si="12"/>
        <v>3.6609189415332062</v>
      </c>
      <c r="Y14" s="190">
        <f t="shared" si="13"/>
        <v>2.7809010857215584</v>
      </c>
      <c r="Z14" s="190">
        <f t="shared" si="14"/>
        <v>6.4543704893039591</v>
      </c>
      <c r="AA14" s="190">
        <f t="shared" si="15"/>
        <v>4.9028580495796161</v>
      </c>
      <c r="AB14" s="311">
        <v>2156539571430.7</v>
      </c>
      <c r="AC14" s="312">
        <v>2156.5395714307001</v>
      </c>
      <c r="AD14" s="313">
        <v>1638146960195.0569</v>
      </c>
      <c r="AE14" s="199">
        <v>1638.14696019506</v>
      </c>
    </row>
    <row r="15" spans="1:31" ht="14.5">
      <c r="A15" s="15"/>
      <c r="B15" s="15" t="s">
        <v>23</v>
      </c>
      <c r="C15" s="191">
        <v>52.473943366947367</v>
      </c>
      <c r="D15" s="190">
        <v>5.0083590198387942</v>
      </c>
      <c r="E15" s="190">
        <v>47.465584347108575</v>
      </c>
      <c r="F15" s="190">
        <v>0.614662243343852</v>
      </c>
      <c r="G15" s="192">
        <v>183.53245454540618</v>
      </c>
      <c r="H15" s="190">
        <v>0.72735032129022481</v>
      </c>
      <c r="I15" s="190">
        <v>171.4224700881187</v>
      </c>
      <c r="J15" s="190">
        <v>11.382634135997259</v>
      </c>
      <c r="K15" s="192">
        <f t="shared" si="0"/>
        <v>3.9635327822243318</v>
      </c>
      <c r="L15" s="192">
        <f t="shared" si="1"/>
        <v>2.9208535719864472</v>
      </c>
      <c r="M15" s="190">
        <f t="shared" si="2"/>
        <v>0.37829813973507714</v>
      </c>
      <c r="N15" s="190">
        <f t="shared" si="3"/>
        <v>0.27877995047159143</v>
      </c>
      <c r="O15" s="190">
        <f t="shared" si="4"/>
        <v>3.5852346424892545</v>
      </c>
      <c r="P15" s="190">
        <f t="shared" si="5"/>
        <v>2.6420736215148559</v>
      </c>
      <c r="Q15" s="190">
        <f t="shared" si="6"/>
        <v>4.6427498967486741E-2</v>
      </c>
      <c r="R15" s="190"/>
      <c r="S15" s="190">
        <f t="shared" si="7"/>
        <v>3.4213903012422588E-2</v>
      </c>
      <c r="T15" s="192">
        <f t="shared" si="8"/>
        <v>9.5823638475847766</v>
      </c>
      <c r="U15" s="192">
        <f t="shared" si="9"/>
        <v>9.5823638475847766</v>
      </c>
      <c r="V15" s="190">
        <f t="shared" si="10"/>
        <v>5.4939207111525973E-2</v>
      </c>
      <c r="W15" s="190">
        <f t="shared" si="11"/>
        <v>4.0486451898033397E-2</v>
      </c>
      <c r="X15" s="190">
        <f t="shared" si="12"/>
        <v>12.948113600932412</v>
      </c>
      <c r="Y15" s="190">
        <f t="shared" si="13"/>
        <v>9.5418773956867433</v>
      </c>
      <c r="Z15" s="190">
        <f t="shared" si="14"/>
        <v>0.85976849939790256</v>
      </c>
      <c r="AA15" s="190">
        <f t="shared" si="15"/>
        <v>0.6335907965263442</v>
      </c>
      <c r="AB15" s="311">
        <v>1796527695541.4199</v>
      </c>
      <c r="AC15" s="312">
        <v>1796.5276955414199</v>
      </c>
      <c r="AD15" s="313">
        <v>1323918490148.05</v>
      </c>
      <c r="AE15" s="199">
        <v>1323.9184901480501</v>
      </c>
    </row>
    <row r="16" spans="1:31" ht="14.5">
      <c r="A16" s="15"/>
      <c r="B16" s="15" t="s">
        <v>24</v>
      </c>
      <c r="C16" s="191">
        <v>440.54615742148212</v>
      </c>
      <c r="D16" s="190">
        <v>144.71429008321942</v>
      </c>
      <c r="E16" s="190">
        <v>295.83186733826267</v>
      </c>
      <c r="F16" s="190">
        <v>8.9646020405534159</v>
      </c>
      <c r="G16" s="192">
        <v>436.70418511838778</v>
      </c>
      <c r="H16" s="190">
        <v>1.2806574343647736</v>
      </c>
      <c r="I16" s="190">
        <v>435.42352768402304</v>
      </c>
      <c r="J16" s="190">
        <v>0</v>
      </c>
      <c r="K16" s="192">
        <f t="shared" si="0"/>
        <v>13.95286656356609</v>
      </c>
      <c r="L16" s="192">
        <f t="shared" si="1"/>
        <v>14.974435891333723</v>
      </c>
      <c r="M16" s="190">
        <f t="shared" si="2"/>
        <v>4.583354423497001</v>
      </c>
      <c r="N16" s="190">
        <f t="shared" si="3"/>
        <v>4.9189280689555543</v>
      </c>
      <c r="O16" s="190">
        <f t="shared" si="4"/>
        <v>9.3695121400690891</v>
      </c>
      <c r="P16" s="190">
        <f t="shared" si="5"/>
        <v>10.055507822378168</v>
      </c>
      <c r="Q16" s="190">
        <f t="shared" si="6"/>
        <v>0.28392461030512395</v>
      </c>
      <c r="R16" s="190"/>
      <c r="S16" s="190">
        <f t="shared" si="7"/>
        <v>0.30471235825388393</v>
      </c>
      <c r="T16" s="192">
        <f t="shared" si="8"/>
        <v>14.843844880653489</v>
      </c>
      <c r="U16" s="192">
        <f t="shared" si="9"/>
        <v>14.843844880653489</v>
      </c>
      <c r="V16" s="190">
        <f t="shared" si="10"/>
        <v>4.056065861501771E-2</v>
      </c>
      <c r="W16" s="190">
        <f t="shared" si="11"/>
        <v>4.3530336893411993E-2</v>
      </c>
      <c r="X16" s="190">
        <f t="shared" si="12"/>
        <v>13.790623929106022</v>
      </c>
      <c r="Y16" s="190">
        <f t="shared" si="13"/>
        <v>14.800314543760077</v>
      </c>
      <c r="Z16" s="190">
        <f t="shared" si="14"/>
        <v>0</v>
      </c>
      <c r="AA16" s="190">
        <f t="shared" si="15"/>
        <v>0</v>
      </c>
      <c r="AB16" s="311">
        <v>2941988336778.9702</v>
      </c>
      <c r="AC16" s="312">
        <v>2941.9883367789698</v>
      </c>
      <c r="AD16" s="313">
        <v>3157388164033.9238</v>
      </c>
      <c r="AE16" s="199">
        <v>3157.38816403392</v>
      </c>
    </row>
    <row r="17" spans="1:31" ht="14.5">
      <c r="A17" s="15"/>
      <c r="B17" s="15" t="s">
        <v>25</v>
      </c>
      <c r="C17" s="191">
        <v>3503.3</v>
      </c>
      <c r="D17" s="190">
        <v>483.8</v>
      </c>
      <c r="E17" s="190">
        <v>3019.5</v>
      </c>
      <c r="F17" s="190">
        <v>18</v>
      </c>
      <c r="G17" s="192">
        <v>510</v>
      </c>
      <c r="H17" s="190">
        <v>56</v>
      </c>
      <c r="I17" s="190">
        <v>454</v>
      </c>
      <c r="J17" s="190">
        <v>0</v>
      </c>
      <c r="K17" s="192">
        <f t="shared" si="0"/>
        <v>17.578926991325513</v>
      </c>
      <c r="L17" s="192">
        <f t="shared" si="1"/>
        <v>17.539113277697947</v>
      </c>
      <c r="M17" s="190">
        <f t="shared" si="2"/>
        <v>2.4276210653964214</v>
      </c>
      <c r="N17" s="190">
        <f t="shared" si="3"/>
        <v>2.4221228566637936</v>
      </c>
      <c r="O17" s="190">
        <f t="shared" si="4"/>
        <v>15.151305925929092</v>
      </c>
      <c r="P17" s="190">
        <f t="shared" si="5"/>
        <v>15.116990421034155</v>
      </c>
      <c r="Q17" s="190">
        <f t="shared" si="6"/>
        <v>9.0320750676179395E-2</v>
      </c>
      <c r="R17" s="190"/>
      <c r="S17" s="190">
        <f t="shared" si="7"/>
        <v>9.0116187308698387E-2</v>
      </c>
      <c r="T17" s="192">
        <f t="shared" si="8"/>
        <v>2.5532919737464543</v>
      </c>
      <c r="U17" s="192">
        <f t="shared" si="9"/>
        <v>2.5532919737464543</v>
      </c>
      <c r="V17" s="190">
        <f t="shared" si="10"/>
        <v>0.28099789099255812</v>
      </c>
      <c r="W17" s="190">
        <f t="shared" si="11"/>
        <v>0.28036147162706165</v>
      </c>
      <c r="X17" s="190">
        <f t="shared" si="12"/>
        <v>2.2780900448325245</v>
      </c>
      <c r="Y17" s="190">
        <f t="shared" si="13"/>
        <v>2.2729305021193928</v>
      </c>
      <c r="Z17" s="190">
        <f t="shared" si="14"/>
        <v>0</v>
      </c>
      <c r="AA17" s="190">
        <f t="shared" si="15"/>
        <v>0</v>
      </c>
      <c r="AB17" s="311">
        <v>19974213887167.602</v>
      </c>
      <c r="AC17" s="312">
        <v>19974.2138871676</v>
      </c>
      <c r="AD17" s="313">
        <v>19928975197000</v>
      </c>
      <c r="AE17" s="199">
        <v>19928.975197</v>
      </c>
    </row>
    <row r="18" spans="1:31" ht="14.5">
      <c r="A18" s="15"/>
      <c r="B18" s="15" t="s">
        <v>31</v>
      </c>
      <c r="C18" s="191">
        <v>7.2279883115998169</v>
      </c>
      <c r="D18" s="190">
        <v>2.3467494518181224</v>
      </c>
      <c r="E18" s="190">
        <v>4.8812388597816945</v>
      </c>
      <c r="F18" s="190">
        <v>4.3180189913453448</v>
      </c>
      <c r="G18" s="192">
        <v>13.588242545895366</v>
      </c>
      <c r="H18" s="190">
        <v>1.8445450691290441</v>
      </c>
      <c r="I18" s="190">
        <v>1.1504704512593162</v>
      </c>
      <c r="J18" s="190">
        <v>10.593227025507003</v>
      </c>
      <c r="K18" s="192">
        <f t="shared" si="0"/>
        <v>0.56506123717776213</v>
      </c>
      <c r="L18" s="192">
        <f t="shared" si="1"/>
        <v>0.30348435002291441</v>
      </c>
      <c r="M18" s="190">
        <f t="shared" si="2"/>
        <v>0.18346144064213057</v>
      </c>
      <c r="N18" s="190">
        <f t="shared" si="3"/>
        <v>9.8533879877569633E-2</v>
      </c>
      <c r="O18" s="190">
        <f t="shared" si="4"/>
        <v>0.38159979653563153</v>
      </c>
      <c r="P18" s="190">
        <f t="shared" si="5"/>
        <v>0.20495047014534479</v>
      </c>
      <c r="Q18" s="190">
        <f t="shared" si="6"/>
        <v>0.33756905078152022</v>
      </c>
      <c r="R18" s="190"/>
      <c r="S18" s="190">
        <f t="shared" si="7"/>
        <v>0.18130233897472808</v>
      </c>
      <c r="T18" s="192">
        <f t="shared" si="8"/>
        <v>0.12575287885494946</v>
      </c>
      <c r="U18" s="192">
        <f t="shared" si="9"/>
        <v>0.12575287885494946</v>
      </c>
      <c r="V18" s="190">
        <f t="shared" si="10"/>
        <v>0.14420069234471464</v>
      </c>
      <c r="W18" s="190">
        <f t="shared" si="11"/>
        <v>7.7447629583769731E-2</v>
      </c>
      <c r="X18" s="190">
        <f t="shared" si="12"/>
        <v>8.9940136660398073E-2</v>
      </c>
      <c r="Y18" s="190">
        <f t="shared" si="13"/>
        <v>4.8305249271179726E-2</v>
      </c>
      <c r="Z18" s="190">
        <f t="shared" si="14"/>
        <v>0.82814494305857733</v>
      </c>
      <c r="AA18" s="190">
        <f t="shared" si="15"/>
        <v>0.4447819337673492</v>
      </c>
      <c r="AB18" s="311">
        <v>2381667559152.25</v>
      </c>
      <c r="AC18" s="312">
        <v>2381.6675591522499</v>
      </c>
      <c r="AD18" s="313">
        <v>1279151326624.439</v>
      </c>
      <c r="AE18" s="199">
        <v>1279.1513266244399</v>
      </c>
    </row>
    <row r="19" spans="1:31" ht="14.5">
      <c r="A19" s="15"/>
      <c r="B19" s="15" t="s">
        <v>35</v>
      </c>
      <c r="C19" s="191">
        <v>7.6102084556631384</v>
      </c>
      <c r="D19" s="190">
        <v>2.0161373147465773</v>
      </c>
      <c r="E19" s="190">
        <v>5.5940711409165607</v>
      </c>
      <c r="F19" s="190">
        <v>9.86771432217515</v>
      </c>
      <c r="G19" s="192">
        <v>63.976864367944216</v>
      </c>
      <c r="H19" s="190">
        <v>2.9816115218083188</v>
      </c>
      <c r="I19" s="190">
        <v>43.44633931777836</v>
      </c>
      <c r="J19" s="190">
        <v>17.548913528357534</v>
      </c>
      <c r="K19" s="192">
        <f t="shared" si="0"/>
        <v>0.76326978071700302</v>
      </c>
      <c r="L19" s="192">
        <f t="shared" si="1"/>
        <v>0.32608889216094727</v>
      </c>
      <c r="M19" s="190">
        <f t="shared" si="2"/>
        <v>0.20220953145860895</v>
      </c>
      <c r="N19" s="190">
        <f t="shared" si="3"/>
        <v>8.6389221430698715E-2</v>
      </c>
      <c r="O19" s="190">
        <f t="shared" si="4"/>
        <v>0.56106024925839404</v>
      </c>
      <c r="P19" s="190">
        <f t="shared" si="5"/>
        <v>0.23969967073024859</v>
      </c>
      <c r="Q19" s="190">
        <f t="shared" si="6"/>
        <v>0.98968749551924828</v>
      </c>
      <c r="R19" s="190"/>
      <c r="S19" s="190">
        <f t="shared" si="7"/>
        <v>0.42282048517137749</v>
      </c>
      <c r="T19" s="192">
        <f t="shared" si="8"/>
        <v>1.9893855921013015</v>
      </c>
      <c r="U19" s="192">
        <f t="shared" si="9"/>
        <v>1.9893855921013015</v>
      </c>
      <c r="V19" s="190">
        <f t="shared" si="10"/>
        <v>0.2990422648331541</v>
      </c>
      <c r="W19" s="190">
        <f t="shared" si="11"/>
        <v>0.12775870774962486</v>
      </c>
      <c r="X19" s="190">
        <f t="shared" si="12"/>
        <v>4.3574730018545313</v>
      </c>
      <c r="Y19" s="190">
        <f t="shared" si="13"/>
        <v>1.8616268843516766</v>
      </c>
      <c r="Z19" s="190">
        <f t="shared" si="14"/>
        <v>1.7600773301608501</v>
      </c>
      <c r="AA19" s="190">
        <f t="shared" si="15"/>
        <v>0.75195125132636342</v>
      </c>
      <c r="AB19" s="311">
        <v>2333783406491.1899</v>
      </c>
      <c r="AC19" s="312">
        <v>2333.7834064911899</v>
      </c>
      <c r="AD19" s="313">
        <v>997053551434.22559</v>
      </c>
      <c r="AE19" s="199">
        <v>997.05355143423003</v>
      </c>
    </row>
    <row r="20" spans="1:31" ht="14.5">
      <c r="A20" s="16"/>
      <c r="B20" s="16" t="s">
        <v>36</v>
      </c>
      <c r="C20" s="191">
        <v>36.424429235191226</v>
      </c>
      <c r="D20" s="190">
        <v>2.0488741444795067</v>
      </c>
      <c r="E20" s="190">
        <v>34.375555090711721</v>
      </c>
      <c r="F20" s="190">
        <v>0</v>
      </c>
      <c r="G20" s="192">
        <v>10.244370722397534</v>
      </c>
      <c r="H20" s="190">
        <v>0</v>
      </c>
      <c r="I20" s="190">
        <v>10.244370722397534</v>
      </c>
      <c r="J20" s="190">
        <v>0</v>
      </c>
      <c r="K20" s="192">
        <f t="shared" si="0"/>
        <v>8.7992437970040207</v>
      </c>
      <c r="L20" s="192">
        <f t="shared" si="1"/>
        <v>7.7730461793951982</v>
      </c>
      <c r="M20" s="190">
        <f t="shared" si="2"/>
        <v>0.49495746358147613</v>
      </c>
      <c r="N20" s="190">
        <f t="shared" si="3"/>
        <v>0.43723384759097994</v>
      </c>
      <c r="O20" s="190">
        <f t="shared" si="4"/>
        <v>8.3042863334225441</v>
      </c>
      <c r="P20" s="190">
        <f t="shared" si="5"/>
        <v>7.3358123318042185</v>
      </c>
      <c r="Q20" s="190">
        <f t="shared" si="6"/>
        <v>0</v>
      </c>
      <c r="R20" s="190"/>
      <c r="S20" s="190">
        <f t="shared" si="7"/>
        <v>0</v>
      </c>
      <c r="T20" s="192">
        <f t="shared" si="8"/>
        <v>2.1861692379548998</v>
      </c>
      <c r="U20" s="192">
        <f t="shared" si="9"/>
        <v>2.1861692379548998</v>
      </c>
      <c r="V20" s="190">
        <f t="shared" si="10"/>
        <v>0</v>
      </c>
      <c r="W20" s="190">
        <f t="shared" si="11"/>
        <v>0</v>
      </c>
      <c r="X20" s="190">
        <f t="shared" si="12"/>
        <v>2.4747873179073809</v>
      </c>
      <c r="Y20" s="190">
        <f t="shared" si="13"/>
        <v>2.1861692379548998</v>
      </c>
      <c r="Z20" s="190">
        <f t="shared" si="14"/>
        <v>0</v>
      </c>
      <c r="AA20" s="190">
        <f t="shared" si="15"/>
        <v>0</v>
      </c>
      <c r="AB20" s="311">
        <v>468599161699.88599</v>
      </c>
      <c r="AC20" s="312">
        <v>468.59916169988998</v>
      </c>
      <c r="AD20" s="313">
        <v>413949540159.26532</v>
      </c>
      <c r="AE20" s="199">
        <v>413.94954015926999</v>
      </c>
    </row>
    <row r="21" spans="1:31" ht="14.5">
      <c r="A21" s="15"/>
      <c r="B21" s="15" t="s">
        <v>37</v>
      </c>
      <c r="C21" s="191">
        <v>36.538255576551201</v>
      </c>
      <c r="D21" s="190">
        <v>9.2199336501577793</v>
      </c>
      <c r="E21" s="190">
        <v>27.31832192639342</v>
      </c>
      <c r="F21" s="190">
        <v>15.708035107676219</v>
      </c>
      <c r="G21" s="192">
        <v>60.327960920785472</v>
      </c>
      <c r="H21" s="190">
        <v>1.1382634135997258</v>
      </c>
      <c r="I21" s="190">
        <v>59.189697507185748</v>
      </c>
      <c r="J21" s="190">
        <v>0</v>
      </c>
      <c r="K21" s="192">
        <f t="shared" si="0"/>
        <v>7.3791176032686039</v>
      </c>
      <c r="L21" s="192">
        <f t="shared" si="1"/>
        <v>6.5796524662517522</v>
      </c>
      <c r="M21" s="190">
        <f t="shared" si="2"/>
        <v>1.8620203297967506</v>
      </c>
      <c r="N21" s="190">
        <f t="shared" si="3"/>
        <v>1.6602861363439001</v>
      </c>
      <c r="O21" s="190">
        <f t="shared" si="4"/>
        <v>5.5170972734718537</v>
      </c>
      <c r="P21" s="190">
        <f t="shared" si="5"/>
        <v>4.9193663299078523</v>
      </c>
      <c r="Q21" s="190">
        <f t="shared" si="6"/>
        <v>3.1723309322463167</v>
      </c>
      <c r="R21" s="190"/>
      <c r="S21" s="190">
        <f t="shared" si="7"/>
        <v>2.8286356396970151</v>
      </c>
      <c r="T21" s="192">
        <f t="shared" si="8"/>
        <v>10.863600645213173</v>
      </c>
      <c r="U21" s="192">
        <f t="shared" si="9"/>
        <v>10.863600645213173</v>
      </c>
      <c r="V21" s="190">
        <f t="shared" si="10"/>
        <v>0.22987905306132722</v>
      </c>
      <c r="W21" s="190">
        <f t="shared" si="11"/>
        <v>0.20497359707949384</v>
      </c>
      <c r="X21" s="190">
        <f t="shared" si="12"/>
        <v>11.953710759189018</v>
      </c>
      <c r="Y21" s="190">
        <f t="shared" si="13"/>
        <v>10.658627048133679</v>
      </c>
      <c r="Z21" s="190">
        <f t="shared" si="14"/>
        <v>0</v>
      </c>
      <c r="AA21" s="190">
        <f t="shared" si="15"/>
        <v>0</v>
      </c>
      <c r="AB21" s="311">
        <v>555321968203.677</v>
      </c>
      <c r="AC21" s="312">
        <v>555.32196820367994</v>
      </c>
      <c r="AD21" s="313">
        <v>495157518025.82001</v>
      </c>
      <c r="AE21" s="199">
        <v>495.15751802582002</v>
      </c>
    </row>
    <row r="22" spans="1:31" ht="14.5">
      <c r="A22" s="16"/>
      <c r="B22" s="16" t="s">
        <v>38</v>
      </c>
      <c r="C22" s="191">
        <v>13.066403598920733</v>
      </c>
      <c r="D22" s="190">
        <v>2.8588123511436292</v>
      </c>
      <c r="E22" s="190">
        <v>10.207591247777104</v>
      </c>
      <c r="F22" s="190">
        <v>1.5581815067044105</v>
      </c>
      <c r="G22" s="192">
        <v>37.130220476565157</v>
      </c>
      <c r="H22" s="190">
        <v>4.2925110377531973E-2</v>
      </c>
      <c r="I22" s="190">
        <v>37.087295366187625</v>
      </c>
      <c r="J22" s="190">
        <v>0</v>
      </c>
      <c r="K22" s="192">
        <f t="shared" si="0"/>
        <v>6.0593500917798613</v>
      </c>
      <c r="L22" s="192">
        <f t="shared" si="1"/>
        <v>3.2072989171117561</v>
      </c>
      <c r="M22" s="190">
        <f t="shared" si="2"/>
        <v>1.3257316560858696</v>
      </c>
      <c r="N22" s="190">
        <f t="shared" si="3"/>
        <v>0.70172834388844585</v>
      </c>
      <c r="O22" s="190">
        <f t="shared" si="4"/>
        <v>4.7336184356939919</v>
      </c>
      <c r="P22" s="190">
        <f t="shared" si="5"/>
        <v>2.5055705732233102</v>
      </c>
      <c r="Q22" s="190">
        <f t="shared" si="6"/>
        <v>0.72258347020896485</v>
      </c>
      <c r="R22" s="190"/>
      <c r="S22" s="190">
        <f t="shared" si="7"/>
        <v>0.38247355680406281</v>
      </c>
      <c r="T22" s="192">
        <f t="shared" si="8"/>
        <v>9.1140393012538379</v>
      </c>
      <c r="U22" s="192">
        <f t="shared" si="9"/>
        <v>9.1140393012538379</v>
      </c>
      <c r="V22" s="190">
        <f t="shared" si="10"/>
        <v>1.9905880722010057E-2</v>
      </c>
      <c r="W22" s="190">
        <f t="shared" si="11"/>
        <v>1.0536461619946634E-2</v>
      </c>
      <c r="X22" s="190">
        <f t="shared" si="12"/>
        <v>17.198680943816687</v>
      </c>
      <c r="Y22" s="190">
        <f t="shared" si="13"/>
        <v>9.103502839633892</v>
      </c>
      <c r="Z22" s="190">
        <f t="shared" si="14"/>
        <v>0</v>
      </c>
      <c r="AA22" s="190">
        <f t="shared" si="15"/>
        <v>0</v>
      </c>
      <c r="AB22" s="311">
        <v>407395878482.30298</v>
      </c>
      <c r="AC22" s="312">
        <v>407.39587848230002</v>
      </c>
      <c r="AD22" s="313">
        <v>215640347578.63721</v>
      </c>
      <c r="AE22" s="199">
        <v>215.64034757863999</v>
      </c>
    </row>
    <row r="23" spans="1:31" ht="14.5">
      <c r="A23" s="16"/>
      <c r="B23" s="16" t="s">
        <v>39</v>
      </c>
      <c r="C23" s="191">
        <v>6.1428697867727307</v>
      </c>
      <c r="D23" s="190">
        <v>0.12194282455131972</v>
      </c>
      <c r="E23" s="190">
        <v>6.0209269622214112</v>
      </c>
      <c r="F23" s="190">
        <v>26.73596428287685</v>
      </c>
      <c r="G23" s="192">
        <v>14.784957762724758</v>
      </c>
      <c r="H23" s="190">
        <v>8.7010778173287289</v>
      </c>
      <c r="I23" s="190">
        <v>6.0838799453960295</v>
      </c>
      <c r="J23" s="190">
        <v>0</v>
      </c>
      <c r="K23" s="192">
        <f t="shared" si="0"/>
        <v>1.8469100465390231</v>
      </c>
      <c r="L23" s="192">
        <f t="shared" si="1"/>
        <v>1.9747958020031295</v>
      </c>
      <c r="M23" s="190">
        <f t="shared" si="2"/>
        <v>3.6663226730303186E-2</v>
      </c>
      <c r="N23" s="190">
        <f t="shared" si="3"/>
        <v>3.9201901776737061E-2</v>
      </c>
      <c r="O23" s="190">
        <f t="shared" si="4"/>
        <v>1.81024681980872</v>
      </c>
      <c r="P23" s="190">
        <f t="shared" si="5"/>
        <v>1.9355939002263924</v>
      </c>
      <c r="Q23" s="190">
        <f t="shared" si="6"/>
        <v>8.0384124606189733</v>
      </c>
      <c r="R23" s="190"/>
      <c r="S23" s="190">
        <f t="shared" si="7"/>
        <v>8.5950169645496004</v>
      </c>
      <c r="T23" s="192">
        <f t="shared" si="8"/>
        <v>4.7530345809204846</v>
      </c>
      <c r="U23" s="192">
        <f t="shared" si="9"/>
        <v>4.7530345809204846</v>
      </c>
      <c r="V23" s="190">
        <f t="shared" si="10"/>
        <v>2.6160587143073708</v>
      </c>
      <c r="W23" s="190">
        <f t="shared" si="11"/>
        <v>2.7972026989018515</v>
      </c>
      <c r="X23" s="190">
        <f t="shared" si="12"/>
        <v>1.8291742106082385</v>
      </c>
      <c r="Y23" s="190">
        <f t="shared" si="13"/>
        <v>1.9558318820186327</v>
      </c>
      <c r="Z23" s="190">
        <f t="shared" si="14"/>
        <v>0</v>
      </c>
      <c r="AA23" s="190">
        <f t="shared" si="15"/>
        <v>0</v>
      </c>
      <c r="AB23" s="311">
        <v>311063542901.078</v>
      </c>
      <c r="AC23" s="312">
        <v>311.06354290107998</v>
      </c>
      <c r="AD23" s="313">
        <v>332602543274.04938</v>
      </c>
      <c r="AE23" s="199">
        <v>332.60254327404999</v>
      </c>
    </row>
    <row r="24" spans="1:31" ht="14.5">
      <c r="A24" s="16"/>
      <c r="B24" s="16" t="s">
        <v>40</v>
      </c>
      <c r="C24" s="191">
        <v>1.0676910819565428</v>
      </c>
      <c r="D24" s="190">
        <v>0.26180058512793697</v>
      </c>
      <c r="E24" s="190">
        <v>0.80589049682860592</v>
      </c>
      <c r="F24" s="190">
        <v>0</v>
      </c>
      <c r="G24" s="192">
        <v>1.3203855597756819</v>
      </c>
      <c r="H24" s="190">
        <v>0.97890653569576425</v>
      </c>
      <c r="I24" s="190">
        <v>0.34147902407991776</v>
      </c>
      <c r="J24" s="190">
        <v>0</v>
      </c>
      <c r="K24" s="192">
        <f t="shared" si="0"/>
        <v>3.9697524921899801</v>
      </c>
      <c r="L24" s="192">
        <f t="shared" si="1"/>
        <v>2.3255380210379206</v>
      </c>
      <c r="M24" s="190">
        <f t="shared" si="2"/>
        <v>0.97339346823421702</v>
      </c>
      <c r="N24" s="190">
        <f t="shared" si="3"/>
        <v>0.57022787296238997</v>
      </c>
      <c r="O24" s="190">
        <f t="shared" si="4"/>
        <v>2.9963590239557631</v>
      </c>
      <c r="P24" s="190">
        <f t="shared" si="5"/>
        <v>1.7553101480755309</v>
      </c>
      <c r="Q24" s="190">
        <f t="shared" si="6"/>
        <v>0</v>
      </c>
      <c r="R24" s="190"/>
      <c r="S24" s="190">
        <f t="shared" si="7"/>
        <v>0</v>
      </c>
      <c r="T24" s="192">
        <f t="shared" si="8"/>
        <v>2.8759318810277064</v>
      </c>
      <c r="U24" s="192">
        <f t="shared" si="9"/>
        <v>2.8759318810277064</v>
      </c>
      <c r="V24" s="190">
        <f t="shared" si="10"/>
        <v>3.6396451420931584</v>
      </c>
      <c r="W24" s="190">
        <f t="shared" si="11"/>
        <v>2.1321563945550235</v>
      </c>
      <c r="X24" s="190">
        <f t="shared" si="12"/>
        <v>1.2696436542185436</v>
      </c>
      <c r="Y24" s="190">
        <f t="shared" si="13"/>
        <v>0.74377548647268266</v>
      </c>
      <c r="Z24" s="190">
        <f t="shared" si="14"/>
        <v>0</v>
      </c>
      <c r="AA24" s="190">
        <f t="shared" si="15"/>
        <v>0</v>
      </c>
      <c r="AB24" s="311">
        <v>45911572818.753304</v>
      </c>
      <c r="AC24" s="312">
        <v>45.911572818750003</v>
      </c>
      <c r="AD24" s="313">
        <v>26895658710.637878</v>
      </c>
      <c r="AE24" s="199">
        <v>26.895658710639999</v>
      </c>
    </row>
    <row r="25" spans="1:31" ht="14.5">
      <c r="A25" s="16"/>
      <c r="B25" s="16" t="s">
        <v>41</v>
      </c>
      <c r="C25" s="191">
        <v>7.910930724518094</v>
      </c>
      <c r="D25" s="190">
        <v>2.105787315159493</v>
      </c>
      <c r="E25" s="190">
        <v>5.8051434093586014</v>
      </c>
      <c r="F25" s="190">
        <v>4.8376195077988351</v>
      </c>
      <c r="G25" s="192">
        <v>18.576458909947529</v>
      </c>
      <c r="H25" s="190">
        <v>2.7545974609113366</v>
      </c>
      <c r="I25" s="190">
        <v>14.683598035436464</v>
      </c>
      <c r="J25" s="190">
        <v>1.1382634135997258</v>
      </c>
      <c r="K25" s="192">
        <f t="shared" si="0"/>
        <v>3.1054414492652542</v>
      </c>
      <c r="L25" s="192">
        <f t="shared" si="1"/>
        <v>3.1154924739323606</v>
      </c>
      <c r="M25" s="190">
        <f t="shared" si="2"/>
        <v>0.82662829944470817</v>
      </c>
      <c r="N25" s="190">
        <f t="shared" si="3"/>
        <v>0.82930375205393791</v>
      </c>
      <c r="O25" s="190">
        <f t="shared" si="4"/>
        <v>2.2788131498205462</v>
      </c>
      <c r="P25" s="190">
        <f t="shared" si="5"/>
        <v>2.2861887218784229</v>
      </c>
      <c r="Q25" s="190">
        <f t="shared" si="6"/>
        <v>1.8990109581837888</v>
      </c>
      <c r="R25" s="190"/>
      <c r="S25" s="190">
        <f t="shared" si="7"/>
        <v>1.9051572682320197</v>
      </c>
      <c r="T25" s="192">
        <f t="shared" si="8"/>
        <v>6.8675316116034208</v>
      </c>
      <c r="U25" s="192">
        <f t="shared" si="9"/>
        <v>6.8675316116034208</v>
      </c>
      <c r="V25" s="190">
        <f t="shared" si="10"/>
        <v>1.0813191808952398</v>
      </c>
      <c r="W25" s="190">
        <f t="shared" si="11"/>
        <v>1.0848189621462323</v>
      </c>
      <c r="X25" s="190">
        <f t="shared" si="12"/>
        <v>5.7640567907225595</v>
      </c>
      <c r="Y25" s="190">
        <f t="shared" si="13"/>
        <v>5.7827126494571885</v>
      </c>
      <c r="Z25" s="190">
        <f t="shared" si="14"/>
        <v>0.44682610780795035</v>
      </c>
      <c r="AA25" s="190">
        <f t="shared" si="15"/>
        <v>0.44827229840753402</v>
      </c>
      <c r="AB25" s="311">
        <v>253922318564.70901</v>
      </c>
      <c r="AC25" s="312">
        <v>253.92231856471</v>
      </c>
      <c r="AD25" s="313">
        <v>254744159687.49991</v>
      </c>
      <c r="AE25" s="199">
        <v>254.7441596875</v>
      </c>
    </row>
    <row r="26" spans="1:31" ht="14.5">
      <c r="A26" s="16"/>
      <c r="B26" s="16" t="s">
        <v>42</v>
      </c>
      <c r="C26" s="191">
        <v>21.213646056970173</v>
      </c>
      <c r="D26" s="190">
        <v>0.70761690517133902</v>
      </c>
      <c r="E26" s="190">
        <v>20.506029151798835</v>
      </c>
      <c r="F26" s="190">
        <v>1.7913339101833412</v>
      </c>
      <c r="G26" s="192">
        <v>9.3327696507573688</v>
      </c>
      <c r="H26" s="190">
        <v>6.41999440943819</v>
      </c>
      <c r="I26" s="190">
        <v>2.9127752413191792</v>
      </c>
      <c r="J26" s="190">
        <v>0</v>
      </c>
      <c r="K26" s="192">
        <f t="shared" si="0"/>
        <v>10.40379258979668</v>
      </c>
      <c r="L26" s="192">
        <f t="shared" si="1"/>
        <v>7.0349910747874915</v>
      </c>
      <c r="M26" s="190">
        <f t="shared" si="2"/>
        <v>0.34703603023571405</v>
      </c>
      <c r="N26" s="190">
        <f t="shared" si="3"/>
        <v>0.2346639799155821</v>
      </c>
      <c r="O26" s="190">
        <f t="shared" si="4"/>
        <v>10.056756559560966</v>
      </c>
      <c r="P26" s="190">
        <f t="shared" si="5"/>
        <v>6.8003270948719097</v>
      </c>
      <c r="Q26" s="190">
        <f t="shared" si="6"/>
        <v>0.8785225515013958</v>
      </c>
      <c r="R26" s="190"/>
      <c r="S26" s="190">
        <f t="shared" si="7"/>
        <v>0.59405243380891304</v>
      </c>
      <c r="T26" s="192">
        <f t="shared" si="8"/>
        <v>3.0949866430223141</v>
      </c>
      <c r="U26" s="192">
        <f t="shared" si="9"/>
        <v>3.0949866430223141</v>
      </c>
      <c r="V26" s="190">
        <f t="shared" si="10"/>
        <v>3.1485530626878351</v>
      </c>
      <c r="W26" s="190">
        <f t="shared" si="11"/>
        <v>2.1290353977478338</v>
      </c>
      <c r="X26" s="190">
        <f t="shared" si="12"/>
        <v>1.4285101858491107</v>
      </c>
      <c r="Y26" s="190">
        <f t="shared" si="13"/>
        <v>0.96595124527448017</v>
      </c>
      <c r="Z26" s="190">
        <f t="shared" si="14"/>
        <v>0</v>
      </c>
      <c r="AA26" s="190">
        <f t="shared" si="15"/>
        <v>0</v>
      </c>
      <c r="AB26" s="311">
        <v>301544747270.495</v>
      </c>
      <c r="AC26" s="312">
        <v>301.54474727050001</v>
      </c>
      <c r="AD26" s="313">
        <v>203903008195.06079</v>
      </c>
      <c r="AE26" s="199">
        <v>203.90300819506001</v>
      </c>
    </row>
    <row r="27" spans="1:31" ht="14.5">
      <c r="A27" s="16"/>
      <c r="B27" s="16" t="s">
        <v>43</v>
      </c>
      <c r="C27" s="191">
        <v>0.90912242644701236</v>
      </c>
      <c r="D27" s="190">
        <v>5.0270792906436608E-2</v>
      </c>
      <c r="E27" s="190">
        <v>0.85853416239471891</v>
      </c>
      <c r="F27" s="190">
        <v>0</v>
      </c>
      <c r="G27" s="192">
        <v>0.91645405891835929</v>
      </c>
      <c r="H27" s="190">
        <v>0</v>
      </c>
      <c r="I27" s="190">
        <v>0.91645405891835929</v>
      </c>
      <c r="J27" s="190">
        <v>0</v>
      </c>
      <c r="K27" s="192">
        <f t="shared" si="0"/>
        <v>4.3840085039690138</v>
      </c>
      <c r="L27" s="192">
        <f t="shared" si="1"/>
        <v>4.7658406244286118</v>
      </c>
      <c r="M27" s="190">
        <f t="shared" si="2"/>
        <v>0.24250262096122951</v>
      </c>
      <c r="N27" s="190">
        <f t="shared" si="3"/>
        <v>0.26362376839851354</v>
      </c>
      <c r="O27" s="190">
        <f t="shared" si="4"/>
        <v>4.1415058830077847</v>
      </c>
      <c r="P27" s="190">
        <f t="shared" si="5"/>
        <v>4.5022168560300981</v>
      </c>
      <c r="Q27" s="190">
        <f t="shared" si="6"/>
        <v>0</v>
      </c>
      <c r="R27" s="190"/>
      <c r="S27" s="190">
        <f t="shared" si="7"/>
        <v>0</v>
      </c>
      <c r="T27" s="192">
        <f t="shared" si="8"/>
        <v>4.805953091407023</v>
      </c>
      <c r="U27" s="192">
        <f t="shared" si="9"/>
        <v>4.805953091407023</v>
      </c>
      <c r="V27" s="190">
        <f t="shared" si="10"/>
        <v>0</v>
      </c>
      <c r="W27" s="190">
        <f t="shared" si="11"/>
        <v>0</v>
      </c>
      <c r="X27" s="190">
        <f t="shared" si="12"/>
        <v>4.4209072192653549</v>
      </c>
      <c r="Y27" s="190">
        <f t="shared" si="13"/>
        <v>4.805953091407023</v>
      </c>
      <c r="Z27" s="190">
        <f t="shared" si="14"/>
        <v>0</v>
      </c>
      <c r="AA27" s="190">
        <f t="shared" si="15"/>
        <v>0</v>
      </c>
      <c r="AB27" s="314">
        <v>19069142821.155399</v>
      </c>
      <c r="AC27" s="312">
        <v>19.06914282116</v>
      </c>
      <c r="AD27" s="313">
        <v>20729999827.29071</v>
      </c>
      <c r="AE27" s="199">
        <v>20.729999827290001</v>
      </c>
    </row>
    <row r="28" spans="1:31" ht="14.5">
      <c r="A28" s="16"/>
      <c r="B28" s="16" t="s">
        <v>44</v>
      </c>
      <c r="C28" s="191">
        <v>22.385999999999999</v>
      </c>
      <c r="D28" s="190">
        <v>3.0750000000000006</v>
      </c>
      <c r="E28" s="190">
        <v>19.310999999999996</v>
      </c>
      <c r="F28" s="190">
        <v>2.46</v>
      </c>
      <c r="G28" s="192">
        <v>6.15</v>
      </c>
      <c r="H28" s="190">
        <v>3.69</v>
      </c>
      <c r="I28" s="190">
        <v>2.46</v>
      </c>
      <c r="J28" s="190">
        <v>0</v>
      </c>
      <c r="K28" s="192">
        <f t="shared" si="0"/>
        <v>6.0263830447409301</v>
      </c>
      <c r="L28" s="192">
        <f t="shared" si="1"/>
        <v>5.3569023821516248</v>
      </c>
      <c r="M28" s="190">
        <f t="shared" si="2"/>
        <v>0.82779986878309497</v>
      </c>
      <c r="N28" s="190">
        <f t="shared" si="3"/>
        <v>0.73583823930654202</v>
      </c>
      <c r="O28" s="190">
        <f t="shared" si="4"/>
        <v>5.1985831759578351</v>
      </c>
      <c r="P28" s="190">
        <f t="shared" si="5"/>
        <v>4.6210641428450829</v>
      </c>
      <c r="Q28" s="190">
        <f t="shared" si="6"/>
        <v>0.66223989502647596</v>
      </c>
      <c r="R28" s="190"/>
      <c r="S28" s="190">
        <f t="shared" si="7"/>
        <v>0.58867059144523359</v>
      </c>
      <c r="T28" s="192">
        <f t="shared" si="8"/>
        <v>1.4716764786130838</v>
      </c>
      <c r="U28" s="192">
        <f t="shared" si="9"/>
        <v>1.4716764786130838</v>
      </c>
      <c r="V28" s="190">
        <f t="shared" si="10"/>
        <v>0.99335984253971377</v>
      </c>
      <c r="W28" s="190">
        <f t="shared" si="11"/>
        <v>0.88300588716785033</v>
      </c>
      <c r="X28" s="190">
        <f t="shared" si="12"/>
        <v>0.66223989502647596</v>
      </c>
      <c r="Y28" s="190">
        <f t="shared" si="13"/>
        <v>0.58867059144523359</v>
      </c>
      <c r="Z28" s="190">
        <f t="shared" si="14"/>
        <v>0</v>
      </c>
      <c r="AA28" s="190">
        <f t="shared" si="15"/>
        <v>0</v>
      </c>
      <c r="AB28" s="314">
        <v>417890758558.284</v>
      </c>
      <c r="AC28" s="312">
        <v>417.89075855828003</v>
      </c>
      <c r="AD28" s="313">
        <v>371466596693.27911</v>
      </c>
      <c r="AE28" s="199">
        <v>371.46659669328</v>
      </c>
    </row>
    <row r="29" spans="1:31" ht="14.5">
      <c r="A29" s="16"/>
      <c r="B29" s="16" t="s">
        <v>45</v>
      </c>
      <c r="C29" s="191">
        <v>26.891847077879898</v>
      </c>
      <c r="D29" s="190">
        <v>4.4578519375602843</v>
      </c>
      <c r="E29" s="190">
        <v>22.433995140319613</v>
      </c>
      <c r="F29" s="190">
        <v>2.0841905162619514</v>
      </c>
      <c r="G29" s="192">
        <v>11.144629843900709</v>
      </c>
      <c r="H29" s="190">
        <v>0.92630689611642281</v>
      </c>
      <c r="I29" s="190">
        <v>10.218322947784287</v>
      </c>
      <c r="J29" s="190">
        <v>0</v>
      </c>
      <c r="K29" s="192">
        <f t="shared" si="0"/>
        <v>7.5020443334525275</v>
      </c>
      <c r="L29" s="192">
        <f t="shared" si="1"/>
        <v>7.8540027831320796</v>
      </c>
      <c r="M29" s="190">
        <f t="shared" si="2"/>
        <v>1.2436112242752306</v>
      </c>
      <c r="N29" s="190">
        <f t="shared" si="3"/>
        <v>1.3019552514556945</v>
      </c>
      <c r="O29" s="190">
        <f t="shared" si="4"/>
        <v>6.2584331091772967</v>
      </c>
      <c r="P29" s="190">
        <f t="shared" si="5"/>
        <v>6.5520475316763847</v>
      </c>
      <c r="Q29" s="190">
        <f t="shared" si="6"/>
        <v>0.58142862433647158</v>
      </c>
      <c r="R29" s="190"/>
      <c r="S29" s="190">
        <f t="shared" si="7"/>
        <v>0.60870635132993511</v>
      </c>
      <c r="T29" s="192">
        <f t="shared" si="8"/>
        <v>3.2548881286392355</v>
      </c>
      <c r="U29" s="192">
        <f t="shared" si="9"/>
        <v>3.2548881286392355</v>
      </c>
      <c r="V29" s="190">
        <f t="shared" si="10"/>
        <v>0.25841272192732068</v>
      </c>
      <c r="W29" s="190">
        <f t="shared" si="11"/>
        <v>0.27053615614663779</v>
      </c>
      <c r="X29" s="190">
        <f t="shared" si="12"/>
        <v>2.8506153387607558</v>
      </c>
      <c r="Y29" s="190">
        <f t="shared" si="13"/>
        <v>2.9843519724925978</v>
      </c>
      <c r="Z29" s="190">
        <f t="shared" si="14"/>
        <v>0</v>
      </c>
      <c r="AA29" s="190">
        <f t="shared" si="15"/>
        <v>0</v>
      </c>
      <c r="AB29" s="314">
        <v>342396709301.34399</v>
      </c>
      <c r="AC29" s="312">
        <v>342.39670930134002</v>
      </c>
      <c r="AD29" s="313">
        <v>358460252733.58807</v>
      </c>
      <c r="AE29" s="199">
        <v>358.46025273358998</v>
      </c>
    </row>
    <row r="30" spans="1:31" ht="14.5">
      <c r="A30" s="17"/>
      <c r="B30" s="17" t="s">
        <v>46</v>
      </c>
      <c r="C30" s="191">
        <v>2.6180058512793694</v>
      </c>
      <c r="D30" s="190">
        <v>0.23903531685594243</v>
      </c>
      <c r="E30" s="190">
        <v>2.3789705344234271</v>
      </c>
      <c r="F30" s="190">
        <v>0</v>
      </c>
      <c r="G30" s="192">
        <v>0.97890653569576436</v>
      </c>
      <c r="H30" s="190">
        <v>0.22765268271994518</v>
      </c>
      <c r="I30" s="190">
        <v>0.75125385297581915</v>
      </c>
      <c r="J30" s="190">
        <v>0</v>
      </c>
      <c r="K30" s="192">
        <f t="shared" si="0"/>
        <v>8.6803684416213613</v>
      </c>
      <c r="L30" s="192">
        <f t="shared" si="1"/>
        <v>4.7237162022941037</v>
      </c>
      <c r="M30" s="190">
        <f t="shared" si="2"/>
        <v>0.79255537945238519</v>
      </c>
      <c r="N30" s="190">
        <f t="shared" si="3"/>
        <v>0.43129582716598341</v>
      </c>
      <c r="O30" s="190">
        <f t="shared" si="4"/>
        <v>7.8878130621689762</v>
      </c>
      <c r="P30" s="190">
        <f t="shared" si="5"/>
        <v>4.2924203751281205</v>
      </c>
      <c r="Q30" s="190">
        <f t="shared" si="6"/>
        <v>0</v>
      </c>
      <c r="R30" s="190"/>
      <c r="S30" s="190">
        <f t="shared" si="7"/>
        <v>0</v>
      </c>
      <c r="T30" s="192">
        <f t="shared" si="8"/>
        <v>1.7662591017273606</v>
      </c>
      <c r="U30" s="192">
        <f t="shared" si="9"/>
        <v>1.7662591017273606</v>
      </c>
      <c r="V30" s="190">
        <f t="shared" si="10"/>
        <v>0.75481464709750967</v>
      </c>
      <c r="W30" s="190">
        <f t="shared" si="11"/>
        <v>0.41075793063426985</v>
      </c>
      <c r="X30" s="190">
        <f t="shared" si="12"/>
        <v>2.4908883354217823</v>
      </c>
      <c r="Y30" s="190">
        <f t="shared" si="13"/>
        <v>1.3555011710930907</v>
      </c>
      <c r="Z30" s="190">
        <f t="shared" si="14"/>
        <v>0</v>
      </c>
      <c r="AA30" s="190">
        <f t="shared" si="15"/>
        <v>0</v>
      </c>
      <c r="AB30" s="315">
        <v>55422589740</v>
      </c>
      <c r="AC30" s="316">
        <v>55.422589739999999</v>
      </c>
      <c r="AD30" s="313">
        <v>30160077523.05077</v>
      </c>
      <c r="AE30" s="199">
        <v>30.160077523049999</v>
      </c>
    </row>
    <row r="31" spans="1:31" ht="14.5">
      <c r="A31" s="16"/>
      <c r="B31" s="16" t="s">
        <v>47</v>
      </c>
      <c r="C31" s="191">
        <v>2.5872727391121773</v>
      </c>
      <c r="D31" s="190">
        <v>0.56913170679986291</v>
      </c>
      <c r="E31" s="190">
        <v>2.0181410323123141</v>
      </c>
      <c r="F31" s="190">
        <v>2.4927968757833998</v>
      </c>
      <c r="G31" s="192">
        <v>1.9578130713915285</v>
      </c>
      <c r="H31" s="190">
        <v>0.3642442923519123</v>
      </c>
      <c r="I31" s="190">
        <v>1.5935687790396162</v>
      </c>
      <c r="J31" s="190">
        <v>0</v>
      </c>
      <c r="K31" s="192">
        <f t="shared" si="0"/>
        <v>5.3659189931742706</v>
      </c>
      <c r="L31" s="192">
        <f t="shared" si="1"/>
        <v>2.6635550006559883</v>
      </c>
      <c r="M31" s="190">
        <f t="shared" si="2"/>
        <v>1.1803605352341113</v>
      </c>
      <c r="N31" s="190">
        <f t="shared" si="3"/>
        <v>0.58591179072942978</v>
      </c>
      <c r="O31" s="190">
        <f t="shared" si="4"/>
        <v>4.185558457940159</v>
      </c>
      <c r="P31" s="190">
        <f t="shared" si="5"/>
        <v>2.0776432099265585</v>
      </c>
      <c r="Q31" s="190">
        <f t="shared" si="6"/>
        <v>5.1699791443254073</v>
      </c>
      <c r="R31" s="190"/>
      <c r="S31" s="190">
        <f t="shared" si="7"/>
        <v>2.5662936433949031</v>
      </c>
      <c r="T31" s="192">
        <f t="shared" si="8"/>
        <v>2.015536560109239</v>
      </c>
      <c r="U31" s="192">
        <f t="shared" si="9"/>
        <v>2.015536560109239</v>
      </c>
      <c r="V31" s="190">
        <f t="shared" si="10"/>
        <v>0.75543074254983122</v>
      </c>
      <c r="W31" s="190">
        <f t="shared" si="11"/>
        <v>0.37498354606683515</v>
      </c>
      <c r="X31" s="190">
        <f t="shared" si="12"/>
        <v>3.3050094986555116</v>
      </c>
      <c r="Y31" s="190">
        <f t="shared" si="13"/>
        <v>1.6405530140424038</v>
      </c>
      <c r="Z31" s="190">
        <f t="shared" si="14"/>
        <v>0</v>
      </c>
      <c r="AA31" s="190">
        <f t="shared" si="15"/>
        <v>0</v>
      </c>
      <c r="AB31" s="314">
        <v>97136073348.399506</v>
      </c>
      <c r="AC31" s="312">
        <v>97.136073348400004</v>
      </c>
      <c r="AD31" s="313">
        <v>48216768505.137871</v>
      </c>
      <c r="AE31" s="199">
        <v>48.216768505140003</v>
      </c>
    </row>
    <row r="32" spans="1:31" ht="14.5">
      <c r="A32" s="16"/>
      <c r="B32" s="16" t="s">
        <v>48</v>
      </c>
      <c r="C32" s="191">
        <v>2.9594848753592875</v>
      </c>
      <c r="D32" s="190">
        <v>0.22765268271994518</v>
      </c>
      <c r="E32" s="190">
        <v>2.7318321926393425</v>
      </c>
      <c r="F32" s="190">
        <v>5.2360117025587387</v>
      </c>
      <c r="G32" s="192">
        <v>4.3254009716789588</v>
      </c>
      <c r="H32" s="190">
        <v>0.45530536543989036</v>
      </c>
      <c r="I32" s="190">
        <v>2.8456585339993148</v>
      </c>
      <c r="J32" s="190">
        <v>1.0244370722397533</v>
      </c>
      <c r="K32" s="192">
        <f t="shared" si="0"/>
        <v>4.4465087447862421</v>
      </c>
      <c r="L32" s="192">
        <f t="shared" si="1"/>
        <v>4.460852333960978</v>
      </c>
      <c r="M32" s="190">
        <f t="shared" si="2"/>
        <v>0.34203913421432619</v>
      </c>
      <c r="N32" s="190">
        <f t="shared" si="3"/>
        <v>0.34314248722776741</v>
      </c>
      <c r="O32" s="190">
        <f t="shared" si="4"/>
        <v>4.1044696105719156</v>
      </c>
      <c r="P32" s="190">
        <f t="shared" si="5"/>
        <v>4.1177098467332103</v>
      </c>
      <c r="Q32" s="190">
        <f t="shared" si="6"/>
        <v>7.8669000869295029</v>
      </c>
      <c r="R32" s="190"/>
      <c r="S32" s="190">
        <f t="shared" si="7"/>
        <v>7.8922772062386501</v>
      </c>
      <c r="T32" s="192">
        <f t="shared" si="8"/>
        <v>4.975566064802627</v>
      </c>
      <c r="U32" s="192">
        <f t="shared" si="9"/>
        <v>4.975566064802627</v>
      </c>
      <c r="V32" s="190">
        <f t="shared" si="10"/>
        <v>0.68407826842865238</v>
      </c>
      <c r="W32" s="190">
        <f t="shared" si="11"/>
        <v>0.68628497445553482</v>
      </c>
      <c r="X32" s="190">
        <f t="shared" si="12"/>
        <v>4.275489177679078</v>
      </c>
      <c r="Y32" s="190">
        <f t="shared" si="13"/>
        <v>4.2892810903470924</v>
      </c>
      <c r="Z32" s="190">
        <f t="shared" si="14"/>
        <v>1.539176103964468</v>
      </c>
      <c r="AA32" s="190">
        <f t="shared" si="15"/>
        <v>1.5441411925249535</v>
      </c>
      <c r="AB32" s="311">
        <v>66343484468.839996</v>
      </c>
      <c r="AC32" s="312">
        <v>66.343484468840003</v>
      </c>
      <c r="AD32" s="313">
        <v>66557495896.737839</v>
      </c>
      <c r="AE32" s="199">
        <v>66.557495896739994</v>
      </c>
    </row>
    <row r="33" spans="1:31" ht="14.5">
      <c r="A33" s="16"/>
      <c r="B33" s="16" t="s">
        <v>49</v>
      </c>
      <c r="C33" s="191">
        <v>40.522177524150244</v>
      </c>
      <c r="D33" s="190">
        <v>6.7157541402383831</v>
      </c>
      <c r="E33" s="190">
        <v>33.806423383911863</v>
      </c>
      <c r="F33" s="190">
        <v>14.342119011356546</v>
      </c>
      <c r="G33" s="192">
        <v>73.987121883982184</v>
      </c>
      <c r="H33" s="190">
        <v>0</v>
      </c>
      <c r="I33" s="190">
        <v>73.987121883982184</v>
      </c>
      <c r="J33" s="190">
        <v>0</v>
      </c>
      <c r="K33" s="192">
        <f t="shared" si="0"/>
        <v>4.8226309855341976</v>
      </c>
      <c r="L33" s="192">
        <f t="shared" si="1"/>
        <v>4.3458194248526256</v>
      </c>
      <c r="M33" s="190">
        <f t="shared" si="2"/>
        <v>0.79925625883853268</v>
      </c>
      <c r="N33" s="190">
        <f t="shared" si="3"/>
        <v>0.72023411816377791</v>
      </c>
      <c r="O33" s="190">
        <f t="shared" si="4"/>
        <v>4.023374726695665</v>
      </c>
      <c r="P33" s="190">
        <f t="shared" si="5"/>
        <v>3.6255853066888477</v>
      </c>
      <c r="Q33" s="190">
        <f t="shared" si="6"/>
        <v>1.7068862476890698</v>
      </c>
      <c r="R33" s="190"/>
      <c r="S33" s="190">
        <f t="shared" si="7"/>
        <v>1.5381270998073899</v>
      </c>
      <c r="T33" s="192">
        <f t="shared" si="8"/>
        <v>7.9347826577365348</v>
      </c>
      <c r="U33" s="192">
        <f t="shared" si="9"/>
        <v>7.9347826577365348</v>
      </c>
      <c r="V33" s="190">
        <f t="shared" si="10"/>
        <v>0</v>
      </c>
      <c r="W33" s="190">
        <f t="shared" si="11"/>
        <v>0</v>
      </c>
      <c r="X33" s="190">
        <f t="shared" si="12"/>
        <v>8.8053655634753607</v>
      </c>
      <c r="Y33" s="190">
        <f t="shared" si="13"/>
        <v>7.9347826577365348</v>
      </c>
      <c r="Z33" s="190">
        <f t="shared" si="14"/>
        <v>0</v>
      </c>
      <c r="AA33" s="190">
        <f t="shared" si="15"/>
        <v>0</v>
      </c>
      <c r="AB33" s="311">
        <v>932440434418.74902</v>
      </c>
      <c r="AC33" s="312">
        <v>932.44043441874999</v>
      </c>
      <c r="AD33" s="313">
        <v>840250428566.88171</v>
      </c>
      <c r="AE33" s="199">
        <v>840.25042856688003</v>
      </c>
    </row>
    <row r="34" spans="1:31" ht="14.5">
      <c r="A34" s="16"/>
      <c r="B34" s="16" t="s">
        <v>50</v>
      </c>
      <c r="C34" s="191">
        <v>39.908289467911899</v>
      </c>
      <c r="D34" s="190">
        <v>2.5266611838450714</v>
      </c>
      <c r="E34" s="190">
        <v>37.381628284066828</v>
      </c>
      <c r="F34" s="190">
        <v>0</v>
      </c>
      <c r="G34" s="192">
        <v>5.6687911176011223</v>
      </c>
      <c r="H34" s="190">
        <v>1.619654605028892</v>
      </c>
      <c r="I34" s="190">
        <v>4.0491365125722298</v>
      </c>
      <c r="J34" s="190">
        <v>0</v>
      </c>
      <c r="K34" s="192">
        <f t="shared" si="0"/>
        <v>19.665156653279531</v>
      </c>
      <c r="L34" s="192">
        <f t="shared" si="1"/>
        <v>20.57406125511077</v>
      </c>
      <c r="M34" s="190">
        <f t="shared" si="2"/>
        <v>1.2450342686329574</v>
      </c>
      <c r="N34" s="190">
        <f t="shared" si="3"/>
        <v>1.3025785534891559</v>
      </c>
      <c r="O34" s="190">
        <f t="shared" si="4"/>
        <v>18.420122384646575</v>
      </c>
      <c r="P34" s="190">
        <f t="shared" si="5"/>
        <v>19.271482701621615</v>
      </c>
      <c r="Q34" s="190">
        <f t="shared" si="6"/>
        <v>0</v>
      </c>
      <c r="R34" s="190"/>
      <c r="S34" s="190">
        <f t="shared" si="7"/>
        <v>0</v>
      </c>
      <c r="T34" s="192">
        <f t="shared" si="8"/>
        <v>2.9224518828282346</v>
      </c>
      <c r="U34" s="192">
        <f t="shared" si="9"/>
        <v>2.9224518828282346</v>
      </c>
      <c r="V34" s="190">
        <f t="shared" si="10"/>
        <v>0.79809889014933166</v>
      </c>
      <c r="W34" s="190">
        <f t="shared" si="11"/>
        <v>0.83498625223663836</v>
      </c>
      <c r="X34" s="190">
        <f t="shared" si="12"/>
        <v>1.9952472253733291</v>
      </c>
      <c r="Y34" s="190">
        <f t="shared" si="13"/>
        <v>2.0874656305915962</v>
      </c>
      <c r="Z34" s="190">
        <f t="shared" si="14"/>
        <v>0</v>
      </c>
      <c r="AA34" s="190">
        <f t="shared" si="15"/>
        <v>0</v>
      </c>
      <c r="AB34" s="311">
        <v>193973805040.548</v>
      </c>
      <c r="AC34" s="312">
        <v>193.97380504054999</v>
      </c>
      <c r="AD34" s="313">
        <v>202939087501.52551</v>
      </c>
      <c r="AE34" s="199">
        <v>202.93908750153</v>
      </c>
    </row>
    <row r="35" spans="1:31" ht="14.5">
      <c r="A35" s="16"/>
      <c r="B35" s="16" t="s">
        <v>51</v>
      </c>
      <c r="C35" s="191">
        <v>13.348965621899445</v>
      </c>
      <c r="D35" s="190">
        <v>1.1414792455781</v>
      </c>
      <c r="E35" s="190">
        <v>12.207486376321347</v>
      </c>
      <c r="F35" s="190">
        <v>0</v>
      </c>
      <c r="G35" s="192">
        <v>13.740027956032684</v>
      </c>
      <c r="H35" s="190">
        <v>5.4960111824130733</v>
      </c>
      <c r="I35" s="190">
        <v>8.2440167736196095</v>
      </c>
      <c r="J35" s="190">
        <v>0</v>
      </c>
      <c r="K35" s="192">
        <f t="shared" si="0"/>
        <v>3.2538664984422607</v>
      </c>
      <c r="L35" s="192">
        <f t="shared" si="1"/>
        <v>4.0395803375278465</v>
      </c>
      <c r="M35" s="190">
        <f t="shared" si="2"/>
        <v>0.27824036566252114</v>
      </c>
      <c r="N35" s="190">
        <f t="shared" si="3"/>
        <v>0.34542729727078975</v>
      </c>
      <c r="O35" s="190">
        <f t="shared" si="4"/>
        <v>2.9756261327797398</v>
      </c>
      <c r="P35" s="190">
        <f t="shared" si="5"/>
        <v>3.6941530402570568</v>
      </c>
      <c r="Q35" s="190">
        <f t="shared" si="6"/>
        <v>0</v>
      </c>
      <c r="R35" s="190"/>
      <c r="S35" s="190">
        <f t="shared" si="7"/>
        <v>0</v>
      </c>
      <c r="T35" s="192">
        <f t="shared" si="8"/>
        <v>4.1579211708520978</v>
      </c>
      <c r="U35" s="192">
        <f t="shared" si="9"/>
        <v>4.1579211708520978</v>
      </c>
      <c r="V35" s="190">
        <f t="shared" si="10"/>
        <v>1.3396758346713979</v>
      </c>
      <c r="W35" s="190">
        <f t="shared" si="11"/>
        <v>1.6631684683408392</v>
      </c>
      <c r="X35" s="190">
        <f t="shared" si="12"/>
        <v>2.0095137520070967</v>
      </c>
      <c r="Y35" s="190">
        <f t="shared" si="13"/>
        <v>2.4947527025112586</v>
      </c>
      <c r="Z35" s="190">
        <f t="shared" si="14"/>
        <v>0</v>
      </c>
      <c r="AA35" s="190">
        <f t="shared" si="15"/>
        <v>0</v>
      </c>
      <c r="AB35" s="311">
        <v>330454267684.37299</v>
      </c>
      <c r="AC35" s="312">
        <v>330.45426768437</v>
      </c>
      <c r="AD35" s="313">
        <v>410249333471.11688</v>
      </c>
      <c r="AE35" s="199">
        <v>410.24933347112</v>
      </c>
    </row>
    <row r="36" spans="1:31" ht="14.5">
      <c r="A36" s="16"/>
      <c r="B36" s="16" t="s">
        <v>52</v>
      </c>
      <c r="C36" s="191">
        <v>10.813502429197396</v>
      </c>
      <c r="D36" s="190">
        <v>2.5041795099193971</v>
      </c>
      <c r="E36" s="190">
        <v>8.3093229192779994</v>
      </c>
      <c r="F36" s="190">
        <v>8.9922809674378357</v>
      </c>
      <c r="G36" s="192">
        <v>14.797424376796437</v>
      </c>
      <c r="H36" s="190">
        <v>0</v>
      </c>
      <c r="I36" s="190">
        <v>14.797424376796437</v>
      </c>
      <c r="J36" s="190">
        <v>0</v>
      </c>
      <c r="K36" s="192">
        <f t="shared" si="0"/>
        <v>4.8630089152951665</v>
      </c>
      <c r="L36" s="192">
        <f t="shared" si="1"/>
        <v>3.1691083606135417</v>
      </c>
      <c r="M36" s="190">
        <f t="shared" si="2"/>
        <v>1.1261704856473016</v>
      </c>
      <c r="N36" s="190">
        <f t="shared" si="3"/>
        <v>0.73389877824734639</v>
      </c>
      <c r="O36" s="190">
        <f t="shared" si="4"/>
        <v>3.7368384296478645</v>
      </c>
      <c r="P36" s="190">
        <f t="shared" si="5"/>
        <v>2.4352095823661952</v>
      </c>
      <c r="Q36" s="190">
        <f t="shared" si="6"/>
        <v>4.0439758348244021</v>
      </c>
      <c r="R36" s="190"/>
      <c r="S36" s="190">
        <f t="shared" si="7"/>
        <v>2.6353637946154715</v>
      </c>
      <c r="T36" s="192">
        <f t="shared" si="8"/>
        <v>4.3366745987343203</v>
      </c>
      <c r="U36" s="192">
        <f t="shared" si="9"/>
        <v>4.3366745987343203</v>
      </c>
      <c r="V36" s="190">
        <f t="shared" si="10"/>
        <v>0</v>
      </c>
      <c r="W36" s="190">
        <f t="shared" si="11"/>
        <v>0</v>
      </c>
      <c r="X36" s="190">
        <f t="shared" si="12"/>
        <v>6.6546437788249646</v>
      </c>
      <c r="Y36" s="190">
        <f t="shared" si="13"/>
        <v>4.3366745987343203</v>
      </c>
      <c r="Z36" s="190">
        <f t="shared" si="14"/>
        <v>0</v>
      </c>
      <c r="AA36" s="190">
        <f t="shared" si="15"/>
        <v>0</v>
      </c>
      <c r="AB36" s="311">
        <v>341215925702.96198</v>
      </c>
      <c r="AC36" s="312">
        <v>341.21592570296002</v>
      </c>
      <c r="AD36" s="313">
        <v>222362381347.61981</v>
      </c>
      <c r="AE36" s="199">
        <v>222.36238134761999</v>
      </c>
    </row>
    <row r="37" spans="1:31" ht="14.5">
      <c r="A37" s="16"/>
      <c r="B37" s="16" t="s">
        <v>54</v>
      </c>
      <c r="C37" s="191">
        <v>3.9671784617144987</v>
      </c>
      <c r="D37" s="190">
        <v>0.153665560835963</v>
      </c>
      <c r="E37" s="190">
        <v>3.8135129008785356</v>
      </c>
      <c r="F37" s="190">
        <v>0.54465904340746885</v>
      </c>
      <c r="G37" s="192">
        <v>4.5644362885349006</v>
      </c>
      <c r="H37" s="190">
        <v>0</v>
      </c>
      <c r="I37" s="190">
        <v>4.5644362885349006</v>
      </c>
      <c r="J37" s="190">
        <v>0</v>
      </c>
      <c r="K37" s="192">
        <f t="shared" si="0"/>
        <v>3.9875524152233366</v>
      </c>
      <c r="L37" s="192">
        <f t="shared" si="1"/>
        <v>2.1832262350709453</v>
      </c>
      <c r="M37" s="190">
        <f t="shared" si="2"/>
        <v>0.15445473002071108</v>
      </c>
      <c r="N37" s="190">
        <f t="shared" si="3"/>
        <v>8.4565563934569557E-2</v>
      </c>
      <c r="O37" s="190">
        <f t="shared" si="4"/>
        <v>3.8330976852026257</v>
      </c>
      <c r="P37" s="190">
        <f t="shared" si="5"/>
        <v>2.0986606711363756</v>
      </c>
      <c r="Q37" s="190">
        <f t="shared" si="6"/>
        <v>0.54745620974007603</v>
      </c>
      <c r="R37" s="190"/>
      <c r="S37" s="190">
        <f t="shared" si="7"/>
        <v>0.29973794327919656</v>
      </c>
      <c r="T37" s="192">
        <f t="shared" si="8"/>
        <v>2.5119104546490658</v>
      </c>
      <c r="U37" s="192">
        <f t="shared" si="9"/>
        <v>2.5119104546490658</v>
      </c>
      <c r="V37" s="190">
        <f t="shared" si="10"/>
        <v>0</v>
      </c>
      <c r="W37" s="190">
        <f t="shared" si="11"/>
        <v>0</v>
      </c>
      <c r="X37" s="190">
        <f t="shared" si="12"/>
        <v>4.5878775361707511</v>
      </c>
      <c r="Y37" s="190">
        <f t="shared" si="13"/>
        <v>2.5119104546490658</v>
      </c>
      <c r="Z37" s="190">
        <f t="shared" si="14"/>
        <v>0</v>
      </c>
      <c r="AA37" s="190">
        <f t="shared" si="15"/>
        <v>0</v>
      </c>
      <c r="AB37" s="311">
        <v>181711743748.14999</v>
      </c>
      <c r="AC37" s="312">
        <v>181.71174374815001</v>
      </c>
      <c r="AD37" s="313">
        <v>99489061173.693314</v>
      </c>
      <c r="AE37" s="199">
        <v>99.489061173690004</v>
      </c>
    </row>
    <row r="38" spans="1:31" ht="14.5">
      <c r="A38" s="16"/>
      <c r="B38" s="16" t="s">
        <v>55</v>
      </c>
      <c r="C38" s="191">
        <v>2.7659800950473437</v>
      </c>
      <c r="D38" s="190">
        <v>0.45530536543989192</v>
      </c>
      <c r="E38" s="190">
        <v>2.3106747296074519</v>
      </c>
      <c r="F38" s="190">
        <v>0.1</v>
      </c>
      <c r="G38" s="192">
        <v>3.5</v>
      </c>
      <c r="H38" s="190">
        <v>1</v>
      </c>
      <c r="I38" s="190">
        <v>2.5</v>
      </c>
      <c r="J38" s="190">
        <v>0</v>
      </c>
      <c r="K38" s="192">
        <f t="shared" si="0"/>
        <v>5.4860988474153745</v>
      </c>
      <c r="L38" s="192">
        <f t="shared" si="1"/>
        <v>3.6376590060985183</v>
      </c>
      <c r="M38" s="190">
        <f t="shared" si="2"/>
        <v>0.90306153866919725</v>
      </c>
      <c r="N38" s="190">
        <f t="shared" si="3"/>
        <v>0.59879160594214276</v>
      </c>
      <c r="O38" s="190">
        <f t="shared" si="4"/>
        <v>4.5830373087461771</v>
      </c>
      <c r="P38" s="190">
        <f t="shared" si="5"/>
        <v>3.0388674001563754</v>
      </c>
      <c r="Q38" s="190">
        <f t="shared" si="6"/>
        <v>0.19834194964882682</v>
      </c>
      <c r="R38" s="190"/>
      <c r="S38" s="190">
        <f t="shared" si="7"/>
        <v>0.13151428720011285</v>
      </c>
      <c r="T38" s="192">
        <f t="shared" si="8"/>
        <v>4.6030000520039493</v>
      </c>
      <c r="U38" s="192">
        <f t="shared" si="9"/>
        <v>4.6030000520039493</v>
      </c>
      <c r="V38" s="190">
        <f t="shared" si="10"/>
        <v>1.9834194964882681</v>
      </c>
      <c r="W38" s="190">
        <f t="shared" si="11"/>
        <v>1.3151428720011284</v>
      </c>
      <c r="X38" s="190">
        <f t="shared" si="12"/>
        <v>4.9585487412206692</v>
      </c>
      <c r="Y38" s="190">
        <f t="shared" si="13"/>
        <v>3.2878571800028213</v>
      </c>
      <c r="Z38" s="190">
        <f t="shared" si="14"/>
        <v>0</v>
      </c>
      <c r="AA38" s="190">
        <f t="shared" si="15"/>
        <v>0</v>
      </c>
      <c r="AB38" s="311">
        <v>76037366075.546799</v>
      </c>
      <c r="AC38" s="312">
        <v>76.037366075549997</v>
      </c>
      <c r="AD38" s="313">
        <v>50417977728.390221</v>
      </c>
      <c r="AE38" s="199">
        <v>50.417977728389999</v>
      </c>
    </row>
    <row r="39" spans="1:31" ht="14.5">
      <c r="A39" s="16"/>
      <c r="B39" s="16" t="s">
        <v>56</v>
      </c>
      <c r="C39" s="191">
        <v>22.325028541088958</v>
      </c>
      <c r="D39" s="190">
        <v>4.0762172736226612</v>
      </c>
      <c r="E39" s="190">
        <v>18.248811267466294</v>
      </c>
      <c r="F39" s="190">
        <v>36.259500442474554</v>
      </c>
      <c r="G39" s="192">
        <v>28.325705271031612</v>
      </c>
      <c r="H39" s="190">
        <v>1.2663765826177678</v>
      </c>
      <c r="I39" s="190">
        <v>27.059328688413846</v>
      </c>
      <c r="J39" s="190">
        <v>0</v>
      </c>
      <c r="K39" s="192">
        <f t="shared" si="0"/>
        <v>4.0604154975673596</v>
      </c>
      <c r="L39" s="192">
        <f t="shared" si="1"/>
        <v>4.2849973345248626</v>
      </c>
      <c r="M39" s="190">
        <f t="shared" si="2"/>
        <v>0.7413713160010994</v>
      </c>
      <c r="N39" s="190">
        <f t="shared" si="3"/>
        <v>0.78237661019202132</v>
      </c>
      <c r="O39" s="190">
        <f t="shared" si="4"/>
        <v>3.3190441815662601</v>
      </c>
      <c r="P39" s="190">
        <f t="shared" si="5"/>
        <v>3.5026207243328411</v>
      </c>
      <c r="Q39" s="190">
        <f t="shared" si="6"/>
        <v>6.594779364322048</v>
      </c>
      <c r="R39" s="190"/>
      <c r="S39" s="190">
        <f t="shared" si="7"/>
        <v>6.9595370264027405</v>
      </c>
      <c r="T39" s="192">
        <f t="shared" si="8"/>
        <v>5.4367487755510364</v>
      </c>
      <c r="U39" s="192">
        <f t="shared" si="9"/>
        <v>5.4367487755510364</v>
      </c>
      <c r="V39" s="190">
        <f t="shared" si="10"/>
        <v>0.23032513003751623</v>
      </c>
      <c r="W39" s="190">
        <f t="shared" si="11"/>
        <v>0.24306442748928966</v>
      </c>
      <c r="X39" s="190">
        <f t="shared" si="12"/>
        <v>4.9214771375537669</v>
      </c>
      <c r="Y39" s="190">
        <f t="shared" si="13"/>
        <v>5.1936843480617467</v>
      </c>
      <c r="Z39" s="190">
        <f t="shared" si="14"/>
        <v>0</v>
      </c>
      <c r="AA39" s="190">
        <f t="shared" si="15"/>
        <v>0</v>
      </c>
      <c r="AB39" s="311">
        <v>521004490742.91901</v>
      </c>
      <c r="AC39" s="312">
        <v>521.00449074291998</v>
      </c>
      <c r="AD39" s="313">
        <v>549821281946.73523</v>
      </c>
      <c r="AE39" s="199">
        <v>549.82128194673999</v>
      </c>
    </row>
    <row r="40" spans="1:31" ht="14.5">
      <c r="A40" s="16"/>
      <c r="B40" s="16" t="s">
        <v>57</v>
      </c>
      <c r="C40" s="191">
        <v>39.489616738061301</v>
      </c>
      <c r="D40" s="190">
        <v>3.1894478304486302</v>
      </c>
      <c r="E40" s="190">
        <v>36.300168907612672</v>
      </c>
      <c r="F40" s="190">
        <v>0</v>
      </c>
      <c r="G40" s="192">
        <v>44.864899481644059</v>
      </c>
      <c r="H40" s="190">
        <v>0.85051942145296811</v>
      </c>
      <c r="I40" s="190">
        <v>44.014380060191094</v>
      </c>
      <c r="J40" s="190">
        <v>0</v>
      </c>
      <c r="K40" s="192">
        <f t="shared" si="0"/>
        <v>5.2856511377155213</v>
      </c>
      <c r="L40" s="192">
        <f t="shared" si="1"/>
        <v>6.6839313543188199</v>
      </c>
      <c r="M40" s="190">
        <f t="shared" si="2"/>
        <v>0.42690484097422365</v>
      </c>
      <c r="N40" s="190">
        <f t="shared" si="3"/>
        <v>0.53983938356010286</v>
      </c>
      <c r="O40" s="190">
        <f t="shared" si="4"/>
        <v>4.8587462967412973</v>
      </c>
      <c r="P40" s="190">
        <f t="shared" si="5"/>
        <v>6.1440919707587174</v>
      </c>
      <c r="Q40" s="190">
        <f t="shared" si="6"/>
        <v>0</v>
      </c>
      <c r="R40" s="190"/>
      <c r="S40" s="190">
        <f t="shared" si="7"/>
        <v>0</v>
      </c>
      <c r="T40" s="192">
        <f t="shared" si="8"/>
        <v>7.5937406620787797</v>
      </c>
      <c r="U40" s="192">
        <f t="shared" si="9"/>
        <v>7.5937406620787797</v>
      </c>
      <c r="V40" s="190">
        <f t="shared" si="10"/>
        <v>0.11384129092645967</v>
      </c>
      <c r="W40" s="190">
        <f t="shared" si="11"/>
        <v>0.14395716894936081</v>
      </c>
      <c r="X40" s="190">
        <f t="shared" si="12"/>
        <v>5.8912868054442864</v>
      </c>
      <c r="Y40" s="190">
        <f t="shared" si="13"/>
        <v>7.4497834931294191</v>
      </c>
      <c r="Z40" s="190">
        <f t="shared" si="14"/>
        <v>0</v>
      </c>
      <c r="AA40" s="190">
        <f t="shared" si="15"/>
        <v>0</v>
      </c>
      <c r="AB40" s="311">
        <v>590814217631.73499</v>
      </c>
      <c r="AC40" s="312">
        <v>590.81421763174001</v>
      </c>
      <c r="AD40" s="313">
        <v>747109782866.38879</v>
      </c>
      <c r="AE40" s="199">
        <v>747.10978286638999</v>
      </c>
    </row>
    <row r="41" spans="1:31" ht="14.5">
      <c r="A41" s="15"/>
      <c r="B41" s="15" t="s">
        <v>60</v>
      </c>
      <c r="C41" s="191">
        <v>20.735557264419626</v>
      </c>
      <c r="D41" s="190">
        <v>2.21544520875785</v>
      </c>
      <c r="E41" s="190">
        <v>18.520112055661777</v>
      </c>
      <c r="F41" s="190">
        <v>3.04</v>
      </c>
      <c r="G41" s="192">
        <v>4.5003203243428693</v>
      </c>
      <c r="H41" s="190">
        <v>0</v>
      </c>
      <c r="I41" s="190">
        <v>0</v>
      </c>
      <c r="J41" s="190">
        <v>4.5003203243428693</v>
      </c>
      <c r="K41" s="192">
        <f t="shared" si="0"/>
        <v>7.9155597092716778</v>
      </c>
      <c r="L41" s="192">
        <f t="shared" si="1"/>
        <v>4.6988645618176559</v>
      </c>
      <c r="M41" s="190">
        <f t="shared" si="2"/>
        <v>0.84572064347813192</v>
      </c>
      <c r="N41" s="190">
        <f t="shared" si="3"/>
        <v>0.50203989443504105</v>
      </c>
      <c r="O41" s="190">
        <f t="shared" si="4"/>
        <v>7.0698390657935457</v>
      </c>
      <c r="P41" s="190">
        <f t="shared" si="5"/>
        <v>4.1968246673826144</v>
      </c>
      <c r="Q41" s="190">
        <f t="shared" si="6"/>
        <v>1.1604849201461482</v>
      </c>
      <c r="R41" s="190"/>
      <c r="S41" s="190">
        <f t="shared" si="7"/>
        <v>0.688891457594761</v>
      </c>
      <c r="T41" s="192">
        <f t="shared" si="8"/>
        <v>0</v>
      </c>
      <c r="U41" s="192">
        <f t="shared" si="9"/>
        <v>0</v>
      </c>
      <c r="V41" s="190">
        <f t="shared" si="10"/>
        <v>0</v>
      </c>
      <c r="W41" s="190">
        <f t="shared" si="11"/>
        <v>0</v>
      </c>
      <c r="X41" s="190">
        <f t="shared" si="12"/>
        <v>0</v>
      </c>
      <c r="Y41" s="190">
        <f t="shared" si="13"/>
        <v>0</v>
      </c>
      <c r="Z41" s="190">
        <f t="shared" si="14"/>
        <v>1.7179453527062905</v>
      </c>
      <c r="AA41" s="190">
        <f t="shared" si="15"/>
        <v>1.0198132328552258</v>
      </c>
      <c r="AB41" s="311">
        <v>441288677118.17102</v>
      </c>
      <c r="AC41" s="312">
        <v>441.28867711817003</v>
      </c>
      <c r="AD41" s="313">
        <v>261959457397.9639</v>
      </c>
      <c r="AE41" s="199">
        <v>261.95945739796002</v>
      </c>
    </row>
    <row r="42" spans="1:31" ht="14.5">
      <c r="A42" s="15"/>
      <c r="B42" s="15" t="s">
        <v>61</v>
      </c>
      <c r="C42" s="191">
        <v>11.060053989571156</v>
      </c>
      <c r="D42" s="190">
        <v>2.9135225289071882</v>
      </c>
      <c r="E42" s="190">
        <v>8.1465314606639669</v>
      </c>
      <c r="F42" s="190">
        <v>0.10756165425876577</v>
      </c>
      <c r="G42" s="192">
        <v>15.41143382219596</v>
      </c>
      <c r="H42" s="190">
        <v>8.5363617861112981</v>
      </c>
      <c r="I42" s="190">
        <v>6.8750720360846609</v>
      </c>
      <c r="J42" s="190">
        <v>0</v>
      </c>
      <c r="K42" s="192">
        <f t="shared" si="0"/>
        <v>3.4411515416001333</v>
      </c>
      <c r="L42" s="192">
        <f t="shared" si="1"/>
        <v>1.6018173047492037</v>
      </c>
      <c r="M42" s="190">
        <f t="shared" si="2"/>
        <v>0.90649399643883966</v>
      </c>
      <c r="N42" s="190">
        <f t="shared" si="3"/>
        <v>0.42196275072262579</v>
      </c>
      <c r="O42" s="190">
        <f t="shared" si="4"/>
        <v>2.5346575451612936</v>
      </c>
      <c r="P42" s="190">
        <f t="shared" si="5"/>
        <v>1.1798545540265779</v>
      </c>
      <c r="Q42" s="190">
        <f t="shared" si="6"/>
        <v>3.3466016777008889E-2</v>
      </c>
      <c r="R42" s="190"/>
      <c r="S42" s="190">
        <f t="shared" si="7"/>
        <v>1.5578054074745292E-2</v>
      </c>
      <c r="T42" s="192">
        <f t="shared" si="8"/>
        <v>2.2320235878295058</v>
      </c>
      <c r="U42" s="192">
        <f t="shared" si="9"/>
        <v>2.2320235878295058</v>
      </c>
      <c r="V42" s="190">
        <f t="shared" si="10"/>
        <v>2.6559467564653678</v>
      </c>
      <c r="W42" s="190">
        <f t="shared" si="11"/>
        <v>1.2363133165069735</v>
      </c>
      <c r="X42" s="190">
        <f t="shared" si="12"/>
        <v>2.1390641273444655</v>
      </c>
      <c r="Y42" s="190">
        <f t="shared" si="13"/>
        <v>0.99571027132253231</v>
      </c>
      <c r="Z42" s="190">
        <f t="shared" si="14"/>
        <v>0</v>
      </c>
      <c r="AA42" s="190">
        <f t="shared" si="15"/>
        <v>0</v>
      </c>
      <c r="AB42" s="311">
        <v>690469128831.32397</v>
      </c>
      <c r="AC42" s="312">
        <v>690.46912883131995</v>
      </c>
      <c r="AD42" s="313">
        <v>321405606694.9129</v>
      </c>
      <c r="AE42" s="199">
        <v>321.40560669490998</v>
      </c>
    </row>
    <row r="43" spans="1:31" ht="14.5">
      <c r="A43" s="15"/>
      <c r="B43" s="15" t="s">
        <v>62</v>
      </c>
      <c r="C43" s="191">
        <v>0.84666152667042227</v>
      </c>
      <c r="D43" s="190">
        <v>0.1953834292316359</v>
      </c>
      <c r="E43" s="190">
        <v>0.6512780974387864</v>
      </c>
      <c r="F43" s="190">
        <v>0.40447797630408838</v>
      </c>
      <c r="G43" s="192" t="s">
        <v>93</v>
      </c>
      <c r="H43" s="190">
        <v>0</v>
      </c>
      <c r="I43" s="190">
        <v>0</v>
      </c>
      <c r="J43" s="190">
        <v>0</v>
      </c>
      <c r="K43" s="192">
        <f t="shared" si="0"/>
        <v>1.3150492804551615</v>
      </c>
      <c r="L43" s="192">
        <f t="shared" si="1"/>
        <v>0.92801617704075523</v>
      </c>
      <c r="M43" s="190">
        <f t="shared" si="2"/>
        <v>0.30347291087426803</v>
      </c>
      <c r="N43" s="190">
        <f t="shared" si="3"/>
        <v>0.21415757931709736</v>
      </c>
      <c r="O43" s="190">
        <f t="shared" si="4"/>
        <v>1.0115763695808935</v>
      </c>
      <c r="P43" s="190">
        <f t="shared" si="5"/>
        <v>0.71385859772365789</v>
      </c>
      <c r="Q43" s="190">
        <f t="shared" si="6"/>
        <v>0.62824216637129171</v>
      </c>
      <c r="R43" s="190"/>
      <c r="S43" s="190">
        <f t="shared" si="7"/>
        <v>0.44334376069153497</v>
      </c>
      <c r="T43" s="192">
        <f t="shared" si="8"/>
        <v>0</v>
      </c>
      <c r="U43" s="192">
        <f t="shared" si="9"/>
        <v>0</v>
      </c>
      <c r="V43" s="190">
        <f t="shared" si="10"/>
        <v>0</v>
      </c>
      <c r="W43" s="190">
        <f t="shared" si="11"/>
        <v>0</v>
      </c>
      <c r="X43" s="190">
        <f t="shared" si="12"/>
        <v>0</v>
      </c>
      <c r="Y43" s="190">
        <f t="shared" si="13"/>
        <v>0</v>
      </c>
      <c r="Z43" s="190">
        <f t="shared" si="14"/>
        <v>0</v>
      </c>
      <c r="AA43" s="190">
        <f t="shared" si="15"/>
        <v>0</v>
      </c>
      <c r="AB43" s="311">
        <v>91233487908.610901</v>
      </c>
      <c r="AC43" s="312">
        <v>91.233487908610002</v>
      </c>
      <c r="AD43" s="313">
        <v>64382494196.515457</v>
      </c>
      <c r="AE43" s="199">
        <v>64.38249419652</v>
      </c>
    </row>
    <row r="44" spans="1:31" ht="14.5">
      <c r="A44" s="15"/>
      <c r="B44" s="15" t="s">
        <v>65</v>
      </c>
      <c r="C44" s="191">
        <v>5.9975490460949956</v>
      </c>
      <c r="D44" s="190">
        <v>1.7694150329493317</v>
      </c>
      <c r="E44" s="190">
        <v>4.2281340131456639</v>
      </c>
      <c r="F44" s="190">
        <v>0</v>
      </c>
      <c r="G44" s="192">
        <v>6.6270225953158493</v>
      </c>
      <c r="H44" s="190">
        <v>0</v>
      </c>
      <c r="I44" s="190">
        <v>6.6270225953158493</v>
      </c>
      <c r="J44" s="190">
        <v>0</v>
      </c>
      <c r="K44" s="192">
        <f t="shared" si="0"/>
        <v>4.0693359469700905</v>
      </c>
      <c r="L44" s="192">
        <f t="shared" si="1"/>
        <v>1.9353914644892853</v>
      </c>
      <c r="M44" s="190">
        <f t="shared" si="2"/>
        <v>1.2005477809936589</v>
      </c>
      <c r="N44" s="190">
        <f t="shared" si="3"/>
        <v>0.57098503498505992</v>
      </c>
      <c r="O44" s="190">
        <f t="shared" si="4"/>
        <v>2.8687881659764316</v>
      </c>
      <c r="P44" s="190">
        <f t="shared" si="5"/>
        <v>1.3644064295042255</v>
      </c>
      <c r="Q44" s="190">
        <f t="shared" si="6"/>
        <v>0</v>
      </c>
      <c r="R44" s="190"/>
      <c r="S44" s="190">
        <f t="shared" si="7"/>
        <v>0</v>
      </c>
      <c r="T44" s="192">
        <f t="shared" si="8"/>
        <v>2.1385207302811238</v>
      </c>
      <c r="U44" s="192">
        <f t="shared" si="9"/>
        <v>2.1385207302811238</v>
      </c>
      <c r="V44" s="190">
        <f t="shared" si="10"/>
        <v>0</v>
      </c>
      <c r="W44" s="190">
        <f t="shared" si="11"/>
        <v>0</v>
      </c>
      <c r="X44" s="190">
        <f t="shared" si="12"/>
        <v>4.4964336366803703</v>
      </c>
      <c r="Y44" s="190">
        <f t="shared" si="13"/>
        <v>2.1385207302811238</v>
      </c>
      <c r="Z44" s="190">
        <f t="shared" si="14"/>
        <v>0</v>
      </c>
      <c r="AA44" s="190">
        <f t="shared" si="15"/>
        <v>0</v>
      </c>
      <c r="AB44" s="311">
        <v>309888162479.70697</v>
      </c>
      <c r="AC44" s="312">
        <v>309.88816247970999</v>
      </c>
      <c r="AD44" s="313">
        <v>147383974295.86609</v>
      </c>
      <c r="AE44" s="199">
        <v>147.38397429586999</v>
      </c>
    </row>
    <row r="45" spans="1:31" ht="14.5">
      <c r="A45" s="15"/>
      <c r="B45" s="15" t="s">
        <v>72</v>
      </c>
      <c r="C45" s="191">
        <v>44.709731424704025</v>
      </c>
      <c r="D45" s="190">
        <v>2.1654285875212778</v>
      </c>
      <c r="E45" s="190">
        <v>42.544302837182748</v>
      </c>
      <c r="F45" s="190">
        <v>0</v>
      </c>
      <c r="G45" s="192">
        <v>31.58978174736923</v>
      </c>
      <c r="H45" s="190">
        <v>12.737815220713399</v>
      </c>
      <c r="I45" s="190">
        <v>18.851966526655829</v>
      </c>
      <c r="J45" s="190">
        <v>0</v>
      </c>
      <c r="K45" s="192">
        <f t="shared" si="0"/>
        <v>7.8231824263139735</v>
      </c>
      <c r="L45" s="192">
        <f t="shared" si="1"/>
        <v>3.6785330081688583</v>
      </c>
      <c r="M45" s="190">
        <f t="shared" si="2"/>
        <v>0.37890057335423805</v>
      </c>
      <c r="N45" s="190">
        <f t="shared" si="3"/>
        <v>0.17816256734720967</v>
      </c>
      <c r="O45" s="190">
        <f t="shared" si="4"/>
        <v>7.4442818529597359</v>
      </c>
      <c r="P45" s="190">
        <f t="shared" si="5"/>
        <v>3.5003704408216487</v>
      </c>
      <c r="Q45" s="190">
        <f t="shared" si="6"/>
        <v>0</v>
      </c>
      <c r="R45" s="190"/>
      <c r="S45" s="190">
        <f t="shared" si="7"/>
        <v>0</v>
      </c>
      <c r="T45" s="192">
        <f t="shared" si="8"/>
        <v>2.5990774530651759</v>
      </c>
      <c r="U45" s="192">
        <f t="shared" si="9"/>
        <v>2.5990774530651759</v>
      </c>
      <c r="V45" s="190">
        <f t="shared" si="10"/>
        <v>2.2288269020837537</v>
      </c>
      <c r="W45" s="190">
        <f t="shared" si="11"/>
        <v>1.0480151020424098</v>
      </c>
      <c r="X45" s="190">
        <f t="shared" si="12"/>
        <v>3.2986638150839549</v>
      </c>
      <c r="Y45" s="190">
        <f t="shared" si="13"/>
        <v>1.5510623510227664</v>
      </c>
      <c r="Z45" s="190">
        <f t="shared" si="14"/>
        <v>0</v>
      </c>
      <c r="AA45" s="190">
        <f t="shared" si="15"/>
        <v>0</v>
      </c>
      <c r="AB45" s="311">
        <v>1215422868992.01</v>
      </c>
      <c r="AC45" s="312">
        <v>1215.4228689920101</v>
      </c>
      <c r="AD45" s="313">
        <v>571503117124.28699</v>
      </c>
      <c r="AE45" s="199">
        <v>571.50311712429004</v>
      </c>
    </row>
    <row r="46" spans="1:31">
      <c r="A46" s="15"/>
      <c r="B46" s="15"/>
      <c r="C46" s="191"/>
      <c r="D46" s="190"/>
      <c r="E46" s="190"/>
      <c r="F46" s="190"/>
      <c r="G46" s="192"/>
      <c r="H46" s="190"/>
      <c r="I46" s="190"/>
      <c r="J46" s="190"/>
      <c r="K46" s="192"/>
      <c r="L46" s="192"/>
      <c r="M46" s="190"/>
      <c r="N46" s="190"/>
      <c r="O46" s="190"/>
      <c r="P46" s="190"/>
      <c r="Q46" s="190"/>
      <c r="R46" s="190"/>
      <c r="S46" s="190"/>
      <c r="T46" s="192"/>
      <c r="U46" s="192"/>
      <c r="V46" s="190"/>
      <c r="W46" s="190"/>
      <c r="X46" s="190"/>
      <c r="Y46" s="190"/>
      <c r="Z46" s="190"/>
      <c r="AA46" s="190"/>
    </row>
    <row r="48" spans="1:31">
      <c r="C48" s="19"/>
      <c r="D48" s="19"/>
      <c r="E48" s="19"/>
      <c r="F48" s="19"/>
      <c r="G48" s="19"/>
      <c r="H48" s="19"/>
      <c r="I48" s="19"/>
      <c r="J48" s="19"/>
    </row>
  </sheetData>
  <mergeCells count="14">
    <mergeCell ref="Q5:Q6"/>
    <mergeCell ref="V5:V6"/>
    <mergeCell ref="X5:Z5"/>
    <mergeCell ref="B3:J3"/>
    <mergeCell ref="K3:Z3"/>
    <mergeCell ref="C4:F4"/>
    <mergeCell ref="G4:J4"/>
    <mergeCell ref="K4:Q4"/>
    <mergeCell ref="T4:Z4"/>
    <mergeCell ref="C5:E5"/>
    <mergeCell ref="F5:F6"/>
    <mergeCell ref="H5:H6"/>
    <mergeCell ref="I5:J5"/>
    <mergeCell ref="K5:O5"/>
  </mergeCells>
  <pageMargins left="0.7" right="0.7" top="0.75" bottom="0.75" header="0.3" footer="0.3"/>
  <pageSetup scale="4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8AAE-546C-4C1A-8659-F90A5D99166D}">
  <sheetPr>
    <tabColor rgb="FFFF0000"/>
    <pageSetUpPr fitToPage="1"/>
  </sheetPr>
  <dimension ref="A1:AI47"/>
  <sheetViews>
    <sheetView showGridLines="0" zoomScale="97" zoomScaleNormal="57" zoomScaleSheetLayoutView="100" workbookViewId="0">
      <pane xSplit="2" ySplit="7" topLeftCell="C8" activePane="bottomRight" state="frozen"/>
      <selection activeCell="I90" sqref="I90:I92"/>
      <selection pane="topRight" activeCell="I90" sqref="I90:I92"/>
      <selection pane="bottomLeft" activeCell="I90" sqref="I90:I92"/>
      <selection pane="bottomRight" activeCell="V27" sqref="V27"/>
    </sheetView>
  </sheetViews>
  <sheetFormatPr baseColWidth="10" defaultColWidth="9.1796875" defaultRowHeight="12.5"/>
  <cols>
    <col min="1" max="1" width="10.26953125" customWidth="1"/>
    <col min="2" max="2" width="26.54296875" style="2" customWidth="1"/>
    <col min="3" max="3" width="11.26953125" style="2" customWidth="1"/>
    <col min="4" max="4" width="13.7265625" style="2" customWidth="1"/>
    <col min="5" max="5" width="10.90625" style="2" bestFit="1" customWidth="1"/>
    <col min="6" max="6" width="9.7265625" style="2" customWidth="1"/>
    <col min="7" max="7" width="12.81640625" style="2" customWidth="1"/>
    <col min="8" max="8" width="18.81640625" style="2" customWidth="1"/>
    <col min="9" max="9" width="14.36328125" style="2" customWidth="1"/>
    <col min="10" max="10" width="10.90625" style="2" bestFit="1" customWidth="1"/>
    <col min="11" max="12" width="10.6328125" style="2" customWidth="1"/>
    <col min="13" max="13" width="10.08984375" style="2" customWidth="1"/>
    <col min="14" max="14" width="16" style="2" customWidth="1"/>
    <col min="15" max="16" width="14.08984375" style="2" customWidth="1"/>
    <col min="17" max="18" width="14.6328125" style="2" customWidth="1"/>
    <col min="19" max="20" width="14.36328125" style="2" customWidth="1"/>
    <col min="21" max="22" width="18.81640625" style="2" customWidth="1"/>
    <col min="23" max="24" width="8.81640625" style="2" customWidth="1"/>
    <col min="25" max="26" width="18.7265625" style="2" customWidth="1"/>
    <col min="27" max="27" width="38.1796875" customWidth="1"/>
    <col min="28" max="28" width="19.54296875" customWidth="1"/>
    <col min="29" max="29" width="17.81640625" customWidth="1"/>
    <col min="30" max="30" width="18.1796875" customWidth="1"/>
  </cols>
  <sheetData>
    <row r="1" spans="1:30" ht="15.75" customHeight="1">
      <c r="B1" s="1" t="s">
        <v>511</v>
      </c>
    </row>
    <row r="2" spans="1:30" ht="15.75" customHeight="1">
      <c r="B2" s="3" t="s">
        <v>512</v>
      </c>
    </row>
    <row r="3" spans="1:30" ht="15.75" customHeight="1">
      <c r="B3" s="238" t="s">
        <v>2</v>
      </c>
      <c r="C3" s="239"/>
      <c r="D3" s="239"/>
      <c r="E3" s="239"/>
      <c r="F3" s="239"/>
      <c r="G3" s="239"/>
      <c r="H3" s="239"/>
      <c r="I3" s="239"/>
      <c r="J3" s="239"/>
      <c r="K3" s="239"/>
      <c r="L3" s="239"/>
      <c r="M3" s="239"/>
      <c r="N3" s="239"/>
      <c r="O3" s="239"/>
      <c r="P3" s="239"/>
      <c r="Q3" s="239"/>
      <c r="R3" s="239"/>
      <c r="S3" s="239"/>
      <c r="T3" s="239"/>
      <c r="U3" s="239"/>
      <c r="V3" s="239"/>
      <c r="W3" s="239"/>
      <c r="X3" s="239"/>
      <c r="Y3" s="239"/>
      <c r="Z3" s="318"/>
    </row>
    <row r="4" spans="1:30" ht="11.15" customHeight="1">
      <c r="A4" s="4"/>
      <c r="B4" s="5"/>
      <c r="C4" s="237" t="s">
        <v>3</v>
      </c>
      <c r="D4" s="237"/>
      <c r="E4" s="237"/>
      <c r="F4" s="237"/>
      <c r="G4" s="240" t="s">
        <v>4</v>
      </c>
      <c r="H4" s="240"/>
      <c r="I4" s="240"/>
      <c r="J4" s="240"/>
      <c r="K4" s="237" t="s">
        <v>3</v>
      </c>
      <c r="L4" s="237"/>
      <c r="M4" s="237"/>
      <c r="N4" s="237"/>
      <c r="O4" s="237"/>
      <c r="P4" s="237"/>
      <c r="Q4" s="237"/>
      <c r="R4" s="229"/>
      <c r="S4" s="240" t="s">
        <v>4</v>
      </c>
      <c r="T4" s="240"/>
      <c r="U4" s="240"/>
      <c r="V4" s="240"/>
      <c r="W4" s="240"/>
      <c r="X4" s="240"/>
      <c r="Y4" s="240"/>
      <c r="Z4" s="319"/>
    </row>
    <row r="5" spans="1:30" ht="27" customHeight="1">
      <c r="A5" s="4"/>
      <c r="B5" s="5"/>
      <c r="C5" s="240" t="s">
        <v>5</v>
      </c>
      <c r="D5" s="240"/>
      <c r="E5" s="240"/>
      <c r="F5" s="233" t="s">
        <v>6</v>
      </c>
      <c r="G5" s="7"/>
      <c r="H5" s="235" t="s">
        <v>7</v>
      </c>
      <c r="I5" s="237" t="s">
        <v>8</v>
      </c>
      <c r="J5" s="237"/>
      <c r="K5" s="240" t="s">
        <v>5</v>
      </c>
      <c r="L5" s="240"/>
      <c r="M5" s="240"/>
      <c r="N5" s="240"/>
      <c r="O5" s="240"/>
      <c r="P5" s="317"/>
      <c r="Q5" s="233" t="s">
        <v>6</v>
      </c>
      <c r="R5" s="321"/>
      <c r="S5" s="7"/>
      <c r="T5" s="7"/>
      <c r="U5" s="235" t="s">
        <v>7</v>
      </c>
      <c r="V5" s="227"/>
      <c r="W5" s="237" t="s">
        <v>8</v>
      </c>
      <c r="X5" s="237"/>
      <c r="Y5" s="237"/>
      <c r="Z5" s="320"/>
    </row>
    <row r="6" spans="1:30" ht="29.5" customHeight="1">
      <c r="A6" s="4"/>
      <c r="B6" s="8"/>
      <c r="C6" s="9" t="s">
        <v>9</v>
      </c>
      <c r="D6" s="189" t="s">
        <v>10</v>
      </c>
      <c r="E6" s="189" t="s">
        <v>11</v>
      </c>
      <c r="F6" s="234"/>
      <c r="G6" s="11" t="s">
        <v>9</v>
      </c>
      <c r="H6" s="236"/>
      <c r="I6" s="12" t="s">
        <v>12</v>
      </c>
      <c r="J6" s="12" t="s">
        <v>13</v>
      </c>
      <c r="K6" s="9" t="s">
        <v>9</v>
      </c>
      <c r="L6" s="9"/>
      <c r="M6" s="189" t="s">
        <v>10</v>
      </c>
      <c r="N6" s="189"/>
      <c r="O6" s="189" t="s">
        <v>11</v>
      </c>
      <c r="P6" s="189"/>
      <c r="Q6" s="234"/>
      <c r="R6" s="189"/>
      <c r="S6" s="11" t="s">
        <v>9</v>
      </c>
      <c r="T6" s="11"/>
      <c r="U6" s="236"/>
      <c r="V6" s="228"/>
      <c r="W6" s="12" t="s">
        <v>12</v>
      </c>
      <c r="X6" s="12"/>
      <c r="Y6" s="189" t="s">
        <v>13</v>
      </c>
      <c r="Z6" s="321"/>
    </row>
    <row r="7" spans="1:30" ht="29">
      <c r="A7" s="13"/>
      <c r="B7" s="13" t="s">
        <v>14</v>
      </c>
      <c r="C7" s="14"/>
      <c r="D7" s="14"/>
      <c r="E7" s="14"/>
      <c r="F7" s="14"/>
      <c r="G7" s="14"/>
      <c r="H7" s="14"/>
      <c r="I7" s="14"/>
      <c r="J7" s="14"/>
      <c r="K7" s="2" t="s">
        <v>521</v>
      </c>
      <c r="L7" s="2" t="s">
        <v>548</v>
      </c>
      <c r="M7" s="2" t="s">
        <v>522</v>
      </c>
      <c r="N7" s="2" t="s">
        <v>547</v>
      </c>
      <c r="O7" s="2" t="s">
        <v>556</v>
      </c>
      <c r="P7" s="2" t="s">
        <v>549</v>
      </c>
      <c r="Q7" s="2" t="s">
        <v>524</v>
      </c>
      <c r="R7" s="2" t="s">
        <v>550</v>
      </c>
      <c r="S7" s="2" t="s">
        <v>525</v>
      </c>
      <c r="T7" s="2" t="s">
        <v>551</v>
      </c>
      <c r="U7" s="2" t="s">
        <v>526</v>
      </c>
      <c r="V7" s="2" t="s">
        <v>552</v>
      </c>
      <c r="W7" s="2" t="s">
        <v>527</v>
      </c>
      <c r="X7" s="2" t="s">
        <v>553</v>
      </c>
      <c r="Y7" s="2" t="s">
        <v>555</v>
      </c>
      <c r="Z7" s="2" t="s">
        <v>554</v>
      </c>
      <c r="AA7" s="309" t="s">
        <v>544</v>
      </c>
      <c r="AB7" s="309" t="s">
        <v>545</v>
      </c>
      <c r="AC7" s="310" t="s">
        <v>546</v>
      </c>
      <c r="AD7" s="310" t="s">
        <v>545</v>
      </c>
    </row>
    <row r="8" spans="1:30" ht="14.5">
      <c r="A8" s="15"/>
      <c r="B8" s="15" t="s">
        <v>15</v>
      </c>
      <c r="C8" s="230">
        <v>249.72579708899613</v>
      </c>
      <c r="D8" s="231">
        <v>13.808448829914081</v>
      </c>
      <c r="E8" s="231">
        <v>235.91734825908199</v>
      </c>
      <c r="F8" s="231">
        <v>0</v>
      </c>
      <c r="G8" s="232">
        <v>24.164785452349602</v>
      </c>
      <c r="H8" s="231">
        <v>10.356336622435562</v>
      </c>
      <c r="I8" s="231">
        <v>13.808448829914079</v>
      </c>
      <c r="J8" s="231">
        <v>0</v>
      </c>
      <c r="K8" s="232">
        <f>M8+O8</f>
        <v>16.706599322040002</v>
      </c>
      <c r="L8" s="232">
        <f>N8+P8</f>
        <v>20.360586789391</v>
      </c>
      <c r="M8" s="231">
        <f>($D8/AD8)*100</f>
        <v>0.92378210240752034</v>
      </c>
      <c r="N8" s="231">
        <f>($D8/AB8)*100</f>
        <v>1.1258273038092899</v>
      </c>
      <c r="O8" s="231">
        <f>($E8/$AD8)*100</f>
        <v>15.782817219632481</v>
      </c>
      <c r="P8" s="231">
        <f>($E8/$AB8)*100</f>
        <v>19.234759485581712</v>
      </c>
      <c r="Q8" s="231">
        <f>($F8/$AD8)*100</f>
        <v>0</v>
      </c>
      <c r="R8" s="231">
        <f>($F8/$AB8)*100</f>
        <v>0</v>
      </c>
      <c r="S8" s="232">
        <f>U8+W8</f>
        <v>1.6166186792131607</v>
      </c>
      <c r="T8" s="232">
        <f>V8+X8</f>
        <v>1.9701977816662573</v>
      </c>
      <c r="U8" s="231">
        <f>($H8/$AD8)*100</f>
        <v>0.69283657680564037</v>
      </c>
      <c r="V8" s="231">
        <f>($H8/$AB8)*100</f>
        <v>0.84437047785696751</v>
      </c>
      <c r="W8" s="231">
        <f>($I8/$AD8)*100</f>
        <v>0.92378210240752023</v>
      </c>
      <c r="X8" s="231">
        <f>($I8/$AB8)*100</f>
        <v>1.1258273038092899</v>
      </c>
      <c r="Y8" s="231">
        <f>($J8/$AD8)*100</f>
        <v>0</v>
      </c>
      <c r="Z8" s="231">
        <f>($J8/$AB8)*100</f>
        <v>0</v>
      </c>
      <c r="AA8" s="311">
        <v>1226515717214.5801</v>
      </c>
      <c r="AB8" s="312">
        <v>1226.51571721458</v>
      </c>
      <c r="AC8" s="313">
        <v>1494773366351.988</v>
      </c>
      <c r="AD8" s="199">
        <v>1494.77336635199</v>
      </c>
    </row>
    <row r="9" spans="1:30" ht="14.5">
      <c r="A9" s="15"/>
      <c r="B9" s="15" t="s">
        <v>16</v>
      </c>
      <c r="C9" s="230">
        <v>261.78973301959445</v>
      </c>
      <c r="D9" s="231">
        <v>45.632388666474455</v>
      </c>
      <c r="E9" s="231">
        <v>216.15734435311998</v>
      </c>
      <c r="F9" s="231">
        <v>68.027303732528338</v>
      </c>
      <c r="G9" s="232">
        <v>64.944134850488979</v>
      </c>
      <c r="H9" s="231">
        <v>3.8772617821187447</v>
      </c>
      <c r="I9" s="231">
        <v>61.066873068370228</v>
      </c>
      <c r="J9" s="231">
        <v>0</v>
      </c>
      <c r="K9" s="232">
        <f t="shared" ref="K9:K45" si="0">M9+O9</f>
        <v>15.43021028133305</v>
      </c>
      <c r="L9" s="232">
        <f t="shared" ref="L9:L45" si="1">N9+P9</f>
        <v>15.189529015984853</v>
      </c>
      <c r="M9" s="231">
        <f t="shared" ref="M9:M45" si="2">($D9/AD9)*100</f>
        <v>2.689629362624844</v>
      </c>
      <c r="N9" s="231">
        <f t="shared" ref="N9:N45" si="3">($D9/AB9)*100</f>
        <v>2.6476763764690205</v>
      </c>
      <c r="O9" s="231">
        <f t="shared" ref="O9:O45" si="4">($E9/$AD9)*100</f>
        <v>12.740580918708206</v>
      </c>
      <c r="P9" s="231">
        <f t="shared" ref="P9:P45" si="5">($E9/$AB9)*100</f>
        <v>12.541852639515833</v>
      </c>
      <c r="Q9" s="231">
        <f t="shared" ref="Q9:Q45" si="6">($F9/$AD9)*100</f>
        <v>4.0096133234776588</v>
      </c>
      <c r="R9" s="231">
        <f t="shared" ref="R9:R45" si="7">($F9/$AB9)*100</f>
        <v>3.9470711551820608</v>
      </c>
      <c r="S9" s="232">
        <f t="shared" ref="S9:S45" si="8">U9+W9</f>
        <v>3.8278875405984296</v>
      </c>
      <c r="T9" s="232">
        <f t="shared" ref="T9:T45" si="9">V9+X9</f>
        <v>3.7681799410204526</v>
      </c>
      <c r="U9" s="231">
        <f t="shared" ref="U9:U45" si="10">($H9/$AD9)*100</f>
        <v>0.22853059943871226</v>
      </c>
      <c r="V9" s="231">
        <f t="shared" ref="V9:V45" si="11">($H9/$AB9)*100</f>
        <v>0.22496596662808674</v>
      </c>
      <c r="W9" s="231">
        <f t="shared" ref="W9:W45" si="12">($I9/$AD9)*100</f>
        <v>3.5993569411597175</v>
      </c>
      <c r="X9" s="231">
        <f t="shared" ref="X9:X45" si="13">($I9/$AB9)*100</f>
        <v>3.5432139743923661</v>
      </c>
      <c r="Y9" s="231">
        <f t="shared" ref="Y9:Y45" si="14">($J9/$AD9)*100</f>
        <v>0</v>
      </c>
      <c r="Z9" s="231">
        <f t="shared" ref="Z9:Z45" si="15">($J9/$AB9)*100</f>
        <v>0</v>
      </c>
      <c r="AA9" s="311">
        <v>1723488152556.26</v>
      </c>
      <c r="AB9" s="312">
        <v>1723.48815255626</v>
      </c>
      <c r="AC9" s="313">
        <v>1696605089927.3779</v>
      </c>
      <c r="AD9" s="199">
        <v>1696.60508992738</v>
      </c>
    </row>
    <row r="10" spans="1:30" ht="14.5">
      <c r="A10" s="15"/>
      <c r="B10" s="15" t="s">
        <v>18</v>
      </c>
      <c r="C10" s="230">
        <v>252.88463784604201</v>
      </c>
      <c r="D10" s="231">
        <v>38.633570180174964</v>
      </c>
      <c r="E10" s="231">
        <v>214.25106766586705</v>
      </c>
      <c r="F10" s="231">
        <v>79.204517036051911</v>
      </c>
      <c r="G10" s="232">
        <v>399.21355852847461</v>
      </c>
      <c r="H10" s="231">
        <v>18.006206750642018</v>
      </c>
      <c r="I10" s="231">
        <v>381.20735177783257</v>
      </c>
      <c r="J10" s="231">
        <v>0</v>
      </c>
      <c r="K10" s="232">
        <f t="shared" si="0"/>
        <v>9.6638425269762749</v>
      </c>
      <c r="L10" s="232">
        <f t="shared" si="1"/>
        <v>8.6988918855390054</v>
      </c>
      <c r="M10" s="231">
        <f t="shared" si="2"/>
        <v>1.4763598993442799</v>
      </c>
      <c r="N10" s="231">
        <f t="shared" si="3"/>
        <v>1.3289429243793252</v>
      </c>
      <c r="O10" s="231">
        <f t="shared" si="4"/>
        <v>8.1874826276319954</v>
      </c>
      <c r="P10" s="231">
        <f t="shared" si="5"/>
        <v>7.3699489611596798</v>
      </c>
      <c r="Q10" s="231">
        <f t="shared" si="6"/>
        <v>3.0267555458533173</v>
      </c>
      <c r="R10" s="231">
        <f t="shared" si="7"/>
        <v>2.7245290042584984</v>
      </c>
      <c r="S10" s="232">
        <f t="shared" si="8"/>
        <v>15.25571895989089</v>
      </c>
      <c r="T10" s="232">
        <f t="shared" si="9"/>
        <v>13.732410218586359</v>
      </c>
      <c r="U10" s="231">
        <f t="shared" si="10"/>
        <v>0.68809694423715706</v>
      </c>
      <c r="V10" s="231">
        <f t="shared" si="11"/>
        <v>0.61938932758682408</v>
      </c>
      <c r="W10" s="231">
        <f t="shared" si="12"/>
        <v>14.567622015653733</v>
      </c>
      <c r="X10" s="231">
        <f t="shared" si="13"/>
        <v>13.113020890999536</v>
      </c>
      <c r="Y10" s="231">
        <f t="shared" si="14"/>
        <v>0</v>
      </c>
      <c r="Z10" s="231">
        <f t="shared" si="15"/>
        <v>0</v>
      </c>
      <c r="AA10" s="311">
        <v>2907090249810.2798</v>
      </c>
      <c r="AB10" s="312">
        <v>2907.0902498102801</v>
      </c>
      <c r="AC10" s="313">
        <v>2616812485718.0068</v>
      </c>
      <c r="AD10" s="199">
        <v>2616.8124857180101</v>
      </c>
    </row>
    <row r="11" spans="1:30" ht="14.5">
      <c r="A11" s="15"/>
      <c r="B11" s="15" t="s">
        <v>19</v>
      </c>
      <c r="C11" s="230">
        <v>588.90143942687689</v>
      </c>
      <c r="D11" s="231">
        <v>69.618193420619164</v>
      </c>
      <c r="E11" s="231">
        <v>519.28324600625774</v>
      </c>
      <c r="F11" s="231">
        <v>0</v>
      </c>
      <c r="G11" s="232">
        <v>1057.9682836215404</v>
      </c>
      <c r="H11" s="231">
        <v>114.12818593544125</v>
      </c>
      <c r="I11" s="231">
        <v>943.84009768609917</v>
      </c>
      <c r="J11" s="231">
        <v>0</v>
      </c>
      <c r="K11" s="232">
        <f t="shared" si="0"/>
        <v>16.37057240652236</v>
      </c>
      <c r="L11" s="232">
        <f t="shared" si="1"/>
        <v>14.150213902832794</v>
      </c>
      <c r="M11" s="231">
        <f t="shared" si="2"/>
        <v>1.9352808465074884</v>
      </c>
      <c r="N11" s="231">
        <f t="shared" si="3"/>
        <v>1.6727966047922489</v>
      </c>
      <c r="O11" s="231">
        <f t="shared" si="4"/>
        <v>14.435291560014873</v>
      </c>
      <c r="P11" s="231">
        <f t="shared" si="5"/>
        <v>12.477417298040546</v>
      </c>
      <c r="Q11" s="231">
        <f t="shared" si="6"/>
        <v>0</v>
      </c>
      <c r="R11" s="231">
        <f t="shared" si="7"/>
        <v>0</v>
      </c>
      <c r="S11" s="232">
        <f t="shared" si="8"/>
        <v>29.409923683810518</v>
      </c>
      <c r="T11" s="232">
        <f t="shared" si="9"/>
        <v>25.421023813810081</v>
      </c>
      <c r="U11" s="231">
        <f t="shared" si="10"/>
        <v>3.1725915516516197</v>
      </c>
      <c r="V11" s="231">
        <f t="shared" si="11"/>
        <v>2.7422895160528671</v>
      </c>
      <c r="W11" s="231">
        <f t="shared" si="12"/>
        <v>26.237332132158897</v>
      </c>
      <c r="X11" s="231">
        <f t="shared" si="13"/>
        <v>22.678734297757213</v>
      </c>
      <c r="Y11" s="231">
        <f t="shared" si="14"/>
        <v>0</v>
      </c>
      <c r="Z11" s="231">
        <f t="shared" si="15"/>
        <v>0</v>
      </c>
      <c r="AA11" s="311">
        <v>4161784715558.1299</v>
      </c>
      <c r="AB11" s="312">
        <v>4161.7847155581303</v>
      </c>
      <c r="AC11" s="313">
        <v>3597317337494.2358</v>
      </c>
      <c r="AD11" s="199">
        <v>3597.3173374942398</v>
      </c>
    </row>
    <row r="12" spans="1:30" ht="14.5">
      <c r="A12" s="15"/>
      <c r="B12" s="15" t="s">
        <v>20</v>
      </c>
      <c r="C12" s="230">
        <v>205.43073468379424</v>
      </c>
      <c r="D12" s="231">
        <v>22.825637187088251</v>
      </c>
      <c r="E12" s="231">
        <v>182.60509749670601</v>
      </c>
      <c r="F12" s="231">
        <v>7.9889730154808873</v>
      </c>
      <c r="G12" s="232">
        <v>664.51136260910664</v>
      </c>
      <c r="H12" s="231">
        <v>3.7091660429018405</v>
      </c>
      <c r="I12" s="231">
        <v>660.80219656620488</v>
      </c>
      <c r="J12" s="231">
        <v>0</v>
      </c>
      <c r="K12" s="232">
        <f t="shared" si="0"/>
        <v>10.709794274584462</v>
      </c>
      <c r="L12" s="232">
        <f t="shared" si="1"/>
        <v>8.787879797149678</v>
      </c>
      <c r="M12" s="231">
        <f t="shared" si="2"/>
        <v>1.1899771416204958</v>
      </c>
      <c r="N12" s="231">
        <f t="shared" si="3"/>
        <v>0.97643108857218652</v>
      </c>
      <c r="O12" s="231">
        <f t="shared" si="4"/>
        <v>9.5198171329639667</v>
      </c>
      <c r="P12" s="231">
        <f t="shared" si="5"/>
        <v>7.8114487085774922</v>
      </c>
      <c r="Q12" s="231">
        <f t="shared" si="6"/>
        <v>0.41649199956717348</v>
      </c>
      <c r="R12" s="231">
        <f t="shared" si="7"/>
        <v>0.34175088100026529</v>
      </c>
      <c r="S12" s="232">
        <f t="shared" si="8"/>
        <v>34.643209535426678</v>
      </c>
      <c r="T12" s="232">
        <f t="shared" si="9"/>
        <v>28.426350066057783</v>
      </c>
      <c r="U12" s="231">
        <f t="shared" si="10"/>
        <v>0.19337128551333052</v>
      </c>
      <c r="V12" s="231">
        <f t="shared" si="11"/>
        <v>0.15867005189298031</v>
      </c>
      <c r="W12" s="231">
        <f t="shared" si="12"/>
        <v>34.449838249913348</v>
      </c>
      <c r="X12" s="231">
        <f t="shared" si="13"/>
        <v>28.267680014164803</v>
      </c>
      <c r="Y12" s="231">
        <f t="shared" si="14"/>
        <v>0</v>
      </c>
      <c r="Z12" s="231">
        <f t="shared" si="15"/>
        <v>0</v>
      </c>
      <c r="AA12" s="311">
        <v>2337659815857.1201</v>
      </c>
      <c r="AB12" s="312">
        <v>2337.6598158571201</v>
      </c>
      <c r="AC12" s="313">
        <v>1918157617381.1699</v>
      </c>
      <c r="AD12" s="199">
        <v>1918.15761738117</v>
      </c>
    </row>
    <row r="13" spans="1:30" ht="14.5">
      <c r="A13" s="15"/>
      <c r="B13" s="15" t="s">
        <v>21</v>
      </c>
      <c r="C13" s="230">
        <v>843.8337860086101</v>
      </c>
      <c r="D13" s="231">
        <v>104.89387795001592</v>
      </c>
      <c r="E13" s="231">
        <v>738.93990805859426</v>
      </c>
      <c r="F13" s="231">
        <v>27.16002196920055</v>
      </c>
      <c r="G13" s="232">
        <v>1429.1790870689699</v>
      </c>
      <c r="H13" s="231">
        <v>0</v>
      </c>
      <c r="I13" s="231">
        <v>147.0387396263616</v>
      </c>
      <c r="J13" s="231">
        <v>1282.1403474426052</v>
      </c>
      <c r="K13" s="232">
        <f t="shared" si="0"/>
        <v>18.487561472512532</v>
      </c>
      <c r="L13" s="232">
        <f t="shared" si="1"/>
        <v>15.84708363425969</v>
      </c>
      <c r="M13" s="231">
        <f t="shared" si="2"/>
        <v>2.2981208489693707</v>
      </c>
      <c r="N13" s="231">
        <f t="shared" si="3"/>
        <v>1.9698927492087519</v>
      </c>
      <c r="O13" s="231">
        <f t="shared" si="4"/>
        <v>16.18944062354316</v>
      </c>
      <c r="P13" s="231">
        <f t="shared" si="5"/>
        <v>13.877190885050938</v>
      </c>
      <c r="Q13" s="231">
        <f t="shared" si="6"/>
        <v>0.59504914839385492</v>
      </c>
      <c r="R13" s="231">
        <f t="shared" si="7"/>
        <v>0.51006151542012323</v>
      </c>
      <c r="S13" s="232">
        <f t="shared" si="8"/>
        <v>3.2214729757874219</v>
      </c>
      <c r="T13" s="232">
        <f t="shared" si="9"/>
        <v>2.7613675145158392</v>
      </c>
      <c r="U13" s="231">
        <f t="shared" si="10"/>
        <v>0</v>
      </c>
      <c r="V13" s="231">
        <f t="shared" si="11"/>
        <v>0</v>
      </c>
      <c r="W13" s="231">
        <f t="shared" si="12"/>
        <v>3.2214729757874219</v>
      </c>
      <c r="X13" s="231">
        <f t="shared" si="13"/>
        <v>2.7613675145158392</v>
      </c>
      <c r="Y13" s="231">
        <f t="shared" si="14"/>
        <v>28.090423591420254</v>
      </c>
      <c r="Z13" s="231">
        <f t="shared" si="15"/>
        <v>24.078421193453401</v>
      </c>
      <c r="AA13" s="311">
        <v>5324852228231.6504</v>
      </c>
      <c r="AB13" s="312">
        <v>5324.8522282316499</v>
      </c>
      <c r="AC13" s="313">
        <v>4564332550094.4502</v>
      </c>
      <c r="AD13" s="199">
        <v>4564.3325500944502</v>
      </c>
    </row>
    <row r="14" spans="1:30" ht="14.5">
      <c r="A14" s="15"/>
      <c r="B14" s="15" t="s">
        <v>22</v>
      </c>
      <c r="C14" s="230">
        <v>104.83004568682564</v>
      </c>
      <c r="D14" s="231">
        <v>11.949099791303487</v>
      </c>
      <c r="E14" s="231">
        <v>92.880945895522146</v>
      </c>
      <c r="F14" s="231">
        <v>27.965978234965611</v>
      </c>
      <c r="G14" s="232">
        <v>166.01621624938676</v>
      </c>
      <c r="H14" s="231">
        <v>0</v>
      </c>
      <c r="I14" s="231">
        <v>60.08448051088066</v>
      </c>
      <c r="J14" s="231">
        <v>105.93173573850609</v>
      </c>
      <c r="K14" s="232">
        <f t="shared" si="0"/>
        <v>6.3993065478290871</v>
      </c>
      <c r="L14" s="232">
        <f t="shared" si="1"/>
        <v>4.8610304710188492</v>
      </c>
      <c r="M14" s="231">
        <f t="shared" si="2"/>
        <v>0.72942782800638739</v>
      </c>
      <c r="N14" s="231">
        <f t="shared" si="3"/>
        <v>0.55408673921880169</v>
      </c>
      <c r="O14" s="231">
        <f t="shared" si="4"/>
        <v>5.6698787198226999</v>
      </c>
      <c r="P14" s="231">
        <f t="shared" si="5"/>
        <v>4.3069437318000476</v>
      </c>
      <c r="Q14" s="231">
        <f t="shared" si="6"/>
        <v>1.7071715123553752</v>
      </c>
      <c r="R14" s="231">
        <f t="shared" si="7"/>
        <v>1.2967987513631529</v>
      </c>
      <c r="S14" s="232">
        <f t="shared" si="8"/>
        <v>3.6678321280604878</v>
      </c>
      <c r="T14" s="232">
        <f t="shared" si="9"/>
        <v>2.7861524688378045</v>
      </c>
      <c r="U14" s="231">
        <f t="shared" si="10"/>
        <v>0</v>
      </c>
      <c r="V14" s="231">
        <f t="shared" si="11"/>
        <v>0</v>
      </c>
      <c r="W14" s="231">
        <f t="shared" si="12"/>
        <v>3.6678321280604878</v>
      </c>
      <c r="X14" s="231">
        <f t="shared" si="13"/>
        <v>2.7861524688378045</v>
      </c>
      <c r="Y14" s="231">
        <f t="shared" si="14"/>
        <v>6.4665587589218756</v>
      </c>
      <c r="Z14" s="231">
        <f t="shared" si="15"/>
        <v>4.9121164824361854</v>
      </c>
      <c r="AA14" s="311">
        <v>2156539571430.7</v>
      </c>
      <c r="AB14" s="312">
        <v>2156.5395714307001</v>
      </c>
      <c r="AC14" s="313">
        <v>1638146960195.0569</v>
      </c>
      <c r="AD14" s="199">
        <v>1638.14696019506</v>
      </c>
    </row>
    <row r="15" spans="1:30" ht="14.5">
      <c r="A15" s="15"/>
      <c r="B15" s="15" t="s">
        <v>23</v>
      </c>
      <c r="C15" s="230">
        <v>107.45168705821794</v>
      </c>
      <c r="D15" s="231">
        <v>21.924024518198266</v>
      </c>
      <c r="E15" s="231">
        <v>85.527662540019676</v>
      </c>
      <c r="F15" s="231">
        <v>5.1357683670948562E-2</v>
      </c>
      <c r="G15" s="232">
        <v>184.01914572044612</v>
      </c>
      <c r="H15" s="231">
        <v>0.72927910812746966</v>
      </c>
      <c r="I15" s="231">
        <v>171.87704801877453</v>
      </c>
      <c r="J15" s="231">
        <v>11.412818593544126</v>
      </c>
      <c r="K15" s="232">
        <f t="shared" si="0"/>
        <v>8.1161859931574725</v>
      </c>
      <c r="L15" s="232">
        <f t="shared" si="1"/>
        <v>5.9810760126264126</v>
      </c>
      <c r="M15" s="231">
        <f t="shared" si="2"/>
        <v>1.6559950390712168</v>
      </c>
      <c r="N15" s="231">
        <f t="shared" si="3"/>
        <v>1.220355498699452</v>
      </c>
      <c r="O15" s="231">
        <f t="shared" si="4"/>
        <v>6.4601909540862561</v>
      </c>
      <c r="P15" s="231">
        <f t="shared" si="5"/>
        <v>4.7607205139269606</v>
      </c>
      <c r="Q15" s="231">
        <f t="shared" si="6"/>
        <v>3.8792179468092008E-3</v>
      </c>
      <c r="R15" s="231">
        <f t="shared" si="7"/>
        <v>2.8587192837832031E-3</v>
      </c>
      <c r="S15" s="232">
        <f t="shared" si="8"/>
        <v>13.03753429016615</v>
      </c>
      <c r="T15" s="232">
        <f t="shared" si="9"/>
        <v>9.6077743502241759</v>
      </c>
      <c r="U15" s="231">
        <f t="shared" si="10"/>
        <v>5.508489484469066E-2</v>
      </c>
      <c r="V15" s="231">
        <f t="shared" si="11"/>
        <v>4.0593813829721485E-2</v>
      </c>
      <c r="W15" s="231">
        <f t="shared" si="12"/>
        <v>12.98244939532146</v>
      </c>
      <c r="X15" s="231">
        <f t="shared" si="13"/>
        <v>9.5671805363944546</v>
      </c>
      <c r="Y15" s="231">
        <f t="shared" si="14"/>
        <v>0.862048432624267</v>
      </c>
      <c r="Z15" s="231">
        <f t="shared" si="15"/>
        <v>0.63527095195182293</v>
      </c>
      <c r="AA15" s="311">
        <v>1796527695541.4199</v>
      </c>
      <c r="AB15" s="312">
        <v>1796.5276955414199</v>
      </c>
      <c r="AC15" s="313">
        <v>1323918490148.05</v>
      </c>
      <c r="AD15" s="199">
        <v>1323.9184901480501</v>
      </c>
    </row>
    <row r="16" spans="1:30" ht="14.5">
      <c r="A16" s="15"/>
      <c r="B16" s="15" t="s">
        <v>24</v>
      </c>
      <c r="C16" s="230">
        <v>522.16796884260248</v>
      </c>
      <c r="D16" s="231">
        <v>130.8627342062542</v>
      </c>
      <c r="E16" s="231">
        <v>391.30523463634825</v>
      </c>
      <c r="F16" s="231">
        <v>16.03709978017821</v>
      </c>
      <c r="G16" s="232">
        <v>452.92618683170508</v>
      </c>
      <c r="H16" s="231">
        <v>1.3214570218866846</v>
      </c>
      <c r="I16" s="231">
        <v>451.60472980981842</v>
      </c>
      <c r="J16" s="231">
        <v>0</v>
      </c>
      <c r="K16" s="232">
        <f t="shared" si="0"/>
        <v>16.537971947531275</v>
      </c>
      <c r="L16" s="232">
        <f t="shared" si="1"/>
        <v>17.748811656211291</v>
      </c>
      <c r="M16" s="231">
        <f t="shared" si="2"/>
        <v>4.1446514463100499</v>
      </c>
      <c r="N16" s="231">
        <f t="shared" si="3"/>
        <v>4.4481051325148693</v>
      </c>
      <c r="O16" s="231">
        <f t="shared" si="4"/>
        <v>12.393320501221226</v>
      </c>
      <c r="P16" s="231">
        <f t="shared" si="5"/>
        <v>13.300706523696421</v>
      </c>
      <c r="Q16" s="231">
        <f t="shared" si="6"/>
        <v>0.50792297136152575</v>
      </c>
      <c r="R16" s="231">
        <f t="shared" si="7"/>
        <v>0.54511092310231246</v>
      </c>
      <c r="S16" s="232">
        <f t="shared" si="8"/>
        <v>14.344963726380755</v>
      </c>
      <c r="T16" s="232">
        <f t="shared" si="9"/>
        <v>15.395240734624748</v>
      </c>
      <c r="U16" s="231">
        <f t="shared" si="10"/>
        <v>4.1852852840189719E-2</v>
      </c>
      <c r="V16" s="231">
        <f t="shared" si="11"/>
        <v>4.4917140063630547E-2</v>
      </c>
      <c r="W16" s="231">
        <f t="shared" si="12"/>
        <v>14.303110873540565</v>
      </c>
      <c r="X16" s="231">
        <f t="shared" si="13"/>
        <v>15.350323594561118</v>
      </c>
      <c r="Y16" s="231">
        <f t="shared" si="14"/>
        <v>0</v>
      </c>
      <c r="Z16" s="231">
        <f t="shared" si="15"/>
        <v>0</v>
      </c>
      <c r="AA16" s="311">
        <v>2941988336778.9702</v>
      </c>
      <c r="AB16" s="312">
        <v>2941.9883367789698</v>
      </c>
      <c r="AC16" s="313">
        <v>3157388164033.9238</v>
      </c>
      <c r="AD16" s="199">
        <v>3157.38816403392</v>
      </c>
    </row>
    <row r="17" spans="1:35" ht="14.5">
      <c r="A17" s="15"/>
      <c r="B17" s="15" t="s">
        <v>25</v>
      </c>
      <c r="C17" s="230">
        <v>5328.3</v>
      </c>
      <c r="D17" s="231">
        <v>687.3</v>
      </c>
      <c r="E17" s="231">
        <v>4641</v>
      </c>
      <c r="F17" s="231">
        <v>17.98</v>
      </c>
      <c r="G17" s="232">
        <v>510</v>
      </c>
      <c r="H17" s="231">
        <v>56</v>
      </c>
      <c r="I17" s="231">
        <v>454</v>
      </c>
      <c r="J17" s="231">
        <v>0</v>
      </c>
      <c r="K17" s="232">
        <f t="shared" si="0"/>
        <v>26.736447545993702</v>
      </c>
      <c r="L17" s="232">
        <f t="shared" si="1"/>
        <v>26.675893379829869</v>
      </c>
      <c r="M17" s="231">
        <f t="shared" si="2"/>
        <v>3.4487473299854492</v>
      </c>
      <c r="N17" s="231">
        <f t="shared" si="3"/>
        <v>3.4409364187371332</v>
      </c>
      <c r="O17" s="231">
        <f t="shared" si="4"/>
        <v>23.287700216008254</v>
      </c>
      <c r="P17" s="231">
        <f t="shared" si="5"/>
        <v>23.234956961092735</v>
      </c>
      <c r="Q17" s="231">
        <f t="shared" si="6"/>
        <v>9.0220394286539191E-2</v>
      </c>
      <c r="R17" s="231">
        <f t="shared" si="7"/>
        <v>9.0016058211688718E-2</v>
      </c>
      <c r="S17" s="232">
        <f t="shared" si="8"/>
        <v>2.5590879358250826</v>
      </c>
      <c r="T17" s="232">
        <f t="shared" si="9"/>
        <v>2.5532919737464543</v>
      </c>
      <c r="U17" s="231">
        <f t="shared" si="10"/>
        <v>0.28099789099255812</v>
      </c>
      <c r="V17" s="231">
        <f t="shared" si="11"/>
        <v>0.28036147162706165</v>
      </c>
      <c r="W17" s="231">
        <f t="shared" si="12"/>
        <v>2.2780900448325245</v>
      </c>
      <c r="X17" s="231">
        <f t="shared" si="13"/>
        <v>2.2729305021193928</v>
      </c>
      <c r="Y17" s="231">
        <f t="shared" si="14"/>
        <v>0</v>
      </c>
      <c r="Z17" s="231">
        <f t="shared" si="15"/>
        <v>0</v>
      </c>
      <c r="AA17" s="311">
        <v>19974213887167.602</v>
      </c>
      <c r="AB17" s="312">
        <v>19974.2138871676</v>
      </c>
      <c r="AC17" s="313">
        <v>19928975197000</v>
      </c>
      <c r="AD17" s="199">
        <v>19928.975197</v>
      </c>
    </row>
    <row r="18" spans="1:35" ht="14.5">
      <c r="A18" s="15"/>
      <c r="B18" s="15" t="s">
        <v>31</v>
      </c>
      <c r="C18" s="230">
        <v>7.0279601888550927</v>
      </c>
      <c r="D18" s="231">
        <v>4.8032151754294405</v>
      </c>
      <c r="E18" s="231">
        <v>2.2247450134256517</v>
      </c>
      <c r="F18" s="231">
        <v>4.2819360091037648</v>
      </c>
      <c r="G18" s="232">
        <v>13.41362997634462</v>
      </c>
      <c r="H18" s="231">
        <v>0.89362142798687272</v>
      </c>
      <c r="I18" s="231">
        <v>0.27925669624589772</v>
      </c>
      <c r="J18" s="231">
        <v>12.240751852111851</v>
      </c>
      <c r="K18" s="232">
        <f t="shared" si="0"/>
        <v>0.54942367197485686</v>
      </c>
      <c r="L18" s="232">
        <f t="shared" si="1"/>
        <v>0.29508569161334508</v>
      </c>
      <c r="M18" s="231">
        <f t="shared" si="2"/>
        <v>0.37550015197222009</v>
      </c>
      <c r="N18" s="231">
        <f t="shared" si="3"/>
        <v>0.20167445943375639</v>
      </c>
      <c r="O18" s="231">
        <f t="shared" si="4"/>
        <v>0.17392352000263681</v>
      </c>
      <c r="P18" s="231">
        <f t="shared" si="5"/>
        <v>9.3411232179588716E-2</v>
      </c>
      <c r="Q18" s="231">
        <f t="shared" si="6"/>
        <v>0.33474819749461476</v>
      </c>
      <c r="R18" s="231">
        <f t="shared" si="7"/>
        <v>0.17978730879753479</v>
      </c>
      <c r="S18" s="232">
        <f t="shared" si="8"/>
        <v>9.169189757461188E-2</v>
      </c>
      <c r="T18" s="232">
        <f t="shared" si="9"/>
        <v>4.9246088931498663E-2</v>
      </c>
      <c r="U18" s="231">
        <f t="shared" si="10"/>
        <v>6.9860493390180481E-2</v>
      </c>
      <c r="V18" s="231">
        <f t="shared" si="11"/>
        <v>3.7520829662094218E-2</v>
      </c>
      <c r="W18" s="231">
        <f t="shared" si="12"/>
        <v>2.1831404184431399E-2</v>
      </c>
      <c r="X18" s="231">
        <f t="shared" si="13"/>
        <v>1.1725259269404443E-2</v>
      </c>
      <c r="Y18" s="231">
        <f t="shared" si="14"/>
        <v>0.95694321675090976</v>
      </c>
      <c r="Z18" s="231">
        <f t="shared" si="15"/>
        <v>0.51395719797556139</v>
      </c>
      <c r="AA18" s="311">
        <v>2381667559152.25</v>
      </c>
      <c r="AB18" s="312">
        <v>2381.6675591522499</v>
      </c>
      <c r="AC18" s="313">
        <v>1279151326624.439</v>
      </c>
      <c r="AD18" s="199">
        <v>1279.1513266244399</v>
      </c>
    </row>
    <row r="19" spans="1:35" ht="14.5">
      <c r="A19" s="15"/>
      <c r="B19" s="15" t="s">
        <v>35</v>
      </c>
      <c r="C19" s="230">
        <v>25.234121210982789</v>
      </c>
      <c r="D19" s="231">
        <v>2.7673372045961901</v>
      </c>
      <c r="E19" s="231">
        <v>22.466784006386597</v>
      </c>
      <c r="F19" s="231">
        <v>10.01376658570374</v>
      </c>
      <c r="G19" s="232">
        <v>69.354605612096279</v>
      </c>
      <c r="H19" s="231">
        <v>2.995571200851546</v>
      </c>
      <c r="I19" s="231">
        <v>45.932091746390377</v>
      </c>
      <c r="J19" s="231">
        <v>20.426942664854352</v>
      </c>
      <c r="K19" s="232">
        <f t="shared" si="0"/>
        <v>2.5308691970139723</v>
      </c>
      <c r="L19" s="232">
        <f t="shared" si="1"/>
        <v>1.0812537761986203</v>
      </c>
      <c r="M19" s="231">
        <f t="shared" si="2"/>
        <v>0.27755151171323378</v>
      </c>
      <c r="N19" s="231">
        <f t="shared" si="3"/>
        <v>0.1185772937153942</v>
      </c>
      <c r="O19" s="231">
        <f t="shared" si="4"/>
        <v>2.2533176853007384</v>
      </c>
      <c r="P19" s="231">
        <f t="shared" si="5"/>
        <v>0.96267648248322613</v>
      </c>
      <c r="Q19" s="231">
        <f t="shared" si="6"/>
        <v>1.0043358825911861</v>
      </c>
      <c r="R19" s="231">
        <f t="shared" si="7"/>
        <v>0.42907866076395218</v>
      </c>
      <c r="S19" s="232">
        <f t="shared" si="8"/>
        <v>4.9072251813216079</v>
      </c>
      <c r="T19" s="232">
        <f t="shared" si="9"/>
        <v>2.0964954507412479</v>
      </c>
      <c r="U19" s="231">
        <f t="shared" si="10"/>
        <v>0.30044235804009845</v>
      </c>
      <c r="V19" s="231">
        <f t="shared" si="11"/>
        <v>0.1283568643310968</v>
      </c>
      <c r="W19" s="231">
        <f t="shared" si="12"/>
        <v>4.6067828232815096</v>
      </c>
      <c r="X19" s="231">
        <f t="shared" si="13"/>
        <v>1.9681385864101513</v>
      </c>
      <c r="Y19" s="231">
        <f t="shared" si="14"/>
        <v>2.0487307462543853</v>
      </c>
      <c r="Z19" s="231">
        <f t="shared" si="15"/>
        <v>0.87527157010538392</v>
      </c>
      <c r="AA19" s="311">
        <v>2333783406491.1899</v>
      </c>
      <c r="AB19" s="312">
        <v>2333.7834064911899</v>
      </c>
      <c r="AC19" s="313">
        <v>997053551434.22559</v>
      </c>
      <c r="AD19" s="199">
        <v>997.05355143423003</v>
      </c>
    </row>
    <row r="20" spans="1:35" ht="14.5">
      <c r="A20" s="17"/>
      <c r="B20" s="17" t="s">
        <v>36</v>
      </c>
      <c r="C20" s="230">
        <v>65.737835098814159</v>
      </c>
      <c r="D20" s="231">
        <v>7.6465884576745644</v>
      </c>
      <c r="E20" s="231">
        <v>58.091246641139598</v>
      </c>
      <c r="F20" s="231">
        <v>0</v>
      </c>
      <c r="G20" s="232">
        <v>12.211715895092214</v>
      </c>
      <c r="H20" s="231">
        <v>0</v>
      </c>
      <c r="I20" s="231">
        <v>12.211715895092214</v>
      </c>
      <c r="J20" s="231">
        <v>0</v>
      </c>
      <c r="K20" s="232">
        <f t="shared" si="0"/>
        <v>15.880639720851256</v>
      </c>
      <c r="L20" s="232">
        <f t="shared" si="1"/>
        <v>14.028585723530457</v>
      </c>
      <c r="M20" s="231">
        <f t="shared" si="2"/>
        <v>1.8472271897517958</v>
      </c>
      <c r="N20" s="231">
        <f t="shared" si="3"/>
        <v>1.6317972977023274</v>
      </c>
      <c r="O20" s="231">
        <f t="shared" si="4"/>
        <v>14.033412531099462</v>
      </c>
      <c r="P20" s="231">
        <f t="shared" si="5"/>
        <v>12.396788425828129</v>
      </c>
      <c r="Q20" s="231">
        <f t="shared" si="6"/>
        <v>0</v>
      </c>
      <c r="R20" s="231">
        <f t="shared" si="7"/>
        <v>0</v>
      </c>
      <c r="S20" s="232">
        <f t="shared" si="8"/>
        <v>2.9500493925886886</v>
      </c>
      <c r="T20" s="232">
        <f t="shared" si="9"/>
        <v>2.6060046396141643</v>
      </c>
      <c r="U20" s="231">
        <f t="shared" si="10"/>
        <v>0</v>
      </c>
      <c r="V20" s="231">
        <f t="shared" si="11"/>
        <v>0</v>
      </c>
      <c r="W20" s="231">
        <f t="shared" si="12"/>
        <v>2.9500493925886886</v>
      </c>
      <c r="X20" s="231">
        <f t="shared" si="13"/>
        <v>2.6060046396141643</v>
      </c>
      <c r="Y20" s="231">
        <f t="shared" si="14"/>
        <v>0</v>
      </c>
      <c r="Z20" s="231">
        <f t="shared" si="15"/>
        <v>0</v>
      </c>
      <c r="AA20" s="311">
        <v>468599161699.88599</v>
      </c>
      <c r="AB20" s="312">
        <v>468.59916169988998</v>
      </c>
      <c r="AC20" s="313">
        <v>413949540159.26532</v>
      </c>
      <c r="AD20" s="199">
        <v>413.94954015926999</v>
      </c>
    </row>
    <row r="21" spans="1:35" ht="14.5">
      <c r="A21" s="15"/>
      <c r="B21" s="15" t="s">
        <v>37</v>
      </c>
      <c r="C21" s="230">
        <v>42.113300610177824</v>
      </c>
      <c r="D21" s="231">
        <v>10.95630584980236</v>
      </c>
      <c r="E21" s="231">
        <v>31.156994760375461</v>
      </c>
      <c r="F21" s="231">
        <v>14.722535985671922</v>
      </c>
      <c r="G21" s="232">
        <v>61.172707661396508</v>
      </c>
      <c r="H21" s="231">
        <v>1.8260509749670601</v>
      </c>
      <c r="I21" s="231">
        <v>59.346656686429448</v>
      </c>
      <c r="J21" s="231">
        <v>0</v>
      </c>
      <c r="K21" s="232">
        <f t="shared" si="0"/>
        <v>8.5050310410477952</v>
      </c>
      <c r="L21" s="232">
        <f t="shared" si="1"/>
        <v>7.5835826820255718</v>
      </c>
      <c r="M21" s="231">
        <f t="shared" si="2"/>
        <v>2.2126910025490196</v>
      </c>
      <c r="N21" s="231">
        <f t="shared" si="3"/>
        <v>1.9729646002017747</v>
      </c>
      <c r="O21" s="231">
        <f t="shared" si="4"/>
        <v>6.2923400384987751</v>
      </c>
      <c r="P21" s="231">
        <f t="shared" si="5"/>
        <v>5.6106180818237972</v>
      </c>
      <c r="Q21" s="231">
        <f t="shared" si="6"/>
        <v>2.973303534675245</v>
      </c>
      <c r="R21" s="231">
        <f t="shared" si="7"/>
        <v>2.6511711815211347</v>
      </c>
      <c r="S21" s="232">
        <f t="shared" si="8"/>
        <v>12.354191430898693</v>
      </c>
      <c r="T21" s="232">
        <f t="shared" si="9"/>
        <v>11.015719017793241</v>
      </c>
      <c r="U21" s="231">
        <f t="shared" si="10"/>
        <v>0.36878183375816997</v>
      </c>
      <c r="V21" s="231">
        <f t="shared" si="11"/>
        <v>0.32882743336696246</v>
      </c>
      <c r="W21" s="231">
        <f t="shared" si="12"/>
        <v>11.985409597140523</v>
      </c>
      <c r="X21" s="231">
        <f t="shared" si="13"/>
        <v>10.686891584426279</v>
      </c>
      <c r="Y21" s="231">
        <f t="shared" si="14"/>
        <v>0</v>
      </c>
      <c r="Z21" s="231">
        <f t="shared" si="15"/>
        <v>0</v>
      </c>
      <c r="AA21" s="311">
        <v>555321968203.677</v>
      </c>
      <c r="AB21" s="312">
        <v>555.32196820367994</v>
      </c>
      <c r="AC21" s="313">
        <v>495157518025.82001</v>
      </c>
      <c r="AD21" s="199">
        <v>495.15751802582002</v>
      </c>
    </row>
    <row r="22" spans="1:35" ht="14.5">
      <c r="A22" s="16"/>
      <c r="B22" s="16" t="s">
        <v>38</v>
      </c>
      <c r="C22" s="230">
        <v>22.550381835611422</v>
      </c>
      <c r="D22" s="231">
        <v>6.3937269094473352</v>
      </c>
      <c r="E22" s="231">
        <v>16.156654926164087</v>
      </c>
      <c r="F22" s="231">
        <v>0.61610710785105727</v>
      </c>
      <c r="G22" s="232">
        <v>37.970293297142426</v>
      </c>
      <c r="H22" s="231">
        <v>3.8775971822793812E-2</v>
      </c>
      <c r="I22" s="231">
        <v>37.931517325319632</v>
      </c>
      <c r="J22" s="231">
        <v>0</v>
      </c>
      <c r="K22" s="232">
        <f>M22+O22</f>
        <v>10.457403769203127</v>
      </c>
      <c r="L22" s="232">
        <f t="shared" si="1"/>
        <v>5.5352503612996573</v>
      </c>
      <c r="M22" s="231">
        <f>($D22/AD22)*100</f>
        <v>2.9649956426246544</v>
      </c>
      <c r="N22" s="231">
        <f>($D22/AB22)*100</f>
        <v>1.5694137440138884</v>
      </c>
      <c r="O22" s="231">
        <f t="shared" si="4"/>
        <v>7.4924081265784732</v>
      </c>
      <c r="P22" s="231">
        <f t="shared" si="5"/>
        <v>3.9658366172857686</v>
      </c>
      <c r="Q22" s="231">
        <f t="shared" si="6"/>
        <v>0.28571049656019243</v>
      </c>
      <c r="R22" s="231">
        <f t="shared" si="7"/>
        <v>0.15123056967249734</v>
      </c>
      <c r="S22" s="232">
        <f t="shared" si="8"/>
        <v>17.60815808520962</v>
      </c>
      <c r="T22" s="232">
        <f t="shared" si="9"/>
        <v>9.3202448288371951</v>
      </c>
      <c r="U22" s="231">
        <f t="shared" si="10"/>
        <v>1.7981779503788334E-2</v>
      </c>
      <c r="V22" s="231">
        <f t="shared" si="11"/>
        <v>9.5180078814858463E-3</v>
      </c>
      <c r="W22" s="231">
        <f t="shared" si="12"/>
        <v>17.590176305705832</v>
      </c>
      <c r="X22" s="231">
        <f t="shared" si="13"/>
        <v>9.3107268209557095</v>
      </c>
      <c r="Y22" s="231">
        <f t="shared" si="14"/>
        <v>0</v>
      </c>
      <c r="Z22" s="231">
        <f t="shared" si="15"/>
        <v>0</v>
      </c>
      <c r="AA22" s="311">
        <v>407395878482.30298</v>
      </c>
      <c r="AB22" s="312">
        <v>407.39587848230002</v>
      </c>
      <c r="AC22" s="313">
        <v>215640347578.63721</v>
      </c>
      <c r="AD22" s="199">
        <v>215.64034757863999</v>
      </c>
    </row>
    <row r="23" spans="1:35" ht="14.5">
      <c r="A23" s="16"/>
      <c r="B23" s="16" t="s">
        <v>39</v>
      </c>
      <c r="C23" s="230">
        <v>12.151964295383831</v>
      </c>
      <c r="D23" s="231">
        <v>0</v>
      </c>
      <c r="E23" s="231">
        <v>12.151964295383831</v>
      </c>
      <c r="F23" s="231">
        <v>48.730141098973149</v>
      </c>
      <c r="G23" s="232">
        <v>55.669753413569694</v>
      </c>
      <c r="H23" s="231">
        <v>43.105080896833208</v>
      </c>
      <c r="I23" s="231">
        <v>12.56467251673649</v>
      </c>
      <c r="J23" s="231">
        <v>0</v>
      </c>
      <c r="K23" s="232">
        <f t="shared" si="0"/>
        <v>3.6535993308298735</v>
      </c>
      <c r="L23" s="232">
        <f t="shared" si="1"/>
        <v>3.9065858319656011</v>
      </c>
      <c r="M23" s="231">
        <f t="shared" si="2"/>
        <v>0</v>
      </c>
      <c r="N23" s="231">
        <f t="shared" si="3"/>
        <v>0</v>
      </c>
      <c r="O23" s="231">
        <f t="shared" si="4"/>
        <v>3.6535993308298735</v>
      </c>
      <c r="P23" s="231">
        <f t="shared" si="5"/>
        <v>3.9065858319656011</v>
      </c>
      <c r="Q23" s="231">
        <f t="shared" si="6"/>
        <v>14.651163102749228</v>
      </c>
      <c r="R23" s="231">
        <f t="shared" si="7"/>
        <v>15.665654883404198</v>
      </c>
      <c r="S23" s="232">
        <f t="shared" si="8"/>
        <v>16.737621085386667</v>
      </c>
      <c r="T23" s="232">
        <f t="shared" si="9"/>
        <v>17.896585660400905</v>
      </c>
      <c r="U23" s="231">
        <f t="shared" si="10"/>
        <v>12.959937248981438</v>
      </c>
      <c r="V23" s="231">
        <f t="shared" si="11"/>
        <v>13.857323328481755</v>
      </c>
      <c r="W23" s="231">
        <f t="shared" si="12"/>
        <v>3.7776838364052283</v>
      </c>
      <c r="X23" s="231">
        <f t="shared" si="13"/>
        <v>4.0392623319191499</v>
      </c>
      <c r="Y23" s="231">
        <f t="shared" si="14"/>
        <v>0</v>
      </c>
      <c r="Z23" s="231">
        <f t="shared" si="15"/>
        <v>0</v>
      </c>
      <c r="AA23" s="311">
        <v>311063542901.078</v>
      </c>
      <c r="AB23" s="312">
        <v>311.06354290107998</v>
      </c>
      <c r="AC23" s="313">
        <v>332602543274.04938</v>
      </c>
      <c r="AD23" s="199">
        <v>332.60254327404999</v>
      </c>
      <c r="AE23" s="322"/>
      <c r="AF23" s="322"/>
      <c r="AG23" s="322"/>
      <c r="AH23" s="322"/>
      <c r="AI23" s="322"/>
    </row>
    <row r="24" spans="1:35" ht="14.5">
      <c r="A24" s="16"/>
      <c r="B24" s="17" t="s">
        <v>40</v>
      </c>
      <c r="C24" s="230">
        <v>1.5871</v>
      </c>
      <c r="D24" s="231">
        <v>0.435</v>
      </c>
      <c r="E24" s="231">
        <v>1.1520999999999999</v>
      </c>
      <c r="F24" s="231">
        <v>0</v>
      </c>
      <c r="G24" s="232">
        <v>1.3769999999999998</v>
      </c>
      <c r="H24" s="231">
        <v>1.0269999999999999</v>
      </c>
      <c r="I24" s="231">
        <v>0.35</v>
      </c>
      <c r="J24" s="231">
        <v>0</v>
      </c>
      <c r="K24" s="232">
        <f t="shared" si="0"/>
        <v>5.9009523324005393</v>
      </c>
      <c r="L24" s="232">
        <f t="shared" si="1"/>
        <v>3.456862622122669</v>
      </c>
      <c r="M24" s="231">
        <f t="shared" si="2"/>
        <v>1.6173613915911</v>
      </c>
      <c r="N24" s="231">
        <f t="shared" si="3"/>
        <v>0.94747353073112039</v>
      </c>
      <c r="O24" s="231">
        <f t="shared" si="4"/>
        <v>4.2835909408094395</v>
      </c>
      <c r="P24" s="231">
        <f t="shared" si="5"/>
        <v>2.5093890913915486</v>
      </c>
      <c r="Q24" s="231">
        <f t="shared" si="6"/>
        <v>0</v>
      </c>
      <c r="R24" s="231">
        <f t="shared" si="7"/>
        <v>0</v>
      </c>
      <c r="S24" s="232">
        <f t="shared" si="8"/>
        <v>5.1197853706228607</v>
      </c>
      <c r="T24" s="232">
        <f t="shared" si="9"/>
        <v>2.9992437972798909</v>
      </c>
      <c r="U24" s="231">
        <f t="shared" si="10"/>
        <v>3.8184601130208264</v>
      </c>
      <c r="V24" s="231">
        <f t="shared" si="11"/>
        <v>2.236908772553702</v>
      </c>
      <c r="W24" s="231">
        <f t="shared" si="12"/>
        <v>1.3013252576020344</v>
      </c>
      <c r="X24" s="231">
        <f t="shared" si="13"/>
        <v>0.76233502472618875</v>
      </c>
      <c r="Y24" s="231">
        <f t="shared" si="14"/>
        <v>0</v>
      </c>
      <c r="Z24" s="231">
        <f t="shared" si="15"/>
        <v>0</v>
      </c>
      <c r="AA24" s="311">
        <v>45911572818.753304</v>
      </c>
      <c r="AB24" s="312">
        <v>45.911572818750003</v>
      </c>
      <c r="AC24" s="313">
        <v>26895658710.637878</v>
      </c>
      <c r="AD24" s="199">
        <v>26.895658710639999</v>
      </c>
      <c r="AE24" s="322"/>
      <c r="AF24" s="322"/>
      <c r="AG24" s="322"/>
      <c r="AH24" s="322"/>
      <c r="AI24" s="322"/>
    </row>
    <row r="25" spans="1:35" ht="14.5">
      <c r="A25" s="16"/>
      <c r="B25" s="17" t="s">
        <v>41</v>
      </c>
      <c r="C25" s="230">
        <v>12.896485010704863</v>
      </c>
      <c r="D25" s="231">
        <v>4.6792556233530913</v>
      </c>
      <c r="E25" s="231">
        <v>8.2172293873517699</v>
      </c>
      <c r="F25" s="231">
        <v>0.57064092967720625</v>
      </c>
      <c r="G25" s="232">
        <v>19.858304352766776</v>
      </c>
      <c r="H25" s="231">
        <v>1.3695382312252951</v>
      </c>
      <c r="I25" s="231">
        <v>13.923638684123832</v>
      </c>
      <c r="J25" s="231">
        <v>4.56512743741765</v>
      </c>
      <c r="K25" s="232">
        <f t="shared" si="0"/>
        <v>5.0625243093012413</v>
      </c>
      <c r="L25" s="232">
        <f t="shared" si="1"/>
        <v>5.0789095986528254</v>
      </c>
      <c r="M25" s="231">
        <f t="shared" si="2"/>
        <v>1.8368451033747866</v>
      </c>
      <c r="N25" s="231">
        <f t="shared" si="3"/>
        <v>1.8427902083607597</v>
      </c>
      <c r="O25" s="231">
        <f t="shared" si="4"/>
        <v>3.2256792059264545</v>
      </c>
      <c r="P25" s="231">
        <f t="shared" si="5"/>
        <v>3.2361193902920657</v>
      </c>
      <c r="Q25" s="231">
        <f t="shared" si="6"/>
        <v>0.22400550041155937</v>
      </c>
      <c r="R25" s="231">
        <f t="shared" si="7"/>
        <v>0.22473051321472678</v>
      </c>
      <c r="S25" s="232">
        <f t="shared" si="8"/>
        <v>6.0033474110297904</v>
      </c>
      <c r="T25" s="232">
        <f t="shared" si="9"/>
        <v>6.022777754154677</v>
      </c>
      <c r="U25" s="231">
        <f t="shared" si="10"/>
        <v>0.53761320098774246</v>
      </c>
      <c r="V25" s="231">
        <f t="shared" si="11"/>
        <v>0.53935323171534433</v>
      </c>
      <c r="W25" s="231">
        <f t="shared" si="12"/>
        <v>5.4657342100420481</v>
      </c>
      <c r="X25" s="231">
        <f t="shared" si="13"/>
        <v>5.483424522439333</v>
      </c>
      <c r="Y25" s="231">
        <f t="shared" si="14"/>
        <v>1.7920440032924749</v>
      </c>
      <c r="Z25" s="231">
        <f t="shared" si="15"/>
        <v>1.7978441057178143</v>
      </c>
      <c r="AA25" s="311">
        <v>253922318564.70901</v>
      </c>
      <c r="AB25" s="312">
        <v>253.92231856471</v>
      </c>
      <c r="AC25" s="313">
        <v>254744159687.49991</v>
      </c>
      <c r="AD25" s="199">
        <v>254.7441596875</v>
      </c>
      <c r="AE25" s="322"/>
      <c r="AF25" s="322"/>
      <c r="AG25" s="322"/>
      <c r="AH25" s="322"/>
      <c r="AI25" s="322"/>
    </row>
    <row r="26" spans="1:35" ht="14.5">
      <c r="A26" s="16"/>
      <c r="B26" s="17" t="s">
        <v>42</v>
      </c>
      <c r="C26" s="230">
        <v>33.097173921277964</v>
      </c>
      <c r="D26" s="231">
        <v>1.55</v>
      </c>
      <c r="E26" s="231">
        <v>31.547173921277963</v>
      </c>
      <c r="F26" s="231">
        <v>1.9401791609025012</v>
      </c>
      <c r="G26" s="232">
        <v>6.9618193420619159</v>
      </c>
      <c r="H26" s="231">
        <v>3.7662301358695611</v>
      </c>
      <c r="I26" s="231">
        <v>3.1955892061923548</v>
      </c>
      <c r="J26" s="231">
        <v>0</v>
      </c>
      <c r="K26" s="232">
        <f t="shared" si="0"/>
        <v>16.231822283669384</v>
      </c>
      <c r="L26" s="232">
        <f t="shared" si="1"/>
        <v>10.975874798305878</v>
      </c>
      <c r="M26" s="231">
        <f t="shared" si="2"/>
        <v>0.76016534219898391</v>
      </c>
      <c r="N26" s="231">
        <f t="shared" si="3"/>
        <v>0.51401989722260888</v>
      </c>
      <c r="O26" s="231">
        <f t="shared" si="4"/>
        <v>15.471656941470401</v>
      </c>
      <c r="P26" s="231">
        <f t="shared" si="5"/>
        <v>10.461854901083269</v>
      </c>
      <c r="Q26" s="231">
        <f t="shared" si="6"/>
        <v>0.95152061662889498</v>
      </c>
      <c r="R26" s="231">
        <f t="shared" si="7"/>
        <v>0.64341335024551694</v>
      </c>
      <c r="S26" s="232">
        <f t="shared" si="8"/>
        <v>3.4142798596683877</v>
      </c>
      <c r="T26" s="232">
        <f t="shared" si="9"/>
        <v>2.3087184920574435</v>
      </c>
      <c r="U26" s="231">
        <f t="shared" si="10"/>
        <v>1.8470694322796195</v>
      </c>
      <c r="V26" s="231">
        <f>($H26/$AB26)*100</f>
        <v>1.2489788563589448</v>
      </c>
      <c r="W26" s="231">
        <f t="shared" si="12"/>
        <v>1.5672104273887679</v>
      </c>
      <c r="X26" s="231">
        <f t="shared" si="13"/>
        <v>1.0597396356984985</v>
      </c>
      <c r="Y26" s="231">
        <f t="shared" si="14"/>
        <v>0</v>
      </c>
      <c r="Z26" s="231">
        <f t="shared" si="15"/>
        <v>0</v>
      </c>
      <c r="AA26" s="311">
        <v>301544747270.495</v>
      </c>
      <c r="AB26" s="312">
        <v>301.54474727050001</v>
      </c>
      <c r="AC26" s="313">
        <v>203903008195.06079</v>
      </c>
      <c r="AD26" s="199">
        <v>203.90300819506001</v>
      </c>
      <c r="AE26" s="322"/>
      <c r="AF26" s="322"/>
      <c r="AG26" s="322"/>
      <c r="AH26" s="322"/>
      <c r="AI26" s="322"/>
    </row>
    <row r="27" spans="1:35" s="198" customFormat="1" ht="14.5">
      <c r="A27" s="197"/>
      <c r="B27" s="17" t="s">
        <v>43</v>
      </c>
      <c r="C27" s="230">
        <v>2.2042255736459442</v>
      </c>
      <c r="D27" s="231">
        <v>0.12491350018021706</v>
      </c>
      <c r="E27" s="231">
        <v>2.0793120734657271</v>
      </c>
      <c r="F27" s="231">
        <v>7.5320270858253366E-2</v>
      </c>
      <c r="G27" s="232">
        <v>0.23482202091102522</v>
      </c>
      <c r="H27" s="231">
        <v>0</v>
      </c>
      <c r="I27" s="231">
        <v>0.23482202091102522</v>
      </c>
      <c r="J27" s="231">
        <v>0</v>
      </c>
      <c r="K27" s="232">
        <f t="shared" si="0"/>
        <v>10.633022633913349</v>
      </c>
      <c r="L27" s="232">
        <f t="shared" si="1"/>
        <v>11.559122475080704</v>
      </c>
      <c r="M27" s="231">
        <f t="shared" si="2"/>
        <v>0.60257357077145135</v>
      </c>
      <c r="N27" s="231">
        <f t="shared" si="3"/>
        <v>0.65505566428296547</v>
      </c>
      <c r="O27" s="231">
        <f t="shared" si="4"/>
        <v>10.030449063141898</v>
      </c>
      <c r="P27" s="231">
        <f t="shared" si="5"/>
        <v>10.904066810797739</v>
      </c>
      <c r="Q27" s="231">
        <f t="shared" si="6"/>
        <v>0.3633394668874913</v>
      </c>
      <c r="R27" s="231">
        <f t="shared" si="7"/>
        <v>0.39498508960074769</v>
      </c>
      <c r="S27" s="232">
        <f t="shared" si="8"/>
        <v>1.1327642202962966</v>
      </c>
      <c r="T27" s="232">
        <f t="shared" si="9"/>
        <v>1.2314241028729194</v>
      </c>
      <c r="U27" s="231">
        <f t="shared" si="10"/>
        <v>0</v>
      </c>
      <c r="V27" s="231">
        <f t="shared" si="11"/>
        <v>0</v>
      </c>
      <c r="W27" s="231">
        <f t="shared" si="12"/>
        <v>1.1327642202962966</v>
      </c>
      <c r="X27" s="231">
        <f t="shared" si="13"/>
        <v>1.2314241028729194</v>
      </c>
      <c r="Y27" s="231">
        <f t="shared" si="14"/>
        <v>0</v>
      </c>
      <c r="Z27" s="231">
        <f t="shared" si="15"/>
        <v>0</v>
      </c>
      <c r="AA27" s="314">
        <v>19069142821.155399</v>
      </c>
      <c r="AB27" s="312">
        <v>19.06914282116</v>
      </c>
      <c r="AC27" s="313">
        <v>20729999827.29071</v>
      </c>
      <c r="AD27" s="199">
        <v>20.729999827290001</v>
      </c>
      <c r="AE27" s="322"/>
      <c r="AF27" s="322"/>
      <c r="AG27" s="322"/>
      <c r="AH27" s="322"/>
      <c r="AI27" s="322"/>
    </row>
    <row r="28" spans="1:35" ht="14.5">
      <c r="A28" s="16"/>
      <c r="B28" s="17" t="s">
        <v>44</v>
      </c>
      <c r="C28" s="230">
        <v>49.143596863801008</v>
      </c>
      <c r="D28" s="231">
        <v>5.1357683670948564</v>
      </c>
      <c r="E28" s="231">
        <v>44.007828496706153</v>
      </c>
      <c r="F28" s="231">
        <v>3.309717392127796</v>
      </c>
      <c r="G28" s="232">
        <v>11.412818593544126</v>
      </c>
      <c r="H28" s="231">
        <v>5.7064092967720628</v>
      </c>
      <c r="I28" s="231">
        <v>5.7064092967720628</v>
      </c>
      <c r="J28" s="231">
        <v>0</v>
      </c>
      <c r="K28" s="232">
        <f t="shared" si="0"/>
        <v>13.229613995246758</v>
      </c>
      <c r="L28" s="232">
        <f t="shared" si="1"/>
        <v>11.759914728276369</v>
      </c>
      <c r="M28" s="231">
        <f t="shared" si="2"/>
        <v>1.3825653269533307</v>
      </c>
      <c r="N28" s="231">
        <f t="shared" si="3"/>
        <v>1.2289739033266058</v>
      </c>
      <c r="O28" s="231">
        <f t="shared" si="4"/>
        <v>11.847048668293429</v>
      </c>
      <c r="P28" s="231">
        <f t="shared" si="5"/>
        <v>10.530940824949763</v>
      </c>
      <c r="Q28" s="231">
        <f t="shared" si="6"/>
        <v>0.89098654403659061</v>
      </c>
      <c r="R28" s="231">
        <f t="shared" si="7"/>
        <v>0.79200540436603495</v>
      </c>
      <c r="S28" s="232">
        <f t="shared" si="8"/>
        <v>3.0723673932296238</v>
      </c>
      <c r="T28" s="232">
        <f t="shared" si="9"/>
        <v>2.7310531185035689</v>
      </c>
      <c r="U28" s="231">
        <f t="shared" si="10"/>
        <v>1.5361836966148119</v>
      </c>
      <c r="V28" s="231">
        <f t="shared" si="11"/>
        <v>1.3655265592517845</v>
      </c>
      <c r="W28" s="231">
        <f t="shared" si="12"/>
        <v>1.5361836966148119</v>
      </c>
      <c r="X28" s="231">
        <f t="shared" si="13"/>
        <v>1.3655265592517845</v>
      </c>
      <c r="Y28" s="231">
        <f t="shared" si="14"/>
        <v>0</v>
      </c>
      <c r="Z28" s="231">
        <f t="shared" si="15"/>
        <v>0</v>
      </c>
      <c r="AA28" s="314">
        <v>417890758558.284</v>
      </c>
      <c r="AB28" s="312">
        <v>417.89075855828003</v>
      </c>
      <c r="AC28" s="313">
        <v>371466596693.27911</v>
      </c>
      <c r="AD28" s="199">
        <v>371.46659669328</v>
      </c>
      <c r="AE28" s="322"/>
      <c r="AF28" s="322"/>
      <c r="AG28" s="322"/>
      <c r="AH28" s="322"/>
      <c r="AI28" s="322"/>
    </row>
    <row r="29" spans="1:35" ht="14.5">
      <c r="A29" s="16"/>
      <c r="B29" s="16" t="s">
        <v>45</v>
      </c>
      <c r="C29" s="230">
        <v>42.9</v>
      </c>
      <c r="D29" s="231">
        <v>9.4</v>
      </c>
      <c r="E29" s="231">
        <v>33.5</v>
      </c>
      <c r="F29" s="231">
        <v>2.1</v>
      </c>
      <c r="G29" s="232">
        <v>15.3</v>
      </c>
      <c r="H29" s="231">
        <v>2</v>
      </c>
      <c r="I29" s="231">
        <v>13.3</v>
      </c>
      <c r="J29" s="231">
        <v>0</v>
      </c>
      <c r="K29" s="232">
        <f t="shared" si="0"/>
        <v>11.967854085033959</v>
      </c>
      <c r="L29" s="232">
        <f t="shared" si="1"/>
        <v>12.529326022886549</v>
      </c>
      <c r="M29" s="231">
        <f t="shared" si="2"/>
        <v>2.6223270023151333</v>
      </c>
      <c r="N29" s="231">
        <f t="shared" si="3"/>
        <v>2.7453534875322507</v>
      </c>
      <c r="O29" s="231">
        <f t="shared" si="4"/>
        <v>9.3455270827188262</v>
      </c>
      <c r="P29" s="231">
        <f t="shared" si="5"/>
        <v>9.7839725353542981</v>
      </c>
      <c r="Q29" s="231">
        <f t="shared" si="6"/>
        <v>0.5858390111555084</v>
      </c>
      <c r="R29" s="231">
        <f t="shared" si="7"/>
        <v>0.61332365146997092</v>
      </c>
      <c r="S29" s="232">
        <f t="shared" si="8"/>
        <v>4.2682556527044184</v>
      </c>
      <c r="T29" s="232">
        <f t="shared" si="9"/>
        <v>4.4685008892812164</v>
      </c>
      <c r="U29" s="231">
        <f t="shared" si="10"/>
        <v>0.55794191538619853</v>
      </c>
      <c r="V29" s="231">
        <f t="shared" si="11"/>
        <v>0.58411776330473419</v>
      </c>
      <c r="W29" s="231">
        <f t="shared" si="12"/>
        <v>3.71031373731822</v>
      </c>
      <c r="X29" s="231">
        <f t="shared" si="13"/>
        <v>3.8843831259764823</v>
      </c>
      <c r="Y29" s="231">
        <f t="shared" si="14"/>
        <v>0</v>
      </c>
      <c r="Z29" s="231">
        <f t="shared" si="15"/>
        <v>0</v>
      </c>
      <c r="AA29" s="314">
        <v>342396709301.34399</v>
      </c>
      <c r="AB29" s="312">
        <v>342.39670930134002</v>
      </c>
      <c r="AC29" s="313">
        <v>358460252733.58807</v>
      </c>
      <c r="AD29" s="199">
        <v>358.46025273358998</v>
      </c>
      <c r="AE29" s="322"/>
      <c r="AF29" s="322"/>
      <c r="AG29" s="322"/>
      <c r="AH29" s="322"/>
      <c r="AI29" s="322"/>
    </row>
    <row r="30" spans="1:35" ht="14.5">
      <c r="A30" s="17"/>
      <c r="B30" s="17" t="s">
        <v>46</v>
      </c>
      <c r="C30" s="230">
        <v>3.5487068625075562</v>
      </c>
      <c r="D30" s="231">
        <v>0.67911263411214207</v>
      </c>
      <c r="E30" s="231">
        <v>2.8695942283954139</v>
      </c>
      <c r="F30" s="231">
        <v>0</v>
      </c>
      <c r="G30" s="232">
        <v>0.66956733254859557</v>
      </c>
      <c r="H30" s="231">
        <v>0.26782693301943822</v>
      </c>
      <c r="I30" s="231">
        <v>0.4017403995291573</v>
      </c>
      <c r="J30" s="231">
        <v>0</v>
      </c>
      <c r="K30" s="232">
        <f t="shared" si="0"/>
        <v>11.766239194164664</v>
      </c>
      <c r="L30" s="232">
        <f t="shared" si="1"/>
        <v>6.402997187889178</v>
      </c>
      <c r="M30" s="231">
        <f t="shared" si="2"/>
        <v>2.2516939274878407</v>
      </c>
      <c r="N30" s="231">
        <f t="shared" si="3"/>
        <v>1.2253354404729446</v>
      </c>
      <c r="O30" s="231">
        <f t="shared" si="4"/>
        <v>9.5145452666768229</v>
      </c>
      <c r="P30" s="231">
        <f t="shared" si="5"/>
        <v>5.1776617474162334</v>
      </c>
      <c r="Q30" s="231">
        <f t="shared" si="6"/>
        <v>0</v>
      </c>
      <c r="R30" s="231">
        <f t="shared" si="7"/>
        <v>0</v>
      </c>
      <c r="S30" s="232">
        <f t="shared" si="8"/>
        <v>2.2200451309744649</v>
      </c>
      <c r="T30" s="232">
        <f t="shared" si="9"/>
        <v>1.2081126769602224</v>
      </c>
      <c r="U30" s="231">
        <f t="shared" si="10"/>
        <v>0.88801805238978604</v>
      </c>
      <c r="V30" s="231">
        <f t="shared" si="11"/>
        <v>0.48324507078408896</v>
      </c>
      <c r="W30" s="231">
        <f t="shared" si="12"/>
        <v>1.3320270785846788</v>
      </c>
      <c r="X30" s="231">
        <f t="shared" si="13"/>
        <v>0.72486760617613333</v>
      </c>
      <c r="Y30" s="231">
        <f t="shared" si="14"/>
        <v>0</v>
      </c>
      <c r="Z30" s="231">
        <f t="shared" si="15"/>
        <v>0</v>
      </c>
      <c r="AA30" s="315">
        <v>55422589740</v>
      </c>
      <c r="AB30" s="316">
        <v>55.422589739999999</v>
      </c>
      <c r="AC30" s="313">
        <v>30160077523.05077</v>
      </c>
      <c r="AD30" s="199">
        <v>30.160077523049999</v>
      </c>
      <c r="AE30" s="322"/>
      <c r="AF30" s="322"/>
      <c r="AG30" s="322"/>
      <c r="AH30" s="322"/>
      <c r="AI30" s="322"/>
    </row>
    <row r="31" spans="1:35" ht="14.5">
      <c r="A31" s="16"/>
      <c r="B31" s="16" t="s">
        <v>47</v>
      </c>
      <c r="C31" s="230">
        <v>4.4000000000000004</v>
      </c>
      <c r="D31" s="231">
        <v>1.1000000000000001</v>
      </c>
      <c r="E31" s="231">
        <v>3.3000000000000003</v>
      </c>
      <c r="F31" s="231">
        <v>1.6</v>
      </c>
      <c r="G31" s="232">
        <v>1.5749689659090893</v>
      </c>
      <c r="H31" s="231">
        <v>0.43368710655467674</v>
      </c>
      <c r="I31" s="231">
        <v>1.1412818593544125</v>
      </c>
      <c r="J31" s="231">
        <v>0</v>
      </c>
      <c r="K31" s="232">
        <f t="shared" si="0"/>
        <v>9.1254560112856833</v>
      </c>
      <c r="L31" s="232">
        <f t="shared" si="1"/>
        <v>4.5297280900149497</v>
      </c>
      <c r="M31" s="231">
        <f t="shared" si="2"/>
        <v>2.2813640028214208</v>
      </c>
      <c r="N31" s="231">
        <f t="shared" si="3"/>
        <v>1.1324320225037374</v>
      </c>
      <c r="O31" s="231">
        <f t="shared" si="4"/>
        <v>6.8440920084642629</v>
      </c>
      <c r="P31" s="231">
        <f t="shared" si="5"/>
        <v>3.397296067511212</v>
      </c>
      <c r="Q31" s="231">
        <f t="shared" si="6"/>
        <v>3.3183476404675214</v>
      </c>
      <c r="R31" s="231">
        <f t="shared" si="7"/>
        <v>1.6471738509145271</v>
      </c>
      <c r="S31" s="232">
        <f t="shared" si="8"/>
        <v>3.2664340948962485</v>
      </c>
      <c r="T31" s="232">
        <f t="shared" si="9"/>
        <v>1.6214048104045906</v>
      </c>
      <c r="U31" s="231">
        <f t="shared" si="10"/>
        <v>0.89945286671056124</v>
      </c>
      <c r="V31" s="231">
        <f t="shared" si="11"/>
        <v>0.44647378837227858</v>
      </c>
      <c r="W31" s="231">
        <f t="shared" si="12"/>
        <v>2.3669812281856872</v>
      </c>
      <c r="X31" s="231">
        <f t="shared" si="13"/>
        <v>1.1749310220323121</v>
      </c>
      <c r="Y31" s="231">
        <f t="shared" si="14"/>
        <v>0</v>
      </c>
      <c r="Z31" s="231">
        <f t="shared" si="15"/>
        <v>0</v>
      </c>
      <c r="AA31" s="314">
        <v>97136073348.399506</v>
      </c>
      <c r="AB31" s="312">
        <v>97.136073348400004</v>
      </c>
      <c r="AC31" s="313">
        <v>48216768505.137871</v>
      </c>
      <c r="AD31" s="199">
        <v>48.216768505140003</v>
      </c>
      <c r="AE31" s="322"/>
      <c r="AF31" s="322"/>
      <c r="AG31" s="322"/>
      <c r="AH31" s="322"/>
      <c r="AI31" s="322"/>
    </row>
    <row r="32" spans="1:35" ht="14.5">
      <c r="A32" s="16"/>
      <c r="B32" s="17" t="s">
        <v>48</v>
      </c>
      <c r="C32" s="230">
        <v>3.0814610202569139</v>
      </c>
      <c r="D32" s="231">
        <v>0.34238455780632376</v>
      </c>
      <c r="E32" s="231">
        <v>2.7390764624505901</v>
      </c>
      <c r="F32" s="231">
        <v>5.2384837344367536</v>
      </c>
      <c r="G32" s="232">
        <v>4.3254582469532235</v>
      </c>
      <c r="H32" s="231">
        <v>0.45651274374176504</v>
      </c>
      <c r="I32" s="231">
        <v>2.8532046483860314</v>
      </c>
      <c r="J32" s="231">
        <v>1.0157408548254272</v>
      </c>
      <c r="K32" s="232">
        <f t="shared" si="0"/>
        <v>4.6297730687428773</v>
      </c>
      <c r="L32" s="232">
        <f t="shared" si="1"/>
        <v>4.6447078336746168</v>
      </c>
      <c r="M32" s="231">
        <f t="shared" si="2"/>
        <v>0.51441922986031974</v>
      </c>
      <c r="N32" s="231">
        <f t="shared" si="3"/>
        <v>0.51607864818606852</v>
      </c>
      <c r="O32" s="231">
        <f t="shared" si="4"/>
        <v>4.1153538388825579</v>
      </c>
      <c r="P32" s="231">
        <f t="shared" si="5"/>
        <v>4.1286291854885482</v>
      </c>
      <c r="Q32" s="231">
        <f t="shared" si="6"/>
        <v>7.870614216862891</v>
      </c>
      <c r="R32" s="231">
        <f t="shared" si="7"/>
        <v>7.8960033172468469</v>
      </c>
      <c r="S32" s="232">
        <f t="shared" si="8"/>
        <v>4.9727192219830911</v>
      </c>
      <c r="T32" s="232">
        <f t="shared" si="9"/>
        <v>4.9887602657986614</v>
      </c>
      <c r="U32" s="231">
        <f t="shared" si="10"/>
        <v>0.68589230648042632</v>
      </c>
      <c r="V32" s="231">
        <f t="shared" si="11"/>
        <v>0.68810486424809125</v>
      </c>
      <c r="W32" s="231">
        <f t="shared" si="12"/>
        <v>4.2868269155026644</v>
      </c>
      <c r="X32" s="231">
        <f t="shared" si="13"/>
        <v>4.3006554015505705</v>
      </c>
      <c r="Y32" s="231">
        <f t="shared" si="14"/>
        <v>1.5261103819189485</v>
      </c>
      <c r="Z32" s="231">
        <f t="shared" si="15"/>
        <v>1.531033322952003</v>
      </c>
      <c r="AA32" s="311">
        <v>66343484468.839996</v>
      </c>
      <c r="AB32" s="312">
        <v>66.343484468840003</v>
      </c>
      <c r="AC32" s="313">
        <v>66557495896.737839</v>
      </c>
      <c r="AD32" s="199">
        <v>66.557495896739994</v>
      </c>
      <c r="AE32" s="322"/>
      <c r="AF32" s="322"/>
      <c r="AG32" s="322"/>
      <c r="AH32" s="322"/>
      <c r="AI32" s="322"/>
    </row>
    <row r="33" spans="1:35" ht="14.5">
      <c r="A33" s="16"/>
      <c r="B33" s="17" t="s">
        <v>49</v>
      </c>
      <c r="C33" s="230">
        <v>93.92749702486816</v>
      </c>
      <c r="D33" s="231">
        <v>18.94527886528325</v>
      </c>
      <c r="E33" s="231">
        <v>74.982218159584903</v>
      </c>
      <c r="F33" s="231">
        <v>13.124741382575744</v>
      </c>
      <c r="G33" s="232">
        <v>39.716608705533552</v>
      </c>
      <c r="H33" s="231">
        <v>0</v>
      </c>
      <c r="I33" s="231">
        <v>39.716608705533552</v>
      </c>
      <c r="J33" s="231">
        <v>0</v>
      </c>
      <c r="K33" s="232">
        <f t="shared" si="0"/>
        <v>11.178512242483428</v>
      </c>
      <c r="L33" s="232">
        <f t="shared" si="1"/>
        <v>10.073297291469261</v>
      </c>
      <c r="M33" s="231">
        <f t="shared" si="2"/>
        <v>2.2547181436843853</v>
      </c>
      <c r="N33" s="231">
        <f t="shared" si="3"/>
        <v>2.0317950794458048</v>
      </c>
      <c r="O33" s="231">
        <f t="shared" si="4"/>
        <v>8.9237940987990427</v>
      </c>
      <c r="P33" s="231">
        <f t="shared" si="5"/>
        <v>8.0415022120234561</v>
      </c>
      <c r="Q33" s="231">
        <f t="shared" si="6"/>
        <v>1.562003533275327</v>
      </c>
      <c r="R33" s="231">
        <f t="shared" si="7"/>
        <v>1.4075688803389612</v>
      </c>
      <c r="S33" s="232">
        <f t="shared" si="8"/>
        <v>4.7267585180853366</v>
      </c>
      <c r="T33" s="232">
        <f t="shared" si="9"/>
        <v>4.2594258291996381</v>
      </c>
      <c r="U33" s="231">
        <f t="shared" si="10"/>
        <v>0</v>
      </c>
      <c r="V33" s="231">
        <f t="shared" si="11"/>
        <v>0</v>
      </c>
      <c r="W33" s="231">
        <f t="shared" si="12"/>
        <v>4.7267585180853366</v>
      </c>
      <c r="X33" s="231">
        <f t="shared" si="13"/>
        <v>4.2594258291996381</v>
      </c>
      <c r="Y33" s="231">
        <f t="shared" si="14"/>
        <v>0</v>
      </c>
      <c r="Z33" s="231">
        <f t="shared" si="15"/>
        <v>0</v>
      </c>
      <c r="AA33" s="311">
        <v>932440434418.74902</v>
      </c>
      <c r="AB33" s="312">
        <v>932.44043441874999</v>
      </c>
      <c r="AC33" s="313">
        <v>840250428566.88171</v>
      </c>
      <c r="AD33" s="199">
        <v>840.25042856688003</v>
      </c>
      <c r="AE33" s="322"/>
      <c r="AF33" s="322"/>
      <c r="AG33" s="322"/>
      <c r="AH33" s="322"/>
      <c r="AI33" s="322"/>
    </row>
    <row r="34" spans="1:35" ht="14.5">
      <c r="A34" s="16"/>
      <c r="B34" s="17" t="s">
        <v>50</v>
      </c>
      <c r="C34" s="230">
        <v>40.366333649903929</v>
      </c>
      <c r="D34" s="231">
        <v>3.3151095268037039</v>
      </c>
      <c r="E34" s="231">
        <v>37.051224123100226</v>
      </c>
      <c r="F34" s="231">
        <v>0</v>
      </c>
      <c r="G34" s="232">
        <v>4.0951352978163404</v>
      </c>
      <c r="H34" s="231">
        <v>2.2100730178691359</v>
      </c>
      <c r="I34" s="231">
        <v>1.8850622799472043</v>
      </c>
      <c r="J34" s="231">
        <v>0</v>
      </c>
      <c r="K34" s="232">
        <f t="shared" si="0"/>
        <v>19.890861906826895</v>
      </c>
      <c r="L34" s="232">
        <f t="shared" si="1"/>
        <v>20.810198388109878</v>
      </c>
      <c r="M34" s="231">
        <f t="shared" si="2"/>
        <v>1.6335490454881987</v>
      </c>
      <c r="N34" s="231">
        <f t="shared" si="3"/>
        <v>1.7090501091684438</v>
      </c>
      <c r="O34" s="231">
        <f t="shared" si="4"/>
        <v>18.257312861338697</v>
      </c>
      <c r="P34" s="231">
        <f t="shared" si="5"/>
        <v>19.101148278941434</v>
      </c>
      <c r="Q34" s="231">
        <f t="shared" si="6"/>
        <v>0</v>
      </c>
      <c r="R34" s="231">
        <f t="shared" si="7"/>
        <v>0</v>
      </c>
      <c r="S34" s="232">
        <f t="shared" si="8"/>
        <v>2.0179135267795401</v>
      </c>
      <c r="T34" s="232">
        <f t="shared" si="9"/>
        <v>2.1111795466198426</v>
      </c>
      <c r="U34" s="231">
        <f t="shared" si="10"/>
        <v>1.0890326969921327</v>
      </c>
      <c r="V34" s="231">
        <f t="shared" si="11"/>
        <v>1.1393667394456293</v>
      </c>
      <c r="W34" s="231">
        <f t="shared" si="12"/>
        <v>0.92888082978740716</v>
      </c>
      <c r="X34" s="231">
        <f t="shared" si="13"/>
        <v>0.97181280717421326</v>
      </c>
      <c r="Y34" s="231">
        <f t="shared" si="14"/>
        <v>0</v>
      </c>
      <c r="Z34" s="231">
        <f t="shared" si="15"/>
        <v>0</v>
      </c>
      <c r="AA34" s="311">
        <v>193973805040.548</v>
      </c>
      <c r="AB34" s="312">
        <v>193.97380504054999</v>
      </c>
      <c r="AC34" s="313">
        <v>202939087501.52551</v>
      </c>
      <c r="AD34" s="199">
        <v>202.93908750153</v>
      </c>
      <c r="AE34" s="322"/>
      <c r="AF34" s="322"/>
      <c r="AG34" s="322"/>
      <c r="AH34" s="322"/>
      <c r="AI34" s="322"/>
    </row>
    <row r="35" spans="1:35" ht="14.5">
      <c r="A35" s="16"/>
      <c r="B35" s="17" t="s">
        <v>51</v>
      </c>
      <c r="C35" s="230">
        <v>23.917160810691193</v>
      </c>
      <c r="D35" s="231">
        <v>2.6232409947782966</v>
      </c>
      <c r="E35" s="231">
        <v>21.293919815912897</v>
      </c>
      <c r="F35" s="231">
        <v>0</v>
      </c>
      <c r="G35" s="232">
        <v>14.603062217895378</v>
      </c>
      <c r="H35" s="231">
        <v>6.3191432870165452</v>
      </c>
      <c r="I35" s="231">
        <v>8.2839189308788317</v>
      </c>
      <c r="J35" s="231">
        <v>0</v>
      </c>
      <c r="K35" s="232">
        <f t="shared" si="0"/>
        <v>5.8299085115697995</v>
      </c>
      <c r="L35" s="232">
        <f t="shared" si="1"/>
        <v>7.2376613497197813</v>
      </c>
      <c r="M35" s="231">
        <f t="shared" si="2"/>
        <v>0.63942602236134116</v>
      </c>
      <c r="N35" s="231">
        <f t="shared" si="3"/>
        <v>0.79382875372148565</v>
      </c>
      <c r="O35" s="231">
        <f t="shared" si="4"/>
        <v>5.190482489208458</v>
      </c>
      <c r="P35" s="231">
        <f t="shared" si="5"/>
        <v>6.4438325959982956</v>
      </c>
      <c r="Q35" s="231">
        <f t="shared" si="6"/>
        <v>0</v>
      </c>
      <c r="R35" s="231">
        <f t="shared" si="7"/>
        <v>0</v>
      </c>
      <c r="S35" s="232">
        <f t="shared" si="8"/>
        <v>3.5595578167888426</v>
      </c>
      <c r="T35" s="232">
        <f t="shared" si="9"/>
        <v>4.419087191769405</v>
      </c>
      <c r="U35" s="231">
        <f t="shared" si="10"/>
        <v>1.5403177461740809</v>
      </c>
      <c r="V35" s="231">
        <f t="shared" si="11"/>
        <v>1.9122595484383971</v>
      </c>
      <c r="W35" s="231">
        <f t="shared" si="12"/>
        <v>2.0192400706147615</v>
      </c>
      <c r="X35" s="231">
        <f t="shared" si="13"/>
        <v>2.5068276433310075</v>
      </c>
      <c r="Y35" s="231">
        <f t="shared" si="14"/>
        <v>0</v>
      </c>
      <c r="Z35" s="231">
        <f t="shared" si="15"/>
        <v>0</v>
      </c>
      <c r="AA35" s="311">
        <v>330454267684.37299</v>
      </c>
      <c r="AB35" s="312">
        <v>330.45426768437</v>
      </c>
      <c r="AC35" s="313">
        <v>410249333471.11688</v>
      </c>
      <c r="AD35" s="199">
        <v>410.24933347112</v>
      </c>
      <c r="AE35" s="322"/>
      <c r="AF35" s="322"/>
      <c r="AG35" s="322"/>
      <c r="AH35" s="322"/>
      <c r="AI35" s="322"/>
    </row>
    <row r="36" spans="1:35" ht="14.5">
      <c r="A36" s="16"/>
      <c r="B36" s="17" t="s">
        <v>52</v>
      </c>
      <c r="C36" s="230">
        <v>13.809510498188393</v>
      </c>
      <c r="D36" s="231">
        <v>2.5108200905797076</v>
      </c>
      <c r="E36" s="231">
        <v>11.298690407608685</v>
      </c>
      <c r="F36" s="231">
        <v>1.2554100452898538</v>
      </c>
      <c r="G36" s="232">
        <v>13.124741382575744</v>
      </c>
      <c r="H36" s="231">
        <v>0</v>
      </c>
      <c r="I36" s="231">
        <v>13.124741382575744</v>
      </c>
      <c r="J36" s="231">
        <v>0</v>
      </c>
      <c r="K36" s="232">
        <f t="shared" si="0"/>
        <v>6.2103627486341448</v>
      </c>
      <c r="L36" s="232">
        <f t="shared" si="1"/>
        <v>4.0471471165182482</v>
      </c>
      <c r="M36" s="231">
        <f t="shared" si="2"/>
        <v>1.1291568633880262</v>
      </c>
      <c r="N36" s="231">
        <f t="shared" si="3"/>
        <v>0.73584493027604503</v>
      </c>
      <c r="O36" s="231">
        <f t="shared" si="4"/>
        <v>5.0812058852461188</v>
      </c>
      <c r="P36" s="231">
        <f t="shared" si="5"/>
        <v>3.311302186242203</v>
      </c>
      <c r="Q36" s="231">
        <f t="shared" si="6"/>
        <v>0.56457843169401312</v>
      </c>
      <c r="R36" s="231">
        <f t="shared" si="7"/>
        <v>0.36792246513802251</v>
      </c>
      <c r="S36" s="232">
        <f t="shared" si="8"/>
        <v>5.9024108768010466</v>
      </c>
      <c r="T36" s="232">
        <f t="shared" si="9"/>
        <v>3.8464621355338715</v>
      </c>
      <c r="U36" s="231">
        <f t="shared" si="10"/>
        <v>0</v>
      </c>
      <c r="V36" s="231">
        <f t="shared" si="11"/>
        <v>0</v>
      </c>
      <c r="W36" s="231">
        <f t="shared" si="12"/>
        <v>5.9024108768010466</v>
      </c>
      <c r="X36" s="231">
        <f t="shared" si="13"/>
        <v>3.8464621355338715</v>
      </c>
      <c r="Y36" s="231">
        <f t="shared" si="14"/>
        <v>0</v>
      </c>
      <c r="Z36" s="231">
        <f t="shared" si="15"/>
        <v>0</v>
      </c>
      <c r="AA36" s="311">
        <v>341215925702.96198</v>
      </c>
      <c r="AB36" s="312">
        <v>341.21592570296002</v>
      </c>
      <c r="AC36" s="313">
        <v>222362381347.61981</v>
      </c>
      <c r="AD36" s="199">
        <v>222.36238134761999</v>
      </c>
    </row>
    <row r="37" spans="1:35" ht="14.5">
      <c r="A37" s="16"/>
      <c r="B37" s="16" t="s">
        <v>54</v>
      </c>
      <c r="C37" s="230">
        <v>6.3</v>
      </c>
      <c r="D37" s="231">
        <v>1.3</v>
      </c>
      <c r="E37" s="231">
        <v>5</v>
      </c>
      <c r="F37" s="231">
        <v>0.6006120601465349</v>
      </c>
      <c r="G37" s="232">
        <v>1.8</v>
      </c>
      <c r="H37" s="231">
        <v>0</v>
      </c>
      <c r="I37" s="231">
        <v>1.8</v>
      </c>
      <c r="J37" s="231">
        <v>0</v>
      </c>
      <c r="K37" s="232">
        <f t="shared" si="0"/>
        <v>6.3323544575431603</v>
      </c>
      <c r="L37" s="232">
        <f t="shared" si="1"/>
        <v>3.4670296316850679</v>
      </c>
      <c r="M37" s="231">
        <f t="shared" si="2"/>
        <v>1.3066763166358901</v>
      </c>
      <c r="N37" s="231">
        <f t="shared" si="3"/>
        <v>0.71541881288739506</v>
      </c>
      <c r="O37" s="231">
        <f t="shared" si="4"/>
        <v>5.0256781409072699</v>
      </c>
      <c r="P37" s="231">
        <f t="shared" si="5"/>
        <v>2.7516108187976727</v>
      </c>
      <c r="Q37" s="231">
        <f t="shared" si="6"/>
        <v>0.60369658036874452</v>
      </c>
      <c r="R37" s="231">
        <f t="shared" si="7"/>
        <v>0.33053012851991281</v>
      </c>
      <c r="S37" s="232">
        <f t="shared" si="8"/>
        <v>1.8092441307266172</v>
      </c>
      <c r="T37" s="232">
        <f t="shared" si="9"/>
        <v>0.99057989476716235</v>
      </c>
      <c r="U37" s="231">
        <f t="shared" si="10"/>
        <v>0</v>
      </c>
      <c r="V37" s="231">
        <f t="shared" si="11"/>
        <v>0</v>
      </c>
      <c r="W37" s="231">
        <f t="shared" si="12"/>
        <v>1.8092441307266172</v>
      </c>
      <c r="X37" s="231">
        <f t="shared" si="13"/>
        <v>0.99057989476716235</v>
      </c>
      <c r="Y37" s="231">
        <f t="shared" si="14"/>
        <v>0</v>
      </c>
      <c r="Z37" s="231">
        <f t="shared" si="15"/>
        <v>0</v>
      </c>
      <c r="AA37" s="311">
        <v>181711743748.14999</v>
      </c>
      <c r="AB37" s="312">
        <v>181.71174374815001</v>
      </c>
      <c r="AC37" s="313">
        <v>99489061173.693314</v>
      </c>
      <c r="AD37" s="199">
        <v>99.489061173690004</v>
      </c>
    </row>
    <row r="38" spans="1:35" ht="14.5">
      <c r="A38" s="16"/>
      <c r="B38" s="16" t="s">
        <v>55</v>
      </c>
      <c r="C38" s="230">
        <v>5.2</v>
      </c>
      <c r="D38" s="231">
        <v>0.4</v>
      </c>
      <c r="E38" s="231">
        <v>4.8</v>
      </c>
      <c r="F38" s="231">
        <v>0.47399999999999998</v>
      </c>
      <c r="G38" s="232">
        <v>3.5</v>
      </c>
      <c r="H38" s="231">
        <v>1</v>
      </c>
      <c r="I38" s="231">
        <v>2.5</v>
      </c>
      <c r="J38" s="231">
        <v>0</v>
      </c>
      <c r="K38" s="232">
        <f t="shared" si="0"/>
        <v>10.313781381738993</v>
      </c>
      <c r="L38" s="232">
        <f t="shared" si="1"/>
        <v>6.8387429344058681</v>
      </c>
      <c r="M38" s="231">
        <f t="shared" si="2"/>
        <v>0.79336779859530726</v>
      </c>
      <c r="N38" s="231">
        <f t="shared" si="3"/>
        <v>0.5260571488004514</v>
      </c>
      <c r="O38" s="231">
        <f t="shared" si="4"/>
        <v>9.5204135831436858</v>
      </c>
      <c r="P38" s="231">
        <f t="shared" si="5"/>
        <v>6.3126857856054164</v>
      </c>
      <c r="Q38" s="231">
        <f t="shared" si="6"/>
        <v>0.94014084133543885</v>
      </c>
      <c r="R38" s="231">
        <f t="shared" si="7"/>
        <v>0.62337772132853486</v>
      </c>
      <c r="S38" s="232">
        <f t="shared" si="8"/>
        <v>6.9419682377089371</v>
      </c>
      <c r="T38" s="232">
        <f t="shared" si="9"/>
        <v>4.6030000520039493</v>
      </c>
      <c r="U38" s="231">
        <f t="shared" si="10"/>
        <v>1.9834194964882681</v>
      </c>
      <c r="V38" s="231">
        <f t="shared" si="11"/>
        <v>1.3151428720011284</v>
      </c>
      <c r="W38" s="231">
        <f t="shared" si="12"/>
        <v>4.9585487412206692</v>
      </c>
      <c r="X38" s="231">
        <f t="shared" si="13"/>
        <v>3.2878571800028213</v>
      </c>
      <c r="Y38" s="231">
        <f t="shared" si="14"/>
        <v>0</v>
      </c>
      <c r="Z38" s="231">
        <f t="shared" si="15"/>
        <v>0</v>
      </c>
      <c r="AA38" s="311">
        <v>76037366075.546799</v>
      </c>
      <c r="AB38" s="312">
        <v>76.037366075549997</v>
      </c>
      <c r="AC38" s="313">
        <v>50417977728.390221</v>
      </c>
      <c r="AD38" s="199">
        <v>50.417977728389999</v>
      </c>
    </row>
    <row r="39" spans="1:35" ht="14.5">
      <c r="A39" s="16"/>
      <c r="B39" s="16" t="s">
        <v>56</v>
      </c>
      <c r="C39" s="230">
        <v>22.474815922163589</v>
      </c>
      <c r="D39" s="231">
        <v>4.125811618561432</v>
      </c>
      <c r="E39" s="231">
        <v>18.349004303602158</v>
      </c>
      <c r="F39" s="231">
        <v>36.372286637317892</v>
      </c>
      <c r="G39" s="232">
        <v>28.413813173092809</v>
      </c>
      <c r="H39" s="231">
        <v>1.2703156825570725</v>
      </c>
      <c r="I39" s="231">
        <v>27.143497490535736</v>
      </c>
      <c r="J39" s="231">
        <v>0</v>
      </c>
      <c r="K39" s="232">
        <f t="shared" si="0"/>
        <v>4.087658419220789</v>
      </c>
      <c r="L39" s="232">
        <f t="shared" si="1"/>
        <v>4.3137470638911193</v>
      </c>
      <c r="M39" s="231">
        <f t="shared" si="2"/>
        <v>0.75039140062990328</v>
      </c>
      <c r="N39" s="231">
        <f t="shared" si="3"/>
        <v>0.79189559626986727</v>
      </c>
      <c r="O39" s="231">
        <f t="shared" si="4"/>
        <v>3.3372670185908859</v>
      </c>
      <c r="P39" s="231">
        <f t="shared" si="5"/>
        <v>3.5218514676212522</v>
      </c>
      <c r="Q39" s="231">
        <f t="shared" si="6"/>
        <v>6.6152926108162537</v>
      </c>
      <c r="R39" s="231">
        <f t="shared" si="7"/>
        <v>6.9811848618527783</v>
      </c>
      <c r="S39" s="232">
        <f t="shared" si="8"/>
        <v>5.1678270932854131</v>
      </c>
      <c r="T39" s="232">
        <f t="shared" si="9"/>
        <v>5.4536599353637971</v>
      </c>
      <c r="U39" s="231">
        <f t="shared" si="10"/>
        <v>0.23104156282552288</v>
      </c>
      <c r="V39" s="231">
        <f t="shared" si="11"/>
        <v>0.24382048621993282</v>
      </c>
      <c r="W39" s="231">
        <f t="shared" si="12"/>
        <v>4.9367855304598907</v>
      </c>
      <c r="X39" s="231">
        <f t="shared" si="13"/>
        <v>5.209839449143864</v>
      </c>
      <c r="Y39" s="231">
        <f t="shared" si="14"/>
        <v>0</v>
      </c>
      <c r="Z39" s="231">
        <f t="shared" si="15"/>
        <v>0</v>
      </c>
      <c r="AA39" s="311">
        <v>521004490742.91901</v>
      </c>
      <c r="AB39" s="312">
        <v>521.00449074291998</v>
      </c>
      <c r="AC39" s="313">
        <v>549821281946.73523</v>
      </c>
      <c r="AD39" s="199">
        <v>549.82128194673999</v>
      </c>
    </row>
    <row r="40" spans="1:35" ht="14.5">
      <c r="A40" s="16"/>
      <c r="B40" s="16" t="s">
        <v>57</v>
      </c>
      <c r="C40" s="230">
        <v>59.481808256628398</v>
      </c>
      <c r="D40" s="231">
        <v>7.6892624776985965</v>
      </c>
      <c r="E40" s="231">
        <v>51.792545778929799</v>
      </c>
      <c r="F40" s="231">
        <v>0</v>
      </c>
      <c r="G40" s="232">
        <v>46.733119713121745</v>
      </c>
      <c r="H40" s="231">
        <v>1.1716565626081807</v>
      </c>
      <c r="I40" s="231">
        <v>45.561463150513568</v>
      </c>
      <c r="J40" s="231">
        <v>0</v>
      </c>
      <c r="K40" s="232">
        <f t="shared" si="0"/>
        <v>7.96158872775273</v>
      </c>
      <c r="L40" s="232">
        <f t="shared" si="1"/>
        <v>10.067768594848534</v>
      </c>
      <c r="M40" s="231">
        <f t="shared" si="2"/>
        <v>1.0292011500903759</v>
      </c>
      <c r="N40" s="231">
        <f t="shared" si="3"/>
        <v>1.301468760944982</v>
      </c>
      <c r="O40" s="231">
        <f>($E40/$AD40)*100</f>
        <v>6.9323875776623538</v>
      </c>
      <c r="P40" s="231">
        <f t="shared" si="5"/>
        <v>8.7662998339035525</v>
      </c>
      <c r="Q40" s="231">
        <f t="shared" si="6"/>
        <v>0</v>
      </c>
      <c r="R40" s="231">
        <f t="shared" si="7"/>
        <v>0</v>
      </c>
      <c r="S40" s="232">
        <f t="shared" si="8"/>
        <v>6.2551877628778554</v>
      </c>
      <c r="T40" s="232">
        <f t="shared" si="9"/>
        <v>7.9099517781494795</v>
      </c>
      <c r="U40" s="231">
        <f t="shared" si="10"/>
        <v>0.15682522026588358</v>
      </c>
      <c r="V40" s="231">
        <f t="shared" si="11"/>
        <v>0.19831218133252257</v>
      </c>
      <c r="W40" s="231">
        <f t="shared" si="12"/>
        <v>6.0983625426119721</v>
      </c>
      <c r="X40" s="231">
        <f t="shared" si="13"/>
        <v>7.7116395968169567</v>
      </c>
      <c r="Y40" s="231">
        <f t="shared" si="14"/>
        <v>0</v>
      </c>
      <c r="Z40" s="231">
        <f t="shared" si="15"/>
        <v>0</v>
      </c>
      <c r="AA40" s="311">
        <v>590814217631.73499</v>
      </c>
      <c r="AB40" s="312">
        <v>590.81421763174001</v>
      </c>
      <c r="AC40" s="313">
        <v>747109782866.38879</v>
      </c>
      <c r="AD40" s="199">
        <v>747.10978286638999</v>
      </c>
    </row>
    <row r="41" spans="1:35" ht="14.5">
      <c r="A41" s="15"/>
      <c r="B41" s="15" t="s">
        <v>60</v>
      </c>
      <c r="C41" s="230">
        <v>32.063993334728984</v>
      </c>
      <c r="D41" s="231">
        <v>1.5165334699489497</v>
      </c>
      <c r="E41" s="231">
        <v>30.547459864780031</v>
      </c>
      <c r="F41" s="231">
        <v>4.0446076631681755</v>
      </c>
      <c r="G41" s="232">
        <v>6.3189963380984064</v>
      </c>
      <c r="H41" s="231">
        <v>3.2859281358385646</v>
      </c>
      <c r="I41" s="231">
        <v>0</v>
      </c>
      <c r="J41" s="231">
        <v>3.0330682022598419</v>
      </c>
      <c r="K41" s="232">
        <f t="shared" si="0"/>
        <v>12.240059455466971</v>
      </c>
      <c r="L41" s="232">
        <f t="shared" si="1"/>
        <v>7.2659904949572853</v>
      </c>
      <c r="M41" s="231">
        <f t="shared" si="2"/>
        <v>0.5789191522278514</v>
      </c>
      <c r="N41" s="231">
        <f t="shared" si="3"/>
        <v>0.34366018177775415</v>
      </c>
      <c r="O41" s="231">
        <f t="shared" si="4"/>
        <v>11.661140303239121</v>
      </c>
      <c r="P41" s="231">
        <f t="shared" si="5"/>
        <v>6.9223303131795308</v>
      </c>
      <c r="Q41" s="231">
        <f t="shared" si="6"/>
        <v>1.543982302965204</v>
      </c>
      <c r="R41" s="231">
        <f t="shared" si="7"/>
        <v>0.91654462778910029</v>
      </c>
      <c r="S41" s="232">
        <f t="shared" si="8"/>
        <v>1.2543651481330917</v>
      </c>
      <c r="T41" s="232">
        <f t="shared" si="9"/>
        <v>0.74462099442416596</v>
      </c>
      <c r="U41" s="231">
        <f t="shared" si="10"/>
        <v>1.2543651481330917</v>
      </c>
      <c r="V41" s="231">
        <f t="shared" si="11"/>
        <v>0.74462099442416596</v>
      </c>
      <c r="W41" s="231">
        <f t="shared" si="12"/>
        <v>0</v>
      </c>
      <c r="X41" s="231">
        <f t="shared" si="13"/>
        <v>0</v>
      </c>
      <c r="Y41" s="231">
        <f t="shared" si="14"/>
        <v>1.1578387863478075</v>
      </c>
      <c r="Z41" s="231">
        <f t="shared" si="15"/>
        <v>0.68732064961812622</v>
      </c>
      <c r="AA41" s="311">
        <v>441288677118.17102</v>
      </c>
      <c r="AB41" s="312">
        <v>441.28867711817003</v>
      </c>
      <c r="AC41" s="313">
        <v>261959457397.9639</v>
      </c>
      <c r="AD41" s="199">
        <v>261.95945739796002</v>
      </c>
    </row>
    <row r="42" spans="1:35" ht="14.5">
      <c r="A42" s="15"/>
      <c r="B42" s="15" t="s">
        <v>61</v>
      </c>
      <c r="C42" s="230">
        <v>12.537379304867349</v>
      </c>
      <c r="D42" s="231">
        <v>3.8751505833461795</v>
      </c>
      <c r="E42" s="231">
        <v>8.6622287215211689</v>
      </c>
      <c r="F42" s="231">
        <v>0.4819569618750838</v>
      </c>
      <c r="G42" s="232">
        <v>14.618458635750434</v>
      </c>
      <c r="H42" s="231">
        <v>7.6937118380227556</v>
      </c>
      <c r="I42" s="231">
        <v>6.9247467977276784</v>
      </c>
      <c r="J42" s="231">
        <v>0</v>
      </c>
      <c r="K42" s="232">
        <f t="shared" si="0"/>
        <v>3.900796701648173</v>
      </c>
      <c r="L42" s="232">
        <f t="shared" si="1"/>
        <v>1.8157769524161016</v>
      </c>
      <c r="M42" s="231">
        <f t="shared" si="2"/>
        <v>1.2056885451362442</v>
      </c>
      <c r="N42" s="231">
        <f t="shared" si="3"/>
        <v>0.56123444503669762</v>
      </c>
      <c r="O42" s="231">
        <f t="shared" si="4"/>
        <v>2.695108156511929</v>
      </c>
      <c r="P42" s="231">
        <f t="shared" si="5"/>
        <v>1.2545425073794041</v>
      </c>
      <c r="Q42" s="231">
        <f t="shared" si="6"/>
        <v>0.14995287942583252</v>
      </c>
      <c r="R42" s="231">
        <f t="shared" si="7"/>
        <v>6.9801377317308677E-2</v>
      </c>
      <c r="S42" s="232">
        <f t="shared" si="8"/>
        <v>4.5482898652812906</v>
      </c>
      <c r="T42" s="232">
        <f t="shared" si="9"/>
        <v>2.1171777311019637</v>
      </c>
      <c r="U42" s="231">
        <f t="shared" si="10"/>
        <v>2.3937702634185563</v>
      </c>
      <c r="V42" s="231">
        <f t="shared" si="11"/>
        <v>1.1142731103771495</v>
      </c>
      <c r="W42" s="231">
        <f t="shared" si="12"/>
        <v>2.1545196018627339</v>
      </c>
      <c r="X42" s="231">
        <f t="shared" si="13"/>
        <v>1.0029046207248142</v>
      </c>
      <c r="Y42" s="231">
        <f t="shared" si="14"/>
        <v>0</v>
      </c>
      <c r="Z42" s="231">
        <f t="shared" si="15"/>
        <v>0</v>
      </c>
      <c r="AA42" s="311">
        <v>690469128831.32397</v>
      </c>
      <c r="AB42" s="312">
        <v>690.46912883131995</v>
      </c>
      <c r="AC42" s="313">
        <v>321405606694.9129</v>
      </c>
      <c r="AD42" s="199">
        <v>321.40560669490998</v>
      </c>
    </row>
    <row r="43" spans="1:35" ht="14.5">
      <c r="A43" s="15"/>
      <c r="B43" s="15" t="s">
        <v>62</v>
      </c>
      <c r="C43" s="230">
        <v>1</v>
      </c>
      <c r="D43" s="231">
        <v>0.2</v>
      </c>
      <c r="E43" s="231">
        <v>0.8</v>
      </c>
      <c r="F43" s="231">
        <v>0</v>
      </c>
      <c r="G43" s="232">
        <v>0</v>
      </c>
      <c r="H43" s="231">
        <v>0</v>
      </c>
      <c r="I43" s="231">
        <v>0</v>
      </c>
      <c r="J43" s="231">
        <v>0</v>
      </c>
      <c r="K43" s="232">
        <f t="shared" si="0"/>
        <v>1.5532172409282836</v>
      </c>
      <c r="L43" s="232">
        <f t="shared" si="1"/>
        <v>1.0960887530702714</v>
      </c>
      <c r="M43" s="231">
        <f t="shared" si="2"/>
        <v>0.3106434481856567</v>
      </c>
      <c r="N43" s="231">
        <f t="shared" si="3"/>
        <v>0.21921775061405427</v>
      </c>
      <c r="O43" s="231">
        <f t="shared" si="4"/>
        <v>1.2425737927426268</v>
      </c>
      <c r="P43" s="231">
        <f t="shared" si="5"/>
        <v>0.87687100245621707</v>
      </c>
      <c r="Q43" s="231">
        <f t="shared" si="6"/>
        <v>0</v>
      </c>
      <c r="R43" s="231">
        <f t="shared" si="7"/>
        <v>0</v>
      </c>
      <c r="S43" s="232">
        <f t="shared" si="8"/>
        <v>0</v>
      </c>
      <c r="T43" s="232">
        <f t="shared" si="9"/>
        <v>0</v>
      </c>
      <c r="U43" s="231">
        <f t="shared" si="10"/>
        <v>0</v>
      </c>
      <c r="V43" s="231">
        <f t="shared" si="11"/>
        <v>0</v>
      </c>
      <c r="W43" s="231">
        <f t="shared" si="12"/>
        <v>0</v>
      </c>
      <c r="X43" s="231">
        <f t="shared" si="13"/>
        <v>0</v>
      </c>
      <c r="Y43" s="231">
        <f t="shared" si="14"/>
        <v>0</v>
      </c>
      <c r="Z43" s="231">
        <f t="shared" si="15"/>
        <v>0</v>
      </c>
      <c r="AA43" s="311">
        <v>91233487908.610901</v>
      </c>
      <c r="AB43" s="312">
        <v>91.233487908610002</v>
      </c>
      <c r="AC43" s="313">
        <v>64382494196.515457</v>
      </c>
      <c r="AD43" s="199">
        <v>64.38249419652</v>
      </c>
    </row>
    <row r="44" spans="1:35" ht="14.5">
      <c r="A44" s="15"/>
      <c r="B44" s="15" t="s">
        <v>65</v>
      </c>
      <c r="C44" s="230">
        <v>17.8</v>
      </c>
      <c r="D44" s="231">
        <v>7.7</v>
      </c>
      <c r="E44" s="231">
        <v>10.100000000000001</v>
      </c>
      <c r="F44" s="231">
        <v>0</v>
      </c>
      <c r="G44" s="232">
        <v>6.5</v>
      </c>
      <c r="H44" s="231">
        <v>0</v>
      </c>
      <c r="I44" s="231">
        <v>6.5</v>
      </c>
      <c r="J44" s="231">
        <v>0</v>
      </c>
      <c r="K44" s="232">
        <f t="shared" si="0"/>
        <v>12.077296792300434</v>
      </c>
      <c r="L44" s="232">
        <f t="shared" si="1"/>
        <v>5.7440077276799695</v>
      </c>
      <c r="M44" s="231">
        <f t="shared" si="2"/>
        <v>5.224448612399625</v>
      </c>
      <c r="N44" s="231">
        <f t="shared" si="3"/>
        <v>2.4847673878166159</v>
      </c>
      <c r="O44" s="231">
        <f t="shared" si="4"/>
        <v>6.8528481799008087</v>
      </c>
      <c r="P44" s="231">
        <f t="shared" si="5"/>
        <v>3.2592403398633536</v>
      </c>
      <c r="Q44" s="231">
        <f t="shared" si="6"/>
        <v>0</v>
      </c>
      <c r="R44" s="231">
        <f t="shared" si="7"/>
        <v>0</v>
      </c>
      <c r="S44" s="232">
        <f t="shared" si="8"/>
        <v>4.410248828649034</v>
      </c>
      <c r="T44" s="232">
        <f t="shared" si="9"/>
        <v>2.097530911793247</v>
      </c>
      <c r="U44" s="231">
        <f t="shared" si="10"/>
        <v>0</v>
      </c>
      <c r="V44" s="231">
        <f t="shared" si="11"/>
        <v>0</v>
      </c>
      <c r="W44" s="231">
        <f t="shared" si="12"/>
        <v>4.410248828649034</v>
      </c>
      <c r="X44" s="231">
        <f t="shared" si="13"/>
        <v>2.097530911793247</v>
      </c>
      <c r="Y44" s="231">
        <f t="shared" si="14"/>
        <v>0</v>
      </c>
      <c r="Z44" s="231">
        <f t="shared" si="15"/>
        <v>0</v>
      </c>
      <c r="AA44" s="311">
        <v>309888162479.70697</v>
      </c>
      <c r="AB44" s="312">
        <v>309.88816247970999</v>
      </c>
      <c r="AC44" s="313">
        <v>147383974295.86609</v>
      </c>
      <c r="AD44" s="199">
        <v>147.38397429586999</v>
      </c>
    </row>
    <row r="45" spans="1:35" ht="14.5">
      <c r="A45" s="15"/>
      <c r="B45" s="15" t="s">
        <v>72</v>
      </c>
      <c r="C45" s="230">
        <v>38.516359409090974</v>
      </c>
      <c r="D45" s="231">
        <v>3.7695771192652283</v>
      </c>
      <c r="E45" s="231">
        <v>34.746782289825745</v>
      </c>
      <c r="F45" s="231">
        <v>0</v>
      </c>
      <c r="G45" s="232">
        <v>28.720587575354124</v>
      </c>
      <c r="H45" s="231">
        <v>9.7444850702094339</v>
      </c>
      <c r="I45" s="231">
        <v>18.976102505144688</v>
      </c>
      <c r="J45" s="231">
        <v>0</v>
      </c>
      <c r="K45" s="232">
        <f t="shared" si="0"/>
        <v>6.7394836974641494</v>
      </c>
      <c r="L45" s="232">
        <f t="shared" si="1"/>
        <v>3.168967804681333</v>
      </c>
      <c r="M45" s="231">
        <f t="shared" si="2"/>
        <v>0.65958994908603863</v>
      </c>
      <c r="N45" s="231">
        <f t="shared" si="3"/>
        <v>0.3101453177684127</v>
      </c>
      <c r="O45" s="231">
        <f t="shared" si="4"/>
        <v>6.0798937483781108</v>
      </c>
      <c r="P45" s="231">
        <f t="shared" si="5"/>
        <v>2.8588224869129202</v>
      </c>
      <c r="Q45" s="231">
        <f t="shared" si="6"/>
        <v>0</v>
      </c>
      <c r="R45" s="231">
        <f t="shared" si="7"/>
        <v>0</v>
      </c>
      <c r="S45" s="232">
        <f t="shared" si="8"/>
        <v>5.0254472311317233</v>
      </c>
      <c r="T45" s="232">
        <f t="shared" si="9"/>
        <v>2.3630119449021922</v>
      </c>
      <c r="U45" s="231">
        <f t="shared" si="10"/>
        <v>1.7050624534196916</v>
      </c>
      <c r="V45" s="231">
        <f t="shared" si="11"/>
        <v>0.8017361955918153</v>
      </c>
      <c r="W45" s="231">
        <f t="shared" si="12"/>
        <v>3.3203847777120314</v>
      </c>
      <c r="X45" s="231">
        <f t="shared" si="13"/>
        <v>1.561275749310377</v>
      </c>
      <c r="Y45" s="231">
        <f t="shared" si="14"/>
        <v>0</v>
      </c>
      <c r="Z45" s="231">
        <f t="shared" si="15"/>
        <v>0</v>
      </c>
      <c r="AA45" s="311">
        <v>1215422868992.01</v>
      </c>
      <c r="AB45" s="312">
        <v>1215.4228689920101</v>
      </c>
      <c r="AC45" s="313">
        <v>571503117124.28699</v>
      </c>
      <c r="AD45" s="199">
        <v>571.50311712429004</v>
      </c>
    </row>
    <row r="46" spans="1:35">
      <c r="A46" s="15"/>
      <c r="B46" s="15"/>
      <c r="C46" s="193"/>
      <c r="D46" s="194"/>
      <c r="E46" s="194"/>
      <c r="F46" s="194"/>
      <c r="G46" s="195"/>
      <c r="H46" s="194"/>
      <c r="I46" s="194"/>
      <c r="J46" s="194"/>
      <c r="K46" s="195"/>
      <c r="L46" s="195"/>
      <c r="M46" s="194"/>
      <c r="N46" s="194"/>
      <c r="O46" s="194"/>
      <c r="P46" s="194"/>
      <c r="Q46" s="194"/>
      <c r="R46" s="194"/>
      <c r="S46" s="195"/>
      <c r="T46" s="195"/>
      <c r="U46" s="194"/>
      <c r="V46" s="194"/>
      <c r="W46" s="194"/>
      <c r="X46" s="194"/>
      <c r="Y46" s="194"/>
      <c r="Z46" s="194"/>
      <c r="AA46" s="196"/>
      <c r="AB46" s="196"/>
    </row>
    <row r="47" spans="1:35">
      <c r="C47" s="19"/>
      <c r="D47" s="19"/>
      <c r="E47" s="19"/>
      <c r="F47" s="19"/>
      <c r="G47" s="19"/>
      <c r="H47" s="19"/>
      <c r="I47" s="19"/>
      <c r="J47" s="19"/>
    </row>
  </sheetData>
  <mergeCells count="14">
    <mergeCell ref="U5:U6"/>
    <mergeCell ref="W5:Y5"/>
    <mergeCell ref="C5:E5"/>
    <mergeCell ref="F5:F6"/>
    <mergeCell ref="H5:H6"/>
    <mergeCell ref="I5:J5"/>
    <mergeCell ref="K5:O5"/>
    <mergeCell ref="Q5:Q6"/>
    <mergeCell ref="B3:J3"/>
    <mergeCell ref="K3:Y3"/>
    <mergeCell ref="C4:F4"/>
    <mergeCell ref="G4:J4"/>
    <mergeCell ref="K4:Q4"/>
    <mergeCell ref="S4:Y4"/>
  </mergeCells>
  <pageMargins left="0.7" right="0.7" top="0.75" bottom="0.75" header="0.3" footer="0.3"/>
  <pageSetup scale="5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F7B1F-D1A9-4EFC-8D15-A6F9213B789D}">
  <dimension ref="A1:Z77"/>
  <sheetViews>
    <sheetView tabSelected="1" topLeftCell="A37" zoomScale="99" zoomScaleNormal="100" workbookViewId="0">
      <selection sqref="A1:Z77"/>
    </sheetView>
  </sheetViews>
  <sheetFormatPr baseColWidth="10" defaultRowHeight="14.5"/>
  <cols>
    <col min="1" max="1" width="15.26953125" style="199" customWidth="1"/>
    <col min="2" max="2" width="10.90625" style="199"/>
    <col min="3" max="3" width="16" style="199" customWidth="1"/>
    <col min="4" max="4" width="14.6328125" style="199" customWidth="1"/>
    <col min="5" max="16" width="10.90625" style="199"/>
    <col min="17" max="18" width="14.1796875" style="199" customWidth="1"/>
    <col min="19" max="16384" width="10.90625" style="199"/>
  </cols>
  <sheetData>
    <row r="1" spans="1:26" ht="27" customHeight="1">
      <c r="A1" s="214" t="s">
        <v>528</v>
      </c>
      <c r="B1" s="214" t="s">
        <v>529</v>
      </c>
      <c r="C1" s="215" t="s">
        <v>513</v>
      </c>
      <c r="D1" s="216" t="s">
        <v>514</v>
      </c>
      <c r="E1" s="216" t="s">
        <v>515</v>
      </c>
      <c r="F1" s="216" t="s">
        <v>516</v>
      </c>
      <c r="G1" s="216" t="s">
        <v>517</v>
      </c>
      <c r="H1" s="216" t="s">
        <v>518</v>
      </c>
      <c r="I1" s="216" t="s">
        <v>519</v>
      </c>
      <c r="J1" s="216" t="s">
        <v>520</v>
      </c>
      <c r="K1" s="215" t="s">
        <v>521</v>
      </c>
      <c r="L1" s="215" t="s">
        <v>548</v>
      </c>
      <c r="M1" s="216" t="s">
        <v>522</v>
      </c>
      <c r="N1" s="216" t="s">
        <v>547</v>
      </c>
      <c r="O1" s="216" t="s">
        <v>523</v>
      </c>
      <c r="P1" s="216" t="s">
        <v>549</v>
      </c>
      <c r="Q1" s="216" t="s">
        <v>524</v>
      </c>
      <c r="R1" s="216" t="s">
        <v>550</v>
      </c>
      <c r="S1" s="216" t="s">
        <v>525</v>
      </c>
      <c r="T1" s="216" t="s">
        <v>551</v>
      </c>
      <c r="U1" s="216" t="s">
        <v>526</v>
      </c>
      <c r="V1" s="216" t="s">
        <v>552</v>
      </c>
      <c r="W1" s="216" t="s">
        <v>527</v>
      </c>
      <c r="X1" s="216" t="s">
        <v>553</v>
      </c>
      <c r="Y1" s="216" t="s">
        <v>555</v>
      </c>
      <c r="Z1" s="216" t="s">
        <v>554</v>
      </c>
    </row>
    <row r="2" spans="1:26">
      <c r="A2" s="221" t="s">
        <v>461</v>
      </c>
      <c r="B2" s="221">
        <v>2020</v>
      </c>
      <c r="C2" s="222">
        <v>218.44777903701456</v>
      </c>
      <c r="D2" s="223">
        <v>11.460913817997604</v>
      </c>
      <c r="E2" s="223">
        <v>206.98686521901695</v>
      </c>
      <c r="F2" s="223">
        <v>0</v>
      </c>
      <c r="G2" s="224">
        <v>24.16457732710338</v>
      </c>
      <c r="H2" s="223">
        <v>10.356247425901399</v>
      </c>
      <c r="I2" s="223">
        <v>13.808329901201899</v>
      </c>
      <c r="J2" s="223">
        <v>0</v>
      </c>
      <c r="K2" s="224">
        <v>16.177852301431432</v>
      </c>
      <c r="L2" s="224">
        <f>N2+P2</f>
        <v>17.810434548128736</v>
      </c>
      <c r="M2" s="223">
        <v>0.8487748046895125</v>
      </c>
      <c r="N2" s="223">
        <f>'2020'!N8</f>
        <v>0.93442861409272149</v>
      </c>
      <c r="O2" s="223">
        <v>15.329077496741919</v>
      </c>
      <c r="P2" s="223">
        <f>'2020'!P8</f>
        <v>16.876005934036016</v>
      </c>
      <c r="Q2" s="223">
        <v>0</v>
      </c>
      <c r="R2" s="223">
        <f>'2020'!S8</f>
        <v>0</v>
      </c>
      <c r="S2" s="224">
        <f>U2+W2</f>
        <v>1.7895854315742734</v>
      </c>
      <c r="T2" s="224">
        <f>V2+X2</f>
        <v>1.9701808128460967</v>
      </c>
      <c r="U2" s="223">
        <v>0.76696518496040278</v>
      </c>
      <c r="V2" s="223">
        <f>'2020'!W8</f>
        <v>0.84436320550547117</v>
      </c>
      <c r="W2" s="223">
        <v>1.0226202466138705</v>
      </c>
      <c r="X2" s="223">
        <f>'2020'!Y8</f>
        <v>1.1258176073406256</v>
      </c>
      <c r="Y2" s="223">
        <v>0</v>
      </c>
      <c r="Z2" s="223">
        <f>'2020'!AA8</f>
        <v>0</v>
      </c>
    </row>
    <row r="3" spans="1:26">
      <c r="A3" s="221" t="s">
        <v>459</v>
      </c>
      <c r="B3" s="221">
        <v>2020</v>
      </c>
      <c r="C3" s="222">
        <v>240.10443817674746</v>
      </c>
      <c r="D3" s="223">
        <v>39.211353864005552</v>
      </c>
      <c r="E3" s="223">
        <v>200.89308431274193</v>
      </c>
      <c r="F3" s="223">
        <v>63.244119135492831</v>
      </c>
      <c r="G3" s="224">
        <v>65.922693592996055</v>
      </c>
      <c r="H3" s="223">
        <v>3.8690519941713259</v>
      </c>
      <c r="I3" s="223">
        <v>62.053641598824733</v>
      </c>
      <c r="J3" s="223">
        <v>0</v>
      </c>
      <c r="K3" s="224">
        <v>14.646141686967878</v>
      </c>
      <c r="L3" s="224">
        <f t="shared" ref="L3:L39" si="0">N3+P3</f>
        <v>13.931307727333492</v>
      </c>
      <c r="M3" s="223">
        <v>2.3918551809829789</v>
      </c>
      <c r="N3" s="223">
        <f>'2020'!N9</f>
        <v>2.2751159505127827</v>
      </c>
      <c r="O3" s="223">
        <v>12.254286505984901</v>
      </c>
      <c r="P3" s="223">
        <f>'2020'!P9</f>
        <v>11.656191776820709</v>
      </c>
      <c r="Q3" s="223">
        <v>3.8578309370693202</v>
      </c>
      <c r="R3" s="223">
        <f>'2020'!S9</f>
        <v>3.6695418556657788</v>
      </c>
      <c r="S3" s="224">
        <f>U3+W3</f>
        <v>4.0212214238157857</v>
      </c>
      <c r="T3" s="224">
        <f t="shared" ref="T3:T39" si="1">V3+X3</f>
        <v>3.8249577460233888</v>
      </c>
      <c r="U3" s="223">
        <v>0.23600848085600551</v>
      </c>
      <c r="V3" s="223">
        <f>'2020'!W9</f>
        <v>0.22448961940543585</v>
      </c>
      <c r="W3" s="223">
        <v>3.7852129429597805</v>
      </c>
      <c r="X3" s="223">
        <f>'2020'!Y9</f>
        <v>3.6004681266179528</v>
      </c>
      <c r="Y3" s="223">
        <v>0</v>
      </c>
      <c r="Z3" s="223">
        <f>'2020'!AA9</f>
        <v>0</v>
      </c>
    </row>
    <row r="4" spans="1:26">
      <c r="A4" s="221" t="s">
        <v>457</v>
      </c>
      <c r="B4" s="221">
        <v>2020</v>
      </c>
      <c r="C4" s="222">
        <v>198.05783396635229</v>
      </c>
      <c r="D4" s="223">
        <v>20.261088762075122</v>
      </c>
      <c r="E4" s="223">
        <v>177.79674520427716</v>
      </c>
      <c r="F4" s="223">
        <v>62.604487747984926</v>
      </c>
      <c r="G4" s="224">
        <v>404.65264353470258</v>
      </c>
      <c r="H4" s="223">
        <v>23.903531685594242</v>
      </c>
      <c r="I4" s="223">
        <v>380.74911184910832</v>
      </c>
      <c r="J4" s="223">
        <v>0</v>
      </c>
      <c r="K4" s="224">
        <v>7.7103009294197555</v>
      </c>
      <c r="L4" s="224">
        <f t="shared" si="0"/>
        <v>6.8129234714772871</v>
      </c>
      <c r="M4" s="223">
        <v>0.78875492266477965</v>
      </c>
      <c r="N4" s="223">
        <f>'2020'!N10</f>
        <v>0.6969542401856077</v>
      </c>
      <c r="O4" s="223">
        <v>6.9215460067549763</v>
      </c>
      <c r="P4" s="223">
        <f>'2020'!P10</f>
        <v>6.1159692312916798</v>
      </c>
      <c r="Q4" s="223">
        <v>2.4371640868855549</v>
      </c>
      <c r="R4" s="223">
        <f>'2020'!S10</f>
        <v>2.1535102927083383</v>
      </c>
      <c r="S4" s="224">
        <f t="shared" ref="S4:S39" si="2">U4+W4</f>
        <v>15.752942416142089</v>
      </c>
      <c r="T4" s="224">
        <f t="shared" si="1"/>
        <v>13.919507437414804</v>
      </c>
      <c r="U4" s="223">
        <v>0.93055356044721205</v>
      </c>
      <c r="V4" s="223">
        <f>'2020'!W10</f>
        <v>0.82224938448863827</v>
      </c>
      <c r="W4" s="223">
        <v>14.822388855694877</v>
      </c>
      <c r="X4" s="223">
        <f>'2020'!Y10</f>
        <v>13.097258052926167</v>
      </c>
      <c r="Y4" s="223">
        <v>0</v>
      </c>
      <c r="Z4" s="223">
        <f>'2020'!AA10</f>
        <v>0</v>
      </c>
    </row>
    <row r="5" spans="1:26">
      <c r="A5" s="221" t="s">
        <v>458</v>
      </c>
      <c r="B5" s="221">
        <v>2020</v>
      </c>
      <c r="C5" s="222">
        <v>417.7426727911008</v>
      </c>
      <c r="D5" s="223">
        <v>45.530536543989193</v>
      </c>
      <c r="E5" s="223">
        <v>372.21213624711163</v>
      </c>
      <c r="F5" s="223">
        <v>0</v>
      </c>
      <c r="G5" s="224">
        <v>1054.3734000174297</v>
      </c>
      <c r="H5" s="223">
        <v>113.82634135997297</v>
      </c>
      <c r="I5" s="223">
        <v>940.54705865745666</v>
      </c>
      <c r="J5" s="223">
        <v>0</v>
      </c>
      <c r="K5" s="224">
        <v>11.03370544006278</v>
      </c>
      <c r="L5" s="224">
        <f t="shared" si="0"/>
        <v>10.037584866642435</v>
      </c>
      <c r="M5" s="223">
        <v>1.2025836991894037</v>
      </c>
      <c r="N5" s="223">
        <f>'2020'!N11</f>
        <v>1.0940146993615734</v>
      </c>
      <c r="O5" s="223">
        <v>9.8311217408733764</v>
      </c>
      <c r="P5" s="223">
        <f>'2020'!P11</f>
        <v>8.9435701672808623</v>
      </c>
      <c r="Q5" s="223">
        <v>0</v>
      </c>
      <c r="R5" s="223">
        <f>'2020'!S11</f>
        <v>0</v>
      </c>
      <c r="S5" s="224">
        <f t="shared" si="2"/>
        <v>27.848832013978619</v>
      </c>
      <c r="T5" s="224">
        <f t="shared" si="1"/>
        <v>25.334645400465632</v>
      </c>
      <c r="U5" s="223">
        <v>3.0064592479735093</v>
      </c>
      <c r="V5" s="223">
        <f>'2020'!W11</f>
        <v>2.7350367484039335</v>
      </c>
      <c r="W5" s="223">
        <v>24.842372766005109</v>
      </c>
      <c r="X5" s="223">
        <f>'2020'!Y11</f>
        <v>22.599608652061701</v>
      </c>
      <c r="Y5" s="223">
        <v>0</v>
      </c>
      <c r="Z5" s="223">
        <f>'2020'!AA11</f>
        <v>0</v>
      </c>
    </row>
    <row r="6" spans="1:26">
      <c r="A6" s="221" t="s">
        <v>455</v>
      </c>
      <c r="B6" s="221">
        <v>2020</v>
      </c>
      <c r="C6" s="222">
        <v>127.4855023231693</v>
      </c>
      <c r="D6" s="223">
        <v>10.813502429197396</v>
      </c>
      <c r="E6" s="223">
        <v>116.6719998939719</v>
      </c>
      <c r="F6" s="223">
        <v>7.9678438951980812</v>
      </c>
      <c r="G6" s="224">
        <v>662.75387256844044</v>
      </c>
      <c r="H6" s="223">
        <v>3.6993560941991093</v>
      </c>
      <c r="I6" s="223">
        <v>659.05451647424127</v>
      </c>
      <c r="J6" s="223">
        <v>0</v>
      </c>
      <c r="K6" s="224">
        <v>6.8248555163513647</v>
      </c>
      <c r="L6" s="224">
        <f t="shared" si="0"/>
        <v>5.4535523714097724</v>
      </c>
      <c r="M6" s="223">
        <v>0.57889399469051761</v>
      </c>
      <c r="N6" s="223">
        <f>'2020'!N12</f>
        <v>0.46257810293207896</v>
      </c>
      <c r="O6" s="223">
        <v>6.2459615216608473</v>
      </c>
      <c r="P6" s="223">
        <f>'2020'!P12</f>
        <v>4.9909742684776939</v>
      </c>
      <c r="Q6" s="223">
        <v>0.42655346977196029</v>
      </c>
      <c r="R6" s="223">
        <f>'2020'!S12</f>
        <v>0.34084702321311078</v>
      </c>
      <c r="S6" s="224">
        <f t="shared" si="2"/>
        <v>35.480108253531988</v>
      </c>
      <c r="T6" s="224">
        <f t="shared" si="1"/>
        <v>28.351168466547676</v>
      </c>
      <c r="U6" s="223">
        <v>0.19804268239412443</v>
      </c>
      <c r="V6" s="223">
        <f>'2020'!W12</f>
        <v>0.15825040363465859</v>
      </c>
      <c r="W6" s="223">
        <v>35.282065571137863</v>
      </c>
      <c r="X6" s="223">
        <f>'2020'!Y12</f>
        <v>28.192918062913019</v>
      </c>
      <c r="Y6" s="223">
        <v>0</v>
      </c>
      <c r="Z6" s="223">
        <f>'2020'!AA12</f>
        <v>0</v>
      </c>
    </row>
    <row r="7" spans="1:26">
      <c r="A7" s="221" t="s">
        <v>460</v>
      </c>
      <c r="B7" s="221">
        <v>2020</v>
      </c>
      <c r="C7" s="222">
        <v>782.33294838167308</v>
      </c>
      <c r="D7" s="223">
        <v>89.837276369187336</v>
      </c>
      <c r="E7" s="223">
        <v>692.49567201248567</v>
      </c>
      <c r="F7" s="223">
        <v>243.30929016654903</v>
      </c>
      <c r="G7" s="224">
        <v>1428.0383722852071</v>
      </c>
      <c r="H7" s="223">
        <v>0</v>
      </c>
      <c r="I7" s="223">
        <v>146.92137906210846</v>
      </c>
      <c r="J7" s="223">
        <v>1281.1169932230987</v>
      </c>
      <c r="K7" s="224">
        <v>15.580392937317248</v>
      </c>
      <c r="L7" s="224">
        <f t="shared" si="0"/>
        <v>14.692106275435194</v>
      </c>
      <c r="M7" s="223">
        <v>1.7891360310794924</v>
      </c>
      <c r="N7" s="223">
        <f>'2020'!N13</f>
        <v>1.6871318211026061</v>
      </c>
      <c r="O7" s="223">
        <v>13.791256906237754</v>
      </c>
      <c r="P7" s="223">
        <f>'2020'!P13</f>
        <v>13.004974454332588</v>
      </c>
      <c r="Q7" s="223">
        <v>4.8455767508402925</v>
      </c>
      <c r="R7" s="223">
        <f>'2020'!S13</f>
        <v>4.5693153488195577</v>
      </c>
      <c r="S7" s="224">
        <f t="shared" si="2"/>
        <v>2.925982884161253</v>
      </c>
      <c r="T7" s="224">
        <f t="shared" si="1"/>
        <v>2.7591634990948872</v>
      </c>
      <c r="U7" s="223">
        <v>0</v>
      </c>
      <c r="V7" s="223">
        <f>'2020'!W13</f>
        <v>0</v>
      </c>
      <c r="W7" s="223">
        <v>2.925982884161253</v>
      </c>
      <c r="X7" s="223">
        <f>'2020'!Y13</f>
        <v>2.7591634990948872</v>
      </c>
      <c r="Y7" s="223">
        <v>25.513825276539841</v>
      </c>
      <c r="Z7" s="223">
        <f>'2020'!AA13</f>
        <v>24.059202740515293</v>
      </c>
    </row>
    <row r="8" spans="1:26">
      <c r="A8" s="221" t="s">
        <v>448</v>
      </c>
      <c r="B8" s="221">
        <v>2020</v>
      </c>
      <c r="C8" s="222">
        <v>56.080292033825813</v>
      </c>
      <c r="D8" s="223">
        <v>4.3138686179866008</v>
      </c>
      <c r="E8" s="223">
        <v>51.766423415839213</v>
      </c>
      <c r="F8" s="223">
        <v>27.913267528148594</v>
      </c>
      <c r="G8" s="224">
        <v>165.70330632619121</v>
      </c>
      <c r="H8" s="223">
        <v>0</v>
      </c>
      <c r="I8" s="223">
        <v>59.971232355931377</v>
      </c>
      <c r="J8" s="223">
        <v>105.73207397025983</v>
      </c>
      <c r="K8" s="224">
        <v>3.4422076683139151</v>
      </c>
      <c r="L8" s="224">
        <f t="shared" si="0"/>
        <v>2.6004759094970282</v>
      </c>
      <c r="M8" s="223">
        <v>0.26478520525491656</v>
      </c>
      <c r="N8" s="223">
        <f>'2020'!N14</f>
        <v>0.20003660842284832</v>
      </c>
      <c r="O8" s="223">
        <v>3.1774224630589987</v>
      </c>
      <c r="P8" s="223">
        <f>'2020'!P14</f>
        <v>2.4004393010741798</v>
      </c>
      <c r="Q8" s="223">
        <v>1.7133160340024014</v>
      </c>
      <c r="R8" s="223">
        <f>'2020'!S14</f>
        <v>1.2943545250890187</v>
      </c>
      <c r="S8" s="224">
        <f t="shared" si="2"/>
        <v>3.6810335397203104</v>
      </c>
      <c r="T8" s="224">
        <f t="shared" si="1"/>
        <v>2.7809010857215584</v>
      </c>
      <c r="U8" s="223">
        <v>0</v>
      </c>
      <c r="V8" s="223">
        <f>'2020'!W14</f>
        <v>0</v>
      </c>
      <c r="W8" s="223">
        <v>3.6810335397203104</v>
      </c>
      <c r="X8" s="223">
        <f>'2020'!Y14</f>
        <v>2.7809010857215584</v>
      </c>
      <c r="Y8" s="223">
        <v>6.4898334621303082</v>
      </c>
      <c r="Z8" s="223">
        <f>'2020'!AA14</f>
        <v>4.9028580495796161</v>
      </c>
    </row>
    <row r="9" spans="1:26">
      <c r="A9" s="221" t="s">
        <v>449</v>
      </c>
      <c r="B9" s="221">
        <v>2020</v>
      </c>
      <c r="C9" s="222">
        <v>52.473943366947367</v>
      </c>
      <c r="D9" s="223">
        <v>5.0083590198387942</v>
      </c>
      <c r="E9" s="223">
        <v>47.465584347108575</v>
      </c>
      <c r="F9" s="223">
        <v>0.614662243343852</v>
      </c>
      <c r="G9" s="224">
        <v>183.53245454540618</v>
      </c>
      <c r="H9" s="223">
        <v>0.72735032129022481</v>
      </c>
      <c r="I9" s="223">
        <v>171.4224700881187</v>
      </c>
      <c r="J9" s="223">
        <v>11.382634135997259</v>
      </c>
      <c r="K9" s="224">
        <v>4.129848567413041</v>
      </c>
      <c r="L9" s="224">
        <f t="shared" si="0"/>
        <v>2.9208535719864472</v>
      </c>
      <c r="M9" s="223">
        <v>0.39417209754050719</v>
      </c>
      <c r="N9" s="223">
        <f>'2020'!N15</f>
        <v>0.27877995047159143</v>
      </c>
      <c r="O9" s="223">
        <v>3.7356764698725335</v>
      </c>
      <c r="P9" s="223">
        <f>'2020'!P15</f>
        <v>2.6420736215148559</v>
      </c>
      <c r="Q9" s="223">
        <v>4.8375666516334973E-2</v>
      </c>
      <c r="R9" s="223">
        <f>'2020'!S15</f>
        <v>3.4213903012422588E-2</v>
      </c>
      <c r="S9" s="224">
        <f t="shared" si="2"/>
        <v>13.548680422711083</v>
      </c>
      <c r="T9" s="224">
        <f t="shared" si="1"/>
        <v>9.5823638475847766</v>
      </c>
      <c r="U9" s="223">
        <v>5.7244538710996377E-2</v>
      </c>
      <c r="V9" s="223">
        <f>'2020'!W15</f>
        <v>4.0486451898033397E-2</v>
      </c>
      <c r="W9" s="223">
        <v>13.491435884000087</v>
      </c>
      <c r="X9" s="223">
        <f>'2020'!Y15</f>
        <v>9.5418773956867433</v>
      </c>
      <c r="Y9" s="223">
        <v>0.89584567622842526</v>
      </c>
      <c r="Z9" s="223">
        <f>'2020'!AA15</f>
        <v>0.6335907965263442</v>
      </c>
    </row>
    <row r="10" spans="1:26">
      <c r="A10" s="221" t="s">
        <v>463</v>
      </c>
      <c r="B10" s="221">
        <v>2020</v>
      </c>
      <c r="C10" s="222">
        <v>440.54615742148212</v>
      </c>
      <c r="D10" s="223">
        <v>144.71429008321942</v>
      </c>
      <c r="E10" s="223">
        <v>295.83186733826267</v>
      </c>
      <c r="F10" s="223">
        <v>8.9646020405534159</v>
      </c>
      <c r="G10" s="224">
        <v>436.70418511838778</v>
      </c>
      <c r="H10" s="223">
        <v>1.2806574343647736</v>
      </c>
      <c r="I10" s="223">
        <v>435.42352768402304</v>
      </c>
      <c r="J10" s="223">
        <v>0</v>
      </c>
      <c r="K10" s="224">
        <v>16.258004012956349</v>
      </c>
      <c r="L10" s="224">
        <f t="shared" si="0"/>
        <v>14.974435891333723</v>
      </c>
      <c r="M10" s="223">
        <v>5.3405652716978693</v>
      </c>
      <c r="N10" s="223">
        <f>'2020'!N16</f>
        <v>4.9189280689555543</v>
      </c>
      <c r="O10" s="223">
        <v>10.917438741258479</v>
      </c>
      <c r="P10" s="223">
        <f>'2020'!P16</f>
        <v>10.055507822378168</v>
      </c>
      <c r="Q10" s="223">
        <v>0.33083147700783261</v>
      </c>
      <c r="R10" s="223">
        <f>'2020'!S16</f>
        <v>0.30471235825388393</v>
      </c>
      <c r="S10" s="224">
        <f t="shared" si="2"/>
        <v>16.116219094238705</v>
      </c>
      <c r="T10" s="224">
        <f t="shared" si="1"/>
        <v>14.843844880653489</v>
      </c>
      <c r="U10" s="223">
        <v>4.7261639572547517E-2</v>
      </c>
      <c r="V10" s="223">
        <f>'2020'!W16</f>
        <v>4.3530336893411993E-2</v>
      </c>
      <c r="W10" s="223">
        <v>16.068957454666158</v>
      </c>
      <c r="X10" s="223">
        <f>'2020'!Y16</f>
        <v>14.800314543760077</v>
      </c>
      <c r="Y10" s="223">
        <v>0</v>
      </c>
      <c r="Z10" s="223">
        <f>'2020'!AA16</f>
        <v>0</v>
      </c>
    </row>
    <row r="11" spans="1:26">
      <c r="A11" s="221" t="s">
        <v>464</v>
      </c>
      <c r="B11" s="221">
        <v>2020</v>
      </c>
      <c r="C11" s="222">
        <v>3503.3</v>
      </c>
      <c r="D11" s="223">
        <v>483.8</v>
      </c>
      <c r="E11" s="223">
        <v>3019.5</v>
      </c>
      <c r="F11" s="223">
        <v>18</v>
      </c>
      <c r="G11" s="224">
        <v>510</v>
      </c>
      <c r="H11" s="223">
        <v>56</v>
      </c>
      <c r="I11" s="223">
        <v>454</v>
      </c>
      <c r="J11" s="223">
        <v>0</v>
      </c>
      <c r="K11" s="224">
        <v>16.719306053544834</v>
      </c>
      <c r="L11" s="224">
        <f t="shared" si="0"/>
        <v>17.539113277697947</v>
      </c>
      <c r="M11" s="223">
        <v>2.3089088198855334</v>
      </c>
      <c r="N11" s="223">
        <f>'2020'!N17</f>
        <v>2.4221228566637936</v>
      </c>
      <c r="O11" s="223">
        <v>14.4103972336593</v>
      </c>
      <c r="P11" s="223">
        <f>'2020'!P17</f>
        <v>15.116990421034155</v>
      </c>
      <c r="Q11" s="223">
        <v>8.5904007354153794E-2</v>
      </c>
      <c r="R11" s="223">
        <f>'2020'!S17</f>
        <v>9.0116187308698387E-2</v>
      </c>
      <c r="S11" s="224">
        <f t="shared" si="2"/>
        <v>2.4339468750343576</v>
      </c>
      <c r="T11" s="224">
        <f t="shared" si="1"/>
        <v>2.5532919737464543</v>
      </c>
      <c r="U11" s="223">
        <v>0.26725691176847849</v>
      </c>
      <c r="V11" s="223">
        <f>'2020'!W17</f>
        <v>0.28036147162706165</v>
      </c>
      <c r="W11" s="223">
        <v>2.1666899632658789</v>
      </c>
      <c r="X11" s="223">
        <f>'2020'!Y17</f>
        <v>2.2729305021193928</v>
      </c>
      <c r="Y11" s="223">
        <v>0</v>
      </c>
      <c r="Z11" s="223">
        <f>'2020'!AA17</f>
        <v>0</v>
      </c>
    </row>
    <row r="12" spans="1:26">
      <c r="A12" s="221" t="s">
        <v>466</v>
      </c>
      <c r="B12" s="221">
        <v>2020</v>
      </c>
      <c r="C12" s="222">
        <v>7.2279883115998169</v>
      </c>
      <c r="D12" s="223">
        <v>2.3467494518181224</v>
      </c>
      <c r="E12" s="223">
        <v>4.8812388597816945</v>
      </c>
      <c r="F12" s="223">
        <v>4.3180189913453448</v>
      </c>
      <c r="G12" s="224">
        <v>13.588242545895366</v>
      </c>
      <c r="H12" s="223">
        <v>1.8445450691290441</v>
      </c>
      <c r="I12" s="223">
        <v>1.1504704512593162</v>
      </c>
      <c r="J12" s="223">
        <v>10.593227025507003</v>
      </c>
      <c r="K12" s="224">
        <v>0.68126555483297013</v>
      </c>
      <c r="L12" s="224">
        <f t="shared" si="0"/>
        <v>0.30348435002291441</v>
      </c>
      <c r="M12" s="223">
        <v>0.22119011520550977</v>
      </c>
      <c r="N12" s="223">
        <f>'2020'!N18</f>
        <v>9.8533879877569633E-2</v>
      </c>
      <c r="O12" s="223">
        <v>0.46007543962746028</v>
      </c>
      <c r="P12" s="223">
        <f>'2020'!P18</f>
        <v>0.20495047014534479</v>
      </c>
      <c r="Q12" s="223">
        <v>0.40698981197813799</v>
      </c>
      <c r="R12" s="223">
        <f>'2020'!S18</f>
        <v>0.18130233897472808</v>
      </c>
      <c r="S12" s="224">
        <f t="shared" si="2"/>
        <v>0.28229167262987975</v>
      </c>
      <c r="T12" s="224">
        <f t="shared" si="1"/>
        <v>0.12575287885494946</v>
      </c>
      <c r="U12" s="223">
        <v>0.17385543055153066</v>
      </c>
      <c r="V12" s="223">
        <f>'2020'!W18</f>
        <v>7.7447629583769731E-2</v>
      </c>
      <c r="W12" s="223">
        <v>0.10843624207834911</v>
      </c>
      <c r="X12" s="223">
        <f>'2020'!Y18</f>
        <v>4.8305249271179726E-2</v>
      </c>
      <c r="Y12" s="223">
        <v>0.99845218003767111</v>
      </c>
      <c r="Z12" s="223">
        <f>'2020'!AA18</f>
        <v>0.4447819337673492</v>
      </c>
    </row>
    <row r="13" spans="1:26">
      <c r="A13" s="221" t="s">
        <v>467</v>
      </c>
      <c r="B13" s="221">
        <v>2020</v>
      </c>
      <c r="C13" s="222">
        <v>7.6102084556631384</v>
      </c>
      <c r="D13" s="223">
        <v>2.0161373147465773</v>
      </c>
      <c r="E13" s="223">
        <v>5.5940711409165607</v>
      </c>
      <c r="F13" s="223">
        <v>9.86771432217515</v>
      </c>
      <c r="G13" s="224">
        <v>63.976864367944216</v>
      </c>
      <c r="H13" s="223">
        <v>2.9816115218083188</v>
      </c>
      <c r="I13" s="223">
        <v>43.44633931777836</v>
      </c>
      <c r="J13" s="223">
        <v>17.548913528357534</v>
      </c>
      <c r="K13" s="224">
        <v>1.0708244081170604</v>
      </c>
      <c r="L13" s="224">
        <f t="shared" si="0"/>
        <v>0.32608889216094727</v>
      </c>
      <c r="M13" s="223">
        <v>0.28368855588175851</v>
      </c>
      <c r="N13" s="223">
        <f>'2020'!N19</f>
        <v>8.6389221430698715E-2</v>
      </c>
      <c r="O13" s="223">
        <v>0.78713585223530191</v>
      </c>
      <c r="P13" s="223">
        <f>'2020'!P19</f>
        <v>0.23969967073024859</v>
      </c>
      <c r="Q13" s="223">
        <v>1.3884756784353673</v>
      </c>
      <c r="R13" s="223">
        <f>'2020'!S19</f>
        <v>0.42282048517137749</v>
      </c>
      <c r="S13" s="224">
        <f t="shared" si="2"/>
        <v>6.5328280122066928</v>
      </c>
      <c r="T13" s="224">
        <f t="shared" si="1"/>
        <v>1.9893855921013015</v>
      </c>
      <c r="U13" s="223">
        <v>0.41953941362795277</v>
      </c>
      <c r="V13" s="223">
        <f>'2020'!W19</f>
        <v>0.12775870774962486</v>
      </c>
      <c r="W13" s="223">
        <v>6.1132885985787402</v>
      </c>
      <c r="X13" s="223">
        <f>'2020'!Y19</f>
        <v>1.8616268843516766</v>
      </c>
      <c r="Y13" s="223">
        <v>2.4692891202102363</v>
      </c>
      <c r="Z13" s="223">
        <f>'2020'!AA19</f>
        <v>0.75195125132636342</v>
      </c>
    </row>
    <row r="14" spans="1:26">
      <c r="A14" s="225" t="s">
        <v>530</v>
      </c>
      <c r="B14" s="221">
        <v>2020</v>
      </c>
      <c r="C14" s="222">
        <v>36.424429235191226</v>
      </c>
      <c r="D14" s="223">
        <v>2.0488741444795067</v>
      </c>
      <c r="E14" s="223">
        <v>34.375555090711721</v>
      </c>
      <c r="F14" s="223">
        <v>0</v>
      </c>
      <c r="G14" s="224">
        <v>10.244370722397534</v>
      </c>
      <c r="H14" s="223">
        <v>0</v>
      </c>
      <c r="I14" s="223">
        <v>10.244370722397534</v>
      </c>
      <c r="J14" s="223">
        <v>0</v>
      </c>
      <c r="K14" s="224">
        <v>8.5545887757554304</v>
      </c>
      <c r="L14" s="224">
        <f t="shared" si="0"/>
        <v>7.7730461793951982</v>
      </c>
      <c r="M14" s="223">
        <v>0.48119561863624288</v>
      </c>
      <c r="N14" s="223">
        <f>'2020'!N20</f>
        <v>0.43723384759097994</v>
      </c>
      <c r="O14" s="223">
        <v>8.0733931571191864</v>
      </c>
      <c r="P14" s="223">
        <f>'2020'!P20</f>
        <v>7.3358123318042185</v>
      </c>
      <c r="Q14" s="223">
        <v>0</v>
      </c>
      <c r="R14" s="223">
        <f>'2020'!S20</f>
        <v>0</v>
      </c>
      <c r="S14" s="224">
        <f t="shared" si="2"/>
        <v>2.4059780931812145</v>
      </c>
      <c r="T14" s="224">
        <f t="shared" si="1"/>
        <v>2.1861692379548998</v>
      </c>
      <c r="U14" s="223">
        <v>0</v>
      </c>
      <c r="V14" s="223">
        <f>'2020'!W20</f>
        <v>0</v>
      </c>
      <c r="W14" s="223">
        <v>2.4059780931812145</v>
      </c>
      <c r="X14" s="223">
        <f>'2020'!Y20</f>
        <v>2.1861692379548998</v>
      </c>
      <c r="Y14" s="223">
        <v>0</v>
      </c>
      <c r="Z14" s="223">
        <f>'2020'!AA20</f>
        <v>0</v>
      </c>
    </row>
    <row r="15" spans="1:26">
      <c r="A15" s="221" t="s">
        <v>456</v>
      </c>
      <c r="B15" s="221">
        <v>2020</v>
      </c>
      <c r="C15" s="222">
        <v>36.538255576551201</v>
      </c>
      <c r="D15" s="223">
        <v>9.2199336501577793</v>
      </c>
      <c r="E15" s="223">
        <v>27.31832192639342</v>
      </c>
      <c r="F15" s="223">
        <v>15.708035107676219</v>
      </c>
      <c r="G15" s="224">
        <v>60.327960920785472</v>
      </c>
      <c r="H15" s="223">
        <v>1.1382634135997258</v>
      </c>
      <c r="I15" s="223">
        <v>59.189697507185748</v>
      </c>
      <c r="J15" s="223">
        <v>0</v>
      </c>
      <c r="K15" s="224">
        <v>7.2204845013748731</v>
      </c>
      <c r="L15" s="224">
        <f t="shared" si="0"/>
        <v>6.5796524662517522</v>
      </c>
      <c r="M15" s="223">
        <v>1.8219914162347806</v>
      </c>
      <c r="N15" s="223">
        <f>'2020'!N21</f>
        <v>1.6602861363439001</v>
      </c>
      <c r="O15" s="223">
        <v>5.3984930851400916</v>
      </c>
      <c r="P15" s="223">
        <f>'2020'!P21</f>
        <v>4.9193663299078523</v>
      </c>
      <c r="Q15" s="223">
        <v>3.1041335239555523</v>
      </c>
      <c r="R15" s="223">
        <f>'2020'!S21</f>
        <v>2.8286356396970151</v>
      </c>
      <c r="S15" s="224">
        <f t="shared" si="2"/>
        <v>11.921672229684368</v>
      </c>
      <c r="T15" s="224">
        <f t="shared" si="1"/>
        <v>10.863600645213173</v>
      </c>
      <c r="U15" s="223">
        <v>0.22493721188083715</v>
      </c>
      <c r="V15" s="223">
        <f>'2020'!W21</f>
        <v>0.20497359707949384</v>
      </c>
      <c r="W15" s="223">
        <v>11.696735017803531</v>
      </c>
      <c r="X15" s="223">
        <f>'2020'!Y21</f>
        <v>10.658627048133679</v>
      </c>
      <c r="Y15" s="223">
        <v>0</v>
      </c>
      <c r="Z15" s="223">
        <f>'2020'!AA21</f>
        <v>0</v>
      </c>
    </row>
    <row r="16" spans="1:26">
      <c r="A16" s="225" t="s">
        <v>454</v>
      </c>
      <c r="B16" s="221">
        <v>2020</v>
      </c>
      <c r="C16" s="222">
        <v>13.066403598920733</v>
      </c>
      <c r="D16" s="223">
        <v>2.8588123511436292</v>
      </c>
      <c r="E16" s="223">
        <v>10.207591247777104</v>
      </c>
      <c r="F16" s="223">
        <v>1.5581815067044105</v>
      </c>
      <c r="G16" s="224">
        <v>37.130220476565157</v>
      </c>
      <c r="H16" s="223">
        <v>4.2925110377531973E-2</v>
      </c>
      <c r="I16" s="223">
        <v>37.087295366187625</v>
      </c>
      <c r="J16" s="223">
        <v>0</v>
      </c>
      <c r="K16" s="224">
        <v>5.44423346092535</v>
      </c>
      <c r="L16" s="224">
        <f t="shared" si="0"/>
        <v>3.2072989171117561</v>
      </c>
      <c r="M16" s="223">
        <v>1.1911496336978591</v>
      </c>
      <c r="N16" s="223">
        <f>'2020'!N22</f>
        <v>0.70172834388844585</v>
      </c>
      <c r="O16" s="223">
        <v>4.2530838272274911</v>
      </c>
      <c r="P16" s="223">
        <f>'2020'!P22</f>
        <v>2.5055705732233102</v>
      </c>
      <c r="Q16" s="223">
        <v>0.64923020575423851</v>
      </c>
      <c r="R16" s="223">
        <f>'2020'!S22</f>
        <v>0.38247355680406281</v>
      </c>
      <c r="S16" s="224">
        <f t="shared" si="2"/>
        <v>15.470637134364086</v>
      </c>
      <c r="T16" s="224">
        <f t="shared" si="1"/>
        <v>9.1140393012538379</v>
      </c>
      <c r="U16" s="223">
        <v>1.7885129635102991E-2</v>
      </c>
      <c r="V16" s="223">
        <f>'2020'!W22</f>
        <v>1.0536461619946634E-2</v>
      </c>
      <c r="W16" s="223">
        <v>15.452752004728984</v>
      </c>
      <c r="X16" s="223">
        <f>'2020'!Y22</f>
        <v>9.103502839633892</v>
      </c>
      <c r="Y16" s="223">
        <v>0</v>
      </c>
      <c r="Z16" s="223">
        <f>'2020'!AA22</f>
        <v>0</v>
      </c>
    </row>
    <row r="17" spans="1:26">
      <c r="A17" s="225" t="s">
        <v>446</v>
      </c>
      <c r="B17" s="221">
        <v>2020</v>
      </c>
      <c r="C17" s="222">
        <v>6.1428697867727307</v>
      </c>
      <c r="D17" s="223">
        <v>0.12194282455131972</v>
      </c>
      <c r="E17" s="223">
        <v>6.0209269622214112</v>
      </c>
      <c r="F17" s="223">
        <v>26.73596428287685</v>
      </c>
      <c r="G17" s="224">
        <v>14.784957762724758</v>
      </c>
      <c r="H17" s="223">
        <v>8.7010778173287289</v>
      </c>
      <c r="I17" s="223">
        <v>6.0838799453960295</v>
      </c>
      <c r="J17" s="223">
        <v>0</v>
      </c>
      <c r="K17" s="224">
        <v>1.7728572264249522</v>
      </c>
      <c r="L17" s="224">
        <f t="shared" si="0"/>
        <v>1.9747958020031295</v>
      </c>
      <c r="M17" s="223">
        <v>3.5193195561785656E-2</v>
      </c>
      <c r="N17" s="223">
        <f>'2020'!N23</f>
        <v>3.9201901776737061E-2</v>
      </c>
      <c r="O17" s="223">
        <v>1.7376640308631668</v>
      </c>
      <c r="P17" s="223">
        <f>'2020'!P23</f>
        <v>1.9355939002263924</v>
      </c>
      <c r="Q17" s="223">
        <v>7.7161081269215046</v>
      </c>
      <c r="R17" s="223">
        <f>'2020'!S23</f>
        <v>8.5950169645496004</v>
      </c>
      <c r="S17" s="224">
        <f t="shared" si="2"/>
        <v>4.2669989958887014</v>
      </c>
      <c r="T17" s="224">
        <f t="shared" si="1"/>
        <v>4.7530345809204846</v>
      </c>
      <c r="U17" s="223">
        <v>2.5111664778167628</v>
      </c>
      <c r="V17" s="223">
        <f>'2020'!W23</f>
        <v>2.7972026989018515</v>
      </c>
      <c r="W17" s="223">
        <v>1.7558325180719383</v>
      </c>
      <c r="X17" s="223">
        <f>'2020'!Y23</f>
        <v>1.9558318820186327</v>
      </c>
      <c r="Y17" s="223">
        <v>0</v>
      </c>
      <c r="Z17" s="223">
        <f>'2020'!AA23</f>
        <v>0</v>
      </c>
    </row>
    <row r="18" spans="1:26">
      <c r="A18" s="225" t="s">
        <v>531</v>
      </c>
      <c r="B18" s="221">
        <v>2020</v>
      </c>
      <c r="C18" s="222">
        <v>1.0676910819565428</v>
      </c>
      <c r="D18" s="223">
        <v>0.26180058512793697</v>
      </c>
      <c r="E18" s="223">
        <v>0.80589049682860592</v>
      </c>
      <c r="F18" s="223">
        <v>0</v>
      </c>
      <c r="G18" s="224">
        <v>1.3203855597756819</v>
      </c>
      <c r="H18" s="223">
        <v>0.97890653569576425</v>
      </c>
      <c r="I18" s="223">
        <v>0.34147902407991776</v>
      </c>
      <c r="J18" s="223">
        <v>0</v>
      </c>
      <c r="K18" s="224">
        <v>3.4900150960272138</v>
      </c>
      <c r="L18" s="224">
        <f t="shared" si="0"/>
        <v>2.3255380210379206</v>
      </c>
      <c r="M18" s="223">
        <v>0.85576063122202473</v>
      </c>
      <c r="N18" s="223">
        <f>'2020'!N24</f>
        <v>0.57022787296238997</v>
      </c>
      <c r="O18" s="223">
        <v>2.6342544648051889</v>
      </c>
      <c r="P18" s="223">
        <f>'2020'!P24</f>
        <v>1.7553101480755309</v>
      </c>
      <c r="Q18" s="223">
        <v>0</v>
      </c>
      <c r="R18" s="223">
        <f>'2020'!S24</f>
        <v>0</v>
      </c>
      <c r="S18" s="224">
        <f t="shared" si="2"/>
        <v>4.3160101400762976</v>
      </c>
      <c r="T18" s="224">
        <f t="shared" si="1"/>
        <v>2.8759318810277064</v>
      </c>
      <c r="U18" s="223">
        <v>3.1998006210910486</v>
      </c>
      <c r="V18" s="223">
        <f>'2020'!W24</f>
        <v>2.1321563945550235</v>
      </c>
      <c r="W18" s="223">
        <v>1.1162095189852494</v>
      </c>
      <c r="X18" s="223">
        <f>'2020'!Y24</f>
        <v>0.74377548647268266</v>
      </c>
      <c r="Y18" s="223">
        <v>0</v>
      </c>
      <c r="Z18" s="223">
        <f>'2020'!AA24</f>
        <v>0</v>
      </c>
    </row>
    <row r="19" spans="1:26">
      <c r="A19" s="225" t="s">
        <v>447</v>
      </c>
      <c r="B19" s="221">
        <v>2020</v>
      </c>
      <c r="C19" s="222">
        <v>7.910930724518094</v>
      </c>
      <c r="D19" s="223">
        <v>2.105787315159493</v>
      </c>
      <c r="E19" s="223">
        <v>5.8051434093586014</v>
      </c>
      <c r="F19" s="223">
        <v>4.8376195077988351</v>
      </c>
      <c r="G19" s="224">
        <v>18.576458909947529</v>
      </c>
      <c r="H19" s="223">
        <v>2.7545974609113366</v>
      </c>
      <c r="I19" s="223">
        <v>14.683598035436464</v>
      </c>
      <c r="J19" s="223">
        <v>1.1382634135997258</v>
      </c>
      <c r="K19" s="224">
        <v>2.9740073275675076</v>
      </c>
      <c r="L19" s="224">
        <f t="shared" si="0"/>
        <v>3.1154924739323606</v>
      </c>
      <c r="M19" s="223">
        <v>0.79164223827336544</v>
      </c>
      <c r="N19" s="223">
        <f>'2020'!N25</f>
        <v>0.82930375205393791</v>
      </c>
      <c r="O19" s="223">
        <v>2.1823650892941422</v>
      </c>
      <c r="P19" s="223">
        <f>'2020'!P25</f>
        <v>2.2861887218784229</v>
      </c>
      <c r="Q19" s="223">
        <v>1.8186375744117851</v>
      </c>
      <c r="R19" s="223">
        <f>'2020'!S25</f>
        <v>1.9051572682320197</v>
      </c>
      <c r="S19" s="224">
        <f t="shared" si="2"/>
        <v>6.5556535623502477</v>
      </c>
      <c r="T19" s="224">
        <f t="shared" si="1"/>
        <v>6.8675316116034208</v>
      </c>
      <c r="U19" s="223">
        <v>1.0355536306062401</v>
      </c>
      <c r="V19" s="223">
        <f>'2020'!W25</f>
        <v>1.0848189621462323</v>
      </c>
      <c r="W19" s="223">
        <v>5.5200999317440074</v>
      </c>
      <c r="X19" s="223">
        <f>'2020'!Y25</f>
        <v>5.7827126494571885</v>
      </c>
      <c r="Y19" s="223">
        <v>0.42791472339100828</v>
      </c>
      <c r="Z19" s="223">
        <f>'2020'!AA25</f>
        <v>0.44827229840753402</v>
      </c>
    </row>
    <row r="20" spans="1:26">
      <c r="A20" s="225" t="s">
        <v>532</v>
      </c>
      <c r="B20" s="221">
        <v>2020</v>
      </c>
      <c r="C20" s="222">
        <v>21.213646056970173</v>
      </c>
      <c r="D20" s="223">
        <v>0.70761690517133902</v>
      </c>
      <c r="E20" s="223">
        <v>20.506029151798835</v>
      </c>
      <c r="F20" s="223">
        <v>1.7913339101833412</v>
      </c>
      <c r="G20" s="224">
        <v>9.3327696507573688</v>
      </c>
      <c r="H20" s="223">
        <v>6.41999440943819</v>
      </c>
      <c r="I20" s="223">
        <v>2.9127752413191792</v>
      </c>
      <c r="J20" s="223">
        <v>0</v>
      </c>
      <c r="K20" s="224">
        <v>11.028872427123924</v>
      </c>
      <c r="L20" s="224">
        <f t="shared" si="0"/>
        <v>7.0349910747874915</v>
      </c>
      <c r="M20" s="223">
        <v>0.36788662134987926</v>
      </c>
      <c r="N20" s="223">
        <f>'2020'!N26</f>
        <v>0.2346639799155821</v>
      </c>
      <c r="O20" s="223">
        <v>10.660985805774043</v>
      </c>
      <c r="P20" s="223">
        <f>'2020'!P26</f>
        <v>6.8003270948719097</v>
      </c>
      <c r="Q20" s="223">
        <v>0.93130587343337767</v>
      </c>
      <c r="R20" s="223">
        <f>'2020'!S26</f>
        <v>0.59405243380891304</v>
      </c>
      <c r="S20" s="224">
        <f t="shared" si="2"/>
        <v>4.8520619979005071</v>
      </c>
      <c r="T20" s="224">
        <f t="shared" si="1"/>
        <v>3.0949866430223141</v>
      </c>
      <c r="U20" s="223">
        <v>3.3377241768997119</v>
      </c>
      <c r="V20" s="223">
        <f>'2020'!W26</f>
        <v>2.1290353977478338</v>
      </c>
      <c r="W20" s="223">
        <v>1.5143378210007954</v>
      </c>
      <c r="X20" s="223">
        <f>'2020'!Y26</f>
        <v>0.96595124527448017</v>
      </c>
      <c r="Y20" s="223">
        <v>0</v>
      </c>
      <c r="Z20" s="223">
        <f>'2020'!AA26</f>
        <v>0</v>
      </c>
    </row>
    <row r="21" spans="1:26">
      <c r="A21" s="225" t="s">
        <v>533</v>
      </c>
      <c r="B21" s="221">
        <v>2020</v>
      </c>
      <c r="C21" s="222">
        <v>0.90912242644701236</v>
      </c>
      <c r="D21" s="223">
        <v>5.0270792906436608E-2</v>
      </c>
      <c r="E21" s="223">
        <v>0.85853416239471891</v>
      </c>
      <c r="F21" s="223">
        <v>0</v>
      </c>
      <c r="G21" s="224">
        <v>0.91645405891835929</v>
      </c>
      <c r="H21" s="223">
        <v>0</v>
      </c>
      <c r="I21" s="223">
        <v>0.91645405891835929</v>
      </c>
      <c r="J21" s="223">
        <v>0</v>
      </c>
      <c r="K21" s="224">
        <v>4.3402812991904538</v>
      </c>
      <c r="L21" s="224">
        <f t="shared" si="0"/>
        <v>4.7658406244286118</v>
      </c>
      <c r="M21" s="223">
        <v>0.24</v>
      </c>
      <c r="N21" s="223">
        <f>'2020'!N27</f>
        <v>0.26362376839851354</v>
      </c>
      <c r="O21" s="223">
        <v>4.0987656462516302</v>
      </c>
      <c r="P21" s="223">
        <f>'2020'!P27</f>
        <v>4.5022168560300981</v>
      </c>
      <c r="Q21" s="223">
        <v>0</v>
      </c>
      <c r="R21" s="223">
        <f>'2020'!S27</f>
        <v>0</v>
      </c>
      <c r="S21" s="224">
        <f t="shared" si="2"/>
        <v>4.3752835677323123</v>
      </c>
      <c r="T21" s="224">
        <f t="shared" si="1"/>
        <v>4.805953091407023</v>
      </c>
      <c r="U21" s="223">
        <v>0</v>
      </c>
      <c r="V21" s="223">
        <f>'2020'!W27</f>
        <v>0</v>
      </c>
      <c r="W21" s="223">
        <v>4.3752835677323123</v>
      </c>
      <c r="X21" s="223">
        <f>'2020'!Y27</f>
        <v>4.805953091407023</v>
      </c>
      <c r="Y21" s="223">
        <v>0</v>
      </c>
      <c r="Z21" s="223">
        <f>'2020'!AA27</f>
        <v>0</v>
      </c>
    </row>
    <row r="22" spans="1:26">
      <c r="A22" s="225" t="s">
        <v>534</v>
      </c>
      <c r="B22" s="221">
        <v>2020</v>
      </c>
      <c r="C22" s="222">
        <v>22.385999999999999</v>
      </c>
      <c r="D22" s="223">
        <v>3.0750000000000006</v>
      </c>
      <c r="E22" s="223">
        <v>19.310999999999996</v>
      </c>
      <c r="F22" s="223">
        <v>2.46</v>
      </c>
      <c r="G22" s="224">
        <v>6.15</v>
      </c>
      <c r="H22" s="223">
        <v>3.69</v>
      </c>
      <c r="I22" s="223">
        <v>2.46</v>
      </c>
      <c r="J22" s="223">
        <v>0</v>
      </c>
      <c r="K22" s="224">
        <v>5.3874865154583516</v>
      </c>
      <c r="L22" s="224">
        <f t="shared" si="0"/>
        <v>5.3569023821516248</v>
      </c>
      <c r="M22" s="223">
        <v>0.74003935651900443</v>
      </c>
      <c r="N22" s="223">
        <f>'2020'!N28</f>
        <v>0.73583823930654202</v>
      </c>
      <c r="O22" s="223">
        <v>4.6474471589393467</v>
      </c>
      <c r="P22" s="223">
        <f>'2020'!P28</f>
        <v>4.6210641428450829</v>
      </c>
      <c r="Q22" s="223">
        <v>0.59203148521520355</v>
      </c>
      <c r="R22" s="223">
        <f>'2020'!S28</f>
        <v>0.58867059144523359</v>
      </c>
      <c r="S22" s="224">
        <f t="shared" si="2"/>
        <v>1.4800787130380089</v>
      </c>
      <c r="T22" s="224">
        <f t="shared" si="1"/>
        <v>1.4716764786130838</v>
      </c>
      <c r="U22" s="223">
        <v>0.88804722782280521</v>
      </c>
      <c r="V22" s="223">
        <f>'2020'!W28</f>
        <v>0.88300588716785033</v>
      </c>
      <c r="W22" s="223">
        <v>0.59203148521520355</v>
      </c>
      <c r="X22" s="223">
        <f>'2020'!Y28</f>
        <v>0.58867059144523359</v>
      </c>
      <c r="Y22" s="223">
        <v>0</v>
      </c>
      <c r="Z22" s="223">
        <f>'2020'!AA28</f>
        <v>0</v>
      </c>
    </row>
    <row r="23" spans="1:26">
      <c r="A23" s="225" t="s">
        <v>535</v>
      </c>
      <c r="B23" s="221">
        <v>2020</v>
      </c>
      <c r="C23" s="222">
        <v>26.891847077879898</v>
      </c>
      <c r="D23" s="223">
        <v>4.4578519375602843</v>
      </c>
      <c r="E23" s="223">
        <v>22.433995140319613</v>
      </c>
      <c r="F23" s="223">
        <v>2.0841905162619514</v>
      </c>
      <c r="G23" s="224">
        <v>11.144629843900709</v>
      </c>
      <c r="H23" s="223">
        <v>0.92630689611642281</v>
      </c>
      <c r="I23" s="223">
        <v>10.218322947784287</v>
      </c>
      <c r="J23" s="223">
        <v>0</v>
      </c>
      <c r="K23" s="224">
        <v>6.9370172460253965</v>
      </c>
      <c r="L23" s="224">
        <f t="shared" si="0"/>
        <v>7.8540027831320796</v>
      </c>
      <c r="M23" s="223">
        <v>1.149946884701734</v>
      </c>
      <c r="N23" s="223">
        <f>'2020'!N29</f>
        <v>1.3019552514556945</v>
      </c>
      <c r="O23" s="223">
        <v>5.7870703613236625</v>
      </c>
      <c r="P23" s="223">
        <f>'2020'!P29</f>
        <v>6.5520475316763847</v>
      </c>
      <c r="Q23" s="223">
        <v>0.53763750453587567</v>
      </c>
      <c r="R23" s="223">
        <f>'2020'!S29</f>
        <v>0.60870635132993511</v>
      </c>
      <c r="S23" s="224">
        <f t="shared" si="2"/>
        <v>2.874867211754335</v>
      </c>
      <c r="T23" s="224">
        <f t="shared" si="1"/>
        <v>3.2548881286392355</v>
      </c>
      <c r="U23" s="223">
        <v>0.23895000201594477</v>
      </c>
      <c r="V23" s="223">
        <f>'2020'!W29</f>
        <v>0.27053615614663779</v>
      </c>
      <c r="W23" s="223">
        <v>2.6359172097383903</v>
      </c>
      <c r="X23" s="223">
        <f>'2020'!Y29</f>
        <v>2.9843519724925978</v>
      </c>
      <c r="Y23" s="223">
        <v>0</v>
      </c>
      <c r="Z23" s="223">
        <f>'2020'!AA29</f>
        <v>0</v>
      </c>
    </row>
    <row r="24" spans="1:26">
      <c r="A24" s="226" t="s">
        <v>536</v>
      </c>
      <c r="B24" s="221">
        <v>2020</v>
      </c>
      <c r="C24" s="222">
        <v>2.6180058512793694</v>
      </c>
      <c r="D24" s="223">
        <v>0.23903531685594243</v>
      </c>
      <c r="E24" s="223">
        <v>2.3789705344234271</v>
      </c>
      <c r="F24" s="223">
        <v>0</v>
      </c>
      <c r="G24" s="224">
        <v>0.97890653569576436</v>
      </c>
      <c r="H24" s="223">
        <v>0.22765268271994518</v>
      </c>
      <c r="I24" s="223">
        <v>0.75125385297581915</v>
      </c>
      <c r="J24" s="223">
        <v>0</v>
      </c>
      <c r="K24" s="224">
        <v>7.9280656230670878</v>
      </c>
      <c r="L24" s="224">
        <f t="shared" si="0"/>
        <v>4.7237162022941037</v>
      </c>
      <c r="M24" s="223">
        <v>0.7238668612365603</v>
      </c>
      <c r="N24" s="223">
        <f>'2020'!N30</f>
        <v>0.43129582716598341</v>
      </c>
      <c r="O24" s="223">
        <v>7.2041987618305274</v>
      </c>
      <c r="P24" s="223">
        <f>'2020'!P30</f>
        <v>4.2924203751281205</v>
      </c>
      <c r="Q24" s="223">
        <v>0</v>
      </c>
      <c r="R24" s="223">
        <f>'2020'!S30</f>
        <v>0</v>
      </c>
      <c r="S24" s="224">
        <f t="shared" si="2"/>
        <v>2.9750101353149043</v>
      </c>
      <c r="T24" s="224">
        <f t="shared" si="1"/>
        <v>1.7662591017273606</v>
      </c>
      <c r="U24" s="223">
        <v>0.7</v>
      </c>
      <c r="V24" s="223">
        <f>'2020'!W30</f>
        <v>0.41075793063426985</v>
      </c>
      <c r="W24" s="223">
        <v>2.2750101353149041</v>
      </c>
      <c r="X24" s="223">
        <f>'2020'!Y30</f>
        <v>1.3555011710930907</v>
      </c>
      <c r="Y24" s="223">
        <v>0</v>
      </c>
      <c r="Z24" s="223">
        <f>'2020'!AA30</f>
        <v>0</v>
      </c>
    </row>
    <row r="25" spans="1:26">
      <c r="A25" s="225" t="s">
        <v>537</v>
      </c>
      <c r="B25" s="221">
        <v>2020</v>
      </c>
      <c r="C25" s="222">
        <v>2.5872727391121773</v>
      </c>
      <c r="D25" s="223">
        <v>0.56913170679986291</v>
      </c>
      <c r="E25" s="223">
        <v>2.0181410323123141</v>
      </c>
      <c r="F25" s="223">
        <v>2.4927968757833998</v>
      </c>
      <c r="G25" s="224">
        <v>1.9578130713915285</v>
      </c>
      <c r="H25" s="223">
        <v>0.3642442923519123</v>
      </c>
      <c r="I25" s="223">
        <v>1.5935687790396162</v>
      </c>
      <c r="J25" s="223">
        <v>0</v>
      </c>
      <c r="K25" s="224">
        <v>4.6807143933504589</v>
      </c>
      <c r="L25" s="224">
        <f t="shared" si="0"/>
        <v>2.6635550006559883</v>
      </c>
      <c r="M25" s="223">
        <v>1.0296336105038404</v>
      </c>
      <c r="N25" s="223">
        <f>'2020'!N31</f>
        <v>0.58591179072942978</v>
      </c>
      <c r="O25" s="223">
        <v>3.6510807828466185</v>
      </c>
      <c r="P25" s="223">
        <f>'2020'!P31</f>
        <v>2.0776432099265585</v>
      </c>
      <c r="Q25" s="223">
        <v>4.5097952140068207</v>
      </c>
      <c r="R25" s="223">
        <f>'2020'!S31</f>
        <v>2.5662936433949031</v>
      </c>
      <c r="S25" s="224">
        <f t="shared" si="2"/>
        <v>3.5419396201332107</v>
      </c>
      <c r="T25" s="224">
        <f t="shared" si="1"/>
        <v>2.015536560109239</v>
      </c>
      <c r="U25" s="223">
        <v>0.6589655107224579</v>
      </c>
      <c r="V25" s="223">
        <f>'2020'!W31</f>
        <v>0.37498354606683515</v>
      </c>
      <c r="W25" s="223">
        <v>2.8829741094107528</v>
      </c>
      <c r="X25" s="223">
        <f>'2020'!Y31</f>
        <v>1.6405530140424038</v>
      </c>
      <c r="Y25" s="223">
        <v>0</v>
      </c>
      <c r="Z25" s="223">
        <f>'2020'!AA31</f>
        <v>0</v>
      </c>
    </row>
    <row r="26" spans="1:26">
      <c r="A26" s="225" t="s">
        <v>538</v>
      </c>
      <c r="B26" s="221">
        <v>2020</v>
      </c>
      <c r="C26" s="222">
        <v>2.9594848753592875</v>
      </c>
      <c r="D26" s="223">
        <v>0.22765268271994518</v>
      </c>
      <c r="E26" s="223">
        <v>2.7318321926393425</v>
      </c>
      <c r="F26" s="223">
        <v>5.2360117025587387</v>
      </c>
      <c r="G26" s="224">
        <v>4.3254009716789588</v>
      </c>
      <c r="H26" s="223">
        <v>0.45530536543989036</v>
      </c>
      <c r="I26" s="223">
        <v>2.8456585339993148</v>
      </c>
      <c r="J26" s="223">
        <v>1.0244370722397533</v>
      </c>
      <c r="K26" s="224">
        <v>4.1587270560864775</v>
      </c>
      <c r="L26" s="224">
        <f t="shared" si="0"/>
        <v>4.460852333960978</v>
      </c>
      <c r="M26" s="223">
        <v>0.31990208123742137</v>
      </c>
      <c r="N26" s="223">
        <f>'2020'!N32</f>
        <v>0.34314248722776741</v>
      </c>
      <c r="O26" s="223">
        <v>3.8388249748490564</v>
      </c>
      <c r="P26" s="223">
        <f>'2020'!P32</f>
        <v>4.1177098467332103</v>
      </c>
      <c r="Q26" s="223">
        <v>7.3577478684606898</v>
      </c>
      <c r="R26" s="223">
        <f>'2020'!S32</f>
        <v>7.8922772062386501</v>
      </c>
      <c r="S26" s="224">
        <f>U26+W26</f>
        <v>4.6385801779426092</v>
      </c>
      <c r="T26" s="224">
        <f t="shared" si="1"/>
        <v>4.975566064802627</v>
      </c>
      <c r="U26" s="223">
        <v>0.63980416247484273</v>
      </c>
      <c r="V26" s="223">
        <f>'2020'!W32</f>
        <v>0.68628497445553482</v>
      </c>
      <c r="W26" s="223">
        <v>3.998776015467767</v>
      </c>
      <c r="X26" s="223">
        <f>'2020'!Y32</f>
        <v>4.2892810903470924</v>
      </c>
      <c r="Y26" s="223">
        <v>1.4395593655683963</v>
      </c>
      <c r="Z26" s="223">
        <f>'2020'!AA32</f>
        <v>1.5441411925249535</v>
      </c>
    </row>
    <row r="27" spans="1:26">
      <c r="A27" s="225" t="s">
        <v>452</v>
      </c>
      <c r="B27" s="221">
        <v>2020</v>
      </c>
      <c r="C27" s="222">
        <v>40.522177524150244</v>
      </c>
      <c r="D27" s="223">
        <v>6.7157541402383831</v>
      </c>
      <c r="E27" s="223">
        <v>33.806423383911863</v>
      </c>
      <c r="F27" s="223">
        <v>14.342119011356546</v>
      </c>
      <c r="G27" s="224">
        <v>73.987121883982184</v>
      </c>
      <c r="H27" s="223">
        <v>0</v>
      </c>
      <c r="I27" s="223">
        <v>73.987121883982184</v>
      </c>
      <c r="J27" s="223">
        <v>0</v>
      </c>
      <c r="K27" s="224">
        <v>4.5192778176981978</v>
      </c>
      <c r="L27" s="224">
        <f t="shared" si="0"/>
        <v>4.3458194248526256</v>
      </c>
      <c r="M27" s="223">
        <v>0.74898143607919576</v>
      </c>
      <c r="N27" s="223">
        <f>'2020'!N33</f>
        <v>0.72023411816377791</v>
      </c>
      <c r="O27" s="223">
        <v>3.7702963816190023</v>
      </c>
      <c r="P27" s="223">
        <f>'2020'!P33</f>
        <v>3.6255853066888477</v>
      </c>
      <c r="Q27" s="223">
        <v>1.5995196770504858</v>
      </c>
      <c r="R27" s="223">
        <f>'2020'!S33</f>
        <v>1.5381270998073899</v>
      </c>
      <c r="S27" s="224">
        <f t="shared" si="2"/>
        <v>8.2514903974826659</v>
      </c>
      <c r="T27" s="224">
        <f t="shared" si="1"/>
        <v>7.9347826577365348</v>
      </c>
      <c r="U27" s="223">
        <v>0</v>
      </c>
      <c r="V27" s="223">
        <f>'2020'!W33</f>
        <v>0</v>
      </c>
      <c r="W27" s="223">
        <v>8.2514903974826659</v>
      </c>
      <c r="X27" s="223">
        <f>'2020'!Y33</f>
        <v>7.9347826577365348</v>
      </c>
      <c r="Y27" s="223">
        <v>0</v>
      </c>
      <c r="Z27" s="223">
        <f>'2020'!AA33</f>
        <v>0</v>
      </c>
    </row>
    <row r="28" spans="1:26">
      <c r="A28" s="225" t="s">
        <v>465</v>
      </c>
      <c r="B28" s="221">
        <v>2020</v>
      </c>
      <c r="C28" s="222">
        <v>39.908289467911899</v>
      </c>
      <c r="D28" s="223">
        <v>2.5266611838450714</v>
      </c>
      <c r="E28" s="223">
        <v>37.381628284066828</v>
      </c>
      <c r="F28" s="223">
        <v>0</v>
      </c>
      <c r="G28" s="224">
        <v>5.6687911176011223</v>
      </c>
      <c r="H28" s="223">
        <v>1.619654605028892</v>
      </c>
      <c r="I28" s="223">
        <v>4.0491365125722298</v>
      </c>
      <c r="J28" s="223">
        <v>0</v>
      </c>
      <c r="K28" s="224">
        <v>19.063391654531198</v>
      </c>
      <c r="L28" s="224">
        <f t="shared" si="0"/>
        <v>20.57406125511077</v>
      </c>
      <c r="M28" s="223">
        <v>1.2069355105953192</v>
      </c>
      <c r="N28" s="223">
        <f>'2020'!N34</f>
        <v>1.3025785534891559</v>
      </c>
      <c r="O28" s="223">
        <v>17.85645614393588</v>
      </c>
      <c r="P28" s="223">
        <f>'2020'!P34</f>
        <v>19.271482701621615</v>
      </c>
      <c r="Q28" s="223">
        <v>0</v>
      </c>
      <c r="R28" s="223">
        <f>'2020'!S34</f>
        <v>0</v>
      </c>
      <c r="S28" s="224">
        <f t="shared" si="2"/>
        <v>2.7078681327459089</v>
      </c>
      <c r="T28" s="224">
        <f t="shared" si="1"/>
        <v>2.9224518828282346</v>
      </c>
      <c r="U28" s="223">
        <v>0.77367660935597393</v>
      </c>
      <c r="V28" s="223">
        <f>'2020'!W34</f>
        <v>0.83498625223663836</v>
      </c>
      <c r="W28" s="223">
        <v>1.9341915233899349</v>
      </c>
      <c r="X28" s="223">
        <f>'2020'!Y34</f>
        <v>2.0874656305915962</v>
      </c>
      <c r="Y28" s="223">
        <v>0</v>
      </c>
      <c r="Z28" s="223">
        <f>'2020'!AA34</f>
        <v>0</v>
      </c>
    </row>
    <row r="29" spans="1:26">
      <c r="A29" s="225" t="s">
        <v>451</v>
      </c>
      <c r="B29" s="221">
        <v>2020</v>
      </c>
      <c r="C29" s="222">
        <v>13.348965621899445</v>
      </c>
      <c r="D29" s="223">
        <v>1.1414792455781</v>
      </c>
      <c r="E29" s="223">
        <v>12.207486376321347</v>
      </c>
      <c r="F29" s="223">
        <v>0</v>
      </c>
      <c r="G29" s="224">
        <v>13.740027956032684</v>
      </c>
      <c r="H29" s="223">
        <v>5.4960111824130733</v>
      </c>
      <c r="I29" s="223">
        <v>8.2440167736196095</v>
      </c>
      <c r="J29" s="223">
        <v>0</v>
      </c>
      <c r="K29" s="224">
        <v>4.2369754101110404</v>
      </c>
      <c r="L29" s="224">
        <f t="shared" si="0"/>
        <v>4.0395803375278465</v>
      </c>
      <c r="M29" s="223">
        <v>0.31784240720826956</v>
      </c>
      <c r="N29" s="223">
        <f>'2020'!N35</f>
        <v>0.34542729727078975</v>
      </c>
      <c r="O29" s="223">
        <v>3.3991479659773267</v>
      </c>
      <c r="P29" s="223">
        <f>'2020'!P35</f>
        <v>3.6941530402570568</v>
      </c>
      <c r="Q29" s="223">
        <v>0</v>
      </c>
      <c r="R29" s="223">
        <f>'2020'!S35</f>
        <v>0</v>
      </c>
      <c r="S29" s="224">
        <f t="shared" si="2"/>
        <v>4.3610989969472307</v>
      </c>
      <c r="T29" s="224">
        <f t="shared" si="1"/>
        <v>4.1579211708520978</v>
      </c>
      <c r="U29" s="223">
        <v>1.7444395987788921</v>
      </c>
      <c r="V29" s="223">
        <f>'2020'!W35</f>
        <v>1.6631684683408392</v>
      </c>
      <c r="W29" s="223">
        <v>2.6166593981683381</v>
      </c>
      <c r="X29" s="223">
        <f>'2020'!Y35</f>
        <v>2.4947527025112586</v>
      </c>
      <c r="Y29" s="223">
        <v>0</v>
      </c>
      <c r="Z29" s="223">
        <f>'2020'!AA35</f>
        <v>0</v>
      </c>
    </row>
    <row r="30" spans="1:26">
      <c r="A30" s="225" t="s">
        <v>539</v>
      </c>
      <c r="B30" s="221">
        <v>2020</v>
      </c>
      <c r="C30" s="222">
        <v>10.813502429197396</v>
      </c>
      <c r="D30" s="223">
        <v>2.5041795099193971</v>
      </c>
      <c r="E30" s="223">
        <v>8.3093229192779994</v>
      </c>
      <c r="F30" s="223">
        <v>8.9922809674378357</v>
      </c>
      <c r="G30" s="224">
        <v>14.797424376796437</v>
      </c>
      <c r="H30" s="223">
        <v>0</v>
      </c>
      <c r="I30" s="223">
        <v>14.797424376796437</v>
      </c>
      <c r="J30" s="223">
        <v>0</v>
      </c>
      <c r="K30" s="224">
        <v>4.7257657605524459</v>
      </c>
      <c r="L30" s="224">
        <f t="shared" si="0"/>
        <v>3.1691083606135417</v>
      </c>
      <c r="M30" s="223">
        <v>1.0943878603384611</v>
      </c>
      <c r="N30" s="223">
        <f>'2020'!N36</f>
        <v>0.73389877824734639</v>
      </c>
      <c r="O30" s="223">
        <v>3.6313779002139848</v>
      </c>
      <c r="P30" s="223">
        <f>'2020'!P36</f>
        <v>2.4352095823661952</v>
      </c>
      <c r="Q30" s="223">
        <v>3.9298473166699286</v>
      </c>
      <c r="R30" s="223">
        <f>'2020'!S36</f>
        <v>2.6353637946154715</v>
      </c>
      <c r="S30" s="224">
        <f t="shared" si="2"/>
        <v>6.4668373565454518</v>
      </c>
      <c r="T30" s="224">
        <f t="shared" si="1"/>
        <v>4.3366745987343203</v>
      </c>
      <c r="U30" s="223">
        <v>0</v>
      </c>
      <c r="V30" s="223">
        <f>'2020'!W36</f>
        <v>0</v>
      </c>
      <c r="W30" s="223">
        <v>6.4668373565454518</v>
      </c>
      <c r="X30" s="223">
        <f>'2020'!Y36</f>
        <v>4.3366745987343203</v>
      </c>
      <c r="Y30" s="223">
        <v>0</v>
      </c>
      <c r="Z30" s="223">
        <f>'2020'!AA36</f>
        <v>0</v>
      </c>
    </row>
    <row r="31" spans="1:26">
      <c r="A31" s="225" t="s">
        <v>540</v>
      </c>
      <c r="B31" s="221">
        <v>2020</v>
      </c>
      <c r="C31" s="222">
        <v>3.9671784617144987</v>
      </c>
      <c r="D31" s="223">
        <v>0.153665560835963</v>
      </c>
      <c r="E31" s="223">
        <v>3.8135129008785356</v>
      </c>
      <c r="F31" s="223">
        <v>0.54465904340746885</v>
      </c>
      <c r="G31" s="224">
        <v>4.5644362885349006</v>
      </c>
      <c r="H31" s="223">
        <v>0</v>
      </c>
      <c r="I31" s="223">
        <v>4.5644362885349006</v>
      </c>
      <c r="J31" s="223">
        <v>0</v>
      </c>
      <c r="K31" s="224">
        <v>3.795231345008085</v>
      </c>
      <c r="L31" s="224">
        <f t="shared" si="0"/>
        <v>2.1832262350709453</v>
      </c>
      <c r="M31" s="223">
        <v>0.14938370504871756</v>
      </c>
      <c r="N31" s="223">
        <f>'2020'!N37</f>
        <v>8.4565563934569557E-2</v>
      </c>
      <c r="O31" s="223">
        <v>3.6458476399593676</v>
      </c>
      <c r="P31" s="223">
        <f>'2020'!P37</f>
        <v>2.0986606711363756</v>
      </c>
      <c r="Q31" s="223">
        <v>0.52948224345045447</v>
      </c>
      <c r="R31" s="223">
        <f>'2020'!S37</f>
        <v>0.29973794327919656</v>
      </c>
      <c r="S31" s="224">
        <f t="shared" si="2"/>
        <v>4.4372493129285733</v>
      </c>
      <c r="T31" s="224">
        <f t="shared" si="1"/>
        <v>2.5119104546490658</v>
      </c>
      <c r="U31" s="223">
        <v>0</v>
      </c>
      <c r="V31" s="223">
        <f>'2020'!W37</f>
        <v>0</v>
      </c>
      <c r="W31" s="223">
        <v>4.4372493129285733</v>
      </c>
      <c r="X31" s="223">
        <f>'2020'!Y37</f>
        <v>2.5119104546490658</v>
      </c>
      <c r="Y31" s="223">
        <v>0</v>
      </c>
      <c r="Z31" s="223">
        <f>'2020'!AA37</f>
        <v>0</v>
      </c>
    </row>
    <row r="32" spans="1:26">
      <c r="A32" s="225" t="s">
        <v>541</v>
      </c>
      <c r="B32" s="221">
        <v>2020</v>
      </c>
      <c r="C32" s="222">
        <v>2.7659800950473437</v>
      </c>
      <c r="D32" s="223">
        <v>0.45530536543989192</v>
      </c>
      <c r="E32" s="223">
        <v>2.3106747296074519</v>
      </c>
      <c r="F32" s="223">
        <v>0.1</v>
      </c>
      <c r="G32" s="224">
        <v>3.5</v>
      </c>
      <c r="H32" s="223">
        <v>1</v>
      </c>
      <c r="I32" s="223">
        <v>2.5</v>
      </c>
      <c r="J32" s="223">
        <v>0</v>
      </c>
      <c r="K32" s="224">
        <v>5.3460563319061984</v>
      </c>
      <c r="L32" s="224">
        <f t="shared" si="0"/>
        <v>3.6376590060985183</v>
      </c>
      <c r="M32" s="223">
        <v>0.88000927274176111</v>
      </c>
      <c r="N32" s="223">
        <f>'2020'!N38</f>
        <v>0.59879160594214276</v>
      </c>
      <c r="O32" s="223">
        <v>4.4660470591644374</v>
      </c>
      <c r="P32" s="223">
        <f>'2020'!P38</f>
        <v>3.0388674001563754</v>
      </c>
      <c r="Q32" s="223">
        <v>0.3</v>
      </c>
      <c r="R32" s="223">
        <f>'2020'!S38</f>
        <v>0.13151428720011285</v>
      </c>
      <c r="S32" s="224">
        <f t="shared" si="2"/>
        <v>6.6</v>
      </c>
      <c r="T32" s="224">
        <f t="shared" si="1"/>
        <v>4.6030000520039493</v>
      </c>
      <c r="U32" s="223">
        <v>1.9</v>
      </c>
      <c r="V32" s="223">
        <f>'2020'!W38</f>
        <v>1.3151428720011284</v>
      </c>
      <c r="W32" s="223">
        <v>4.7</v>
      </c>
      <c r="X32" s="223">
        <f>'2020'!Y38</f>
        <v>3.2878571800028213</v>
      </c>
      <c r="Y32" s="223">
        <v>0</v>
      </c>
      <c r="Z32" s="223">
        <f>'2020'!AA38</f>
        <v>0</v>
      </c>
    </row>
    <row r="33" spans="1:26">
      <c r="A33" s="225" t="s">
        <v>450</v>
      </c>
      <c r="B33" s="221">
        <v>2020</v>
      </c>
      <c r="C33" s="222">
        <v>22.325028541088958</v>
      </c>
      <c r="D33" s="223">
        <v>4.0762172736226612</v>
      </c>
      <c r="E33" s="223">
        <v>18.248811267466294</v>
      </c>
      <c r="F33" s="223">
        <v>36.259500442474554</v>
      </c>
      <c r="G33" s="224">
        <v>28.325705271031612</v>
      </c>
      <c r="H33" s="223">
        <v>1.2663765826177678</v>
      </c>
      <c r="I33" s="223">
        <v>27.059328688413846</v>
      </c>
      <c r="J33" s="223">
        <v>0</v>
      </c>
      <c r="K33" s="224">
        <v>4.2006968782557186</v>
      </c>
      <c r="L33" s="224">
        <f t="shared" si="0"/>
        <v>4.2849973345248626</v>
      </c>
      <c r="M33" s="223">
        <v>0.76698460406821656</v>
      </c>
      <c r="N33" s="223">
        <f>'2020'!N39</f>
        <v>0.78237661019202132</v>
      </c>
      <c r="O33" s="223">
        <v>3.4337122741875019</v>
      </c>
      <c r="P33" s="223">
        <f>'2020'!P39</f>
        <v>3.5026207243328411</v>
      </c>
      <c r="Q33" s="223">
        <v>6.8226192873832332</v>
      </c>
      <c r="R33" s="223">
        <f>'2020'!S39</f>
        <v>6.9595370264027405</v>
      </c>
      <c r="S33" s="224">
        <f t="shared" si="2"/>
        <v>5.3297894552483349</v>
      </c>
      <c r="T33" s="224">
        <f t="shared" si="1"/>
        <v>5.4367487755510364</v>
      </c>
      <c r="U33" s="223">
        <v>0.23828252436532485</v>
      </c>
      <c r="V33" s="223">
        <f>'2020'!W39</f>
        <v>0.24306442748928966</v>
      </c>
      <c r="W33" s="223">
        <v>5.0915069308830097</v>
      </c>
      <c r="X33" s="223">
        <f>'2020'!Y39</f>
        <v>5.1936843480617467</v>
      </c>
      <c r="Y33" s="223">
        <v>0</v>
      </c>
      <c r="Z33" s="223">
        <f>'2020'!AA39</f>
        <v>0</v>
      </c>
    </row>
    <row r="34" spans="1:26">
      <c r="A34" s="225" t="s">
        <v>453</v>
      </c>
      <c r="B34" s="221">
        <v>2020</v>
      </c>
      <c r="C34" s="222">
        <v>39.489616738061301</v>
      </c>
      <c r="D34" s="223">
        <v>3.1894478304486302</v>
      </c>
      <c r="E34" s="223">
        <v>36.300168907612672</v>
      </c>
      <c r="F34" s="223">
        <v>0</v>
      </c>
      <c r="G34" s="224">
        <v>44.864899481644059</v>
      </c>
      <c r="H34" s="223">
        <v>0.85051942145296811</v>
      </c>
      <c r="I34" s="223">
        <v>44.014380060191094</v>
      </c>
      <c r="J34" s="223">
        <v>0</v>
      </c>
      <c r="K34" s="224">
        <v>5.2882597816353591</v>
      </c>
      <c r="L34" s="224">
        <f t="shared" si="0"/>
        <v>6.6839313543188199</v>
      </c>
      <c r="M34" s="223">
        <v>0.42711553265415886</v>
      </c>
      <c r="N34" s="223">
        <f>'2020'!N40</f>
        <v>0.53983938356010286</v>
      </c>
      <c r="O34" s="223">
        <v>4.8611442489812005</v>
      </c>
      <c r="P34" s="223">
        <f>'2020'!P40</f>
        <v>6.1440919707587174</v>
      </c>
      <c r="Q34" s="223">
        <v>0</v>
      </c>
      <c r="R34" s="223">
        <f>'2020'!S40</f>
        <v>0</v>
      </c>
      <c r="S34" s="224">
        <f t="shared" si="2"/>
        <v>6.0080918260018352</v>
      </c>
      <c r="T34" s="224">
        <f t="shared" si="1"/>
        <v>7.5937406620787797</v>
      </c>
      <c r="U34" s="223">
        <v>0.11389747537444236</v>
      </c>
      <c r="V34" s="223">
        <f>'2020'!W40</f>
        <v>0.14395716894936081</v>
      </c>
      <c r="W34" s="223">
        <v>5.8941943506273926</v>
      </c>
      <c r="X34" s="223">
        <f>'2020'!Y40</f>
        <v>7.4497834931294191</v>
      </c>
      <c r="Y34" s="223">
        <v>0</v>
      </c>
      <c r="Z34" s="223">
        <f>'2020'!AA40</f>
        <v>0</v>
      </c>
    </row>
    <row r="35" spans="1:26">
      <c r="A35" s="221" t="s">
        <v>490</v>
      </c>
      <c r="B35" s="221">
        <v>2020</v>
      </c>
      <c r="C35" s="222">
        <v>20.735557264419626</v>
      </c>
      <c r="D35" s="223">
        <v>2.21544520875785</v>
      </c>
      <c r="E35" s="223">
        <v>18.520112055661777</v>
      </c>
      <c r="F35" s="223">
        <v>3.04</v>
      </c>
      <c r="G35" s="224">
        <v>4.5003203243428693</v>
      </c>
      <c r="H35" s="223">
        <v>0</v>
      </c>
      <c r="I35" s="223">
        <v>0</v>
      </c>
      <c r="J35" s="223">
        <v>4.5003203243428693</v>
      </c>
      <c r="K35" s="224">
        <v>8.2454087590096599</v>
      </c>
      <c r="L35" s="224">
        <f t="shared" si="0"/>
        <v>4.6988645618176559</v>
      </c>
      <c r="M35" s="223">
        <v>0.88096264288700565</v>
      </c>
      <c r="N35" s="223">
        <f>'2020'!N41</f>
        <v>0.50203989443504105</v>
      </c>
      <c r="O35" s="223">
        <v>7.3644461161226555</v>
      </c>
      <c r="P35" s="223">
        <f>'2020'!P41</f>
        <v>4.1968246673826144</v>
      </c>
      <c r="Q35" s="223">
        <v>1.2088434522278535</v>
      </c>
      <c r="R35" s="223">
        <f>'2020'!S41</f>
        <v>0.688891457594761</v>
      </c>
      <c r="S35" s="224">
        <f t="shared" si="2"/>
        <v>0</v>
      </c>
      <c r="T35" s="224">
        <f t="shared" si="1"/>
        <v>0</v>
      </c>
      <c r="U35" s="223">
        <v>0</v>
      </c>
      <c r="V35" s="223">
        <f>'2020'!W41</f>
        <v>0</v>
      </c>
      <c r="W35" s="223">
        <v>0</v>
      </c>
      <c r="X35" s="223">
        <f>'2020'!Y41</f>
        <v>0</v>
      </c>
      <c r="Y35" s="223">
        <v>1.7895338016479629</v>
      </c>
      <c r="Z35" s="223">
        <f>'2020'!AA41</f>
        <v>1.0198132328552258</v>
      </c>
    </row>
    <row r="36" spans="1:26">
      <c r="A36" s="221" t="s">
        <v>481</v>
      </c>
      <c r="B36" s="221">
        <v>2020</v>
      </c>
      <c r="C36" s="222">
        <v>11.060053989571156</v>
      </c>
      <c r="D36" s="223">
        <v>2.9135225289071882</v>
      </c>
      <c r="E36" s="223">
        <v>8.1465314606639669</v>
      </c>
      <c r="F36" s="223">
        <v>0.10756165425876577</v>
      </c>
      <c r="G36" s="224">
        <v>15.41143382219596</v>
      </c>
      <c r="H36" s="223">
        <v>8.5363617861112981</v>
      </c>
      <c r="I36" s="223">
        <v>6.8750720360846609</v>
      </c>
      <c r="J36" s="223">
        <v>0</v>
      </c>
      <c r="K36" s="224">
        <v>4.1001315963942302</v>
      </c>
      <c r="L36" s="224">
        <f t="shared" si="0"/>
        <v>1.6018173047492037</v>
      </c>
      <c r="M36" s="223">
        <v>1.0800874741518307</v>
      </c>
      <c r="N36" s="223">
        <f>'2020'!N42</f>
        <v>0.42196275072262579</v>
      </c>
      <c r="O36" s="223">
        <v>3.0200441222424002</v>
      </c>
      <c r="P36" s="223">
        <f>'2020'!P42</f>
        <v>1.1798545540265779</v>
      </c>
      <c r="Q36" s="223">
        <v>3.9874754463463308E-2</v>
      </c>
      <c r="R36" s="223">
        <f>'2020'!S42</f>
        <v>1.5578054074745292E-2</v>
      </c>
      <c r="S36" s="224">
        <f t="shared" si="2"/>
        <v>5.713254819525023</v>
      </c>
      <c r="T36" s="224">
        <f t="shared" si="1"/>
        <v>2.2320235878295058</v>
      </c>
      <c r="U36" s="223">
        <v>3.1645602011066072</v>
      </c>
      <c r="V36" s="223">
        <f>'2020'!W42</f>
        <v>1.2363133165069735</v>
      </c>
      <c r="W36" s="223">
        <v>2.5486946184184163</v>
      </c>
      <c r="X36" s="223">
        <f>'2020'!Y42</f>
        <v>0.99571027132253231</v>
      </c>
      <c r="Y36" s="223">
        <v>0</v>
      </c>
      <c r="Z36" s="223">
        <f>'2020'!AA42</f>
        <v>0</v>
      </c>
    </row>
    <row r="37" spans="1:26">
      <c r="A37" s="221" t="s">
        <v>542</v>
      </c>
      <c r="B37" s="221">
        <v>2020</v>
      </c>
      <c r="C37" s="222">
        <v>0.84666152667042227</v>
      </c>
      <c r="D37" s="223">
        <v>0.1953834292316359</v>
      </c>
      <c r="E37" s="223">
        <v>0.6512780974387864</v>
      </c>
      <c r="F37" s="223">
        <v>0.40447797630408838</v>
      </c>
      <c r="G37" s="224"/>
      <c r="H37" s="223">
        <v>0</v>
      </c>
      <c r="I37" s="223">
        <v>0</v>
      </c>
      <c r="J37" s="223">
        <v>0</v>
      </c>
      <c r="K37" s="224">
        <v>1.4290119139938693</v>
      </c>
      <c r="L37" s="224">
        <f t="shared" si="0"/>
        <v>0.92801617704075523</v>
      </c>
      <c r="M37" s="223">
        <v>0.32977198015243137</v>
      </c>
      <c r="N37" s="223">
        <f>'2020'!N43</f>
        <v>0.21415757931709736</v>
      </c>
      <c r="O37" s="223">
        <v>1.0992399338414378</v>
      </c>
      <c r="P37" s="223">
        <f>'2020'!P43</f>
        <v>0.71385859772365789</v>
      </c>
      <c r="Q37" s="223">
        <v>0.682685853648893</v>
      </c>
      <c r="R37" s="223">
        <f>'2020'!S43</f>
        <v>0.44334376069153497</v>
      </c>
      <c r="S37" s="224">
        <f t="shared" si="2"/>
        <v>0</v>
      </c>
      <c r="T37" s="224">
        <f t="shared" si="1"/>
        <v>0</v>
      </c>
      <c r="U37" s="223">
        <v>0</v>
      </c>
      <c r="V37" s="223">
        <f>'2020'!W43</f>
        <v>0</v>
      </c>
      <c r="W37" s="223">
        <v>0</v>
      </c>
      <c r="X37" s="223">
        <f>'2020'!Y43</f>
        <v>0</v>
      </c>
      <c r="Y37" s="223">
        <v>0</v>
      </c>
      <c r="Z37" s="223">
        <f>'2020'!AA43</f>
        <v>0</v>
      </c>
    </row>
    <row r="38" spans="1:26">
      <c r="A38" s="221" t="s">
        <v>543</v>
      </c>
      <c r="B38" s="221">
        <v>2020</v>
      </c>
      <c r="C38" s="222">
        <v>5.9975490460949956</v>
      </c>
      <c r="D38" s="223">
        <v>1.7694150329493317</v>
      </c>
      <c r="E38" s="223">
        <v>4.2281340131456639</v>
      </c>
      <c r="F38" s="223">
        <v>0</v>
      </c>
      <c r="G38" s="224">
        <v>6.6270225953158493</v>
      </c>
      <c r="H38" s="223">
        <v>0</v>
      </c>
      <c r="I38" s="223">
        <v>6.6270225953158493</v>
      </c>
      <c r="J38" s="223">
        <v>0</v>
      </c>
      <c r="K38" s="224">
        <v>4</v>
      </c>
      <c r="L38" s="224">
        <f t="shared" si="0"/>
        <v>1.9353914644892853</v>
      </c>
      <c r="M38" s="223">
        <v>1.180092080515055</v>
      </c>
      <c r="N38" s="223">
        <f>'2020'!N44</f>
        <v>0.57098503498505992</v>
      </c>
      <c r="O38" s="223">
        <v>2.8199079194849448</v>
      </c>
      <c r="P38" s="223">
        <f>'2020'!P44</f>
        <v>1.3644064295042255</v>
      </c>
      <c r="Q38" s="223">
        <v>0</v>
      </c>
      <c r="R38" s="223">
        <f>'2020'!S44</f>
        <v>0</v>
      </c>
      <c r="S38" s="224">
        <f t="shared" si="2"/>
        <v>4.4198205262736145</v>
      </c>
      <c r="T38" s="224">
        <f t="shared" si="1"/>
        <v>2.1385207302811238</v>
      </c>
      <c r="U38" s="223">
        <v>0</v>
      </c>
      <c r="V38" s="223">
        <f>'2020'!W44</f>
        <v>0</v>
      </c>
      <c r="W38" s="223">
        <v>4.4198205262736145</v>
      </c>
      <c r="X38" s="223">
        <f>'2020'!Y44</f>
        <v>2.1385207302811238</v>
      </c>
      <c r="Y38" s="223">
        <v>0</v>
      </c>
      <c r="Z38" s="223">
        <f>'2020'!AA44</f>
        <v>0</v>
      </c>
    </row>
    <row r="39" spans="1:26">
      <c r="A39" s="221" t="s">
        <v>487</v>
      </c>
      <c r="B39" s="221">
        <v>2020</v>
      </c>
      <c r="C39" s="222">
        <v>44.709731424704025</v>
      </c>
      <c r="D39" s="223">
        <v>2.1654285875212778</v>
      </c>
      <c r="E39" s="223">
        <v>42.544302837182748</v>
      </c>
      <c r="F39" s="223">
        <v>0</v>
      </c>
      <c r="G39" s="224">
        <v>31.58978174736923</v>
      </c>
      <c r="H39" s="223">
        <v>12.737815220713399</v>
      </c>
      <c r="I39" s="223">
        <v>18.851966526655829</v>
      </c>
      <c r="J39" s="223">
        <v>0</v>
      </c>
      <c r="K39" s="224">
        <v>7.6769895099565364</v>
      </c>
      <c r="L39" s="224">
        <f t="shared" si="0"/>
        <v>3.6785330081688583</v>
      </c>
      <c r="M39" s="223">
        <v>0.37182000475572968</v>
      </c>
      <c r="N39" s="223">
        <f>'2020'!N45</f>
        <v>0.17816256734720967</v>
      </c>
      <c r="O39" s="223">
        <v>7.3051695052008068</v>
      </c>
      <c r="P39" s="223">
        <f>'2020'!P45</f>
        <v>3.5003704408216487</v>
      </c>
      <c r="Q39" s="223">
        <v>0</v>
      </c>
      <c r="R39" s="223">
        <f>'2020'!S45</f>
        <v>0</v>
      </c>
      <c r="S39" s="224">
        <f t="shared" si="2"/>
        <v>5.4241977164365274</v>
      </c>
      <c r="T39" s="224">
        <f t="shared" si="1"/>
        <v>2.5990774530651759</v>
      </c>
      <c r="U39" s="223">
        <v>2.1871764985631157</v>
      </c>
      <c r="V39" s="223">
        <f>'2020'!W45</f>
        <v>1.0480151020424098</v>
      </c>
      <c r="W39" s="223">
        <v>3.2370212178734112</v>
      </c>
      <c r="X39" s="223">
        <f>'2020'!Y45</f>
        <v>1.5510623510227664</v>
      </c>
      <c r="Y39" s="223">
        <v>0</v>
      </c>
      <c r="Z39" s="223">
        <f>'2020'!AA45</f>
        <v>0</v>
      </c>
    </row>
    <row r="40" spans="1:26">
      <c r="A40" s="221" t="s">
        <v>461</v>
      </c>
      <c r="B40" s="217">
        <v>2021</v>
      </c>
      <c r="C40" s="218">
        <f>D40+E40</f>
        <v>31.278018051981519</v>
      </c>
      <c r="D40" s="219">
        <f>'2021'!D8-'2020'!D8</f>
        <v>2.3475350119164773</v>
      </c>
      <c r="E40" s="219">
        <f>'2021'!E8-'2020'!E8</f>
        <v>28.930483040065042</v>
      </c>
      <c r="F40" s="219">
        <f>'2021'!F8-'2020'!F8</f>
        <v>0</v>
      </c>
      <c r="G40" s="220">
        <f>H40+I40</f>
        <v>2.081252462922123E-4</v>
      </c>
      <c r="H40" s="219">
        <f>'2021'!H8-'2020'!H8</f>
        <v>8.9196534112545578E-5</v>
      </c>
      <c r="I40" s="219">
        <f>'2021'!I8-'2020'!I8</f>
        <v>1.1892871217966672E-4</v>
      </c>
      <c r="J40" s="219">
        <f>'2021'!J8-'2020'!J8</f>
        <v>0</v>
      </c>
      <c r="K40" s="220">
        <f>M40+O40</f>
        <v>2.0924923306812628</v>
      </c>
      <c r="L40" s="220">
        <f>N40+P40</f>
        <v>2.5501522412622646</v>
      </c>
      <c r="M40" s="219">
        <f>'2021'!M8-'2020'!M8</f>
        <v>0.15704956114154356</v>
      </c>
      <c r="N40" s="219">
        <f>'2021'!N8-'2020'!N8</f>
        <v>0.19139868971656837</v>
      </c>
      <c r="O40" s="219">
        <f>'2021'!O8-'2020'!O8</f>
        <v>1.9354427695397192</v>
      </c>
      <c r="P40" s="219">
        <f>'2021'!P8-'2020'!P8</f>
        <v>2.3587535515456963</v>
      </c>
      <c r="Q40" s="219">
        <f>'2021'!Q8-'2020'!Q8</f>
        <v>0</v>
      </c>
      <c r="R40" s="219">
        <f>'2021'!R8-'2020'!S8</f>
        <v>0</v>
      </c>
      <c r="S40" s="220">
        <f>U40+W40+Y40</f>
        <v>1.3923531886228524E-5</v>
      </c>
      <c r="T40" s="220">
        <f>V40+X40+Z40</f>
        <v>1.6968820160556675E-5</v>
      </c>
      <c r="U40" s="219">
        <f>'2021'!U8-'2020'!V8</f>
        <v>5.9672279504319192E-6</v>
      </c>
      <c r="V40" s="219">
        <f>'2021'!V8-'2020'!W8</f>
        <v>7.2723514963346503E-6</v>
      </c>
      <c r="W40" s="219">
        <f>'2021'!W8-'2020'!X8</f>
        <v>7.9563039357966048E-6</v>
      </c>
      <c r="X40" s="219">
        <f>'2021'!X8-'2020'!Y8</f>
        <v>9.6964686642220244E-6</v>
      </c>
      <c r="Y40" s="219">
        <f>'2021'!Y8-'2020'!Z8</f>
        <v>0</v>
      </c>
      <c r="Z40" s="219">
        <f>'2021'!Z8-'2020'!AA8</f>
        <v>0</v>
      </c>
    </row>
    <row r="41" spans="1:26">
      <c r="A41" s="221" t="s">
        <v>459</v>
      </c>
      <c r="B41" s="217">
        <v>2021</v>
      </c>
      <c r="C41" s="218">
        <f t="shared" ref="C41:C77" si="3">D41+E41</f>
        <v>21.68529484284695</v>
      </c>
      <c r="D41" s="219">
        <f>'2021'!D9-'2020'!D9</f>
        <v>6.4210348024689026</v>
      </c>
      <c r="E41" s="219">
        <f>'2021'!E9-'2020'!E9</f>
        <v>15.264260040378048</v>
      </c>
      <c r="F41" s="219">
        <f>'2021'!F9-'2020'!F9</f>
        <v>4.7831845970355076</v>
      </c>
      <c r="G41" s="220">
        <f t="shared" ref="G41:G77" si="4">H41+I41</f>
        <v>-0.97855874250708608</v>
      </c>
      <c r="H41" s="219">
        <f>'2021'!H9-'2020'!H9</f>
        <v>8.2097879474187785E-3</v>
      </c>
      <c r="I41" s="219">
        <f>'2021'!I9-'2020'!I9</f>
        <v>-0.98676853045450486</v>
      </c>
      <c r="J41" s="219">
        <f>'2021'!J9-'2020'!J9</f>
        <v>0</v>
      </c>
      <c r="K41" s="220">
        <f t="shared" ref="K41:K77" si="5">M41+O41</f>
        <v>1.2781580682264218</v>
      </c>
      <c r="L41" s="220">
        <f t="shared" ref="L41:L77" si="6">N41+P41</f>
        <v>1.2582212886513617</v>
      </c>
      <c r="M41" s="219">
        <f>'2021'!M9-'2020'!M9</f>
        <v>0.37846372385595872</v>
      </c>
      <c r="N41" s="219">
        <f>'2021'!N9-'2020'!N9</f>
        <v>0.37256042595623784</v>
      </c>
      <c r="O41" s="219">
        <f>'2021'!O9-'2020'!O9</f>
        <v>0.89969434437046303</v>
      </c>
      <c r="P41" s="219">
        <f>'2021'!P9-'2020'!P9</f>
        <v>0.8856608626951239</v>
      </c>
      <c r="Q41" s="219">
        <f>'2021'!Q9-'2020'!Q9</f>
        <v>0.28192680933429504</v>
      </c>
      <c r="R41" s="219">
        <f>'2021'!R9-'2020'!S9</f>
        <v>0.27752929951628191</v>
      </c>
      <c r="S41" s="220">
        <f>U41+W41+Y41</f>
        <v>-5.7677461202770064E-2</v>
      </c>
      <c r="T41" s="220">
        <f t="shared" ref="T41:T77" si="7">V41+X41+Z41</f>
        <v>-5.6777805002935833E-2</v>
      </c>
      <c r="U41" s="219">
        <f>'2021'!U9-'2020'!V9</f>
        <v>4.8389504405943473E-4</v>
      </c>
      <c r="V41" s="219">
        <f>'2021'!V9-'2020'!W9</f>
        <v>4.763472226508858E-4</v>
      </c>
      <c r="W41" s="219">
        <f>'2021'!W9-'2020'!X9</f>
        <v>-5.8161356246829499E-2</v>
      </c>
      <c r="X41" s="219">
        <f>'2021'!X9-'2020'!Y9</f>
        <v>-5.7254152225586719E-2</v>
      </c>
      <c r="Y41" s="219">
        <f>'2021'!Y9-'2020'!Z9</f>
        <v>0</v>
      </c>
      <c r="Z41" s="219">
        <f>'2021'!Z9-'2020'!AA9</f>
        <v>0</v>
      </c>
    </row>
    <row r="42" spans="1:26">
      <c r="A42" s="221" t="s">
        <v>457</v>
      </c>
      <c r="B42" s="217">
        <v>2021</v>
      </c>
      <c r="C42" s="218">
        <f t="shared" si="3"/>
        <v>54.826803879689734</v>
      </c>
      <c r="D42" s="219">
        <f>'2021'!D10-'2020'!D10</f>
        <v>18.372481418099841</v>
      </c>
      <c r="E42" s="219">
        <f>'2021'!E10-'2020'!E10</f>
        <v>36.454322461589896</v>
      </c>
      <c r="F42" s="219">
        <f>'2021'!F10-'2020'!F10</f>
        <v>16.600029288066985</v>
      </c>
      <c r="G42" s="220">
        <f>H42+I42</f>
        <v>-5.4390850062279696</v>
      </c>
      <c r="H42" s="219">
        <f>'2021'!H10-'2020'!H10</f>
        <v>-5.8973249349522234</v>
      </c>
      <c r="I42" s="219">
        <f>'2021'!I10-'2020'!I10</f>
        <v>0.45823992872425379</v>
      </c>
      <c r="J42" s="219">
        <f>'2021'!J10-'2020'!J10</f>
        <v>0</v>
      </c>
      <c r="K42" s="220">
        <f t="shared" si="5"/>
        <v>2.0951751101358029</v>
      </c>
      <c r="L42" s="220">
        <f t="shared" si="6"/>
        <v>1.8859684140617174</v>
      </c>
      <c r="M42" s="219">
        <f>'2021'!M10-'2020'!M10</f>
        <v>0.70209392221921985</v>
      </c>
      <c r="N42" s="219">
        <f>'2021'!N10-'2020'!N10</f>
        <v>0.63198868419371745</v>
      </c>
      <c r="O42" s="219">
        <f>'2021'!O10-'2020'!O10</f>
        <v>1.3930811879165832</v>
      </c>
      <c r="P42" s="219">
        <f>'2021'!P10-'2020'!P10</f>
        <v>1.253979729868</v>
      </c>
      <c r="Q42" s="219">
        <f>'2021'!Q10-'2020'!Q10</f>
        <v>0.63436067271408669</v>
      </c>
      <c r="R42" s="219">
        <f>'2021'!R10-'2020'!S10</f>
        <v>0.57101871155016015</v>
      </c>
      <c r="S42" s="220">
        <f t="shared" ref="S42:S77" si="8">U42+W42+Y42</f>
        <v>-0.20785153830904368</v>
      </c>
      <c r="T42" s="220">
        <f t="shared" si="7"/>
        <v>-0.18709721882844477</v>
      </c>
      <c r="U42" s="219">
        <f>'2021'!U10-'2020'!V10</f>
        <v>-0.22536291641600348</v>
      </c>
      <c r="V42" s="219">
        <f>'2021'!V10-'2020'!W10</f>
        <v>-0.20286005690181419</v>
      </c>
      <c r="W42" s="219">
        <f>'2021'!W10-'2020'!X10</f>
        <v>1.7511378106959796E-2</v>
      </c>
      <c r="X42" s="219">
        <f>'2021'!X10-'2020'!Y10</f>
        <v>1.5762838073369423E-2</v>
      </c>
      <c r="Y42" s="219">
        <f>'2021'!Y10-'2020'!Z10</f>
        <v>0</v>
      </c>
      <c r="Z42" s="219">
        <f>'2021'!Z10-'2020'!AA10</f>
        <v>0</v>
      </c>
    </row>
    <row r="43" spans="1:26">
      <c r="A43" s="221" t="s">
        <v>458</v>
      </c>
      <c r="B43" s="217">
        <v>2021</v>
      </c>
      <c r="C43" s="218">
        <f t="shared" si="3"/>
        <v>171.15876663577609</v>
      </c>
      <c r="D43" s="219">
        <f>'2021'!D11-'2020'!D11</f>
        <v>24.087656876629971</v>
      </c>
      <c r="E43" s="219">
        <f>'2021'!E11-'2020'!E11</f>
        <v>147.07110975914611</v>
      </c>
      <c r="F43" s="219">
        <f>'2021'!F11-'2020'!F11</f>
        <v>0</v>
      </c>
      <c r="G43" s="220">
        <f t="shared" si="4"/>
        <v>3.594883604110791</v>
      </c>
      <c r="H43" s="219">
        <f>'2021'!H11-'2020'!H11</f>
        <v>0.30184457546828014</v>
      </c>
      <c r="I43" s="219">
        <f>'2021'!I11-'2020'!I11</f>
        <v>3.2930390286425109</v>
      </c>
      <c r="J43" s="219">
        <f>'2021'!J11-'2020'!J11</f>
        <v>0</v>
      </c>
      <c r="K43" s="220">
        <f t="shared" si="5"/>
        <v>4.7579557369547789</v>
      </c>
      <c r="L43" s="220">
        <f t="shared" si="6"/>
        <v>4.1126290361903592</v>
      </c>
      <c r="M43" s="219">
        <f>'2021'!M11-'2020'!M11</f>
        <v>0.66960055554644393</v>
      </c>
      <c r="N43" s="219">
        <f>'2021'!N11-'2020'!N11</f>
        <v>0.57878190543067554</v>
      </c>
      <c r="O43" s="219">
        <f>'2021'!O11-'2020'!O11</f>
        <v>4.0883551814083354</v>
      </c>
      <c r="P43" s="219">
        <f>'2021'!P11-'2020'!P11</f>
        <v>3.5338471307596837</v>
      </c>
      <c r="Q43" s="219">
        <f>'2021'!Q11-'2020'!Q11</f>
        <v>0</v>
      </c>
      <c r="R43" s="219">
        <f>'2021'!R11-'2020'!S11</f>
        <v>0</v>
      </c>
      <c r="S43" s="220">
        <f t="shared" si="8"/>
        <v>9.9932345880130669E-2</v>
      </c>
      <c r="T43" s="220">
        <f t="shared" si="7"/>
        <v>8.637841334444607E-2</v>
      </c>
      <c r="U43" s="219">
        <f>'2021'!U11-'2020'!V11</f>
        <v>8.3908242490089435E-3</v>
      </c>
      <c r="V43" s="219">
        <f>'2021'!V11-'2020'!W11</f>
        <v>7.2527676489335668E-3</v>
      </c>
      <c r="W43" s="219">
        <f>'2021'!W11-'2020'!X11</f>
        <v>9.1541521631121725E-2</v>
      </c>
      <c r="X43" s="219">
        <f>'2021'!X11-'2020'!Y11</f>
        <v>7.9125645695512503E-2</v>
      </c>
      <c r="Y43" s="219">
        <f>'2021'!Y11-'2020'!Z11</f>
        <v>0</v>
      </c>
      <c r="Z43" s="219">
        <f>'2021'!Z11-'2020'!AA11</f>
        <v>0</v>
      </c>
    </row>
    <row r="44" spans="1:26">
      <c r="A44" s="221" t="s">
        <v>455</v>
      </c>
      <c r="B44" s="217">
        <v>2021</v>
      </c>
      <c r="C44" s="218">
        <f t="shared" si="3"/>
        <v>77.945232360624971</v>
      </c>
      <c r="D44" s="219">
        <f>'2021'!D12-'2020'!D12</f>
        <v>12.012134757890855</v>
      </c>
      <c r="E44" s="219">
        <f>'2021'!E12-'2020'!E12</f>
        <v>65.933097602734108</v>
      </c>
      <c r="F44" s="219">
        <f>'2021'!F12-'2020'!F12</f>
        <v>2.1129120282806113E-2</v>
      </c>
      <c r="G44" s="220">
        <f t="shared" si="4"/>
        <v>1.7574900406663474</v>
      </c>
      <c r="H44" s="219">
        <f>'2021'!H12-'2020'!H12</f>
        <v>9.8099487027312193E-3</v>
      </c>
      <c r="I44" s="219">
        <f>'2021'!I12-'2020'!I12</f>
        <v>1.7476800919636162</v>
      </c>
      <c r="J44" s="219">
        <f>'2021'!J12-'2020'!J12</f>
        <v>0</v>
      </c>
      <c r="K44" s="220">
        <f t="shared" si="5"/>
        <v>4.0635467937740364</v>
      </c>
      <c r="L44" s="220">
        <f t="shared" si="6"/>
        <v>3.3343274257399056</v>
      </c>
      <c r="M44" s="219">
        <f>'2021'!M12-'2020'!M12</f>
        <v>0.62623293565889726</v>
      </c>
      <c r="N44" s="219">
        <f>'2021'!N12-'2020'!N12</f>
        <v>0.51385298564010751</v>
      </c>
      <c r="O44" s="219">
        <f>'2021'!O12-'2020'!O12</f>
        <v>3.4373138581151395</v>
      </c>
      <c r="P44" s="219">
        <f>'2021'!P12-'2020'!P12</f>
        <v>2.8204744400997983</v>
      </c>
      <c r="Q44" s="219">
        <f>'2021'!Q12-'2020'!Q12</f>
        <v>1.1015320165218556E-3</v>
      </c>
      <c r="R44" s="219">
        <f>'2021'!R12-'2020'!S12</f>
        <v>9.0385778715451615E-4</v>
      </c>
      <c r="S44" s="220">
        <f t="shared" si="8"/>
        <v>9.1623859517121681E-2</v>
      </c>
      <c r="T44" s="220">
        <f t="shared" si="7"/>
        <v>7.5181599510105362E-2</v>
      </c>
      <c r="U44" s="219">
        <f>'2021'!U12-'2020'!V12</f>
        <v>5.114255790994171E-4</v>
      </c>
      <c r="V44" s="219">
        <f>'2021'!V12-'2020'!W12</f>
        <v>4.1964825832171981E-4</v>
      </c>
      <c r="W44" s="219">
        <f>'2021'!W12-'2020'!X12</f>
        <v>9.1112433938022264E-2</v>
      </c>
      <c r="X44" s="219">
        <f>'2021'!X12-'2020'!Y12</f>
        <v>7.4761951251783643E-2</v>
      </c>
      <c r="Y44" s="219">
        <f>'2021'!Y12-'2020'!Z12</f>
        <v>0</v>
      </c>
      <c r="Z44" s="219">
        <f>'2021'!Z12-'2020'!AA12</f>
        <v>0</v>
      </c>
    </row>
    <row r="45" spans="1:26">
      <c r="A45" s="221" t="s">
        <v>460</v>
      </c>
      <c r="B45" s="217">
        <v>2021</v>
      </c>
      <c r="C45" s="218">
        <f t="shared" si="3"/>
        <v>61.500837626937169</v>
      </c>
      <c r="D45" s="219">
        <f>'2021'!D13-'2020'!D13</f>
        <v>15.056601580828584</v>
      </c>
      <c r="E45" s="219">
        <f>'2021'!E13-'2020'!E13</f>
        <v>46.444236046108585</v>
      </c>
      <c r="F45" s="219">
        <f>'2021'!F13-'2020'!F13</f>
        <v>-216.14926819734848</v>
      </c>
      <c r="G45" s="220">
        <f t="shared" si="4"/>
        <v>0.117360564253147</v>
      </c>
      <c r="H45" s="219">
        <f>'2021'!H13-'2020'!H13</f>
        <v>0</v>
      </c>
      <c r="I45" s="219">
        <f>'2021'!I13-'2020'!I13</f>
        <v>0.117360564253147</v>
      </c>
      <c r="J45" s="219">
        <f>'2021'!J13-'2020'!J13</f>
        <v>1.0233542195064729</v>
      </c>
      <c r="K45" s="220">
        <f t="shared" si="5"/>
        <v>1.3474223657446842</v>
      </c>
      <c r="L45" s="220">
        <f t="shared" si="6"/>
        <v>1.1549773588244956</v>
      </c>
      <c r="M45" s="219">
        <f>'2021'!M13-'2020'!M13</f>
        <v>0.32987520991468955</v>
      </c>
      <c r="N45" s="219">
        <f>'2021'!N13-'2020'!N13</f>
        <v>0.28276092810614584</v>
      </c>
      <c r="O45" s="219">
        <f>'2021'!O13-'2020'!O13</f>
        <v>1.0175471558299947</v>
      </c>
      <c r="P45" s="219">
        <f>'2021'!P13-'2020'!P13</f>
        <v>0.87221643071834976</v>
      </c>
      <c r="Q45" s="219">
        <f>'2021'!Q13-'2020'!Q13</f>
        <v>-4.7356161240459063</v>
      </c>
      <c r="R45" s="219">
        <f>'2021'!R13-'2020'!S13</f>
        <v>-4.0592538333994348</v>
      </c>
      <c r="S45" s="220">
        <f t="shared" si="8"/>
        <v>2.4991929734302865E-2</v>
      </c>
      <c r="T45" s="220">
        <f t="shared" si="7"/>
        <v>2.1422468359060698E-2</v>
      </c>
      <c r="U45" s="219">
        <f>'2021'!U13-'2020'!V13</f>
        <v>0</v>
      </c>
      <c r="V45" s="219">
        <f>'2021'!V13-'2020'!W13</f>
        <v>0</v>
      </c>
      <c r="W45" s="219">
        <f>'2021'!W13-'2020'!X13</f>
        <v>2.5712535834125916E-3</v>
      </c>
      <c r="X45" s="219">
        <f>'2021'!X13-'2020'!Y13</f>
        <v>2.2040154209519436E-3</v>
      </c>
      <c r="Y45" s="219">
        <f>'2021'!Y13-'2020'!Z13</f>
        <v>2.2420676150890273E-2</v>
      </c>
      <c r="Z45" s="219">
        <f>'2021'!Z13-'2020'!AA13</f>
        <v>1.9218452938108754E-2</v>
      </c>
    </row>
    <row r="46" spans="1:26">
      <c r="A46" s="221" t="s">
        <v>448</v>
      </c>
      <c r="B46" s="217">
        <v>2021</v>
      </c>
      <c r="C46" s="218">
        <f t="shared" si="3"/>
        <v>48.749753652999821</v>
      </c>
      <c r="D46" s="219">
        <f>'2021'!D14-'2020'!D14</f>
        <v>7.6352311733168863</v>
      </c>
      <c r="E46" s="219">
        <f>'2021'!E14-'2020'!E14</f>
        <v>41.114522479682932</v>
      </c>
      <c r="F46" s="219">
        <f>'2021'!F14-'2020'!F14</f>
        <v>5.2710706817016728E-2</v>
      </c>
      <c r="G46" s="220">
        <f t="shared" si="4"/>
        <v>0.11324815494928231</v>
      </c>
      <c r="H46" s="219">
        <f>'2021'!H14-'2020'!H14</f>
        <v>0</v>
      </c>
      <c r="I46" s="219">
        <f>'2021'!I14-'2020'!I14</f>
        <v>0.11324815494928231</v>
      </c>
      <c r="J46" s="219">
        <f>'2021'!J14-'2020'!J14</f>
        <v>0.19966176824625848</v>
      </c>
      <c r="K46" s="220">
        <f t="shared" si="5"/>
        <v>2.9759084403022675</v>
      </c>
      <c r="L46" s="220">
        <f t="shared" si="6"/>
        <v>2.260554561521821</v>
      </c>
      <c r="M46" s="219">
        <f>'2021'!M14-'2020'!M14</f>
        <v>0.46608951204278587</v>
      </c>
      <c r="N46" s="219">
        <f>'2021'!N14-'2020'!N14</f>
        <v>0.35405013079595338</v>
      </c>
      <c r="O46" s="219">
        <f>'2021'!O14-'2020'!O14</f>
        <v>2.5098189282594818</v>
      </c>
      <c r="P46" s="219">
        <f>'2021'!P14-'2020'!P14</f>
        <v>1.9065044307258678</v>
      </c>
      <c r="Q46" s="219">
        <f>'2021'!Q14-'2020'!Q14</f>
        <v>3.2177031791300603E-3</v>
      </c>
      <c r="R46" s="219">
        <f>'2021'!R14-'2020'!S14</f>
        <v>2.4442262741342091E-3</v>
      </c>
      <c r="S46" s="220">
        <f t="shared" si="8"/>
        <v>1.9101456145198092E-2</v>
      </c>
      <c r="T46" s="220">
        <f t="shared" si="7"/>
        <v>1.4509815972815421E-2</v>
      </c>
      <c r="U46" s="219">
        <f>'2021'!U14-'2020'!V14</f>
        <v>0</v>
      </c>
      <c r="V46" s="219">
        <f>'2021'!V14-'2020'!W14</f>
        <v>0</v>
      </c>
      <c r="W46" s="219">
        <f>'2021'!W14-'2020'!X14</f>
        <v>6.9131865272815674E-3</v>
      </c>
      <c r="X46" s="219">
        <f>'2021'!X14-'2020'!Y14</f>
        <v>5.2513831162461777E-3</v>
      </c>
      <c r="Y46" s="219">
        <f>'2021'!Y14-'2020'!Z14</f>
        <v>1.2188269617916525E-2</v>
      </c>
      <c r="Z46" s="219">
        <f>'2021'!Z14-'2020'!AA14</f>
        <v>9.2584328565692431E-3</v>
      </c>
    </row>
    <row r="47" spans="1:26">
      <c r="A47" s="221" t="s">
        <v>449</v>
      </c>
      <c r="B47" s="217">
        <v>2021</v>
      </c>
      <c r="C47" s="218">
        <f t="shared" si="3"/>
        <v>54.977743691270575</v>
      </c>
      <c r="D47" s="219">
        <f>'2021'!D15-'2020'!D15</f>
        <v>16.915665498359473</v>
      </c>
      <c r="E47" s="219">
        <f>'2021'!E15-'2020'!E15</f>
        <v>38.062078192911102</v>
      </c>
      <c r="F47" s="219">
        <f>'2021'!F15-'2020'!F15</f>
        <v>-0.56330455967290338</v>
      </c>
      <c r="G47" s="220">
        <f t="shared" si="4"/>
        <v>0.45650671749307503</v>
      </c>
      <c r="H47" s="219">
        <f>'2021'!H15-'2020'!H15</f>
        <v>1.9287868372448447E-3</v>
      </c>
      <c r="I47" s="219">
        <f>'2021'!I15-'2020'!I15</f>
        <v>0.45457793065583019</v>
      </c>
      <c r="J47" s="219">
        <f>'2021'!J15-'2020'!J15</f>
        <v>3.0184457546866383E-2</v>
      </c>
      <c r="K47" s="220">
        <f t="shared" si="5"/>
        <v>4.1526532109331411</v>
      </c>
      <c r="L47" s="220">
        <f t="shared" si="6"/>
        <v>3.0602224406399654</v>
      </c>
      <c r="M47" s="219">
        <f>'2021'!M15-'2020'!M15</f>
        <v>1.2776968993361397</v>
      </c>
      <c r="N47" s="219">
        <f>'2021'!N15-'2020'!N15</f>
        <v>0.9415755482278606</v>
      </c>
      <c r="O47" s="219">
        <f>'2021'!O15-'2020'!O15</f>
        <v>2.8749563115970016</v>
      </c>
      <c r="P47" s="219">
        <f>'2021'!P15-'2020'!P15</f>
        <v>2.1186468924121047</v>
      </c>
      <c r="Q47" s="219">
        <f>'2021'!Q15-'2020'!Q15</f>
        <v>-4.2548281020677543E-2</v>
      </c>
      <c r="R47" s="219">
        <f>'2021'!R15-'2020'!S15</f>
        <v>-3.1355183728639387E-2</v>
      </c>
      <c r="S47" s="220">
        <f t="shared" si="8"/>
        <v>3.6761415348576562E-2</v>
      </c>
      <c r="T47" s="220">
        <f t="shared" si="7"/>
        <v>2.7090658064878148E-2</v>
      </c>
      <c r="U47" s="219">
        <f>'2021'!U15-'2020'!V15</f>
        <v>1.4568773316468719E-4</v>
      </c>
      <c r="V47" s="219">
        <f>'2021'!V15-'2020'!W15</f>
        <v>1.0736193168808805E-4</v>
      </c>
      <c r="W47" s="219">
        <f>'2021'!W15-'2020'!X15</f>
        <v>3.4335794389047436E-2</v>
      </c>
      <c r="X47" s="219">
        <f>'2021'!X15-'2020'!Y15</f>
        <v>2.5303140707711336E-2</v>
      </c>
      <c r="Y47" s="219">
        <f>'2021'!Y15-'2020'!Z15</f>
        <v>2.279933226364439E-3</v>
      </c>
      <c r="Z47" s="219">
        <f>'2021'!Z15-'2020'!AA15</f>
        <v>1.6801554254787243E-3</v>
      </c>
    </row>
    <row r="48" spans="1:26">
      <c r="A48" s="221" t="s">
        <v>463</v>
      </c>
      <c r="B48" s="217">
        <v>2021</v>
      </c>
      <c r="C48" s="218">
        <f t="shared" si="3"/>
        <v>81.621811421120356</v>
      </c>
      <c r="D48" s="219">
        <f>'2021'!D16-'2020'!D16</f>
        <v>-13.851555876965222</v>
      </c>
      <c r="E48" s="219">
        <f>'2021'!E16-'2020'!E16</f>
        <v>95.473367298085577</v>
      </c>
      <c r="F48" s="219">
        <f>'2021'!F16-'2020'!F16</f>
        <v>7.0724977396247937</v>
      </c>
      <c r="G48" s="220">
        <f>H48+I48</f>
        <v>16.22200171331729</v>
      </c>
      <c r="H48" s="219">
        <f>'2021'!H16-'2020'!H16</f>
        <v>4.0799587521910929E-2</v>
      </c>
      <c r="I48" s="219">
        <f>'2021'!I16-'2020'!I16</f>
        <v>16.18120212579538</v>
      </c>
      <c r="J48" s="219">
        <f>'2021'!J16-'2020'!J16</f>
        <v>0</v>
      </c>
      <c r="K48" s="220">
        <f t="shared" si="5"/>
        <v>2.5851053839651854</v>
      </c>
      <c r="L48" s="220">
        <f t="shared" si="6"/>
        <v>2.7743757648775684</v>
      </c>
      <c r="M48" s="219">
        <f>'2021'!M16-'2020'!M16</f>
        <v>-0.43870297718695106</v>
      </c>
      <c r="N48" s="219">
        <f>'2021'!N16-'2020'!N16</f>
        <v>-0.47082293644068507</v>
      </c>
      <c r="O48" s="219">
        <f>'2021'!O16-'2020'!O16</f>
        <v>3.0238083611521365</v>
      </c>
      <c r="P48" s="219">
        <f>'2021'!P16-'2020'!P16</f>
        <v>3.2451987013182535</v>
      </c>
      <c r="Q48" s="219">
        <f>'2021'!Q16-'2020'!Q16</f>
        <v>0.22399836105640181</v>
      </c>
      <c r="R48" s="219">
        <f>'2021'!R16-'2020'!S16</f>
        <v>0.24039856484842853</v>
      </c>
      <c r="S48" s="220">
        <f t="shared" si="8"/>
        <v>0.51377913865971414</v>
      </c>
      <c r="T48" s="220">
        <f t="shared" si="7"/>
        <v>0.55139585397125945</v>
      </c>
      <c r="U48" s="219">
        <f>'2021'!U16-'2020'!V16</f>
        <v>1.2921942251720095E-3</v>
      </c>
      <c r="V48" s="219">
        <f>'2021'!V16-'2020'!W16</f>
        <v>1.3868031702185535E-3</v>
      </c>
      <c r="W48" s="219">
        <f>'2021'!W16-'2020'!X16</f>
        <v>0.51248694443454212</v>
      </c>
      <c r="X48" s="219">
        <f>'2021'!X16-'2020'!Y16</f>
        <v>0.5500090508010409</v>
      </c>
      <c r="Y48" s="219">
        <f>'2021'!Y16-'2020'!Z16</f>
        <v>0</v>
      </c>
      <c r="Z48" s="219">
        <f>'2021'!Z16-'2020'!AA16</f>
        <v>0</v>
      </c>
    </row>
    <row r="49" spans="1:26">
      <c r="A49" s="221" t="s">
        <v>464</v>
      </c>
      <c r="B49" s="217">
        <v>2021</v>
      </c>
      <c r="C49" s="218">
        <f t="shared" si="3"/>
        <v>1825</v>
      </c>
      <c r="D49" s="219">
        <f>'2021'!D17-'2020'!D17</f>
        <v>203.49999999999994</v>
      </c>
      <c r="E49" s="219">
        <f>'2021'!E17-'2020'!E17</f>
        <v>1621.5</v>
      </c>
      <c r="F49" s="219">
        <f>'2021'!F17-'2020'!F17</f>
        <v>-1.9999999999999574E-2</v>
      </c>
      <c r="G49" s="220">
        <f t="shared" si="4"/>
        <v>0</v>
      </c>
      <c r="H49" s="219">
        <f>'2021'!H17-'2020'!H17</f>
        <v>0</v>
      </c>
      <c r="I49" s="219">
        <f>'2021'!I17-'2020'!I17</f>
        <v>0</v>
      </c>
      <c r="J49" s="219">
        <f>'2021'!J17-'2020'!J17</f>
        <v>0</v>
      </c>
      <c r="K49" s="220">
        <f t="shared" si="5"/>
        <v>9.1575205546681886</v>
      </c>
      <c r="L49" s="220">
        <f t="shared" si="6"/>
        <v>9.1367801021319188</v>
      </c>
      <c r="M49" s="219">
        <f>'2021'!M17-'2020'!M17</f>
        <v>1.0211262645890278</v>
      </c>
      <c r="N49" s="219">
        <f>'2021'!N17-'2020'!N17</f>
        <v>1.0188135620733396</v>
      </c>
      <c r="O49" s="219">
        <f>'2021'!O17-'2020'!O17</f>
        <v>8.1363942900791617</v>
      </c>
      <c r="P49" s="219">
        <f>'2021'!P17-'2020'!P17</f>
        <v>8.1179665400585801</v>
      </c>
      <c r="Q49" s="219">
        <f>'2021'!Q17-'2020'!Q17</f>
        <v>-1.0035638964020488E-4</v>
      </c>
      <c r="R49" s="219">
        <f>'2021'!R17-'2020'!S17</f>
        <v>-1.0012909700966854E-4</v>
      </c>
      <c r="S49" s="220">
        <f t="shared" si="8"/>
        <v>0</v>
      </c>
      <c r="T49" s="220">
        <f t="shared" si="7"/>
        <v>0</v>
      </c>
      <c r="U49" s="219">
        <f>'2021'!U17-'2020'!V17</f>
        <v>0</v>
      </c>
      <c r="V49" s="219">
        <f>'2021'!V17-'2020'!W17</f>
        <v>0</v>
      </c>
      <c r="W49" s="219">
        <f>'2021'!W17-'2020'!X17</f>
        <v>0</v>
      </c>
      <c r="X49" s="219">
        <f>'2021'!X17-'2020'!Y17</f>
        <v>0</v>
      </c>
      <c r="Y49" s="219">
        <f>'2021'!Y17-'2020'!Z17</f>
        <v>0</v>
      </c>
      <c r="Z49" s="219">
        <f>'2021'!Z17-'2020'!AA17</f>
        <v>0</v>
      </c>
    </row>
    <row r="50" spans="1:26">
      <c r="A50" s="221" t="s">
        <v>466</v>
      </c>
      <c r="B50" s="217">
        <v>2021</v>
      </c>
      <c r="C50" s="218">
        <f t="shared" si="3"/>
        <v>-0.2000281227447247</v>
      </c>
      <c r="D50" s="219">
        <f>'2021'!D18-'2020'!D18</f>
        <v>2.4564657236113181</v>
      </c>
      <c r="E50" s="219">
        <f>'2021'!E18-'2020'!E18</f>
        <v>-2.6564938463560428</v>
      </c>
      <c r="F50" s="219">
        <f>'2021'!F18-'2020'!F18</f>
        <v>-3.6082982241580019E-2</v>
      </c>
      <c r="G50" s="220">
        <f t="shared" si="4"/>
        <v>-1.8221373961555898</v>
      </c>
      <c r="H50" s="219">
        <f>'2021'!H18-'2020'!H18</f>
        <v>-0.95092364114217143</v>
      </c>
      <c r="I50" s="219">
        <f>'2021'!I18-'2020'!I18</f>
        <v>-0.87121375501341847</v>
      </c>
      <c r="J50" s="219">
        <f>'2021'!J18-'2020'!J18</f>
        <v>1.6475248266048474</v>
      </c>
      <c r="K50" s="220">
        <f t="shared" si="5"/>
        <v>-1.5637565202905213E-2</v>
      </c>
      <c r="L50" s="220">
        <f t="shared" si="6"/>
        <v>-8.3986584095693123E-3</v>
      </c>
      <c r="M50" s="219">
        <f>'2021'!M18-'2020'!M18</f>
        <v>0.19203871133008951</v>
      </c>
      <c r="N50" s="219">
        <f>'2021'!N18-'2020'!N18</f>
        <v>0.10314057955618676</v>
      </c>
      <c r="O50" s="219">
        <f>'2021'!O18-'2020'!O18</f>
        <v>-0.20767627653299472</v>
      </c>
      <c r="P50" s="219">
        <f>'2021'!P18-'2020'!P18</f>
        <v>-0.11153923796575607</v>
      </c>
      <c r="Q50" s="219">
        <f>'2021'!Q18-'2020'!Q18</f>
        <v>-2.8208532869054559E-3</v>
      </c>
      <c r="R50" s="219">
        <f>'2021'!R18-'2020'!S18</f>
        <v>-1.5150301771932884E-3</v>
      </c>
      <c r="S50" s="220">
        <f t="shared" si="8"/>
        <v>-1.3650657738168398E-2</v>
      </c>
      <c r="T50" s="220">
        <f t="shared" si="7"/>
        <v>-7.3315257152386099E-3</v>
      </c>
      <c r="U50" s="219">
        <f>'2021'!U18-'2020'!V18</f>
        <v>-7.4340198954534156E-2</v>
      </c>
      <c r="V50" s="219">
        <f>'2021'!V18-'2020'!W18</f>
        <v>-3.9926799921675513E-2</v>
      </c>
      <c r="W50" s="219">
        <f>'2021'!W18-'2020'!X18</f>
        <v>-6.8108732475966674E-2</v>
      </c>
      <c r="X50" s="219">
        <f>'2021'!X18-'2020'!Y18</f>
        <v>-3.6579990001775281E-2</v>
      </c>
      <c r="Y50" s="219">
        <f>'2021'!Y18-'2020'!Z18</f>
        <v>0.12879827369233243</v>
      </c>
      <c r="Z50" s="219">
        <f>'2021'!Z18-'2020'!AA18</f>
        <v>6.9175264208212184E-2</v>
      </c>
    </row>
    <row r="51" spans="1:26">
      <c r="A51" s="221" t="s">
        <v>467</v>
      </c>
      <c r="B51" s="217">
        <v>2021</v>
      </c>
      <c r="C51" s="218">
        <f t="shared" si="3"/>
        <v>17.623912755319648</v>
      </c>
      <c r="D51" s="219">
        <f>'2021'!D19-'2020'!D19</f>
        <v>0.75119988984961283</v>
      </c>
      <c r="E51" s="219">
        <f>'2021'!E19-'2020'!E19</f>
        <v>16.872712865470035</v>
      </c>
      <c r="F51" s="219">
        <f>'2021'!F19-'2020'!F19</f>
        <v>0.14605226352859013</v>
      </c>
      <c r="G51" s="220">
        <f t="shared" si="4"/>
        <v>2.499712107655244</v>
      </c>
      <c r="H51" s="219">
        <f>'2021'!H19-'2020'!H19</f>
        <v>1.3959679043227258E-2</v>
      </c>
      <c r="I51" s="219">
        <f>'2021'!I19-'2020'!I19</f>
        <v>2.4857524286120167</v>
      </c>
      <c r="J51" s="219">
        <f>'2021'!J19-'2020'!J19</f>
        <v>2.8780291364968171</v>
      </c>
      <c r="K51" s="220">
        <f t="shared" si="5"/>
        <v>1.7675994162969693</v>
      </c>
      <c r="L51" s="220">
        <f t="shared" si="6"/>
        <v>0.75516488403767301</v>
      </c>
      <c r="M51" s="219">
        <f>'2021'!M19-'2020'!M19</f>
        <v>7.5341980254624824E-2</v>
      </c>
      <c r="N51" s="219">
        <f>'2021'!N19-'2020'!N19</f>
        <v>3.2188072284695488E-2</v>
      </c>
      <c r="O51" s="219">
        <f>'2021'!O19-'2020'!O19</f>
        <v>1.6922574360423444</v>
      </c>
      <c r="P51" s="219">
        <f>'2021'!P19-'2020'!P19</f>
        <v>0.72297681175297757</v>
      </c>
      <c r="Q51" s="219">
        <f>'2021'!Q19-'2020'!Q19</f>
        <v>1.464838707193783E-2</v>
      </c>
      <c r="R51" s="219">
        <f>'2021'!R19-'2020'!S19</f>
        <v>6.2581755925746885E-3</v>
      </c>
      <c r="S51" s="220">
        <f t="shared" si="8"/>
        <v>0.53936333072745779</v>
      </c>
      <c r="T51" s="220">
        <f t="shared" si="7"/>
        <v>0.23043017741896715</v>
      </c>
      <c r="U51" s="219">
        <f>'2021'!U19-'2020'!V19</f>
        <v>1.4000932069443417E-3</v>
      </c>
      <c r="V51" s="219">
        <f>'2021'!V19-'2020'!W19</f>
        <v>5.9815658147194251E-4</v>
      </c>
      <c r="W51" s="219">
        <f>'2021'!W19-'2020'!X19</f>
        <v>0.24930982142697822</v>
      </c>
      <c r="X51" s="219">
        <f>'2021'!X19-'2020'!Y19</f>
        <v>0.10651170205847471</v>
      </c>
      <c r="Y51" s="219">
        <f>'2021'!Y19-'2020'!Z19</f>
        <v>0.28865341609353523</v>
      </c>
      <c r="Z51" s="219">
        <f>'2021'!Z19-'2020'!AA19</f>
        <v>0.1233203187790205</v>
      </c>
    </row>
    <row r="52" spans="1:26">
      <c r="A52" s="225" t="s">
        <v>530</v>
      </c>
      <c r="B52" s="217">
        <v>2021</v>
      </c>
      <c r="C52" s="218">
        <f t="shared" si="3"/>
        <v>29.313405863622933</v>
      </c>
      <c r="D52" s="219">
        <f>'2021'!D20-'2020'!D20</f>
        <v>5.5977143131950573</v>
      </c>
      <c r="E52" s="219">
        <f>'2021'!E20-'2020'!E20</f>
        <v>23.715691550427877</v>
      </c>
      <c r="F52" s="219">
        <f>'2021'!F20-'2020'!F20</f>
        <v>0</v>
      </c>
      <c r="G52" s="220">
        <f t="shared" si="4"/>
        <v>1.9673451726946798</v>
      </c>
      <c r="H52" s="219">
        <f>'2021'!H20-'2020'!H20</f>
        <v>0</v>
      </c>
      <c r="I52" s="219">
        <f>'2021'!I20-'2020'!I20</f>
        <v>1.9673451726946798</v>
      </c>
      <c r="J52" s="219">
        <f>'2021'!J20-'2020'!J20</f>
        <v>0</v>
      </c>
      <c r="K52" s="220">
        <f t="shared" si="5"/>
        <v>7.0813959238472375</v>
      </c>
      <c r="L52" s="220">
        <f t="shared" si="6"/>
        <v>6.2555395441352584</v>
      </c>
      <c r="M52" s="219">
        <f>'2021'!M20-'2020'!M20</f>
        <v>1.3522697261703196</v>
      </c>
      <c r="N52" s="219">
        <f>'2021'!N20-'2020'!N20</f>
        <v>1.1945634501113473</v>
      </c>
      <c r="O52" s="219">
        <f>'2021'!O20-'2020'!O20</f>
        <v>5.7291261976769174</v>
      </c>
      <c r="P52" s="219">
        <f>'2021'!P20-'2020'!P20</f>
        <v>5.0609760940239106</v>
      </c>
      <c r="Q52" s="219">
        <f>'2021'!Q20-'2020'!Q20</f>
        <v>0</v>
      </c>
      <c r="R52" s="219">
        <f>'2021'!R20-'2020'!S20</f>
        <v>0</v>
      </c>
      <c r="S52" s="220">
        <f t="shared" si="8"/>
        <v>0.47526207468130766</v>
      </c>
      <c r="T52" s="220">
        <f t="shared" si="7"/>
        <v>0.41983540165926447</v>
      </c>
      <c r="U52" s="219">
        <f>'2021'!U20-'2020'!V20</f>
        <v>0</v>
      </c>
      <c r="V52" s="219">
        <f>'2021'!V20-'2020'!W20</f>
        <v>0</v>
      </c>
      <c r="W52" s="219">
        <f>'2021'!W20-'2020'!X20</f>
        <v>0.47526207468130766</v>
      </c>
      <c r="X52" s="219">
        <f>'2021'!X20-'2020'!Y20</f>
        <v>0.41983540165926447</v>
      </c>
      <c r="Y52" s="219">
        <f>'2021'!Y20-'2020'!Z20</f>
        <v>0</v>
      </c>
      <c r="Z52" s="219">
        <f>'2021'!Z20-'2020'!AA20</f>
        <v>0</v>
      </c>
    </row>
    <row r="53" spans="1:26">
      <c r="A53" s="221" t="s">
        <v>456</v>
      </c>
      <c r="B53" s="217">
        <v>2021</v>
      </c>
      <c r="C53" s="218">
        <f t="shared" si="3"/>
        <v>5.5750450336266226</v>
      </c>
      <c r="D53" s="219">
        <f>'2021'!D21-'2020'!D21</f>
        <v>1.7363721996445811</v>
      </c>
      <c r="E53" s="219">
        <f>'2021'!E21-'2020'!E21</f>
        <v>3.8386728339820415</v>
      </c>
      <c r="F53" s="219">
        <f>'2021'!F21-'2020'!F21</f>
        <v>-0.98549912200429723</v>
      </c>
      <c r="G53" s="220">
        <f t="shared" si="4"/>
        <v>0.84474674061103383</v>
      </c>
      <c r="H53" s="219">
        <f>'2021'!H21-'2020'!H21</f>
        <v>0.68778756136733432</v>
      </c>
      <c r="I53" s="219">
        <f>'2021'!I21-'2020'!I21</f>
        <v>0.15695917924369951</v>
      </c>
      <c r="J53" s="219">
        <f>'2021'!J21-'2020'!J21</f>
        <v>0</v>
      </c>
      <c r="K53" s="220">
        <f t="shared" si="5"/>
        <v>1.1259134377791904</v>
      </c>
      <c r="L53" s="220">
        <f t="shared" si="6"/>
        <v>1.0039302157738195</v>
      </c>
      <c r="M53" s="219">
        <f>'2021'!M21-'2020'!M21</f>
        <v>0.35067067275226904</v>
      </c>
      <c r="N53" s="219">
        <f>'2021'!N21-'2020'!N21</f>
        <v>0.31267846385787457</v>
      </c>
      <c r="O53" s="219">
        <f>'2021'!O21-'2020'!O21</f>
        <v>0.77524276502692135</v>
      </c>
      <c r="P53" s="219">
        <f>'2021'!P21-'2020'!P21</f>
        <v>0.6912517519159449</v>
      </c>
      <c r="Q53" s="219">
        <f>'2021'!Q21-'2020'!Q21</f>
        <v>-0.19902739757107168</v>
      </c>
      <c r="R53" s="219">
        <f>'2021'!R21-'2020'!S21</f>
        <v>-0.17746445817588041</v>
      </c>
      <c r="S53" s="220">
        <f t="shared" si="8"/>
        <v>0.17060161864834694</v>
      </c>
      <c r="T53" s="220">
        <f t="shared" si="7"/>
        <v>0.15211837258006836</v>
      </c>
      <c r="U53" s="219">
        <f>'2021'!U21-'2020'!V21</f>
        <v>0.13890278069684275</v>
      </c>
      <c r="V53" s="219">
        <f>'2021'!V21-'2020'!W21</f>
        <v>0.12385383628746863</v>
      </c>
      <c r="W53" s="219">
        <f>'2021'!W21-'2020'!X21</f>
        <v>3.1698837951504188E-2</v>
      </c>
      <c r="X53" s="219">
        <f>'2021'!X21-'2020'!Y21</f>
        <v>2.8264536292599729E-2</v>
      </c>
      <c r="Y53" s="219">
        <f>'2021'!Y21-'2020'!Z21</f>
        <v>0</v>
      </c>
      <c r="Z53" s="219">
        <f>'2021'!Z21-'2020'!AA21</f>
        <v>0</v>
      </c>
    </row>
    <row r="54" spans="1:26">
      <c r="A54" s="225" t="s">
        <v>454</v>
      </c>
      <c r="B54" s="217">
        <v>2021</v>
      </c>
      <c r="C54" s="218">
        <f t="shared" si="3"/>
        <v>9.4839782366906888</v>
      </c>
      <c r="D54" s="219">
        <f>'2021'!D22-'2020'!D22</f>
        <v>3.534914558303706</v>
      </c>
      <c r="E54" s="219">
        <f>'2021'!E22-'2020'!E22</f>
        <v>5.9490636783869828</v>
      </c>
      <c r="F54" s="219">
        <f>'2021'!F22-'2020'!F22</f>
        <v>-0.9420743988533532</v>
      </c>
      <c r="G54" s="220">
        <f t="shared" si="4"/>
        <v>0.84007282057726862</v>
      </c>
      <c r="H54" s="219">
        <f>'2021'!H22-'2020'!H22</f>
        <v>-4.1491385547381618E-3</v>
      </c>
      <c r="I54" s="219">
        <f>'2021'!I22-'2020'!I22</f>
        <v>0.84422195913200682</v>
      </c>
      <c r="J54" s="219">
        <f>'2021'!J22-'2020'!J22</f>
        <v>0</v>
      </c>
      <c r="K54" s="220">
        <f t="shared" si="5"/>
        <v>4.3980536774232659</v>
      </c>
      <c r="L54" s="220">
        <f t="shared" si="6"/>
        <v>2.3279514441879012</v>
      </c>
      <c r="M54" s="219">
        <f>'2021'!M22-'2020'!M22</f>
        <v>1.6392639865387848</v>
      </c>
      <c r="N54" s="219">
        <f>'2021'!N22-'2020'!N22</f>
        <v>0.8676854001254426</v>
      </c>
      <c r="O54" s="219">
        <f>'2021'!O22-'2020'!O22</f>
        <v>2.7587896908844813</v>
      </c>
      <c r="P54" s="219">
        <f>'2021'!P22-'2020'!P22</f>
        <v>1.4602660440624584</v>
      </c>
      <c r="Q54" s="219">
        <f>'2021'!Q22-'2020'!Q22</f>
        <v>-0.43687297364877242</v>
      </c>
      <c r="R54" s="219">
        <f>'2021'!R22-'2020'!S22</f>
        <v>-0.23124298713156546</v>
      </c>
      <c r="S54" s="220">
        <f t="shared" si="8"/>
        <v>0.38957126067092351</v>
      </c>
      <c r="T54" s="220">
        <f t="shared" si="7"/>
        <v>0.20620552758335672</v>
      </c>
      <c r="U54" s="219">
        <f>'2021'!U22-'2020'!V22</f>
        <v>-1.9241012182217229E-3</v>
      </c>
      <c r="V54" s="219">
        <f>'2021'!V22-'2020'!W22</f>
        <v>-1.0184537384607881E-3</v>
      </c>
      <c r="W54" s="219">
        <f>'2021'!W22-'2020'!X22</f>
        <v>0.39149536188914524</v>
      </c>
      <c r="X54" s="219">
        <f>'2021'!X22-'2020'!Y22</f>
        <v>0.20722398132181752</v>
      </c>
      <c r="Y54" s="219">
        <f>'2021'!Y22-'2020'!Z22</f>
        <v>0</v>
      </c>
      <c r="Z54" s="219">
        <f>'2021'!Z22-'2020'!AA22</f>
        <v>0</v>
      </c>
    </row>
    <row r="55" spans="1:26">
      <c r="A55" s="225" t="s">
        <v>446</v>
      </c>
      <c r="B55" s="217">
        <v>2021</v>
      </c>
      <c r="C55" s="218">
        <f t="shared" si="3"/>
        <v>6.0090945086111001</v>
      </c>
      <c r="D55" s="219">
        <f>'2021'!D23-'2020'!D23</f>
        <v>-0.12194282455131972</v>
      </c>
      <c r="E55" s="219">
        <f>'2021'!E23-'2020'!E23</f>
        <v>6.1310373331624195</v>
      </c>
      <c r="F55" s="219">
        <f>'2021'!F23-'2020'!F23</f>
        <v>21.994176816096299</v>
      </c>
      <c r="G55" s="220">
        <f t="shared" si="4"/>
        <v>40.884795650844936</v>
      </c>
      <c r="H55" s="219">
        <f>'2021'!H23-'2020'!H23</f>
        <v>34.404003079504477</v>
      </c>
      <c r="I55" s="219">
        <f>'2021'!I23-'2020'!I23</f>
        <v>6.4807925713404604</v>
      </c>
      <c r="J55" s="219">
        <f>'2021'!J23-'2020'!J23</f>
        <v>0</v>
      </c>
      <c r="K55" s="220">
        <f t="shared" si="5"/>
        <v>1.8066892842908504</v>
      </c>
      <c r="L55" s="220">
        <f t="shared" si="6"/>
        <v>1.9317900299624715</v>
      </c>
      <c r="M55" s="219">
        <f>'2021'!M23-'2020'!M23</f>
        <v>-3.6663226730303186E-2</v>
      </c>
      <c r="N55" s="219">
        <f>'2021'!N23-'2020'!N23</f>
        <v>-3.9201901776737061E-2</v>
      </c>
      <c r="O55" s="219">
        <f>'2021'!O23-'2020'!O23</f>
        <v>1.8433525110211535</v>
      </c>
      <c r="P55" s="219">
        <f>'2021'!P23-'2020'!P23</f>
        <v>1.9709919317392086</v>
      </c>
      <c r="Q55" s="219">
        <f>'2021'!Q23-'2020'!Q23</f>
        <v>6.6127506421302549</v>
      </c>
      <c r="R55" s="219">
        <f>'2021'!R23-'2020'!S23</f>
        <v>7.0706379188545974</v>
      </c>
      <c r="S55" s="220">
        <f t="shared" si="8"/>
        <v>12.292388160471056</v>
      </c>
      <c r="T55" s="220">
        <f t="shared" si="7"/>
        <v>13.143551079480419</v>
      </c>
      <c r="U55" s="219">
        <f>'2021'!U23-'2020'!V23</f>
        <v>10.343878534674067</v>
      </c>
      <c r="V55" s="219">
        <f>'2021'!V23-'2020'!W23</f>
        <v>11.060120629579902</v>
      </c>
      <c r="W55" s="219">
        <f>'2021'!W23-'2020'!X23</f>
        <v>1.9485096257969898</v>
      </c>
      <c r="X55" s="219">
        <f>'2021'!X23-'2020'!Y23</f>
        <v>2.0834304499005172</v>
      </c>
      <c r="Y55" s="219">
        <f>'2021'!Y23-'2020'!Z23</f>
        <v>0</v>
      </c>
      <c r="Z55" s="219">
        <f>'2021'!Z23-'2020'!AA23</f>
        <v>0</v>
      </c>
    </row>
    <row r="56" spans="1:26">
      <c r="A56" s="225" t="s">
        <v>531</v>
      </c>
      <c r="B56" s="217">
        <v>2021</v>
      </c>
      <c r="C56" s="218">
        <f t="shared" si="3"/>
        <v>0.51940891804345701</v>
      </c>
      <c r="D56" s="219">
        <f>'2021'!D24-'2020'!D24</f>
        <v>0.17319941487206303</v>
      </c>
      <c r="E56" s="219">
        <f>'2021'!E24-'2020'!E24</f>
        <v>0.34620950317139398</v>
      </c>
      <c r="F56" s="219">
        <f>'2021'!F24-'2020'!F24</f>
        <v>0</v>
      </c>
      <c r="G56" s="220">
        <f t="shared" si="4"/>
        <v>5.6614440224317886E-2</v>
      </c>
      <c r="H56" s="219">
        <f>'2021'!H24-'2020'!H24</f>
        <v>4.8093464304235667E-2</v>
      </c>
      <c r="I56" s="219">
        <f>'2021'!I24-'2020'!I24</f>
        <v>8.5209759200822188E-3</v>
      </c>
      <c r="J56" s="219">
        <f>'2021'!J24-'2020'!J24</f>
        <v>0</v>
      </c>
      <c r="K56" s="220">
        <f t="shared" si="5"/>
        <v>1.9311998402105592</v>
      </c>
      <c r="L56" s="220">
        <f t="shared" si="6"/>
        <v>1.1313246010847482</v>
      </c>
      <c r="M56" s="219">
        <f>'2021'!M24-'2020'!M24</f>
        <v>0.64396792335688302</v>
      </c>
      <c r="N56" s="219">
        <f>'2021'!N24-'2020'!N24</f>
        <v>0.37724565776873042</v>
      </c>
      <c r="O56" s="219">
        <f>'2021'!O24-'2020'!O24</f>
        <v>1.2872319168536763</v>
      </c>
      <c r="P56" s="219">
        <f>'2021'!P24-'2020'!P24</f>
        <v>0.75407894331601777</v>
      </c>
      <c r="Q56" s="219">
        <f>'2021'!Q24-'2020'!Q24</f>
        <v>0</v>
      </c>
      <c r="R56" s="219">
        <f>'2021'!R24-'2020'!S24</f>
        <v>0</v>
      </c>
      <c r="S56" s="220">
        <f t="shared" si="8"/>
        <v>0.21049657431115887</v>
      </c>
      <c r="T56" s="220">
        <f t="shared" si="7"/>
        <v>0.12331191625218463</v>
      </c>
      <c r="U56" s="219">
        <f>'2021'!U24-'2020'!V24</f>
        <v>0.17881497092766807</v>
      </c>
      <c r="V56" s="219">
        <f>'2021'!V24-'2020'!W24</f>
        <v>0.10475237799867854</v>
      </c>
      <c r="W56" s="219">
        <f>'2021'!W24-'2020'!X24</f>
        <v>3.1681603383490797E-2</v>
      </c>
      <c r="X56" s="219">
        <f>'2021'!X24-'2020'!Y24</f>
        <v>1.8559538253506092E-2</v>
      </c>
      <c r="Y56" s="219">
        <f>'2021'!Y24-'2020'!Z24</f>
        <v>0</v>
      </c>
      <c r="Z56" s="219">
        <f>'2021'!Z24-'2020'!AA24</f>
        <v>0</v>
      </c>
    </row>
    <row r="57" spans="1:26">
      <c r="A57" s="225" t="s">
        <v>447</v>
      </c>
      <c r="B57" s="217">
        <v>2021</v>
      </c>
      <c r="C57" s="218">
        <f t="shared" si="3"/>
        <v>4.9855542861867672</v>
      </c>
      <c r="D57" s="219">
        <f>'2021'!D25-'2020'!D25</f>
        <v>2.5734683081935983</v>
      </c>
      <c r="E57" s="219">
        <f>'2021'!E25-'2020'!E25</f>
        <v>2.4120859779931685</v>
      </c>
      <c r="F57" s="219">
        <f>'2021'!F25-'2020'!F25</f>
        <v>-4.2669785781216287</v>
      </c>
      <c r="G57" s="220">
        <f t="shared" si="4"/>
        <v>-2.1450185809986744</v>
      </c>
      <c r="H57" s="219">
        <f>'2021'!H25-'2020'!H25</f>
        <v>-1.3850592296860416</v>
      </c>
      <c r="I57" s="219">
        <f>'2021'!I25-'2020'!I25</f>
        <v>-0.75995935131263259</v>
      </c>
      <c r="J57" s="219">
        <f>'2021'!J25-'2020'!J25</f>
        <v>3.4268640238179242</v>
      </c>
      <c r="K57" s="220">
        <f t="shared" si="5"/>
        <v>1.9570828600359866</v>
      </c>
      <c r="L57" s="220">
        <f t="shared" si="6"/>
        <v>1.9634171247204646</v>
      </c>
      <c r="M57" s="219">
        <f>'2021'!M25-'2020'!M25</f>
        <v>1.0102168039300783</v>
      </c>
      <c r="N57" s="219">
        <f>'2021'!N25-'2020'!N25</f>
        <v>1.0134864563068218</v>
      </c>
      <c r="O57" s="219">
        <f>'2021'!O25-'2020'!O25</f>
        <v>0.94686605610590835</v>
      </c>
      <c r="P57" s="219">
        <f>'2021'!P25-'2020'!P25</f>
        <v>0.94993066841364282</v>
      </c>
      <c r="Q57" s="219">
        <f>'2021'!Q25-'2020'!Q25</f>
        <v>-1.6750054577722295</v>
      </c>
      <c r="R57" s="219">
        <f>'2021'!R25-'2020'!S25</f>
        <v>-1.6804267550172929</v>
      </c>
      <c r="S57" s="220">
        <f t="shared" si="8"/>
        <v>0.50318933489651585</v>
      </c>
      <c r="T57" s="220">
        <f t="shared" si="7"/>
        <v>0.50481794986153672</v>
      </c>
      <c r="U57" s="219">
        <f>'2021'!U25-'2020'!V25</f>
        <v>-0.54370597990749736</v>
      </c>
      <c r="V57" s="219">
        <f>'2021'!V25-'2020'!W25</f>
        <v>-0.54546573043088797</v>
      </c>
      <c r="W57" s="219">
        <f>'2021'!W25-'2020'!X25</f>
        <v>-0.29832258068051143</v>
      </c>
      <c r="X57" s="219">
        <f>'2021'!X25-'2020'!Y25</f>
        <v>-0.29928812701785557</v>
      </c>
      <c r="Y57" s="219">
        <f>'2021'!Y25-'2020'!Z25</f>
        <v>1.3452178954845246</v>
      </c>
      <c r="Z57" s="219">
        <f>'2021'!Z25-'2020'!AA25</f>
        <v>1.3495718073102803</v>
      </c>
    </row>
    <row r="58" spans="1:26">
      <c r="A58" s="225" t="s">
        <v>532</v>
      </c>
      <c r="B58" s="217">
        <v>2021</v>
      </c>
      <c r="C58" s="218">
        <f t="shared" si="3"/>
        <v>11.883527864307789</v>
      </c>
      <c r="D58" s="219">
        <f>'2021'!D26-'2020'!D26</f>
        <v>0.84238309482866103</v>
      </c>
      <c r="E58" s="219">
        <f>'2021'!E26-'2020'!E26</f>
        <v>11.041144769479128</v>
      </c>
      <c r="F58" s="219">
        <f>'2021'!F26-'2020'!F26</f>
        <v>0.14884525071915999</v>
      </c>
      <c r="G58" s="220">
        <f t="shared" si="4"/>
        <v>-2.3709503086954533</v>
      </c>
      <c r="H58" s="219">
        <f>'2021'!H26-'2020'!H26</f>
        <v>-2.6537642735686289</v>
      </c>
      <c r="I58" s="219">
        <f>'2021'!I26-'2020'!I26</f>
        <v>0.28281396487317556</v>
      </c>
      <c r="J58" s="219">
        <f>'2021'!J26-'2020'!J26</f>
        <v>0</v>
      </c>
      <c r="K58" s="220">
        <f t="shared" si="5"/>
        <v>5.828029693872705</v>
      </c>
      <c r="L58" s="220">
        <f t="shared" si="6"/>
        <v>3.940883723518386</v>
      </c>
      <c r="M58" s="219">
        <f>'2021'!M26-'2020'!M26</f>
        <v>0.41312931196326985</v>
      </c>
      <c r="N58" s="219">
        <f>'2021'!N26-'2020'!N26</f>
        <v>0.2793559173070268</v>
      </c>
      <c r="O58" s="219">
        <f>'2021'!O26-'2020'!O26</f>
        <v>5.414900381909435</v>
      </c>
      <c r="P58" s="219">
        <f>'2021'!P26-'2020'!P26</f>
        <v>3.6615278062113594</v>
      </c>
      <c r="Q58" s="219">
        <f>'2021'!Q26-'2020'!Q26</f>
        <v>7.2998065127499179E-2</v>
      </c>
      <c r="R58" s="219">
        <f>'2021'!R26-'2020'!S26</f>
        <v>4.9360916436603897E-2</v>
      </c>
      <c r="S58" s="220">
        <f t="shared" si="8"/>
        <v>-1.1627833888685584</v>
      </c>
      <c r="T58" s="220">
        <f t="shared" si="7"/>
        <v>-0.78626815096487068</v>
      </c>
      <c r="U58" s="219">
        <f>'2021'!U26-'2020'!V26</f>
        <v>-1.3014836304082156</v>
      </c>
      <c r="V58" s="219">
        <f>'2021'!V26-'2020'!W26</f>
        <v>-0.880056541388889</v>
      </c>
      <c r="W58" s="219">
        <f>'2021'!W26-'2020'!X26</f>
        <v>0.13870024153965721</v>
      </c>
      <c r="X58" s="219">
        <f>'2021'!X26-'2020'!Y26</f>
        <v>9.378839042401832E-2</v>
      </c>
      <c r="Y58" s="219">
        <f>'2021'!Y26-'2020'!Z26</f>
        <v>0</v>
      </c>
      <c r="Z58" s="219">
        <f>'2021'!Z26-'2020'!AA26</f>
        <v>0</v>
      </c>
    </row>
    <row r="59" spans="1:26">
      <c r="A59" s="225" t="s">
        <v>533</v>
      </c>
      <c r="B59" s="217">
        <v>2021</v>
      </c>
      <c r="C59" s="218">
        <f t="shared" si="3"/>
        <v>1.2954206183447887</v>
      </c>
      <c r="D59" s="219">
        <f>'2021'!D27-'2020'!D27</f>
        <v>7.4642707273780445E-2</v>
      </c>
      <c r="E59" s="219">
        <f>'2021'!E27-'2020'!E27</f>
        <v>1.2207779110710082</v>
      </c>
      <c r="F59" s="219">
        <f>'2021'!F27-'2020'!F27</f>
        <v>7.5320270858253366E-2</v>
      </c>
      <c r="G59" s="220">
        <f t="shared" si="4"/>
        <v>-0.68163203800733407</v>
      </c>
      <c r="H59" s="219">
        <f>'2021'!H27-'2020'!H27</f>
        <v>0</v>
      </c>
      <c r="I59" s="219">
        <f>'2021'!I27-'2020'!I27</f>
        <v>-0.68163203800733407</v>
      </c>
      <c r="J59" s="219">
        <f>'2021'!J27-'2020'!J27</f>
        <v>0</v>
      </c>
      <c r="K59" s="220">
        <f t="shared" si="5"/>
        <v>6.2490141299443351</v>
      </c>
      <c r="L59" s="220">
        <f t="shared" si="6"/>
        <v>6.7932818506520922</v>
      </c>
      <c r="M59" s="219">
        <f>'2021'!M27-'2020'!M27</f>
        <v>0.36007094981022181</v>
      </c>
      <c r="N59" s="219">
        <f>'2021'!N27-'2020'!N27</f>
        <v>0.39143189588445193</v>
      </c>
      <c r="O59" s="219">
        <f>'2021'!O27-'2020'!O27</f>
        <v>5.8889431801341132</v>
      </c>
      <c r="P59" s="219">
        <f>'2021'!P27-'2020'!P27</f>
        <v>6.4018499547676404</v>
      </c>
      <c r="Q59" s="219">
        <f>'2021'!Q27-'2020'!Q27</f>
        <v>0.3633394668874913</v>
      </c>
      <c r="R59" s="219">
        <f>'2021'!R27-'2020'!S27</f>
        <v>0.39498508960074769</v>
      </c>
      <c r="S59" s="220">
        <f t="shared" si="8"/>
        <v>-3.2881429989690583</v>
      </c>
      <c r="T59" s="220">
        <f t="shared" si="7"/>
        <v>-3.5745289885341034</v>
      </c>
      <c r="U59" s="219">
        <f>'2021'!U27-'2020'!V27</f>
        <v>0</v>
      </c>
      <c r="V59" s="219">
        <f>'2021'!V27-'2020'!W27</f>
        <v>0</v>
      </c>
      <c r="W59" s="219">
        <f>'2021'!W27-'2020'!X27</f>
        <v>-3.2881429989690583</v>
      </c>
      <c r="X59" s="219">
        <f>'2021'!X27-'2020'!Y27</f>
        <v>-3.5745289885341034</v>
      </c>
      <c r="Y59" s="219">
        <f>'2021'!Y27-'2020'!Z27</f>
        <v>0</v>
      </c>
      <c r="Z59" s="219">
        <f>'2021'!Z27-'2020'!AA27</f>
        <v>0</v>
      </c>
    </row>
    <row r="60" spans="1:26">
      <c r="A60" s="225" t="s">
        <v>534</v>
      </c>
      <c r="B60" s="217">
        <v>2021</v>
      </c>
      <c r="C60" s="218">
        <f t="shared" si="3"/>
        <v>26.757596863801012</v>
      </c>
      <c r="D60" s="219">
        <f>'2021'!D28-'2020'!D28</f>
        <v>2.0607683670948558</v>
      </c>
      <c r="E60" s="219">
        <f>'2021'!E28-'2020'!E28</f>
        <v>24.696828496706157</v>
      </c>
      <c r="F60" s="219">
        <f>'2021'!F28-'2020'!F28</f>
        <v>0.84971739212779607</v>
      </c>
      <c r="G60" s="220">
        <f t="shared" si="4"/>
        <v>5.2628185935441252</v>
      </c>
      <c r="H60" s="219">
        <f>'2021'!H28-'2020'!H28</f>
        <v>2.0164092967720628</v>
      </c>
      <c r="I60" s="219">
        <f>'2021'!I28-'2020'!I28</f>
        <v>3.2464092967720628</v>
      </c>
      <c r="J60" s="219">
        <f>'2021'!J28-'2020'!J28</f>
        <v>0</v>
      </c>
      <c r="K60" s="220">
        <f t="shared" si="5"/>
        <v>7.2032309505058292</v>
      </c>
      <c r="L60" s="220">
        <f t="shared" si="6"/>
        <v>6.4030123461247435</v>
      </c>
      <c r="M60" s="219">
        <f>'2021'!M28-'2020'!M28</f>
        <v>0.5547654581702357</v>
      </c>
      <c r="N60" s="219">
        <f>'2021'!N28-'2020'!N28</f>
        <v>0.49313566402006381</v>
      </c>
      <c r="O60" s="219">
        <f>'2021'!O28-'2020'!O28</f>
        <v>6.6484654923355935</v>
      </c>
      <c r="P60" s="219">
        <f>'2021'!P28-'2020'!P28</f>
        <v>5.90987668210468</v>
      </c>
      <c r="Q60" s="219">
        <f>'2021'!Q28-'2020'!Q28</f>
        <v>0.22874664901011466</v>
      </c>
      <c r="R60" s="219">
        <f>'2021'!R28-'2020'!S28</f>
        <v>0.20333481292080136</v>
      </c>
      <c r="S60" s="220">
        <f t="shared" si="8"/>
        <v>1.4167676556634341</v>
      </c>
      <c r="T60" s="220">
        <f t="shared" si="7"/>
        <v>1.2593766398904851</v>
      </c>
      <c r="U60" s="219">
        <f>'2021'!U28-'2020'!V28</f>
        <v>0.54282385407509814</v>
      </c>
      <c r="V60" s="219">
        <f>'2021'!V28-'2020'!W28</f>
        <v>0.48252067208393412</v>
      </c>
      <c r="W60" s="219">
        <f>'2021'!W28-'2020'!X28</f>
        <v>0.87394380158833596</v>
      </c>
      <c r="X60" s="219">
        <f>'2021'!X28-'2020'!Y28</f>
        <v>0.77685596780655086</v>
      </c>
      <c r="Y60" s="219">
        <f>'2021'!Y28-'2020'!Z28</f>
        <v>0</v>
      </c>
      <c r="Z60" s="219">
        <f>'2021'!Z28-'2020'!AA28</f>
        <v>0</v>
      </c>
    </row>
    <row r="61" spans="1:26">
      <c r="A61" s="225" t="s">
        <v>535</v>
      </c>
      <c r="B61" s="217">
        <v>2021</v>
      </c>
      <c r="C61" s="218">
        <f t="shared" si="3"/>
        <v>16.008152922120104</v>
      </c>
      <c r="D61" s="219">
        <f>'2021'!D29-'2020'!D29</f>
        <v>4.942148062439716</v>
      </c>
      <c r="E61" s="219">
        <f>'2021'!E29-'2020'!E29</f>
        <v>11.066004859680387</v>
      </c>
      <c r="F61" s="219">
        <f>'2021'!F29-'2020'!F29</f>
        <v>1.5809483738048691E-2</v>
      </c>
      <c r="G61" s="220">
        <f t="shared" si="4"/>
        <v>4.1553701560992913</v>
      </c>
      <c r="H61" s="219">
        <f>'2021'!H29-'2020'!H29</f>
        <v>1.0736931038835773</v>
      </c>
      <c r="I61" s="219">
        <f>'2021'!I29-'2020'!I29</f>
        <v>3.0816770522157135</v>
      </c>
      <c r="J61" s="219">
        <f>'2021'!J29-'2020'!J29</f>
        <v>0</v>
      </c>
      <c r="K61" s="220">
        <f t="shared" si="5"/>
        <v>4.4658097515814319</v>
      </c>
      <c r="L61" s="220">
        <f t="shared" si="6"/>
        <v>4.6753232397544693</v>
      </c>
      <c r="M61" s="219">
        <f>'2021'!M29-'2020'!M29</f>
        <v>1.3787157780399026</v>
      </c>
      <c r="N61" s="219">
        <f>'2021'!N29-'2020'!N29</f>
        <v>1.4433982360765563</v>
      </c>
      <c r="O61" s="219">
        <f>'2021'!O29-'2020'!O29</f>
        <v>3.0870939735415295</v>
      </c>
      <c r="P61" s="219">
        <f>'2021'!P29-'2020'!P29</f>
        <v>3.2319250036779135</v>
      </c>
      <c r="Q61" s="219">
        <f>'2021'!Q29-'2020'!Q29</f>
        <v>4.4103868190368267E-3</v>
      </c>
      <c r="R61" s="219">
        <f>'2021'!R29-'2020'!S29</f>
        <v>4.6173001400358071E-3</v>
      </c>
      <c r="S61" s="220">
        <f t="shared" si="8"/>
        <v>1.1592275920163422</v>
      </c>
      <c r="T61" s="220">
        <f t="shared" si="7"/>
        <v>1.2136127606419809</v>
      </c>
      <c r="U61" s="219">
        <f>'2021'!U29-'2020'!V29</f>
        <v>0.29952919345887785</v>
      </c>
      <c r="V61" s="219">
        <f>'2021'!V29-'2020'!W29</f>
        <v>0.31358160715809641</v>
      </c>
      <c r="W61" s="219">
        <f>'2021'!W29-'2020'!X29</f>
        <v>0.85969839855746422</v>
      </c>
      <c r="X61" s="219">
        <f>'2021'!X29-'2020'!Y29</f>
        <v>0.90003115348388452</v>
      </c>
      <c r="Y61" s="219">
        <f>'2021'!Y29-'2020'!Z29</f>
        <v>0</v>
      </c>
      <c r="Z61" s="219">
        <f>'2021'!Z29-'2020'!AA29</f>
        <v>0</v>
      </c>
    </row>
    <row r="62" spans="1:26">
      <c r="A62" s="226" t="s">
        <v>536</v>
      </c>
      <c r="B62" s="217">
        <v>2021</v>
      </c>
      <c r="C62" s="218">
        <f t="shared" si="3"/>
        <v>0.93070101122818638</v>
      </c>
      <c r="D62" s="219">
        <f>'2021'!D30-'2020'!D30</f>
        <v>0.44007731725619964</v>
      </c>
      <c r="E62" s="219">
        <f>'2021'!E30-'2020'!E30</f>
        <v>0.4906236939719868</v>
      </c>
      <c r="F62" s="219">
        <f>'2021'!F30-'2020'!F30</f>
        <v>0</v>
      </c>
      <c r="G62" s="220">
        <f t="shared" si="4"/>
        <v>-0.30933920314716878</v>
      </c>
      <c r="H62" s="219">
        <f>'2021'!H30-'2020'!H30</f>
        <v>4.0174250299493036E-2</v>
      </c>
      <c r="I62" s="219">
        <f>'2021'!I30-'2020'!I30</f>
        <v>-0.34951345344666185</v>
      </c>
      <c r="J62" s="219">
        <f>'2021'!J30-'2020'!J30</f>
        <v>0</v>
      </c>
      <c r="K62" s="220">
        <f t="shared" si="5"/>
        <v>3.0858707525433022</v>
      </c>
      <c r="L62" s="220">
        <f t="shared" si="6"/>
        <v>1.6792809855950741</v>
      </c>
      <c r="M62" s="219">
        <f>'2021'!M30-'2020'!M30</f>
        <v>1.4591385480354555</v>
      </c>
      <c r="N62" s="219">
        <f>'2021'!N30-'2020'!N30</f>
        <v>0.79403961330696116</v>
      </c>
      <c r="O62" s="219">
        <f>'2021'!O30-'2020'!O30</f>
        <v>1.6267322045078467</v>
      </c>
      <c r="P62" s="219">
        <f>'2021'!P30-'2020'!P30</f>
        <v>0.88524137228811295</v>
      </c>
      <c r="Q62" s="219">
        <f>'2021'!Q30-'2020'!Q30</f>
        <v>0</v>
      </c>
      <c r="R62" s="219">
        <f>'2021'!R30-'2020'!S30</f>
        <v>0</v>
      </c>
      <c r="S62" s="220">
        <f t="shared" si="8"/>
        <v>-1.0256578515448271</v>
      </c>
      <c r="T62" s="220">
        <f t="shared" si="7"/>
        <v>-0.55814642476713816</v>
      </c>
      <c r="U62" s="219">
        <f>'2021'!U30-'2020'!V30</f>
        <v>0.13320340529227637</v>
      </c>
      <c r="V62" s="219">
        <f>'2021'!V30-'2020'!W30</f>
        <v>7.2487140149819107E-2</v>
      </c>
      <c r="W62" s="219">
        <f>'2021'!W30-'2020'!X30</f>
        <v>-1.1588612568371035</v>
      </c>
      <c r="X62" s="219">
        <f>'2021'!X30-'2020'!Y30</f>
        <v>-0.63063356491695732</v>
      </c>
      <c r="Y62" s="219">
        <f>'2021'!Y30-'2020'!Z30</f>
        <v>0</v>
      </c>
      <c r="Z62" s="219">
        <f>'2021'!Z30-'2020'!AA30</f>
        <v>0</v>
      </c>
    </row>
    <row r="63" spans="1:26">
      <c r="A63" s="225" t="s">
        <v>537</v>
      </c>
      <c r="B63" s="217">
        <v>2021</v>
      </c>
      <c r="C63" s="218">
        <f t="shared" si="3"/>
        <v>1.8127272608878233</v>
      </c>
      <c r="D63" s="219">
        <f>'2021'!D31-'2020'!D31</f>
        <v>0.53086829320013718</v>
      </c>
      <c r="E63" s="219">
        <f>'2021'!E31-'2020'!E31</f>
        <v>1.2818589676876861</v>
      </c>
      <c r="F63" s="219">
        <f>'2021'!F31-'2020'!F31</f>
        <v>-0.89279687578339972</v>
      </c>
      <c r="G63" s="220">
        <f t="shared" si="4"/>
        <v>-0.3828441054824393</v>
      </c>
      <c r="H63" s="219">
        <f>'2021'!H31-'2020'!H31</f>
        <v>6.9442814202764436E-2</v>
      </c>
      <c r="I63" s="219">
        <f>'2021'!I31-'2020'!I31</f>
        <v>-0.45228691968520374</v>
      </c>
      <c r="J63" s="219">
        <f>'2021'!J31-'2020'!J31</f>
        <v>0</v>
      </c>
      <c r="K63" s="220">
        <f t="shared" si="5"/>
        <v>3.7595370181114136</v>
      </c>
      <c r="L63" s="220">
        <f t="shared" si="6"/>
        <v>1.8661730893589612</v>
      </c>
      <c r="M63" s="219">
        <f>'2021'!M31-'2020'!M31</f>
        <v>1.1010034675873095</v>
      </c>
      <c r="N63" s="219">
        <f>'2021'!N31-'2020'!N31</f>
        <v>0.54652023177430764</v>
      </c>
      <c r="O63" s="219">
        <f>'2021'!O31-'2020'!O31</f>
        <v>2.6585335505241039</v>
      </c>
      <c r="P63" s="219">
        <f>'2021'!P31-'2020'!P31</f>
        <v>1.3196528575846536</v>
      </c>
      <c r="Q63" s="219">
        <f>'2021'!Q31-'2020'!Q31</f>
        <v>-1.8516315038578859</v>
      </c>
      <c r="R63" s="219">
        <f>'2021'!R31-'2020'!S31</f>
        <v>-0.91911979248037601</v>
      </c>
      <c r="S63" s="220">
        <f t="shared" si="8"/>
        <v>-0.79400614630909438</v>
      </c>
      <c r="T63" s="220">
        <f t="shared" si="7"/>
        <v>-0.39413174970464826</v>
      </c>
      <c r="U63" s="219">
        <f>'2021'!U31-'2020'!V31</f>
        <v>0.14402212416073001</v>
      </c>
      <c r="V63" s="219">
        <f>'2021'!V31-'2020'!W31</f>
        <v>7.149024230544343E-2</v>
      </c>
      <c r="W63" s="219">
        <f>'2021'!W31-'2020'!X31</f>
        <v>-0.9380282704698244</v>
      </c>
      <c r="X63" s="219">
        <f>'2021'!X31-'2020'!Y31</f>
        <v>-0.46562199201009169</v>
      </c>
      <c r="Y63" s="219">
        <f>'2021'!Y31-'2020'!Z31</f>
        <v>0</v>
      </c>
      <c r="Z63" s="219">
        <f>'2021'!Z31-'2020'!AA31</f>
        <v>0</v>
      </c>
    </row>
    <row r="64" spans="1:26">
      <c r="A64" s="225" t="s">
        <v>538</v>
      </c>
      <c r="B64" s="217">
        <v>2021</v>
      </c>
      <c r="C64" s="218">
        <f t="shared" si="3"/>
        <v>0.12197614489762618</v>
      </c>
      <c r="D64" s="219">
        <f>'2021'!D32-'2020'!D32</f>
        <v>0.11473187508637858</v>
      </c>
      <c r="E64" s="219">
        <f>'2021'!E32-'2020'!E32</f>
        <v>7.2442698112475945E-3</v>
      </c>
      <c r="F64" s="219">
        <f>'2021'!F32-'2020'!F32</f>
        <v>2.4720318780149242E-3</v>
      </c>
      <c r="G64" s="220">
        <f t="shared" si="4"/>
        <v>8.7534926885912689E-3</v>
      </c>
      <c r="H64" s="219">
        <f>'2021'!H32-'2020'!H32</f>
        <v>1.2073783018746731E-3</v>
      </c>
      <c r="I64" s="219">
        <f>'2021'!I32-'2020'!I32</f>
        <v>7.5461143867165958E-3</v>
      </c>
      <c r="J64" s="219">
        <f>'2021'!J32-'2020'!J32</f>
        <v>-8.696217414326135E-3</v>
      </c>
      <c r="K64" s="220">
        <f t="shared" si="5"/>
        <v>0.18326432395663583</v>
      </c>
      <c r="L64" s="220">
        <f t="shared" si="6"/>
        <v>0.18385549971363901</v>
      </c>
      <c r="M64" s="219">
        <f>'2021'!M32-'2020'!M32</f>
        <v>0.17238009564599355</v>
      </c>
      <c r="N64" s="219">
        <f>'2021'!N32-'2020'!N32</f>
        <v>0.17293616095830111</v>
      </c>
      <c r="O64" s="219">
        <f>'2021'!O32-'2020'!O32</f>
        <v>1.0884228310642285E-2</v>
      </c>
      <c r="P64" s="219">
        <f>'2021'!P32-'2020'!P32</f>
        <v>1.0919338755337904E-2</v>
      </c>
      <c r="Q64" s="219">
        <f>'2021'!Q32-'2020'!Q32</f>
        <v>3.714129933388044E-3</v>
      </c>
      <c r="R64" s="219">
        <f>'2021'!R32-'2020'!S32</f>
        <v>3.726111008196753E-3</v>
      </c>
      <c r="S64" s="220">
        <f t="shared" si="8"/>
        <v>8.6053829840837537E-5</v>
      </c>
      <c r="T64" s="220">
        <f t="shared" si="7"/>
        <v>8.6331423084007319E-5</v>
      </c>
      <c r="U64" s="219">
        <f>'2021'!U32-'2020'!V32</f>
        <v>1.8140380517739363E-3</v>
      </c>
      <c r="V64" s="219">
        <f>'2021'!V32-'2020'!W32</f>
        <v>1.8198897925564284E-3</v>
      </c>
      <c r="W64" s="219">
        <f>'2021'!W32-'2020'!X32</f>
        <v>1.133773782358638E-2</v>
      </c>
      <c r="X64" s="219">
        <f>'2021'!X32-'2020'!Y32</f>
        <v>1.1374311203478094E-2</v>
      </c>
      <c r="Y64" s="219">
        <f>'2021'!Y32-'2020'!Z32</f>
        <v>-1.3065722045519479E-2</v>
      </c>
      <c r="Z64" s="219">
        <f>'2021'!Z32-'2020'!AA32</f>
        <v>-1.3107869572950515E-2</v>
      </c>
    </row>
    <row r="65" spans="1:26">
      <c r="A65" s="225" t="s">
        <v>452</v>
      </c>
      <c r="B65" s="217">
        <v>2021</v>
      </c>
      <c r="C65" s="218">
        <f t="shared" si="3"/>
        <v>53.405319500717908</v>
      </c>
      <c r="D65" s="219">
        <f>'2021'!D33-'2020'!D33</f>
        <v>12.229524725044866</v>
      </c>
      <c r="E65" s="219">
        <f>'2021'!E33-'2020'!E33</f>
        <v>41.17579477567304</v>
      </c>
      <c r="F65" s="219">
        <f>'2021'!F33-'2020'!F33</f>
        <v>-1.2173776287808025</v>
      </c>
      <c r="G65" s="220">
        <f t="shared" si="4"/>
        <v>-34.270513178448631</v>
      </c>
      <c r="H65" s="219">
        <f>'2021'!H33-'2020'!H33</f>
        <v>0</v>
      </c>
      <c r="I65" s="219">
        <f>'2021'!I33-'2020'!I33</f>
        <v>-34.270513178448631</v>
      </c>
      <c r="J65" s="219">
        <f>'2021'!J33-'2020'!J33</f>
        <v>0</v>
      </c>
      <c r="K65" s="220">
        <f t="shared" si="5"/>
        <v>6.35588125694923</v>
      </c>
      <c r="L65" s="220">
        <f t="shared" si="6"/>
        <v>5.7274778666166348</v>
      </c>
      <c r="M65" s="219">
        <f>'2021'!M33-'2020'!M33</f>
        <v>1.4554618848458527</v>
      </c>
      <c r="N65" s="219">
        <f>'2021'!N33-'2020'!N33</f>
        <v>1.3115609612820269</v>
      </c>
      <c r="O65" s="219">
        <f>'2021'!O33-'2020'!O33</f>
        <v>4.9004193721033777</v>
      </c>
      <c r="P65" s="219">
        <f>'2021'!P33-'2020'!P33</f>
        <v>4.4159169053346083</v>
      </c>
      <c r="Q65" s="219">
        <f>'2021'!Q33-'2020'!Q33</f>
        <v>-0.14488271441374279</v>
      </c>
      <c r="R65" s="219">
        <f>'2021'!R33-'2020'!S33</f>
        <v>-0.13055821946842872</v>
      </c>
      <c r="S65" s="220">
        <f t="shared" si="8"/>
        <v>-4.0786070453900241</v>
      </c>
      <c r="T65" s="220">
        <f t="shared" si="7"/>
        <v>-3.6753568285368967</v>
      </c>
      <c r="U65" s="219">
        <f>'2021'!U33-'2020'!V33</f>
        <v>0</v>
      </c>
      <c r="V65" s="219">
        <f>'2021'!V33-'2020'!W33</f>
        <v>0</v>
      </c>
      <c r="W65" s="219">
        <f>'2021'!W33-'2020'!X33</f>
        <v>-4.0786070453900241</v>
      </c>
      <c r="X65" s="219">
        <f>'2021'!X33-'2020'!Y33</f>
        <v>-3.6753568285368967</v>
      </c>
      <c r="Y65" s="219">
        <f>'2021'!Y33-'2020'!Z33</f>
        <v>0</v>
      </c>
      <c r="Z65" s="219">
        <f>'2021'!Z33-'2020'!AA33</f>
        <v>0</v>
      </c>
    </row>
    <row r="66" spans="1:26">
      <c r="A66" s="225" t="s">
        <v>465</v>
      </c>
      <c r="B66" s="217">
        <v>2021</v>
      </c>
      <c r="C66" s="218">
        <f t="shared" si="3"/>
        <v>0.4580441819920309</v>
      </c>
      <c r="D66" s="219">
        <f>'2021'!D34-'2020'!D34</f>
        <v>0.78844834295863242</v>
      </c>
      <c r="E66" s="219">
        <f>'2021'!E34-'2020'!E34</f>
        <v>-0.33040416096660152</v>
      </c>
      <c r="F66" s="219">
        <f>'2021'!F34-'2020'!F34</f>
        <v>0</v>
      </c>
      <c r="G66" s="220">
        <f t="shared" si="4"/>
        <v>-1.5736558197847814</v>
      </c>
      <c r="H66" s="219">
        <f>'2021'!H34-'2020'!H34</f>
        <v>0.59041841284024388</v>
      </c>
      <c r="I66" s="219">
        <f>'2021'!I34-'2020'!I34</f>
        <v>-2.1640742326250253</v>
      </c>
      <c r="J66" s="219">
        <f>'2021'!J34-'2020'!J34</f>
        <v>0</v>
      </c>
      <c r="K66" s="220">
        <f t="shared" si="5"/>
        <v>0.22570525354736315</v>
      </c>
      <c r="L66" s="220">
        <f t="shared" si="6"/>
        <v>0.23613713299910688</v>
      </c>
      <c r="M66" s="219">
        <f>'2021'!M34-'2020'!M34</f>
        <v>0.38851477685524127</v>
      </c>
      <c r="N66" s="219">
        <f>'2021'!N34-'2020'!N34</f>
        <v>0.40647155567928794</v>
      </c>
      <c r="O66" s="219">
        <f>'2021'!O34-'2020'!O34</f>
        <v>-0.16280952330787812</v>
      </c>
      <c r="P66" s="219">
        <f>'2021'!P34-'2020'!P34</f>
        <v>-0.17033442268018106</v>
      </c>
      <c r="Q66" s="219">
        <f>'2021'!Q34-'2020'!Q34</f>
        <v>0</v>
      </c>
      <c r="R66" s="219">
        <f>'2021'!R34-'2020'!S34</f>
        <v>0</v>
      </c>
      <c r="S66" s="220">
        <f t="shared" si="8"/>
        <v>-0.77543258874312093</v>
      </c>
      <c r="T66" s="220">
        <f t="shared" si="7"/>
        <v>-0.81127233620839212</v>
      </c>
      <c r="U66" s="219">
        <f>'2021'!U34-'2020'!V34</f>
        <v>0.29093380684280101</v>
      </c>
      <c r="V66" s="219">
        <f>'2021'!V34-'2020'!W34</f>
        <v>0.30438048720899091</v>
      </c>
      <c r="W66" s="219">
        <f>'2021'!W34-'2020'!X34</f>
        <v>-1.0663663955859219</v>
      </c>
      <c r="X66" s="219">
        <f>'2021'!X34-'2020'!Y34</f>
        <v>-1.115652823417383</v>
      </c>
      <c r="Y66" s="219">
        <f>'2021'!Y34-'2020'!Z34</f>
        <v>0</v>
      </c>
      <c r="Z66" s="219">
        <f>'2021'!Z34-'2020'!AA34</f>
        <v>0</v>
      </c>
    </row>
    <row r="67" spans="1:26">
      <c r="A67" s="225" t="s">
        <v>451</v>
      </c>
      <c r="B67" s="217">
        <v>2021</v>
      </c>
      <c r="C67" s="218">
        <f t="shared" si="3"/>
        <v>10.568195188791748</v>
      </c>
      <c r="D67" s="219">
        <f>'2021'!D35-'2020'!D35</f>
        <v>1.4817617492001967</v>
      </c>
      <c r="E67" s="219">
        <f>'2021'!E35-'2020'!E35</f>
        <v>9.0864334395915503</v>
      </c>
      <c r="F67" s="219">
        <f>'2021'!F35-'2020'!F35</f>
        <v>0</v>
      </c>
      <c r="G67" s="220">
        <f t="shared" si="4"/>
        <v>0.86303426186269405</v>
      </c>
      <c r="H67" s="219">
        <f>'2021'!H35-'2020'!H35</f>
        <v>0.82313210460347186</v>
      </c>
      <c r="I67" s="219">
        <f>'2021'!I35-'2020'!I35</f>
        <v>3.9902157259222193E-2</v>
      </c>
      <c r="J67" s="219">
        <f>'2021'!J35-'2020'!J35</f>
        <v>0</v>
      </c>
      <c r="K67" s="220">
        <f t="shared" si="5"/>
        <v>2.5760420131275383</v>
      </c>
      <c r="L67" s="220">
        <f t="shared" si="6"/>
        <v>3.1980810121919347</v>
      </c>
      <c r="M67" s="219">
        <f>'2021'!M35-'2020'!M35</f>
        <v>0.36118565669882002</v>
      </c>
      <c r="N67" s="219">
        <f>'2021'!N35-'2020'!N35</f>
        <v>0.4484014564506959</v>
      </c>
      <c r="O67" s="219">
        <f>'2021'!O35-'2020'!O35</f>
        <v>2.2148563564287183</v>
      </c>
      <c r="P67" s="219">
        <f>'2021'!P35-'2020'!P35</f>
        <v>2.7496795557412388</v>
      </c>
      <c r="Q67" s="219">
        <f>'2021'!Q35-'2020'!Q35</f>
        <v>0</v>
      </c>
      <c r="R67" s="219">
        <f>'2021'!R35-'2020'!S35</f>
        <v>0</v>
      </c>
      <c r="S67" s="220">
        <f t="shared" si="8"/>
        <v>0.21036823011034778</v>
      </c>
      <c r="T67" s="220">
        <f t="shared" si="7"/>
        <v>0.26116602091730678</v>
      </c>
      <c r="U67" s="219">
        <f>'2021'!U35-'2020'!V35</f>
        <v>0.20064191150268296</v>
      </c>
      <c r="V67" s="219">
        <f>'2021'!V35-'2020'!W35</f>
        <v>0.24909108009755787</v>
      </c>
      <c r="W67" s="219">
        <f>'2021'!W35-'2020'!X35</f>
        <v>9.7263186076648189E-3</v>
      </c>
      <c r="X67" s="219">
        <f>'2021'!X35-'2020'!Y35</f>
        <v>1.2074940819748914E-2</v>
      </c>
      <c r="Y67" s="219">
        <f>'2021'!Y35-'2020'!Z35</f>
        <v>0</v>
      </c>
      <c r="Z67" s="219">
        <f>'2021'!Z35-'2020'!AA35</f>
        <v>0</v>
      </c>
    </row>
    <row r="68" spans="1:26">
      <c r="A68" s="225" t="s">
        <v>539</v>
      </c>
      <c r="B68" s="217">
        <v>2021</v>
      </c>
      <c r="C68" s="218">
        <f t="shared" si="3"/>
        <v>2.9960080689909963</v>
      </c>
      <c r="D68" s="219">
        <f>'2021'!D36-'2020'!D36</f>
        <v>6.64058066031048E-3</v>
      </c>
      <c r="E68" s="219">
        <f>'2021'!E36-'2020'!E36</f>
        <v>2.9893674883306858</v>
      </c>
      <c r="F68" s="219">
        <f>'2021'!F36-'2020'!F36</f>
        <v>-7.7368709221479817</v>
      </c>
      <c r="G68" s="220">
        <f t="shared" si="4"/>
        <v>-1.6726829942206933</v>
      </c>
      <c r="H68" s="219">
        <f>'2021'!H36-'2020'!H36</f>
        <v>0</v>
      </c>
      <c r="I68" s="219">
        <f>'2021'!I36-'2020'!I36</f>
        <v>-1.6726829942206933</v>
      </c>
      <c r="J68" s="219">
        <f>'2021'!J36-'2020'!J36</f>
        <v>0</v>
      </c>
      <c r="K68" s="220">
        <f t="shared" si="5"/>
        <v>1.347353833338979</v>
      </c>
      <c r="L68" s="220">
        <f t="shared" si="6"/>
        <v>0.87803875590470637</v>
      </c>
      <c r="M68" s="219">
        <f>'2021'!M36-'2020'!M36</f>
        <v>2.9863777407246328E-3</v>
      </c>
      <c r="N68" s="219">
        <f>'2021'!N36-'2020'!N36</f>
        <v>1.9461520286986334E-3</v>
      </c>
      <c r="O68" s="219">
        <f>'2021'!O36-'2020'!O36</f>
        <v>1.3443674555982543</v>
      </c>
      <c r="P68" s="219">
        <f>'2021'!P36-'2020'!P36</f>
        <v>0.87609260387600774</v>
      </c>
      <c r="Q68" s="219">
        <f>'2021'!Q36-'2020'!Q36</f>
        <v>-3.4793974031303891</v>
      </c>
      <c r="R68" s="219">
        <f>'2021'!R36-'2020'!S36</f>
        <v>-2.2674413294774491</v>
      </c>
      <c r="S68" s="220">
        <f t="shared" si="8"/>
        <v>-0.75223290202391802</v>
      </c>
      <c r="T68" s="220">
        <f t="shared" si="7"/>
        <v>-0.49021246320044876</v>
      </c>
      <c r="U68" s="219">
        <f>'2021'!U36-'2020'!V36</f>
        <v>0</v>
      </c>
      <c r="V68" s="219">
        <f>'2021'!V36-'2020'!W36</f>
        <v>0</v>
      </c>
      <c r="W68" s="219">
        <f>'2021'!W36-'2020'!X36</f>
        <v>-0.75223290202391802</v>
      </c>
      <c r="X68" s="219">
        <f>'2021'!X36-'2020'!Y36</f>
        <v>-0.49021246320044876</v>
      </c>
      <c r="Y68" s="219">
        <f>'2021'!Y36-'2020'!Z36</f>
        <v>0</v>
      </c>
      <c r="Z68" s="219">
        <f>'2021'!Z36-'2020'!AA36</f>
        <v>0</v>
      </c>
    </row>
    <row r="69" spans="1:26">
      <c r="A69" s="225" t="s">
        <v>540</v>
      </c>
      <c r="B69" s="217">
        <v>2021</v>
      </c>
      <c r="C69" s="218">
        <f t="shared" si="3"/>
        <v>2.3328215382855015</v>
      </c>
      <c r="D69" s="219">
        <f>'2021'!D37-'2020'!D37</f>
        <v>1.1463344391640371</v>
      </c>
      <c r="E69" s="219">
        <f>'2021'!E37-'2020'!E37</f>
        <v>1.1864870991214644</v>
      </c>
      <c r="F69" s="219">
        <f>'2021'!F37-'2020'!F37</f>
        <v>5.5953016739066053E-2</v>
      </c>
      <c r="G69" s="220">
        <f t="shared" si="4"/>
        <v>-2.7644362885349008</v>
      </c>
      <c r="H69" s="219">
        <f>'2021'!H37-'2020'!H37</f>
        <v>0</v>
      </c>
      <c r="I69" s="219">
        <f>'2021'!I37-'2020'!I37</f>
        <v>-2.7644362885349008</v>
      </c>
      <c r="J69" s="219">
        <f>'2021'!J37-'2020'!J37</f>
        <v>0</v>
      </c>
      <c r="K69" s="220">
        <f t="shared" si="5"/>
        <v>2.3448020423198233</v>
      </c>
      <c r="L69" s="220">
        <f t="shared" si="6"/>
        <v>1.2838033966141227</v>
      </c>
      <c r="M69" s="219">
        <f>'2021'!M37-'2020'!M37</f>
        <v>1.152221586615179</v>
      </c>
      <c r="N69" s="219">
        <f>'2021'!N37-'2020'!N37</f>
        <v>0.63085324895282546</v>
      </c>
      <c r="O69" s="219">
        <f>'2021'!O37-'2020'!O37</f>
        <v>1.1925804557046442</v>
      </c>
      <c r="P69" s="219">
        <f>'2021'!P37-'2020'!P37</f>
        <v>0.65295014766129711</v>
      </c>
      <c r="Q69" s="219">
        <f>'2021'!Q37-'2020'!Q37</f>
        <v>5.624037062866849E-2</v>
      </c>
      <c r="R69" s="219">
        <f>'2021'!R37-'2020'!S37</f>
        <v>3.0792185240716252E-2</v>
      </c>
      <c r="S69" s="220">
        <f t="shared" si="8"/>
        <v>-2.778633405444134</v>
      </c>
      <c r="T69" s="220">
        <f t="shared" si="7"/>
        <v>-1.5213305598819034</v>
      </c>
      <c r="U69" s="219">
        <f>'2021'!U37-'2020'!V37</f>
        <v>0</v>
      </c>
      <c r="V69" s="219">
        <f>'2021'!V37-'2020'!W37</f>
        <v>0</v>
      </c>
      <c r="W69" s="219">
        <f>'2021'!W37-'2020'!X37</f>
        <v>-2.778633405444134</v>
      </c>
      <c r="X69" s="219">
        <f>'2021'!X37-'2020'!Y37</f>
        <v>-1.5213305598819034</v>
      </c>
      <c r="Y69" s="219">
        <f>'2021'!Y37-'2020'!Z37</f>
        <v>0</v>
      </c>
      <c r="Z69" s="219">
        <f>'2021'!Z37-'2020'!AA37</f>
        <v>0</v>
      </c>
    </row>
    <row r="70" spans="1:26">
      <c r="A70" s="225" t="s">
        <v>541</v>
      </c>
      <c r="B70" s="217">
        <v>2021</v>
      </c>
      <c r="C70" s="218">
        <f t="shared" si="3"/>
        <v>2.4340199049526561</v>
      </c>
      <c r="D70" s="219">
        <f>'2021'!D38-'2020'!D38</f>
        <v>-5.5305365439891896E-2</v>
      </c>
      <c r="E70" s="219">
        <f>'2021'!E38-'2020'!E38</f>
        <v>2.4893252703925479</v>
      </c>
      <c r="F70" s="219">
        <f>'2021'!F38-'2020'!F38</f>
        <v>0.374</v>
      </c>
      <c r="G70" s="220">
        <f t="shared" si="4"/>
        <v>0</v>
      </c>
      <c r="H70" s="219">
        <f>'2021'!H38-'2020'!H38</f>
        <v>0</v>
      </c>
      <c r="I70" s="219">
        <f>'2021'!I38-'2020'!I38</f>
        <v>0</v>
      </c>
      <c r="J70" s="219">
        <f>'2021'!J38-'2020'!J38</f>
        <v>0</v>
      </c>
      <c r="K70" s="220">
        <f t="shared" si="5"/>
        <v>4.8276825343236185</v>
      </c>
      <c r="L70" s="220">
        <f t="shared" si="6"/>
        <v>3.2010839283073498</v>
      </c>
      <c r="M70" s="219">
        <f>'2021'!M38-'2020'!M38</f>
        <v>-0.10969374007388999</v>
      </c>
      <c r="N70" s="219">
        <f>'2021'!N38-'2020'!N38</f>
        <v>-7.2734457141691355E-2</v>
      </c>
      <c r="O70" s="219">
        <f>'2021'!O38-'2020'!O38</f>
        <v>4.9373762743975087</v>
      </c>
      <c r="P70" s="219">
        <f>'2021'!P38-'2020'!P38</f>
        <v>3.273818385449041</v>
      </c>
      <c r="Q70" s="219">
        <f>'2021'!Q38-'2020'!Q38</f>
        <v>0.74179889168661206</v>
      </c>
      <c r="R70" s="219">
        <f>'2021'!R38-'2020'!S38</f>
        <v>0.49186343412842204</v>
      </c>
      <c r="S70" s="220">
        <f t="shared" si="8"/>
        <v>0</v>
      </c>
      <c r="T70" s="220">
        <f t="shared" si="7"/>
        <v>0</v>
      </c>
      <c r="U70" s="219">
        <f>'2021'!U38-'2020'!V38</f>
        <v>0</v>
      </c>
      <c r="V70" s="219">
        <f>'2021'!V38-'2020'!W38</f>
        <v>0</v>
      </c>
      <c r="W70" s="219">
        <f>'2021'!W38-'2020'!X38</f>
        <v>0</v>
      </c>
      <c r="X70" s="219">
        <f>'2021'!X38-'2020'!Y38</f>
        <v>0</v>
      </c>
      <c r="Y70" s="219">
        <f>'2021'!Y38-'2020'!Z38</f>
        <v>0</v>
      </c>
      <c r="Z70" s="219">
        <f>'2021'!Z38-'2020'!AA38</f>
        <v>0</v>
      </c>
    </row>
    <row r="71" spans="1:26">
      <c r="A71" s="225" t="s">
        <v>450</v>
      </c>
      <c r="B71" s="217">
        <v>2021</v>
      </c>
      <c r="C71" s="218">
        <f t="shared" si="3"/>
        <v>0.14978738107463396</v>
      </c>
      <c r="D71" s="219">
        <f>'2021'!D39-'2020'!D39</f>
        <v>4.9594344938770796E-2</v>
      </c>
      <c r="E71" s="219">
        <f>'2021'!E39-'2020'!E39</f>
        <v>0.10019303613586317</v>
      </c>
      <c r="F71" s="219">
        <f>'2021'!F39-'2020'!F39</f>
        <v>0.11278619484333774</v>
      </c>
      <c r="G71" s="220">
        <f t="shared" si="4"/>
        <v>8.8107902061195453E-2</v>
      </c>
      <c r="H71" s="219">
        <f>'2021'!H39-'2020'!H39</f>
        <v>3.9390999393047466E-3</v>
      </c>
      <c r="I71" s="219">
        <f>'2021'!I39-'2020'!I39</f>
        <v>8.4168802121890707E-2</v>
      </c>
      <c r="J71" s="219">
        <f>'2021'!J39-'2020'!J39</f>
        <v>0</v>
      </c>
      <c r="K71" s="220">
        <f t="shared" si="5"/>
        <v>2.7242921653429675E-2</v>
      </c>
      <c r="L71" s="220">
        <f t="shared" si="6"/>
        <v>2.8749729366257082E-2</v>
      </c>
      <c r="M71" s="219">
        <f>'2021'!M39-'2020'!M39</f>
        <v>9.0200846288038816E-3</v>
      </c>
      <c r="N71" s="219">
        <f>'2021'!N39-'2020'!N39</f>
        <v>9.518986077845959E-3</v>
      </c>
      <c r="O71" s="219">
        <f>'2021'!O39-'2020'!O39</f>
        <v>1.8222837024625793E-2</v>
      </c>
      <c r="P71" s="219">
        <f>'2021'!P39-'2020'!P39</f>
        <v>1.9230743288411123E-2</v>
      </c>
      <c r="Q71" s="219">
        <f>'2021'!Q39-'2020'!Q39</f>
        <v>2.0513246494205717E-2</v>
      </c>
      <c r="R71" s="219">
        <f>'2021'!R39-'2020'!S39</f>
        <v>2.1647835450037789E-2</v>
      </c>
      <c r="S71" s="220">
        <f t="shared" si="8"/>
        <v>1.6024825694130385E-2</v>
      </c>
      <c r="T71" s="220">
        <f t="shared" si="7"/>
        <v>1.6911159812760423E-2</v>
      </c>
      <c r="U71" s="219">
        <f>'2021'!U39-'2020'!V39</f>
        <v>7.16432788006649E-4</v>
      </c>
      <c r="V71" s="219">
        <f>'2021'!V39-'2020'!W39</f>
        <v>7.5605873064316098E-4</v>
      </c>
      <c r="W71" s="219">
        <f>'2021'!W39-'2020'!X39</f>
        <v>1.5308392906123736E-2</v>
      </c>
      <c r="X71" s="219">
        <f>'2021'!X39-'2020'!Y39</f>
        <v>1.6155101082117262E-2</v>
      </c>
      <c r="Y71" s="219">
        <f>'2021'!Y39-'2020'!Z39</f>
        <v>0</v>
      </c>
      <c r="Z71" s="219">
        <f>'2021'!Z39-'2020'!AA39</f>
        <v>0</v>
      </c>
    </row>
    <row r="72" spans="1:26">
      <c r="A72" s="225" t="s">
        <v>453</v>
      </c>
      <c r="B72" s="217">
        <v>2021</v>
      </c>
      <c r="C72" s="218">
        <f t="shared" si="3"/>
        <v>19.992191518567093</v>
      </c>
      <c r="D72" s="219">
        <f>'2021'!D40-'2020'!D40</f>
        <v>4.4998146472499663</v>
      </c>
      <c r="E72" s="219">
        <f>'2021'!E40-'2020'!E40</f>
        <v>15.492376871317127</v>
      </c>
      <c r="F72" s="219">
        <f>'2021'!F40-'2020'!F40</f>
        <v>0</v>
      </c>
      <c r="G72" s="220">
        <f t="shared" si="4"/>
        <v>1.8682202314776863</v>
      </c>
      <c r="H72" s="219">
        <f>'2021'!H40-'2020'!H40</f>
        <v>0.32113714115521264</v>
      </c>
      <c r="I72" s="219">
        <f>'2021'!I40-'2020'!I40</f>
        <v>1.5470830903224737</v>
      </c>
      <c r="J72" s="219">
        <f>'2021'!J40-'2020'!J40</f>
        <v>0</v>
      </c>
      <c r="K72" s="220">
        <f t="shared" si="5"/>
        <v>2.6759375900372087</v>
      </c>
      <c r="L72" s="220">
        <f t="shared" si="6"/>
        <v>3.3838372405297141</v>
      </c>
      <c r="M72" s="219">
        <f>'2021'!M40-'2020'!M40</f>
        <v>0.60229630911615228</v>
      </c>
      <c r="N72" s="219">
        <f>'2021'!N40-'2020'!N40</f>
        <v>0.76162937738487912</v>
      </c>
      <c r="O72" s="219">
        <f>'2021'!O40-'2020'!O40</f>
        <v>2.0736412809210565</v>
      </c>
      <c r="P72" s="219">
        <f>'2021'!P40-'2020'!P40</f>
        <v>2.6222078631448351</v>
      </c>
      <c r="Q72" s="219">
        <f>'2021'!Q40-'2020'!Q40</f>
        <v>0</v>
      </c>
      <c r="R72" s="219">
        <f>'2021'!R40-'2020'!S40</f>
        <v>0</v>
      </c>
      <c r="S72" s="220">
        <f t="shared" si="8"/>
        <v>0.25005966650710959</v>
      </c>
      <c r="T72" s="220">
        <f t="shared" si="7"/>
        <v>0.31621111607069929</v>
      </c>
      <c r="U72" s="219">
        <f>'2021'!U40-'2020'!V40</f>
        <v>4.298392933942391E-2</v>
      </c>
      <c r="V72" s="219">
        <f>'2021'!V40-'2020'!W40</f>
        <v>5.435501238316176E-2</v>
      </c>
      <c r="W72" s="219">
        <f>'2021'!W40-'2020'!X40</f>
        <v>0.20707573716768568</v>
      </c>
      <c r="X72" s="219">
        <f>'2021'!X40-'2020'!Y40</f>
        <v>0.26185610368753753</v>
      </c>
      <c r="Y72" s="219">
        <f>'2021'!Y40-'2020'!Z40</f>
        <v>0</v>
      </c>
      <c r="Z72" s="219">
        <f>'2021'!Z40-'2020'!AA40</f>
        <v>0</v>
      </c>
    </row>
    <row r="73" spans="1:26">
      <c r="A73" s="221" t="s">
        <v>490</v>
      </c>
      <c r="B73" s="217">
        <v>2021</v>
      </c>
      <c r="C73" s="218">
        <f t="shared" si="3"/>
        <v>11.328436070309353</v>
      </c>
      <c r="D73" s="219">
        <f>'2021'!D41-'2020'!D41</f>
        <v>-0.69891173880890034</v>
      </c>
      <c r="E73" s="219">
        <f>'2021'!E41-'2020'!E41</f>
        <v>12.027347809118254</v>
      </c>
      <c r="F73" s="219">
        <f>'2021'!F41-'2020'!F41</f>
        <v>1.0046076631681755</v>
      </c>
      <c r="G73" s="220">
        <f t="shared" si="4"/>
        <v>3.2859281358385646</v>
      </c>
      <c r="H73" s="219">
        <f>'2021'!H41-'2020'!H41</f>
        <v>3.2859281358385646</v>
      </c>
      <c r="I73" s="219">
        <f>'2021'!I41-'2020'!I41</f>
        <v>0</v>
      </c>
      <c r="J73" s="219">
        <f>'2021'!J41-'2020'!J41</f>
        <v>-1.4672521220830275</v>
      </c>
      <c r="K73" s="220">
        <f t="shared" si="5"/>
        <v>4.3244997461952943</v>
      </c>
      <c r="L73" s="220">
        <f t="shared" si="6"/>
        <v>2.5671259331396294</v>
      </c>
      <c r="M73" s="219">
        <f>'2021'!M41-'2020'!M41</f>
        <v>-0.26680149125028052</v>
      </c>
      <c r="N73" s="219">
        <f>'2021'!N41-'2020'!N41</f>
        <v>-0.1583797126572869</v>
      </c>
      <c r="O73" s="219">
        <f>'2021'!O41-'2020'!O41</f>
        <v>4.5913012374455748</v>
      </c>
      <c r="P73" s="219">
        <f>'2021'!P41-'2020'!P41</f>
        <v>2.7255056457969165</v>
      </c>
      <c r="Q73" s="219">
        <f>'2021'!Q41-'2020'!Q41</f>
        <v>0.38349738281905577</v>
      </c>
      <c r="R73" s="219">
        <f>'2021'!R41-'2020'!S41</f>
        <v>0.22765317019433928</v>
      </c>
      <c r="S73" s="220">
        <f t="shared" si="8"/>
        <v>0.69425858177460875</v>
      </c>
      <c r="T73" s="220">
        <f t="shared" si="7"/>
        <v>0.41212841118706633</v>
      </c>
      <c r="U73" s="219">
        <f>'2021'!U41-'2020'!V41</f>
        <v>1.2543651481330917</v>
      </c>
      <c r="V73" s="219">
        <f>'2021'!V41-'2020'!W41</f>
        <v>0.74462099442416596</v>
      </c>
      <c r="W73" s="219">
        <f>'2021'!W41-'2020'!X41</f>
        <v>0</v>
      </c>
      <c r="X73" s="219">
        <f>'2021'!X41-'2020'!Y41</f>
        <v>0</v>
      </c>
      <c r="Y73" s="219">
        <f>'2021'!Y41-'2020'!Z41</f>
        <v>-0.56010656635848299</v>
      </c>
      <c r="Z73" s="219">
        <f>'2021'!Z41-'2020'!AA41</f>
        <v>-0.33249258323709963</v>
      </c>
    </row>
    <row r="74" spans="1:26">
      <c r="A74" s="221" t="s">
        <v>481</v>
      </c>
      <c r="B74" s="217">
        <v>2021</v>
      </c>
      <c r="C74" s="218">
        <f t="shared" si="3"/>
        <v>1.4773253152961932</v>
      </c>
      <c r="D74" s="219">
        <f>'2021'!D42-'2020'!D42</f>
        <v>0.96162805443899124</v>
      </c>
      <c r="E74" s="219">
        <f>'2021'!E42-'2020'!E42</f>
        <v>0.51569726085720191</v>
      </c>
      <c r="F74" s="219">
        <f>'2021'!F42-'2020'!F42</f>
        <v>0.37439530761631801</v>
      </c>
      <c r="G74" s="220">
        <f t="shared" si="4"/>
        <v>-0.792975186445525</v>
      </c>
      <c r="H74" s="219">
        <f>'2021'!H42-'2020'!H42</f>
        <v>-0.84264994808854254</v>
      </c>
      <c r="I74" s="219">
        <f>'2021'!I42-'2020'!I42</f>
        <v>4.967476164301754E-2</v>
      </c>
      <c r="J74" s="219">
        <f>'2021'!J42-'2020'!J42</f>
        <v>0</v>
      </c>
      <c r="K74" s="220">
        <f t="shared" si="5"/>
        <v>0.45964516004804001</v>
      </c>
      <c r="L74" s="220">
        <f t="shared" si="6"/>
        <v>0.21395964766689801</v>
      </c>
      <c r="M74" s="219">
        <f>'2021'!M42-'2020'!M42</f>
        <v>0.29919454869740458</v>
      </c>
      <c r="N74" s="219">
        <f>'2021'!N42-'2020'!N42</f>
        <v>0.13927169431407183</v>
      </c>
      <c r="O74" s="219">
        <f>'2021'!O42-'2020'!O42</f>
        <v>0.16045061135063543</v>
      </c>
      <c r="P74" s="219">
        <f>'2021'!P42-'2020'!P42</f>
        <v>7.4687953352826186E-2</v>
      </c>
      <c r="Q74" s="219">
        <f>'2021'!Q42-'2020'!Q42</f>
        <v>0.11648686264882363</v>
      </c>
      <c r="R74" s="219">
        <f>'2021'!R42-'2020'!S42</f>
        <v>5.4223323242563383E-2</v>
      </c>
      <c r="S74" s="220">
        <f t="shared" si="8"/>
        <v>-0.24672101852854311</v>
      </c>
      <c r="T74" s="220">
        <f t="shared" si="7"/>
        <v>-0.11484585672754211</v>
      </c>
      <c r="U74" s="219">
        <f>'2021'!U42-'2020'!V42</f>
        <v>-0.26217649304681157</v>
      </c>
      <c r="V74" s="219">
        <f>'2021'!V42-'2020'!W42</f>
        <v>-0.12204020612982402</v>
      </c>
      <c r="W74" s="219">
        <f>'2021'!W42-'2020'!X42</f>
        <v>1.5455474518268453E-2</v>
      </c>
      <c r="X74" s="219">
        <f>'2021'!X42-'2020'!Y42</f>
        <v>7.1943494022819188E-3</v>
      </c>
      <c r="Y74" s="219">
        <f>'2021'!Y42-'2020'!Z42</f>
        <v>0</v>
      </c>
      <c r="Z74" s="219">
        <f>'2021'!Z42-'2020'!AA42</f>
        <v>0</v>
      </c>
    </row>
    <row r="75" spans="1:26">
      <c r="A75" s="221" t="s">
        <v>542</v>
      </c>
      <c r="B75" s="217">
        <v>2021</v>
      </c>
      <c r="C75" s="218">
        <f t="shared" si="3"/>
        <v>0.15333847332957776</v>
      </c>
      <c r="D75" s="219">
        <f>'2021'!D43-'2020'!D43</f>
        <v>4.6165707683641088E-3</v>
      </c>
      <c r="E75" s="219">
        <f>'2021'!E43-'2020'!E43</f>
        <v>0.14872190256121365</v>
      </c>
      <c r="F75" s="219">
        <f>'2021'!F43-'2020'!F43</f>
        <v>-0.40447797630408838</v>
      </c>
      <c r="G75" s="220">
        <f t="shared" si="4"/>
        <v>0</v>
      </c>
      <c r="H75" s="219">
        <f>'2021'!H43-'2020'!H43</f>
        <v>0</v>
      </c>
      <c r="I75" s="219">
        <f>'2021'!I43-'2020'!I43</f>
        <v>0</v>
      </c>
      <c r="J75" s="219">
        <f>'2021'!J43-'2020'!J43</f>
        <v>0</v>
      </c>
      <c r="K75" s="220">
        <f t="shared" si="5"/>
        <v>0.238167960473122</v>
      </c>
      <c r="L75" s="220">
        <f t="shared" si="6"/>
        <v>0.16807257602951609</v>
      </c>
      <c r="M75" s="219">
        <f>'2021'!M43-'2020'!M43</f>
        <v>7.1705373113886695E-3</v>
      </c>
      <c r="N75" s="219">
        <f>'2021'!N43-'2020'!N43</f>
        <v>5.0601712969569057E-3</v>
      </c>
      <c r="O75" s="219">
        <f>'2021'!O43-'2020'!O43</f>
        <v>0.23099742316173333</v>
      </c>
      <c r="P75" s="219">
        <f>'2021'!P43-'2020'!P43</f>
        <v>0.16301240473255918</v>
      </c>
      <c r="Q75" s="219">
        <f>'2021'!Q43-'2020'!Q43</f>
        <v>-0.62824216637129171</v>
      </c>
      <c r="R75" s="219">
        <f>'2021'!R43-'2020'!S43</f>
        <v>-0.44334376069153497</v>
      </c>
      <c r="S75" s="220">
        <f t="shared" si="8"/>
        <v>0</v>
      </c>
      <c r="T75" s="220">
        <f t="shared" si="7"/>
        <v>0</v>
      </c>
      <c r="U75" s="219">
        <f>'2021'!U43-'2020'!V43</f>
        <v>0</v>
      </c>
      <c r="V75" s="219">
        <f>'2021'!V43-'2020'!W43</f>
        <v>0</v>
      </c>
      <c r="W75" s="219">
        <f>'2021'!W43-'2020'!X43</f>
        <v>0</v>
      </c>
      <c r="X75" s="219">
        <f>'2021'!X43-'2020'!Y43</f>
        <v>0</v>
      </c>
      <c r="Y75" s="219">
        <f>'2021'!Y43-'2020'!Z43</f>
        <v>0</v>
      </c>
      <c r="Z75" s="219">
        <f>'2021'!Z43-'2020'!AA43</f>
        <v>0</v>
      </c>
    </row>
    <row r="76" spans="1:26">
      <c r="A76" s="221" t="s">
        <v>543</v>
      </c>
      <c r="B76" s="217">
        <v>2021</v>
      </c>
      <c r="C76" s="218">
        <f t="shared" si="3"/>
        <v>11.802450953905005</v>
      </c>
      <c r="D76" s="219">
        <f>'2021'!D44-'2020'!D44</f>
        <v>5.9305849670506685</v>
      </c>
      <c r="E76" s="219">
        <f>'2021'!E44-'2020'!E44</f>
        <v>5.8718659868543375</v>
      </c>
      <c r="F76" s="219">
        <f>'2021'!F44-'2020'!F44</f>
        <v>0</v>
      </c>
      <c r="G76" s="220">
        <f t="shared" si="4"/>
        <v>-0.12702259531584925</v>
      </c>
      <c r="H76" s="219">
        <f>'2021'!H44-'2020'!H44</f>
        <v>0</v>
      </c>
      <c r="I76" s="219">
        <f>'2021'!I44-'2020'!I44</f>
        <v>-0.12702259531584925</v>
      </c>
      <c r="J76" s="219">
        <f>'2021'!J44-'2020'!J44</f>
        <v>0</v>
      </c>
      <c r="K76" s="220">
        <f t="shared" si="5"/>
        <v>8.0079608453303432</v>
      </c>
      <c r="L76" s="220">
        <f t="shared" si="6"/>
        <v>3.8086162631906841</v>
      </c>
      <c r="M76" s="219">
        <f>'2021'!M44-'2020'!M44</f>
        <v>4.0239008314059657</v>
      </c>
      <c r="N76" s="219">
        <f>'2021'!N44-'2020'!N44</f>
        <v>1.9137823528315558</v>
      </c>
      <c r="O76" s="219">
        <f>'2021'!O44-'2020'!O44</f>
        <v>3.9840600139243771</v>
      </c>
      <c r="P76" s="219">
        <f>'2021'!P44-'2020'!P44</f>
        <v>1.8948339103591281</v>
      </c>
      <c r="Q76" s="219">
        <f>'2021'!Q44-'2020'!Q44</f>
        <v>0</v>
      </c>
      <c r="R76" s="219">
        <f>'2021'!R44-'2020'!S44</f>
        <v>0</v>
      </c>
      <c r="S76" s="220">
        <f t="shared" si="8"/>
        <v>-8.6184808031336324E-2</v>
      </c>
      <c r="T76" s="220">
        <f t="shared" si="7"/>
        <v>-4.098981848787675E-2</v>
      </c>
      <c r="U76" s="219">
        <f>'2021'!U44-'2020'!V44</f>
        <v>0</v>
      </c>
      <c r="V76" s="219">
        <f>'2021'!V44-'2020'!W44</f>
        <v>0</v>
      </c>
      <c r="W76" s="219">
        <f>'2021'!W44-'2020'!X44</f>
        <v>-8.6184808031336324E-2</v>
      </c>
      <c r="X76" s="219">
        <f>'2021'!X44-'2020'!Y44</f>
        <v>-4.098981848787675E-2</v>
      </c>
      <c r="Y76" s="219">
        <f>'2021'!Y44-'2020'!Z44</f>
        <v>0</v>
      </c>
      <c r="Z76" s="219">
        <f>'2021'!Z44-'2020'!AA44</f>
        <v>0</v>
      </c>
    </row>
    <row r="77" spans="1:26">
      <c r="A77" s="221" t="s">
        <v>487</v>
      </c>
      <c r="B77" s="217">
        <v>2021</v>
      </c>
      <c r="C77" s="218">
        <f t="shared" si="3"/>
        <v>-6.1933720156130523</v>
      </c>
      <c r="D77" s="219">
        <f>'2021'!D45-'2020'!D45</f>
        <v>1.6041485317439506</v>
      </c>
      <c r="E77" s="219">
        <f>'2021'!E45-'2020'!E45</f>
        <v>-7.7975205473570028</v>
      </c>
      <c r="F77" s="219">
        <f>'2021'!F45-'2020'!F45</f>
        <v>0</v>
      </c>
      <c r="G77" s="220">
        <f t="shared" si="4"/>
        <v>-2.8691941720151064</v>
      </c>
      <c r="H77" s="219">
        <f>'2021'!H45-'2020'!H45</f>
        <v>-2.9933301505039651</v>
      </c>
      <c r="I77" s="219">
        <f>'2021'!I45-'2020'!I45</f>
        <v>0.12413597848885871</v>
      </c>
      <c r="J77" s="219">
        <f>'2021'!J45-'2020'!J45</f>
        <v>0</v>
      </c>
      <c r="K77" s="220">
        <f t="shared" si="5"/>
        <v>-1.0836987288498245</v>
      </c>
      <c r="L77" s="220">
        <f t="shared" si="6"/>
        <v>-0.50956520348752554</v>
      </c>
      <c r="M77" s="219">
        <f>'2021'!M45-'2020'!M45</f>
        <v>0.28068937573180058</v>
      </c>
      <c r="N77" s="219">
        <f>'2021'!N45-'2020'!N45</f>
        <v>0.13198275042120303</v>
      </c>
      <c r="O77" s="219">
        <f>'2021'!O45-'2020'!O45</f>
        <v>-1.3643881045816251</v>
      </c>
      <c r="P77" s="219">
        <f>'2021'!P45-'2020'!P45</f>
        <v>-0.64154795390872854</v>
      </c>
      <c r="Q77" s="219">
        <f>'2021'!Q45-'2020'!Q45</f>
        <v>0</v>
      </c>
      <c r="R77" s="219">
        <f>'2021'!R45-'2020'!S45</f>
        <v>0</v>
      </c>
      <c r="S77" s="220">
        <f t="shared" si="8"/>
        <v>-0.50204348603598548</v>
      </c>
      <c r="T77" s="220">
        <f t="shared" si="7"/>
        <v>-0.23606550816298377</v>
      </c>
      <c r="U77" s="219">
        <f>'2021'!U45-'2020'!V45</f>
        <v>-0.52376444866406202</v>
      </c>
      <c r="V77" s="219">
        <f>'2021'!V45-'2020'!W45</f>
        <v>-0.24627890645059447</v>
      </c>
      <c r="W77" s="219">
        <f>'2021'!W45-'2020'!X45</f>
        <v>2.1720962628076546E-2</v>
      </c>
      <c r="X77" s="219">
        <f>'2021'!X45-'2020'!Y45</f>
        <v>1.0213398287610698E-2</v>
      </c>
      <c r="Y77" s="219">
        <f>'2021'!Y45-'2020'!Z45</f>
        <v>0</v>
      </c>
      <c r="Z77" s="219">
        <f>'2021'!Z45-'2020'!AA45</f>
        <v>0</v>
      </c>
    </row>
  </sheetData>
  <pageMargins left="0.7" right="0.7" top="0.78740157499999996" bottom="0.78740157499999996"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FF406-50A1-4D71-AA0E-2C169A75AA86}">
  <dimension ref="A1:Q47"/>
  <sheetViews>
    <sheetView topLeftCell="A4" zoomScale="106" workbookViewId="0">
      <selection activeCell="E12" sqref="E12"/>
    </sheetView>
  </sheetViews>
  <sheetFormatPr baseColWidth="10" defaultRowHeight="14.5"/>
  <cols>
    <col min="1" max="1" width="10.90625" style="199"/>
    <col min="2" max="2" width="16" style="199" customWidth="1"/>
    <col min="3" max="3" width="14.6328125" style="199" customWidth="1"/>
    <col min="4" max="16384" width="10.90625" style="199"/>
  </cols>
  <sheetData>
    <row r="1" spans="1:17">
      <c r="A1" s="1" t="s">
        <v>511</v>
      </c>
      <c r="B1" s="213"/>
      <c r="C1" s="213"/>
      <c r="D1" s="213"/>
      <c r="E1" s="213"/>
      <c r="F1" s="213"/>
      <c r="G1" s="213"/>
      <c r="H1" s="213"/>
      <c r="I1" s="213"/>
      <c r="J1" s="213"/>
      <c r="K1" s="213"/>
      <c r="L1" s="213"/>
      <c r="M1" s="213"/>
      <c r="N1" s="213"/>
      <c r="O1" s="213"/>
      <c r="P1" s="213"/>
      <c r="Q1" s="213"/>
    </row>
    <row r="2" spans="1:17">
      <c r="A2" s="3" t="s">
        <v>512</v>
      </c>
      <c r="B2" s="213"/>
      <c r="C2" s="213"/>
      <c r="D2" s="213"/>
      <c r="E2" s="213"/>
      <c r="F2" s="213"/>
      <c r="G2" s="213"/>
      <c r="H2" s="213"/>
      <c r="I2" s="213"/>
      <c r="J2" s="213"/>
      <c r="K2" s="213"/>
      <c r="L2" s="213"/>
      <c r="M2" s="213"/>
      <c r="N2" s="213"/>
      <c r="O2" s="213"/>
      <c r="P2" s="213"/>
      <c r="Q2" s="213"/>
    </row>
    <row r="3" spans="1:17">
      <c r="A3" s="238" t="s">
        <v>2</v>
      </c>
      <c r="B3" s="239"/>
      <c r="C3" s="239"/>
      <c r="D3" s="239"/>
      <c r="E3" s="239"/>
      <c r="F3" s="239"/>
      <c r="G3" s="239"/>
      <c r="H3" s="239"/>
      <c r="I3" s="239"/>
      <c r="J3" s="239"/>
      <c r="K3" s="239"/>
      <c r="L3" s="239"/>
      <c r="M3" s="239"/>
      <c r="N3" s="239"/>
      <c r="O3" s="239"/>
      <c r="P3" s="239"/>
      <c r="Q3" s="239"/>
    </row>
    <row r="4" spans="1:17">
      <c r="A4" s="212"/>
      <c r="B4" s="241" t="s">
        <v>3</v>
      </c>
      <c r="C4" s="241"/>
      <c r="D4" s="241"/>
      <c r="E4" s="241"/>
      <c r="F4" s="242" t="s">
        <v>4</v>
      </c>
      <c r="G4" s="242"/>
      <c r="H4" s="242"/>
      <c r="I4" s="242"/>
      <c r="J4" s="241" t="s">
        <v>3</v>
      </c>
      <c r="K4" s="241"/>
      <c r="L4" s="241"/>
      <c r="M4" s="241"/>
      <c r="N4" s="242" t="s">
        <v>4</v>
      </c>
      <c r="O4" s="242"/>
      <c r="P4" s="242"/>
      <c r="Q4" s="242"/>
    </row>
    <row r="5" spans="1:17">
      <c r="A5" s="212"/>
      <c r="B5" s="242" t="s">
        <v>5</v>
      </c>
      <c r="C5" s="242"/>
      <c r="D5" s="242"/>
      <c r="E5" s="245" t="s">
        <v>6</v>
      </c>
      <c r="F5" s="211"/>
      <c r="G5" s="243" t="s">
        <v>7</v>
      </c>
      <c r="H5" s="241" t="s">
        <v>8</v>
      </c>
      <c r="I5" s="241"/>
      <c r="J5" s="242" t="s">
        <v>5</v>
      </c>
      <c r="K5" s="242"/>
      <c r="L5" s="242"/>
      <c r="M5" s="245" t="s">
        <v>6</v>
      </c>
      <c r="N5" s="211"/>
      <c r="O5" s="243" t="s">
        <v>7</v>
      </c>
      <c r="P5" s="241" t="s">
        <v>8</v>
      </c>
      <c r="Q5" s="241"/>
    </row>
    <row r="6" spans="1:17" ht="119.5" customHeight="1">
      <c r="A6" s="210"/>
      <c r="B6" s="209" t="s">
        <v>9</v>
      </c>
      <c r="C6" s="206" t="s">
        <v>10</v>
      </c>
      <c r="D6" s="206" t="s">
        <v>11</v>
      </c>
      <c r="E6" s="246"/>
      <c r="F6" s="208" t="s">
        <v>9</v>
      </c>
      <c r="G6" s="244"/>
      <c r="H6" s="207" t="s">
        <v>12</v>
      </c>
      <c r="I6" s="207" t="s">
        <v>13</v>
      </c>
      <c r="J6" s="209" t="s">
        <v>9</v>
      </c>
      <c r="K6" s="206" t="s">
        <v>10</v>
      </c>
      <c r="L6" s="206" t="s">
        <v>11</v>
      </c>
      <c r="M6" s="246"/>
      <c r="N6" s="208" t="s">
        <v>9</v>
      </c>
      <c r="O6" s="244"/>
      <c r="P6" s="207" t="s">
        <v>12</v>
      </c>
      <c r="Q6" s="206" t="s">
        <v>13</v>
      </c>
    </row>
    <row r="7" spans="1:17">
      <c r="A7" s="203" t="s">
        <v>15</v>
      </c>
      <c r="B7" s="202">
        <f>C7+D7</f>
        <v>31.278018051981519</v>
      </c>
      <c r="C7" s="200">
        <f>'2021'!D8-'2020'!D8</f>
        <v>2.3475350119164773</v>
      </c>
      <c r="D7" s="200">
        <f>'2021'!E8-'2020'!E8</f>
        <v>28.930483040065042</v>
      </c>
      <c r="E7" s="200">
        <f>'2021'!F8-'2020'!F8</f>
        <v>0</v>
      </c>
      <c r="F7" s="201">
        <f>G7+H7</f>
        <v>2.081252462922123E-4</v>
      </c>
      <c r="G7" s="200">
        <f>'2021'!H8-'2020'!H8</f>
        <v>8.9196534112545578E-5</v>
      </c>
      <c r="H7" s="200">
        <f>'2021'!I8-'2020'!I8</f>
        <v>1.1892871217966672E-4</v>
      </c>
      <c r="I7" s="200">
        <f>'2021'!J8-'2020'!J8</f>
        <v>0</v>
      </c>
      <c r="J7" s="201">
        <f>K7+L7</f>
        <v>2.0924923306812628</v>
      </c>
      <c r="K7" s="200">
        <f>'2021'!M8-'2020'!M8</f>
        <v>0.15704956114154356</v>
      </c>
      <c r="L7" s="200">
        <f>'2021'!O8-'2020'!O8</f>
        <v>1.9354427695397192</v>
      </c>
      <c r="M7" s="200">
        <f>'2021'!Q8-'2020'!Q8</f>
        <v>0</v>
      </c>
      <c r="N7" s="201">
        <f>O7+P7+Q7</f>
        <v>1.3923531886228524E-5</v>
      </c>
      <c r="O7" s="200">
        <f>'2021'!U8-'2020'!V8</f>
        <v>5.9672279504319192E-6</v>
      </c>
      <c r="P7" s="200">
        <f>'2021'!W8-'2020'!X8</f>
        <v>7.9563039357966048E-6</v>
      </c>
      <c r="Q7" s="200">
        <f>'2021'!Y8-'2020'!Z8</f>
        <v>0</v>
      </c>
    </row>
    <row r="8" spans="1:17">
      <c r="A8" s="203" t="s">
        <v>16</v>
      </c>
      <c r="B8" s="202">
        <f t="shared" ref="B8:B44" si="0">C8+D8</f>
        <v>21.68529484284695</v>
      </c>
      <c r="C8" s="200">
        <f>'2021'!D9-'2020'!D9</f>
        <v>6.4210348024689026</v>
      </c>
      <c r="D8" s="200">
        <f>'2021'!E9-'2020'!E9</f>
        <v>15.264260040378048</v>
      </c>
      <c r="E8" s="200">
        <f>'2021'!F9-'2020'!F9</f>
        <v>4.7831845970355076</v>
      </c>
      <c r="F8" s="201">
        <f t="shared" ref="F8:F44" si="1">G8+H8</f>
        <v>-0.97855874250708608</v>
      </c>
      <c r="G8" s="200">
        <f>'2021'!H9-'2020'!H9</f>
        <v>8.2097879474187785E-3</v>
      </c>
      <c r="H8" s="200">
        <f>'2021'!I9-'2020'!I9</f>
        <v>-0.98676853045450486</v>
      </c>
      <c r="I8" s="200">
        <f>'2021'!J9-'2020'!J9</f>
        <v>0</v>
      </c>
      <c r="J8" s="201">
        <f t="shared" ref="J8:J44" si="2">K8+L8</f>
        <v>1.2781580682264218</v>
      </c>
      <c r="K8" s="200">
        <f>'2021'!M9-'2020'!M9</f>
        <v>0.37846372385595872</v>
      </c>
      <c r="L8" s="200">
        <f>'2021'!O9-'2020'!O9</f>
        <v>0.89969434437046303</v>
      </c>
      <c r="M8" s="200">
        <f>'2021'!Q9-'2020'!Q9</f>
        <v>0.28192680933429504</v>
      </c>
      <c r="N8" s="201">
        <f t="shared" ref="N8:N44" si="3">O8+P8+Q8</f>
        <v>-5.7677461202770064E-2</v>
      </c>
      <c r="O8" s="200">
        <f>'2021'!U9-'2020'!V9</f>
        <v>4.8389504405943473E-4</v>
      </c>
      <c r="P8" s="200">
        <f>'2021'!W9-'2020'!X9</f>
        <v>-5.8161356246829499E-2</v>
      </c>
      <c r="Q8" s="200">
        <f>'2021'!Y9-'2020'!Z9</f>
        <v>0</v>
      </c>
    </row>
    <row r="9" spans="1:17">
      <c r="A9" s="203" t="s">
        <v>18</v>
      </c>
      <c r="B9" s="202">
        <f t="shared" si="0"/>
        <v>54.826803879689734</v>
      </c>
      <c r="C9" s="200">
        <f>'2021'!D10-'2020'!D10</f>
        <v>18.372481418099841</v>
      </c>
      <c r="D9" s="200">
        <f>'2021'!E10-'2020'!E10</f>
        <v>36.454322461589896</v>
      </c>
      <c r="E9" s="200">
        <f>'2021'!F10-'2020'!F10</f>
        <v>16.600029288066985</v>
      </c>
      <c r="F9" s="201">
        <f t="shared" si="1"/>
        <v>-5.4390850062279696</v>
      </c>
      <c r="G9" s="200">
        <f>'2021'!H10-'2020'!H10</f>
        <v>-5.8973249349522234</v>
      </c>
      <c r="H9" s="200">
        <f>'2021'!I10-'2020'!I10</f>
        <v>0.45823992872425379</v>
      </c>
      <c r="I9" s="200">
        <f>'2021'!J10-'2020'!J10</f>
        <v>0</v>
      </c>
      <c r="J9" s="201">
        <f t="shared" si="2"/>
        <v>2.0951751101358029</v>
      </c>
      <c r="K9" s="200">
        <f>'2021'!M10-'2020'!M10</f>
        <v>0.70209392221921985</v>
      </c>
      <c r="L9" s="200">
        <f>'2021'!O10-'2020'!O10</f>
        <v>1.3930811879165832</v>
      </c>
      <c r="M9" s="200">
        <f>'2021'!Q10-'2020'!Q10</f>
        <v>0.63436067271408669</v>
      </c>
      <c r="N9" s="201">
        <f t="shared" si="3"/>
        <v>-0.20785153830904368</v>
      </c>
      <c r="O9" s="200">
        <f>'2021'!U10-'2020'!V10</f>
        <v>-0.22536291641600348</v>
      </c>
      <c r="P9" s="200">
        <f>'2021'!W10-'2020'!X10</f>
        <v>1.7511378106959796E-2</v>
      </c>
      <c r="Q9" s="200">
        <f>'2021'!Y10-'2020'!Z10</f>
        <v>0</v>
      </c>
    </row>
    <row r="10" spans="1:17">
      <c r="A10" s="203" t="s">
        <v>19</v>
      </c>
      <c r="B10" s="202">
        <f t="shared" si="0"/>
        <v>171.15876663577609</v>
      </c>
      <c r="C10" s="200">
        <f>'2021'!D11-'2020'!D11</f>
        <v>24.087656876629971</v>
      </c>
      <c r="D10" s="200">
        <f>'2021'!E11-'2020'!E11</f>
        <v>147.07110975914611</v>
      </c>
      <c r="E10" s="200">
        <f>'2021'!F11-'2020'!F11</f>
        <v>0</v>
      </c>
      <c r="F10" s="201">
        <f t="shared" si="1"/>
        <v>3.594883604110791</v>
      </c>
      <c r="G10" s="200">
        <f>'2021'!H11-'2020'!H11</f>
        <v>0.30184457546828014</v>
      </c>
      <c r="H10" s="200">
        <f>'2021'!I11-'2020'!I11</f>
        <v>3.2930390286425109</v>
      </c>
      <c r="I10" s="200">
        <f>'2021'!J11-'2020'!J11</f>
        <v>0</v>
      </c>
      <c r="J10" s="201">
        <f t="shared" si="2"/>
        <v>4.7579557369547789</v>
      </c>
      <c r="K10" s="200">
        <f>'2021'!M11-'2020'!M11</f>
        <v>0.66960055554644393</v>
      </c>
      <c r="L10" s="200">
        <f>'2021'!O11-'2020'!O11</f>
        <v>4.0883551814083354</v>
      </c>
      <c r="M10" s="200">
        <f>'2021'!Q11-'2020'!Q11</f>
        <v>0</v>
      </c>
      <c r="N10" s="201">
        <f t="shared" si="3"/>
        <v>9.9932345880130669E-2</v>
      </c>
      <c r="O10" s="200">
        <f>'2021'!U11-'2020'!V11</f>
        <v>8.3908242490089435E-3</v>
      </c>
      <c r="P10" s="200">
        <f>'2021'!W11-'2020'!X11</f>
        <v>9.1541521631121725E-2</v>
      </c>
      <c r="Q10" s="200">
        <f>'2021'!Y11-'2020'!Z11</f>
        <v>0</v>
      </c>
    </row>
    <row r="11" spans="1:17">
      <c r="A11" s="203" t="s">
        <v>20</v>
      </c>
      <c r="B11" s="202">
        <f t="shared" si="0"/>
        <v>77.945232360624971</v>
      </c>
      <c r="C11" s="200">
        <f>'2021'!D12-'2020'!D12</f>
        <v>12.012134757890855</v>
      </c>
      <c r="D11" s="200">
        <f>'2021'!E12-'2020'!E12</f>
        <v>65.933097602734108</v>
      </c>
      <c r="E11" s="200">
        <f>'2021'!F12-'2020'!F12</f>
        <v>2.1129120282806113E-2</v>
      </c>
      <c r="F11" s="201">
        <f t="shared" si="1"/>
        <v>1.7574900406663474</v>
      </c>
      <c r="G11" s="200">
        <f>'2021'!H12-'2020'!H12</f>
        <v>9.8099487027312193E-3</v>
      </c>
      <c r="H11" s="200">
        <f>'2021'!I12-'2020'!I12</f>
        <v>1.7476800919636162</v>
      </c>
      <c r="I11" s="200">
        <f>'2021'!J12-'2020'!J12</f>
        <v>0</v>
      </c>
      <c r="J11" s="201">
        <f t="shared" si="2"/>
        <v>4.0635467937740364</v>
      </c>
      <c r="K11" s="200">
        <f>'2021'!M12-'2020'!M12</f>
        <v>0.62623293565889726</v>
      </c>
      <c r="L11" s="200">
        <f>'2021'!O12-'2020'!O12</f>
        <v>3.4373138581151395</v>
      </c>
      <c r="M11" s="200">
        <f>'2021'!Q12-'2020'!Q12</f>
        <v>1.1015320165218556E-3</v>
      </c>
      <c r="N11" s="201">
        <f t="shared" si="3"/>
        <v>9.1623859517121681E-2</v>
      </c>
      <c r="O11" s="200">
        <f>'2021'!U12-'2020'!V12</f>
        <v>5.114255790994171E-4</v>
      </c>
      <c r="P11" s="200">
        <f>'2021'!W12-'2020'!X12</f>
        <v>9.1112433938022264E-2</v>
      </c>
      <c r="Q11" s="200">
        <f>'2021'!Y12-'2020'!Z12</f>
        <v>0</v>
      </c>
    </row>
    <row r="12" spans="1:17">
      <c r="A12" s="203" t="s">
        <v>21</v>
      </c>
      <c r="B12" s="202">
        <f t="shared" si="0"/>
        <v>61.500837626937169</v>
      </c>
      <c r="C12" s="200">
        <f>'2021'!D13-'2020'!D13</f>
        <v>15.056601580828584</v>
      </c>
      <c r="D12" s="200">
        <f>'2021'!E13-'2020'!E13</f>
        <v>46.444236046108585</v>
      </c>
      <c r="E12" s="200">
        <f>'2021'!F13-'2020'!F13</f>
        <v>-216.14926819734848</v>
      </c>
      <c r="F12" s="201">
        <f t="shared" si="1"/>
        <v>0.117360564253147</v>
      </c>
      <c r="G12" s="200">
        <f>'2021'!H13-'2020'!H13</f>
        <v>0</v>
      </c>
      <c r="H12" s="200">
        <f>'2021'!I13-'2020'!I13</f>
        <v>0.117360564253147</v>
      </c>
      <c r="I12" s="200">
        <f>'2021'!J13-'2020'!J13</f>
        <v>1.0233542195064729</v>
      </c>
      <c r="J12" s="201">
        <f t="shared" si="2"/>
        <v>1.3474223657446842</v>
      </c>
      <c r="K12" s="200">
        <f>'2021'!M13-'2020'!M13</f>
        <v>0.32987520991468955</v>
      </c>
      <c r="L12" s="200">
        <f>'2021'!O13-'2020'!O13</f>
        <v>1.0175471558299947</v>
      </c>
      <c r="M12" s="200">
        <f>'2021'!Q13-'2020'!Q13</f>
        <v>-4.7356161240459063</v>
      </c>
      <c r="N12" s="201">
        <f t="shared" si="3"/>
        <v>2.4991929734302865E-2</v>
      </c>
      <c r="O12" s="200">
        <f>'2021'!U13-'2020'!V13</f>
        <v>0</v>
      </c>
      <c r="P12" s="200">
        <f>'2021'!W13-'2020'!X13</f>
        <v>2.5712535834125916E-3</v>
      </c>
      <c r="Q12" s="200">
        <f>'2021'!Y13-'2020'!Z13</f>
        <v>2.2420676150890273E-2</v>
      </c>
    </row>
    <row r="13" spans="1:17">
      <c r="A13" s="203" t="s">
        <v>22</v>
      </c>
      <c r="B13" s="202">
        <f t="shared" si="0"/>
        <v>48.749753652999821</v>
      </c>
      <c r="C13" s="200">
        <f>'2021'!D14-'2020'!D14</f>
        <v>7.6352311733168863</v>
      </c>
      <c r="D13" s="200">
        <f>'2021'!E14-'2020'!E14</f>
        <v>41.114522479682932</v>
      </c>
      <c r="E13" s="200">
        <f>'2021'!F14-'2020'!F14</f>
        <v>5.2710706817016728E-2</v>
      </c>
      <c r="F13" s="201">
        <f t="shared" si="1"/>
        <v>0.11324815494928231</v>
      </c>
      <c r="G13" s="200">
        <f>'2021'!H14-'2020'!H14</f>
        <v>0</v>
      </c>
      <c r="H13" s="200">
        <f>'2021'!I14-'2020'!I14</f>
        <v>0.11324815494928231</v>
      </c>
      <c r="I13" s="200">
        <f>'2021'!J14-'2020'!J14</f>
        <v>0.19966176824625848</v>
      </c>
      <c r="J13" s="201">
        <f t="shared" si="2"/>
        <v>2.9759084403022675</v>
      </c>
      <c r="K13" s="200">
        <f>'2021'!M14-'2020'!M14</f>
        <v>0.46608951204278587</v>
      </c>
      <c r="L13" s="200">
        <f>'2021'!O14-'2020'!O14</f>
        <v>2.5098189282594818</v>
      </c>
      <c r="M13" s="200">
        <f>'2021'!Q14-'2020'!Q14</f>
        <v>3.2177031791300603E-3</v>
      </c>
      <c r="N13" s="201">
        <f t="shared" si="3"/>
        <v>1.9101456145198092E-2</v>
      </c>
      <c r="O13" s="200">
        <f>'2021'!U14-'2020'!V14</f>
        <v>0</v>
      </c>
      <c r="P13" s="200">
        <f>'2021'!W14-'2020'!X14</f>
        <v>6.9131865272815674E-3</v>
      </c>
      <c r="Q13" s="200">
        <f>'2021'!Y14-'2020'!Z14</f>
        <v>1.2188269617916525E-2</v>
      </c>
    </row>
    <row r="14" spans="1:17">
      <c r="A14" s="203" t="s">
        <v>23</v>
      </c>
      <c r="B14" s="202">
        <f t="shared" si="0"/>
        <v>54.977743691270575</v>
      </c>
      <c r="C14" s="200">
        <f>'2021'!D15-'2020'!D15</f>
        <v>16.915665498359473</v>
      </c>
      <c r="D14" s="200">
        <f>'2021'!E15-'2020'!E15</f>
        <v>38.062078192911102</v>
      </c>
      <c r="E14" s="200">
        <f>'2021'!F15-'2020'!F15</f>
        <v>-0.56330455967290338</v>
      </c>
      <c r="F14" s="201">
        <f t="shared" si="1"/>
        <v>0.45650671749307503</v>
      </c>
      <c r="G14" s="200">
        <f>'2021'!H15-'2020'!H15</f>
        <v>1.9287868372448447E-3</v>
      </c>
      <c r="H14" s="200">
        <f>'2021'!I15-'2020'!I15</f>
        <v>0.45457793065583019</v>
      </c>
      <c r="I14" s="200">
        <f>'2021'!J15-'2020'!J15</f>
        <v>3.0184457546866383E-2</v>
      </c>
      <c r="J14" s="201">
        <f t="shared" si="2"/>
        <v>4.1526532109331411</v>
      </c>
      <c r="K14" s="200">
        <f>'2021'!M15-'2020'!M15</f>
        <v>1.2776968993361397</v>
      </c>
      <c r="L14" s="200">
        <f>'2021'!O15-'2020'!O15</f>
        <v>2.8749563115970016</v>
      </c>
      <c r="M14" s="200">
        <f>'2021'!Q15-'2020'!Q15</f>
        <v>-4.2548281020677543E-2</v>
      </c>
      <c r="N14" s="201">
        <f t="shared" si="3"/>
        <v>3.6761415348576562E-2</v>
      </c>
      <c r="O14" s="200">
        <f>'2021'!U15-'2020'!V15</f>
        <v>1.4568773316468719E-4</v>
      </c>
      <c r="P14" s="200">
        <f>'2021'!W15-'2020'!X15</f>
        <v>3.4335794389047436E-2</v>
      </c>
      <c r="Q14" s="200">
        <f>'2021'!Y15-'2020'!Z15</f>
        <v>2.279933226364439E-3</v>
      </c>
    </row>
    <row r="15" spans="1:17">
      <c r="A15" s="203" t="s">
        <v>24</v>
      </c>
      <c r="B15" s="202">
        <f t="shared" si="0"/>
        <v>81.621811421120356</v>
      </c>
      <c r="C15" s="200">
        <f>'2021'!D16-'2020'!D16</f>
        <v>-13.851555876965222</v>
      </c>
      <c r="D15" s="200">
        <f>'2021'!E16-'2020'!E16</f>
        <v>95.473367298085577</v>
      </c>
      <c r="E15" s="200">
        <f>'2021'!F16-'2020'!F16</f>
        <v>7.0724977396247937</v>
      </c>
      <c r="F15" s="201">
        <f t="shared" si="1"/>
        <v>16.22200171331729</v>
      </c>
      <c r="G15" s="200">
        <f>'2021'!H16-'2020'!H16</f>
        <v>4.0799587521910929E-2</v>
      </c>
      <c r="H15" s="200">
        <f>'2021'!I16-'2020'!I16</f>
        <v>16.18120212579538</v>
      </c>
      <c r="I15" s="200">
        <f>'2021'!J16-'2020'!J16</f>
        <v>0</v>
      </c>
      <c r="J15" s="201">
        <f t="shared" si="2"/>
        <v>2.5851053839651854</v>
      </c>
      <c r="K15" s="200">
        <f>'2021'!M16-'2020'!M16</f>
        <v>-0.43870297718695106</v>
      </c>
      <c r="L15" s="200">
        <f>'2021'!O16-'2020'!O16</f>
        <v>3.0238083611521365</v>
      </c>
      <c r="M15" s="200">
        <f>'2021'!Q16-'2020'!Q16</f>
        <v>0.22399836105640181</v>
      </c>
      <c r="N15" s="201">
        <f t="shared" si="3"/>
        <v>0.51377913865971414</v>
      </c>
      <c r="O15" s="200">
        <f>'2021'!U16-'2020'!V16</f>
        <v>1.2921942251720095E-3</v>
      </c>
      <c r="P15" s="200">
        <f>'2021'!W16-'2020'!X16</f>
        <v>0.51248694443454212</v>
      </c>
      <c r="Q15" s="200">
        <f>'2021'!Y16-'2020'!Z16</f>
        <v>0</v>
      </c>
    </row>
    <row r="16" spans="1:17">
      <c r="A16" s="203" t="s">
        <v>25</v>
      </c>
      <c r="B16" s="202">
        <f t="shared" si="0"/>
        <v>1825</v>
      </c>
      <c r="C16" s="200">
        <f>'2021'!D17-'2020'!D17</f>
        <v>203.49999999999994</v>
      </c>
      <c r="D16" s="200">
        <f>'2021'!E17-'2020'!E17</f>
        <v>1621.5</v>
      </c>
      <c r="E16" s="200">
        <f>'2021'!F17-'2020'!F17</f>
        <v>-1.9999999999999574E-2</v>
      </c>
      <c r="F16" s="201">
        <f t="shared" si="1"/>
        <v>0</v>
      </c>
      <c r="G16" s="200">
        <f>'2021'!H17-'2020'!H17</f>
        <v>0</v>
      </c>
      <c r="H16" s="200">
        <f>'2021'!I17-'2020'!I17</f>
        <v>0</v>
      </c>
      <c r="I16" s="200">
        <f>'2021'!J17-'2020'!J17</f>
        <v>0</v>
      </c>
      <c r="J16" s="201">
        <f t="shared" si="2"/>
        <v>9.1575205546681886</v>
      </c>
      <c r="K16" s="200">
        <f>'2021'!M17-'2020'!M17</f>
        <v>1.0211262645890278</v>
      </c>
      <c r="L16" s="200">
        <f>'2021'!O17-'2020'!O17</f>
        <v>8.1363942900791617</v>
      </c>
      <c r="M16" s="200">
        <f>'2021'!Q17-'2020'!Q17</f>
        <v>-1.0035638964020488E-4</v>
      </c>
      <c r="N16" s="201">
        <f t="shared" si="3"/>
        <v>0</v>
      </c>
      <c r="O16" s="200">
        <f>'2021'!U17-'2020'!V17</f>
        <v>0</v>
      </c>
      <c r="P16" s="200">
        <f>'2021'!W17-'2020'!X17</f>
        <v>0</v>
      </c>
      <c r="Q16" s="200">
        <f>'2021'!Y17-'2020'!Z17</f>
        <v>0</v>
      </c>
    </row>
    <row r="17" spans="1:17">
      <c r="A17" s="203" t="s">
        <v>31</v>
      </c>
      <c r="B17" s="202">
        <f t="shared" si="0"/>
        <v>-0.2000281227447247</v>
      </c>
      <c r="C17" s="200">
        <f>'2021'!D18-'2020'!D18</f>
        <v>2.4564657236113181</v>
      </c>
      <c r="D17" s="200">
        <f>'2021'!E18-'2020'!E18</f>
        <v>-2.6564938463560428</v>
      </c>
      <c r="E17" s="200">
        <f>'2021'!F18-'2020'!F18</f>
        <v>-3.6082982241580019E-2</v>
      </c>
      <c r="F17" s="201">
        <f t="shared" si="1"/>
        <v>-1.8221373961555898</v>
      </c>
      <c r="G17" s="200">
        <f>'2021'!H18-'2020'!H18</f>
        <v>-0.95092364114217143</v>
      </c>
      <c r="H17" s="200">
        <f>'2021'!I18-'2020'!I18</f>
        <v>-0.87121375501341847</v>
      </c>
      <c r="I17" s="200">
        <f>'2021'!J18-'2020'!J18</f>
        <v>1.6475248266048474</v>
      </c>
      <c r="J17" s="201">
        <f t="shared" si="2"/>
        <v>-1.5637565202905213E-2</v>
      </c>
      <c r="K17" s="200">
        <f>'2021'!M18-'2020'!M18</f>
        <v>0.19203871133008951</v>
      </c>
      <c r="L17" s="200">
        <f>'2021'!O18-'2020'!O18</f>
        <v>-0.20767627653299472</v>
      </c>
      <c r="M17" s="200">
        <f>'2021'!Q18-'2020'!Q18</f>
        <v>-2.8208532869054559E-3</v>
      </c>
      <c r="N17" s="201">
        <f t="shared" si="3"/>
        <v>-1.3650657738168398E-2</v>
      </c>
      <c r="O17" s="200">
        <f>'2021'!U18-'2020'!V18</f>
        <v>-7.4340198954534156E-2</v>
      </c>
      <c r="P17" s="200">
        <f>'2021'!W18-'2020'!X18</f>
        <v>-6.8108732475966674E-2</v>
      </c>
      <c r="Q17" s="200">
        <f>'2021'!Y18-'2020'!Z18</f>
        <v>0.12879827369233243</v>
      </c>
    </row>
    <row r="18" spans="1:17">
      <c r="A18" s="203" t="s">
        <v>35</v>
      </c>
      <c r="B18" s="202">
        <f t="shared" si="0"/>
        <v>17.623912755319648</v>
      </c>
      <c r="C18" s="200">
        <f>'2021'!D19-'2020'!D19</f>
        <v>0.75119988984961283</v>
      </c>
      <c r="D18" s="200">
        <f>'2021'!E19-'2020'!E19</f>
        <v>16.872712865470035</v>
      </c>
      <c r="E18" s="200">
        <f>'2021'!F19-'2020'!F19</f>
        <v>0.14605226352859013</v>
      </c>
      <c r="F18" s="201">
        <f t="shared" si="1"/>
        <v>2.499712107655244</v>
      </c>
      <c r="G18" s="200">
        <f>'2021'!H19-'2020'!H19</f>
        <v>1.3959679043227258E-2</v>
      </c>
      <c r="H18" s="200">
        <f>'2021'!I19-'2020'!I19</f>
        <v>2.4857524286120167</v>
      </c>
      <c r="I18" s="200">
        <f>'2021'!J19-'2020'!J19</f>
        <v>2.8780291364968171</v>
      </c>
      <c r="J18" s="201">
        <f t="shared" si="2"/>
        <v>1.7675994162969693</v>
      </c>
      <c r="K18" s="200">
        <f>'2021'!M19-'2020'!M19</f>
        <v>7.5341980254624824E-2</v>
      </c>
      <c r="L18" s="200">
        <f>'2021'!O19-'2020'!O19</f>
        <v>1.6922574360423444</v>
      </c>
      <c r="M18" s="200">
        <f>'2021'!Q19-'2020'!Q19</f>
        <v>1.464838707193783E-2</v>
      </c>
      <c r="N18" s="201">
        <f t="shared" si="3"/>
        <v>0.53936333072745779</v>
      </c>
      <c r="O18" s="200">
        <f>'2021'!U19-'2020'!V19</f>
        <v>1.4000932069443417E-3</v>
      </c>
      <c r="P18" s="200">
        <f>'2021'!W19-'2020'!X19</f>
        <v>0.24930982142697822</v>
      </c>
      <c r="Q18" s="200">
        <f>'2021'!Y19-'2020'!Z19</f>
        <v>0.28865341609353523</v>
      </c>
    </row>
    <row r="19" spans="1:17">
      <c r="A19" s="205" t="s">
        <v>36</v>
      </c>
      <c r="B19" s="202">
        <f t="shared" si="0"/>
        <v>29.313405863622933</v>
      </c>
      <c r="C19" s="200">
        <f>'2021'!D20-'2020'!D20</f>
        <v>5.5977143131950573</v>
      </c>
      <c r="D19" s="200">
        <f>'2021'!E20-'2020'!E20</f>
        <v>23.715691550427877</v>
      </c>
      <c r="E19" s="200">
        <f>'2021'!F20-'2020'!F20</f>
        <v>0</v>
      </c>
      <c r="F19" s="201">
        <f t="shared" si="1"/>
        <v>1.9673451726946798</v>
      </c>
      <c r="G19" s="200">
        <f>'2021'!H20-'2020'!H20</f>
        <v>0</v>
      </c>
      <c r="H19" s="200">
        <f>'2021'!I20-'2020'!I20</f>
        <v>1.9673451726946798</v>
      </c>
      <c r="I19" s="200">
        <f>'2021'!J20-'2020'!J20</f>
        <v>0</v>
      </c>
      <c r="J19" s="201">
        <f t="shared" si="2"/>
        <v>7.0813959238472375</v>
      </c>
      <c r="K19" s="200">
        <f>'2021'!M20-'2020'!M20</f>
        <v>1.3522697261703196</v>
      </c>
      <c r="L19" s="200">
        <f>'2021'!O20-'2020'!O20</f>
        <v>5.7291261976769174</v>
      </c>
      <c r="M19" s="200">
        <f>'2021'!Q20-'2020'!Q20</f>
        <v>0</v>
      </c>
      <c r="N19" s="201">
        <f t="shared" si="3"/>
        <v>0.47526207468130766</v>
      </c>
      <c r="O19" s="200">
        <f>'2021'!U20-'2020'!V20</f>
        <v>0</v>
      </c>
      <c r="P19" s="200">
        <f>'2021'!W20-'2020'!X20</f>
        <v>0.47526207468130766</v>
      </c>
      <c r="Q19" s="200">
        <f>'2021'!Y20-'2020'!Z20</f>
        <v>0</v>
      </c>
    </row>
    <row r="20" spans="1:17">
      <c r="A20" s="203" t="s">
        <v>37</v>
      </c>
      <c r="B20" s="202">
        <f t="shared" si="0"/>
        <v>5.5750450336266226</v>
      </c>
      <c r="C20" s="200">
        <f>'2021'!D21-'2020'!D21</f>
        <v>1.7363721996445811</v>
      </c>
      <c r="D20" s="200">
        <f>'2021'!E21-'2020'!E21</f>
        <v>3.8386728339820415</v>
      </c>
      <c r="E20" s="200">
        <f>'2021'!F21-'2020'!F21</f>
        <v>-0.98549912200429723</v>
      </c>
      <c r="F20" s="201">
        <f t="shared" si="1"/>
        <v>0.84474674061103383</v>
      </c>
      <c r="G20" s="200">
        <f>'2021'!H21-'2020'!H21</f>
        <v>0.68778756136733432</v>
      </c>
      <c r="H20" s="200">
        <f>'2021'!I21-'2020'!I21</f>
        <v>0.15695917924369951</v>
      </c>
      <c r="I20" s="200">
        <f>'2021'!J21-'2020'!J21</f>
        <v>0</v>
      </c>
      <c r="J20" s="201">
        <f t="shared" si="2"/>
        <v>1.1259134377791904</v>
      </c>
      <c r="K20" s="200">
        <f>'2021'!M21-'2020'!M21</f>
        <v>0.35067067275226904</v>
      </c>
      <c r="L20" s="200">
        <f>'2021'!O21-'2020'!O21</f>
        <v>0.77524276502692135</v>
      </c>
      <c r="M20" s="200">
        <f>'2021'!Q21-'2020'!Q21</f>
        <v>-0.19902739757107168</v>
      </c>
      <c r="N20" s="201">
        <f t="shared" si="3"/>
        <v>0.17060161864834694</v>
      </c>
      <c r="O20" s="200">
        <f>'2021'!U21-'2020'!V21</f>
        <v>0.13890278069684275</v>
      </c>
      <c r="P20" s="200">
        <f>'2021'!W21-'2020'!X21</f>
        <v>3.1698837951504188E-2</v>
      </c>
      <c r="Q20" s="200">
        <f>'2021'!Y21-'2020'!Z21</f>
        <v>0</v>
      </c>
    </row>
    <row r="21" spans="1:17">
      <c r="A21" s="204" t="s">
        <v>38</v>
      </c>
      <c r="B21" s="202">
        <f t="shared" si="0"/>
        <v>9.4839782366906888</v>
      </c>
      <c r="C21" s="200">
        <f>'2021'!D22-'2020'!D22</f>
        <v>3.534914558303706</v>
      </c>
      <c r="D21" s="200">
        <f>'2021'!E22-'2020'!E22</f>
        <v>5.9490636783869828</v>
      </c>
      <c r="E21" s="200">
        <f>'2021'!F22-'2020'!F22</f>
        <v>-0.9420743988533532</v>
      </c>
      <c r="F21" s="201">
        <f t="shared" si="1"/>
        <v>0.84007282057726862</v>
      </c>
      <c r="G21" s="200">
        <f>'2021'!H22-'2020'!H22</f>
        <v>-4.1491385547381618E-3</v>
      </c>
      <c r="H21" s="200">
        <f>'2021'!I22-'2020'!I22</f>
        <v>0.84422195913200682</v>
      </c>
      <c r="I21" s="200">
        <f>'2021'!J22-'2020'!J22</f>
        <v>0</v>
      </c>
      <c r="J21" s="201">
        <f t="shared" si="2"/>
        <v>4.3980536774232659</v>
      </c>
      <c r="K21" s="200">
        <f>'2021'!M22-'2020'!M22</f>
        <v>1.6392639865387848</v>
      </c>
      <c r="L21" s="200">
        <f>'2021'!O22-'2020'!O22</f>
        <v>2.7587896908844813</v>
      </c>
      <c r="M21" s="200">
        <f>'2021'!Q22-'2020'!Q22</f>
        <v>-0.43687297364877242</v>
      </c>
      <c r="N21" s="201">
        <f t="shared" si="3"/>
        <v>0.38957126067092351</v>
      </c>
      <c r="O21" s="200">
        <f>'2021'!U22-'2020'!V22</f>
        <v>-1.9241012182217229E-3</v>
      </c>
      <c r="P21" s="200">
        <f>'2021'!W22-'2020'!X22</f>
        <v>0.39149536188914524</v>
      </c>
      <c r="Q21" s="200">
        <f>'2021'!Y22-'2020'!Z22</f>
        <v>0</v>
      </c>
    </row>
    <row r="22" spans="1:17">
      <c r="A22" s="204" t="s">
        <v>39</v>
      </c>
      <c r="B22" s="202">
        <f t="shared" si="0"/>
        <v>6.0090945086111001</v>
      </c>
      <c r="C22" s="200">
        <f>'2021'!D23-'2020'!D23</f>
        <v>-0.12194282455131972</v>
      </c>
      <c r="D22" s="200">
        <f>'2021'!E23-'2020'!E23</f>
        <v>6.1310373331624195</v>
      </c>
      <c r="E22" s="200">
        <f>'2021'!F23-'2020'!F23</f>
        <v>21.994176816096299</v>
      </c>
      <c r="F22" s="201">
        <f t="shared" si="1"/>
        <v>40.884795650844936</v>
      </c>
      <c r="G22" s="200">
        <f>'2021'!H23-'2020'!H23</f>
        <v>34.404003079504477</v>
      </c>
      <c r="H22" s="200">
        <f>'2021'!I23-'2020'!I23</f>
        <v>6.4807925713404604</v>
      </c>
      <c r="I22" s="200">
        <f>'2021'!J23-'2020'!J23</f>
        <v>0</v>
      </c>
      <c r="J22" s="201">
        <f t="shared" si="2"/>
        <v>1.8066892842908504</v>
      </c>
      <c r="K22" s="200">
        <f>'2021'!M23-'2020'!M23</f>
        <v>-3.6663226730303186E-2</v>
      </c>
      <c r="L22" s="200">
        <f>'2021'!O23-'2020'!O23</f>
        <v>1.8433525110211535</v>
      </c>
      <c r="M22" s="200">
        <f>'2021'!Q23-'2020'!Q23</f>
        <v>6.6127506421302549</v>
      </c>
      <c r="N22" s="201">
        <f t="shared" si="3"/>
        <v>12.292388160471056</v>
      </c>
      <c r="O22" s="200">
        <f>'2021'!U23-'2020'!V23</f>
        <v>10.343878534674067</v>
      </c>
      <c r="P22" s="200">
        <f>'2021'!W23-'2020'!X23</f>
        <v>1.9485096257969898</v>
      </c>
      <c r="Q22" s="200">
        <f>'2021'!Y23-'2020'!Z23</f>
        <v>0</v>
      </c>
    </row>
    <row r="23" spans="1:17">
      <c r="A23" s="205" t="s">
        <v>40</v>
      </c>
      <c r="B23" s="202">
        <f t="shared" si="0"/>
        <v>0.51940891804345701</v>
      </c>
      <c r="C23" s="200">
        <f>'2021'!D24-'2020'!D24</f>
        <v>0.17319941487206303</v>
      </c>
      <c r="D23" s="200">
        <f>'2021'!E24-'2020'!E24</f>
        <v>0.34620950317139398</v>
      </c>
      <c r="E23" s="200">
        <f>'2021'!F24-'2020'!F24</f>
        <v>0</v>
      </c>
      <c r="F23" s="201">
        <f t="shared" si="1"/>
        <v>5.6614440224317886E-2</v>
      </c>
      <c r="G23" s="200">
        <f>'2021'!H24-'2020'!H24</f>
        <v>4.8093464304235667E-2</v>
      </c>
      <c r="H23" s="200">
        <f>'2021'!I24-'2020'!I24</f>
        <v>8.5209759200822188E-3</v>
      </c>
      <c r="I23" s="200">
        <f>'2021'!J24-'2020'!J24</f>
        <v>0</v>
      </c>
      <c r="J23" s="201">
        <f t="shared" si="2"/>
        <v>1.9311998402105592</v>
      </c>
      <c r="K23" s="200">
        <f>'2021'!M24-'2020'!M24</f>
        <v>0.64396792335688302</v>
      </c>
      <c r="L23" s="200">
        <f>'2021'!O24-'2020'!O24</f>
        <v>1.2872319168536763</v>
      </c>
      <c r="M23" s="200">
        <f>'2021'!Q24-'2020'!Q24</f>
        <v>0</v>
      </c>
      <c r="N23" s="201">
        <f t="shared" si="3"/>
        <v>0.21049657431115887</v>
      </c>
      <c r="O23" s="200">
        <f>'2021'!U24-'2020'!V24</f>
        <v>0.17881497092766807</v>
      </c>
      <c r="P23" s="200">
        <f>'2021'!W24-'2020'!X24</f>
        <v>3.1681603383490797E-2</v>
      </c>
      <c r="Q23" s="200">
        <f>'2021'!Y24-'2020'!Z24</f>
        <v>0</v>
      </c>
    </row>
    <row r="24" spans="1:17">
      <c r="A24" s="205" t="s">
        <v>41</v>
      </c>
      <c r="B24" s="202">
        <f t="shared" si="0"/>
        <v>4.9855542861867672</v>
      </c>
      <c r="C24" s="200">
        <f>'2021'!D25-'2020'!D25</f>
        <v>2.5734683081935983</v>
      </c>
      <c r="D24" s="200">
        <f>'2021'!E25-'2020'!E25</f>
        <v>2.4120859779931685</v>
      </c>
      <c r="E24" s="200">
        <f>'2021'!F25-'2020'!F25</f>
        <v>-4.2669785781216287</v>
      </c>
      <c r="F24" s="201">
        <f t="shared" si="1"/>
        <v>-2.1450185809986744</v>
      </c>
      <c r="G24" s="200">
        <f>'2021'!H25-'2020'!H25</f>
        <v>-1.3850592296860416</v>
      </c>
      <c r="H24" s="200">
        <f>'2021'!I25-'2020'!I25</f>
        <v>-0.75995935131263259</v>
      </c>
      <c r="I24" s="200">
        <f>'2021'!J25-'2020'!J25</f>
        <v>3.4268640238179242</v>
      </c>
      <c r="J24" s="201">
        <f t="shared" si="2"/>
        <v>1.9570828600359866</v>
      </c>
      <c r="K24" s="200">
        <f>'2021'!M25-'2020'!M25</f>
        <v>1.0102168039300783</v>
      </c>
      <c r="L24" s="200">
        <f>'2021'!O25-'2020'!O25</f>
        <v>0.94686605610590835</v>
      </c>
      <c r="M24" s="200">
        <f>'2021'!Q25-'2020'!Q25</f>
        <v>-1.6750054577722295</v>
      </c>
      <c r="N24" s="201">
        <f t="shared" si="3"/>
        <v>0.50318933489651585</v>
      </c>
      <c r="O24" s="200">
        <f>'2021'!U25-'2020'!V25</f>
        <v>-0.54370597990749736</v>
      </c>
      <c r="P24" s="200">
        <f>'2021'!W25-'2020'!X25</f>
        <v>-0.29832258068051143</v>
      </c>
      <c r="Q24" s="200">
        <f>'2021'!Y25-'2020'!Z25</f>
        <v>1.3452178954845246</v>
      </c>
    </row>
    <row r="25" spans="1:17">
      <c r="A25" s="205" t="s">
        <v>42</v>
      </c>
      <c r="B25" s="202">
        <f t="shared" si="0"/>
        <v>11.883527864307789</v>
      </c>
      <c r="C25" s="200">
        <f>'2021'!D26-'2020'!D26</f>
        <v>0.84238309482866103</v>
      </c>
      <c r="D25" s="200">
        <f>'2021'!E26-'2020'!E26</f>
        <v>11.041144769479128</v>
      </c>
      <c r="E25" s="200">
        <f>'2021'!F26-'2020'!F26</f>
        <v>0.14884525071915999</v>
      </c>
      <c r="F25" s="201">
        <f t="shared" si="1"/>
        <v>-2.3709503086954533</v>
      </c>
      <c r="G25" s="200">
        <f>'2021'!H26-'2020'!H26</f>
        <v>-2.6537642735686289</v>
      </c>
      <c r="H25" s="200">
        <f>'2021'!I26-'2020'!I26</f>
        <v>0.28281396487317556</v>
      </c>
      <c r="I25" s="200">
        <f>'2021'!J26-'2020'!J26</f>
        <v>0</v>
      </c>
      <c r="J25" s="201">
        <f t="shared" si="2"/>
        <v>5.828029693872705</v>
      </c>
      <c r="K25" s="200">
        <f>'2021'!M26-'2020'!M26</f>
        <v>0.41312931196326985</v>
      </c>
      <c r="L25" s="200">
        <f>'2021'!O26-'2020'!O26</f>
        <v>5.414900381909435</v>
      </c>
      <c r="M25" s="200">
        <f>'2021'!Q26-'2020'!Q26</f>
        <v>7.2998065127499179E-2</v>
      </c>
      <c r="N25" s="201">
        <f t="shared" si="3"/>
        <v>-1.1627833888685584</v>
      </c>
      <c r="O25" s="200">
        <f>'2021'!U26-'2020'!V26</f>
        <v>-1.3014836304082156</v>
      </c>
      <c r="P25" s="200">
        <f>'2021'!W26-'2020'!X26</f>
        <v>0.13870024153965721</v>
      </c>
      <c r="Q25" s="200">
        <f>'2021'!Y26-'2020'!Z26</f>
        <v>0</v>
      </c>
    </row>
    <row r="26" spans="1:17">
      <c r="A26" s="205" t="s">
        <v>43</v>
      </c>
      <c r="B26" s="202">
        <f t="shared" si="0"/>
        <v>1.2954206183447887</v>
      </c>
      <c r="C26" s="200">
        <f>'2021'!D27-'2020'!D27</f>
        <v>7.4642707273780445E-2</v>
      </c>
      <c r="D26" s="200">
        <f>'2021'!E27-'2020'!E27</f>
        <v>1.2207779110710082</v>
      </c>
      <c r="E26" s="200">
        <f>'2021'!F27-'2020'!F27</f>
        <v>7.5320270858253366E-2</v>
      </c>
      <c r="F26" s="201">
        <f t="shared" si="1"/>
        <v>-0.68163203800733407</v>
      </c>
      <c r="G26" s="200">
        <f>'2021'!H27-'2020'!H27</f>
        <v>0</v>
      </c>
      <c r="H26" s="200">
        <f>'2021'!I27-'2020'!I27</f>
        <v>-0.68163203800733407</v>
      </c>
      <c r="I26" s="200">
        <f>'2021'!J27-'2020'!J27</f>
        <v>0</v>
      </c>
      <c r="J26" s="201">
        <f t="shared" si="2"/>
        <v>6.2490141299443351</v>
      </c>
      <c r="K26" s="200">
        <f>'2021'!M27-'2020'!M27</f>
        <v>0.36007094981022181</v>
      </c>
      <c r="L26" s="200">
        <f>'2021'!O27-'2020'!O27</f>
        <v>5.8889431801341132</v>
      </c>
      <c r="M26" s="200">
        <f>'2021'!Q27-'2020'!Q27</f>
        <v>0.3633394668874913</v>
      </c>
      <c r="N26" s="201">
        <f t="shared" si="3"/>
        <v>-3.2881429989690583</v>
      </c>
      <c r="O26" s="200">
        <f>'2021'!U27-'2020'!V27</f>
        <v>0</v>
      </c>
      <c r="P26" s="200">
        <f>'2021'!W27-'2020'!X27</f>
        <v>-3.2881429989690583</v>
      </c>
      <c r="Q26" s="200">
        <f>'2021'!Y27-'2020'!Z27</f>
        <v>0</v>
      </c>
    </row>
    <row r="27" spans="1:17">
      <c r="A27" s="205" t="s">
        <v>44</v>
      </c>
      <c r="B27" s="202">
        <f t="shared" si="0"/>
        <v>26.757596863801012</v>
      </c>
      <c r="C27" s="200">
        <f>'2021'!D28-'2020'!D28</f>
        <v>2.0607683670948558</v>
      </c>
      <c r="D27" s="200">
        <f>'2021'!E28-'2020'!E28</f>
        <v>24.696828496706157</v>
      </c>
      <c r="E27" s="200">
        <f>'2021'!F28-'2020'!F28</f>
        <v>0.84971739212779607</v>
      </c>
      <c r="F27" s="201">
        <f t="shared" si="1"/>
        <v>5.2628185935441252</v>
      </c>
      <c r="G27" s="200">
        <f>'2021'!H28-'2020'!H28</f>
        <v>2.0164092967720628</v>
      </c>
      <c r="H27" s="200">
        <f>'2021'!I28-'2020'!I28</f>
        <v>3.2464092967720628</v>
      </c>
      <c r="I27" s="200">
        <f>'2021'!J28-'2020'!J28</f>
        <v>0</v>
      </c>
      <c r="J27" s="201">
        <f t="shared" si="2"/>
        <v>7.2032309505058292</v>
      </c>
      <c r="K27" s="200">
        <f>'2021'!M28-'2020'!M28</f>
        <v>0.5547654581702357</v>
      </c>
      <c r="L27" s="200">
        <f>'2021'!O28-'2020'!O28</f>
        <v>6.6484654923355935</v>
      </c>
      <c r="M27" s="200">
        <f>'2021'!Q28-'2020'!Q28</f>
        <v>0.22874664901011466</v>
      </c>
      <c r="N27" s="201">
        <f t="shared" si="3"/>
        <v>1.4167676556634341</v>
      </c>
      <c r="O27" s="200">
        <f>'2021'!U28-'2020'!V28</f>
        <v>0.54282385407509814</v>
      </c>
      <c r="P27" s="200">
        <f>'2021'!W28-'2020'!X28</f>
        <v>0.87394380158833596</v>
      </c>
      <c r="Q27" s="200">
        <f>'2021'!Y28-'2020'!Z28</f>
        <v>0</v>
      </c>
    </row>
    <row r="28" spans="1:17">
      <c r="A28" s="204" t="s">
        <v>45</v>
      </c>
      <c r="B28" s="202">
        <f t="shared" si="0"/>
        <v>16.008152922120104</v>
      </c>
      <c r="C28" s="200">
        <f>'2021'!D29-'2020'!D29</f>
        <v>4.942148062439716</v>
      </c>
      <c r="D28" s="200">
        <f>'2021'!E29-'2020'!E29</f>
        <v>11.066004859680387</v>
      </c>
      <c r="E28" s="200">
        <f>'2021'!F29-'2020'!F29</f>
        <v>1.5809483738048691E-2</v>
      </c>
      <c r="F28" s="201">
        <f t="shared" si="1"/>
        <v>4.1553701560992913</v>
      </c>
      <c r="G28" s="200">
        <f>'2021'!H29-'2020'!H29</f>
        <v>1.0736931038835773</v>
      </c>
      <c r="H28" s="200">
        <f>'2021'!I29-'2020'!I29</f>
        <v>3.0816770522157135</v>
      </c>
      <c r="I28" s="200">
        <f>'2021'!J29-'2020'!J29</f>
        <v>0</v>
      </c>
      <c r="J28" s="201">
        <f t="shared" si="2"/>
        <v>4.4658097515814319</v>
      </c>
      <c r="K28" s="200">
        <f>'2021'!M29-'2020'!M29</f>
        <v>1.3787157780399026</v>
      </c>
      <c r="L28" s="200">
        <f>'2021'!O29-'2020'!O29</f>
        <v>3.0870939735415295</v>
      </c>
      <c r="M28" s="200">
        <f>'2021'!Q29-'2020'!Q29</f>
        <v>4.4103868190368267E-3</v>
      </c>
      <c r="N28" s="201">
        <f t="shared" si="3"/>
        <v>1.1592275920163422</v>
      </c>
      <c r="O28" s="200">
        <f>'2021'!U29-'2020'!V29</f>
        <v>0.29952919345887785</v>
      </c>
      <c r="P28" s="200">
        <f>'2021'!W29-'2020'!X29</f>
        <v>0.85969839855746422</v>
      </c>
      <c r="Q28" s="200">
        <f>'2021'!Y29-'2020'!Z29</f>
        <v>0</v>
      </c>
    </row>
    <row r="29" spans="1:17">
      <c r="A29" s="205" t="s">
        <v>46</v>
      </c>
      <c r="B29" s="202">
        <f t="shared" si="0"/>
        <v>0.93070101122818638</v>
      </c>
      <c r="C29" s="200">
        <f>'2021'!D30-'2020'!D30</f>
        <v>0.44007731725619964</v>
      </c>
      <c r="D29" s="200">
        <f>'2021'!E30-'2020'!E30</f>
        <v>0.4906236939719868</v>
      </c>
      <c r="E29" s="200">
        <f>'2021'!F30-'2020'!F30</f>
        <v>0</v>
      </c>
      <c r="F29" s="201">
        <f t="shared" si="1"/>
        <v>-0.30933920314716878</v>
      </c>
      <c r="G29" s="200">
        <f>'2021'!H30-'2020'!H30</f>
        <v>4.0174250299493036E-2</v>
      </c>
      <c r="H29" s="200">
        <f>'2021'!I30-'2020'!I30</f>
        <v>-0.34951345344666185</v>
      </c>
      <c r="I29" s="200">
        <f>'2021'!J30-'2020'!J30</f>
        <v>0</v>
      </c>
      <c r="J29" s="201">
        <f t="shared" si="2"/>
        <v>3.0858707525433022</v>
      </c>
      <c r="K29" s="200">
        <f>'2021'!M30-'2020'!M30</f>
        <v>1.4591385480354555</v>
      </c>
      <c r="L29" s="200">
        <f>'2021'!O30-'2020'!O30</f>
        <v>1.6267322045078467</v>
      </c>
      <c r="M29" s="200">
        <f>'2021'!Q30-'2020'!Q30</f>
        <v>0</v>
      </c>
      <c r="N29" s="201">
        <f t="shared" si="3"/>
        <v>-1.0256578515448271</v>
      </c>
      <c r="O29" s="200">
        <f>'2021'!U30-'2020'!V30</f>
        <v>0.13320340529227637</v>
      </c>
      <c r="P29" s="200">
        <f>'2021'!W30-'2020'!X30</f>
        <v>-1.1588612568371035</v>
      </c>
      <c r="Q29" s="200">
        <f>'2021'!Y30-'2020'!Z30</f>
        <v>0</v>
      </c>
    </row>
    <row r="30" spans="1:17">
      <c r="A30" s="204" t="s">
        <v>47</v>
      </c>
      <c r="B30" s="202">
        <f t="shared" si="0"/>
        <v>1.8127272608878233</v>
      </c>
      <c r="C30" s="200">
        <f>'2021'!D31-'2020'!D31</f>
        <v>0.53086829320013718</v>
      </c>
      <c r="D30" s="200">
        <f>'2021'!E31-'2020'!E31</f>
        <v>1.2818589676876861</v>
      </c>
      <c r="E30" s="200">
        <f>'2021'!F31-'2020'!F31</f>
        <v>-0.89279687578339972</v>
      </c>
      <c r="F30" s="201">
        <f t="shared" si="1"/>
        <v>-0.3828441054824393</v>
      </c>
      <c r="G30" s="200">
        <f>'2021'!H31-'2020'!H31</f>
        <v>6.9442814202764436E-2</v>
      </c>
      <c r="H30" s="200">
        <f>'2021'!I31-'2020'!I31</f>
        <v>-0.45228691968520374</v>
      </c>
      <c r="I30" s="200">
        <f>'2021'!J31-'2020'!J31</f>
        <v>0</v>
      </c>
      <c r="J30" s="201">
        <f t="shared" si="2"/>
        <v>3.7595370181114136</v>
      </c>
      <c r="K30" s="200">
        <f>'2021'!M31-'2020'!M31</f>
        <v>1.1010034675873095</v>
      </c>
      <c r="L30" s="200">
        <f>'2021'!O31-'2020'!O31</f>
        <v>2.6585335505241039</v>
      </c>
      <c r="M30" s="200">
        <f>'2021'!Q31-'2020'!Q31</f>
        <v>-1.8516315038578859</v>
      </c>
      <c r="N30" s="201">
        <f t="shared" si="3"/>
        <v>-0.79400614630909438</v>
      </c>
      <c r="O30" s="200">
        <f>'2021'!U31-'2020'!V31</f>
        <v>0.14402212416073001</v>
      </c>
      <c r="P30" s="200">
        <f>'2021'!W31-'2020'!X31</f>
        <v>-0.9380282704698244</v>
      </c>
      <c r="Q30" s="200">
        <f>'2021'!Y31-'2020'!Z31</f>
        <v>0</v>
      </c>
    </row>
    <row r="31" spans="1:17">
      <c r="A31" s="205" t="s">
        <v>48</v>
      </c>
      <c r="B31" s="202">
        <f t="shared" si="0"/>
        <v>0.12197614489762618</v>
      </c>
      <c r="C31" s="200">
        <f>'2021'!D32-'2020'!D32</f>
        <v>0.11473187508637858</v>
      </c>
      <c r="D31" s="200">
        <f>'2021'!E32-'2020'!E32</f>
        <v>7.2442698112475945E-3</v>
      </c>
      <c r="E31" s="200">
        <f>'2021'!F32-'2020'!F32</f>
        <v>2.4720318780149242E-3</v>
      </c>
      <c r="F31" s="201">
        <f t="shared" si="1"/>
        <v>8.7534926885912689E-3</v>
      </c>
      <c r="G31" s="200">
        <f>'2021'!H32-'2020'!H32</f>
        <v>1.2073783018746731E-3</v>
      </c>
      <c r="H31" s="200">
        <f>'2021'!I32-'2020'!I32</f>
        <v>7.5461143867165958E-3</v>
      </c>
      <c r="I31" s="200">
        <f>'2021'!J32-'2020'!J32</f>
        <v>-8.696217414326135E-3</v>
      </c>
      <c r="J31" s="201">
        <f t="shared" si="2"/>
        <v>0.18326432395663583</v>
      </c>
      <c r="K31" s="200">
        <f>'2021'!M32-'2020'!M32</f>
        <v>0.17238009564599355</v>
      </c>
      <c r="L31" s="200">
        <f>'2021'!O32-'2020'!O32</f>
        <v>1.0884228310642285E-2</v>
      </c>
      <c r="M31" s="200">
        <f>'2021'!Q32-'2020'!Q32</f>
        <v>3.714129933388044E-3</v>
      </c>
      <c r="N31" s="201">
        <f t="shared" si="3"/>
        <v>8.6053829840837537E-5</v>
      </c>
      <c r="O31" s="200">
        <f>'2021'!U32-'2020'!V32</f>
        <v>1.8140380517739363E-3</v>
      </c>
      <c r="P31" s="200">
        <f>'2021'!W32-'2020'!X32</f>
        <v>1.133773782358638E-2</v>
      </c>
      <c r="Q31" s="200">
        <f>'2021'!Y32-'2020'!Z32</f>
        <v>-1.3065722045519479E-2</v>
      </c>
    </row>
    <row r="32" spans="1:17">
      <c r="A32" s="205" t="s">
        <v>49</v>
      </c>
      <c r="B32" s="202">
        <f t="shared" si="0"/>
        <v>53.405319500717908</v>
      </c>
      <c r="C32" s="200">
        <f>'2021'!D33-'2020'!D33</f>
        <v>12.229524725044866</v>
      </c>
      <c r="D32" s="200">
        <f>'2021'!E33-'2020'!E33</f>
        <v>41.17579477567304</v>
      </c>
      <c r="E32" s="200">
        <f>'2021'!F33-'2020'!F33</f>
        <v>-1.2173776287808025</v>
      </c>
      <c r="F32" s="201">
        <f t="shared" si="1"/>
        <v>-34.270513178448631</v>
      </c>
      <c r="G32" s="200">
        <f>'2021'!H33-'2020'!H33</f>
        <v>0</v>
      </c>
      <c r="H32" s="200">
        <f>'2021'!I33-'2020'!I33</f>
        <v>-34.270513178448631</v>
      </c>
      <c r="I32" s="200">
        <f>'2021'!J33-'2020'!J33</f>
        <v>0</v>
      </c>
      <c r="J32" s="201">
        <f t="shared" si="2"/>
        <v>6.35588125694923</v>
      </c>
      <c r="K32" s="200">
        <f>'2021'!M33-'2020'!M33</f>
        <v>1.4554618848458527</v>
      </c>
      <c r="L32" s="200">
        <f>'2021'!O33-'2020'!O33</f>
        <v>4.9004193721033777</v>
      </c>
      <c r="M32" s="200">
        <f>'2021'!Q33-'2020'!Q33</f>
        <v>-0.14488271441374279</v>
      </c>
      <c r="N32" s="201">
        <f t="shared" si="3"/>
        <v>-4.0786070453900241</v>
      </c>
      <c r="O32" s="200">
        <f>'2021'!U33-'2020'!V33</f>
        <v>0</v>
      </c>
      <c r="P32" s="200">
        <f>'2021'!W33-'2020'!X33</f>
        <v>-4.0786070453900241</v>
      </c>
      <c r="Q32" s="200">
        <f>'2021'!Y33-'2020'!Z33</f>
        <v>0</v>
      </c>
    </row>
    <row r="33" spans="1:17">
      <c r="A33" s="205" t="s">
        <v>50</v>
      </c>
      <c r="B33" s="202">
        <f t="shared" si="0"/>
        <v>0.4580441819920309</v>
      </c>
      <c r="C33" s="200">
        <f>'2021'!D34-'2020'!D34</f>
        <v>0.78844834295863242</v>
      </c>
      <c r="D33" s="200">
        <f>'2021'!E34-'2020'!E34</f>
        <v>-0.33040416096660152</v>
      </c>
      <c r="E33" s="200">
        <f>'2021'!F34-'2020'!F34</f>
        <v>0</v>
      </c>
      <c r="F33" s="201">
        <f t="shared" si="1"/>
        <v>-1.5736558197847814</v>
      </c>
      <c r="G33" s="200">
        <f>'2021'!H34-'2020'!H34</f>
        <v>0.59041841284024388</v>
      </c>
      <c r="H33" s="200">
        <f>'2021'!I34-'2020'!I34</f>
        <v>-2.1640742326250253</v>
      </c>
      <c r="I33" s="200">
        <f>'2021'!J34-'2020'!J34</f>
        <v>0</v>
      </c>
      <c r="J33" s="201">
        <f t="shared" si="2"/>
        <v>0.22570525354736315</v>
      </c>
      <c r="K33" s="200">
        <f>'2021'!M34-'2020'!M34</f>
        <v>0.38851477685524127</v>
      </c>
      <c r="L33" s="200">
        <f>'2021'!O34-'2020'!O34</f>
        <v>-0.16280952330787812</v>
      </c>
      <c r="M33" s="200">
        <f>'2021'!Q34-'2020'!Q34</f>
        <v>0</v>
      </c>
      <c r="N33" s="201">
        <f t="shared" si="3"/>
        <v>-0.77543258874312093</v>
      </c>
      <c r="O33" s="200">
        <f>'2021'!U34-'2020'!V34</f>
        <v>0.29093380684280101</v>
      </c>
      <c r="P33" s="200">
        <f>'2021'!W34-'2020'!X34</f>
        <v>-1.0663663955859219</v>
      </c>
      <c r="Q33" s="200">
        <f>'2021'!Y34-'2020'!Z34</f>
        <v>0</v>
      </c>
    </row>
    <row r="34" spans="1:17">
      <c r="A34" s="205" t="s">
        <v>51</v>
      </c>
      <c r="B34" s="202">
        <f t="shared" si="0"/>
        <v>10.568195188791748</v>
      </c>
      <c r="C34" s="200">
        <f>'2021'!D35-'2020'!D35</f>
        <v>1.4817617492001967</v>
      </c>
      <c r="D34" s="200">
        <f>'2021'!E35-'2020'!E35</f>
        <v>9.0864334395915503</v>
      </c>
      <c r="E34" s="200">
        <f>'2021'!F35-'2020'!F35</f>
        <v>0</v>
      </c>
      <c r="F34" s="201">
        <f t="shared" si="1"/>
        <v>0.86303426186269405</v>
      </c>
      <c r="G34" s="200">
        <f>'2021'!H35-'2020'!H35</f>
        <v>0.82313210460347186</v>
      </c>
      <c r="H34" s="200">
        <f>'2021'!I35-'2020'!I35</f>
        <v>3.9902157259222193E-2</v>
      </c>
      <c r="I34" s="200">
        <f>'2021'!J35-'2020'!J35</f>
        <v>0</v>
      </c>
      <c r="J34" s="201">
        <f t="shared" si="2"/>
        <v>2.5760420131275383</v>
      </c>
      <c r="K34" s="200">
        <f>'2021'!M35-'2020'!M35</f>
        <v>0.36118565669882002</v>
      </c>
      <c r="L34" s="200">
        <f>'2021'!O35-'2020'!O35</f>
        <v>2.2148563564287183</v>
      </c>
      <c r="M34" s="200">
        <f>'2021'!Q35-'2020'!Q35</f>
        <v>0</v>
      </c>
      <c r="N34" s="201">
        <f t="shared" si="3"/>
        <v>0.21036823011034778</v>
      </c>
      <c r="O34" s="200">
        <f>'2021'!U35-'2020'!V35</f>
        <v>0.20064191150268296</v>
      </c>
      <c r="P34" s="200">
        <f>'2021'!W35-'2020'!X35</f>
        <v>9.7263186076648189E-3</v>
      </c>
      <c r="Q34" s="200">
        <f>'2021'!Y35-'2020'!Z35</f>
        <v>0</v>
      </c>
    </row>
    <row r="35" spans="1:17">
      <c r="A35" s="205" t="s">
        <v>52</v>
      </c>
      <c r="B35" s="202">
        <f t="shared" si="0"/>
        <v>2.9960080689909963</v>
      </c>
      <c r="C35" s="200">
        <f>'2021'!D36-'2020'!D36</f>
        <v>6.64058066031048E-3</v>
      </c>
      <c r="D35" s="200">
        <f>'2021'!E36-'2020'!E36</f>
        <v>2.9893674883306858</v>
      </c>
      <c r="E35" s="200">
        <f>'2021'!F36-'2020'!F36</f>
        <v>-7.7368709221479817</v>
      </c>
      <c r="F35" s="201">
        <f t="shared" si="1"/>
        <v>-1.6726829942206933</v>
      </c>
      <c r="G35" s="200">
        <f>'2021'!H36-'2020'!H36</f>
        <v>0</v>
      </c>
      <c r="H35" s="200">
        <f>'2021'!I36-'2020'!I36</f>
        <v>-1.6726829942206933</v>
      </c>
      <c r="I35" s="200">
        <f>'2021'!J36-'2020'!J36</f>
        <v>0</v>
      </c>
      <c r="J35" s="201">
        <f t="shared" si="2"/>
        <v>1.347353833338979</v>
      </c>
      <c r="K35" s="200">
        <f>'2021'!M36-'2020'!M36</f>
        <v>2.9863777407246328E-3</v>
      </c>
      <c r="L35" s="200">
        <f>'2021'!O36-'2020'!O36</f>
        <v>1.3443674555982543</v>
      </c>
      <c r="M35" s="200">
        <f>'2021'!Q36-'2020'!Q36</f>
        <v>-3.4793974031303891</v>
      </c>
      <c r="N35" s="201">
        <f t="shared" si="3"/>
        <v>-0.75223290202391802</v>
      </c>
      <c r="O35" s="200">
        <f>'2021'!U36-'2020'!V36</f>
        <v>0</v>
      </c>
      <c r="P35" s="200">
        <f>'2021'!W36-'2020'!X36</f>
        <v>-0.75223290202391802</v>
      </c>
      <c r="Q35" s="200">
        <f>'2021'!Y36-'2020'!Z36</f>
        <v>0</v>
      </c>
    </row>
    <row r="36" spans="1:17">
      <c r="A36" s="204" t="s">
        <v>54</v>
      </c>
      <c r="B36" s="202">
        <f t="shared" si="0"/>
        <v>2.3328215382855015</v>
      </c>
      <c r="C36" s="200">
        <f>'2021'!D37-'2020'!D37</f>
        <v>1.1463344391640371</v>
      </c>
      <c r="D36" s="200">
        <f>'2021'!E37-'2020'!E37</f>
        <v>1.1864870991214644</v>
      </c>
      <c r="E36" s="200">
        <f>'2021'!F37-'2020'!F37</f>
        <v>5.5953016739066053E-2</v>
      </c>
      <c r="F36" s="201">
        <f t="shared" si="1"/>
        <v>-2.7644362885349008</v>
      </c>
      <c r="G36" s="200">
        <f>'2021'!H37-'2020'!H37</f>
        <v>0</v>
      </c>
      <c r="H36" s="200">
        <f>'2021'!I37-'2020'!I37</f>
        <v>-2.7644362885349008</v>
      </c>
      <c r="I36" s="200">
        <f>'2021'!J37-'2020'!J37</f>
        <v>0</v>
      </c>
      <c r="J36" s="201">
        <f t="shared" si="2"/>
        <v>2.3448020423198233</v>
      </c>
      <c r="K36" s="200">
        <f>'2021'!M37-'2020'!M37</f>
        <v>1.152221586615179</v>
      </c>
      <c r="L36" s="200">
        <f>'2021'!O37-'2020'!O37</f>
        <v>1.1925804557046442</v>
      </c>
      <c r="M36" s="200">
        <f>'2021'!Q37-'2020'!Q37</f>
        <v>5.624037062866849E-2</v>
      </c>
      <c r="N36" s="201">
        <f t="shared" si="3"/>
        <v>-2.778633405444134</v>
      </c>
      <c r="O36" s="200">
        <f>'2021'!U37-'2020'!V37</f>
        <v>0</v>
      </c>
      <c r="P36" s="200">
        <f>'2021'!W37-'2020'!X37</f>
        <v>-2.778633405444134</v>
      </c>
      <c r="Q36" s="200">
        <f>'2021'!Y37-'2020'!Z37</f>
        <v>0</v>
      </c>
    </row>
    <row r="37" spans="1:17">
      <c r="A37" s="204" t="s">
        <v>55</v>
      </c>
      <c r="B37" s="202">
        <f t="shared" si="0"/>
        <v>2.4340199049526561</v>
      </c>
      <c r="C37" s="200">
        <f>'2021'!D38-'2020'!D38</f>
        <v>-5.5305365439891896E-2</v>
      </c>
      <c r="D37" s="200">
        <f>'2021'!E38-'2020'!E38</f>
        <v>2.4893252703925479</v>
      </c>
      <c r="E37" s="200">
        <f>'2021'!F38-'2020'!F38</f>
        <v>0.374</v>
      </c>
      <c r="F37" s="201">
        <f t="shared" si="1"/>
        <v>0</v>
      </c>
      <c r="G37" s="200">
        <f>'2021'!H38-'2020'!H38</f>
        <v>0</v>
      </c>
      <c r="H37" s="200">
        <f>'2021'!I38-'2020'!I38</f>
        <v>0</v>
      </c>
      <c r="I37" s="200">
        <f>'2021'!J38-'2020'!J38</f>
        <v>0</v>
      </c>
      <c r="J37" s="201">
        <f t="shared" si="2"/>
        <v>4.8276825343236185</v>
      </c>
      <c r="K37" s="200">
        <f>'2021'!M38-'2020'!M38</f>
        <v>-0.10969374007388999</v>
      </c>
      <c r="L37" s="200">
        <f>'2021'!O38-'2020'!O38</f>
        <v>4.9373762743975087</v>
      </c>
      <c r="M37" s="200">
        <f>'2021'!Q38-'2020'!Q38</f>
        <v>0.74179889168661206</v>
      </c>
      <c r="N37" s="201">
        <f t="shared" si="3"/>
        <v>0</v>
      </c>
      <c r="O37" s="200">
        <f>'2021'!U38-'2020'!V38</f>
        <v>0</v>
      </c>
      <c r="P37" s="200">
        <f>'2021'!W38-'2020'!X38</f>
        <v>0</v>
      </c>
      <c r="Q37" s="200">
        <f>'2021'!Y38-'2020'!Z38</f>
        <v>0</v>
      </c>
    </row>
    <row r="38" spans="1:17">
      <c r="A38" s="204" t="s">
        <v>56</v>
      </c>
      <c r="B38" s="202">
        <f t="shared" si="0"/>
        <v>0.14978738107463396</v>
      </c>
      <c r="C38" s="200">
        <f>'2021'!D39-'2020'!D39</f>
        <v>4.9594344938770796E-2</v>
      </c>
      <c r="D38" s="200">
        <f>'2021'!E39-'2020'!E39</f>
        <v>0.10019303613586317</v>
      </c>
      <c r="E38" s="200">
        <f>'2021'!F39-'2020'!F39</f>
        <v>0.11278619484333774</v>
      </c>
      <c r="F38" s="201">
        <f t="shared" si="1"/>
        <v>8.8107902061195453E-2</v>
      </c>
      <c r="G38" s="200">
        <f>'2021'!H39-'2020'!H39</f>
        <v>3.9390999393047466E-3</v>
      </c>
      <c r="H38" s="200">
        <f>'2021'!I39-'2020'!I39</f>
        <v>8.4168802121890707E-2</v>
      </c>
      <c r="I38" s="200">
        <f>'2021'!J39-'2020'!J39</f>
        <v>0</v>
      </c>
      <c r="J38" s="201">
        <f t="shared" si="2"/>
        <v>2.7242921653429675E-2</v>
      </c>
      <c r="K38" s="200">
        <f>'2021'!M39-'2020'!M39</f>
        <v>9.0200846288038816E-3</v>
      </c>
      <c r="L38" s="200">
        <f>'2021'!O39-'2020'!O39</f>
        <v>1.8222837024625793E-2</v>
      </c>
      <c r="M38" s="200">
        <f>'2021'!Q39-'2020'!Q39</f>
        <v>2.0513246494205717E-2</v>
      </c>
      <c r="N38" s="201">
        <f t="shared" si="3"/>
        <v>1.6024825694130385E-2</v>
      </c>
      <c r="O38" s="200">
        <f>'2021'!U39-'2020'!V39</f>
        <v>7.16432788006649E-4</v>
      </c>
      <c r="P38" s="200">
        <f>'2021'!W39-'2020'!X39</f>
        <v>1.5308392906123736E-2</v>
      </c>
      <c r="Q38" s="200">
        <f>'2021'!Y39-'2020'!Z39</f>
        <v>0</v>
      </c>
    </row>
    <row r="39" spans="1:17">
      <c r="A39" s="204" t="s">
        <v>57</v>
      </c>
      <c r="B39" s="202">
        <f t="shared" si="0"/>
        <v>19.992191518567093</v>
      </c>
      <c r="C39" s="200">
        <f>'2021'!D40-'2020'!D40</f>
        <v>4.4998146472499663</v>
      </c>
      <c r="D39" s="200">
        <f>'2021'!E40-'2020'!E40</f>
        <v>15.492376871317127</v>
      </c>
      <c r="E39" s="200">
        <f>'2021'!F40-'2020'!F40</f>
        <v>0</v>
      </c>
      <c r="F39" s="201">
        <f t="shared" si="1"/>
        <v>1.8682202314776863</v>
      </c>
      <c r="G39" s="200">
        <f>'2021'!H40-'2020'!H40</f>
        <v>0.32113714115521264</v>
      </c>
      <c r="H39" s="200">
        <f>'2021'!I40-'2020'!I40</f>
        <v>1.5470830903224737</v>
      </c>
      <c r="I39" s="200">
        <f>'2021'!J40-'2020'!J40</f>
        <v>0</v>
      </c>
      <c r="J39" s="201">
        <f t="shared" si="2"/>
        <v>2.6759375900372087</v>
      </c>
      <c r="K39" s="200">
        <f>'2021'!M40-'2020'!M40</f>
        <v>0.60229630911615228</v>
      </c>
      <c r="L39" s="200">
        <f>'2021'!O40-'2020'!O40</f>
        <v>2.0736412809210565</v>
      </c>
      <c r="M39" s="200">
        <f>'2021'!Q40-'2020'!Q40</f>
        <v>0</v>
      </c>
      <c r="N39" s="201">
        <f t="shared" si="3"/>
        <v>0.25005966650710959</v>
      </c>
      <c r="O39" s="200">
        <f>'2021'!U40-'2020'!V40</f>
        <v>4.298392933942391E-2</v>
      </c>
      <c r="P39" s="200">
        <f>'2021'!W40-'2020'!X40</f>
        <v>0.20707573716768568</v>
      </c>
      <c r="Q39" s="200">
        <f>'2021'!Y40-'2020'!Z40</f>
        <v>0</v>
      </c>
    </row>
    <row r="40" spans="1:17">
      <c r="A40" s="203" t="s">
        <v>60</v>
      </c>
      <c r="B40" s="202">
        <f t="shared" si="0"/>
        <v>11.328436070309353</v>
      </c>
      <c r="C40" s="200">
        <f>'2021'!D41-'2020'!D41</f>
        <v>-0.69891173880890034</v>
      </c>
      <c r="D40" s="200">
        <f>'2021'!E41-'2020'!E41</f>
        <v>12.027347809118254</v>
      </c>
      <c r="E40" s="200">
        <f>'2021'!F41-'2020'!F41</f>
        <v>1.0046076631681755</v>
      </c>
      <c r="F40" s="201">
        <f t="shared" si="1"/>
        <v>3.2859281358385646</v>
      </c>
      <c r="G40" s="200">
        <f>'2021'!H41-'2020'!H41</f>
        <v>3.2859281358385646</v>
      </c>
      <c r="H40" s="200">
        <f>'2021'!I41-'2020'!I41</f>
        <v>0</v>
      </c>
      <c r="I40" s="200">
        <f>'2021'!J41-'2020'!J41</f>
        <v>-1.4672521220830275</v>
      </c>
      <c r="J40" s="201">
        <f t="shared" si="2"/>
        <v>4.3244997461952943</v>
      </c>
      <c r="K40" s="200">
        <f>'2021'!M41-'2020'!M41</f>
        <v>-0.26680149125028052</v>
      </c>
      <c r="L40" s="200">
        <f>'2021'!O41-'2020'!O41</f>
        <v>4.5913012374455748</v>
      </c>
      <c r="M40" s="200">
        <f>'2021'!Q41-'2020'!Q41</f>
        <v>0.38349738281905577</v>
      </c>
      <c r="N40" s="201">
        <f t="shared" si="3"/>
        <v>0.69425858177460875</v>
      </c>
      <c r="O40" s="200">
        <f>'2021'!U41-'2020'!V41</f>
        <v>1.2543651481330917</v>
      </c>
      <c r="P40" s="200">
        <f>'2021'!W41-'2020'!X41</f>
        <v>0</v>
      </c>
      <c r="Q40" s="200">
        <f>'2021'!Y41-'2020'!Z41</f>
        <v>-0.56010656635848299</v>
      </c>
    </row>
    <row r="41" spans="1:17">
      <c r="A41" s="203" t="s">
        <v>61</v>
      </c>
      <c r="B41" s="202">
        <f t="shared" si="0"/>
        <v>1.4773253152961932</v>
      </c>
      <c r="C41" s="200">
        <f>'2021'!D42-'2020'!D42</f>
        <v>0.96162805443899124</v>
      </c>
      <c r="D41" s="200">
        <f>'2021'!E42-'2020'!E42</f>
        <v>0.51569726085720191</v>
      </c>
      <c r="E41" s="200">
        <f>'2021'!F42-'2020'!F42</f>
        <v>0.37439530761631801</v>
      </c>
      <c r="F41" s="201">
        <f t="shared" si="1"/>
        <v>-0.792975186445525</v>
      </c>
      <c r="G41" s="200">
        <f>'2021'!H42-'2020'!H42</f>
        <v>-0.84264994808854254</v>
      </c>
      <c r="H41" s="200">
        <f>'2021'!I42-'2020'!I42</f>
        <v>4.967476164301754E-2</v>
      </c>
      <c r="I41" s="200">
        <f>'2021'!J42-'2020'!J42</f>
        <v>0</v>
      </c>
      <c r="J41" s="201">
        <f t="shared" si="2"/>
        <v>0.45964516004804001</v>
      </c>
      <c r="K41" s="200">
        <f>'2021'!M42-'2020'!M42</f>
        <v>0.29919454869740458</v>
      </c>
      <c r="L41" s="200">
        <f>'2021'!O42-'2020'!O42</f>
        <v>0.16045061135063543</v>
      </c>
      <c r="M41" s="200">
        <f>'2021'!Q42-'2020'!Q42</f>
        <v>0.11648686264882363</v>
      </c>
      <c r="N41" s="201">
        <f t="shared" si="3"/>
        <v>-0.24672101852854311</v>
      </c>
      <c r="O41" s="200">
        <f>'2021'!U42-'2020'!V42</f>
        <v>-0.26217649304681157</v>
      </c>
      <c r="P41" s="200">
        <f>'2021'!W42-'2020'!X42</f>
        <v>1.5455474518268453E-2</v>
      </c>
      <c r="Q41" s="200">
        <f>'2021'!Y42-'2020'!Z42</f>
        <v>0</v>
      </c>
    </row>
    <row r="42" spans="1:17">
      <c r="A42" s="203" t="s">
        <v>62</v>
      </c>
      <c r="B42" s="202">
        <f t="shared" si="0"/>
        <v>0.15333847332957776</v>
      </c>
      <c r="C42" s="200">
        <f>'2021'!D43-'2020'!D43</f>
        <v>4.6165707683641088E-3</v>
      </c>
      <c r="D42" s="200">
        <f>'2021'!E43-'2020'!E43</f>
        <v>0.14872190256121365</v>
      </c>
      <c r="E42" s="200">
        <f>'2021'!F43-'2020'!F43</f>
        <v>-0.40447797630408838</v>
      </c>
      <c r="F42" s="201">
        <f t="shared" si="1"/>
        <v>0</v>
      </c>
      <c r="G42" s="200">
        <f>'2021'!H43-'2020'!H43</f>
        <v>0</v>
      </c>
      <c r="H42" s="200">
        <f>'2021'!I43-'2020'!I43</f>
        <v>0</v>
      </c>
      <c r="I42" s="200">
        <f>'2021'!J43-'2020'!J43</f>
        <v>0</v>
      </c>
      <c r="J42" s="201">
        <f t="shared" si="2"/>
        <v>0.238167960473122</v>
      </c>
      <c r="K42" s="200">
        <f>'2021'!M43-'2020'!M43</f>
        <v>7.1705373113886695E-3</v>
      </c>
      <c r="L42" s="200">
        <f>'2021'!O43-'2020'!O43</f>
        <v>0.23099742316173333</v>
      </c>
      <c r="M42" s="200">
        <f>'2021'!Q43-'2020'!Q43</f>
        <v>-0.62824216637129171</v>
      </c>
      <c r="N42" s="201">
        <f t="shared" si="3"/>
        <v>0</v>
      </c>
      <c r="O42" s="200">
        <f>'2021'!U43-'2020'!V43</f>
        <v>0</v>
      </c>
      <c r="P42" s="200">
        <f>'2021'!W43-'2020'!X43</f>
        <v>0</v>
      </c>
      <c r="Q42" s="200">
        <f>'2021'!Y43-'2020'!Z43</f>
        <v>0</v>
      </c>
    </row>
    <row r="43" spans="1:17">
      <c r="A43" s="203" t="s">
        <v>65</v>
      </c>
      <c r="B43" s="202">
        <f t="shared" si="0"/>
        <v>11.802450953905005</v>
      </c>
      <c r="C43" s="200">
        <f>'2021'!D44-'2020'!D44</f>
        <v>5.9305849670506685</v>
      </c>
      <c r="D43" s="200">
        <f>'2021'!E44-'2020'!E44</f>
        <v>5.8718659868543375</v>
      </c>
      <c r="E43" s="200">
        <f>'2021'!F44-'2020'!F44</f>
        <v>0</v>
      </c>
      <c r="F43" s="201">
        <f t="shared" si="1"/>
        <v>-0.12702259531584925</v>
      </c>
      <c r="G43" s="200">
        <f>'2021'!H44-'2020'!H44</f>
        <v>0</v>
      </c>
      <c r="H43" s="200">
        <f>'2021'!I44-'2020'!I44</f>
        <v>-0.12702259531584925</v>
      </c>
      <c r="I43" s="200">
        <f>'2021'!J44-'2020'!J44</f>
        <v>0</v>
      </c>
      <c r="J43" s="201">
        <f t="shared" si="2"/>
        <v>8.0079608453303432</v>
      </c>
      <c r="K43" s="200">
        <f>'2021'!M44-'2020'!M44</f>
        <v>4.0239008314059657</v>
      </c>
      <c r="L43" s="200">
        <f>'2021'!O44-'2020'!O44</f>
        <v>3.9840600139243771</v>
      </c>
      <c r="M43" s="200">
        <f>'2021'!Q44-'2020'!Q44</f>
        <v>0</v>
      </c>
      <c r="N43" s="201">
        <f t="shared" si="3"/>
        <v>-8.6184808031336324E-2</v>
      </c>
      <c r="O43" s="200">
        <f>'2021'!U44-'2020'!V44</f>
        <v>0</v>
      </c>
      <c r="P43" s="200">
        <f>'2021'!W44-'2020'!X44</f>
        <v>-8.6184808031336324E-2</v>
      </c>
      <c r="Q43" s="200">
        <f>'2021'!Y44-'2020'!Z44</f>
        <v>0</v>
      </c>
    </row>
    <row r="44" spans="1:17">
      <c r="A44" s="203" t="s">
        <v>72</v>
      </c>
      <c r="B44" s="202">
        <f t="shared" si="0"/>
        <v>-6.1933720156130523</v>
      </c>
      <c r="C44" s="200">
        <f>'2021'!D45-'2020'!D45</f>
        <v>1.6041485317439506</v>
      </c>
      <c r="D44" s="200">
        <f>'2021'!E45-'2020'!E45</f>
        <v>-7.7975205473570028</v>
      </c>
      <c r="E44" s="200">
        <f>'2021'!F45-'2020'!F45</f>
        <v>0</v>
      </c>
      <c r="F44" s="201">
        <f t="shared" si="1"/>
        <v>-2.8691941720151064</v>
      </c>
      <c r="G44" s="200">
        <f>'2021'!H45-'2020'!H45</f>
        <v>-2.9933301505039651</v>
      </c>
      <c r="H44" s="200">
        <f>'2021'!I45-'2020'!I45</f>
        <v>0.12413597848885871</v>
      </c>
      <c r="I44" s="200">
        <f>'2021'!J45-'2020'!J45</f>
        <v>0</v>
      </c>
      <c r="J44" s="201">
        <f t="shared" si="2"/>
        <v>-1.0836987288498245</v>
      </c>
      <c r="K44" s="200">
        <f>'2021'!M45-'2020'!M45</f>
        <v>0.28068937573180058</v>
      </c>
      <c r="L44" s="200">
        <f>'2021'!O45-'2020'!O45</f>
        <v>-1.3643881045816251</v>
      </c>
      <c r="M44" s="200">
        <f>'2021'!Q45-'2020'!Q45</f>
        <v>0</v>
      </c>
      <c r="N44" s="201">
        <f t="shared" si="3"/>
        <v>-0.50204348603598548</v>
      </c>
      <c r="O44" s="200">
        <f>'2021'!U45-'2020'!V45</f>
        <v>-0.52376444866406202</v>
      </c>
      <c r="P44" s="200">
        <f>'2021'!W45-'2020'!X45</f>
        <v>2.1720962628076546E-2</v>
      </c>
      <c r="Q44" s="200">
        <f>'2021'!Y45-'2020'!Z45</f>
        <v>0</v>
      </c>
    </row>
    <row r="45" spans="1:17">
      <c r="A45" s="203"/>
      <c r="B45" s="202"/>
      <c r="C45" s="200"/>
      <c r="D45" s="200"/>
      <c r="E45" s="200"/>
      <c r="F45" s="201"/>
      <c r="G45" s="200"/>
      <c r="H45" s="200"/>
      <c r="I45" s="200"/>
      <c r="J45" s="201"/>
      <c r="K45" s="200"/>
      <c r="L45" s="200"/>
      <c r="M45" s="200"/>
      <c r="N45" s="201"/>
      <c r="O45" s="200"/>
      <c r="P45" s="200"/>
      <c r="Q45" s="200"/>
    </row>
    <row r="46" spans="1:17">
      <c r="M46" s="200"/>
    </row>
    <row r="47" spans="1:17">
      <c r="M47" s="200"/>
    </row>
  </sheetData>
  <mergeCells count="14">
    <mergeCell ref="O5:O6"/>
    <mergeCell ref="P5:Q5"/>
    <mergeCell ref="B5:D5"/>
    <mergeCell ref="E5:E6"/>
    <mergeCell ref="G5:G6"/>
    <mergeCell ref="H5:I5"/>
    <mergeCell ref="J5:L5"/>
    <mergeCell ref="M5:M6"/>
    <mergeCell ref="A3:I3"/>
    <mergeCell ref="J3:Q3"/>
    <mergeCell ref="B4:E4"/>
    <mergeCell ref="F4:I4"/>
    <mergeCell ref="J4:M4"/>
    <mergeCell ref="N4:Q4"/>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1B2D9-AC92-41DA-B100-6488C641B571}">
  <sheetPr>
    <tabColor rgb="FFFF0000"/>
    <pageSetUpPr fitToPage="1"/>
  </sheetPr>
  <dimension ref="A2:Z198"/>
  <sheetViews>
    <sheetView view="pageBreakPreview" zoomScale="70" zoomScaleNormal="100" zoomScaleSheetLayoutView="70" workbookViewId="0">
      <pane ySplit="5" topLeftCell="A47" activePane="bottomLeft" state="frozen"/>
      <selection activeCell="I185" sqref="I185"/>
      <selection pane="bottomLeft" activeCell="K51" sqref="K51:K53"/>
    </sheetView>
  </sheetViews>
  <sheetFormatPr baseColWidth="10" defaultColWidth="8.54296875" defaultRowHeight="12.5" outlineLevelRow="1" outlineLevelCol="1"/>
  <cols>
    <col min="1" max="1" width="6.54296875" style="2" customWidth="1" outlineLevel="1"/>
    <col min="2" max="2" width="7.26953125" style="2" customWidth="1" outlineLevel="1"/>
    <col min="3" max="3" width="5.81640625" style="147" customWidth="1"/>
    <col min="4" max="4" width="5.81640625" style="174" customWidth="1"/>
    <col min="5" max="5" width="1.453125" style="29" customWidth="1"/>
    <col min="6" max="6" width="4" style="28" bestFit="1" customWidth="1"/>
    <col min="7" max="7" width="10.54296875" style="145" customWidth="1"/>
    <col min="8" max="8" width="7.54296875" style="2" customWidth="1"/>
    <col min="9" max="9" width="31.54296875" style="29" customWidth="1"/>
    <col min="10" max="10" width="8.453125" style="29" customWidth="1"/>
    <col min="11" max="11" width="50.453125" style="28" customWidth="1"/>
    <col min="12" max="12" width="9" style="28" customWidth="1"/>
    <col min="13" max="13" width="36.54296875" style="28" customWidth="1"/>
    <col min="14" max="14" width="1.453125" style="29" customWidth="1"/>
    <col min="15" max="15" width="4" style="28" bestFit="1" customWidth="1"/>
    <col min="16" max="16" width="9.453125" style="29" customWidth="1"/>
    <col min="17" max="17" width="8.453125" style="146" customWidth="1"/>
    <col min="18" max="18" width="32.1796875" style="28" customWidth="1"/>
    <col min="19" max="19" width="1.453125" style="29" customWidth="1"/>
    <col min="20" max="20" width="4" style="28" bestFit="1" customWidth="1"/>
    <col min="21" max="21" width="8.54296875" style="145" bestFit="1" customWidth="1"/>
    <col min="22" max="22" width="37.453125" style="28" customWidth="1"/>
    <col min="23" max="23" width="9" style="28" customWidth="1"/>
    <col min="24" max="24" width="37.1796875" style="28" customWidth="1"/>
    <col min="25" max="25" width="9.54296875" style="28" hidden="1" customWidth="1"/>
    <col min="26" max="26" width="2.54296875" style="29" customWidth="1"/>
    <col min="27" max="16384" width="8.54296875" style="2"/>
  </cols>
  <sheetData>
    <row r="2" spans="1:26" ht="21.65" customHeight="1">
      <c r="A2" s="20"/>
      <c r="C2" s="21" t="s">
        <v>94</v>
      </c>
      <c r="D2" s="21"/>
      <c r="E2" s="22"/>
      <c r="F2" s="23"/>
      <c r="G2" s="24"/>
      <c r="H2" s="18"/>
      <c r="I2" s="22"/>
      <c r="J2" s="22"/>
      <c r="K2" s="25"/>
      <c r="L2" s="25"/>
      <c r="M2" s="25"/>
      <c r="N2" s="22"/>
      <c r="O2" s="25"/>
      <c r="P2" s="22"/>
      <c r="Q2" s="26"/>
      <c r="R2" s="25"/>
      <c r="S2" s="22"/>
      <c r="T2" s="25"/>
      <c r="U2" s="27"/>
      <c r="V2" s="25"/>
      <c r="W2" s="25"/>
      <c r="X2" s="25"/>
    </row>
    <row r="3" spans="1:26" ht="116.15" customHeight="1" outlineLevel="1">
      <c r="A3" s="20"/>
      <c r="C3" s="302" t="s">
        <v>95</v>
      </c>
      <c r="D3" s="302"/>
      <c r="E3" s="302"/>
      <c r="F3" s="302"/>
      <c r="G3" s="302"/>
      <c r="H3" s="302"/>
      <c r="I3" s="302"/>
      <c r="J3" s="302"/>
      <c r="K3" s="302"/>
      <c r="L3" s="302"/>
      <c r="M3" s="302"/>
      <c r="N3" s="302"/>
      <c r="O3" s="302"/>
      <c r="P3" s="302"/>
      <c r="Q3" s="302"/>
      <c r="R3" s="302"/>
      <c r="S3" s="302"/>
      <c r="T3" s="302"/>
      <c r="U3" s="302"/>
      <c r="V3" s="302"/>
      <c r="W3" s="302"/>
      <c r="X3" s="302"/>
    </row>
    <row r="4" spans="1:26" ht="13">
      <c r="A4" s="30"/>
      <c r="B4" s="30"/>
      <c r="C4" s="31"/>
      <c r="D4" s="31"/>
      <c r="F4" s="31"/>
      <c r="G4" s="32"/>
      <c r="H4" s="303" t="s">
        <v>96</v>
      </c>
      <c r="I4" s="303"/>
      <c r="J4" s="303"/>
      <c r="K4" s="303"/>
      <c r="L4" s="303"/>
      <c r="M4" s="303"/>
      <c r="O4" s="31"/>
      <c r="P4" s="33"/>
      <c r="Q4" s="304" t="s">
        <v>97</v>
      </c>
      <c r="R4" s="304"/>
      <c r="T4" s="304" t="s">
        <v>98</v>
      </c>
      <c r="U4" s="304"/>
      <c r="V4" s="304"/>
      <c r="W4" s="304"/>
      <c r="X4" s="304"/>
      <c r="Y4" s="34" t="s">
        <v>99</v>
      </c>
    </row>
    <row r="5" spans="1:26" s="46" customFormat="1" ht="58">
      <c r="A5" s="35" t="s">
        <v>100</v>
      </c>
      <c r="B5" s="36" t="s">
        <v>101</v>
      </c>
      <c r="C5" s="37" t="s">
        <v>102</v>
      </c>
      <c r="D5" s="38" t="s">
        <v>103</v>
      </c>
      <c r="E5" s="39"/>
      <c r="F5" s="40" t="s">
        <v>104</v>
      </c>
      <c r="G5" s="41" t="s">
        <v>105</v>
      </c>
      <c r="H5" s="42" t="s">
        <v>106</v>
      </c>
      <c r="I5" s="35" t="s">
        <v>107</v>
      </c>
      <c r="J5" s="42" t="s">
        <v>108</v>
      </c>
      <c r="K5" s="35" t="s">
        <v>109</v>
      </c>
      <c r="L5" s="35" t="s">
        <v>108</v>
      </c>
      <c r="M5" s="35" t="s">
        <v>110</v>
      </c>
      <c r="N5" s="39"/>
      <c r="O5" s="40" t="s">
        <v>104</v>
      </c>
      <c r="P5" s="43" t="s">
        <v>111</v>
      </c>
      <c r="Q5" s="44" t="s">
        <v>108</v>
      </c>
      <c r="R5" s="35" t="s">
        <v>112</v>
      </c>
      <c r="S5" s="39"/>
      <c r="T5" s="45" t="s">
        <v>104</v>
      </c>
      <c r="U5" s="44" t="s">
        <v>108</v>
      </c>
      <c r="V5" s="35" t="s">
        <v>113</v>
      </c>
      <c r="W5" s="35" t="s">
        <v>108</v>
      </c>
      <c r="X5" s="35" t="s">
        <v>114</v>
      </c>
      <c r="Y5" s="184" t="s">
        <v>115</v>
      </c>
      <c r="Z5" s="39"/>
    </row>
    <row r="6" spans="1:26" ht="214.5" customHeight="1">
      <c r="A6" s="305">
        <v>1</v>
      </c>
      <c r="B6" s="254" t="s">
        <v>116</v>
      </c>
      <c r="C6" s="255" t="s">
        <v>15</v>
      </c>
      <c r="D6" s="258" t="s">
        <v>117</v>
      </c>
      <c r="F6" s="47" t="s">
        <v>118</v>
      </c>
      <c r="G6" s="48">
        <v>316.40000000000003</v>
      </c>
      <c r="H6" s="49">
        <v>16.600000000000001</v>
      </c>
      <c r="I6" s="251" t="s">
        <v>119</v>
      </c>
      <c r="J6" s="48">
        <v>299.8</v>
      </c>
      <c r="K6" s="247" t="s">
        <v>120</v>
      </c>
      <c r="L6" s="50"/>
      <c r="M6" s="306"/>
      <c r="O6" s="47" t="s">
        <v>118</v>
      </c>
      <c r="P6" s="51">
        <v>35</v>
      </c>
      <c r="Q6" s="52">
        <v>15</v>
      </c>
      <c r="R6" s="247" t="s">
        <v>121</v>
      </c>
      <c r="T6" s="47" t="s">
        <v>118</v>
      </c>
      <c r="U6" s="48">
        <v>20</v>
      </c>
      <c r="V6" s="247" t="s">
        <v>122</v>
      </c>
      <c r="W6" s="169"/>
      <c r="X6" s="169"/>
      <c r="Y6" s="248" t="s">
        <v>123</v>
      </c>
    </row>
    <row r="7" spans="1:26" ht="184.5" customHeight="1">
      <c r="A7" s="254"/>
      <c r="B7" s="254"/>
      <c r="C7" s="256"/>
      <c r="D7" s="259"/>
      <c r="F7" s="47" t="s">
        <v>124</v>
      </c>
      <c r="G7" s="51">
        <v>218.44777903701456</v>
      </c>
      <c r="H7" s="49">
        <v>11.460913817997604</v>
      </c>
      <c r="I7" s="265"/>
      <c r="J7" s="51">
        <v>206.98686521901695</v>
      </c>
      <c r="K7" s="248"/>
      <c r="L7" s="178"/>
      <c r="M7" s="307"/>
      <c r="O7" s="47" t="s">
        <v>124</v>
      </c>
      <c r="P7" s="53">
        <v>24.16457732710338</v>
      </c>
      <c r="Q7" s="53">
        <v>10.356247425901449</v>
      </c>
      <c r="R7" s="248"/>
      <c r="T7" s="47" t="s">
        <v>124</v>
      </c>
      <c r="U7" s="54">
        <v>13.808329901201931</v>
      </c>
      <c r="V7" s="248"/>
      <c r="W7" s="169"/>
      <c r="X7" s="169"/>
      <c r="Y7" s="248"/>
    </row>
    <row r="8" spans="1:26" ht="174.65" customHeight="1">
      <c r="A8" s="254"/>
      <c r="B8" s="254"/>
      <c r="C8" s="257"/>
      <c r="D8" s="260"/>
      <c r="E8" s="22"/>
      <c r="F8" s="55" t="s">
        <v>125</v>
      </c>
      <c r="G8" s="56">
        <v>16.177852301431432</v>
      </c>
      <c r="H8" s="56">
        <v>0.8487748046895125</v>
      </c>
      <c r="I8" s="266"/>
      <c r="J8" s="56">
        <v>15.329077496741919</v>
      </c>
      <c r="K8" s="249"/>
      <c r="L8" s="179"/>
      <c r="M8" s="308"/>
      <c r="N8" s="22"/>
      <c r="O8" s="55" t="s">
        <v>125</v>
      </c>
      <c r="P8" s="57">
        <v>1.7895854315742734</v>
      </c>
      <c r="Q8" s="58">
        <v>0.76696518496040278</v>
      </c>
      <c r="R8" s="249"/>
      <c r="S8" s="22"/>
      <c r="T8" s="55" t="s">
        <v>125</v>
      </c>
      <c r="U8" s="59">
        <v>1.0226202466138705</v>
      </c>
      <c r="V8" s="249"/>
      <c r="W8" s="170"/>
      <c r="X8" s="170"/>
      <c r="Y8" s="249"/>
      <c r="Z8" s="22"/>
    </row>
    <row r="9" spans="1:26" ht="140.15" customHeight="1">
      <c r="A9" s="254">
        <v>1</v>
      </c>
      <c r="B9" s="254" t="s">
        <v>116</v>
      </c>
      <c r="C9" s="255" t="s">
        <v>16</v>
      </c>
      <c r="D9" s="259" t="s">
        <v>126</v>
      </c>
      <c r="E9" s="60"/>
      <c r="F9" s="61" t="s">
        <v>118</v>
      </c>
      <c r="G9" s="62">
        <v>322.7</v>
      </c>
      <c r="H9" s="62">
        <v>52.7</v>
      </c>
      <c r="I9" s="261" t="s">
        <v>127</v>
      </c>
      <c r="J9" s="62">
        <v>270</v>
      </c>
      <c r="K9" s="247" t="s">
        <v>128</v>
      </c>
      <c r="L9" s="62">
        <v>85</v>
      </c>
      <c r="M9" s="247" t="s">
        <v>129</v>
      </c>
      <c r="N9" s="60"/>
      <c r="O9" s="61" t="s">
        <v>118</v>
      </c>
      <c r="P9" s="63">
        <v>88.600000000000009</v>
      </c>
      <c r="Q9" s="64">
        <v>5.2</v>
      </c>
      <c r="R9" s="247" t="s">
        <v>130</v>
      </c>
      <c r="S9" s="60"/>
      <c r="T9" s="61" t="s">
        <v>118</v>
      </c>
      <c r="U9" s="65">
        <v>83.4</v>
      </c>
      <c r="V9" s="247" t="s">
        <v>131</v>
      </c>
      <c r="W9" s="168"/>
      <c r="X9" s="168"/>
      <c r="Y9" s="168"/>
      <c r="Z9" s="66"/>
    </row>
    <row r="10" spans="1:26" ht="97" customHeight="1">
      <c r="A10" s="254"/>
      <c r="B10" s="254"/>
      <c r="C10" s="256"/>
      <c r="D10" s="259"/>
      <c r="E10" s="28"/>
      <c r="F10" s="47" t="s">
        <v>124</v>
      </c>
      <c r="G10" s="51">
        <v>240.10443817674746</v>
      </c>
      <c r="H10" s="51">
        <v>39.211353864005552</v>
      </c>
      <c r="I10" s="262"/>
      <c r="J10" s="51">
        <v>200.89308431274193</v>
      </c>
      <c r="K10" s="248"/>
      <c r="L10" s="51">
        <v>63.244119135492831</v>
      </c>
      <c r="M10" s="248"/>
      <c r="N10" s="28"/>
      <c r="O10" s="47" t="s">
        <v>124</v>
      </c>
      <c r="P10" s="67">
        <v>65.922693592996055</v>
      </c>
      <c r="Q10" s="68">
        <v>3.8690519941713259</v>
      </c>
      <c r="R10" s="248"/>
      <c r="S10" s="28"/>
      <c r="T10" s="47" t="s">
        <v>124</v>
      </c>
      <c r="U10" s="51">
        <v>62.053641598824733</v>
      </c>
      <c r="V10" s="248"/>
      <c r="W10" s="169"/>
      <c r="X10" s="169"/>
      <c r="Y10" s="169"/>
    </row>
    <row r="11" spans="1:26" ht="97" customHeight="1">
      <c r="A11" s="254"/>
      <c r="B11" s="254"/>
      <c r="C11" s="257"/>
      <c r="D11" s="260"/>
      <c r="E11" s="25"/>
      <c r="F11" s="55" t="s">
        <v>125</v>
      </c>
      <c r="G11" s="56">
        <v>14.646141686967878</v>
      </c>
      <c r="H11" s="56">
        <v>2.3918551809829789</v>
      </c>
      <c r="I11" s="263"/>
      <c r="J11" s="56">
        <v>12.254286505984901</v>
      </c>
      <c r="K11" s="249"/>
      <c r="L11" s="56">
        <v>3.8578309370693202</v>
      </c>
      <c r="M11" s="249"/>
      <c r="N11" s="25"/>
      <c r="O11" s="55" t="s">
        <v>125</v>
      </c>
      <c r="P11" s="69">
        <v>4.0212214238157857</v>
      </c>
      <c r="Q11" s="58">
        <v>0.23600848085600551</v>
      </c>
      <c r="R11" s="249"/>
      <c r="S11" s="25"/>
      <c r="T11" s="55" t="s">
        <v>125</v>
      </c>
      <c r="U11" s="56">
        <v>3.7852129429597805</v>
      </c>
      <c r="V11" s="249"/>
      <c r="W11" s="170"/>
      <c r="X11" s="170"/>
      <c r="Y11" s="170"/>
      <c r="Z11" s="22"/>
    </row>
    <row r="12" spans="1:26" ht="161.15" customHeight="1">
      <c r="A12" s="254" t="s">
        <v>132</v>
      </c>
      <c r="B12" s="254" t="s">
        <v>132</v>
      </c>
      <c r="C12" s="255" t="s">
        <v>17</v>
      </c>
      <c r="D12" s="259"/>
      <c r="E12" s="60"/>
      <c r="F12" s="47" t="s">
        <v>118</v>
      </c>
      <c r="G12" s="62">
        <v>427.85</v>
      </c>
      <c r="H12" s="65">
        <v>0.05</v>
      </c>
      <c r="I12" s="261" t="s">
        <v>133</v>
      </c>
      <c r="J12" s="62">
        <v>427.8</v>
      </c>
      <c r="K12" s="247" t="s">
        <v>134</v>
      </c>
      <c r="L12" s="168"/>
      <c r="M12" s="168"/>
      <c r="N12" s="60"/>
      <c r="O12" s="47" t="s">
        <v>118</v>
      </c>
      <c r="P12" s="63">
        <v>765</v>
      </c>
      <c r="Q12" s="70">
        <v>700</v>
      </c>
      <c r="R12" s="264" t="s">
        <v>135</v>
      </c>
      <c r="S12" s="60"/>
      <c r="T12" s="47" t="s">
        <v>118</v>
      </c>
      <c r="U12" s="62">
        <v>65</v>
      </c>
      <c r="V12" s="247" t="s">
        <v>136</v>
      </c>
      <c r="W12" s="168"/>
      <c r="X12" s="168"/>
      <c r="Y12" s="247" t="s">
        <v>137</v>
      </c>
      <c r="Z12" s="66"/>
    </row>
    <row r="13" spans="1:26" ht="131.15" customHeight="1">
      <c r="A13" s="254"/>
      <c r="B13" s="254"/>
      <c r="C13" s="256"/>
      <c r="D13" s="259"/>
      <c r="E13" s="28"/>
      <c r="F13" s="47" t="s">
        <v>124</v>
      </c>
      <c r="G13" s="51">
        <v>487.00600150864443</v>
      </c>
      <c r="H13" s="49">
        <v>5.691317067998649E-2</v>
      </c>
      <c r="I13" s="262"/>
      <c r="J13" s="51">
        <v>486.94908833796438</v>
      </c>
      <c r="K13" s="248"/>
      <c r="L13" s="169"/>
      <c r="M13" s="169"/>
      <c r="N13" s="28"/>
      <c r="O13" s="47" t="s">
        <v>124</v>
      </c>
      <c r="P13" s="67">
        <v>870.77151140379328</v>
      </c>
      <c r="Q13" s="72">
        <v>796.78438951981082</v>
      </c>
      <c r="R13" s="265"/>
      <c r="S13" s="28"/>
      <c r="T13" s="47" t="s">
        <v>124</v>
      </c>
      <c r="U13" s="51">
        <v>73.987121883982439</v>
      </c>
      <c r="V13" s="248"/>
      <c r="W13" s="169"/>
      <c r="X13" s="169"/>
      <c r="Y13" s="248"/>
    </row>
    <row r="14" spans="1:26" ht="150" customHeight="1">
      <c r="A14" s="254"/>
      <c r="B14" s="254"/>
      <c r="C14" s="257"/>
      <c r="D14" s="260"/>
      <c r="E14" s="25"/>
      <c r="F14" s="55" t="s">
        <v>125</v>
      </c>
      <c r="G14" s="56">
        <v>3.8049469735647148</v>
      </c>
      <c r="H14" s="56">
        <v>4.4465898954828973E-4</v>
      </c>
      <c r="I14" s="263"/>
      <c r="J14" s="56">
        <v>3.8045023145751666</v>
      </c>
      <c r="K14" s="249"/>
      <c r="L14" s="170"/>
      <c r="M14" s="170"/>
      <c r="N14" s="25"/>
      <c r="O14" s="55" t="s">
        <v>125</v>
      </c>
      <c r="P14" s="69">
        <v>6.8032825400888326</v>
      </c>
      <c r="Q14" s="58">
        <v>6.2252258536760561</v>
      </c>
      <c r="R14" s="266"/>
      <c r="S14" s="25"/>
      <c r="T14" s="55" t="s">
        <v>125</v>
      </c>
      <c r="U14" s="56">
        <v>0.57805668641277663</v>
      </c>
      <c r="V14" s="249"/>
      <c r="W14" s="170"/>
      <c r="X14" s="170"/>
      <c r="Y14" s="249"/>
      <c r="Z14" s="22"/>
    </row>
    <row r="15" spans="1:26" ht="155.15" customHeight="1">
      <c r="A15" s="254">
        <v>1</v>
      </c>
      <c r="B15" s="254" t="s">
        <v>116</v>
      </c>
      <c r="C15" s="256" t="s">
        <v>18</v>
      </c>
      <c r="D15" s="259" t="s">
        <v>117</v>
      </c>
      <c r="E15" s="60"/>
      <c r="F15" s="47" t="s">
        <v>118</v>
      </c>
      <c r="G15" s="62">
        <v>174</v>
      </c>
      <c r="H15" s="62">
        <v>17.8</v>
      </c>
      <c r="I15" s="247" t="s">
        <v>138</v>
      </c>
      <c r="J15" s="73">
        <v>156.19999999999999</v>
      </c>
      <c r="K15" s="264" t="s">
        <v>139</v>
      </c>
      <c r="L15" s="73">
        <v>55</v>
      </c>
      <c r="M15" s="264" t="s">
        <v>140</v>
      </c>
      <c r="N15" s="60"/>
      <c r="O15" s="47" t="s">
        <v>118</v>
      </c>
      <c r="P15" s="63">
        <v>355.5</v>
      </c>
      <c r="Q15" s="70">
        <v>21</v>
      </c>
      <c r="R15" s="247" t="s">
        <v>141</v>
      </c>
      <c r="S15" s="60"/>
      <c r="T15" s="47" t="s">
        <v>118</v>
      </c>
      <c r="U15" s="62">
        <v>334.5</v>
      </c>
      <c r="V15" s="247" t="s">
        <v>142</v>
      </c>
      <c r="W15" s="168"/>
      <c r="X15" s="168"/>
      <c r="Y15" s="168" t="s">
        <v>143</v>
      </c>
      <c r="Z15" s="66"/>
    </row>
    <row r="16" spans="1:26" ht="95.15" customHeight="1">
      <c r="A16" s="254"/>
      <c r="B16" s="254"/>
      <c r="C16" s="256"/>
      <c r="D16" s="259"/>
      <c r="E16" s="28"/>
      <c r="F16" s="47" t="s">
        <v>124</v>
      </c>
      <c r="G16" s="51">
        <v>198.05783396635229</v>
      </c>
      <c r="H16" s="51">
        <v>20.261088762075122</v>
      </c>
      <c r="I16" s="248"/>
      <c r="J16" s="51">
        <v>177.79674520427716</v>
      </c>
      <c r="K16" s="265"/>
      <c r="L16" s="51">
        <v>62.604487747984926</v>
      </c>
      <c r="M16" s="265"/>
      <c r="N16" s="28"/>
      <c r="O16" s="47" t="s">
        <v>124</v>
      </c>
      <c r="P16" s="67">
        <v>404.65264353470258</v>
      </c>
      <c r="Q16" s="72">
        <v>23.903531685594242</v>
      </c>
      <c r="R16" s="248"/>
      <c r="S16" s="28"/>
      <c r="T16" s="47" t="s">
        <v>124</v>
      </c>
      <c r="U16" s="51">
        <v>380.74911184910832</v>
      </c>
      <c r="V16" s="248"/>
      <c r="W16" s="169"/>
      <c r="X16" s="169"/>
      <c r="Y16" s="169"/>
    </row>
    <row r="17" spans="1:26" s="18" customFormat="1" ht="95.15" customHeight="1">
      <c r="A17" s="254"/>
      <c r="B17" s="254"/>
      <c r="C17" s="257"/>
      <c r="D17" s="260"/>
      <c r="E17" s="25"/>
      <c r="F17" s="55" t="s">
        <v>125</v>
      </c>
      <c r="G17" s="56">
        <v>7.7103009294197555</v>
      </c>
      <c r="H17" s="56">
        <v>0.78875492266477965</v>
      </c>
      <c r="I17" s="249"/>
      <c r="J17" s="56">
        <v>6.9215460067549763</v>
      </c>
      <c r="K17" s="266"/>
      <c r="L17" s="56">
        <v>2.4371640868855549</v>
      </c>
      <c r="M17" s="266"/>
      <c r="N17" s="25"/>
      <c r="O17" s="55" t="s">
        <v>125</v>
      </c>
      <c r="P17" s="69">
        <v>15.752942416142089</v>
      </c>
      <c r="Q17" s="58">
        <v>0.93055356044721205</v>
      </c>
      <c r="R17" s="249"/>
      <c r="S17" s="25"/>
      <c r="T17" s="55" t="s">
        <v>125</v>
      </c>
      <c r="U17" s="56">
        <v>14.822388855694877</v>
      </c>
      <c r="V17" s="249"/>
      <c r="W17" s="170"/>
      <c r="X17" s="170"/>
      <c r="Y17" s="170"/>
      <c r="Z17" s="22"/>
    </row>
    <row r="18" spans="1:26" s="76" customFormat="1" ht="72" customHeight="1">
      <c r="A18" s="254">
        <v>1</v>
      </c>
      <c r="B18" s="254" t="s">
        <v>116</v>
      </c>
      <c r="C18" s="256" t="s">
        <v>19</v>
      </c>
      <c r="D18" s="300" t="s">
        <v>117</v>
      </c>
      <c r="E18" s="60"/>
      <c r="F18" s="61" t="s">
        <v>118</v>
      </c>
      <c r="G18" s="62">
        <v>367</v>
      </c>
      <c r="H18" s="62">
        <v>40</v>
      </c>
      <c r="I18" s="261" t="s">
        <v>144</v>
      </c>
      <c r="J18" s="62">
        <v>327</v>
      </c>
      <c r="K18" s="247" t="s">
        <v>145</v>
      </c>
      <c r="L18" s="74"/>
      <c r="M18" s="247" t="s">
        <v>146</v>
      </c>
      <c r="N18" s="60"/>
      <c r="O18" s="61" t="s">
        <v>118</v>
      </c>
      <c r="P18" s="75">
        <v>926.3</v>
      </c>
      <c r="Q18" s="70">
        <v>100</v>
      </c>
      <c r="R18" s="247" t="s">
        <v>147</v>
      </c>
      <c r="S18" s="60"/>
      <c r="T18" s="61" t="s">
        <v>118</v>
      </c>
      <c r="U18" s="62">
        <v>826.3</v>
      </c>
      <c r="V18" s="247" t="s">
        <v>148</v>
      </c>
      <c r="W18" s="168"/>
      <c r="X18" s="168"/>
      <c r="Y18" s="247" t="s">
        <v>149</v>
      </c>
      <c r="Z18" s="66"/>
    </row>
    <row r="19" spans="1:26" ht="64" customHeight="1">
      <c r="A19" s="254"/>
      <c r="B19" s="254"/>
      <c r="C19" s="256"/>
      <c r="D19" s="300"/>
      <c r="E19" s="28"/>
      <c r="F19" s="47" t="s">
        <v>124</v>
      </c>
      <c r="G19" s="51">
        <v>417.7426727911008</v>
      </c>
      <c r="H19" s="51">
        <v>45.530536543989193</v>
      </c>
      <c r="I19" s="262"/>
      <c r="J19" s="51">
        <v>372.21213624711163</v>
      </c>
      <c r="K19" s="248"/>
      <c r="L19" s="77"/>
      <c r="M19" s="248"/>
      <c r="N19" s="28"/>
      <c r="O19" s="47" t="s">
        <v>124</v>
      </c>
      <c r="P19" s="78">
        <v>1054.3734000174297</v>
      </c>
      <c r="Q19" s="72">
        <v>113.82634135997297</v>
      </c>
      <c r="R19" s="248"/>
      <c r="S19" s="28"/>
      <c r="T19" s="47" t="s">
        <v>124</v>
      </c>
      <c r="U19" s="51">
        <v>940.54705865745666</v>
      </c>
      <c r="V19" s="248"/>
      <c r="W19" s="169"/>
      <c r="X19" s="169"/>
      <c r="Y19" s="248"/>
    </row>
    <row r="20" spans="1:26" ht="69" customHeight="1">
      <c r="A20" s="254"/>
      <c r="B20" s="254"/>
      <c r="C20" s="257"/>
      <c r="D20" s="301"/>
      <c r="E20" s="25"/>
      <c r="F20" s="55" t="s">
        <v>125</v>
      </c>
      <c r="G20" s="56">
        <v>11.03370544006278</v>
      </c>
      <c r="H20" s="56">
        <v>1.2025836991894037</v>
      </c>
      <c r="I20" s="263"/>
      <c r="J20" s="56">
        <v>9.8311217408733764</v>
      </c>
      <c r="K20" s="249"/>
      <c r="L20" s="79"/>
      <c r="M20" s="249"/>
      <c r="N20" s="25"/>
      <c r="O20" s="55" t="s">
        <v>125</v>
      </c>
      <c r="P20" s="69">
        <v>27.848832013978619</v>
      </c>
      <c r="Q20" s="58">
        <v>3.0064592479735093</v>
      </c>
      <c r="R20" s="249"/>
      <c r="S20" s="25"/>
      <c r="T20" s="55" t="s">
        <v>125</v>
      </c>
      <c r="U20" s="56">
        <v>24.842372766005109</v>
      </c>
      <c r="V20" s="249"/>
      <c r="W20" s="170"/>
      <c r="X20" s="170"/>
      <c r="Y20" s="249"/>
      <c r="Z20" s="22"/>
    </row>
    <row r="21" spans="1:26" ht="60" customHeight="1">
      <c r="A21" s="254">
        <v>1</v>
      </c>
      <c r="B21" s="254" t="s">
        <v>116</v>
      </c>
      <c r="C21" s="256" t="s">
        <v>20</v>
      </c>
      <c r="D21" s="259" t="s">
        <v>117</v>
      </c>
      <c r="E21" s="60"/>
      <c r="F21" s="47" t="s">
        <v>118</v>
      </c>
      <c r="G21" s="62">
        <v>112</v>
      </c>
      <c r="H21" s="65">
        <v>9.5</v>
      </c>
      <c r="I21" s="261" t="s">
        <v>150</v>
      </c>
      <c r="J21" s="62">
        <v>102.5</v>
      </c>
      <c r="K21" s="264" t="s">
        <v>151</v>
      </c>
      <c r="L21" s="65">
        <v>7</v>
      </c>
      <c r="M21" s="264" t="s">
        <v>152</v>
      </c>
      <c r="N21" s="60"/>
      <c r="O21" s="47" t="s">
        <v>118</v>
      </c>
      <c r="P21" s="62">
        <v>582.25</v>
      </c>
      <c r="Q21" s="64">
        <v>3.25</v>
      </c>
      <c r="R21" s="264" t="s">
        <v>153</v>
      </c>
      <c r="S21" s="60"/>
      <c r="T21" s="47" t="s">
        <v>118</v>
      </c>
      <c r="U21" s="62">
        <v>579</v>
      </c>
      <c r="V21" s="264" t="s">
        <v>154</v>
      </c>
      <c r="W21" s="177"/>
      <c r="X21" s="264"/>
      <c r="Y21" s="247" t="s">
        <v>155</v>
      </c>
      <c r="Z21" s="66"/>
    </row>
    <row r="22" spans="1:26" ht="39" customHeight="1">
      <c r="A22" s="254"/>
      <c r="B22" s="254"/>
      <c r="C22" s="256"/>
      <c r="D22" s="259"/>
      <c r="E22" s="28"/>
      <c r="F22" s="47" t="s">
        <v>124</v>
      </c>
      <c r="G22" s="51">
        <v>127.4855023231693</v>
      </c>
      <c r="H22" s="49">
        <v>10.813502429197396</v>
      </c>
      <c r="I22" s="262"/>
      <c r="J22" s="51">
        <v>116.6719998939719</v>
      </c>
      <c r="K22" s="265"/>
      <c r="L22" s="49">
        <v>7.9678438951980812</v>
      </c>
      <c r="M22" s="265"/>
      <c r="N22" s="28"/>
      <c r="O22" s="47" t="s">
        <v>124</v>
      </c>
      <c r="P22" s="51">
        <v>662.75387256844044</v>
      </c>
      <c r="Q22" s="49">
        <v>3.6993560941991093</v>
      </c>
      <c r="R22" s="265"/>
      <c r="S22" s="28"/>
      <c r="T22" s="47" t="s">
        <v>124</v>
      </c>
      <c r="U22" s="51">
        <v>659.05451647424127</v>
      </c>
      <c r="V22" s="265"/>
      <c r="W22" s="51"/>
      <c r="X22" s="265"/>
      <c r="Y22" s="248"/>
    </row>
    <row r="23" spans="1:26" ht="59.15" customHeight="1">
      <c r="A23" s="254"/>
      <c r="B23" s="254"/>
      <c r="C23" s="257"/>
      <c r="D23" s="260"/>
      <c r="E23" s="25"/>
      <c r="F23" s="55" t="s">
        <v>125</v>
      </c>
      <c r="G23" s="56">
        <v>6.8248555163513647</v>
      </c>
      <c r="H23" s="56">
        <v>0.57889399469051761</v>
      </c>
      <c r="I23" s="263"/>
      <c r="J23" s="56">
        <v>6.2459615216608473</v>
      </c>
      <c r="K23" s="266"/>
      <c r="L23" s="56">
        <v>0.42655346977196029</v>
      </c>
      <c r="M23" s="266"/>
      <c r="N23" s="25"/>
      <c r="O23" s="55" t="s">
        <v>125</v>
      </c>
      <c r="P23" s="56">
        <v>35.480108253531988</v>
      </c>
      <c r="Q23" s="56">
        <v>0.19804268239412443</v>
      </c>
      <c r="R23" s="266"/>
      <c r="S23" s="25"/>
      <c r="T23" s="55" t="s">
        <v>125</v>
      </c>
      <c r="U23" s="56">
        <v>35.282065571137863</v>
      </c>
      <c r="V23" s="266"/>
      <c r="W23" s="80"/>
      <c r="X23" s="266"/>
      <c r="Y23" s="249"/>
      <c r="Z23" s="22"/>
    </row>
    <row r="24" spans="1:26" ht="229" customHeight="1">
      <c r="A24" s="254">
        <v>1</v>
      </c>
      <c r="B24" s="254" t="s">
        <v>116</v>
      </c>
      <c r="C24" s="287" t="s">
        <v>21</v>
      </c>
      <c r="D24" s="259" t="s">
        <v>117</v>
      </c>
      <c r="E24" s="60"/>
      <c r="F24" s="47" t="s">
        <v>118</v>
      </c>
      <c r="G24" s="75">
        <v>83600</v>
      </c>
      <c r="H24" s="75">
        <v>9600</v>
      </c>
      <c r="I24" s="247" t="s">
        <v>503</v>
      </c>
      <c r="J24" s="75">
        <v>74000</v>
      </c>
      <c r="K24" s="273" t="s">
        <v>504</v>
      </c>
      <c r="L24" s="75">
        <v>26000</v>
      </c>
      <c r="M24" s="247" t="s">
        <v>156</v>
      </c>
      <c r="N24" s="60"/>
      <c r="O24" s="61" t="s">
        <v>118</v>
      </c>
      <c r="P24" s="81">
        <v>152600</v>
      </c>
      <c r="Q24" s="82"/>
      <c r="R24" s="292"/>
      <c r="S24" s="60"/>
      <c r="T24" s="61" t="s">
        <v>118</v>
      </c>
      <c r="U24" s="75">
        <v>15700</v>
      </c>
      <c r="V24" s="292" t="s">
        <v>157</v>
      </c>
      <c r="W24" s="83">
        <v>136900</v>
      </c>
      <c r="X24" s="284" t="s">
        <v>505</v>
      </c>
      <c r="Y24" s="247" t="s">
        <v>158</v>
      </c>
      <c r="Z24" s="66"/>
    </row>
    <row r="25" spans="1:26" ht="229" customHeight="1">
      <c r="A25" s="254"/>
      <c r="B25" s="254"/>
      <c r="C25" s="287"/>
      <c r="D25" s="259"/>
      <c r="E25" s="28"/>
      <c r="F25" s="47" t="s">
        <v>124</v>
      </c>
      <c r="G25" s="51">
        <v>782.33294838167308</v>
      </c>
      <c r="H25" s="49">
        <v>89.837276369187336</v>
      </c>
      <c r="I25" s="296"/>
      <c r="J25" s="51">
        <v>692.49567201248567</v>
      </c>
      <c r="K25" s="248"/>
      <c r="L25" s="51">
        <v>243.30929016654903</v>
      </c>
      <c r="M25" s="248"/>
      <c r="N25" s="28"/>
      <c r="O25" s="47" t="s">
        <v>124</v>
      </c>
      <c r="P25" s="51">
        <v>1428.0383722852071</v>
      </c>
      <c r="Q25" s="84"/>
      <c r="R25" s="296"/>
      <c r="S25" s="28"/>
      <c r="T25" s="47" t="s">
        <v>124</v>
      </c>
      <c r="U25" s="51">
        <v>146.92137906210846</v>
      </c>
      <c r="V25" s="296"/>
      <c r="W25" s="85">
        <v>1281.1169932230987</v>
      </c>
      <c r="X25" s="298"/>
      <c r="Y25" s="248"/>
    </row>
    <row r="26" spans="1:26" s="18" customFormat="1" ht="238" customHeight="1">
      <c r="A26" s="254"/>
      <c r="B26" s="254"/>
      <c r="C26" s="288"/>
      <c r="D26" s="260"/>
      <c r="E26" s="25"/>
      <c r="F26" s="55" t="s">
        <v>125</v>
      </c>
      <c r="G26" s="56">
        <v>15.580392937317248</v>
      </c>
      <c r="H26" s="56">
        <v>1.7891360310794924</v>
      </c>
      <c r="I26" s="297"/>
      <c r="J26" s="56">
        <v>13.791256906237754</v>
      </c>
      <c r="K26" s="249"/>
      <c r="L26" s="56">
        <v>4.8455767508402925</v>
      </c>
      <c r="M26" s="249"/>
      <c r="N26" s="25"/>
      <c r="O26" s="55" t="s">
        <v>125</v>
      </c>
      <c r="P26" s="56">
        <v>28.439808160701098</v>
      </c>
      <c r="Q26" s="86"/>
      <c r="R26" s="297"/>
      <c r="S26" s="25"/>
      <c r="T26" s="55" t="s">
        <v>125</v>
      </c>
      <c r="U26" s="56">
        <v>2.925982884161253</v>
      </c>
      <c r="V26" s="297"/>
      <c r="W26" s="87">
        <v>25.513825276539841</v>
      </c>
      <c r="X26" s="299"/>
      <c r="Y26" s="249"/>
      <c r="Z26" s="22"/>
    </row>
    <row r="27" spans="1:26" s="76" customFormat="1" ht="161.15" customHeight="1">
      <c r="A27" s="254">
        <v>1</v>
      </c>
      <c r="B27" s="254" t="s">
        <v>116</v>
      </c>
      <c r="C27" s="295" t="s">
        <v>22</v>
      </c>
      <c r="D27" s="258" t="s">
        <v>117</v>
      </c>
      <c r="E27" s="60"/>
      <c r="F27" s="61" t="s">
        <v>118</v>
      </c>
      <c r="G27" s="88">
        <v>66300</v>
      </c>
      <c r="H27" s="89">
        <v>5100</v>
      </c>
      <c r="I27" s="279" t="s">
        <v>159</v>
      </c>
      <c r="J27" s="88">
        <v>61200</v>
      </c>
      <c r="K27" s="264" t="s">
        <v>160</v>
      </c>
      <c r="L27" s="88">
        <v>33000</v>
      </c>
      <c r="M27" s="264" t="s">
        <v>161</v>
      </c>
      <c r="N27" s="60"/>
      <c r="O27" s="61" t="s">
        <v>118</v>
      </c>
      <c r="P27" s="83">
        <v>195900</v>
      </c>
      <c r="Q27" s="83"/>
      <c r="R27" s="247"/>
      <c r="S27" s="60"/>
      <c r="T27" s="61" t="s">
        <v>118</v>
      </c>
      <c r="U27" s="90">
        <v>70900</v>
      </c>
      <c r="V27" s="264" t="s">
        <v>162</v>
      </c>
      <c r="W27" s="90">
        <v>125000</v>
      </c>
      <c r="X27" s="292" t="s">
        <v>510</v>
      </c>
      <c r="Y27" s="247" t="s">
        <v>163</v>
      </c>
      <c r="Z27" s="66"/>
    </row>
    <row r="28" spans="1:26" ht="180" customHeight="1">
      <c r="A28" s="254"/>
      <c r="B28" s="254"/>
      <c r="C28" s="287"/>
      <c r="D28" s="259"/>
      <c r="E28" s="28"/>
      <c r="F28" s="47" t="s">
        <v>124</v>
      </c>
      <c r="G28" s="53">
        <v>56.080292033825813</v>
      </c>
      <c r="H28" s="91">
        <v>4.3138686179866008</v>
      </c>
      <c r="I28" s="280"/>
      <c r="J28" s="51">
        <v>51.766423415839213</v>
      </c>
      <c r="K28" s="265"/>
      <c r="L28" s="51">
        <v>27.913267528148594</v>
      </c>
      <c r="M28" s="265"/>
      <c r="N28" s="28"/>
      <c r="O28" s="47" t="s">
        <v>124</v>
      </c>
      <c r="P28" s="51">
        <v>165.70330632619121</v>
      </c>
      <c r="Q28" s="92"/>
      <c r="R28" s="248"/>
      <c r="S28" s="28"/>
      <c r="T28" s="47" t="s">
        <v>124</v>
      </c>
      <c r="U28" s="53">
        <v>59.971232355931377</v>
      </c>
      <c r="V28" s="265"/>
      <c r="W28" s="85">
        <v>105.73207397025983</v>
      </c>
      <c r="X28" s="293"/>
      <c r="Y28" s="248"/>
    </row>
    <row r="29" spans="1:26" ht="170.15" customHeight="1">
      <c r="A29" s="254"/>
      <c r="B29" s="254"/>
      <c r="C29" s="288"/>
      <c r="D29" s="260"/>
      <c r="E29" s="25"/>
      <c r="F29" s="55" t="s">
        <v>125</v>
      </c>
      <c r="G29" s="57">
        <v>3.4422076683139151</v>
      </c>
      <c r="H29" s="57">
        <v>0.26478520525491656</v>
      </c>
      <c r="I29" s="281"/>
      <c r="J29" s="56">
        <v>3.1774224630589987</v>
      </c>
      <c r="K29" s="266"/>
      <c r="L29" s="56">
        <v>1.7133160340024014</v>
      </c>
      <c r="M29" s="266"/>
      <c r="N29" s="25"/>
      <c r="O29" s="55" t="s">
        <v>125</v>
      </c>
      <c r="P29" s="56">
        <v>10.170867001850619</v>
      </c>
      <c r="Q29" s="93"/>
      <c r="R29" s="249"/>
      <c r="S29" s="25"/>
      <c r="T29" s="55" t="s">
        <v>125</v>
      </c>
      <c r="U29" s="57">
        <v>3.6810335397203104</v>
      </c>
      <c r="V29" s="266"/>
      <c r="W29" s="94">
        <v>6.4898334621303082</v>
      </c>
      <c r="X29" s="294"/>
      <c r="Y29" s="249"/>
      <c r="Z29" s="22"/>
    </row>
    <row r="30" spans="1:26" s="171" customFormat="1" ht="203.15" customHeight="1">
      <c r="A30" s="254">
        <v>1</v>
      </c>
      <c r="B30" s="254" t="s">
        <v>116</v>
      </c>
      <c r="C30" s="287" t="s">
        <v>23</v>
      </c>
      <c r="D30" s="259" t="s">
        <v>117</v>
      </c>
      <c r="E30" s="183"/>
      <c r="F30" s="61" t="s">
        <v>118</v>
      </c>
      <c r="G30" s="73">
        <v>46.1</v>
      </c>
      <c r="H30" s="74">
        <v>4.4000000000000004</v>
      </c>
      <c r="I30" s="261" t="s">
        <v>164</v>
      </c>
      <c r="J30" s="73">
        <v>41.7</v>
      </c>
      <c r="K30" s="264" t="s">
        <v>165</v>
      </c>
      <c r="L30" s="95">
        <v>0.54</v>
      </c>
      <c r="M30" s="247" t="s">
        <v>166</v>
      </c>
      <c r="N30" s="183"/>
      <c r="O30" s="47" t="s">
        <v>118</v>
      </c>
      <c r="P30" s="181">
        <v>161.239</v>
      </c>
      <c r="Q30" s="96">
        <v>0.63900000000000001</v>
      </c>
      <c r="R30" s="247" t="s">
        <v>167</v>
      </c>
      <c r="S30" s="183"/>
      <c r="T30" s="47" t="s">
        <v>118</v>
      </c>
      <c r="U30" s="73">
        <v>150.6</v>
      </c>
      <c r="V30" s="247" t="s">
        <v>168</v>
      </c>
      <c r="W30" s="73">
        <v>10</v>
      </c>
      <c r="X30" s="247" t="s">
        <v>169</v>
      </c>
      <c r="Y30" s="168"/>
      <c r="Z30" s="183"/>
    </row>
    <row r="31" spans="1:26" s="29" customFormat="1" ht="203.15" customHeight="1">
      <c r="A31" s="254"/>
      <c r="B31" s="254"/>
      <c r="C31" s="287"/>
      <c r="D31" s="259"/>
      <c r="E31" s="171"/>
      <c r="F31" s="47" t="s">
        <v>124</v>
      </c>
      <c r="G31" s="51">
        <v>52.473943366947367</v>
      </c>
      <c r="H31" s="97">
        <v>5.0083590198387942</v>
      </c>
      <c r="I31" s="262"/>
      <c r="J31" s="51">
        <v>47.465584347108575</v>
      </c>
      <c r="K31" s="265"/>
      <c r="L31" s="49">
        <v>0.614662243343852</v>
      </c>
      <c r="M31" s="248"/>
      <c r="N31" s="171"/>
      <c r="O31" s="47" t="s">
        <v>124</v>
      </c>
      <c r="P31" s="180">
        <v>183.53245454540618</v>
      </c>
      <c r="Q31" s="98">
        <v>0.72735032129022481</v>
      </c>
      <c r="R31" s="248"/>
      <c r="S31" s="171"/>
      <c r="T31" s="47" t="s">
        <v>124</v>
      </c>
      <c r="U31" s="51">
        <v>171.4224700881187</v>
      </c>
      <c r="V31" s="248"/>
      <c r="W31" s="51">
        <v>11.382634135997259</v>
      </c>
      <c r="X31" s="248"/>
      <c r="Y31" s="169"/>
      <c r="Z31" s="171"/>
    </row>
    <row r="32" spans="1:26" ht="177" customHeight="1">
      <c r="A32" s="254"/>
      <c r="B32" s="254"/>
      <c r="C32" s="288"/>
      <c r="D32" s="260"/>
      <c r="E32" s="25"/>
      <c r="F32" s="55" t="s">
        <v>125</v>
      </c>
      <c r="G32" s="56">
        <v>4.129848567413041</v>
      </c>
      <c r="H32" s="99">
        <v>0.39417209754050719</v>
      </c>
      <c r="I32" s="263"/>
      <c r="J32" s="56">
        <v>3.7356764698725335</v>
      </c>
      <c r="K32" s="266"/>
      <c r="L32" s="56">
        <v>4.8375666516334973E-2</v>
      </c>
      <c r="M32" s="249"/>
      <c r="N32" s="25"/>
      <c r="O32" s="55" t="s">
        <v>125</v>
      </c>
      <c r="P32" s="77">
        <v>14.444526098939509</v>
      </c>
      <c r="Q32" s="58">
        <v>5.7244538710996377E-2</v>
      </c>
      <c r="R32" s="249"/>
      <c r="S32" s="25"/>
      <c r="T32" s="55" t="s">
        <v>125</v>
      </c>
      <c r="U32" s="56">
        <v>13.491435884000087</v>
      </c>
      <c r="V32" s="249"/>
      <c r="W32" s="56">
        <v>0.89584567622842526</v>
      </c>
      <c r="X32" s="249"/>
      <c r="Y32" s="170"/>
      <c r="Z32" s="22"/>
    </row>
    <row r="33" spans="1:26" ht="168" customHeight="1">
      <c r="A33" s="254">
        <v>1</v>
      </c>
      <c r="B33" s="254" t="s">
        <v>116</v>
      </c>
      <c r="C33" s="256" t="s">
        <v>24</v>
      </c>
      <c r="D33" s="259" t="s">
        <v>126</v>
      </c>
      <c r="E33" s="60"/>
      <c r="F33" s="47" t="s">
        <v>118</v>
      </c>
      <c r="G33" s="62">
        <v>344</v>
      </c>
      <c r="H33" s="62">
        <v>113</v>
      </c>
      <c r="I33" s="261" t="s">
        <v>170</v>
      </c>
      <c r="J33" s="62">
        <v>231</v>
      </c>
      <c r="K33" s="247" t="s">
        <v>171</v>
      </c>
      <c r="L33" s="64">
        <v>7</v>
      </c>
      <c r="M33" s="247" t="s">
        <v>172</v>
      </c>
      <c r="N33" s="60"/>
      <c r="O33" s="47" t="s">
        <v>118</v>
      </c>
      <c r="P33" s="62">
        <v>341</v>
      </c>
      <c r="Q33" s="64">
        <v>1</v>
      </c>
      <c r="R33" s="264" t="s">
        <v>173</v>
      </c>
      <c r="S33" s="60"/>
      <c r="T33" s="47" t="s">
        <v>118</v>
      </c>
      <c r="U33" s="62">
        <v>340</v>
      </c>
      <c r="V33" s="264" t="s">
        <v>174</v>
      </c>
      <c r="W33" s="182"/>
      <c r="X33" s="247"/>
      <c r="Y33" s="290" t="s">
        <v>175</v>
      </c>
      <c r="Z33" s="66"/>
    </row>
    <row r="34" spans="1:26" ht="166" customHeight="1">
      <c r="A34" s="254"/>
      <c r="B34" s="254"/>
      <c r="C34" s="256"/>
      <c r="D34" s="259"/>
      <c r="E34" s="28"/>
      <c r="F34" s="47" t="s">
        <v>124</v>
      </c>
      <c r="G34" s="51">
        <v>440.54615742148212</v>
      </c>
      <c r="H34" s="51">
        <v>144.71429008321942</v>
      </c>
      <c r="I34" s="262"/>
      <c r="J34" s="48">
        <v>295.83186733826267</v>
      </c>
      <c r="K34" s="248"/>
      <c r="L34" s="68">
        <v>8.9646020405534159</v>
      </c>
      <c r="M34" s="248"/>
      <c r="N34" s="28"/>
      <c r="O34" s="47" t="s">
        <v>124</v>
      </c>
      <c r="P34" s="51">
        <v>436.70418511838778</v>
      </c>
      <c r="Q34" s="68">
        <v>1.2806574343647736</v>
      </c>
      <c r="R34" s="265"/>
      <c r="S34" s="28"/>
      <c r="T34" s="47" t="s">
        <v>124</v>
      </c>
      <c r="U34" s="51">
        <v>435.42352768402304</v>
      </c>
      <c r="V34" s="265"/>
      <c r="W34" s="169"/>
      <c r="X34" s="248"/>
      <c r="Y34" s="250"/>
    </row>
    <row r="35" spans="1:26" s="18" customFormat="1" ht="204" customHeight="1">
      <c r="A35" s="254"/>
      <c r="B35" s="254"/>
      <c r="C35" s="257"/>
      <c r="D35" s="260"/>
      <c r="E35" s="25"/>
      <c r="F35" s="55" t="s">
        <v>125</v>
      </c>
      <c r="G35" s="56">
        <v>16.258004012956349</v>
      </c>
      <c r="H35" s="56">
        <v>5.3405652716978693</v>
      </c>
      <c r="I35" s="263"/>
      <c r="J35" s="99">
        <v>10.917438741258479</v>
      </c>
      <c r="K35" s="249"/>
      <c r="L35" s="99">
        <v>0.33083147700783261</v>
      </c>
      <c r="M35" s="249"/>
      <c r="N35" s="25"/>
      <c r="O35" s="55" t="s">
        <v>125</v>
      </c>
      <c r="P35" s="56">
        <v>16.116219094238705</v>
      </c>
      <c r="Q35" s="58">
        <v>4.7261639572547517E-2</v>
      </c>
      <c r="R35" s="266"/>
      <c r="S35" s="25"/>
      <c r="T35" s="55" t="s">
        <v>125</v>
      </c>
      <c r="U35" s="56">
        <v>16.068957454666158</v>
      </c>
      <c r="V35" s="266"/>
      <c r="W35" s="170"/>
      <c r="X35" s="249"/>
      <c r="Y35" s="291"/>
      <c r="Z35" s="22"/>
    </row>
    <row r="36" spans="1:26" s="76" customFormat="1" ht="204" customHeight="1">
      <c r="A36" s="254">
        <v>1</v>
      </c>
      <c r="B36" s="254" t="s">
        <v>116</v>
      </c>
      <c r="C36" s="255" t="s">
        <v>25</v>
      </c>
      <c r="D36" s="258" t="s">
        <v>126</v>
      </c>
      <c r="E36" s="60"/>
      <c r="F36" s="61" t="s">
        <v>118</v>
      </c>
      <c r="G36" s="83">
        <v>3503.3</v>
      </c>
      <c r="H36" s="62">
        <v>483.8</v>
      </c>
      <c r="I36" s="261" t="s">
        <v>176</v>
      </c>
      <c r="J36" s="83">
        <v>3019.5</v>
      </c>
      <c r="K36" s="247" t="s">
        <v>177</v>
      </c>
      <c r="L36" s="74">
        <v>18</v>
      </c>
      <c r="M36" s="247" t="s">
        <v>178</v>
      </c>
      <c r="N36" s="60"/>
      <c r="O36" s="61" t="s">
        <v>118</v>
      </c>
      <c r="P36" s="63">
        <v>510</v>
      </c>
      <c r="Q36" s="100">
        <v>56</v>
      </c>
      <c r="R36" s="264" t="s">
        <v>179</v>
      </c>
      <c r="S36" s="60"/>
      <c r="T36" s="61" t="s">
        <v>118</v>
      </c>
      <c r="U36" s="62">
        <v>454</v>
      </c>
      <c r="V36" s="247" t="s">
        <v>180</v>
      </c>
      <c r="W36" s="168"/>
      <c r="X36" s="168"/>
      <c r="Y36" s="247" t="s">
        <v>181</v>
      </c>
      <c r="Z36" s="66"/>
    </row>
    <row r="37" spans="1:26" ht="239.15" customHeight="1">
      <c r="A37" s="254"/>
      <c r="B37" s="254"/>
      <c r="C37" s="256"/>
      <c r="D37" s="259"/>
      <c r="E37" s="28"/>
      <c r="F37" s="47" t="s">
        <v>124</v>
      </c>
      <c r="G37" s="78">
        <v>3503.3</v>
      </c>
      <c r="H37" s="51">
        <v>483.8</v>
      </c>
      <c r="I37" s="262"/>
      <c r="J37" s="78">
        <v>3019.5</v>
      </c>
      <c r="K37" s="248"/>
      <c r="L37" s="101">
        <v>18</v>
      </c>
      <c r="M37" s="248"/>
      <c r="N37" s="28"/>
      <c r="O37" s="47" t="s">
        <v>124</v>
      </c>
      <c r="P37" s="67">
        <v>510</v>
      </c>
      <c r="Q37" s="72">
        <v>56</v>
      </c>
      <c r="R37" s="265"/>
      <c r="S37" s="28"/>
      <c r="T37" s="47" t="s">
        <v>124</v>
      </c>
      <c r="U37" s="54">
        <v>454</v>
      </c>
      <c r="V37" s="248"/>
      <c r="W37" s="169"/>
      <c r="X37" s="169"/>
      <c r="Y37" s="248"/>
    </row>
    <row r="38" spans="1:26" ht="180" customHeight="1">
      <c r="A38" s="254"/>
      <c r="B38" s="254"/>
      <c r="C38" s="257"/>
      <c r="D38" s="260"/>
      <c r="E38" s="25"/>
      <c r="F38" s="55" t="s">
        <v>125</v>
      </c>
      <c r="G38" s="56">
        <v>16.719306053544834</v>
      </c>
      <c r="H38" s="56">
        <v>2.3089088198855334</v>
      </c>
      <c r="I38" s="263"/>
      <c r="J38" s="56">
        <v>14.4103972336593</v>
      </c>
      <c r="K38" s="249"/>
      <c r="L38" s="99">
        <v>8.5904007354153794E-2</v>
      </c>
      <c r="M38" s="249"/>
      <c r="N38" s="25"/>
      <c r="O38" s="55" t="s">
        <v>125</v>
      </c>
      <c r="P38" s="69">
        <v>2.4339468750343576</v>
      </c>
      <c r="Q38" s="58">
        <v>0.26725691176847849</v>
      </c>
      <c r="R38" s="266"/>
      <c r="S38" s="25"/>
      <c r="T38" s="55" t="s">
        <v>125</v>
      </c>
      <c r="U38" s="102">
        <v>2.1666899632658789</v>
      </c>
      <c r="V38" s="249"/>
      <c r="W38" s="170"/>
      <c r="X38" s="170"/>
      <c r="Y38" s="249"/>
      <c r="Z38" s="22"/>
    </row>
    <row r="39" spans="1:26" ht="54.65" customHeight="1">
      <c r="A39" s="254">
        <v>1</v>
      </c>
      <c r="B39" s="254" t="s">
        <v>182</v>
      </c>
      <c r="C39" s="256" t="s">
        <v>26</v>
      </c>
      <c r="D39" s="259" t="s">
        <v>126</v>
      </c>
      <c r="E39" s="28"/>
      <c r="F39" s="47" t="s">
        <v>118</v>
      </c>
      <c r="G39" s="103">
        <v>1037.5</v>
      </c>
      <c r="H39" s="51">
        <v>78</v>
      </c>
      <c r="I39" s="279" t="s">
        <v>183</v>
      </c>
      <c r="J39" s="51">
        <v>959.5</v>
      </c>
      <c r="K39" s="264" t="s">
        <v>184</v>
      </c>
      <c r="L39" s="51">
        <v>10</v>
      </c>
      <c r="M39" s="264" t="s">
        <v>185</v>
      </c>
      <c r="N39" s="28"/>
      <c r="O39" s="47" t="s">
        <v>118</v>
      </c>
      <c r="P39" s="51">
        <v>530.1</v>
      </c>
      <c r="Q39" s="68"/>
      <c r="R39" s="264"/>
      <c r="S39" s="28"/>
      <c r="T39" s="47" t="s">
        <v>118</v>
      </c>
      <c r="U39" s="53">
        <v>530.1</v>
      </c>
      <c r="V39" s="264" t="s">
        <v>186</v>
      </c>
      <c r="W39" s="169"/>
      <c r="X39" s="247"/>
      <c r="Y39" s="185"/>
    </row>
    <row r="40" spans="1:26" ht="409.5">
      <c r="A40" s="254"/>
      <c r="B40" s="254"/>
      <c r="C40" s="256"/>
      <c r="D40" s="259"/>
      <c r="E40" s="28"/>
      <c r="F40" s="47" t="s">
        <v>124</v>
      </c>
      <c r="G40" s="48">
        <v>14.691368773784189</v>
      </c>
      <c r="H40" s="49">
        <v>1.1045077246796788</v>
      </c>
      <c r="I40" s="280"/>
      <c r="J40" s="51">
        <v>13.58686104910451</v>
      </c>
      <c r="K40" s="265"/>
      <c r="L40" s="49">
        <v>0.14160355444611267</v>
      </c>
      <c r="M40" s="265"/>
      <c r="N40" s="28"/>
      <c r="O40" s="47" t="s">
        <v>124</v>
      </c>
      <c r="P40" s="49">
        <v>7.5064044211884333</v>
      </c>
      <c r="Q40" s="68"/>
      <c r="R40" s="265"/>
      <c r="S40" s="28"/>
      <c r="T40" s="47" t="s">
        <v>124</v>
      </c>
      <c r="U40" s="49">
        <v>7.5064044211884333</v>
      </c>
      <c r="V40" s="265"/>
      <c r="W40" s="169"/>
      <c r="X40" s="248"/>
      <c r="Y40" s="169" t="s">
        <v>187</v>
      </c>
    </row>
    <row r="41" spans="1:26" ht="38">
      <c r="A41" s="254"/>
      <c r="B41" s="254"/>
      <c r="C41" s="257"/>
      <c r="D41" s="260"/>
      <c r="E41" s="25"/>
      <c r="F41" s="55" t="s">
        <v>125</v>
      </c>
      <c r="G41" s="56">
        <v>3.7991928411281406</v>
      </c>
      <c r="H41" s="56">
        <v>0.28562606420047709</v>
      </c>
      <c r="I41" s="281"/>
      <c r="J41" s="56">
        <v>3.5135667769276639</v>
      </c>
      <c r="K41" s="266"/>
      <c r="L41" s="56">
        <v>3.6618726179548346E-2</v>
      </c>
      <c r="M41" s="266"/>
      <c r="N41" s="25"/>
      <c r="O41" s="55" t="s">
        <v>125</v>
      </c>
      <c r="P41" s="56">
        <v>1.941158674777858</v>
      </c>
      <c r="Q41" s="58"/>
      <c r="R41" s="266"/>
      <c r="S41" s="25"/>
      <c r="T41" s="55" t="s">
        <v>125</v>
      </c>
      <c r="U41" s="56">
        <v>1.941158674777858</v>
      </c>
      <c r="V41" s="266"/>
      <c r="W41" s="170"/>
      <c r="X41" s="249"/>
      <c r="Y41" s="170"/>
      <c r="Z41" s="22"/>
    </row>
    <row r="42" spans="1:26" ht="171" customHeight="1">
      <c r="A42" s="254">
        <v>1</v>
      </c>
      <c r="B42" s="254" t="s">
        <v>182</v>
      </c>
      <c r="C42" s="287" t="s">
        <v>27</v>
      </c>
      <c r="D42" s="259" t="s">
        <v>117</v>
      </c>
      <c r="E42" s="60"/>
      <c r="F42" s="47" t="s">
        <v>118</v>
      </c>
      <c r="G42" s="62">
        <v>610.20000000000005</v>
      </c>
      <c r="H42" s="62">
        <v>86.399999999999991</v>
      </c>
      <c r="I42" s="289" t="s">
        <v>188</v>
      </c>
      <c r="J42" s="62">
        <v>523.80000000000007</v>
      </c>
      <c r="K42" s="247" t="s">
        <v>189</v>
      </c>
      <c r="L42" s="62">
        <v>201.8</v>
      </c>
      <c r="M42" s="264" t="s">
        <v>190</v>
      </c>
      <c r="N42" s="60"/>
      <c r="O42" s="47" t="s">
        <v>118</v>
      </c>
      <c r="P42" s="62">
        <v>457.69999999999993</v>
      </c>
      <c r="Q42" s="70">
        <v>79.900000000000006</v>
      </c>
      <c r="R42" s="247" t="s">
        <v>191</v>
      </c>
      <c r="S42" s="60"/>
      <c r="T42" s="47" t="s">
        <v>118</v>
      </c>
      <c r="U42" s="62"/>
      <c r="V42" s="247" t="s">
        <v>192</v>
      </c>
      <c r="W42" s="104">
        <v>377.79999999999995</v>
      </c>
      <c r="X42" s="247" t="s">
        <v>193</v>
      </c>
      <c r="Y42" s="247" t="s">
        <v>194</v>
      </c>
      <c r="Z42" s="66"/>
    </row>
    <row r="43" spans="1:26" ht="165" customHeight="1">
      <c r="A43" s="254"/>
      <c r="B43" s="254"/>
      <c r="C43" s="287"/>
      <c r="D43" s="259"/>
      <c r="E43" s="28"/>
      <c r="F43" s="47" t="s">
        <v>124</v>
      </c>
      <c r="G43" s="51">
        <v>117.69145569067234</v>
      </c>
      <c r="H43" s="51">
        <v>16.664276911953603</v>
      </c>
      <c r="I43" s="262"/>
      <c r="J43" s="51">
        <v>101.02717877871875</v>
      </c>
      <c r="K43" s="248"/>
      <c r="L43" s="51">
        <v>38.921887509632377</v>
      </c>
      <c r="M43" s="265"/>
      <c r="N43" s="28"/>
      <c r="O43" s="47" t="s">
        <v>124</v>
      </c>
      <c r="P43" s="51">
        <v>88.278235446772726</v>
      </c>
      <c r="Q43" s="72">
        <v>15.410598672049689</v>
      </c>
      <c r="R43" s="248"/>
      <c r="S43" s="28"/>
      <c r="T43" s="47" t="s">
        <v>124</v>
      </c>
      <c r="U43" s="49"/>
      <c r="V43" s="248"/>
      <c r="W43" s="51">
        <v>72.867636774723053</v>
      </c>
      <c r="X43" s="248"/>
      <c r="Y43" s="248"/>
    </row>
    <row r="44" spans="1:26" ht="164.15" customHeight="1">
      <c r="A44" s="254"/>
      <c r="B44" s="254"/>
      <c r="C44" s="288"/>
      <c r="D44" s="260"/>
      <c r="E44" s="28"/>
      <c r="F44" s="47" t="s">
        <v>125</v>
      </c>
      <c r="G44" s="49">
        <v>8.256941459558897</v>
      </c>
      <c r="H44" s="56">
        <v>1.169124454450817</v>
      </c>
      <c r="I44" s="263"/>
      <c r="J44" s="56">
        <v>7.0878170051080813</v>
      </c>
      <c r="K44" s="249"/>
      <c r="L44" s="56">
        <v>2.7306633669927654</v>
      </c>
      <c r="M44" s="266"/>
      <c r="N44" s="28"/>
      <c r="O44" s="47" t="s">
        <v>125</v>
      </c>
      <c r="P44" s="49">
        <v>6.1933826713210527</v>
      </c>
      <c r="Q44" s="68">
        <v>1.0811694897062536</v>
      </c>
      <c r="R44" s="249"/>
      <c r="S44" s="28"/>
      <c r="T44" s="47" t="s">
        <v>125</v>
      </c>
      <c r="U44" s="49"/>
      <c r="V44" s="249"/>
      <c r="W44" s="56">
        <v>5.1122131816148002</v>
      </c>
      <c r="X44" s="249"/>
      <c r="Y44" s="249"/>
    </row>
    <row r="45" spans="1:26" s="183" customFormat="1" ht="143.15" customHeight="1">
      <c r="A45" s="254">
        <v>1</v>
      </c>
      <c r="B45" s="254" t="s">
        <v>182</v>
      </c>
      <c r="C45" s="287" t="s">
        <v>28</v>
      </c>
      <c r="D45" s="259" t="s">
        <v>117</v>
      </c>
      <c r="F45" s="61" t="s">
        <v>118</v>
      </c>
      <c r="G45" s="105">
        <v>4904</v>
      </c>
      <c r="H45" s="74">
        <v>147</v>
      </c>
      <c r="I45" s="261" t="s">
        <v>195</v>
      </c>
      <c r="J45" s="105">
        <v>4757</v>
      </c>
      <c r="K45" s="264" t="s">
        <v>196</v>
      </c>
      <c r="L45" s="105">
        <v>1600</v>
      </c>
      <c r="M45" s="264" t="s">
        <v>197</v>
      </c>
      <c r="O45" s="61" t="s">
        <v>118</v>
      </c>
      <c r="P45" s="63">
        <v>1330</v>
      </c>
      <c r="Q45" s="106">
        <v>0</v>
      </c>
      <c r="R45" s="247" t="s">
        <v>198</v>
      </c>
      <c r="T45" s="61" t="s">
        <v>118</v>
      </c>
      <c r="U45" s="73">
        <v>400</v>
      </c>
      <c r="V45" s="247" t="s">
        <v>199</v>
      </c>
      <c r="W45" s="187">
        <v>930</v>
      </c>
      <c r="X45" s="264" t="s">
        <v>200</v>
      </c>
      <c r="Y45" s="247" t="s">
        <v>201</v>
      </c>
    </row>
    <row r="46" spans="1:26" ht="148" customHeight="1">
      <c r="A46" s="254"/>
      <c r="B46" s="254"/>
      <c r="C46" s="287"/>
      <c r="D46" s="259"/>
      <c r="E46" s="28"/>
      <c r="F46" s="47" t="s">
        <v>124</v>
      </c>
      <c r="G46" s="51">
        <v>710.76584149805785</v>
      </c>
      <c r="H46" s="51">
        <v>21.305582932343903</v>
      </c>
      <c r="I46" s="262"/>
      <c r="J46" s="51">
        <v>689.46025856571396</v>
      </c>
      <c r="K46" s="265"/>
      <c r="L46" s="51">
        <v>231.89750130442343</v>
      </c>
      <c r="M46" s="265"/>
      <c r="N46" s="28"/>
      <c r="O46" s="47" t="s">
        <v>124</v>
      </c>
      <c r="P46" s="67">
        <v>192.76479795930197</v>
      </c>
      <c r="Q46" s="72"/>
      <c r="R46" s="248"/>
      <c r="S46" s="28"/>
      <c r="T46" s="47" t="s">
        <v>124</v>
      </c>
      <c r="U46" s="51">
        <v>57.974375326105857</v>
      </c>
      <c r="V46" s="248"/>
      <c r="W46" s="48">
        <v>134.79042263319613</v>
      </c>
      <c r="X46" s="265"/>
      <c r="Y46" s="248"/>
    </row>
    <row r="47" spans="1:26" ht="148" customHeight="1">
      <c r="A47" s="254"/>
      <c r="B47" s="254"/>
      <c r="C47" s="288"/>
      <c r="D47" s="260"/>
      <c r="E47" s="25"/>
      <c r="F47" s="55" t="s">
        <v>125</v>
      </c>
      <c r="G47" s="56">
        <v>4.7347943347338237</v>
      </c>
      <c r="H47" s="56">
        <v>0.1419279704742806</v>
      </c>
      <c r="I47" s="263"/>
      <c r="J47" s="56">
        <v>4.5928663642595433</v>
      </c>
      <c r="K47" s="266"/>
      <c r="L47" s="56">
        <v>1.5447942364547549</v>
      </c>
      <c r="M47" s="266"/>
      <c r="N47" s="25"/>
      <c r="O47" s="55" t="s">
        <v>125</v>
      </c>
      <c r="P47" s="69">
        <v>1.284110209053015</v>
      </c>
      <c r="Q47" s="58"/>
      <c r="R47" s="249"/>
      <c r="S47" s="25"/>
      <c r="T47" s="55" t="s">
        <v>125</v>
      </c>
      <c r="U47" s="56">
        <v>0.38619855911368872</v>
      </c>
      <c r="V47" s="249"/>
      <c r="W47" s="97">
        <v>0.89791164993932637</v>
      </c>
      <c r="X47" s="266"/>
      <c r="Y47" s="248"/>
    </row>
    <row r="48" spans="1:26" s="183" customFormat="1" ht="175" customHeight="1">
      <c r="A48" s="254">
        <v>1</v>
      </c>
      <c r="B48" s="254" t="s">
        <v>182</v>
      </c>
      <c r="C48" s="256" t="s">
        <v>29</v>
      </c>
      <c r="D48" s="259" t="s">
        <v>126</v>
      </c>
      <c r="F48" s="61" t="s">
        <v>118</v>
      </c>
      <c r="G48" s="105">
        <v>5998.7</v>
      </c>
      <c r="H48" s="74">
        <v>360</v>
      </c>
      <c r="I48" s="247" t="s">
        <v>202</v>
      </c>
      <c r="J48" s="105">
        <v>5638.7</v>
      </c>
      <c r="K48" s="264" t="s">
        <v>203</v>
      </c>
      <c r="L48" s="74">
        <v>1340</v>
      </c>
      <c r="M48" s="264" t="s">
        <v>204</v>
      </c>
      <c r="O48" s="61" t="s">
        <v>118</v>
      </c>
      <c r="P48" s="105">
        <v>9991</v>
      </c>
      <c r="Q48" s="74">
        <v>641</v>
      </c>
      <c r="R48" s="247" t="s">
        <v>205</v>
      </c>
      <c r="T48" s="61" t="s">
        <v>118</v>
      </c>
      <c r="U48" s="107">
        <v>8450</v>
      </c>
      <c r="V48" s="264" t="s">
        <v>206</v>
      </c>
      <c r="W48" s="74">
        <v>900</v>
      </c>
      <c r="X48" s="247" t="s">
        <v>207</v>
      </c>
      <c r="Y48" s="168"/>
    </row>
    <row r="49" spans="1:26" s="171" customFormat="1" ht="175" customHeight="1">
      <c r="A49" s="254"/>
      <c r="B49" s="254"/>
      <c r="C49" s="256"/>
      <c r="D49" s="259"/>
      <c r="F49" s="47" t="s">
        <v>124</v>
      </c>
      <c r="G49" s="51">
        <v>80.647538405868104</v>
      </c>
      <c r="H49" s="49">
        <v>4.8399009495578236</v>
      </c>
      <c r="I49" s="248"/>
      <c r="J49" s="51">
        <v>75.807637456310275</v>
      </c>
      <c r="K49" s="265"/>
      <c r="L49" s="49">
        <v>18.015186867798565</v>
      </c>
      <c r="M49" s="265"/>
      <c r="O49" s="47" t="s">
        <v>124</v>
      </c>
      <c r="P49" s="72">
        <v>134.32069551953393</v>
      </c>
      <c r="Q49" s="68">
        <v>8.6177125240737915</v>
      </c>
      <c r="R49" s="248"/>
      <c r="T49" s="47" t="s">
        <v>124</v>
      </c>
      <c r="U49" s="72">
        <v>113.60323062156559</v>
      </c>
      <c r="V49" s="265"/>
      <c r="W49" s="72">
        <v>12.09975237389456</v>
      </c>
      <c r="X49" s="248"/>
      <c r="Y49" s="169"/>
    </row>
    <row r="50" spans="1:26" ht="175" customHeight="1">
      <c r="A50" s="254"/>
      <c r="B50" s="254"/>
      <c r="C50" s="257"/>
      <c r="D50" s="260"/>
      <c r="E50" s="28"/>
      <c r="F50" s="47" t="s">
        <v>125</v>
      </c>
      <c r="G50" s="49">
        <v>3.0568212569433708</v>
      </c>
      <c r="H50" s="57">
        <v>0.18344902270485497</v>
      </c>
      <c r="I50" s="249"/>
      <c r="J50" s="57">
        <v>2.873372234238516</v>
      </c>
      <c r="K50" s="266"/>
      <c r="L50" s="57">
        <v>0.68283802895696022</v>
      </c>
      <c r="M50" s="266"/>
      <c r="N50" s="28"/>
      <c r="O50" s="47" t="s">
        <v>125</v>
      </c>
      <c r="P50" s="57">
        <v>5.0912199606783499</v>
      </c>
      <c r="Q50" s="57">
        <v>0.32664117653836677</v>
      </c>
      <c r="R50" s="249"/>
      <c r="S50" s="28"/>
      <c r="T50" s="47" t="s">
        <v>125</v>
      </c>
      <c r="U50" s="57">
        <v>4.3059562273778464</v>
      </c>
      <c r="V50" s="266"/>
      <c r="W50" s="57">
        <v>0.45862255676213748</v>
      </c>
      <c r="X50" s="249"/>
      <c r="Y50" s="169"/>
    </row>
    <row r="51" spans="1:26" s="183" customFormat="1" ht="77.5" customHeight="1">
      <c r="A51" s="254">
        <v>1</v>
      </c>
      <c r="B51" s="254" t="s">
        <v>182</v>
      </c>
      <c r="C51" s="256" t="s">
        <v>30</v>
      </c>
      <c r="D51" s="259" t="s">
        <v>126</v>
      </c>
      <c r="F51" s="61" t="s">
        <v>118</v>
      </c>
      <c r="G51" s="105">
        <v>424500</v>
      </c>
      <c r="H51" s="108">
        <v>76000</v>
      </c>
      <c r="I51" s="247" t="s">
        <v>208</v>
      </c>
      <c r="J51" s="108">
        <v>348500</v>
      </c>
      <c r="K51" s="247" t="s">
        <v>209</v>
      </c>
      <c r="L51" s="177"/>
      <c r="M51" s="264" t="s">
        <v>210</v>
      </c>
      <c r="O51" s="61" t="s">
        <v>118</v>
      </c>
      <c r="P51" s="109">
        <v>135150</v>
      </c>
      <c r="Q51" s="110">
        <v>35150</v>
      </c>
      <c r="R51" s="247" t="s">
        <v>211</v>
      </c>
      <c r="T51" s="61" t="s">
        <v>118</v>
      </c>
      <c r="U51" s="110">
        <v>100000</v>
      </c>
      <c r="V51" s="264" t="s">
        <v>212</v>
      </c>
      <c r="W51" s="111"/>
      <c r="X51" s="177"/>
      <c r="Y51" s="168"/>
    </row>
    <row r="52" spans="1:26" s="171" customFormat="1" ht="76" customHeight="1">
      <c r="A52" s="254"/>
      <c r="B52" s="254"/>
      <c r="C52" s="256"/>
      <c r="D52" s="259"/>
      <c r="F52" s="47" t="s">
        <v>124</v>
      </c>
      <c r="G52" s="51">
        <v>29.092196677869818</v>
      </c>
      <c r="H52" s="49">
        <v>5.2084969317269874</v>
      </c>
      <c r="I52" s="248"/>
      <c r="J52" s="53">
        <v>23.883699746142831</v>
      </c>
      <c r="K52" s="248"/>
      <c r="L52" s="178"/>
      <c r="M52" s="265"/>
      <c r="O52" s="47" t="s">
        <v>124</v>
      </c>
      <c r="P52" s="51">
        <v>9.2622152674066101</v>
      </c>
      <c r="Q52" s="98">
        <v>2.4089298309237317</v>
      </c>
      <c r="R52" s="285"/>
      <c r="T52" s="47" t="s">
        <v>124</v>
      </c>
      <c r="U52" s="92">
        <v>6.8532854364828779</v>
      </c>
      <c r="V52" s="265"/>
      <c r="W52" s="112"/>
      <c r="X52" s="172"/>
      <c r="Y52" s="169"/>
    </row>
    <row r="53" spans="1:26" s="18" customFormat="1" ht="179.5" customHeight="1">
      <c r="A53" s="254"/>
      <c r="B53" s="254"/>
      <c r="C53" s="257"/>
      <c r="D53" s="260"/>
      <c r="E53" s="25"/>
      <c r="F53" s="55" t="s">
        <v>125</v>
      </c>
      <c r="G53" s="56">
        <v>2.6804100904569146</v>
      </c>
      <c r="H53" s="56">
        <v>0.47988496319134388</v>
      </c>
      <c r="I53" s="249"/>
      <c r="J53" s="57">
        <v>2.2005251272655708</v>
      </c>
      <c r="K53" s="249"/>
      <c r="L53" s="179"/>
      <c r="M53" s="266"/>
      <c r="N53" s="25"/>
      <c r="O53" s="55" t="s">
        <v>125</v>
      </c>
      <c r="P53" s="56">
        <v>0.85337437862250176</v>
      </c>
      <c r="Q53" s="93">
        <v>0.22194679547599658</v>
      </c>
      <c r="R53" s="286"/>
      <c r="S53" s="25"/>
      <c r="T53" s="55" t="s">
        <v>125</v>
      </c>
      <c r="U53" s="93">
        <v>0.63142758314650516</v>
      </c>
      <c r="V53" s="266"/>
      <c r="W53" s="113"/>
      <c r="X53" s="179"/>
      <c r="Y53" s="114" t="s">
        <v>213</v>
      </c>
      <c r="Z53" s="22"/>
    </row>
    <row r="54" spans="1:26" s="36" customFormat="1" ht="69" customHeight="1">
      <c r="A54" s="254">
        <v>1</v>
      </c>
      <c r="B54" s="254" t="s">
        <v>182</v>
      </c>
      <c r="C54" s="256" t="s">
        <v>31</v>
      </c>
      <c r="D54" s="259" t="s">
        <v>214</v>
      </c>
      <c r="F54" s="47" t="s">
        <v>118</v>
      </c>
      <c r="G54" s="48">
        <v>154</v>
      </c>
      <c r="H54" s="101">
        <v>50</v>
      </c>
      <c r="I54" s="283" t="s">
        <v>215</v>
      </c>
      <c r="J54" s="48">
        <v>104</v>
      </c>
      <c r="K54" s="284" t="s">
        <v>216</v>
      </c>
      <c r="L54" s="48">
        <v>92</v>
      </c>
      <c r="M54" s="264" t="s">
        <v>217</v>
      </c>
      <c r="O54" s="47" t="s">
        <v>118</v>
      </c>
      <c r="P54" s="48">
        <v>289.512</v>
      </c>
      <c r="Q54" s="52">
        <v>39.299999999999997</v>
      </c>
      <c r="R54" s="247" t="s">
        <v>218</v>
      </c>
      <c r="T54" s="47" t="s">
        <v>118</v>
      </c>
      <c r="U54" s="97">
        <v>24.512</v>
      </c>
      <c r="V54" s="169" t="s">
        <v>219</v>
      </c>
      <c r="W54" s="52">
        <v>225.7</v>
      </c>
      <c r="X54" s="247" t="s">
        <v>220</v>
      </c>
      <c r="Y54" s="247" t="s">
        <v>221</v>
      </c>
    </row>
    <row r="55" spans="1:26" s="36" customFormat="1" ht="69" customHeight="1">
      <c r="A55" s="254"/>
      <c r="B55" s="254"/>
      <c r="C55" s="256"/>
      <c r="D55" s="259"/>
      <c r="F55" s="47" t="s">
        <v>124</v>
      </c>
      <c r="G55" s="49">
        <v>7.2279883115998169</v>
      </c>
      <c r="H55" s="49">
        <v>2.3467494518181224</v>
      </c>
      <c r="I55" s="262"/>
      <c r="J55" s="49">
        <v>4.8812388597816945</v>
      </c>
      <c r="K55" s="265"/>
      <c r="L55" s="49">
        <v>4.3180189913453448</v>
      </c>
      <c r="M55" s="265"/>
      <c r="O55" s="47" t="s">
        <v>124</v>
      </c>
      <c r="P55" s="49">
        <v>13.588242545895366</v>
      </c>
      <c r="Q55" s="49">
        <v>1.8445450691290441</v>
      </c>
      <c r="R55" s="248"/>
      <c r="T55" s="47" t="s">
        <v>124</v>
      </c>
      <c r="U55" s="97">
        <v>1.1504704512593162</v>
      </c>
      <c r="V55" s="169"/>
      <c r="W55" s="49">
        <v>10.593227025507003</v>
      </c>
      <c r="X55" s="248"/>
      <c r="Y55" s="248"/>
    </row>
    <row r="56" spans="1:26" s="39" customFormat="1" ht="41.15" customHeight="1">
      <c r="A56" s="254"/>
      <c r="B56" s="254"/>
      <c r="C56" s="257"/>
      <c r="D56" s="260"/>
      <c r="F56" s="55" t="s">
        <v>125</v>
      </c>
      <c r="G56" s="56">
        <v>0.68126555483297013</v>
      </c>
      <c r="H56" s="56">
        <v>0.22119011520550977</v>
      </c>
      <c r="I56" s="263"/>
      <c r="J56" s="56">
        <v>0.46007543962746028</v>
      </c>
      <c r="K56" s="266"/>
      <c r="L56" s="56">
        <v>0.40698981197813799</v>
      </c>
      <c r="M56" s="266"/>
      <c r="O56" s="55" t="s">
        <v>125</v>
      </c>
      <c r="P56" s="56">
        <v>1.2807438526675508</v>
      </c>
      <c r="Q56" s="56">
        <v>0.17385543055153066</v>
      </c>
      <c r="R56" s="249"/>
      <c r="T56" s="55" t="s">
        <v>125</v>
      </c>
      <c r="U56" s="99">
        <v>0.10843624207834911</v>
      </c>
      <c r="V56" s="170"/>
      <c r="W56" s="56">
        <v>0.99845218003767111</v>
      </c>
      <c r="X56" s="249"/>
      <c r="Y56" s="249"/>
    </row>
    <row r="57" spans="1:26" s="171" customFormat="1" ht="298" customHeight="1">
      <c r="A57" s="254">
        <v>1</v>
      </c>
      <c r="B57" s="254" t="s">
        <v>182</v>
      </c>
      <c r="C57" s="256" t="s">
        <v>32</v>
      </c>
      <c r="D57" s="259" t="s">
        <v>126</v>
      </c>
      <c r="E57" s="183"/>
      <c r="F57" s="47" t="s">
        <v>118</v>
      </c>
      <c r="G57" s="105">
        <v>3012</v>
      </c>
      <c r="H57" s="74">
        <v>634</v>
      </c>
      <c r="I57" s="247" t="s">
        <v>222</v>
      </c>
      <c r="J57" s="105">
        <v>2378</v>
      </c>
      <c r="K57" s="264" t="s">
        <v>223</v>
      </c>
      <c r="L57" s="74">
        <v>460</v>
      </c>
      <c r="M57" s="247" t="s">
        <v>224</v>
      </c>
      <c r="N57" s="183"/>
      <c r="O57" s="47" t="s">
        <v>118</v>
      </c>
      <c r="P57" s="105">
        <v>1567</v>
      </c>
      <c r="Q57" s="52">
        <v>567</v>
      </c>
      <c r="R57" s="247" t="s">
        <v>225</v>
      </c>
      <c r="S57" s="183"/>
      <c r="T57" s="47" t="s">
        <v>118</v>
      </c>
      <c r="U57" s="48">
        <v>500</v>
      </c>
      <c r="V57" s="247" t="s">
        <v>226</v>
      </c>
      <c r="W57" s="187">
        <v>500</v>
      </c>
      <c r="X57" s="264" t="s">
        <v>227</v>
      </c>
      <c r="Y57" s="168"/>
      <c r="Z57" s="183"/>
    </row>
    <row r="58" spans="1:26" s="171" customFormat="1" ht="359.15" customHeight="1">
      <c r="A58" s="254"/>
      <c r="B58" s="254"/>
      <c r="C58" s="256"/>
      <c r="D58" s="259"/>
      <c r="F58" s="47" t="s">
        <v>124</v>
      </c>
      <c r="G58" s="51">
        <v>41.633738800701707</v>
      </c>
      <c r="H58" s="97">
        <v>8.7635426293641707</v>
      </c>
      <c r="I58" s="248"/>
      <c r="J58" s="53">
        <v>32.87019617133754</v>
      </c>
      <c r="K58" s="265"/>
      <c r="L58" s="91">
        <v>6.3584063241443518</v>
      </c>
      <c r="M58" s="248"/>
      <c r="O58" s="47" t="s">
        <v>124</v>
      </c>
      <c r="P58" s="51">
        <v>21.660049369422172</v>
      </c>
      <c r="Q58" s="49">
        <v>7.837426925630103</v>
      </c>
      <c r="R58" s="248"/>
      <c r="T58" s="47" t="s">
        <v>124</v>
      </c>
      <c r="U58" s="49">
        <v>6.9113112218960344</v>
      </c>
      <c r="V58" s="248"/>
      <c r="W58" s="49">
        <v>6.9113112218960344</v>
      </c>
      <c r="X58" s="265"/>
      <c r="Y58" s="169"/>
    </row>
    <row r="59" spans="1:26" ht="409.6" customHeight="1">
      <c r="A59" s="254"/>
      <c r="B59" s="254"/>
      <c r="C59" s="257"/>
      <c r="D59" s="260"/>
      <c r="E59" s="28"/>
      <c r="F59" s="47" t="s">
        <v>125</v>
      </c>
      <c r="G59" s="49">
        <v>2.9094770375926076</v>
      </c>
      <c r="H59" s="115">
        <v>0.61241980140561525</v>
      </c>
      <c r="I59" s="249"/>
      <c r="J59" s="57">
        <v>2.2970572361869923</v>
      </c>
      <c r="K59" s="266"/>
      <c r="L59" s="57">
        <v>0.4443424426602256</v>
      </c>
      <c r="M59" s="249"/>
      <c r="N59" s="28"/>
      <c r="O59" s="47" t="s">
        <v>125</v>
      </c>
      <c r="P59" s="56">
        <v>1.5136621905403773</v>
      </c>
      <c r="Q59" s="56">
        <v>0.54770035867032163</v>
      </c>
      <c r="R59" s="249"/>
      <c r="S59" s="28"/>
      <c r="T59" s="47" t="s">
        <v>125</v>
      </c>
      <c r="U59" s="56">
        <v>0.48298091593502779</v>
      </c>
      <c r="V59" s="249"/>
      <c r="W59" s="56">
        <v>0.48298091593502779</v>
      </c>
      <c r="X59" s="266"/>
      <c r="Y59" s="169"/>
    </row>
    <row r="60" spans="1:26" s="183" customFormat="1" ht="120" customHeight="1">
      <c r="A60" s="254">
        <v>1</v>
      </c>
      <c r="B60" s="254" t="s">
        <v>182</v>
      </c>
      <c r="C60" s="256" t="s">
        <v>33</v>
      </c>
      <c r="D60" s="259" t="s">
        <v>117</v>
      </c>
      <c r="F60" s="61" t="s">
        <v>118</v>
      </c>
      <c r="G60" s="73">
        <v>57.6</v>
      </c>
      <c r="H60" s="74">
        <v>47</v>
      </c>
      <c r="I60" s="247" t="s">
        <v>228</v>
      </c>
      <c r="J60" s="95">
        <v>10.6</v>
      </c>
      <c r="K60" s="247" t="s">
        <v>229</v>
      </c>
      <c r="L60" s="74">
        <v>56</v>
      </c>
      <c r="M60" s="247" t="s">
        <v>230</v>
      </c>
      <c r="O60" s="61" t="s">
        <v>118</v>
      </c>
      <c r="P60" s="63">
        <v>22</v>
      </c>
      <c r="Q60" s="106">
        <v>22</v>
      </c>
      <c r="R60" s="247" t="s">
        <v>231</v>
      </c>
      <c r="T60" s="61" t="s">
        <v>118</v>
      </c>
      <c r="U60" s="95"/>
      <c r="V60" s="168"/>
      <c r="W60" s="168"/>
      <c r="X60" s="168"/>
      <c r="Y60" s="168"/>
    </row>
    <row r="61" spans="1:26" s="171" customFormat="1" ht="38">
      <c r="A61" s="254"/>
      <c r="B61" s="254"/>
      <c r="C61" s="256"/>
      <c r="D61" s="259"/>
      <c r="F61" s="47" t="s">
        <v>124</v>
      </c>
      <c r="G61" s="51">
        <v>15.360000000000001</v>
      </c>
      <c r="H61" s="51">
        <v>12.533333333333333</v>
      </c>
      <c r="I61" s="248"/>
      <c r="J61" s="49">
        <v>2.8266666666666667</v>
      </c>
      <c r="K61" s="248"/>
      <c r="L61" s="51">
        <v>14.933333333333334</v>
      </c>
      <c r="M61" s="248"/>
      <c r="O61" s="47" t="s">
        <v>124</v>
      </c>
      <c r="P61" s="116">
        <v>5.8666666666666663</v>
      </c>
      <c r="Q61" s="68">
        <v>5.8666666666666663</v>
      </c>
      <c r="R61" s="248"/>
      <c r="T61" s="47" t="s">
        <v>124</v>
      </c>
      <c r="U61" s="97"/>
      <c r="V61" s="169"/>
      <c r="W61" s="169"/>
      <c r="X61" s="169"/>
      <c r="Y61" s="169"/>
    </row>
    <row r="62" spans="1:26" ht="38">
      <c r="A62" s="254"/>
      <c r="B62" s="254"/>
      <c r="C62" s="257"/>
      <c r="D62" s="260"/>
      <c r="E62" s="25"/>
      <c r="F62" s="55" t="s">
        <v>125</v>
      </c>
      <c r="G62" s="56">
        <v>2.1908414259088271</v>
      </c>
      <c r="H62" s="56">
        <v>1.7876657468353274</v>
      </c>
      <c r="I62" s="249"/>
      <c r="J62" s="56">
        <v>0.40317567907349933</v>
      </c>
      <c r="K62" s="249"/>
      <c r="L62" s="56">
        <v>2.1299847196335815</v>
      </c>
      <c r="M62" s="249"/>
      <c r="N62" s="25"/>
      <c r="O62" s="55" t="s">
        <v>125</v>
      </c>
      <c r="P62" s="69">
        <v>0.83677971128462125</v>
      </c>
      <c r="Q62" s="58">
        <v>0.83677971128462125</v>
      </c>
      <c r="R62" s="249"/>
      <c r="S62" s="25"/>
      <c r="T62" s="55" t="s">
        <v>125</v>
      </c>
      <c r="U62" s="56"/>
      <c r="V62" s="170"/>
      <c r="W62" s="170"/>
      <c r="X62" s="170"/>
      <c r="Y62" s="170"/>
      <c r="Z62" s="22"/>
    </row>
    <row r="63" spans="1:26" s="171" customFormat="1" ht="108" customHeight="1">
      <c r="A63" s="254">
        <v>1</v>
      </c>
      <c r="B63" s="254" t="s">
        <v>182</v>
      </c>
      <c r="C63" s="256" t="s">
        <v>34</v>
      </c>
      <c r="D63" s="259" t="s">
        <v>117</v>
      </c>
      <c r="E63" s="183"/>
      <c r="F63" s="47" t="s">
        <v>118</v>
      </c>
      <c r="G63" s="73">
        <v>266</v>
      </c>
      <c r="H63" s="73">
        <v>20</v>
      </c>
      <c r="I63" s="247" t="s">
        <v>232</v>
      </c>
      <c r="J63" s="73">
        <v>246</v>
      </c>
      <c r="K63" s="264" t="s">
        <v>233</v>
      </c>
      <c r="L63" s="73">
        <v>44</v>
      </c>
      <c r="M63" s="264" t="s">
        <v>234</v>
      </c>
      <c r="N63" s="183"/>
      <c r="O63" s="47" t="s">
        <v>118</v>
      </c>
      <c r="P63" s="73">
        <v>203</v>
      </c>
      <c r="Q63" s="106"/>
      <c r="R63" s="247"/>
      <c r="S63" s="183"/>
      <c r="T63" s="47" t="s">
        <v>118</v>
      </c>
      <c r="U63" s="73">
        <v>200</v>
      </c>
      <c r="V63" s="264" t="s">
        <v>235</v>
      </c>
      <c r="W63" s="95">
        <v>3</v>
      </c>
      <c r="X63" s="264" t="s">
        <v>236</v>
      </c>
      <c r="Y63" s="168"/>
      <c r="Z63" s="183"/>
    </row>
    <row r="64" spans="1:26" s="171" customFormat="1" ht="122.15" customHeight="1">
      <c r="A64" s="254"/>
      <c r="B64" s="254"/>
      <c r="C64" s="256"/>
      <c r="D64" s="259"/>
      <c r="F64" s="47" t="s">
        <v>124</v>
      </c>
      <c r="G64" s="51">
        <v>16.156544362165711</v>
      </c>
      <c r="H64" s="49">
        <v>1.214777771591407</v>
      </c>
      <c r="I64" s="248"/>
      <c r="J64" s="53">
        <v>14.941766590574305</v>
      </c>
      <c r="K64" s="265"/>
      <c r="L64" s="91">
        <v>2.6725110975010953</v>
      </c>
      <c r="M64" s="265"/>
      <c r="O64" s="47" t="s">
        <v>124</v>
      </c>
      <c r="P64" s="48">
        <v>12.32999438165278</v>
      </c>
      <c r="Q64" s="68"/>
      <c r="R64" s="248"/>
      <c r="T64" s="47" t="s">
        <v>124</v>
      </c>
      <c r="U64" s="48">
        <v>12.147777715914069</v>
      </c>
      <c r="V64" s="265"/>
      <c r="W64" s="97">
        <v>0.18221666573871104</v>
      </c>
      <c r="X64" s="265"/>
      <c r="Y64" s="169"/>
    </row>
    <row r="65" spans="1:26" ht="88.5" customHeight="1">
      <c r="A65" s="254"/>
      <c r="B65" s="254"/>
      <c r="C65" s="257"/>
      <c r="D65" s="260"/>
      <c r="E65" s="25"/>
      <c r="F65" s="55" t="s">
        <v>125</v>
      </c>
      <c r="G65" s="56">
        <v>5.4774789744919543</v>
      </c>
      <c r="H65" s="56">
        <v>0.41184052439789132</v>
      </c>
      <c r="I65" s="249"/>
      <c r="J65" s="57">
        <v>5.0656384500940632</v>
      </c>
      <c r="K65" s="266"/>
      <c r="L65" s="57">
        <v>0.90604915367536087</v>
      </c>
      <c r="M65" s="266"/>
      <c r="N65" s="25"/>
      <c r="O65" s="55" t="s">
        <v>125</v>
      </c>
      <c r="P65" s="56">
        <v>4.3006219097176235</v>
      </c>
      <c r="Q65" s="58"/>
      <c r="R65" s="249"/>
      <c r="S65" s="25"/>
      <c r="T65" s="55" t="s">
        <v>125</v>
      </c>
      <c r="U65" s="56">
        <v>4.1184052439789127</v>
      </c>
      <c r="V65" s="266"/>
      <c r="W65" s="99">
        <v>6.1776078659683688E-2</v>
      </c>
      <c r="X65" s="266"/>
      <c r="Y65" s="170"/>
      <c r="Z65" s="22"/>
    </row>
    <row r="66" spans="1:26" s="36" customFormat="1" ht="90.65" customHeight="1">
      <c r="A66" s="254">
        <v>1</v>
      </c>
      <c r="B66" s="254" t="s">
        <v>182</v>
      </c>
      <c r="C66" s="256" t="s">
        <v>35</v>
      </c>
      <c r="D66" s="259" t="s">
        <v>214</v>
      </c>
      <c r="E66" s="30"/>
      <c r="F66" s="47" t="s">
        <v>118</v>
      </c>
      <c r="G66" s="73">
        <v>53.6</v>
      </c>
      <c r="H66" s="74">
        <v>14.2</v>
      </c>
      <c r="I66" s="264" t="s">
        <v>237</v>
      </c>
      <c r="J66" s="117">
        <v>39.400000000000006</v>
      </c>
      <c r="K66" s="264" t="s">
        <v>238</v>
      </c>
      <c r="L66" s="117">
        <v>69.5</v>
      </c>
      <c r="M66" s="264" t="s">
        <v>239</v>
      </c>
      <c r="N66" s="30"/>
      <c r="O66" s="47" t="s">
        <v>118</v>
      </c>
      <c r="P66" s="73">
        <v>450.6</v>
      </c>
      <c r="Q66" s="106">
        <v>21</v>
      </c>
      <c r="R66" s="247" t="s">
        <v>240</v>
      </c>
      <c r="S66" s="30"/>
      <c r="T66" s="47" t="s">
        <v>118</v>
      </c>
      <c r="U66" s="73">
        <v>306</v>
      </c>
      <c r="V66" s="247" t="s">
        <v>241</v>
      </c>
      <c r="W66" s="73">
        <v>123.6</v>
      </c>
      <c r="X66" s="247" t="s">
        <v>242</v>
      </c>
      <c r="Y66" s="168"/>
      <c r="Z66" s="30"/>
    </row>
    <row r="67" spans="1:26" s="36" customFormat="1" ht="90.65" customHeight="1">
      <c r="A67" s="254"/>
      <c r="B67" s="254"/>
      <c r="C67" s="256"/>
      <c r="D67" s="259"/>
      <c r="F67" s="47" t="s">
        <v>124</v>
      </c>
      <c r="G67" s="49">
        <v>7.6102084556631384</v>
      </c>
      <c r="H67" s="97">
        <v>2.0161373147465773</v>
      </c>
      <c r="I67" s="265"/>
      <c r="J67" s="91">
        <v>5.5940711409165607</v>
      </c>
      <c r="K67" s="265"/>
      <c r="L67" s="91">
        <v>9.86771432217515</v>
      </c>
      <c r="M67" s="265"/>
      <c r="O67" s="47" t="s">
        <v>124</v>
      </c>
      <c r="P67" s="53">
        <v>63.976864367944216</v>
      </c>
      <c r="Q67" s="91">
        <v>2.9816115218083188</v>
      </c>
      <c r="R67" s="248"/>
      <c r="T67" s="47" t="s">
        <v>124</v>
      </c>
      <c r="U67" s="51">
        <v>43.44633931777836</v>
      </c>
      <c r="V67" s="248"/>
      <c r="W67" s="51">
        <v>17.548913528357534</v>
      </c>
      <c r="X67" s="248"/>
      <c r="Y67" s="169"/>
    </row>
    <row r="68" spans="1:26" ht="104.5" customHeight="1">
      <c r="A68" s="254"/>
      <c r="B68" s="254"/>
      <c r="C68" s="257"/>
      <c r="D68" s="260"/>
      <c r="E68" s="25"/>
      <c r="F68" s="55" t="s">
        <v>125</v>
      </c>
      <c r="G68" s="56">
        <v>1.0708244081170604</v>
      </c>
      <c r="H68" s="118">
        <v>0.28368855588175851</v>
      </c>
      <c r="I68" s="266"/>
      <c r="J68" s="57">
        <v>0.78713585223530191</v>
      </c>
      <c r="K68" s="266"/>
      <c r="L68" s="57">
        <v>1.3884756784353673</v>
      </c>
      <c r="M68" s="266"/>
      <c r="N68" s="25"/>
      <c r="O68" s="55" t="s">
        <v>125</v>
      </c>
      <c r="P68" s="57">
        <v>9.0021171324169291</v>
      </c>
      <c r="Q68" s="57">
        <v>0.41953941362795277</v>
      </c>
      <c r="R68" s="249"/>
      <c r="S68" s="25"/>
      <c r="T68" s="55" t="s">
        <v>125</v>
      </c>
      <c r="U68" s="56">
        <v>6.1132885985787402</v>
      </c>
      <c r="V68" s="249"/>
      <c r="W68" s="56">
        <v>2.4692891202102363</v>
      </c>
      <c r="X68" s="249"/>
      <c r="Y68" s="170"/>
      <c r="Z68" s="22"/>
    </row>
    <row r="69" spans="1:26" ht="135.65" customHeight="1">
      <c r="A69" s="254">
        <v>0</v>
      </c>
      <c r="B69" s="254" t="s">
        <v>116</v>
      </c>
      <c r="C69" s="256" t="s">
        <v>37</v>
      </c>
      <c r="D69" s="259" t="s">
        <v>117</v>
      </c>
      <c r="F69" s="47" t="s">
        <v>118</v>
      </c>
      <c r="G69" s="51">
        <v>32.1</v>
      </c>
      <c r="H69" s="49">
        <v>8.1</v>
      </c>
      <c r="I69" s="274" t="s">
        <v>243</v>
      </c>
      <c r="J69" s="51">
        <v>24</v>
      </c>
      <c r="K69" s="264" t="s">
        <v>244</v>
      </c>
      <c r="L69" s="51">
        <v>13.8</v>
      </c>
      <c r="M69" s="247" t="s">
        <v>245</v>
      </c>
      <c r="O69" s="47" t="s">
        <v>118</v>
      </c>
      <c r="P69" s="63">
        <v>53</v>
      </c>
      <c r="Q69" s="68">
        <v>1</v>
      </c>
      <c r="R69" s="264" t="s">
        <v>246</v>
      </c>
      <c r="T69" s="47" t="s">
        <v>118</v>
      </c>
      <c r="U69" s="51">
        <v>52</v>
      </c>
      <c r="V69" s="247" t="s">
        <v>247</v>
      </c>
      <c r="W69" s="185"/>
      <c r="X69" s="185"/>
    </row>
    <row r="70" spans="1:26" ht="138.65" customHeight="1">
      <c r="A70" s="254"/>
      <c r="B70" s="254"/>
      <c r="C70" s="256"/>
      <c r="D70" s="259"/>
      <c r="F70" s="47" t="s">
        <v>124</v>
      </c>
      <c r="G70" s="51">
        <v>36.538255576551201</v>
      </c>
      <c r="H70" s="49">
        <v>9.2199336501577793</v>
      </c>
      <c r="I70" s="248"/>
      <c r="J70" s="51">
        <v>27.31832192639342</v>
      </c>
      <c r="K70" s="265"/>
      <c r="L70" s="51">
        <v>15.708035107676219</v>
      </c>
      <c r="M70" s="248"/>
      <c r="O70" s="47" t="s">
        <v>124</v>
      </c>
      <c r="P70" s="67">
        <v>60.327960920785472</v>
      </c>
      <c r="Q70" s="49">
        <v>1.1382634135997258</v>
      </c>
      <c r="R70" s="265"/>
      <c r="T70" s="47" t="s">
        <v>124</v>
      </c>
      <c r="U70" s="51">
        <v>59.189697507185748</v>
      </c>
      <c r="V70" s="248"/>
      <c r="W70" s="185"/>
      <c r="X70" s="185"/>
    </row>
    <row r="71" spans="1:26" ht="171.65" customHeight="1">
      <c r="A71" s="254"/>
      <c r="B71" s="254"/>
      <c r="C71" s="257"/>
      <c r="D71" s="260"/>
      <c r="F71" s="55" t="s">
        <v>125</v>
      </c>
      <c r="G71" s="56">
        <v>7.2204845013748731</v>
      </c>
      <c r="H71" s="56">
        <v>1.8219914162347806</v>
      </c>
      <c r="I71" s="249"/>
      <c r="J71" s="56">
        <v>5.3984930851400916</v>
      </c>
      <c r="K71" s="266"/>
      <c r="L71" s="56">
        <v>3.1041335239555523</v>
      </c>
      <c r="M71" s="249"/>
      <c r="O71" s="55" t="s">
        <v>125</v>
      </c>
      <c r="P71" s="69">
        <v>11.921672229684368</v>
      </c>
      <c r="Q71" s="56">
        <v>0.22493721188083715</v>
      </c>
      <c r="R71" s="266"/>
      <c r="T71" s="55" t="s">
        <v>125</v>
      </c>
      <c r="U71" s="56">
        <v>11.696735017803531</v>
      </c>
      <c r="V71" s="249"/>
      <c r="W71" s="185"/>
      <c r="X71" s="185"/>
    </row>
    <row r="72" spans="1:26" ht="253" customHeight="1">
      <c r="A72" s="254">
        <v>0</v>
      </c>
      <c r="B72" s="254" t="s">
        <v>116</v>
      </c>
      <c r="C72" s="256" t="s">
        <v>248</v>
      </c>
      <c r="D72" s="259" t="s">
        <v>117</v>
      </c>
      <c r="E72" s="66"/>
      <c r="F72" s="47" t="s">
        <v>118</v>
      </c>
      <c r="G72" s="73">
        <v>304.39999999999998</v>
      </c>
      <c r="H72" s="119">
        <v>66.599999999999994</v>
      </c>
      <c r="I72" s="251" t="s">
        <v>249</v>
      </c>
      <c r="J72" s="120">
        <v>237.8</v>
      </c>
      <c r="K72" s="264" t="s">
        <v>250</v>
      </c>
      <c r="L72" s="120">
        <v>36.299999999999997</v>
      </c>
      <c r="M72" s="251" t="s">
        <v>251</v>
      </c>
      <c r="N72" s="30"/>
      <c r="O72" s="47" t="s">
        <v>118</v>
      </c>
      <c r="P72" s="63">
        <v>865</v>
      </c>
      <c r="Q72" s="96">
        <v>1</v>
      </c>
      <c r="R72" s="264" t="s">
        <v>252</v>
      </c>
      <c r="S72" s="30"/>
      <c r="T72" s="47" t="s">
        <v>118</v>
      </c>
      <c r="U72" s="73">
        <v>864</v>
      </c>
      <c r="V72" s="247" t="s">
        <v>253</v>
      </c>
      <c r="W72" s="73"/>
      <c r="X72" s="247"/>
    </row>
    <row r="73" spans="1:26" ht="244" customHeight="1">
      <c r="A73" s="254"/>
      <c r="B73" s="254"/>
      <c r="C73" s="256"/>
      <c r="D73" s="259"/>
      <c r="F73" s="47" t="s">
        <v>124</v>
      </c>
      <c r="G73" s="51">
        <v>13.066403598920733</v>
      </c>
      <c r="H73" s="97">
        <v>2.8588123511436292</v>
      </c>
      <c r="I73" s="265"/>
      <c r="J73" s="49">
        <v>10.207591247777104</v>
      </c>
      <c r="K73" s="265"/>
      <c r="L73" s="49">
        <v>1.5581815067044105</v>
      </c>
      <c r="M73" s="265"/>
      <c r="N73" s="36"/>
      <c r="O73" s="47" t="s">
        <v>124</v>
      </c>
      <c r="P73" s="67">
        <v>37.130220476565157</v>
      </c>
      <c r="Q73" s="121">
        <v>4.2925110377531973E-2</v>
      </c>
      <c r="R73" s="265"/>
      <c r="S73" s="36"/>
      <c r="T73" s="47" t="s">
        <v>124</v>
      </c>
      <c r="U73" s="51">
        <v>37.087295366187625</v>
      </c>
      <c r="V73" s="248"/>
      <c r="W73" s="49"/>
      <c r="X73" s="248"/>
    </row>
    <row r="74" spans="1:26" ht="263.14999999999998" customHeight="1">
      <c r="A74" s="254"/>
      <c r="B74" s="254"/>
      <c r="C74" s="257"/>
      <c r="D74" s="260"/>
      <c r="F74" s="55" t="s">
        <v>125</v>
      </c>
      <c r="G74" s="56">
        <v>5.44423346092535</v>
      </c>
      <c r="H74" s="99">
        <v>1.1911496336978591</v>
      </c>
      <c r="I74" s="266"/>
      <c r="J74" s="56">
        <v>4.2530838272274911</v>
      </c>
      <c r="K74" s="266"/>
      <c r="L74" s="56">
        <v>0.64923020575423851</v>
      </c>
      <c r="M74" s="266"/>
      <c r="N74" s="25"/>
      <c r="O74" s="55" t="s">
        <v>125</v>
      </c>
      <c r="P74" s="69">
        <v>15.470637134364086</v>
      </c>
      <c r="Q74" s="58">
        <v>1.7885129635102991E-2</v>
      </c>
      <c r="R74" s="266"/>
      <c r="S74" s="25"/>
      <c r="T74" s="55" t="s">
        <v>125</v>
      </c>
      <c r="U74" s="56">
        <v>15.452752004728984</v>
      </c>
      <c r="V74" s="249"/>
      <c r="W74" s="56"/>
      <c r="X74" s="249"/>
    </row>
    <row r="75" spans="1:26" s="171" customFormat="1" ht="115.5" customHeight="1">
      <c r="A75" s="254">
        <v>0</v>
      </c>
      <c r="B75" s="254" t="s">
        <v>116</v>
      </c>
      <c r="C75" s="256" t="s">
        <v>39</v>
      </c>
      <c r="D75" s="259" t="s">
        <v>117</v>
      </c>
      <c r="E75" s="183"/>
      <c r="F75" s="47" t="s">
        <v>118</v>
      </c>
      <c r="G75" s="97">
        <v>40.299999999999997</v>
      </c>
      <c r="H75" s="101">
        <v>0.8</v>
      </c>
      <c r="I75" s="262" t="s">
        <v>254</v>
      </c>
      <c r="J75" s="48">
        <v>39.5</v>
      </c>
      <c r="K75" s="264" t="s">
        <v>255</v>
      </c>
      <c r="L75" s="48">
        <v>175.4</v>
      </c>
      <c r="M75" s="248" t="s">
        <v>256</v>
      </c>
      <c r="O75" s="47" t="s">
        <v>118</v>
      </c>
      <c r="P75" s="63">
        <v>96.995999999999995</v>
      </c>
      <c r="Q75" s="52">
        <v>57.082999999999998</v>
      </c>
      <c r="R75" s="265" t="s">
        <v>257</v>
      </c>
      <c r="T75" s="47" t="s">
        <v>118</v>
      </c>
      <c r="U75" s="48">
        <v>39.912999999999997</v>
      </c>
      <c r="V75" s="265" t="s">
        <v>258</v>
      </c>
      <c r="W75" s="169"/>
      <c r="X75" s="169"/>
      <c r="Y75" s="248" t="s">
        <v>259</v>
      </c>
    </row>
    <row r="76" spans="1:26" ht="124.5" customHeight="1">
      <c r="A76" s="254"/>
      <c r="B76" s="254"/>
      <c r="C76" s="256"/>
      <c r="D76" s="259"/>
      <c r="E76" s="28"/>
      <c r="F76" s="47" t="s">
        <v>124</v>
      </c>
      <c r="G76" s="51">
        <v>6.1428697867727307</v>
      </c>
      <c r="H76" s="115">
        <v>0.12194282455131972</v>
      </c>
      <c r="I76" s="262"/>
      <c r="J76" s="51">
        <v>6.0209269622214112</v>
      </c>
      <c r="K76" s="265"/>
      <c r="L76" s="51">
        <v>26.73596428287685</v>
      </c>
      <c r="M76" s="248"/>
      <c r="N76" s="28"/>
      <c r="O76" s="47" t="s">
        <v>124</v>
      </c>
      <c r="P76" s="67">
        <v>14.784957762724758</v>
      </c>
      <c r="Q76" s="68">
        <v>8.7010778173287289</v>
      </c>
      <c r="R76" s="265"/>
      <c r="S76" s="28"/>
      <c r="T76" s="47" t="s">
        <v>124</v>
      </c>
      <c r="U76" s="51">
        <v>6.0838799453960295</v>
      </c>
      <c r="V76" s="248"/>
      <c r="W76" s="169"/>
      <c r="X76" s="169"/>
      <c r="Y76" s="248"/>
    </row>
    <row r="77" spans="1:26" ht="111.65" customHeight="1">
      <c r="A77" s="254"/>
      <c r="B77" s="254"/>
      <c r="C77" s="257"/>
      <c r="D77" s="260"/>
      <c r="E77" s="28"/>
      <c r="F77" s="47" t="s">
        <v>125</v>
      </c>
      <c r="G77" s="49">
        <v>1.7728572264249522</v>
      </c>
      <c r="H77" s="115">
        <v>3.5193195561785656E-2</v>
      </c>
      <c r="I77" s="263"/>
      <c r="J77" s="56">
        <v>1.7376640308631668</v>
      </c>
      <c r="K77" s="266"/>
      <c r="L77" s="56">
        <v>7.7161081269215046</v>
      </c>
      <c r="M77" s="249"/>
      <c r="N77" s="28"/>
      <c r="O77" s="47" t="s">
        <v>125</v>
      </c>
      <c r="P77" s="69">
        <v>4.2669989958887014</v>
      </c>
      <c r="Q77" s="68">
        <v>2.5111664778167628</v>
      </c>
      <c r="R77" s="266"/>
      <c r="S77" s="28"/>
      <c r="T77" s="47" t="s">
        <v>125</v>
      </c>
      <c r="U77" s="49">
        <v>1.7558325180719383</v>
      </c>
      <c r="V77" s="249"/>
      <c r="W77" s="169"/>
      <c r="X77" s="169"/>
      <c r="Y77" s="249"/>
    </row>
    <row r="78" spans="1:26" s="66" customFormat="1" ht="150.65" customHeight="1">
      <c r="A78" s="254">
        <v>0</v>
      </c>
      <c r="B78" s="254" t="s">
        <v>116</v>
      </c>
      <c r="C78" s="256" t="s">
        <v>41</v>
      </c>
      <c r="D78" s="259" t="s">
        <v>117</v>
      </c>
      <c r="F78" s="61" t="s">
        <v>118</v>
      </c>
      <c r="G78" s="95">
        <v>6.9499999999999993</v>
      </c>
      <c r="H78" s="95">
        <v>1.85</v>
      </c>
      <c r="I78" s="247" t="s">
        <v>260</v>
      </c>
      <c r="J78" s="122">
        <v>5.0999999999999996</v>
      </c>
      <c r="K78" s="247" t="s">
        <v>261</v>
      </c>
      <c r="L78" s="95">
        <v>4.25</v>
      </c>
      <c r="M78" s="261" t="s">
        <v>262</v>
      </c>
      <c r="O78" s="61" t="s">
        <v>118</v>
      </c>
      <c r="P78" s="63">
        <v>16.32</v>
      </c>
      <c r="Q78" s="64">
        <v>2.42</v>
      </c>
      <c r="R78" s="264" t="s">
        <v>263</v>
      </c>
      <c r="T78" s="61" t="s">
        <v>118</v>
      </c>
      <c r="U78" s="123">
        <v>12.9</v>
      </c>
      <c r="V78" s="247" t="s">
        <v>264</v>
      </c>
      <c r="W78" s="95">
        <v>1</v>
      </c>
      <c r="X78" s="247" t="s">
        <v>265</v>
      </c>
      <c r="Y78" s="247" t="s">
        <v>266</v>
      </c>
    </row>
    <row r="79" spans="1:26" s="29" customFormat="1" ht="147.65" customHeight="1">
      <c r="A79" s="254"/>
      <c r="B79" s="254"/>
      <c r="C79" s="256"/>
      <c r="D79" s="259"/>
      <c r="F79" s="47" t="s">
        <v>124</v>
      </c>
      <c r="G79" s="49">
        <v>7.910930724518094</v>
      </c>
      <c r="H79" s="49">
        <v>2.105787315159493</v>
      </c>
      <c r="I79" s="276"/>
      <c r="J79" s="49">
        <v>5.8051434093586014</v>
      </c>
      <c r="K79" s="248"/>
      <c r="L79" s="97">
        <v>4.8376195077988351</v>
      </c>
      <c r="M79" s="262"/>
      <c r="O79" s="47" t="s">
        <v>124</v>
      </c>
      <c r="P79" s="67">
        <v>18.576458909947529</v>
      </c>
      <c r="Q79" s="68">
        <v>2.7545974609113366</v>
      </c>
      <c r="R79" s="265"/>
      <c r="T79" s="47" t="s">
        <v>124</v>
      </c>
      <c r="U79" s="51">
        <v>14.683598035436464</v>
      </c>
      <c r="V79" s="248"/>
      <c r="W79" s="97">
        <v>1.1382634135997258</v>
      </c>
      <c r="X79" s="248"/>
      <c r="Y79" s="249"/>
    </row>
    <row r="80" spans="1:26" ht="167.5" customHeight="1">
      <c r="A80" s="254"/>
      <c r="B80" s="254"/>
      <c r="C80" s="257"/>
      <c r="D80" s="260"/>
      <c r="E80" s="25"/>
      <c r="F80" s="55" t="s">
        <v>125</v>
      </c>
      <c r="G80" s="56">
        <v>2.9740073275675076</v>
      </c>
      <c r="H80" s="56">
        <v>0.79164223827336544</v>
      </c>
      <c r="I80" s="277"/>
      <c r="J80" s="56">
        <v>2.1823650892941422</v>
      </c>
      <c r="K80" s="249"/>
      <c r="L80" s="99">
        <v>1.8186375744117851</v>
      </c>
      <c r="M80" s="263"/>
      <c r="N80" s="25"/>
      <c r="O80" s="55" t="s">
        <v>125</v>
      </c>
      <c r="P80" s="69">
        <v>6.9835682857412555</v>
      </c>
      <c r="Q80" s="58">
        <v>1.0355536306062401</v>
      </c>
      <c r="R80" s="266"/>
      <c r="S80" s="25"/>
      <c r="T80" s="55" t="s">
        <v>125</v>
      </c>
      <c r="U80" s="56">
        <v>5.5200999317440074</v>
      </c>
      <c r="V80" s="249"/>
      <c r="W80" s="99">
        <v>0.42791472339100828</v>
      </c>
      <c r="X80" s="249"/>
      <c r="Y80" s="175" t="s">
        <v>267</v>
      </c>
      <c r="Z80" s="22"/>
    </row>
    <row r="81" spans="1:26" ht="139.5" customHeight="1">
      <c r="A81" s="254">
        <v>0</v>
      </c>
      <c r="B81" s="254" t="s">
        <v>116</v>
      </c>
      <c r="C81" s="256" t="s">
        <v>49</v>
      </c>
      <c r="D81" s="258" t="s">
        <v>117</v>
      </c>
      <c r="E81" s="30"/>
      <c r="F81" s="61" t="s">
        <v>118</v>
      </c>
      <c r="G81" s="73">
        <v>35.6</v>
      </c>
      <c r="H81" s="49">
        <v>5.9</v>
      </c>
      <c r="I81" s="247" t="s">
        <v>268</v>
      </c>
      <c r="J81" s="73">
        <v>29.700000000000003</v>
      </c>
      <c r="K81" s="247" t="s">
        <v>269</v>
      </c>
      <c r="L81" s="73">
        <v>12.6</v>
      </c>
      <c r="M81" s="247" t="s">
        <v>270</v>
      </c>
      <c r="N81" s="30"/>
      <c r="O81" s="47" t="s">
        <v>118</v>
      </c>
      <c r="P81" s="73">
        <v>65</v>
      </c>
      <c r="Q81" s="96"/>
      <c r="R81" s="247"/>
      <c r="S81" s="30"/>
      <c r="T81" s="47" t="s">
        <v>118</v>
      </c>
      <c r="U81" s="73">
        <v>65</v>
      </c>
      <c r="V81" s="247" t="s">
        <v>271</v>
      </c>
      <c r="W81" s="168"/>
      <c r="X81" s="168"/>
      <c r="Y81" s="247" t="s">
        <v>272</v>
      </c>
      <c r="Z81" s="30"/>
    </row>
    <row r="82" spans="1:26" ht="130.5" customHeight="1">
      <c r="A82" s="254"/>
      <c r="B82" s="254"/>
      <c r="C82" s="256"/>
      <c r="D82" s="259"/>
      <c r="E82" s="36"/>
      <c r="F82" s="47" t="s">
        <v>124</v>
      </c>
      <c r="G82" s="51">
        <v>40.522177524150244</v>
      </c>
      <c r="H82" s="49">
        <v>6.7157541402383831</v>
      </c>
      <c r="I82" s="276"/>
      <c r="J82" s="51">
        <v>33.806423383911863</v>
      </c>
      <c r="K82" s="248"/>
      <c r="L82" s="51">
        <v>14.342119011356546</v>
      </c>
      <c r="M82" s="248"/>
      <c r="N82" s="36"/>
      <c r="O82" s="47" t="s">
        <v>124</v>
      </c>
      <c r="P82" s="48">
        <v>73.987121883982184</v>
      </c>
      <c r="Q82" s="121"/>
      <c r="R82" s="248"/>
      <c r="S82" s="36"/>
      <c r="T82" s="47" t="s">
        <v>124</v>
      </c>
      <c r="U82" s="48">
        <v>73.987121883982184</v>
      </c>
      <c r="V82" s="248"/>
      <c r="W82" s="169"/>
      <c r="X82" s="169"/>
      <c r="Y82" s="248"/>
      <c r="Z82" s="36"/>
    </row>
    <row r="83" spans="1:26" ht="105.65" customHeight="1">
      <c r="A83" s="254"/>
      <c r="B83" s="254"/>
      <c r="C83" s="257"/>
      <c r="D83" s="260"/>
      <c r="E83" s="25"/>
      <c r="F83" s="55" t="s">
        <v>125</v>
      </c>
      <c r="G83" s="56">
        <v>4.5192778176981978</v>
      </c>
      <c r="H83" s="56">
        <v>0.74898143607919576</v>
      </c>
      <c r="I83" s="277"/>
      <c r="J83" s="56">
        <v>3.7702963816190023</v>
      </c>
      <c r="K83" s="249"/>
      <c r="L83" s="56">
        <v>1.5995196770504858</v>
      </c>
      <c r="M83" s="249"/>
      <c r="N83" s="25"/>
      <c r="O83" s="55" t="s">
        <v>125</v>
      </c>
      <c r="P83" s="56">
        <v>8.2514903974826659</v>
      </c>
      <c r="Q83" s="58"/>
      <c r="R83" s="249"/>
      <c r="S83" s="25"/>
      <c r="T83" s="55" t="s">
        <v>125</v>
      </c>
      <c r="U83" s="99">
        <v>8.2514903974826659</v>
      </c>
      <c r="V83" s="249"/>
      <c r="W83" s="170"/>
      <c r="X83" s="170"/>
      <c r="Y83" s="249"/>
      <c r="Z83" s="22"/>
    </row>
    <row r="84" spans="1:26" ht="107.5" customHeight="1">
      <c r="A84" s="254">
        <v>0</v>
      </c>
      <c r="B84" s="254" t="s">
        <v>116</v>
      </c>
      <c r="C84" s="256" t="s">
        <v>50</v>
      </c>
      <c r="D84" s="259" t="s">
        <v>126</v>
      </c>
      <c r="E84" s="30"/>
      <c r="F84" s="61" t="s">
        <v>118</v>
      </c>
      <c r="G84" s="51">
        <v>61.6</v>
      </c>
      <c r="H84" s="188">
        <v>3.9</v>
      </c>
      <c r="I84" s="247" t="s">
        <v>273</v>
      </c>
      <c r="J84" s="103">
        <v>57.7</v>
      </c>
      <c r="K84" s="251" t="s">
        <v>274</v>
      </c>
      <c r="L84" s="124"/>
      <c r="M84" s="124"/>
      <c r="N84" s="28"/>
      <c r="O84" s="47" t="s">
        <v>118</v>
      </c>
      <c r="P84" s="73">
        <v>8.75</v>
      </c>
      <c r="Q84" s="125">
        <v>2.5</v>
      </c>
      <c r="R84" s="264" t="s">
        <v>275</v>
      </c>
      <c r="S84" s="28"/>
      <c r="T84" s="47" t="s">
        <v>118</v>
      </c>
      <c r="U84" s="97">
        <v>6.25</v>
      </c>
      <c r="V84" s="264" t="s">
        <v>276</v>
      </c>
      <c r="W84" s="169"/>
      <c r="X84" s="278"/>
      <c r="Y84" s="169"/>
    </row>
    <row r="85" spans="1:26" ht="169.5" customHeight="1">
      <c r="A85" s="254"/>
      <c r="B85" s="254"/>
      <c r="C85" s="256"/>
      <c r="D85" s="259"/>
      <c r="E85" s="36"/>
      <c r="F85" s="47" t="s">
        <v>124</v>
      </c>
      <c r="G85" s="51">
        <v>39.908289467911899</v>
      </c>
      <c r="H85" s="49">
        <v>2.5266611838450714</v>
      </c>
      <c r="I85" s="276"/>
      <c r="J85" s="51">
        <v>37.381628284066828</v>
      </c>
      <c r="K85" s="265"/>
      <c r="L85" s="124"/>
      <c r="M85" s="124"/>
      <c r="N85" s="28"/>
      <c r="O85" s="47" t="s">
        <v>124</v>
      </c>
      <c r="P85" s="97">
        <v>5.6687911176011223</v>
      </c>
      <c r="Q85" s="49">
        <v>1.619654605028892</v>
      </c>
      <c r="R85" s="265"/>
      <c r="S85" s="28"/>
      <c r="T85" s="47" t="s">
        <v>124</v>
      </c>
      <c r="U85" s="49">
        <v>4.0491365125722298</v>
      </c>
      <c r="V85" s="265"/>
      <c r="W85" s="169"/>
      <c r="X85" s="252"/>
      <c r="Y85" s="169"/>
    </row>
    <row r="86" spans="1:26" ht="113.5" customHeight="1">
      <c r="A86" s="254"/>
      <c r="B86" s="254"/>
      <c r="C86" s="257"/>
      <c r="D86" s="260"/>
      <c r="E86" s="25"/>
      <c r="F86" s="55" t="s">
        <v>125</v>
      </c>
      <c r="G86" s="56">
        <v>19.063391654531198</v>
      </c>
      <c r="H86" s="56">
        <v>1.2069355105953192</v>
      </c>
      <c r="I86" s="277"/>
      <c r="J86" s="56">
        <v>17.85645614393588</v>
      </c>
      <c r="K86" s="266"/>
      <c r="L86" s="124"/>
      <c r="M86" s="124"/>
      <c r="N86" s="28"/>
      <c r="O86" s="55" t="s">
        <v>125</v>
      </c>
      <c r="P86" s="56">
        <v>2.7078681327459089</v>
      </c>
      <c r="Q86" s="56">
        <v>0.77367660935597393</v>
      </c>
      <c r="R86" s="266"/>
      <c r="S86" s="28"/>
      <c r="T86" s="55" t="s">
        <v>125</v>
      </c>
      <c r="U86" s="56">
        <v>1.9341915233899349</v>
      </c>
      <c r="V86" s="266"/>
      <c r="W86" s="169"/>
      <c r="X86" s="253"/>
      <c r="Y86" s="169"/>
    </row>
    <row r="87" spans="1:26" s="36" customFormat="1" ht="69.650000000000006" customHeight="1">
      <c r="A87" s="254">
        <v>0</v>
      </c>
      <c r="B87" s="254" t="s">
        <v>116</v>
      </c>
      <c r="C87" s="256" t="s">
        <v>51</v>
      </c>
      <c r="D87" s="259" t="s">
        <v>126</v>
      </c>
      <c r="E87" s="30"/>
      <c r="F87" s="61" t="s">
        <v>118</v>
      </c>
      <c r="G87" s="73">
        <v>126.3</v>
      </c>
      <c r="H87" s="74">
        <v>10.8</v>
      </c>
      <c r="I87" s="247" t="s">
        <v>277</v>
      </c>
      <c r="J87" s="95">
        <v>115.5</v>
      </c>
      <c r="K87" s="247" t="s">
        <v>278</v>
      </c>
      <c r="L87" s="74"/>
      <c r="M87" s="247" t="s">
        <v>279</v>
      </c>
      <c r="N87" s="30"/>
      <c r="O87" s="47" t="s">
        <v>118</v>
      </c>
      <c r="P87" s="73">
        <v>130</v>
      </c>
      <c r="Q87" s="106">
        <v>52</v>
      </c>
      <c r="R87" s="247" t="s">
        <v>280</v>
      </c>
      <c r="S87" s="30"/>
      <c r="T87" s="47" t="s">
        <v>118</v>
      </c>
      <c r="U87" s="73">
        <v>78</v>
      </c>
      <c r="V87" s="247" t="s">
        <v>281</v>
      </c>
      <c r="W87" s="168"/>
      <c r="X87" s="168"/>
      <c r="Y87" s="247" t="s">
        <v>282</v>
      </c>
      <c r="Z87" s="30"/>
    </row>
    <row r="88" spans="1:26" s="36" customFormat="1" ht="69.650000000000006" customHeight="1">
      <c r="A88" s="254"/>
      <c r="B88" s="254"/>
      <c r="C88" s="256"/>
      <c r="D88" s="259"/>
      <c r="F88" s="47" t="s">
        <v>124</v>
      </c>
      <c r="G88" s="51">
        <v>13.348965621899445</v>
      </c>
      <c r="H88" s="97">
        <v>1.1414792455781</v>
      </c>
      <c r="I88" s="248"/>
      <c r="J88" s="97">
        <v>12.207486376321347</v>
      </c>
      <c r="K88" s="248"/>
      <c r="L88" s="169"/>
      <c r="M88" s="248"/>
      <c r="O88" s="47" t="s">
        <v>124</v>
      </c>
      <c r="P88" s="48">
        <v>13.740027956032684</v>
      </c>
      <c r="Q88" s="98">
        <v>5.4960111824130733</v>
      </c>
      <c r="R88" s="248"/>
      <c r="T88" s="47" t="s">
        <v>124</v>
      </c>
      <c r="U88" s="48">
        <v>8.2440167736196095</v>
      </c>
      <c r="V88" s="248"/>
      <c r="W88" s="169"/>
      <c r="X88" s="169"/>
      <c r="Y88" s="248"/>
    </row>
    <row r="89" spans="1:26" ht="92.5" customHeight="1">
      <c r="A89" s="254"/>
      <c r="B89" s="254"/>
      <c r="C89" s="257"/>
      <c r="D89" s="260"/>
      <c r="E89" s="25"/>
      <c r="F89" s="55" t="s">
        <v>125</v>
      </c>
      <c r="G89" s="56">
        <v>4.2369754101110404</v>
      </c>
      <c r="H89" s="118">
        <v>0.31784240720826956</v>
      </c>
      <c r="I89" s="249"/>
      <c r="J89" s="99">
        <v>3.3991479659773267</v>
      </c>
      <c r="K89" s="249"/>
      <c r="L89" s="170"/>
      <c r="M89" s="249"/>
      <c r="N89" s="25"/>
      <c r="O89" s="55" t="s">
        <v>125</v>
      </c>
      <c r="P89" s="126">
        <v>4.3610989969472307</v>
      </c>
      <c r="Q89" s="93">
        <v>1.7444395987788921</v>
      </c>
      <c r="R89" s="249"/>
      <c r="S89" s="25"/>
      <c r="T89" s="55" t="s">
        <v>125</v>
      </c>
      <c r="U89" s="56">
        <v>2.6166593981683381</v>
      </c>
      <c r="V89" s="249"/>
      <c r="W89" s="170"/>
      <c r="X89" s="170"/>
      <c r="Y89" s="249"/>
      <c r="Z89" s="22"/>
    </row>
    <row r="90" spans="1:26" s="36" customFormat="1" ht="86.15" customHeight="1">
      <c r="A90" s="254">
        <v>0</v>
      </c>
      <c r="B90" s="254" t="s">
        <v>116</v>
      </c>
      <c r="C90" s="256" t="s">
        <v>53</v>
      </c>
      <c r="D90" s="259" t="s">
        <v>126</v>
      </c>
      <c r="E90" s="30"/>
      <c r="F90" s="61" t="s">
        <v>118</v>
      </c>
      <c r="G90" s="73">
        <v>75.3</v>
      </c>
      <c r="H90" s="74">
        <v>13.8</v>
      </c>
      <c r="I90" s="247" t="s">
        <v>283</v>
      </c>
      <c r="J90" s="73">
        <v>61.5</v>
      </c>
      <c r="K90" s="247" t="s">
        <v>284</v>
      </c>
      <c r="L90" s="168"/>
      <c r="M90" s="168"/>
      <c r="N90" s="30"/>
      <c r="O90" s="47" t="s">
        <v>118</v>
      </c>
      <c r="P90" s="73">
        <v>22</v>
      </c>
      <c r="Q90" s="106">
        <v>22</v>
      </c>
      <c r="R90" s="247" t="s">
        <v>285</v>
      </c>
      <c r="S90" s="30"/>
      <c r="T90" s="47" t="s">
        <v>118</v>
      </c>
      <c r="U90" s="95"/>
      <c r="V90" s="247"/>
      <c r="W90" s="168"/>
      <c r="X90" s="168"/>
      <c r="Y90" s="168"/>
      <c r="Z90" s="30"/>
    </row>
    <row r="91" spans="1:26" s="171" customFormat="1" ht="80.150000000000006" customHeight="1">
      <c r="A91" s="254"/>
      <c r="B91" s="254"/>
      <c r="C91" s="256"/>
      <c r="D91" s="259"/>
      <c r="E91" s="36"/>
      <c r="F91" s="47" t="s">
        <v>124</v>
      </c>
      <c r="G91" s="51">
        <v>54.504670014422004</v>
      </c>
      <c r="H91" s="49">
        <v>9.9889036679817238</v>
      </c>
      <c r="I91" s="248"/>
      <c r="J91" s="51">
        <v>44.515766346440287</v>
      </c>
      <c r="K91" s="248"/>
      <c r="L91" s="169"/>
      <c r="M91" s="169"/>
      <c r="N91" s="36"/>
      <c r="O91" s="47" t="s">
        <v>124</v>
      </c>
      <c r="P91" s="48">
        <v>15.924339180840427</v>
      </c>
      <c r="Q91" s="72">
        <v>15.924339180840427</v>
      </c>
      <c r="R91" s="248"/>
      <c r="S91" s="36"/>
      <c r="T91" s="47" t="s">
        <v>124</v>
      </c>
      <c r="U91" s="97"/>
      <c r="V91" s="248"/>
      <c r="W91" s="169"/>
      <c r="X91" s="169"/>
      <c r="Y91" s="169"/>
      <c r="Z91" s="36"/>
    </row>
    <row r="92" spans="1:26" ht="27" customHeight="1">
      <c r="A92" s="254"/>
      <c r="B92" s="254"/>
      <c r="C92" s="257"/>
      <c r="D92" s="260"/>
      <c r="E92" s="28"/>
      <c r="F92" s="47" t="s">
        <v>125</v>
      </c>
      <c r="G92" s="49">
        <v>16.25793005941393</v>
      </c>
      <c r="H92" s="56">
        <v>2.9795409670639077</v>
      </c>
      <c r="I92" s="249"/>
      <c r="J92" s="56">
        <v>13.278389092350023</v>
      </c>
      <c r="K92" s="249"/>
      <c r="L92" s="169"/>
      <c r="M92" s="169"/>
      <c r="N92" s="28"/>
      <c r="O92" s="47" t="s">
        <v>125</v>
      </c>
      <c r="P92" s="56">
        <v>4.7499928460439111</v>
      </c>
      <c r="Q92" s="68">
        <v>4.7499928460439111</v>
      </c>
      <c r="R92" s="249"/>
      <c r="S92" s="28"/>
      <c r="T92" s="47" t="s">
        <v>125</v>
      </c>
      <c r="U92" s="49"/>
      <c r="V92" s="249"/>
      <c r="W92" s="169"/>
      <c r="X92" s="169"/>
      <c r="Y92" s="169"/>
    </row>
    <row r="93" spans="1:26" s="66" customFormat="1" ht="100" customHeight="1">
      <c r="A93" s="254">
        <v>0</v>
      </c>
      <c r="B93" s="254" t="s">
        <v>116</v>
      </c>
      <c r="C93" s="256" t="s">
        <v>56</v>
      </c>
      <c r="D93" s="258" t="s">
        <v>126</v>
      </c>
      <c r="F93" s="61" t="s">
        <v>118</v>
      </c>
      <c r="G93" s="73">
        <v>206.26</v>
      </c>
      <c r="H93" s="95">
        <v>37.659999999999997</v>
      </c>
      <c r="I93" s="279" t="s">
        <v>286</v>
      </c>
      <c r="J93" s="65">
        <v>168.6</v>
      </c>
      <c r="K93" s="264" t="s">
        <v>287</v>
      </c>
      <c r="L93" s="74">
        <v>335</v>
      </c>
      <c r="M93" s="273" t="s">
        <v>288</v>
      </c>
      <c r="O93" s="61" t="s">
        <v>118</v>
      </c>
      <c r="P93" s="73">
        <v>261.7</v>
      </c>
      <c r="Q93" s="64">
        <v>11.7</v>
      </c>
      <c r="R93" s="264" t="s">
        <v>289</v>
      </c>
      <c r="T93" s="61" t="s">
        <v>118</v>
      </c>
      <c r="U93" s="62">
        <v>250</v>
      </c>
      <c r="V93" s="264" t="s">
        <v>290</v>
      </c>
      <c r="W93" s="168"/>
      <c r="X93" s="168"/>
      <c r="Y93" s="71"/>
    </row>
    <row r="94" spans="1:26" s="36" customFormat="1" ht="114" customHeight="1">
      <c r="A94" s="254"/>
      <c r="B94" s="254"/>
      <c r="C94" s="256"/>
      <c r="D94" s="259"/>
      <c r="E94" s="29"/>
      <c r="F94" s="47" t="s">
        <v>124</v>
      </c>
      <c r="G94" s="51">
        <v>22.325028541088958</v>
      </c>
      <c r="H94" s="49">
        <v>4.0762172736226612</v>
      </c>
      <c r="I94" s="280"/>
      <c r="J94" s="51">
        <v>18.248811267466294</v>
      </c>
      <c r="K94" s="265"/>
      <c r="L94" s="48">
        <v>36.259500442474554</v>
      </c>
      <c r="M94" s="248"/>
      <c r="N94" s="29"/>
      <c r="O94" s="47" t="s">
        <v>124</v>
      </c>
      <c r="P94" s="48">
        <v>28.325705271031612</v>
      </c>
      <c r="Q94" s="49">
        <v>1.2663765826177678</v>
      </c>
      <c r="R94" s="265"/>
      <c r="S94" s="29"/>
      <c r="T94" s="47" t="s">
        <v>124</v>
      </c>
      <c r="U94" s="51">
        <v>27.059328688413846</v>
      </c>
      <c r="V94" s="265"/>
      <c r="W94" s="169"/>
      <c r="X94" s="169"/>
      <c r="Y94" s="185"/>
      <c r="Z94" s="29"/>
    </row>
    <row r="95" spans="1:26" ht="83.15" customHeight="1">
      <c r="A95" s="254"/>
      <c r="B95" s="254"/>
      <c r="C95" s="257"/>
      <c r="D95" s="260"/>
      <c r="E95" s="25"/>
      <c r="F95" s="55" t="s">
        <v>125</v>
      </c>
      <c r="G95" s="56">
        <v>4.2006968782557186</v>
      </c>
      <c r="H95" s="56">
        <v>0.76698460406821656</v>
      </c>
      <c r="I95" s="281"/>
      <c r="J95" s="56">
        <v>3.4337122741875019</v>
      </c>
      <c r="K95" s="266"/>
      <c r="L95" s="99">
        <v>6.8226192873832332</v>
      </c>
      <c r="M95" s="249"/>
      <c r="N95" s="25"/>
      <c r="O95" s="55" t="s">
        <v>125</v>
      </c>
      <c r="P95" s="56">
        <v>5.3297894552483349</v>
      </c>
      <c r="Q95" s="56">
        <v>0.23828252436532485</v>
      </c>
      <c r="R95" s="266"/>
      <c r="S95" s="25"/>
      <c r="T95" s="55" t="s">
        <v>125</v>
      </c>
      <c r="U95" s="56">
        <v>5.0915069308830097</v>
      </c>
      <c r="V95" s="266"/>
      <c r="W95" s="170"/>
      <c r="X95" s="170"/>
      <c r="Y95" s="170"/>
      <c r="Z95" s="22"/>
    </row>
    <row r="96" spans="1:26" ht="57" customHeight="1">
      <c r="A96" s="254">
        <v>0</v>
      </c>
      <c r="B96" s="254" t="s">
        <v>116</v>
      </c>
      <c r="C96" s="256" t="s">
        <v>57</v>
      </c>
      <c r="D96" s="258" t="s">
        <v>126</v>
      </c>
      <c r="E96" s="66"/>
      <c r="F96" s="61" t="s">
        <v>118</v>
      </c>
      <c r="G96" s="51">
        <v>37.143999999999998</v>
      </c>
      <c r="H96" s="188">
        <v>3</v>
      </c>
      <c r="I96" s="264" t="s">
        <v>291</v>
      </c>
      <c r="J96" s="48">
        <v>34.143999999999998</v>
      </c>
      <c r="K96" s="251" t="s">
        <v>292</v>
      </c>
      <c r="L96" s="77"/>
      <c r="M96" s="247"/>
      <c r="N96" s="28"/>
      <c r="O96" s="61" t="s">
        <v>118</v>
      </c>
      <c r="P96" s="73">
        <v>42.199999999999996</v>
      </c>
      <c r="Q96" s="68">
        <v>0.8</v>
      </c>
      <c r="R96" s="282" t="s">
        <v>293</v>
      </c>
      <c r="S96" s="28"/>
      <c r="T96" s="61" t="s">
        <v>118</v>
      </c>
      <c r="U96" s="51">
        <v>41.4</v>
      </c>
      <c r="V96" s="282" t="s">
        <v>294</v>
      </c>
      <c r="W96" s="169"/>
      <c r="X96" s="169"/>
      <c r="Y96" s="169"/>
    </row>
    <row r="97" spans="1:26" ht="57" customHeight="1">
      <c r="A97" s="254"/>
      <c r="B97" s="254"/>
      <c r="C97" s="256"/>
      <c r="D97" s="259"/>
      <c r="F97" s="47" t="s">
        <v>124</v>
      </c>
      <c r="G97" s="51">
        <v>39.489616738061301</v>
      </c>
      <c r="H97" s="49">
        <v>3.1894478304486302</v>
      </c>
      <c r="I97" s="265"/>
      <c r="J97" s="51">
        <v>36.300168907612672</v>
      </c>
      <c r="K97" s="265"/>
      <c r="L97" s="51"/>
      <c r="M97" s="248"/>
      <c r="N97" s="28"/>
      <c r="O97" s="47" t="s">
        <v>124</v>
      </c>
      <c r="P97" s="48">
        <v>44.864899481644059</v>
      </c>
      <c r="Q97" s="49">
        <v>0.85051942145296811</v>
      </c>
      <c r="R97" s="248"/>
      <c r="S97" s="28"/>
      <c r="T97" s="47" t="s">
        <v>124</v>
      </c>
      <c r="U97" s="51">
        <v>44.014380060191094</v>
      </c>
      <c r="V97" s="276"/>
      <c r="W97" s="169"/>
      <c r="X97" s="169"/>
      <c r="Y97" s="169"/>
    </row>
    <row r="98" spans="1:26" ht="35.15" customHeight="1">
      <c r="A98" s="254"/>
      <c r="B98" s="254"/>
      <c r="C98" s="257"/>
      <c r="D98" s="260"/>
      <c r="E98" s="25"/>
      <c r="F98" s="55" t="s">
        <v>125</v>
      </c>
      <c r="G98" s="56">
        <v>5.2882597816353591</v>
      </c>
      <c r="H98" s="56">
        <v>0.42711553265415886</v>
      </c>
      <c r="I98" s="266"/>
      <c r="J98" s="56">
        <v>4.8611442489812005</v>
      </c>
      <c r="K98" s="266"/>
      <c r="L98" s="56"/>
      <c r="M98" s="249"/>
      <c r="N98" s="25"/>
      <c r="O98" s="55" t="s">
        <v>125</v>
      </c>
      <c r="P98" s="56">
        <v>6.0080918260018352</v>
      </c>
      <c r="Q98" s="56">
        <v>0.11389747537444236</v>
      </c>
      <c r="R98" s="249"/>
      <c r="S98" s="25"/>
      <c r="T98" s="55" t="s">
        <v>125</v>
      </c>
      <c r="U98" s="56">
        <v>5.8941943506273926</v>
      </c>
      <c r="V98" s="277"/>
      <c r="W98" s="170"/>
      <c r="X98" s="170"/>
      <c r="Y98" s="169"/>
    </row>
    <row r="99" spans="1:26" s="36" customFormat="1" ht="91" customHeight="1">
      <c r="A99" s="254">
        <v>0</v>
      </c>
      <c r="B99" s="254" t="s">
        <v>182</v>
      </c>
      <c r="C99" s="256" t="s">
        <v>58</v>
      </c>
      <c r="D99" s="258" t="s">
        <v>117</v>
      </c>
      <c r="F99" s="47" t="s">
        <v>118</v>
      </c>
      <c r="G99" s="48">
        <v>19.135000000000002</v>
      </c>
      <c r="H99" s="74">
        <v>2.5</v>
      </c>
      <c r="I99" s="261" t="s">
        <v>295</v>
      </c>
      <c r="J99" s="48">
        <v>13.715999999999999</v>
      </c>
      <c r="K99" s="264" t="s">
        <v>296</v>
      </c>
      <c r="L99" s="101"/>
      <c r="M99" s="247" t="s">
        <v>297</v>
      </c>
      <c r="O99" s="47" t="s">
        <v>118</v>
      </c>
      <c r="P99" s="63">
        <v>26</v>
      </c>
      <c r="Q99" s="121"/>
      <c r="R99" s="169"/>
      <c r="T99" s="47" t="s">
        <v>118</v>
      </c>
      <c r="U99" s="48">
        <v>26</v>
      </c>
      <c r="V99" s="247" t="s">
        <v>298</v>
      </c>
      <c r="W99" s="101"/>
      <c r="X99" s="169"/>
      <c r="Y99" s="169"/>
    </row>
    <row r="100" spans="1:26" ht="91" customHeight="1">
      <c r="A100" s="254"/>
      <c r="B100" s="254"/>
      <c r="C100" s="256"/>
      <c r="D100" s="259"/>
      <c r="E100" s="36"/>
      <c r="F100" s="47" t="s">
        <v>124</v>
      </c>
      <c r="G100" s="49">
        <v>0.1759639411250436</v>
      </c>
      <c r="H100" s="49">
        <v>2.298980155801458E-2</v>
      </c>
      <c r="I100" s="262"/>
      <c r="J100" s="49">
        <v>0.12613124726789118</v>
      </c>
      <c r="K100" s="265"/>
      <c r="L100" s="169"/>
      <c r="M100" s="248"/>
      <c r="N100" s="36"/>
      <c r="O100" s="47" t="s">
        <v>124</v>
      </c>
      <c r="P100" s="116">
        <v>0.23909393620335162</v>
      </c>
      <c r="Q100" s="121"/>
      <c r="R100" s="169"/>
      <c r="S100" s="36"/>
      <c r="T100" s="47" t="s">
        <v>124</v>
      </c>
      <c r="U100" s="49">
        <v>0.23909393620335162</v>
      </c>
      <c r="V100" s="248"/>
      <c r="W100" s="169"/>
      <c r="X100" s="169"/>
      <c r="Y100" s="169"/>
      <c r="Z100" s="36"/>
    </row>
    <row r="101" spans="1:26" ht="91" customHeight="1">
      <c r="A101" s="254"/>
      <c r="B101" s="254"/>
      <c r="C101" s="257"/>
      <c r="D101" s="260"/>
      <c r="E101" s="25"/>
      <c r="F101" s="55" t="s">
        <v>125</v>
      </c>
      <c r="G101" s="56">
        <v>1.2173373610342335</v>
      </c>
      <c r="H101" s="56">
        <v>0.15904590554405976</v>
      </c>
      <c r="I101" s="263"/>
      <c r="J101" s="56">
        <v>0.8725894561769294</v>
      </c>
      <c r="K101" s="266"/>
      <c r="L101" s="170"/>
      <c r="M101" s="249"/>
      <c r="N101" s="25"/>
      <c r="O101" s="55" t="s">
        <v>125</v>
      </c>
      <c r="P101" s="69">
        <v>1.6540774176582216</v>
      </c>
      <c r="Q101" s="58"/>
      <c r="R101" s="186"/>
      <c r="S101" s="25"/>
      <c r="T101" s="55" t="s">
        <v>125</v>
      </c>
      <c r="U101" s="56">
        <v>1.6540774176582216</v>
      </c>
      <c r="V101" s="249"/>
      <c r="W101" s="170"/>
      <c r="X101" s="170"/>
      <c r="Y101" s="170"/>
      <c r="Z101" s="22"/>
    </row>
    <row r="102" spans="1:26" ht="214" customHeight="1">
      <c r="A102" s="254">
        <v>0</v>
      </c>
      <c r="B102" s="254" t="s">
        <v>182</v>
      </c>
      <c r="C102" s="256" t="s">
        <v>59</v>
      </c>
      <c r="D102" s="258" t="s">
        <v>117</v>
      </c>
      <c r="E102" s="66"/>
      <c r="F102" s="61" t="s">
        <v>118</v>
      </c>
      <c r="G102" s="95">
        <v>5.0966000000000005</v>
      </c>
      <c r="H102" s="95">
        <v>1.5596000000000001</v>
      </c>
      <c r="I102" s="273" t="s">
        <v>299</v>
      </c>
      <c r="J102" s="65">
        <v>3.5369999999999999</v>
      </c>
      <c r="K102" s="251" t="s">
        <v>300</v>
      </c>
      <c r="L102" s="74">
        <v>0.6</v>
      </c>
      <c r="M102" s="247" t="s">
        <v>301</v>
      </c>
      <c r="N102" s="66"/>
      <c r="O102" s="47" t="s">
        <v>118</v>
      </c>
      <c r="P102" s="95">
        <v>4.5620000000000003</v>
      </c>
      <c r="Q102" s="64">
        <v>1.6219999999999999</v>
      </c>
      <c r="R102" s="247" t="s">
        <v>302</v>
      </c>
      <c r="S102" s="66"/>
      <c r="T102" s="47" t="s">
        <v>118</v>
      </c>
      <c r="U102" s="65"/>
      <c r="V102" s="247"/>
      <c r="W102" s="65">
        <v>2.9400000000000004</v>
      </c>
      <c r="X102" s="247" t="s">
        <v>303</v>
      </c>
      <c r="Y102" s="247" t="s">
        <v>304</v>
      </c>
      <c r="Z102" s="66"/>
    </row>
    <row r="103" spans="1:26" s="28" customFormat="1" ht="173.15" customHeight="1">
      <c r="A103" s="254"/>
      <c r="B103" s="254"/>
      <c r="C103" s="256"/>
      <c r="D103" s="259"/>
      <c r="E103" s="29"/>
      <c r="F103" s="47" t="s">
        <v>124</v>
      </c>
      <c r="G103" s="49">
        <v>2.9789073587566213</v>
      </c>
      <c r="H103" s="49">
        <v>0.91156926514084413</v>
      </c>
      <c r="I103" s="276"/>
      <c r="J103" s="49">
        <v>2.0673380936157768</v>
      </c>
      <c r="K103" s="265"/>
      <c r="L103" s="49">
        <v>0.35069348492209951</v>
      </c>
      <c r="M103" s="248"/>
      <c r="N103" s="29"/>
      <c r="O103" s="47" t="s">
        <v>124</v>
      </c>
      <c r="P103" s="49">
        <v>2.6664394636910305</v>
      </c>
      <c r="Q103" s="68">
        <v>0.94804138757274237</v>
      </c>
      <c r="R103" s="248"/>
      <c r="S103" s="29"/>
      <c r="T103" s="47" t="s">
        <v>124</v>
      </c>
      <c r="U103" s="49"/>
      <c r="V103" s="248"/>
      <c r="W103" s="49">
        <v>1.718398076118288</v>
      </c>
      <c r="X103" s="248"/>
      <c r="Y103" s="248"/>
      <c r="Z103" s="29"/>
    </row>
    <row r="104" spans="1:26" ht="188.15" customHeight="1">
      <c r="A104" s="254"/>
      <c r="B104" s="254"/>
      <c r="C104" s="257"/>
      <c r="D104" s="260"/>
      <c r="E104" s="25"/>
      <c r="F104" s="55" t="s">
        <v>125</v>
      </c>
      <c r="G104" s="56">
        <v>4.3861065138416224</v>
      </c>
      <c r="H104" s="56">
        <v>1.3421833612579745</v>
      </c>
      <c r="I104" s="277"/>
      <c r="J104" s="56">
        <v>3.043923152583647</v>
      </c>
      <c r="K104" s="266"/>
      <c r="L104" s="56">
        <v>0.51635676888611481</v>
      </c>
      <c r="M104" s="249"/>
      <c r="N104" s="25"/>
      <c r="O104" s="55" t="s">
        <v>125</v>
      </c>
      <c r="P104" s="56">
        <v>3.9260326327640933</v>
      </c>
      <c r="Q104" s="56">
        <v>1.3958844652221303</v>
      </c>
      <c r="R104" s="249"/>
      <c r="S104" s="25"/>
      <c r="T104" s="55" t="s">
        <v>125</v>
      </c>
      <c r="U104" s="56"/>
      <c r="V104" s="249"/>
      <c r="W104" s="56">
        <v>2.530148167541963</v>
      </c>
      <c r="X104" s="249"/>
      <c r="Y104" s="249"/>
      <c r="Z104" s="22"/>
    </row>
    <row r="105" spans="1:26" s="28" customFormat="1" ht="53.15" customHeight="1">
      <c r="A105" s="254">
        <v>0</v>
      </c>
      <c r="B105" s="254" t="s">
        <v>182</v>
      </c>
      <c r="C105" s="256" t="s">
        <v>60</v>
      </c>
      <c r="D105" s="259" t="s">
        <v>126</v>
      </c>
      <c r="E105" s="60"/>
      <c r="F105" s="61" t="s">
        <v>118</v>
      </c>
      <c r="G105" s="127">
        <v>16426</v>
      </c>
      <c r="H105" s="110">
        <v>1755</v>
      </c>
      <c r="I105" s="279" t="s">
        <v>305</v>
      </c>
      <c r="J105" s="110">
        <v>14671</v>
      </c>
      <c r="K105" s="264" t="s">
        <v>306</v>
      </c>
      <c r="L105" s="110">
        <v>2408.1841333333291</v>
      </c>
      <c r="M105" s="265" t="s">
        <v>307</v>
      </c>
      <c r="N105" s="60"/>
      <c r="O105" s="47" t="s">
        <v>118</v>
      </c>
      <c r="P105" s="110">
        <v>3565</v>
      </c>
      <c r="Q105" s="110"/>
      <c r="R105" s="265"/>
      <c r="S105" s="60"/>
      <c r="T105" s="47" t="s">
        <v>118</v>
      </c>
      <c r="U105" s="110"/>
      <c r="V105" s="265"/>
      <c r="W105" s="62">
        <v>3565</v>
      </c>
      <c r="X105" s="261" t="s">
        <v>308</v>
      </c>
      <c r="Y105" s="247" t="s">
        <v>309</v>
      </c>
      <c r="Z105" s="60"/>
    </row>
    <row r="106" spans="1:26" s="36" customFormat="1" ht="37" customHeight="1">
      <c r="A106" s="254"/>
      <c r="B106" s="254"/>
      <c r="C106" s="256"/>
      <c r="D106" s="259"/>
      <c r="E106" s="28"/>
      <c r="F106" s="47" t="s">
        <v>124</v>
      </c>
      <c r="G106" s="49">
        <v>20.735557264419626</v>
      </c>
      <c r="H106" s="49">
        <v>2.21544520875785</v>
      </c>
      <c r="I106" s="280"/>
      <c r="J106" s="49">
        <v>18.520112055661777</v>
      </c>
      <c r="K106" s="265"/>
      <c r="L106" s="49">
        <v>3.04</v>
      </c>
      <c r="M106" s="265"/>
      <c r="N106" s="28"/>
      <c r="O106" s="47" t="s">
        <v>124</v>
      </c>
      <c r="P106" s="116">
        <v>4.5003203243428693</v>
      </c>
      <c r="Q106" s="49"/>
      <c r="R106" s="265"/>
      <c r="S106" s="28"/>
      <c r="T106" s="47" t="s">
        <v>124</v>
      </c>
      <c r="U106" s="49"/>
      <c r="V106" s="265"/>
      <c r="W106" s="49">
        <v>4.5003203243428693</v>
      </c>
      <c r="X106" s="262"/>
      <c r="Y106" s="248"/>
      <c r="Z106" s="28"/>
    </row>
    <row r="107" spans="1:26" ht="59.15" customHeight="1">
      <c r="A107" s="254"/>
      <c r="B107" s="254"/>
      <c r="C107" s="257"/>
      <c r="D107" s="260"/>
      <c r="E107" s="25"/>
      <c r="F107" s="55" t="s">
        <v>125</v>
      </c>
      <c r="G107" s="56">
        <v>8.2454087590096599</v>
      </c>
      <c r="H107" s="56">
        <v>0.88096264288700565</v>
      </c>
      <c r="I107" s="281"/>
      <c r="J107" s="56">
        <v>7.3644461161226555</v>
      </c>
      <c r="K107" s="266"/>
      <c r="L107" s="99">
        <v>1.2088434522278535</v>
      </c>
      <c r="M107" s="266"/>
      <c r="N107" s="25"/>
      <c r="O107" s="55" t="s">
        <v>125</v>
      </c>
      <c r="P107" s="69">
        <v>1.7895338016479629</v>
      </c>
      <c r="Q107" s="56"/>
      <c r="R107" s="266"/>
      <c r="S107" s="25"/>
      <c r="T107" s="55" t="s">
        <v>125</v>
      </c>
      <c r="U107" s="56"/>
      <c r="V107" s="266"/>
      <c r="W107" s="56">
        <v>1.7895338016479629</v>
      </c>
      <c r="X107" s="263"/>
      <c r="Y107" s="249"/>
      <c r="Z107" s="22"/>
    </row>
    <row r="108" spans="1:26" s="28" customFormat="1" ht="109" customHeight="1">
      <c r="A108" s="254">
        <v>0</v>
      </c>
      <c r="B108" s="254" t="s">
        <v>182</v>
      </c>
      <c r="C108" s="256" t="s">
        <v>61</v>
      </c>
      <c r="D108" s="258" t="s">
        <v>117</v>
      </c>
      <c r="E108" s="60"/>
      <c r="F108" s="61" t="s">
        <v>118</v>
      </c>
      <c r="G108" s="105">
        <v>41130.1</v>
      </c>
      <c r="H108" s="105">
        <v>10834.8</v>
      </c>
      <c r="I108" s="261" t="s">
        <v>310</v>
      </c>
      <c r="J108" s="105">
        <v>30295.3</v>
      </c>
      <c r="K108" s="247" t="s">
        <v>311</v>
      </c>
      <c r="L108" s="74">
        <v>400</v>
      </c>
      <c r="M108" s="247" t="s">
        <v>312</v>
      </c>
      <c r="N108" s="60"/>
      <c r="O108" s="47" t="s">
        <v>118</v>
      </c>
      <c r="P108" s="105">
        <v>57312</v>
      </c>
      <c r="Q108" s="110">
        <v>31745</v>
      </c>
      <c r="R108" s="270" t="s">
        <v>313</v>
      </c>
      <c r="S108" s="60"/>
      <c r="T108" s="47" t="s">
        <v>118</v>
      </c>
      <c r="U108" s="105">
        <v>25567</v>
      </c>
      <c r="V108" s="247" t="s">
        <v>314</v>
      </c>
      <c r="W108" s="71"/>
      <c r="X108" s="71"/>
      <c r="Y108" s="71"/>
      <c r="Z108" s="60"/>
    </row>
    <row r="109" spans="1:26" s="28" customFormat="1" ht="127" customHeight="1">
      <c r="A109" s="254"/>
      <c r="B109" s="254"/>
      <c r="C109" s="256"/>
      <c r="D109" s="259"/>
      <c r="F109" s="47" t="s">
        <v>124</v>
      </c>
      <c r="G109" s="49">
        <v>11.060053989571156</v>
      </c>
      <c r="H109" s="49">
        <v>2.9135225289071882</v>
      </c>
      <c r="I109" s="262"/>
      <c r="J109" s="49">
        <v>8.1465314606639669</v>
      </c>
      <c r="K109" s="248"/>
      <c r="L109" s="49">
        <v>0.10756165425876577</v>
      </c>
      <c r="M109" s="248"/>
      <c r="O109" s="47" t="s">
        <v>124</v>
      </c>
      <c r="P109" s="97">
        <v>15.41143382219596</v>
      </c>
      <c r="Q109" s="68">
        <v>8.5363617861112981</v>
      </c>
      <c r="R109" s="248"/>
      <c r="T109" s="47" t="s">
        <v>124</v>
      </c>
      <c r="U109" s="49">
        <v>6.8750720360846609</v>
      </c>
      <c r="V109" s="248"/>
      <c r="W109" s="185"/>
      <c r="X109" s="185"/>
      <c r="Y109" s="185"/>
    </row>
    <row r="110" spans="1:26" ht="106" customHeight="1">
      <c r="A110" s="254"/>
      <c r="B110" s="254"/>
      <c r="C110" s="257"/>
      <c r="D110" s="260"/>
      <c r="E110" s="25"/>
      <c r="F110" s="55" t="s">
        <v>125</v>
      </c>
      <c r="G110" s="56">
        <v>4.1001315963942302</v>
      </c>
      <c r="H110" s="56">
        <v>1.0800874741518307</v>
      </c>
      <c r="I110" s="263"/>
      <c r="J110" s="56">
        <v>3.0200441222424002</v>
      </c>
      <c r="K110" s="249"/>
      <c r="L110" s="56">
        <v>3.9874754463463308E-2</v>
      </c>
      <c r="M110" s="249"/>
      <c r="N110" s="25"/>
      <c r="O110" s="55" t="s">
        <v>125</v>
      </c>
      <c r="P110" s="56">
        <v>5.713254819525023</v>
      </c>
      <c r="Q110" s="58">
        <v>3.1645602011066072</v>
      </c>
      <c r="R110" s="249"/>
      <c r="S110" s="25"/>
      <c r="T110" s="55" t="s">
        <v>125</v>
      </c>
      <c r="U110" s="56">
        <v>2.5486946184184163</v>
      </c>
      <c r="V110" s="249"/>
      <c r="W110" s="170"/>
      <c r="X110" s="170"/>
      <c r="Y110" s="170"/>
      <c r="Z110" s="22"/>
    </row>
    <row r="111" spans="1:26" s="36" customFormat="1" ht="122.15" customHeight="1">
      <c r="A111" s="254">
        <v>0</v>
      </c>
      <c r="B111" s="254" t="s">
        <v>182</v>
      </c>
      <c r="C111" s="256" t="s">
        <v>63</v>
      </c>
      <c r="D111" s="258" t="s">
        <v>126</v>
      </c>
      <c r="E111" s="30"/>
      <c r="F111" s="61" t="s">
        <v>118</v>
      </c>
      <c r="G111" s="95">
        <v>91.612000000000009</v>
      </c>
      <c r="H111" s="95">
        <v>12.941000000000001</v>
      </c>
      <c r="I111" s="247" t="s">
        <v>315</v>
      </c>
      <c r="J111" s="95">
        <v>78.671000000000006</v>
      </c>
      <c r="K111" s="273" t="s">
        <v>316</v>
      </c>
      <c r="L111" s="168"/>
      <c r="M111" s="247" t="s">
        <v>317</v>
      </c>
      <c r="N111" s="30"/>
      <c r="O111" s="47" t="s">
        <v>118</v>
      </c>
      <c r="P111" s="95">
        <v>7.44</v>
      </c>
      <c r="Q111" s="96">
        <v>7.44</v>
      </c>
      <c r="R111" s="272"/>
      <c r="S111" s="30"/>
      <c r="T111" s="47" t="s">
        <v>118</v>
      </c>
      <c r="U111" s="95"/>
      <c r="V111" s="247" t="s">
        <v>318</v>
      </c>
      <c r="W111" s="168"/>
      <c r="X111" s="168" t="s">
        <v>319</v>
      </c>
      <c r="Y111" s="168"/>
      <c r="Z111" s="30"/>
    </row>
    <row r="112" spans="1:26" s="36" customFormat="1" ht="118" customHeight="1">
      <c r="A112" s="254"/>
      <c r="B112" s="254"/>
      <c r="C112" s="256"/>
      <c r="D112" s="259"/>
      <c r="F112" s="47" t="s">
        <v>124</v>
      </c>
      <c r="G112" s="49">
        <v>5.6957877830164128</v>
      </c>
      <c r="H112" s="49">
        <v>0.80458007357131589</v>
      </c>
      <c r="I112" s="248"/>
      <c r="J112" s="97">
        <v>4.891207709445097</v>
      </c>
      <c r="K112" s="248"/>
      <c r="L112" s="169"/>
      <c r="M112" s="248"/>
      <c r="O112" s="47" t="s">
        <v>124</v>
      </c>
      <c r="P112" s="97">
        <v>0.46256670638826908</v>
      </c>
      <c r="Q112" s="97">
        <v>0.46256670638826908</v>
      </c>
      <c r="R112" s="276"/>
      <c r="T112" s="47" t="s">
        <v>124</v>
      </c>
      <c r="U112" s="97"/>
      <c r="V112" s="248"/>
      <c r="W112" s="169"/>
      <c r="X112" s="169"/>
      <c r="Y112" s="169"/>
    </row>
    <row r="113" spans="1:26" ht="119.15" customHeight="1">
      <c r="A113" s="254"/>
      <c r="B113" s="254"/>
      <c r="C113" s="257"/>
      <c r="D113" s="260"/>
      <c r="E113" s="25"/>
      <c r="F113" s="55" t="s">
        <v>125</v>
      </c>
      <c r="G113" s="56">
        <v>1.574089347079038</v>
      </c>
      <c r="H113" s="56">
        <v>0.22235395189003437</v>
      </c>
      <c r="I113" s="249"/>
      <c r="J113" s="99">
        <v>1.3517353951890034</v>
      </c>
      <c r="K113" s="249"/>
      <c r="L113" s="170"/>
      <c r="M113" s="249"/>
      <c r="N113" s="25"/>
      <c r="O113" s="55" t="s">
        <v>125</v>
      </c>
      <c r="P113" s="56">
        <v>0.12783505154639177</v>
      </c>
      <c r="Q113" s="56">
        <v>0.12783505154639177</v>
      </c>
      <c r="R113" s="277"/>
      <c r="S113" s="25"/>
      <c r="T113" s="55" t="s">
        <v>125</v>
      </c>
      <c r="U113" s="56"/>
      <c r="V113" s="249"/>
      <c r="W113" s="170"/>
      <c r="X113" s="170"/>
      <c r="Y113" s="170"/>
      <c r="Z113" s="22"/>
    </row>
    <row r="114" spans="1:26" ht="92.15" customHeight="1">
      <c r="A114" s="254">
        <v>0</v>
      </c>
      <c r="B114" s="254" t="s">
        <v>182</v>
      </c>
      <c r="C114" s="256" t="s">
        <v>64</v>
      </c>
      <c r="D114" s="259" t="s">
        <v>117</v>
      </c>
      <c r="E114" s="28"/>
      <c r="F114" s="61" t="s">
        <v>118</v>
      </c>
      <c r="G114" s="49">
        <v>3.202</v>
      </c>
      <c r="H114" s="97">
        <v>0.97300000000000009</v>
      </c>
      <c r="I114" s="273" t="s">
        <v>320</v>
      </c>
      <c r="J114" s="97">
        <v>2.2290000000000001</v>
      </c>
      <c r="K114" s="247" t="s">
        <v>321</v>
      </c>
      <c r="L114" s="169"/>
      <c r="M114" s="247" t="s">
        <v>322</v>
      </c>
      <c r="N114" s="28"/>
      <c r="O114" s="47" t="s">
        <v>118</v>
      </c>
      <c r="P114" s="49">
        <v>7.0000000000000007E-2</v>
      </c>
      <c r="Q114" s="49">
        <v>7.0000000000000007E-2</v>
      </c>
      <c r="R114" s="247" t="s">
        <v>323</v>
      </c>
      <c r="S114" s="28"/>
      <c r="T114" s="47" t="s">
        <v>118</v>
      </c>
      <c r="U114" s="128"/>
      <c r="V114" s="247" t="s">
        <v>324</v>
      </c>
      <c r="W114" s="169"/>
      <c r="X114" s="169"/>
      <c r="Y114" s="169"/>
    </row>
    <row r="115" spans="1:26" ht="134.15" customHeight="1">
      <c r="A115" s="254"/>
      <c r="B115" s="254"/>
      <c r="C115" s="256"/>
      <c r="D115" s="259"/>
      <c r="E115" s="28"/>
      <c r="F115" s="47" t="s">
        <v>124</v>
      </c>
      <c r="G115" s="49">
        <v>1.0381217410099144</v>
      </c>
      <c r="H115" s="49">
        <v>0.31545673141869041</v>
      </c>
      <c r="I115" s="248"/>
      <c r="J115" s="49">
        <v>0.72266500959122393</v>
      </c>
      <c r="K115" s="248"/>
      <c r="L115" s="49"/>
      <c r="M115" s="248"/>
      <c r="N115" s="28"/>
      <c r="O115" s="47" t="s">
        <v>124</v>
      </c>
      <c r="P115" s="97">
        <v>2.4381353628372098E-5</v>
      </c>
      <c r="Q115" s="59">
        <v>2.4381353628372098E-5</v>
      </c>
      <c r="R115" s="248"/>
      <c r="S115" s="28"/>
      <c r="T115" s="47" t="s">
        <v>124</v>
      </c>
      <c r="U115" s="49"/>
      <c r="V115" s="248"/>
      <c r="W115" s="169"/>
      <c r="X115" s="169"/>
      <c r="Y115" s="169"/>
    </row>
    <row r="116" spans="1:26" ht="167.15" customHeight="1">
      <c r="A116" s="254"/>
      <c r="B116" s="254"/>
      <c r="C116" s="257"/>
      <c r="D116" s="260"/>
      <c r="E116" s="28"/>
      <c r="F116" s="55" t="s">
        <v>125</v>
      </c>
      <c r="G116" s="56">
        <v>6.4171911765327883</v>
      </c>
      <c r="H116" s="56">
        <v>1.9500084368414752</v>
      </c>
      <c r="I116" s="249"/>
      <c r="J116" s="56">
        <v>4.4671827396913129</v>
      </c>
      <c r="K116" s="249"/>
      <c r="L116" s="56"/>
      <c r="M116" s="249"/>
      <c r="N116" s="28"/>
      <c r="O116" s="55" t="s">
        <v>125</v>
      </c>
      <c r="P116" s="56">
        <v>1.8215652368232442E-4</v>
      </c>
      <c r="Q116" s="102">
        <v>1.8215652368232442E-4</v>
      </c>
      <c r="R116" s="249"/>
      <c r="S116" s="28"/>
      <c r="T116" s="55" t="s">
        <v>125</v>
      </c>
      <c r="U116" s="56"/>
      <c r="V116" s="249"/>
      <c r="W116" s="169"/>
      <c r="X116" s="169"/>
      <c r="Y116" s="169"/>
    </row>
    <row r="117" spans="1:26" s="171" customFormat="1" ht="92.15" customHeight="1">
      <c r="A117" s="254">
        <v>0</v>
      </c>
      <c r="B117" s="254" t="s">
        <v>182</v>
      </c>
      <c r="C117" s="256" t="s">
        <v>66</v>
      </c>
      <c r="D117" s="259" t="s">
        <v>126</v>
      </c>
      <c r="E117" s="183"/>
      <c r="F117" s="61" t="s">
        <v>118</v>
      </c>
      <c r="G117" s="105">
        <v>1638</v>
      </c>
      <c r="H117" s="74" t="s">
        <v>132</v>
      </c>
      <c r="I117" s="247" t="s">
        <v>325</v>
      </c>
      <c r="J117" s="74" t="s">
        <v>132</v>
      </c>
      <c r="K117" s="247" t="s">
        <v>326</v>
      </c>
      <c r="L117" s="74" t="s">
        <v>132</v>
      </c>
      <c r="M117" s="247" t="s">
        <v>327</v>
      </c>
      <c r="N117" s="183"/>
      <c r="O117" s="61" t="s">
        <v>118</v>
      </c>
      <c r="P117" s="105">
        <v>2100</v>
      </c>
      <c r="Q117" s="105">
        <v>1300</v>
      </c>
      <c r="R117" s="247" t="s">
        <v>328</v>
      </c>
      <c r="S117" s="183"/>
      <c r="T117" s="61" t="s">
        <v>118</v>
      </c>
      <c r="U117" s="73"/>
      <c r="V117" s="247" t="s">
        <v>329</v>
      </c>
      <c r="W117" s="74">
        <v>800</v>
      </c>
      <c r="X117" s="247" t="s">
        <v>330</v>
      </c>
      <c r="Y117" s="168"/>
      <c r="Z117" s="183"/>
    </row>
    <row r="118" spans="1:26" s="171" customFormat="1" ht="92.15" customHeight="1">
      <c r="A118" s="254"/>
      <c r="B118" s="254"/>
      <c r="C118" s="256"/>
      <c r="D118" s="259"/>
      <c r="F118" s="47" t="s">
        <v>124</v>
      </c>
      <c r="G118" s="49">
        <v>3.9665498926432399</v>
      </c>
      <c r="H118" s="101"/>
      <c r="I118" s="248"/>
      <c r="J118" s="101"/>
      <c r="K118" s="248"/>
      <c r="L118" s="169"/>
      <c r="M118" s="248"/>
      <c r="O118" s="47" t="s">
        <v>124</v>
      </c>
      <c r="P118" s="116">
        <v>5.0853203751836409</v>
      </c>
      <c r="Q118" s="49">
        <v>3.1480554703517778</v>
      </c>
      <c r="R118" s="248"/>
      <c r="T118" s="47" t="s">
        <v>124</v>
      </c>
      <c r="U118" s="97"/>
      <c r="V118" s="248"/>
      <c r="W118" s="49">
        <v>1.9372649048318633</v>
      </c>
      <c r="X118" s="248"/>
      <c r="Y118" s="169"/>
    </row>
    <row r="119" spans="1:26" ht="78" customHeight="1">
      <c r="A119" s="254"/>
      <c r="B119" s="254"/>
      <c r="C119" s="257"/>
      <c r="D119" s="260"/>
      <c r="E119" s="25"/>
      <c r="F119" s="55" t="s">
        <v>125</v>
      </c>
      <c r="G119" s="56">
        <v>2.410373216215953</v>
      </c>
      <c r="H119" s="129"/>
      <c r="I119" s="249"/>
      <c r="J119" s="99"/>
      <c r="K119" s="249"/>
      <c r="L119" s="170"/>
      <c r="M119" s="249"/>
      <c r="N119" s="25"/>
      <c r="O119" s="55" t="s">
        <v>125</v>
      </c>
      <c r="P119" s="69">
        <v>3.090222072071735</v>
      </c>
      <c r="Q119" s="56">
        <v>1.9129946160444073</v>
      </c>
      <c r="R119" s="249"/>
      <c r="S119" s="25"/>
      <c r="T119" s="55" t="s">
        <v>125</v>
      </c>
      <c r="U119" s="56"/>
      <c r="V119" s="249"/>
      <c r="W119" s="56">
        <v>1.1772274560273275</v>
      </c>
      <c r="X119" s="249"/>
      <c r="Y119" s="170"/>
      <c r="Z119" s="22"/>
    </row>
    <row r="120" spans="1:26" ht="147" customHeight="1">
      <c r="A120" s="254">
        <v>0</v>
      </c>
      <c r="B120" s="254" t="s">
        <v>182</v>
      </c>
      <c r="C120" s="256" t="s">
        <v>67</v>
      </c>
      <c r="D120" s="259" t="s">
        <v>117</v>
      </c>
      <c r="E120" s="183"/>
      <c r="F120" s="61" t="s">
        <v>118</v>
      </c>
      <c r="G120" s="95">
        <v>44.3</v>
      </c>
      <c r="H120" s="74">
        <v>1.3</v>
      </c>
      <c r="I120" s="247" t="s">
        <v>331</v>
      </c>
      <c r="J120" s="95">
        <v>43</v>
      </c>
      <c r="K120" s="247" t="s">
        <v>332</v>
      </c>
      <c r="L120" s="168"/>
      <c r="M120" s="168"/>
      <c r="N120" s="183"/>
      <c r="O120" s="47" t="s">
        <v>118</v>
      </c>
      <c r="P120" s="63">
        <v>149.19999999999999</v>
      </c>
      <c r="Q120" s="96">
        <v>4.2</v>
      </c>
      <c r="R120" s="247" t="s">
        <v>333</v>
      </c>
      <c r="S120" s="183"/>
      <c r="T120" s="47" t="s">
        <v>118</v>
      </c>
      <c r="U120" s="73"/>
      <c r="V120" s="247"/>
      <c r="W120" s="168">
        <v>145</v>
      </c>
      <c r="X120" s="247" t="s">
        <v>334</v>
      </c>
      <c r="Y120" s="168"/>
      <c r="Z120" s="183"/>
    </row>
    <row r="121" spans="1:26" ht="133" customHeight="1">
      <c r="A121" s="254"/>
      <c r="B121" s="254"/>
      <c r="C121" s="256"/>
      <c r="D121" s="259"/>
      <c r="E121" s="171"/>
      <c r="F121" s="47" t="s">
        <v>124</v>
      </c>
      <c r="G121" s="49">
        <v>1.1313675831907708</v>
      </c>
      <c r="H121" s="49">
        <v>3.3200403118465061E-2</v>
      </c>
      <c r="I121" s="248"/>
      <c r="J121" s="49">
        <v>1.0981671800723058</v>
      </c>
      <c r="K121" s="248"/>
      <c r="L121" s="169"/>
      <c r="M121" s="169"/>
      <c r="N121" s="171"/>
      <c r="O121" s="47" t="s">
        <v>124</v>
      </c>
      <c r="P121" s="116">
        <v>3.810384727134605</v>
      </c>
      <c r="Q121" s="68">
        <v>0.10726284084427173</v>
      </c>
      <c r="R121" s="248"/>
      <c r="S121" s="171"/>
      <c r="T121" s="47" t="s">
        <v>124</v>
      </c>
      <c r="U121" s="68"/>
      <c r="V121" s="248"/>
      <c r="W121" s="77">
        <v>3.7031218862903335</v>
      </c>
      <c r="X121" s="248"/>
      <c r="Y121" s="169"/>
      <c r="Z121" s="171"/>
    </row>
    <row r="122" spans="1:26" ht="103" customHeight="1">
      <c r="A122" s="254"/>
      <c r="B122" s="254"/>
      <c r="C122" s="257"/>
      <c r="D122" s="260"/>
      <c r="E122" s="25"/>
      <c r="F122" s="55" t="s">
        <v>125</v>
      </c>
      <c r="G122" s="56">
        <v>9.9755633644964341</v>
      </c>
      <c r="H122" s="56">
        <v>0.29273662243443266</v>
      </c>
      <c r="I122" s="249"/>
      <c r="J122" s="56">
        <v>9.6828267420620016</v>
      </c>
      <c r="K122" s="249"/>
      <c r="L122" s="170"/>
      <c r="M122" s="170"/>
      <c r="N122" s="25"/>
      <c r="O122" s="55" t="s">
        <v>125</v>
      </c>
      <c r="P122" s="69">
        <v>33.597156974782578</v>
      </c>
      <c r="Q122" s="58">
        <v>0.94576447248047468</v>
      </c>
      <c r="R122" s="249"/>
      <c r="S122" s="25"/>
      <c r="T122" s="55" t="s">
        <v>125</v>
      </c>
      <c r="U122" s="58"/>
      <c r="V122" s="249"/>
      <c r="W122" s="79">
        <v>32.651392502302102</v>
      </c>
      <c r="X122" s="249"/>
      <c r="Y122" s="170"/>
      <c r="Z122" s="22"/>
    </row>
    <row r="123" spans="1:26" ht="86.15" customHeight="1">
      <c r="A123" s="174"/>
      <c r="B123" s="174"/>
      <c r="C123" s="255" t="s">
        <v>68</v>
      </c>
      <c r="D123" s="258" t="s">
        <v>117</v>
      </c>
      <c r="E123" s="36"/>
      <c r="F123" s="47" t="s">
        <v>118</v>
      </c>
      <c r="G123" s="97">
        <v>19.510953139008002</v>
      </c>
      <c r="H123" s="95">
        <v>0.67279148755200013</v>
      </c>
      <c r="I123" s="261" t="s">
        <v>335</v>
      </c>
      <c r="J123" s="48">
        <v>18.838161651456002</v>
      </c>
      <c r="K123" s="247" t="s">
        <v>506</v>
      </c>
      <c r="L123" s="169"/>
      <c r="M123" s="247"/>
      <c r="N123" s="36"/>
      <c r="O123" s="47" t="s">
        <v>118</v>
      </c>
      <c r="P123" s="133">
        <v>19.510953139007999</v>
      </c>
      <c r="Q123" s="167"/>
      <c r="R123" s="169"/>
      <c r="S123" s="36"/>
      <c r="T123" s="47" t="s">
        <v>118</v>
      </c>
      <c r="U123" s="97"/>
      <c r="V123" s="247"/>
      <c r="W123" s="49">
        <v>19.510953139007999</v>
      </c>
      <c r="X123" s="169"/>
      <c r="Y123" s="169"/>
    </row>
    <row r="124" spans="1:26" ht="69" customHeight="1">
      <c r="A124" s="174">
        <v>0</v>
      </c>
      <c r="B124" s="174" t="s">
        <v>182</v>
      </c>
      <c r="C124" s="256"/>
      <c r="D124" s="259"/>
      <c r="E124" s="36"/>
      <c r="F124" s="47" t="s">
        <v>124</v>
      </c>
      <c r="G124" s="49">
        <v>0.36263820325526785</v>
      </c>
      <c r="H124" s="49">
        <v>1.2504765629491998E-2</v>
      </c>
      <c r="I124" s="262"/>
      <c r="J124" s="49">
        <v>0.35013343762577587</v>
      </c>
      <c r="K124" s="248"/>
      <c r="L124" s="169"/>
      <c r="M124" s="248"/>
      <c r="N124" s="36"/>
      <c r="O124" s="47" t="s">
        <v>124</v>
      </c>
      <c r="P124" s="116">
        <v>0.3626382032552678</v>
      </c>
      <c r="Q124" s="167"/>
      <c r="R124" s="169"/>
      <c r="S124" s="36"/>
      <c r="T124" s="47" t="s">
        <v>124</v>
      </c>
      <c r="U124" s="49"/>
      <c r="V124" s="248"/>
      <c r="W124" s="49">
        <v>0.3626382032552678</v>
      </c>
      <c r="X124" s="169" t="s">
        <v>336</v>
      </c>
      <c r="Y124" s="169"/>
    </row>
    <row r="125" spans="1:26" ht="65.150000000000006" customHeight="1">
      <c r="A125" s="174"/>
      <c r="B125" s="174"/>
      <c r="C125" s="257"/>
      <c r="D125" s="260"/>
      <c r="E125" s="25"/>
      <c r="F125" s="55" t="s">
        <v>125</v>
      </c>
      <c r="G125" s="56">
        <v>2.9000000000000004</v>
      </c>
      <c r="H125" s="56">
        <v>0.10000000000000002</v>
      </c>
      <c r="I125" s="263"/>
      <c r="J125" s="56">
        <v>2.8000000000000003</v>
      </c>
      <c r="K125" s="249"/>
      <c r="L125" s="170"/>
      <c r="M125" s="249"/>
      <c r="N125" s="25"/>
      <c r="O125" s="55" t="s">
        <v>125</v>
      </c>
      <c r="P125" s="69">
        <v>2.9</v>
      </c>
      <c r="Q125" s="102"/>
      <c r="R125" s="186"/>
      <c r="S125" s="25"/>
      <c r="T125" s="55" t="s">
        <v>125</v>
      </c>
      <c r="U125" s="56"/>
      <c r="V125" s="249"/>
      <c r="W125" s="56">
        <v>2.9</v>
      </c>
      <c r="X125" s="170"/>
      <c r="Y125" s="169"/>
    </row>
    <row r="126" spans="1:26" ht="103" customHeight="1">
      <c r="A126" s="254">
        <v>0</v>
      </c>
      <c r="B126" s="254" t="s">
        <v>182</v>
      </c>
      <c r="C126" s="256" t="s">
        <v>69</v>
      </c>
      <c r="D126" s="259" t="s">
        <v>126</v>
      </c>
      <c r="E126" s="28"/>
      <c r="F126" s="61" t="s">
        <v>118</v>
      </c>
      <c r="G126" s="51">
        <v>828</v>
      </c>
      <c r="H126" s="51">
        <v>178</v>
      </c>
      <c r="I126" s="247" t="s">
        <v>337</v>
      </c>
      <c r="J126" s="48">
        <v>650</v>
      </c>
      <c r="K126" s="247" t="s">
        <v>338</v>
      </c>
      <c r="L126" s="48">
        <v>480</v>
      </c>
      <c r="M126" s="247" t="s">
        <v>339</v>
      </c>
      <c r="N126" s="28"/>
      <c r="O126" s="61" t="s">
        <v>118</v>
      </c>
      <c r="P126" s="95" t="s">
        <v>132</v>
      </c>
      <c r="Q126" s="68"/>
      <c r="R126" s="169"/>
      <c r="S126" s="28"/>
      <c r="T126" s="61" t="s">
        <v>118</v>
      </c>
      <c r="U126" s="49" t="s">
        <v>132</v>
      </c>
      <c r="V126" s="247" t="s">
        <v>340</v>
      </c>
      <c r="W126" s="169" t="s">
        <v>132</v>
      </c>
      <c r="X126" s="272"/>
      <c r="Y126" s="169"/>
    </row>
    <row r="127" spans="1:26" ht="38">
      <c r="A127" s="254"/>
      <c r="B127" s="254"/>
      <c r="C127" s="256"/>
      <c r="D127" s="259"/>
      <c r="E127" s="28"/>
      <c r="F127" s="47" t="s">
        <v>124</v>
      </c>
      <c r="G127" s="49">
        <v>5.2148375564455147</v>
      </c>
      <c r="H127" s="49">
        <v>1.1210641123759681</v>
      </c>
      <c r="I127" s="248"/>
      <c r="J127" s="49">
        <v>4.0937734440695461</v>
      </c>
      <c r="K127" s="248"/>
      <c r="L127" s="49">
        <v>3.0230942356205883</v>
      </c>
      <c r="M127" s="248"/>
      <c r="N127" s="28"/>
      <c r="O127" s="47" t="s">
        <v>124</v>
      </c>
      <c r="P127" s="116"/>
      <c r="Q127" s="49"/>
      <c r="R127" s="169"/>
      <c r="S127" s="28"/>
      <c r="T127" s="47" t="s">
        <v>124</v>
      </c>
      <c r="U127" s="49"/>
      <c r="V127" s="248"/>
      <c r="W127" s="169"/>
      <c r="X127" s="276"/>
      <c r="Y127" s="169"/>
    </row>
    <row r="128" spans="1:26" ht="38">
      <c r="A128" s="254"/>
      <c r="B128" s="254"/>
      <c r="C128" s="257"/>
      <c r="D128" s="260"/>
      <c r="E128" s="28"/>
      <c r="F128" s="55" t="s">
        <v>125</v>
      </c>
      <c r="G128" s="56">
        <v>1.9843417699892416</v>
      </c>
      <c r="H128" s="56">
        <v>0.42658554958705924</v>
      </c>
      <c r="I128" s="249"/>
      <c r="J128" s="56">
        <v>1.5577562204021824</v>
      </c>
      <c r="K128" s="249"/>
      <c r="L128" s="56">
        <v>1.150343055066227</v>
      </c>
      <c r="M128" s="249"/>
      <c r="N128" s="25"/>
      <c r="O128" s="55" t="s">
        <v>125</v>
      </c>
      <c r="P128" s="69"/>
      <c r="Q128" s="56"/>
      <c r="R128" s="170"/>
      <c r="S128" s="25"/>
      <c r="T128" s="55" t="s">
        <v>125</v>
      </c>
      <c r="U128" s="56"/>
      <c r="V128" s="249"/>
      <c r="W128" s="170"/>
      <c r="X128" s="277"/>
      <c r="Y128" s="169"/>
    </row>
    <row r="129" spans="1:26" ht="48" customHeight="1">
      <c r="A129" s="254">
        <v>0</v>
      </c>
      <c r="B129" s="254" t="s">
        <v>182</v>
      </c>
      <c r="C129" s="256" t="s">
        <v>70</v>
      </c>
      <c r="D129" s="259" t="s">
        <v>117</v>
      </c>
      <c r="E129" s="28"/>
      <c r="F129" s="61" t="s">
        <v>118</v>
      </c>
      <c r="G129" s="51">
        <v>37.332999999999998</v>
      </c>
      <c r="H129" s="49">
        <v>5.3330000000000002</v>
      </c>
      <c r="I129" s="247" t="s">
        <v>341</v>
      </c>
      <c r="J129" s="51">
        <v>32</v>
      </c>
      <c r="K129" s="247" t="s">
        <v>342</v>
      </c>
      <c r="L129" s="51">
        <v>12</v>
      </c>
      <c r="M129" s="247" t="s">
        <v>343</v>
      </c>
      <c r="N129" s="28"/>
      <c r="O129" s="61" t="s">
        <v>118</v>
      </c>
      <c r="P129" s="63">
        <v>75.599999999999994</v>
      </c>
      <c r="Q129" s="49">
        <v>8.6</v>
      </c>
      <c r="R129" s="169"/>
      <c r="S129" s="28"/>
      <c r="T129" s="61" t="s">
        <v>118</v>
      </c>
      <c r="U129" s="51">
        <v>67</v>
      </c>
      <c r="V129" s="247" t="s">
        <v>344</v>
      </c>
      <c r="W129" s="49"/>
      <c r="X129" s="278"/>
      <c r="Y129" s="169"/>
    </row>
    <row r="130" spans="1:26" ht="48" customHeight="1">
      <c r="A130" s="254"/>
      <c r="B130" s="254"/>
      <c r="C130" s="256"/>
      <c r="D130" s="259"/>
      <c r="E130" s="28"/>
      <c r="F130" s="47" t="s">
        <v>124</v>
      </c>
      <c r="G130" s="51">
        <v>10.653665274067986</v>
      </c>
      <c r="H130" s="49">
        <v>1.5218706481291238</v>
      </c>
      <c r="I130" s="248"/>
      <c r="J130" s="51">
        <v>9.1317946259388627</v>
      </c>
      <c r="K130" s="248"/>
      <c r="L130" s="49">
        <v>3.4244229847270735</v>
      </c>
      <c r="M130" s="248"/>
      <c r="N130" s="28"/>
      <c r="O130" s="47" t="s">
        <v>124</v>
      </c>
      <c r="P130" s="67">
        <v>19.119694998059494</v>
      </c>
      <c r="Q130" s="49"/>
      <c r="R130" s="169"/>
      <c r="S130" s="28"/>
      <c r="T130" s="47" t="s">
        <v>124</v>
      </c>
      <c r="U130" s="51">
        <v>19.119694998059494</v>
      </c>
      <c r="V130" s="248"/>
      <c r="W130" s="169"/>
      <c r="X130" s="252"/>
      <c r="Y130" s="169"/>
    </row>
    <row r="131" spans="1:26" ht="48" customHeight="1">
      <c r="A131" s="254"/>
      <c r="B131" s="254"/>
      <c r="C131" s="257"/>
      <c r="D131" s="260"/>
      <c r="E131" s="28"/>
      <c r="F131" s="55" t="s">
        <v>125</v>
      </c>
      <c r="G131" s="56">
        <v>5.3603502194989856</v>
      </c>
      <c r="H131" s="56">
        <v>0.76572329361658831</v>
      </c>
      <c r="I131" s="249"/>
      <c r="J131" s="56">
        <v>4.5946269258823973</v>
      </c>
      <c r="K131" s="249"/>
      <c r="L131" s="56">
        <v>1.7229850972058991</v>
      </c>
      <c r="M131" s="249"/>
      <c r="N131" s="25"/>
      <c r="O131" s="55" t="s">
        <v>125</v>
      </c>
      <c r="P131" s="69">
        <v>9.6200001260662695</v>
      </c>
      <c r="Q131" s="56"/>
      <c r="R131" s="170"/>
      <c r="S131" s="25"/>
      <c r="T131" s="55" t="s">
        <v>125</v>
      </c>
      <c r="U131" s="56">
        <v>9.6200001260662695</v>
      </c>
      <c r="V131" s="249"/>
      <c r="W131" s="170"/>
      <c r="X131" s="253"/>
      <c r="Y131" s="169"/>
    </row>
    <row r="132" spans="1:26" ht="30.5">
      <c r="A132" s="254">
        <v>0</v>
      </c>
      <c r="B132" s="254" t="s">
        <v>182</v>
      </c>
      <c r="C132" s="256" t="s">
        <v>71</v>
      </c>
      <c r="D132" s="259" t="s">
        <v>126</v>
      </c>
      <c r="E132" s="28"/>
      <c r="F132" s="61" t="s">
        <v>118</v>
      </c>
      <c r="G132" s="51">
        <v>457.6</v>
      </c>
      <c r="H132" s="51">
        <v>84.6</v>
      </c>
      <c r="I132" s="247" t="s">
        <v>345</v>
      </c>
      <c r="J132" s="51">
        <v>373</v>
      </c>
      <c r="K132" s="247" t="s">
        <v>507</v>
      </c>
      <c r="L132" s="49"/>
      <c r="M132" s="169"/>
      <c r="N132" s="28"/>
      <c r="O132" s="61" t="s">
        <v>118</v>
      </c>
      <c r="P132" s="63">
        <v>165.8</v>
      </c>
      <c r="Q132" s="51">
        <v>45.8</v>
      </c>
      <c r="R132" s="247" t="s">
        <v>346</v>
      </c>
      <c r="S132" s="28"/>
      <c r="T132" s="61" t="s">
        <v>118</v>
      </c>
      <c r="U132" s="51">
        <v>120</v>
      </c>
      <c r="V132" s="247" t="s">
        <v>347</v>
      </c>
      <c r="W132" s="49"/>
      <c r="X132" s="247" t="s">
        <v>348</v>
      </c>
      <c r="Y132" s="169"/>
    </row>
    <row r="133" spans="1:26" ht="38">
      <c r="A133" s="254"/>
      <c r="B133" s="254"/>
      <c r="C133" s="256"/>
      <c r="D133" s="259"/>
      <c r="E133" s="28"/>
      <c r="F133" s="47" t="s">
        <v>124</v>
      </c>
      <c r="G133" s="49">
        <v>9.2220878677952456</v>
      </c>
      <c r="H133" s="49">
        <v>1.7049576783555018</v>
      </c>
      <c r="I133" s="248"/>
      <c r="J133" s="49">
        <v>7.517130189439742</v>
      </c>
      <c r="K133" s="248"/>
      <c r="L133" s="49"/>
      <c r="M133" s="169"/>
      <c r="N133" s="28"/>
      <c r="O133" s="47" t="s">
        <v>124</v>
      </c>
      <c r="P133" s="116">
        <v>3.3413945989520357</v>
      </c>
      <c r="Q133" s="49">
        <v>0.92301491334139463</v>
      </c>
      <c r="R133" s="248"/>
      <c r="S133" s="28"/>
      <c r="T133" s="47" t="s">
        <v>124</v>
      </c>
      <c r="U133" s="49">
        <v>2.418379685610641</v>
      </c>
      <c r="V133" s="248"/>
      <c r="W133" s="49"/>
      <c r="X133" s="248"/>
      <c r="Y133" s="169"/>
    </row>
    <row r="134" spans="1:26" ht="38">
      <c r="A134" s="254"/>
      <c r="B134" s="254"/>
      <c r="C134" s="257"/>
      <c r="D134" s="260"/>
      <c r="E134" s="28"/>
      <c r="F134" s="55" t="s">
        <v>125</v>
      </c>
      <c r="G134" s="56">
        <v>2.5426457949039269</v>
      </c>
      <c r="H134" s="56">
        <v>0.47007830911029769</v>
      </c>
      <c r="I134" s="249"/>
      <c r="J134" s="56">
        <v>2.0725674857936291</v>
      </c>
      <c r="K134" s="249"/>
      <c r="L134" s="56"/>
      <c r="M134" s="169"/>
      <c r="N134" s="28"/>
      <c r="O134" s="55" t="s">
        <v>125</v>
      </c>
      <c r="P134" s="69">
        <v>0.92126458215706097</v>
      </c>
      <c r="Q134" s="56">
        <v>0.25448683873819899</v>
      </c>
      <c r="R134" s="249"/>
      <c r="S134" s="28"/>
      <c r="T134" s="55" t="s">
        <v>125</v>
      </c>
      <c r="U134" s="56">
        <v>0.66677774341886198</v>
      </c>
      <c r="V134" s="249"/>
      <c r="W134" s="56"/>
      <c r="X134" s="249"/>
      <c r="Y134" s="169"/>
    </row>
    <row r="135" spans="1:26" s="171" customFormat="1" ht="74.150000000000006" customHeight="1">
      <c r="A135" s="254">
        <v>0</v>
      </c>
      <c r="B135" s="254" t="s">
        <v>182</v>
      </c>
      <c r="C135" s="256" t="s">
        <v>72</v>
      </c>
      <c r="D135" s="258" t="s">
        <v>117</v>
      </c>
      <c r="E135" s="183"/>
      <c r="F135" s="61" t="s">
        <v>118</v>
      </c>
      <c r="G135" s="73">
        <v>175.5</v>
      </c>
      <c r="H135" s="95">
        <v>8.5</v>
      </c>
      <c r="I135" s="247" t="s">
        <v>349</v>
      </c>
      <c r="J135" s="73">
        <v>167</v>
      </c>
      <c r="K135" s="247" t="s">
        <v>350</v>
      </c>
      <c r="L135" s="74" t="s">
        <v>132</v>
      </c>
      <c r="M135" s="247" t="s">
        <v>351</v>
      </c>
      <c r="N135" s="183"/>
      <c r="O135" s="47" t="s">
        <v>118</v>
      </c>
      <c r="P135" s="63">
        <v>124</v>
      </c>
      <c r="Q135" s="106">
        <v>50</v>
      </c>
      <c r="R135" s="247" t="s">
        <v>352</v>
      </c>
      <c r="S135" s="183"/>
      <c r="T135" s="130" t="s">
        <v>118</v>
      </c>
      <c r="U135" s="131">
        <v>74</v>
      </c>
      <c r="V135" s="247" t="s">
        <v>353</v>
      </c>
      <c r="W135" s="131"/>
      <c r="X135" s="247"/>
      <c r="Y135" s="132" t="s">
        <v>354</v>
      </c>
      <c r="Z135" s="183"/>
    </row>
    <row r="136" spans="1:26" s="171" customFormat="1" ht="89.15" customHeight="1">
      <c r="A136" s="254"/>
      <c r="B136" s="254"/>
      <c r="C136" s="256"/>
      <c r="D136" s="259"/>
      <c r="F136" s="47" t="s">
        <v>124</v>
      </c>
      <c r="G136" s="51">
        <v>44.709731424704025</v>
      </c>
      <c r="H136" s="49">
        <v>2.1654285875212778</v>
      </c>
      <c r="I136" s="248"/>
      <c r="J136" s="51">
        <v>42.544302837182748</v>
      </c>
      <c r="K136" s="248"/>
      <c r="L136" s="169"/>
      <c r="M136" s="248"/>
      <c r="O136" s="47" t="s">
        <v>124</v>
      </c>
      <c r="P136" s="67">
        <v>31.58978174736923</v>
      </c>
      <c r="Q136" s="52">
        <v>12.737815220713399</v>
      </c>
      <c r="R136" s="248"/>
      <c r="T136" s="47" t="s">
        <v>124</v>
      </c>
      <c r="U136" s="54">
        <v>18.851966526655829</v>
      </c>
      <c r="V136" s="248"/>
      <c r="W136" s="51"/>
      <c r="X136" s="248"/>
      <c r="Y136" s="169"/>
    </row>
    <row r="137" spans="1:26" ht="72" customHeight="1">
      <c r="A137" s="254"/>
      <c r="B137" s="254"/>
      <c r="C137" s="257"/>
      <c r="D137" s="260"/>
      <c r="E137" s="25"/>
      <c r="F137" s="55" t="s">
        <v>125</v>
      </c>
      <c r="G137" s="56">
        <v>7.6769895099565364</v>
      </c>
      <c r="H137" s="56">
        <v>0.37182000475572968</v>
      </c>
      <c r="I137" s="249"/>
      <c r="J137" s="56">
        <v>7.3051695052008068</v>
      </c>
      <c r="K137" s="249"/>
      <c r="L137" s="170"/>
      <c r="M137" s="249"/>
      <c r="N137" s="25"/>
      <c r="O137" s="55" t="s">
        <v>125</v>
      </c>
      <c r="P137" s="69">
        <v>5.4241977164365274</v>
      </c>
      <c r="Q137" s="58">
        <v>2.1871764985631157</v>
      </c>
      <c r="R137" s="249"/>
      <c r="S137" s="25"/>
      <c r="T137" s="55" t="s">
        <v>125</v>
      </c>
      <c r="U137" s="102">
        <v>3.2370212178734112</v>
      </c>
      <c r="V137" s="249"/>
      <c r="W137" s="56"/>
      <c r="X137" s="249"/>
      <c r="Y137" s="170"/>
      <c r="Z137" s="22"/>
    </row>
    <row r="138" spans="1:26" ht="164.15" customHeight="1">
      <c r="A138" s="254">
        <v>0</v>
      </c>
      <c r="B138" s="254" t="s">
        <v>182</v>
      </c>
      <c r="C138" s="256" t="s">
        <v>73</v>
      </c>
      <c r="D138" s="258" t="s">
        <v>126</v>
      </c>
      <c r="E138" s="28"/>
      <c r="F138" s="61" t="s">
        <v>118</v>
      </c>
      <c r="G138" s="51">
        <v>23.8</v>
      </c>
      <c r="H138" s="188">
        <v>12.8</v>
      </c>
      <c r="I138" s="247" t="s">
        <v>355</v>
      </c>
      <c r="J138" s="48">
        <v>11</v>
      </c>
      <c r="K138" s="247" t="s">
        <v>356</v>
      </c>
      <c r="L138" s="101"/>
      <c r="M138" s="264" t="s">
        <v>357</v>
      </c>
      <c r="N138" s="28"/>
      <c r="O138" s="47" t="s">
        <v>118</v>
      </c>
      <c r="P138" s="63">
        <v>33.700000000000003</v>
      </c>
      <c r="Q138" s="68">
        <v>1.7</v>
      </c>
      <c r="R138" s="247" t="s">
        <v>358</v>
      </c>
      <c r="S138" s="28"/>
      <c r="T138" s="47" t="s">
        <v>118</v>
      </c>
      <c r="U138" s="54">
        <v>32</v>
      </c>
      <c r="V138" s="272" t="s">
        <v>359</v>
      </c>
      <c r="W138" s="169"/>
      <c r="X138" s="169"/>
      <c r="Y138" s="169"/>
    </row>
    <row r="139" spans="1:26" ht="117" customHeight="1">
      <c r="A139" s="254"/>
      <c r="B139" s="254"/>
      <c r="C139" s="256"/>
      <c r="D139" s="259"/>
      <c r="E139" s="28"/>
      <c r="F139" s="47" t="s">
        <v>124</v>
      </c>
      <c r="G139" s="49">
        <v>5.6342966647716937</v>
      </c>
      <c r="H139" s="49">
        <v>3.0302099709696506</v>
      </c>
      <c r="I139" s="248"/>
      <c r="J139" s="49">
        <v>2.6040866938020431</v>
      </c>
      <c r="K139" s="248"/>
      <c r="L139" s="49"/>
      <c r="M139" s="265"/>
      <c r="N139" s="28"/>
      <c r="O139" s="47" t="s">
        <v>124</v>
      </c>
      <c r="P139" s="116">
        <v>7.9779746891935321</v>
      </c>
      <c r="Q139" s="49">
        <v>0.40244976176940667</v>
      </c>
      <c r="R139" s="248"/>
      <c r="S139" s="28"/>
      <c r="T139" s="47" t="s">
        <v>124</v>
      </c>
      <c r="U139" s="49">
        <v>7.5755249274241256</v>
      </c>
      <c r="V139" s="248"/>
      <c r="W139" s="169"/>
      <c r="X139" s="169"/>
      <c r="Y139" s="169"/>
    </row>
    <row r="140" spans="1:26" ht="95.15" customHeight="1">
      <c r="A140" s="254"/>
      <c r="B140" s="254"/>
      <c r="C140" s="257"/>
      <c r="D140" s="260"/>
      <c r="E140" s="28"/>
      <c r="F140" s="55" t="s">
        <v>125</v>
      </c>
      <c r="G140" s="56">
        <v>2.2661937174174835</v>
      </c>
      <c r="H140" s="56">
        <v>1.2187932597875542</v>
      </c>
      <c r="I140" s="249"/>
      <c r="J140" s="56">
        <v>1.0474004576299294</v>
      </c>
      <c r="K140" s="249"/>
      <c r="L140" s="56"/>
      <c r="M140" s="266"/>
      <c r="N140" s="25"/>
      <c r="O140" s="55" t="s">
        <v>125</v>
      </c>
      <c r="P140" s="69">
        <v>3.2088541292844197</v>
      </c>
      <c r="Q140" s="56">
        <v>0.16187097981553453</v>
      </c>
      <c r="R140" s="249"/>
      <c r="S140" s="25"/>
      <c r="T140" s="55" t="s">
        <v>125</v>
      </c>
      <c r="U140" s="56">
        <v>3.0469831494688853</v>
      </c>
      <c r="V140" s="249"/>
      <c r="W140" s="170"/>
      <c r="X140" s="170"/>
      <c r="Y140" s="169"/>
    </row>
    <row r="141" spans="1:26" ht="71.150000000000006" customHeight="1">
      <c r="A141" s="174"/>
      <c r="B141" s="174"/>
      <c r="C141" s="255" t="s">
        <v>74</v>
      </c>
      <c r="D141" s="258" t="s">
        <v>117</v>
      </c>
      <c r="E141" s="36"/>
      <c r="F141" s="47" t="s">
        <v>118</v>
      </c>
      <c r="G141" s="48">
        <v>308</v>
      </c>
      <c r="H141" s="74">
        <v>73</v>
      </c>
      <c r="I141" s="261" t="s">
        <v>360</v>
      </c>
      <c r="J141" s="48">
        <v>235</v>
      </c>
      <c r="K141" s="264" t="s">
        <v>361</v>
      </c>
      <c r="L141" s="48">
        <v>151</v>
      </c>
      <c r="M141" s="247" t="s">
        <v>362</v>
      </c>
      <c r="N141" s="36"/>
      <c r="O141" s="47" t="s">
        <v>118</v>
      </c>
      <c r="P141" s="63">
        <v>76.5</v>
      </c>
      <c r="Q141" s="121"/>
      <c r="R141" s="169"/>
      <c r="S141" s="36"/>
      <c r="T141" s="47" t="s">
        <v>118</v>
      </c>
      <c r="U141" s="48">
        <v>56.5</v>
      </c>
      <c r="V141" s="247" t="s">
        <v>363</v>
      </c>
      <c r="W141" s="51">
        <v>20</v>
      </c>
      <c r="X141" s="247" t="s">
        <v>364</v>
      </c>
      <c r="Y141" s="169"/>
    </row>
    <row r="142" spans="1:26" ht="84" customHeight="1">
      <c r="A142" s="174">
        <v>0</v>
      </c>
      <c r="B142" s="174" t="s">
        <v>182</v>
      </c>
      <c r="C142" s="256"/>
      <c r="D142" s="259"/>
      <c r="E142" s="36"/>
      <c r="F142" s="47" t="s">
        <v>124</v>
      </c>
      <c r="G142" s="49">
        <v>2.9244461804058437</v>
      </c>
      <c r="H142" s="49">
        <v>0.69313172457670968</v>
      </c>
      <c r="I142" s="262"/>
      <c r="J142" s="49">
        <v>2.2313144558291338</v>
      </c>
      <c r="K142" s="265"/>
      <c r="L142" s="49">
        <v>1.4337382248093584</v>
      </c>
      <c r="M142" s="248"/>
      <c r="N142" s="36"/>
      <c r="O142" s="47" t="s">
        <v>124</v>
      </c>
      <c r="P142" s="116">
        <v>0.72636406753586702</v>
      </c>
      <c r="Q142" s="121"/>
      <c r="R142" s="169"/>
      <c r="S142" s="36"/>
      <c r="T142" s="47" t="s">
        <v>124</v>
      </c>
      <c r="U142" s="49">
        <v>0.53646496491211093</v>
      </c>
      <c r="V142" s="248"/>
      <c r="W142" s="49">
        <v>0.18989910262375609</v>
      </c>
      <c r="X142" s="248"/>
      <c r="Y142" s="169"/>
    </row>
    <row r="143" spans="1:26" ht="47.15" customHeight="1">
      <c r="A143" s="174"/>
      <c r="B143" s="174"/>
      <c r="C143" s="257"/>
      <c r="D143" s="260"/>
      <c r="E143" s="25"/>
      <c r="F143" s="55" t="s">
        <v>125</v>
      </c>
      <c r="G143" s="56">
        <v>5.6239918201327903</v>
      </c>
      <c r="H143" s="56">
        <v>1.3329591002262784</v>
      </c>
      <c r="I143" s="263"/>
      <c r="J143" s="56">
        <v>4.2910327199065126</v>
      </c>
      <c r="K143" s="266"/>
      <c r="L143" s="56">
        <v>2.7572167689612055</v>
      </c>
      <c r="M143" s="249"/>
      <c r="N143" s="25"/>
      <c r="O143" s="55" t="s">
        <v>125</v>
      </c>
      <c r="P143" s="69">
        <v>1.3968680981823327</v>
      </c>
      <c r="Q143" s="58"/>
      <c r="R143" s="186"/>
      <c r="S143" s="25"/>
      <c r="T143" s="55" t="s">
        <v>125</v>
      </c>
      <c r="U143" s="56">
        <v>1.0316738241477359</v>
      </c>
      <c r="V143" s="249"/>
      <c r="W143" s="56">
        <v>0.36519427403459681</v>
      </c>
      <c r="X143" s="249"/>
      <c r="Y143" s="169"/>
    </row>
    <row r="144" spans="1:26" ht="254.15" customHeight="1">
      <c r="A144" s="254">
        <v>0</v>
      </c>
      <c r="B144" s="254" t="s">
        <v>182</v>
      </c>
      <c r="C144" s="256" t="s">
        <v>75</v>
      </c>
      <c r="D144" s="259" t="s">
        <v>214</v>
      </c>
      <c r="E144" s="28"/>
      <c r="F144" s="61" t="s">
        <v>118</v>
      </c>
      <c r="G144" s="105">
        <v>1290</v>
      </c>
      <c r="H144" s="49" t="s">
        <v>132</v>
      </c>
      <c r="I144" s="247" t="s">
        <v>365</v>
      </c>
      <c r="J144" s="49" t="s">
        <v>132</v>
      </c>
      <c r="K144" s="273" t="s">
        <v>366</v>
      </c>
      <c r="L144" s="49"/>
      <c r="M144" s="247" t="s">
        <v>367</v>
      </c>
      <c r="N144" s="28"/>
      <c r="O144" s="47" t="s">
        <v>118</v>
      </c>
      <c r="P144" s="63">
        <v>665</v>
      </c>
      <c r="Q144" s="51">
        <v>90</v>
      </c>
      <c r="R144" s="272" t="s">
        <v>368</v>
      </c>
      <c r="S144" s="28"/>
      <c r="T144" s="47" t="s">
        <v>118</v>
      </c>
      <c r="U144" s="51">
        <v>325</v>
      </c>
      <c r="V144" s="247" t="s">
        <v>369</v>
      </c>
      <c r="W144" s="51">
        <v>250</v>
      </c>
      <c r="X144" s="247" t="s">
        <v>370</v>
      </c>
      <c r="Y144" s="169"/>
    </row>
    <row r="145" spans="1:26" ht="223" customHeight="1">
      <c r="A145" s="254"/>
      <c r="B145" s="254"/>
      <c r="C145" s="256"/>
      <c r="D145" s="259"/>
      <c r="E145" s="28"/>
      <c r="F145" s="47" t="s">
        <v>124</v>
      </c>
      <c r="G145" s="51">
        <v>42.41070581454985</v>
      </c>
      <c r="H145" s="49"/>
      <c r="I145" s="248"/>
      <c r="J145" s="49"/>
      <c r="K145" s="248"/>
      <c r="L145" s="49"/>
      <c r="M145" s="248"/>
      <c r="N145" s="28"/>
      <c r="O145" s="47" t="s">
        <v>124</v>
      </c>
      <c r="P145" s="67">
        <v>21.862883229981122</v>
      </c>
      <c r="Q145" s="49">
        <v>2.9588864521778966</v>
      </c>
      <c r="R145" s="276"/>
      <c r="S145" s="28"/>
      <c r="T145" s="47" t="s">
        <v>124</v>
      </c>
      <c r="U145" s="51">
        <v>10.684867743975737</v>
      </c>
      <c r="V145" s="248"/>
      <c r="W145" s="49">
        <v>8.2191290338274907</v>
      </c>
      <c r="X145" s="248"/>
      <c r="Y145" s="169"/>
    </row>
    <row r="146" spans="1:26" ht="202" customHeight="1">
      <c r="A146" s="254"/>
      <c r="B146" s="254"/>
      <c r="C146" s="257"/>
      <c r="D146" s="260"/>
      <c r="E146" s="28"/>
      <c r="F146" s="55" t="s">
        <v>125</v>
      </c>
      <c r="G146" s="56">
        <v>8.2790021605857174</v>
      </c>
      <c r="H146" s="56"/>
      <c r="I146" s="249"/>
      <c r="J146" s="56"/>
      <c r="K146" s="249"/>
      <c r="L146" s="56"/>
      <c r="M146" s="249"/>
      <c r="N146" s="25"/>
      <c r="O146" s="55" t="s">
        <v>125</v>
      </c>
      <c r="P146" s="69">
        <v>4.267857702937599</v>
      </c>
      <c r="Q146" s="56">
        <v>0.57760480190132912</v>
      </c>
      <c r="R146" s="277"/>
      <c r="S146" s="25"/>
      <c r="T146" s="55" t="s">
        <v>125</v>
      </c>
      <c r="U146" s="56">
        <v>2.085795117977022</v>
      </c>
      <c r="V146" s="249"/>
      <c r="W146" s="56">
        <v>1.6044577830592475</v>
      </c>
      <c r="X146" s="249"/>
      <c r="Y146" s="169"/>
    </row>
    <row r="147" spans="1:26" s="171" customFormat="1" ht="85" customHeight="1">
      <c r="A147" s="254">
        <v>0</v>
      </c>
      <c r="B147" s="254" t="s">
        <v>182</v>
      </c>
      <c r="C147" s="255" t="s">
        <v>76</v>
      </c>
      <c r="D147" s="258" t="s">
        <v>117</v>
      </c>
      <c r="E147" s="183"/>
      <c r="F147" s="61" t="s">
        <v>118</v>
      </c>
      <c r="G147" s="95">
        <v>2.6859999999999999</v>
      </c>
      <c r="H147" s="95">
        <v>0.4</v>
      </c>
      <c r="I147" s="247" t="s">
        <v>371</v>
      </c>
      <c r="J147" s="95">
        <v>2.286</v>
      </c>
      <c r="K147" s="273" t="s">
        <v>372</v>
      </c>
      <c r="L147" s="95">
        <v>0.55500000000000005</v>
      </c>
      <c r="M147" s="247" t="s">
        <v>373</v>
      </c>
      <c r="N147" s="183"/>
      <c r="O147" s="61" t="s">
        <v>118</v>
      </c>
      <c r="P147" s="133">
        <v>0.5</v>
      </c>
      <c r="Q147" s="134">
        <v>0.3</v>
      </c>
      <c r="R147" s="247" t="s">
        <v>374</v>
      </c>
      <c r="S147" s="183"/>
      <c r="T147" s="61" t="s">
        <v>118</v>
      </c>
      <c r="U147" s="95">
        <v>0.2</v>
      </c>
      <c r="V147" s="247" t="s">
        <v>375</v>
      </c>
      <c r="W147" s="168"/>
      <c r="X147" s="168"/>
      <c r="Y147" s="247" t="s">
        <v>376</v>
      </c>
      <c r="Z147" s="183"/>
    </row>
    <row r="148" spans="1:26" s="171" customFormat="1" ht="85" customHeight="1">
      <c r="A148" s="254"/>
      <c r="B148" s="254"/>
      <c r="C148" s="256"/>
      <c r="D148" s="259"/>
      <c r="F148" s="47" t="s">
        <v>124</v>
      </c>
      <c r="G148" s="49">
        <v>0.94860176617429059</v>
      </c>
      <c r="H148" s="49">
        <v>0.14126608580406413</v>
      </c>
      <c r="I148" s="248"/>
      <c r="J148" s="49">
        <v>0.80733568037022652</v>
      </c>
      <c r="K148" s="248"/>
      <c r="L148" s="49">
        <v>0.196006694053139</v>
      </c>
      <c r="M148" s="248"/>
      <c r="O148" s="47" t="s">
        <v>124</v>
      </c>
      <c r="P148" s="116">
        <v>0.17658260725508018</v>
      </c>
      <c r="Q148" s="59">
        <v>0.1059495643530481</v>
      </c>
      <c r="R148" s="248"/>
      <c r="T148" s="47" t="s">
        <v>124</v>
      </c>
      <c r="U148" s="49">
        <v>7.0633042902032067E-2</v>
      </c>
      <c r="V148" s="248"/>
      <c r="W148" s="169"/>
      <c r="X148" s="169"/>
      <c r="Y148" s="248"/>
    </row>
    <row r="149" spans="1:26" ht="98.15" customHeight="1">
      <c r="A149" s="254"/>
      <c r="B149" s="254"/>
      <c r="C149" s="257"/>
      <c r="D149" s="260"/>
      <c r="E149" s="25"/>
      <c r="F149" s="55" t="s">
        <v>125</v>
      </c>
      <c r="G149" s="56">
        <v>2.4182894612809829</v>
      </c>
      <c r="H149" s="56">
        <v>0.36013245886537348</v>
      </c>
      <c r="I149" s="249"/>
      <c r="J149" s="56">
        <v>2.0581570024156091</v>
      </c>
      <c r="K149" s="249"/>
      <c r="L149" s="56">
        <v>0.49968378667570573</v>
      </c>
      <c r="M149" s="249"/>
      <c r="N149" s="25"/>
      <c r="O149" s="55" t="s">
        <v>125</v>
      </c>
      <c r="P149" s="69">
        <v>0.45016557358171677</v>
      </c>
      <c r="Q149" s="102">
        <v>0.27009934414903003</v>
      </c>
      <c r="R149" s="249"/>
      <c r="S149" s="25"/>
      <c r="T149" s="55" t="s">
        <v>125</v>
      </c>
      <c r="U149" s="56">
        <v>0.18006622943268674</v>
      </c>
      <c r="V149" s="249"/>
      <c r="W149" s="170"/>
      <c r="X149" s="170"/>
      <c r="Y149" s="249"/>
      <c r="Z149" s="22"/>
    </row>
    <row r="150" spans="1:26" s="171" customFormat="1" ht="67" customHeight="1">
      <c r="A150" s="254">
        <v>0</v>
      </c>
      <c r="B150" s="254" t="s">
        <v>182</v>
      </c>
      <c r="C150" s="255" t="s">
        <v>77</v>
      </c>
      <c r="D150" s="258" t="s">
        <v>117</v>
      </c>
      <c r="E150" s="183"/>
      <c r="F150" s="61" t="s">
        <v>118</v>
      </c>
      <c r="G150" s="73">
        <v>32</v>
      </c>
      <c r="H150" s="74" t="s">
        <v>132</v>
      </c>
      <c r="I150" s="247" t="s">
        <v>377</v>
      </c>
      <c r="J150" s="65" t="s">
        <v>132</v>
      </c>
      <c r="K150" s="247" t="s">
        <v>378</v>
      </c>
      <c r="L150" s="168"/>
      <c r="M150" s="168"/>
      <c r="N150" s="183"/>
      <c r="O150" s="61" t="s">
        <v>118</v>
      </c>
      <c r="P150" s="134" t="s">
        <v>132</v>
      </c>
      <c r="Q150" s="134" t="s">
        <v>132</v>
      </c>
      <c r="R150" s="247" t="s">
        <v>379</v>
      </c>
      <c r="S150" s="183"/>
      <c r="T150" s="61" t="s">
        <v>118</v>
      </c>
      <c r="U150" s="134" t="s">
        <v>132</v>
      </c>
      <c r="V150" s="247" t="s">
        <v>380</v>
      </c>
      <c r="W150" s="134" t="s">
        <v>132</v>
      </c>
      <c r="X150" s="247" t="s">
        <v>381</v>
      </c>
      <c r="Y150" s="168"/>
      <c r="Z150" s="183"/>
    </row>
    <row r="151" spans="1:26" s="171" customFormat="1" ht="56.15" customHeight="1">
      <c r="A151" s="254"/>
      <c r="B151" s="254"/>
      <c r="C151" s="256"/>
      <c r="D151" s="259"/>
      <c r="F151" s="47" t="s">
        <v>124</v>
      </c>
      <c r="G151" s="49">
        <v>8.7134104833219883</v>
      </c>
      <c r="H151" s="176"/>
      <c r="I151" s="248"/>
      <c r="J151" s="101"/>
      <c r="K151" s="248"/>
      <c r="L151" s="169"/>
      <c r="M151" s="169"/>
      <c r="O151" s="47" t="s">
        <v>124</v>
      </c>
      <c r="P151" s="169"/>
      <c r="Q151" s="121"/>
      <c r="R151" s="248"/>
      <c r="T151" s="47" t="s">
        <v>124</v>
      </c>
      <c r="U151" s="97"/>
      <c r="V151" s="248"/>
      <c r="W151" s="169"/>
      <c r="X151" s="248"/>
      <c r="Y151" s="169"/>
    </row>
    <row r="152" spans="1:26" ht="82" customHeight="1">
      <c r="A152" s="254"/>
      <c r="B152" s="254"/>
      <c r="C152" s="257"/>
      <c r="D152" s="260"/>
      <c r="E152" s="25"/>
      <c r="F152" s="55" t="s">
        <v>125</v>
      </c>
      <c r="G152" s="56">
        <v>2.4651263904404717</v>
      </c>
      <c r="H152" s="129"/>
      <c r="I152" s="249"/>
      <c r="J152" s="99"/>
      <c r="K152" s="249"/>
      <c r="L152" s="170"/>
      <c r="M152" s="170"/>
      <c r="N152" s="25"/>
      <c r="O152" s="55" t="s">
        <v>125</v>
      </c>
      <c r="P152" s="186"/>
      <c r="Q152" s="58"/>
      <c r="R152" s="249"/>
      <c r="S152" s="25"/>
      <c r="T152" s="55" t="s">
        <v>125</v>
      </c>
      <c r="U152" s="56"/>
      <c r="V152" s="249"/>
      <c r="W152" s="170"/>
      <c r="X152" s="249"/>
      <c r="Y152" s="170"/>
      <c r="Z152" s="22"/>
    </row>
    <row r="153" spans="1:26" s="171" customFormat="1" ht="109" customHeight="1">
      <c r="A153" s="254">
        <v>0</v>
      </c>
      <c r="B153" s="254" t="s">
        <v>382</v>
      </c>
      <c r="C153" s="255" t="s">
        <v>78</v>
      </c>
      <c r="D153" s="258" t="s">
        <v>126</v>
      </c>
      <c r="E153" s="183"/>
      <c r="F153" s="61" t="s">
        <v>118</v>
      </c>
      <c r="G153" s="117">
        <v>353.14</v>
      </c>
      <c r="H153" s="117">
        <v>25.61</v>
      </c>
      <c r="I153" s="247" t="s">
        <v>383</v>
      </c>
      <c r="J153" s="117">
        <v>327.52999999999997</v>
      </c>
      <c r="K153" s="247" t="s">
        <v>384</v>
      </c>
      <c r="L153" s="168"/>
      <c r="M153" s="168"/>
      <c r="N153" s="183"/>
      <c r="O153" s="61" t="s">
        <v>118</v>
      </c>
      <c r="P153" s="133"/>
      <c r="Q153" s="106"/>
      <c r="R153" s="247"/>
      <c r="S153" s="183"/>
      <c r="T153" s="61" t="s">
        <v>118</v>
      </c>
      <c r="U153" s="95"/>
      <c r="V153" s="168"/>
      <c r="W153" s="168"/>
      <c r="X153" s="168"/>
      <c r="Y153" s="168"/>
      <c r="Z153" s="183"/>
    </row>
    <row r="154" spans="1:26" s="36" customFormat="1" ht="162" customHeight="1">
      <c r="A154" s="254"/>
      <c r="B154" s="254"/>
      <c r="C154" s="256"/>
      <c r="D154" s="259"/>
      <c r="E154" s="171"/>
      <c r="F154" s="47" t="s">
        <v>124</v>
      </c>
      <c r="G154" s="49">
        <v>4.190589929218528</v>
      </c>
      <c r="H154" s="49">
        <v>0.30390498976974151</v>
      </c>
      <c r="I154" s="248"/>
      <c r="J154" s="49">
        <v>3.8866849394487866</v>
      </c>
      <c r="K154" s="248"/>
      <c r="L154" s="169"/>
      <c r="M154" s="169"/>
      <c r="N154" s="171"/>
      <c r="O154" s="47" t="s">
        <v>124</v>
      </c>
      <c r="P154" s="116"/>
      <c r="Q154" s="68"/>
      <c r="R154" s="248"/>
      <c r="S154" s="171"/>
      <c r="T154" s="47" t="s">
        <v>124</v>
      </c>
      <c r="U154" s="97"/>
      <c r="V154" s="169"/>
      <c r="W154" s="169"/>
      <c r="X154" s="169"/>
      <c r="Y154" s="169"/>
      <c r="Z154" s="171"/>
    </row>
    <row r="155" spans="1:26" ht="163" customHeight="1">
      <c r="A155" s="254"/>
      <c r="B155" s="254"/>
      <c r="C155" s="257"/>
      <c r="D155" s="260"/>
      <c r="E155" s="25"/>
      <c r="F155" s="55" t="s">
        <v>125</v>
      </c>
      <c r="G155" s="56">
        <v>1.2725932342664057</v>
      </c>
      <c r="H155" s="56">
        <v>9.2289496317501982E-2</v>
      </c>
      <c r="I155" s="249"/>
      <c r="J155" s="56">
        <v>1.1803037379489036</v>
      </c>
      <c r="K155" s="249"/>
      <c r="L155" s="170"/>
      <c r="M155" s="170"/>
      <c r="N155" s="25"/>
      <c r="O155" s="55" t="s">
        <v>125</v>
      </c>
      <c r="P155" s="69"/>
      <c r="Q155" s="58"/>
      <c r="R155" s="249"/>
      <c r="S155" s="25"/>
      <c r="T155" s="55" t="s">
        <v>125</v>
      </c>
      <c r="U155" s="56"/>
      <c r="V155" s="170"/>
      <c r="W155" s="170"/>
      <c r="X155" s="170"/>
      <c r="Y155" s="169"/>
    </row>
    <row r="156" spans="1:26" ht="68.150000000000006" customHeight="1">
      <c r="A156" s="254">
        <v>0</v>
      </c>
      <c r="B156" s="254" t="s">
        <v>382</v>
      </c>
      <c r="C156" s="256" t="s">
        <v>79</v>
      </c>
      <c r="D156" s="259" t="s">
        <v>126</v>
      </c>
      <c r="E156" s="28"/>
      <c r="F156" s="47" t="s">
        <v>118</v>
      </c>
      <c r="G156" s="51">
        <v>52</v>
      </c>
      <c r="H156" s="48">
        <v>16</v>
      </c>
      <c r="I156" s="247" t="s">
        <v>385</v>
      </c>
      <c r="J156" s="48">
        <v>35</v>
      </c>
      <c r="K156" s="247" t="s">
        <v>386</v>
      </c>
      <c r="L156" s="169"/>
      <c r="M156" s="169"/>
      <c r="N156" s="28"/>
      <c r="O156" s="61" t="s">
        <v>118</v>
      </c>
      <c r="P156" s="63">
        <v>21</v>
      </c>
      <c r="Q156" s="72">
        <v>21</v>
      </c>
      <c r="R156" s="247" t="s">
        <v>387</v>
      </c>
      <c r="S156" s="28"/>
      <c r="T156" s="61" t="s">
        <v>118</v>
      </c>
      <c r="U156" s="49"/>
      <c r="V156" s="169"/>
      <c r="W156" s="169"/>
      <c r="X156" s="169"/>
      <c r="Y156" s="169"/>
    </row>
    <row r="157" spans="1:26" ht="68.150000000000006" customHeight="1">
      <c r="A157" s="254"/>
      <c r="B157" s="254"/>
      <c r="C157" s="256"/>
      <c r="D157" s="259"/>
      <c r="E157" s="28"/>
      <c r="F157" s="47" t="s">
        <v>124</v>
      </c>
      <c r="G157" s="49">
        <v>1.4882547168188784</v>
      </c>
      <c r="H157" s="49">
        <v>0.45792452825196261</v>
      </c>
      <c r="I157" s="248"/>
      <c r="J157" s="49">
        <v>1.0017099055511682</v>
      </c>
      <c r="K157" s="248"/>
      <c r="L157" s="49"/>
      <c r="M157" s="169"/>
      <c r="N157" s="28"/>
      <c r="O157" s="47" t="s">
        <v>124</v>
      </c>
      <c r="P157" s="116">
        <v>0.60102594333070092</v>
      </c>
      <c r="Q157" s="68">
        <v>0.60102594333070092</v>
      </c>
      <c r="R157" s="248"/>
      <c r="S157" s="28"/>
      <c r="T157" s="47" t="s">
        <v>124</v>
      </c>
      <c r="U157" s="49"/>
      <c r="V157" s="169"/>
      <c r="W157" s="169"/>
      <c r="X157" s="169"/>
      <c r="Y157" s="169"/>
    </row>
    <row r="158" spans="1:26" ht="31" customHeight="1">
      <c r="A158" s="254"/>
      <c r="B158" s="254"/>
      <c r="C158" s="257"/>
      <c r="D158" s="260"/>
      <c r="E158" s="25"/>
      <c r="F158" s="55" t="s">
        <v>125</v>
      </c>
      <c r="G158" s="56">
        <v>1.5410379122087119</v>
      </c>
      <c r="H158" s="56">
        <v>0.4741655114488344</v>
      </c>
      <c r="I158" s="249"/>
      <c r="J158" s="56">
        <v>1.0372370562943254</v>
      </c>
      <c r="K158" s="249"/>
      <c r="L158" s="56"/>
      <c r="M158" s="170"/>
      <c r="N158" s="25"/>
      <c r="O158" s="55" t="s">
        <v>125</v>
      </c>
      <c r="P158" s="69">
        <v>0.62234223377659526</v>
      </c>
      <c r="Q158" s="58">
        <v>0.62234223377659526</v>
      </c>
      <c r="R158" s="249"/>
      <c r="S158" s="25"/>
      <c r="T158" s="55" t="s">
        <v>125</v>
      </c>
      <c r="U158" s="56"/>
      <c r="V158" s="170"/>
      <c r="W158" s="170"/>
      <c r="X158" s="170"/>
      <c r="Y158" s="169"/>
    </row>
    <row r="159" spans="1:26" ht="63" customHeight="1">
      <c r="A159" s="254">
        <v>0</v>
      </c>
      <c r="B159" s="254" t="s">
        <v>382</v>
      </c>
      <c r="C159" s="256" t="s">
        <v>80</v>
      </c>
      <c r="D159" s="259" t="s">
        <v>126</v>
      </c>
      <c r="E159" s="28"/>
      <c r="F159" s="47" t="s">
        <v>118</v>
      </c>
      <c r="G159" s="49">
        <v>11.2</v>
      </c>
      <c r="H159" s="97">
        <v>0.57199999999999995</v>
      </c>
      <c r="I159" s="247" t="s">
        <v>388</v>
      </c>
      <c r="J159" s="49">
        <v>10.628</v>
      </c>
      <c r="K159" s="247" t="s">
        <v>389</v>
      </c>
      <c r="L159" s="169" t="s">
        <v>132</v>
      </c>
      <c r="M159" s="247" t="s">
        <v>390</v>
      </c>
      <c r="N159" s="28"/>
      <c r="O159" s="61" t="s">
        <v>118</v>
      </c>
      <c r="P159" s="133">
        <v>1.2</v>
      </c>
      <c r="Q159" s="135">
        <v>1.2</v>
      </c>
      <c r="R159" s="264" t="s">
        <v>391</v>
      </c>
      <c r="S159" s="28"/>
      <c r="T159" s="61" t="s">
        <v>118</v>
      </c>
      <c r="U159" s="49"/>
      <c r="V159" s="169"/>
      <c r="W159" s="169"/>
      <c r="X159" s="169"/>
      <c r="Y159" s="169"/>
    </row>
    <row r="160" spans="1:26" ht="38.15" customHeight="1">
      <c r="A160" s="254"/>
      <c r="B160" s="254"/>
      <c r="C160" s="256"/>
      <c r="D160" s="259"/>
      <c r="E160" s="28"/>
      <c r="F160" s="47" t="s">
        <v>124</v>
      </c>
      <c r="G160" s="49">
        <v>1.9415775419650416</v>
      </c>
      <c r="H160" s="49">
        <v>9.9159138750357478E-2</v>
      </c>
      <c r="I160" s="248"/>
      <c r="J160" s="49">
        <v>1.8424184032146842</v>
      </c>
      <c r="K160" s="248"/>
      <c r="L160" s="49"/>
      <c r="M160" s="248"/>
      <c r="N160" s="28"/>
      <c r="O160" s="47" t="s">
        <v>124</v>
      </c>
      <c r="P160" s="116">
        <v>0.20802616521054018</v>
      </c>
      <c r="Q160" s="49">
        <v>0.20802616521054018</v>
      </c>
      <c r="R160" s="265"/>
      <c r="S160" s="28"/>
      <c r="T160" s="47" t="s">
        <v>124</v>
      </c>
      <c r="U160" s="49"/>
      <c r="V160" s="169"/>
      <c r="W160" s="169"/>
      <c r="X160" s="169"/>
      <c r="Y160" s="169"/>
    </row>
    <row r="161" spans="1:26" ht="45" customHeight="1">
      <c r="A161" s="254"/>
      <c r="B161" s="254"/>
      <c r="C161" s="257"/>
      <c r="D161" s="260"/>
      <c r="E161" s="25"/>
      <c r="F161" s="55" t="s">
        <v>125</v>
      </c>
      <c r="G161" s="56">
        <v>2.8833694498395888</v>
      </c>
      <c r="H161" s="56">
        <v>0.14725779690252186</v>
      </c>
      <c r="I161" s="249"/>
      <c r="J161" s="56">
        <v>2.7361116529370668</v>
      </c>
      <c r="K161" s="249"/>
      <c r="L161" s="56"/>
      <c r="M161" s="249"/>
      <c r="N161" s="25"/>
      <c r="O161" s="55" t="s">
        <v>125</v>
      </c>
      <c r="P161" s="69">
        <v>0.30893244105424167</v>
      </c>
      <c r="Q161" s="56">
        <v>0.30893244105424167</v>
      </c>
      <c r="R161" s="266"/>
      <c r="S161" s="25"/>
      <c r="T161" s="55" t="s">
        <v>125</v>
      </c>
      <c r="U161" s="56"/>
      <c r="V161" s="170"/>
      <c r="W161" s="170"/>
      <c r="X161" s="170"/>
      <c r="Y161" s="169"/>
    </row>
    <row r="162" spans="1:26" ht="30.5">
      <c r="A162" s="254">
        <v>0</v>
      </c>
      <c r="B162" s="254" t="s">
        <v>382</v>
      </c>
      <c r="C162" s="255" t="s">
        <v>81</v>
      </c>
      <c r="D162" s="258" t="s">
        <v>126</v>
      </c>
      <c r="E162" s="60"/>
      <c r="F162" s="61" t="s">
        <v>118</v>
      </c>
      <c r="G162" s="62">
        <v>41.980000000000004</v>
      </c>
      <c r="H162" s="117">
        <v>35.06</v>
      </c>
      <c r="I162" s="273" t="s">
        <v>392</v>
      </c>
      <c r="J162" s="65">
        <v>6.92</v>
      </c>
      <c r="K162" s="264" t="s">
        <v>393</v>
      </c>
      <c r="L162" s="168"/>
      <c r="M162" s="168"/>
      <c r="N162" s="60"/>
      <c r="O162" s="61" t="s">
        <v>118</v>
      </c>
      <c r="P162" s="63">
        <v>15</v>
      </c>
      <c r="Q162" s="62">
        <v>15</v>
      </c>
      <c r="R162" s="247" t="s">
        <v>394</v>
      </c>
      <c r="S162" s="60"/>
      <c r="T162" s="61" t="s">
        <v>118</v>
      </c>
      <c r="U162" s="65"/>
      <c r="V162" s="168"/>
      <c r="W162" s="168"/>
      <c r="X162" s="168"/>
      <c r="Y162" s="169"/>
    </row>
    <row r="163" spans="1:26" ht="38">
      <c r="A163" s="254"/>
      <c r="B163" s="254"/>
      <c r="C163" s="256"/>
      <c r="D163" s="259"/>
      <c r="E163" s="28"/>
      <c r="F163" s="47" t="s">
        <v>124</v>
      </c>
      <c r="G163" s="49">
        <v>7.1752477144293628E-2</v>
      </c>
      <c r="H163" s="49">
        <v>5.9924770097163751E-2</v>
      </c>
      <c r="I163" s="274"/>
      <c r="J163" s="49">
        <v>1.1827707047129868E-2</v>
      </c>
      <c r="K163" s="248"/>
      <c r="L163" s="49"/>
      <c r="M163" s="169"/>
      <c r="N163" s="28"/>
      <c r="O163" s="47" t="s">
        <v>124</v>
      </c>
      <c r="P163" s="116">
        <v>2.5638093310252602E-2</v>
      </c>
      <c r="Q163" s="49">
        <v>2.5638093310252602E-2</v>
      </c>
      <c r="R163" s="248"/>
      <c r="S163" s="28"/>
      <c r="T163" s="47" t="s">
        <v>124</v>
      </c>
      <c r="U163" s="49"/>
      <c r="V163" s="169"/>
      <c r="W163" s="169"/>
      <c r="X163" s="169"/>
      <c r="Y163" s="169"/>
    </row>
    <row r="164" spans="1:26" ht="38">
      <c r="A164" s="254"/>
      <c r="B164" s="254"/>
      <c r="C164" s="257"/>
      <c r="D164" s="260"/>
      <c r="E164" s="25"/>
      <c r="F164" s="55" t="s">
        <v>125</v>
      </c>
      <c r="G164" s="56">
        <v>5.1553452632492336</v>
      </c>
      <c r="H164" s="56">
        <v>4.305536086934687</v>
      </c>
      <c r="I164" s="275"/>
      <c r="J164" s="56">
        <v>0.84980917631454733</v>
      </c>
      <c r="K164" s="249"/>
      <c r="L164" s="56"/>
      <c r="M164" s="170"/>
      <c r="N164" s="25"/>
      <c r="O164" s="55" t="s">
        <v>125</v>
      </c>
      <c r="P164" s="69">
        <v>1.8420719139766197</v>
      </c>
      <c r="Q164" s="56">
        <v>1.8420719139766197</v>
      </c>
      <c r="R164" s="249"/>
      <c r="S164" s="25"/>
      <c r="T164" s="55" t="s">
        <v>125</v>
      </c>
      <c r="U164" s="56"/>
      <c r="V164" s="170"/>
      <c r="W164" s="170"/>
      <c r="X164" s="170"/>
      <c r="Y164" s="169"/>
    </row>
    <row r="165" spans="1:26" s="183" customFormat="1" ht="44.15" customHeight="1">
      <c r="A165" s="254">
        <v>0</v>
      </c>
      <c r="B165" s="254" t="s">
        <v>382</v>
      </c>
      <c r="C165" s="255" t="s">
        <v>82</v>
      </c>
      <c r="D165" s="258" t="s">
        <v>126</v>
      </c>
      <c r="E165" s="136"/>
      <c r="F165" s="61" t="s">
        <v>118</v>
      </c>
      <c r="G165" s="73">
        <v>13.6</v>
      </c>
      <c r="H165" s="74">
        <v>5.6</v>
      </c>
      <c r="I165" s="261" t="s">
        <v>395</v>
      </c>
      <c r="J165" s="95">
        <v>8</v>
      </c>
      <c r="K165" s="247" t="s">
        <v>396</v>
      </c>
      <c r="L165" s="168"/>
      <c r="M165" s="247" t="s">
        <v>397</v>
      </c>
      <c r="N165" s="136"/>
      <c r="O165" s="61" t="s">
        <v>118</v>
      </c>
      <c r="P165" s="63">
        <v>12.475</v>
      </c>
      <c r="Q165" s="96"/>
      <c r="R165" s="168"/>
      <c r="S165" s="136"/>
      <c r="T165" s="61" t="s">
        <v>118</v>
      </c>
      <c r="U165" s="95">
        <v>6.875</v>
      </c>
      <c r="V165" s="247" t="s">
        <v>398</v>
      </c>
      <c r="W165" s="74">
        <v>5.6</v>
      </c>
      <c r="X165" s="247" t="s">
        <v>399</v>
      </c>
      <c r="Y165" s="168"/>
      <c r="Z165" s="30"/>
    </row>
    <row r="166" spans="1:26" ht="44.15" customHeight="1">
      <c r="A166" s="254"/>
      <c r="B166" s="254"/>
      <c r="C166" s="256"/>
      <c r="D166" s="259"/>
      <c r="E166" s="28"/>
      <c r="F166" s="47" t="s">
        <v>124</v>
      </c>
      <c r="G166" s="49">
        <v>0.54491588362042265</v>
      </c>
      <c r="H166" s="49">
        <v>0.22437712854958577</v>
      </c>
      <c r="I166" s="262"/>
      <c r="J166" s="49">
        <v>0.32053875507083684</v>
      </c>
      <c r="K166" s="248"/>
      <c r="L166" s="169"/>
      <c r="M166" s="248"/>
      <c r="N166" s="28"/>
      <c r="O166" s="47" t="s">
        <v>124</v>
      </c>
      <c r="P166" s="116">
        <v>0.49984012118858623</v>
      </c>
      <c r="Q166" s="68"/>
      <c r="R166" s="169"/>
      <c r="S166" s="28"/>
      <c r="T166" s="47" t="s">
        <v>124</v>
      </c>
      <c r="U166" s="49">
        <v>0.27546299263900043</v>
      </c>
      <c r="V166" s="248"/>
      <c r="W166" s="49">
        <v>0.22437712854958577</v>
      </c>
      <c r="X166" s="248"/>
      <c r="Y166" s="169"/>
    </row>
    <row r="167" spans="1:26" ht="44.15" customHeight="1">
      <c r="A167" s="254"/>
      <c r="B167" s="254"/>
      <c r="C167" s="257"/>
      <c r="D167" s="260"/>
      <c r="E167" s="25"/>
      <c r="F167" s="55" t="s">
        <v>125</v>
      </c>
      <c r="G167" s="56">
        <v>2.2719587745556735</v>
      </c>
      <c r="H167" s="56">
        <v>0.93551243658174776</v>
      </c>
      <c r="I167" s="263"/>
      <c r="J167" s="56">
        <v>1.3364463379739255</v>
      </c>
      <c r="K167" s="249"/>
      <c r="L167" s="170"/>
      <c r="M167" s="249"/>
      <c r="N167" s="25"/>
      <c r="O167" s="55" t="s">
        <v>125</v>
      </c>
      <c r="P167" s="69">
        <v>2.0840210082780901</v>
      </c>
      <c r="Q167" s="58"/>
      <c r="R167" s="170"/>
      <c r="S167" s="25"/>
      <c r="T167" s="55" t="s">
        <v>125</v>
      </c>
      <c r="U167" s="56">
        <v>1.1485085716963424</v>
      </c>
      <c r="V167" s="249"/>
      <c r="W167" s="56">
        <v>0.93551243658174776</v>
      </c>
      <c r="X167" s="249"/>
      <c r="Y167" s="170"/>
      <c r="Z167" s="22"/>
    </row>
    <row r="168" spans="1:26" ht="70" customHeight="1">
      <c r="A168" s="254">
        <v>0</v>
      </c>
      <c r="B168" s="254" t="s">
        <v>382</v>
      </c>
      <c r="C168" s="256" t="s">
        <v>83</v>
      </c>
      <c r="D168" s="259" t="s">
        <v>126</v>
      </c>
      <c r="E168" s="28"/>
      <c r="F168" s="61" t="s">
        <v>118</v>
      </c>
      <c r="G168" s="51">
        <v>249.6</v>
      </c>
      <c r="H168" s="49">
        <v>7.6</v>
      </c>
      <c r="I168" s="247" t="s">
        <v>400</v>
      </c>
      <c r="J168" s="48">
        <v>242</v>
      </c>
      <c r="K168" s="247" t="s">
        <v>401</v>
      </c>
      <c r="L168" s="101">
        <v>33</v>
      </c>
      <c r="M168" s="247" t="s">
        <v>402</v>
      </c>
      <c r="N168" s="28"/>
      <c r="O168" s="61" t="s">
        <v>118</v>
      </c>
      <c r="P168" s="133"/>
      <c r="Q168" s="59"/>
      <c r="R168" s="169"/>
      <c r="S168" s="28"/>
      <c r="T168" s="61" t="s">
        <v>118</v>
      </c>
      <c r="U168" s="49"/>
      <c r="V168" s="169"/>
      <c r="W168" s="169"/>
      <c r="X168" s="169"/>
      <c r="Y168" s="169"/>
    </row>
    <row r="169" spans="1:26" ht="70" customHeight="1">
      <c r="A169" s="254"/>
      <c r="B169" s="254"/>
      <c r="C169" s="256"/>
      <c r="D169" s="259"/>
      <c r="E169" s="28"/>
      <c r="F169" s="47" t="s">
        <v>124</v>
      </c>
      <c r="G169" s="49">
        <v>2.3722022651366337</v>
      </c>
      <c r="H169" s="49">
        <v>7.223051768845519E-2</v>
      </c>
      <c r="I169" s="248"/>
      <c r="J169" s="49">
        <v>2.2999717474481787</v>
      </c>
      <c r="K169" s="248"/>
      <c r="L169" s="49">
        <v>0.3136325110156607</v>
      </c>
      <c r="M169" s="248"/>
      <c r="N169" s="28"/>
      <c r="O169" s="47" t="s">
        <v>124</v>
      </c>
      <c r="P169" s="116"/>
      <c r="Q169" s="49"/>
      <c r="R169" s="169"/>
      <c r="S169" s="28"/>
      <c r="T169" s="47" t="s">
        <v>124</v>
      </c>
      <c r="U169" s="49"/>
      <c r="V169" s="169"/>
      <c r="W169" s="169"/>
      <c r="X169" s="169"/>
      <c r="Y169" s="169"/>
    </row>
    <row r="170" spans="1:26" ht="70" customHeight="1">
      <c r="A170" s="254"/>
      <c r="B170" s="254"/>
      <c r="C170" s="257"/>
      <c r="D170" s="260"/>
      <c r="E170" s="25"/>
      <c r="F170" s="55" t="s">
        <v>125</v>
      </c>
      <c r="G170" s="56">
        <v>2.3882593762032762</v>
      </c>
      <c r="H170" s="56">
        <v>7.2719436134394619E-2</v>
      </c>
      <c r="I170" s="249"/>
      <c r="J170" s="56">
        <v>2.3155399400688812</v>
      </c>
      <c r="K170" s="249"/>
      <c r="L170" s="56">
        <v>0.31575544637302927</v>
      </c>
      <c r="M170" s="249"/>
      <c r="N170" s="28"/>
      <c r="O170" s="55" t="s">
        <v>125</v>
      </c>
      <c r="P170" s="69"/>
      <c r="Q170" s="56"/>
      <c r="R170" s="170"/>
      <c r="S170" s="25"/>
      <c r="T170" s="55" t="s">
        <v>125</v>
      </c>
      <c r="U170" s="56"/>
      <c r="V170" s="170"/>
      <c r="W170" s="170"/>
      <c r="X170" s="170"/>
      <c r="Y170" s="169"/>
    </row>
    <row r="171" spans="1:26" ht="94" customHeight="1">
      <c r="A171" s="254">
        <v>0</v>
      </c>
      <c r="B171" s="254" t="s">
        <v>382</v>
      </c>
      <c r="C171" s="255" t="s">
        <v>84</v>
      </c>
      <c r="D171" s="258" t="s">
        <v>214</v>
      </c>
      <c r="E171" s="28"/>
      <c r="F171" s="61" t="s">
        <v>118</v>
      </c>
      <c r="G171" s="51">
        <v>992</v>
      </c>
      <c r="H171" s="51">
        <v>185</v>
      </c>
      <c r="I171" s="272" t="s">
        <v>403</v>
      </c>
      <c r="J171" s="51">
        <v>807</v>
      </c>
      <c r="K171" s="247" t="s">
        <v>404</v>
      </c>
      <c r="L171" s="49"/>
      <c r="M171" s="169"/>
      <c r="N171" s="28"/>
      <c r="O171" s="61" t="s">
        <v>118</v>
      </c>
      <c r="P171" s="137">
        <v>300</v>
      </c>
      <c r="Q171" s="51">
        <v>300</v>
      </c>
      <c r="R171" s="247" t="s">
        <v>405</v>
      </c>
      <c r="S171" s="28"/>
      <c r="T171" s="61" t="s">
        <v>118</v>
      </c>
      <c r="U171" s="49"/>
      <c r="V171" s="169"/>
      <c r="W171" s="169"/>
      <c r="X171" s="169"/>
      <c r="Y171" s="169"/>
    </row>
    <row r="172" spans="1:26" ht="70" customHeight="1">
      <c r="A172" s="254"/>
      <c r="B172" s="254"/>
      <c r="C172" s="256"/>
      <c r="D172" s="259"/>
      <c r="E172" s="28"/>
      <c r="F172" s="47" t="s">
        <v>124</v>
      </c>
      <c r="G172" s="49">
        <v>0.61729948814161151</v>
      </c>
      <c r="H172" s="49">
        <v>0.11512137631673199</v>
      </c>
      <c r="I172" s="248"/>
      <c r="J172" s="49">
        <v>0.50217811182487959</v>
      </c>
      <c r="K172" s="248"/>
      <c r="L172" s="49"/>
      <c r="M172" s="169"/>
      <c r="N172" s="28"/>
      <c r="O172" s="47" t="s">
        <v>124</v>
      </c>
      <c r="P172" s="138">
        <v>0.18668331294605187</v>
      </c>
      <c r="Q172" s="49">
        <v>0.18668331294605187</v>
      </c>
      <c r="R172" s="248"/>
      <c r="S172" s="28"/>
      <c r="T172" s="47" t="s">
        <v>124</v>
      </c>
      <c r="U172" s="49"/>
      <c r="V172" s="169"/>
      <c r="W172" s="169"/>
      <c r="X172" s="169"/>
      <c r="Y172" s="169"/>
    </row>
    <row r="173" spans="1:26" ht="74.150000000000006" customHeight="1">
      <c r="A173" s="254"/>
      <c r="B173" s="254"/>
      <c r="C173" s="257"/>
      <c r="D173" s="260"/>
      <c r="E173" s="25"/>
      <c r="F173" s="55" t="s">
        <v>125</v>
      </c>
      <c r="G173" s="56">
        <v>0.87078610626834652</v>
      </c>
      <c r="H173" s="56">
        <v>0.16239458635044768</v>
      </c>
      <c r="I173" s="249"/>
      <c r="J173" s="56">
        <v>0.70839151991789884</v>
      </c>
      <c r="K173" s="249"/>
      <c r="L173" s="56"/>
      <c r="M173" s="170"/>
      <c r="N173" s="25"/>
      <c r="O173" s="55" t="s">
        <v>125</v>
      </c>
      <c r="P173" s="69">
        <v>0.26334257246018544</v>
      </c>
      <c r="Q173" s="56">
        <v>0.26334257246018544</v>
      </c>
      <c r="R173" s="249"/>
      <c r="S173" s="25"/>
      <c r="T173" s="55" t="s">
        <v>125</v>
      </c>
      <c r="U173" s="56"/>
      <c r="V173" s="170"/>
      <c r="W173" s="170"/>
      <c r="X173" s="170"/>
      <c r="Y173" s="169"/>
    </row>
    <row r="174" spans="1:26" ht="57.65" customHeight="1">
      <c r="A174" s="254">
        <v>0</v>
      </c>
      <c r="B174" s="254" t="s">
        <v>382</v>
      </c>
      <c r="C174" s="255" t="s">
        <v>85</v>
      </c>
      <c r="D174" s="258" t="s">
        <v>117</v>
      </c>
      <c r="E174" s="60"/>
      <c r="F174" s="61" t="s">
        <v>118</v>
      </c>
      <c r="G174" s="62">
        <v>67.5</v>
      </c>
      <c r="H174" s="62">
        <v>49.6</v>
      </c>
      <c r="I174" s="271" t="s">
        <v>406</v>
      </c>
      <c r="J174" s="62">
        <v>17.899999999999999</v>
      </c>
      <c r="K174" s="247" t="s">
        <v>407</v>
      </c>
      <c r="L174" s="65"/>
      <c r="M174" s="168"/>
      <c r="N174" s="60"/>
      <c r="O174" s="61" t="s">
        <v>118</v>
      </c>
      <c r="P174" s="137">
        <v>50.5</v>
      </c>
      <c r="Q174" s="62">
        <v>50.5</v>
      </c>
      <c r="R174" s="247" t="s">
        <v>408</v>
      </c>
      <c r="S174" s="60"/>
      <c r="T174" s="61" t="s">
        <v>118</v>
      </c>
      <c r="U174" s="65"/>
      <c r="V174" s="168"/>
      <c r="W174" s="168"/>
      <c r="X174" s="168"/>
      <c r="Y174" s="169"/>
    </row>
    <row r="175" spans="1:26" ht="49" customHeight="1">
      <c r="A175" s="254"/>
      <c r="B175" s="254"/>
      <c r="C175" s="256"/>
      <c r="D175" s="259"/>
      <c r="E175" s="28"/>
      <c r="F175" s="47" t="s">
        <v>124</v>
      </c>
      <c r="G175" s="49">
        <v>0.58887041808961993</v>
      </c>
      <c r="H175" s="49">
        <v>0.43271070721844668</v>
      </c>
      <c r="I175" s="268"/>
      <c r="J175" s="49">
        <v>0.15615971087117328</v>
      </c>
      <c r="K175" s="248"/>
      <c r="L175" s="49"/>
      <c r="M175" s="169"/>
      <c r="N175" s="28"/>
      <c r="O175" s="47" t="s">
        <v>124</v>
      </c>
      <c r="P175" s="138">
        <v>0.44056231279297492</v>
      </c>
      <c r="Q175" s="49">
        <v>0.44056231279297492</v>
      </c>
      <c r="R175" s="248"/>
      <c r="S175" s="28"/>
      <c r="T175" s="47" t="s">
        <v>124</v>
      </c>
      <c r="U175" s="49"/>
      <c r="V175" s="169"/>
      <c r="W175" s="169"/>
      <c r="X175" s="169"/>
      <c r="Y175" s="169"/>
    </row>
    <row r="176" spans="1:26" ht="83.15" customHeight="1">
      <c r="A176" s="254"/>
      <c r="B176" s="254"/>
      <c r="C176" s="257"/>
      <c r="D176" s="260"/>
      <c r="E176" s="25"/>
      <c r="F176" s="55" t="s">
        <v>125</v>
      </c>
      <c r="G176" s="56">
        <v>1.8311737233930707</v>
      </c>
      <c r="H176" s="56">
        <v>1.345573580448834</v>
      </c>
      <c r="I176" s="269"/>
      <c r="J176" s="56">
        <v>0.48560014294423642</v>
      </c>
      <c r="K176" s="249"/>
      <c r="L176" s="56"/>
      <c r="M176" s="170"/>
      <c r="N176" s="25"/>
      <c r="O176" s="55" t="s">
        <v>125</v>
      </c>
      <c r="P176" s="69">
        <v>1.369989230094075</v>
      </c>
      <c r="Q176" s="56">
        <v>1.369989230094075</v>
      </c>
      <c r="R176" s="249"/>
      <c r="S176" s="25"/>
      <c r="T176" s="55" t="s">
        <v>125</v>
      </c>
      <c r="U176" s="56"/>
      <c r="V176" s="170"/>
      <c r="W176" s="170"/>
      <c r="X176" s="170"/>
      <c r="Y176" s="169"/>
    </row>
    <row r="177" spans="1:26" ht="95.15" customHeight="1">
      <c r="A177" s="254">
        <v>0</v>
      </c>
      <c r="B177" s="254" t="s">
        <v>382</v>
      </c>
      <c r="C177" s="255" t="s">
        <v>86</v>
      </c>
      <c r="D177" s="258" t="s">
        <v>126</v>
      </c>
      <c r="E177" s="60"/>
      <c r="F177" s="61" t="s">
        <v>118</v>
      </c>
      <c r="G177" s="62">
        <v>58.49</v>
      </c>
      <c r="H177" s="62">
        <v>25.75</v>
      </c>
      <c r="I177" s="267" t="s">
        <v>409</v>
      </c>
      <c r="J177" s="62">
        <v>32.74</v>
      </c>
      <c r="K177" s="270" t="s">
        <v>410</v>
      </c>
      <c r="L177" s="65"/>
      <c r="M177" s="168"/>
      <c r="N177" s="60"/>
      <c r="O177" s="61" t="s">
        <v>118</v>
      </c>
      <c r="P177" s="139">
        <v>100</v>
      </c>
      <c r="Q177" s="62">
        <v>50</v>
      </c>
      <c r="R177" s="247" t="s">
        <v>411</v>
      </c>
      <c r="S177" s="60"/>
      <c r="T177" s="61" t="s">
        <v>118</v>
      </c>
      <c r="U177" s="62">
        <v>50</v>
      </c>
      <c r="V177" s="247" t="s">
        <v>412</v>
      </c>
      <c r="W177" s="168"/>
      <c r="X177" s="168"/>
      <c r="Y177" s="169"/>
    </row>
    <row r="178" spans="1:26" ht="95.15" customHeight="1">
      <c r="A178" s="254"/>
      <c r="B178" s="254"/>
      <c r="C178" s="256"/>
      <c r="D178" s="259"/>
      <c r="E178" s="28"/>
      <c r="F178" s="47" t="s">
        <v>124</v>
      </c>
      <c r="G178" s="49">
        <v>9.7444581680680042E-2</v>
      </c>
      <c r="H178" s="49">
        <v>4.289960639900002E-2</v>
      </c>
      <c r="I178" s="268"/>
      <c r="J178" s="49">
        <v>5.4544975281680022E-2</v>
      </c>
      <c r="K178" s="248"/>
      <c r="L178" s="49"/>
      <c r="M178" s="169"/>
      <c r="N178" s="28"/>
      <c r="O178" s="47" t="s">
        <v>124</v>
      </c>
      <c r="P178" s="138">
        <v>0.16660041320000007</v>
      </c>
      <c r="Q178" s="49">
        <v>8.3300206600000037E-2</v>
      </c>
      <c r="R178" s="248"/>
      <c r="S178" s="28"/>
      <c r="T178" s="47" t="s">
        <v>124</v>
      </c>
      <c r="U178" s="49">
        <v>8.3300206600000037E-2</v>
      </c>
      <c r="V178" s="248"/>
      <c r="W178" s="169"/>
      <c r="X178" s="169"/>
      <c r="Y178" s="169"/>
    </row>
    <row r="179" spans="1:26" ht="95.15" customHeight="1">
      <c r="A179" s="254"/>
      <c r="B179" s="254"/>
      <c r="C179" s="257"/>
      <c r="D179" s="260"/>
      <c r="E179" s="25"/>
      <c r="F179" s="55" t="s">
        <v>125</v>
      </c>
      <c r="G179" s="56">
        <v>0.75126848355144216</v>
      </c>
      <c r="H179" s="56">
        <v>0.33074309200631963</v>
      </c>
      <c r="I179" s="269"/>
      <c r="J179" s="56">
        <v>0.42052539154512253</v>
      </c>
      <c r="K179" s="249"/>
      <c r="L179" s="56"/>
      <c r="M179" s="170"/>
      <c r="N179" s="25"/>
      <c r="O179" s="55" t="s">
        <v>125</v>
      </c>
      <c r="P179" s="69">
        <v>1.284439192257552</v>
      </c>
      <c r="Q179" s="56">
        <v>0.64221959612877599</v>
      </c>
      <c r="R179" s="249"/>
      <c r="S179" s="25"/>
      <c r="T179" s="55" t="s">
        <v>125</v>
      </c>
      <c r="U179" s="56">
        <v>0.64221959612877599</v>
      </c>
      <c r="V179" s="249"/>
      <c r="W179" s="170"/>
      <c r="X179" s="170"/>
      <c r="Y179" s="169"/>
    </row>
    <row r="180" spans="1:26" s="171" customFormat="1" ht="72" customHeight="1">
      <c r="A180" s="254">
        <v>0</v>
      </c>
      <c r="B180" s="254" t="s">
        <v>382</v>
      </c>
      <c r="C180" s="256" t="s">
        <v>87</v>
      </c>
      <c r="D180" s="258" t="s">
        <v>117</v>
      </c>
      <c r="F180" s="47" t="s">
        <v>118</v>
      </c>
      <c r="G180" s="140">
        <v>2300</v>
      </c>
      <c r="H180" s="101">
        <v>500</v>
      </c>
      <c r="I180" s="248" t="s">
        <v>413</v>
      </c>
      <c r="J180" s="105">
        <v>1800</v>
      </c>
      <c r="K180" s="248" t="s">
        <v>414</v>
      </c>
      <c r="L180" s="169"/>
      <c r="M180" s="169"/>
      <c r="O180" s="47" t="s">
        <v>118</v>
      </c>
      <c r="P180" s="169"/>
      <c r="Q180" s="121"/>
      <c r="R180" s="169"/>
      <c r="T180" s="47" t="s">
        <v>118</v>
      </c>
      <c r="U180" s="97"/>
      <c r="V180" s="169"/>
      <c r="W180" s="169"/>
      <c r="X180" s="169"/>
      <c r="Y180" s="168"/>
      <c r="Z180" s="183"/>
    </row>
    <row r="181" spans="1:26" s="36" customFormat="1" ht="72" customHeight="1">
      <c r="A181" s="254"/>
      <c r="B181" s="254"/>
      <c r="C181" s="256"/>
      <c r="D181" s="259"/>
      <c r="E181" s="171"/>
      <c r="F181" s="47" t="s">
        <v>124</v>
      </c>
      <c r="G181" s="97">
        <v>6.4029694930982552</v>
      </c>
      <c r="H181" s="49">
        <v>1.3919498898039684</v>
      </c>
      <c r="I181" s="248"/>
      <c r="J181" s="97">
        <v>5.0110196032942866</v>
      </c>
      <c r="K181" s="248"/>
      <c r="L181" s="169"/>
      <c r="M181" s="169"/>
      <c r="N181" s="171"/>
      <c r="O181" s="47" t="s">
        <v>124</v>
      </c>
      <c r="P181" s="169"/>
      <c r="Q181" s="121"/>
      <c r="R181" s="169"/>
      <c r="S181" s="171"/>
      <c r="T181" s="47" t="s">
        <v>124</v>
      </c>
      <c r="U181" s="97"/>
      <c r="V181" s="169"/>
      <c r="W181" s="169"/>
      <c r="X181" s="169"/>
      <c r="Y181" s="169"/>
      <c r="Z181" s="171"/>
    </row>
    <row r="182" spans="1:26" ht="72" customHeight="1">
      <c r="A182" s="254"/>
      <c r="B182" s="254"/>
      <c r="C182" s="257"/>
      <c r="D182" s="260"/>
      <c r="E182" s="25"/>
      <c r="F182" s="55" t="s">
        <v>125</v>
      </c>
      <c r="G182" s="56">
        <v>1.4589170592426774</v>
      </c>
      <c r="H182" s="56">
        <v>0.31715588244406029</v>
      </c>
      <c r="I182" s="249"/>
      <c r="J182" s="56">
        <v>1.1417611767986171</v>
      </c>
      <c r="K182" s="249"/>
      <c r="L182" s="170"/>
      <c r="M182" s="170"/>
      <c r="N182" s="25"/>
      <c r="O182" s="55" t="s">
        <v>125</v>
      </c>
      <c r="P182" s="186"/>
      <c r="Q182" s="58"/>
      <c r="R182" s="186"/>
      <c r="S182" s="25"/>
      <c r="T182" s="55" t="s">
        <v>125</v>
      </c>
      <c r="U182" s="56"/>
      <c r="V182" s="170"/>
      <c r="W182" s="170"/>
      <c r="X182" s="170"/>
      <c r="Y182" s="170"/>
      <c r="Z182" s="22"/>
    </row>
    <row r="183" spans="1:26" ht="68.150000000000006" customHeight="1">
      <c r="A183" s="254">
        <v>0</v>
      </c>
      <c r="B183" s="254" t="s">
        <v>382</v>
      </c>
      <c r="C183" s="256" t="s">
        <v>88</v>
      </c>
      <c r="D183" s="259" t="s">
        <v>126</v>
      </c>
      <c r="E183" s="30"/>
      <c r="F183" s="61" t="s">
        <v>118</v>
      </c>
      <c r="G183" s="73">
        <v>443</v>
      </c>
      <c r="H183" s="73">
        <v>79</v>
      </c>
      <c r="I183" s="247" t="s">
        <v>415</v>
      </c>
      <c r="J183" s="74">
        <v>364</v>
      </c>
      <c r="K183" s="247" t="s">
        <v>416</v>
      </c>
      <c r="L183" s="74">
        <v>15</v>
      </c>
      <c r="M183" s="247" t="s">
        <v>417</v>
      </c>
      <c r="N183" s="30"/>
      <c r="O183" s="47" t="s">
        <v>118</v>
      </c>
      <c r="P183" s="73">
        <v>70</v>
      </c>
      <c r="Q183" s="110"/>
      <c r="R183" s="264"/>
      <c r="S183" s="30"/>
      <c r="T183" s="47" t="s">
        <v>118</v>
      </c>
      <c r="U183" s="73">
        <v>70</v>
      </c>
      <c r="V183" s="247" t="s">
        <v>418</v>
      </c>
      <c r="W183" s="168"/>
      <c r="X183" s="168"/>
      <c r="Y183" s="168"/>
      <c r="Z183" s="30"/>
    </row>
    <row r="184" spans="1:26" ht="64" customHeight="1">
      <c r="A184" s="254"/>
      <c r="B184" s="254"/>
      <c r="C184" s="256"/>
      <c r="D184" s="259"/>
      <c r="E184" s="36"/>
      <c r="F184" s="47" t="s">
        <v>124</v>
      </c>
      <c r="G184" s="49">
        <v>0.76872522470936455</v>
      </c>
      <c r="H184" s="49">
        <v>0.13708643962085734</v>
      </c>
      <c r="I184" s="248"/>
      <c r="J184" s="49">
        <v>0.63163878508850724</v>
      </c>
      <c r="K184" s="248"/>
      <c r="L184" s="49">
        <v>2.6029070814086838E-2</v>
      </c>
      <c r="M184" s="248"/>
      <c r="N184" s="36"/>
      <c r="O184" s="47" t="s">
        <v>124</v>
      </c>
      <c r="P184" s="68">
        <v>0.12146899713240523</v>
      </c>
      <c r="Q184" s="68"/>
      <c r="R184" s="265"/>
      <c r="S184" s="36"/>
      <c r="T184" s="47" t="s">
        <v>124</v>
      </c>
      <c r="U184" s="49">
        <v>0.12146899713240523</v>
      </c>
      <c r="V184" s="248"/>
      <c r="W184" s="169"/>
      <c r="X184" s="169"/>
      <c r="Y184" s="169"/>
      <c r="Z184" s="36"/>
    </row>
    <row r="185" spans="1:26" ht="64" customHeight="1">
      <c r="A185" s="254"/>
      <c r="B185" s="254"/>
      <c r="C185" s="257"/>
      <c r="D185" s="260"/>
      <c r="E185" s="25"/>
      <c r="F185" s="55" t="s">
        <v>125</v>
      </c>
      <c r="G185" s="56">
        <v>3.1628411514016226</v>
      </c>
      <c r="H185" s="56">
        <v>0.56402810600615849</v>
      </c>
      <c r="I185" s="249"/>
      <c r="J185" s="56">
        <v>2.5988130453954641</v>
      </c>
      <c r="K185" s="249"/>
      <c r="L185" s="56">
        <v>0.10709394417838451</v>
      </c>
      <c r="M185" s="249"/>
      <c r="N185" s="25"/>
      <c r="O185" s="55" t="s">
        <v>125</v>
      </c>
      <c r="P185" s="58">
        <v>0.49977173949912773</v>
      </c>
      <c r="Q185" s="58"/>
      <c r="R185" s="266"/>
      <c r="S185" s="25"/>
      <c r="T185" s="55" t="s">
        <v>125</v>
      </c>
      <c r="U185" s="56">
        <v>0.49977173949912773</v>
      </c>
      <c r="V185" s="249"/>
      <c r="W185" s="170"/>
      <c r="X185" s="170"/>
      <c r="Y185" s="170"/>
      <c r="Z185" s="22"/>
    </row>
    <row r="186" spans="1:26" ht="168" customHeight="1">
      <c r="A186" s="254">
        <v>0</v>
      </c>
      <c r="B186" s="254" t="s">
        <v>382</v>
      </c>
      <c r="C186" s="255" t="s">
        <v>89</v>
      </c>
      <c r="D186" s="258" t="s">
        <v>117</v>
      </c>
      <c r="E186" s="28"/>
      <c r="F186" s="61" t="s">
        <v>118</v>
      </c>
      <c r="G186" s="105">
        <v>22200</v>
      </c>
      <c r="H186" s="105">
        <v>4500</v>
      </c>
      <c r="I186" s="247" t="s">
        <v>419</v>
      </c>
      <c r="J186" s="105">
        <v>17700</v>
      </c>
      <c r="K186" s="247" t="s">
        <v>420</v>
      </c>
      <c r="L186" s="49"/>
      <c r="M186" s="169"/>
      <c r="N186" s="28"/>
      <c r="O186" s="61" t="s">
        <v>118</v>
      </c>
      <c r="P186" s="105">
        <v>14575</v>
      </c>
      <c r="Q186" s="105">
        <v>14575</v>
      </c>
      <c r="R186" s="264" t="s">
        <v>421</v>
      </c>
      <c r="S186" s="28"/>
      <c r="T186" s="61" t="s">
        <v>118</v>
      </c>
      <c r="U186" s="49"/>
      <c r="V186" s="169"/>
      <c r="W186" s="169"/>
      <c r="X186" s="169"/>
      <c r="Y186" s="169"/>
    </row>
    <row r="187" spans="1:26" ht="165" customHeight="1">
      <c r="A187" s="254"/>
      <c r="B187" s="254"/>
      <c r="C187" s="256"/>
      <c r="D187" s="259"/>
      <c r="E187" s="28"/>
      <c r="F187" s="47" t="s">
        <v>124</v>
      </c>
      <c r="G187" s="49">
        <v>2.2181608289682098</v>
      </c>
      <c r="H187" s="49">
        <v>0.44962719506112364</v>
      </c>
      <c r="I187" s="248"/>
      <c r="J187" s="49">
        <v>1.7685336339070863</v>
      </c>
      <c r="K187" s="248"/>
      <c r="L187" s="49"/>
      <c r="M187" s="169"/>
      <c r="N187" s="28"/>
      <c r="O187" s="47" t="s">
        <v>124</v>
      </c>
      <c r="P187" s="68">
        <v>1.4562925262257504</v>
      </c>
      <c r="Q187" s="49">
        <v>1.4562925262257504</v>
      </c>
      <c r="R187" s="265"/>
      <c r="S187" s="28"/>
      <c r="T187" s="47" t="s">
        <v>124</v>
      </c>
      <c r="U187" s="49"/>
      <c r="V187" s="169"/>
      <c r="W187" s="169"/>
      <c r="X187" s="169"/>
      <c r="Y187" s="169"/>
    </row>
    <row r="188" spans="1:26" ht="120" customHeight="1">
      <c r="A188" s="254"/>
      <c r="B188" s="254"/>
      <c r="C188" s="257"/>
      <c r="D188" s="260"/>
      <c r="E188" s="28"/>
      <c r="F188" s="55" t="s">
        <v>125</v>
      </c>
      <c r="G188" s="49">
        <v>3.704564006123956</v>
      </c>
      <c r="H188" s="49">
        <v>0.75092513637647751</v>
      </c>
      <c r="I188" s="249"/>
      <c r="J188" s="49">
        <v>2.9536388697474782</v>
      </c>
      <c r="K188" s="249"/>
      <c r="L188" s="49"/>
      <c r="M188" s="169"/>
      <c r="N188" s="28"/>
      <c r="O188" s="55" t="s">
        <v>125</v>
      </c>
      <c r="P188" s="68">
        <v>2.4321630805971468</v>
      </c>
      <c r="Q188" s="49">
        <v>2.4321630805971468</v>
      </c>
      <c r="R188" s="266"/>
      <c r="S188" s="28"/>
      <c r="T188" s="55" t="s">
        <v>125</v>
      </c>
      <c r="U188" s="49"/>
      <c r="V188" s="169"/>
      <c r="W188" s="169"/>
      <c r="X188" s="169"/>
      <c r="Y188" s="169"/>
    </row>
    <row r="189" spans="1:26" ht="121" customHeight="1">
      <c r="A189" s="254">
        <v>0</v>
      </c>
      <c r="B189" s="254" t="s">
        <v>382</v>
      </c>
      <c r="C189" s="256" t="s">
        <v>90</v>
      </c>
      <c r="D189" s="259" t="s">
        <v>422</v>
      </c>
      <c r="E189" s="30"/>
      <c r="F189" s="61" t="s">
        <v>118</v>
      </c>
      <c r="G189" s="105">
        <v>42700</v>
      </c>
      <c r="H189" s="105">
        <v>6700</v>
      </c>
      <c r="I189" s="261" t="s">
        <v>423</v>
      </c>
      <c r="J189" s="141">
        <v>36000</v>
      </c>
      <c r="K189" s="247" t="s">
        <v>424</v>
      </c>
      <c r="L189" s="105">
        <v>180000</v>
      </c>
      <c r="M189" s="251" t="s">
        <v>425</v>
      </c>
      <c r="N189" s="30"/>
      <c r="O189" s="47" t="s">
        <v>118</v>
      </c>
      <c r="P189" s="105">
        <v>37500</v>
      </c>
      <c r="Q189" s="105">
        <v>9500</v>
      </c>
      <c r="R189" s="247" t="s">
        <v>426</v>
      </c>
      <c r="S189" s="30"/>
      <c r="T189" s="47" t="s">
        <v>118</v>
      </c>
      <c r="U189" s="95"/>
      <c r="V189" s="168"/>
      <c r="W189" s="105">
        <v>28000</v>
      </c>
      <c r="X189" s="247" t="s">
        <v>427</v>
      </c>
      <c r="Y189" s="247" t="s">
        <v>428</v>
      </c>
      <c r="Z189" s="30"/>
    </row>
    <row r="190" spans="1:26" ht="110.15" customHeight="1">
      <c r="A190" s="254"/>
      <c r="B190" s="254"/>
      <c r="C190" s="256"/>
      <c r="D190" s="259"/>
      <c r="E190" s="28"/>
      <c r="F190" s="47" t="s">
        <v>124</v>
      </c>
      <c r="G190" s="49">
        <v>1.8243072883758307</v>
      </c>
      <c r="H190" s="49">
        <v>0.28624962136107879</v>
      </c>
      <c r="I190" s="262"/>
      <c r="J190" s="49">
        <v>1.5380576670147519</v>
      </c>
      <c r="K190" s="248"/>
      <c r="L190" s="49">
        <v>7.6902883350737588</v>
      </c>
      <c r="M190" s="252"/>
      <c r="N190" s="28"/>
      <c r="O190" s="47" t="s">
        <v>124</v>
      </c>
      <c r="P190" s="142">
        <v>1.6021434031403665</v>
      </c>
      <c r="Q190" s="142">
        <v>0.40587632879555952</v>
      </c>
      <c r="R190" s="248"/>
      <c r="S190" s="28"/>
      <c r="T190" s="47" t="s">
        <v>124</v>
      </c>
      <c r="U190" s="49"/>
      <c r="V190" s="169"/>
      <c r="W190" s="142">
        <v>1.1962670743448069</v>
      </c>
      <c r="X190" s="248"/>
      <c r="Y190" s="248"/>
    </row>
    <row r="191" spans="1:26" ht="95.15" customHeight="1">
      <c r="A191" s="254"/>
      <c r="B191" s="254"/>
      <c r="C191" s="257"/>
      <c r="D191" s="260"/>
      <c r="E191" s="25"/>
      <c r="F191" s="55" t="s">
        <v>125</v>
      </c>
      <c r="G191" s="56">
        <v>0.53561329172394667</v>
      </c>
      <c r="H191" s="56">
        <v>8.4042366617106373E-2</v>
      </c>
      <c r="I191" s="263"/>
      <c r="J191" s="56">
        <v>0.45157092510684016</v>
      </c>
      <c r="K191" s="249"/>
      <c r="L191" s="56">
        <v>2.2578546255342014</v>
      </c>
      <c r="M191" s="253"/>
      <c r="N191" s="25"/>
      <c r="O191" s="55" t="s">
        <v>125</v>
      </c>
      <c r="P191" s="143">
        <v>0.47038638031962526</v>
      </c>
      <c r="Q191" s="143">
        <v>0.11916454968097173</v>
      </c>
      <c r="R191" s="249"/>
      <c r="S191" s="25"/>
      <c r="T191" s="55" t="s">
        <v>125</v>
      </c>
      <c r="U191" s="56"/>
      <c r="V191" s="170"/>
      <c r="W191" s="143">
        <v>0.35122183063865353</v>
      </c>
      <c r="X191" s="249"/>
      <c r="Y191" s="249"/>
      <c r="Z191" s="22"/>
    </row>
    <row r="192" spans="1:26" ht="69" customHeight="1">
      <c r="A192" s="254">
        <v>0</v>
      </c>
      <c r="B192" s="254" t="s">
        <v>382</v>
      </c>
      <c r="C192" s="255" t="s">
        <v>91</v>
      </c>
      <c r="D192" s="258" t="s">
        <v>126</v>
      </c>
      <c r="E192" s="60"/>
      <c r="F192" s="61" t="s">
        <v>118</v>
      </c>
      <c r="G192" s="65">
        <v>7.1</v>
      </c>
      <c r="H192" s="65">
        <v>1</v>
      </c>
      <c r="I192" s="247" t="s">
        <v>429</v>
      </c>
      <c r="J192" s="65">
        <v>6.1</v>
      </c>
      <c r="K192" s="247" t="s">
        <v>430</v>
      </c>
      <c r="L192" s="65"/>
      <c r="M192" s="182"/>
      <c r="N192" s="60"/>
      <c r="O192" s="61" t="s">
        <v>118</v>
      </c>
      <c r="P192" s="144">
        <v>0.9</v>
      </c>
      <c r="Q192" s="144">
        <v>0.9</v>
      </c>
      <c r="R192" s="247" t="s">
        <v>431</v>
      </c>
      <c r="S192" s="60"/>
      <c r="T192" s="61" t="s">
        <v>118</v>
      </c>
      <c r="U192" s="65"/>
      <c r="V192" s="168"/>
      <c r="W192" s="144"/>
      <c r="X192" s="168"/>
      <c r="Y192" s="169"/>
    </row>
    <row r="193" spans="1:25" ht="69" customHeight="1">
      <c r="A193" s="254"/>
      <c r="B193" s="254"/>
      <c r="C193" s="256"/>
      <c r="D193" s="259"/>
      <c r="E193" s="28"/>
      <c r="F193" s="47" t="s">
        <v>124</v>
      </c>
      <c r="G193" s="49">
        <v>0.39701731992953948</v>
      </c>
      <c r="H193" s="49">
        <v>5.5917932384442183E-2</v>
      </c>
      <c r="I193" s="248"/>
      <c r="J193" s="49">
        <v>0.34109938754509728</v>
      </c>
      <c r="K193" s="248"/>
      <c r="L193" s="49"/>
      <c r="M193" s="172"/>
      <c r="N193" s="28"/>
      <c r="O193" s="47" t="s">
        <v>124</v>
      </c>
      <c r="P193" s="142">
        <v>5.032613914599797E-2</v>
      </c>
      <c r="Q193" s="49">
        <v>5.032613914599797E-2</v>
      </c>
      <c r="R193" s="248"/>
      <c r="S193" s="28"/>
      <c r="T193" s="47" t="s">
        <v>124</v>
      </c>
      <c r="U193" s="49"/>
      <c r="V193" s="169"/>
      <c r="W193" s="142"/>
      <c r="X193" s="169"/>
      <c r="Y193" s="169"/>
    </row>
    <row r="194" spans="1:25" ht="69" customHeight="1">
      <c r="A194" s="254"/>
      <c r="B194" s="254"/>
      <c r="C194" s="257"/>
      <c r="D194" s="260"/>
      <c r="E194" s="25"/>
      <c r="F194" s="55" t="s">
        <v>125</v>
      </c>
      <c r="G194" s="56">
        <v>2.0995999624452013</v>
      </c>
      <c r="H194" s="56">
        <v>0.29571830456974668</v>
      </c>
      <c r="I194" s="249"/>
      <c r="J194" s="56">
        <v>1.8038816578754544</v>
      </c>
      <c r="K194" s="249"/>
      <c r="L194" s="56"/>
      <c r="M194" s="173"/>
      <c r="N194" s="25"/>
      <c r="O194" s="55" t="s">
        <v>125</v>
      </c>
      <c r="P194" s="143">
        <v>0.26614647411277198</v>
      </c>
      <c r="Q194" s="56">
        <v>0.26614647411277198</v>
      </c>
      <c r="R194" s="249"/>
      <c r="S194" s="25"/>
      <c r="T194" s="55" t="s">
        <v>125</v>
      </c>
      <c r="U194" s="56"/>
      <c r="V194" s="170"/>
      <c r="W194" s="143"/>
      <c r="X194" s="170"/>
      <c r="Y194" s="169"/>
    </row>
    <row r="195" spans="1:25">
      <c r="C195" s="28" t="s">
        <v>92</v>
      </c>
    </row>
    <row r="196" spans="1:25" ht="52.5" customHeight="1">
      <c r="C196" s="250" t="s">
        <v>508</v>
      </c>
      <c r="D196" s="250"/>
      <c r="E196" s="250"/>
      <c r="F196" s="250"/>
      <c r="G196" s="250"/>
      <c r="H196" s="250"/>
      <c r="I196" s="250"/>
      <c r="J196" s="250"/>
      <c r="K196" s="250"/>
      <c r="L196" s="250"/>
      <c r="M196" s="250"/>
      <c r="N196" s="250"/>
      <c r="O196" s="250"/>
      <c r="P196" s="250"/>
      <c r="Q196" s="250"/>
      <c r="R196" s="250"/>
      <c r="S196" s="250"/>
      <c r="T196" s="250"/>
      <c r="U196" s="250"/>
      <c r="V196" s="250"/>
      <c r="W196" s="250"/>
      <c r="X196" s="250"/>
    </row>
    <row r="197" spans="1:25">
      <c r="C197" s="28" t="s">
        <v>432</v>
      </c>
    </row>
    <row r="198" spans="1:25" ht="15.65" customHeight="1">
      <c r="C198" s="174"/>
    </row>
  </sheetData>
  <autoFilter ref="A5:F197" xr:uid="{70D8D969-D19A-4A37-9D57-5E4D8D57F6B2}"/>
  <mergeCells count="580">
    <mergeCell ref="C3:X3"/>
    <mergeCell ref="H4:M4"/>
    <mergeCell ref="Q4:R4"/>
    <mergeCell ref="T4:X4"/>
    <mergeCell ref="A6:A8"/>
    <mergeCell ref="B6:B8"/>
    <mergeCell ref="C6:C8"/>
    <mergeCell ref="D6:D8"/>
    <mergeCell ref="I6:I8"/>
    <mergeCell ref="K6:K8"/>
    <mergeCell ref="M6:M8"/>
    <mergeCell ref="R6:R8"/>
    <mergeCell ref="V6:V8"/>
    <mergeCell ref="Y12:Y14"/>
    <mergeCell ref="Y6:Y8"/>
    <mergeCell ref="A9:A11"/>
    <mergeCell ref="B9:B11"/>
    <mergeCell ref="C9:C11"/>
    <mergeCell ref="D9:D11"/>
    <mergeCell ref="I9:I11"/>
    <mergeCell ref="K9:K11"/>
    <mergeCell ref="M9:M11"/>
    <mergeCell ref="R9:R11"/>
    <mergeCell ref="V9:V11"/>
    <mergeCell ref="R15:R17"/>
    <mergeCell ref="V15:V17"/>
    <mergeCell ref="A12:A14"/>
    <mergeCell ref="B12:B14"/>
    <mergeCell ref="C12:C14"/>
    <mergeCell ref="D12:D14"/>
    <mergeCell ref="I12:I14"/>
    <mergeCell ref="K12:K14"/>
    <mergeCell ref="R12:R14"/>
    <mergeCell ref="V12:V14"/>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8:R20"/>
    <mergeCell ref="V18:V20"/>
    <mergeCell ref="Y18:Y20"/>
    <mergeCell ref="A21:A23"/>
    <mergeCell ref="B21:B23"/>
    <mergeCell ref="C21:C23"/>
    <mergeCell ref="D21:D23"/>
    <mergeCell ref="I21:I23"/>
    <mergeCell ref="K21:K23"/>
    <mergeCell ref="A18:A20"/>
    <mergeCell ref="B18:B20"/>
    <mergeCell ref="C18:C20"/>
    <mergeCell ref="D18:D20"/>
    <mergeCell ref="I18:I20"/>
    <mergeCell ref="K18:K20"/>
    <mergeCell ref="M18:M20"/>
    <mergeCell ref="R24:R26"/>
    <mergeCell ref="V24:V26"/>
    <mergeCell ref="X24:X26"/>
    <mergeCell ref="Y24:Y26"/>
    <mergeCell ref="M21:M23"/>
    <mergeCell ref="R21:R23"/>
    <mergeCell ref="V21:V23"/>
    <mergeCell ref="X21:X23"/>
    <mergeCell ref="Y21:Y23"/>
    <mergeCell ref="M27:M29"/>
    <mergeCell ref="R27:R29"/>
    <mergeCell ref="V27:V29"/>
    <mergeCell ref="X27:X29"/>
    <mergeCell ref="Y27:Y29"/>
    <mergeCell ref="A27:A29"/>
    <mergeCell ref="B27:B29"/>
    <mergeCell ref="C27:C29"/>
    <mergeCell ref="D27:D29"/>
    <mergeCell ref="I27:I29"/>
    <mergeCell ref="K27:K29"/>
    <mergeCell ref="A33:A35"/>
    <mergeCell ref="B33:B35"/>
    <mergeCell ref="C33:C35"/>
    <mergeCell ref="D33:D35"/>
    <mergeCell ref="I33:I35"/>
    <mergeCell ref="A30:A32"/>
    <mergeCell ref="B30:B32"/>
    <mergeCell ref="C30:C32"/>
    <mergeCell ref="D30:D32"/>
    <mergeCell ref="I30:I32"/>
    <mergeCell ref="K33:K35"/>
    <mergeCell ref="M33:M35"/>
    <mergeCell ref="R33:R35"/>
    <mergeCell ref="V33:V35"/>
    <mergeCell ref="X33:X35"/>
    <mergeCell ref="Y33:Y35"/>
    <mergeCell ref="M30:M32"/>
    <mergeCell ref="R30:R32"/>
    <mergeCell ref="V30:V32"/>
    <mergeCell ref="X30:X32"/>
    <mergeCell ref="K30:K32"/>
    <mergeCell ref="Y36:Y38"/>
    <mergeCell ref="A39:A41"/>
    <mergeCell ref="B39:B41"/>
    <mergeCell ref="C39:C41"/>
    <mergeCell ref="D39:D41"/>
    <mergeCell ref="I39:I41"/>
    <mergeCell ref="K39:K41"/>
    <mergeCell ref="M39:M41"/>
    <mergeCell ref="R39:R41"/>
    <mergeCell ref="V39:V41"/>
    <mergeCell ref="A36:A38"/>
    <mergeCell ref="B36:B38"/>
    <mergeCell ref="C36:C38"/>
    <mergeCell ref="D36:D38"/>
    <mergeCell ref="I36:I38"/>
    <mergeCell ref="K36:K38"/>
    <mergeCell ref="M36:M38"/>
    <mergeCell ref="R36:R38"/>
    <mergeCell ref="V36:V38"/>
    <mergeCell ref="X39:X41"/>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X48:X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Y54:Y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A60:A62"/>
    <mergeCell ref="B60:B62"/>
    <mergeCell ref="C60:C62"/>
    <mergeCell ref="D60:D62"/>
    <mergeCell ref="I60:I62"/>
    <mergeCell ref="K60:K62"/>
    <mergeCell ref="M60:M62"/>
    <mergeCell ref="R60:R62"/>
    <mergeCell ref="A63:A65"/>
    <mergeCell ref="B63:B65"/>
    <mergeCell ref="C63:C65"/>
    <mergeCell ref="D63:D65"/>
    <mergeCell ref="I63:I65"/>
    <mergeCell ref="K63:K65"/>
    <mergeCell ref="M63:M65"/>
    <mergeCell ref="R63:R65"/>
    <mergeCell ref="V63:V65"/>
    <mergeCell ref="X63:X65"/>
    <mergeCell ref="A66:A68"/>
    <mergeCell ref="B66:B68"/>
    <mergeCell ref="C66:C68"/>
    <mergeCell ref="D66:D68"/>
    <mergeCell ref="I66:I68"/>
    <mergeCell ref="K66:K68"/>
    <mergeCell ref="M66:M68"/>
    <mergeCell ref="R66:R68"/>
    <mergeCell ref="V66:V68"/>
    <mergeCell ref="X66:X68"/>
    <mergeCell ref="A69:A71"/>
    <mergeCell ref="B69:B71"/>
    <mergeCell ref="C69:C71"/>
    <mergeCell ref="D69:D71"/>
    <mergeCell ref="I69:I71"/>
    <mergeCell ref="K69:K71"/>
    <mergeCell ref="M69:M71"/>
    <mergeCell ref="R69:R71"/>
    <mergeCell ref="V69:V71"/>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Y75:Y77"/>
    <mergeCell ref="A78:A80"/>
    <mergeCell ref="B78:B80"/>
    <mergeCell ref="C78:C80"/>
    <mergeCell ref="D78:D80"/>
    <mergeCell ref="I78:I80"/>
    <mergeCell ref="K78:K80"/>
    <mergeCell ref="M78:M80"/>
    <mergeCell ref="R78:R80"/>
    <mergeCell ref="V78:V80"/>
    <mergeCell ref="X78:X80"/>
    <mergeCell ref="Y78:Y79"/>
    <mergeCell ref="Y81:Y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87:Y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A93:A95"/>
    <mergeCell ref="B93:B95"/>
    <mergeCell ref="C93:C95"/>
    <mergeCell ref="D93:D95"/>
    <mergeCell ref="I93:I95"/>
    <mergeCell ref="K93:K95"/>
    <mergeCell ref="M93:M95"/>
    <mergeCell ref="R93:R95"/>
    <mergeCell ref="V93:V95"/>
    <mergeCell ref="A96:A98"/>
    <mergeCell ref="B96:B98"/>
    <mergeCell ref="C96:C98"/>
    <mergeCell ref="D96:D98"/>
    <mergeCell ref="I96:I98"/>
    <mergeCell ref="K96:K98"/>
    <mergeCell ref="M96:M98"/>
    <mergeCell ref="R96:R98"/>
    <mergeCell ref="V96:V98"/>
    <mergeCell ref="M99:M101"/>
    <mergeCell ref="V99:V101"/>
    <mergeCell ref="A102:A104"/>
    <mergeCell ref="B102:B104"/>
    <mergeCell ref="C102:C104"/>
    <mergeCell ref="D102:D104"/>
    <mergeCell ref="I102:I104"/>
    <mergeCell ref="K102:K104"/>
    <mergeCell ref="M102:M104"/>
    <mergeCell ref="R102:R104"/>
    <mergeCell ref="A99:A101"/>
    <mergeCell ref="B99:B101"/>
    <mergeCell ref="C99:C101"/>
    <mergeCell ref="D99:D101"/>
    <mergeCell ref="I99:I101"/>
    <mergeCell ref="K99:K101"/>
    <mergeCell ref="V102:V104"/>
    <mergeCell ref="X102:X104"/>
    <mergeCell ref="Y102:Y104"/>
    <mergeCell ref="A105:A107"/>
    <mergeCell ref="B105:B107"/>
    <mergeCell ref="C105:C107"/>
    <mergeCell ref="D105:D107"/>
    <mergeCell ref="I105:I107"/>
    <mergeCell ref="K105:K107"/>
    <mergeCell ref="M105:M107"/>
    <mergeCell ref="R105:R107"/>
    <mergeCell ref="V105:V107"/>
    <mergeCell ref="X105:X107"/>
    <mergeCell ref="Y105:Y107"/>
    <mergeCell ref="M111:M113"/>
    <mergeCell ref="R111:R113"/>
    <mergeCell ref="V111:V113"/>
    <mergeCell ref="A108:A110"/>
    <mergeCell ref="B108:B110"/>
    <mergeCell ref="C108:C110"/>
    <mergeCell ref="D108:D110"/>
    <mergeCell ref="I108:I110"/>
    <mergeCell ref="K108:K110"/>
    <mergeCell ref="M108:M110"/>
    <mergeCell ref="R108:R110"/>
    <mergeCell ref="V108:V110"/>
    <mergeCell ref="A120:A122"/>
    <mergeCell ref="B120:B122"/>
    <mergeCell ref="C120:C122"/>
    <mergeCell ref="D120:D122"/>
    <mergeCell ref="I120:I122"/>
    <mergeCell ref="K120:K122"/>
    <mergeCell ref="A111:A113"/>
    <mergeCell ref="B111:B113"/>
    <mergeCell ref="C111:C113"/>
    <mergeCell ref="D111:D113"/>
    <mergeCell ref="I111:I113"/>
    <mergeCell ref="K111:K113"/>
    <mergeCell ref="R114:R116"/>
    <mergeCell ref="V114:V116"/>
    <mergeCell ref="A117:A119"/>
    <mergeCell ref="B117:B119"/>
    <mergeCell ref="C117:C119"/>
    <mergeCell ref="D117:D119"/>
    <mergeCell ref="I117:I119"/>
    <mergeCell ref="K117:K119"/>
    <mergeCell ref="M117:M119"/>
    <mergeCell ref="R117:R119"/>
    <mergeCell ref="A114:A116"/>
    <mergeCell ref="B114:B116"/>
    <mergeCell ref="C114:C116"/>
    <mergeCell ref="D114:D116"/>
    <mergeCell ref="I114:I116"/>
    <mergeCell ref="K114:K116"/>
    <mergeCell ref="M114:M116"/>
    <mergeCell ref="X120:X122"/>
    <mergeCell ref="C123:C125"/>
    <mergeCell ref="D123:D125"/>
    <mergeCell ref="I123:I125"/>
    <mergeCell ref="K123:K125"/>
    <mergeCell ref="M123:M125"/>
    <mergeCell ref="V123:V125"/>
    <mergeCell ref="V117:V119"/>
    <mergeCell ref="X117:X119"/>
    <mergeCell ref="R120:R122"/>
    <mergeCell ref="V120:V122"/>
    <mergeCell ref="M126:M128"/>
    <mergeCell ref="V126:V128"/>
    <mergeCell ref="X126:X128"/>
    <mergeCell ref="A129:A131"/>
    <mergeCell ref="B129:B131"/>
    <mergeCell ref="C129:C131"/>
    <mergeCell ref="D129:D131"/>
    <mergeCell ref="I129:I131"/>
    <mergeCell ref="K129:K131"/>
    <mergeCell ref="M129:M131"/>
    <mergeCell ref="A126:A128"/>
    <mergeCell ref="B126:B128"/>
    <mergeCell ref="C126:C128"/>
    <mergeCell ref="D126:D128"/>
    <mergeCell ref="I126:I128"/>
    <mergeCell ref="K126:K128"/>
    <mergeCell ref="V129:V131"/>
    <mergeCell ref="X129:X131"/>
    <mergeCell ref="A132:A134"/>
    <mergeCell ref="B132:B134"/>
    <mergeCell ref="C132:C134"/>
    <mergeCell ref="D132:D134"/>
    <mergeCell ref="I132:I134"/>
    <mergeCell ref="K132:K134"/>
    <mergeCell ref="R132:R134"/>
    <mergeCell ref="V132:V134"/>
    <mergeCell ref="X132:X134"/>
    <mergeCell ref="X135:X137"/>
    <mergeCell ref="A138:A140"/>
    <mergeCell ref="B138:B140"/>
    <mergeCell ref="C138:C140"/>
    <mergeCell ref="D138:D140"/>
    <mergeCell ref="I138:I140"/>
    <mergeCell ref="K138:K140"/>
    <mergeCell ref="M138:M140"/>
    <mergeCell ref="R138:R140"/>
    <mergeCell ref="V138:V140"/>
    <mergeCell ref="A135:A137"/>
    <mergeCell ref="B135:B137"/>
    <mergeCell ref="C135:C137"/>
    <mergeCell ref="D135:D137"/>
    <mergeCell ref="I135:I137"/>
    <mergeCell ref="K135:K137"/>
    <mergeCell ref="M135:M137"/>
    <mergeCell ref="R135:R137"/>
    <mergeCell ref="V135:V137"/>
    <mergeCell ref="X141:X143"/>
    <mergeCell ref="A144:A146"/>
    <mergeCell ref="B144:B146"/>
    <mergeCell ref="C144:C146"/>
    <mergeCell ref="D144:D146"/>
    <mergeCell ref="I144:I146"/>
    <mergeCell ref="K144:K146"/>
    <mergeCell ref="M144:M146"/>
    <mergeCell ref="R144:R146"/>
    <mergeCell ref="V144:V146"/>
    <mergeCell ref="C141:C143"/>
    <mergeCell ref="D141:D143"/>
    <mergeCell ref="I141:I143"/>
    <mergeCell ref="K141:K143"/>
    <mergeCell ref="M141:M143"/>
    <mergeCell ref="V141:V143"/>
    <mergeCell ref="X144:X146"/>
    <mergeCell ref="Y147:Y149"/>
    <mergeCell ref="A150:A152"/>
    <mergeCell ref="B150:B152"/>
    <mergeCell ref="C150:C152"/>
    <mergeCell ref="D150:D152"/>
    <mergeCell ref="I150:I152"/>
    <mergeCell ref="K150:K152"/>
    <mergeCell ref="R150:R152"/>
    <mergeCell ref="V150:V152"/>
    <mergeCell ref="X150:X152"/>
    <mergeCell ref="A147:A149"/>
    <mergeCell ref="B147:B149"/>
    <mergeCell ref="C147:C149"/>
    <mergeCell ref="D147:D149"/>
    <mergeCell ref="I147:I149"/>
    <mergeCell ref="K147:K149"/>
    <mergeCell ref="M147:M149"/>
    <mergeCell ref="R147:R149"/>
    <mergeCell ref="V147:V149"/>
    <mergeCell ref="R153:R155"/>
    <mergeCell ref="A156:A158"/>
    <mergeCell ref="B156:B158"/>
    <mergeCell ref="C156:C158"/>
    <mergeCell ref="D156:D158"/>
    <mergeCell ref="I156:I158"/>
    <mergeCell ref="K156:K158"/>
    <mergeCell ref="R156:R158"/>
    <mergeCell ref="A153:A155"/>
    <mergeCell ref="B153:B155"/>
    <mergeCell ref="C153:C155"/>
    <mergeCell ref="D153:D155"/>
    <mergeCell ref="I153:I155"/>
    <mergeCell ref="K153:K155"/>
    <mergeCell ref="M159:M161"/>
    <mergeCell ref="R159:R161"/>
    <mergeCell ref="A162:A164"/>
    <mergeCell ref="B162:B164"/>
    <mergeCell ref="C162:C164"/>
    <mergeCell ref="D162:D164"/>
    <mergeCell ref="I162:I164"/>
    <mergeCell ref="K162:K164"/>
    <mergeCell ref="R162:R164"/>
    <mergeCell ref="A159:A161"/>
    <mergeCell ref="B159:B161"/>
    <mergeCell ref="C159:C161"/>
    <mergeCell ref="D159:D161"/>
    <mergeCell ref="I159:I161"/>
    <mergeCell ref="K159:K161"/>
    <mergeCell ref="M165:M167"/>
    <mergeCell ref="V165:V167"/>
    <mergeCell ref="X165:X167"/>
    <mergeCell ref="A168:A170"/>
    <mergeCell ref="B168:B170"/>
    <mergeCell ref="C168:C170"/>
    <mergeCell ref="D168:D170"/>
    <mergeCell ref="I168:I170"/>
    <mergeCell ref="K168:K170"/>
    <mergeCell ref="M168:M170"/>
    <mergeCell ref="A165:A167"/>
    <mergeCell ref="B165:B167"/>
    <mergeCell ref="C165:C167"/>
    <mergeCell ref="D165:D167"/>
    <mergeCell ref="I165:I167"/>
    <mergeCell ref="K165:K167"/>
    <mergeCell ref="R171:R173"/>
    <mergeCell ref="A174:A176"/>
    <mergeCell ref="B174:B176"/>
    <mergeCell ref="C174:C176"/>
    <mergeCell ref="D174:D176"/>
    <mergeCell ref="I174:I176"/>
    <mergeCell ref="K174:K176"/>
    <mergeCell ref="R174:R176"/>
    <mergeCell ref="A171:A173"/>
    <mergeCell ref="B171:B173"/>
    <mergeCell ref="C171:C173"/>
    <mergeCell ref="D171:D173"/>
    <mergeCell ref="I171:I173"/>
    <mergeCell ref="K171:K173"/>
    <mergeCell ref="R177:R179"/>
    <mergeCell ref="V177:V179"/>
    <mergeCell ref="A180:A182"/>
    <mergeCell ref="B180:B182"/>
    <mergeCell ref="C180:C182"/>
    <mergeCell ref="D180:D182"/>
    <mergeCell ref="I180:I182"/>
    <mergeCell ref="K180:K182"/>
    <mergeCell ref="A177:A179"/>
    <mergeCell ref="B177:B179"/>
    <mergeCell ref="C177:C179"/>
    <mergeCell ref="D177:D179"/>
    <mergeCell ref="I177:I179"/>
    <mergeCell ref="K177:K179"/>
    <mergeCell ref="M183:M185"/>
    <mergeCell ref="R183:R185"/>
    <mergeCell ref="V183:V185"/>
    <mergeCell ref="A186:A188"/>
    <mergeCell ref="B186:B188"/>
    <mergeCell ref="C186:C188"/>
    <mergeCell ref="D186:D188"/>
    <mergeCell ref="I186:I188"/>
    <mergeCell ref="K186:K188"/>
    <mergeCell ref="R186:R188"/>
    <mergeCell ref="A183:A185"/>
    <mergeCell ref="B183:B185"/>
    <mergeCell ref="C183:C185"/>
    <mergeCell ref="D183:D185"/>
    <mergeCell ref="I183:I185"/>
    <mergeCell ref="K183:K185"/>
    <mergeCell ref="R192:R194"/>
    <mergeCell ref="C196:X196"/>
    <mergeCell ref="M189:M191"/>
    <mergeCell ref="R189:R191"/>
    <mergeCell ref="X189:X191"/>
    <mergeCell ref="Y189:Y191"/>
    <mergeCell ref="A192:A194"/>
    <mergeCell ref="B192:B194"/>
    <mergeCell ref="C192:C194"/>
    <mergeCell ref="D192:D194"/>
    <mergeCell ref="I192:I194"/>
    <mergeCell ref="K192:K194"/>
    <mergeCell ref="A189:A191"/>
    <mergeCell ref="B189:B191"/>
    <mergeCell ref="C189:C191"/>
    <mergeCell ref="D189:D191"/>
    <mergeCell ref="I189:I191"/>
    <mergeCell ref="K189:K191"/>
  </mergeCells>
  <pageMargins left="0.7" right="0.7" top="0.75" bottom="0.75" header="0.3" footer="0.3"/>
  <pageSetup scale="38" fitToHeight="0" orientation="landscape" r:id="rId1"/>
  <rowBreaks count="19" manualBreakCount="19">
    <brk id="11" max="16383" man="1"/>
    <brk id="23" max="16383" man="1"/>
    <brk id="29" max="16383" man="1"/>
    <brk id="35" max="16383" man="1"/>
    <brk id="41" max="16383" man="1"/>
    <brk id="47" max="16383" man="1"/>
    <brk id="56" max="16383" man="1"/>
    <brk id="62" max="16383" man="1"/>
    <brk id="71" max="16383" man="1"/>
    <brk id="77" max="16383" man="1"/>
    <brk id="86" max="16383" man="1"/>
    <brk id="101" max="16383" man="1"/>
    <brk id="110" max="16383" man="1"/>
    <brk id="119" max="16383" man="1"/>
    <brk id="134" max="16383" man="1"/>
    <brk id="143" max="16383" man="1"/>
    <brk id="152" max="16383" man="1"/>
    <brk id="167" max="16383" man="1"/>
    <brk id="182" max="16383" man="1"/>
  </rowBreaks>
  <colBreaks count="1" manualBreakCount="1">
    <brk id="25" max="1048575" man="1"/>
  </col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CA5B-61B6-476B-8973-81AC684F4F5B}">
  <sheetPr>
    <tabColor rgb="FFFF0000"/>
  </sheetPr>
  <dimension ref="B3:G74"/>
  <sheetViews>
    <sheetView showGridLines="0" zoomScale="85" zoomScaleNormal="85" workbookViewId="0">
      <selection activeCell="D66" sqref="D66"/>
    </sheetView>
  </sheetViews>
  <sheetFormatPr baseColWidth="10" defaultColWidth="8.7265625" defaultRowHeight="12.5"/>
  <cols>
    <col min="2" max="7" width="9.1796875" style="148"/>
  </cols>
  <sheetData>
    <row r="3" spans="2:7" ht="13">
      <c r="B3" s="166" t="s">
        <v>501</v>
      </c>
    </row>
    <row r="4" spans="2:7" ht="14.5">
      <c r="B4" s="149" t="s">
        <v>433</v>
      </c>
      <c r="C4" s="150" t="s">
        <v>435</v>
      </c>
      <c r="D4" s="150" t="s">
        <v>436</v>
      </c>
      <c r="E4" s="150" t="s">
        <v>437</v>
      </c>
      <c r="F4" s="151"/>
      <c r="G4" s="152"/>
    </row>
    <row r="5" spans="2:7">
      <c r="B5" s="153" t="s">
        <v>446</v>
      </c>
      <c r="C5" s="148" t="s">
        <v>39</v>
      </c>
      <c r="D5" s="154">
        <v>1.7728572264249522</v>
      </c>
      <c r="E5" s="154">
        <v>4.2669989958887014</v>
      </c>
      <c r="G5" s="155"/>
    </row>
    <row r="6" spans="2:7">
      <c r="B6" s="153" t="s">
        <v>447</v>
      </c>
      <c r="C6" s="148" t="s">
        <v>41</v>
      </c>
      <c r="D6" s="154">
        <v>2.9740073275675076</v>
      </c>
      <c r="E6" s="154">
        <v>6.9835682857412555</v>
      </c>
      <c r="G6" s="155"/>
    </row>
    <row r="7" spans="2:7">
      <c r="B7" s="153" t="s">
        <v>448</v>
      </c>
      <c r="C7" s="148" t="s">
        <v>22</v>
      </c>
      <c r="D7" s="154">
        <v>3.4422076683139151</v>
      </c>
      <c r="E7" s="154">
        <v>10.170867001850619</v>
      </c>
      <c r="G7" s="155"/>
    </row>
    <row r="8" spans="2:7">
      <c r="B8" s="153" t="s">
        <v>449</v>
      </c>
      <c r="C8" s="148" t="s">
        <v>23</v>
      </c>
      <c r="D8" s="154">
        <v>4.129848567413041</v>
      </c>
      <c r="E8" s="154">
        <v>14.444526098939509</v>
      </c>
      <c r="G8" s="155"/>
    </row>
    <row r="9" spans="2:7">
      <c r="B9" s="153" t="s">
        <v>450</v>
      </c>
      <c r="C9" s="148" t="s">
        <v>56</v>
      </c>
      <c r="D9" s="154">
        <v>4.2006968782557186</v>
      </c>
      <c r="E9" s="154">
        <v>5.3297894552483349</v>
      </c>
      <c r="G9" s="155"/>
    </row>
    <row r="10" spans="2:7">
      <c r="B10" s="153" t="s">
        <v>451</v>
      </c>
      <c r="C10" s="148" t="s">
        <v>51</v>
      </c>
      <c r="D10" s="154">
        <v>4.2369754101110404</v>
      </c>
      <c r="E10" s="154">
        <v>4.3610989969472307</v>
      </c>
      <c r="G10" s="155"/>
    </row>
    <row r="11" spans="2:7">
      <c r="B11" s="153" t="s">
        <v>452</v>
      </c>
      <c r="C11" s="148" t="s">
        <v>49</v>
      </c>
      <c r="D11" s="154">
        <v>4.5192778176981978</v>
      </c>
      <c r="E11" s="154">
        <v>8.2514903974826659</v>
      </c>
      <c r="G11" s="155"/>
    </row>
    <row r="12" spans="2:7">
      <c r="B12" s="153" t="s">
        <v>453</v>
      </c>
      <c r="C12" s="148" t="s">
        <v>57</v>
      </c>
      <c r="D12" s="154">
        <v>5.2882597816353591</v>
      </c>
      <c r="E12" s="154">
        <v>6.0080918260018352</v>
      </c>
      <c r="G12" s="155"/>
    </row>
    <row r="13" spans="2:7">
      <c r="B13" s="153" t="s">
        <v>454</v>
      </c>
      <c r="C13" s="148" t="s">
        <v>38</v>
      </c>
      <c r="D13" s="154">
        <v>5.44423346092535</v>
      </c>
      <c r="E13" s="154">
        <v>15.470637134364086</v>
      </c>
      <c r="G13" s="155"/>
    </row>
    <row r="14" spans="2:7">
      <c r="B14" s="153" t="s">
        <v>455</v>
      </c>
      <c r="C14" s="148" t="s">
        <v>20</v>
      </c>
      <c r="D14" s="154">
        <v>6.8248555163513647</v>
      </c>
      <c r="E14" s="154">
        <v>35.480108253531988</v>
      </c>
      <c r="G14" s="155"/>
    </row>
    <row r="15" spans="2:7">
      <c r="B15" s="153" t="s">
        <v>456</v>
      </c>
      <c r="C15" s="148" t="s">
        <v>37</v>
      </c>
      <c r="D15" s="154">
        <v>7.2204845013748731</v>
      </c>
      <c r="E15" s="154">
        <v>11.921672229684368</v>
      </c>
      <c r="G15" s="155"/>
    </row>
    <row r="16" spans="2:7">
      <c r="B16" s="153" t="s">
        <v>457</v>
      </c>
      <c r="C16" s="148" t="s">
        <v>18</v>
      </c>
      <c r="D16" s="154">
        <v>7.7103009294197555</v>
      </c>
      <c r="E16" s="154">
        <v>15.752942416142089</v>
      </c>
      <c r="G16" s="155"/>
    </row>
    <row r="17" spans="2:7">
      <c r="B17" s="153" t="s">
        <v>458</v>
      </c>
      <c r="C17" s="148" t="s">
        <v>19</v>
      </c>
      <c r="D17" s="156">
        <v>11.03370544006278</v>
      </c>
      <c r="E17" s="154">
        <v>27.848832013978619</v>
      </c>
      <c r="G17" s="155"/>
    </row>
    <row r="18" spans="2:7">
      <c r="B18" s="153" t="s">
        <v>434</v>
      </c>
      <c r="C18" s="157" t="s">
        <v>434</v>
      </c>
      <c r="D18" s="156">
        <v>12.683283892845772</v>
      </c>
      <c r="E18" s="154">
        <v>11.278336604300787</v>
      </c>
      <c r="G18" s="155"/>
    </row>
    <row r="19" spans="2:7">
      <c r="B19" s="153" t="s">
        <v>459</v>
      </c>
      <c r="C19" s="148" t="s">
        <v>16</v>
      </c>
      <c r="D19" s="154">
        <v>14.646141686967878</v>
      </c>
      <c r="E19" s="154">
        <v>4.0212214238157857</v>
      </c>
      <c r="G19" s="155"/>
    </row>
    <row r="20" spans="2:7">
      <c r="B20" s="153" t="s">
        <v>460</v>
      </c>
      <c r="C20" s="148" t="s">
        <v>21</v>
      </c>
      <c r="D20" s="154">
        <v>15.580392937317248</v>
      </c>
      <c r="E20" s="154">
        <v>28.439808160701094</v>
      </c>
      <c r="G20" s="155"/>
    </row>
    <row r="21" spans="2:7">
      <c r="B21" s="153" t="s">
        <v>461</v>
      </c>
      <c r="C21" s="148" t="s">
        <v>15</v>
      </c>
      <c r="D21" s="154">
        <v>16.177852301431432</v>
      </c>
      <c r="E21" s="154">
        <v>1.7895854315742734</v>
      </c>
      <c r="G21" s="155"/>
    </row>
    <row r="22" spans="2:7">
      <c r="B22" s="153" t="s">
        <v>462</v>
      </c>
      <c r="C22" s="148" t="s">
        <v>53</v>
      </c>
      <c r="D22" s="154">
        <v>16.25793005941393</v>
      </c>
      <c r="E22" s="154">
        <v>4.7499928460439111</v>
      </c>
      <c r="G22" s="155"/>
    </row>
    <row r="23" spans="2:7">
      <c r="B23" s="153" t="s">
        <v>463</v>
      </c>
      <c r="C23" s="148" t="s">
        <v>24</v>
      </c>
      <c r="D23" s="154">
        <v>16.258004012956349</v>
      </c>
      <c r="E23" s="154">
        <v>16.116219094238705</v>
      </c>
      <c r="G23" s="155"/>
    </row>
    <row r="24" spans="2:7">
      <c r="B24" s="153" t="s">
        <v>464</v>
      </c>
      <c r="C24" s="148" t="s">
        <v>25</v>
      </c>
      <c r="D24" s="154">
        <v>16.719306053544834</v>
      </c>
      <c r="E24" s="154">
        <v>2.4339468750343576</v>
      </c>
      <c r="G24" s="155"/>
    </row>
    <row r="25" spans="2:7">
      <c r="B25" s="158" t="s">
        <v>465</v>
      </c>
      <c r="C25" s="159" t="s">
        <v>50</v>
      </c>
      <c r="D25" s="165">
        <v>19.063391654531198</v>
      </c>
      <c r="E25" s="165">
        <v>2.7078681327459089</v>
      </c>
      <c r="F25" s="159"/>
      <c r="G25" s="162"/>
    </row>
    <row r="27" spans="2:7" ht="13">
      <c r="B27" s="166" t="s">
        <v>500</v>
      </c>
    </row>
    <row r="28" spans="2:7" ht="14.5">
      <c r="B28" s="149" t="s">
        <v>433</v>
      </c>
      <c r="C28" s="150" t="s">
        <v>435</v>
      </c>
      <c r="D28" s="150" t="s">
        <v>436</v>
      </c>
      <c r="E28" s="150" t="s">
        <v>437</v>
      </c>
      <c r="F28" s="151"/>
      <c r="G28" s="152"/>
    </row>
    <row r="29" spans="2:7">
      <c r="B29" s="153" t="s">
        <v>466</v>
      </c>
      <c r="C29" s="148" t="s">
        <v>31</v>
      </c>
      <c r="D29" s="154">
        <v>0.68126555483297013</v>
      </c>
      <c r="E29" s="154">
        <v>1.280743852667551</v>
      </c>
      <c r="G29" s="155"/>
    </row>
    <row r="30" spans="2:7">
      <c r="B30" s="153" t="s">
        <v>467</v>
      </c>
      <c r="C30" s="148" t="s">
        <v>35</v>
      </c>
      <c r="D30" s="154">
        <v>1.0708244081170604</v>
      </c>
      <c r="E30" s="154">
        <v>9.0021171324169291</v>
      </c>
      <c r="G30" s="155"/>
    </row>
    <row r="31" spans="2:7">
      <c r="B31" s="153" t="s">
        <v>468</v>
      </c>
      <c r="C31" s="148" t="s">
        <v>58</v>
      </c>
      <c r="D31" s="154">
        <v>1.2173373610342335</v>
      </c>
      <c r="E31" s="154">
        <v>1.6540774176582216</v>
      </c>
      <c r="G31" s="155"/>
    </row>
    <row r="32" spans="2:7">
      <c r="B32" s="153" t="s">
        <v>469</v>
      </c>
      <c r="C32" s="148" t="s">
        <v>63</v>
      </c>
      <c r="D32" s="154">
        <v>1.574089347079038</v>
      </c>
      <c r="E32" s="154">
        <v>0.12783505154639177</v>
      </c>
      <c r="G32" s="155"/>
    </row>
    <row r="33" spans="2:7">
      <c r="B33" s="153" t="s">
        <v>470</v>
      </c>
      <c r="C33" s="148" t="s">
        <v>69</v>
      </c>
      <c r="D33" s="154">
        <v>1.9843417699892416</v>
      </c>
      <c r="E33" s="154">
        <v>0</v>
      </c>
      <c r="G33" s="155"/>
    </row>
    <row r="34" spans="2:7">
      <c r="B34" s="153" t="s">
        <v>471</v>
      </c>
      <c r="C34" s="148" t="s">
        <v>33</v>
      </c>
      <c r="D34" s="154">
        <v>2.1908414259088271</v>
      </c>
      <c r="E34" s="154">
        <v>0.83677971128462125</v>
      </c>
      <c r="G34" s="155"/>
    </row>
    <row r="35" spans="2:7">
      <c r="B35" s="153" t="s">
        <v>472</v>
      </c>
      <c r="C35" s="148" t="s">
        <v>73</v>
      </c>
      <c r="D35" s="154">
        <v>2.2661937174174835</v>
      </c>
      <c r="E35" s="154">
        <v>3.2088541292844197</v>
      </c>
      <c r="G35" s="155"/>
    </row>
    <row r="36" spans="2:7">
      <c r="B36" s="153" t="s">
        <v>473</v>
      </c>
      <c r="C36" s="148" t="s">
        <v>66</v>
      </c>
      <c r="D36" s="154">
        <v>2.410373216215953</v>
      </c>
      <c r="E36" s="154">
        <v>3.090222072071735</v>
      </c>
      <c r="G36" s="155"/>
    </row>
    <row r="37" spans="2:7">
      <c r="B37" s="153" t="s">
        <v>474</v>
      </c>
      <c r="C37" s="148" t="s">
        <v>76</v>
      </c>
      <c r="D37" s="154">
        <v>2.4182894612809829</v>
      </c>
      <c r="E37" s="154">
        <v>0.45016557358171677</v>
      </c>
      <c r="G37" s="155"/>
    </row>
    <row r="38" spans="2:7">
      <c r="B38" s="153" t="s">
        <v>475</v>
      </c>
      <c r="C38" s="148" t="s">
        <v>77</v>
      </c>
      <c r="D38" s="154">
        <v>2.4651263904404717</v>
      </c>
      <c r="E38" s="154">
        <v>0</v>
      </c>
      <c r="G38" s="155"/>
    </row>
    <row r="39" spans="2:7">
      <c r="B39" s="153" t="s">
        <v>476</v>
      </c>
      <c r="C39" s="148" t="s">
        <v>71</v>
      </c>
      <c r="D39" s="154">
        <v>2.5426457949039269</v>
      </c>
      <c r="E39" s="154">
        <v>0.92126458215706097</v>
      </c>
      <c r="G39" s="155"/>
    </row>
    <row r="40" spans="2:7">
      <c r="B40" s="153" t="s">
        <v>477</v>
      </c>
      <c r="C40" s="148" t="s">
        <v>30</v>
      </c>
      <c r="D40" s="154">
        <v>2.6804100904569146</v>
      </c>
      <c r="E40" s="154">
        <v>0.85337437862250176</v>
      </c>
      <c r="G40" s="155"/>
    </row>
    <row r="41" spans="2:7">
      <c r="B41" s="153" t="s">
        <v>478</v>
      </c>
      <c r="C41" s="148" t="s">
        <v>32</v>
      </c>
      <c r="D41" s="154">
        <v>2.9094770375926076</v>
      </c>
      <c r="E41" s="154">
        <v>1.5136621905403773</v>
      </c>
      <c r="G41" s="155"/>
    </row>
    <row r="42" spans="2:7">
      <c r="B42" s="153" t="s">
        <v>479</v>
      </c>
      <c r="C42" s="148" t="s">
        <v>29</v>
      </c>
      <c r="D42" s="154">
        <v>3.0568212569433708</v>
      </c>
      <c r="E42" s="154">
        <v>5.0912199606783508</v>
      </c>
      <c r="G42" s="155"/>
    </row>
    <row r="43" spans="2:7">
      <c r="B43" s="153" t="s">
        <v>438</v>
      </c>
      <c r="C43" s="148" t="s">
        <v>438</v>
      </c>
      <c r="D43" s="154">
        <v>3.6269039160512979</v>
      </c>
      <c r="E43" s="154">
        <v>2.5044941274599504</v>
      </c>
      <c r="G43" s="155"/>
    </row>
    <row r="44" spans="2:7">
      <c r="B44" s="153" t="s">
        <v>480</v>
      </c>
      <c r="C44" s="148" t="s">
        <v>26</v>
      </c>
      <c r="D44" s="154">
        <v>3.7991928411281406</v>
      </c>
      <c r="E44" s="154">
        <v>1.941158674777858</v>
      </c>
      <c r="G44" s="155"/>
    </row>
    <row r="45" spans="2:7">
      <c r="B45" s="153" t="s">
        <v>481</v>
      </c>
      <c r="C45" s="148" t="s">
        <v>61</v>
      </c>
      <c r="D45" s="154">
        <v>4.1001315963942302</v>
      </c>
      <c r="E45" s="154">
        <v>5.713254819525023</v>
      </c>
      <c r="G45" s="155"/>
    </row>
    <row r="46" spans="2:7">
      <c r="B46" s="153" t="s">
        <v>482</v>
      </c>
      <c r="C46" s="148" t="s">
        <v>59</v>
      </c>
      <c r="D46" s="154">
        <v>4.3861065138416224</v>
      </c>
      <c r="E46" s="154">
        <v>3.9260326327640933</v>
      </c>
      <c r="G46" s="155"/>
    </row>
    <row r="47" spans="2:7">
      <c r="B47" s="153" t="s">
        <v>483</v>
      </c>
      <c r="C47" s="148" t="s">
        <v>28</v>
      </c>
      <c r="D47" s="154">
        <v>4.7347943347338237</v>
      </c>
      <c r="E47" s="154">
        <v>1.284110209053015</v>
      </c>
      <c r="G47" s="155"/>
    </row>
    <row r="48" spans="2:7">
      <c r="B48" s="153" t="s">
        <v>484</v>
      </c>
      <c r="C48" s="148" t="s">
        <v>70</v>
      </c>
      <c r="D48" s="154">
        <v>5.3603502194989856</v>
      </c>
      <c r="E48" s="154">
        <v>9.6200001260662695</v>
      </c>
      <c r="G48" s="155"/>
    </row>
    <row r="49" spans="2:7">
      <c r="B49" s="153" t="s">
        <v>485</v>
      </c>
      <c r="C49" s="148" t="s">
        <v>34</v>
      </c>
      <c r="D49" s="154">
        <v>5.4774789744919543</v>
      </c>
      <c r="E49" s="154">
        <v>4.180181322638596</v>
      </c>
      <c r="G49" s="155"/>
    </row>
    <row r="50" spans="2:7">
      <c r="B50" s="153" t="s">
        <v>486</v>
      </c>
      <c r="C50" s="148" t="s">
        <v>64</v>
      </c>
      <c r="D50" s="154">
        <v>6.4171911765327883</v>
      </c>
      <c r="E50" s="154">
        <v>1.8215652368232442E-4</v>
      </c>
      <c r="F50" s="160"/>
      <c r="G50" s="161"/>
    </row>
    <row r="51" spans="2:7">
      <c r="B51" s="153" t="s">
        <v>487</v>
      </c>
      <c r="C51" s="148" t="s">
        <v>72</v>
      </c>
      <c r="D51" s="154">
        <v>7.6769895099565364</v>
      </c>
      <c r="E51" s="154">
        <v>5.4241977164365274</v>
      </c>
      <c r="F51" s="160"/>
      <c r="G51" s="161"/>
    </row>
    <row r="52" spans="2:7">
      <c r="B52" s="153" t="s">
        <v>490</v>
      </c>
      <c r="C52" s="148" t="s">
        <v>60</v>
      </c>
      <c r="D52" s="154">
        <v>8.2454087590096599</v>
      </c>
      <c r="E52" s="154">
        <v>1.7895338016479629</v>
      </c>
      <c r="G52" s="155"/>
    </row>
    <row r="53" spans="2:7">
      <c r="B53" s="153" t="s">
        <v>488</v>
      </c>
      <c r="C53" s="148" t="s">
        <v>27</v>
      </c>
      <c r="D53" s="154">
        <v>8.256941459558897</v>
      </c>
      <c r="E53" s="154">
        <v>6.1933826713210536</v>
      </c>
      <c r="G53" s="155"/>
    </row>
    <row r="54" spans="2:7">
      <c r="B54" s="158" t="s">
        <v>489</v>
      </c>
      <c r="C54" s="159" t="s">
        <v>75</v>
      </c>
      <c r="D54" s="165">
        <v>8.2790021605857174</v>
      </c>
      <c r="E54" s="165">
        <v>4.267857702937599</v>
      </c>
      <c r="F54" s="159"/>
      <c r="G54" s="162"/>
    </row>
    <row r="57" spans="2:7" ht="13">
      <c r="B57" s="166" t="s">
        <v>502</v>
      </c>
    </row>
    <row r="58" spans="2:7" ht="14.5">
      <c r="B58" s="149" t="s">
        <v>433</v>
      </c>
      <c r="C58" s="150" t="s">
        <v>435</v>
      </c>
      <c r="D58" s="150" t="s">
        <v>436</v>
      </c>
      <c r="E58" s="150" t="s">
        <v>437</v>
      </c>
      <c r="F58" s="151"/>
      <c r="G58" s="152"/>
    </row>
    <row r="59" spans="2:7" ht="14.5">
      <c r="B59" s="153" t="s">
        <v>491</v>
      </c>
      <c r="C59" s="148" t="s">
        <v>90</v>
      </c>
      <c r="D59" s="154">
        <v>0.53561329172394667</v>
      </c>
      <c r="E59" s="154">
        <v>0.47038638031962526</v>
      </c>
      <c r="F59" s="163"/>
      <c r="G59" s="164"/>
    </row>
    <row r="60" spans="2:7" ht="14.5">
      <c r="B60" s="153" t="s">
        <v>509</v>
      </c>
      <c r="C60" s="148" t="s">
        <v>84</v>
      </c>
      <c r="D60" s="154">
        <v>0.7303367342895809</v>
      </c>
      <c r="E60" s="154">
        <v>0.26334257246018544</v>
      </c>
      <c r="F60" s="163"/>
      <c r="G60" s="164"/>
    </row>
    <row r="61" spans="2:7">
      <c r="B61" s="153" t="s">
        <v>441</v>
      </c>
      <c r="C61" s="148" t="s">
        <v>86</v>
      </c>
      <c r="D61" s="154">
        <v>0.75126848355144216</v>
      </c>
      <c r="E61" s="154">
        <v>1.284439192257552</v>
      </c>
      <c r="G61" s="155"/>
    </row>
    <row r="62" spans="2:7">
      <c r="B62" s="153" t="s">
        <v>492</v>
      </c>
      <c r="C62" s="148" t="s">
        <v>78</v>
      </c>
      <c r="D62" s="154">
        <v>1.2725932342664057</v>
      </c>
      <c r="E62" s="154">
        <v>0</v>
      </c>
      <c r="G62" s="155"/>
    </row>
    <row r="63" spans="2:7">
      <c r="B63" s="153" t="s">
        <v>443</v>
      </c>
      <c r="C63" s="148" t="s">
        <v>440</v>
      </c>
      <c r="D63" s="154">
        <v>1.4</v>
      </c>
      <c r="E63" s="154">
        <v>0</v>
      </c>
      <c r="G63" s="155"/>
    </row>
    <row r="64" spans="2:7">
      <c r="B64" s="153" t="s">
        <v>493</v>
      </c>
      <c r="C64" s="148" t="s">
        <v>87</v>
      </c>
      <c r="D64" s="154">
        <v>1.4589170592426774</v>
      </c>
      <c r="E64" s="154">
        <v>0</v>
      </c>
      <c r="G64" s="155"/>
    </row>
    <row r="65" spans="2:7">
      <c r="B65" s="153" t="s">
        <v>494</v>
      </c>
      <c r="C65" s="148" t="s">
        <v>79</v>
      </c>
      <c r="D65" s="154">
        <v>1.5410379122087119</v>
      </c>
      <c r="E65" s="154">
        <v>0.62234223377659526</v>
      </c>
      <c r="G65" s="155"/>
    </row>
    <row r="66" spans="2:7">
      <c r="B66" s="153" t="s">
        <v>439</v>
      </c>
      <c r="C66" s="148" t="s">
        <v>439</v>
      </c>
      <c r="D66" s="154">
        <v>1.5876485248498626</v>
      </c>
      <c r="E66" s="154">
        <v>0.22001660716709234</v>
      </c>
      <c r="G66" s="155"/>
    </row>
    <row r="67" spans="2:7">
      <c r="B67" s="153" t="s">
        <v>442</v>
      </c>
      <c r="C67" s="148" t="s">
        <v>85</v>
      </c>
      <c r="D67" s="154">
        <v>1.8311737233930707</v>
      </c>
      <c r="E67" s="154">
        <v>1.369989230094075</v>
      </c>
      <c r="G67" s="155"/>
    </row>
    <row r="68" spans="2:7">
      <c r="B68" s="153" t="s">
        <v>444</v>
      </c>
      <c r="C68" s="148" t="s">
        <v>91</v>
      </c>
      <c r="D68" s="154">
        <v>2.0995999624452013</v>
      </c>
      <c r="E68" s="154">
        <v>0.26614647411277198</v>
      </c>
      <c r="G68" s="155"/>
    </row>
    <row r="69" spans="2:7">
      <c r="B69" s="153" t="s">
        <v>495</v>
      </c>
      <c r="C69" s="148" t="s">
        <v>82</v>
      </c>
      <c r="D69" s="154">
        <v>2.2719587745556735</v>
      </c>
      <c r="E69" s="154">
        <v>2.0840210082780901</v>
      </c>
      <c r="G69" s="155"/>
    </row>
    <row r="70" spans="2:7">
      <c r="B70" s="153" t="s">
        <v>496</v>
      </c>
      <c r="C70" s="148" t="s">
        <v>83</v>
      </c>
      <c r="D70" s="154">
        <v>2.3882593762032762</v>
      </c>
      <c r="E70" s="154">
        <v>0</v>
      </c>
      <c r="G70" s="155"/>
    </row>
    <row r="71" spans="2:7">
      <c r="B71" s="153" t="s">
        <v>497</v>
      </c>
      <c r="C71" s="148" t="s">
        <v>80</v>
      </c>
      <c r="D71" s="154">
        <v>2.8833694498395888</v>
      </c>
      <c r="E71" s="154">
        <v>0.30893244105424167</v>
      </c>
      <c r="G71" s="155"/>
    </row>
    <row r="72" spans="2:7">
      <c r="B72" s="153" t="s">
        <v>498</v>
      </c>
      <c r="C72" s="148" t="s">
        <v>88</v>
      </c>
      <c r="D72" s="154">
        <v>3.1628411514016226</v>
      </c>
      <c r="E72" s="154">
        <v>0.49977173949912773</v>
      </c>
      <c r="G72" s="155"/>
    </row>
    <row r="73" spans="2:7">
      <c r="B73" s="153" t="s">
        <v>445</v>
      </c>
      <c r="C73" s="148" t="s">
        <v>89</v>
      </c>
      <c r="D73" s="154">
        <v>3.704564006123956</v>
      </c>
      <c r="E73" s="154">
        <v>2.4321630805971468</v>
      </c>
      <c r="G73" s="155"/>
    </row>
    <row r="74" spans="2:7">
      <c r="B74" s="158" t="s">
        <v>499</v>
      </c>
      <c r="C74" s="159" t="s">
        <v>81</v>
      </c>
      <c r="D74" s="165">
        <v>5.1553452632492336</v>
      </c>
      <c r="E74" s="165">
        <v>1.8420719139766197</v>
      </c>
      <c r="F74" s="159"/>
      <c r="G74" s="162"/>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6</vt:i4>
      </vt:variant>
    </vt:vector>
  </HeadingPairs>
  <TitlesOfParts>
    <vt:vector size="12" baseType="lpstr">
      <vt:lpstr>2020</vt:lpstr>
      <vt:lpstr>2021</vt:lpstr>
      <vt:lpstr>data</vt:lpstr>
      <vt:lpstr>Security</vt:lpstr>
      <vt:lpstr>Database</vt:lpstr>
      <vt:lpstr>Figure</vt:lpstr>
      <vt:lpstr>'2020'!Druckbereich</vt:lpstr>
      <vt:lpstr>'2021'!Druckbereich</vt:lpstr>
      <vt:lpstr>Database!Druckbereich</vt:lpstr>
      <vt:lpstr>'2020'!Drucktitel</vt:lpstr>
      <vt:lpstr>'2021'!Drucktitel</vt:lpstr>
      <vt:lpstr>Database!Drucktitel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 Yuan</dc:creator>
  <cp:lastModifiedBy>aulis pesenti</cp:lastModifiedBy>
  <cp:lastPrinted>2021-03-01T15:09:47Z</cp:lastPrinted>
  <dcterms:created xsi:type="dcterms:W3CDTF">2021-01-12T17:26:15Z</dcterms:created>
  <dcterms:modified xsi:type="dcterms:W3CDTF">2024-04-29T16:02:51Z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20210301101048406</vt:lpwstr>
  </property>
  <property fmtid="{D5CDD505-2E9C-101B-9397-08002B2CF9AE}" pid="3" name="{A44787D4-0540-4523-9961-78E4036D8C6D}">
    <vt:lpwstr>{DB730BFC-807A-41BF-97F0-5055EC74F257}</vt:lpwstr>
  </property>
</Properties>
</file>