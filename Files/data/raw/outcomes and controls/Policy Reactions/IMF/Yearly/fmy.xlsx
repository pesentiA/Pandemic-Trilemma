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dcfa39c5054bb9/Studium/Wirtschaftswissenschaften/Master-Thesis/New/Working/Policy Reactions/IMF/Yearly/"/>
    </mc:Choice>
  </mc:AlternateContent>
  <xr:revisionPtr revIDLastSave="350" documentId="8_{1B288725-658E-44A9-BFAD-26FCB447B990}" xr6:coauthVersionLast="47" xr6:coauthVersionMax="47" xr10:uidLastSave="{9A1CFA21-C5FC-4B67-98C4-4D02C6286BFF}"/>
  <bookViews>
    <workbookView xWindow="-30480" yWindow="-21720" windowWidth="51840" windowHeight="21120" xr2:uid="{69553E5F-4764-4362-943F-BABB942EFFF0}"/>
  </bookViews>
  <sheets>
    <sheet name="data" sheetId="4" r:id="rId1"/>
  </sheets>
  <externalReferences>
    <externalReference r:id="rId2"/>
  </externalReference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" i="4" l="1"/>
  <c r="AR4" i="4"/>
  <c r="AR5" i="4"/>
  <c r="AR6" i="4"/>
  <c r="AR7" i="4"/>
  <c r="AR8" i="4"/>
  <c r="AR9" i="4"/>
  <c r="AR10" i="4"/>
  <c r="AR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S3" i="4"/>
  <c r="AS4" i="4"/>
  <c r="AS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2" i="4"/>
  <c r="AR2" i="4"/>
  <c r="AZ3" i="4"/>
  <c r="BA3" i="4"/>
  <c r="AZ4" i="4"/>
  <c r="BA4" i="4"/>
  <c r="AZ5" i="4"/>
  <c r="BA5" i="4"/>
  <c r="AZ6" i="4"/>
  <c r="BA6" i="4"/>
  <c r="AZ7" i="4"/>
  <c r="BA7" i="4"/>
  <c r="AZ8" i="4"/>
  <c r="BA8" i="4"/>
  <c r="AZ9" i="4"/>
  <c r="BA9" i="4"/>
  <c r="AZ10" i="4"/>
  <c r="BA10" i="4"/>
  <c r="AZ11" i="4"/>
  <c r="BA11" i="4"/>
  <c r="AZ12" i="4"/>
  <c r="BA12" i="4"/>
  <c r="AZ13" i="4"/>
  <c r="BA13" i="4"/>
  <c r="AZ14" i="4"/>
  <c r="BA14" i="4"/>
  <c r="AZ15" i="4"/>
  <c r="BA15" i="4"/>
  <c r="AZ16" i="4"/>
  <c r="BA16" i="4"/>
  <c r="AZ17" i="4"/>
  <c r="BA17" i="4"/>
  <c r="AZ18" i="4"/>
  <c r="BA18" i="4"/>
  <c r="AZ19" i="4"/>
  <c r="BA19" i="4"/>
  <c r="AZ20" i="4"/>
  <c r="BA20" i="4"/>
  <c r="AZ21" i="4"/>
  <c r="BA21" i="4"/>
  <c r="AZ22" i="4"/>
  <c r="BA22" i="4"/>
  <c r="AZ23" i="4"/>
  <c r="BA23" i="4"/>
  <c r="AZ24" i="4"/>
  <c r="BA24" i="4"/>
  <c r="AZ25" i="4"/>
  <c r="BA25" i="4"/>
  <c r="AZ26" i="4"/>
  <c r="BA26" i="4"/>
  <c r="AZ27" i="4"/>
  <c r="BA27" i="4"/>
  <c r="AZ28" i="4"/>
  <c r="BA28" i="4"/>
  <c r="AZ29" i="4"/>
  <c r="BA29" i="4"/>
  <c r="AZ30" i="4"/>
  <c r="BA30" i="4"/>
  <c r="AZ31" i="4"/>
  <c r="BA31" i="4"/>
  <c r="AZ32" i="4"/>
  <c r="BA32" i="4"/>
  <c r="AZ33" i="4"/>
  <c r="BA33" i="4"/>
  <c r="AZ34" i="4"/>
  <c r="BA34" i="4"/>
  <c r="AZ35" i="4"/>
  <c r="BA35" i="4"/>
  <c r="AZ36" i="4"/>
  <c r="BA36" i="4"/>
  <c r="AZ37" i="4"/>
  <c r="BA37" i="4"/>
  <c r="AZ38" i="4"/>
  <c r="BA38" i="4"/>
  <c r="AZ39" i="4"/>
  <c r="BA39" i="4"/>
  <c r="AL10" i="4"/>
  <c r="AL18" i="4"/>
  <c r="AL26" i="4"/>
  <c r="AL34" i="4"/>
  <c r="AK7" i="4"/>
  <c r="AK15" i="4"/>
  <c r="AK23" i="4"/>
  <c r="AK31" i="4"/>
  <c r="AJ4" i="4"/>
  <c r="AJ12" i="4"/>
  <c r="AJ20" i="4"/>
  <c r="AJ28" i="4"/>
  <c r="AJ36" i="4"/>
  <c r="AI9" i="4"/>
  <c r="AI17" i="4"/>
  <c r="AH4" i="4"/>
  <c r="AH6" i="4"/>
  <c r="AH12" i="4"/>
  <c r="AH14" i="4"/>
  <c r="AH20" i="4"/>
  <c r="AH28" i="4"/>
  <c r="AH30" i="4"/>
  <c r="AH36" i="4"/>
  <c r="AG3" i="4"/>
  <c r="AG4" i="4"/>
  <c r="AL4" i="4" s="1"/>
  <c r="AG5" i="4"/>
  <c r="AG6" i="4"/>
  <c r="AL6" i="4" s="1"/>
  <c r="AG7" i="4"/>
  <c r="AL7" i="4" s="1"/>
  <c r="AG8" i="4"/>
  <c r="AG9" i="4"/>
  <c r="AL9" i="4" s="1"/>
  <c r="AG10" i="4"/>
  <c r="AG11" i="4"/>
  <c r="AG12" i="4"/>
  <c r="AL12" i="4" s="1"/>
  <c r="AG13" i="4"/>
  <c r="AG14" i="4"/>
  <c r="AP14" i="4" s="1"/>
  <c r="AG15" i="4"/>
  <c r="AL15" i="4" s="1"/>
  <c r="AG16" i="4"/>
  <c r="AV16" i="4" s="1"/>
  <c r="AG17" i="4"/>
  <c r="AL17" i="4" s="1"/>
  <c r="AG18" i="4"/>
  <c r="AG19" i="4"/>
  <c r="AG20" i="4"/>
  <c r="AL20" i="4" s="1"/>
  <c r="AG21" i="4"/>
  <c r="AG22" i="4"/>
  <c r="AG23" i="4"/>
  <c r="AL23" i="4" s="1"/>
  <c r="AG24" i="4"/>
  <c r="AG25" i="4"/>
  <c r="AI25" i="4" s="1"/>
  <c r="AG26" i="4"/>
  <c r="AG27" i="4"/>
  <c r="AG28" i="4"/>
  <c r="AL28" i="4" s="1"/>
  <c r="AG29" i="4"/>
  <c r="AG30" i="4"/>
  <c r="AG31" i="4"/>
  <c r="AL31" i="4" s="1"/>
  <c r="AG32" i="4"/>
  <c r="AG33" i="4"/>
  <c r="AI33" i="4" s="1"/>
  <c r="AG34" i="4"/>
  <c r="BC34" i="4" s="1"/>
  <c r="AG35" i="4"/>
  <c r="AG36" i="4"/>
  <c r="AL36" i="4" s="1"/>
  <c r="AG37" i="4"/>
  <c r="AG38" i="4"/>
  <c r="AG39" i="4"/>
  <c r="AL39" i="4" s="1"/>
  <c r="AF3" i="4"/>
  <c r="AF4" i="4"/>
  <c r="AK4" i="4" s="1"/>
  <c r="AF5" i="4"/>
  <c r="AF6" i="4"/>
  <c r="AF7" i="4"/>
  <c r="AF8" i="4"/>
  <c r="AF9" i="4"/>
  <c r="AK9" i="4" s="1"/>
  <c r="AF10" i="4"/>
  <c r="AF11" i="4"/>
  <c r="AF12" i="4"/>
  <c r="AK12" i="4" s="1"/>
  <c r="AF13" i="4"/>
  <c r="AF14" i="4"/>
  <c r="AF15" i="4"/>
  <c r="AF16" i="4"/>
  <c r="AF17" i="4"/>
  <c r="AK17" i="4" s="1"/>
  <c r="AF18" i="4"/>
  <c r="AF19" i="4"/>
  <c r="AF20" i="4"/>
  <c r="AK20" i="4" s="1"/>
  <c r="AF21" i="4"/>
  <c r="AF22" i="4"/>
  <c r="AF23" i="4"/>
  <c r="AF24" i="4"/>
  <c r="AF25" i="4"/>
  <c r="AK25" i="4" s="1"/>
  <c r="AF26" i="4"/>
  <c r="AF27" i="4"/>
  <c r="AF28" i="4"/>
  <c r="AK28" i="4" s="1"/>
  <c r="AF29" i="4"/>
  <c r="AF30" i="4"/>
  <c r="AF31" i="4"/>
  <c r="AF32" i="4"/>
  <c r="AF33" i="4"/>
  <c r="AK33" i="4" s="1"/>
  <c r="AF34" i="4"/>
  <c r="AF35" i="4"/>
  <c r="AF36" i="4"/>
  <c r="AK36" i="4" s="1"/>
  <c r="AF37" i="4"/>
  <c r="AF38" i="4"/>
  <c r="AF39" i="4"/>
  <c r="BA2" i="4"/>
  <c r="AZ2" i="4"/>
  <c r="AG2" i="4"/>
  <c r="BC2" i="4" s="1"/>
  <c r="AF2" i="4"/>
  <c r="AO2" i="4" s="1"/>
  <c r="AO38" i="4" l="1"/>
  <c r="AW38" i="4"/>
  <c r="AQ38" i="4"/>
  <c r="AY38" i="4"/>
  <c r="BB38" i="4"/>
  <c r="AU38" i="4"/>
  <c r="AM38" i="4"/>
  <c r="AJ38" i="4"/>
  <c r="AK38" i="4"/>
  <c r="AO37" i="4"/>
  <c r="AW37" i="4"/>
  <c r="AQ37" i="4"/>
  <c r="AY37" i="4"/>
  <c r="BB37" i="4"/>
  <c r="AU37" i="4"/>
  <c r="AJ37" i="4"/>
  <c r="AK37" i="4"/>
  <c r="AO29" i="4"/>
  <c r="AW29" i="4"/>
  <c r="AQ29" i="4"/>
  <c r="AY29" i="4"/>
  <c r="BB29" i="4"/>
  <c r="AU29" i="4"/>
  <c r="AJ29" i="4"/>
  <c r="AK29" i="4"/>
  <c r="AO21" i="4"/>
  <c r="AW21" i="4"/>
  <c r="AQ21" i="4"/>
  <c r="AY21" i="4"/>
  <c r="BB21" i="4"/>
  <c r="AU21" i="4"/>
  <c r="AJ21" i="4"/>
  <c r="AK21" i="4"/>
  <c r="AO13" i="4"/>
  <c r="AW13" i="4"/>
  <c r="AQ13" i="4"/>
  <c r="AY13" i="4"/>
  <c r="BB13" i="4"/>
  <c r="AU13" i="4"/>
  <c r="AJ13" i="4"/>
  <c r="AK13" i="4"/>
  <c r="AO5" i="4"/>
  <c r="AW5" i="4"/>
  <c r="AQ5" i="4"/>
  <c r="AY5" i="4"/>
  <c r="BB5" i="4"/>
  <c r="AU5" i="4"/>
  <c r="AJ5" i="4"/>
  <c r="AK5" i="4"/>
  <c r="AO14" i="4"/>
  <c r="AW14" i="4"/>
  <c r="AQ14" i="4"/>
  <c r="AY14" i="4"/>
  <c r="BB14" i="4"/>
  <c r="AU14" i="4"/>
  <c r="AM14" i="4"/>
  <c r="AJ14" i="4"/>
  <c r="AK14" i="4"/>
  <c r="AT32" i="4"/>
  <c r="AX32" i="4"/>
  <c r="AN32" i="4"/>
  <c r="AP32" i="4"/>
  <c r="BC32" i="4"/>
  <c r="AH32" i="4"/>
  <c r="AV32" i="4"/>
  <c r="AL32" i="4"/>
  <c r="AI32" i="4"/>
  <c r="AT16" i="4"/>
  <c r="AX16" i="4"/>
  <c r="AN16" i="4"/>
  <c r="AP16" i="4"/>
  <c r="BC16" i="4"/>
  <c r="AH16" i="4"/>
  <c r="AL16" i="4"/>
  <c r="AI16" i="4"/>
  <c r="BB2" i="4"/>
  <c r="AT38" i="4"/>
  <c r="AV38" i="4"/>
  <c r="AX38" i="4"/>
  <c r="AN38" i="4"/>
  <c r="BC38" i="4"/>
  <c r="AL38" i="4"/>
  <c r="AI38" i="4"/>
  <c r="AP38" i="4"/>
  <c r="AT30" i="4"/>
  <c r="AV30" i="4"/>
  <c r="AX30" i="4"/>
  <c r="AN30" i="4"/>
  <c r="AL30" i="4"/>
  <c r="BC30" i="4"/>
  <c r="AI30" i="4"/>
  <c r="AT22" i="4"/>
  <c r="AV22" i="4"/>
  <c r="AX22" i="4"/>
  <c r="AN22" i="4"/>
  <c r="AP22" i="4"/>
  <c r="AL22" i="4"/>
  <c r="AI22" i="4"/>
  <c r="BC22" i="4"/>
  <c r="AH22" i="4"/>
  <c r="AM37" i="4"/>
  <c r="AP30" i="4"/>
  <c r="AO35" i="4"/>
  <c r="AW35" i="4"/>
  <c r="AQ35" i="4"/>
  <c r="AY35" i="4"/>
  <c r="BB35" i="4"/>
  <c r="AU35" i="4"/>
  <c r="AK35" i="4"/>
  <c r="AM35" i="4"/>
  <c r="AJ35" i="4"/>
  <c r="AO27" i="4"/>
  <c r="AW27" i="4"/>
  <c r="AQ27" i="4"/>
  <c r="AY27" i="4"/>
  <c r="BB27" i="4"/>
  <c r="AU27" i="4"/>
  <c r="AK27" i="4"/>
  <c r="AM27" i="4"/>
  <c r="AJ27" i="4"/>
  <c r="AO19" i="4"/>
  <c r="AW19" i="4"/>
  <c r="AQ19" i="4"/>
  <c r="AY19" i="4"/>
  <c r="BB19" i="4"/>
  <c r="AU19" i="4"/>
  <c r="AK19" i="4"/>
  <c r="AM19" i="4"/>
  <c r="AJ19" i="4"/>
  <c r="AO11" i="4"/>
  <c r="AW11" i="4"/>
  <c r="AQ11" i="4"/>
  <c r="AY11" i="4"/>
  <c r="BB11" i="4"/>
  <c r="AU11" i="4"/>
  <c r="AK11" i="4"/>
  <c r="AM11" i="4"/>
  <c r="AJ11" i="4"/>
  <c r="AO3" i="4"/>
  <c r="AW3" i="4"/>
  <c r="AQ3" i="4"/>
  <c r="AY3" i="4"/>
  <c r="BB3" i="4"/>
  <c r="AU3" i="4"/>
  <c r="AK3" i="4"/>
  <c r="AM3" i="4"/>
  <c r="AJ3" i="4"/>
  <c r="AT37" i="4"/>
  <c r="AV37" i="4"/>
  <c r="AX37" i="4"/>
  <c r="AN37" i="4"/>
  <c r="AP37" i="4"/>
  <c r="BC37" i="4"/>
  <c r="AL37" i="4"/>
  <c r="AI37" i="4"/>
  <c r="AH37" i="4"/>
  <c r="AT29" i="4"/>
  <c r="AV29" i="4"/>
  <c r="AX29" i="4"/>
  <c r="AN29" i="4"/>
  <c r="AP29" i="4"/>
  <c r="BC29" i="4"/>
  <c r="AL29" i="4"/>
  <c r="AI29" i="4"/>
  <c r="AH29" i="4"/>
  <c r="AT21" i="4"/>
  <c r="AV21" i="4"/>
  <c r="AX21" i="4"/>
  <c r="AN21" i="4"/>
  <c r="AP21" i="4"/>
  <c r="BC21" i="4"/>
  <c r="AL21" i="4"/>
  <c r="AI21" i="4"/>
  <c r="AH21" i="4"/>
  <c r="AT13" i="4"/>
  <c r="AV13" i="4"/>
  <c r="AX13" i="4"/>
  <c r="AN13" i="4"/>
  <c r="AP13" i="4"/>
  <c r="BC13" i="4"/>
  <c r="AL13" i="4"/>
  <c r="AI13" i="4"/>
  <c r="AH13" i="4"/>
  <c r="AT5" i="4"/>
  <c r="AV5" i="4"/>
  <c r="AX5" i="4"/>
  <c r="AN5" i="4"/>
  <c r="AP5" i="4"/>
  <c r="BC5" i="4"/>
  <c r="AL5" i="4"/>
  <c r="AI5" i="4"/>
  <c r="AH5" i="4"/>
  <c r="AM29" i="4"/>
  <c r="AO22" i="4"/>
  <c r="AW22" i="4"/>
  <c r="AQ22" i="4"/>
  <c r="AY22" i="4"/>
  <c r="BB22" i="4"/>
  <c r="AU22" i="4"/>
  <c r="AM22" i="4"/>
  <c r="AJ22" i="4"/>
  <c r="AK22" i="4"/>
  <c r="AO34" i="4"/>
  <c r="AW34" i="4"/>
  <c r="AQ34" i="4"/>
  <c r="AY34" i="4"/>
  <c r="BB34" i="4"/>
  <c r="AU34" i="4"/>
  <c r="AK34" i="4"/>
  <c r="AM34" i="4"/>
  <c r="AJ34" i="4"/>
  <c r="AO26" i="4"/>
  <c r="AW26" i="4"/>
  <c r="AQ26" i="4"/>
  <c r="AY26" i="4"/>
  <c r="BB26" i="4"/>
  <c r="AU26" i="4"/>
  <c r="AK26" i="4"/>
  <c r="AM26" i="4"/>
  <c r="AJ26" i="4"/>
  <c r="AO18" i="4"/>
  <c r="AW18" i="4"/>
  <c r="AQ18" i="4"/>
  <c r="AY18" i="4"/>
  <c r="BB18" i="4"/>
  <c r="AU18" i="4"/>
  <c r="AK18" i="4"/>
  <c r="AM18" i="4"/>
  <c r="AJ18" i="4"/>
  <c r="AO10" i="4"/>
  <c r="AW10" i="4"/>
  <c r="AQ10" i="4"/>
  <c r="AY10" i="4"/>
  <c r="BB10" i="4"/>
  <c r="AU10" i="4"/>
  <c r="AK10" i="4"/>
  <c r="AM10" i="4"/>
  <c r="AJ10" i="4"/>
  <c r="AM21" i="4"/>
  <c r="AQ2" i="4"/>
  <c r="AT35" i="4"/>
  <c r="AN35" i="4"/>
  <c r="AP35" i="4"/>
  <c r="BC35" i="4"/>
  <c r="AV35" i="4"/>
  <c r="AX35" i="4"/>
  <c r="AL35" i="4"/>
  <c r="AI35" i="4"/>
  <c r="AH35" i="4"/>
  <c r="AT27" i="4"/>
  <c r="AN27" i="4"/>
  <c r="AP27" i="4"/>
  <c r="BC27" i="4"/>
  <c r="AV27" i="4"/>
  <c r="AX27" i="4"/>
  <c r="AL27" i="4"/>
  <c r="AI27" i="4"/>
  <c r="AH27" i="4"/>
  <c r="AT19" i="4"/>
  <c r="AN19" i="4"/>
  <c r="AP19" i="4"/>
  <c r="BC19" i="4"/>
  <c r="AV19" i="4"/>
  <c r="AX19" i="4"/>
  <c r="AL19" i="4"/>
  <c r="AI19" i="4"/>
  <c r="AH19" i="4"/>
  <c r="AT11" i="4"/>
  <c r="AN11" i="4"/>
  <c r="AP11" i="4"/>
  <c r="BC11" i="4"/>
  <c r="AV11" i="4"/>
  <c r="AX11" i="4"/>
  <c r="AL11" i="4"/>
  <c r="AI11" i="4"/>
  <c r="AH11" i="4"/>
  <c r="AT3" i="4"/>
  <c r="AN3" i="4"/>
  <c r="AP3" i="4"/>
  <c r="BC3" i="4"/>
  <c r="AV3" i="4"/>
  <c r="AX3" i="4"/>
  <c r="AL3" i="4"/>
  <c r="AI3" i="4"/>
  <c r="AH3" i="4"/>
  <c r="AM13" i="4"/>
  <c r="AO30" i="4"/>
  <c r="AW30" i="4"/>
  <c r="AQ30" i="4"/>
  <c r="AY30" i="4"/>
  <c r="BB30" i="4"/>
  <c r="AU30" i="4"/>
  <c r="AM30" i="4"/>
  <c r="AJ30" i="4"/>
  <c r="AK30" i="4"/>
  <c r="AO6" i="4"/>
  <c r="AW6" i="4"/>
  <c r="AQ6" i="4"/>
  <c r="AY6" i="4"/>
  <c r="BB6" i="4"/>
  <c r="AU6" i="4"/>
  <c r="AM6" i="4"/>
  <c r="AJ6" i="4"/>
  <c r="AK6" i="4"/>
  <c r="AT24" i="4"/>
  <c r="AX24" i="4"/>
  <c r="AN24" i="4"/>
  <c r="AP24" i="4"/>
  <c r="BC24" i="4"/>
  <c r="AH24" i="4"/>
  <c r="AV24" i="4"/>
  <c r="AL24" i="4"/>
  <c r="AI24" i="4"/>
  <c r="AT8" i="4"/>
  <c r="AX8" i="4"/>
  <c r="AN8" i="4"/>
  <c r="AP8" i="4"/>
  <c r="BC8" i="4"/>
  <c r="AV8" i="4"/>
  <c r="AH8" i="4"/>
  <c r="AL8" i="4"/>
  <c r="AI8" i="4"/>
  <c r="AO32" i="4"/>
  <c r="AW32" i="4"/>
  <c r="AQ32" i="4"/>
  <c r="AY32" i="4"/>
  <c r="BB32" i="4"/>
  <c r="AU32" i="4"/>
  <c r="AK32" i="4"/>
  <c r="AM32" i="4"/>
  <c r="AJ32" i="4"/>
  <c r="AO24" i="4"/>
  <c r="AW24" i="4"/>
  <c r="AQ24" i="4"/>
  <c r="AY24" i="4"/>
  <c r="BB24" i="4"/>
  <c r="AU24" i="4"/>
  <c r="AK24" i="4"/>
  <c r="AM24" i="4"/>
  <c r="AJ24" i="4"/>
  <c r="AO16" i="4"/>
  <c r="AW16" i="4"/>
  <c r="AQ16" i="4"/>
  <c r="AY16" i="4"/>
  <c r="BB16" i="4"/>
  <c r="AU16" i="4"/>
  <c r="AK16" i="4"/>
  <c r="AM16" i="4"/>
  <c r="AJ16" i="4"/>
  <c r="AO8" i="4"/>
  <c r="AW8" i="4"/>
  <c r="AQ8" i="4"/>
  <c r="AY8" i="4"/>
  <c r="BB8" i="4"/>
  <c r="AU8" i="4"/>
  <c r="AK8" i="4"/>
  <c r="AM8" i="4"/>
  <c r="AJ8" i="4"/>
  <c r="AT34" i="4"/>
  <c r="AV34" i="4"/>
  <c r="AX34" i="4"/>
  <c r="AN34" i="4"/>
  <c r="AI34" i="4"/>
  <c r="AP34" i="4"/>
  <c r="AH34" i="4"/>
  <c r="AT26" i="4"/>
  <c r="AV26" i="4"/>
  <c r="AX26" i="4"/>
  <c r="AN26" i="4"/>
  <c r="AI26" i="4"/>
  <c r="BC26" i="4"/>
  <c r="AH26" i="4"/>
  <c r="AP26" i="4"/>
  <c r="AH38" i="4"/>
  <c r="AM5" i="4"/>
  <c r="AO39" i="4"/>
  <c r="AW39" i="4"/>
  <c r="AQ39" i="4"/>
  <c r="AY39" i="4"/>
  <c r="BB39" i="4"/>
  <c r="AU39" i="4"/>
  <c r="AM39" i="4"/>
  <c r="AJ39" i="4"/>
  <c r="AO31" i="4"/>
  <c r="AW31" i="4"/>
  <c r="AQ31" i="4"/>
  <c r="AY31" i="4"/>
  <c r="BB31" i="4"/>
  <c r="AU31" i="4"/>
  <c r="AM31" i="4"/>
  <c r="AJ31" i="4"/>
  <c r="AO23" i="4"/>
  <c r="AW23" i="4"/>
  <c r="AQ23" i="4"/>
  <c r="AY23" i="4"/>
  <c r="BB23" i="4"/>
  <c r="AU23" i="4"/>
  <c r="AM23" i="4"/>
  <c r="AJ23" i="4"/>
  <c r="AO15" i="4"/>
  <c r="AW15" i="4"/>
  <c r="AQ15" i="4"/>
  <c r="AY15" i="4"/>
  <c r="BB15" i="4"/>
  <c r="AU15" i="4"/>
  <c r="AM15" i="4"/>
  <c r="AJ15" i="4"/>
  <c r="AO7" i="4"/>
  <c r="AW7" i="4"/>
  <c r="AQ7" i="4"/>
  <c r="AY7" i="4"/>
  <c r="BB7" i="4"/>
  <c r="AU7" i="4"/>
  <c r="AM7" i="4"/>
  <c r="AJ7" i="4"/>
  <c r="AT33" i="4"/>
  <c r="AV33" i="4"/>
  <c r="AX33" i="4"/>
  <c r="AN33" i="4"/>
  <c r="AP33" i="4"/>
  <c r="BC33" i="4"/>
  <c r="AH33" i="4"/>
  <c r="AL33" i="4"/>
  <c r="AT25" i="4"/>
  <c r="AV25" i="4"/>
  <c r="AX25" i="4"/>
  <c r="AN25" i="4"/>
  <c r="AP25" i="4"/>
  <c r="BC25" i="4"/>
  <c r="AH25" i="4"/>
  <c r="AL25" i="4"/>
  <c r="AK39" i="4"/>
  <c r="AT18" i="4"/>
  <c r="AV18" i="4"/>
  <c r="AX18" i="4"/>
  <c r="AN18" i="4"/>
  <c r="AT10" i="4"/>
  <c r="AV10" i="4"/>
  <c r="AX10" i="4"/>
  <c r="AN10" i="4"/>
  <c r="AM36" i="4"/>
  <c r="AM28" i="4"/>
  <c r="AM20" i="4"/>
  <c r="AM12" i="4"/>
  <c r="AM4" i="4"/>
  <c r="AV36" i="4"/>
  <c r="AP18" i="4"/>
  <c r="AV4" i="4"/>
  <c r="AT17" i="4"/>
  <c r="AV17" i="4"/>
  <c r="AX17" i="4"/>
  <c r="AN17" i="4"/>
  <c r="AP17" i="4"/>
  <c r="BC17" i="4"/>
  <c r="AT9" i="4"/>
  <c r="AV9" i="4"/>
  <c r="AX9" i="4"/>
  <c r="AN9" i="4"/>
  <c r="AP9" i="4"/>
  <c r="BC9" i="4"/>
  <c r="AI39" i="4"/>
  <c r="AI31" i="4"/>
  <c r="AI23" i="4"/>
  <c r="AI15" i="4"/>
  <c r="AI7" i="4"/>
  <c r="BC10" i="4"/>
  <c r="AP6" i="4"/>
  <c r="AI14" i="4"/>
  <c r="AI6" i="4"/>
  <c r="AJ33" i="4"/>
  <c r="AJ25" i="4"/>
  <c r="AJ17" i="4"/>
  <c r="AJ9" i="4"/>
  <c r="AV12" i="4"/>
  <c r="AO36" i="4"/>
  <c r="AW36" i="4"/>
  <c r="AQ36" i="4"/>
  <c r="AY36" i="4"/>
  <c r="BB36" i="4"/>
  <c r="AU36" i="4"/>
  <c r="AO28" i="4"/>
  <c r="AW28" i="4"/>
  <c r="AQ28" i="4"/>
  <c r="AY28" i="4"/>
  <c r="BB28" i="4"/>
  <c r="AU28" i="4"/>
  <c r="AO20" i="4"/>
  <c r="AW20" i="4"/>
  <c r="AQ20" i="4"/>
  <c r="AY20" i="4"/>
  <c r="BB20" i="4"/>
  <c r="AU20" i="4"/>
  <c r="AO12" i="4"/>
  <c r="AW12" i="4"/>
  <c r="AQ12" i="4"/>
  <c r="AY12" i="4"/>
  <c r="BB12" i="4"/>
  <c r="AU12" i="4"/>
  <c r="AO4" i="4"/>
  <c r="AW4" i="4"/>
  <c r="AQ4" i="4"/>
  <c r="AY4" i="4"/>
  <c r="BB4" i="4"/>
  <c r="AU4" i="4"/>
  <c r="AT39" i="4"/>
  <c r="AN39" i="4"/>
  <c r="AP39" i="4"/>
  <c r="BC39" i="4"/>
  <c r="AV39" i="4"/>
  <c r="AX39" i="4"/>
  <c r="AT31" i="4"/>
  <c r="AN31" i="4"/>
  <c r="AP31" i="4"/>
  <c r="BC31" i="4"/>
  <c r="AV31" i="4"/>
  <c r="AX31" i="4"/>
  <c r="AT23" i="4"/>
  <c r="AN23" i="4"/>
  <c r="AP23" i="4"/>
  <c r="BC23" i="4"/>
  <c r="AV23" i="4"/>
  <c r="AX23" i="4"/>
  <c r="AT15" i="4"/>
  <c r="AN15" i="4"/>
  <c r="AP15" i="4"/>
  <c r="BC15" i="4"/>
  <c r="AV15" i="4"/>
  <c r="AX15" i="4"/>
  <c r="AT7" i="4"/>
  <c r="AN7" i="4"/>
  <c r="AP7" i="4"/>
  <c r="BC7" i="4"/>
  <c r="AV7" i="4"/>
  <c r="AX7" i="4"/>
  <c r="AH18" i="4"/>
  <c r="AH10" i="4"/>
  <c r="AL14" i="4"/>
  <c r="AM33" i="4"/>
  <c r="AM25" i="4"/>
  <c r="AM17" i="4"/>
  <c r="AM9" i="4"/>
  <c r="BC18" i="4"/>
  <c r="AT14" i="4"/>
  <c r="AV14" i="4"/>
  <c r="AX14" i="4"/>
  <c r="AN14" i="4"/>
  <c r="AT6" i="4"/>
  <c r="AV6" i="4"/>
  <c r="AX6" i="4"/>
  <c r="AN6" i="4"/>
  <c r="AH17" i="4"/>
  <c r="AH9" i="4"/>
  <c r="AI36" i="4"/>
  <c r="AI28" i="4"/>
  <c r="AI20" i="4"/>
  <c r="AI12" i="4"/>
  <c r="AI4" i="4"/>
  <c r="AV20" i="4"/>
  <c r="BC6" i="4"/>
  <c r="AO33" i="4"/>
  <c r="AW33" i="4"/>
  <c r="AQ33" i="4"/>
  <c r="AY33" i="4"/>
  <c r="BB33" i="4"/>
  <c r="AU33" i="4"/>
  <c r="AO25" i="4"/>
  <c r="AW25" i="4"/>
  <c r="AQ25" i="4"/>
  <c r="AY25" i="4"/>
  <c r="BB25" i="4"/>
  <c r="AU25" i="4"/>
  <c r="AO17" i="4"/>
  <c r="AW17" i="4"/>
  <c r="AQ17" i="4"/>
  <c r="AY17" i="4"/>
  <c r="BB17" i="4"/>
  <c r="AU17" i="4"/>
  <c r="AO9" i="4"/>
  <c r="AW9" i="4"/>
  <c r="AQ9" i="4"/>
  <c r="AY9" i="4"/>
  <c r="BB9" i="4"/>
  <c r="AU9" i="4"/>
  <c r="AT36" i="4"/>
  <c r="AX36" i="4"/>
  <c r="AN36" i="4"/>
  <c r="AP36" i="4"/>
  <c r="BC36" i="4"/>
  <c r="AT28" i="4"/>
  <c r="AX28" i="4"/>
  <c r="AN28" i="4"/>
  <c r="AP28" i="4"/>
  <c r="BC28" i="4"/>
  <c r="AT20" i="4"/>
  <c r="AX20" i="4"/>
  <c r="AN20" i="4"/>
  <c r="AP20" i="4"/>
  <c r="BC20" i="4"/>
  <c r="AT12" i="4"/>
  <c r="AX12" i="4"/>
  <c r="AN12" i="4"/>
  <c r="AP12" i="4"/>
  <c r="BC12" i="4"/>
  <c r="AT4" i="4"/>
  <c r="AX4" i="4"/>
  <c r="AN4" i="4"/>
  <c r="AP4" i="4"/>
  <c r="BC4" i="4"/>
  <c r="AH39" i="4"/>
  <c r="AH31" i="4"/>
  <c r="AH23" i="4"/>
  <c r="AH15" i="4"/>
  <c r="AH7" i="4"/>
  <c r="AI18" i="4"/>
  <c r="AI10" i="4"/>
  <c r="AV28" i="4"/>
  <c r="BC14" i="4"/>
  <c r="AP10" i="4"/>
  <c r="AI2" i="4"/>
  <c r="AU2" i="4"/>
  <c r="AJ2" i="4"/>
  <c r="AW2" i="4"/>
  <c r="AK2" i="4"/>
  <c r="AY2" i="4"/>
  <c r="AM2" i="4"/>
  <c r="AH2" i="4"/>
  <c r="AP2" i="4"/>
  <c r="AX2" i="4"/>
  <c r="AL2" i="4"/>
  <c r="AT2" i="4"/>
  <c r="AN2" i="4"/>
  <c r="AV2" i="4"/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2" i="4"/>
  <c r="AC77" i="4" l="1"/>
  <c r="AB77" i="4"/>
  <c r="AA77" i="4"/>
  <c r="Z77" i="4"/>
  <c r="Y77" i="4"/>
  <c r="X77" i="4"/>
  <c r="U77" i="4"/>
  <c r="T77" i="4"/>
  <c r="S77" i="4"/>
  <c r="R77" i="4"/>
  <c r="Q77" i="4"/>
  <c r="P77" i="4"/>
  <c r="K77" i="4"/>
  <c r="J77" i="4"/>
  <c r="I77" i="4"/>
  <c r="G77" i="4"/>
  <c r="F77" i="4"/>
  <c r="E77" i="4"/>
  <c r="AC76" i="4"/>
  <c r="AB76" i="4"/>
  <c r="AA76" i="4"/>
  <c r="Z76" i="4"/>
  <c r="Y76" i="4"/>
  <c r="X76" i="4"/>
  <c r="U76" i="4"/>
  <c r="T76" i="4"/>
  <c r="S76" i="4"/>
  <c r="R76" i="4"/>
  <c r="Q76" i="4"/>
  <c r="P76" i="4"/>
  <c r="K76" i="4"/>
  <c r="J76" i="4"/>
  <c r="I76" i="4"/>
  <c r="G76" i="4"/>
  <c r="F76" i="4"/>
  <c r="E76" i="4"/>
  <c r="AC75" i="4"/>
  <c r="AB75" i="4"/>
  <c r="AA75" i="4"/>
  <c r="Z75" i="4"/>
  <c r="Y75" i="4"/>
  <c r="X75" i="4"/>
  <c r="U75" i="4"/>
  <c r="T75" i="4"/>
  <c r="S75" i="4"/>
  <c r="R75" i="4"/>
  <c r="Q75" i="4"/>
  <c r="P75" i="4"/>
  <c r="K75" i="4"/>
  <c r="J75" i="4"/>
  <c r="I75" i="4"/>
  <c r="G75" i="4"/>
  <c r="F75" i="4"/>
  <c r="E75" i="4"/>
  <c r="AC74" i="4"/>
  <c r="AB74" i="4"/>
  <c r="AA74" i="4"/>
  <c r="Z74" i="4"/>
  <c r="Y74" i="4"/>
  <c r="X74" i="4"/>
  <c r="U74" i="4"/>
  <c r="T74" i="4"/>
  <c r="S74" i="4"/>
  <c r="R74" i="4"/>
  <c r="Q74" i="4"/>
  <c r="P74" i="4"/>
  <c r="K74" i="4"/>
  <c r="J74" i="4"/>
  <c r="I74" i="4"/>
  <c r="G74" i="4"/>
  <c r="F74" i="4"/>
  <c r="E74" i="4"/>
  <c r="AC73" i="4"/>
  <c r="AB73" i="4"/>
  <c r="AA73" i="4"/>
  <c r="Z73" i="4"/>
  <c r="Y73" i="4"/>
  <c r="X73" i="4"/>
  <c r="U73" i="4"/>
  <c r="T73" i="4"/>
  <c r="S73" i="4"/>
  <c r="R73" i="4"/>
  <c r="Q73" i="4"/>
  <c r="P73" i="4"/>
  <c r="K73" i="4"/>
  <c r="J73" i="4"/>
  <c r="I73" i="4"/>
  <c r="G73" i="4"/>
  <c r="F73" i="4"/>
  <c r="E73" i="4"/>
  <c r="AC72" i="4"/>
  <c r="AB72" i="4"/>
  <c r="AA72" i="4"/>
  <c r="Z72" i="4"/>
  <c r="Y72" i="4"/>
  <c r="X72" i="4"/>
  <c r="U72" i="4"/>
  <c r="T72" i="4"/>
  <c r="S72" i="4"/>
  <c r="R72" i="4"/>
  <c r="Q72" i="4"/>
  <c r="P72" i="4"/>
  <c r="K72" i="4"/>
  <c r="J72" i="4"/>
  <c r="I72" i="4"/>
  <c r="G72" i="4"/>
  <c r="F72" i="4"/>
  <c r="E72" i="4"/>
  <c r="AC71" i="4"/>
  <c r="AB71" i="4"/>
  <c r="AA71" i="4"/>
  <c r="Z71" i="4"/>
  <c r="Y71" i="4"/>
  <c r="X71" i="4"/>
  <c r="U71" i="4"/>
  <c r="T71" i="4"/>
  <c r="S71" i="4"/>
  <c r="R71" i="4"/>
  <c r="Q71" i="4"/>
  <c r="P71" i="4"/>
  <c r="K71" i="4"/>
  <c r="J71" i="4"/>
  <c r="I71" i="4"/>
  <c r="G71" i="4"/>
  <c r="F71" i="4"/>
  <c r="E71" i="4"/>
  <c r="AC70" i="4"/>
  <c r="AB70" i="4"/>
  <c r="AA70" i="4"/>
  <c r="Z70" i="4"/>
  <c r="Y70" i="4"/>
  <c r="X70" i="4"/>
  <c r="U70" i="4"/>
  <c r="T70" i="4"/>
  <c r="S70" i="4"/>
  <c r="R70" i="4"/>
  <c r="Q70" i="4"/>
  <c r="P70" i="4"/>
  <c r="K70" i="4"/>
  <c r="J70" i="4"/>
  <c r="I70" i="4"/>
  <c r="G70" i="4"/>
  <c r="F70" i="4"/>
  <c r="E70" i="4"/>
  <c r="AC69" i="4"/>
  <c r="AB69" i="4"/>
  <c r="AA69" i="4"/>
  <c r="Z69" i="4"/>
  <c r="Y69" i="4"/>
  <c r="X69" i="4"/>
  <c r="U69" i="4"/>
  <c r="T69" i="4"/>
  <c r="S69" i="4"/>
  <c r="R69" i="4"/>
  <c r="Q69" i="4"/>
  <c r="P69" i="4"/>
  <c r="K69" i="4"/>
  <c r="J69" i="4"/>
  <c r="I69" i="4"/>
  <c r="G69" i="4"/>
  <c r="F69" i="4"/>
  <c r="E69" i="4"/>
  <c r="AC68" i="4"/>
  <c r="AB68" i="4"/>
  <c r="AA68" i="4"/>
  <c r="Z68" i="4"/>
  <c r="Y68" i="4"/>
  <c r="X68" i="4"/>
  <c r="U68" i="4"/>
  <c r="T68" i="4"/>
  <c r="S68" i="4"/>
  <c r="R68" i="4"/>
  <c r="Q68" i="4"/>
  <c r="P68" i="4"/>
  <c r="K68" i="4"/>
  <c r="J68" i="4"/>
  <c r="I68" i="4"/>
  <c r="G68" i="4"/>
  <c r="F68" i="4"/>
  <c r="E68" i="4"/>
  <c r="AC67" i="4"/>
  <c r="AB67" i="4"/>
  <c r="AA67" i="4"/>
  <c r="Z67" i="4"/>
  <c r="Y67" i="4"/>
  <c r="X67" i="4"/>
  <c r="U67" i="4"/>
  <c r="T67" i="4"/>
  <c r="S67" i="4"/>
  <c r="R67" i="4"/>
  <c r="Q67" i="4"/>
  <c r="P67" i="4"/>
  <c r="K67" i="4"/>
  <c r="J67" i="4"/>
  <c r="I67" i="4"/>
  <c r="G67" i="4"/>
  <c r="F67" i="4"/>
  <c r="E67" i="4"/>
  <c r="AC66" i="4"/>
  <c r="AB66" i="4"/>
  <c r="AA66" i="4"/>
  <c r="Z66" i="4"/>
  <c r="Y66" i="4"/>
  <c r="X66" i="4"/>
  <c r="U66" i="4"/>
  <c r="T66" i="4"/>
  <c r="S66" i="4"/>
  <c r="R66" i="4"/>
  <c r="Q66" i="4"/>
  <c r="P66" i="4"/>
  <c r="K66" i="4"/>
  <c r="J66" i="4"/>
  <c r="I66" i="4"/>
  <c r="G66" i="4"/>
  <c r="F66" i="4"/>
  <c r="E66" i="4"/>
  <c r="AC65" i="4"/>
  <c r="AB65" i="4"/>
  <c r="AA65" i="4"/>
  <c r="Z65" i="4"/>
  <c r="Y65" i="4"/>
  <c r="X65" i="4"/>
  <c r="U65" i="4"/>
  <c r="T65" i="4"/>
  <c r="S65" i="4"/>
  <c r="R65" i="4"/>
  <c r="Q65" i="4"/>
  <c r="P65" i="4"/>
  <c r="K65" i="4"/>
  <c r="J65" i="4"/>
  <c r="I65" i="4"/>
  <c r="G65" i="4"/>
  <c r="F65" i="4"/>
  <c r="E65" i="4"/>
  <c r="AC64" i="4"/>
  <c r="AB64" i="4"/>
  <c r="AA64" i="4"/>
  <c r="Z64" i="4"/>
  <c r="Y64" i="4"/>
  <c r="X64" i="4"/>
  <c r="U64" i="4"/>
  <c r="T64" i="4"/>
  <c r="S64" i="4"/>
  <c r="R64" i="4"/>
  <c r="Q64" i="4"/>
  <c r="P64" i="4"/>
  <c r="K64" i="4"/>
  <c r="J64" i="4"/>
  <c r="I64" i="4"/>
  <c r="G64" i="4"/>
  <c r="F64" i="4"/>
  <c r="E64" i="4"/>
  <c r="AC63" i="4"/>
  <c r="AB63" i="4"/>
  <c r="AA63" i="4"/>
  <c r="Z63" i="4"/>
  <c r="Y63" i="4"/>
  <c r="X63" i="4"/>
  <c r="U63" i="4"/>
  <c r="T63" i="4"/>
  <c r="S63" i="4"/>
  <c r="R63" i="4"/>
  <c r="Q63" i="4"/>
  <c r="P63" i="4"/>
  <c r="K63" i="4"/>
  <c r="J63" i="4"/>
  <c r="I63" i="4"/>
  <c r="G63" i="4"/>
  <c r="F63" i="4"/>
  <c r="E63" i="4"/>
  <c r="AC62" i="4"/>
  <c r="AB62" i="4"/>
  <c r="AA62" i="4"/>
  <c r="Z62" i="4"/>
  <c r="Y62" i="4"/>
  <c r="X62" i="4"/>
  <c r="U62" i="4"/>
  <c r="T62" i="4"/>
  <c r="S62" i="4"/>
  <c r="R62" i="4"/>
  <c r="Q62" i="4"/>
  <c r="P62" i="4"/>
  <c r="K62" i="4"/>
  <c r="J62" i="4"/>
  <c r="I62" i="4"/>
  <c r="G62" i="4"/>
  <c r="F62" i="4"/>
  <c r="E62" i="4"/>
  <c r="AC61" i="4"/>
  <c r="AB61" i="4"/>
  <c r="AA61" i="4"/>
  <c r="Z61" i="4"/>
  <c r="Y61" i="4"/>
  <c r="X61" i="4"/>
  <c r="U61" i="4"/>
  <c r="T61" i="4"/>
  <c r="S61" i="4"/>
  <c r="R61" i="4"/>
  <c r="Q61" i="4"/>
  <c r="P61" i="4"/>
  <c r="K61" i="4"/>
  <c r="J61" i="4"/>
  <c r="I61" i="4"/>
  <c r="G61" i="4"/>
  <c r="F61" i="4"/>
  <c r="E61" i="4"/>
  <c r="AC60" i="4"/>
  <c r="AB60" i="4"/>
  <c r="AA60" i="4"/>
  <c r="Z60" i="4"/>
  <c r="Y60" i="4"/>
  <c r="X60" i="4"/>
  <c r="U60" i="4"/>
  <c r="T60" i="4"/>
  <c r="S60" i="4"/>
  <c r="R60" i="4"/>
  <c r="Q60" i="4"/>
  <c r="P60" i="4"/>
  <c r="K60" i="4"/>
  <c r="J60" i="4"/>
  <c r="I60" i="4"/>
  <c r="G60" i="4"/>
  <c r="F60" i="4"/>
  <c r="E60" i="4"/>
  <c r="AC59" i="4"/>
  <c r="AB59" i="4"/>
  <c r="AA59" i="4"/>
  <c r="Z59" i="4"/>
  <c r="Y59" i="4"/>
  <c r="X59" i="4"/>
  <c r="U59" i="4"/>
  <c r="T59" i="4"/>
  <c r="S59" i="4"/>
  <c r="R59" i="4"/>
  <c r="Q59" i="4"/>
  <c r="P59" i="4"/>
  <c r="K59" i="4"/>
  <c r="J59" i="4"/>
  <c r="I59" i="4"/>
  <c r="G59" i="4"/>
  <c r="F59" i="4"/>
  <c r="E59" i="4"/>
  <c r="AC58" i="4"/>
  <c r="AB58" i="4"/>
  <c r="AA58" i="4"/>
  <c r="Z58" i="4"/>
  <c r="Y58" i="4"/>
  <c r="X58" i="4"/>
  <c r="U58" i="4"/>
  <c r="T58" i="4"/>
  <c r="S58" i="4"/>
  <c r="R58" i="4"/>
  <c r="Q58" i="4"/>
  <c r="P58" i="4"/>
  <c r="K58" i="4"/>
  <c r="J58" i="4"/>
  <c r="I58" i="4"/>
  <c r="G58" i="4"/>
  <c r="F58" i="4"/>
  <c r="E58" i="4"/>
  <c r="AC57" i="4"/>
  <c r="AB57" i="4"/>
  <c r="AA57" i="4"/>
  <c r="Z57" i="4"/>
  <c r="Y57" i="4"/>
  <c r="X57" i="4"/>
  <c r="U57" i="4"/>
  <c r="T57" i="4"/>
  <c r="S57" i="4"/>
  <c r="R57" i="4"/>
  <c r="Q57" i="4"/>
  <c r="P57" i="4"/>
  <c r="K57" i="4"/>
  <c r="J57" i="4"/>
  <c r="I57" i="4"/>
  <c r="G57" i="4"/>
  <c r="F57" i="4"/>
  <c r="E57" i="4"/>
  <c r="AC56" i="4"/>
  <c r="AB56" i="4"/>
  <c r="AA56" i="4"/>
  <c r="Z56" i="4"/>
  <c r="Y56" i="4"/>
  <c r="X56" i="4"/>
  <c r="U56" i="4"/>
  <c r="T56" i="4"/>
  <c r="S56" i="4"/>
  <c r="R56" i="4"/>
  <c r="Q56" i="4"/>
  <c r="P56" i="4"/>
  <c r="K56" i="4"/>
  <c r="J56" i="4"/>
  <c r="I56" i="4"/>
  <c r="G56" i="4"/>
  <c r="F56" i="4"/>
  <c r="E56" i="4"/>
  <c r="AC55" i="4"/>
  <c r="AB55" i="4"/>
  <c r="AA55" i="4"/>
  <c r="Z55" i="4"/>
  <c r="Y55" i="4"/>
  <c r="X55" i="4"/>
  <c r="U55" i="4"/>
  <c r="T55" i="4"/>
  <c r="S55" i="4"/>
  <c r="R55" i="4"/>
  <c r="Q55" i="4"/>
  <c r="P55" i="4"/>
  <c r="K55" i="4"/>
  <c r="J55" i="4"/>
  <c r="I55" i="4"/>
  <c r="G55" i="4"/>
  <c r="F55" i="4"/>
  <c r="E55" i="4"/>
  <c r="AC54" i="4"/>
  <c r="AB54" i="4"/>
  <c r="AA54" i="4"/>
  <c r="Z54" i="4"/>
  <c r="Y54" i="4"/>
  <c r="X54" i="4"/>
  <c r="U54" i="4"/>
  <c r="T54" i="4"/>
  <c r="S54" i="4"/>
  <c r="R54" i="4"/>
  <c r="Q54" i="4"/>
  <c r="P54" i="4"/>
  <c r="K54" i="4"/>
  <c r="J54" i="4"/>
  <c r="I54" i="4"/>
  <c r="G54" i="4"/>
  <c r="F54" i="4"/>
  <c r="E54" i="4"/>
  <c r="AC53" i="4"/>
  <c r="AB53" i="4"/>
  <c r="AA53" i="4"/>
  <c r="Z53" i="4"/>
  <c r="Y53" i="4"/>
  <c r="X53" i="4"/>
  <c r="U53" i="4"/>
  <c r="T53" i="4"/>
  <c r="S53" i="4"/>
  <c r="R53" i="4"/>
  <c r="Q53" i="4"/>
  <c r="P53" i="4"/>
  <c r="K53" i="4"/>
  <c r="J53" i="4"/>
  <c r="I53" i="4"/>
  <c r="G53" i="4"/>
  <c r="F53" i="4"/>
  <c r="E53" i="4"/>
  <c r="AC52" i="4"/>
  <c r="AB52" i="4"/>
  <c r="AA52" i="4"/>
  <c r="Z52" i="4"/>
  <c r="Y52" i="4"/>
  <c r="X52" i="4"/>
  <c r="U52" i="4"/>
  <c r="T52" i="4"/>
  <c r="S52" i="4"/>
  <c r="R52" i="4"/>
  <c r="Q52" i="4"/>
  <c r="P52" i="4"/>
  <c r="K52" i="4"/>
  <c r="J52" i="4"/>
  <c r="I52" i="4"/>
  <c r="G52" i="4"/>
  <c r="F52" i="4"/>
  <c r="E52" i="4"/>
  <c r="AC51" i="4"/>
  <c r="AB51" i="4"/>
  <c r="AA51" i="4"/>
  <c r="Z51" i="4"/>
  <c r="Y51" i="4"/>
  <c r="X51" i="4"/>
  <c r="U51" i="4"/>
  <c r="T51" i="4"/>
  <c r="S51" i="4"/>
  <c r="R51" i="4"/>
  <c r="Q51" i="4"/>
  <c r="P51" i="4"/>
  <c r="K51" i="4"/>
  <c r="J51" i="4"/>
  <c r="I51" i="4"/>
  <c r="G51" i="4"/>
  <c r="F51" i="4"/>
  <c r="E51" i="4"/>
  <c r="AC50" i="4"/>
  <c r="AB50" i="4"/>
  <c r="AA50" i="4"/>
  <c r="Z50" i="4"/>
  <c r="Y50" i="4"/>
  <c r="X50" i="4"/>
  <c r="U50" i="4"/>
  <c r="T50" i="4"/>
  <c r="S50" i="4"/>
  <c r="R50" i="4"/>
  <c r="Q50" i="4"/>
  <c r="P50" i="4"/>
  <c r="K50" i="4"/>
  <c r="J50" i="4"/>
  <c r="I50" i="4"/>
  <c r="G50" i="4"/>
  <c r="F50" i="4"/>
  <c r="AC49" i="4"/>
  <c r="AB49" i="4"/>
  <c r="AA49" i="4"/>
  <c r="Z49" i="4"/>
  <c r="Y49" i="4"/>
  <c r="X49" i="4"/>
  <c r="U49" i="4"/>
  <c r="T49" i="4"/>
  <c r="S49" i="4"/>
  <c r="R49" i="4"/>
  <c r="Q49" i="4"/>
  <c r="P49" i="4"/>
  <c r="K49" i="4"/>
  <c r="J49" i="4"/>
  <c r="I49" i="4"/>
  <c r="G49" i="4"/>
  <c r="F49" i="4"/>
  <c r="E49" i="4"/>
  <c r="AC48" i="4"/>
  <c r="AB48" i="4"/>
  <c r="AA48" i="4"/>
  <c r="Z48" i="4"/>
  <c r="Y48" i="4"/>
  <c r="X48" i="4"/>
  <c r="U48" i="4"/>
  <c r="T48" i="4"/>
  <c r="S48" i="4"/>
  <c r="R48" i="4"/>
  <c r="Q48" i="4"/>
  <c r="P48" i="4"/>
  <c r="K48" i="4"/>
  <c r="J48" i="4"/>
  <c r="I48" i="4"/>
  <c r="G48" i="4"/>
  <c r="F48" i="4"/>
  <c r="E48" i="4"/>
  <c r="AC47" i="4"/>
  <c r="AB47" i="4"/>
  <c r="AA47" i="4"/>
  <c r="Z47" i="4"/>
  <c r="Y47" i="4"/>
  <c r="X47" i="4"/>
  <c r="U47" i="4"/>
  <c r="T47" i="4"/>
  <c r="S47" i="4"/>
  <c r="R47" i="4"/>
  <c r="Q47" i="4"/>
  <c r="P47" i="4"/>
  <c r="K47" i="4"/>
  <c r="J47" i="4"/>
  <c r="I47" i="4"/>
  <c r="G47" i="4"/>
  <c r="F47" i="4"/>
  <c r="E47" i="4"/>
  <c r="AC46" i="4"/>
  <c r="AB46" i="4"/>
  <c r="AA46" i="4"/>
  <c r="Z46" i="4"/>
  <c r="Y46" i="4"/>
  <c r="X46" i="4"/>
  <c r="U46" i="4"/>
  <c r="T46" i="4"/>
  <c r="S46" i="4"/>
  <c r="R46" i="4"/>
  <c r="Q46" i="4"/>
  <c r="P46" i="4"/>
  <c r="K46" i="4"/>
  <c r="J46" i="4"/>
  <c r="I46" i="4"/>
  <c r="G46" i="4"/>
  <c r="F46" i="4"/>
  <c r="E46" i="4"/>
  <c r="AC45" i="4"/>
  <c r="AB45" i="4"/>
  <c r="AA45" i="4"/>
  <c r="Z45" i="4"/>
  <c r="Y45" i="4"/>
  <c r="X45" i="4"/>
  <c r="U45" i="4"/>
  <c r="T45" i="4"/>
  <c r="S45" i="4"/>
  <c r="R45" i="4"/>
  <c r="Q45" i="4"/>
  <c r="P45" i="4"/>
  <c r="K45" i="4"/>
  <c r="J45" i="4"/>
  <c r="I45" i="4"/>
  <c r="G45" i="4"/>
  <c r="F45" i="4"/>
  <c r="E45" i="4"/>
  <c r="AC44" i="4"/>
  <c r="AB44" i="4"/>
  <c r="AA44" i="4"/>
  <c r="Z44" i="4"/>
  <c r="Y44" i="4"/>
  <c r="X44" i="4"/>
  <c r="U44" i="4"/>
  <c r="T44" i="4"/>
  <c r="S44" i="4"/>
  <c r="R44" i="4"/>
  <c r="Q44" i="4"/>
  <c r="P44" i="4"/>
  <c r="K44" i="4"/>
  <c r="J44" i="4"/>
  <c r="I44" i="4"/>
  <c r="G44" i="4"/>
  <c r="F44" i="4"/>
  <c r="E44" i="4"/>
  <c r="AC43" i="4"/>
  <c r="AB43" i="4"/>
  <c r="AA43" i="4"/>
  <c r="Z43" i="4"/>
  <c r="Y43" i="4"/>
  <c r="X43" i="4"/>
  <c r="U43" i="4"/>
  <c r="T43" i="4"/>
  <c r="S43" i="4"/>
  <c r="R43" i="4"/>
  <c r="Q43" i="4"/>
  <c r="P43" i="4"/>
  <c r="K43" i="4"/>
  <c r="J43" i="4"/>
  <c r="I43" i="4"/>
  <c r="G43" i="4"/>
  <c r="F43" i="4"/>
  <c r="E43" i="4"/>
  <c r="AC42" i="4"/>
  <c r="AB42" i="4"/>
  <c r="AA42" i="4"/>
  <c r="Z42" i="4"/>
  <c r="Y42" i="4"/>
  <c r="X42" i="4"/>
  <c r="U42" i="4"/>
  <c r="T42" i="4"/>
  <c r="S42" i="4"/>
  <c r="R42" i="4"/>
  <c r="Q42" i="4"/>
  <c r="P42" i="4"/>
  <c r="K42" i="4"/>
  <c r="J42" i="4"/>
  <c r="I42" i="4"/>
  <c r="G42" i="4"/>
  <c r="F42" i="4"/>
  <c r="E42" i="4"/>
  <c r="AC41" i="4"/>
  <c r="AB41" i="4"/>
  <c r="AA41" i="4"/>
  <c r="Z41" i="4"/>
  <c r="Y41" i="4"/>
  <c r="X41" i="4"/>
  <c r="U41" i="4"/>
  <c r="T41" i="4"/>
  <c r="S41" i="4"/>
  <c r="R41" i="4"/>
  <c r="Q41" i="4"/>
  <c r="P41" i="4"/>
  <c r="K41" i="4"/>
  <c r="J41" i="4"/>
  <c r="I41" i="4"/>
  <c r="G41" i="4"/>
  <c r="F41" i="4"/>
  <c r="E41" i="4"/>
  <c r="AC40" i="4"/>
  <c r="AB40" i="4"/>
  <c r="AA40" i="4"/>
  <c r="Z40" i="4"/>
  <c r="Y40" i="4"/>
  <c r="X40" i="4"/>
  <c r="U40" i="4"/>
  <c r="T40" i="4"/>
  <c r="S40" i="4"/>
  <c r="R40" i="4"/>
  <c r="Q40" i="4"/>
  <c r="P40" i="4"/>
  <c r="K40" i="4"/>
  <c r="J40" i="4"/>
  <c r="I40" i="4"/>
  <c r="G40" i="4"/>
  <c r="F40" i="4"/>
  <c r="E40" i="4"/>
  <c r="AC39" i="4"/>
  <c r="AA39" i="4"/>
  <c r="Y39" i="4"/>
  <c r="V39" i="4"/>
  <c r="U39" i="4"/>
  <c r="S39" i="4"/>
  <c r="Q39" i="4"/>
  <c r="AC38" i="4"/>
  <c r="AA38" i="4"/>
  <c r="Y38" i="4"/>
  <c r="V38" i="4"/>
  <c r="U38" i="4"/>
  <c r="S38" i="4"/>
  <c r="Q38" i="4"/>
  <c r="AC37" i="4"/>
  <c r="AA37" i="4"/>
  <c r="Y37" i="4"/>
  <c r="V37" i="4"/>
  <c r="U37" i="4"/>
  <c r="S37" i="4"/>
  <c r="Q37" i="4"/>
  <c r="AC36" i="4"/>
  <c r="AA36" i="4"/>
  <c r="Y36" i="4"/>
  <c r="V36" i="4"/>
  <c r="U36" i="4"/>
  <c r="S36" i="4"/>
  <c r="Q36" i="4"/>
  <c r="AC35" i="4"/>
  <c r="AA35" i="4"/>
  <c r="Y35" i="4"/>
  <c r="V35" i="4"/>
  <c r="U35" i="4"/>
  <c r="S35" i="4"/>
  <c r="Q35" i="4"/>
  <c r="AC34" i="4"/>
  <c r="AA34" i="4"/>
  <c r="Y34" i="4"/>
  <c r="V34" i="4"/>
  <c r="U34" i="4"/>
  <c r="S34" i="4"/>
  <c r="Q34" i="4"/>
  <c r="AC33" i="4"/>
  <c r="AA33" i="4"/>
  <c r="Y33" i="4"/>
  <c r="V33" i="4"/>
  <c r="U33" i="4"/>
  <c r="S33" i="4"/>
  <c r="Q33" i="4"/>
  <c r="AC32" i="4"/>
  <c r="AA32" i="4"/>
  <c r="Y32" i="4"/>
  <c r="V32" i="4"/>
  <c r="U32" i="4"/>
  <c r="S32" i="4"/>
  <c r="Q32" i="4"/>
  <c r="AC31" i="4"/>
  <c r="AA31" i="4"/>
  <c r="Y31" i="4"/>
  <c r="V31" i="4"/>
  <c r="U31" i="4"/>
  <c r="S31" i="4"/>
  <c r="Q31" i="4"/>
  <c r="AC30" i="4"/>
  <c r="AA30" i="4"/>
  <c r="Y30" i="4"/>
  <c r="V30" i="4"/>
  <c r="U30" i="4"/>
  <c r="S30" i="4"/>
  <c r="Q30" i="4"/>
  <c r="AC29" i="4"/>
  <c r="AA29" i="4"/>
  <c r="Y29" i="4"/>
  <c r="V29" i="4"/>
  <c r="U29" i="4"/>
  <c r="S29" i="4"/>
  <c r="Q29" i="4"/>
  <c r="AC28" i="4"/>
  <c r="AA28" i="4"/>
  <c r="Y28" i="4"/>
  <c r="V28" i="4"/>
  <c r="U28" i="4"/>
  <c r="S28" i="4"/>
  <c r="Q28" i="4"/>
  <c r="AC27" i="4"/>
  <c r="AA27" i="4"/>
  <c r="Y27" i="4"/>
  <c r="V27" i="4"/>
  <c r="U27" i="4"/>
  <c r="S27" i="4"/>
  <c r="Q27" i="4"/>
  <c r="AC26" i="4"/>
  <c r="AA26" i="4"/>
  <c r="Y26" i="4"/>
  <c r="V26" i="4"/>
  <c r="U26" i="4"/>
  <c r="S26" i="4"/>
  <c r="Q26" i="4"/>
  <c r="AC25" i="4"/>
  <c r="AA25" i="4"/>
  <c r="Y25" i="4"/>
  <c r="V25" i="4"/>
  <c r="U25" i="4"/>
  <c r="S25" i="4"/>
  <c r="Q25" i="4"/>
  <c r="AC24" i="4"/>
  <c r="AA24" i="4"/>
  <c r="Y24" i="4"/>
  <c r="V24" i="4"/>
  <c r="U24" i="4"/>
  <c r="S24" i="4"/>
  <c r="Q24" i="4"/>
  <c r="AC23" i="4"/>
  <c r="AA23" i="4"/>
  <c r="Y23" i="4"/>
  <c r="V23" i="4"/>
  <c r="U23" i="4"/>
  <c r="S23" i="4"/>
  <c r="Q23" i="4"/>
  <c r="AC22" i="4"/>
  <c r="AA22" i="4"/>
  <c r="Y22" i="4"/>
  <c r="V22" i="4"/>
  <c r="U22" i="4"/>
  <c r="S22" i="4"/>
  <c r="Q22" i="4"/>
  <c r="AC21" i="4"/>
  <c r="AA21" i="4"/>
  <c r="Y21" i="4"/>
  <c r="V21" i="4"/>
  <c r="U21" i="4"/>
  <c r="S21" i="4"/>
  <c r="Q21" i="4"/>
  <c r="AC20" i="4"/>
  <c r="AA20" i="4"/>
  <c r="Y20" i="4"/>
  <c r="V20" i="4"/>
  <c r="U20" i="4"/>
  <c r="S20" i="4"/>
  <c r="Q20" i="4"/>
  <c r="AC19" i="4"/>
  <c r="AA19" i="4"/>
  <c r="Y19" i="4"/>
  <c r="V19" i="4"/>
  <c r="U19" i="4"/>
  <c r="S19" i="4"/>
  <c r="Q19" i="4"/>
  <c r="AC18" i="4"/>
  <c r="AA18" i="4"/>
  <c r="Y18" i="4"/>
  <c r="V18" i="4"/>
  <c r="U18" i="4"/>
  <c r="S18" i="4"/>
  <c r="Q18" i="4"/>
  <c r="AC17" i="4"/>
  <c r="AA17" i="4"/>
  <c r="Y17" i="4"/>
  <c r="V17" i="4"/>
  <c r="U17" i="4"/>
  <c r="S17" i="4"/>
  <c r="Q17" i="4"/>
  <c r="AC16" i="4"/>
  <c r="AA16" i="4"/>
  <c r="Y16" i="4"/>
  <c r="V16" i="4"/>
  <c r="U16" i="4"/>
  <c r="S16" i="4"/>
  <c r="Q16" i="4"/>
  <c r="AC15" i="4"/>
  <c r="AA15" i="4"/>
  <c r="Y15" i="4"/>
  <c r="V15" i="4"/>
  <c r="U15" i="4"/>
  <c r="S15" i="4"/>
  <c r="Q15" i="4"/>
  <c r="AC14" i="4"/>
  <c r="AA14" i="4"/>
  <c r="Y14" i="4"/>
  <c r="V14" i="4"/>
  <c r="U14" i="4"/>
  <c r="S14" i="4"/>
  <c r="Q14" i="4"/>
  <c r="AC13" i="4"/>
  <c r="AA13" i="4"/>
  <c r="Y13" i="4"/>
  <c r="V13" i="4"/>
  <c r="U13" i="4"/>
  <c r="S13" i="4"/>
  <c r="Q13" i="4"/>
  <c r="AC12" i="4"/>
  <c r="AA12" i="4"/>
  <c r="Y12" i="4"/>
  <c r="V12" i="4"/>
  <c r="U12" i="4"/>
  <c r="S12" i="4"/>
  <c r="Q12" i="4"/>
  <c r="AC11" i="4"/>
  <c r="AA11" i="4"/>
  <c r="Y11" i="4"/>
  <c r="V11" i="4"/>
  <c r="U11" i="4"/>
  <c r="S11" i="4"/>
  <c r="Q11" i="4"/>
  <c r="AC10" i="4"/>
  <c r="AA10" i="4"/>
  <c r="Y10" i="4"/>
  <c r="V10" i="4"/>
  <c r="U10" i="4"/>
  <c r="S10" i="4"/>
  <c r="Q10" i="4"/>
  <c r="AC9" i="4"/>
  <c r="AA9" i="4"/>
  <c r="Y9" i="4"/>
  <c r="V9" i="4"/>
  <c r="U9" i="4"/>
  <c r="S9" i="4"/>
  <c r="Q9" i="4"/>
  <c r="AC8" i="4"/>
  <c r="AA8" i="4"/>
  <c r="Y8" i="4"/>
  <c r="V8" i="4"/>
  <c r="U8" i="4"/>
  <c r="S8" i="4"/>
  <c r="Q8" i="4"/>
  <c r="AC7" i="4"/>
  <c r="AA7" i="4"/>
  <c r="Y7" i="4"/>
  <c r="V7" i="4"/>
  <c r="U7" i="4"/>
  <c r="S7" i="4"/>
  <c r="Q7" i="4"/>
  <c r="AC6" i="4"/>
  <c r="AA6" i="4"/>
  <c r="Y6" i="4"/>
  <c r="V6" i="4"/>
  <c r="U6" i="4"/>
  <c r="S6" i="4"/>
  <c r="Q6" i="4"/>
  <c r="AC5" i="4"/>
  <c r="AA5" i="4"/>
  <c r="Y5" i="4"/>
  <c r="V5" i="4"/>
  <c r="U5" i="4"/>
  <c r="S5" i="4"/>
  <c r="Q5" i="4"/>
  <c r="AC4" i="4"/>
  <c r="AA4" i="4"/>
  <c r="Y4" i="4"/>
  <c r="V4" i="4"/>
  <c r="U4" i="4"/>
  <c r="S4" i="4"/>
  <c r="Q4" i="4"/>
  <c r="AC3" i="4"/>
  <c r="AA3" i="4"/>
  <c r="Y3" i="4"/>
  <c r="V3" i="4"/>
  <c r="U3" i="4"/>
  <c r="S3" i="4"/>
  <c r="Q3" i="4"/>
  <c r="AC2" i="4"/>
  <c r="AA2" i="4"/>
  <c r="Y2" i="4"/>
  <c r="V2" i="4"/>
  <c r="U2" i="4"/>
  <c r="S2" i="4"/>
  <c r="Q2" i="4"/>
  <c r="O24" i="4" l="1"/>
  <c r="N24" i="4" s="1"/>
  <c r="O32" i="4"/>
  <c r="N32" i="4" s="1"/>
  <c r="W5" i="4"/>
  <c r="O40" i="4"/>
  <c r="N40" i="4" s="1"/>
  <c r="O9" i="4"/>
  <c r="N9" i="4" s="1"/>
  <c r="W13" i="4"/>
  <c r="O17" i="4"/>
  <c r="N17" i="4" s="1"/>
  <c r="O25" i="4"/>
  <c r="N25" i="4" s="1"/>
  <c r="O33" i="4"/>
  <c r="N33" i="4" s="1"/>
  <c r="W37" i="4"/>
  <c r="O44" i="4"/>
  <c r="N44" i="4" s="1"/>
  <c r="O48" i="4"/>
  <c r="N48" i="4" s="1"/>
  <c r="O52" i="4"/>
  <c r="N52" i="4" s="1"/>
  <c r="O56" i="4"/>
  <c r="N56" i="4" s="1"/>
  <c r="O60" i="4"/>
  <c r="N60" i="4" s="1"/>
  <c r="O64" i="4"/>
  <c r="N64" i="4" s="1"/>
  <c r="O68" i="4"/>
  <c r="N68" i="4" s="1"/>
  <c r="O72" i="4"/>
  <c r="N72" i="4" s="1"/>
  <c r="O76" i="4"/>
  <c r="N76" i="4" s="1"/>
  <c r="W77" i="4"/>
  <c r="O22" i="4"/>
  <c r="N22" i="4" s="1"/>
  <c r="O30" i="4"/>
  <c r="N30" i="4" s="1"/>
  <c r="O38" i="4"/>
  <c r="N38" i="4" s="1"/>
  <c r="O3" i="4"/>
  <c r="N3" i="4" s="1"/>
  <c r="O11" i="4"/>
  <c r="N11" i="4" s="1"/>
  <c r="O19" i="4"/>
  <c r="N19" i="4" s="1"/>
  <c r="O27" i="4"/>
  <c r="N27" i="4" s="1"/>
  <c r="O35" i="4"/>
  <c r="N35" i="4" s="1"/>
  <c r="O43" i="4"/>
  <c r="N43" i="4" s="1"/>
  <c r="O47" i="4"/>
  <c r="N47" i="4" s="1"/>
  <c r="W48" i="4"/>
  <c r="O51" i="4"/>
  <c r="N51" i="4" s="1"/>
  <c r="O55" i="4"/>
  <c r="N55" i="4" s="1"/>
  <c r="O59" i="4"/>
  <c r="N59" i="4" s="1"/>
  <c r="O63" i="4"/>
  <c r="N63" i="4" s="1"/>
  <c r="O67" i="4"/>
  <c r="N67" i="4" s="1"/>
  <c r="O71" i="4"/>
  <c r="N71" i="4" s="1"/>
  <c r="H75" i="4"/>
  <c r="O8" i="4"/>
  <c r="N8" i="4" s="1"/>
  <c r="O16" i="4"/>
  <c r="N16" i="4" s="1"/>
  <c r="M42" i="4"/>
  <c r="L42" i="4" s="1"/>
  <c r="M50" i="4"/>
  <c r="L50" i="4" s="1"/>
  <c r="W32" i="4"/>
  <c r="O5" i="4"/>
  <c r="N5" i="4" s="1"/>
  <c r="O13" i="4"/>
  <c r="N13" i="4" s="1"/>
  <c r="O37" i="4"/>
  <c r="N37" i="4" s="1"/>
  <c r="O2" i="4"/>
  <c r="N2" i="4" s="1"/>
  <c r="O10" i="4"/>
  <c r="N10" i="4" s="1"/>
  <c r="O18" i="4"/>
  <c r="N18" i="4" s="1"/>
  <c r="O26" i="4"/>
  <c r="N26" i="4" s="1"/>
  <c r="O34" i="4"/>
  <c r="N34" i="4" s="1"/>
  <c r="M40" i="4"/>
  <c r="L40" i="4" s="1"/>
  <c r="O75" i="4"/>
  <c r="N75" i="4" s="1"/>
  <c r="V77" i="4"/>
  <c r="O7" i="4"/>
  <c r="N7" i="4" s="1"/>
  <c r="O15" i="4"/>
  <c r="N15" i="4" s="1"/>
  <c r="O23" i="4"/>
  <c r="N23" i="4" s="1"/>
  <c r="O31" i="4"/>
  <c r="N31" i="4" s="1"/>
  <c r="O39" i="4"/>
  <c r="N39" i="4" s="1"/>
  <c r="O41" i="4"/>
  <c r="N41" i="4" s="1"/>
  <c r="O45" i="4"/>
  <c r="N45" i="4" s="1"/>
  <c r="O49" i="4"/>
  <c r="N49" i="4" s="1"/>
  <c r="O53" i="4"/>
  <c r="N53" i="4" s="1"/>
  <c r="O57" i="4"/>
  <c r="N57" i="4" s="1"/>
  <c r="O61" i="4"/>
  <c r="N61" i="4" s="1"/>
  <c r="O65" i="4"/>
  <c r="N65" i="4" s="1"/>
  <c r="O69" i="4"/>
  <c r="N69" i="4" s="1"/>
  <c r="O73" i="4"/>
  <c r="N73" i="4" s="1"/>
  <c r="M77" i="4"/>
  <c r="O6" i="4"/>
  <c r="N6" i="4" s="1"/>
  <c r="O14" i="4"/>
  <c r="N14" i="4" s="1"/>
  <c r="O77" i="4"/>
  <c r="N77" i="4" s="1"/>
  <c r="O21" i="4"/>
  <c r="N21" i="4" s="1"/>
  <c r="O29" i="4"/>
  <c r="N29" i="4" s="1"/>
  <c r="O42" i="4"/>
  <c r="N42" i="4" s="1"/>
  <c r="O46" i="4"/>
  <c r="N46" i="4" s="1"/>
  <c r="O50" i="4"/>
  <c r="N50" i="4" s="1"/>
  <c r="O54" i="4"/>
  <c r="N54" i="4" s="1"/>
  <c r="O58" i="4"/>
  <c r="N58" i="4" s="1"/>
  <c r="O62" i="4"/>
  <c r="N62" i="4" s="1"/>
  <c r="O66" i="4"/>
  <c r="N66" i="4" s="1"/>
  <c r="O70" i="4"/>
  <c r="N70" i="4" s="1"/>
  <c r="O74" i="4"/>
  <c r="N74" i="4" s="1"/>
  <c r="O4" i="4"/>
  <c r="N4" i="4" s="1"/>
  <c r="O12" i="4"/>
  <c r="N12" i="4" s="1"/>
  <c r="O20" i="4"/>
  <c r="N20" i="4" s="1"/>
  <c r="O28" i="4"/>
  <c r="N28" i="4" s="1"/>
  <c r="O36" i="4"/>
  <c r="N36" i="4" s="1"/>
  <c r="W4" i="4"/>
  <c r="W28" i="4"/>
  <c r="D40" i="4"/>
  <c r="AR40" i="4" s="1"/>
  <c r="M41" i="4"/>
  <c r="L41" i="4" s="1"/>
  <c r="L77" i="4"/>
  <c r="W3" i="4"/>
  <c r="W27" i="4"/>
  <c r="V58" i="4"/>
  <c r="V66" i="4"/>
  <c r="M62" i="4"/>
  <c r="L62" i="4" s="1"/>
  <c r="M66" i="4"/>
  <c r="L66" i="4" s="1"/>
  <c r="M70" i="4"/>
  <c r="L70" i="4" s="1"/>
  <c r="H64" i="4"/>
  <c r="H72" i="4"/>
  <c r="BA72" i="4" s="1"/>
  <c r="H77" i="4"/>
  <c r="AZ77" i="4" s="1"/>
  <c r="M61" i="4"/>
  <c r="L61" i="4" s="1"/>
  <c r="V62" i="4"/>
  <c r="V51" i="4"/>
  <c r="V59" i="4"/>
  <c r="V63" i="4"/>
  <c r="W33" i="4"/>
  <c r="W7" i="4"/>
  <c r="W15" i="4"/>
  <c r="D42" i="4"/>
  <c r="AR42" i="4" s="1"/>
  <c r="M43" i="4"/>
  <c r="L43" i="4" s="1"/>
  <c r="M47" i="4"/>
  <c r="L47" i="4" s="1"/>
  <c r="M51" i="4"/>
  <c r="L51" i="4" s="1"/>
  <c r="M55" i="4"/>
  <c r="L55" i="4" s="1"/>
  <c r="V56" i="4"/>
  <c r="W24" i="4"/>
  <c r="V40" i="4"/>
  <c r="W2" i="4"/>
  <c r="W11" i="4"/>
  <c r="W29" i="4"/>
  <c r="W40" i="4"/>
  <c r="V44" i="4"/>
  <c r="V48" i="4"/>
  <c r="D50" i="4"/>
  <c r="V52" i="4"/>
  <c r="V67" i="4"/>
  <c r="V71" i="4"/>
  <c r="W35" i="4"/>
  <c r="M48" i="4"/>
  <c r="L48" i="4" s="1"/>
  <c r="M71" i="4"/>
  <c r="L71" i="4" s="1"/>
  <c r="W16" i="4"/>
  <c r="W25" i="4"/>
  <c r="W53" i="4"/>
  <c r="W68" i="4"/>
  <c r="M75" i="4"/>
  <c r="L75" i="4" s="1"/>
  <c r="H76" i="4"/>
  <c r="AZ76" i="4" s="1"/>
  <c r="H68" i="4"/>
  <c r="BA68" i="4" s="1"/>
  <c r="D76" i="4"/>
  <c r="AR76" i="4" s="1"/>
  <c r="W8" i="4"/>
  <c r="W17" i="4"/>
  <c r="W18" i="4"/>
  <c r="W26" i="4"/>
  <c r="D46" i="4"/>
  <c r="AS46" i="4" s="1"/>
  <c r="V46" i="4"/>
  <c r="V47" i="4"/>
  <c r="V68" i="4"/>
  <c r="D70" i="4"/>
  <c r="AS70" i="4" s="1"/>
  <c r="D73" i="4"/>
  <c r="AR73" i="4" s="1"/>
  <c r="W76" i="4"/>
  <c r="H69" i="4"/>
  <c r="BA69" i="4" s="1"/>
  <c r="W34" i="4"/>
  <c r="V45" i="4"/>
  <c r="D47" i="4"/>
  <c r="AS47" i="4" s="1"/>
  <c r="D58" i="4"/>
  <c r="AR58" i="4" s="1"/>
  <c r="H60" i="4"/>
  <c r="M68" i="4"/>
  <c r="L68" i="4" s="1"/>
  <c r="M74" i="4"/>
  <c r="L74" i="4" s="1"/>
  <c r="D77" i="4"/>
  <c r="AR77" i="4" s="1"/>
  <c r="V55" i="4"/>
  <c r="H66" i="4"/>
  <c r="AZ66" i="4" s="1"/>
  <c r="W45" i="4"/>
  <c r="H46" i="4"/>
  <c r="V53" i="4"/>
  <c r="D55" i="4"/>
  <c r="AS55" i="4" s="1"/>
  <c r="M56" i="4"/>
  <c r="L56" i="4" s="1"/>
  <c r="V60" i="4"/>
  <c r="D62" i="4"/>
  <c r="AS62" i="4" s="1"/>
  <c r="M63" i="4"/>
  <c r="L63" i="4" s="1"/>
  <c r="W63" i="4"/>
  <c r="D65" i="4"/>
  <c r="AS65" i="4" s="1"/>
  <c r="H70" i="4"/>
  <c r="D71" i="4"/>
  <c r="AR71" i="4" s="1"/>
  <c r="D74" i="4"/>
  <c r="AR74" i="4" s="1"/>
  <c r="H48" i="4"/>
  <c r="AZ48" i="4" s="1"/>
  <c r="D54" i="4"/>
  <c r="AS54" i="4" s="1"/>
  <c r="V42" i="4"/>
  <c r="M45" i="4"/>
  <c r="L45" i="4" s="1"/>
  <c r="D48" i="4"/>
  <c r="AR48" i="4" s="1"/>
  <c r="M49" i="4"/>
  <c r="L49" i="4" s="1"/>
  <c r="H54" i="4"/>
  <c r="BA54" i="4" s="1"/>
  <c r="H61" i="4"/>
  <c r="AZ61" i="4" s="1"/>
  <c r="D68" i="4"/>
  <c r="AS68" i="4" s="1"/>
  <c r="D53" i="4"/>
  <c r="AS53" i="4" s="1"/>
  <c r="V64" i="4"/>
  <c r="W21" i="4"/>
  <c r="D44" i="4"/>
  <c r="AR44" i="4" s="1"/>
  <c r="V50" i="4"/>
  <c r="M53" i="4"/>
  <c r="L53" i="4" s="1"/>
  <c r="V54" i="4"/>
  <c r="D56" i="4"/>
  <c r="AR56" i="4" s="1"/>
  <c r="V61" i="4"/>
  <c r="D63" i="4"/>
  <c r="AR63" i="4" s="1"/>
  <c r="D66" i="4"/>
  <c r="AS66" i="4" s="1"/>
  <c r="H67" i="4"/>
  <c r="BA67" i="4" s="1"/>
  <c r="D72" i="4"/>
  <c r="AR72" i="4" s="1"/>
  <c r="D49" i="4"/>
  <c r="AR49" i="4" s="1"/>
  <c r="D52" i="4"/>
  <c r="AS52" i="4" s="1"/>
  <c r="H62" i="4"/>
  <c r="BA62" i="4" s="1"/>
  <c r="V69" i="4"/>
  <c r="H71" i="4"/>
  <c r="BA71" i="4" s="1"/>
  <c r="M73" i="4"/>
  <c r="L73" i="4" s="1"/>
  <c r="W10" i="4"/>
  <c r="H42" i="4"/>
  <c r="D43" i="4"/>
  <c r="AS43" i="4" s="1"/>
  <c r="D51" i="4"/>
  <c r="AR51" i="4" s="1"/>
  <c r="M54" i="4"/>
  <c r="L54" i="4" s="1"/>
  <c r="W54" i="4"/>
  <c r="D59" i="4"/>
  <c r="AS59" i="4" s="1"/>
  <c r="M64" i="4"/>
  <c r="L64" i="4" s="1"/>
  <c r="V65" i="4"/>
  <c r="W72" i="4"/>
  <c r="H73" i="4"/>
  <c r="BA73" i="4" s="1"/>
  <c r="W9" i="4"/>
  <c r="W19" i="4"/>
  <c r="H40" i="4"/>
  <c r="D41" i="4"/>
  <c r="AR41" i="4" s="1"/>
  <c r="M44" i="4"/>
  <c r="L44" i="4" s="1"/>
  <c r="W47" i="4"/>
  <c r="H50" i="4"/>
  <c r="M52" i="4"/>
  <c r="L52" i="4" s="1"/>
  <c r="M57" i="4"/>
  <c r="L57" i="4" s="1"/>
  <c r="H63" i="4"/>
  <c r="AZ63" i="4" s="1"/>
  <c r="D64" i="4"/>
  <c r="AR64" i="4" s="1"/>
  <c r="M67" i="4"/>
  <c r="L67" i="4" s="1"/>
  <c r="W67" i="4"/>
  <c r="D69" i="4"/>
  <c r="AS69" i="4" s="1"/>
  <c r="V70" i="4"/>
  <c r="M72" i="4"/>
  <c r="L72" i="4" s="1"/>
  <c r="V75" i="4"/>
  <c r="W55" i="4"/>
  <c r="M60" i="4"/>
  <c r="L60" i="4" s="1"/>
  <c r="W60" i="4"/>
  <c r="M65" i="4"/>
  <c r="L65" i="4" s="1"/>
  <c r="H56" i="4"/>
  <c r="BA56" i="4" s="1"/>
  <c r="D57" i="4"/>
  <c r="AR57" i="4" s="1"/>
  <c r="H59" i="4"/>
  <c r="BA59" i="4" s="1"/>
  <c r="D60" i="4"/>
  <c r="AS60" i="4" s="1"/>
  <c r="D67" i="4"/>
  <c r="AS67" i="4" s="1"/>
  <c r="H74" i="4"/>
  <c r="BA74" i="4" s="1"/>
  <c r="D75" i="4"/>
  <c r="AR75" i="4" s="1"/>
  <c r="M58" i="4"/>
  <c r="L58" i="4" s="1"/>
  <c r="W71" i="4"/>
  <c r="V73" i="4"/>
  <c r="V74" i="4"/>
  <c r="V76" i="4"/>
  <c r="W14" i="4"/>
  <c r="V43" i="4"/>
  <c r="V41" i="4"/>
  <c r="W43" i="4"/>
  <c r="H44" i="4"/>
  <c r="D45" i="4"/>
  <c r="AR45" i="4" s="1"/>
  <c r="W56" i="4"/>
  <c r="H57" i="4"/>
  <c r="BA57" i="4" s="1"/>
  <c r="M59" i="4"/>
  <c r="L59" i="4" s="1"/>
  <c r="W59" i="4"/>
  <c r="W75" i="4"/>
  <c r="M46" i="4"/>
  <c r="L46" i="4" s="1"/>
  <c r="W46" i="4"/>
  <c r="V49" i="4"/>
  <c r="V57" i="4"/>
  <c r="D61" i="4"/>
  <c r="AS61" i="4" s="1"/>
  <c r="W64" i="4"/>
  <c r="H65" i="4"/>
  <c r="BA65" i="4" s="1"/>
  <c r="M69" i="4"/>
  <c r="L69" i="4" s="1"/>
  <c r="V72" i="4"/>
  <c r="M76" i="4"/>
  <c r="L76" i="4" s="1"/>
  <c r="W23" i="4"/>
  <c r="W39" i="4"/>
  <c r="W41" i="4"/>
  <c r="H45" i="4"/>
  <c r="AZ45" i="4" s="1"/>
  <c r="W49" i="4"/>
  <c r="H53" i="4"/>
  <c r="BA53" i="4" s="1"/>
  <c r="W57" i="4"/>
  <c r="W20" i="4"/>
  <c r="W22" i="4"/>
  <c r="W36" i="4"/>
  <c r="W38" i="4"/>
  <c r="H47" i="4"/>
  <c r="AZ47" i="4" s="1"/>
  <c r="W51" i="4"/>
  <c r="H55" i="4"/>
  <c r="BA55" i="4" s="1"/>
  <c r="H58" i="4"/>
  <c r="H52" i="4"/>
  <c r="W12" i="4"/>
  <c r="W31" i="4"/>
  <c r="H41" i="4"/>
  <c r="AZ41" i="4" s="1"/>
  <c r="H49" i="4"/>
  <c r="W42" i="4"/>
  <c r="W50" i="4"/>
  <c r="W58" i="4"/>
  <c r="W62" i="4"/>
  <c r="W66" i="4"/>
  <c r="W70" i="4"/>
  <c r="W74" i="4"/>
  <c r="W6" i="4"/>
  <c r="W30" i="4"/>
  <c r="H43" i="4"/>
  <c r="AZ43" i="4" s="1"/>
  <c r="H51" i="4"/>
  <c r="BA51" i="4" s="1"/>
  <c r="W44" i="4"/>
  <c r="W52" i="4"/>
  <c r="W61" i="4"/>
  <c r="W65" i="4"/>
  <c r="W69" i="4"/>
  <c r="W73" i="4"/>
  <c r="AR65" i="4" l="1"/>
  <c r="AR53" i="4"/>
  <c r="AR47" i="4"/>
  <c r="AR54" i="4"/>
  <c r="AR60" i="4"/>
  <c r="AR61" i="4"/>
  <c r="AR52" i="4"/>
  <c r="AR66" i="4"/>
  <c r="AR67" i="4"/>
  <c r="AS64" i="4"/>
  <c r="AS74" i="4"/>
  <c r="AS77" i="4"/>
  <c r="AZ50" i="4"/>
  <c r="AT50" i="4"/>
  <c r="AS51" i="4"/>
  <c r="AS56" i="4"/>
  <c r="AS58" i="4"/>
  <c r="AR68" i="4"/>
  <c r="AS48" i="4"/>
  <c r="AS42" i="4"/>
  <c r="AR69" i="4"/>
  <c r="AS57" i="4"/>
  <c r="AR59" i="4"/>
  <c r="AR55" i="4"/>
  <c r="AS71" i="4"/>
  <c r="AR43" i="4"/>
  <c r="AR62" i="4"/>
  <c r="AS49" i="4"/>
  <c r="AS63" i="4"/>
  <c r="AS75" i="4"/>
  <c r="AS45" i="4"/>
  <c r="AS73" i="4"/>
  <c r="AS41" i="4"/>
  <c r="AS76" i="4"/>
  <c r="AS44" i="4"/>
  <c r="AS72" i="4"/>
  <c r="AS40" i="4"/>
  <c r="AR46" i="4"/>
  <c r="AR70" i="4"/>
  <c r="AG68" i="4"/>
  <c r="AI68" i="4" s="1"/>
  <c r="AG76" i="4"/>
  <c r="AH76" i="4" s="1"/>
  <c r="AG45" i="4"/>
  <c r="AT45" i="4" s="1"/>
  <c r="AG69" i="4"/>
  <c r="AT69" i="4" s="1"/>
  <c r="AG65" i="4"/>
  <c r="AH65" i="4" s="1"/>
  <c r="AG66" i="4"/>
  <c r="AH66" i="4" s="1"/>
  <c r="AG41" i="4"/>
  <c r="AH41" i="4" s="1"/>
  <c r="AG59" i="4"/>
  <c r="AH59" i="4" s="1"/>
  <c r="AG63" i="4"/>
  <c r="AI63" i="4" s="1"/>
  <c r="BA76" i="4"/>
  <c r="AG74" i="4"/>
  <c r="AH74" i="4" s="1"/>
  <c r="AG50" i="4"/>
  <c r="AH50" i="4" s="1"/>
  <c r="AG62" i="4"/>
  <c r="AI62" i="4" s="1"/>
  <c r="BA48" i="4"/>
  <c r="AG57" i="4"/>
  <c r="AH57" i="4" s="1"/>
  <c r="AG58" i="4"/>
  <c r="AH58" i="4" s="1"/>
  <c r="AG77" i="4"/>
  <c r="AH77" i="4" s="1"/>
  <c r="AG42" i="4"/>
  <c r="AH42" i="4" s="1"/>
  <c r="BA43" i="4"/>
  <c r="AG55" i="4"/>
  <c r="AI55" i="4" s="1"/>
  <c r="AF55" i="4"/>
  <c r="AU55" i="4" s="1"/>
  <c r="AF45" i="4"/>
  <c r="AU45" i="4" s="1"/>
  <c r="AF57" i="4"/>
  <c r="AK57" i="4" s="1"/>
  <c r="AF72" i="4"/>
  <c r="AK72" i="4" s="1"/>
  <c r="AG72" i="4"/>
  <c r="AT72" i="4" s="1"/>
  <c r="AF70" i="4"/>
  <c r="AU70" i="4" s="1"/>
  <c r="AG70" i="4"/>
  <c r="AZ64" i="4"/>
  <c r="BA63" i="4"/>
  <c r="BA47" i="4"/>
  <c r="BA77" i="4"/>
  <c r="BA41" i="4"/>
  <c r="AZ69" i="4"/>
  <c r="AZ57" i="4"/>
  <c r="AF69" i="4"/>
  <c r="AJ69" i="4" s="1"/>
  <c r="AG44" i="4"/>
  <c r="AF44" i="4"/>
  <c r="AK44" i="4" s="1"/>
  <c r="AG48" i="4"/>
  <c r="AT48" i="4" s="1"/>
  <c r="AF48" i="4"/>
  <c r="AK48" i="4" s="1"/>
  <c r="AF65" i="4"/>
  <c r="AK65" i="4" s="1"/>
  <c r="AF58" i="4"/>
  <c r="AJ58" i="4" s="1"/>
  <c r="AF76" i="4"/>
  <c r="AK76" i="4" s="1"/>
  <c r="AZ54" i="4"/>
  <c r="BA61" i="4"/>
  <c r="BA45" i="4"/>
  <c r="BA64" i="4"/>
  <c r="AF50" i="4"/>
  <c r="AZ68" i="4"/>
  <c r="AZ52" i="4"/>
  <c r="AZ73" i="4"/>
  <c r="BA44" i="4"/>
  <c r="AF49" i="4"/>
  <c r="AK49" i="4" s="1"/>
  <c r="AG49" i="4"/>
  <c r="AG71" i="4"/>
  <c r="AT71" i="4" s="1"/>
  <c r="AF71" i="4"/>
  <c r="AK71" i="4" s="1"/>
  <c r="AF40" i="4"/>
  <c r="AG40" i="4"/>
  <c r="AI40" i="4" s="1"/>
  <c r="AG75" i="4"/>
  <c r="AI75" i="4" s="1"/>
  <c r="AF75" i="4"/>
  <c r="AK75" i="4" s="1"/>
  <c r="AF41" i="4"/>
  <c r="AU41" i="4" s="1"/>
  <c r="AF59" i="4"/>
  <c r="AJ59" i="4" s="1"/>
  <c r="AF63" i="4"/>
  <c r="AK63" i="4" s="1"/>
  <c r="BA52" i="4"/>
  <c r="AZ67" i="4"/>
  <c r="AZ51" i="4"/>
  <c r="BA42" i="4"/>
  <c r="AZ58" i="4"/>
  <c r="AU75" i="4"/>
  <c r="AG47" i="4"/>
  <c r="AH47" i="4" s="1"/>
  <c r="AF47" i="4"/>
  <c r="AU47" i="4" s="1"/>
  <c r="AG64" i="4"/>
  <c r="AT64" i="4" s="1"/>
  <c r="AF64" i="4"/>
  <c r="AU64" i="4" s="1"/>
  <c r="AG53" i="4"/>
  <c r="AH53" i="4" s="1"/>
  <c r="AF53" i="4"/>
  <c r="AU53" i="4" s="1"/>
  <c r="AG54" i="4"/>
  <c r="AH54" i="4" s="1"/>
  <c r="AF54" i="4"/>
  <c r="AU54" i="4" s="1"/>
  <c r="AF62" i="4"/>
  <c r="AJ62" i="4" s="1"/>
  <c r="AG46" i="4"/>
  <c r="AT46" i="4" s="1"/>
  <c r="AF46" i="4"/>
  <c r="AU46" i="4" s="1"/>
  <c r="AZ56" i="4"/>
  <c r="BA66" i="4"/>
  <c r="BA58" i="4"/>
  <c r="BA50" i="4"/>
  <c r="BA46" i="4"/>
  <c r="AZ42" i="4"/>
  <c r="AZ65" i="4"/>
  <c r="AF73" i="4"/>
  <c r="AK73" i="4" s="1"/>
  <c r="AG73" i="4"/>
  <c r="AI73" i="4" s="1"/>
  <c r="AZ59" i="4"/>
  <c r="AG67" i="4"/>
  <c r="AT67" i="4" s="1"/>
  <c r="AF67" i="4"/>
  <c r="AJ67" i="4" s="1"/>
  <c r="AG56" i="4"/>
  <c r="AF56" i="4"/>
  <c r="AU56" i="4" s="1"/>
  <c r="AF68" i="4"/>
  <c r="AJ68" i="4" s="1"/>
  <c r="AF77" i="4"/>
  <c r="AF42" i="4"/>
  <c r="AZ40" i="4"/>
  <c r="BA60" i="4"/>
  <c r="AZ71" i="4"/>
  <c r="AZ55" i="4"/>
  <c r="AZ74" i="4"/>
  <c r="AZ62" i="4"/>
  <c r="AZ46" i="4"/>
  <c r="BA40" i="4"/>
  <c r="AG43" i="4"/>
  <c r="AH43" i="4" s="1"/>
  <c r="AF43" i="4"/>
  <c r="AU43" i="4" s="1"/>
  <c r="AF66" i="4"/>
  <c r="AF61" i="4"/>
  <c r="AK61" i="4" s="1"/>
  <c r="AG61" i="4"/>
  <c r="AG60" i="4"/>
  <c r="AT60" i="4" s="1"/>
  <c r="AF60" i="4"/>
  <c r="AU60" i="4" s="1"/>
  <c r="AG51" i="4"/>
  <c r="AT51" i="4" s="1"/>
  <c r="AF51" i="4"/>
  <c r="AU51" i="4" s="1"/>
  <c r="AG52" i="4"/>
  <c r="AI52" i="4" s="1"/>
  <c r="AF52" i="4"/>
  <c r="AK52" i="4" s="1"/>
  <c r="AI74" i="4"/>
  <c r="AF74" i="4"/>
  <c r="AU74" i="4" s="1"/>
  <c r="AZ72" i="4"/>
  <c r="AZ60" i="4"/>
  <c r="AZ44" i="4"/>
  <c r="AZ53" i="4"/>
  <c r="C45" i="4"/>
  <c r="C57" i="4"/>
  <c r="C72" i="4"/>
  <c r="C69" i="4"/>
  <c r="C44" i="4"/>
  <c r="C48" i="4"/>
  <c r="C76" i="4"/>
  <c r="C41" i="4"/>
  <c r="C59" i="4"/>
  <c r="C63" i="4"/>
  <c r="C64" i="4"/>
  <c r="C68" i="4"/>
  <c r="C77" i="4"/>
  <c r="C67" i="4"/>
  <c r="C61" i="4"/>
  <c r="C60" i="4"/>
  <c r="C51" i="4"/>
  <c r="C52" i="4"/>
  <c r="C73" i="4"/>
  <c r="C50" i="4"/>
  <c r="C66" i="4"/>
  <c r="C75" i="4"/>
  <c r="C54" i="4"/>
  <c r="C62" i="4"/>
  <c r="C47" i="4"/>
  <c r="C42" i="4"/>
  <c r="C58" i="4"/>
  <c r="C70" i="4"/>
  <c r="C46" i="4"/>
  <c r="C40" i="4"/>
  <c r="C55" i="4"/>
  <c r="C53" i="4"/>
  <c r="C49" i="4"/>
  <c r="C56" i="4"/>
  <c r="C74" i="4"/>
  <c r="C71" i="4"/>
  <c r="C65" i="4"/>
  <c r="C43" i="4"/>
  <c r="AJ40" i="4" l="1"/>
  <c r="AF79" i="4"/>
  <c r="AI41" i="4"/>
  <c r="AJ75" i="4"/>
  <c r="AT57" i="4"/>
  <c r="AH62" i="4"/>
  <c r="AH75" i="4"/>
  <c r="AJ41" i="4"/>
  <c r="AT75" i="4"/>
  <c r="AU40" i="4"/>
  <c r="AH68" i="4"/>
  <c r="AK41" i="4"/>
  <c r="AU50" i="4"/>
  <c r="AQ50" i="4"/>
  <c r="AT47" i="4"/>
  <c r="AT54" i="4"/>
  <c r="AI60" i="4"/>
  <c r="AI76" i="4"/>
  <c r="AK68" i="4"/>
  <c r="AI50" i="4"/>
  <c r="AJ46" i="4"/>
  <c r="AT55" i="4"/>
  <c r="AT41" i="4"/>
  <c r="AU58" i="4"/>
  <c r="AT53" i="4"/>
  <c r="AI57" i="4"/>
  <c r="AJ73" i="4"/>
  <c r="AI47" i="4"/>
  <c r="AJ74" i="4"/>
  <c r="AK74" i="4"/>
  <c r="AK51" i="4"/>
  <c r="AU57" i="4"/>
  <c r="AU65" i="4"/>
  <c r="AU76" i="4"/>
  <c r="AI71" i="4"/>
  <c r="AI48" i="4"/>
  <c r="AU44" i="4"/>
  <c r="AU49" i="4"/>
  <c r="AU48" i="4"/>
  <c r="AK58" i="4"/>
  <c r="AJ48" i="4"/>
  <c r="AI45" i="4"/>
  <c r="AI51" i="4"/>
  <c r="AJ60" i="4"/>
  <c r="AK56" i="4"/>
  <c r="AJ76" i="4"/>
  <c r="AJ65" i="4"/>
  <c r="AU62" i="4"/>
  <c r="AU71" i="4"/>
  <c r="AJ49" i="4"/>
  <c r="AJ44" i="4"/>
  <c r="AH67" i="4"/>
  <c r="AH60" i="4"/>
  <c r="AK60" i="4"/>
  <c r="AK46" i="4"/>
  <c r="AT62" i="4"/>
  <c r="AJ50" i="4"/>
  <c r="AU72" i="4"/>
  <c r="AU69" i="4"/>
  <c r="AK50" i="4"/>
  <c r="AJ45" i="4"/>
  <c r="AJ72" i="4"/>
  <c r="AJ47" i="4"/>
  <c r="AH46" i="4"/>
  <c r="AJ57" i="4"/>
  <c r="AJ56" i="4"/>
  <c r="AI46" i="4"/>
  <c r="BB66" i="4"/>
  <c r="AQ66" i="4"/>
  <c r="AM66" i="4"/>
  <c r="AY66" i="4"/>
  <c r="AW66" i="4"/>
  <c r="AO66" i="4"/>
  <c r="BB42" i="4"/>
  <c r="AM42" i="4"/>
  <c r="AQ42" i="4"/>
  <c r="AW42" i="4"/>
  <c r="AY42" i="4"/>
  <c r="AO42" i="4"/>
  <c r="BB77" i="4"/>
  <c r="AQ77" i="4"/>
  <c r="AM77" i="4"/>
  <c r="AW77" i="4"/>
  <c r="AY77" i="4"/>
  <c r="AO77" i="4"/>
  <c r="BC56" i="4"/>
  <c r="AN56" i="4"/>
  <c r="AV56" i="4"/>
  <c r="AP56" i="4"/>
  <c r="AX56" i="4"/>
  <c r="AL56" i="4"/>
  <c r="BB67" i="4"/>
  <c r="AY67" i="4"/>
  <c r="AM67" i="4"/>
  <c r="AW67" i="4"/>
  <c r="AO67" i="4"/>
  <c r="AQ67" i="4"/>
  <c r="BB53" i="4"/>
  <c r="AY53" i="4"/>
  <c r="AQ53" i="4"/>
  <c r="AW53" i="4"/>
  <c r="AO53" i="4"/>
  <c r="AM53" i="4"/>
  <c r="AH64" i="4"/>
  <c r="AU66" i="4"/>
  <c r="BC40" i="4"/>
  <c r="AN40" i="4"/>
  <c r="AX40" i="4"/>
  <c r="AP40" i="4"/>
  <c r="AV40" i="4"/>
  <c r="AL40" i="4"/>
  <c r="BC49" i="4"/>
  <c r="AV49" i="4"/>
  <c r="AL49" i="4"/>
  <c r="AN49" i="4"/>
  <c r="AP49" i="4"/>
  <c r="AX49" i="4"/>
  <c r="BC58" i="4"/>
  <c r="AP58" i="4"/>
  <c r="AL58" i="4"/>
  <c r="AV58" i="4"/>
  <c r="AX58" i="4"/>
  <c r="AN58" i="4"/>
  <c r="BC65" i="4"/>
  <c r="AV65" i="4"/>
  <c r="AP65" i="4"/>
  <c r="AL65" i="4"/>
  <c r="AN65" i="4"/>
  <c r="AX65" i="4"/>
  <c r="BC44" i="4"/>
  <c r="AV44" i="4"/>
  <c r="AN44" i="4"/>
  <c r="AL44" i="4"/>
  <c r="AP44" i="4"/>
  <c r="AX44" i="4"/>
  <c r="AT73" i="4"/>
  <c r="BB52" i="4"/>
  <c r="AO52" i="4"/>
  <c r="AQ52" i="4"/>
  <c r="AW52" i="4"/>
  <c r="AY52" i="4"/>
  <c r="AM52" i="4"/>
  <c r="BC66" i="4"/>
  <c r="AP66" i="4"/>
  <c r="AX66" i="4"/>
  <c r="AL66" i="4"/>
  <c r="AV66" i="4"/>
  <c r="AN66" i="4"/>
  <c r="BC42" i="4"/>
  <c r="AL42" i="4"/>
  <c r="AP42" i="4"/>
  <c r="AV42" i="4"/>
  <c r="AX42" i="4"/>
  <c r="AN42" i="4"/>
  <c r="BC77" i="4"/>
  <c r="AL77" i="4"/>
  <c r="AX77" i="4"/>
  <c r="AV77" i="4"/>
  <c r="AP77" i="4"/>
  <c r="AN77" i="4"/>
  <c r="AI56" i="4"/>
  <c r="BC67" i="4"/>
  <c r="AL67" i="4"/>
  <c r="AV67" i="4"/>
  <c r="AN67" i="4"/>
  <c r="AP67" i="4"/>
  <c r="AX67" i="4"/>
  <c r="BC53" i="4"/>
  <c r="AP53" i="4"/>
  <c r="AN53" i="4"/>
  <c r="AV53" i="4"/>
  <c r="AX53" i="4"/>
  <c r="AL53" i="4"/>
  <c r="BB64" i="4"/>
  <c r="AO64" i="4"/>
  <c r="AY64" i="4"/>
  <c r="AQ64" i="4"/>
  <c r="AW64" i="4"/>
  <c r="AM64" i="4"/>
  <c r="AT65" i="4"/>
  <c r="AT66" i="4"/>
  <c r="BC41" i="4"/>
  <c r="AP41" i="4"/>
  <c r="AN41" i="4"/>
  <c r="AL41" i="4"/>
  <c r="AX41" i="4"/>
  <c r="AV41" i="4"/>
  <c r="BB40" i="4"/>
  <c r="AY40" i="4"/>
  <c r="AW40" i="4"/>
  <c r="AQ40" i="4"/>
  <c r="AO40" i="4"/>
  <c r="AM40" i="4"/>
  <c r="AI49" i="4"/>
  <c r="AU67" i="4"/>
  <c r="AJ42" i="4"/>
  <c r="BC73" i="4"/>
  <c r="AP73" i="4"/>
  <c r="AN73" i="4"/>
  <c r="AV73" i="4"/>
  <c r="AL73" i="4"/>
  <c r="AX73" i="4"/>
  <c r="BC64" i="4"/>
  <c r="AN64" i="4"/>
  <c r="AL64" i="4"/>
  <c r="AP64" i="4"/>
  <c r="AV64" i="4"/>
  <c r="AX64" i="4"/>
  <c r="BC70" i="4"/>
  <c r="AP70" i="4"/>
  <c r="AN70" i="4"/>
  <c r="AL70" i="4"/>
  <c r="AX70" i="4"/>
  <c r="AV70" i="4"/>
  <c r="BC52" i="4"/>
  <c r="AN52" i="4"/>
  <c r="AP52" i="4"/>
  <c r="AV52" i="4"/>
  <c r="AX52" i="4"/>
  <c r="AL52" i="4"/>
  <c r="BB69" i="4"/>
  <c r="AW69" i="4"/>
  <c r="AQ69" i="4"/>
  <c r="AO69" i="4"/>
  <c r="AY69" i="4"/>
  <c r="AM69" i="4"/>
  <c r="BB70" i="4"/>
  <c r="AM70" i="4"/>
  <c r="AQ70" i="4"/>
  <c r="AO70" i="4"/>
  <c r="AW70" i="4"/>
  <c r="AY70" i="4"/>
  <c r="AT70" i="4"/>
  <c r="AT42" i="4"/>
  <c r="BB57" i="4"/>
  <c r="AQ57" i="4"/>
  <c r="AM57" i="4"/>
  <c r="AW57" i="4"/>
  <c r="AO57" i="4"/>
  <c r="AY57" i="4"/>
  <c r="AK55" i="4"/>
  <c r="AJ66" i="4"/>
  <c r="AT56" i="4"/>
  <c r="AI64" i="4"/>
  <c r="BB63" i="4"/>
  <c r="AY63" i="4"/>
  <c r="AM63" i="4"/>
  <c r="AO63" i="4"/>
  <c r="AW63" i="4"/>
  <c r="AQ63" i="4"/>
  <c r="AK66" i="4"/>
  <c r="AJ43" i="4"/>
  <c r="AK42" i="4"/>
  <c r="AI77" i="4"/>
  <c r="AK67" i="4"/>
  <c r="AH73" i="4"/>
  <c r="BC54" i="4"/>
  <c r="AP54" i="4"/>
  <c r="AL54" i="4"/>
  <c r="AN54" i="4"/>
  <c r="AV54" i="4"/>
  <c r="AX54" i="4"/>
  <c r="AI53" i="4"/>
  <c r="AJ64" i="4"/>
  <c r="BB47" i="4"/>
  <c r="AY47" i="4"/>
  <c r="AM47" i="4"/>
  <c r="AO47" i="4"/>
  <c r="AW47" i="4"/>
  <c r="AQ47" i="4"/>
  <c r="AH40" i="4"/>
  <c r="BB76" i="4"/>
  <c r="AW76" i="4"/>
  <c r="AO76" i="4"/>
  <c r="AQ76" i="4"/>
  <c r="AM76" i="4"/>
  <c r="AY76" i="4"/>
  <c r="AI58" i="4"/>
  <c r="BB65" i="4"/>
  <c r="AM65" i="4"/>
  <c r="AW65" i="4"/>
  <c r="AQ65" i="4"/>
  <c r="AY65" i="4"/>
  <c r="AO65" i="4"/>
  <c r="AH44" i="4"/>
  <c r="BC69" i="4"/>
  <c r="AP69" i="4"/>
  <c r="AX69" i="4"/>
  <c r="AN69" i="4"/>
  <c r="AV69" i="4"/>
  <c r="AL69" i="4"/>
  <c r="AT44" i="4"/>
  <c r="AH70" i="4"/>
  <c r="BC72" i="4"/>
  <c r="AN72" i="4"/>
  <c r="AP72" i="4"/>
  <c r="AV72" i="4"/>
  <c r="AL72" i="4"/>
  <c r="AX72" i="4"/>
  <c r="BB45" i="4"/>
  <c r="AO45" i="4"/>
  <c r="AM45" i="4"/>
  <c r="AW45" i="4"/>
  <c r="AQ45" i="4"/>
  <c r="AY45" i="4"/>
  <c r="BC61" i="4"/>
  <c r="AV61" i="4"/>
  <c r="AL61" i="4"/>
  <c r="AN61" i="4"/>
  <c r="AP61" i="4"/>
  <c r="AX61" i="4"/>
  <c r="AU42" i="4"/>
  <c r="BB68" i="4"/>
  <c r="AO68" i="4"/>
  <c r="AQ68" i="4"/>
  <c r="AW68" i="4"/>
  <c r="AY68" i="4"/>
  <c r="AM68" i="4"/>
  <c r="BB54" i="4"/>
  <c r="AM54" i="4"/>
  <c r="AQ54" i="4"/>
  <c r="AO54" i="4"/>
  <c r="AW54" i="4"/>
  <c r="AY54" i="4"/>
  <c r="BB59" i="4"/>
  <c r="AY59" i="4"/>
  <c r="AO59" i="4"/>
  <c r="AM59" i="4"/>
  <c r="AQ59" i="4"/>
  <c r="AW59" i="4"/>
  <c r="BB71" i="4"/>
  <c r="AW71" i="4"/>
  <c r="AY71" i="4"/>
  <c r="AM71" i="4"/>
  <c r="AO71" i="4"/>
  <c r="AQ71" i="4"/>
  <c r="AU77" i="4"/>
  <c r="BB51" i="4"/>
  <c r="AY51" i="4"/>
  <c r="AM51" i="4"/>
  <c r="AW51" i="4"/>
  <c r="AO51" i="4"/>
  <c r="AQ51" i="4"/>
  <c r="AH61" i="4"/>
  <c r="AT77" i="4"/>
  <c r="AT61" i="4"/>
  <c r="BC51" i="4"/>
  <c r="AL51" i="4"/>
  <c r="AV51" i="4"/>
  <c r="AX51" i="4"/>
  <c r="AN51" i="4"/>
  <c r="AP51" i="4"/>
  <c r="BB60" i="4"/>
  <c r="AO60" i="4"/>
  <c r="AW60" i="4"/>
  <c r="AM60" i="4"/>
  <c r="AQ60" i="4"/>
  <c r="AY60" i="4"/>
  <c r="AT49" i="4"/>
  <c r="AI66" i="4"/>
  <c r="AI42" i="4"/>
  <c r="AJ77" i="4"/>
  <c r="BC68" i="4"/>
  <c r="AN68" i="4"/>
  <c r="AP68" i="4"/>
  <c r="AV68" i="4"/>
  <c r="AX68" i="4"/>
  <c r="AL68" i="4"/>
  <c r="AI67" i="4"/>
  <c r="BB62" i="4"/>
  <c r="AW62" i="4"/>
  <c r="AQ62" i="4"/>
  <c r="AY62" i="4"/>
  <c r="AM62" i="4"/>
  <c r="AO62" i="4"/>
  <c r="AK54" i="4"/>
  <c r="AJ53" i="4"/>
  <c r="AK64" i="4"/>
  <c r="AK47" i="4"/>
  <c r="BC63" i="4"/>
  <c r="AN63" i="4"/>
  <c r="AV63" i="4"/>
  <c r="AX63" i="4"/>
  <c r="AL63" i="4"/>
  <c r="AP63" i="4"/>
  <c r="BB41" i="4"/>
  <c r="AO41" i="4"/>
  <c r="AW41" i="4"/>
  <c r="AM41" i="4"/>
  <c r="AY41" i="4"/>
  <c r="AQ41" i="4"/>
  <c r="AK40" i="4"/>
  <c r="BC71" i="4"/>
  <c r="AL71" i="4"/>
  <c r="AX71" i="4"/>
  <c r="AV71" i="4"/>
  <c r="AN71" i="4"/>
  <c r="AP71" i="4"/>
  <c r="BB49" i="4"/>
  <c r="AQ49" i="4"/>
  <c r="AM49" i="4"/>
  <c r="AW49" i="4"/>
  <c r="AY49" i="4"/>
  <c r="AO49" i="4"/>
  <c r="BB48" i="4"/>
  <c r="AY48" i="4"/>
  <c r="AO48" i="4"/>
  <c r="AQ48" i="4"/>
  <c r="AM48" i="4"/>
  <c r="AW48" i="4"/>
  <c r="AH69" i="4"/>
  <c r="AU52" i="4"/>
  <c r="AK70" i="4"/>
  <c r="BB72" i="4"/>
  <c r="AO72" i="4"/>
  <c r="AQ72" i="4"/>
  <c r="AW72" i="4"/>
  <c r="AM72" i="4"/>
  <c r="AY72" i="4"/>
  <c r="BC45" i="4"/>
  <c r="AL45" i="4"/>
  <c r="AV45" i="4"/>
  <c r="AN45" i="4"/>
  <c r="AP45" i="4"/>
  <c r="AX45" i="4"/>
  <c r="BC55" i="4"/>
  <c r="AL55" i="4"/>
  <c r="AN55" i="4"/>
  <c r="AP55" i="4"/>
  <c r="AV55" i="4"/>
  <c r="AX55" i="4"/>
  <c r="BB55" i="4"/>
  <c r="AW55" i="4"/>
  <c r="AY55" i="4"/>
  <c r="AO55" i="4"/>
  <c r="AM55" i="4"/>
  <c r="AQ55" i="4"/>
  <c r="BB56" i="4"/>
  <c r="AY56" i="4"/>
  <c r="AO56" i="4"/>
  <c r="AW56" i="4"/>
  <c r="AQ56" i="4"/>
  <c r="AM56" i="4"/>
  <c r="BB46" i="4"/>
  <c r="AW46" i="4"/>
  <c r="AQ46" i="4"/>
  <c r="AO46" i="4"/>
  <c r="AY46" i="4"/>
  <c r="AM46" i="4"/>
  <c r="BC62" i="4"/>
  <c r="AP62" i="4"/>
  <c r="AV62" i="4"/>
  <c r="AX62" i="4"/>
  <c r="AN62" i="4"/>
  <c r="AL62" i="4"/>
  <c r="AJ63" i="4"/>
  <c r="AK59" i="4"/>
  <c r="BB75" i="4"/>
  <c r="AW75" i="4"/>
  <c r="AO75" i="4"/>
  <c r="AQ75" i="4"/>
  <c r="AM75" i="4"/>
  <c r="AY75" i="4"/>
  <c r="AJ71" i="4"/>
  <c r="AU59" i="4"/>
  <c r="BC50" i="4"/>
  <c r="AP50" i="4"/>
  <c r="AX50" i="4"/>
  <c r="AL50" i="4"/>
  <c r="AV50" i="4"/>
  <c r="AN50" i="4"/>
  <c r="BC76" i="4"/>
  <c r="AX76" i="4"/>
  <c r="AN76" i="4"/>
  <c r="AL76" i="4"/>
  <c r="AP76" i="4"/>
  <c r="AV76" i="4"/>
  <c r="BC48" i="4"/>
  <c r="AX48" i="4"/>
  <c r="AN48" i="4"/>
  <c r="AL48" i="4"/>
  <c r="AP48" i="4"/>
  <c r="AV48" i="4"/>
  <c r="BB44" i="4"/>
  <c r="AQ44" i="4"/>
  <c r="AM44" i="4"/>
  <c r="AY44" i="4"/>
  <c r="AO44" i="4"/>
  <c r="AW44" i="4"/>
  <c r="AK69" i="4"/>
  <c r="AT52" i="4"/>
  <c r="AI70" i="4"/>
  <c r="AH72" i="4"/>
  <c r="AH45" i="4"/>
  <c r="AJ55" i="4"/>
  <c r="BB43" i="4"/>
  <c r="AO43" i="4"/>
  <c r="AQ43" i="4"/>
  <c r="AW43" i="4"/>
  <c r="AM43" i="4"/>
  <c r="AY43" i="4"/>
  <c r="BC59" i="4"/>
  <c r="AX59" i="4"/>
  <c r="AN59" i="4"/>
  <c r="AL59" i="4"/>
  <c r="AP59" i="4"/>
  <c r="AV59" i="4"/>
  <c r="BB61" i="4"/>
  <c r="AW61" i="4"/>
  <c r="AM61" i="4"/>
  <c r="AY61" i="4"/>
  <c r="AO61" i="4"/>
  <c r="AQ61" i="4"/>
  <c r="BC43" i="4"/>
  <c r="AX43" i="4"/>
  <c r="AV43" i="4"/>
  <c r="AN43" i="4"/>
  <c r="AL43" i="4"/>
  <c r="AP43" i="4"/>
  <c r="AK77" i="4"/>
  <c r="AK53" i="4"/>
  <c r="AH49" i="4"/>
  <c r="AU61" i="4"/>
  <c r="BB74" i="4"/>
  <c r="AM74" i="4"/>
  <c r="AQ74" i="4"/>
  <c r="AY74" i="4"/>
  <c r="AO74" i="4"/>
  <c r="AW74" i="4"/>
  <c r="AJ52" i="4"/>
  <c r="AJ51" i="4"/>
  <c r="AI61" i="4"/>
  <c r="AU68" i="4"/>
  <c r="AK43" i="4"/>
  <c r="AU63" i="4"/>
  <c r="BB73" i="4"/>
  <c r="AM73" i="4"/>
  <c r="AQ73" i="4"/>
  <c r="AY73" i="4"/>
  <c r="AO73" i="4"/>
  <c r="AW73" i="4"/>
  <c r="AI54" i="4"/>
  <c r="BC74" i="4"/>
  <c r="AL74" i="4"/>
  <c r="AP74" i="4"/>
  <c r="AN74" i="4"/>
  <c r="AV74" i="4"/>
  <c r="AX74" i="4"/>
  <c r="AH52" i="4"/>
  <c r="AH51" i="4"/>
  <c r="BC60" i="4"/>
  <c r="AN60" i="4"/>
  <c r="AL60" i="4"/>
  <c r="AP60" i="4"/>
  <c r="AX60" i="4"/>
  <c r="AV60" i="4"/>
  <c r="AJ61" i="4"/>
  <c r="AT68" i="4"/>
  <c r="AI43" i="4"/>
  <c r="AH56" i="4"/>
  <c r="AT63" i="4"/>
  <c r="BC46" i="4"/>
  <c r="AP46" i="4"/>
  <c r="AL46" i="4"/>
  <c r="AN46" i="4"/>
  <c r="AX46" i="4"/>
  <c r="AV46" i="4"/>
  <c r="AK62" i="4"/>
  <c r="AJ54" i="4"/>
  <c r="AT40" i="4"/>
  <c r="AT74" i="4"/>
  <c r="BC47" i="4"/>
  <c r="AX47" i="4"/>
  <c r="AN47" i="4"/>
  <c r="AL47" i="4"/>
  <c r="AV47" i="4"/>
  <c r="AP47" i="4"/>
  <c r="AT76" i="4"/>
  <c r="AH63" i="4"/>
  <c r="AI59" i="4"/>
  <c r="BC75" i="4"/>
  <c r="AX75" i="4"/>
  <c r="AN75" i="4"/>
  <c r="AL75" i="4"/>
  <c r="AP75" i="4"/>
  <c r="AV75" i="4"/>
  <c r="AT43" i="4"/>
  <c r="AT58" i="4"/>
  <c r="AH71" i="4"/>
  <c r="AT59" i="4"/>
  <c r="BB50" i="4"/>
  <c r="AM50" i="4"/>
  <c r="AY50" i="4"/>
  <c r="AO50" i="4"/>
  <c r="AW50" i="4"/>
  <c r="BB58" i="4"/>
  <c r="AO58" i="4"/>
  <c r="AM58" i="4"/>
  <c r="AQ58" i="4"/>
  <c r="AW58" i="4"/>
  <c r="AY58" i="4"/>
  <c r="AI65" i="4"/>
  <c r="AH48" i="4"/>
  <c r="AI44" i="4"/>
  <c r="AI69" i="4"/>
  <c r="AU73" i="4"/>
  <c r="AJ70" i="4"/>
  <c r="AI72" i="4"/>
  <c r="BC57" i="4"/>
  <c r="AP57" i="4"/>
  <c r="AV57" i="4"/>
  <c r="AN57" i="4"/>
  <c r="AL57" i="4"/>
  <c r="AX57" i="4"/>
  <c r="AK45" i="4"/>
  <c r="AH55" i="4"/>
</calcChain>
</file>

<file path=xl/sharedStrings.xml><?xml version="1.0" encoding="utf-8"?>
<sst xmlns="http://schemas.openxmlformats.org/spreadsheetml/2006/main" count="130" uniqueCount="92">
  <si>
    <t>Country</t>
  </si>
  <si>
    <t>Year</t>
  </si>
  <si>
    <t>ab_us</t>
  </si>
  <si>
    <t>health_us</t>
  </si>
  <si>
    <t>nhealth_us</t>
  </si>
  <si>
    <t>acc_us</t>
  </si>
  <si>
    <t>of_us</t>
  </si>
  <si>
    <t>be_us</t>
  </si>
  <si>
    <t>gu_us</t>
  </si>
  <si>
    <t>qf_us</t>
  </si>
  <si>
    <t>ab_per</t>
  </si>
  <si>
    <t>health_per</t>
  </si>
  <si>
    <t>nhealth_per</t>
  </si>
  <si>
    <t>acc_per</t>
  </si>
  <si>
    <t>of_per</t>
  </si>
  <si>
    <t>be_per</t>
  </si>
  <si>
    <t>gu_per</t>
  </si>
  <si>
    <t>AUS</t>
  </si>
  <si>
    <t>FRA</t>
  </si>
  <si>
    <t>DEU</t>
  </si>
  <si>
    <t>ITA</t>
  </si>
  <si>
    <t>JPN</t>
  </si>
  <si>
    <t>KOR</t>
  </si>
  <si>
    <t>ESP</t>
  </si>
  <si>
    <t>GBR</t>
  </si>
  <si>
    <t>USA</t>
  </si>
  <si>
    <t>MEX</t>
  </si>
  <si>
    <t>TUR</t>
  </si>
  <si>
    <t>AUT</t>
  </si>
  <si>
    <t>BEL</t>
  </si>
  <si>
    <t>CZE</t>
  </si>
  <si>
    <t>DNK</t>
  </si>
  <si>
    <t>EST</t>
  </si>
  <si>
    <t>FIN</t>
  </si>
  <si>
    <t>GRC</t>
  </si>
  <si>
    <t>ISL</t>
  </si>
  <si>
    <t>IRL</t>
  </si>
  <si>
    <t>ISR</t>
  </si>
  <si>
    <t>LVA</t>
  </si>
  <si>
    <t>LTU</t>
  </si>
  <si>
    <t>LUX</t>
  </si>
  <si>
    <t>NLD</t>
  </si>
  <si>
    <t>NZL</t>
  </si>
  <si>
    <t>NOR</t>
  </si>
  <si>
    <t>PRT</t>
  </si>
  <si>
    <t>SVK</t>
  </si>
  <si>
    <t>SVN</t>
  </si>
  <si>
    <t>SWE</t>
  </si>
  <si>
    <t>CHE</t>
  </si>
  <si>
    <t>CHL</t>
  </si>
  <si>
    <t>COL</t>
  </si>
  <si>
    <t>CRI</t>
  </si>
  <si>
    <t>HUN</t>
  </si>
  <si>
    <t>POL</t>
  </si>
  <si>
    <t>qf_per</t>
  </si>
  <si>
    <t>CAN</t>
  </si>
  <si>
    <t>ab_ppp</t>
  </si>
  <si>
    <t>health_ppp</t>
  </si>
  <si>
    <t>nhealth_ppp</t>
  </si>
  <si>
    <t>acc_ppp</t>
  </si>
  <si>
    <t>of_ppp</t>
  </si>
  <si>
    <t>be_ppp</t>
  </si>
  <si>
    <t>gu_ppp</t>
  </si>
  <si>
    <t>qf_ppp</t>
  </si>
  <si>
    <t>share_nhealth_t</t>
  </si>
  <si>
    <t>share_health_t</t>
  </si>
  <si>
    <t>share_of_t</t>
  </si>
  <si>
    <t>share_be_of</t>
  </si>
  <si>
    <t>share_gu_of</t>
  </si>
  <si>
    <t>real_gdp_per</t>
  </si>
  <si>
    <t>on_us</t>
  </si>
  <si>
    <t>on_per</t>
  </si>
  <si>
    <t>on_ppp</t>
  </si>
  <si>
    <t>share_on_t</t>
  </si>
  <si>
    <t>share_acc_t</t>
  </si>
  <si>
    <t>share_nhealth_on</t>
  </si>
  <si>
    <t>share_health_on</t>
  </si>
  <si>
    <t>share_be_t</t>
  </si>
  <si>
    <t>share_gu_t</t>
  </si>
  <si>
    <t>total_intensity_per</t>
  </si>
  <si>
    <t>total_netspend_usd</t>
  </si>
  <si>
    <t>total_moving_usd</t>
  </si>
  <si>
    <t>share_onw0_mo</t>
  </si>
  <si>
    <t>share_on_mo</t>
  </si>
  <si>
    <t>share_onw0_t</t>
  </si>
  <si>
    <t>share_nhealth_mo</t>
  </si>
  <si>
    <t>share_health_mo</t>
  </si>
  <si>
    <t>share_acc_mo</t>
  </si>
  <si>
    <t>share_of_mo</t>
  </si>
  <si>
    <t>share_be_mo</t>
  </si>
  <si>
    <t>share_gu_mo</t>
  </si>
  <si>
    <t>total_mo_per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</si>
</sst>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0.0"/>
    <numFmt numFmtId="165" formatCode="_(* #,##0.00_);_(* \(#,##0.00\);_(* &quot;-&quot;??_);_(@_)"/>
    <numFmt numFmtId="166" formatCode="0.00000"/>
    <numFmt numFmtId="167" formatCode="0.0000"/>
    <numFmt numFmtId="168" formatCode="0.00000000000"/>
    <numFmt numFmtId="169" formatCode="0.00000000"/>
    <numFmt numFmtId="170" formatCode="0.00000000000000000000000000"/>
    <numFmt numFmtId="171" formatCode="0.000000000"/>
    <numFmt numFmtId="172" formatCode="0.0000000"/>
    <numFmt numFmtId="173" formatCode="0.000000%"/>
  </numFmts>
  <fonts count="11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.5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0">
    <xf numFmtId="0" fontId="0" fillId="0" borderId="0"/>
    <xf numFmtId="165" fontId="6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</cellStyleXfs>
  <cellXfs count="55">
    <xf numFmtId="0" fontId="0" fillId="0" borderId="0" xfId="0"/>
    <xf numFmtId="0" fontId="7" fillId="2" borderId="1" xfId="0" applyFont="1" applyFill="1" applyBorder="1" applyAlignment="1">
      <alignment horizontal="left" indent="1"/>
    </xf>
    <xf numFmtId="166" fontId="8" fillId="0" borderId="1" xfId="1" applyNumberFormat="1" applyFont="1" applyFill="1" applyBorder="1" applyAlignment="1">
      <alignment horizontal="right"/>
    </xf>
    <xf numFmtId="166" fontId="7" fillId="0" borderId="1" xfId="1" applyNumberFormat="1" applyFont="1" applyFill="1" applyBorder="1" applyAlignment="1"/>
    <xf numFmtId="166" fontId="8" fillId="0" borderId="1" xfId="1" applyNumberFormat="1" applyFont="1" applyFill="1" applyBorder="1" applyAlignment="1"/>
    <xf numFmtId="0" fontId="0" fillId="2" borderId="1" xfId="0" applyFill="1" applyBorder="1" applyAlignment="1">
      <alignment horizontal="left" indent="1"/>
    </xf>
    <xf numFmtId="0" fontId="0" fillId="0" borderId="1" xfId="0" applyBorder="1" applyAlignment="1">
      <alignment horizontal="left" indent="1"/>
    </xf>
    <xf numFmtId="0" fontId="5" fillId="2" borderId="1" xfId="6" applyFont="1" applyFill="1" applyBorder="1" applyAlignment="1">
      <alignment horizontal="center" vertical="center"/>
    </xf>
    <xf numFmtId="164" fontId="5" fillId="2" borderId="1" xfId="6" applyNumberFormat="1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 wrapText="1"/>
    </xf>
    <xf numFmtId="0" fontId="1" fillId="0" borderId="0" xfId="6"/>
    <xf numFmtId="0" fontId="7" fillId="2" borderId="1" xfId="6" applyFont="1" applyFill="1" applyBorder="1" applyAlignment="1">
      <alignment horizontal="left" indent="1"/>
    </xf>
    <xf numFmtId="167" fontId="8" fillId="0" borderId="1" xfId="7" applyNumberFormat="1" applyFont="1" applyFill="1" applyBorder="1" applyAlignment="1">
      <alignment horizontal="right"/>
    </xf>
    <xf numFmtId="167" fontId="7" fillId="0" borderId="1" xfId="7" applyNumberFormat="1" applyFont="1" applyFill="1" applyBorder="1" applyAlignment="1"/>
    <xf numFmtId="167" fontId="8" fillId="0" borderId="1" xfId="7" applyNumberFormat="1" applyFont="1" applyFill="1" applyBorder="1" applyAlignment="1"/>
    <xf numFmtId="0" fontId="9" fillId="0" borderId="1" xfId="0" applyFont="1" applyBorder="1" applyAlignment="1">
      <alignment horizontal="center" vertical="top"/>
    </xf>
    <xf numFmtId="0" fontId="9" fillId="0" borderId="1" xfId="2" applyFont="1" applyBorder="1" applyAlignment="1">
      <alignment wrapText="1"/>
    </xf>
    <xf numFmtId="168" fontId="10" fillId="0" borderId="0" xfId="8" applyNumberFormat="1" applyFont="1" applyAlignment="1">
      <alignment horizontal="center" vertical="center"/>
    </xf>
    <xf numFmtId="168" fontId="6" fillId="0" borderId="0" xfId="8" applyNumberFormat="1" applyAlignment="1">
      <alignment horizontal="center"/>
    </xf>
    <xf numFmtId="0" fontId="9" fillId="0" borderId="2" xfId="0" applyFont="1" applyBorder="1" applyAlignment="1">
      <alignment horizontal="center" vertical="top"/>
    </xf>
    <xf numFmtId="166" fontId="7" fillId="0" borderId="0" xfId="1" applyNumberFormat="1" applyFont="1" applyFill="1" applyBorder="1" applyAlignment="1"/>
    <xf numFmtId="167" fontId="7" fillId="0" borderId="0" xfId="7" applyNumberFormat="1" applyFont="1" applyFill="1" applyBorder="1" applyAlignment="1"/>
    <xf numFmtId="166" fontId="7" fillId="2" borderId="1" xfId="0" applyNumberFormat="1" applyFont="1" applyFill="1" applyBorder="1" applyAlignment="1">
      <alignment horizontal="left" indent="1"/>
    </xf>
    <xf numFmtId="0" fontId="9" fillId="0" borderId="0" xfId="2" applyFont="1"/>
    <xf numFmtId="0" fontId="9" fillId="0" borderId="0" xfId="2" applyFont="1" applyAlignment="1">
      <alignment horizontal="center" vertical="center"/>
    </xf>
    <xf numFmtId="0" fontId="9" fillId="0" borderId="0" xfId="2" applyFont="1" applyAlignment="1">
      <alignment vertical="center"/>
    </xf>
    <xf numFmtId="170" fontId="4" fillId="0" borderId="0" xfId="2" applyNumberFormat="1"/>
    <xf numFmtId="166" fontId="9" fillId="0" borderId="1" xfId="0" applyNumberFormat="1" applyFont="1" applyBorder="1" applyAlignment="1">
      <alignment horizontal="center" vertical="top"/>
    </xf>
    <xf numFmtId="169" fontId="9" fillId="0" borderId="1" xfId="0" applyNumberFormat="1" applyFont="1" applyBorder="1" applyAlignment="1">
      <alignment horizontal="center" vertical="top"/>
    </xf>
    <xf numFmtId="171" fontId="7" fillId="2" borderId="1" xfId="0" applyNumberFormat="1" applyFont="1" applyFill="1" applyBorder="1" applyAlignment="1">
      <alignment horizontal="left" indent="1"/>
    </xf>
    <xf numFmtId="171" fontId="7" fillId="2" borderId="1" xfId="6" applyNumberFormat="1" applyFont="1" applyFill="1" applyBorder="1" applyAlignment="1">
      <alignment horizontal="left" indent="1"/>
    </xf>
    <xf numFmtId="171" fontId="8" fillId="0" borderId="1" xfId="7" applyNumberFormat="1" applyFont="1" applyFill="1" applyBorder="1" applyAlignment="1">
      <alignment horizontal="right"/>
    </xf>
    <xf numFmtId="171" fontId="7" fillId="0" borderId="1" xfId="7" applyNumberFormat="1" applyFont="1" applyFill="1" applyBorder="1" applyAlignment="1"/>
    <xf numFmtId="171" fontId="8" fillId="0" borderId="1" xfId="7" applyNumberFormat="1" applyFont="1" applyFill="1" applyBorder="1" applyAlignment="1"/>
    <xf numFmtId="171" fontId="7" fillId="0" borderId="1" xfId="1" applyNumberFormat="1" applyFont="1" applyFill="1" applyBorder="1" applyAlignment="1"/>
    <xf numFmtId="171" fontId="8" fillId="0" borderId="1" xfId="1" applyNumberFormat="1" applyFont="1" applyFill="1" applyBorder="1" applyAlignment="1"/>
    <xf numFmtId="171" fontId="7" fillId="0" borderId="0" xfId="7" applyNumberFormat="1" applyFont="1" applyFill="1" applyBorder="1" applyAlignment="1"/>
    <xf numFmtId="171" fontId="10" fillId="0" borderId="0" xfId="8" applyNumberFormat="1" applyFont="1" applyAlignment="1">
      <alignment horizontal="center" vertical="center"/>
    </xf>
    <xf numFmtId="171" fontId="4" fillId="0" borderId="0" xfId="2" applyNumberFormat="1"/>
    <xf numFmtId="171" fontId="1" fillId="0" borderId="0" xfId="6" applyNumberFormat="1"/>
    <xf numFmtId="170" fontId="1" fillId="0" borderId="0" xfId="6" applyNumberFormat="1"/>
    <xf numFmtId="172" fontId="7" fillId="2" borderId="1" xfId="0" applyNumberFormat="1" applyFont="1" applyFill="1" applyBorder="1" applyAlignment="1">
      <alignment horizontal="left" indent="1"/>
    </xf>
    <xf numFmtId="172" fontId="7" fillId="2" borderId="1" xfId="6" applyNumberFormat="1" applyFont="1" applyFill="1" applyBorder="1" applyAlignment="1">
      <alignment horizontal="left" indent="1"/>
    </xf>
    <xf numFmtId="172" fontId="8" fillId="0" borderId="1" xfId="7" applyNumberFormat="1" applyFont="1" applyFill="1" applyBorder="1" applyAlignment="1">
      <alignment horizontal="right"/>
    </xf>
    <xf numFmtId="172" fontId="7" fillId="0" borderId="1" xfId="7" applyNumberFormat="1" applyFont="1" applyFill="1" applyBorder="1" applyAlignment="1"/>
    <xf numFmtId="172" fontId="8" fillId="0" borderId="1" xfId="7" applyNumberFormat="1" applyFont="1" applyFill="1" applyBorder="1" applyAlignment="1"/>
    <xf numFmtId="172" fontId="7" fillId="0" borderId="1" xfId="1" applyNumberFormat="1" applyFont="1" applyFill="1" applyBorder="1" applyAlignment="1"/>
    <xf numFmtId="172" fontId="8" fillId="0" borderId="1" xfId="1" applyNumberFormat="1" applyFont="1" applyFill="1" applyBorder="1" applyAlignment="1"/>
    <xf numFmtId="172" fontId="7" fillId="0" borderId="0" xfId="7" applyNumberFormat="1" applyFont="1" applyFill="1" applyBorder="1" applyAlignment="1"/>
    <xf numFmtId="172" fontId="10" fillId="0" borderId="0" xfId="8" applyNumberFormat="1" applyFont="1" applyAlignment="1">
      <alignment horizontal="center" vertical="center"/>
    </xf>
    <xf numFmtId="172" fontId="4" fillId="0" borderId="0" xfId="2" applyNumberFormat="1"/>
    <xf numFmtId="172" fontId="1" fillId="0" borderId="0" xfId="6" applyNumberFormat="1"/>
    <xf numFmtId="173" fontId="0" fillId="0" borderId="0" xfId="9" applyNumberFormat="1" applyFont="1"/>
    <xf numFmtId="173" fontId="4" fillId="0" borderId="0" xfId="9" applyNumberFormat="1" applyFont="1"/>
    <xf numFmtId="9" fontId="1" fillId="0" borderId="0" xfId="9" applyFont="1"/>
  </cellXfs>
  <cellStyles count="10">
    <cellStyle name="Komma" xfId="1" builtinId="3"/>
    <cellStyle name="Komma 2" xfId="3" xr:uid="{1F065C6D-2F05-4E4F-A8F1-D4502F8D85F9}"/>
    <cellStyle name="Komma 2 2" xfId="5" xr:uid="{5DFE3695-EFB3-4CD0-A997-3E48D6472CEF}"/>
    <cellStyle name="Komma 2 3" xfId="7" xr:uid="{C577A865-63C4-47E5-AAAE-D76B3CE3F998}"/>
    <cellStyle name="Prozent" xfId="9" builtinId="5"/>
    <cellStyle name="Standard" xfId="0" builtinId="0"/>
    <cellStyle name="Standard 2" xfId="2" xr:uid="{06E39C8D-6892-494D-959B-96DCEAB4ACF8}"/>
    <cellStyle name="Standard 2 2" xfId="4" xr:uid="{28DC4D1A-B44E-4409-AA1E-675DD45ED934}"/>
    <cellStyle name="Standard 2 3" xfId="6" xr:uid="{E4819CD0-1281-44F5-8D85-7B38EBB1A956}"/>
    <cellStyle name="Standard 3" xfId="8" xr:uid="{8A5160A4-E1AC-4FA5-B18C-13C52D1C19D9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6dcfa39c5054bb9/Studium/Wirtschaftswissenschaften/Master-Thesis/New/Working/Policy%20Reactions/IMF/Yearly/2020.xlsx" TargetMode="External"/><Relationship Id="rId1" Type="http://schemas.openxmlformats.org/officeDocument/2006/relationships/externalLinkPath" Target="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0"/>
      <sheetName val="2021"/>
      <sheetName val="data"/>
      <sheetName val="Security"/>
      <sheetName val="Database"/>
      <sheetName val="Figure"/>
    </sheetNames>
    <sheetDataSet>
      <sheetData sheetId="0">
        <row r="8">
          <cell r="D8">
            <v>11.460913817997604</v>
          </cell>
          <cell r="E8">
            <v>206.98686521901695</v>
          </cell>
          <cell r="F8">
            <v>0</v>
          </cell>
          <cell r="H8">
            <v>10.356247425901449</v>
          </cell>
          <cell r="I8">
            <v>13.808329901201899</v>
          </cell>
          <cell r="J8">
            <v>0</v>
          </cell>
          <cell r="M8">
            <v>0.76673254126597679</v>
          </cell>
          <cell r="N8">
            <v>0.93442861409272149</v>
          </cell>
          <cell r="O8">
            <v>13.847374450092762</v>
          </cell>
          <cell r="P8">
            <v>16.876005934036016</v>
          </cell>
          <cell r="Q8">
            <v>0</v>
          </cell>
          <cell r="S8">
            <v>0</v>
          </cell>
          <cell r="V8">
            <v>0.69283060957768994</v>
          </cell>
          <cell r="W8">
            <v>0.84436320550547117</v>
          </cell>
          <cell r="X8">
            <v>0.92377414610358444</v>
          </cell>
          <cell r="Y8">
            <v>1.1258176073406256</v>
          </cell>
          <cell r="Z8">
            <v>0</v>
          </cell>
          <cell r="AA8">
            <v>0</v>
          </cell>
        </row>
        <row r="9">
          <cell r="D9">
            <v>39.211353864005552</v>
          </cell>
          <cell r="E9">
            <v>200.89308431274193</v>
          </cell>
          <cell r="F9">
            <v>63.244119135492831</v>
          </cell>
          <cell r="H9">
            <v>3.8690519941713259</v>
          </cell>
          <cell r="I9">
            <v>62.053641598824733</v>
          </cell>
          <cell r="J9">
            <v>0</v>
          </cell>
          <cell r="M9">
            <v>2.3111656387688853</v>
          </cell>
          <cell r="N9">
            <v>2.2751159505127827</v>
          </cell>
          <cell r="O9">
            <v>11.840886574337743</v>
          </cell>
          <cell r="P9">
            <v>11.656191776820709</v>
          </cell>
          <cell r="Q9">
            <v>3.7276865141433637</v>
          </cell>
          <cell r="S9">
            <v>3.6695418556657788</v>
          </cell>
          <cell r="V9">
            <v>0.22804670439465283</v>
          </cell>
          <cell r="W9">
            <v>0.22448961940543585</v>
          </cell>
          <cell r="X9">
            <v>3.657518297406547</v>
          </cell>
          <cell r="Y9">
            <v>3.6004681266179528</v>
          </cell>
          <cell r="Z9">
            <v>0</v>
          </cell>
          <cell r="AA9">
            <v>0</v>
          </cell>
        </row>
        <row r="10">
          <cell r="D10">
            <v>20.261088762075122</v>
          </cell>
          <cell r="E10">
            <v>177.79674520427716</v>
          </cell>
          <cell r="F10">
            <v>62.604487747984926</v>
          </cell>
          <cell r="H10">
            <v>23.903531685594242</v>
          </cell>
          <cell r="I10">
            <v>380.74911184910832</v>
          </cell>
          <cell r="J10">
            <v>0</v>
          </cell>
          <cell r="M10">
            <v>0.77426597712506007</v>
          </cell>
          <cell r="N10">
            <v>0.6969542401856077</v>
          </cell>
          <cell r="O10">
            <v>6.7944014397154122</v>
          </cell>
          <cell r="P10">
            <v>6.1159692312916798</v>
          </cell>
          <cell r="Q10">
            <v>2.3923948731392306</v>
          </cell>
          <cell r="S10">
            <v>2.1535102927083383</v>
          </cell>
          <cell r="V10">
            <v>0.91345986065316054</v>
          </cell>
          <cell r="W10">
            <v>0.82224938448863827</v>
          </cell>
          <cell r="X10">
            <v>14.550110637546773</v>
          </cell>
          <cell r="Y10">
            <v>13.097258052926167</v>
          </cell>
          <cell r="Z10">
            <v>0</v>
          </cell>
          <cell r="AA10">
            <v>0</v>
          </cell>
        </row>
        <row r="11">
          <cell r="D11">
            <v>45.530536543989193</v>
          </cell>
          <cell r="E11">
            <v>372.21213624711163</v>
          </cell>
          <cell r="F11">
            <v>0</v>
          </cell>
          <cell r="H11">
            <v>113.82634135997297</v>
          </cell>
          <cell r="I11">
            <v>940.54705865745666</v>
          </cell>
          <cell r="J11">
            <v>0</v>
          </cell>
          <cell r="M11">
            <v>1.2656802909610445</v>
          </cell>
          <cell r="N11">
            <v>1.0940146993615734</v>
          </cell>
          <cell r="O11">
            <v>10.346936378606538</v>
          </cell>
          <cell r="P11">
            <v>8.9435701672808623</v>
          </cell>
          <cell r="Q11">
            <v>0</v>
          </cell>
          <cell r="S11">
            <v>0</v>
          </cell>
          <cell r="V11">
            <v>3.1642007274026107</v>
          </cell>
          <cell r="W11">
            <v>2.7350367484039335</v>
          </cell>
          <cell r="X11">
            <v>26.145790610527776</v>
          </cell>
          <cell r="Y11">
            <v>22.599608652061701</v>
          </cell>
          <cell r="Z11">
            <v>0</v>
          </cell>
          <cell r="AA11">
            <v>0</v>
          </cell>
        </row>
        <row r="12">
          <cell r="D12">
            <v>10.813502429197396</v>
          </cell>
          <cell r="E12">
            <v>116.6719998939719</v>
          </cell>
          <cell r="F12">
            <v>7.9678438951980812</v>
          </cell>
          <cell r="H12">
            <v>3.6993560941991093</v>
          </cell>
          <cell r="I12">
            <v>659.05451647424127</v>
          </cell>
          <cell r="J12">
            <v>0</v>
          </cell>
          <cell r="M12">
            <v>0.56374420596159858</v>
          </cell>
          <cell r="N12">
            <v>0.46257810293207896</v>
          </cell>
          <cell r="O12">
            <v>6.0825032748488272</v>
          </cell>
          <cell r="P12">
            <v>4.9909742684776939</v>
          </cell>
          <cell r="Q12">
            <v>0.41539046755065162</v>
          </cell>
          <cell r="S12">
            <v>0.34084702321311078</v>
          </cell>
          <cell r="V12">
            <v>0.1928598599342311</v>
          </cell>
          <cell r="W12">
            <v>0.15825040363465859</v>
          </cell>
          <cell r="X12">
            <v>34.358725815975326</v>
          </cell>
          <cell r="Y12">
            <v>28.192918062913019</v>
          </cell>
          <cell r="Z12">
            <v>0</v>
          </cell>
          <cell r="AA12">
            <v>0</v>
          </cell>
        </row>
        <row r="13">
          <cell r="D13">
            <v>89.837276369187336</v>
          </cell>
          <cell r="E13">
            <v>692.49567201248567</v>
          </cell>
          <cell r="F13">
            <v>243.30929016654903</v>
          </cell>
          <cell r="H13">
            <v>0</v>
          </cell>
          <cell r="I13">
            <v>146.92137906210846</v>
          </cell>
          <cell r="J13">
            <v>1281.1169932230987</v>
          </cell>
          <cell r="M13">
            <v>1.9682456390546812</v>
          </cell>
          <cell r="N13">
            <v>1.6871318211026061</v>
          </cell>
          <cell r="O13">
            <v>15.171893467713165</v>
          </cell>
          <cell r="P13">
            <v>13.004974454332588</v>
          </cell>
          <cell r="Q13">
            <v>5.3306652724397612</v>
          </cell>
          <cell r="S13">
            <v>4.5693153488195577</v>
          </cell>
          <cell r="V13">
            <v>0</v>
          </cell>
          <cell r="W13">
            <v>0</v>
          </cell>
          <cell r="X13">
            <v>3.2189017222040093</v>
          </cell>
          <cell r="Y13">
            <v>2.7591634990948872</v>
          </cell>
          <cell r="Z13">
            <v>28.068002915269364</v>
          </cell>
          <cell r="AA13">
            <v>24.059202740515293</v>
          </cell>
        </row>
        <row r="14">
          <cell r="D14">
            <v>4.3138686179866008</v>
          </cell>
          <cell r="E14">
            <v>51.766423415839213</v>
          </cell>
          <cell r="F14">
            <v>27.913267528148594</v>
          </cell>
          <cell r="H14">
            <v>0</v>
          </cell>
          <cell r="I14">
            <v>59.971232355931377</v>
          </cell>
          <cell r="J14">
            <v>105.73207397025983</v>
          </cell>
          <cell r="M14">
            <v>0.26333831596360152</v>
          </cell>
          <cell r="N14">
            <v>0.20003660842284832</v>
          </cell>
          <cell r="O14">
            <v>3.160059791563218</v>
          </cell>
          <cell r="P14">
            <v>2.4004393010741798</v>
          </cell>
          <cell r="Q14">
            <v>1.7039538091762452</v>
          </cell>
          <cell r="S14">
            <v>1.2943545250890187</v>
          </cell>
          <cell r="V14">
            <v>0</v>
          </cell>
          <cell r="W14">
            <v>0</v>
          </cell>
          <cell r="X14">
            <v>3.6609189415332062</v>
          </cell>
          <cell r="Y14">
            <v>2.7809010857215584</v>
          </cell>
          <cell r="Z14">
            <v>6.4543704893039591</v>
          </cell>
          <cell r="AA14">
            <v>4.9028580495796161</v>
          </cell>
        </row>
        <row r="15">
          <cell r="D15">
            <v>5.0083590198387942</v>
          </cell>
          <cell r="E15">
            <v>47.465584347108575</v>
          </cell>
          <cell r="F15">
            <v>0.614662243343852</v>
          </cell>
          <cell r="H15">
            <v>0.72735032129022481</v>
          </cell>
          <cell r="I15">
            <v>171.4224700881187</v>
          </cell>
          <cell r="J15">
            <v>11.382634135997259</v>
          </cell>
          <cell r="M15">
            <v>0.37829813973507714</v>
          </cell>
          <cell r="N15">
            <v>0.27877995047159143</v>
          </cell>
          <cell r="O15">
            <v>3.5852346424892545</v>
          </cell>
          <cell r="P15">
            <v>2.6420736215148559</v>
          </cell>
          <cell r="Q15">
            <v>4.6427498967486741E-2</v>
          </cell>
          <cell r="S15">
            <v>3.4213903012422588E-2</v>
          </cell>
          <cell r="V15">
            <v>5.4939207111525973E-2</v>
          </cell>
          <cell r="W15">
            <v>4.0486451898033397E-2</v>
          </cell>
          <cell r="X15">
            <v>12.948113600932412</v>
          </cell>
          <cell r="Y15">
            <v>9.5418773956867433</v>
          </cell>
          <cell r="Z15">
            <v>0.85976849939790256</v>
          </cell>
          <cell r="AA15">
            <v>0.6335907965263442</v>
          </cell>
        </row>
        <row r="16">
          <cell r="D16">
            <v>144.71429008321942</v>
          </cell>
          <cell r="E16">
            <v>295.83186733826267</v>
          </cell>
          <cell r="F16">
            <v>8.9646020405534159</v>
          </cell>
          <cell r="H16">
            <v>1.2806574343647736</v>
          </cell>
          <cell r="I16">
            <v>435.42352768402304</v>
          </cell>
          <cell r="J16">
            <v>0</v>
          </cell>
          <cell r="M16">
            <v>4.583354423497001</v>
          </cell>
          <cell r="N16">
            <v>4.9189280689555543</v>
          </cell>
          <cell r="O16">
            <v>9.3695121400690891</v>
          </cell>
          <cell r="P16">
            <v>10.055507822378168</v>
          </cell>
          <cell r="Q16">
            <v>0.28392461030512395</v>
          </cell>
          <cell r="S16">
            <v>0.30471235825388393</v>
          </cell>
          <cell r="V16">
            <v>4.056065861501771E-2</v>
          </cell>
          <cell r="W16">
            <v>4.3530336893411993E-2</v>
          </cell>
          <cell r="X16">
            <v>13.790623929106022</v>
          </cell>
          <cell r="Y16">
            <v>14.800314543760077</v>
          </cell>
          <cell r="Z16">
            <v>0</v>
          </cell>
          <cell r="AA16">
            <v>0</v>
          </cell>
        </row>
        <row r="17">
          <cell r="D17">
            <v>483.8</v>
          </cell>
          <cell r="E17">
            <v>3019.5</v>
          </cell>
          <cell r="F17">
            <v>18</v>
          </cell>
          <cell r="H17">
            <v>56</v>
          </cell>
          <cell r="I17">
            <v>454</v>
          </cell>
          <cell r="J17">
            <v>0</v>
          </cell>
          <cell r="M17">
            <v>2.4276210653964214</v>
          </cell>
          <cell r="N17">
            <v>2.4221228566637936</v>
          </cell>
          <cell r="O17">
            <v>15.151305925929092</v>
          </cell>
          <cell r="P17">
            <v>15.116990421034155</v>
          </cell>
          <cell r="Q17">
            <v>9.0320750676179395E-2</v>
          </cell>
          <cell r="S17">
            <v>9.0116187308698387E-2</v>
          </cell>
          <cell r="V17">
            <v>0.28099789099255812</v>
          </cell>
          <cell r="W17">
            <v>0.28036147162706165</v>
          </cell>
          <cell r="X17">
            <v>2.2780900448325245</v>
          </cell>
          <cell r="Y17">
            <v>2.2729305021193928</v>
          </cell>
          <cell r="Z17">
            <v>0</v>
          </cell>
          <cell r="AA17">
            <v>0</v>
          </cell>
        </row>
        <row r="18">
          <cell r="E18">
            <v>4.8812388597816945</v>
          </cell>
          <cell r="F18">
            <v>4.3180189913453448</v>
          </cell>
          <cell r="H18">
            <v>1.8445450691290441</v>
          </cell>
          <cell r="I18">
            <v>1.1504704512593162</v>
          </cell>
          <cell r="J18">
            <v>10.593227025507003</v>
          </cell>
          <cell r="M18">
            <v>0.18346144064213057</v>
          </cell>
          <cell r="N18">
            <v>9.8533879877569633E-2</v>
          </cell>
          <cell r="O18">
            <v>0.38159979653563153</v>
          </cell>
          <cell r="P18">
            <v>0.20495047014534479</v>
          </cell>
          <cell r="Q18">
            <v>0.33756905078152022</v>
          </cell>
          <cell r="S18">
            <v>0.18130233897472808</v>
          </cell>
          <cell r="V18">
            <v>0.14420069234471464</v>
          </cell>
          <cell r="W18">
            <v>7.7447629583769731E-2</v>
          </cell>
          <cell r="X18">
            <v>8.9940136660398073E-2</v>
          </cell>
          <cell r="Y18">
            <v>4.8305249271179726E-2</v>
          </cell>
          <cell r="Z18">
            <v>0.82814494305857733</v>
          </cell>
          <cell r="AA18">
            <v>0.4447819337673492</v>
          </cell>
        </row>
        <row r="19">
          <cell r="D19">
            <v>2.0161373147465773</v>
          </cell>
          <cell r="E19">
            <v>5.5940711409165607</v>
          </cell>
          <cell r="F19">
            <v>9.86771432217515</v>
          </cell>
          <cell r="H19">
            <v>2.9816115218083188</v>
          </cell>
          <cell r="I19">
            <v>43.44633931777836</v>
          </cell>
          <cell r="J19">
            <v>17.548913528357534</v>
          </cell>
          <cell r="M19">
            <v>0.20220953145860895</v>
          </cell>
          <cell r="N19">
            <v>8.6389221430698715E-2</v>
          </cell>
          <cell r="O19">
            <v>0.56106024925839404</v>
          </cell>
          <cell r="P19">
            <v>0.23969967073024859</v>
          </cell>
          <cell r="Q19">
            <v>0.98968749551924828</v>
          </cell>
          <cell r="S19">
            <v>0.42282048517137749</v>
          </cell>
          <cell r="V19">
            <v>0.2990422648331541</v>
          </cell>
          <cell r="W19">
            <v>0.12775870774962486</v>
          </cell>
          <cell r="X19">
            <v>4.3574730018545313</v>
          </cell>
          <cell r="Y19">
            <v>1.8616268843516766</v>
          </cell>
          <cell r="Z19">
            <v>1.7600773301608501</v>
          </cell>
          <cell r="AA19">
            <v>0.75195125132636342</v>
          </cell>
        </row>
        <row r="20">
          <cell r="D20">
            <v>2.0488741444795067</v>
          </cell>
          <cell r="E20">
            <v>34.375555090711721</v>
          </cell>
          <cell r="F20">
            <v>0</v>
          </cell>
          <cell r="H20">
            <v>0</v>
          </cell>
          <cell r="I20">
            <v>10.244370722397534</v>
          </cell>
          <cell r="J20">
            <v>0</v>
          </cell>
          <cell r="M20">
            <v>0.49495746358147613</v>
          </cell>
          <cell r="N20">
            <v>0.43723384759097994</v>
          </cell>
          <cell r="O20">
            <v>8.3042863334225441</v>
          </cell>
          <cell r="P20">
            <v>7.3358123318042185</v>
          </cell>
          <cell r="Q20">
            <v>0</v>
          </cell>
          <cell r="S20">
            <v>0</v>
          </cell>
          <cell r="V20">
            <v>0</v>
          </cell>
          <cell r="W20">
            <v>0</v>
          </cell>
          <cell r="X20">
            <v>2.4747873179073809</v>
          </cell>
          <cell r="Y20">
            <v>2.1861692379548998</v>
          </cell>
          <cell r="Z20">
            <v>0</v>
          </cell>
          <cell r="AA20">
            <v>0</v>
          </cell>
        </row>
        <row r="21">
          <cell r="D21">
            <v>9.2199336501577793</v>
          </cell>
          <cell r="E21">
            <v>27.31832192639342</v>
          </cell>
          <cell r="F21">
            <v>15.708035107676219</v>
          </cell>
          <cell r="H21">
            <v>1.1382634135997258</v>
          </cell>
          <cell r="I21">
            <v>59.189697507185748</v>
          </cell>
          <cell r="J21">
            <v>0</v>
          </cell>
          <cell r="M21">
            <v>1.8620203297967506</v>
          </cell>
          <cell r="N21">
            <v>1.6602861363439001</v>
          </cell>
          <cell r="O21">
            <v>5.5170972734718537</v>
          </cell>
          <cell r="P21">
            <v>4.9193663299078523</v>
          </cell>
          <cell r="Q21">
            <v>3.1723309322463167</v>
          </cell>
          <cell r="S21">
            <v>2.8286356396970151</v>
          </cell>
          <cell r="V21">
            <v>0.22987905306132722</v>
          </cell>
          <cell r="W21">
            <v>0.20497359707949384</v>
          </cell>
          <cell r="X21">
            <v>11.953710759189018</v>
          </cell>
          <cell r="Y21">
            <v>10.658627048133679</v>
          </cell>
          <cell r="Z21">
            <v>0</v>
          </cell>
          <cell r="AA21">
            <v>0</v>
          </cell>
        </row>
        <row r="22">
          <cell r="D22">
            <v>2.8588123511436292</v>
          </cell>
          <cell r="E22">
            <v>10.207591247777104</v>
          </cell>
          <cell r="F22">
            <v>1.5581815067044105</v>
          </cell>
          <cell r="H22">
            <v>4.2925110377531973E-2</v>
          </cell>
          <cell r="I22">
            <v>37.087295366187625</v>
          </cell>
          <cell r="J22">
            <v>0</v>
          </cell>
          <cell r="M22">
            <v>1.3257316560858696</v>
          </cell>
          <cell r="N22">
            <v>0.70172834388844585</v>
          </cell>
          <cell r="O22">
            <v>4.7336184356939919</v>
          </cell>
          <cell r="P22">
            <v>2.5055705732233102</v>
          </cell>
          <cell r="Q22">
            <v>0.72258347020896485</v>
          </cell>
          <cell r="S22">
            <v>0.38247355680406281</v>
          </cell>
          <cell r="V22">
            <v>1.9905880722010057E-2</v>
          </cell>
          <cell r="W22">
            <v>1.0536461619946634E-2</v>
          </cell>
          <cell r="X22">
            <v>17.198680943816687</v>
          </cell>
          <cell r="Y22">
            <v>9.103502839633892</v>
          </cell>
          <cell r="Z22">
            <v>0</v>
          </cell>
          <cell r="AA22">
            <v>0</v>
          </cell>
        </row>
        <row r="23">
          <cell r="D23">
            <v>0.12194282455131972</v>
          </cell>
          <cell r="E23">
            <v>6.0209269622214112</v>
          </cell>
          <cell r="F23">
            <v>26.73596428287685</v>
          </cell>
          <cell r="H23">
            <v>8.7010778173287289</v>
          </cell>
          <cell r="I23">
            <v>6.0838799453960295</v>
          </cell>
          <cell r="J23">
            <v>0</v>
          </cell>
          <cell r="M23">
            <v>3.6663226730303186E-2</v>
          </cell>
          <cell r="N23">
            <v>3.9201901776737061E-2</v>
          </cell>
          <cell r="O23">
            <v>1.81024681980872</v>
          </cell>
          <cell r="P23">
            <v>1.9355939002263924</v>
          </cell>
          <cell r="Q23">
            <v>8.0384124606189733</v>
          </cell>
          <cell r="S23">
            <v>8.5950169645496004</v>
          </cell>
          <cell r="V23">
            <v>2.6160587143073708</v>
          </cell>
          <cell r="W23">
            <v>2.7972026989018515</v>
          </cell>
          <cell r="X23">
            <v>1.8291742106082385</v>
          </cell>
          <cell r="Y23">
            <v>1.9558318820186327</v>
          </cell>
          <cell r="Z23">
            <v>0</v>
          </cell>
          <cell r="AA23">
            <v>0</v>
          </cell>
        </row>
        <row r="24">
          <cell r="D24">
            <v>0.26180058512793697</v>
          </cell>
          <cell r="E24">
            <v>0.80589049682860592</v>
          </cell>
          <cell r="F24">
            <v>0</v>
          </cell>
          <cell r="H24">
            <v>0.97890653569576425</v>
          </cell>
          <cell r="I24">
            <v>0.34147902407991776</v>
          </cell>
          <cell r="J24">
            <v>0</v>
          </cell>
          <cell r="M24">
            <v>0.97339346823421702</v>
          </cell>
          <cell r="N24">
            <v>0.57022787296238997</v>
          </cell>
          <cell r="O24">
            <v>2.9963590239557631</v>
          </cell>
          <cell r="P24">
            <v>1.7553101480755309</v>
          </cell>
          <cell r="Q24">
            <v>0</v>
          </cell>
          <cell r="S24">
            <v>0</v>
          </cell>
          <cell r="V24">
            <v>3.6396451420931584</v>
          </cell>
          <cell r="W24">
            <v>2.1321563945550235</v>
          </cell>
          <cell r="X24">
            <v>1.2696436542185436</v>
          </cell>
          <cell r="Y24">
            <v>0.74377548647268266</v>
          </cell>
          <cell r="Z24">
            <v>0</v>
          </cell>
          <cell r="AA24">
            <v>0</v>
          </cell>
        </row>
        <row r="25">
          <cell r="D25">
            <v>2.105787315159493</v>
          </cell>
          <cell r="E25">
            <v>5.8051434093586014</v>
          </cell>
          <cell r="F25">
            <v>4.8376195077988351</v>
          </cell>
          <cell r="H25">
            <v>2.7545974609113366</v>
          </cell>
          <cell r="I25">
            <v>14.683598035436464</v>
          </cell>
          <cell r="J25">
            <v>1.1382634135997258</v>
          </cell>
          <cell r="M25">
            <v>0.82662829944470817</v>
          </cell>
          <cell r="N25">
            <v>0.82930375205393791</v>
          </cell>
          <cell r="O25">
            <v>2.2788131498205462</v>
          </cell>
          <cell r="P25">
            <v>2.2861887218784229</v>
          </cell>
          <cell r="Q25">
            <v>1.8990109581837888</v>
          </cell>
          <cell r="S25">
            <v>1.9051572682320197</v>
          </cell>
          <cell r="V25">
            <v>1.0813191808952398</v>
          </cell>
          <cell r="W25">
            <v>1.0848189621462323</v>
          </cell>
          <cell r="X25">
            <v>5.7640567907225595</v>
          </cell>
          <cell r="Y25">
            <v>5.7827126494571885</v>
          </cell>
          <cell r="Z25">
            <v>0.44682610780795035</v>
          </cell>
          <cell r="AA25">
            <v>0.44827229840753402</v>
          </cell>
        </row>
        <row r="26">
          <cell r="D26">
            <v>0.70761690517133902</v>
          </cell>
          <cell r="E26">
            <v>20.506029151798835</v>
          </cell>
          <cell r="F26">
            <v>1.7913339101833412</v>
          </cell>
          <cell r="H26">
            <v>6.41999440943819</v>
          </cell>
          <cell r="I26">
            <v>2.9127752413191792</v>
          </cell>
          <cell r="J26">
            <v>0</v>
          </cell>
          <cell r="M26">
            <v>0.34703603023571405</v>
          </cell>
          <cell r="N26">
            <v>0.2346639799155821</v>
          </cell>
          <cell r="O26">
            <v>10.056756559560966</v>
          </cell>
          <cell r="P26">
            <v>6.8003270948719097</v>
          </cell>
          <cell r="Q26">
            <v>0.8785225515013958</v>
          </cell>
          <cell r="S26">
            <v>0.59405243380891304</v>
          </cell>
          <cell r="V26">
            <v>3.1485530626878351</v>
          </cell>
          <cell r="W26">
            <v>2.1290353977478338</v>
          </cell>
          <cell r="X26">
            <v>1.4285101858491107</v>
          </cell>
          <cell r="Y26">
            <v>0.96595124527448017</v>
          </cell>
          <cell r="Z26">
            <v>0</v>
          </cell>
          <cell r="AA26">
            <v>0</v>
          </cell>
        </row>
        <row r="27">
          <cell r="D27">
            <v>5.0270792906436608E-2</v>
          </cell>
          <cell r="E27">
            <v>0.85853416239471891</v>
          </cell>
          <cell r="F27">
            <v>0</v>
          </cell>
          <cell r="H27">
            <v>0</v>
          </cell>
          <cell r="I27">
            <v>0.91645405891835929</v>
          </cell>
          <cell r="J27">
            <v>0</v>
          </cell>
          <cell r="M27">
            <v>0.24250262096122951</v>
          </cell>
          <cell r="N27">
            <v>0.26362376839851354</v>
          </cell>
          <cell r="O27">
            <v>4.1415058830077847</v>
          </cell>
          <cell r="P27">
            <v>4.5022168560300981</v>
          </cell>
          <cell r="Q27">
            <v>0</v>
          </cell>
          <cell r="S27">
            <v>0</v>
          </cell>
          <cell r="V27">
            <v>0</v>
          </cell>
          <cell r="W27">
            <v>0</v>
          </cell>
          <cell r="X27">
            <v>4.4209072192653549</v>
          </cell>
          <cell r="Y27">
            <v>4.805953091407023</v>
          </cell>
          <cell r="Z27">
            <v>0</v>
          </cell>
          <cell r="AA27">
            <v>0</v>
          </cell>
        </row>
        <row r="28">
          <cell r="D28">
            <v>3.0750000000000006</v>
          </cell>
          <cell r="E28">
            <v>19.310999999999996</v>
          </cell>
          <cell r="F28">
            <v>2.46</v>
          </cell>
          <cell r="H28">
            <v>3.69</v>
          </cell>
          <cell r="I28">
            <v>2.46</v>
          </cell>
          <cell r="J28">
            <v>0</v>
          </cell>
          <cell r="M28">
            <v>0.82779986878309497</v>
          </cell>
          <cell r="N28">
            <v>0.73583823930654202</v>
          </cell>
          <cell r="O28">
            <v>5.1985831759578351</v>
          </cell>
          <cell r="P28">
            <v>4.6210641428450829</v>
          </cell>
          <cell r="Q28">
            <v>0.66223989502647596</v>
          </cell>
          <cell r="S28">
            <v>0.58867059144523359</v>
          </cell>
          <cell r="V28">
            <v>0.99335984253971377</v>
          </cell>
          <cell r="W28">
            <v>0.88300588716785033</v>
          </cell>
          <cell r="X28">
            <v>0.66223989502647596</v>
          </cell>
          <cell r="Y28">
            <v>0.58867059144523359</v>
          </cell>
          <cell r="Z28">
            <v>0</v>
          </cell>
          <cell r="AA28">
            <v>0</v>
          </cell>
        </row>
        <row r="29">
          <cell r="D29">
            <v>4.4578519375602843</v>
          </cell>
          <cell r="E29">
            <v>22.433995140319613</v>
          </cell>
          <cell r="F29">
            <v>2.0841905162619514</v>
          </cell>
          <cell r="H29">
            <v>0.92630689611642281</v>
          </cell>
          <cell r="I29">
            <v>10.218322947784287</v>
          </cell>
          <cell r="J29">
            <v>0</v>
          </cell>
          <cell r="M29">
            <v>1.2436112242752306</v>
          </cell>
          <cell r="N29">
            <v>1.3019552514556945</v>
          </cell>
          <cell r="O29">
            <v>6.2584331091772967</v>
          </cell>
          <cell r="P29">
            <v>6.5520475316763847</v>
          </cell>
          <cell r="Q29">
            <v>0.58142862433647158</v>
          </cell>
          <cell r="S29">
            <v>0.60870635132993511</v>
          </cell>
          <cell r="V29">
            <v>0.25841272192732068</v>
          </cell>
          <cell r="W29">
            <v>0.27053615614663779</v>
          </cell>
          <cell r="X29">
            <v>2.8506153387607558</v>
          </cell>
          <cell r="Y29">
            <v>2.9843519724925978</v>
          </cell>
          <cell r="Z29">
            <v>0</v>
          </cell>
          <cell r="AA29">
            <v>0</v>
          </cell>
        </row>
        <row r="30">
          <cell r="D30">
            <v>0.23903531685594243</v>
          </cell>
          <cell r="E30">
            <v>2.3789705344234271</v>
          </cell>
          <cell r="F30">
            <v>0</v>
          </cell>
          <cell r="H30">
            <v>0.22765268271994518</v>
          </cell>
          <cell r="I30">
            <v>0.75125385297581915</v>
          </cell>
          <cell r="J30">
            <v>0</v>
          </cell>
          <cell r="M30">
            <v>0.79255537945238519</v>
          </cell>
          <cell r="N30">
            <v>0.43129582716598341</v>
          </cell>
          <cell r="O30">
            <v>7.8878130621689762</v>
          </cell>
          <cell r="P30">
            <v>4.2924203751281205</v>
          </cell>
          <cell r="Q30">
            <v>0</v>
          </cell>
          <cell r="S30">
            <v>0</v>
          </cell>
          <cell r="V30">
            <v>0.75481464709750967</v>
          </cell>
          <cell r="W30">
            <v>0.41075793063426985</v>
          </cell>
          <cell r="X30">
            <v>2.4908883354217823</v>
          </cell>
          <cell r="Y30">
            <v>1.3555011710930907</v>
          </cell>
          <cell r="Z30">
            <v>0</v>
          </cell>
          <cell r="AA30">
            <v>0</v>
          </cell>
        </row>
        <row r="31">
          <cell r="D31">
            <v>0.56913170679986291</v>
          </cell>
          <cell r="E31">
            <v>2.0181410323123141</v>
          </cell>
          <cell r="F31">
            <v>2.4927968757833998</v>
          </cell>
          <cell r="H31">
            <v>0.3642442923519123</v>
          </cell>
          <cell r="I31">
            <v>1.5935687790396162</v>
          </cell>
          <cell r="J31">
            <v>0</v>
          </cell>
          <cell r="M31">
            <v>1.1803605352341113</v>
          </cell>
          <cell r="N31">
            <v>0.58591179072942978</v>
          </cell>
          <cell r="O31">
            <v>4.185558457940159</v>
          </cell>
          <cell r="P31">
            <v>2.0776432099265585</v>
          </cell>
          <cell r="Q31">
            <v>5.1699791443254073</v>
          </cell>
          <cell r="S31">
            <v>2.5662936433949031</v>
          </cell>
          <cell r="V31">
            <v>0.75543074254983122</v>
          </cell>
          <cell r="W31">
            <v>0.37498354606683515</v>
          </cell>
          <cell r="X31">
            <v>3.3050094986555116</v>
          </cell>
          <cell r="Y31">
            <v>1.6405530140424038</v>
          </cell>
          <cell r="Z31">
            <v>0</v>
          </cell>
          <cell r="AA31">
            <v>0</v>
          </cell>
        </row>
        <row r="32">
          <cell r="D32">
            <v>0.22765268271994518</v>
          </cell>
          <cell r="E32">
            <v>2.7318321926393425</v>
          </cell>
          <cell r="F32">
            <v>5.2360117025587387</v>
          </cell>
          <cell r="H32">
            <v>0.45530536543989036</v>
          </cell>
          <cell r="I32">
            <v>2.8456585339993148</v>
          </cell>
          <cell r="J32">
            <v>1.0244370722397533</v>
          </cell>
          <cell r="M32">
            <v>0.34203913421432619</v>
          </cell>
          <cell r="N32">
            <v>0.34314248722776741</v>
          </cell>
          <cell r="O32">
            <v>4.1044696105719156</v>
          </cell>
          <cell r="P32">
            <v>4.1177098467332103</v>
          </cell>
          <cell r="Q32">
            <v>7.8669000869295029</v>
          </cell>
          <cell r="S32">
            <v>7.8922772062386501</v>
          </cell>
          <cell r="V32">
            <v>0.68407826842865238</v>
          </cell>
          <cell r="W32">
            <v>0.68628497445553482</v>
          </cell>
          <cell r="X32">
            <v>4.275489177679078</v>
          </cell>
          <cell r="Y32">
            <v>4.2892810903470924</v>
          </cell>
          <cell r="Z32">
            <v>1.539176103964468</v>
          </cell>
          <cell r="AA32">
            <v>1.5441411925249535</v>
          </cell>
        </row>
        <row r="33">
          <cell r="D33">
            <v>6.7157541402383831</v>
          </cell>
          <cell r="E33">
            <v>33.806423383911863</v>
          </cell>
          <cell r="F33">
            <v>14.342119011356546</v>
          </cell>
          <cell r="H33">
            <v>0</v>
          </cell>
          <cell r="I33">
            <v>73.987121883982184</v>
          </cell>
          <cell r="J33">
            <v>0</v>
          </cell>
          <cell r="M33">
            <v>0.79925625883853268</v>
          </cell>
          <cell r="N33">
            <v>0.72023411816377791</v>
          </cell>
          <cell r="O33">
            <v>4.023374726695665</v>
          </cell>
          <cell r="P33">
            <v>3.6255853066888477</v>
          </cell>
          <cell r="Q33">
            <v>1.7068862476890698</v>
          </cell>
          <cell r="S33">
            <v>1.5381270998073899</v>
          </cell>
          <cell r="V33">
            <v>0</v>
          </cell>
          <cell r="W33">
            <v>0</v>
          </cell>
          <cell r="X33">
            <v>8.8053655634753607</v>
          </cell>
          <cell r="Y33">
            <v>7.9347826577365348</v>
          </cell>
          <cell r="Z33">
            <v>0</v>
          </cell>
          <cell r="AA33">
            <v>0</v>
          </cell>
        </row>
        <row r="34">
          <cell r="D34">
            <v>2.5266611838450714</v>
          </cell>
          <cell r="E34">
            <v>37.381628284066828</v>
          </cell>
          <cell r="F34">
            <v>0</v>
          </cell>
          <cell r="H34">
            <v>1.619654605028892</v>
          </cell>
          <cell r="I34">
            <v>4.0491365125722298</v>
          </cell>
          <cell r="J34">
            <v>0</v>
          </cell>
          <cell r="M34">
            <v>1.2450342686329574</v>
          </cell>
          <cell r="N34">
            <v>1.3025785534891559</v>
          </cell>
          <cell r="O34">
            <v>18.420122384646575</v>
          </cell>
          <cell r="P34">
            <v>19.271482701621615</v>
          </cell>
          <cell r="Q34">
            <v>0</v>
          </cell>
          <cell r="S34">
            <v>0</v>
          </cell>
          <cell r="V34">
            <v>0.79809889014933166</v>
          </cell>
          <cell r="W34">
            <v>0.83498625223663836</v>
          </cell>
          <cell r="X34">
            <v>1.9952472253733291</v>
          </cell>
          <cell r="Y34">
            <v>2.0874656305915962</v>
          </cell>
          <cell r="Z34">
            <v>0</v>
          </cell>
          <cell r="AA34">
            <v>0</v>
          </cell>
        </row>
        <row r="35">
          <cell r="D35">
            <v>1.1414792455781</v>
          </cell>
          <cell r="E35">
            <v>12.207486376321347</v>
          </cell>
          <cell r="F35">
            <v>0</v>
          </cell>
          <cell r="H35">
            <v>5.4960111824130733</v>
          </cell>
          <cell r="I35">
            <v>8.2440167736196095</v>
          </cell>
          <cell r="J35">
            <v>0</v>
          </cell>
          <cell r="M35">
            <v>0.27824036566252114</v>
          </cell>
          <cell r="N35">
            <v>0.34542729727078975</v>
          </cell>
          <cell r="O35">
            <v>2.9756261327797398</v>
          </cell>
          <cell r="P35">
            <v>3.6941530402570568</v>
          </cell>
          <cell r="Q35">
            <v>0</v>
          </cell>
          <cell r="S35">
            <v>0</v>
          </cell>
          <cell r="V35">
            <v>1.3396758346713979</v>
          </cell>
          <cell r="W35">
            <v>1.6631684683408392</v>
          </cell>
          <cell r="X35">
            <v>2.0095137520070967</v>
          </cell>
          <cell r="Y35">
            <v>2.4947527025112586</v>
          </cell>
          <cell r="Z35">
            <v>0</v>
          </cell>
          <cell r="AA35">
            <v>0</v>
          </cell>
        </row>
        <row r="36">
          <cell r="D36">
            <v>2.5041795099193971</v>
          </cell>
          <cell r="E36">
            <v>8.3093229192779994</v>
          </cell>
          <cell r="F36">
            <v>8.9922809674378357</v>
          </cell>
          <cell r="H36">
            <v>0</v>
          </cell>
          <cell r="I36">
            <v>14.797424376796437</v>
          </cell>
          <cell r="J36">
            <v>0</v>
          </cell>
          <cell r="M36">
            <v>1.1261704856473016</v>
          </cell>
          <cell r="N36">
            <v>0.73389877824734639</v>
          </cell>
          <cell r="O36">
            <v>3.7368384296478645</v>
          </cell>
          <cell r="P36">
            <v>2.4352095823661952</v>
          </cell>
          <cell r="Q36">
            <v>4.0439758348244021</v>
          </cell>
          <cell r="S36">
            <v>2.6353637946154715</v>
          </cell>
          <cell r="V36">
            <v>0</v>
          </cell>
          <cell r="W36">
            <v>0</v>
          </cell>
          <cell r="X36">
            <v>6.6546437788249646</v>
          </cell>
          <cell r="Y36">
            <v>4.3366745987343203</v>
          </cell>
          <cell r="Z36">
            <v>0</v>
          </cell>
          <cell r="AA36">
            <v>0</v>
          </cell>
        </row>
        <row r="37">
          <cell r="D37">
            <v>0.153665560835963</v>
          </cell>
          <cell r="E37">
            <v>3.8135129008785356</v>
          </cell>
          <cell r="F37">
            <v>0.54465904340746885</v>
          </cell>
          <cell r="H37">
            <v>0</v>
          </cell>
          <cell r="I37">
            <v>4.5644362885349006</v>
          </cell>
          <cell r="J37">
            <v>0</v>
          </cell>
          <cell r="M37">
            <v>0.15445473002071108</v>
          </cell>
          <cell r="N37">
            <v>8.4565563934569557E-2</v>
          </cell>
          <cell r="O37">
            <v>3.8330976852026257</v>
          </cell>
          <cell r="P37">
            <v>2.0986606711363756</v>
          </cell>
          <cell r="Q37">
            <v>0.54745620974007603</v>
          </cell>
          <cell r="S37">
            <v>0.29973794327919656</v>
          </cell>
          <cell r="V37">
            <v>0</v>
          </cell>
          <cell r="W37">
            <v>0</v>
          </cell>
          <cell r="X37">
            <v>4.5878775361707511</v>
          </cell>
          <cell r="Y37">
            <v>2.5119104546490658</v>
          </cell>
          <cell r="Z37">
            <v>0</v>
          </cell>
          <cell r="AA37">
            <v>0</v>
          </cell>
        </row>
        <row r="38">
          <cell r="D38">
            <v>0.45530536543989192</v>
          </cell>
          <cell r="E38">
            <v>2.3106747296074519</v>
          </cell>
          <cell r="F38">
            <v>0.1</v>
          </cell>
          <cell r="H38">
            <v>1</v>
          </cell>
          <cell r="I38">
            <v>2.5</v>
          </cell>
          <cell r="J38">
            <v>0</v>
          </cell>
          <cell r="M38">
            <v>0.90306153866919725</v>
          </cell>
          <cell r="N38">
            <v>0.59879160594214276</v>
          </cell>
          <cell r="O38">
            <v>4.5830373087461771</v>
          </cell>
          <cell r="P38">
            <v>3.0388674001563754</v>
          </cell>
          <cell r="Q38">
            <v>0.19834194964882682</v>
          </cell>
          <cell r="S38">
            <v>0.13151428720011285</v>
          </cell>
          <cell r="V38">
            <v>1.9834194964882681</v>
          </cell>
          <cell r="W38">
            <v>1.3151428720011284</v>
          </cell>
          <cell r="X38">
            <v>4.9585487412206692</v>
          </cell>
          <cell r="Y38">
            <v>3.2878571800028213</v>
          </cell>
          <cell r="Z38">
            <v>0</v>
          </cell>
          <cell r="AA38">
            <v>0</v>
          </cell>
        </row>
        <row r="39">
          <cell r="D39">
            <v>4.0762172736226612</v>
          </cell>
          <cell r="E39">
            <v>18.248811267466294</v>
          </cell>
          <cell r="F39">
            <v>36.259500442474554</v>
          </cell>
          <cell r="H39">
            <v>1.2663765826177678</v>
          </cell>
          <cell r="I39">
            <v>27.059328688413846</v>
          </cell>
          <cell r="J39">
            <v>0</v>
          </cell>
          <cell r="M39">
            <v>0.7413713160010994</v>
          </cell>
          <cell r="N39">
            <v>0.78237661019202132</v>
          </cell>
          <cell r="O39">
            <v>3.3190441815662601</v>
          </cell>
          <cell r="P39">
            <v>3.5026207243328411</v>
          </cell>
          <cell r="Q39">
            <v>6.594779364322048</v>
          </cell>
          <cell r="S39">
            <v>6.9595370264027405</v>
          </cell>
          <cell r="V39">
            <v>0.23032513003751623</v>
          </cell>
          <cell r="W39">
            <v>0.24306442748928966</v>
          </cell>
          <cell r="X39">
            <v>4.9214771375537669</v>
          </cell>
          <cell r="Y39">
            <v>5.1936843480617467</v>
          </cell>
          <cell r="Z39">
            <v>0</v>
          </cell>
          <cell r="AA39">
            <v>0</v>
          </cell>
        </row>
        <row r="40">
          <cell r="D40">
            <v>3.1894478304486302</v>
          </cell>
          <cell r="E40">
            <v>36.300168907612672</v>
          </cell>
          <cell r="F40">
            <v>0</v>
          </cell>
          <cell r="H40">
            <v>0.85051942145296811</v>
          </cell>
          <cell r="I40">
            <v>44.014380060191094</v>
          </cell>
          <cell r="J40">
            <v>0</v>
          </cell>
          <cell r="M40">
            <v>0.42690484097422365</v>
          </cell>
          <cell r="N40">
            <v>0.53983938356010286</v>
          </cell>
          <cell r="O40">
            <v>4.8587462967412973</v>
          </cell>
          <cell r="P40">
            <v>6.1440919707587174</v>
          </cell>
          <cell r="Q40">
            <v>0</v>
          </cell>
          <cell r="S40">
            <v>0</v>
          </cell>
          <cell r="V40">
            <v>0.11384129092645967</v>
          </cell>
          <cell r="W40">
            <v>0.14395716894936081</v>
          </cell>
          <cell r="X40">
            <v>5.8912868054442864</v>
          </cell>
          <cell r="Y40">
            <v>7.4497834931294191</v>
          </cell>
          <cell r="Z40">
            <v>0</v>
          </cell>
          <cell r="AA40">
            <v>0</v>
          </cell>
        </row>
        <row r="41">
          <cell r="D41">
            <v>2.21544520875785</v>
          </cell>
          <cell r="E41">
            <v>18.520112055661777</v>
          </cell>
          <cell r="F41">
            <v>3.04</v>
          </cell>
          <cell r="H41">
            <v>0</v>
          </cell>
          <cell r="I41">
            <v>0</v>
          </cell>
          <cell r="J41">
            <v>4.5003203243428693</v>
          </cell>
          <cell r="M41">
            <v>0.84572064347813192</v>
          </cell>
          <cell r="N41">
            <v>0.50203989443504105</v>
          </cell>
          <cell r="O41">
            <v>7.0698390657935457</v>
          </cell>
          <cell r="P41">
            <v>4.1968246673826144</v>
          </cell>
          <cell r="Q41">
            <v>1.1604849201461482</v>
          </cell>
          <cell r="S41">
            <v>0.688891457594761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1.7179453527062905</v>
          </cell>
          <cell r="AA41">
            <v>1.0198132328552258</v>
          </cell>
        </row>
        <row r="42">
          <cell r="D42">
            <v>2.9135225289071882</v>
          </cell>
          <cell r="E42">
            <v>8.1465314606639669</v>
          </cell>
          <cell r="F42">
            <v>0.10756165425876577</v>
          </cell>
          <cell r="H42">
            <v>8.5363617861112981</v>
          </cell>
          <cell r="I42">
            <v>6.8750720360846609</v>
          </cell>
          <cell r="J42">
            <v>0</v>
          </cell>
          <cell r="M42">
            <v>0.90649399643883966</v>
          </cell>
          <cell r="N42">
            <v>0.42196275072262579</v>
          </cell>
          <cell r="O42">
            <v>2.5346575451612936</v>
          </cell>
          <cell r="P42">
            <v>1.1798545540265779</v>
          </cell>
          <cell r="Q42">
            <v>3.3466016777008889E-2</v>
          </cell>
          <cell r="S42">
            <v>1.5578054074745292E-2</v>
          </cell>
          <cell r="V42">
            <v>2.6559467564653678</v>
          </cell>
          <cell r="W42">
            <v>1.2363133165069735</v>
          </cell>
          <cell r="X42">
            <v>2.1390641273444655</v>
          </cell>
          <cell r="Y42">
            <v>0.99571027132253231</v>
          </cell>
          <cell r="Z42">
            <v>0</v>
          </cell>
          <cell r="AA42">
            <v>0</v>
          </cell>
        </row>
        <row r="43">
          <cell r="D43">
            <v>0.1953834292316359</v>
          </cell>
          <cell r="E43">
            <v>0.6512780974387864</v>
          </cell>
          <cell r="F43">
            <v>0.40447797630408838</v>
          </cell>
          <cell r="H43">
            <v>0</v>
          </cell>
          <cell r="I43">
            <v>0</v>
          </cell>
          <cell r="J43">
            <v>0</v>
          </cell>
          <cell r="M43">
            <v>0.30347291087426803</v>
          </cell>
          <cell r="N43">
            <v>0.21415757931709736</v>
          </cell>
          <cell r="O43">
            <v>1.0115763695808935</v>
          </cell>
          <cell r="P43">
            <v>0.71385859772365789</v>
          </cell>
          <cell r="Q43">
            <v>0.62824216637129171</v>
          </cell>
          <cell r="S43">
            <v>0.44334376069153497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</row>
        <row r="44">
          <cell r="D44">
            <v>1.7694150329493317</v>
          </cell>
          <cell r="E44">
            <v>4.2281340131456639</v>
          </cell>
          <cell r="F44">
            <v>0</v>
          </cell>
          <cell r="H44">
            <v>0</v>
          </cell>
          <cell r="I44">
            <v>6.6270225953158493</v>
          </cell>
          <cell r="J44">
            <v>0</v>
          </cell>
          <cell r="M44">
            <v>1.2005477809936589</v>
          </cell>
          <cell r="N44">
            <v>0.57098503498505992</v>
          </cell>
          <cell r="O44">
            <v>2.8687881659764316</v>
          </cell>
          <cell r="P44">
            <v>1.3644064295042255</v>
          </cell>
          <cell r="Q44">
            <v>0</v>
          </cell>
          <cell r="S44">
            <v>0</v>
          </cell>
          <cell r="V44">
            <v>0</v>
          </cell>
          <cell r="W44">
            <v>0</v>
          </cell>
          <cell r="X44">
            <v>4.4964336366803703</v>
          </cell>
          <cell r="Y44">
            <v>2.1385207302811238</v>
          </cell>
          <cell r="Z44">
            <v>0</v>
          </cell>
          <cell r="AA44">
            <v>0</v>
          </cell>
        </row>
        <row r="45">
          <cell r="D45">
            <v>2.1654285875212778</v>
          </cell>
          <cell r="E45">
            <v>42.544302837182748</v>
          </cell>
          <cell r="F45">
            <v>0</v>
          </cell>
          <cell r="H45">
            <v>12.737815220713399</v>
          </cell>
          <cell r="I45">
            <v>18.851966526655829</v>
          </cell>
          <cell r="J45">
            <v>0</v>
          </cell>
          <cell r="M45">
            <v>0.37890057335423805</v>
          </cell>
          <cell r="N45">
            <v>0.17816256734720967</v>
          </cell>
          <cell r="O45">
            <v>7.4442818529597359</v>
          </cell>
          <cell r="P45">
            <v>3.5003704408216487</v>
          </cell>
          <cell r="Q45">
            <v>0</v>
          </cell>
          <cell r="S45">
            <v>0</v>
          </cell>
          <cell r="V45">
            <v>2.2288269020837537</v>
          </cell>
          <cell r="W45">
            <v>1.0480151020424098</v>
          </cell>
          <cell r="X45">
            <v>3.2986638150839549</v>
          </cell>
          <cell r="Y45">
            <v>1.5510623510227664</v>
          </cell>
          <cell r="Z45">
            <v>0</v>
          </cell>
          <cell r="AA45">
            <v>0</v>
          </cell>
        </row>
      </sheetData>
      <sheetData sheetId="1">
        <row r="8">
          <cell r="D8">
            <v>13.808448829914081</v>
          </cell>
          <cell r="E8">
            <v>235.91734825908199</v>
          </cell>
          <cell r="F8">
            <v>0</v>
          </cell>
          <cell r="H8">
            <v>10.356336622435562</v>
          </cell>
          <cell r="I8">
            <v>13.808448829914079</v>
          </cell>
          <cell r="J8">
            <v>0</v>
          </cell>
          <cell r="M8">
            <v>0.92378210240752034</v>
          </cell>
          <cell r="N8">
            <v>1.1258273038092899</v>
          </cell>
          <cell r="O8">
            <v>15.782817219632481</v>
          </cell>
          <cell r="P8">
            <v>19.234759485581712</v>
          </cell>
          <cell r="Q8">
            <v>0</v>
          </cell>
          <cell r="R8">
            <v>0</v>
          </cell>
          <cell r="U8">
            <v>0.69283657680564037</v>
          </cell>
          <cell r="V8">
            <v>0.84437047785696751</v>
          </cell>
          <cell r="W8">
            <v>0.92378210240752023</v>
          </cell>
          <cell r="X8">
            <v>1.1258273038092899</v>
          </cell>
          <cell r="Y8">
            <v>0</v>
          </cell>
          <cell r="Z8">
            <v>0</v>
          </cell>
        </row>
        <row r="9">
          <cell r="D9">
            <v>45.632388666474455</v>
          </cell>
          <cell r="E9">
            <v>216.15734435311998</v>
          </cell>
          <cell r="F9">
            <v>68.027303732528338</v>
          </cell>
          <cell r="H9">
            <v>3.8772617821187447</v>
          </cell>
          <cell r="I9">
            <v>61.066873068370228</v>
          </cell>
          <cell r="J9">
            <v>0</v>
          </cell>
          <cell r="M9">
            <v>2.689629362624844</v>
          </cell>
          <cell r="N9">
            <v>2.6476763764690205</v>
          </cell>
          <cell r="O9">
            <v>12.740580918708206</v>
          </cell>
          <cell r="P9">
            <v>12.541852639515833</v>
          </cell>
          <cell r="Q9">
            <v>4.0096133234776588</v>
          </cell>
          <cell r="R9">
            <v>3.9470711551820608</v>
          </cell>
          <cell r="U9">
            <v>0.22853059943871226</v>
          </cell>
          <cell r="V9">
            <v>0.22496596662808674</v>
          </cell>
          <cell r="W9">
            <v>3.5993569411597175</v>
          </cell>
          <cell r="X9">
            <v>3.5432139743923661</v>
          </cell>
          <cell r="Y9">
            <v>0</v>
          </cell>
          <cell r="Z9">
            <v>0</v>
          </cell>
        </row>
        <row r="10">
          <cell r="D10">
            <v>38.633570180174964</v>
          </cell>
          <cell r="E10">
            <v>214.25106766586705</v>
          </cell>
          <cell r="F10">
            <v>79.204517036051911</v>
          </cell>
          <cell r="H10">
            <v>18.006206750642018</v>
          </cell>
          <cell r="I10">
            <v>381.20735177783257</v>
          </cell>
          <cell r="J10">
            <v>0</v>
          </cell>
          <cell r="M10">
            <v>1.4763598993442799</v>
          </cell>
          <cell r="N10">
            <v>1.3289429243793252</v>
          </cell>
          <cell r="O10">
            <v>8.1874826276319954</v>
          </cell>
          <cell r="P10">
            <v>7.3699489611596798</v>
          </cell>
          <cell r="Q10">
            <v>3.0267555458533173</v>
          </cell>
          <cell r="R10">
            <v>2.7245290042584984</v>
          </cell>
          <cell r="U10">
            <v>0.68809694423715706</v>
          </cell>
          <cell r="V10">
            <v>0.61938932758682408</v>
          </cell>
          <cell r="W10">
            <v>14.567622015653733</v>
          </cell>
          <cell r="X10">
            <v>13.113020890999536</v>
          </cell>
          <cell r="Y10">
            <v>0</v>
          </cell>
          <cell r="Z10">
            <v>0</v>
          </cell>
        </row>
        <row r="11">
          <cell r="D11">
            <v>69.618193420619164</v>
          </cell>
          <cell r="E11">
            <v>519.28324600625774</v>
          </cell>
          <cell r="F11">
            <v>0</v>
          </cell>
          <cell r="H11">
            <v>114.12818593544125</v>
          </cell>
          <cell r="I11">
            <v>943.84009768609917</v>
          </cell>
          <cell r="J11">
            <v>0</v>
          </cell>
          <cell r="M11">
            <v>1.9352808465074884</v>
          </cell>
          <cell r="N11">
            <v>1.6727966047922489</v>
          </cell>
          <cell r="O11">
            <v>14.435291560014873</v>
          </cell>
          <cell r="P11">
            <v>12.477417298040546</v>
          </cell>
          <cell r="Q11">
            <v>0</v>
          </cell>
          <cell r="R11">
            <v>0</v>
          </cell>
          <cell r="U11">
            <v>3.1725915516516197</v>
          </cell>
          <cell r="V11">
            <v>2.7422895160528671</v>
          </cell>
          <cell r="W11">
            <v>26.237332132158897</v>
          </cell>
          <cell r="X11">
            <v>22.678734297757213</v>
          </cell>
          <cell r="Y11">
            <v>0</v>
          </cell>
          <cell r="Z11">
            <v>0</v>
          </cell>
        </row>
        <row r="12">
          <cell r="D12">
            <v>22.825637187088251</v>
          </cell>
          <cell r="E12">
            <v>182.60509749670601</v>
          </cell>
          <cell r="F12">
            <v>7.9889730154808873</v>
          </cell>
          <cell r="H12">
            <v>3.7091660429018405</v>
          </cell>
          <cell r="I12">
            <v>660.80219656620488</v>
          </cell>
          <cell r="J12">
            <v>0</v>
          </cell>
          <cell r="M12">
            <v>1.1899771416204958</v>
          </cell>
          <cell r="N12">
            <v>0.97643108857218652</v>
          </cell>
          <cell r="O12">
            <v>9.5198171329639667</v>
          </cell>
          <cell r="P12">
            <v>7.8114487085774922</v>
          </cell>
          <cell r="Q12">
            <v>0.41649199956717348</v>
          </cell>
          <cell r="R12">
            <v>0.34175088100026529</v>
          </cell>
          <cell r="U12">
            <v>0.19337128551333052</v>
          </cell>
          <cell r="V12">
            <v>0.15867005189298031</v>
          </cell>
          <cell r="W12">
            <v>34.449838249913348</v>
          </cell>
          <cell r="X12">
            <v>28.267680014164803</v>
          </cell>
          <cell r="Y12">
            <v>0</v>
          </cell>
          <cell r="Z12">
            <v>0</v>
          </cell>
        </row>
        <row r="13">
          <cell r="D13">
            <v>104.89387795001592</v>
          </cell>
          <cell r="E13">
            <v>738.93990805859426</v>
          </cell>
          <cell r="F13">
            <v>27.16002196920055</v>
          </cell>
          <cell r="H13">
            <v>0</v>
          </cell>
          <cell r="I13">
            <v>147.0387396263616</v>
          </cell>
          <cell r="J13">
            <v>1282.1403474426052</v>
          </cell>
          <cell r="M13">
            <v>2.2981208489693707</v>
          </cell>
          <cell r="N13">
            <v>1.9698927492087519</v>
          </cell>
          <cell r="O13">
            <v>16.18944062354316</v>
          </cell>
          <cell r="P13">
            <v>13.877190885050938</v>
          </cell>
          <cell r="Q13">
            <v>0.59504914839385492</v>
          </cell>
          <cell r="R13">
            <v>0.51006151542012323</v>
          </cell>
          <cell r="U13">
            <v>0</v>
          </cell>
          <cell r="V13">
            <v>0</v>
          </cell>
          <cell r="W13">
            <v>3.2214729757874219</v>
          </cell>
          <cell r="X13">
            <v>2.7613675145158392</v>
          </cell>
          <cell r="Y13">
            <v>28.090423591420254</v>
          </cell>
          <cell r="Z13">
            <v>24.078421193453401</v>
          </cell>
        </row>
        <row r="14">
          <cell r="D14">
            <v>11.949099791303487</v>
          </cell>
          <cell r="E14">
            <v>92.880945895522146</v>
          </cell>
          <cell r="F14">
            <v>27.965978234965611</v>
          </cell>
          <cell r="H14">
            <v>0</v>
          </cell>
          <cell r="I14">
            <v>60.08448051088066</v>
          </cell>
          <cell r="J14">
            <v>105.93173573850609</v>
          </cell>
          <cell r="M14">
            <v>0.72942782800638739</v>
          </cell>
          <cell r="N14">
            <v>0.55408673921880169</v>
          </cell>
          <cell r="O14">
            <v>5.6698787198226999</v>
          </cell>
          <cell r="P14">
            <v>4.3069437318000476</v>
          </cell>
          <cell r="Q14">
            <v>1.7071715123553752</v>
          </cell>
          <cell r="R14">
            <v>1.2967987513631529</v>
          </cell>
          <cell r="U14">
            <v>0</v>
          </cell>
          <cell r="V14">
            <v>0</v>
          </cell>
          <cell r="W14">
            <v>3.6678321280604878</v>
          </cell>
          <cell r="X14">
            <v>2.7861524688378045</v>
          </cell>
          <cell r="Y14">
            <v>6.4665587589218756</v>
          </cell>
          <cell r="Z14">
            <v>4.9121164824361854</v>
          </cell>
        </row>
        <row r="15">
          <cell r="D15">
            <v>21.924024518198266</v>
          </cell>
          <cell r="E15">
            <v>85.527662540019676</v>
          </cell>
          <cell r="F15">
            <v>5.1357683670948562E-2</v>
          </cell>
          <cell r="H15">
            <v>0.72927910812746966</v>
          </cell>
          <cell r="I15">
            <v>171.87704801877453</v>
          </cell>
          <cell r="J15">
            <v>11.412818593544126</v>
          </cell>
          <cell r="M15">
            <v>1.6559950390712168</v>
          </cell>
          <cell r="N15">
            <v>1.220355498699452</v>
          </cell>
          <cell r="O15">
            <v>6.4601909540862561</v>
          </cell>
          <cell r="P15">
            <v>4.7607205139269606</v>
          </cell>
          <cell r="Q15">
            <v>3.8792179468092008E-3</v>
          </cell>
          <cell r="R15">
            <v>2.8587192837832031E-3</v>
          </cell>
          <cell r="U15">
            <v>5.508489484469066E-2</v>
          </cell>
          <cell r="V15">
            <v>4.0593813829721485E-2</v>
          </cell>
          <cell r="W15">
            <v>12.98244939532146</v>
          </cell>
          <cell r="X15">
            <v>9.5671805363944546</v>
          </cell>
          <cell r="Y15">
            <v>0.862048432624267</v>
          </cell>
          <cell r="Z15">
            <v>0.63527095195182293</v>
          </cell>
        </row>
        <row r="16">
          <cell r="D16">
            <v>130.8627342062542</v>
          </cell>
          <cell r="E16">
            <v>391.30523463634825</v>
          </cell>
          <cell r="F16">
            <v>16.03709978017821</v>
          </cell>
          <cell r="H16">
            <v>1.3214570218866846</v>
          </cell>
          <cell r="I16">
            <v>451.60472980981842</v>
          </cell>
          <cell r="J16">
            <v>0</v>
          </cell>
          <cell r="M16">
            <v>4.1446514463100499</v>
          </cell>
          <cell r="N16">
            <v>4.4481051325148693</v>
          </cell>
          <cell r="O16">
            <v>12.393320501221226</v>
          </cell>
          <cell r="P16">
            <v>13.300706523696421</v>
          </cell>
          <cell r="Q16">
            <v>0.50792297136152575</v>
          </cell>
          <cell r="R16">
            <v>0.54511092310231246</v>
          </cell>
          <cell r="U16">
            <v>4.1852852840189719E-2</v>
          </cell>
          <cell r="V16">
            <v>4.4917140063630547E-2</v>
          </cell>
          <cell r="W16">
            <v>14.303110873540565</v>
          </cell>
          <cell r="X16">
            <v>15.350323594561118</v>
          </cell>
          <cell r="Y16">
            <v>0</v>
          </cell>
          <cell r="Z16">
            <v>0</v>
          </cell>
        </row>
        <row r="17">
          <cell r="D17">
            <v>687.3</v>
          </cell>
          <cell r="E17">
            <v>4641</v>
          </cell>
          <cell r="F17">
            <v>17.98</v>
          </cell>
          <cell r="H17">
            <v>56</v>
          </cell>
          <cell r="I17">
            <v>454</v>
          </cell>
          <cell r="J17">
            <v>0</v>
          </cell>
          <cell r="M17">
            <v>3.4487473299854492</v>
          </cell>
          <cell r="N17">
            <v>3.4409364187371332</v>
          </cell>
          <cell r="O17">
            <v>23.287700216008254</v>
          </cell>
          <cell r="P17">
            <v>23.234956961092735</v>
          </cell>
          <cell r="Q17">
            <v>9.0220394286539191E-2</v>
          </cell>
          <cell r="R17">
            <v>9.0016058211688718E-2</v>
          </cell>
          <cell r="U17">
            <v>0.28099789099255812</v>
          </cell>
          <cell r="V17">
            <v>0.28036147162706165</v>
          </cell>
          <cell r="W17">
            <v>2.2780900448325245</v>
          </cell>
          <cell r="X17">
            <v>2.2729305021193928</v>
          </cell>
          <cell r="Y17">
            <v>0</v>
          </cell>
          <cell r="Z17">
            <v>0</v>
          </cell>
        </row>
        <row r="18">
          <cell r="E18">
            <v>2.2247450134256517</v>
          </cell>
          <cell r="F18">
            <v>4.2819360091037648</v>
          </cell>
          <cell r="H18">
            <v>0.89362142798687272</v>
          </cell>
          <cell r="I18">
            <v>0.27925669624589772</v>
          </cell>
          <cell r="J18">
            <v>12.240751852111851</v>
          </cell>
          <cell r="M18">
            <v>0.37550015197222009</v>
          </cell>
          <cell r="N18">
            <v>0.20167445943375639</v>
          </cell>
          <cell r="O18">
            <v>0.17392352000263681</v>
          </cell>
          <cell r="P18">
            <v>9.3411232179588716E-2</v>
          </cell>
          <cell r="Q18">
            <v>0.33474819749461476</v>
          </cell>
          <cell r="R18">
            <v>0.17978730879753479</v>
          </cell>
          <cell r="U18">
            <v>6.9860493390180481E-2</v>
          </cell>
          <cell r="V18">
            <v>3.7520829662094218E-2</v>
          </cell>
          <cell r="W18">
            <v>2.1831404184431399E-2</v>
          </cell>
          <cell r="X18">
            <v>1.1725259269404443E-2</v>
          </cell>
          <cell r="Y18">
            <v>0.95694321675090976</v>
          </cell>
          <cell r="Z18">
            <v>0.51395719797556139</v>
          </cell>
        </row>
        <row r="19">
          <cell r="D19">
            <v>2.7673372045961901</v>
          </cell>
          <cell r="E19">
            <v>22.466784006386597</v>
          </cell>
          <cell r="F19">
            <v>10.01376658570374</v>
          </cell>
          <cell r="H19">
            <v>2.995571200851546</v>
          </cell>
          <cell r="I19">
            <v>45.932091746390377</v>
          </cell>
          <cell r="J19">
            <v>20.426942664854352</v>
          </cell>
          <cell r="M19">
            <v>0.27755151171323378</v>
          </cell>
          <cell r="N19">
            <v>0.1185772937153942</v>
          </cell>
          <cell r="O19">
            <v>2.2533176853007384</v>
          </cell>
          <cell r="P19">
            <v>0.96267648248322613</v>
          </cell>
          <cell r="Q19">
            <v>1.0043358825911861</v>
          </cell>
          <cell r="R19">
            <v>0.42907866076395218</v>
          </cell>
          <cell r="U19">
            <v>0.30044235804009845</v>
          </cell>
          <cell r="V19">
            <v>0.1283568643310968</v>
          </cell>
          <cell r="W19">
            <v>4.6067828232815096</v>
          </cell>
          <cell r="X19">
            <v>1.9681385864101513</v>
          </cell>
          <cell r="Y19">
            <v>2.0487307462543853</v>
          </cell>
          <cell r="Z19">
            <v>0.87527157010538392</v>
          </cell>
        </row>
        <row r="20">
          <cell r="D20">
            <v>7.6465884576745644</v>
          </cell>
          <cell r="E20">
            <v>58.091246641139598</v>
          </cell>
          <cell r="F20">
            <v>0</v>
          </cell>
          <cell r="H20">
            <v>0</v>
          </cell>
          <cell r="I20">
            <v>12.211715895092214</v>
          </cell>
          <cell r="J20">
            <v>0</v>
          </cell>
          <cell r="M20">
            <v>1.8472271897517958</v>
          </cell>
          <cell r="N20">
            <v>1.6317972977023274</v>
          </cell>
          <cell r="O20">
            <v>14.033412531099462</v>
          </cell>
          <cell r="P20">
            <v>12.396788425828129</v>
          </cell>
          <cell r="Q20">
            <v>0</v>
          </cell>
          <cell r="R20">
            <v>0</v>
          </cell>
          <cell r="U20">
            <v>0</v>
          </cell>
          <cell r="V20">
            <v>0</v>
          </cell>
          <cell r="W20">
            <v>2.9500493925886886</v>
          </cell>
          <cell r="X20">
            <v>2.6060046396141643</v>
          </cell>
          <cell r="Y20">
            <v>0</v>
          </cell>
          <cell r="Z20">
            <v>0</v>
          </cell>
        </row>
        <row r="21">
          <cell r="D21">
            <v>10.95630584980236</v>
          </cell>
          <cell r="E21">
            <v>31.156994760375461</v>
          </cell>
          <cell r="F21">
            <v>14.722535985671922</v>
          </cell>
          <cell r="H21">
            <v>1.8260509749670601</v>
          </cell>
          <cell r="I21">
            <v>59.346656686429448</v>
          </cell>
          <cell r="J21">
            <v>0</v>
          </cell>
          <cell r="M21">
            <v>2.2126910025490196</v>
          </cell>
          <cell r="N21">
            <v>1.9729646002017747</v>
          </cell>
          <cell r="O21">
            <v>6.2923400384987751</v>
          </cell>
          <cell r="P21">
            <v>5.6106180818237972</v>
          </cell>
          <cell r="Q21">
            <v>2.973303534675245</v>
          </cell>
          <cell r="R21">
            <v>2.6511711815211347</v>
          </cell>
          <cell r="U21">
            <v>0.36878183375816997</v>
          </cell>
          <cell r="V21">
            <v>0.32882743336696246</v>
          </cell>
          <cell r="W21">
            <v>11.985409597140523</v>
          </cell>
          <cell r="X21">
            <v>10.686891584426279</v>
          </cell>
          <cell r="Y21">
            <v>0</v>
          </cell>
          <cell r="Z21">
            <v>0</v>
          </cell>
        </row>
        <row r="22">
          <cell r="D22">
            <v>6.3937269094473352</v>
          </cell>
          <cell r="E22">
            <v>16.156654926164087</v>
          </cell>
          <cell r="F22">
            <v>0.61610710785105727</v>
          </cell>
          <cell r="H22">
            <v>3.8775971822793812E-2</v>
          </cell>
          <cell r="I22">
            <v>37.931517325319632</v>
          </cell>
          <cell r="J22">
            <v>0</v>
          </cell>
          <cell r="M22">
            <v>2.9649956426246544</v>
          </cell>
          <cell r="N22">
            <v>1.5694137440138884</v>
          </cell>
          <cell r="O22">
            <v>7.4924081265784732</v>
          </cell>
          <cell r="P22">
            <v>3.9658366172857686</v>
          </cell>
          <cell r="Q22">
            <v>0.28571049656019243</v>
          </cell>
          <cell r="R22">
            <v>0.15123056967249734</v>
          </cell>
          <cell r="U22">
            <v>1.7981779503788334E-2</v>
          </cell>
          <cell r="V22">
            <v>9.5180078814858463E-3</v>
          </cell>
          <cell r="W22">
            <v>17.590176305705832</v>
          </cell>
          <cell r="X22">
            <v>9.3107268209557095</v>
          </cell>
          <cell r="Y22">
            <v>0</v>
          </cell>
          <cell r="Z22">
            <v>0</v>
          </cell>
        </row>
        <row r="23">
          <cell r="D23">
            <v>0</v>
          </cell>
          <cell r="E23">
            <v>12.151964295383831</v>
          </cell>
          <cell r="F23">
            <v>48.730141098973149</v>
          </cell>
          <cell r="H23">
            <v>43.105080896833208</v>
          </cell>
          <cell r="I23">
            <v>12.56467251673649</v>
          </cell>
          <cell r="J23">
            <v>0</v>
          </cell>
          <cell r="M23">
            <v>0</v>
          </cell>
          <cell r="N23">
            <v>0</v>
          </cell>
          <cell r="O23">
            <v>3.6535993308298735</v>
          </cell>
          <cell r="P23">
            <v>3.9065858319656011</v>
          </cell>
          <cell r="Q23">
            <v>14.651163102749228</v>
          </cell>
          <cell r="R23">
            <v>15.665654883404198</v>
          </cell>
          <cell r="U23">
            <v>12.959937248981438</v>
          </cell>
          <cell r="V23">
            <v>13.857323328481755</v>
          </cell>
          <cell r="W23">
            <v>3.7776838364052283</v>
          </cell>
          <cell r="X23">
            <v>4.0392623319191499</v>
          </cell>
          <cell r="Y23">
            <v>0</v>
          </cell>
          <cell r="Z23">
            <v>0</v>
          </cell>
        </row>
        <row r="24">
          <cell r="D24">
            <v>0.435</v>
          </cell>
          <cell r="E24">
            <v>1.1520999999999999</v>
          </cell>
          <cell r="F24">
            <v>0</v>
          </cell>
          <cell r="H24">
            <v>1.0269999999999999</v>
          </cell>
          <cell r="I24">
            <v>0.35</v>
          </cell>
          <cell r="J24">
            <v>0</v>
          </cell>
          <cell r="M24">
            <v>1.6173613915911</v>
          </cell>
          <cell r="N24">
            <v>0.94747353073112039</v>
          </cell>
          <cell r="O24">
            <v>4.2835909408094395</v>
          </cell>
          <cell r="P24">
            <v>2.5093890913915486</v>
          </cell>
          <cell r="Q24">
            <v>0</v>
          </cell>
          <cell r="R24">
            <v>0</v>
          </cell>
          <cell r="U24">
            <v>3.8184601130208264</v>
          </cell>
          <cell r="V24">
            <v>2.236908772553702</v>
          </cell>
          <cell r="W24">
            <v>1.3013252576020344</v>
          </cell>
          <cell r="X24">
            <v>0.76233502472618875</v>
          </cell>
          <cell r="Y24">
            <v>0</v>
          </cell>
          <cell r="Z24">
            <v>0</v>
          </cell>
        </row>
        <row r="25">
          <cell r="D25">
            <v>4.6792556233530913</v>
          </cell>
          <cell r="E25">
            <v>8.2172293873517699</v>
          </cell>
          <cell r="F25">
            <v>0.57064092967720625</v>
          </cell>
          <cell r="H25">
            <v>1.3695382312252951</v>
          </cell>
          <cell r="I25">
            <v>13.923638684123832</v>
          </cell>
          <cell r="J25">
            <v>4.56512743741765</v>
          </cell>
          <cell r="M25">
            <v>1.8368451033747866</v>
          </cell>
          <cell r="N25">
            <v>1.8427902083607597</v>
          </cell>
          <cell r="O25">
            <v>3.2256792059264545</v>
          </cell>
          <cell r="P25">
            <v>3.2361193902920657</v>
          </cell>
          <cell r="Q25">
            <v>0.22400550041155937</v>
          </cell>
          <cell r="R25">
            <v>0.22473051321472678</v>
          </cell>
          <cell r="U25">
            <v>0.53761320098774246</v>
          </cell>
          <cell r="V25">
            <v>0.53935323171534433</v>
          </cell>
          <cell r="W25">
            <v>5.4657342100420481</v>
          </cell>
          <cell r="X25">
            <v>5.483424522439333</v>
          </cell>
          <cell r="Y25">
            <v>1.7920440032924749</v>
          </cell>
          <cell r="Z25">
            <v>1.7978441057178143</v>
          </cell>
        </row>
        <row r="26">
          <cell r="D26">
            <v>1.55</v>
          </cell>
          <cell r="E26">
            <v>31.547173921277963</v>
          </cell>
          <cell r="F26">
            <v>1.9401791609025012</v>
          </cell>
          <cell r="H26">
            <v>3.7662301358695611</v>
          </cell>
          <cell r="I26">
            <v>3.1955892061923548</v>
          </cell>
          <cell r="J26">
            <v>0</v>
          </cell>
          <cell r="M26">
            <v>0.76016534219898391</v>
          </cell>
          <cell r="N26">
            <v>0.51401989722260888</v>
          </cell>
          <cell r="O26">
            <v>15.471656941470401</v>
          </cell>
          <cell r="P26">
            <v>10.461854901083269</v>
          </cell>
          <cell r="Q26">
            <v>0.95152061662889498</v>
          </cell>
          <cell r="R26">
            <v>0.64341335024551694</v>
          </cell>
          <cell r="U26">
            <v>1.8470694322796195</v>
          </cell>
          <cell r="V26">
            <v>1.2489788563589448</v>
          </cell>
          <cell r="W26">
            <v>1.5672104273887679</v>
          </cell>
          <cell r="X26">
            <v>1.0597396356984985</v>
          </cell>
          <cell r="Y26">
            <v>0</v>
          </cell>
          <cell r="Z26">
            <v>0</v>
          </cell>
        </row>
        <row r="27">
          <cell r="D27">
            <v>0.12491350018021706</v>
          </cell>
          <cell r="E27">
            <v>2.0793120734657271</v>
          </cell>
          <cell r="F27">
            <v>7.5320270858253366E-2</v>
          </cell>
          <cell r="H27">
            <v>0</v>
          </cell>
          <cell r="I27">
            <v>0.23482202091102522</v>
          </cell>
          <cell r="J27">
            <v>0</v>
          </cell>
          <cell r="M27">
            <v>0.60257357077145135</v>
          </cell>
          <cell r="N27">
            <v>0.65505566428296547</v>
          </cell>
          <cell r="O27">
            <v>10.030449063141898</v>
          </cell>
          <cell r="P27">
            <v>10.904066810797739</v>
          </cell>
          <cell r="Q27">
            <v>0.3633394668874913</v>
          </cell>
          <cell r="R27">
            <v>0.39498508960074769</v>
          </cell>
          <cell r="U27">
            <v>0</v>
          </cell>
          <cell r="V27">
            <v>0</v>
          </cell>
          <cell r="W27">
            <v>1.1327642202962966</v>
          </cell>
          <cell r="X27">
            <v>1.2314241028729194</v>
          </cell>
          <cell r="Y27">
            <v>0</v>
          </cell>
          <cell r="Z27">
            <v>0</v>
          </cell>
        </row>
        <row r="28">
          <cell r="D28">
            <v>5.1357683670948564</v>
          </cell>
          <cell r="E28">
            <v>44.007828496706153</v>
          </cell>
          <cell r="F28">
            <v>3.309717392127796</v>
          </cell>
          <cell r="H28">
            <v>5.7064092967720628</v>
          </cell>
          <cell r="I28">
            <v>5.7064092967720628</v>
          </cell>
          <cell r="J28">
            <v>0</v>
          </cell>
          <cell r="M28">
            <v>1.3825653269533307</v>
          </cell>
          <cell r="N28">
            <v>1.2289739033266058</v>
          </cell>
          <cell r="O28">
            <v>11.847048668293429</v>
          </cell>
          <cell r="P28">
            <v>10.530940824949763</v>
          </cell>
          <cell r="Q28">
            <v>0.89098654403659061</v>
          </cell>
          <cell r="R28">
            <v>0.79200540436603495</v>
          </cell>
          <cell r="U28">
            <v>1.5361836966148119</v>
          </cell>
          <cell r="V28">
            <v>1.3655265592517845</v>
          </cell>
          <cell r="W28">
            <v>1.5361836966148119</v>
          </cell>
          <cell r="X28">
            <v>1.3655265592517845</v>
          </cell>
          <cell r="Y28">
            <v>0</v>
          </cell>
          <cell r="Z28">
            <v>0</v>
          </cell>
        </row>
        <row r="29">
          <cell r="D29">
            <v>9.4</v>
          </cell>
          <cell r="E29">
            <v>33.5</v>
          </cell>
          <cell r="F29">
            <v>2.1</v>
          </cell>
          <cell r="H29">
            <v>2</v>
          </cell>
          <cell r="I29">
            <v>13.3</v>
          </cell>
          <cell r="J29">
            <v>0</v>
          </cell>
          <cell r="M29">
            <v>2.6223270023151333</v>
          </cell>
          <cell r="N29">
            <v>2.7453534875322507</v>
          </cell>
          <cell r="O29">
            <v>9.3455270827188262</v>
          </cell>
          <cell r="P29">
            <v>9.7839725353542981</v>
          </cell>
          <cell r="Q29">
            <v>0.5858390111555084</v>
          </cell>
          <cell r="R29">
            <v>0.61332365146997092</v>
          </cell>
          <cell r="U29">
            <v>0.55794191538619853</v>
          </cell>
          <cell r="V29">
            <v>0.58411776330473419</v>
          </cell>
          <cell r="W29">
            <v>3.71031373731822</v>
          </cell>
          <cell r="X29">
            <v>3.8843831259764823</v>
          </cell>
          <cell r="Y29">
            <v>0</v>
          </cell>
          <cell r="Z29">
            <v>0</v>
          </cell>
        </row>
        <row r="30">
          <cell r="D30">
            <v>0.67911263411214207</v>
          </cell>
          <cell r="E30">
            <v>2.8695942283954139</v>
          </cell>
          <cell r="F30">
            <v>0</v>
          </cell>
          <cell r="H30">
            <v>0.26782693301943822</v>
          </cell>
          <cell r="I30">
            <v>0.4017403995291573</v>
          </cell>
          <cell r="J30">
            <v>0</v>
          </cell>
          <cell r="M30">
            <v>2.2516939274878407</v>
          </cell>
          <cell r="N30">
            <v>1.2253354404729446</v>
          </cell>
          <cell r="O30">
            <v>9.5145452666768229</v>
          </cell>
          <cell r="P30">
            <v>5.1776617474162334</v>
          </cell>
          <cell r="Q30">
            <v>0</v>
          </cell>
          <cell r="R30">
            <v>0</v>
          </cell>
          <cell r="U30">
            <v>0.88801805238978604</v>
          </cell>
          <cell r="V30">
            <v>0.48324507078408896</v>
          </cell>
          <cell r="W30">
            <v>1.3320270785846788</v>
          </cell>
          <cell r="X30">
            <v>0.72486760617613333</v>
          </cell>
          <cell r="Y30">
            <v>0</v>
          </cell>
          <cell r="Z30">
            <v>0</v>
          </cell>
        </row>
        <row r="31">
          <cell r="D31">
            <v>1.1000000000000001</v>
          </cell>
          <cell r="E31">
            <v>3.3000000000000003</v>
          </cell>
          <cell r="F31">
            <v>1.6</v>
          </cell>
          <cell r="H31">
            <v>0.43368710655467674</v>
          </cell>
          <cell r="I31">
            <v>1.1412818593544125</v>
          </cell>
          <cell r="J31">
            <v>0</v>
          </cell>
          <cell r="M31">
            <v>2.2813640028214208</v>
          </cell>
          <cell r="N31">
            <v>1.1324320225037374</v>
          </cell>
          <cell r="O31">
            <v>6.8440920084642629</v>
          </cell>
          <cell r="P31">
            <v>3.397296067511212</v>
          </cell>
          <cell r="Q31">
            <v>3.3183476404675214</v>
          </cell>
          <cell r="R31">
            <v>1.6471738509145271</v>
          </cell>
          <cell r="U31">
            <v>0.89945286671056124</v>
          </cell>
          <cell r="V31">
            <v>0.44647378837227858</v>
          </cell>
          <cell r="W31">
            <v>2.3669812281856872</v>
          </cell>
          <cell r="X31">
            <v>1.1749310220323121</v>
          </cell>
          <cell r="Y31">
            <v>0</v>
          </cell>
          <cell r="Z31">
            <v>0</v>
          </cell>
        </row>
        <row r="32">
          <cell r="D32">
            <v>0.34238455780632376</v>
          </cell>
          <cell r="E32">
            <v>2.7390764624505901</v>
          </cell>
          <cell r="F32">
            <v>5.2384837344367536</v>
          </cell>
          <cell r="H32">
            <v>0.45651274374176504</v>
          </cell>
          <cell r="I32">
            <v>2.8532046483860314</v>
          </cell>
          <cell r="J32">
            <v>1.0157408548254272</v>
          </cell>
          <cell r="M32">
            <v>0.51441922986031974</v>
          </cell>
          <cell r="N32">
            <v>0.51607864818606852</v>
          </cell>
          <cell r="O32">
            <v>4.1153538388825579</v>
          </cell>
          <cell r="P32">
            <v>4.1286291854885482</v>
          </cell>
          <cell r="Q32">
            <v>7.870614216862891</v>
          </cell>
          <cell r="R32">
            <v>7.8960033172468469</v>
          </cell>
          <cell r="U32">
            <v>0.68589230648042632</v>
          </cell>
          <cell r="V32">
            <v>0.68810486424809125</v>
          </cell>
          <cell r="W32">
            <v>4.2868269155026644</v>
          </cell>
          <cell r="X32">
            <v>4.3006554015505705</v>
          </cell>
          <cell r="Y32">
            <v>1.5261103819189485</v>
          </cell>
          <cell r="Z32">
            <v>1.531033322952003</v>
          </cell>
        </row>
        <row r="33">
          <cell r="D33">
            <v>18.94527886528325</v>
          </cell>
          <cell r="E33">
            <v>74.982218159584903</v>
          </cell>
          <cell r="F33">
            <v>13.124741382575744</v>
          </cell>
          <cell r="H33">
            <v>0</v>
          </cell>
          <cell r="I33">
            <v>39.716608705533552</v>
          </cell>
          <cell r="J33">
            <v>0</v>
          </cell>
          <cell r="M33">
            <v>2.2547181436843853</v>
          </cell>
          <cell r="N33">
            <v>2.0317950794458048</v>
          </cell>
          <cell r="O33">
            <v>8.9237940987990427</v>
          </cell>
          <cell r="P33">
            <v>8.0415022120234561</v>
          </cell>
          <cell r="Q33">
            <v>1.562003533275327</v>
          </cell>
          <cell r="R33">
            <v>1.4075688803389612</v>
          </cell>
          <cell r="U33">
            <v>0</v>
          </cell>
          <cell r="V33">
            <v>0</v>
          </cell>
          <cell r="W33">
            <v>4.7267585180853366</v>
          </cell>
          <cell r="X33">
            <v>4.2594258291996381</v>
          </cell>
          <cell r="Y33">
            <v>0</v>
          </cell>
          <cell r="Z33">
            <v>0</v>
          </cell>
        </row>
        <row r="34">
          <cell r="D34">
            <v>3.3151095268037039</v>
          </cell>
          <cell r="E34">
            <v>37.051224123100226</v>
          </cell>
          <cell r="F34">
            <v>0</v>
          </cell>
          <cell r="H34">
            <v>2.2100730178691359</v>
          </cell>
          <cell r="I34">
            <v>1.8850622799472043</v>
          </cell>
          <cell r="J34">
            <v>0</v>
          </cell>
          <cell r="M34">
            <v>1.6335490454881987</v>
          </cell>
          <cell r="N34">
            <v>1.7090501091684438</v>
          </cell>
          <cell r="O34">
            <v>18.257312861338697</v>
          </cell>
          <cell r="P34">
            <v>19.101148278941434</v>
          </cell>
          <cell r="Q34">
            <v>0</v>
          </cell>
          <cell r="R34">
            <v>0</v>
          </cell>
          <cell r="U34">
            <v>1.0890326969921327</v>
          </cell>
          <cell r="V34">
            <v>1.1393667394456293</v>
          </cell>
          <cell r="W34">
            <v>0.92888082978740716</v>
          </cell>
          <cell r="X34">
            <v>0.97181280717421326</v>
          </cell>
          <cell r="Y34">
            <v>0</v>
          </cell>
          <cell r="Z34">
            <v>0</v>
          </cell>
        </row>
        <row r="35">
          <cell r="D35">
            <v>2.6232409947782966</v>
          </cell>
          <cell r="E35">
            <v>21.293919815912897</v>
          </cell>
          <cell r="F35">
            <v>0</v>
          </cell>
          <cell r="H35">
            <v>6.3191432870165452</v>
          </cell>
          <cell r="I35">
            <v>8.2839189308788317</v>
          </cell>
          <cell r="J35">
            <v>0</v>
          </cell>
          <cell r="M35">
            <v>0.63942602236134116</v>
          </cell>
          <cell r="N35">
            <v>0.79382875372148565</v>
          </cell>
          <cell r="O35">
            <v>5.190482489208458</v>
          </cell>
          <cell r="P35">
            <v>6.4438325959982956</v>
          </cell>
          <cell r="Q35">
            <v>0</v>
          </cell>
          <cell r="R35">
            <v>0</v>
          </cell>
          <cell r="U35">
            <v>1.5403177461740809</v>
          </cell>
          <cell r="V35">
            <v>1.9122595484383971</v>
          </cell>
          <cell r="W35">
            <v>2.0192400706147615</v>
          </cell>
          <cell r="X35">
            <v>2.5068276433310075</v>
          </cell>
          <cell r="Y35">
            <v>0</v>
          </cell>
          <cell r="Z35">
            <v>0</v>
          </cell>
        </row>
        <row r="36">
          <cell r="D36">
            <v>2.5108200905797076</v>
          </cell>
          <cell r="E36">
            <v>11.298690407608685</v>
          </cell>
          <cell r="F36">
            <v>1.2554100452898538</v>
          </cell>
          <cell r="H36">
            <v>0</v>
          </cell>
          <cell r="I36">
            <v>13.124741382575744</v>
          </cell>
          <cell r="J36">
            <v>0</v>
          </cell>
          <cell r="M36">
            <v>1.1291568633880262</v>
          </cell>
          <cell r="N36">
            <v>0.73584493027604503</v>
          </cell>
          <cell r="O36">
            <v>5.0812058852461188</v>
          </cell>
          <cell r="P36">
            <v>3.311302186242203</v>
          </cell>
          <cell r="Q36">
            <v>0.56457843169401312</v>
          </cell>
          <cell r="R36">
            <v>0.36792246513802251</v>
          </cell>
          <cell r="U36">
            <v>0</v>
          </cell>
          <cell r="V36">
            <v>0</v>
          </cell>
          <cell r="W36">
            <v>5.9024108768010466</v>
          </cell>
          <cell r="X36">
            <v>3.8464621355338715</v>
          </cell>
          <cell r="Y36">
            <v>0</v>
          </cell>
          <cell r="Z36">
            <v>0</v>
          </cell>
        </row>
        <row r="37">
          <cell r="D37">
            <v>1.3</v>
          </cell>
          <cell r="E37">
            <v>5</v>
          </cell>
          <cell r="F37">
            <v>0.6006120601465349</v>
          </cell>
          <cell r="H37">
            <v>0</v>
          </cell>
          <cell r="I37">
            <v>1.8</v>
          </cell>
          <cell r="J37">
            <v>0</v>
          </cell>
          <cell r="M37">
            <v>1.3066763166358901</v>
          </cell>
          <cell r="N37">
            <v>0.71541881288739506</v>
          </cell>
          <cell r="O37">
            <v>5.0256781409072699</v>
          </cell>
          <cell r="P37">
            <v>2.7516108187976727</v>
          </cell>
          <cell r="Q37">
            <v>0.60369658036874452</v>
          </cell>
          <cell r="R37">
            <v>0.33053012851991281</v>
          </cell>
          <cell r="U37">
            <v>0</v>
          </cell>
          <cell r="V37">
            <v>0</v>
          </cell>
          <cell r="W37">
            <v>1.8092441307266172</v>
          </cell>
          <cell r="X37">
            <v>0.99057989476716235</v>
          </cell>
          <cell r="Y37">
            <v>0</v>
          </cell>
          <cell r="Z37">
            <v>0</v>
          </cell>
        </row>
        <row r="38">
          <cell r="D38">
            <v>0.4</v>
          </cell>
          <cell r="E38">
            <v>4.8</v>
          </cell>
          <cell r="F38">
            <v>0.47399999999999998</v>
          </cell>
          <cell r="H38">
            <v>1</v>
          </cell>
          <cell r="I38">
            <v>2.5</v>
          </cell>
          <cell r="J38">
            <v>0</v>
          </cell>
          <cell r="M38">
            <v>0.79336779859530726</v>
          </cell>
          <cell r="N38">
            <v>0.5260571488004514</v>
          </cell>
          <cell r="O38">
            <v>9.5204135831436858</v>
          </cell>
          <cell r="P38">
            <v>6.3126857856054164</v>
          </cell>
          <cell r="Q38">
            <v>0.94014084133543885</v>
          </cell>
          <cell r="R38">
            <v>0.62337772132853486</v>
          </cell>
          <cell r="U38">
            <v>1.9834194964882681</v>
          </cell>
          <cell r="V38">
            <v>1.3151428720011284</v>
          </cell>
          <cell r="W38">
            <v>4.9585487412206692</v>
          </cell>
          <cell r="X38">
            <v>3.2878571800028213</v>
          </cell>
          <cell r="Y38">
            <v>0</v>
          </cell>
          <cell r="Z38">
            <v>0</v>
          </cell>
        </row>
        <row r="39">
          <cell r="D39">
            <v>4.125811618561432</v>
          </cell>
          <cell r="E39">
            <v>18.349004303602158</v>
          </cell>
          <cell r="F39">
            <v>36.372286637317892</v>
          </cell>
          <cell r="H39">
            <v>1.2703156825570725</v>
          </cell>
          <cell r="I39">
            <v>27.143497490535736</v>
          </cell>
          <cell r="J39">
            <v>0</v>
          </cell>
          <cell r="M39">
            <v>0.75039140062990328</v>
          </cell>
          <cell r="N39">
            <v>0.79189559626986727</v>
          </cell>
          <cell r="O39">
            <v>3.3372670185908859</v>
          </cell>
          <cell r="P39">
            <v>3.5218514676212522</v>
          </cell>
          <cell r="Q39">
            <v>6.6152926108162537</v>
          </cell>
          <cell r="R39">
            <v>6.9811848618527783</v>
          </cell>
          <cell r="U39">
            <v>0.23104156282552288</v>
          </cell>
          <cell r="V39">
            <v>0.24382048621993282</v>
          </cell>
          <cell r="W39">
            <v>4.9367855304598907</v>
          </cell>
          <cell r="X39">
            <v>5.209839449143864</v>
          </cell>
          <cell r="Y39">
            <v>0</v>
          </cell>
          <cell r="Z39">
            <v>0</v>
          </cell>
        </row>
        <row r="40">
          <cell r="D40">
            <v>7.6892624776985965</v>
          </cell>
          <cell r="E40">
            <v>51.792545778929799</v>
          </cell>
          <cell r="F40">
            <v>0</v>
          </cell>
          <cell r="H40">
            <v>1.1716565626081807</v>
          </cell>
          <cell r="I40">
            <v>45.561463150513568</v>
          </cell>
          <cell r="J40">
            <v>0</v>
          </cell>
          <cell r="M40">
            <v>1.0292011500903759</v>
          </cell>
          <cell r="N40">
            <v>1.301468760944982</v>
          </cell>
          <cell r="O40">
            <v>6.9323875776623538</v>
          </cell>
          <cell r="P40">
            <v>8.7662998339035525</v>
          </cell>
          <cell r="Q40">
            <v>0</v>
          </cell>
          <cell r="R40">
            <v>0</v>
          </cell>
          <cell r="U40">
            <v>0.15682522026588358</v>
          </cell>
          <cell r="V40">
            <v>0.19831218133252257</v>
          </cell>
          <cell r="W40">
            <v>6.0983625426119721</v>
          </cell>
          <cell r="X40">
            <v>7.7116395968169567</v>
          </cell>
          <cell r="Y40">
            <v>0</v>
          </cell>
          <cell r="Z40">
            <v>0</v>
          </cell>
        </row>
        <row r="41">
          <cell r="D41">
            <v>1.5165334699489497</v>
          </cell>
          <cell r="E41">
            <v>30.547459864780031</v>
          </cell>
          <cell r="F41">
            <v>4.0446076631681755</v>
          </cell>
          <cell r="H41">
            <v>3.2859281358385646</v>
          </cell>
          <cell r="I41">
            <v>0</v>
          </cell>
          <cell r="J41">
            <v>3.0330682022598419</v>
          </cell>
          <cell r="M41">
            <v>0.5789191522278514</v>
          </cell>
          <cell r="N41">
            <v>0.34366018177775415</v>
          </cell>
          <cell r="O41">
            <v>11.661140303239121</v>
          </cell>
          <cell r="P41">
            <v>6.9223303131795308</v>
          </cell>
          <cell r="Q41">
            <v>1.543982302965204</v>
          </cell>
          <cell r="R41">
            <v>0.91654462778910029</v>
          </cell>
          <cell r="U41">
            <v>1.2543651481330917</v>
          </cell>
          <cell r="V41">
            <v>0.74462099442416596</v>
          </cell>
          <cell r="W41">
            <v>0</v>
          </cell>
          <cell r="X41">
            <v>0</v>
          </cell>
          <cell r="Y41">
            <v>1.1578387863478075</v>
          </cell>
          <cell r="Z41">
            <v>0.68732064961812622</v>
          </cell>
        </row>
        <row r="42">
          <cell r="D42">
            <v>3.8751505833461795</v>
          </cell>
          <cell r="E42">
            <v>8.6622287215211689</v>
          </cell>
          <cell r="F42">
            <v>0.4819569618750838</v>
          </cell>
          <cell r="H42">
            <v>7.6937118380227556</v>
          </cell>
          <cell r="I42">
            <v>6.9247467977276784</v>
          </cell>
          <cell r="J42">
            <v>0</v>
          </cell>
          <cell r="M42">
            <v>1.2056885451362442</v>
          </cell>
          <cell r="N42">
            <v>0.56123444503669762</v>
          </cell>
          <cell r="O42">
            <v>2.695108156511929</v>
          </cell>
          <cell r="P42">
            <v>1.2545425073794041</v>
          </cell>
          <cell r="Q42">
            <v>0.14995287942583252</v>
          </cell>
          <cell r="R42">
            <v>6.9801377317308677E-2</v>
          </cell>
          <cell r="U42">
            <v>2.3937702634185563</v>
          </cell>
          <cell r="V42">
            <v>1.1142731103771495</v>
          </cell>
          <cell r="W42">
            <v>2.1545196018627339</v>
          </cell>
          <cell r="X42">
            <v>1.0029046207248142</v>
          </cell>
          <cell r="Y42">
            <v>0</v>
          </cell>
          <cell r="Z42">
            <v>0</v>
          </cell>
        </row>
        <row r="43">
          <cell r="D43">
            <v>0.2</v>
          </cell>
          <cell r="E43">
            <v>0.8</v>
          </cell>
          <cell r="F43">
            <v>0</v>
          </cell>
          <cell r="H43">
            <v>0</v>
          </cell>
          <cell r="I43">
            <v>0</v>
          </cell>
          <cell r="J43">
            <v>0</v>
          </cell>
          <cell r="M43">
            <v>0.3106434481856567</v>
          </cell>
          <cell r="N43">
            <v>0.21921775061405427</v>
          </cell>
          <cell r="O43">
            <v>1.2425737927426268</v>
          </cell>
          <cell r="P43">
            <v>0.87687100245621707</v>
          </cell>
          <cell r="Q43">
            <v>0</v>
          </cell>
          <cell r="R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</row>
        <row r="44">
          <cell r="D44">
            <v>7.7</v>
          </cell>
          <cell r="E44">
            <v>10.100000000000001</v>
          </cell>
          <cell r="F44">
            <v>0</v>
          </cell>
          <cell r="H44">
            <v>0</v>
          </cell>
          <cell r="I44">
            <v>6.5</v>
          </cell>
          <cell r="J44">
            <v>0</v>
          </cell>
          <cell r="M44">
            <v>5.224448612399625</v>
          </cell>
          <cell r="N44">
            <v>2.4847673878166159</v>
          </cell>
          <cell r="O44">
            <v>6.8528481799008087</v>
          </cell>
          <cell r="P44">
            <v>3.2592403398633536</v>
          </cell>
          <cell r="Q44">
            <v>0</v>
          </cell>
          <cell r="R44">
            <v>0</v>
          </cell>
          <cell r="U44">
            <v>0</v>
          </cell>
          <cell r="V44">
            <v>0</v>
          </cell>
          <cell r="W44">
            <v>4.410248828649034</v>
          </cell>
          <cell r="X44">
            <v>2.097530911793247</v>
          </cell>
          <cell r="Y44">
            <v>0</v>
          </cell>
          <cell r="Z44">
            <v>0</v>
          </cell>
        </row>
        <row r="45">
          <cell r="D45">
            <v>3.7695771192652283</v>
          </cell>
          <cell r="E45">
            <v>34.746782289825745</v>
          </cell>
          <cell r="F45">
            <v>0</v>
          </cell>
          <cell r="H45">
            <v>9.7444850702094339</v>
          </cell>
          <cell r="I45">
            <v>18.976102505144688</v>
          </cell>
          <cell r="J45">
            <v>0</v>
          </cell>
          <cell r="M45">
            <v>0.65958994908603863</v>
          </cell>
          <cell r="N45">
            <v>0.3101453177684127</v>
          </cell>
          <cell r="O45">
            <v>6.0798937483781108</v>
          </cell>
          <cell r="P45">
            <v>2.8588224869129202</v>
          </cell>
          <cell r="Q45">
            <v>0</v>
          </cell>
          <cell r="R45">
            <v>0</v>
          </cell>
          <cell r="U45">
            <v>1.7050624534196916</v>
          </cell>
          <cell r="V45">
            <v>0.8017361955918153</v>
          </cell>
          <cell r="W45">
            <v>3.3203847777120314</v>
          </cell>
          <cell r="X45">
            <v>1.561275749310377</v>
          </cell>
          <cell r="Y45">
            <v>0</v>
          </cell>
          <cell r="Z45">
            <v>0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F86C1-FF80-4689-BE87-0058BDE095F2}">
  <dimension ref="A1:BC81"/>
  <sheetViews>
    <sheetView tabSelected="1" topLeftCell="A8" zoomScale="80" zoomScaleNormal="85" workbookViewId="0">
      <selection activeCell="A40" sqref="A40:XFD40"/>
    </sheetView>
  </sheetViews>
  <sheetFormatPr baseColWidth="10" defaultRowHeight="14.5" x14ac:dyDescent="0.35"/>
  <cols>
    <col min="1" max="1" width="15.26953125" style="10" customWidth="1"/>
    <col min="2" max="2" width="16.36328125" style="10" bestFit="1" customWidth="1"/>
    <col min="3" max="3" width="17.08984375" style="10" customWidth="1"/>
    <col min="4" max="4" width="16" style="10" customWidth="1"/>
    <col min="5" max="5" width="14.6328125" style="10" customWidth="1"/>
    <col min="6" max="6" width="13.90625" style="10" bestFit="1" customWidth="1"/>
    <col min="7" max="7" width="11.54296875" style="10" bestFit="1" customWidth="1"/>
    <col min="8" max="12" width="11.26953125" style="10" bestFit="1" customWidth="1"/>
    <col min="13" max="13" width="26" style="10" customWidth="1"/>
    <col min="14" max="19" width="11.26953125" style="10" bestFit="1" customWidth="1"/>
    <col min="20" max="21" width="14.1796875" style="10" customWidth="1"/>
    <col min="22" max="29" width="11.26953125" style="10" bestFit="1" customWidth="1"/>
    <col min="30" max="30" width="10.90625" style="10"/>
    <col min="31" max="31" width="23.6328125" style="10" customWidth="1"/>
    <col min="32" max="32" width="37.7265625" style="10" customWidth="1"/>
    <col min="33" max="33" width="39.54296875" style="10" customWidth="1"/>
    <col min="34" max="34" width="22.54296875" style="10" customWidth="1"/>
    <col min="35" max="35" width="21" style="10" customWidth="1"/>
    <col min="36" max="36" width="18.453125" style="10" customWidth="1"/>
    <col min="37" max="37" width="22.36328125" style="10" customWidth="1"/>
    <col min="38" max="38" width="19.81640625" style="10" customWidth="1"/>
    <col min="39" max="39" width="24" style="10" customWidth="1"/>
    <col min="40" max="40" width="22.26953125" style="10" customWidth="1"/>
    <col min="41" max="41" width="24.453125" style="10" customWidth="1"/>
    <col min="42" max="42" width="23.7265625" style="10" customWidth="1"/>
    <col min="43" max="43" width="23.90625" style="10" customWidth="1"/>
    <col min="44" max="44" width="17.36328125" style="10" customWidth="1"/>
    <col min="45" max="46" width="17" style="10" customWidth="1"/>
    <col min="47" max="47" width="15.90625" style="10" customWidth="1"/>
    <col min="48" max="48" width="18.6328125" style="10" customWidth="1"/>
    <col min="49" max="51" width="13.1796875" style="10" bestFit="1" customWidth="1"/>
    <col min="52" max="52" width="12.54296875" style="10" bestFit="1" customWidth="1"/>
    <col min="53" max="53" width="16.6328125" style="10" customWidth="1"/>
    <col min="54" max="54" width="11.54296875" style="10" bestFit="1" customWidth="1"/>
    <col min="55" max="55" width="12.453125" style="10" bestFit="1" customWidth="1"/>
    <col min="56" max="16384" width="10.90625" style="10"/>
  </cols>
  <sheetData>
    <row r="1" spans="1:55" ht="27" customHeight="1" x14ac:dyDescent="0.35">
      <c r="A1" s="7" t="s">
        <v>0</v>
      </c>
      <c r="B1" s="7" t="s">
        <v>1</v>
      </c>
      <c r="C1" s="7" t="s">
        <v>2</v>
      </c>
      <c r="D1" s="8" t="s">
        <v>70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8" t="s">
        <v>71</v>
      </c>
      <c r="N1" s="8" t="s">
        <v>56</v>
      </c>
      <c r="O1" s="8" t="s">
        <v>72</v>
      </c>
      <c r="P1" s="9" t="s">
        <v>11</v>
      </c>
      <c r="Q1" s="9" t="s">
        <v>57</v>
      </c>
      <c r="R1" s="9" t="s">
        <v>12</v>
      </c>
      <c r="S1" s="9" t="s">
        <v>58</v>
      </c>
      <c r="T1" s="9" t="s">
        <v>13</v>
      </c>
      <c r="U1" s="9" t="s">
        <v>59</v>
      </c>
      <c r="V1" s="9" t="s">
        <v>14</v>
      </c>
      <c r="W1" s="9" t="s">
        <v>60</v>
      </c>
      <c r="X1" s="9" t="s">
        <v>15</v>
      </c>
      <c r="Y1" s="9" t="s">
        <v>61</v>
      </c>
      <c r="Z1" s="9" t="s">
        <v>16</v>
      </c>
      <c r="AA1" s="9" t="s">
        <v>62</v>
      </c>
      <c r="AB1" s="9" t="s">
        <v>54</v>
      </c>
      <c r="AC1" s="9" t="s">
        <v>63</v>
      </c>
      <c r="AD1" s="9"/>
      <c r="AE1" s="16" t="s">
        <v>69</v>
      </c>
      <c r="AF1" s="23" t="s">
        <v>80</v>
      </c>
      <c r="AG1" s="23" t="s">
        <v>81</v>
      </c>
      <c r="AH1" s="23" t="s">
        <v>82</v>
      </c>
      <c r="AI1" s="24" t="s">
        <v>83</v>
      </c>
      <c r="AJ1" s="24" t="s">
        <v>84</v>
      </c>
      <c r="AK1" s="15" t="s">
        <v>73</v>
      </c>
      <c r="AL1" s="15" t="s">
        <v>85</v>
      </c>
      <c r="AM1" s="15" t="s">
        <v>64</v>
      </c>
      <c r="AN1" s="15" t="s">
        <v>86</v>
      </c>
      <c r="AO1" s="15" t="s">
        <v>65</v>
      </c>
      <c r="AP1" s="15" t="s">
        <v>87</v>
      </c>
      <c r="AQ1" s="15" t="s">
        <v>74</v>
      </c>
      <c r="AR1" s="27" t="s">
        <v>75</v>
      </c>
      <c r="AS1" s="28" t="s">
        <v>76</v>
      </c>
      <c r="AT1" s="28" t="s">
        <v>88</v>
      </c>
      <c r="AU1" s="28" t="s">
        <v>66</v>
      </c>
      <c r="AV1" s="28" t="s">
        <v>89</v>
      </c>
      <c r="AW1" s="15" t="s">
        <v>77</v>
      </c>
      <c r="AX1" s="15" t="s">
        <v>90</v>
      </c>
      <c r="AY1" s="19" t="s">
        <v>78</v>
      </c>
      <c r="AZ1" s="19" t="s">
        <v>67</v>
      </c>
      <c r="BA1" s="19" t="s">
        <v>68</v>
      </c>
      <c r="BB1" s="19" t="s">
        <v>79</v>
      </c>
      <c r="BC1" s="25" t="s">
        <v>91</v>
      </c>
    </row>
    <row r="2" spans="1:55" x14ac:dyDescent="0.35">
      <c r="A2" s="1" t="s">
        <v>17</v>
      </c>
      <c r="B2" s="1">
        <v>2020</v>
      </c>
      <c r="C2" s="22">
        <f>D2+G2</f>
        <v>218.44777903701501</v>
      </c>
      <c r="D2" s="2">
        <v>218.44777903701501</v>
      </c>
      <c r="E2" s="3">
        <v>11.460913817997604</v>
      </c>
      <c r="F2" s="3">
        <v>206.98686521901695</v>
      </c>
      <c r="G2" s="3">
        <v>0</v>
      </c>
      <c r="H2" s="4">
        <v>24.16457732710338</v>
      </c>
      <c r="I2" s="3">
        <v>10.356247425901399</v>
      </c>
      <c r="J2" s="3">
        <v>13.808329901201899</v>
      </c>
      <c r="K2" s="3">
        <v>0</v>
      </c>
      <c r="L2" s="3">
        <f t="shared" ref="L2:L33" si="0">M2+T2</f>
        <v>16.1778523014314</v>
      </c>
      <c r="M2" s="4">
        <v>16.1778523014314</v>
      </c>
      <c r="N2" s="4">
        <f>O2+T2</f>
        <v>17.810434548128736</v>
      </c>
      <c r="O2" s="4">
        <f>Q2+S2</f>
        <v>17.810434548128736</v>
      </c>
      <c r="P2" s="3">
        <v>0.84877480468951205</v>
      </c>
      <c r="Q2" s="3">
        <f>'[1]2020'!N8</f>
        <v>0.93442861409272149</v>
      </c>
      <c r="R2" s="3">
        <v>15.329077496741919</v>
      </c>
      <c r="S2" s="3">
        <f>'[1]2020'!P8</f>
        <v>16.876005934036016</v>
      </c>
      <c r="T2" s="3">
        <v>0</v>
      </c>
      <c r="U2" s="3">
        <f>'[1]2020'!S8</f>
        <v>0</v>
      </c>
      <c r="V2" s="4">
        <f>X2+Z2</f>
        <v>1.7895854315742734</v>
      </c>
      <c r="W2" s="4">
        <f>Y2+AA2</f>
        <v>1.9701808128460967</v>
      </c>
      <c r="X2" s="3">
        <v>0.76696518496040278</v>
      </c>
      <c r="Y2" s="3">
        <f>'[1]2020'!W8</f>
        <v>0.84436320550547117</v>
      </c>
      <c r="Z2" s="3">
        <v>1.0226202466138705</v>
      </c>
      <c r="AA2" s="3">
        <f>'[1]2020'!Y8</f>
        <v>1.1258176073406256</v>
      </c>
      <c r="AB2" s="3">
        <v>0</v>
      </c>
      <c r="AC2" s="3">
        <f>'[1]2020'!AA8</f>
        <v>0</v>
      </c>
      <c r="AD2" s="20"/>
      <c r="AE2" s="17">
        <v>1226.51571721458</v>
      </c>
      <c r="AF2" s="26">
        <f>D2+H2</f>
        <v>242.6123563641184</v>
      </c>
      <c r="AG2" s="26">
        <f>(D2)+(H2)</f>
        <v>242.6123563641184</v>
      </c>
      <c r="AH2" s="52">
        <f>($D2/$AG2)</f>
        <v>0.90039840637450219</v>
      </c>
      <c r="AI2" s="52">
        <f>$D2/$AG2</f>
        <v>0.90039840637450219</v>
      </c>
      <c r="AJ2" s="52">
        <f>(($D2)/(AF2))</f>
        <v>0.90039840637450219</v>
      </c>
      <c r="AK2" s="52">
        <f>$D2/(AF2)</f>
        <v>0.90039840637450219</v>
      </c>
      <c r="AL2" s="52">
        <f>($F2/(AG2))</f>
        <v>0.85315879339783562</v>
      </c>
      <c r="AM2" s="52">
        <f>($F2/(AF2))</f>
        <v>0.85315879339783562</v>
      </c>
      <c r="AN2" s="52">
        <f>($E2/AG2)</f>
        <v>4.723961297666468E-2</v>
      </c>
      <c r="AO2" s="52">
        <f>($E2/AF2)</f>
        <v>4.723961297666468E-2</v>
      </c>
      <c r="AP2" s="52">
        <f>($G2/$AG2)</f>
        <v>0</v>
      </c>
      <c r="AQ2" s="52">
        <f>($G2/$AF2)</f>
        <v>0</v>
      </c>
      <c r="AR2" s="52">
        <f>(F2/D2)</f>
        <v>0.94753476611883491</v>
      </c>
      <c r="AS2" s="52">
        <f>(E2/D2)</f>
        <v>5.2465233881162976E-2</v>
      </c>
      <c r="AT2" s="52">
        <f>($H2/(AG2))</f>
        <v>9.9601593625497822E-2</v>
      </c>
      <c r="AU2" s="52">
        <f>($H2/(AF2))</f>
        <v>9.9601593625497822E-2</v>
      </c>
      <c r="AV2" s="52">
        <f>($I2/(AG2))</f>
        <v>4.2686397268070289E-2</v>
      </c>
      <c r="AW2" s="52">
        <f>($I2/(AF2))</f>
        <v>4.2686397268070289E-2</v>
      </c>
      <c r="AX2" s="52">
        <f>($J2/(AG2))</f>
        <v>5.6915196357427193E-2</v>
      </c>
      <c r="AY2" s="52">
        <f>($J2/(AF2))</f>
        <v>5.6915196357427193E-2</v>
      </c>
      <c r="AZ2" s="52">
        <f>(I2/H2)</f>
        <v>0.42857142857142655</v>
      </c>
      <c r="BA2" s="52">
        <f>J2/H2</f>
        <v>0.57142857142857006</v>
      </c>
      <c r="BB2" s="52">
        <f>(AF2/AE2)</f>
        <v>0.19780615360974876</v>
      </c>
      <c r="BC2" s="53">
        <f>(AG2/AE2)</f>
        <v>0.19780615360974876</v>
      </c>
    </row>
    <row r="3" spans="1:55" x14ac:dyDescent="0.35">
      <c r="A3" s="1" t="s">
        <v>55</v>
      </c>
      <c r="B3" s="1">
        <v>2020</v>
      </c>
      <c r="C3" s="22">
        <f t="shared" ref="C3:C66" si="1">D3+G3</f>
        <v>303.3485573122403</v>
      </c>
      <c r="D3" s="2">
        <v>240.10443817674746</v>
      </c>
      <c r="E3" s="3">
        <v>39.211353864005552</v>
      </c>
      <c r="F3" s="3">
        <v>200.89308431274193</v>
      </c>
      <c r="G3" s="3">
        <v>63.244119135492831</v>
      </c>
      <c r="H3" s="4">
        <v>65.922693592996055</v>
      </c>
      <c r="I3" s="3">
        <v>3.8690519941713259</v>
      </c>
      <c r="J3" s="3">
        <v>62.053641598824733</v>
      </c>
      <c r="K3" s="3">
        <v>0</v>
      </c>
      <c r="L3" s="3">
        <f t="shared" si="0"/>
        <v>18.5039726240372</v>
      </c>
      <c r="M3" s="4">
        <v>14.646141686967878</v>
      </c>
      <c r="N3" s="4">
        <f t="shared" ref="N3:N66" si="2">O3+T3</f>
        <v>17.789138664402813</v>
      </c>
      <c r="O3" s="4">
        <f t="shared" ref="O3:O39" si="3">Q3+S3</f>
        <v>13.931307727333492</v>
      </c>
      <c r="P3" s="3">
        <v>2.3918551809829789</v>
      </c>
      <c r="Q3" s="3">
        <f>'[1]2020'!N9</f>
        <v>2.2751159505127827</v>
      </c>
      <c r="R3" s="3">
        <v>12.254286505984901</v>
      </c>
      <c r="S3" s="3">
        <f>'[1]2020'!P9</f>
        <v>11.656191776820709</v>
      </c>
      <c r="T3" s="3">
        <v>3.8578309370693202</v>
      </c>
      <c r="U3" s="3">
        <f>'[1]2020'!S9</f>
        <v>3.6695418556657788</v>
      </c>
      <c r="V3" s="4">
        <f>X3+Z3</f>
        <v>4.0212214238157857</v>
      </c>
      <c r="W3" s="4">
        <f t="shared" ref="W3:W39" si="4">Y3+AA3</f>
        <v>3.8249577460233888</v>
      </c>
      <c r="X3" s="3">
        <v>0.23600848085600551</v>
      </c>
      <c r="Y3" s="3">
        <f>'[1]2020'!W9</f>
        <v>0.22448961940543585</v>
      </c>
      <c r="Z3" s="3">
        <v>3.7852129429597805</v>
      </c>
      <c r="AA3" s="3">
        <f>'[1]2020'!Y9</f>
        <v>3.6004681266179528</v>
      </c>
      <c r="AB3" s="3">
        <v>0</v>
      </c>
      <c r="AC3" s="3">
        <f>'[1]2020'!AA9</f>
        <v>0</v>
      </c>
      <c r="AD3" s="20"/>
      <c r="AE3" s="17">
        <v>1723.48815255626</v>
      </c>
      <c r="AF3" s="26">
        <f t="shared" ref="AF3:AF66" si="5">D3+H3</f>
        <v>306.02713176974351</v>
      </c>
      <c r="AG3" s="26">
        <f t="shared" ref="AG3:AG64" si="6">(D3)+(H3)</f>
        <v>306.02713176974351</v>
      </c>
      <c r="AH3" s="52">
        <f t="shared" ref="AH3:AH66" si="7">($D3/$AG3)</f>
        <v>0.78458546073425728</v>
      </c>
      <c r="AI3" s="52">
        <f t="shared" ref="AI3:AI66" si="8">$D3/$AG3</f>
        <v>0.78458546073425728</v>
      </c>
      <c r="AJ3" s="52">
        <f t="shared" ref="AJ3:AJ66" si="9">(($D3)/(AF3))</f>
        <v>0.78458546073425728</v>
      </c>
      <c r="AK3" s="52">
        <f t="shared" ref="AK3:AK66" si="10">$D3/(AF3)</f>
        <v>0.78458546073425728</v>
      </c>
      <c r="AL3" s="52">
        <f t="shared" ref="AL3:AL66" si="11">($F3/(AG3))</f>
        <v>0.65645514223194756</v>
      </c>
      <c r="AM3" s="52">
        <f t="shared" ref="AM3:AM66" si="12">($F3/(AF3))</f>
        <v>0.65645514223194756</v>
      </c>
      <c r="AN3" s="52">
        <f t="shared" ref="AN3:AN66" si="13">($E3/AG3)</f>
        <v>0.12813031850230977</v>
      </c>
      <c r="AO3" s="52">
        <f t="shared" ref="AO3:AO66" si="14">($E3/AF3)</f>
        <v>0.12813031850230977</v>
      </c>
      <c r="AP3" s="52">
        <f t="shared" ref="AP3:AP66" si="15">($G3/$AG3)</f>
        <v>0.2066618040359835</v>
      </c>
      <c r="AQ3" s="52">
        <f t="shared" ref="AQ3:AQ66" si="16">($G3/$AF3)</f>
        <v>0.2066618040359835</v>
      </c>
      <c r="AR3" s="52">
        <f t="shared" ref="AR3:AR66" si="17">(F3/D3)</f>
        <v>0.8366904245429192</v>
      </c>
      <c r="AS3" s="52">
        <f t="shared" ref="AS3:AS66" si="18">(E3/D3)</f>
        <v>0.16330957545708089</v>
      </c>
      <c r="AT3" s="52">
        <f t="shared" ref="AT3:AT66" si="19">($H3/(AG3))</f>
        <v>0.21541453926574278</v>
      </c>
      <c r="AU3" s="52">
        <f t="shared" ref="AU3:AU66" si="20">($H3/(AF3))</f>
        <v>0.21541453926574278</v>
      </c>
      <c r="AV3" s="52">
        <f t="shared" ref="AV3:AV66" si="21">($I3/(AG3))</f>
        <v>1.2642839776318989E-2</v>
      </c>
      <c r="AW3" s="52">
        <f t="shared" ref="AW3:AW66" si="22">($I3/(AF3))</f>
        <v>1.2642839776318989E-2</v>
      </c>
      <c r="AX3" s="52">
        <f t="shared" ref="AX3:AX66" si="23">($J3/(AG3))</f>
        <v>0.20277169948942381</v>
      </c>
      <c r="AY3" s="52">
        <f t="shared" ref="AY3:AY66" si="24">($J3/(AF3))</f>
        <v>0.20277169948942381</v>
      </c>
      <c r="AZ3" s="52">
        <f t="shared" ref="AZ3:AZ66" si="25">(I3/H3)</f>
        <v>5.8690744920993229E-2</v>
      </c>
      <c r="BA3" s="52">
        <f t="shared" ref="BA3:BA66" si="26">J3/H3</f>
        <v>0.94130925507900687</v>
      </c>
      <c r="BB3" s="52">
        <f t="shared" ref="BB3:BB66" si="27">(AF3/AE3)</f>
        <v>0.17756265473356878</v>
      </c>
      <c r="BC3" s="53">
        <f t="shared" ref="BC3:BC66" si="28">(AG3/AE3)</f>
        <v>0.17756265473356878</v>
      </c>
    </row>
    <row r="4" spans="1:55" x14ac:dyDescent="0.35">
      <c r="A4" s="1" t="s">
        <v>18</v>
      </c>
      <c r="B4" s="1">
        <v>2020</v>
      </c>
      <c r="C4" s="22">
        <f t="shared" si="1"/>
        <v>260.66232171433722</v>
      </c>
      <c r="D4" s="2">
        <v>198.05783396635229</v>
      </c>
      <c r="E4" s="3">
        <v>20.261088762075122</v>
      </c>
      <c r="F4" s="3">
        <v>177.79674520427716</v>
      </c>
      <c r="G4" s="3">
        <v>62.604487747984926</v>
      </c>
      <c r="H4" s="4">
        <v>404.65264353470258</v>
      </c>
      <c r="I4" s="3">
        <v>23.903531685594242</v>
      </c>
      <c r="J4" s="3">
        <v>380.74911184910832</v>
      </c>
      <c r="K4" s="3">
        <v>0</v>
      </c>
      <c r="L4" s="3">
        <f t="shared" si="0"/>
        <v>10.147465016305311</v>
      </c>
      <c r="M4" s="4">
        <v>7.7103009294197555</v>
      </c>
      <c r="N4" s="4">
        <f t="shared" si="2"/>
        <v>9.2500875583628428</v>
      </c>
      <c r="O4" s="4">
        <f t="shared" si="3"/>
        <v>6.8129234714772871</v>
      </c>
      <c r="P4" s="3">
        <v>0.78875492266477965</v>
      </c>
      <c r="Q4" s="3">
        <f>'[1]2020'!N10</f>
        <v>0.6969542401856077</v>
      </c>
      <c r="R4" s="3">
        <v>6.9215460067549763</v>
      </c>
      <c r="S4" s="3">
        <f>'[1]2020'!P10</f>
        <v>6.1159692312916798</v>
      </c>
      <c r="T4" s="3">
        <v>2.4371640868855549</v>
      </c>
      <c r="U4" s="3">
        <f>'[1]2020'!S10</f>
        <v>2.1535102927083383</v>
      </c>
      <c r="V4" s="4">
        <f t="shared" ref="V4:V39" si="29">X4+Z4</f>
        <v>15.752942416142089</v>
      </c>
      <c r="W4" s="4">
        <f t="shared" si="4"/>
        <v>13.919507437414804</v>
      </c>
      <c r="X4" s="3">
        <v>0.93055356044721205</v>
      </c>
      <c r="Y4" s="3">
        <f>'[1]2020'!W10</f>
        <v>0.82224938448863827</v>
      </c>
      <c r="Z4" s="3">
        <v>14.822388855694877</v>
      </c>
      <c r="AA4" s="3">
        <f>'[1]2020'!Y10</f>
        <v>13.097258052926167</v>
      </c>
      <c r="AB4" s="3">
        <v>0</v>
      </c>
      <c r="AC4" s="3">
        <f>'[1]2020'!AA10</f>
        <v>0</v>
      </c>
      <c r="AD4" s="20"/>
      <c r="AE4" s="17">
        <v>2907.0902498102801</v>
      </c>
      <c r="AF4" s="26">
        <f t="shared" si="5"/>
        <v>602.71047750105481</v>
      </c>
      <c r="AG4" s="26">
        <f t="shared" si="6"/>
        <v>602.71047750105481</v>
      </c>
      <c r="AH4" s="52">
        <f t="shared" si="7"/>
        <v>0.32861189801699719</v>
      </c>
      <c r="AI4" s="52">
        <f t="shared" si="8"/>
        <v>0.32861189801699719</v>
      </c>
      <c r="AJ4" s="52">
        <f t="shared" si="9"/>
        <v>0.32861189801699719</v>
      </c>
      <c r="AK4" s="52">
        <f t="shared" si="10"/>
        <v>0.32861189801699719</v>
      </c>
      <c r="AL4" s="52">
        <f t="shared" si="11"/>
        <v>0.29499527856468366</v>
      </c>
      <c r="AM4" s="52">
        <f t="shared" si="12"/>
        <v>0.29499527856468366</v>
      </c>
      <c r="AN4" s="52">
        <f t="shared" si="13"/>
        <v>3.3616619452313506E-2</v>
      </c>
      <c r="AO4" s="52">
        <f t="shared" si="14"/>
        <v>3.3616619452313506E-2</v>
      </c>
      <c r="AP4" s="52">
        <f t="shared" si="15"/>
        <v>0.10387157695939567</v>
      </c>
      <c r="AQ4" s="52">
        <f t="shared" si="16"/>
        <v>0.10387157695939567</v>
      </c>
      <c r="AR4" s="52">
        <f t="shared" si="17"/>
        <v>0.89770114942528734</v>
      </c>
      <c r="AS4" s="52">
        <f t="shared" si="18"/>
        <v>0.10229885057471266</v>
      </c>
      <c r="AT4" s="52">
        <f t="shared" si="19"/>
        <v>0.67138810198300292</v>
      </c>
      <c r="AU4" s="52">
        <f t="shared" si="20"/>
        <v>0.67138810198300292</v>
      </c>
      <c r="AV4" s="52">
        <f t="shared" si="21"/>
        <v>3.9660056657223795E-2</v>
      </c>
      <c r="AW4" s="52">
        <f t="shared" si="22"/>
        <v>3.9660056657223795E-2</v>
      </c>
      <c r="AX4" s="52">
        <f t="shared" si="23"/>
        <v>0.63172804532577909</v>
      </c>
      <c r="AY4" s="52">
        <f t="shared" si="24"/>
        <v>0.63172804532577909</v>
      </c>
      <c r="AZ4" s="52">
        <f t="shared" si="25"/>
        <v>5.90717299578059E-2</v>
      </c>
      <c r="BA4" s="52">
        <f t="shared" si="26"/>
        <v>0.94092827004219404</v>
      </c>
      <c r="BB4" s="52">
        <f t="shared" si="27"/>
        <v>0.20732430908892091</v>
      </c>
      <c r="BC4" s="53">
        <f t="shared" si="28"/>
        <v>0.20732430908892091</v>
      </c>
    </row>
    <row r="5" spans="1:55" x14ac:dyDescent="0.35">
      <c r="A5" s="1" t="s">
        <v>19</v>
      </c>
      <c r="B5" s="1">
        <v>2020</v>
      </c>
      <c r="C5" s="22">
        <f t="shared" si="1"/>
        <v>417.7426727911008</v>
      </c>
      <c r="D5" s="2">
        <v>417.7426727911008</v>
      </c>
      <c r="E5" s="3">
        <v>45.530536543989193</v>
      </c>
      <c r="F5" s="3">
        <v>372.21213624711163</v>
      </c>
      <c r="G5" s="3">
        <v>0</v>
      </c>
      <c r="H5" s="4">
        <v>1054.3734000174297</v>
      </c>
      <c r="I5" s="3">
        <v>113.82634135997297</v>
      </c>
      <c r="J5" s="3">
        <v>940.54705865745666</v>
      </c>
      <c r="K5" s="3">
        <v>0</v>
      </c>
      <c r="L5" s="3">
        <f t="shared" si="0"/>
        <v>11.03370544006278</v>
      </c>
      <c r="M5" s="4">
        <v>11.03370544006278</v>
      </c>
      <c r="N5" s="4">
        <f t="shared" si="2"/>
        <v>10.037584866642435</v>
      </c>
      <c r="O5" s="4">
        <f t="shared" si="3"/>
        <v>10.037584866642435</v>
      </c>
      <c r="P5" s="3">
        <v>1.2025836991894037</v>
      </c>
      <c r="Q5" s="3">
        <f>'[1]2020'!N11</f>
        <v>1.0940146993615734</v>
      </c>
      <c r="R5" s="3">
        <v>9.8311217408733764</v>
      </c>
      <c r="S5" s="3">
        <f>'[1]2020'!P11</f>
        <v>8.9435701672808623</v>
      </c>
      <c r="T5" s="3">
        <v>0</v>
      </c>
      <c r="U5" s="3">
        <f>'[1]2020'!S11</f>
        <v>0</v>
      </c>
      <c r="V5" s="4">
        <f t="shared" si="29"/>
        <v>27.848832013978619</v>
      </c>
      <c r="W5" s="4">
        <f t="shared" si="4"/>
        <v>25.334645400465632</v>
      </c>
      <c r="X5" s="3">
        <v>3.0064592479735093</v>
      </c>
      <c r="Y5" s="3">
        <f>'[1]2020'!W11</f>
        <v>2.7350367484039335</v>
      </c>
      <c r="Z5" s="3">
        <v>24.842372766005109</v>
      </c>
      <c r="AA5" s="3">
        <f>'[1]2020'!Y11</f>
        <v>22.599608652061701</v>
      </c>
      <c r="AB5" s="3">
        <v>0</v>
      </c>
      <c r="AC5" s="3">
        <f>'[1]2020'!AA11</f>
        <v>0</v>
      </c>
      <c r="AD5" s="20"/>
      <c r="AE5" s="17">
        <v>4161.7847155581303</v>
      </c>
      <c r="AF5" s="26">
        <f t="shared" si="5"/>
        <v>1472.1160728085306</v>
      </c>
      <c r="AG5" s="26">
        <f t="shared" si="6"/>
        <v>1472.1160728085306</v>
      </c>
      <c r="AH5" s="52">
        <f t="shared" si="7"/>
        <v>0.28377020026289335</v>
      </c>
      <c r="AI5" s="52">
        <f t="shared" si="8"/>
        <v>0.28377020026289335</v>
      </c>
      <c r="AJ5" s="52">
        <f t="shared" si="9"/>
        <v>0.28377020026289335</v>
      </c>
      <c r="AK5" s="52">
        <f t="shared" si="10"/>
        <v>0.28377020026289335</v>
      </c>
      <c r="AL5" s="52">
        <f t="shared" si="11"/>
        <v>0.25284156808165159</v>
      </c>
      <c r="AM5" s="52">
        <f t="shared" si="12"/>
        <v>0.25284156808165159</v>
      </c>
      <c r="AN5" s="52">
        <f t="shared" si="13"/>
        <v>3.0928632181241783E-2</v>
      </c>
      <c r="AO5" s="52">
        <f t="shared" si="14"/>
        <v>3.0928632181241783E-2</v>
      </c>
      <c r="AP5" s="52">
        <f t="shared" si="15"/>
        <v>0</v>
      </c>
      <c r="AQ5" s="52">
        <f t="shared" si="16"/>
        <v>0</v>
      </c>
      <c r="AR5" s="52">
        <f t="shared" si="17"/>
        <v>0.89100817438692104</v>
      </c>
      <c r="AS5" s="52">
        <f t="shared" si="18"/>
        <v>0.10899182561307903</v>
      </c>
      <c r="AT5" s="52">
        <f t="shared" si="19"/>
        <v>0.71622979973710665</v>
      </c>
      <c r="AU5" s="52">
        <f t="shared" si="20"/>
        <v>0.71622979973710665</v>
      </c>
      <c r="AV5" s="52">
        <f t="shared" si="21"/>
        <v>7.7321580453104458E-2</v>
      </c>
      <c r="AW5" s="52">
        <f t="shared" si="22"/>
        <v>7.7321580453104458E-2</v>
      </c>
      <c r="AX5" s="52">
        <f t="shared" si="23"/>
        <v>0.6389082192840021</v>
      </c>
      <c r="AY5" s="52">
        <f t="shared" si="24"/>
        <v>0.6389082192840021</v>
      </c>
      <c r="AZ5" s="52">
        <f t="shared" si="25"/>
        <v>0.10795638562020943</v>
      </c>
      <c r="BA5" s="52">
        <f t="shared" si="26"/>
        <v>0.89204361437979052</v>
      </c>
      <c r="BB5" s="52">
        <f t="shared" si="27"/>
        <v>0.35372230267108073</v>
      </c>
      <c r="BC5" s="53">
        <f t="shared" si="28"/>
        <v>0.35372230267108073</v>
      </c>
    </row>
    <row r="6" spans="1:55" x14ac:dyDescent="0.35">
      <c r="A6" s="1" t="s">
        <v>20</v>
      </c>
      <c r="B6" s="1">
        <v>2020</v>
      </c>
      <c r="C6" s="22">
        <f t="shared" si="1"/>
        <v>135.45334621836739</v>
      </c>
      <c r="D6" s="2">
        <v>127.4855023231693</v>
      </c>
      <c r="E6" s="3">
        <v>10.813502429197396</v>
      </c>
      <c r="F6" s="3">
        <v>116.6719998939719</v>
      </c>
      <c r="G6" s="3">
        <v>7.9678438951980812</v>
      </c>
      <c r="H6" s="4">
        <v>662.75387256844044</v>
      </c>
      <c r="I6" s="3">
        <v>3.6993560941991093</v>
      </c>
      <c r="J6" s="3">
        <v>659.05451647424127</v>
      </c>
      <c r="K6" s="3">
        <v>0</v>
      </c>
      <c r="L6" s="3">
        <f t="shared" si="0"/>
        <v>7.2514089861233249</v>
      </c>
      <c r="M6" s="4">
        <v>6.8248555163513647</v>
      </c>
      <c r="N6" s="4">
        <f t="shared" si="2"/>
        <v>5.8801058411817326</v>
      </c>
      <c r="O6" s="4">
        <f t="shared" si="3"/>
        <v>5.4535523714097724</v>
      </c>
      <c r="P6" s="3">
        <v>0.57889399469051761</v>
      </c>
      <c r="Q6" s="3">
        <f>'[1]2020'!N12</f>
        <v>0.46257810293207896</v>
      </c>
      <c r="R6" s="3">
        <v>6.2459615216608473</v>
      </c>
      <c r="S6" s="3">
        <f>'[1]2020'!P12</f>
        <v>4.9909742684776939</v>
      </c>
      <c r="T6" s="3">
        <v>0.42655346977196029</v>
      </c>
      <c r="U6" s="3">
        <f>'[1]2020'!S12</f>
        <v>0.34084702321311078</v>
      </c>
      <c r="V6" s="4">
        <f t="shared" si="29"/>
        <v>35.480108253531988</v>
      </c>
      <c r="W6" s="4">
        <f t="shared" si="4"/>
        <v>28.351168466547676</v>
      </c>
      <c r="X6" s="3">
        <v>0.19804268239412443</v>
      </c>
      <c r="Y6" s="3">
        <f>'[1]2020'!W12</f>
        <v>0.15825040363465859</v>
      </c>
      <c r="Z6" s="3">
        <v>35.282065571137863</v>
      </c>
      <c r="AA6" s="3">
        <f>'[1]2020'!Y12</f>
        <v>28.192918062913019</v>
      </c>
      <c r="AB6" s="3">
        <v>0</v>
      </c>
      <c r="AC6" s="3">
        <f>'[1]2020'!AA12</f>
        <v>0</v>
      </c>
      <c r="AD6" s="20"/>
      <c r="AE6" s="17">
        <v>2337.6598158571201</v>
      </c>
      <c r="AF6" s="26">
        <f t="shared" si="5"/>
        <v>790.23937489160971</v>
      </c>
      <c r="AG6" s="26">
        <f t="shared" si="6"/>
        <v>790.23937489160971</v>
      </c>
      <c r="AH6" s="52">
        <f t="shared" si="7"/>
        <v>0.1613251710478934</v>
      </c>
      <c r="AI6" s="52">
        <f t="shared" si="8"/>
        <v>0.1613251710478934</v>
      </c>
      <c r="AJ6" s="52">
        <f t="shared" si="9"/>
        <v>0.1613251710478934</v>
      </c>
      <c r="AK6" s="52">
        <f t="shared" si="10"/>
        <v>0.1613251710478934</v>
      </c>
      <c r="AL6" s="52">
        <f t="shared" si="11"/>
        <v>0.14764133957508102</v>
      </c>
      <c r="AM6" s="52">
        <f t="shared" si="12"/>
        <v>0.14764133957508102</v>
      </c>
      <c r="AN6" s="52">
        <f t="shared" si="13"/>
        <v>1.3683831472812387E-2</v>
      </c>
      <c r="AO6" s="52">
        <f t="shared" si="14"/>
        <v>1.3683831472812387E-2</v>
      </c>
      <c r="AP6" s="52">
        <f t="shared" si="15"/>
        <v>1.0082823190493338E-2</v>
      </c>
      <c r="AQ6" s="52">
        <f t="shared" si="16"/>
        <v>1.0082823190493338E-2</v>
      </c>
      <c r="AR6" s="52">
        <f t="shared" si="17"/>
        <v>0.9151785714285714</v>
      </c>
      <c r="AS6" s="52">
        <f t="shared" si="18"/>
        <v>8.4821428571428562E-2</v>
      </c>
      <c r="AT6" s="52">
        <f t="shared" si="19"/>
        <v>0.83867482895210665</v>
      </c>
      <c r="AU6" s="52">
        <f t="shared" si="20"/>
        <v>0.83867482895210665</v>
      </c>
      <c r="AV6" s="52">
        <f t="shared" si="21"/>
        <v>4.6813107670147644E-3</v>
      </c>
      <c r="AW6" s="52">
        <f t="shared" si="22"/>
        <v>4.6813107670147644E-3</v>
      </c>
      <c r="AX6" s="52">
        <f t="shared" si="23"/>
        <v>0.83399351818509182</v>
      </c>
      <c r="AY6" s="52">
        <f t="shared" si="24"/>
        <v>0.83399351818509182</v>
      </c>
      <c r="AZ6" s="52">
        <f t="shared" si="25"/>
        <v>5.5817947617003002E-3</v>
      </c>
      <c r="BA6" s="52">
        <f t="shared" si="26"/>
        <v>0.9944182052382996</v>
      </c>
      <c r="BB6" s="52">
        <f t="shared" si="27"/>
        <v>0.33804720837957453</v>
      </c>
      <c r="BC6" s="53">
        <f t="shared" si="28"/>
        <v>0.33804720837957453</v>
      </c>
    </row>
    <row r="7" spans="1:55" x14ac:dyDescent="0.35">
      <c r="A7" s="1" t="s">
        <v>21</v>
      </c>
      <c r="B7" s="1">
        <v>2020</v>
      </c>
      <c r="C7" s="22">
        <f t="shared" si="1"/>
        <v>1025.6422385482222</v>
      </c>
      <c r="D7" s="2">
        <v>782.33294838167308</v>
      </c>
      <c r="E7" s="3">
        <v>89.837276369187336</v>
      </c>
      <c r="F7" s="3">
        <v>692.49567201248567</v>
      </c>
      <c r="G7" s="3">
        <v>243.30929016654903</v>
      </c>
      <c r="H7" s="4">
        <v>1428.0383722852071</v>
      </c>
      <c r="I7" s="3">
        <v>0</v>
      </c>
      <c r="J7" s="3">
        <v>146.92137906210846</v>
      </c>
      <c r="K7" s="3">
        <v>1281.1169932230987</v>
      </c>
      <c r="L7" s="3">
        <f t="shared" si="0"/>
        <v>20.42596968815754</v>
      </c>
      <c r="M7" s="4">
        <v>15.580392937317248</v>
      </c>
      <c r="N7" s="4">
        <f t="shared" si="2"/>
        <v>19.537683026275488</v>
      </c>
      <c r="O7" s="4">
        <f t="shared" si="3"/>
        <v>14.692106275435194</v>
      </c>
      <c r="P7" s="3">
        <v>1.7891360310794924</v>
      </c>
      <c r="Q7" s="3">
        <f>'[1]2020'!N13</f>
        <v>1.6871318211026061</v>
      </c>
      <c r="R7" s="3">
        <v>13.791256906237754</v>
      </c>
      <c r="S7" s="3">
        <f>'[1]2020'!P13</f>
        <v>13.004974454332588</v>
      </c>
      <c r="T7" s="3">
        <v>4.8455767508402925</v>
      </c>
      <c r="U7" s="3">
        <f>'[1]2020'!S13</f>
        <v>4.5693153488195577</v>
      </c>
      <c r="V7" s="4">
        <f t="shared" si="29"/>
        <v>2.925982884161253</v>
      </c>
      <c r="W7" s="4">
        <f t="shared" si="4"/>
        <v>2.7591634990948872</v>
      </c>
      <c r="X7" s="3">
        <v>0</v>
      </c>
      <c r="Y7" s="3">
        <f>'[1]2020'!W13</f>
        <v>0</v>
      </c>
      <c r="Z7" s="3">
        <v>2.925982884161253</v>
      </c>
      <c r="AA7" s="3">
        <f>'[1]2020'!Y13</f>
        <v>2.7591634990948872</v>
      </c>
      <c r="AB7" s="3">
        <v>25.513825276539841</v>
      </c>
      <c r="AC7" s="3">
        <f>'[1]2020'!AA13</f>
        <v>24.059202740515293</v>
      </c>
      <c r="AD7" s="20"/>
      <c r="AE7" s="17">
        <v>5324.8522282316499</v>
      </c>
      <c r="AF7" s="26">
        <f t="shared" si="5"/>
        <v>2210.3713206668799</v>
      </c>
      <c r="AG7" s="26">
        <f t="shared" si="6"/>
        <v>2210.3713206668799</v>
      </c>
      <c r="AH7" s="52">
        <f t="shared" si="7"/>
        <v>0.35393734123624049</v>
      </c>
      <c r="AI7" s="52">
        <f t="shared" si="8"/>
        <v>0.35393734123624049</v>
      </c>
      <c r="AJ7" s="52">
        <f t="shared" si="9"/>
        <v>0.35393734123624049</v>
      </c>
      <c r="AK7" s="52">
        <f t="shared" si="10"/>
        <v>0.35393734123624049</v>
      </c>
      <c r="AL7" s="52">
        <f t="shared" si="11"/>
        <v>0.31329381879762913</v>
      </c>
      <c r="AM7" s="52">
        <f t="shared" si="12"/>
        <v>0.31329381879762913</v>
      </c>
      <c r="AN7" s="52">
        <f t="shared" si="13"/>
        <v>4.064352243861135E-2</v>
      </c>
      <c r="AO7" s="52">
        <f t="shared" si="14"/>
        <v>4.064352243861135E-2</v>
      </c>
      <c r="AP7" s="52">
        <f t="shared" si="15"/>
        <v>0.1100762066045724</v>
      </c>
      <c r="AQ7" s="52">
        <f t="shared" si="16"/>
        <v>0.1100762066045724</v>
      </c>
      <c r="AR7" s="52">
        <f t="shared" si="17"/>
        <v>0.88516746411483249</v>
      </c>
      <c r="AS7" s="52">
        <f t="shared" si="18"/>
        <v>0.11483253588516747</v>
      </c>
      <c r="AT7" s="52">
        <f t="shared" si="19"/>
        <v>0.64606265876375957</v>
      </c>
      <c r="AU7" s="52">
        <f t="shared" si="20"/>
        <v>0.64606265876375957</v>
      </c>
      <c r="AV7" s="52">
        <f t="shared" si="21"/>
        <v>0</v>
      </c>
      <c r="AW7" s="52">
        <f t="shared" si="22"/>
        <v>0</v>
      </c>
      <c r="AX7" s="52">
        <f t="shared" si="23"/>
        <v>6.6469093988145642E-2</v>
      </c>
      <c r="AY7" s="52">
        <f t="shared" si="24"/>
        <v>6.6469093988145642E-2</v>
      </c>
      <c r="AZ7" s="52">
        <f t="shared" si="25"/>
        <v>0</v>
      </c>
      <c r="BA7" s="52">
        <f t="shared" si="26"/>
        <v>0.10288335517693316</v>
      </c>
      <c r="BB7" s="52">
        <f t="shared" si="27"/>
        <v>0.41510472515045371</v>
      </c>
      <c r="BC7" s="53">
        <f t="shared" si="28"/>
        <v>0.41510472515045371</v>
      </c>
    </row>
    <row r="8" spans="1:55" x14ac:dyDescent="0.35">
      <c r="A8" s="1" t="s">
        <v>22</v>
      </c>
      <c r="B8" s="1">
        <v>2020</v>
      </c>
      <c r="C8" s="22">
        <f t="shared" si="1"/>
        <v>83.993559561974408</v>
      </c>
      <c r="D8" s="2">
        <v>56.080292033825813</v>
      </c>
      <c r="E8" s="3">
        <v>4.3138686179866008</v>
      </c>
      <c r="F8" s="3">
        <v>51.766423415839213</v>
      </c>
      <c r="G8" s="3">
        <v>27.913267528148594</v>
      </c>
      <c r="H8" s="4">
        <v>165.70330632619121</v>
      </c>
      <c r="I8" s="3">
        <v>0</v>
      </c>
      <c r="J8" s="3">
        <v>59.971232355931377</v>
      </c>
      <c r="K8" s="3">
        <v>105.73207397025983</v>
      </c>
      <c r="L8" s="3">
        <f t="shared" si="0"/>
        <v>5.1555237023163167</v>
      </c>
      <c r="M8" s="4">
        <v>3.4422076683139151</v>
      </c>
      <c r="N8" s="4">
        <f t="shared" si="2"/>
        <v>4.3137919434994298</v>
      </c>
      <c r="O8" s="4">
        <f t="shared" si="3"/>
        <v>2.6004759094970282</v>
      </c>
      <c r="P8" s="3">
        <v>0.26478520525491656</v>
      </c>
      <c r="Q8" s="3">
        <f>'[1]2020'!N14</f>
        <v>0.20003660842284832</v>
      </c>
      <c r="R8" s="3">
        <v>3.1774224630589987</v>
      </c>
      <c r="S8" s="3">
        <f>'[1]2020'!P14</f>
        <v>2.4004393010741798</v>
      </c>
      <c r="T8" s="3">
        <v>1.7133160340024014</v>
      </c>
      <c r="U8" s="3">
        <f>'[1]2020'!S14</f>
        <v>1.2943545250890187</v>
      </c>
      <c r="V8" s="4">
        <f t="shared" si="29"/>
        <v>3.6810335397203104</v>
      </c>
      <c r="W8" s="4">
        <f t="shared" si="4"/>
        <v>2.7809010857215584</v>
      </c>
      <c r="X8" s="3">
        <v>0</v>
      </c>
      <c r="Y8" s="3">
        <f>'[1]2020'!W14</f>
        <v>0</v>
      </c>
      <c r="Z8" s="3">
        <v>3.6810335397203104</v>
      </c>
      <c r="AA8" s="3">
        <f>'[1]2020'!Y14</f>
        <v>2.7809010857215584</v>
      </c>
      <c r="AB8" s="3">
        <v>6.4898334621303082</v>
      </c>
      <c r="AC8" s="3">
        <f>'[1]2020'!AA14</f>
        <v>4.9028580495796161</v>
      </c>
      <c r="AD8" s="20"/>
      <c r="AE8" s="17">
        <v>2156.5395714307001</v>
      </c>
      <c r="AF8" s="26">
        <f t="shared" si="5"/>
        <v>221.78359836001704</v>
      </c>
      <c r="AG8" s="26">
        <f t="shared" si="6"/>
        <v>221.78359836001704</v>
      </c>
      <c r="AH8" s="52">
        <f t="shared" si="7"/>
        <v>0.25286041189931346</v>
      </c>
      <c r="AI8" s="52">
        <f t="shared" si="8"/>
        <v>0.25286041189931346</v>
      </c>
      <c r="AJ8" s="52">
        <f t="shared" si="9"/>
        <v>0.25286041189931346</v>
      </c>
      <c r="AK8" s="52">
        <f t="shared" si="10"/>
        <v>0.25286041189931346</v>
      </c>
      <c r="AL8" s="52">
        <f t="shared" si="11"/>
        <v>0.23340961098398166</v>
      </c>
      <c r="AM8" s="52">
        <f t="shared" si="12"/>
        <v>0.23340961098398166</v>
      </c>
      <c r="AN8" s="52">
        <f t="shared" si="13"/>
        <v>1.9450800915331804E-2</v>
      </c>
      <c r="AO8" s="52">
        <f t="shared" si="14"/>
        <v>1.9450800915331804E-2</v>
      </c>
      <c r="AP8" s="52">
        <f t="shared" si="15"/>
        <v>0.12585812356979403</v>
      </c>
      <c r="AQ8" s="52">
        <f t="shared" si="16"/>
        <v>0.12585812356979403</v>
      </c>
      <c r="AR8" s="52">
        <f t="shared" si="17"/>
        <v>0.92307692307692313</v>
      </c>
      <c r="AS8" s="52">
        <f t="shared" si="18"/>
        <v>7.6923076923076913E-2</v>
      </c>
      <c r="AT8" s="52">
        <f t="shared" si="19"/>
        <v>0.74713958810068648</v>
      </c>
      <c r="AU8" s="52">
        <f t="shared" si="20"/>
        <v>0.74713958810068648</v>
      </c>
      <c r="AV8" s="52">
        <f t="shared" si="21"/>
        <v>0</v>
      </c>
      <c r="AW8" s="52">
        <f t="shared" si="22"/>
        <v>0</v>
      </c>
      <c r="AX8" s="52">
        <f t="shared" si="23"/>
        <v>0.27040427154843627</v>
      </c>
      <c r="AY8" s="52">
        <f t="shared" si="24"/>
        <v>0.27040427154843627</v>
      </c>
      <c r="AZ8" s="52">
        <f t="shared" si="25"/>
        <v>0</v>
      </c>
      <c r="BA8" s="52">
        <f t="shared" si="26"/>
        <v>0.36191934660541092</v>
      </c>
      <c r="BB8" s="52">
        <f t="shared" si="27"/>
        <v>0.10284235044798203</v>
      </c>
      <c r="BC8" s="53">
        <f t="shared" si="28"/>
        <v>0.10284235044798203</v>
      </c>
    </row>
    <row r="9" spans="1:55" x14ac:dyDescent="0.35">
      <c r="A9" s="1" t="s">
        <v>23</v>
      </c>
      <c r="B9" s="1">
        <v>2020</v>
      </c>
      <c r="C9" s="22">
        <f t="shared" si="1"/>
        <v>53.088605610291218</v>
      </c>
      <c r="D9" s="2">
        <v>52.473943366947367</v>
      </c>
      <c r="E9" s="3">
        <v>5.0083590198387942</v>
      </c>
      <c r="F9" s="3">
        <v>47.465584347108575</v>
      </c>
      <c r="G9" s="3">
        <v>0.614662243343852</v>
      </c>
      <c r="H9" s="4">
        <v>183.53245454540618</v>
      </c>
      <c r="I9" s="3">
        <v>0.72735032129022481</v>
      </c>
      <c r="J9" s="3">
        <v>171.4224700881187</v>
      </c>
      <c r="K9" s="3">
        <v>11.382634135997259</v>
      </c>
      <c r="L9" s="3">
        <f t="shared" si="0"/>
        <v>4.1782242339293756</v>
      </c>
      <c r="M9" s="4">
        <v>4.129848567413041</v>
      </c>
      <c r="N9" s="4">
        <f t="shared" si="2"/>
        <v>2.9692292385027823</v>
      </c>
      <c r="O9" s="4">
        <f t="shared" si="3"/>
        <v>2.9208535719864472</v>
      </c>
      <c r="P9" s="3">
        <v>0.39417209754050719</v>
      </c>
      <c r="Q9" s="3">
        <f>'[1]2020'!N15</f>
        <v>0.27877995047159143</v>
      </c>
      <c r="R9" s="3">
        <v>3.7356764698725335</v>
      </c>
      <c r="S9" s="3">
        <f>'[1]2020'!P15</f>
        <v>2.6420736215148559</v>
      </c>
      <c r="T9" s="3">
        <v>4.8375666516334973E-2</v>
      </c>
      <c r="U9" s="3">
        <f>'[1]2020'!S15</f>
        <v>3.4213903012422588E-2</v>
      </c>
      <c r="V9" s="4">
        <f t="shared" si="29"/>
        <v>13.548680422711083</v>
      </c>
      <c r="W9" s="4">
        <f t="shared" si="4"/>
        <v>9.5823638475847766</v>
      </c>
      <c r="X9" s="3">
        <v>5.7244538710996377E-2</v>
      </c>
      <c r="Y9" s="3">
        <f>'[1]2020'!W15</f>
        <v>4.0486451898033397E-2</v>
      </c>
      <c r="Z9" s="3">
        <v>13.491435884000087</v>
      </c>
      <c r="AA9" s="3">
        <f>'[1]2020'!Y15</f>
        <v>9.5418773956867433</v>
      </c>
      <c r="AB9" s="3">
        <v>0.89584567622842526</v>
      </c>
      <c r="AC9" s="3">
        <f>'[1]2020'!AA15</f>
        <v>0.6335907965263442</v>
      </c>
      <c r="AD9" s="20"/>
      <c r="AE9" s="17">
        <v>1796.5276955414199</v>
      </c>
      <c r="AF9" s="26">
        <f t="shared" si="5"/>
        <v>236.00639791235355</v>
      </c>
      <c r="AG9" s="26">
        <f t="shared" si="6"/>
        <v>236.00639791235355</v>
      </c>
      <c r="AH9" s="52">
        <f t="shared" si="7"/>
        <v>0.22234119003178374</v>
      </c>
      <c r="AI9" s="52">
        <f t="shared" si="8"/>
        <v>0.22234119003178374</v>
      </c>
      <c r="AJ9" s="52">
        <f t="shared" si="9"/>
        <v>0.22234119003178374</v>
      </c>
      <c r="AK9" s="52">
        <f t="shared" si="10"/>
        <v>0.22234119003178374</v>
      </c>
      <c r="AL9" s="52">
        <f t="shared" si="11"/>
        <v>0.20111990508298008</v>
      </c>
      <c r="AM9" s="52">
        <f t="shared" si="12"/>
        <v>0.20111990508298008</v>
      </c>
      <c r="AN9" s="52">
        <f t="shared" si="13"/>
        <v>2.1221284948803654E-2</v>
      </c>
      <c r="AO9" s="52">
        <f t="shared" si="14"/>
        <v>2.1221284948803654E-2</v>
      </c>
      <c r="AP9" s="52">
        <f t="shared" si="15"/>
        <v>2.6044304255349936E-3</v>
      </c>
      <c r="AQ9" s="52">
        <f t="shared" si="16"/>
        <v>2.6044304255349936E-3</v>
      </c>
      <c r="AR9" s="52">
        <f t="shared" si="17"/>
        <v>0.90455531453362259</v>
      </c>
      <c r="AS9" s="52">
        <f t="shared" si="18"/>
        <v>9.5444685466377438E-2</v>
      </c>
      <c r="AT9" s="52">
        <f t="shared" si="19"/>
        <v>0.77765880996821624</v>
      </c>
      <c r="AU9" s="52">
        <f t="shared" si="20"/>
        <v>0.77765880996821624</v>
      </c>
      <c r="AV9" s="52">
        <f t="shared" si="21"/>
        <v>3.0819093368830756E-3</v>
      </c>
      <c r="AW9" s="52">
        <f t="shared" si="22"/>
        <v>3.0819093368830756E-3</v>
      </c>
      <c r="AX9" s="52">
        <f t="shared" si="23"/>
        <v>0.72634670756587039</v>
      </c>
      <c r="AY9" s="52">
        <f t="shared" si="24"/>
        <v>0.72634670756587039</v>
      </c>
      <c r="AZ9" s="52">
        <f t="shared" si="25"/>
        <v>3.9630610460248458E-3</v>
      </c>
      <c r="BA9" s="52">
        <f t="shared" si="26"/>
        <v>0.93401720427440016</v>
      </c>
      <c r="BB9" s="52">
        <f t="shared" si="27"/>
        <v>0.13136808216097567</v>
      </c>
      <c r="BC9" s="53">
        <f t="shared" si="28"/>
        <v>0.13136808216097567</v>
      </c>
    </row>
    <row r="10" spans="1:55" x14ac:dyDescent="0.35">
      <c r="A10" s="1" t="s">
        <v>24</v>
      </c>
      <c r="B10" s="1">
        <v>2020</v>
      </c>
      <c r="C10" s="22">
        <f t="shared" si="1"/>
        <v>449.51075946203554</v>
      </c>
      <c r="D10" s="2">
        <v>440.54615742148212</v>
      </c>
      <c r="E10" s="3">
        <v>144.71429008321942</v>
      </c>
      <c r="F10" s="3">
        <v>295.83186733826267</v>
      </c>
      <c r="G10" s="3">
        <v>8.9646020405534159</v>
      </c>
      <c r="H10" s="4">
        <v>436.70418511838778</v>
      </c>
      <c r="I10" s="3">
        <v>1.2806574343647736</v>
      </c>
      <c r="J10" s="3">
        <v>435.42352768402304</v>
      </c>
      <c r="K10" s="3">
        <v>0</v>
      </c>
      <c r="L10" s="3">
        <f t="shared" si="0"/>
        <v>16.588835489964183</v>
      </c>
      <c r="M10" s="4">
        <v>16.258004012956349</v>
      </c>
      <c r="N10" s="4">
        <f t="shared" si="2"/>
        <v>15.305267368341555</v>
      </c>
      <c r="O10" s="4">
        <f t="shared" si="3"/>
        <v>14.974435891333723</v>
      </c>
      <c r="P10" s="3">
        <v>5.3405652716978693</v>
      </c>
      <c r="Q10" s="3">
        <f>'[1]2020'!N16</f>
        <v>4.9189280689555543</v>
      </c>
      <c r="R10" s="3">
        <v>10.917438741258479</v>
      </c>
      <c r="S10" s="3">
        <f>'[1]2020'!P16</f>
        <v>10.055507822378168</v>
      </c>
      <c r="T10" s="3">
        <v>0.33083147700783261</v>
      </c>
      <c r="U10" s="3">
        <f>'[1]2020'!S16</f>
        <v>0.30471235825388393</v>
      </c>
      <c r="V10" s="4">
        <f t="shared" si="29"/>
        <v>16.116219094238705</v>
      </c>
      <c r="W10" s="4">
        <f t="shared" si="4"/>
        <v>14.843844880653489</v>
      </c>
      <c r="X10" s="3">
        <v>4.7261639572547517E-2</v>
      </c>
      <c r="Y10" s="3">
        <f>'[1]2020'!W16</f>
        <v>4.3530336893411993E-2</v>
      </c>
      <c r="Z10" s="3">
        <v>16.068957454666158</v>
      </c>
      <c r="AA10" s="3">
        <f>'[1]2020'!Y16</f>
        <v>14.800314543760077</v>
      </c>
      <c r="AB10" s="3">
        <v>0</v>
      </c>
      <c r="AC10" s="3">
        <f>'[1]2020'!AA16</f>
        <v>0</v>
      </c>
      <c r="AD10" s="20"/>
      <c r="AE10" s="17">
        <v>2941.9883367789698</v>
      </c>
      <c r="AF10" s="26">
        <f t="shared" si="5"/>
        <v>877.25034253986996</v>
      </c>
      <c r="AG10" s="26">
        <f t="shared" si="6"/>
        <v>877.25034253986996</v>
      </c>
      <c r="AH10" s="52">
        <f t="shared" si="7"/>
        <v>0.50218978102189782</v>
      </c>
      <c r="AI10" s="52">
        <f t="shared" si="8"/>
        <v>0.50218978102189782</v>
      </c>
      <c r="AJ10" s="52">
        <f t="shared" si="9"/>
        <v>0.50218978102189782</v>
      </c>
      <c r="AK10" s="52">
        <f t="shared" si="10"/>
        <v>0.50218978102189782</v>
      </c>
      <c r="AL10" s="52">
        <f t="shared" si="11"/>
        <v>0.33722627737226274</v>
      </c>
      <c r="AM10" s="52">
        <f t="shared" si="12"/>
        <v>0.33722627737226274</v>
      </c>
      <c r="AN10" s="52">
        <f t="shared" si="13"/>
        <v>0.16496350364963502</v>
      </c>
      <c r="AO10" s="52">
        <f t="shared" si="14"/>
        <v>0.16496350364963502</v>
      </c>
      <c r="AP10" s="52">
        <f t="shared" si="15"/>
        <v>1.0218978102189781E-2</v>
      </c>
      <c r="AQ10" s="52">
        <f t="shared" si="16"/>
        <v>1.0218978102189781E-2</v>
      </c>
      <c r="AR10" s="52">
        <f t="shared" si="17"/>
        <v>0.67151162790697672</v>
      </c>
      <c r="AS10" s="52">
        <f t="shared" si="18"/>
        <v>0.32848837209302328</v>
      </c>
      <c r="AT10" s="52">
        <f t="shared" si="19"/>
        <v>0.49781021897810213</v>
      </c>
      <c r="AU10" s="52">
        <f t="shared" si="20"/>
        <v>0.49781021897810213</v>
      </c>
      <c r="AV10" s="52">
        <f t="shared" si="21"/>
        <v>1.4598540145985401E-3</v>
      </c>
      <c r="AW10" s="52">
        <f t="shared" si="22"/>
        <v>1.4598540145985401E-3</v>
      </c>
      <c r="AX10" s="52">
        <f t="shared" si="23"/>
        <v>0.49635036496350365</v>
      </c>
      <c r="AY10" s="52">
        <f t="shared" si="24"/>
        <v>0.49635036496350365</v>
      </c>
      <c r="AZ10" s="52">
        <f t="shared" si="25"/>
        <v>2.9325513196480938E-3</v>
      </c>
      <c r="BA10" s="52">
        <f t="shared" si="26"/>
        <v>0.99706744868035202</v>
      </c>
      <c r="BB10" s="52">
        <f t="shared" si="27"/>
        <v>0.2981828077198721</v>
      </c>
      <c r="BC10" s="53">
        <f t="shared" si="28"/>
        <v>0.2981828077198721</v>
      </c>
    </row>
    <row r="11" spans="1:55" x14ac:dyDescent="0.35">
      <c r="A11" s="1" t="s">
        <v>25</v>
      </c>
      <c r="B11" s="1">
        <v>2020</v>
      </c>
      <c r="C11" s="22">
        <f t="shared" si="1"/>
        <v>3521.3</v>
      </c>
      <c r="D11" s="2">
        <v>3503.3</v>
      </c>
      <c r="E11" s="3">
        <v>483.8</v>
      </c>
      <c r="F11" s="3">
        <v>3019.5</v>
      </c>
      <c r="G11" s="3">
        <v>18</v>
      </c>
      <c r="H11" s="4">
        <v>510</v>
      </c>
      <c r="I11" s="3">
        <v>56</v>
      </c>
      <c r="J11" s="3">
        <v>454</v>
      </c>
      <c r="K11" s="3">
        <v>0</v>
      </c>
      <c r="L11" s="3">
        <f t="shared" si="0"/>
        <v>16.805210060898986</v>
      </c>
      <c r="M11" s="4">
        <v>16.719306053544834</v>
      </c>
      <c r="N11" s="4">
        <f t="shared" si="2"/>
        <v>17.625017285052099</v>
      </c>
      <c r="O11" s="4">
        <f t="shared" si="3"/>
        <v>17.539113277697947</v>
      </c>
      <c r="P11" s="3">
        <v>2.3089088198855334</v>
      </c>
      <c r="Q11" s="3">
        <f>'[1]2020'!N17</f>
        <v>2.4221228566637936</v>
      </c>
      <c r="R11" s="3">
        <v>14.4103972336593</v>
      </c>
      <c r="S11" s="3">
        <f>'[1]2020'!P17</f>
        <v>15.116990421034155</v>
      </c>
      <c r="T11" s="3">
        <v>8.5904007354153794E-2</v>
      </c>
      <c r="U11" s="3">
        <f>'[1]2020'!S17</f>
        <v>9.0116187308698387E-2</v>
      </c>
      <c r="V11" s="4">
        <f t="shared" si="29"/>
        <v>2.4339468750343576</v>
      </c>
      <c r="W11" s="4">
        <f t="shared" si="4"/>
        <v>2.5532919737464543</v>
      </c>
      <c r="X11" s="3">
        <v>0.26725691176847849</v>
      </c>
      <c r="Y11" s="3">
        <f>'[1]2020'!W17</f>
        <v>0.28036147162706165</v>
      </c>
      <c r="Z11" s="3">
        <v>2.1666899632658789</v>
      </c>
      <c r="AA11" s="3">
        <f>'[1]2020'!Y17</f>
        <v>2.2729305021193928</v>
      </c>
      <c r="AB11" s="3">
        <v>0</v>
      </c>
      <c r="AC11" s="3">
        <f>'[1]2020'!AA17</f>
        <v>0</v>
      </c>
      <c r="AD11" s="20"/>
      <c r="AE11" s="17">
        <v>19974.2138871676</v>
      </c>
      <c r="AF11" s="26">
        <f t="shared" si="5"/>
        <v>4013.3</v>
      </c>
      <c r="AG11" s="26">
        <f t="shared" si="6"/>
        <v>4013.3</v>
      </c>
      <c r="AH11" s="52">
        <f t="shared" si="7"/>
        <v>0.87292253257917429</v>
      </c>
      <c r="AI11" s="52">
        <f t="shared" si="8"/>
        <v>0.87292253257917429</v>
      </c>
      <c r="AJ11" s="52">
        <f t="shared" si="9"/>
        <v>0.87292253257917429</v>
      </c>
      <c r="AK11" s="52">
        <f t="shared" si="10"/>
        <v>0.87292253257917429</v>
      </c>
      <c r="AL11" s="52">
        <f t="shared" si="11"/>
        <v>0.75237335858271248</v>
      </c>
      <c r="AM11" s="52">
        <f t="shared" si="12"/>
        <v>0.75237335858271248</v>
      </c>
      <c r="AN11" s="52">
        <f t="shared" si="13"/>
        <v>0.12054917399646176</v>
      </c>
      <c r="AO11" s="52">
        <f t="shared" si="14"/>
        <v>0.12054917399646176</v>
      </c>
      <c r="AP11" s="52">
        <f t="shared" si="15"/>
        <v>4.4850870854409091E-3</v>
      </c>
      <c r="AQ11" s="52">
        <f t="shared" si="16"/>
        <v>4.4850870854409091E-3</v>
      </c>
      <c r="AR11" s="52">
        <f t="shared" si="17"/>
        <v>0.86190163560071931</v>
      </c>
      <c r="AS11" s="52">
        <f t="shared" si="18"/>
        <v>0.13809836439928067</v>
      </c>
      <c r="AT11" s="52">
        <f t="shared" si="19"/>
        <v>0.12707746742082573</v>
      </c>
      <c r="AU11" s="52">
        <f t="shared" si="20"/>
        <v>0.12707746742082573</v>
      </c>
      <c r="AV11" s="52">
        <f t="shared" si="21"/>
        <v>1.395360426581616E-2</v>
      </c>
      <c r="AW11" s="52">
        <f t="shared" si="22"/>
        <v>1.395360426581616E-2</v>
      </c>
      <c r="AX11" s="52">
        <f t="shared" si="23"/>
        <v>0.11312386315500959</v>
      </c>
      <c r="AY11" s="52">
        <f t="shared" si="24"/>
        <v>0.11312386315500959</v>
      </c>
      <c r="AZ11" s="52">
        <f t="shared" si="25"/>
        <v>0.10980392156862745</v>
      </c>
      <c r="BA11" s="52">
        <f t="shared" si="26"/>
        <v>0.8901960784313725</v>
      </c>
      <c r="BB11" s="52">
        <f t="shared" si="27"/>
        <v>0.20092405251444403</v>
      </c>
      <c r="BC11" s="53">
        <f t="shared" si="28"/>
        <v>0.20092405251444403</v>
      </c>
    </row>
    <row r="12" spans="1:55" x14ac:dyDescent="0.35">
      <c r="A12" s="1" t="s">
        <v>26</v>
      </c>
      <c r="B12" s="1">
        <v>2020</v>
      </c>
      <c r="C12" s="22">
        <f t="shared" si="1"/>
        <v>11.546007302945162</v>
      </c>
      <c r="D12" s="2">
        <v>7.2279883115998169</v>
      </c>
      <c r="E12" s="3">
        <v>2.3467494518181224</v>
      </c>
      <c r="F12" s="3">
        <v>4.8812388597816945</v>
      </c>
      <c r="G12" s="3">
        <v>4.3180189913453448</v>
      </c>
      <c r="H12" s="4">
        <v>13.588242545895366</v>
      </c>
      <c r="I12" s="3">
        <v>1.8445450691290441</v>
      </c>
      <c r="J12" s="3">
        <v>1.1504704512593162</v>
      </c>
      <c r="K12" s="3">
        <v>10.593227025507003</v>
      </c>
      <c r="L12" s="3">
        <f t="shared" si="0"/>
        <v>1.0882553668111081</v>
      </c>
      <c r="M12" s="4">
        <v>0.68126555483297013</v>
      </c>
      <c r="N12" s="4">
        <f t="shared" si="2"/>
        <v>0.7104741620010524</v>
      </c>
      <c r="O12" s="4">
        <f t="shared" si="3"/>
        <v>0.30348435002291441</v>
      </c>
      <c r="P12" s="3">
        <v>0.22119011520550977</v>
      </c>
      <c r="Q12" s="3">
        <f>'[1]2020'!N18</f>
        <v>9.8533879877569633E-2</v>
      </c>
      <c r="R12" s="3">
        <v>0.46007543962746028</v>
      </c>
      <c r="S12" s="3">
        <f>'[1]2020'!P18</f>
        <v>0.20495047014534479</v>
      </c>
      <c r="T12" s="3">
        <v>0.40698981197813799</v>
      </c>
      <c r="U12" s="3">
        <f>'[1]2020'!S18</f>
        <v>0.18130233897472808</v>
      </c>
      <c r="V12" s="4">
        <f t="shared" si="29"/>
        <v>0.28229167262987975</v>
      </c>
      <c r="W12" s="4">
        <f t="shared" si="4"/>
        <v>0.12575287885494946</v>
      </c>
      <c r="X12" s="3">
        <v>0.17385543055153066</v>
      </c>
      <c r="Y12" s="3">
        <f>'[1]2020'!W18</f>
        <v>7.7447629583769731E-2</v>
      </c>
      <c r="Z12" s="3">
        <v>0.10843624207834911</v>
      </c>
      <c r="AA12" s="3">
        <f>'[1]2020'!Y18</f>
        <v>4.8305249271179726E-2</v>
      </c>
      <c r="AB12" s="3">
        <v>0.99845218003767111</v>
      </c>
      <c r="AC12" s="3">
        <f>'[1]2020'!AA18</f>
        <v>0.4447819337673492</v>
      </c>
      <c r="AD12" s="20"/>
      <c r="AE12" s="17">
        <v>2381.6675591522499</v>
      </c>
      <c r="AF12" s="26">
        <f t="shared" si="5"/>
        <v>20.816230857495182</v>
      </c>
      <c r="AG12" s="26">
        <f t="shared" si="6"/>
        <v>20.816230857495182</v>
      </c>
      <c r="AH12" s="52">
        <f t="shared" si="7"/>
        <v>0.34722848536229006</v>
      </c>
      <c r="AI12" s="52">
        <f t="shared" si="8"/>
        <v>0.34722848536229006</v>
      </c>
      <c r="AJ12" s="52">
        <f t="shared" si="9"/>
        <v>0.34722848536229006</v>
      </c>
      <c r="AK12" s="52">
        <f t="shared" si="10"/>
        <v>0.34722848536229006</v>
      </c>
      <c r="AL12" s="52">
        <f t="shared" si="11"/>
        <v>0.23449196414076734</v>
      </c>
      <c r="AM12" s="52">
        <f t="shared" si="12"/>
        <v>0.23449196414076734</v>
      </c>
      <c r="AN12" s="52">
        <f t="shared" si="13"/>
        <v>0.11273652122152276</v>
      </c>
      <c r="AO12" s="52">
        <f t="shared" si="14"/>
        <v>0.11273652122152276</v>
      </c>
      <c r="AP12" s="52">
        <f t="shared" si="15"/>
        <v>0.20743519904760185</v>
      </c>
      <c r="AQ12" s="52">
        <f t="shared" si="16"/>
        <v>0.20743519904760185</v>
      </c>
      <c r="AR12" s="52">
        <f t="shared" si="17"/>
        <v>0.67532467532467533</v>
      </c>
      <c r="AS12" s="52">
        <f t="shared" si="18"/>
        <v>0.32467532467532467</v>
      </c>
      <c r="AT12" s="52">
        <f t="shared" si="19"/>
        <v>0.65277151463770999</v>
      </c>
      <c r="AU12" s="52">
        <f t="shared" si="20"/>
        <v>0.65277151463770999</v>
      </c>
      <c r="AV12" s="52">
        <f t="shared" si="21"/>
        <v>8.8610905680116883E-2</v>
      </c>
      <c r="AW12" s="52">
        <f t="shared" si="22"/>
        <v>8.8610905680116883E-2</v>
      </c>
      <c r="AX12" s="52">
        <f t="shared" si="23"/>
        <v>5.5267952163639313E-2</v>
      </c>
      <c r="AY12" s="52">
        <f t="shared" si="24"/>
        <v>5.5267952163639313E-2</v>
      </c>
      <c r="AZ12" s="52">
        <f t="shared" si="25"/>
        <v>0.13574566857332337</v>
      </c>
      <c r="BA12" s="52">
        <f t="shared" si="26"/>
        <v>8.4666611401254518E-2</v>
      </c>
      <c r="BB12" s="52">
        <f t="shared" si="27"/>
        <v>8.7401916264521311E-3</v>
      </c>
      <c r="BC12" s="53">
        <f t="shared" si="28"/>
        <v>8.7401916264521311E-3</v>
      </c>
    </row>
    <row r="13" spans="1:55" x14ac:dyDescent="0.35">
      <c r="A13" s="1" t="s">
        <v>27</v>
      </c>
      <c r="B13" s="1">
        <v>2020</v>
      </c>
      <c r="C13" s="22">
        <f t="shared" si="1"/>
        <v>17.477922777838288</v>
      </c>
      <c r="D13" s="2">
        <v>7.6102084556631384</v>
      </c>
      <c r="E13" s="3">
        <v>2.0161373147465773</v>
      </c>
      <c r="F13" s="3">
        <v>5.5940711409165607</v>
      </c>
      <c r="G13" s="3">
        <v>9.86771432217515</v>
      </c>
      <c r="H13" s="4">
        <v>63.976864367944216</v>
      </c>
      <c r="I13" s="3">
        <v>2.9816115218083188</v>
      </c>
      <c r="J13" s="3">
        <v>43.44633931777836</v>
      </c>
      <c r="K13" s="3">
        <v>17.548913528357534</v>
      </c>
      <c r="L13" s="3">
        <f t="shared" si="0"/>
        <v>2.4593000865524277</v>
      </c>
      <c r="M13" s="4">
        <v>1.0708244081170604</v>
      </c>
      <c r="N13" s="4">
        <f t="shared" si="2"/>
        <v>1.7145645705963146</v>
      </c>
      <c r="O13" s="4">
        <f t="shared" si="3"/>
        <v>0.32608889216094727</v>
      </c>
      <c r="P13" s="3">
        <v>0.28368855588175851</v>
      </c>
      <c r="Q13" s="3">
        <f>'[1]2020'!N19</f>
        <v>8.6389221430698715E-2</v>
      </c>
      <c r="R13" s="3">
        <v>0.78713585223530191</v>
      </c>
      <c r="S13" s="3">
        <f>'[1]2020'!P19</f>
        <v>0.23969967073024859</v>
      </c>
      <c r="T13" s="3">
        <v>1.3884756784353673</v>
      </c>
      <c r="U13" s="3">
        <f>'[1]2020'!S19</f>
        <v>0.42282048517137749</v>
      </c>
      <c r="V13" s="4">
        <f t="shared" si="29"/>
        <v>6.5328280122066928</v>
      </c>
      <c r="W13" s="4">
        <f t="shared" si="4"/>
        <v>1.9893855921013015</v>
      </c>
      <c r="X13" s="3">
        <v>0.41953941362795277</v>
      </c>
      <c r="Y13" s="3">
        <f>'[1]2020'!W19</f>
        <v>0.12775870774962486</v>
      </c>
      <c r="Z13" s="3">
        <v>6.1132885985787402</v>
      </c>
      <c r="AA13" s="3">
        <f>'[1]2020'!Y19</f>
        <v>1.8616268843516766</v>
      </c>
      <c r="AB13" s="3">
        <v>2.4692891202102363</v>
      </c>
      <c r="AC13" s="3">
        <f>'[1]2020'!AA19</f>
        <v>0.75195125132636342</v>
      </c>
      <c r="AD13" s="20"/>
      <c r="AE13" s="17">
        <v>2333.7834064911899</v>
      </c>
      <c r="AF13" s="26">
        <f t="shared" si="5"/>
        <v>71.587072823607357</v>
      </c>
      <c r="AG13" s="26">
        <f t="shared" si="6"/>
        <v>71.587072823607357</v>
      </c>
      <c r="AH13" s="52">
        <f t="shared" si="7"/>
        <v>0.10630702102340341</v>
      </c>
      <c r="AI13" s="52">
        <f t="shared" si="8"/>
        <v>0.10630702102340341</v>
      </c>
      <c r="AJ13" s="52">
        <f t="shared" si="9"/>
        <v>0.10630702102340341</v>
      </c>
      <c r="AK13" s="52">
        <f t="shared" si="10"/>
        <v>0.10630702102340341</v>
      </c>
      <c r="AL13" s="52">
        <f t="shared" si="11"/>
        <v>7.814359381197937E-2</v>
      </c>
      <c r="AM13" s="52">
        <f t="shared" si="12"/>
        <v>7.814359381197937E-2</v>
      </c>
      <c r="AN13" s="52">
        <f t="shared" si="13"/>
        <v>2.8163427211424032E-2</v>
      </c>
      <c r="AO13" s="52">
        <f t="shared" si="14"/>
        <v>2.8163427211424032E-2</v>
      </c>
      <c r="AP13" s="52">
        <f t="shared" si="15"/>
        <v>0.13784212614042043</v>
      </c>
      <c r="AQ13" s="52">
        <f t="shared" si="16"/>
        <v>0.13784212614042043</v>
      </c>
      <c r="AR13" s="52">
        <f t="shared" si="17"/>
        <v>0.7350746268656716</v>
      </c>
      <c r="AS13" s="52">
        <f t="shared" si="18"/>
        <v>0.26492537313432829</v>
      </c>
      <c r="AT13" s="52">
        <f t="shared" si="19"/>
        <v>0.8936929789765965</v>
      </c>
      <c r="AU13" s="52">
        <f t="shared" si="20"/>
        <v>0.8936929789765965</v>
      </c>
      <c r="AV13" s="52">
        <f t="shared" si="21"/>
        <v>4.1650138833796105E-2</v>
      </c>
      <c r="AW13" s="52">
        <f t="shared" si="22"/>
        <v>4.1650138833796105E-2</v>
      </c>
      <c r="AX13" s="52">
        <f t="shared" si="23"/>
        <v>0.60690202300674334</v>
      </c>
      <c r="AY13" s="52">
        <f t="shared" si="24"/>
        <v>0.60690202300674334</v>
      </c>
      <c r="AZ13" s="52">
        <f t="shared" si="25"/>
        <v>4.6604527296937412E-2</v>
      </c>
      <c r="BA13" s="52">
        <f t="shared" si="26"/>
        <v>0.67909454061251662</v>
      </c>
      <c r="BB13" s="52">
        <f t="shared" si="27"/>
        <v>3.0674257355886123E-2</v>
      </c>
      <c r="BC13" s="53">
        <f t="shared" si="28"/>
        <v>3.0674257355886123E-2</v>
      </c>
    </row>
    <row r="14" spans="1:55" x14ac:dyDescent="0.35">
      <c r="A14" s="5" t="s">
        <v>28</v>
      </c>
      <c r="B14" s="1">
        <v>2020</v>
      </c>
      <c r="C14" s="22">
        <f t="shared" si="1"/>
        <v>36.424429235191226</v>
      </c>
      <c r="D14" s="2">
        <v>36.424429235191226</v>
      </c>
      <c r="E14" s="3">
        <v>2.0488741444795067</v>
      </c>
      <c r="F14" s="3">
        <v>34.375555090711721</v>
      </c>
      <c r="G14" s="3">
        <v>0</v>
      </c>
      <c r="H14" s="4">
        <v>10.244370722397534</v>
      </c>
      <c r="I14" s="3">
        <v>0</v>
      </c>
      <c r="J14" s="3">
        <v>10.244370722397534</v>
      </c>
      <c r="K14" s="3">
        <v>0</v>
      </c>
      <c r="L14" s="3">
        <f t="shared" si="0"/>
        <v>8.5545887757554304</v>
      </c>
      <c r="M14" s="4">
        <v>8.5545887757554304</v>
      </c>
      <c r="N14" s="4">
        <f t="shared" si="2"/>
        <v>7.7730461793951982</v>
      </c>
      <c r="O14" s="4">
        <f t="shared" si="3"/>
        <v>7.7730461793951982</v>
      </c>
      <c r="P14" s="3">
        <v>0.48119561863624288</v>
      </c>
      <c r="Q14" s="3">
        <f>'[1]2020'!N20</f>
        <v>0.43723384759097994</v>
      </c>
      <c r="R14" s="3">
        <v>8.0733931571191864</v>
      </c>
      <c r="S14" s="3">
        <f>'[1]2020'!P20</f>
        <v>7.3358123318042185</v>
      </c>
      <c r="T14" s="3">
        <v>0</v>
      </c>
      <c r="U14" s="3">
        <f>'[1]2020'!S20</f>
        <v>0</v>
      </c>
      <c r="V14" s="4">
        <f t="shared" si="29"/>
        <v>2.4059780931812145</v>
      </c>
      <c r="W14" s="4">
        <f t="shared" si="4"/>
        <v>2.1861692379548998</v>
      </c>
      <c r="X14" s="3">
        <v>0</v>
      </c>
      <c r="Y14" s="3">
        <f>'[1]2020'!W20</f>
        <v>0</v>
      </c>
      <c r="Z14" s="3">
        <v>2.4059780931812145</v>
      </c>
      <c r="AA14" s="3">
        <f>'[1]2020'!Y20</f>
        <v>2.1861692379548998</v>
      </c>
      <c r="AB14" s="3">
        <v>0</v>
      </c>
      <c r="AC14" s="3">
        <f>'[1]2020'!AA20</f>
        <v>0</v>
      </c>
      <c r="AD14" s="20"/>
      <c r="AE14" s="17">
        <v>468.59916169988998</v>
      </c>
      <c r="AF14" s="26">
        <f t="shared" si="5"/>
        <v>46.66879995758876</v>
      </c>
      <c r="AG14" s="26">
        <f t="shared" si="6"/>
        <v>46.66879995758876</v>
      </c>
      <c r="AH14" s="52">
        <f t="shared" si="7"/>
        <v>0.78048780487804881</v>
      </c>
      <c r="AI14" s="52">
        <f t="shared" si="8"/>
        <v>0.78048780487804881</v>
      </c>
      <c r="AJ14" s="52">
        <f t="shared" si="9"/>
        <v>0.78048780487804881</v>
      </c>
      <c r="AK14" s="52">
        <f t="shared" si="10"/>
        <v>0.78048780487804881</v>
      </c>
      <c r="AL14" s="52">
        <f t="shared" si="11"/>
        <v>0.73658536585365852</v>
      </c>
      <c r="AM14" s="52">
        <f t="shared" si="12"/>
        <v>0.73658536585365852</v>
      </c>
      <c r="AN14" s="52">
        <f t="shared" si="13"/>
        <v>4.3902439024390248E-2</v>
      </c>
      <c r="AO14" s="52">
        <f t="shared" si="14"/>
        <v>4.3902439024390248E-2</v>
      </c>
      <c r="AP14" s="52">
        <f t="shared" si="15"/>
        <v>0</v>
      </c>
      <c r="AQ14" s="52">
        <f t="shared" si="16"/>
        <v>0</v>
      </c>
      <c r="AR14" s="52">
        <f t="shared" si="17"/>
        <v>0.94374999999999998</v>
      </c>
      <c r="AS14" s="52">
        <f t="shared" si="18"/>
        <v>5.6250000000000008E-2</v>
      </c>
      <c r="AT14" s="52">
        <f t="shared" si="19"/>
        <v>0.21951219512195125</v>
      </c>
      <c r="AU14" s="52">
        <f t="shared" si="20"/>
        <v>0.21951219512195125</v>
      </c>
      <c r="AV14" s="52">
        <f t="shared" si="21"/>
        <v>0</v>
      </c>
      <c r="AW14" s="52">
        <f t="shared" si="22"/>
        <v>0</v>
      </c>
      <c r="AX14" s="52">
        <f t="shared" si="23"/>
        <v>0.21951219512195125</v>
      </c>
      <c r="AY14" s="52">
        <f t="shared" si="24"/>
        <v>0.21951219512195125</v>
      </c>
      <c r="AZ14" s="52">
        <f t="shared" si="25"/>
        <v>0</v>
      </c>
      <c r="BA14" s="52">
        <f t="shared" si="26"/>
        <v>1</v>
      </c>
      <c r="BB14" s="52">
        <f t="shared" si="27"/>
        <v>9.959215417350098E-2</v>
      </c>
      <c r="BC14" s="53">
        <f t="shared" si="28"/>
        <v>9.959215417350098E-2</v>
      </c>
    </row>
    <row r="15" spans="1:55" x14ac:dyDescent="0.35">
      <c r="A15" s="1" t="s">
        <v>29</v>
      </c>
      <c r="B15" s="1">
        <v>2020</v>
      </c>
      <c r="C15" s="22">
        <f t="shared" si="1"/>
        <v>52.246290684227418</v>
      </c>
      <c r="D15" s="2">
        <v>36.538255576551201</v>
      </c>
      <c r="E15" s="3">
        <v>9.2199336501577793</v>
      </c>
      <c r="F15" s="3">
        <v>27.31832192639342</v>
      </c>
      <c r="G15" s="3">
        <v>15.708035107676219</v>
      </c>
      <c r="H15" s="4">
        <v>60.327960920785472</v>
      </c>
      <c r="I15" s="3">
        <v>1.1382634135997258</v>
      </c>
      <c r="J15" s="3">
        <v>59.189697507185748</v>
      </c>
      <c r="K15" s="3">
        <v>0</v>
      </c>
      <c r="L15" s="3">
        <f t="shared" si="0"/>
        <v>10.324618025330425</v>
      </c>
      <c r="M15" s="4">
        <v>7.2204845013748731</v>
      </c>
      <c r="N15" s="4">
        <f t="shared" si="2"/>
        <v>9.6837859902073049</v>
      </c>
      <c r="O15" s="4">
        <f t="shared" si="3"/>
        <v>6.5796524662517522</v>
      </c>
      <c r="P15" s="3">
        <v>1.8219914162347806</v>
      </c>
      <c r="Q15" s="3">
        <f>'[1]2020'!N21</f>
        <v>1.6602861363439001</v>
      </c>
      <c r="R15" s="3">
        <v>5.3984930851400916</v>
      </c>
      <c r="S15" s="3">
        <f>'[1]2020'!P21</f>
        <v>4.9193663299078523</v>
      </c>
      <c r="T15" s="3">
        <v>3.1041335239555523</v>
      </c>
      <c r="U15" s="3">
        <f>'[1]2020'!S21</f>
        <v>2.8286356396970151</v>
      </c>
      <c r="V15" s="4">
        <f t="shared" si="29"/>
        <v>11.921672229684368</v>
      </c>
      <c r="W15" s="4">
        <f t="shared" si="4"/>
        <v>10.863600645213173</v>
      </c>
      <c r="X15" s="3">
        <v>0.22493721188083715</v>
      </c>
      <c r="Y15" s="3">
        <f>'[1]2020'!W21</f>
        <v>0.20497359707949384</v>
      </c>
      <c r="Z15" s="3">
        <v>11.696735017803531</v>
      </c>
      <c r="AA15" s="3">
        <f>'[1]2020'!Y21</f>
        <v>10.658627048133679</v>
      </c>
      <c r="AB15" s="3">
        <v>0</v>
      </c>
      <c r="AC15" s="3">
        <f>'[1]2020'!AA21</f>
        <v>0</v>
      </c>
      <c r="AD15" s="20"/>
      <c r="AE15" s="17">
        <v>555.32196820367994</v>
      </c>
      <c r="AF15" s="26">
        <f t="shared" si="5"/>
        <v>96.866216497336666</v>
      </c>
      <c r="AG15" s="26">
        <f t="shared" si="6"/>
        <v>96.866216497336666</v>
      </c>
      <c r="AH15" s="52">
        <f t="shared" si="7"/>
        <v>0.37720329024676852</v>
      </c>
      <c r="AI15" s="52">
        <f t="shared" si="8"/>
        <v>0.37720329024676852</v>
      </c>
      <c r="AJ15" s="52">
        <f t="shared" si="9"/>
        <v>0.37720329024676852</v>
      </c>
      <c r="AK15" s="52">
        <f t="shared" si="10"/>
        <v>0.37720329024676852</v>
      </c>
      <c r="AL15" s="52">
        <f t="shared" si="11"/>
        <v>0.28202115158636898</v>
      </c>
      <c r="AM15" s="52">
        <f t="shared" si="12"/>
        <v>0.28202115158636898</v>
      </c>
      <c r="AN15" s="52">
        <f t="shared" si="13"/>
        <v>9.518213866039954E-2</v>
      </c>
      <c r="AO15" s="52">
        <f t="shared" si="14"/>
        <v>9.518213866039954E-2</v>
      </c>
      <c r="AP15" s="52">
        <f t="shared" si="15"/>
        <v>0.1621621621621622</v>
      </c>
      <c r="AQ15" s="52">
        <f t="shared" si="16"/>
        <v>0.1621621621621622</v>
      </c>
      <c r="AR15" s="52">
        <f t="shared" si="17"/>
        <v>0.74766355140186913</v>
      </c>
      <c r="AS15" s="52">
        <f t="shared" si="18"/>
        <v>0.25233644859813081</v>
      </c>
      <c r="AT15" s="52">
        <f t="shared" si="19"/>
        <v>0.62279670975323154</v>
      </c>
      <c r="AU15" s="52">
        <f t="shared" si="20"/>
        <v>0.62279670975323154</v>
      </c>
      <c r="AV15" s="52">
        <f t="shared" si="21"/>
        <v>1.1750881316098707E-2</v>
      </c>
      <c r="AW15" s="52">
        <f t="shared" si="22"/>
        <v>1.1750881316098707E-2</v>
      </c>
      <c r="AX15" s="52">
        <f t="shared" si="23"/>
        <v>0.61104582843713284</v>
      </c>
      <c r="AY15" s="52">
        <f t="shared" si="24"/>
        <v>0.61104582843713284</v>
      </c>
      <c r="AZ15" s="52">
        <f t="shared" si="25"/>
        <v>1.8867924528301886E-2</v>
      </c>
      <c r="BA15" s="52">
        <f t="shared" si="26"/>
        <v>0.98113207547169812</v>
      </c>
      <c r="BB15" s="52">
        <f t="shared" si="27"/>
        <v>0.17443253111464926</v>
      </c>
      <c r="BC15" s="53">
        <f t="shared" si="28"/>
        <v>0.17443253111464926</v>
      </c>
    </row>
    <row r="16" spans="1:55" x14ac:dyDescent="0.35">
      <c r="A16" s="5" t="s">
        <v>30</v>
      </c>
      <c r="B16" s="1">
        <v>2020</v>
      </c>
      <c r="C16" s="22">
        <f t="shared" si="1"/>
        <v>14.624585105625144</v>
      </c>
      <c r="D16" s="2">
        <v>13.066403598920733</v>
      </c>
      <c r="E16" s="3">
        <v>2.8588123511436292</v>
      </c>
      <c r="F16" s="3">
        <v>10.207591247777104</v>
      </c>
      <c r="G16" s="3">
        <v>1.5581815067044105</v>
      </c>
      <c r="H16" s="4">
        <v>37.130220476565157</v>
      </c>
      <c r="I16" s="3">
        <v>4.2925110377531973E-2</v>
      </c>
      <c r="J16" s="3">
        <v>37.087295366187625</v>
      </c>
      <c r="K16" s="3">
        <v>0</v>
      </c>
      <c r="L16" s="3">
        <f t="shared" si="0"/>
        <v>6.0934636666795887</v>
      </c>
      <c r="M16" s="4">
        <v>5.44423346092535</v>
      </c>
      <c r="N16" s="4">
        <f t="shared" si="2"/>
        <v>3.8565291228659948</v>
      </c>
      <c r="O16" s="4">
        <f t="shared" si="3"/>
        <v>3.2072989171117561</v>
      </c>
      <c r="P16" s="3">
        <v>1.1911496336978591</v>
      </c>
      <c r="Q16" s="3">
        <f>'[1]2020'!N22</f>
        <v>0.70172834388844585</v>
      </c>
      <c r="R16" s="3">
        <v>4.2530838272274911</v>
      </c>
      <c r="S16" s="3">
        <f>'[1]2020'!P22</f>
        <v>2.5055705732233102</v>
      </c>
      <c r="T16" s="3">
        <v>0.64923020575423851</v>
      </c>
      <c r="U16" s="3">
        <f>'[1]2020'!S22</f>
        <v>0.38247355680406281</v>
      </c>
      <c r="V16" s="4">
        <f t="shared" si="29"/>
        <v>15.470637134364086</v>
      </c>
      <c r="W16" s="4">
        <f t="shared" si="4"/>
        <v>9.1140393012538379</v>
      </c>
      <c r="X16" s="3">
        <v>1.7885129635102991E-2</v>
      </c>
      <c r="Y16" s="3">
        <f>'[1]2020'!W22</f>
        <v>1.0536461619946634E-2</v>
      </c>
      <c r="Z16" s="3">
        <v>15.452752004728984</v>
      </c>
      <c r="AA16" s="3">
        <f>'[1]2020'!Y22</f>
        <v>9.103502839633892</v>
      </c>
      <c r="AB16" s="3">
        <v>0</v>
      </c>
      <c r="AC16" s="3">
        <f>'[1]2020'!AA22</f>
        <v>0</v>
      </c>
      <c r="AD16" s="20"/>
      <c r="AE16" s="17">
        <v>407.39587848230002</v>
      </c>
      <c r="AF16" s="26">
        <f t="shared" si="5"/>
        <v>50.196624075485886</v>
      </c>
      <c r="AG16" s="26">
        <f t="shared" si="6"/>
        <v>50.196624075485886</v>
      </c>
      <c r="AH16" s="52">
        <f t="shared" si="7"/>
        <v>0.26030442962202843</v>
      </c>
      <c r="AI16" s="52">
        <f t="shared" si="8"/>
        <v>0.26030442962202843</v>
      </c>
      <c r="AJ16" s="52">
        <f t="shared" si="9"/>
        <v>0.26030442962202843</v>
      </c>
      <c r="AK16" s="52">
        <f t="shared" si="10"/>
        <v>0.26030442962202843</v>
      </c>
      <c r="AL16" s="52">
        <f t="shared" si="11"/>
        <v>0.20335214639986321</v>
      </c>
      <c r="AM16" s="52">
        <f t="shared" si="12"/>
        <v>0.20335214639986321</v>
      </c>
      <c r="AN16" s="52">
        <f t="shared" si="13"/>
        <v>5.6952283222165209E-2</v>
      </c>
      <c r="AO16" s="52">
        <f t="shared" si="14"/>
        <v>5.6952283222165209E-2</v>
      </c>
      <c r="AP16" s="52">
        <f t="shared" si="15"/>
        <v>3.1041559774243201E-2</v>
      </c>
      <c r="AQ16" s="52">
        <f t="shared" si="16"/>
        <v>3.1041559774243201E-2</v>
      </c>
      <c r="AR16" s="52">
        <f t="shared" si="17"/>
        <v>0.78120893561103821</v>
      </c>
      <c r="AS16" s="52">
        <f t="shared" si="18"/>
        <v>0.21879106438896187</v>
      </c>
      <c r="AT16" s="52">
        <f t="shared" si="19"/>
        <v>0.73969557037797162</v>
      </c>
      <c r="AU16" s="52">
        <f t="shared" si="20"/>
        <v>0.73969557037797162</v>
      </c>
      <c r="AV16" s="52">
        <f t="shared" si="21"/>
        <v>8.5513938772019849E-4</v>
      </c>
      <c r="AW16" s="52">
        <f t="shared" si="22"/>
        <v>8.5513938772019849E-4</v>
      </c>
      <c r="AX16" s="52">
        <f t="shared" si="23"/>
        <v>0.73884043099025143</v>
      </c>
      <c r="AY16" s="52">
        <f t="shared" si="24"/>
        <v>0.73884043099025143</v>
      </c>
      <c r="AZ16" s="52">
        <f t="shared" si="25"/>
        <v>1.1560693641618498E-3</v>
      </c>
      <c r="BA16" s="52">
        <f t="shared" si="26"/>
        <v>0.99884393063583821</v>
      </c>
      <c r="BB16" s="52">
        <f t="shared" si="27"/>
        <v>0.12321338218365593</v>
      </c>
      <c r="BC16" s="53">
        <f t="shared" si="28"/>
        <v>0.12321338218365593</v>
      </c>
    </row>
    <row r="17" spans="1:55" x14ac:dyDescent="0.35">
      <c r="A17" s="5" t="s">
        <v>31</v>
      </c>
      <c r="B17" s="1">
        <v>2020</v>
      </c>
      <c r="C17" s="22">
        <f t="shared" si="1"/>
        <v>32.878834069649578</v>
      </c>
      <c r="D17" s="2">
        <v>6.1428697867727307</v>
      </c>
      <c r="E17" s="3">
        <v>0.12194282455131972</v>
      </c>
      <c r="F17" s="3">
        <v>6.0209269622214112</v>
      </c>
      <c r="G17" s="3">
        <v>26.73596428287685</v>
      </c>
      <c r="H17" s="4">
        <v>14.784957762724758</v>
      </c>
      <c r="I17" s="3">
        <v>8.7010778173287289</v>
      </c>
      <c r="J17" s="3">
        <v>6.0838799453960295</v>
      </c>
      <c r="K17" s="3">
        <v>0</v>
      </c>
      <c r="L17" s="3">
        <f t="shared" si="0"/>
        <v>9.4889653533464564</v>
      </c>
      <c r="M17" s="4">
        <v>1.7728572264249522</v>
      </c>
      <c r="N17" s="4">
        <f t="shared" si="2"/>
        <v>9.6909039289246337</v>
      </c>
      <c r="O17" s="4">
        <f t="shared" si="3"/>
        <v>1.9747958020031295</v>
      </c>
      <c r="P17" s="3">
        <v>3.5193195561785656E-2</v>
      </c>
      <c r="Q17" s="3">
        <f>'[1]2020'!N23</f>
        <v>3.9201901776737061E-2</v>
      </c>
      <c r="R17" s="3">
        <v>1.7376640308631668</v>
      </c>
      <c r="S17" s="3">
        <f>'[1]2020'!P23</f>
        <v>1.9355939002263924</v>
      </c>
      <c r="T17" s="3">
        <v>7.7161081269215046</v>
      </c>
      <c r="U17" s="3">
        <f>'[1]2020'!S23</f>
        <v>8.5950169645496004</v>
      </c>
      <c r="V17" s="4">
        <f t="shared" si="29"/>
        <v>4.2669989958887014</v>
      </c>
      <c r="W17" s="4">
        <f t="shared" si="4"/>
        <v>4.7530345809204846</v>
      </c>
      <c r="X17" s="3">
        <v>2.5111664778167628</v>
      </c>
      <c r="Y17" s="3">
        <f>'[1]2020'!W23</f>
        <v>2.7972026989018515</v>
      </c>
      <c r="Z17" s="3">
        <v>1.7558325180719383</v>
      </c>
      <c r="AA17" s="3">
        <f>'[1]2020'!Y23</f>
        <v>1.9558318820186327</v>
      </c>
      <c r="AB17" s="3">
        <v>0</v>
      </c>
      <c r="AC17" s="3">
        <f>'[1]2020'!AA23</f>
        <v>0</v>
      </c>
      <c r="AD17" s="20"/>
      <c r="AE17" s="17">
        <v>311.06354290107998</v>
      </c>
      <c r="AF17" s="26">
        <f t="shared" si="5"/>
        <v>20.92782754949749</v>
      </c>
      <c r="AG17" s="26">
        <f t="shared" si="6"/>
        <v>20.92782754949749</v>
      </c>
      <c r="AH17" s="52">
        <f t="shared" si="7"/>
        <v>0.2935263955249971</v>
      </c>
      <c r="AI17" s="52">
        <f t="shared" si="8"/>
        <v>0.2935263955249971</v>
      </c>
      <c r="AJ17" s="52">
        <f t="shared" si="9"/>
        <v>0.2935263955249971</v>
      </c>
      <c r="AK17" s="52">
        <f t="shared" si="10"/>
        <v>0.2935263955249971</v>
      </c>
      <c r="AL17" s="52">
        <f t="shared" si="11"/>
        <v>0.28769956881482345</v>
      </c>
      <c r="AM17" s="52">
        <f t="shared" si="12"/>
        <v>0.28769956881482345</v>
      </c>
      <c r="AN17" s="52">
        <f t="shared" si="13"/>
        <v>5.8268267101736397E-3</v>
      </c>
      <c r="AO17" s="52">
        <f t="shared" si="14"/>
        <v>5.8268267101736397E-3</v>
      </c>
      <c r="AP17" s="52">
        <f t="shared" si="15"/>
        <v>1.2775317562055706</v>
      </c>
      <c r="AQ17" s="52">
        <f t="shared" si="16"/>
        <v>1.2775317562055706</v>
      </c>
      <c r="AR17" s="52">
        <f t="shared" si="17"/>
        <v>0.98014888337468986</v>
      </c>
      <c r="AS17" s="52">
        <f t="shared" si="18"/>
        <v>1.9851116625310174E-2</v>
      </c>
      <c r="AT17" s="52">
        <f t="shared" si="19"/>
        <v>0.70647360447500285</v>
      </c>
      <c r="AU17" s="52">
        <f t="shared" si="20"/>
        <v>0.70647360447500285</v>
      </c>
      <c r="AV17" s="52">
        <f t="shared" si="21"/>
        <v>0.4157659363710523</v>
      </c>
      <c r="AW17" s="52">
        <f t="shared" si="22"/>
        <v>0.4157659363710523</v>
      </c>
      <c r="AX17" s="52">
        <f t="shared" si="23"/>
        <v>0.29070766810395055</v>
      </c>
      <c r="AY17" s="52">
        <f t="shared" si="24"/>
        <v>0.29070766810395055</v>
      </c>
      <c r="AZ17" s="52">
        <f t="shared" si="25"/>
        <v>0.588508804486783</v>
      </c>
      <c r="BA17" s="52">
        <f t="shared" si="26"/>
        <v>0.41149119551321706</v>
      </c>
      <c r="BB17" s="52">
        <f t="shared" si="27"/>
        <v>6.7278303829236136E-2</v>
      </c>
      <c r="BC17" s="53">
        <f t="shared" si="28"/>
        <v>6.7278303829236136E-2</v>
      </c>
    </row>
    <row r="18" spans="1:55" x14ac:dyDescent="0.35">
      <c r="A18" s="5" t="s">
        <v>32</v>
      </c>
      <c r="B18" s="1">
        <v>2020</v>
      </c>
      <c r="C18" s="22">
        <f t="shared" si="1"/>
        <v>1.0676910819565428</v>
      </c>
      <c r="D18" s="2">
        <v>1.0676910819565428</v>
      </c>
      <c r="E18" s="3">
        <v>0.26180058512793697</v>
      </c>
      <c r="F18" s="3">
        <v>0.80589049682860592</v>
      </c>
      <c r="G18" s="3">
        <v>0</v>
      </c>
      <c r="H18" s="4">
        <v>1.3203855597756819</v>
      </c>
      <c r="I18" s="3">
        <v>0.97890653569576425</v>
      </c>
      <c r="J18" s="3">
        <v>0.34147902407991776</v>
      </c>
      <c r="K18" s="3">
        <v>0</v>
      </c>
      <c r="L18" s="3">
        <f t="shared" si="0"/>
        <v>3.4900150960272138</v>
      </c>
      <c r="M18" s="4">
        <v>3.4900150960272138</v>
      </c>
      <c r="N18" s="4">
        <f t="shared" si="2"/>
        <v>2.3255380210379206</v>
      </c>
      <c r="O18" s="4">
        <f t="shared" si="3"/>
        <v>2.3255380210379206</v>
      </c>
      <c r="P18" s="3">
        <v>0.85576063122202473</v>
      </c>
      <c r="Q18" s="3">
        <f>'[1]2020'!N24</f>
        <v>0.57022787296238997</v>
      </c>
      <c r="R18" s="3">
        <v>2.6342544648051889</v>
      </c>
      <c r="S18" s="3">
        <f>'[1]2020'!P24</f>
        <v>1.7553101480755309</v>
      </c>
      <c r="T18" s="3">
        <v>0</v>
      </c>
      <c r="U18" s="3">
        <f>'[1]2020'!S24</f>
        <v>0</v>
      </c>
      <c r="V18" s="4">
        <f t="shared" si="29"/>
        <v>4.3160101400762976</v>
      </c>
      <c r="W18" s="4">
        <f t="shared" si="4"/>
        <v>2.8759318810277064</v>
      </c>
      <c r="X18" s="3">
        <v>3.1998006210910486</v>
      </c>
      <c r="Y18" s="3">
        <f>'[1]2020'!W24</f>
        <v>2.1321563945550235</v>
      </c>
      <c r="Z18" s="3">
        <v>1.1162095189852494</v>
      </c>
      <c r="AA18" s="3">
        <f>'[1]2020'!Y24</f>
        <v>0.74377548647268266</v>
      </c>
      <c r="AB18" s="3">
        <v>0</v>
      </c>
      <c r="AC18" s="3">
        <f>'[1]2020'!AA24</f>
        <v>0</v>
      </c>
      <c r="AD18" s="20"/>
      <c r="AE18" s="17">
        <v>45.911572818750003</v>
      </c>
      <c r="AF18" s="26">
        <f t="shared" si="5"/>
        <v>2.3880766417322246</v>
      </c>
      <c r="AG18" s="26">
        <f t="shared" si="6"/>
        <v>2.3880766417322246</v>
      </c>
      <c r="AH18" s="52">
        <f t="shared" si="7"/>
        <v>0.44709246901811256</v>
      </c>
      <c r="AI18" s="52">
        <f t="shared" si="8"/>
        <v>0.44709246901811256</v>
      </c>
      <c r="AJ18" s="52">
        <f t="shared" si="9"/>
        <v>0.44709246901811256</v>
      </c>
      <c r="AK18" s="52">
        <f t="shared" si="10"/>
        <v>0.44709246901811256</v>
      </c>
      <c r="AL18" s="52">
        <f t="shared" si="11"/>
        <v>0.3374642516682555</v>
      </c>
      <c r="AM18" s="52">
        <f t="shared" si="12"/>
        <v>0.3374642516682555</v>
      </c>
      <c r="AN18" s="52">
        <f t="shared" si="13"/>
        <v>0.10962821734985703</v>
      </c>
      <c r="AO18" s="52">
        <f t="shared" si="14"/>
        <v>0.10962821734985703</v>
      </c>
      <c r="AP18" s="52">
        <f t="shared" si="15"/>
        <v>0</v>
      </c>
      <c r="AQ18" s="52">
        <f t="shared" si="16"/>
        <v>0</v>
      </c>
      <c r="AR18" s="52">
        <f t="shared" si="17"/>
        <v>0.75479744136460558</v>
      </c>
      <c r="AS18" s="52">
        <f t="shared" si="18"/>
        <v>0.24520255863539447</v>
      </c>
      <c r="AT18" s="52">
        <f t="shared" si="19"/>
        <v>0.55290753098188761</v>
      </c>
      <c r="AU18" s="52">
        <f t="shared" si="20"/>
        <v>0.55290753098188761</v>
      </c>
      <c r="AV18" s="52">
        <f t="shared" si="21"/>
        <v>0.40991420400381323</v>
      </c>
      <c r="AW18" s="52">
        <f t="shared" si="22"/>
        <v>0.40991420400381323</v>
      </c>
      <c r="AX18" s="52">
        <f t="shared" si="23"/>
        <v>0.14299332697807438</v>
      </c>
      <c r="AY18" s="52">
        <f t="shared" si="24"/>
        <v>0.14299332697807438</v>
      </c>
      <c r="AZ18" s="52">
        <f t="shared" si="25"/>
        <v>0.74137931034482762</v>
      </c>
      <c r="BA18" s="52">
        <f t="shared" si="26"/>
        <v>0.25862068965517243</v>
      </c>
      <c r="BB18" s="52">
        <f t="shared" si="27"/>
        <v>5.2014699020656266E-2</v>
      </c>
      <c r="BC18" s="53">
        <f t="shared" si="28"/>
        <v>5.2014699020656266E-2</v>
      </c>
    </row>
    <row r="19" spans="1:55" x14ac:dyDescent="0.35">
      <c r="A19" s="5" t="s">
        <v>33</v>
      </c>
      <c r="B19" s="1">
        <v>2020</v>
      </c>
      <c r="C19" s="22">
        <f t="shared" si="1"/>
        <v>12.74855023231693</v>
      </c>
      <c r="D19" s="2">
        <v>7.910930724518094</v>
      </c>
      <c r="E19" s="3">
        <v>2.105787315159493</v>
      </c>
      <c r="F19" s="3">
        <v>5.8051434093586014</v>
      </c>
      <c r="G19" s="3">
        <v>4.8376195077988351</v>
      </c>
      <c r="H19" s="4">
        <v>18.576458909947529</v>
      </c>
      <c r="I19" s="3">
        <v>2.7545974609113366</v>
      </c>
      <c r="J19" s="3">
        <v>14.683598035436464</v>
      </c>
      <c r="K19" s="3">
        <v>1.1382634135997258</v>
      </c>
      <c r="L19" s="3">
        <f t="shared" si="0"/>
        <v>4.7926449019792923</v>
      </c>
      <c r="M19" s="4">
        <v>2.9740073275675076</v>
      </c>
      <c r="N19" s="4">
        <f t="shared" si="2"/>
        <v>4.9341300483441461</v>
      </c>
      <c r="O19" s="4">
        <f t="shared" si="3"/>
        <v>3.1154924739323606</v>
      </c>
      <c r="P19" s="3">
        <v>0.79164223827336544</v>
      </c>
      <c r="Q19" s="3">
        <f>'[1]2020'!N25</f>
        <v>0.82930375205393791</v>
      </c>
      <c r="R19" s="3">
        <v>2.1823650892941422</v>
      </c>
      <c r="S19" s="3">
        <f>'[1]2020'!P25</f>
        <v>2.2861887218784229</v>
      </c>
      <c r="T19" s="3">
        <v>1.8186375744117851</v>
      </c>
      <c r="U19" s="3">
        <f>'[1]2020'!S25</f>
        <v>1.9051572682320197</v>
      </c>
      <c r="V19" s="4">
        <f t="shared" si="29"/>
        <v>6.5556535623502477</v>
      </c>
      <c r="W19" s="4">
        <f t="shared" si="4"/>
        <v>6.8675316116034208</v>
      </c>
      <c r="X19" s="3">
        <v>1.0355536306062401</v>
      </c>
      <c r="Y19" s="3">
        <f>'[1]2020'!W25</f>
        <v>1.0848189621462323</v>
      </c>
      <c r="Z19" s="3">
        <v>5.5200999317440074</v>
      </c>
      <c r="AA19" s="3">
        <f>'[1]2020'!Y25</f>
        <v>5.7827126494571885</v>
      </c>
      <c r="AB19" s="3">
        <v>0.42791472339100828</v>
      </c>
      <c r="AC19" s="3">
        <f>'[1]2020'!AA25</f>
        <v>0.44827229840753402</v>
      </c>
      <c r="AD19" s="20"/>
      <c r="AE19" s="17">
        <v>253.92231856471</v>
      </c>
      <c r="AF19" s="26">
        <f t="shared" si="5"/>
        <v>26.487389634465622</v>
      </c>
      <c r="AG19" s="26">
        <f t="shared" si="6"/>
        <v>26.487389634465622</v>
      </c>
      <c r="AH19" s="52">
        <f t="shared" si="7"/>
        <v>0.29866781263429304</v>
      </c>
      <c r="AI19" s="52">
        <f t="shared" si="8"/>
        <v>0.29866781263429304</v>
      </c>
      <c r="AJ19" s="52">
        <f t="shared" si="9"/>
        <v>0.29866781263429304</v>
      </c>
      <c r="AK19" s="52">
        <f t="shared" si="10"/>
        <v>0.29866781263429304</v>
      </c>
      <c r="AL19" s="52">
        <f t="shared" si="11"/>
        <v>0.21916630855178337</v>
      </c>
      <c r="AM19" s="52">
        <f t="shared" si="12"/>
        <v>0.21916630855178337</v>
      </c>
      <c r="AN19" s="52">
        <f t="shared" si="13"/>
        <v>7.9501504082509666E-2</v>
      </c>
      <c r="AO19" s="52">
        <f t="shared" si="14"/>
        <v>7.9501504082509666E-2</v>
      </c>
      <c r="AP19" s="52">
        <f t="shared" si="15"/>
        <v>0.18263859045981951</v>
      </c>
      <c r="AQ19" s="52">
        <f t="shared" si="16"/>
        <v>0.18263859045981951</v>
      </c>
      <c r="AR19" s="52">
        <f t="shared" si="17"/>
        <v>0.73381294964028776</v>
      </c>
      <c r="AS19" s="52">
        <f t="shared" si="18"/>
        <v>0.2661870503597123</v>
      </c>
      <c r="AT19" s="52">
        <f t="shared" si="19"/>
        <v>0.70133218736570702</v>
      </c>
      <c r="AU19" s="52">
        <f t="shared" si="20"/>
        <v>0.70133218736570702</v>
      </c>
      <c r="AV19" s="52">
        <f t="shared" si="21"/>
        <v>0.10399656209712076</v>
      </c>
      <c r="AW19" s="52">
        <f t="shared" si="22"/>
        <v>0.10399656209712076</v>
      </c>
      <c r="AX19" s="52">
        <f t="shared" si="23"/>
        <v>0.55436183927804039</v>
      </c>
      <c r="AY19" s="52">
        <f t="shared" si="24"/>
        <v>0.55436183927804039</v>
      </c>
      <c r="AZ19" s="52">
        <f t="shared" si="25"/>
        <v>0.14828431372549017</v>
      </c>
      <c r="BA19" s="52">
        <f t="shared" si="26"/>
        <v>0.79044117647058809</v>
      </c>
      <c r="BB19" s="52">
        <f t="shared" si="27"/>
        <v>0.10431296383943316</v>
      </c>
      <c r="BC19" s="53">
        <f t="shared" si="28"/>
        <v>0.10431296383943316</v>
      </c>
    </row>
    <row r="20" spans="1:55" x14ac:dyDescent="0.35">
      <c r="A20" s="5" t="s">
        <v>34</v>
      </c>
      <c r="B20" s="1">
        <v>2020</v>
      </c>
      <c r="C20" s="22">
        <f t="shared" si="1"/>
        <v>23.004979967153513</v>
      </c>
      <c r="D20" s="2">
        <v>21.213646056970173</v>
      </c>
      <c r="E20" s="3">
        <v>0.70761690517133902</v>
      </c>
      <c r="F20" s="3">
        <v>20.506029151798835</v>
      </c>
      <c r="G20" s="3">
        <v>1.7913339101833412</v>
      </c>
      <c r="H20" s="4">
        <v>9.3327696507573688</v>
      </c>
      <c r="I20" s="3">
        <v>6.41999440943819</v>
      </c>
      <c r="J20" s="3">
        <v>2.9127752413191792</v>
      </c>
      <c r="K20" s="3">
        <v>0</v>
      </c>
      <c r="L20" s="3">
        <f t="shared" si="0"/>
        <v>11.960178300557301</v>
      </c>
      <c r="M20" s="4">
        <v>11.028872427123924</v>
      </c>
      <c r="N20" s="4">
        <f t="shared" si="2"/>
        <v>7.9662969482208688</v>
      </c>
      <c r="O20" s="4">
        <f t="shared" si="3"/>
        <v>7.0349910747874915</v>
      </c>
      <c r="P20" s="3">
        <v>0.36788662134987926</v>
      </c>
      <c r="Q20" s="3">
        <f>'[1]2020'!N26</f>
        <v>0.2346639799155821</v>
      </c>
      <c r="R20" s="3">
        <v>10.660985805774043</v>
      </c>
      <c r="S20" s="3">
        <f>'[1]2020'!P26</f>
        <v>6.8003270948719097</v>
      </c>
      <c r="T20" s="3">
        <v>0.93130587343337767</v>
      </c>
      <c r="U20" s="3">
        <f>'[1]2020'!S26</f>
        <v>0.59405243380891304</v>
      </c>
      <c r="V20" s="4">
        <f t="shared" si="29"/>
        <v>4.8520619979005071</v>
      </c>
      <c r="W20" s="4">
        <f t="shared" si="4"/>
        <v>3.0949866430223141</v>
      </c>
      <c r="X20" s="3">
        <v>3.3377241768997119</v>
      </c>
      <c r="Y20" s="3">
        <f>'[1]2020'!W26</f>
        <v>2.1290353977478338</v>
      </c>
      <c r="Z20" s="3">
        <v>1.5143378210007954</v>
      </c>
      <c r="AA20" s="3">
        <f>'[1]2020'!Y26</f>
        <v>0.96595124527448017</v>
      </c>
      <c r="AB20" s="3">
        <v>0</v>
      </c>
      <c r="AC20" s="3">
        <f>'[1]2020'!AA26</f>
        <v>0</v>
      </c>
      <c r="AD20" s="20"/>
      <c r="AE20" s="17">
        <v>301.54474727050001</v>
      </c>
      <c r="AF20" s="26">
        <f t="shared" si="5"/>
        <v>30.54641570772754</v>
      </c>
      <c r="AG20" s="26">
        <f t="shared" si="6"/>
        <v>30.54641570772754</v>
      </c>
      <c r="AH20" s="52">
        <f t="shared" si="7"/>
        <v>0.69447251225627793</v>
      </c>
      <c r="AI20" s="52">
        <f t="shared" si="8"/>
        <v>0.69447251225627793</v>
      </c>
      <c r="AJ20" s="52">
        <f t="shared" si="9"/>
        <v>0.69447251225627793</v>
      </c>
      <c r="AK20" s="52">
        <f t="shared" si="10"/>
        <v>0.69447251225627793</v>
      </c>
      <c r="AL20" s="52">
        <f t="shared" si="11"/>
        <v>0.67130721155645379</v>
      </c>
      <c r="AM20" s="52">
        <f t="shared" si="12"/>
        <v>0.67130721155645379</v>
      </c>
      <c r="AN20" s="52">
        <f t="shared" si="13"/>
        <v>2.3165300699824112E-2</v>
      </c>
      <c r="AO20" s="52">
        <f t="shared" si="14"/>
        <v>2.3165300699824112E-2</v>
      </c>
      <c r="AP20" s="52">
        <f t="shared" si="15"/>
        <v>5.86430148572284E-2</v>
      </c>
      <c r="AQ20" s="52">
        <f t="shared" si="16"/>
        <v>5.86430148572284E-2</v>
      </c>
      <c r="AR20" s="52">
        <f t="shared" si="17"/>
        <v>0.96664331519103308</v>
      </c>
      <c r="AS20" s="52">
        <f t="shared" si="18"/>
        <v>3.3356684808966967E-2</v>
      </c>
      <c r="AT20" s="52">
        <f t="shared" si="19"/>
        <v>0.30552748774372218</v>
      </c>
      <c r="AU20" s="52">
        <f t="shared" si="20"/>
        <v>0.30552748774372218</v>
      </c>
      <c r="AV20" s="52">
        <f t="shared" si="21"/>
        <v>0.21017177500842035</v>
      </c>
      <c r="AW20" s="52">
        <f t="shared" si="22"/>
        <v>0.21017177500842035</v>
      </c>
      <c r="AX20" s="52">
        <f t="shared" si="23"/>
        <v>9.5355712735301842E-2</v>
      </c>
      <c r="AY20" s="52">
        <f t="shared" si="24"/>
        <v>9.5355712735301842E-2</v>
      </c>
      <c r="AZ20" s="52">
        <f t="shared" si="25"/>
        <v>0.68789808917197448</v>
      </c>
      <c r="BA20" s="52">
        <f t="shared" si="26"/>
        <v>0.31210191082802552</v>
      </c>
      <c r="BB20" s="52">
        <f t="shared" si="27"/>
        <v>0.10129977717809804</v>
      </c>
      <c r="BC20" s="53">
        <f t="shared" si="28"/>
        <v>0.10129977717809804</v>
      </c>
    </row>
    <row r="21" spans="1:55" x14ac:dyDescent="0.35">
      <c r="A21" s="5" t="s">
        <v>35</v>
      </c>
      <c r="B21" s="1">
        <v>2020</v>
      </c>
      <c r="C21" s="22">
        <f t="shared" si="1"/>
        <v>0.90912242644701236</v>
      </c>
      <c r="D21" s="2">
        <v>0.90912242644701236</v>
      </c>
      <c r="E21" s="3">
        <v>5.0270792906436608E-2</v>
      </c>
      <c r="F21" s="3">
        <v>0.85853416239471891</v>
      </c>
      <c r="G21" s="3">
        <v>0</v>
      </c>
      <c r="H21" s="4">
        <v>0.91645405891835929</v>
      </c>
      <c r="I21" s="3">
        <v>0</v>
      </c>
      <c r="J21" s="3">
        <v>0.91645405891835929</v>
      </c>
      <c r="K21" s="3">
        <v>0</v>
      </c>
      <c r="L21" s="3">
        <f t="shared" si="0"/>
        <v>4.3402812991904538</v>
      </c>
      <c r="M21" s="4">
        <v>4.3402812991904538</v>
      </c>
      <c r="N21" s="4">
        <f t="shared" si="2"/>
        <v>4.7658406244286118</v>
      </c>
      <c r="O21" s="4">
        <f t="shared" si="3"/>
        <v>4.7658406244286118</v>
      </c>
      <c r="P21" s="3">
        <v>0.24</v>
      </c>
      <c r="Q21" s="3">
        <f>'[1]2020'!N27</f>
        <v>0.26362376839851354</v>
      </c>
      <c r="R21" s="3">
        <v>4.0987656462516302</v>
      </c>
      <c r="S21" s="3">
        <f>'[1]2020'!P27</f>
        <v>4.5022168560300981</v>
      </c>
      <c r="T21" s="3">
        <v>0</v>
      </c>
      <c r="U21" s="3">
        <f>'[1]2020'!S27</f>
        <v>0</v>
      </c>
      <c r="V21" s="4">
        <f t="shared" si="29"/>
        <v>4.3752835677323123</v>
      </c>
      <c r="W21" s="4">
        <f t="shared" si="4"/>
        <v>4.805953091407023</v>
      </c>
      <c r="X21" s="3">
        <v>0</v>
      </c>
      <c r="Y21" s="3">
        <f>'[1]2020'!W27</f>
        <v>0</v>
      </c>
      <c r="Z21" s="3">
        <v>4.3752835677323123</v>
      </c>
      <c r="AA21" s="3">
        <f>'[1]2020'!Y27</f>
        <v>4.805953091407023</v>
      </c>
      <c r="AB21" s="3">
        <v>0</v>
      </c>
      <c r="AC21" s="3">
        <f>'[1]2020'!AA27</f>
        <v>0</v>
      </c>
      <c r="AD21" s="20"/>
      <c r="AE21" s="17">
        <v>19.06914282116</v>
      </c>
      <c r="AF21" s="26">
        <f t="shared" si="5"/>
        <v>1.8255764853653718</v>
      </c>
      <c r="AG21" s="26">
        <f t="shared" si="6"/>
        <v>1.8255764853653718</v>
      </c>
      <c r="AH21" s="52">
        <f t="shared" si="7"/>
        <v>0.49799196787148592</v>
      </c>
      <c r="AI21" s="52">
        <f t="shared" si="8"/>
        <v>0.49799196787148592</v>
      </c>
      <c r="AJ21" s="52">
        <f t="shared" si="9"/>
        <v>0.49799196787148592</v>
      </c>
      <c r="AK21" s="52">
        <f t="shared" si="10"/>
        <v>0.49799196787148592</v>
      </c>
      <c r="AL21" s="52">
        <f t="shared" si="11"/>
        <v>0.47028112449799192</v>
      </c>
      <c r="AM21" s="52">
        <f t="shared" si="12"/>
        <v>0.47028112449799192</v>
      </c>
      <c r="AN21" s="52">
        <f t="shared" si="13"/>
        <v>2.7536941513779077E-2</v>
      </c>
      <c r="AO21" s="52">
        <f t="shared" si="14"/>
        <v>2.7536941513779077E-2</v>
      </c>
      <c r="AP21" s="52">
        <f t="shared" si="15"/>
        <v>0</v>
      </c>
      <c r="AQ21" s="52">
        <f t="shared" si="16"/>
        <v>0</v>
      </c>
      <c r="AR21" s="52">
        <f t="shared" si="17"/>
        <v>0.9443548387096774</v>
      </c>
      <c r="AS21" s="52">
        <f t="shared" si="18"/>
        <v>5.5295955136540252E-2</v>
      </c>
      <c r="AT21" s="52">
        <f t="shared" si="19"/>
        <v>0.50200803212851408</v>
      </c>
      <c r="AU21" s="52">
        <f t="shared" si="20"/>
        <v>0.50200803212851408</v>
      </c>
      <c r="AV21" s="52">
        <f t="shared" si="21"/>
        <v>0</v>
      </c>
      <c r="AW21" s="52">
        <f t="shared" si="22"/>
        <v>0</v>
      </c>
      <c r="AX21" s="52">
        <f t="shared" si="23"/>
        <v>0.50200803212851408</v>
      </c>
      <c r="AY21" s="52">
        <f t="shared" si="24"/>
        <v>0.50200803212851408</v>
      </c>
      <c r="AZ21" s="52">
        <f t="shared" si="25"/>
        <v>0</v>
      </c>
      <c r="BA21" s="52">
        <f t="shared" si="26"/>
        <v>1</v>
      </c>
      <c r="BB21" s="52">
        <f t="shared" si="27"/>
        <v>9.5734585580827883E-2</v>
      </c>
      <c r="BC21" s="53">
        <f t="shared" si="28"/>
        <v>9.5734585580827883E-2</v>
      </c>
    </row>
    <row r="22" spans="1:55" x14ac:dyDescent="0.35">
      <c r="A22" s="5" t="s">
        <v>36</v>
      </c>
      <c r="B22" s="1">
        <v>2020</v>
      </c>
      <c r="C22" s="22">
        <f t="shared" si="1"/>
        <v>24.846</v>
      </c>
      <c r="D22" s="2">
        <v>22.385999999999999</v>
      </c>
      <c r="E22" s="3">
        <v>3.0750000000000006</v>
      </c>
      <c r="F22" s="3">
        <v>19.310999999999996</v>
      </c>
      <c r="G22" s="3">
        <v>2.46</v>
      </c>
      <c r="H22" s="4">
        <v>6.15</v>
      </c>
      <c r="I22" s="3">
        <v>3.69</v>
      </c>
      <c r="J22" s="3">
        <v>2.46</v>
      </c>
      <c r="K22" s="3">
        <v>0</v>
      </c>
      <c r="L22" s="3">
        <f t="shared" si="0"/>
        <v>5.9795180006735551</v>
      </c>
      <c r="M22" s="4">
        <v>5.3874865154583516</v>
      </c>
      <c r="N22" s="4">
        <f t="shared" si="2"/>
        <v>5.9489338673668284</v>
      </c>
      <c r="O22" s="4">
        <f t="shared" si="3"/>
        <v>5.3569023821516248</v>
      </c>
      <c r="P22" s="3">
        <v>0.74003935651900443</v>
      </c>
      <c r="Q22" s="3">
        <f>'[1]2020'!N28</f>
        <v>0.73583823930654202</v>
      </c>
      <c r="R22" s="3">
        <v>4.6474471589393467</v>
      </c>
      <c r="S22" s="3">
        <f>'[1]2020'!P28</f>
        <v>4.6210641428450829</v>
      </c>
      <c r="T22" s="3">
        <v>0.59203148521520355</v>
      </c>
      <c r="U22" s="3">
        <f>'[1]2020'!S28</f>
        <v>0.58867059144523359</v>
      </c>
      <c r="V22" s="4">
        <f t="shared" si="29"/>
        <v>1.4800787130380089</v>
      </c>
      <c r="W22" s="4">
        <f t="shared" si="4"/>
        <v>1.4716764786130838</v>
      </c>
      <c r="X22" s="3">
        <v>0.88804722782280521</v>
      </c>
      <c r="Y22" s="3">
        <f>'[1]2020'!W28</f>
        <v>0.88300588716785033</v>
      </c>
      <c r="Z22" s="3">
        <v>0.59203148521520355</v>
      </c>
      <c r="AA22" s="3">
        <f>'[1]2020'!Y28</f>
        <v>0.58867059144523359</v>
      </c>
      <c r="AB22" s="3">
        <v>0</v>
      </c>
      <c r="AC22" s="3">
        <f>'[1]2020'!AA28</f>
        <v>0</v>
      </c>
      <c r="AD22" s="20"/>
      <c r="AE22" s="17">
        <v>417.89075855828003</v>
      </c>
      <c r="AF22" s="26">
        <f t="shared" si="5"/>
        <v>28.536000000000001</v>
      </c>
      <c r="AG22" s="26">
        <f t="shared" si="6"/>
        <v>28.536000000000001</v>
      </c>
      <c r="AH22" s="52">
        <f t="shared" si="7"/>
        <v>0.78448275862068961</v>
      </c>
      <c r="AI22" s="52">
        <f t="shared" si="8"/>
        <v>0.78448275862068961</v>
      </c>
      <c r="AJ22" s="52">
        <f t="shared" si="9"/>
        <v>0.78448275862068961</v>
      </c>
      <c r="AK22" s="52">
        <f t="shared" si="10"/>
        <v>0.78448275862068961</v>
      </c>
      <c r="AL22" s="52">
        <f t="shared" si="11"/>
        <v>0.67672413793103436</v>
      </c>
      <c r="AM22" s="52">
        <f t="shared" si="12"/>
        <v>0.67672413793103436</v>
      </c>
      <c r="AN22" s="52">
        <f t="shared" si="13"/>
        <v>0.10775862068965519</v>
      </c>
      <c r="AO22" s="52">
        <f t="shared" si="14"/>
        <v>0.10775862068965519</v>
      </c>
      <c r="AP22" s="52">
        <f t="shared" si="15"/>
        <v>8.620689655172413E-2</v>
      </c>
      <c r="AQ22" s="52">
        <f t="shared" si="16"/>
        <v>8.620689655172413E-2</v>
      </c>
      <c r="AR22" s="52">
        <f t="shared" si="17"/>
        <v>0.86263736263736246</v>
      </c>
      <c r="AS22" s="52">
        <f t="shared" si="18"/>
        <v>0.1373626373626374</v>
      </c>
      <c r="AT22" s="52">
        <f t="shared" si="19"/>
        <v>0.21551724137931036</v>
      </c>
      <c r="AU22" s="52">
        <f t="shared" si="20"/>
        <v>0.21551724137931036</v>
      </c>
      <c r="AV22" s="52">
        <f t="shared" si="21"/>
        <v>0.12931034482758619</v>
      </c>
      <c r="AW22" s="52">
        <f t="shared" si="22"/>
        <v>0.12931034482758619</v>
      </c>
      <c r="AX22" s="52">
        <f t="shared" si="23"/>
        <v>8.620689655172413E-2</v>
      </c>
      <c r="AY22" s="52">
        <f t="shared" si="24"/>
        <v>8.620689655172413E-2</v>
      </c>
      <c r="AZ22" s="52">
        <f t="shared" si="25"/>
        <v>0.6</v>
      </c>
      <c r="BA22" s="52">
        <f t="shared" si="26"/>
        <v>0.39999999999999997</v>
      </c>
      <c r="BB22" s="52">
        <f t="shared" si="27"/>
        <v>6.8285788607647099E-2</v>
      </c>
      <c r="BC22" s="53">
        <f t="shared" si="28"/>
        <v>6.8285788607647099E-2</v>
      </c>
    </row>
    <row r="23" spans="1:55" x14ac:dyDescent="0.35">
      <c r="A23" s="5" t="s">
        <v>37</v>
      </c>
      <c r="B23" s="1">
        <v>2020</v>
      </c>
      <c r="C23" s="22">
        <f t="shared" si="1"/>
        <v>28.97603759414185</v>
      </c>
      <c r="D23" s="2">
        <v>26.891847077879898</v>
      </c>
      <c r="E23" s="3">
        <v>4.4578519375602843</v>
      </c>
      <c r="F23" s="3">
        <v>22.433995140319613</v>
      </c>
      <c r="G23" s="3">
        <v>2.0841905162619514</v>
      </c>
      <c r="H23" s="4">
        <v>11.144629843900709</v>
      </c>
      <c r="I23" s="3">
        <v>0.92630689611642281</v>
      </c>
      <c r="J23" s="3">
        <v>10.218322947784287</v>
      </c>
      <c r="K23" s="3">
        <v>0</v>
      </c>
      <c r="L23" s="3">
        <f t="shared" si="0"/>
        <v>7.4746547505612719</v>
      </c>
      <c r="M23" s="4">
        <v>6.9370172460253965</v>
      </c>
      <c r="N23" s="4">
        <f t="shared" si="2"/>
        <v>8.3916402876679559</v>
      </c>
      <c r="O23" s="4">
        <f t="shared" si="3"/>
        <v>7.8540027831320796</v>
      </c>
      <c r="P23" s="3">
        <v>1.149946884701734</v>
      </c>
      <c r="Q23" s="3">
        <f>'[1]2020'!N29</f>
        <v>1.3019552514556945</v>
      </c>
      <c r="R23" s="3">
        <v>5.7870703613236625</v>
      </c>
      <c r="S23" s="3">
        <f>'[1]2020'!P29</f>
        <v>6.5520475316763847</v>
      </c>
      <c r="T23" s="3">
        <v>0.53763750453587567</v>
      </c>
      <c r="U23" s="3">
        <f>'[1]2020'!S29</f>
        <v>0.60870635132993511</v>
      </c>
      <c r="V23" s="4">
        <f t="shared" si="29"/>
        <v>2.874867211754335</v>
      </c>
      <c r="W23" s="4">
        <f t="shared" si="4"/>
        <v>3.2548881286392355</v>
      </c>
      <c r="X23" s="3">
        <v>0.23895000201594477</v>
      </c>
      <c r="Y23" s="3">
        <f>'[1]2020'!W29</f>
        <v>0.27053615614663779</v>
      </c>
      <c r="Z23" s="3">
        <v>2.6359172097383903</v>
      </c>
      <c r="AA23" s="3">
        <f>'[1]2020'!Y29</f>
        <v>2.9843519724925978</v>
      </c>
      <c r="AB23" s="3">
        <v>0</v>
      </c>
      <c r="AC23" s="3">
        <f>'[1]2020'!AA29</f>
        <v>0</v>
      </c>
      <c r="AD23" s="20"/>
      <c r="AE23" s="17">
        <v>342.39670930134002</v>
      </c>
      <c r="AF23" s="26">
        <f t="shared" si="5"/>
        <v>38.036476921780604</v>
      </c>
      <c r="AG23" s="26">
        <f t="shared" si="6"/>
        <v>38.036476921780604</v>
      </c>
      <c r="AH23" s="52">
        <f t="shared" si="7"/>
        <v>0.70700152207001532</v>
      </c>
      <c r="AI23" s="52">
        <f t="shared" si="8"/>
        <v>0.70700152207001532</v>
      </c>
      <c r="AJ23" s="52">
        <f t="shared" si="9"/>
        <v>0.70700152207001532</v>
      </c>
      <c r="AK23" s="52">
        <f t="shared" si="10"/>
        <v>0.70700152207001532</v>
      </c>
      <c r="AL23" s="52">
        <f t="shared" si="11"/>
        <v>0.58980213089802136</v>
      </c>
      <c r="AM23" s="52">
        <f t="shared" si="12"/>
        <v>0.58980213089802136</v>
      </c>
      <c r="AN23" s="52">
        <f t="shared" si="13"/>
        <v>0.11719939117199392</v>
      </c>
      <c r="AO23" s="52">
        <f t="shared" si="14"/>
        <v>0.11719939117199392</v>
      </c>
      <c r="AP23" s="52">
        <f t="shared" si="15"/>
        <v>5.4794520547945216E-2</v>
      </c>
      <c r="AQ23" s="52">
        <f t="shared" si="16"/>
        <v>5.4794520547945216E-2</v>
      </c>
      <c r="AR23" s="52">
        <f t="shared" si="17"/>
        <v>0.83423035522066735</v>
      </c>
      <c r="AS23" s="52">
        <f t="shared" si="18"/>
        <v>0.16576964477933262</v>
      </c>
      <c r="AT23" s="52">
        <f t="shared" si="19"/>
        <v>0.29299847792998479</v>
      </c>
      <c r="AU23" s="52">
        <f t="shared" si="20"/>
        <v>0.29299847792998479</v>
      </c>
      <c r="AV23" s="52">
        <f t="shared" si="21"/>
        <v>2.4353120243531208E-2</v>
      </c>
      <c r="AW23" s="52">
        <f t="shared" si="22"/>
        <v>2.4353120243531208E-2</v>
      </c>
      <c r="AX23" s="52">
        <f t="shared" si="23"/>
        <v>0.26864535768645359</v>
      </c>
      <c r="AY23" s="52">
        <f t="shared" si="24"/>
        <v>0.26864535768645359</v>
      </c>
      <c r="AZ23" s="52">
        <f t="shared" si="25"/>
        <v>8.3116883116883131E-2</v>
      </c>
      <c r="BA23" s="52">
        <f t="shared" si="26"/>
        <v>0.91688311688311697</v>
      </c>
      <c r="BB23" s="52">
        <f t="shared" si="27"/>
        <v>0.11108890911771313</v>
      </c>
      <c r="BC23" s="53">
        <f t="shared" si="28"/>
        <v>0.11108890911771313</v>
      </c>
    </row>
    <row r="24" spans="1:55" x14ac:dyDescent="0.35">
      <c r="A24" s="6" t="s">
        <v>38</v>
      </c>
      <c r="B24" s="1">
        <v>2020</v>
      </c>
      <c r="C24" s="22">
        <f t="shared" si="1"/>
        <v>2.6180058512793694</v>
      </c>
      <c r="D24" s="2">
        <v>2.6180058512793694</v>
      </c>
      <c r="E24" s="3">
        <v>0.23903531685594243</v>
      </c>
      <c r="F24" s="3">
        <v>2.3789705344234271</v>
      </c>
      <c r="G24" s="3">
        <v>0</v>
      </c>
      <c r="H24" s="4">
        <v>0.97890653569576436</v>
      </c>
      <c r="I24" s="3">
        <v>0.22765268271994518</v>
      </c>
      <c r="J24" s="3">
        <v>0.75125385297581915</v>
      </c>
      <c r="K24" s="3">
        <v>0</v>
      </c>
      <c r="L24" s="3">
        <f t="shared" si="0"/>
        <v>7.9280656230670878</v>
      </c>
      <c r="M24" s="4">
        <v>7.9280656230670878</v>
      </c>
      <c r="N24" s="4">
        <f t="shared" si="2"/>
        <v>4.7237162022941037</v>
      </c>
      <c r="O24" s="4">
        <f t="shared" si="3"/>
        <v>4.7237162022941037</v>
      </c>
      <c r="P24" s="3">
        <v>0.7238668612365603</v>
      </c>
      <c r="Q24" s="3">
        <f>'[1]2020'!N30</f>
        <v>0.43129582716598341</v>
      </c>
      <c r="R24" s="3">
        <v>7.2041987618305274</v>
      </c>
      <c r="S24" s="3">
        <f>'[1]2020'!P30</f>
        <v>4.2924203751281205</v>
      </c>
      <c r="T24" s="3">
        <v>0</v>
      </c>
      <c r="U24" s="3">
        <f>'[1]2020'!S30</f>
        <v>0</v>
      </c>
      <c r="V24" s="4">
        <f t="shared" si="29"/>
        <v>2.9750101353149043</v>
      </c>
      <c r="W24" s="4">
        <f t="shared" si="4"/>
        <v>1.7662591017273606</v>
      </c>
      <c r="X24" s="3">
        <v>0.7</v>
      </c>
      <c r="Y24" s="3">
        <f>'[1]2020'!W30</f>
        <v>0.41075793063426985</v>
      </c>
      <c r="Z24" s="3">
        <v>2.2750101353149041</v>
      </c>
      <c r="AA24" s="3">
        <f>'[1]2020'!Y30</f>
        <v>1.3555011710930907</v>
      </c>
      <c r="AB24" s="3">
        <v>0</v>
      </c>
      <c r="AC24" s="3">
        <f>'[1]2020'!AA30</f>
        <v>0</v>
      </c>
      <c r="AD24" s="20"/>
      <c r="AE24" s="18">
        <v>55.422589739999999</v>
      </c>
      <c r="AF24" s="26">
        <f t="shared" si="5"/>
        <v>3.5969123869751338</v>
      </c>
      <c r="AG24" s="26">
        <f t="shared" si="6"/>
        <v>3.5969123869751338</v>
      </c>
      <c r="AH24" s="52">
        <f t="shared" si="7"/>
        <v>0.72784810126582278</v>
      </c>
      <c r="AI24" s="52">
        <f t="shared" si="8"/>
        <v>0.72784810126582278</v>
      </c>
      <c r="AJ24" s="52">
        <f t="shared" si="9"/>
        <v>0.72784810126582278</v>
      </c>
      <c r="AK24" s="52">
        <f t="shared" si="10"/>
        <v>0.72784810126582278</v>
      </c>
      <c r="AL24" s="52">
        <f t="shared" si="11"/>
        <v>0.66139240506329111</v>
      </c>
      <c r="AM24" s="52">
        <f t="shared" si="12"/>
        <v>0.66139240506329111</v>
      </c>
      <c r="AN24" s="52">
        <f t="shared" si="13"/>
        <v>6.6455696202531639E-2</v>
      </c>
      <c r="AO24" s="52">
        <f t="shared" si="14"/>
        <v>6.6455696202531639E-2</v>
      </c>
      <c r="AP24" s="52">
        <f t="shared" si="15"/>
        <v>0</v>
      </c>
      <c r="AQ24" s="52">
        <f t="shared" si="16"/>
        <v>0</v>
      </c>
      <c r="AR24" s="52">
        <f t="shared" si="17"/>
        <v>0.90869565217391313</v>
      </c>
      <c r="AS24" s="52">
        <f t="shared" si="18"/>
        <v>9.1304347826086957E-2</v>
      </c>
      <c r="AT24" s="52">
        <f t="shared" si="19"/>
        <v>0.27215189873417722</v>
      </c>
      <c r="AU24" s="52">
        <f t="shared" si="20"/>
        <v>0.27215189873417722</v>
      </c>
      <c r="AV24" s="52">
        <f t="shared" si="21"/>
        <v>6.3291139240506333E-2</v>
      </c>
      <c r="AW24" s="52">
        <f t="shared" si="22"/>
        <v>6.3291139240506333E-2</v>
      </c>
      <c r="AX24" s="52">
        <f t="shared" si="23"/>
        <v>0.20886075949367089</v>
      </c>
      <c r="AY24" s="52">
        <f t="shared" si="24"/>
        <v>0.20886075949367089</v>
      </c>
      <c r="AZ24" s="52">
        <f t="shared" si="25"/>
        <v>0.23255813953488369</v>
      </c>
      <c r="BA24" s="52">
        <f t="shared" si="26"/>
        <v>0.76744186046511631</v>
      </c>
      <c r="BB24" s="52">
        <f t="shared" si="27"/>
        <v>6.4899753040214642E-2</v>
      </c>
      <c r="BC24" s="53">
        <f t="shared" si="28"/>
        <v>6.4899753040214642E-2</v>
      </c>
    </row>
    <row r="25" spans="1:55" x14ac:dyDescent="0.35">
      <c r="A25" s="5" t="s">
        <v>39</v>
      </c>
      <c r="B25" s="1">
        <v>2020</v>
      </c>
      <c r="C25" s="22">
        <f t="shared" si="1"/>
        <v>5.0800696148955771</v>
      </c>
      <c r="D25" s="2">
        <v>2.5872727391121773</v>
      </c>
      <c r="E25" s="3">
        <v>0.56913170679986291</v>
      </c>
      <c r="F25" s="3">
        <v>2.0181410323123141</v>
      </c>
      <c r="G25" s="3">
        <v>2.4927968757833998</v>
      </c>
      <c r="H25" s="4">
        <v>1.9578130713915285</v>
      </c>
      <c r="I25" s="3">
        <v>0.3642442923519123</v>
      </c>
      <c r="J25" s="3">
        <v>1.5935687790396162</v>
      </c>
      <c r="K25" s="3">
        <v>0</v>
      </c>
      <c r="L25" s="3">
        <f t="shared" si="0"/>
        <v>9.1905096073572796</v>
      </c>
      <c r="M25" s="4">
        <v>4.6807143933504589</v>
      </c>
      <c r="N25" s="4">
        <f t="shared" si="2"/>
        <v>7.1733502146628094</v>
      </c>
      <c r="O25" s="4">
        <f t="shared" si="3"/>
        <v>2.6635550006559883</v>
      </c>
      <c r="P25" s="3">
        <v>1.0296336105038404</v>
      </c>
      <c r="Q25" s="3">
        <f>'[1]2020'!N31</f>
        <v>0.58591179072942978</v>
      </c>
      <c r="R25" s="3">
        <v>3.6510807828466185</v>
      </c>
      <c r="S25" s="3">
        <f>'[1]2020'!P31</f>
        <v>2.0776432099265585</v>
      </c>
      <c r="T25" s="3">
        <v>4.5097952140068207</v>
      </c>
      <c r="U25" s="3">
        <f>'[1]2020'!S31</f>
        <v>2.5662936433949031</v>
      </c>
      <c r="V25" s="4">
        <f t="shared" si="29"/>
        <v>3.5419396201332107</v>
      </c>
      <c r="W25" s="4">
        <f t="shared" si="4"/>
        <v>2.015536560109239</v>
      </c>
      <c r="X25" s="3">
        <v>0.6589655107224579</v>
      </c>
      <c r="Y25" s="3">
        <f>'[1]2020'!W31</f>
        <v>0.37498354606683515</v>
      </c>
      <c r="Z25" s="3">
        <v>2.8829741094107528</v>
      </c>
      <c r="AA25" s="3">
        <f>'[1]2020'!Y31</f>
        <v>1.6405530140424038</v>
      </c>
      <c r="AB25" s="3">
        <v>0</v>
      </c>
      <c r="AC25" s="3">
        <f>'[1]2020'!AA31</f>
        <v>0</v>
      </c>
      <c r="AD25" s="20"/>
      <c r="AE25" s="17">
        <v>97.136073348400004</v>
      </c>
      <c r="AF25" s="26">
        <f t="shared" si="5"/>
        <v>4.5450858105037053</v>
      </c>
      <c r="AG25" s="26">
        <f t="shared" si="6"/>
        <v>4.5450858105037053</v>
      </c>
      <c r="AH25" s="52">
        <f t="shared" si="7"/>
        <v>0.56924618081642886</v>
      </c>
      <c r="AI25" s="52">
        <f t="shared" si="8"/>
        <v>0.56924618081642886</v>
      </c>
      <c r="AJ25" s="52">
        <f t="shared" si="9"/>
        <v>0.56924618081642886</v>
      </c>
      <c r="AK25" s="52">
        <f t="shared" si="10"/>
        <v>0.56924618081642886</v>
      </c>
      <c r="AL25" s="52">
        <f t="shared" si="11"/>
        <v>0.44402704733283249</v>
      </c>
      <c r="AM25" s="52">
        <f t="shared" si="12"/>
        <v>0.44402704733283249</v>
      </c>
      <c r="AN25" s="52">
        <f t="shared" si="13"/>
        <v>0.12521913348359628</v>
      </c>
      <c r="AO25" s="52">
        <f t="shared" si="14"/>
        <v>0.12521913348359628</v>
      </c>
      <c r="AP25" s="52">
        <f t="shared" si="15"/>
        <v>0.54845980465815181</v>
      </c>
      <c r="AQ25" s="52">
        <f t="shared" si="16"/>
        <v>0.54845980465815181</v>
      </c>
      <c r="AR25" s="52">
        <f t="shared" si="17"/>
        <v>0.78002639683238006</v>
      </c>
      <c r="AS25" s="52">
        <f t="shared" si="18"/>
        <v>0.21997360316761985</v>
      </c>
      <c r="AT25" s="52">
        <f t="shared" si="19"/>
        <v>0.43075381918357125</v>
      </c>
      <c r="AU25" s="52">
        <f t="shared" si="20"/>
        <v>0.43075381918357125</v>
      </c>
      <c r="AV25" s="52">
        <f t="shared" si="21"/>
        <v>8.0140245429501641E-2</v>
      </c>
      <c r="AW25" s="52">
        <f t="shared" si="22"/>
        <v>8.0140245429501641E-2</v>
      </c>
      <c r="AX25" s="52">
        <f t="shared" si="23"/>
        <v>0.35061357375406965</v>
      </c>
      <c r="AY25" s="52">
        <f t="shared" si="24"/>
        <v>0.35061357375406965</v>
      </c>
      <c r="AZ25" s="52">
        <f t="shared" si="25"/>
        <v>0.186046511627907</v>
      </c>
      <c r="BA25" s="52">
        <f t="shared" si="26"/>
        <v>0.81395348837209303</v>
      </c>
      <c r="BB25" s="52">
        <f t="shared" si="27"/>
        <v>4.6790915607652271E-2</v>
      </c>
      <c r="BC25" s="53">
        <f t="shared" si="28"/>
        <v>4.6790915607652271E-2</v>
      </c>
    </row>
    <row r="26" spans="1:55" x14ac:dyDescent="0.35">
      <c r="A26" s="5" t="s">
        <v>40</v>
      </c>
      <c r="B26" s="1">
        <v>2020</v>
      </c>
      <c r="C26" s="22">
        <f t="shared" si="1"/>
        <v>8.1954965779180267</v>
      </c>
      <c r="D26" s="2">
        <v>2.9594848753592875</v>
      </c>
      <c r="E26" s="3">
        <v>0.22765268271994518</v>
      </c>
      <c r="F26" s="3">
        <v>2.7318321926393425</v>
      </c>
      <c r="G26" s="3">
        <v>5.2360117025587387</v>
      </c>
      <c r="H26" s="4">
        <v>4.3254009716789588</v>
      </c>
      <c r="I26" s="3">
        <v>0.45530536543989036</v>
      </c>
      <c r="J26" s="3">
        <v>2.8456585339993148</v>
      </c>
      <c r="K26" s="3">
        <v>1.0244370722397533</v>
      </c>
      <c r="L26" s="3">
        <f t="shared" si="0"/>
        <v>11.516474924547168</v>
      </c>
      <c r="M26" s="4">
        <v>4.1587270560864775</v>
      </c>
      <c r="N26" s="4">
        <f t="shared" si="2"/>
        <v>11.818600202421667</v>
      </c>
      <c r="O26" s="4">
        <f t="shared" si="3"/>
        <v>4.460852333960978</v>
      </c>
      <c r="P26" s="3">
        <v>0.31990208123742137</v>
      </c>
      <c r="Q26" s="3">
        <f>'[1]2020'!N32</f>
        <v>0.34314248722776741</v>
      </c>
      <c r="R26" s="3">
        <v>3.8388249748490564</v>
      </c>
      <c r="S26" s="3">
        <f>'[1]2020'!P32</f>
        <v>4.1177098467332103</v>
      </c>
      <c r="T26" s="3">
        <v>7.3577478684606898</v>
      </c>
      <c r="U26" s="3">
        <f>'[1]2020'!S32</f>
        <v>7.8922772062386501</v>
      </c>
      <c r="V26" s="4">
        <f>X26+Z26</f>
        <v>4.6385801779426092</v>
      </c>
      <c r="W26" s="4">
        <f t="shared" si="4"/>
        <v>4.975566064802627</v>
      </c>
      <c r="X26" s="3">
        <v>0.63980416247484273</v>
      </c>
      <c r="Y26" s="3">
        <f>'[1]2020'!W32</f>
        <v>0.68628497445553482</v>
      </c>
      <c r="Z26" s="3">
        <v>3.998776015467767</v>
      </c>
      <c r="AA26" s="3">
        <f>'[1]2020'!Y32</f>
        <v>4.2892810903470924</v>
      </c>
      <c r="AB26" s="3">
        <v>1.4395593655683963</v>
      </c>
      <c r="AC26" s="3">
        <f>'[1]2020'!AA32</f>
        <v>1.5441411925249535</v>
      </c>
      <c r="AD26" s="20"/>
      <c r="AE26" s="17">
        <v>66.343484468840003</v>
      </c>
      <c r="AF26" s="26">
        <f t="shared" si="5"/>
        <v>7.2848858470382467</v>
      </c>
      <c r="AG26" s="26">
        <f t="shared" si="6"/>
        <v>7.2848858470382467</v>
      </c>
      <c r="AH26" s="52">
        <f t="shared" si="7"/>
        <v>0.40624999999999994</v>
      </c>
      <c r="AI26" s="52">
        <f t="shared" si="8"/>
        <v>0.40624999999999994</v>
      </c>
      <c r="AJ26" s="52">
        <f t="shared" si="9"/>
        <v>0.40624999999999994</v>
      </c>
      <c r="AK26" s="52">
        <f t="shared" si="10"/>
        <v>0.40624999999999994</v>
      </c>
      <c r="AL26" s="52">
        <f t="shared" si="11"/>
        <v>0.375</v>
      </c>
      <c r="AM26" s="52">
        <f t="shared" si="12"/>
        <v>0.375</v>
      </c>
      <c r="AN26" s="52">
        <f t="shared" si="13"/>
        <v>3.1249999999999997E-2</v>
      </c>
      <c r="AO26" s="52">
        <f t="shared" si="14"/>
        <v>3.1249999999999997E-2</v>
      </c>
      <c r="AP26" s="52">
        <f t="shared" si="15"/>
        <v>0.71874999999999989</v>
      </c>
      <c r="AQ26" s="52">
        <f t="shared" si="16"/>
        <v>0.71874999999999989</v>
      </c>
      <c r="AR26" s="52">
        <f t="shared" si="17"/>
        <v>0.92307692307692313</v>
      </c>
      <c r="AS26" s="52">
        <f t="shared" si="18"/>
        <v>7.6923076923076913E-2</v>
      </c>
      <c r="AT26" s="52">
        <f t="shared" si="19"/>
        <v>0.59375</v>
      </c>
      <c r="AU26" s="52">
        <f t="shared" si="20"/>
        <v>0.59375</v>
      </c>
      <c r="AV26" s="52">
        <f t="shared" si="21"/>
        <v>6.2499999999999993E-2</v>
      </c>
      <c r="AW26" s="52">
        <f t="shared" si="22"/>
        <v>6.2499999999999993E-2</v>
      </c>
      <c r="AX26" s="52">
        <f t="shared" si="23"/>
        <v>0.39062499999999994</v>
      </c>
      <c r="AY26" s="52">
        <f t="shared" si="24"/>
        <v>0.39062499999999994</v>
      </c>
      <c r="AZ26" s="52">
        <f t="shared" si="25"/>
        <v>0.10526315789473684</v>
      </c>
      <c r="BA26" s="52">
        <f t="shared" si="26"/>
        <v>0.6578947368421052</v>
      </c>
      <c r="BB26" s="52">
        <f t="shared" si="27"/>
        <v>0.10980559591288559</v>
      </c>
      <c r="BC26" s="53">
        <f t="shared" si="28"/>
        <v>0.10980559591288559</v>
      </c>
    </row>
    <row r="27" spans="1:55" x14ac:dyDescent="0.35">
      <c r="A27" s="5" t="s">
        <v>41</v>
      </c>
      <c r="B27" s="1">
        <v>2020</v>
      </c>
      <c r="C27" s="22">
        <f t="shared" si="1"/>
        <v>54.864296535506789</v>
      </c>
      <c r="D27" s="2">
        <v>40.522177524150244</v>
      </c>
      <c r="E27" s="3">
        <v>6.7157541402383831</v>
      </c>
      <c r="F27" s="3">
        <v>33.806423383911863</v>
      </c>
      <c r="G27" s="3">
        <v>14.342119011356546</v>
      </c>
      <c r="H27" s="4">
        <v>73.987121883982184</v>
      </c>
      <c r="I27" s="3">
        <v>0</v>
      </c>
      <c r="J27" s="3">
        <v>73.987121883982184</v>
      </c>
      <c r="K27" s="3">
        <v>0</v>
      </c>
      <c r="L27" s="3">
        <f t="shared" si="0"/>
        <v>6.1187974947486836</v>
      </c>
      <c r="M27" s="4">
        <v>4.5192778176981978</v>
      </c>
      <c r="N27" s="4">
        <f t="shared" si="2"/>
        <v>5.9453391019031114</v>
      </c>
      <c r="O27" s="4">
        <f t="shared" si="3"/>
        <v>4.3458194248526256</v>
      </c>
      <c r="P27" s="3">
        <v>0.74898143607919576</v>
      </c>
      <c r="Q27" s="3">
        <f>'[1]2020'!N33</f>
        <v>0.72023411816377791</v>
      </c>
      <c r="R27" s="3">
        <v>3.7702963816190023</v>
      </c>
      <c r="S27" s="3">
        <f>'[1]2020'!P33</f>
        <v>3.6255853066888477</v>
      </c>
      <c r="T27" s="3">
        <v>1.5995196770504858</v>
      </c>
      <c r="U27" s="3">
        <f>'[1]2020'!S33</f>
        <v>1.5381270998073899</v>
      </c>
      <c r="V27" s="4">
        <f t="shared" si="29"/>
        <v>8.2514903974826659</v>
      </c>
      <c r="W27" s="4">
        <f t="shared" si="4"/>
        <v>7.9347826577365348</v>
      </c>
      <c r="X27" s="3">
        <v>0</v>
      </c>
      <c r="Y27" s="3">
        <f>'[1]2020'!W33</f>
        <v>0</v>
      </c>
      <c r="Z27" s="3">
        <v>8.2514903974826659</v>
      </c>
      <c r="AA27" s="3">
        <f>'[1]2020'!Y33</f>
        <v>7.9347826577365348</v>
      </c>
      <c r="AB27" s="3">
        <v>0</v>
      </c>
      <c r="AC27" s="3">
        <f>'[1]2020'!AA33</f>
        <v>0</v>
      </c>
      <c r="AD27" s="20"/>
      <c r="AE27" s="17">
        <v>932.44043441874999</v>
      </c>
      <c r="AF27" s="26">
        <f t="shared" si="5"/>
        <v>114.50929940813242</v>
      </c>
      <c r="AG27" s="26">
        <f t="shared" si="6"/>
        <v>114.50929940813242</v>
      </c>
      <c r="AH27" s="52">
        <f t="shared" si="7"/>
        <v>0.35387673956262428</v>
      </c>
      <c r="AI27" s="52">
        <f t="shared" si="8"/>
        <v>0.35387673956262428</v>
      </c>
      <c r="AJ27" s="52">
        <f t="shared" si="9"/>
        <v>0.35387673956262428</v>
      </c>
      <c r="AK27" s="52">
        <f t="shared" si="10"/>
        <v>0.35387673956262428</v>
      </c>
      <c r="AL27" s="52">
        <f t="shared" si="11"/>
        <v>0.29522862823061635</v>
      </c>
      <c r="AM27" s="52">
        <f t="shared" si="12"/>
        <v>0.29522862823061635</v>
      </c>
      <c r="AN27" s="52">
        <f t="shared" si="13"/>
        <v>5.8648111332007959E-2</v>
      </c>
      <c r="AO27" s="52">
        <f t="shared" si="14"/>
        <v>5.8648111332007959E-2</v>
      </c>
      <c r="AP27" s="52">
        <f t="shared" si="15"/>
        <v>0.12524850894632208</v>
      </c>
      <c r="AQ27" s="52">
        <f t="shared" si="16"/>
        <v>0.12524850894632208</v>
      </c>
      <c r="AR27" s="52">
        <f t="shared" si="17"/>
        <v>0.83426966292134841</v>
      </c>
      <c r="AS27" s="52">
        <f t="shared" si="18"/>
        <v>0.16573033707865167</v>
      </c>
      <c r="AT27" s="52">
        <f t="shared" si="19"/>
        <v>0.64612326043737578</v>
      </c>
      <c r="AU27" s="52">
        <f t="shared" si="20"/>
        <v>0.64612326043737578</v>
      </c>
      <c r="AV27" s="52">
        <f t="shared" si="21"/>
        <v>0</v>
      </c>
      <c r="AW27" s="52">
        <f t="shared" si="22"/>
        <v>0</v>
      </c>
      <c r="AX27" s="52">
        <f t="shared" si="23"/>
        <v>0.64612326043737578</v>
      </c>
      <c r="AY27" s="52">
        <f t="shared" si="24"/>
        <v>0.64612326043737578</v>
      </c>
      <c r="AZ27" s="52">
        <f t="shared" si="25"/>
        <v>0</v>
      </c>
      <c r="BA27" s="52">
        <f t="shared" si="26"/>
        <v>1</v>
      </c>
      <c r="BB27" s="52">
        <f t="shared" si="27"/>
        <v>0.12280602082589159</v>
      </c>
      <c r="BC27" s="53">
        <f t="shared" si="28"/>
        <v>0.12280602082589159</v>
      </c>
    </row>
    <row r="28" spans="1:55" x14ac:dyDescent="0.35">
      <c r="A28" s="5" t="s">
        <v>42</v>
      </c>
      <c r="B28" s="1">
        <v>2020</v>
      </c>
      <c r="C28" s="22">
        <f t="shared" si="1"/>
        <v>39.908289467911899</v>
      </c>
      <c r="D28" s="2">
        <v>39.908289467911899</v>
      </c>
      <c r="E28" s="3">
        <v>2.5266611838450714</v>
      </c>
      <c r="F28" s="3">
        <v>37.381628284066828</v>
      </c>
      <c r="G28" s="3">
        <v>0</v>
      </c>
      <c r="H28" s="4">
        <v>5.6687911176011223</v>
      </c>
      <c r="I28" s="3">
        <v>1.619654605028892</v>
      </c>
      <c r="J28" s="3">
        <v>4.0491365125722298</v>
      </c>
      <c r="K28" s="3">
        <v>0</v>
      </c>
      <c r="L28" s="3">
        <f t="shared" si="0"/>
        <v>19.063391654531198</v>
      </c>
      <c r="M28" s="4">
        <v>19.063391654531198</v>
      </c>
      <c r="N28" s="4">
        <f t="shared" si="2"/>
        <v>20.57406125511077</v>
      </c>
      <c r="O28" s="4">
        <f t="shared" si="3"/>
        <v>20.57406125511077</v>
      </c>
      <c r="P28" s="3">
        <v>1.2069355105953192</v>
      </c>
      <c r="Q28" s="3">
        <f>'[1]2020'!N34</f>
        <v>1.3025785534891559</v>
      </c>
      <c r="R28" s="3">
        <v>17.85645614393588</v>
      </c>
      <c r="S28" s="3">
        <f>'[1]2020'!P34</f>
        <v>19.271482701621615</v>
      </c>
      <c r="T28" s="3">
        <v>0</v>
      </c>
      <c r="U28" s="3">
        <f>'[1]2020'!S34</f>
        <v>0</v>
      </c>
      <c r="V28" s="4">
        <f t="shared" si="29"/>
        <v>2.7078681327459089</v>
      </c>
      <c r="W28" s="4">
        <f t="shared" si="4"/>
        <v>2.9224518828282346</v>
      </c>
      <c r="X28" s="3">
        <v>0.77367660935597393</v>
      </c>
      <c r="Y28" s="3">
        <f>'[1]2020'!W34</f>
        <v>0.83498625223663836</v>
      </c>
      <c r="Z28" s="3">
        <v>1.9341915233899349</v>
      </c>
      <c r="AA28" s="3">
        <f>'[1]2020'!Y34</f>
        <v>2.0874656305915962</v>
      </c>
      <c r="AB28" s="3">
        <v>0</v>
      </c>
      <c r="AC28" s="3">
        <f>'[1]2020'!AA34</f>
        <v>0</v>
      </c>
      <c r="AD28" s="20"/>
      <c r="AE28" s="17">
        <v>193.97380504054999</v>
      </c>
      <c r="AF28" s="26">
        <f t="shared" si="5"/>
        <v>45.577080585513023</v>
      </c>
      <c r="AG28" s="26">
        <f t="shared" si="6"/>
        <v>45.577080585513023</v>
      </c>
      <c r="AH28" s="52">
        <f t="shared" si="7"/>
        <v>0.87562189054726369</v>
      </c>
      <c r="AI28" s="52">
        <f t="shared" si="8"/>
        <v>0.87562189054726369</v>
      </c>
      <c r="AJ28" s="52">
        <f t="shared" si="9"/>
        <v>0.87562189054726369</v>
      </c>
      <c r="AK28" s="52">
        <f t="shared" si="10"/>
        <v>0.87562189054726369</v>
      </c>
      <c r="AL28" s="52">
        <f t="shared" si="11"/>
        <v>0.82018479033404401</v>
      </c>
      <c r="AM28" s="52">
        <f t="shared" si="12"/>
        <v>0.82018479033404401</v>
      </c>
      <c r="AN28" s="52">
        <f t="shared" si="13"/>
        <v>5.5437100213219612E-2</v>
      </c>
      <c r="AO28" s="52">
        <f t="shared" si="14"/>
        <v>5.5437100213219612E-2</v>
      </c>
      <c r="AP28" s="52">
        <f t="shared" si="15"/>
        <v>0</v>
      </c>
      <c r="AQ28" s="52">
        <f t="shared" si="16"/>
        <v>0</v>
      </c>
      <c r="AR28" s="52">
        <f t="shared" si="17"/>
        <v>0.93668831168831168</v>
      </c>
      <c r="AS28" s="52">
        <f t="shared" si="18"/>
        <v>6.3311688311688305E-2</v>
      </c>
      <c r="AT28" s="52">
        <f t="shared" si="19"/>
        <v>0.12437810945273632</v>
      </c>
      <c r="AU28" s="52">
        <f t="shared" si="20"/>
        <v>0.12437810945273632</v>
      </c>
      <c r="AV28" s="52">
        <f t="shared" si="21"/>
        <v>3.5536602700781801E-2</v>
      </c>
      <c r="AW28" s="52">
        <f t="shared" si="22"/>
        <v>3.5536602700781801E-2</v>
      </c>
      <c r="AX28" s="52">
        <f t="shared" si="23"/>
        <v>8.8841506751954499E-2</v>
      </c>
      <c r="AY28" s="52">
        <f t="shared" si="24"/>
        <v>8.8841506751954499E-2</v>
      </c>
      <c r="AZ28" s="52">
        <f t="shared" si="25"/>
        <v>0.2857142857142857</v>
      </c>
      <c r="BA28" s="52">
        <f t="shared" si="26"/>
        <v>0.71428571428571419</v>
      </c>
      <c r="BB28" s="52">
        <f t="shared" si="27"/>
        <v>0.23496513137939007</v>
      </c>
      <c r="BC28" s="53">
        <f t="shared" si="28"/>
        <v>0.23496513137939007</v>
      </c>
    </row>
    <row r="29" spans="1:55" x14ac:dyDescent="0.35">
      <c r="A29" s="5" t="s">
        <v>43</v>
      </c>
      <c r="B29" s="1">
        <v>2020</v>
      </c>
      <c r="C29" s="22">
        <f t="shared" si="1"/>
        <v>13.348965621899445</v>
      </c>
      <c r="D29" s="2">
        <v>13.348965621899445</v>
      </c>
      <c r="E29" s="3">
        <v>1.1414792455781</v>
      </c>
      <c r="F29" s="3">
        <v>12.207486376321347</v>
      </c>
      <c r="G29" s="3">
        <v>0</v>
      </c>
      <c r="H29" s="4">
        <v>13.740027956032684</v>
      </c>
      <c r="I29" s="3">
        <v>5.4960111824130733</v>
      </c>
      <c r="J29" s="3">
        <v>8.2440167736196095</v>
      </c>
      <c r="K29" s="3">
        <v>0</v>
      </c>
      <c r="L29" s="3">
        <f t="shared" si="0"/>
        <v>4.2369754101110404</v>
      </c>
      <c r="M29" s="4">
        <v>4.2369754101110404</v>
      </c>
      <c r="N29" s="4">
        <f t="shared" si="2"/>
        <v>4.0395803375278465</v>
      </c>
      <c r="O29" s="4">
        <f t="shared" si="3"/>
        <v>4.0395803375278465</v>
      </c>
      <c r="P29" s="3">
        <v>0.31784240720826956</v>
      </c>
      <c r="Q29" s="3">
        <f>'[1]2020'!N35</f>
        <v>0.34542729727078975</v>
      </c>
      <c r="R29" s="3">
        <v>3.3991479659773267</v>
      </c>
      <c r="S29" s="3">
        <f>'[1]2020'!P35</f>
        <v>3.6941530402570568</v>
      </c>
      <c r="T29" s="3">
        <v>0</v>
      </c>
      <c r="U29" s="3">
        <f>'[1]2020'!S35</f>
        <v>0</v>
      </c>
      <c r="V29" s="4">
        <f t="shared" si="29"/>
        <v>4.3610989969472307</v>
      </c>
      <c r="W29" s="4">
        <f t="shared" si="4"/>
        <v>4.1579211708520978</v>
      </c>
      <c r="X29" s="3">
        <v>1.7444395987788921</v>
      </c>
      <c r="Y29" s="3">
        <f>'[1]2020'!W35</f>
        <v>1.6631684683408392</v>
      </c>
      <c r="Z29" s="3">
        <v>2.6166593981683381</v>
      </c>
      <c r="AA29" s="3">
        <f>'[1]2020'!Y35</f>
        <v>2.4947527025112586</v>
      </c>
      <c r="AB29" s="3">
        <v>0</v>
      </c>
      <c r="AC29" s="3">
        <f>'[1]2020'!AA35</f>
        <v>0</v>
      </c>
      <c r="AD29" s="20"/>
      <c r="AE29" s="17">
        <v>330.45426768437</v>
      </c>
      <c r="AF29" s="26">
        <f t="shared" si="5"/>
        <v>27.088993577932129</v>
      </c>
      <c r="AG29" s="26">
        <f t="shared" si="6"/>
        <v>27.088993577932129</v>
      </c>
      <c r="AH29" s="52">
        <f t="shared" si="7"/>
        <v>0.49278189621537261</v>
      </c>
      <c r="AI29" s="52">
        <f t="shared" si="8"/>
        <v>0.49278189621537261</v>
      </c>
      <c r="AJ29" s="52">
        <f t="shared" si="9"/>
        <v>0.49278189621537261</v>
      </c>
      <c r="AK29" s="52">
        <f t="shared" si="10"/>
        <v>0.49278189621537261</v>
      </c>
      <c r="AL29" s="52">
        <f t="shared" si="11"/>
        <v>0.45064377682403439</v>
      </c>
      <c r="AM29" s="52">
        <f t="shared" si="12"/>
        <v>0.45064377682403439</v>
      </c>
      <c r="AN29" s="52">
        <f t="shared" si="13"/>
        <v>4.2138119391338283E-2</v>
      </c>
      <c r="AO29" s="52">
        <f t="shared" si="14"/>
        <v>4.2138119391338283E-2</v>
      </c>
      <c r="AP29" s="52">
        <f t="shared" si="15"/>
        <v>0</v>
      </c>
      <c r="AQ29" s="52">
        <f t="shared" si="16"/>
        <v>0</v>
      </c>
      <c r="AR29" s="52">
        <f t="shared" si="17"/>
        <v>0.91448931116389554</v>
      </c>
      <c r="AS29" s="52">
        <f t="shared" si="18"/>
        <v>8.551068883610452E-2</v>
      </c>
      <c r="AT29" s="52">
        <f t="shared" si="19"/>
        <v>0.50721810378462739</v>
      </c>
      <c r="AU29" s="52">
        <f t="shared" si="20"/>
        <v>0.50721810378462739</v>
      </c>
      <c r="AV29" s="52">
        <f t="shared" si="21"/>
        <v>0.20288724151385096</v>
      </c>
      <c r="AW29" s="52">
        <f t="shared" si="22"/>
        <v>0.20288724151385096</v>
      </c>
      <c r="AX29" s="52">
        <f t="shared" si="23"/>
        <v>0.30433086227077644</v>
      </c>
      <c r="AY29" s="52">
        <f t="shared" si="24"/>
        <v>0.30433086227077644</v>
      </c>
      <c r="AZ29" s="52">
        <f t="shared" si="25"/>
        <v>0.39999999999999997</v>
      </c>
      <c r="BA29" s="52">
        <f t="shared" si="26"/>
        <v>0.6</v>
      </c>
      <c r="BB29" s="52">
        <f t="shared" si="27"/>
        <v>8.1975015083799438E-2</v>
      </c>
      <c r="BC29" s="53">
        <f t="shared" si="28"/>
        <v>8.1975015083799438E-2</v>
      </c>
    </row>
    <row r="30" spans="1:55" x14ac:dyDescent="0.35">
      <c r="A30" s="5" t="s">
        <v>44</v>
      </c>
      <c r="B30" s="1">
        <v>2020</v>
      </c>
      <c r="C30" s="22">
        <f t="shared" si="1"/>
        <v>19.805783396635231</v>
      </c>
      <c r="D30" s="2">
        <v>10.813502429197396</v>
      </c>
      <c r="E30" s="3">
        <v>2.5041795099193971</v>
      </c>
      <c r="F30" s="3">
        <v>8.3093229192779994</v>
      </c>
      <c r="G30" s="3">
        <v>8.9922809674378357</v>
      </c>
      <c r="H30" s="4">
        <v>14.797424376796437</v>
      </c>
      <c r="I30" s="3">
        <v>0</v>
      </c>
      <c r="J30" s="3">
        <v>14.797424376796437</v>
      </c>
      <c r="K30" s="3">
        <v>0</v>
      </c>
      <c r="L30" s="3">
        <f t="shared" si="0"/>
        <v>8.6556130772223749</v>
      </c>
      <c r="M30" s="4">
        <v>4.7257657605524459</v>
      </c>
      <c r="N30" s="4">
        <f t="shared" si="2"/>
        <v>7.0989556772834703</v>
      </c>
      <c r="O30" s="4">
        <f t="shared" si="3"/>
        <v>3.1691083606135417</v>
      </c>
      <c r="P30" s="3">
        <v>1.0943878603384611</v>
      </c>
      <c r="Q30" s="3">
        <f>'[1]2020'!N36</f>
        <v>0.73389877824734639</v>
      </c>
      <c r="R30" s="3">
        <v>3.6313779002139848</v>
      </c>
      <c r="S30" s="3">
        <f>'[1]2020'!P36</f>
        <v>2.4352095823661952</v>
      </c>
      <c r="T30" s="3">
        <v>3.9298473166699286</v>
      </c>
      <c r="U30" s="3">
        <f>'[1]2020'!S36</f>
        <v>2.6353637946154715</v>
      </c>
      <c r="V30" s="4">
        <f t="shared" si="29"/>
        <v>6.4668373565454518</v>
      </c>
      <c r="W30" s="4">
        <f t="shared" si="4"/>
        <v>4.3366745987343203</v>
      </c>
      <c r="X30" s="3">
        <v>0</v>
      </c>
      <c r="Y30" s="3">
        <f>'[1]2020'!W36</f>
        <v>0</v>
      </c>
      <c r="Z30" s="3">
        <v>6.4668373565454518</v>
      </c>
      <c r="AA30" s="3">
        <f>'[1]2020'!Y36</f>
        <v>4.3366745987343203</v>
      </c>
      <c r="AB30" s="3">
        <v>0</v>
      </c>
      <c r="AC30" s="3">
        <f>'[1]2020'!AA36</f>
        <v>0</v>
      </c>
      <c r="AD30" s="20"/>
      <c r="AE30" s="17">
        <v>341.21592570296002</v>
      </c>
      <c r="AF30" s="26">
        <f t="shared" si="5"/>
        <v>25.610926805993834</v>
      </c>
      <c r="AG30" s="26">
        <f t="shared" si="6"/>
        <v>25.610926805993834</v>
      </c>
      <c r="AH30" s="52">
        <f t="shared" si="7"/>
        <v>0.42222222222222217</v>
      </c>
      <c r="AI30" s="52">
        <f t="shared" si="8"/>
        <v>0.42222222222222217</v>
      </c>
      <c r="AJ30" s="52">
        <f t="shared" si="9"/>
        <v>0.42222222222222217</v>
      </c>
      <c r="AK30" s="52">
        <f t="shared" si="10"/>
        <v>0.42222222222222217</v>
      </c>
      <c r="AL30" s="52">
        <f t="shared" si="11"/>
        <v>0.32444444444444442</v>
      </c>
      <c r="AM30" s="52">
        <f t="shared" si="12"/>
        <v>0.32444444444444442</v>
      </c>
      <c r="AN30" s="52">
        <f t="shared" si="13"/>
        <v>9.7777777777777769E-2</v>
      </c>
      <c r="AO30" s="52">
        <f t="shared" si="14"/>
        <v>9.7777777777777769E-2</v>
      </c>
      <c r="AP30" s="52">
        <f t="shared" si="15"/>
        <v>0.35111111111111115</v>
      </c>
      <c r="AQ30" s="52">
        <f t="shared" si="16"/>
        <v>0.35111111111111115</v>
      </c>
      <c r="AR30" s="52">
        <f t="shared" si="17"/>
        <v>0.768421052631579</v>
      </c>
      <c r="AS30" s="52">
        <f t="shared" si="18"/>
        <v>0.23157894736842108</v>
      </c>
      <c r="AT30" s="52">
        <f t="shared" si="19"/>
        <v>0.57777777777777772</v>
      </c>
      <c r="AU30" s="52">
        <f t="shared" si="20"/>
        <v>0.57777777777777772</v>
      </c>
      <c r="AV30" s="52">
        <f t="shared" si="21"/>
        <v>0</v>
      </c>
      <c r="AW30" s="52">
        <f t="shared" si="22"/>
        <v>0</v>
      </c>
      <c r="AX30" s="52">
        <f t="shared" si="23"/>
        <v>0.57777777777777772</v>
      </c>
      <c r="AY30" s="52">
        <f t="shared" si="24"/>
        <v>0.57777777777777772</v>
      </c>
      <c r="AZ30" s="52">
        <f t="shared" si="25"/>
        <v>0</v>
      </c>
      <c r="BA30" s="52">
        <f t="shared" si="26"/>
        <v>1</v>
      </c>
      <c r="BB30" s="52">
        <f t="shared" si="27"/>
        <v>7.505782959347862E-2</v>
      </c>
      <c r="BC30" s="53">
        <f t="shared" si="28"/>
        <v>7.505782959347862E-2</v>
      </c>
    </row>
    <row r="31" spans="1:55" x14ac:dyDescent="0.35">
      <c r="A31" s="5" t="s">
        <v>45</v>
      </c>
      <c r="B31" s="1">
        <v>2020</v>
      </c>
      <c r="C31" s="22">
        <f t="shared" si="1"/>
        <v>4.5118375051219672</v>
      </c>
      <c r="D31" s="2">
        <v>3.9671784617144987</v>
      </c>
      <c r="E31" s="3">
        <v>0.153665560835963</v>
      </c>
      <c r="F31" s="3">
        <v>3.8135129008785356</v>
      </c>
      <c r="G31" s="3">
        <v>0.54465904340746885</v>
      </c>
      <c r="H31" s="4">
        <v>4.5644362885349006</v>
      </c>
      <c r="I31" s="3">
        <v>0</v>
      </c>
      <c r="J31" s="3">
        <v>4.5644362885349006</v>
      </c>
      <c r="K31" s="3">
        <v>0</v>
      </c>
      <c r="L31" s="3">
        <f t="shared" si="0"/>
        <v>4.3247135884585397</v>
      </c>
      <c r="M31" s="4">
        <v>3.795231345008085</v>
      </c>
      <c r="N31" s="4">
        <f t="shared" si="2"/>
        <v>2.7127084785213995</v>
      </c>
      <c r="O31" s="4">
        <f t="shared" si="3"/>
        <v>2.1832262350709453</v>
      </c>
      <c r="P31" s="3">
        <v>0.14938370504871756</v>
      </c>
      <c r="Q31" s="3">
        <f>'[1]2020'!N37</f>
        <v>8.4565563934569557E-2</v>
      </c>
      <c r="R31" s="3">
        <v>3.6458476399593676</v>
      </c>
      <c r="S31" s="3">
        <f>'[1]2020'!P37</f>
        <v>2.0986606711363756</v>
      </c>
      <c r="T31" s="3">
        <v>0.52948224345045447</v>
      </c>
      <c r="U31" s="3">
        <f>'[1]2020'!S37</f>
        <v>0.29973794327919656</v>
      </c>
      <c r="V31" s="4">
        <f t="shared" si="29"/>
        <v>4.4372493129285733</v>
      </c>
      <c r="W31" s="4">
        <f t="shared" si="4"/>
        <v>2.5119104546490658</v>
      </c>
      <c r="X31" s="3">
        <v>0</v>
      </c>
      <c r="Y31" s="3">
        <f>'[1]2020'!W37</f>
        <v>0</v>
      </c>
      <c r="Z31" s="3">
        <v>4.4372493129285733</v>
      </c>
      <c r="AA31" s="3">
        <f>'[1]2020'!Y37</f>
        <v>2.5119104546490658</v>
      </c>
      <c r="AB31" s="3">
        <v>0</v>
      </c>
      <c r="AC31" s="3">
        <f>'[1]2020'!AA37</f>
        <v>0</v>
      </c>
      <c r="AD31" s="20"/>
      <c r="AE31" s="17">
        <v>181.71174374815001</v>
      </c>
      <c r="AF31" s="26">
        <f t="shared" si="5"/>
        <v>8.5316147502493997</v>
      </c>
      <c r="AG31" s="26">
        <f t="shared" si="6"/>
        <v>8.5316147502493997</v>
      </c>
      <c r="AH31" s="52">
        <f t="shared" si="7"/>
        <v>0.46499737480510689</v>
      </c>
      <c r="AI31" s="52">
        <f t="shared" si="8"/>
        <v>0.46499737480510689</v>
      </c>
      <c r="AJ31" s="52">
        <f t="shared" si="9"/>
        <v>0.46499737480510689</v>
      </c>
      <c r="AK31" s="52">
        <f t="shared" si="10"/>
        <v>0.46499737480510689</v>
      </c>
      <c r="AL31" s="52">
        <f t="shared" si="11"/>
        <v>0.44698606448059053</v>
      </c>
      <c r="AM31" s="52">
        <f t="shared" si="12"/>
        <v>0.44698606448059053</v>
      </c>
      <c r="AN31" s="52">
        <f t="shared" si="13"/>
        <v>1.801131032451635E-2</v>
      </c>
      <c r="AO31" s="52">
        <f t="shared" si="14"/>
        <v>1.801131032451635E-2</v>
      </c>
      <c r="AP31" s="52">
        <f t="shared" si="15"/>
        <v>6.3840088816896845E-2</v>
      </c>
      <c r="AQ31" s="52">
        <f t="shared" si="16"/>
        <v>6.3840088816896845E-2</v>
      </c>
      <c r="AR31" s="52">
        <f t="shared" si="17"/>
        <v>0.96126578062496504</v>
      </c>
      <c r="AS31" s="52">
        <f t="shared" si="18"/>
        <v>3.8734219375034927E-2</v>
      </c>
      <c r="AT31" s="52">
        <f t="shared" si="19"/>
        <v>0.53500262519489306</v>
      </c>
      <c r="AU31" s="52">
        <f t="shared" si="20"/>
        <v>0.53500262519489306</v>
      </c>
      <c r="AV31" s="52">
        <f t="shared" si="21"/>
        <v>0</v>
      </c>
      <c r="AW31" s="52">
        <f t="shared" si="22"/>
        <v>0</v>
      </c>
      <c r="AX31" s="52">
        <f t="shared" si="23"/>
        <v>0.53500262519489306</v>
      </c>
      <c r="AY31" s="52">
        <f t="shared" si="24"/>
        <v>0.53500262519489306</v>
      </c>
      <c r="AZ31" s="52">
        <f t="shared" si="25"/>
        <v>0</v>
      </c>
      <c r="BA31" s="52">
        <f t="shared" si="26"/>
        <v>1</v>
      </c>
      <c r="BB31" s="52">
        <f t="shared" si="27"/>
        <v>4.6951366897200114E-2</v>
      </c>
      <c r="BC31" s="53">
        <f t="shared" si="28"/>
        <v>4.6951366897200114E-2</v>
      </c>
    </row>
    <row r="32" spans="1:55" x14ac:dyDescent="0.35">
      <c r="A32" s="5" t="s">
        <v>46</v>
      </c>
      <c r="B32" s="1">
        <v>2020</v>
      </c>
      <c r="C32" s="22">
        <f t="shared" si="1"/>
        <v>2.8659800950473437</v>
      </c>
      <c r="D32" s="2">
        <v>2.7659800950473437</v>
      </c>
      <c r="E32" s="3">
        <v>0.45530536543989192</v>
      </c>
      <c r="F32" s="3">
        <v>2.3106747296074519</v>
      </c>
      <c r="G32" s="3">
        <v>0.1</v>
      </c>
      <c r="H32" s="4">
        <v>3.5</v>
      </c>
      <c r="I32" s="3">
        <v>1</v>
      </c>
      <c r="J32" s="3">
        <v>2.5</v>
      </c>
      <c r="K32" s="3">
        <v>0</v>
      </c>
      <c r="L32" s="3">
        <f t="shared" si="0"/>
        <v>5.6460563319061983</v>
      </c>
      <c r="M32" s="4">
        <v>5.3460563319061984</v>
      </c>
      <c r="N32" s="4">
        <f t="shared" si="2"/>
        <v>3.9376590060985182</v>
      </c>
      <c r="O32" s="4">
        <f t="shared" si="3"/>
        <v>3.6376590060985183</v>
      </c>
      <c r="P32" s="3">
        <v>0.88000927274176111</v>
      </c>
      <c r="Q32" s="3">
        <f>'[1]2020'!N38</f>
        <v>0.59879160594214276</v>
      </c>
      <c r="R32" s="3">
        <v>4.4660470591644374</v>
      </c>
      <c r="S32" s="3">
        <f>'[1]2020'!P38</f>
        <v>3.0388674001563754</v>
      </c>
      <c r="T32" s="3">
        <v>0.3</v>
      </c>
      <c r="U32" s="3">
        <f>'[1]2020'!S38</f>
        <v>0.13151428720011285</v>
      </c>
      <c r="V32" s="4">
        <f t="shared" si="29"/>
        <v>6.6</v>
      </c>
      <c r="W32" s="4">
        <f t="shared" si="4"/>
        <v>4.6030000520039493</v>
      </c>
      <c r="X32" s="3">
        <v>1.9</v>
      </c>
      <c r="Y32" s="3">
        <f>'[1]2020'!W38</f>
        <v>1.3151428720011284</v>
      </c>
      <c r="Z32" s="3">
        <v>4.7</v>
      </c>
      <c r="AA32" s="3">
        <f>'[1]2020'!Y38</f>
        <v>3.2878571800028213</v>
      </c>
      <c r="AB32" s="3">
        <v>0</v>
      </c>
      <c r="AC32" s="3">
        <f>'[1]2020'!AA38</f>
        <v>0</v>
      </c>
      <c r="AD32" s="20"/>
      <c r="AE32" s="17">
        <v>76.037366075549997</v>
      </c>
      <c r="AF32" s="26">
        <f t="shared" si="5"/>
        <v>6.2659800950473432</v>
      </c>
      <c r="AG32" s="26">
        <f t="shared" si="6"/>
        <v>6.2659800950473432</v>
      </c>
      <c r="AH32" s="52">
        <f t="shared" si="7"/>
        <v>0.44142816496234738</v>
      </c>
      <c r="AI32" s="52">
        <f t="shared" si="8"/>
        <v>0.44142816496234738</v>
      </c>
      <c r="AJ32" s="52">
        <f t="shared" si="9"/>
        <v>0.44142816496234738</v>
      </c>
      <c r="AK32" s="52">
        <f t="shared" si="10"/>
        <v>0.44142816496234738</v>
      </c>
      <c r="AL32" s="52">
        <f t="shared" si="11"/>
        <v>0.36876509254056183</v>
      </c>
      <c r="AM32" s="52">
        <f t="shared" si="12"/>
        <v>0.36876509254056183</v>
      </c>
      <c r="AN32" s="52">
        <f t="shared" si="13"/>
        <v>7.2663072421785574E-2</v>
      </c>
      <c r="AO32" s="52">
        <f t="shared" si="14"/>
        <v>7.2663072421785574E-2</v>
      </c>
      <c r="AP32" s="52">
        <f t="shared" si="15"/>
        <v>1.5959195286790077E-2</v>
      </c>
      <c r="AQ32" s="52">
        <f t="shared" si="16"/>
        <v>1.5959195286790077E-2</v>
      </c>
      <c r="AR32" s="52">
        <f t="shared" si="17"/>
        <v>0.8353909465020577</v>
      </c>
      <c r="AS32" s="52">
        <f t="shared" si="18"/>
        <v>0.16460905349794236</v>
      </c>
      <c r="AT32" s="52">
        <f t="shared" si="19"/>
        <v>0.55857183503765273</v>
      </c>
      <c r="AU32" s="52">
        <f t="shared" si="20"/>
        <v>0.55857183503765273</v>
      </c>
      <c r="AV32" s="52">
        <f t="shared" si="21"/>
        <v>0.15959195286790076</v>
      </c>
      <c r="AW32" s="52">
        <f t="shared" si="22"/>
        <v>0.15959195286790076</v>
      </c>
      <c r="AX32" s="52">
        <f t="shared" si="23"/>
        <v>0.39897988216975194</v>
      </c>
      <c r="AY32" s="52">
        <f t="shared" si="24"/>
        <v>0.39897988216975194</v>
      </c>
      <c r="AZ32" s="52">
        <f t="shared" si="25"/>
        <v>0.2857142857142857</v>
      </c>
      <c r="BA32" s="52">
        <f t="shared" si="26"/>
        <v>0.7142857142857143</v>
      </c>
      <c r="BB32" s="52">
        <f t="shared" si="27"/>
        <v>8.2406590581024675E-2</v>
      </c>
      <c r="BC32" s="53">
        <f t="shared" si="28"/>
        <v>8.2406590581024675E-2</v>
      </c>
    </row>
    <row r="33" spans="1:55" x14ac:dyDescent="0.35">
      <c r="A33" s="5" t="s">
        <v>47</v>
      </c>
      <c r="B33" s="1">
        <v>2020</v>
      </c>
      <c r="C33" s="22">
        <f t="shared" si="1"/>
        <v>58.584528983563516</v>
      </c>
      <c r="D33" s="2">
        <v>22.325028541088958</v>
      </c>
      <c r="E33" s="3">
        <v>4.0762172736226612</v>
      </c>
      <c r="F33" s="3">
        <v>18.248811267466294</v>
      </c>
      <c r="G33" s="3">
        <v>36.259500442474554</v>
      </c>
      <c r="H33" s="4">
        <v>28.325705271031612</v>
      </c>
      <c r="I33" s="3">
        <v>1.2663765826177678</v>
      </c>
      <c r="J33" s="3">
        <v>27.059328688413846</v>
      </c>
      <c r="K33" s="3">
        <v>0</v>
      </c>
      <c r="L33" s="3">
        <f t="shared" si="0"/>
        <v>11.023316165638953</v>
      </c>
      <c r="M33" s="4">
        <v>4.2006968782557186</v>
      </c>
      <c r="N33" s="4">
        <f t="shared" si="2"/>
        <v>11.107616621908097</v>
      </c>
      <c r="O33" s="4">
        <f t="shared" si="3"/>
        <v>4.2849973345248626</v>
      </c>
      <c r="P33" s="3">
        <v>0.76698460406821656</v>
      </c>
      <c r="Q33" s="3">
        <f>'[1]2020'!N39</f>
        <v>0.78237661019202132</v>
      </c>
      <c r="R33" s="3">
        <v>3.4337122741875019</v>
      </c>
      <c r="S33" s="3">
        <f>'[1]2020'!P39</f>
        <v>3.5026207243328411</v>
      </c>
      <c r="T33" s="3">
        <v>6.8226192873832332</v>
      </c>
      <c r="U33" s="3">
        <f>'[1]2020'!S39</f>
        <v>6.9595370264027405</v>
      </c>
      <c r="V33" s="4">
        <f t="shared" si="29"/>
        <v>5.3297894552483349</v>
      </c>
      <c r="W33" s="4">
        <f t="shared" si="4"/>
        <v>5.4367487755510364</v>
      </c>
      <c r="X33" s="3">
        <v>0.23828252436532485</v>
      </c>
      <c r="Y33" s="3">
        <f>'[1]2020'!W39</f>
        <v>0.24306442748928966</v>
      </c>
      <c r="Z33" s="3">
        <v>5.0915069308830097</v>
      </c>
      <c r="AA33" s="3">
        <f>'[1]2020'!Y39</f>
        <v>5.1936843480617467</v>
      </c>
      <c r="AB33" s="3">
        <v>0</v>
      </c>
      <c r="AC33" s="3">
        <f>'[1]2020'!AA39</f>
        <v>0</v>
      </c>
      <c r="AD33" s="20"/>
      <c r="AE33" s="17">
        <v>521.00449074291998</v>
      </c>
      <c r="AF33" s="26">
        <f t="shared" si="5"/>
        <v>50.650733812120571</v>
      </c>
      <c r="AG33" s="26">
        <f t="shared" si="6"/>
        <v>50.650733812120571</v>
      </c>
      <c r="AH33" s="52">
        <f t="shared" si="7"/>
        <v>0.44076416787759637</v>
      </c>
      <c r="AI33" s="52">
        <f t="shared" si="8"/>
        <v>0.44076416787759637</v>
      </c>
      <c r="AJ33" s="52">
        <f t="shared" si="9"/>
        <v>0.44076416787759637</v>
      </c>
      <c r="AK33" s="52">
        <f t="shared" si="10"/>
        <v>0.44076416787759637</v>
      </c>
      <c r="AL33" s="52">
        <f t="shared" si="11"/>
        <v>0.36028720403453279</v>
      </c>
      <c r="AM33" s="52">
        <f t="shared" si="12"/>
        <v>0.36028720403453279</v>
      </c>
      <c r="AN33" s="52">
        <f t="shared" si="13"/>
        <v>8.0476963843063506E-2</v>
      </c>
      <c r="AO33" s="52">
        <f t="shared" si="14"/>
        <v>8.0476963843063506E-2</v>
      </c>
      <c r="AP33" s="52">
        <f t="shared" si="15"/>
        <v>0.71587315155141473</v>
      </c>
      <c r="AQ33" s="52">
        <f t="shared" si="16"/>
        <v>0.71587315155141473</v>
      </c>
      <c r="AR33" s="52">
        <f t="shared" si="17"/>
        <v>0.81741491321632875</v>
      </c>
      <c r="AS33" s="52">
        <f t="shared" si="18"/>
        <v>0.18258508678367108</v>
      </c>
      <c r="AT33" s="52">
        <f t="shared" si="19"/>
        <v>0.55923583212240358</v>
      </c>
      <c r="AU33" s="52">
        <f t="shared" si="20"/>
        <v>0.55923583212240358</v>
      </c>
      <c r="AV33" s="52">
        <f t="shared" si="21"/>
        <v>2.5002136934780747E-2</v>
      </c>
      <c r="AW33" s="52">
        <f t="shared" si="22"/>
        <v>2.5002136934780747E-2</v>
      </c>
      <c r="AX33" s="52">
        <f t="shared" si="23"/>
        <v>0.53423369518762287</v>
      </c>
      <c r="AY33" s="52">
        <f t="shared" si="24"/>
        <v>0.53423369518762287</v>
      </c>
      <c r="AZ33" s="52">
        <f t="shared" si="25"/>
        <v>4.4707680550248367E-2</v>
      </c>
      <c r="BA33" s="52">
        <f t="shared" si="26"/>
        <v>0.95529231944975168</v>
      </c>
      <c r="BB33" s="52">
        <f t="shared" si="27"/>
        <v>9.721746110075899E-2</v>
      </c>
      <c r="BC33" s="53">
        <f t="shared" si="28"/>
        <v>9.721746110075899E-2</v>
      </c>
    </row>
    <row r="34" spans="1:55" x14ac:dyDescent="0.35">
      <c r="A34" s="5" t="s">
        <v>48</v>
      </c>
      <c r="B34" s="1">
        <v>2020</v>
      </c>
      <c r="C34" s="22">
        <f t="shared" si="1"/>
        <v>39.489616738061301</v>
      </c>
      <c r="D34" s="2">
        <v>39.489616738061301</v>
      </c>
      <c r="E34" s="3">
        <v>3.1894478304486302</v>
      </c>
      <c r="F34" s="3">
        <v>36.300168907612672</v>
      </c>
      <c r="G34" s="3">
        <v>0</v>
      </c>
      <c r="H34" s="4">
        <v>44.864899481644059</v>
      </c>
      <c r="I34" s="3">
        <v>0.85051942145296811</v>
      </c>
      <c r="J34" s="3">
        <v>44.014380060191094</v>
      </c>
      <c r="K34" s="3">
        <v>0</v>
      </c>
      <c r="L34" s="3">
        <f t="shared" ref="L34:L65" si="30">M34+T34</f>
        <v>5.2882597816353591</v>
      </c>
      <c r="M34" s="4">
        <v>5.2882597816353591</v>
      </c>
      <c r="N34" s="4">
        <f t="shared" si="2"/>
        <v>6.6839313543188199</v>
      </c>
      <c r="O34" s="4">
        <f t="shared" si="3"/>
        <v>6.6839313543188199</v>
      </c>
      <c r="P34" s="3">
        <v>0.42711553265415886</v>
      </c>
      <c r="Q34" s="3">
        <f>'[1]2020'!N40</f>
        <v>0.53983938356010286</v>
      </c>
      <c r="R34" s="3">
        <v>4.8611442489812005</v>
      </c>
      <c r="S34" s="3">
        <f>'[1]2020'!P40</f>
        <v>6.1440919707587174</v>
      </c>
      <c r="T34" s="3">
        <v>0</v>
      </c>
      <c r="U34" s="3">
        <f>'[1]2020'!S40</f>
        <v>0</v>
      </c>
      <c r="V34" s="4">
        <f t="shared" si="29"/>
        <v>6.0080918260018352</v>
      </c>
      <c r="W34" s="4">
        <f t="shared" si="4"/>
        <v>7.5937406620787797</v>
      </c>
      <c r="X34" s="3">
        <v>0.11389747537444236</v>
      </c>
      <c r="Y34" s="3">
        <f>'[1]2020'!W40</f>
        <v>0.14395716894936081</v>
      </c>
      <c r="Z34" s="3">
        <v>5.8941943506273926</v>
      </c>
      <c r="AA34" s="3">
        <f>'[1]2020'!Y40</f>
        <v>7.4497834931294191</v>
      </c>
      <c r="AB34" s="3">
        <v>0</v>
      </c>
      <c r="AC34" s="3">
        <f>'[1]2020'!AA40</f>
        <v>0</v>
      </c>
      <c r="AD34" s="20"/>
      <c r="AE34" s="17">
        <v>590.81421763174001</v>
      </c>
      <c r="AF34" s="26">
        <f t="shared" si="5"/>
        <v>84.35451621970536</v>
      </c>
      <c r="AG34" s="26">
        <f t="shared" si="6"/>
        <v>84.35451621970536</v>
      </c>
      <c r="AH34" s="52">
        <f t="shared" si="7"/>
        <v>0.46813873764871949</v>
      </c>
      <c r="AI34" s="52">
        <f t="shared" si="8"/>
        <v>0.46813873764871949</v>
      </c>
      <c r="AJ34" s="52">
        <f t="shared" si="9"/>
        <v>0.46813873764871949</v>
      </c>
      <c r="AK34" s="52">
        <f t="shared" si="10"/>
        <v>0.46813873764871949</v>
      </c>
      <c r="AL34" s="52">
        <f t="shared" si="11"/>
        <v>0.43032869530147205</v>
      </c>
      <c r="AM34" s="52">
        <f t="shared" si="12"/>
        <v>0.43032869530147205</v>
      </c>
      <c r="AN34" s="52">
        <f t="shared" si="13"/>
        <v>3.7810042347247434E-2</v>
      </c>
      <c r="AO34" s="52">
        <f t="shared" si="14"/>
        <v>3.7810042347247434E-2</v>
      </c>
      <c r="AP34" s="52">
        <f t="shared" si="15"/>
        <v>0</v>
      </c>
      <c r="AQ34" s="52">
        <f t="shared" si="16"/>
        <v>0</v>
      </c>
      <c r="AR34" s="52">
        <f t="shared" si="17"/>
        <v>0.91923325436140435</v>
      </c>
      <c r="AS34" s="52">
        <f t="shared" si="18"/>
        <v>8.0766745638595747E-2</v>
      </c>
      <c r="AT34" s="52">
        <f t="shared" si="19"/>
        <v>0.53186126235128051</v>
      </c>
      <c r="AU34" s="52">
        <f t="shared" si="20"/>
        <v>0.53186126235128051</v>
      </c>
      <c r="AV34" s="52">
        <f t="shared" si="21"/>
        <v>1.0082677959265983E-2</v>
      </c>
      <c r="AW34" s="52">
        <f t="shared" si="22"/>
        <v>1.0082677959265983E-2</v>
      </c>
      <c r="AX34" s="52">
        <f t="shared" si="23"/>
        <v>0.52177858439201452</v>
      </c>
      <c r="AY34" s="52">
        <f t="shared" si="24"/>
        <v>0.52177858439201452</v>
      </c>
      <c r="AZ34" s="52">
        <f t="shared" si="25"/>
        <v>1.8957345971563986E-2</v>
      </c>
      <c r="BA34" s="52">
        <f t="shared" si="26"/>
        <v>0.98104265402843605</v>
      </c>
      <c r="BB34" s="52">
        <f t="shared" si="27"/>
        <v>0.142776720163976</v>
      </c>
      <c r="BC34" s="53">
        <f t="shared" si="28"/>
        <v>0.142776720163976</v>
      </c>
    </row>
    <row r="35" spans="1:55" x14ac:dyDescent="0.35">
      <c r="A35" s="1" t="s">
        <v>49</v>
      </c>
      <c r="B35" s="1">
        <v>2020</v>
      </c>
      <c r="C35" s="22">
        <f t="shared" si="1"/>
        <v>23.775557264419625</v>
      </c>
      <c r="D35" s="2">
        <v>20.735557264419626</v>
      </c>
      <c r="E35" s="3">
        <v>2.21544520875785</v>
      </c>
      <c r="F35" s="3">
        <v>18.520112055661777</v>
      </c>
      <c r="G35" s="3">
        <v>3.04</v>
      </c>
      <c r="H35" s="4">
        <v>4.5003203243428693</v>
      </c>
      <c r="I35" s="3">
        <v>0</v>
      </c>
      <c r="J35" s="3">
        <v>0</v>
      </c>
      <c r="K35" s="3">
        <v>4.5003203243428693</v>
      </c>
      <c r="L35" s="3">
        <f t="shared" si="30"/>
        <v>9.4542522112375131</v>
      </c>
      <c r="M35" s="4">
        <v>8.2454087590096599</v>
      </c>
      <c r="N35" s="4">
        <f t="shared" si="2"/>
        <v>5.9077080140455092</v>
      </c>
      <c r="O35" s="4">
        <f t="shared" si="3"/>
        <v>4.6988645618176559</v>
      </c>
      <c r="P35" s="3">
        <v>0.88096264288700565</v>
      </c>
      <c r="Q35" s="3">
        <f>'[1]2020'!N41</f>
        <v>0.50203989443504105</v>
      </c>
      <c r="R35" s="3">
        <v>7.3644461161226555</v>
      </c>
      <c r="S35" s="3">
        <f>'[1]2020'!P41</f>
        <v>4.1968246673826144</v>
      </c>
      <c r="T35" s="3">
        <v>1.2088434522278535</v>
      </c>
      <c r="U35" s="3">
        <f>'[1]2020'!S41</f>
        <v>0.688891457594761</v>
      </c>
      <c r="V35" s="4">
        <f t="shared" si="29"/>
        <v>0</v>
      </c>
      <c r="W35" s="4">
        <f t="shared" si="4"/>
        <v>0</v>
      </c>
      <c r="X35" s="3">
        <v>0</v>
      </c>
      <c r="Y35" s="3">
        <f>'[1]2020'!W41</f>
        <v>0</v>
      </c>
      <c r="Z35" s="3">
        <v>0</v>
      </c>
      <c r="AA35" s="3">
        <f>'[1]2020'!Y41</f>
        <v>0</v>
      </c>
      <c r="AB35" s="3">
        <v>1.7895338016479629</v>
      </c>
      <c r="AC35" s="3">
        <f>'[1]2020'!AA41</f>
        <v>1.0198132328552258</v>
      </c>
      <c r="AD35" s="20"/>
      <c r="AE35" s="17">
        <v>441.28867711817003</v>
      </c>
      <c r="AF35" s="26">
        <f t="shared" si="5"/>
        <v>25.235877588762495</v>
      </c>
      <c r="AG35" s="26">
        <f t="shared" si="6"/>
        <v>25.235877588762495</v>
      </c>
      <c r="AH35" s="52">
        <f t="shared" si="7"/>
        <v>0.82166975138812459</v>
      </c>
      <c r="AI35" s="52">
        <f t="shared" si="8"/>
        <v>0.82166975138812459</v>
      </c>
      <c r="AJ35" s="52">
        <f t="shared" si="9"/>
        <v>0.82166975138812459</v>
      </c>
      <c r="AK35" s="52">
        <f t="shared" si="10"/>
        <v>0.82166975138812459</v>
      </c>
      <c r="AL35" s="52">
        <f t="shared" si="11"/>
        <v>0.73388024611074987</v>
      </c>
      <c r="AM35" s="52">
        <f t="shared" si="12"/>
        <v>0.73388024611074987</v>
      </c>
      <c r="AN35" s="52">
        <f t="shared" si="13"/>
        <v>8.7789505277374821E-2</v>
      </c>
      <c r="AO35" s="52">
        <f t="shared" si="14"/>
        <v>8.7789505277374821E-2</v>
      </c>
      <c r="AP35" s="52">
        <f t="shared" si="15"/>
        <v>0.12046341520350805</v>
      </c>
      <c r="AQ35" s="52">
        <f t="shared" si="16"/>
        <v>0.12046341520350805</v>
      </c>
      <c r="AR35" s="52">
        <f t="shared" si="17"/>
        <v>0.89315718982101555</v>
      </c>
      <c r="AS35" s="52">
        <f t="shared" si="18"/>
        <v>0.10684281017898455</v>
      </c>
      <c r="AT35" s="52">
        <f t="shared" si="19"/>
        <v>0.17833024861187535</v>
      </c>
      <c r="AU35" s="52">
        <f t="shared" si="20"/>
        <v>0.17833024861187535</v>
      </c>
      <c r="AV35" s="52">
        <f t="shared" si="21"/>
        <v>0</v>
      </c>
      <c r="AW35" s="52">
        <f t="shared" si="22"/>
        <v>0</v>
      </c>
      <c r="AX35" s="52">
        <f t="shared" si="23"/>
        <v>0</v>
      </c>
      <c r="AY35" s="52">
        <f t="shared" si="24"/>
        <v>0</v>
      </c>
      <c r="AZ35" s="52">
        <f t="shared" si="25"/>
        <v>0</v>
      </c>
      <c r="BA35" s="52">
        <f t="shared" si="26"/>
        <v>0</v>
      </c>
      <c r="BB35" s="52">
        <f t="shared" si="27"/>
        <v>5.7186777946728808E-2</v>
      </c>
      <c r="BC35" s="53">
        <f t="shared" si="28"/>
        <v>5.7186777946728808E-2</v>
      </c>
    </row>
    <row r="36" spans="1:55" x14ac:dyDescent="0.35">
      <c r="A36" s="1" t="s">
        <v>50</v>
      </c>
      <c r="B36" s="1">
        <v>2020</v>
      </c>
      <c r="C36" s="22">
        <f t="shared" si="1"/>
        <v>11.167615643829921</v>
      </c>
      <c r="D36" s="2">
        <v>11.060053989571156</v>
      </c>
      <c r="E36" s="3">
        <v>2.9135225289071882</v>
      </c>
      <c r="F36" s="3">
        <v>8.1465314606639669</v>
      </c>
      <c r="G36" s="3">
        <v>0.10756165425876577</v>
      </c>
      <c r="H36" s="4">
        <v>15.411433822196001</v>
      </c>
      <c r="I36" s="3">
        <v>8.5363617861112981</v>
      </c>
      <c r="J36" s="3">
        <v>6.8750720360846609</v>
      </c>
      <c r="K36" s="3">
        <v>0</v>
      </c>
      <c r="L36" s="3">
        <f t="shared" si="30"/>
        <v>4.1400063508576936</v>
      </c>
      <c r="M36" s="4">
        <v>4.1001315963942302</v>
      </c>
      <c r="N36" s="4">
        <f t="shared" si="2"/>
        <v>1.6416920592126669</v>
      </c>
      <c r="O36" s="4">
        <f t="shared" si="3"/>
        <v>1.6018173047492037</v>
      </c>
      <c r="P36" s="3">
        <v>1.0800874741518307</v>
      </c>
      <c r="Q36" s="3">
        <f>'[1]2020'!N42</f>
        <v>0.42196275072262579</v>
      </c>
      <c r="R36" s="3">
        <v>3.0200441222424002</v>
      </c>
      <c r="S36" s="3">
        <f>'[1]2020'!P42</f>
        <v>1.1798545540265779</v>
      </c>
      <c r="T36" s="3">
        <v>3.9874754463463308E-2</v>
      </c>
      <c r="U36" s="3">
        <f>'[1]2020'!S42</f>
        <v>1.5578054074745292E-2</v>
      </c>
      <c r="V36" s="4">
        <f t="shared" si="29"/>
        <v>5.713254819525023</v>
      </c>
      <c r="W36" s="4">
        <f t="shared" si="4"/>
        <v>2.2320235878295058</v>
      </c>
      <c r="X36" s="3">
        <v>3.1645602011066072</v>
      </c>
      <c r="Y36" s="3">
        <f>'[1]2020'!W42</f>
        <v>1.2363133165069735</v>
      </c>
      <c r="Z36" s="3">
        <v>2.5486946184184163</v>
      </c>
      <c r="AA36" s="3">
        <f>'[1]2020'!Y42</f>
        <v>0.99571027132253231</v>
      </c>
      <c r="AB36" s="3">
        <v>0</v>
      </c>
      <c r="AC36" s="3">
        <f>'[1]2020'!AA42</f>
        <v>0</v>
      </c>
      <c r="AD36" s="20"/>
      <c r="AE36" s="17">
        <v>690.46912883131995</v>
      </c>
      <c r="AF36" s="26">
        <f t="shared" si="5"/>
        <v>26.471487811767155</v>
      </c>
      <c r="AG36" s="26">
        <f t="shared" si="6"/>
        <v>26.471487811767155</v>
      </c>
      <c r="AH36" s="52">
        <f t="shared" si="7"/>
        <v>0.41781006297102502</v>
      </c>
      <c r="AI36" s="52">
        <f t="shared" si="8"/>
        <v>0.41781006297102502</v>
      </c>
      <c r="AJ36" s="52">
        <f t="shared" si="9"/>
        <v>0.41781006297102502</v>
      </c>
      <c r="AK36" s="52">
        <f t="shared" si="10"/>
        <v>0.41781006297102502</v>
      </c>
      <c r="AL36" s="52">
        <f t="shared" si="11"/>
        <v>0.30774739669308104</v>
      </c>
      <c r="AM36" s="52">
        <f t="shared" si="12"/>
        <v>0.30774739669308104</v>
      </c>
      <c r="AN36" s="52">
        <f t="shared" si="13"/>
        <v>0.11006266627794392</v>
      </c>
      <c r="AO36" s="52">
        <f t="shared" si="14"/>
        <v>0.11006266627794392</v>
      </c>
      <c r="AP36" s="52">
        <f t="shared" si="15"/>
        <v>4.063302184735996E-3</v>
      </c>
      <c r="AQ36" s="52">
        <f t="shared" si="16"/>
        <v>4.063302184735996E-3</v>
      </c>
      <c r="AR36" s="52">
        <f t="shared" si="17"/>
        <v>0.73657248584370083</v>
      </c>
      <c r="AS36" s="52">
        <f t="shared" si="18"/>
        <v>0.26342751415629911</v>
      </c>
      <c r="AT36" s="52">
        <f t="shared" si="19"/>
        <v>0.58218993702897504</v>
      </c>
      <c r="AU36" s="52">
        <f t="shared" si="20"/>
        <v>0.58218993702897504</v>
      </c>
      <c r="AV36" s="52">
        <f t="shared" si="21"/>
        <v>0.32247381963611049</v>
      </c>
      <c r="AW36" s="52">
        <f t="shared" si="22"/>
        <v>0.32247381963611049</v>
      </c>
      <c r="AX36" s="52">
        <f t="shared" si="23"/>
        <v>0.25971611739286304</v>
      </c>
      <c r="AY36" s="52">
        <f t="shared" si="24"/>
        <v>0.25971611739286304</v>
      </c>
      <c r="AZ36" s="52">
        <f t="shared" si="25"/>
        <v>0.55389796203238262</v>
      </c>
      <c r="BA36" s="52">
        <f t="shared" si="26"/>
        <v>0.44610203796761466</v>
      </c>
      <c r="BB36" s="52">
        <f t="shared" si="27"/>
        <v>3.8338408925787153E-2</v>
      </c>
      <c r="BC36" s="53">
        <f t="shared" si="28"/>
        <v>3.8338408925787153E-2</v>
      </c>
    </row>
    <row r="37" spans="1:55" x14ac:dyDescent="0.35">
      <c r="A37" s="1" t="s">
        <v>51</v>
      </c>
      <c r="B37" s="1">
        <v>2020</v>
      </c>
      <c r="C37" s="22">
        <f t="shared" si="1"/>
        <v>1.2511395029745107</v>
      </c>
      <c r="D37" s="2">
        <v>0.84666152667042227</v>
      </c>
      <c r="E37" s="3">
        <v>0.1953834292316359</v>
      </c>
      <c r="F37" s="3">
        <v>0.6512780974387864</v>
      </c>
      <c r="G37" s="3">
        <v>0.40447797630408838</v>
      </c>
      <c r="H37" s="4">
        <v>0</v>
      </c>
      <c r="I37" s="3">
        <v>0</v>
      </c>
      <c r="J37" s="3">
        <v>0</v>
      </c>
      <c r="K37" s="3">
        <v>0</v>
      </c>
      <c r="L37" s="3">
        <f t="shared" si="30"/>
        <v>2.1116977676427622</v>
      </c>
      <c r="M37" s="4">
        <v>1.4290119139938693</v>
      </c>
      <c r="N37" s="4">
        <f t="shared" si="2"/>
        <v>1.6107020306896482</v>
      </c>
      <c r="O37" s="4">
        <f t="shared" si="3"/>
        <v>0.92801617704075523</v>
      </c>
      <c r="P37" s="3">
        <v>0.32977198015243137</v>
      </c>
      <c r="Q37" s="3">
        <f>'[1]2020'!N43</f>
        <v>0.21415757931709736</v>
      </c>
      <c r="R37" s="3">
        <v>1.0992399338414378</v>
      </c>
      <c r="S37" s="3">
        <f>'[1]2020'!P43</f>
        <v>0.71385859772365789</v>
      </c>
      <c r="T37" s="3">
        <v>0.682685853648893</v>
      </c>
      <c r="U37" s="3">
        <f>'[1]2020'!S43</f>
        <v>0.44334376069153497</v>
      </c>
      <c r="V37" s="4">
        <f t="shared" si="29"/>
        <v>0</v>
      </c>
      <c r="W37" s="4">
        <f t="shared" si="4"/>
        <v>0</v>
      </c>
      <c r="X37" s="3">
        <v>0</v>
      </c>
      <c r="Y37" s="3">
        <f>'[1]2020'!W43</f>
        <v>0</v>
      </c>
      <c r="Z37" s="3">
        <v>0</v>
      </c>
      <c r="AA37" s="3">
        <f>'[1]2020'!Y43</f>
        <v>0</v>
      </c>
      <c r="AB37" s="3">
        <v>0</v>
      </c>
      <c r="AC37" s="3">
        <f>'[1]2020'!AA43</f>
        <v>0</v>
      </c>
      <c r="AD37" s="20"/>
      <c r="AE37" s="17">
        <v>91.233487908610002</v>
      </c>
      <c r="AF37" s="26">
        <f t="shared" si="5"/>
        <v>0.84666152667042227</v>
      </c>
      <c r="AG37" s="26">
        <f t="shared" si="6"/>
        <v>0.84666152667042227</v>
      </c>
      <c r="AH37" s="52">
        <f t="shared" si="7"/>
        <v>1</v>
      </c>
      <c r="AI37" s="52">
        <f t="shared" si="8"/>
        <v>1</v>
      </c>
      <c r="AJ37" s="52">
        <f t="shared" si="9"/>
        <v>1</v>
      </c>
      <c r="AK37" s="52">
        <f t="shared" si="10"/>
        <v>1</v>
      </c>
      <c r="AL37" s="52">
        <f t="shared" si="11"/>
        <v>0.76923076923076927</v>
      </c>
      <c r="AM37" s="52">
        <f t="shared" si="12"/>
        <v>0.76923076923076927</v>
      </c>
      <c r="AN37" s="52">
        <f t="shared" si="13"/>
        <v>0.23076923076923075</v>
      </c>
      <c r="AO37" s="52">
        <f t="shared" si="14"/>
        <v>0.23076923076923075</v>
      </c>
      <c r="AP37" s="52">
        <f t="shared" si="15"/>
        <v>0.47773279352226722</v>
      </c>
      <c r="AQ37" s="52">
        <f t="shared" si="16"/>
        <v>0.47773279352226722</v>
      </c>
      <c r="AR37" s="52">
        <f t="shared" si="17"/>
        <v>0.76923076923076927</v>
      </c>
      <c r="AS37" s="52">
        <f t="shared" si="18"/>
        <v>0.23076923076923075</v>
      </c>
      <c r="AT37" s="52">
        <f t="shared" si="19"/>
        <v>0</v>
      </c>
      <c r="AU37" s="52">
        <f t="shared" si="20"/>
        <v>0</v>
      </c>
      <c r="AV37" s="52">
        <f t="shared" si="21"/>
        <v>0</v>
      </c>
      <c r="AW37" s="52">
        <f t="shared" si="22"/>
        <v>0</v>
      </c>
      <c r="AX37" s="52">
        <f t="shared" si="23"/>
        <v>0</v>
      </c>
      <c r="AY37" s="52">
        <f t="shared" si="24"/>
        <v>0</v>
      </c>
      <c r="AZ37" s="52" t="e">
        <f t="shared" si="25"/>
        <v>#DIV/0!</v>
      </c>
      <c r="BA37" s="52" t="e">
        <f t="shared" si="26"/>
        <v>#DIV/0!</v>
      </c>
      <c r="BB37" s="52">
        <f t="shared" si="27"/>
        <v>9.2801617704075523E-3</v>
      </c>
      <c r="BC37" s="53">
        <f t="shared" si="28"/>
        <v>9.2801617704075523E-3</v>
      </c>
    </row>
    <row r="38" spans="1:55" x14ac:dyDescent="0.35">
      <c r="A38" s="1" t="s">
        <v>52</v>
      </c>
      <c r="B38" s="1">
        <v>2020</v>
      </c>
      <c r="C38" s="22">
        <f t="shared" si="1"/>
        <v>5.9975490460949956</v>
      </c>
      <c r="D38" s="2">
        <v>5.9975490460949956</v>
      </c>
      <c r="E38" s="3">
        <v>1.7694150329493317</v>
      </c>
      <c r="F38" s="3">
        <v>4.2281340131456639</v>
      </c>
      <c r="G38" s="3">
        <v>0</v>
      </c>
      <c r="H38" s="4">
        <v>6.6270225953158493</v>
      </c>
      <c r="I38" s="3">
        <v>0</v>
      </c>
      <c r="J38" s="3">
        <v>6.6270225953158493</v>
      </c>
      <c r="K38" s="3">
        <v>0</v>
      </c>
      <c r="L38" s="3">
        <f t="shared" si="30"/>
        <v>4</v>
      </c>
      <c r="M38" s="4">
        <v>4</v>
      </c>
      <c r="N38" s="4">
        <f t="shared" si="2"/>
        <v>1.9353914644892853</v>
      </c>
      <c r="O38" s="4">
        <f t="shared" si="3"/>
        <v>1.9353914644892853</v>
      </c>
      <c r="P38" s="3">
        <v>1.180092080515055</v>
      </c>
      <c r="Q38" s="3">
        <f>'[1]2020'!N44</f>
        <v>0.57098503498505992</v>
      </c>
      <c r="R38" s="3">
        <v>2.8199079194849448</v>
      </c>
      <c r="S38" s="3">
        <f>'[1]2020'!P44</f>
        <v>1.3644064295042255</v>
      </c>
      <c r="T38" s="3">
        <v>0</v>
      </c>
      <c r="U38" s="3">
        <f>'[1]2020'!S44</f>
        <v>0</v>
      </c>
      <c r="V38" s="4">
        <f t="shared" si="29"/>
        <v>4.4198205262736145</v>
      </c>
      <c r="W38" s="4">
        <f t="shared" si="4"/>
        <v>2.1385207302811238</v>
      </c>
      <c r="X38" s="3">
        <v>0</v>
      </c>
      <c r="Y38" s="3">
        <f>'[1]2020'!W44</f>
        <v>0</v>
      </c>
      <c r="Z38" s="3">
        <v>4.4198205262736145</v>
      </c>
      <c r="AA38" s="3">
        <f>'[1]2020'!Y44</f>
        <v>2.1385207302811238</v>
      </c>
      <c r="AB38" s="3">
        <v>0</v>
      </c>
      <c r="AC38" s="3">
        <f>'[1]2020'!AA44</f>
        <v>0</v>
      </c>
      <c r="AD38" s="20"/>
      <c r="AE38" s="17">
        <v>309.88816247970999</v>
      </c>
      <c r="AF38" s="26">
        <f t="shared" si="5"/>
        <v>12.624571641410846</v>
      </c>
      <c r="AG38" s="26">
        <f t="shared" si="6"/>
        <v>12.624571641410846</v>
      </c>
      <c r="AH38" s="52">
        <f t="shared" si="7"/>
        <v>0.47506950860985775</v>
      </c>
      <c r="AI38" s="52">
        <f t="shared" si="8"/>
        <v>0.47506950860985775</v>
      </c>
      <c r="AJ38" s="52">
        <f t="shared" si="9"/>
        <v>0.47506950860985775</v>
      </c>
      <c r="AK38" s="52">
        <f t="shared" si="10"/>
        <v>0.47506950860985775</v>
      </c>
      <c r="AL38" s="52">
        <f t="shared" si="11"/>
        <v>0.33491306740868976</v>
      </c>
      <c r="AM38" s="52">
        <f t="shared" si="12"/>
        <v>0.33491306740868976</v>
      </c>
      <c r="AN38" s="52">
        <f t="shared" si="13"/>
        <v>0.14015644120116796</v>
      </c>
      <c r="AO38" s="52">
        <f t="shared" si="14"/>
        <v>0.14015644120116796</v>
      </c>
      <c r="AP38" s="52">
        <f t="shared" si="15"/>
        <v>0</v>
      </c>
      <c r="AQ38" s="52">
        <f t="shared" si="16"/>
        <v>0</v>
      </c>
      <c r="AR38" s="52">
        <f t="shared" si="17"/>
        <v>0.70497697987123631</v>
      </c>
      <c r="AS38" s="52">
        <f t="shared" si="18"/>
        <v>0.29502302012876375</v>
      </c>
      <c r="AT38" s="52">
        <f t="shared" si="19"/>
        <v>0.52493049139014214</v>
      </c>
      <c r="AU38" s="52">
        <f t="shared" si="20"/>
        <v>0.52493049139014214</v>
      </c>
      <c r="AV38" s="52">
        <f t="shared" si="21"/>
        <v>0</v>
      </c>
      <c r="AW38" s="52">
        <f t="shared" si="22"/>
        <v>0</v>
      </c>
      <c r="AX38" s="52">
        <f t="shared" si="23"/>
        <v>0.52493049139014214</v>
      </c>
      <c r="AY38" s="52">
        <f t="shared" si="24"/>
        <v>0.52493049139014214</v>
      </c>
      <c r="AZ38" s="52">
        <f t="shared" si="25"/>
        <v>0</v>
      </c>
      <c r="BA38" s="52">
        <f t="shared" si="26"/>
        <v>1</v>
      </c>
      <c r="BB38" s="52">
        <f t="shared" si="27"/>
        <v>4.0739121947704092E-2</v>
      </c>
      <c r="BC38" s="53">
        <f t="shared" si="28"/>
        <v>4.0739121947704092E-2</v>
      </c>
    </row>
    <row r="39" spans="1:55" x14ac:dyDescent="0.35">
      <c r="A39" s="1" t="s">
        <v>53</v>
      </c>
      <c r="B39" s="1">
        <v>2020</v>
      </c>
      <c r="C39" s="22">
        <f t="shared" si="1"/>
        <v>44.709731424704025</v>
      </c>
      <c r="D39" s="2">
        <v>44.709731424704025</v>
      </c>
      <c r="E39" s="3">
        <v>2.1654285875212778</v>
      </c>
      <c r="F39" s="3">
        <v>42.544302837182748</v>
      </c>
      <c r="G39" s="3">
        <v>0</v>
      </c>
      <c r="H39" s="4">
        <v>31.58978174736923</v>
      </c>
      <c r="I39" s="3">
        <v>12.737815220713399</v>
      </c>
      <c r="J39" s="3">
        <v>18.851966526655829</v>
      </c>
      <c r="K39" s="3">
        <v>0</v>
      </c>
      <c r="L39" s="3">
        <f t="shared" si="30"/>
        <v>7.6769895099565364</v>
      </c>
      <c r="M39" s="4">
        <v>7.6769895099565364</v>
      </c>
      <c r="N39" s="4">
        <f t="shared" si="2"/>
        <v>3.6785330081688583</v>
      </c>
      <c r="O39" s="4">
        <f t="shared" si="3"/>
        <v>3.6785330081688583</v>
      </c>
      <c r="P39" s="3">
        <v>0.37182000475572968</v>
      </c>
      <c r="Q39" s="3">
        <f>'[1]2020'!N45</f>
        <v>0.17816256734720967</v>
      </c>
      <c r="R39" s="3">
        <v>7.3051695052008068</v>
      </c>
      <c r="S39" s="3">
        <f>'[1]2020'!P45</f>
        <v>3.5003704408216487</v>
      </c>
      <c r="T39" s="3">
        <v>0</v>
      </c>
      <c r="U39" s="3">
        <f>'[1]2020'!S45</f>
        <v>0</v>
      </c>
      <c r="V39" s="4">
        <f t="shared" si="29"/>
        <v>5.4241977164365274</v>
      </c>
      <c r="W39" s="4">
        <f t="shared" si="4"/>
        <v>2.5990774530651759</v>
      </c>
      <c r="X39" s="3">
        <v>2.1871764985631157</v>
      </c>
      <c r="Y39" s="3">
        <f>'[1]2020'!W45</f>
        <v>1.0480151020424098</v>
      </c>
      <c r="Z39" s="3">
        <v>3.2370212178734112</v>
      </c>
      <c r="AA39" s="3">
        <f>'[1]2020'!Y45</f>
        <v>1.5510623510227664</v>
      </c>
      <c r="AB39" s="3">
        <v>0</v>
      </c>
      <c r="AC39" s="3">
        <f>'[1]2020'!AA45</f>
        <v>0</v>
      </c>
      <c r="AD39" s="20"/>
      <c r="AE39" s="17">
        <v>1215.4228689920101</v>
      </c>
      <c r="AF39" s="26">
        <f t="shared" si="5"/>
        <v>76.299513172073262</v>
      </c>
      <c r="AG39" s="26">
        <f t="shared" si="6"/>
        <v>76.299513172073262</v>
      </c>
      <c r="AH39" s="52">
        <f t="shared" si="7"/>
        <v>0.58597662771285464</v>
      </c>
      <c r="AI39" s="52">
        <f t="shared" si="8"/>
        <v>0.58597662771285464</v>
      </c>
      <c r="AJ39" s="52">
        <f t="shared" si="9"/>
        <v>0.58597662771285464</v>
      </c>
      <c r="AK39" s="52">
        <f t="shared" si="10"/>
        <v>0.58597662771285464</v>
      </c>
      <c r="AL39" s="52">
        <f t="shared" si="11"/>
        <v>0.55759599332220355</v>
      </c>
      <c r="AM39" s="52">
        <f t="shared" si="12"/>
        <v>0.55759599332220355</v>
      </c>
      <c r="AN39" s="52">
        <f t="shared" si="13"/>
        <v>2.8380634390651083E-2</v>
      </c>
      <c r="AO39" s="52">
        <f t="shared" si="14"/>
        <v>2.8380634390651083E-2</v>
      </c>
      <c r="AP39" s="52">
        <f t="shared" si="15"/>
        <v>0</v>
      </c>
      <c r="AQ39" s="52">
        <f t="shared" si="16"/>
        <v>0</v>
      </c>
      <c r="AR39" s="52">
        <f t="shared" si="17"/>
        <v>0.95156695156695159</v>
      </c>
      <c r="AS39" s="52">
        <f t="shared" si="18"/>
        <v>4.8433048433048437E-2</v>
      </c>
      <c r="AT39" s="52">
        <f t="shared" si="19"/>
        <v>0.41402337228714525</v>
      </c>
      <c r="AU39" s="52">
        <f t="shared" si="20"/>
        <v>0.41402337228714525</v>
      </c>
      <c r="AV39" s="52">
        <f t="shared" si="21"/>
        <v>0.1669449081803005</v>
      </c>
      <c r="AW39" s="52">
        <f t="shared" si="22"/>
        <v>0.1669449081803005</v>
      </c>
      <c r="AX39" s="52">
        <f t="shared" si="23"/>
        <v>0.24707846410684473</v>
      </c>
      <c r="AY39" s="52">
        <f t="shared" si="24"/>
        <v>0.24707846410684473</v>
      </c>
      <c r="AZ39" s="52">
        <f t="shared" si="25"/>
        <v>0.40322580645161288</v>
      </c>
      <c r="BA39" s="52">
        <f t="shared" si="26"/>
        <v>0.59677419354838701</v>
      </c>
      <c r="BB39" s="52">
        <f t="shared" si="27"/>
        <v>6.2776104612340344E-2</v>
      </c>
      <c r="BC39" s="53">
        <f t="shared" si="28"/>
        <v>6.2776104612340344E-2</v>
      </c>
    </row>
    <row r="40" spans="1:55" x14ac:dyDescent="0.35">
      <c r="A40" s="1" t="s">
        <v>17</v>
      </c>
      <c r="B40" s="11">
        <v>2021</v>
      </c>
      <c r="C40" s="22">
        <f t="shared" si="1"/>
        <v>31.278018051981519</v>
      </c>
      <c r="D40" s="12">
        <f>E40+F40</f>
        <v>31.278018051981519</v>
      </c>
      <c r="E40" s="13">
        <f>'[1]2021'!D8-'[1]2020'!D8</f>
        <v>2.3475350119164773</v>
      </c>
      <c r="F40" s="13">
        <f>'[1]2021'!E8-'[1]2020'!E8</f>
        <v>28.930483040065042</v>
      </c>
      <c r="G40" s="13">
        <f>'[1]2021'!F8-'[1]2020'!F8</f>
        <v>0</v>
      </c>
      <c r="H40" s="14">
        <f>I40+J40</f>
        <v>2.081252462922123E-4</v>
      </c>
      <c r="I40" s="13">
        <f>'[1]2021'!H8-'[1]2020'!H8</f>
        <v>8.9196534112545578E-5</v>
      </c>
      <c r="J40" s="13">
        <f>'[1]2021'!I8-'[1]2020'!I8</f>
        <v>1.1892871217966672E-4</v>
      </c>
      <c r="K40" s="13">
        <f>'[1]2021'!J8-'[1]2020'!J8</f>
        <v>0</v>
      </c>
      <c r="L40" s="3">
        <f t="shared" si="30"/>
        <v>2.0924923306812628</v>
      </c>
      <c r="M40" s="14">
        <f t="shared" ref="M40:M77" si="31">P40+R40</f>
        <v>2.0924923306812628</v>
      </c>
      <c r="N40" s="4">
        <f t="shared" si="2"/>
        <v>2.5501522412622646</v>
      </c>
      <c r="O40" s="14">
        <f>Q40+S40</f>
        <v>2.5501522412622646</v>
      </c>
      <c r="P40" s="13">
        <f>'[1]2021'!M8-'[1]2020'!M8</f>
        <v>0.15704956114154356</v>
      </c>
      <c r="Q40" s="13">
        <f>'[1]2021'!N8-'[1]2020'!N8</f>
        <v>0.19139868971656837</v>
      </c>
      <c r="R40" s="13">
        <f>'[1]2021'!O8-'[1]2020'!O8</f>
        <v>1.9354427695397192</v>
      </c>
      <c r="S40" s="13">
        <f>'[1]2021'!P8-'[1]2020'!P8</f>
        <v>2.3587535515456963</v>
      </c>
      <c r="T40" s="13">
        <f>'[1]2021'!Q8-'[1]2020'!Q8</f>
        <v>0</v>
      </c>
      <c r="U40" s="13">
        <f>'[1]2021'!R8-'[1]2020'!S8</f>
        <v>0</v>
      </c>
      <c r="V40" s="14">
        <f>X40+Z40+AB40</f>
        <v>1.3923531886228524E-5</v>
      </c>
      <c r="W40" s="14">
        <f>Y40+AA40+AC40</f>
        <v>1.6968820160556675E-5</v>
      </c>
      <c r="X40" s="13">
        <f>'[1]2021'!U8-'[1]2020'!V8</f>
        <v>5.9672279504319192E-6</v>
      </c>
      <c r="Y40" s="13">
        <f>'[1]2021'!V8-'[1]2020'!W8</f>
        <v>7.2723514963346503E-6</v>
      </c>
      <c r="Z40" s="13">
        <f>'[1]2021'!W8-'[1]2020'!X8</f>
        <v>7.9563039357966048E-6</v>
      </c>
      <c r="AA40" s="13">
        <f>'[1]2021'!X8-'[1]2020'!Y8</f>
        <v>9.6964686642220244E-6</v>
      </c>
      <c r="AB40" s="13">
        <f>'[1]2021'!Y8-'[1]2020'!Z8</f>
        <v>0</v>
      </c>
      <c r="AC40" s="13">
        <f>'[1]2021'!Z8-'[1]2020'!AA8</f>
        <v>0</v>
      </c>
      <c r="AD40" s="21"/>
      <c r="AE40" s="17">
        <v>1226.51571721458</v>
      </c>
      <c r="AF40" s="26">
        <f t="shared" si="5"/>
        <v>31.278226177227811</v>
      </c>
      <c r="AG40" s="26">
        <f t="shared" si="6"/>
        <v>31.278226177227811</v>
      </c>
      <c r="AH40" s="52">
        <f t="shared" si="7"/>
        <v>0.99999334600226009</v>
      </c>
      <c r="AI40" s="52">
        <f t="shared" si="8"/>
        <v>0.99999334600226009</v>
      </c>
      <c r="AJ40" s="52">
        <f t="shared" si="9"/>
        <v>0.99999334600226009</v>
      </c>
      <c r="AK40" s="52">
        <f t="shared" si="10"/>
        <v>0.99999334600226009</v>
      </c>
      <c r="AL40" s="52">
        <f t="shared" si="11"/>
        <v>0.92494001661539071</v>
      </c>
      <c r="AM40" s="52">
        <f t="shared" si="12"/>
        <v>0.92494001661539071</v>
      </c>
      <c r="AN40" s="52">
        <f t="shared" si="13"/>
        <v>7.5053329386869316E-2</v>
      </c>
      <c r="AO40" s="52">
        <f t="shared" si="14"/>
        <v>7.5053329386869316E-2</v>
      </c>
      <c r="AP40" s="52">
        <f t="shared" si="15"/>
        <v>0</v>
      </c>
      <c r="AQ40" s="52">
        <f t="shared" si="16"/>
        <v>0</v>
      </c>
      <c r="AR40" s="52">
        <f t="shared" si="17"/>
        <v>0.92494617120512346</v>
      </c>
      <c r="AS40" s="52">
        <f t="shared" si="18"/>
        <v>7.5053828794876487E-2</v>
      </c>
      <c r="AT40" s="52">
        <f t="shared" si="19"/>
        <v>6.6539977399274127E-6</v>
      </c>
      <c r="AU40" s="52">
        <f t="shared" si="20"/>
        <v>6.6539977399274127E-6</v>
      </c>
      <c r="AV40" s="52">
        <f t="shared" si="21"/>
        <v>2.8517133167060902E-6</v>
      </c>
      <c r="AW40" s="52">
        <f t="shared" si="22"/>
        <v>2.8517133167060902E-6</v>
      </c>
      <c r="AX40" s="52">
        <f t="shared" si="23"/>
        <v>3.8022844232213224E-6</v>
      </c>
      <c r="AY40" s="52">
        <f t="shared" si="24"/>
        <v>3.8022844232213224E-6</v>
      </c>
      <c r="AZ40" s="52">
        <f t="shared" si="25"/>
        <v>0.42857142851046404</v>
      </c>
      <c r="BA40" s="52">
        <f t="shared" si="26"/>
        <v>0.57142857148953596</v>
      </c>
      <c r="BB40" s="52">
        <f t="shared" si="27"/>
        <v>2.5501692100824223E-2</v>
      </c>
      <c r="BC40" s="53">
        <f t="shared" si="28"/>
        <v>2.5501692100824223E-2</v>
      </c>
    </row>
    <row r="41" spans="1:55" x14ac:dyDescent="0.35">
      <c r="A41" s="1" t="s">
        <v>55</v>
      </c>
      <c r="B41" s="11">
        <v>2021</v>
      </c>
      <c r="C41" s="22">
        <f t="shared" si="1"/>
        <v>26.468479439882458</v>
      </c>
      <c r="D41" s="12">
        <f t="shared" ref="D41:D77" si="32">E41+F41</f>
        <v>21.68529484284695</v>
      </c>
      <c r="E41" s="13">
        <f>'[1]2021'!D9-'[1]2020'!D9</f>
        <v>6.4210348024689026</v>
      </c>
      <c r="F41" s="13">
        <f>'[1]2021'!E9-'[1]2020'!E9</f>
        <v>15.264260040378048</v>
      </c>
      <c r="G41" s="13">
        <f>'[1]2021'!F9-'[1]2020'!F9</f>
        <v>4.7831845970355076</v>
      </c>
      <c r="H41" s="14">
        <f t="shared" ref="H41:H77" si="33">I41+J41</f>
        <v>-0.97855874250708608</v>
      </c>
      <c r="I41" s="13">
        <f>'[1]2021'!H9-'[1]2020'!H9</f>
        <v>8.2097879474187785E-3</v>
      </c>
      <c r="J41" s="13">
        <f>'[1]2021'!I9-'[1]2020'!I9</f>
        <v>-0.98676853045450486</v>
      </c>
      <c r="K41" s="13">
        <f>'[1]2021'!J9-'[1]2020'!J9</f>
        <v>0</v>
      </c>
      <c r="L41" s="3">
        <f t="shared" si="30"/>
        <v>1.5600848775607168</v>
      </c>
      <c r="M41" s="14">
        <f t="shared" si="31"/>
        <v>1.2781580682264218</v>
      </c>
      <c r="N41" s="4">
        <f t="shared" si="2"/>
        <v>1.5401480979856568</v>
      </c>
      <c r="O41" s="14">
        <f t="shared" ref="O41:O77" si="34">Q41+S41</f>
        <v>1.2582212886513617</v>
      </c>
      <c r="P41" s="13">
        <f>'[1]2021'!M9-'[1]2020'!M9</f>
        <v>0.37846372385595872</v>
      </c>
      <c r="Q41" s="13">
        <f>'[1]2021'!N9-'[1]2020'!N9</f>
        <v>0.37256042595623784</v>
      </c>
      <c r="R41" s="13">
        <f>'[1]2021'!O9-'[1]2020'!O9</f>
        <v>0.89969434437046303</v>
      </c>
      <c r="S41" s="13">
        <f>'[1]2021'!P9-'[1]2020'!P9</f>
        <v>0.8856608626951239</v>
      </c>
      <c r="T41" s="13">
        <f>'[1]2021'!Q9-'[1]2020'!Q9</f>
        <v>0.28192680933429504</v>
      </c>
      <c r="U41" s="13">
        <f>'[1]2021'!R9-'[1]2020'!S9</f>
        <v>0.27752929951628191</v>
      </c>
      <c r="V41" s="14">
        <f>X41+Z41+AB41</f>
        <v>-5.7677461202770064E-2</v>
      </c>
      <c r="W41" s="14">
        <f t="shared" ref="W41:W77" si="35">Y41+AA41+AC41</f>
        <v>-5.6777805002935833E-2</v>
      </c>
      <c r="X41" s="13">
        <f>'[1]2021'!U9-'[1]2020'!V9</f>
        <v>4.8389504405943473E-4</v>
      </c>
      <c r="Y41" s="13">
        <f>'[1]2021'!V9-'[1]2020'!W9</f>
        <v>4.763472226508858E-4</v>
      </c>
      <c r="Z41" s="13">
        <f>'[1]2021'!W9-'[1]2020'!X9</f>
        <v>-5.8161356246829499E-2</v>
      </c>
      <c r="AA41" s="13">
        <f>'[1]2021'!X9-'[1]2020'!Y9</f>
        <v>-5.7254152225586719E-2</v>
      </c>
      <c r="AB41" s="13">
        <f>'[1]2021'!Y9-'[1]2020'!Z9</f>
        <v>0</v>
      </c>
      <c r="AC41" s="13">
        <f>'[1]2021'!Z9-'[1]2020'!AA9</f>
        <v>0</v>
      </c>
      <c r="AD41" s="21"/>
      <c r="AE41" s="17">
        <v>1723.48815255626</v>
      </c>
      <c r="AF41" s="26">
        <f t="shared" si="5"/>
        <v>20.706736100339864</v>
      </c>
      <c r="AG41" s="26">
        <f>(D41)+(H41*-1)</f>
        <v>22.663853585354037</v>
      </c>
      <c r="AH41" s="52">
        <f t="shared" si="7"/>
        <v>0.95682293221575276</v>
      </c>
      <c r="AI41" s="52">
        <f t="shared" si="8"/>
        <v>0.95682293221575276</v>
      </c>
      <c r="AJ41" s="52">
        <f t="shared" si="9"/>
        <v>1.0472579907217259</v>
      </c>
      <c r="AK41" s="52">
        <f t="shared" si="10"/>
        <v>1.0472579907217259</v>
      </c>
      <c r="AL41" s="52">
        <f t="shared" si="11"/>
        <v>0.6735068236693077</v>
      </c>
      <c r="AM41" s="52">
        <f t="shared" si="12"/>
        <v>0.73716398211727407</v>
      </c>
      <c r="AN41" s="52">
        <f t="shared" si="13"/>
        <v>0.28331610854644507</v>
      </c>
      <c r="AO41" s="52">
        <f t="shared" si="14"/>
        <v>0.3100940086044518</v>
      </c>
      <c r="AP41" s="52">
        <f t="shared" si="15"/>
        <v>0.21104904243321287</v>
      </c>
      <c r="AQ41" s="52">
        <f t="shared" si="16"/>
        <v>0.23099654981148865</v>
      </c>
      <c r="AR41" s="52">
        <f t="shared" si="17"/>
        <v>0.70389912385318909</v>
      </c>
      <c r="AS41" s="52">
        <f t="shared" si="18"/>
        <v>0.29610087614681091</v>
      </c>
      <c r="AT41" s="52">
        <f t="shared" si="19"/>
        <v>-4.3177067784247236E-2</v>
      </c>
      <c r="AU41" s="52">
        <f t="shared" si="20"/>
        <v>-4.7257990721725804E-2</v>
      </c>
      <c r="AV41" s="52">
        <f t="shared" si="21"/>
        <v>3.6224148362501576E-4</v>
      </c>
      <c r="AW41" s="52">
        <f t="shared" si="22"/>
        <v>3.9647909296936613E-4</v>
      </c>
      <c r="AX41" s="52">
        <f t="shared" si="23"/>
        <v>-4.3539309267872257E-2</v>
      </c>
      <c r="AY41" s="52">
        <f t="shared" si="24"/>
        <v>-4.765446981469517E-2</v>
      </c>
      <c r="AZ41" s="52">
        <f t="shared" si="25"/>
        <v>-8.3896730883882813E-3</v>
      </c>
      <c r="BA41" s="52">
        <f t="shared" si="26"/>
        <v>1.0083896730883883</v>
      </c>
      <c r="BB41" s="52">
        <f t="shared" si="27"/>
        <v>1.201443483648428E-2</v>
      </c>
      <c r="BC41" s="53">
        <f t="shared" si="28"/>
        <v>1.3149990936542988E-2</v>
      </c>
    </row>
    <row r="42" spans="1:55" x14ac:dyDescent="0.35">
      <c r="A42" s="1" t="s">
        <v>18</v>
      </c>
      <c r="B42" s="11">
        <v>2021</v>
      </c>
      <c r="C42" s="22">
        <f t="shared" si="1"/>
        <v>71.426833167756712</v>
      </c>
      <c r="D42" s="12">
        <f t="shared" si="32"/>
        <v>54.826803879689734</v>
      </c>
      <c r="E42" s="13">
        <f>'[1]2021'!D10-'[1]2020'!D10</f>
        <v>18.372481418099841</v>
      </c>
      <c r="F42" s="13">
        <f>'[1]2021'!E10-'[1]2020'!E10</f>
        <v>36.454322461589896</v>
      </c>
      <c r="G42" s="13">
        <f>'[1]2021'!F10-'[1]2020'!F10</f>
        <v>16.600029288066985</v>
      </c>
      <c r="H42" s="14">
        <f>I42+J42</f>
        <v>-5.4390850062279696</v>
      </c>
      <c r="I42" s="13">
        <f>'[1]2021'!H10-'[1]2020'!H10</f>
        <v>-5.8973249349522234</v>
      </c>
      <c r="J42" s="13">
        <f>'[1]2021'!I10-'[1]2020'!I10</f>
        <v>0.45823992872425379</v>
      </c>
      <c r="K42" s="13">
        <f>'[1]2021'!J10-'[1]2020'!J10</f>
        <v>0</v>
      </c>
      <c r="L42" s="3">
        <f t="shared" si="30"/>
        <v>2.7295357828498896</v>
      </c>
      <c r="M42" s="14">
        <f t="shared" si="31"/>
        <v>2.0951751101358029</v>
      </c>
      <c r="N42" s="4">
        <f t="shared" si="2"/>
        <v>2.5203290867758041</v>
      </c>
      <c r="O42" s="14">
        <f t="shared" si="34"/>
        <v>1.8859684140617174</v>
      </c>
      <c r="P42" s="13">
        <f>'[1]2021'!M10-'[1]2020'!M10</f>
        <v>0.70209392221921985</v>
      </c>
      <c r="Q42" s="13">
        <f>'[1]2021'!N10-'[1]2020'!N10</f>
        <v>0.63198868419371745</v>
      </c>
      <c r="R42" s="13">
        <f>'[1]2021'!O10-'[1]2020'!O10</f>
        <v>1.3930811879165832</v>
      </c>
      <c r="S42" s="13">
        <f>'[1]2021'!P10-'[1]2020'!P10</f>
        <v>1.253979729868</v>
      </c>
      <c r="T42" s="13">
        <f>'[1]2021'!Q10-'[1]2020'!Q10</f>
        <v>0.63436067271408669</v>
      </c>
      <c r="U42" s="13">
        <f>'[1]2021'!R10-'[1]2020'!S10</f>
        <v>0.57101871155016015</v>
      </c>
      <c r="V42" s="14">
        <f t="shared" ref="V42:V77" si="36">X42+Z42+AB42</f>
        <v>-0.20785153830904368</v>
      </c>
      <c r="W42" s="14">
        <f t="shared" si="35"/>
        <v>-0.18709721882844477</v>
      </c>
      <c r="X42" s="13">
        <f>'[1]2021'!U10-'[1]2020'!V10</f>
        <v>-0.22536291641600348</v>
      </c>
      <c r="Y42" s="13">
        <f>'[1]2021'!V10-'[1]2020'!W10</f>
        <v>-0.20286005690181419</v>
      </c>
      <c r="Z42" s="13">
        <f>'[1]2021'!W10-'[1]2020'!X10</f>
        <v>1.7511378106959796E-2</v>
      </c>
      <c r="AA42" s="13">
        <f>'[1]2021'!X10-'[1]2020'!Y10</f>
        <v>1.5762838073369423E-2</v>
      </c>
      <c r="AB42" s="13">
        <f>'[1]2021'!Y10-'[1]2020'!Z10</f>
        <v>0</v>
      </c>
      <c r="AC42" s="13">
        <f>'[1]2021'!Z10-'[1]2020'!AA10</f>
        <v>0</v>
      </c>
      <c r="AD42" s="21"/>
      <c r="AE42" s="17">
        <v>2907.0902498102801</v>
      </c>
      <c r="AF42" s="26">
        <f t="shared" si="5"/>
        <v>49.387718873461765</v>
      </c>
      <c r="AG42" s="26">
        <f>(D42)+(H42*-1)</f>
        <v>60.265888885917704</v>
      </c>
      <c r="AH42" s="52">
        <f t="shared" si="7"/>
        <v>0.90974853093888541</v>
      </c>
      <c r="AI42" s="52">
        <f t="shared" si="8"/>
        <v>0.90974853093888541</v>
      </c>
      <c r="AJ42" s="52">
        <f t="shared" si="9"/>
        <v>1.1101303143836967</v>
      </c>
      <c r="AK42" s="52">
        <f t="shared" si="10"/>
        <v>1.1101303143836967</v>
      </c>
      <c r="AL42" s="52">
        <f t="shared" si="11"/>
        <v>0.6048914756836542</v>
      </c>
      <c r="AM42" s="52">
        <f t="shared" si="12"/>
        <v>0.73812525245377225</v>
      </c>
      <c r="AN42" s="52">
        <f t="shared" si="13"/>
        <v>0.30485705525523127</v>
      </c>
      <c r="AO42" s="52">
        <f t="shared" si="14"/>
        <v>0.37200506192992444</v>
      </c>
      <c r="AP42" s="52">
        <f t="shared" si="15"/>
        <v>0.27544651866814007</v>
      </c>
      <c r="AQ42" s="52">
        <f t="shared" si="16"/>
        <v>0.3361165420617741</v>
      </c>
      <c r="AR42" s="52">
        <f t="shared" si="17"/>
        <v>0.66489964546509317</v>
      </c>
      <c r="AS42" s="52">
        <f t="shared" si="18"/>
        <v>0.33510035453490694</v>
      </c>
      <c r="AT42" s="52">
        <f t="shared" si="19"/>
        <v>-9.0251469061114559E-2</v>
      </c>
      <c r="AU42" s="52">
        <f t="shared" si="20"/>
        <v>-0.11013031438369658</v>
      </c>
      <c r="AV42" s="52">
        <f t="shared" si="21"/>
        <v>-9.7855105831356079E-2</v>
      </c>
      <c r="AW42" s="52">
        <f t="shared" si="22"/>
        <v>-0.11940873296987038</v>
      </c>
      <c r="AX42" s="52">
        <f t="shared" si="23"/>
        <v>7.6036367702415229E-3</v>
      </c>
      <c r="AY42" s="52">
        <f t="shared" si="24"/>
        <v>9.2784185861737919E-3</v>
      </c>
      <c r="AZ42" s="52">
        <f t="shared" si="25"/>
        <v>1.08424945155289</v>
      </c>
      <c r="BA42" s="52">
        <f t="shared" si="26"/>
        <v>-8.4249451552890015E-2</v>
      </c>
      <c r="BB42" s="52">
        <f t="shared" si="27"/>
        <v>1.6988711952332702E-2</v>
      </c>
      <c r="BC42" s="53">
        <f t="shared" si="28"/>
        <v>2.0730656328901632E-2</v>
      </c>
    </row>
    <row r="43" spans="1:55" x14ac:dyDescent="0.35">
      <c r="A43" s="1" t="s">
        <v>19</v>
      </c>
      <c r="B43" s="11">
        <v>2021</v>
      </c>
      <c r="C43" s="22">
        <f t="shared" si="1"/>
        <v>171.15876663577609</v>
      </c>
      <c r="D43" s="12">
        <f t="shared" si="32"/>
        <v>171.15876663577609</v>
      </c>
      <c r="E43" s="13">
        <f>'[1]2021'!D11-'[1]2020'!D11</f>
        <v>24.087656876629971</v>
      </c>
      <c r="F43" s="13">
        <f>'[1]2021'!E11-'[1]2020'!E11</f>
        <v>147.07110975914611</v>
      </c>
      <c r="G43" s="13">
        <f>'[1]2021'!F11-'[1]2020'!F11</f>
        <v>0</v>
      </c>
      <c r="H43" s="14">
        <f t="shared" si="33"/>
        <v>3.594883604110791</v>
      </c>
      <c r="I43" s="13">
        <f>'[1]2021'!H11-'[1]2020'!H11</f>
        <v>0.30184457546828014</v>
      </c>
      <c r="J43" s="13">
        <f>'[1]2021'!I11-'[1]2020'!I11</f>
        <v>3.2930390286425109</v>
      </c>
      <c r="K43" s="13">
        <f>'[1]2021'!J11-'[1]2020'!J11</f>
        <v>0</v>
      </c>
      <c r="L43" s="3">
        <f t="shared" si="30"/>
        <v>4.7579557369547789</v>
      </c>
      <c r="M43" s="14">
        <f t="shared" si="31"/>
        <v>4.7579557369547789</v>
      </c>
      <c r="N43" s="4">
        <f t="shared" si="2"/>
        <v>4.1126290361903592</v>
      </c>
      <c r="O43" s="14">
        <f t="shared" si="34"/>
        <v>4.1126290361903592</v>
      </c>
      <c r="P43" s="13">
        <f>'[1]2021'!M11-'[1]2020'!M11</f>
        <v>0.66960055554644393</v>
      </c>
      <c r="Q43" s="13">
        <f>'[1]2021'!N11-'[1]2020'!N11</f>
        <v>0.57878190543067554</v>
      </c>
      <c r="R43" s="13">
        <f>'[1]2021'!O11-'[1]2020'!O11</f>
        <v>4.0883551814083354</v>
      </c>
      <c r="S43" s="13">
        <f>'[1]2021'!P11-'[1]2020'!P11</f>
        <v>3.5338471307596837</v>
      </c>
      <c r="T43" s="13">
        <f>'[1]2021'!Q11-'[1]2020'!Q11</f>
        <v>0</v>
      </c>
      <c r="U43" s="13">
        <f>'[1]2021'!R11-'[1]2020'!S11</f>
        <v>0</v>
      </c>
      <c r="V43" s="14">
        <f t="shared" si="36"/>
        <v>9.9932345880130669E-2</v>
      </c>
      <c r="W43" s="14">
        <f t="shared" si="35"/>
        <v>8.637841334444607E-2</v>
      </c>
      <c r="X43" s="13">
        <f>'[1]2021'!U11-'[1]2020'!V11</f>
        <v>8.3908242490089435E-3</v>
      </c>
      <c r="Y43" s="13">
        <f>'[1]2021'!V11-'[1]2020'!W11</f>
        <v>7.2527676489335668E-3</v>
      </c>
      <c r="Z43" s="13">
        <f>'[1]2021'!W11-'[1]2020'!X11</f>
        <v>9.1541521631121725E-2</v>
      </c>
      <c r="AA43" s="13">
        <f>'[1]2021'!X11-'[1]2020'!Y11</f>
        <v>7.9125645695512503E-2</v>
      </c>
      <c r="AB43" s="13">
        <f>'[1]2021'!Y11-'[1]2020'!Z11</f>
        <v>0</v>
      </c>
      <c r="AC43" s="13">
        <f>'[1]2021'!Z11-'[1]2020'!AA11</f>
        <v>0</v>
      </c>
      <c r="AD43" s="21"/>
      <c r="AE43" s="17">
        <v>4161.7847155581303</v>
      </c>
      <c r="AF43" s="26">
        <f t="shared" si="5"/>
        <v>174.75365023988689</v>
      </c>
      <c r="AG43" s="26">
        <f t="shared" si="6"/>
        <v>174.75365023988689</v>
      </c>
      <c r="AH43" s="52">
        <f t="shared" si="7"/>
        <v>0.97942884970256094</v>
      </c>
      <c r="AI43" s="52">
        <f t="shared" si="8"/>
        <v>0.97942884970256094</v>
      </c>
      <c r="AJ43" s="52">
        <f t="shared" si="9"/>
        <v>0.97942884970256094</v>
      </c>
      <c r="AK43" s="52">
        <f t="shared" si="10"/>
        <v>0.97942884970256094</v>
      </c>
      <c r="AL43" s="52">
        <f t="shared" si="11"/>
        <v>0.84159106008520823</v>
      </c>
      <c r="AM43" s="52">
        <f t="shared" si="12"/>
        <v>0.84159106008520823</v>
      </c>
      <c r="AN43" s="52">
        <f t="shared" si="13"/>
        <v>0.13783778961735271</v>
      </c>
      <c r="AO43" s="52">
        <f t="shared" si="14"/>
        <v>0.13783778961735271</v>
      </c>
      <c r="AP43" s="52">
        <f t="shared" si="15"/>
        <v>0</v>
      </c>
      <c r="AQ43" s="52">
        <f t="shared" si="16"/>
        <v>0</v>
      </c>
      <c r="AR43" s="52">
        <f t="shared" si="17"/>
        <v>0.85926717427283028</v>
      </c>
      <c r="AS43" s="52">
        <f t="shared" si="18"/>
        <v>0.14073282572716964</v>
      </c>
      <c r="AT43" s="52">
        <f t="shared" si="19"/>
        <v>2.0571150297438948E-2</v>
      </c>
      <c r="AU43" s="52">
        <f t="shared" si="20"/>
        <v>2.0571150297438948E-2</v>
      </c>
      <c r="AV43" s="52">
        <f t="shared" si="21"/>
        <v>1.7272576284039485E-3</v>
      </c>
      <c r="AW43" s="52">
        <f t="shared" si="22"/>
        <v>1.7272576284039485E-3</v>
      </c>
      <c r="AX43" s="52">
        <f t="shared" si="23"/>
        <v>1.8843892669034999E-2</v>
      </c>
      <c r="AY43" s="52">
        <f t="shared" si="24"/>
        <v>1.8843892669034999E-2</v>
      </c>
      <c r="AZ43" s="52">
        <f t="shared" si="25"/>
        <v>8.3965048304517398E-2</v>
      </c>
      <c r="BA43" s="52">
        <f t="shared" si="26"/>
        <v>0.91603495169548266</v>
      </c>
      <c r="BB43" s="52">
        <f t="shared" si="27"/>
        <v>4.1990074495348077E-2</v>
      </c>
      <c r="BC43" s="53">
        <f t="shared" si="28"/>
        <v>4.1990074495348077E-2</v>
      </c>
    </row>
    <row r="44" spans="1:55" x14ac:dyDescent="0.35">
      <c r="A44" s="1" t="s">
        <v>20</v>
      </c>
      <c r="B44" s="11">
        <v>2021</v>
      </c>
      <c r="C44" s="22">
        <f t="shared" si="1"/>
        <v>77.966361480907779</v>
      </c>
      <c r="D44" s="12">
        <f t="shared" si="32"/>
        <v>77.945232360624971</v>
      </c>
      <c r="E44" s="13">
        <f>'[1]2021'!D12-'[1]2020'!D12</f>
        <v>12.012134757890855</v>
      </c>
      <c r="F44" s="13">
        <f>'[1]2021'!E12-'[1]2020'!E12</f>
        <v>65.933097602734108</v>
      </c>
      <c r="G44" s="13">
        <f>'[1]2021'!F12-'[1]2020'!F12</f>
        <v>2.1129120282806113E-2</v>
      </c>
      <c r="H44" s="14">
        <f t="shared" si="33"/>
        <v>1.7574900406663474</v>
      </c>
      <c r="I44" s="13">
        <f>'[1]2021'!H12-'[1]2020'!H12</f>
        <v>9.8099487027312193E-3</v>
      </c>
      <c r="J44" s="13">
        <f>'[1]2021'!I12-'[1]2020'!I12</f>
        <v>1.7476800919636162</v>
      </c>
      <c r="K44" s="13">
        <f>'[1]2021'!J12-'[1]2020'!J12</f>
        <v>0</v>
      </c>
      <c r="L44" s="3">
        <f t="shared" si="30"/>
        <v>4.0646483257905581</v>
      </c>
      <c r="M44" s="14">
        <f t="shared" si="31"/>
        <v>4.0635467937740364</v>
      </c>
      <c r="N44" s="4">
        <f t="shared" si="2"/>
        <v>3.3354289577564273</v>
      </c>
      <c r="O44" s="14">
        <f t="shared" si="34"/>
        <v>3.3343274257399056</v>
      </c>
      <c r="P44" s="13">
        <f>'[1]2021'!M12-'[1]2020'!M12</f>
        <v>0.62623293565889726</v>
      </c>
      <c r="Q44" s="13">
        <f>'[1]2021'!N12-'[1]2020'!N12</f>
        <v>0.51385298564010751</v>
      </c>
      <c r="R44" s="13">
        <f>'[1]2021'!O12-'[1]2020'!O12</f>
        <v>3.4373138581151395</v>
      </c>
      <c r="S44" s="13">
        <f>'[1]2021'!P12-'[1]2020'!P12</f>
        <v>2.8204744400997983</v>
      </c>
      <c r="T44" s="13">
        <f>'[1]2021'!Q12-'[1]2020'!Q12</f>
        <v>1.1015320165218556E-3</v>
      </c>
      <c r="U44" s="13">
        <f>'[1]2021'!R12-'[1]2020'!S12</f>
        <v>9.0385778715451615E-4</v>
      </c>
      <c r="V44" s="14">
        <f t="shared" si="36"/>
        <v>9.1623859517121681E-2</v>
      </c>
      <c r="W44" s="14">
        <f t="shared" si="35"/>
        <v>7.5181599510105362E-2</v>
      </c>
      <c r="X44" s="13">
        <f>'[1]2021'!U12-'[1]2020'!V12</f>
        <v>5.114255790994171E-4</v>
      </c>
      <c r="Y44" s="13">
        <f>'[1]2021'!V12-'[1]2020'!W12</f>
        <v>4.1964825832171981E-4</v>
      </c>
      <c r="Z44" s="13">
        <f>'[1]2021'!W12-'[1]2020'!X12</f>
        <v>9.1112433938022264E-2</v>
      </c>
      <c r="AA44" s="13">
        <f>'[1]2021'!X12-'[1]2020'!Y12</f>
        <v>7.4761951251783643E-2</v>
      </c>
      <c r="AB44" s="13">
        <f>'[1]2021'!Y12-'[1]2020'!Z12</f>
        <v>0</v>
      </c>
      <c r="AC44" s="13">
        <f>'[1]2021'!Z12-'[1]2020'!AA12</f>
        <v>0</v>
      </c>
      <c r="AD44" s="21"/>
      <c r="AE44" s="17">
        <v>2337.6598158571201</v>
      </c>
      <c r="AF44" s="26">
        <f t="shared" si="5"/>
        <v>79.702722401291311</v>
      </c>
      <c r="AG44" s="26">
        <f t="shared" si="6"/>
        <v>79.702722401291311</v>
      </c>
      <c r="AH44" s="52">
        <f t="shared" si="7"/>
        <v>0.97794943525495104</v>
      </c>
      <c r="AI44" s="52">
        <f t="shared" si="8"/>
        <v>0.97794943525495104</v>
      </c>
      <c r="AJ44" s="52">
        <f t="shared" si="9"/>
        <v>0.97794943525495104</v>
      </c>
      <c r="AK44" s="52">
        <f t="shared" si="10"/>
        <v>0.97794943525495104</v>
      </c>
      <c r="AL44" s="52">
        <f t="shared" si="11"/>
        <v>0.82723771053604422</v>
      </c>
      <c r="AM44" s="52">
        <f t="shared" si="12"/>
        <v>0.82723771053604422</v>
      </c>
      <c r="AN44" s="52">
        <f t="shared" si="13"/>
        <v>0.1507117247189067</v>
      </c>
      <c r="AO44" s="52">
        <f t="shared" si="14"/>
        <v>0.1507117247189067</v>
      </c>
      <c r="AP44" s="52">
        <f t="shared" si="15"/>
        <v>2.6509910384772239E-4</v>
      </c>
      <c r="AQ44" s="52">
        <f t="shared" si="16"/>
        <v>2.6509910384772239E-4</v>
      </c>
      <c r="AR44" s="52">
        <f t="shared" si="17"/>
        <v>0.84589006416306556</v>
      </c>
      <c r="AS44" s="52">
        <f t="shared" si="18"/>
        <v>0.15410993583693439</v>
      </c>
      <c r="AT44" s="52">
        <f t="shared" si="19"/>
        <v>2.2050564745049076E-2</v>
      </c>
      <c r="AU44" s="52">
        <f t="shared" si="20"/>
        <v>2.2050564745049076E-2</v>
      </c>
      <c r="AV44" s="52">
        <f t="shared" si="21"/>
        <v>1.2308172678644015E-4</v>
      </c>
      <c r="AW44" s="52">
        <f t="shared" si="22"/>
        <v>1.2308172678644015E-4</v>
      </c>
      <c r="AX44" s="52">
        <f t="shared" si="23"/>
        <v>2.1927483018262636E-2</v>
      </c>
      <c r="AY44" s="52">
        <f t="shared" si="24"/>
        <v>2.1927483018262636E-2</v>
      </c>
      <c r="AZ44" s="52">
        <f t="shared" si="25"/>
        <v>5.5817947616999325E-3</v>
      </c>
      <c r="BA44" s="52">
        <f t="shared" si="26"/>
        <v>0.99441820523830005</v>
      </c>
      <c r="BB44" s="52">
        <f t="shared" si="27"/>
        <v>3.409509025250012E-2</v>
      </c>
      <c r="BC44" s="53">
        <f t="shared" si="28"/>
        <v>3.409509025250012E-2</v>
      </c>
    </row>
    <row r="45" spans="1:55" x14ac:dyDescent="0.35">
      <c r="A45" s="1" t="s">
        <v>21</v>
      </c>
      <c r="B45" s="11">
        <v>2021</v>
      </c>
      <c r="C45" s="22">
        <f t="shared" si="1"/>
        <v>-154.64843057041131</v>
      </c>
      <c r="D45" s="12">
        <f t="shared" si="32"/>
        <v>61.500837626937169</v>
      </c>
      <c r="E45" s="13">
        <f>'[1]2021'!D13-'[1]2020'!D13</f>
        <v>15.056601580828584</v>
      </c>
      <c r="F45" s="13">
        <f>'[1]2021'!E13-'[1]2020'!E13</f>
        <v>46.444236046108585</v>
      </c>
      <c r="G45" s="13">
        <f>'[1]2021'!F13-'[1]2020'!F13</f>
        <v>-216.14926819734848</v>
      </c>
      <c r="H45" s="14">
        <f t="shared" si="33"/>
        <v>0.117360564253147</v>
      </c>
      <c r="I45" s="13">
        <f>'[1]2021'!H13-'[1]2020'!H13</f>
        <v>0</v>
      </c>
      <c r="J45" s="13">
        <f>'[1]2021'!I13-'[1]2020'!I13</f>
        <v>0.117360564253147</v>
      </c>
      <c r="K45" s="13">
        <f>'[1]2021'!J13-'[1]2020'!J13</f>
        <v>1.0233542195064729</v>
      </c>
      <c r="L45" s="3">
        <f t="shared" si="30"/>
        <v>-3.388193758301222</v>
      </c>
      <c r="M45" s="14">
        <f t="shared" si="31"/>
        <v>1.3474223657446842</v>
      </c>
      <c r="N45" s="4">
        <f t="shared" si="2"/>
        <v>-3.5806387652214107</v>
      </c>
      <c r="O45" s="14">
        <f t="shared" si="34"/>
        <v>1.1549773588244956</v>
      </c>
      <c r="P45" s="13">
        <f>'[1]2021'!M13-'[1]2020'!M13</f>
        <v>0.32987520991468955</v>
      </c>
      <c r="Q45" s="13">
        <f>'[1]2021'!N13-'[1]2020'!N13</f>
        <v>0.28276092810614584</v>
      </c>
      <c r="R45" s="13">
        <f>'[1]2021'!O13-'[1]2020'!O13</f>
        <v>1.0175471558299947</v>
      </c>
      <c r="S45" s="13">
        <f>'[1]2021'!P13-'[1]2020'!P13</f>
        <v>0.87221643071834976</v>
      </c>
      <c r="T45" s="13">
        <f>'[1]2021'!Q13-'[1]2020'!Q13</f>
        <v>-4.7356161240459063</v>
      </c>
      <c r="U45" s="13">
        <f>'[1]2021'!R13-'[1]2020'!S13</f>
        <v>-4.0592538333994348</v>
      </c>
      <c r="V45" s="14">
        <f t="shared" si="36"/>
        <v>2.4991929734302865E-2</v>
      </c>
      <c r="W45" s="14">
        <f t="shared" si="35"/>
        <v>2.1422468359060698E-2</v>
      </c>
      <c r="X45" s="13">
        <f>'[1]2021'!U13-'[1]2020'!V13</f>
        <v>0</v>
      </c>
      <c r="Y45" s="13">
        <f>'[1]2021'!V13-'[1]2020'!W13</f>
        <v>0</v>
      </c>
      <c r="Z45" s="13">
        <f>'[1]2021'!W13-'[1]2020'!X13</f>
        <v>2.5712535834125916E-3</v>
      </c>
      <c r="AA45" s="13">
        <f>'[1]2021'!X13-'[1]2020'!Y13</f>
        <v>2.2040154209519436E-3</v>
      </c>
      <c r="AB45" s="13">
        <f>'[1]2021'!Y13-'[1]2020'!Z13</f>
        <v>2.2420676150890273E-2</v>
      </c>
      <c r="AC45" s="13">
        <f>'[1]2021'!Z13-'[1]2020'!AA13</f>
        <v>1.9218452938108754E-2</v>
      </c>
      <c r="AD45" s="21"/>
      <c r="AE45" s="17">
        <v>5324.8522282316499</v>
      </c>
      <c r="AF45" s="26">
        <f t="shared" si="5"/>
        <v>61.618198191190316</v>
      </c>
      <c r="AG45" s="26">
        <f>(D45)+(H45*-1)</f>
        <v>61.383477062684022</v>
      </c>
      <c r="AH45" s="52">
        <f t="shared" si="7"/>
        <v>1.0019119243462422</v>
      </c>
      <c r="AI45" s="52">
        <f t="shared" si="8"/>
        <v>1.0019119243462422</v>
      </c>
      <c r="AJ45" s="52">
        <f t="shared" si="9"/>
        <v>0.99809535871384947</v>
      </c>
      <c r="AK45" s="52">
        <f t="shared" si="10"/>
        <v>0.99809535871384947</v>
      </c>
      <c r="AL45" s="52">
        <f t="shared" si="11"/>
        <v>0.75662439256545089</v>
      </c>
      <c r="AM45" s="52">
        <f t="shared" si="12"/>
        <v>0.75374219645307339</v>
      </c>
      <c r="AN45" s="52">
        <f t="shared" si="13"/>
        <v>0.24528753178079135</v>
      </c>
      <c r="AO45" s="52">
        <f t="shared" si="14"/>
        <v>0.24435316226077605</v>
      </c>
      <c r="AP45" s="52">
        <f t="shared" si="15"/>
        <v>-3.5212939791048266</v>
      </c>
      <c r="AQ45" s="52">
        <f t="shared" si="16"/>
        <v>-3.5078803753182739</v>
      </c>
      <c r="AR45" s="52">
        <f t="shared" si="17"/>
        <v>0.75518054449661931</v>
      </c>
      <c r="AS45" s="52">
        <f t="shared" si="18"/>
        <v>0.24481945550338066</v>
      </c>
      <c r="AT45" s="52">
        <f t="shared" si="19"/>
        <v>1.9119243462422289E-3</v>
      </c>
      <c r="AU45" s="52">
        <f t="shared" si="20"/>
        <v>1.9046412861505302E-3</v>
      </c>
      <c r="AV45" s="52">
        <f t="shared" si="21"/>
        <v>0</v>
      </c>
      <c r="AW45" s="52">
        <f t="shared" si="22"/>
        <v>0</v>
      </c>
      <c r="AX45" s="52">
        <f t="shared" si="23"/>
        <v>1.9119243462422289E-3</v>
      </c>
      <c r="AY45" s="52">
        <f t="shared" si="24"/>
        <v>1.9046412861505302E-3</v>
      </c>
      <c r="AZ45" s="52">
        <f t="shared" si="25"/>
        <v>0</v>
      </c>
      <c r="BA45" s="52">
        <f t="shared" si="26"/>
        <v>1</v>
      </c>
      <c r="BB45" s="52">
        <f t="shared" si="27"/>
        <v>1.1571813742454471E-2</v>
      </c>
      <c r="BC45" s="53">
        <f t="shared" si="28"/>
        <v>1.1527733434035426E-2</v>
      </c>
    </row>
    <row r="46" spans="1:55" x14ac:dyDescent="0.35">
      <c r="A46" s="1" t="s">
        <v>22</v>
      </c>
      <c r="B46" s="11">
        <v>2021</v>
      </c>
      <c r="C46" s="22">
        <f t="shared" si="1"/>
        <v>48.802464359816838</v>
      </c>
      <c r="D46" s="12">
        <f t="shared" si="32"/>
        <v>48.749753652999821</v>
      </c>
      <c r="E46" s="13">
        <f>'[1]2021'!D14-'[1]2020'!D14</f>
        <v>7.6352311733168863</v>
      </c>
      <c r="F46" s="13">
        <f>'[1]2021'!E14-'[1]2020'!E14</f>
        <v>41.114522479682932</v>
      </c>
      <c r="G46" s="13">
        <f>'[1]2021'!F14-'[1]2020'!F14</f>
        <v>5.2710706817016728E-2</v>
      </c>
      <c r="H46" s="14">
        <f t="shared" si="33"/>
        <v>0.11324815494928231</v>
      </c>
      <c r="I46" s="13">
        <f>'[1]2021'!H14-'[1]2020'!H14</f>
        <v>0</v>
      </c>
      <c r="J46" s="13">
        <f>'[1]2021'!I14-'[1]2020'!I14</f>
        <v>0.11324815494928231</v>
      </c>
      <c r="K46" s="13">
        <f>'[1]2021'!J14-'[1]2020'!J14</f>
        <v>0.19966176824625848</v>
      </c>
      <c r="L46" s="3">
        <f t="shared" si="30"/>
        <v>2.9791261434813974</v>
      </c>
      <c r="M46" s="14">
        <f t="shared" si="31"/>
        <v>2.9759084403022675</v>
      </c>
      <c r="N46" s="4">
        <f t="shared" si="2"/>
        <v>2.2637722647009513</v>
      </c>
      <c r="O46" s="14">
        <f t="shared" si="34"/>
        <v>2.260554561521821</v>
      </c>
      <c r="P46" s="13">
        <f>'[1]2021'!M14-'[1]2020'!M14</f>
        <v>0.46608951204278587</v>
      </c>
      <c r="Q46" s="13">
        <f>'[1]2021'!N14-'[1]2020'!N14</f>
        <v>0.35405013079595338</v>
      </c>
      <c r="R46" s="13">
        <f>'[1]2021'!O14-'[1]2020'!O14</f>
        <v>2.5098189282594818</v>
      </c>
      <c r="S46" s="13">
        <f>'[1]2021'!P14-'[1]2020'!P14</f>
        <v>1.9065044307258678</v>
      </c>
      <c r="T46" s="13">
        <f>'[1]2021'!Q14-'[1]2020'!Q14</f>
        <v>3.2177031791300603E-3</v>
      </c>
      <c r="U46" s="13">
        <f>'[1]2021'!R14-'[1]2020'!S14</f>
        <v>2.4442262741342091E-3</v>
      </c>
      <c r="V46" s="14">
        <f t="shared" si="36"/>
        <v>1.9101456145198092E-2</v>
      </c>
      <c r="W46" s="14">
        <f t="shared" si="35"/>
        <v>1.4509815972815421E-2</v>
      </c>
      <c r="X46" s="13">
        <f>'[1]2021'!U14-'[1]2020'!V14</f>
        <v>0</v>
      </c>
      <c r="Y46" s="13">
        <f>'[1]2021'!V14-'[1]2020'!W14</f>
        <v>0</v>
      </c>
      <c r="Z46" s="13">
        <f>'[1]2021'!W14-'[1]2020'!X14</f>
        <v>6.9131865272815674E-3</v>
      </c>
      <c r="AA46" s="13">
        <f>'[1]2021'!X14-'[1]2020'!Y14</f>
        <v>5.2513831162461777E-3</v>
      </c>
      <c r="AB46" s="13">
        <f>'[1]2021'!Y14-'[1]2020'!Z14</f>
        <v>1.2188269617916525E-2</v>
      </c>
      <c r="AC46" s="13">
        <f>'[1]2021'!Z14-'[1]2020'!AA14</f>
        <v>9.2584328565692431E-3</v>
      </c>
      <c r="AD46" s="21"/>
      <c r="AE46" s="17">
        <v>2156.5395714307001</v>
      </c>
      <c r="AF46" s="26">
        <f t="shared" si="5"/>
        <v>48.863001807949104</v>
      </c>
      <c r="AG46" s="26">
        <f t="shared" si="6"/>
        <v>48.863001807949104</v>
      </c>
      <c r="AH46" s="52">
        <f t="shared" si="7"/>
        <v>0.99768233324275912</v>
      </c>
      <c r="AI46" s="52">
        <f t="shared" si="8"/>
        <v>0.99768233324275912</v>
      </c>
      <c r="AJ46" s="52">
        <f t="shared" si="9"/>
        <v>0.99768233324275912</v>
      </c>
      <c r="AK46" s="52">
        <f t="shared" si="10"/>
        <v>0.99768233324275912</v>
      </c>
      <c r="AL46" s="52">
        <f t="shared" si="11"/>
        <v>0.84142441025787251</v>
      </c>
      <c r="AM46" s="52">
        <f t="shared" si="12"/>
        <v>0.84142441025787251</v>
      </c>
      <c r="AN46" s="52">
        <f t="shared" si="13"/>
        <v>0.15625792298488661</v>
      </c>
      <c r="AO46" s="52">
        <f t="shared" si="14"/>
        <v>0.15625792298488661</v>
      </c>
      <c r="AP46" s="52">
        <f t="shared" si="15"/>
        <v>1.0787447530176437E-3</v>
      </c>
      <c r="AQ46" s="52">
        <f t="shared" si="16"/>
        <v>1.0787447530176437E-3</v>
      </c>
      <c r="AR46" s="52">
        <f t="shared" si="17"/>
        <v>0.84337908191979027</v>
      </c>
      <c r="AS46" s="52">
        <f t="shared" si="18"/>
        <v>0.15662091808020964</v>
      </c>
      <c r="AT46" s="52">
        <f t="shared" si="19"/>
        <v>2.317666757240832E-3</v>
      </c>
      <c r="AU46" s="52">
        <f t="shared" si="20"/>
        <v>2.317666757240832E-3</v>
      </c>
      <c r="AV46" s="52">
        <f t="shared" si="21"/>
        <v>0</v>
      </c>
      <c r="AW46" s="52">
        <f t="shared" si="22"/>
        <v>0</v>
      </c>
      <c r="AX46" s="52">
        <f t="shared" si="23"/>
        <v>2.317666757240832E-3</v>
      </c>
      <c r="AY46" s="52">
        <f t="shared" si="24"/>
        <v>2.317666757240832E-3</v>
      </c>
      <c r="AZ46" s="52">
        <f t="shared" si="25"/>
        <v>0</v>
      </c>
      <c r="BA46" s="52">
        <f t="shared" si="26"/>
        <v>1</v>
      </c>
      <c r="BB46" s="52">
        <f t="shared" si="27"/>
        <v>2.2658059446380673E-2</v>
      </c>
      <c r="BC46" s="53">
        <f t="shared" si="28"/>
        <v>2.2658059446380673E-2</v>
      </c>
    </row>
    <row r="47" spans="1:55" x14ac:dyDescent="0.35">
      <c r="A47" s="1" t="s">
        <v>23</v>
      </c>
      <c r="B47" s="11">
        <v>2021</v>
      </c>
      <c r="C47" s="22">
        <f t="shared" si="1"/>
        <v>54.414439131597675</v>
      </c>
      <c r="D47" s="12">
        <f t="shared" si="32"/>
        <v>54.977743691270575</v>
      </c>
      <c r="E47" s="13">
        <f>'[1]2021'!D15-'[1]2020'!D15</f>
        <v>16.915665498359473</v>
      </c>
      <c r="F47" s="13">
        <f>'[1]2021'!E15-'[1]2020'!E15</f>
        <v>38.062078192911102</v>
      </c>
      <c r="G47" s="13">
        <f>'[1]2021'!F15-'[1]2020'!F15</f>
        <v>-0.56330455967290338</v>
      </c>
      <c r="H47" s="14">
        <f t="shared" si="33"/>
        <v>0.45650671749307503</v>
      </c>
      <c r="I47" s="13">
        <f>'[1]2021'!H15-'[1]2020'!H15</f>
        <v>1.9287868372448447E-3</v>
      </c>
      <c r="J47" s="13">
        <f>'[1]2021'!I15-'[1]2020'!I15</f>
        <v>0.45457793065583019</v>
      </c>
      <c r="K47" s="13">
        <f>'[1]2021'!J15-'[1]2020'!J15</f>
        <v>3.0184457546866383E-2</v>
      </c>
      <c r="L47" s="3">
        <f t="shared" si="30"/>
        <v>4.1101049299124632</v>
      </c>
      <c r="M47" s="14">
        <f t="shared" si="31"/>
        <v>4.1526532109331411</v>
      </c>
      <c r="N47" s="4">
        <f t="shared" si="2"/>
        <v>3.017674159619288</v>
      </c>
      <c r="O47" s="14">
        <f t="shared" si="34"/>
        <v>3.0602224406399654</v>
      </c>
      <c r="P47" s="13">
        <f>'[1]2021'!M15-'[1]2020'!M15</f>
        <v>1.2776968993361397</v>
      </c>
      <c r="Q47" s="13">
        <f>'[1]2021'!N15-'[1]2020'!N15</f>
        <v>0.9415755482278606</v>
      </c>
      <c r="R47" s="13">
        <f>'[1]2021'!O15-'[1]2020'!O15</f>
        <v>2.8749563115970016</v>
      </c>
      <c r="S47" s="13">
        <f>'[1]2021'!P15-'[1]2020'!P15</f>
        <v>2.1186468924121047</v>
      </c>
      <c r="T47" s="13">
        <f>'[1]2021'!Q15-'[1]2020'!Q15</f>
        <v>-4.2548281020677543E-2</v>
      </c>
      <c r="U47" s="13">
        <f>'[1]2021'!R15-'[1]2020'!S15</f>
        <v>-3.1355183728639387E-2</v>
      </c>
      <c r="V47" s="14">
        <f t="shared" si="36"/>
        <v>3.6761415348576562E-2</v>
      </c>
      <c r="W47" s="14">
        <f t="shared" si="35"/>
        <v>2.7090658064878148E-2</v>
      </c>
      <c r="X47" s="13">
        <f>'[1]2021'!U15-'[1]2020'!V15</f>
        <v>1.4568773316468719E-4</v>
      </c>
      <c r="Y47" s="13">
        <f>'[1]2021'!V15-'[1]2020'!W15</f>
        <v>1.0736193168808805E-4</v>
      </c>
      <c r="Z47" s="13">
        <f>'[1]2021'!W15-'[1]2020'!X15</f>
        <v>3.4335794389047436E-2</v>
      </c>
      <c r="AA47" s="13">
        <f>'[1]2021'!X15-'[1]2020'!Y15</f>
        <v>2.5303140707711336E-2</v>
      </c>
      <c r="AB47" s="13">
        <f>'[1]2021'!Y15-'[1]2020'!Z15</f>
        <v>2.279933226364439E-3</v>
      </c>
      <c r="AC47" s="13">
        <f>'[1]2021'!Z15-'[1]2020'!AA15</f>
        <v>1.6801554254787243E-3</v>
      </c>
      <c r="AD47" s="21"/>
      <c r="AE47" s="17">
        <v>1796.5276955414199</v>
      </c>
      <c r="AF47" s="26">
        <f t="shared" si="5"/>
        <v>55.434250408763653</v>
      </c>
      <c r="AG47" s="26">
        <f t="shared" si="6"/>
        <v>55.434250408763653</v>
      </c>
      <c r="AH47" s="52">
        <f t="shared" si="7"/>
        <v>0.99176489780006283</v>
      </c>
      <c r="AI47" s="52">
        <f t="shared" si="8"/>
        <v>0.99176489780006283</v>
      </c>
      <c r="AJ47" s="52">
        <f t="shared" si="9"/>
        <v>0.99176489780006283</v>
      </c>
      <c r="AK47" s="52">
        <f t="shared" si="10"/>
        <v>0.99176489780006283</v>
      </c>
      <c r="AL47" s="52">
        <f t="shared" si="11"/>
        <v>0.6866166298316867</v>
      </c>
      <c r="AM47" s="52">
        <f t="shared" si="12"/>
        <v>0.6866166298316867</v>
      </c>
      <c r="AN47" s="52">
        <f t="shared" si="13"/>
        <v>0.30514826796837607</v>
      </c>
      <c r="AO47" s="52">
        <f t="shared" si="14"/>
        <v>0.30514826796837607</v>
      </c>
      <c r="AP47" s="52">
        <f t="shared" si="15"/>
        <v>-1.0161670005802948E-2</v>
      </c>
      <c r="AQ47" s="52">
        <f t="shared" si="16"/>
        <v>-1.0161670005802948E-2</v>
      </c>
      <c r="AR47" s="52">
        <f t="shared" si="17"/>
        <v>0.6923179388126588</v>
      </c>
      <c r="AS47" s="52">
        <f t="shared" si="18"/>
        <v>0.30768206118734115</v>
      </c>
      <c r="AT47" s="52">
        <f t="shared" si="19"/>
        <v>8.2351021999371252E-3</v>
      </c>
      <c r="AU47" s="52">
        <f t="shared" si="20"/>
        <v>8.2351021999371252E-3</v>
      </c>
      <c r="AV47" s="52">
        <f t="shared" si="21"/>
        <v>3.479413580994181E-5</v>
      </c>
      <c r="AW47" s="52">
        <f t="shared" si="22"/>
        <v>3.479413580994181E-5</v>
      </c>
      <c r="AX47" s="52">
        <f t="shared" si="23"/>
        <v>8.2003080641271826E-3</v>
      </c>
      <c r="AY47" s="52">
        <f t="shared" si="24"/>
        <v>8.2003080641271826E-3</v>
      </c>
      <c r="AZ47" s="52">
        <f t="shared" si="25"/>
        <v>4.2251006684783411E-3</v>
      </c>
      <c r="BA47" s="52">
        <f t="shared" si="26"/>
        <v>0.99577489933152163</v>
      </c>
      <c r="BB47" s="52">
        <f t="shared" si="27"/>
        <v>3.0856329432793643E-2</v>
      </c>
      <c r="BC47" s="53">
        <f t="shared" si="28"/>
        <v>3.0856329432793643E-2</v>
      </c>
    </row>
    <row r="48" spans="1:55" x14ac:dyDescent="0.35">
      <c r="A48" s="1" t="s">
        <v>24</v>
      </c>
      <c r="B48" s="11">
        <v>2021</v>
      </c>
      <c r="C48" s="22">
        <f t="shared" si="1"/>
        <v>88.694309160745149</v>
      </c>
      <c r="D48" s="12">
        <f t="shared" si="32"/>
        <v>81.621811421120356</v>
      </c>
      <c r="E48" s="13">
        <f>'[1]2021'!D16-'[1]2020'!D16</f>
        <v>-13.851555876965222</v>
      </c>
      <c r="F48" s="13">
        <f>'[1]2021'!E16-'[1]2020'!E16</f>
        <v>95.473367298085577</v>
      </c>
      <c r="G48" s="13">
        <f>'[1]2021'!F16-'[1]2020'!F16</f>
        <v>7.0724977396247937</v>
      </c>
      <c r="H48" s="14">
        <f>I48+J48</f>
        <v>16.22200171331729</v>
      </c>
      <c r="I48" s="13">
        <f>'[1]2021'!H16-'[1]2020'!H16</f>
        <v>4.0799587521910929E-2</v>
      </c>
      <c r="J48" s="13">
        <f>'[1]2021'!I16-'[1]2020'!I16</f>
        <v>16.18120212579538</v>
      </c>
      <c r="K48" s="13">
        <f>'[1]2021'!J16-'[1]2020'!J16</f>
        <v>0</v>
      </c>
      <c r="L48" s="3">
        <f t="shared" si="30"/>
        <v>2.809103745021587</v>
      </c>
      <c r="M48" s="14">
        <f t="shared" si="31"/>
        <v>2.5851053839651854</v>
      </c>
      <c r="N48" s="4">
        <f t="shared" si="2"/>
        <v>2.99837412593397</v>
      </c>
      <c r="O48" s="14">
        <f t="shared" si="34"/>
        <v>2.7743757648775684</v>
      </c>
      <c r="P48" s="13">
        <f>'[1]2021'!M16-'[1]2020'!M16</f>
        <v>-0.43870297718695106</v>
      </c>
      <c r="Q48" s="13">
        <f>'[1]2021'!N16-'[1]2020'!N16</f>
        <v>-0.47082293644068507</v>
      </c>
      <c r="R48" s="13">
        <f>'[1]2021'!O16-'[1]2020'!O16</f>
        <v>3.0238083611521365</v>
      </c>
      <c r="S48" s="13">
        <f>'[1]2021'!P16-'[1]2020'!P16</f>
        <v>3.2451987013182535</v>
      </c>
      <c r="T48" s="13">
        <f>'[1]2021'!Q16-'[1]2020'!Q16</f>
        <v>0.22399836105640181</v>
      </c>
      <c r="U48" s="13">
        <f>'[1]2021'!R16-'[1]2020'!S16</f>
        <v>0.24039856484842853</v>
      </c>
      <c r="V48" s="14">
        <f t="shared" si="36"/>
        <v>0.51377913865971414</v>
      </c>
      <c r="W48" s="14">
        <f t="shared" si="35"/>
        <v>0.55139585397125945</v>
      </c>
      <c r="X48" s="13">
        <f>'[1]2021'!U16-'[1]2020'!V16</f>
        <v>1.2921942251720095E-3</v>
      </c>
      <c r="Y48" s="13">
        <f>'[1]2021'!V16-'[1]2020'!W16</f>
        <v>1.3868031702185535E-3</v>
      </c>
      <c r="Z48" s="13">
        <f>'[1]2021'!W16-'[1]2020'!X16</f>
        <v>0.51248694443454212</v>
      </c>
      <c r="AA48" s="13">
        <f>'[1]2021'!X16-'[1]2020'!Y16</f>
        <v>0.5500090508010409</v>
      </c>
      <c r="AB48" s="13">
        <f>'[1]2021'!Y16-'[1]2020'!Z16</f>
        <v>0</v>
      </c>
      <c r="AC48" s="13">
        <f>'[1]2021'!Z16-'[1]2020'!AA16</f>
        <v>0</v>
      </c>
      <c r="AD48" s="21"/>
      <c r="AE48" s="17">
        <v>2941.9883367789698</v>
      </c>
      <c r="AF48" s="26">
        <f t="shared" si="5"/>
        <v>97.843813134437653</v>
      </c>
      <c r="AG48" s="26">
        <f t="shared" si="6"/>
        <v>97.843813134437653</v>
      </c>
      <c r="AH48" s="52">
        <f t="shared" si="7"/>
        <v>0.83420513578075473</v>
      </c>
      <c r="AI48" s="52">
        <f t="shared" si="8"/>
        <v>0.83420513578075473</v>
      </c>
      <c r="AJ48" s="52">
        <f t="shared" si="9"/>
        <v>0.83420513578075473</v>
      </c>
      <c r="AK48" s="52">
        <f t="shared" si="10"/>
        <v>0.83420513578075473</v>
      </c>
      <c r="AL48" s="52">
        <f t="shared" si="11"/>
        <v>0.97577316581994733</v>
      </c>
      <c r="AM48" s="52">
        <f t="shared" si="12"/>
        <v>0.97577316581994733</v>
      </c>
      <c r="AN48" s="52">
        <f t="shared" si="13"/>
        <v>-0.14156803003919263</v>
      </c>
      <c r="AO48" s="52">
        <f t="shared" si="14"/>
        <v>-0.14156803003919263</v>
      </c>
      <c r="AP48" s="52">
        <f t="shared" si="15"/>
        <v>7.2283545714915701E-2</v>
      </c>
      <c r="AQ48" s="52">
        <f t="shared" si="16"/>
        <v>7.2283545714915701E-2</v>
      </c>
      <c r="AR48" s="52">
        <f t="shared" si="17"/>
        <v>1.1697040979095572</v>
      </c>
      <c r="AS48" s="52">
        <f t="shared" si="18"/>
        <v>-0.16970409790955718</v>
      </c>
      <c r="AT48" s="52">
        <f t="shared" si="19"/>
        <v>0.16579486421924519</v>
      </c>
      <c r="AU48" s="52">
        <f t="shared" si="20"/>
        <v>0.16579486421924519</v>
      </c>
      <c r="AV48" s="52">
        <f t="shared" si="21"/>
        <v>4.1698689181146479E-4</v>
      </c>
      <c r="AW48" s="52">
        <f t="shared" si="22"/>
        <v>4.1698689181146479E-4</v>
      </c>
      <c r="AX48" s="52">
        <f t="shared" si="23"/>
        <v>0.16537787732743373</v>
      </c>
      <c r="AY48" s="52">
        <f t="shared" si="24"/>
        <v>0.16537787732743373</v>
      </c>
      <c r="AZ48" s="52">
        <f t="shared" si="25"/>
        <v>2.5150772539012196E-3</v>
      </c>
      <c r="BA48" s="52">
        <f t="shared" si="26"/>
        <v>0.99748492274609879</v>
      </c>
      <c r="BB48" s="52">
        <f t="shared" si="27"/>
        <v>3.325771618848828E-2</v>
      </c>
      <c r="BC48" s="53">
        <f t="shared" si="28"/>
        <v>3.325771618848828E-2</v>
      </c>
    </row>
    <row r="49" spans="1:55" s="39" customFormat="1" x14ac:dyDescent="0.35">
      <c r="A49" s="29" t="s">
        <v>25</v>
      </c>
      <c r="B49" s="30">
        <v>2021</v>
      </c>
      <c r="C49" s="29">
        <f t="shared" si="1"/>
        <v>1824.98</v>
      </c>
      <c r="D49" s="31">
        <f t="shared" si="32"/>
        <v>1825</v>
      </c>
      <c r="E49" s="32">
        <f>'[1]2021'!D17-'[1]2020'!D17</f>
        <v>203.49999999999994</v>
      </c>
      <c r="F49" s="32">
        <f>'[1]2021'!E17-'[1]2020'!E17</f>
        <v>1621.5</v>
      </c>
      <c r="G49" s="32">
        <f>'[1]2021'!F17-'[1]2020'!F17</f>
        <v>-1.9999999999999574E-2</v>
      </c>
      <c r="H49" s="33">
        <f t="shared" si="33"/>
        <v>0</v>
      </c>
      <c r="I49" s="32">
        <f>'[1]2021'!H17-'[1]2020'!H17</f>
        <v>0</v>
      </c>
      <c r="J49" s="32">
        <f>'[1]2021'!I17-'[1]2020'!I17</f>
        <v>0</v>
      </c>
      <c r="K49" s="32">
        <f>'[1]2021'!J17-'[1]2020'!J17</f>
        <v>0</v>
      </c>
      <c r="L49" s="34">
        <f t="shared" si="30"/>
        <v>9.1574201982785493</v>
      </c>
      <c r="M49" s="33">
        <f t="shared" si="31"/>
        <v>9.1575205546681886</v>
      </c>
      <c r="N49" s="35">
        <f t="shared" si="2"/>
        <v>9.1366797457422795</v>
      </c>
      <c r="O49" s="33">
        <f t="shared" si="34"/>
        <v>9.1367801021319188</v>
      </c>
      <c r="P49" s="32">
        <f>'[1]2021'!M17-'[1]2020'!M17</f>
        <v>1.0211262645890278</v>
      </c>
      <c r="Q49" s="32">
        <f>'[1]2021'!N17-'[1]2020'!N17</f>
        <v>1.0188135620733396</v>
      </c>
      <c r="R49" s="32">
        <f>'[1]2021'!O17-'[1]2020'!O17</f>
        <v>8.1363942900791617</v>
      </c>
      <c r="S49" s="32">
        <f>'[1]2021'!P17-'[1]2020'!P17</f>
        <v>8.1179665400585801</v>
      </c>
      <c r="T49" s="32">
        <f>'[1]2021'!Q17-'[1]2020'!Q17</f>
        <v>-1.0035638964020488E-4</v>
      </c>
      <c r="U49" s="32">
        <f>'[1]2021'!R17-'[1]2020'!S17</f>
        <v>-1.0012909700966854E-4</v>
      </c>
      <c r="V49" s="33">
        <f t="shared" si="36"/>
        <v>0</v>
      </c>
      <c r="W49" s="33">
        <f t="shared" si="35"/>
        <v>0</v>
      </c>
      <c r="X49" s="32">
        <f>'[1]2021'!U17-'[1]2020'!V17</f>
        <v>0</v>
      </c>
      <c r="Y49" s="32">
        <f>'[1]2021'!V17-'[1]2020'!W17</f>
        <v>0</v>
      </c>
      <c r="Z49" s="32">
        <f>'[1]2021'!W17-'[1]2020'!X17</f>
        <v>0</v>
      </c>
      <c r="AA49" s="32">
        <f>'[1]2021'!X17-'[1]2020'!Y17</f>
        <v>0</v>
      </c>
      <c r="AB49" s="32">
        <f>'[1]2021'!Y17-'[1]2020'!Z17</f>
        <v>0</v>
      </c>
      <c r="AC49" s="32">
        <f>'[1]2021'!Z17-'[1]2020'!AA17</f>
        <v>0</v>
      </c>
      <c r="AD49" s="36"/>
      <c r="AE49" s="37">
        <v>19974.2138871676</v>
      </c>
      <c r="AF49" s="38">
        <f t="shared" si="5"/>
        <v>1825</v>
      </c>
      <c r="AG49" s="38">
        <f t="shared" si="6"/>
        <v>1825</v>
      </c>
      <c r="AH49" s="52">
        <f t="shared" si="7"/>
        <v>1</v>
      </c>
      <c r="AI49" s="52">
        <f t="shared" si="8"/>
        <v>1</v>
      </c>
      <c r="AJ49" s="52">
        <f t="shared" si="9"/>
        <v>1</v>
      </c>
      <c r="AK49" s="52">
        <f t="shared" si="10"/>
        <v>1</v>
      </c>
      <c r="AL49" s="52">
        <f t="shared" si="11"/>
        <v>0.88849315068493151</v>
      </c>
      <c r="AM49" s="52">
        <f t="shared" si="12"/>
        <v>0.88849315068493151</v>
      </c>
      <c r="AN49" s="52">
        <f t="shared" si="13"/>
        <v>0.11150684931506846</v>
      </c>
      <c r="AO49" s="52">
        <f t="shared" si="14"/>
        <v>0.11150684931506846</v>
      </c>
      <c r="AP49" s="52">
        <f t="shared" si="15"/>
        <v>-1.0958904109588808E-5</v>
      </c>
      <c r="AQ49" s="52">
        <f t="shared" si="16"/>
        <v>-1.0958904109588808E-5</v>
      </c>
      <c r="AR49" s="52">
        <f t="shared" si="17"/>
        <v>0.88849315068493151</v>
      </c>
      <c r="AS49" s="52">
        <f t="shared" si="18"/>
        <v>0.11150684931506846</v>
      </c>
      <c r="AT49" s="52">
        <f t="shared" si="19"/>
        <v>0</v>
      </c>
      <c r="AU49" s="52">
        <f t="shared" si="20"/>
        <v>0</v>
      </c>
      <c r="AV49" s="52">
        <f t="shared" si="21"/>
        <v>0</v>
      </c>
      <c r="AW49" s="52">
        <f t="shared" si="22"/>
        <v>0</v>
      </c>
      <c r="AX49" s="52">
        <f t="shared" si="23"/>
        <v>0</v>
      </c>
      <c r="AY49" s="52">
        <f t="shared" si="24"/>
        <v>0</v>
      </c>
      <c r="AZ49" s="52">
        <v>0</v>
      </c>
      <c r="BA49" s="52">
        <v>0</v>
      </c>
      <c r="BB49" s="52">
        <f t="shared" si="27"/>
        <v>9.1367801021319195E-2</v>
      </c>
      <c r="BC49" s="53">
        <f t="shared" si="28"/>
        <v>9.1367801021319195E-2</v>
      </c>
    </row>
    <row r="50" spans="1:55" s="51" customFormat="1" x14ac:dyDescent="0.35">
      <c r="A50" s="41" t="s">
        <v>26</v>
      </c>
      <c r="B50" s="42">
        <v>2021</v>
      </c>
      <c r="C50" s="41">
        <f t="shared" si="1"/>
        <v>-3.6076828597622956E-2</v>
      </c>
      <c r="D50" s="43">
        <f t="shared" si="32"/>
        <v>6.1536439570630819E-6</v>
      </c>
      <c r="E50" s="44">
        <v>2.6564999999999999</v>
      </c>
      <c r="F50" s="44">
        <f>'[1]2021'!E18-'[1]2020'!E18</f>
        <v>-2.6564938463560428</v>
      </c>
      <c r="G50" s="44">
        <f>'[1]2021'!F18-'[1]2020'!F18</f>
        <v>-3.6082982241580019E-2</v>
      </c>
      <c r="H50" s="45">
        <f t="shared" si="33"/>
        <v>-1.8221373961555898</v>
      </c>
      <c r="I50" s="44">
        <f>'[1]2021'!H18-'[1]2020'!H18</f>
        <v>-0.95092364114217143</v>
      </c>
      <c r="J50" s="44">
        <f>'[1]2021'!I18-'[1]2020'!I18</f>
        <v>-0.87121375501341847</v>
      </c>
      <c r="K50" s="44">
        <f>'[1]2021'!J18-'[1]2020'!J18</f>
        <v>1.6475248266048474</v>
      </c>
      <c r="L50" s="46">
        <f t="shared" si="30"/>
        <v>-1.8458418489810668E-2</v>
      </c>
      <c r="M50" s="45">
        <f t="shared" si="31"/>
        <v>-1.5637565202905213E-2</v>
      </c>
      <c r="N50" s="47">
        <f t="shared" si="2"/>
        <v>-1.1219511696474768E-2</v>
      </c>
      <c r="O50" s="45">
        <f t="shared" si="34"/>
        <v>-8.3986584095693123E-3</v>
      </c>
      <c r="P50" s="44">
        <f>'[1]2021'!M18-'[1]2020'!M18</f>
        <v>0.19203871133008951</v>
      </c>
      <c r="Q50" s="44">
        <f>'[1]2021'!N18-'[1]2020'!N18</f>
        <v>0.10314057955618676</v>
      </c>
      <c r="R50" s="44">
        <f>'[1]2021'!O18-'[1]2020'!O18</f>
        <v>-0.20767627653299472</v>
      </c>
      <c r="S50" s="44">
        <f>'[1]2021'!P18-'[1]2020'!P18</f>
        <v>-0.11153923796575607</v>
      </c>
      <c r="T50" s="44">
        <f>'[1]2021'!Q18-'[1]2020'!Q18</f>
        <v>-2.8208532869054559E-3</v>
      </c>
      <c r="U50" s="44">
        <f>'[1]2021'!R18-'[1]2020'!S18</f>
        <v>-1.5150301771932884E-3</v>
      </c>
      <c r="V50" s="45">
        <f t="shared" si="36"/>
        <v>-1.3650657738168398E-2</v>
      </c>
      <c r="W50" s="45">
        <f t="shared" si="35"/>
        <v>-7.3315257152386099E-3</v>
      </c>
      <c r="X50" s="44">
        <f>'[1]2021'!U18-'[1]2020'!V18</f>
        <v>-7.4340198954534156E-2</v>
      </c>
      <c r="Y50" s="44">
        <f>'[1]2021'!V18-'[1]2020'!W18</f>
        <v>-3.9926799921675513E-2</v>
      </c>
      <c r="Z50" s="44">
        <f>'[1]2021'!W18-'[1]2020'!X18</f>
        <v>-6.8108732475966674E-2</v>
      </c>
      <c r="AA50" s="44">
        <f>'[1]2021'!X18-'[1]2020'!Y18</f>
        <v>-3.6579990001775281E-2</v>
      </c>
      <c r="AB50" s="44">
        <f>'[1]2021'!Y18-'[1]2020'!Z18</f>
        <v>0.12879827369233243</v>
      </c>
      <c r="AC50" s="44">
        <f>'[1]2021'!Z18-'[1]2020'!AA18</f>
        <v>6.9175264208212184E-2</v>
      </c>
      <c r="AD50" s="48"/>
      <c r="AE50" s="49">
        <v>2381.6675591522499</v>
      </c>
      <c r="AF50" s="50">
        <f t="shared" si="5"/>
        <v>-1.8221312425116327</v>
      </c>
      <c r="AG50" s="50">
        <f>(D50*-1)+(H50*-1)</f>
        <v>1.8221312425116327</v>
      </c>
      <c r="AH50" s="52">
        <f>($D50/$AG50)*-1</f>
        <v>-3.377168347424237E-6</v>
      </c>
      <c r="AI50" s="52">
        <f t="shared" si="8"/>
        <v>3.377168347424237E-6</v>
      </c>
      <c r="AJ50" s="52">
        <f t="shared" si="9"/>
        <v>-3.377168347424237E-6</v>
      </c>
      <c r="AK50" s="52">
        <f t="shared" si="10"/>
        <v>-3.377168347424237E-6</v>
      </c>
      <c r="AL50" s="52">
        <f t="shared" si="11"/>
        <v>-1.4579047789632988</v>
      </c>
      <c r="AM50" s="52">
        <f t="shared" si="12"/>
        <v>1.4579047789632988</v>
      </c>
      <c r="AN50" s="52">
        <f t="shared" si="13"/>
        <v>1.4579081561316463</v>
      </c>
      <c r="AO50" s="52">
        <f t="shared" si="14"/>
        <v>-1.4579081561316463</v>
      </c>
      <c r="AP50" s="52">
        <f t="shared" si="15"/>
        <v>-1.980262529928585E-2</v>
      </c>
      <c r="AQ50" s="52">
        <f>($G50/$AF50)</f>
        <v>1.980262529928585E-2</v>
      </c>
      <c r="AR50" s="52">
        <v>0</v>
      </c>
      <c r="AS50" s="52">
        <v>0</v>
      </c>
      <c r="AT50" s="52">
        <f t="shared" si="19"/>
        <v>-1.0000033771683474</v>
      </c>
      <c r="AU50" s="52">
        <f t="shared" si="20"/>
        <v>1.0000033771683474</v>
      </c>
      <c r="AV50" s="52">
        <f t="shared" si="21"/>
        <v>-0.52187439573859384</v>
      </c>
      <c r="AW50" s="52">
        <f t="shared" si="22"/>
        <v>0.52187439573859384</v>
      </c>
      <c r="AX50" s="52">
        <f t="shared" si="23"/>
        <v>-0.47812898142975369</v>
      </c>
      <c r="AY50" s="52">
        <f t="shared" si="24"/>
        <v>0.47812898142975369</v>
      </c>
      <c r="AZ50" s="52">
        <f t="shared" si="25"/>
        <v>0.52187263328685529</v>
      </c>
      <c r="BA50" s="52">
        <f t="shared" si="26"/>
        <v>0.47812736671314482</v>
      </c>
      <c r="BB50" s="52">
        <f t="shared" si="27"/>
        <v>-7.650653154801407E-4</v>
      </c>
      <c r="BC50" s="53">
        <f t="shared" si="28"/>
        <v>7.650653154801407E-4</v>
      </c>
    </row>
    <row r="51" spans="1:55" x14ac:dyDescent="0.35">
      <c r="A51" s="1" t="s">
        <v>27</v>
      </c>
      <c r="B51" s="11">
        <v>2021</v>
      </c>
      <c r="C51" s="22">
        <f t="shared" si="1"/>
        <v>17.769965018848239</v>
      </c>
      <c r="D51" s="12">
        <f t="shared" si="32"/>
        <v>17.623912755319648</v>
      </c>
      <c r="E51" s="13">
        <f>'[1]2021'!D19-'[1]2020'!D19</f>
        <v>0.75119988984961283</v>
      </c>
      <c r="F51" s="13">
        <f>'[1]2021'!E19-'[1]2020'!E19</f>
        <v>16.872712865470035</v>
      </c>
      <c r="G51" s="13">
        <f>'[1]2021'!F19-'[1]2020'!F19</f>
        <v>0.14605226352859013</v>
      </c>
      <c r="H51" s="14">
        <f t="shared" si="33"/>
        <v>2.499712107655244</v>
      </c>
      <c r="I51" s="13">
        <f>'[1]2021'!H19-'[1]2020'!H19</f>
        <v>1.3959679043227258E-2</v>
      </c>
      <c r="J51" s="13">
        <f>'[1]2021'!I19-'[1]2020'!I19</f>
        <v>2.4857524286120167</v>
      </c>
      <c r="K51" s="13">
        <f>'[1]2021'!J19-'[1]2020'!J19</f>
        <v>2.8780291364968171</v>
      </c>
      <c r="L51" s="3">
        <f t="shared" si="30"/>
        <v>1.7822478033689071</v>
      </c>
      <c r="M51" s="14">
        <f t="shared" si="31"/>
        <v>1.7675994162969693</v>
      </c>
      <c r="N51" s="4">
        <f t="shared" si="2"/>
        <v>0.76981327110961084</v>
      </c>
      <c r="O51" s="14">
        <f t="shared" si="34"/>
        <v>0.75516488403767301</v>
      </c>
      <c r="P51" s="13">
        <f>'[1]2021'!M19-'[1]2020'!M19</f>
        <v>7.5341980254624824E-2</v>
      </c>
      <c r="Q51" s="13">
        <f>'[1]2021'!N19-'[1]2020'!N19</f>
        <v>3.2188072284695488E-2</v>
      </c>
      <c r="R51" s="13">
        <f>'[1]2021'!O19-'[1]2020'!O19</f>
        <v>1.6922574360423444</v>
      </c>
      <c r="S51" s="13">
        <f>'[1]2021'!P19-'[1]2020'!P19</f>
        <v>0.72297681175297757</v>
      </c>
      <c r="T51" s="13">
        <f>'[1]2021'!Q19-'[1]2020'!Q19</f>
        <v>1.464838707193783E-2</v>
      </c>
      <c r="U51" s="13">
        <f>'[1]2021'!R19-'[1]2020'!S19</f>
        <v>6.2581755925746885E-3</v>
      </c>
      <c r="V51" s="14">
        <f t="shared" si="36"/>
        <v>0.53936333072745779</v>
      </c>
      <c r="W51" s="14">
        <f t="shared" si="35"/>
        <v>0.23043017741896715</v>
      </c>
      <c r="X51" s="13">
        <f>'[1]2021'!U19-'[1]2020'!V19</f>
        <v>1.4000932069443417E-3</v>
      </c>
      <c r="Y51" s="13">
        <f>'[1]2021'!V19-'[1]2020'!W19</f>
        <v>5.9815658147194251E-4</v>
      </c>
      <c r="Z51" s="13">
        <f>'[1]2021'!W19-'[1]2020'!X19</f>
        <v>0.24930982142697822</v>
      </c>
      <c r="AA51" s="13">
        <f>'[1]2021'!X19-'[1]2020'!Y19</f>
        <v>0.10651170205847471</v>
      </c>
      <c r="AB51" s="13">
        <f>'[1]2021'!Y19-'[1]2020'!Z19</f>
        <v>0.28865341609353523</v>
      </c>
      <c r="AC51" s="13">
        <f>'[1]2021'!Z19-'[1]2020'!AA19</f>
        <v>0.1233203187790205</v>
      </c>
      <c r="AD51" s="21"/>
      <c r="AE51" s="17">
        <v>2333.7834064911899</v>
      </c>
      <c r="AF51" s="26">
        <f t="shared" si="5"/>
        <v>20.123624862974893</v>
      </c>
      <c r="AG51" s="26">
        <f t="shared" si="6"/>
        <v>20.123624862974893</v>
      </c>
      <c r="AH51" s="52">
        <f t="shared" si="7"/>
        <v>0.87578221495003006</v>
      </c>
      <c r="AI51" s="52">
        <f t="shared" si="8"/>
        <v>0.87578221495003006</v>
      </c>
      <c r="AJ51" s="52">
        <f t="shared" si="9"/>
        <v>0.87578221495003006</v>
      </c>
      <c r="AK51" s="52">
        <f t="shared" si="10"/>
        <v>0.87578221495003006</v>
      </c>
      <c r="AL51" s="52">
        <f t="shared" si="11"/>
        <v>0.8384529616487657</v>
      </c>
      <c r="AM51" s="52">
        <f t="shared" si="12"/>
        <v>0.8384529616487657</v>
      </c>
      <c r="AN51" s="52">
        <f t="shared" si="13"/>
        <v>3.7329253301264451E-2</v>
      </c>
      <c r="AO51" s="52">
        <f t="shared" si="14"/>
        <v>3.7329253301264451E-2</v>
      </c>
      <c r="AP51" s="52">
        <f t="shared" si="15"/>
        <v>7.2577512512325328E-3</v>
      </c>
      <c r="AQ51" s="52">
        <f t="shared" si="16"/>
        <v>7.2577512512325328E-3</v>
      </c>
      <c r="AR51" s="52">
        <f t="shared" si="17"/>
        <v>0.95737610028608044</v>
      </c>
      <c r="AS51" s="52">
        <f t="shared" si="18"/>
        <v>4.2623899713919583E-2</v>
      </c>
      <c r="AT51" s="52">
        <f t="shared" si="19"/>
        <v>0.12421778504996984</v>
      </c>
      <c r="AU51" s="52">
        <f t="shared" si="20"/>
        <v>0.12421778504996984</v>
      </c>
      <c r="AV51" s="52">
        <f t="shared" si="21"/>
        <v>6.9369604821601641E-4</v>
      </c>
      <c r="AW51" s="52">
        <f t="shared" si="22"/>
        <v>6.9369604821601641E-4</v>
      </c>
      <c r="AX51" s="52">
        <f t="shared" si="23"/>
        <v>0.12352408900175382</v>
      </c>
      <c r="AY51" s="52">
        <f t="shared" si="24"/>
        <v>0.12352408900175382</v>
      </c>
      <c r="AZ51" s="52">
        <f t="shared" si="25"/>
        <v>5.5845147129049118E-3</v>
      </c>
      <c r="BA51" s="52">
        <f t="shared" si="26"/>
        <v>0.99441548528709511</v>
      </c>
      <c r="BB51" s="52">
        <f t="shared" si="27"/>
        <v>8.622747426776196E-3</v>
      </c>
      <c r="BC51" s="53">
        <f t="shared" si="28"/>
        <v>8.622747426776196E-3</v>
      </c>
    </row>
    <row r="52" spans="1:55" x14ac:dyDescent="0.35">
      <c r="A52" s="5" t="s">
        <v>28</v>
      </c>
      <c r="B52" s="11">
        <v>2021</v>
      </c>
      <c r="C52" s="22">
        <f t="shared" si="1"/>
        <v>29.313405863622933</v>
      </c>
      <c r="D52" s="12">
        <f t="shared" si="32"/>
        <v>29.313405863622933</v>
      </c>
      <c r="E52" s="13">
        <f>'[1]2021'!D20-'[1]2020'!D20</f>
        <v>5.5977143131950573</v>
      </c>
      <c r="F52" s="13">
        <f>'[1]2021'!E20-'[1]2020'!E20</f>
        <v>23.715691550427877</v>
      </c>
      <c r="G52" s="13">
        <f>'[1]2021'!F20-'[1]2020'!F20</f>
        <v>0</v>
      </c>
      <c r="H52" s="14">
        <f t="shared" si="33"/>
        <v>1.9673451726946798</v>
      </c>
      <c r="I52" s="13">
        <f>'[1]2021'!H20-'[1]2020'!H20</f>
        <v>0</v>
      </c>
      <c r="J52" s="13">
        <f>'[1]2021'!I20-'[1]2020'!I20</f>
        <v>1.9673451726946798</v>
      </c>
      <c r="K52" s="13">
        <f>'[1]2021'!J20-'[1]2020'!J20</f>
        <v>0</v>
      </c>
      <c r="L52" s="3">
        <f t="shared" si="30"/>
        <v>7.0813959238472375</v>
      </c>
      <c r="M52" s="14">
        <f t="shared" si="31"/>
        <v>7.0813959238472375</v>
      </c>
      <c r="N52" s="4">
        <f t="shared" si="2"/>
        <v>6.2555395441352584</v>
      </c>
      <c r="O52" s="14">
        <f t="shared" si="34"/>
        <v>6.2555395441352584</v>
      </c>
      <c r="P52" s="13">
        <f>'[1]2021'!M20-'[1]2020'!M20</f>
        <v>1.3522697261703196</v>
      </c>
      <c r="Q52" s="13">
        <f>'[1]2021'!N20-'[1]2020'!N20</f>
        <v>1.1945634501113473</v>
      </c>
      <c r="R52" s="13">
        <f>'[1]2021'!O20-'[1]2020'!O20</f>
        <v>5.7291261976769174</v>
      </c>
      <c r="S52" s="13">
        <f>'[1]2021'!P20-'[1]2020'!P20</f>
        <v>5.0609760940239106</v>
      </c>
      <c r="T52" s="13">
        <f>'[1]2021'!Q20-'[1]2020'!Q20</f>
        <v>0</v>
      </c>
      <c r="U52" s="13">
        <f>'[1]2021'!R20-'[1]2020'!S20</f>
        <v>0</v>
      </c>
      <c r="V52" s="14">
        <f t="shared" si="36"/>
        <v>0.47526207468130766</v>
      </c>
      <c r="W52" s="14">
        <f t="shared" si="35"/>
        <v>0.41983540165926447</v>
      </c>
      <c r="X52" s="13">
        <f>'[1]2021'!U20-'[1]2020'!V20</f>
        <v>0</v>
      </c>
      <c r="Y52" s="13">
        <f>'[1]2021'!V20-'[1]2020'!W20</f>
        <v>0</v>
      </c>
      <c r="Z52" s="13">
        <f>'[1]2021'!W20-'[1]2020'!X20</f>
        <v>0.47526207468130766</v>
      </c>
      <c r="AA52" s="13">
        <f>'[1]2021'!X20-'[1]2020'!Y20</f>
        <v>0.41983540165926447</v>
      </c>
      <c r="AB52" s="13">
        <f>'[1]2021'!Y20-'[1]2020'!Z20</f>
        <v>0</v>
      </c>
      <c r="AC52" s="13">
        <f>'[1]2021'!Z20-'[1]2020'!AA20</f>
        <v>0</v>
      </c>
      <c r="AD52" s="21"/>
      <c r="AE52" s="17">
        <v>468.59916169988998</v>
      </c>
      <c r="AF52" s="26">
        <f t="shared" si="5"/>
        <v>31.280751036317611</v>
      </c>
      <c r="AG52" s="26">
        <f t="shared" si="6"/>
        <v>31.280751036317611</v>
      </c>
      <c r="AH52" s="52">
        <f t="shared" si="7"/>
        <v>0.93710684342551276</v>
      </c>
      <c r="AI52" s="52">
        <f t="shared" si="8"/>
        <v>0.93710684342551276</v>
      </c>
      <c r="AJ52" s="52">
        <f t="shared" si="9"/>
        <v>0.93710684342551276</v>
      </c>
      <c r="AK52" s="52">
        <f t="shared" si="10"/>
        <v>0.93710684342551276</v>
      </c>
      <c r="AL52" s="52">
        <f t="shared" si="11"/>
        <v>0.7581560788899685</v>
      </c>
      <c r="AM52" s="52">
        <f t="shared" si="12"/>
        <v>0.7581560788899685</v>
      </c>
      <c r="AN52" s="52">
        <f t="shared" si="13"/>
        <v>0.17895076453554434</v>
      </c>
      <c r="AO52" s="52">
        <f t="shared" si="14"/>
        <v>0.17895076453554434</v>
      </c>
      <c r="AP52" s="52">
        <f t="shared" si="15"/>
        <v>0</v>
      </c>
      <c r="AQ52" s="52">
        <f t="shared" si="16"/>
        <v>0</v>
      </c>
      <c r="AR52" s="52">
        <f t="shared" si="17"/>
        <v>0.80903910179397975</v>
      </c>
      <c r="AS52" s="52">
        <f t="shared" si="18"/>
        <v>0.1909608982060203</v>
      </c>
      <c r="AT52" s="52">
        <f t="shared" si="19"/>
        <v>6.2893156574487311E-2</v>
      </c>
      <c r="AU52" s="52">
        <f t="shared" si="20"/>
        <v>6.2893156574487311E-2</v>
      </c>
      <c r="AV52" s="52">
        <f t="shared" si="21"/>
        <v>0</v>
      </c>
      <c r="AW52" s="52">
        <f t="shared" si="22"/>
        <v>0</v>
      </c>
      <c r="AX52" s="52">
        <f t="shared" si="23"/>
        <v>6.2893156574487311E-2</v>
      </c>
      <c r="AY52" s="52">
        <f t="shared" si="24"/>
        <v>6.2893156574487311E-2</v>
      </c>
      <c r="AZ52" s="52">
        <f t="shared" si="25"/>
        <v>0</v>
      </c>
      <c r="BA52" s="52">
        <f t="shared" si="26"/>
        <v>1</v>
      </c>
      <c r="BB52" s="52">
        <f t="shared" si="27"/>
        <v>6.6753749457945211E-2</v>
      </c>
      <c r="BC52" s="53">
        <f t="shared" si="28"/>
        <v>6.6753749457945211E-2</v>
      </c>
    </row>
    <row r="53" spans="1:55" x14ac:dyDescent="0.35">
      <c r="A53" s="1" t="s">
        <v>29</v>
      </c>
      <c r="B53" s="11">
        <v>2021</v>
      </c>
      <c r="C53" s="22">
        <f t="shared" si="1"/>
        <v>4.5895459116223254</v>
      </c>
      <c r="D53" s="12">
        <f t="shared" si="32"/>
        <v>5.5750450336266226</v>
      </c>
      <c r="E53" s="13">
        <f>'[1]2021'!D21-'[1]2020'!D21</f>
        <v>1.7363721996445811</v>
      </c>
      <c r="F53" s="13">
        <f>'[1]2021'!E21-'[1]2020'!E21</f>
        <v>3.8386728339820415</v>
      </c>
      <c r="G53" s="13">
        <f>'[1]2021'!F21-'[1]2020'!F21</f>
        <v>-0.98549912200429723</v>
      </c>
      <c r="H53" s="14">
        <f t="shared" si="33"/>
        <v>0.84474674061103383</v>
      </c>
      <c r="I53" s="13">
        <f>'[1]2021'!H21-'[1]2020'!H21</f>
        <v>0.68778756136733432</v>
      </c>
      <c r="J53" s="13">
        <f>'[1]2021'!I21-'[1]2020'!I21</f>
        <v>0.15695917924369951</v>
      </c>
      <c r="K53" s="13">
        <f>'[1]2021'!J21-'[1]2020'!J21</f>
        <v>0</v>
      </c>
      <c r="L53" s="3">
        <f t="shared" si="30"/>
        <v>0.92688604020811871</v>
      </c>
      <c r="M53" s="14">
        <f t="shared" si="31"/>
        <v>1.1259134377791904</v>
      </c>
      <c r="N53" s="4">
        <f t="shared" si="2"/>
        <v>0.80490281820274778</v>
      </c>
      <c r="O53" s="14">
        <f t="shared" si="34"/>
        <v>1.0039302157738195</v>
      </c>
      <c r="P53" s="13">
        <f>'[1]2021'!M21-'[1]2020'!M21</f>
        <v>0.35067067275226904</v>
      </c>
      <c r="Q53" s="13">
        <f>'[1]2021'!N21-'[1]2020'!N21</f>
        <v>0.31267846385787457</v>
      </c>
      <c r="R53" s="13">
        <f>'[1]2021'!O21-'[1]2020'!O21</f>
        <v>0.77524276502692135</v>
      </c>
      <c r="S53" s="13">
        <f>'[1]2021'!P21-'[1]2020'!P21</f>
        <v>0.6912517519159449</v>
      </c>
      <c r="T53" s="13">
        <f>'[1]2021'!Q21-'[1]2020'!Q21</f>
        <v>-0.19902739757107168</v>
      </c>
      <c r="U53" s="13">
        <f>'[1]2021'!R21-'[1]2020'!S21</f>
        <v>-0.17746445817588041</v>
      </c>
      <c r="V53" s="14">
        <f t="shared" si="36"/>
        <v>0.17060161864834694</v>
      </c>
      <c r="W53" s="14">
        <f t="shared" si="35"/>
        <v>0.15211837258006836</v>
      </c>
      <c r="X53" s="13">
        <f>'[1]2021'!U21-'[1]2020'!V21</f>
        <v>0.13890278069684275</v>
      </c>
      <c r="Y53" s="13">
        <f>'[1]2021'!V21-'[1]2020'!W21</f>
        <v>0.12385383628746863</v>
      </c>
      <c r="Z53" s="13">
        <f>'[1]2021'!W21-'[1]2020'!X21</f>
        <v>3.1698837951504188E-2</v>
      </c>
      <c r="AA53" s="13">
        <f>'[1]2021'!X21-'[1]2020'!Y21</f>
        <v>2.8264536292599729E-2</v>
      </c>
      <c r="AB53" s="13">
        <f>'[1]2021'!Y21-'[1]2020'!Z21</f>
        <v>0</v>
      </c>
      <c r="AC53" s="13">
        <f>'[1]2021'!Z21-'[1]2020'!AA21</f>
        <v>0</v>
      </c>
      <c r="AD53" s="21"/>
      <c r="AE53" s="17">
        <v>555.32196820367994</v>
      </c>
      <c r="AF53" s="26">
        <f t="shared" si="5"/>
        <v>6.4197917742376562</v>
      </c>
      <c r="AG53" s="26">
        <f t="shared" si="6"/>
        <v>6.4197917742376562</v>
      </c>
      <c r="AH53" s="52">
        <f t="shared" si="7"/>
        <v>0.86841524299885153</v>
      </c>
      <c r="AI53" s="52">
        <f t="shared" si="8"/>
        <v>0.86841524299885153</v>
      </c>
      <c r="AJ53" s="52">
        <f t="shared" si="9"/>
        <v>0.86841524299885153</v>
      </c>
      <c r="AK53" s="52">
        <f t="shared" si="10"/>
        <v>0.86841524299885153</v>
      </c>
      <c r="AL53" s="52">
        <f t="shared" si="11"/>
        <v>0.59794351109431121</v>
      </c>
      <c r="AM53" s="52">
        <f t="shared" si="12"/>
        <v>0.59794351109431121</v>
      </c>
      <c r="AN53" s="52">
        <f t="shared" si="13"/>
        <v>0.27047173190454038</v>
      </c>
      <c r="AO53" s="52">
        <f t="shared" si="14"/>
        <v>0.27047173190454038</v>
      </c>
      <c r="AP53" s="52">
        <f t="shared" si="15"/>
        <v>-0.15350951505297447</v>
      </c>
      <c r="AQ53" s="52">
        <f t="shared" si="16"/>
        <v>-0.15350951505297447</v>
      </c>
      <c r="AR53" s="52">
        <f t="shared" si="17"/>
        <v>0.68854561906290945</v>
      </c>
      <c r="AS53" s="52">
        <f t="shared" si="18"/>
        <v>0.3114543809370906</v>
      </c>
      <c r="AT53" s="52">
        <f t="shared" si="19"/>
        <v>0.13158475700114847</v>
      </c>
      <c r="AU53" s="52">
        <f t="shared" si="20"/>
        <v>0.13158475700114847</v>
      </c>
      <c r="AV53" s="52">
        <f t="shared" si="21"/>
        <v>0.10713549372853427</v>
      </c>
      <c r="AW53" s="52">
        <f t="shared" si="22"/>
        <v>0.10713549372853427</v>
      </c>
      <c r="AX53" s="52">
        <f t="shared" si="23"/>
        <v>2.4449263272614204E-2</v>
      </c>
      <c r="AY53" s="52">
        <f t="shared" si="24"/>
        <v>2.4449263272614204E-2</v>
      </c>
      <c r="AZ53" s="52">
        <f t="shared" si="25"/>
        <v>0.81419380306792821</v>
      </c>
      <c r="BA53" s="52">
        <f t="shared" si="26"/>
        <v>0.18580619693207179</v>
      </c>
      <c r="BB53" s="52">
        <f t="shared" si="27"/>
        <v>1.1560485883538857E-2</v>
      </c>
      <c r="BC53" s="53">
        <f t="shared" si="28"/>
        <v>1.1560485883538857E-2</v>
      </c>
    </row>
    <row r="54" spans="1:55" x14ac:dyDescent="0.35">
      <c r="A54" s="5" t="s">
        <v>30</v>
      </c>
      <c r="B54" s="11">
        <v>2021</v>
      </c>
      <c r="C54" s="22">
        <f t="shared" si="1"/>
        <v>8.5419038378373351</v>
      </c>
      <c r="D54" s="12">
        <f t="shared" si="32"/>
        <v>9.4839782366906888</v>
      </c>
      <c r="E54" s="13">
        <f>'[1]2021'!D22-'[1]2020'!D22</f>
        <v>3.534914558303706</v>
      </c>
      <c r="F54" s="13">
        <f>'[1]2021'!E22-'[1]2020'!E22</f>
        <v>5.9490636783869828</v>
      </c>
      <c r="G54" s="13">
        <f>'[1]2021'!F22-'[1]2020'!F22</f>
        <v>-0.9420743988533532</v>
      </c>
      <c r="H54" s="14">
        <f t="shared" si="33"/>
        <v>0.84007282057726862</v>
      </c>
      <c r="I54" s="13">
        <f>'[1]2021'!H22-'[1]2020'!H22</f>
        <v>-4.1491385547381618E-3</v>
      </c>
      <c r="J54" s="13">
        <f>'[1]2021'!I22-'[1]2020'!I22</f>
        <v>0.84422195913200682</v>
      </c>
      <c r="K54" s="13">
        <f>'[1]2021'!J22-'[1]2020'!J22</f>
        <v>0</v>
      </c>
      <c r="L54" s="3">
        <f t="shared" si="30"/>
        <v>3.9611807037744935</v>
      </c>
      <c r="M54" s="14">
        <f t="shared" si="31"/>
        <v>4.3980536774232659</v>
      </c>
      <c r="N54" s="4">
        <f t="shared" si="2"/>
        <v>1.8910784705391288</v>
      </c>
      <c r="O54" s="14">
        <f t="shared" si="34"/>
        <v>2.3279514441879012</v>
      </c>
      <c r="P54" s="13">
        <f>'[1]2021'!M22-'[1]2020'!M22</f>
        <v>1.6392639865387848</v>
      </c>
      <c r="Q54" s="13">
        <f>'[1]2021'!N22-'[1]2020'!N22</f>
        <v>0.8676854001254426</v>
      </c>
      <c r="R54" s="13">
        <f>'[1]2021'!O22-'[1]2020'!O22</f>
        <v>2.7587896908844813</v>
      </c>
      <c r="S54" s="13">
        <f>'[1]2021'!P22-'[1]2020'!P22</f>
        <v>1.4602660440624584</v>
      </c>
      <c r="T54" s="13">
        <f>'[1]2021'!Q22-'[1]2020'!Q22</f>
        <v>-0.43687297364877242</v>
      </c>
      <c r="U54" s="13">
        <f>'[1]2021'!R22-'[1]2020'!S22</f>
        <v>-0.23124298713156546</v>
      </c>
      <c r="V54" s="14">
        <f t="shared" si="36"/>
        <v>0.38957126067092351</v>
      </c>
      <c r="W54" s="14">
        <f t="shared" si="35"/>
        <v>0.20620552758335672</v>
      </c>
      <c r="X54" s="13">
        <f>'[1]2021'!U22-'[1]2020'!V22</f>
        <v>-1.9241012182217229E-3</v>
      </c>
      <c r="Y54" s="13">
        <f>'[1]2021'!V22-'[1]2020'!W22</f>
        <v>-1.0184537384607881E-3</v>
      </c>
      <c r="Z54" s="13">
        <f>'[1]2021'!W22-'[1]2020'!X22</f>
        <v>0.39149536188914524</v>
      </c>
      <c r="AA54" s="13">
        <f>'[1]2021'!X22-'[1]2020'!Y22</f>
        <v>0.20722398132181752</v>
      </c>
      <c r="AB54" s="13">
        <f>'[1]2021'!Y22-'[1]2020'!Z22</f>
        <v>0</v>
      </c>
      <c r="AC54" s="13">
        <f>'[1]2021'!Z22-'[1]2020'!AA22</f>
        <v>0</v>
      </c>
      <c r="AD54" s="21"/>
      <c r="AE54" s="17">
        <v>407.39587848230002</v>
      </c>
      <c r="AF54" s="26">
        <f t="shared" si="5"/>
        <v>10.324051057267958</v>
      </c>
      <c r="AG54" s="26">
        <f t="shared" si="6"/>
        <v>10.324051057267958</v>
      </c>
      <c r="AH54" s="52">
        <f t="shared" si="7"/>
        <v>0.91862953641769596</v>
      </c>
      <c r="AI54" s="52">
        <f t="shared" si="8"/>
        <v>0.91862953641769596</v>
      </c>
      <c r="AJ54" s="52">
        <f t="shared" si="9"/>
        <v>0.91862953641769596</v>
      </c>
      <c r="AK54" s="52">
        <f t="shared" si="10"/>
        <v>0.91862953641769596</v>
      </c>
      <c r="AL54" s="52">
        <f t="shared" si="11"/>
        <v>0.57623346159247657</v>
      </c>
      <c r="AM54" s="52">
        <f t="shared" si="12"/>
        <v>0.57623346159247657</v>
      </c>
      <c r="AN54" s="52">
        <f t="shared" si="13"/>
        <v>0.3423960748252195</v>
      </c>
      <c r="AO54" s="52">
        <f t="shared" si="14"/>
        <v>0.3423960748252195</v>
      </c>
      <c r="AP54" s="52">
        <f t="shared" si="15"/>
        <v>-9.1250459110249038E-2</v>
      </c>
      <c r="AQ54" s="52">
        <f t="shared" si="16"/>
        <v>-9.1250459110249038E-2</v>
      </c>
      <c r="AR54" s="52">
        <f t="shared" si="17"/>
        <v>0.6272751296889133</v>
      </c>
      <c r="AS54" s="52">
        <f t="shared" si="18"/>
        <v>0.37272487031108675</v>
      </c>
      <c r="AT54" s="52">
        <f t="shared" si="19"/>
        <v>8.1370463582303917E-2</v>
      </c>
      <c r="AU54" s="52">
        <f t="shared" si="20"/>
        <v>8.1370463582303917E-2</v>
      </c>
      <c r="AV54" s="52">
        <f t="shared" si="21"/>
        <v>-4.0189054971955396E-4</v>
      </c>
      <c r="AW54" s="52">
        <f t="shared" si="22"/>
        <v>-4.0189054971955396E-4</v>
      </c>
      <c r="AX54" s="52">
        <f t="shared" si="23"/>
        <v>8.1772354132023467E-2</v>
      </c>
      <c r="AY54" s="52">
        <f t="shared" si="24"/>
        <v>8.1772354132023467E-2</v>
      </c>
      <c r="AZ54" s="52">
        <f t="shared" si="25"/>
        <v>-4.9390224907967135E-3</v>
      </c>
      <c r="BA54" s="52">
        <f t="shared" si="26"/>
        <v>1.0049390224907968</v>
      </c>
      <c r="BB54" s="52">
        <f t="shared" si="27"/>
        <v>2.5341569717712554E-2</v>
      </c>
      <c r="BC54" s="53">
        <f t="shared" si="28"/>
        <v>2.5341569717712554E-2</v>
      </c>
    </row>
    <row r="55" spans="1:55" x14ac:dyDescent="0.35">
      <c r="A55" s="5" t="s">
        <v>31</v>
      </c>
      <c r="B55" s="11">
        <v>2021</v>
      </c>
      <c r="C55" s="22">
        <f t="shared" si="1"/>
        <v>28.003271324707399</v>
      </c>
      <c r="D55" s="12">
        <f t="shared" si="32"/>
        <v>6.0090945086111001</v>
      </c>
      <c r="E55" s="13">
        <f>'[1]2021'!D23-'[1]2020'!D23</f>
        <v>-0.12194282455131972</v>
      </c>
      <c r="F55" s="13">
        <f>'[1]2021'!E23-'[1]2020'!E23</f>
        <v>6.1310373331624195</v>
      </c>
      <c r="G55" s="13">
        <f>'[1]2021'!F23-'[1]2020'!F23</f>
        <v>21.994176816096299</v>
      </c>
      <c r="H55" s="14">
        <f t="shared" si="33"/>
        <v>40.884795650844936</v>
      </c>
      <c r="I55" s="13">
        <f>'[1]2021'!H23-'[1]2020'!H23</f>
        <v>34.404003079504477</v>
      </c>
      <c r="J55" s="13">
        <f>'[1]2021'!I23-'[1]2020'!I23</f>
        <v>6.4807925713404604</v>
      </c>
      <c r="K55" s="13">
        <f>'[1]2021'!J23-'[1]2020'!J23</f>
        <v>0</v>
      </c>
      <c r="L55" s="3">
        <f t="shared" si="30"/>
        <v>8.4194399264211057</v>
      </c>
      <c r="M55" s="14">
        <f t="shared" si="31"/>
        <v>1.8066892842908504</v>
      </c>
      <c r="N55" s="4">
        <f t="shared" si="2"/>
        <v>8.5445406720927259</v>
      </c>
      <c r="O55" s="14">
        <f t="shared" si="34"/>
        <v>1.9317900299624715</v>
      </c>
      <c r="P55" s="13">
        <f>'[1]2021'!M23-'[1]2020'!M23</f>
        <v>-3.6663226730303186E-2</v>
      </c>
      <c r="Q55" s="13">
        <f>'[1]2021'!N23-'[1]2020'!N23</f>
        <v>-3.9201901776737061E-2</v>
      </c>
      <c r="R55" s="13">
        <f>'[1]2021'!O23-'[1]2020'!O23</f>
        <v>1.8433525110211535</v>
      </c>
      <c r="S55" s="13">
        <f>'[1]2021'!P23-'[1]2020'!P23</f>
        <v>1.9709919317392086</v>
      </c>
      <c r="T55" s="13">
        <f>'[1]2021'!Q23-'[1]2020'!Q23</f>
        <v>6.6127506421302549</v>
      </c>
      <c r="U55" s="13">
        <f>'[1]2021'!R23-'[1]2020'!S23</f>
        <v>7.0706379188545974</v>
      </c>
      <c r="V55" s="14">
        <f t="shared" si="36"/>
        <v>12.292388160471056</v>
      </c>
      <c r="W55" s="14">
        <f t="shared" si="35"/>
        <v>13.143551079480419</v>
      </c>
      <c r="X55" s="13">
        <f>'[1]2021'!U23-'[1]2020'!V23</f>
        <v>10.343878534674067</v>
      </c>
      <c r="Y55" s="13">
        <f>'[1]2021'!V23-'[1]2020'!W23</f>
        <v>11.060120629579902</v>
      </c>
      <c r="Z55" s="13">
        <f>'[1]2021'!W23-'[1]2020'!X23</f>
        <v>1.9485096257969898</v>
      </c>
      <c r="AA55" s="13">
        <f>'[1]2021'!X23-'[1]2020'!Y23</f>
        <v>2.0834304499005172</v>
      </c>
      <c r="AB55" s="13">
        <f>'[1]2021'!Y23-'[1]2020'!Z23</f>
        <v>0</v>
      </c>
      <c r="AC55" s="13">
        <f>'[1]2021'!Z23-'[1]2020'!AA23</f>
        <v>0</v>
      </c>
      <c r="AD55" s="21"/>
      <c r="AE55" s="17">
        <v>311.06354290107998</v>
      </c>
      <c r="AF55" s="26">
        <f t="shared" si="5"/>
        <v>46.893890159456035</v>
      </c>
      <c r="AG55" s="26">
        <f t="shared" si="6"/>
        <v>46.893890159456035</v>
      </c>
      <c r="AH55" s="52">
        <f t="shared" si="7"/>
        <v>0.12814237607880313</v>
      </c>
      <c r="AI55" s="52">
        <f t="shared" si="8"/>
        <v>0.12814237607880313</v>
      </c>
      <c r="AJ55" s="52">
        <f t="shared" si="9"/>
        <v>0.12814237607880313</v>
      </c>
      <c r="AK55" s="52">
        <f t="shared" si="10"/>
        <v>0.12814237607880313</v>
      </c>
      <c r="AL55" s="52">
        <f t="shared" si="11"/>
        <v>0.13074277506759827</v>
      </c>
      <c r="AM55" s="52">
        <f t="shared" si="12"/>
        <v>0.13074277506759827</v>
      </c>
      <c r="AN55" s="52">
        <f t="shared" si="13"/>
        <v>-2.6003989887951372E-3</v>
      </c>
      <c r="AO55" s="52">
        <f t="shared" si="14"/>
        <v>-2.6003989887951372E-3</v>
      </c>
      <c r="AP55" s="52">
        <f t="shared" si="15"/>
        <v>0.46902009496990366</v>
      </c>
      <c r="AQ55" s="52">
        <f t="shared" si="16"/>
        <v>0.46902009496990366</v>
      </c>
      <c r="AR55" s="52">
        <f t="shared" si="17"/>
        <v>1.0202930448799854</v>
      </c>
      <c r="AS55" s="52">
        <f t="shared" si="18"/>
        <v>-2.0293044879985542E-2</v>
      </c>
      <c r="AT55" s="52">
        <f t="shared" si="19"/>
        <v>0.87185762392119692</v>
      </c>
      <c r="AU55" s="52">
        <f t="shared" si="20"/>
        <v>0.87185762392119692</v>
      </c>
      <c r="AV55" s="52">
        <f t="shared" si="21"/>
        <v>0.73365640944947275</v>
      </c>
      <c r="AW55" s="52">
        <f t="shared" si="22"/>
        <v>0.73365640944947275</v>
      </c>
      <c r="AX55" s="52">
        <f t="shared" si="23"/>
        <v>0.1382012144717242</v>
      </c>
      <c r="AY55" s="52">
        <f t="shared" si="24"/>
        <v>0.1382012144717242</v>
      </c>
      <c r="AZ55" s="52">
        <f t="shared" si="25"/>
        <v>0.84148648738063281</v>
      </c>
      <c r="BA55" s="52">
        <f t="shared" si="26"/>
        <v>0.15851351261936725</v>
      </c>
      <c r="BB55" s="52">
        <f t="shared" si="27"/>
        <v>0.15075341109442891</v>
      </c>
      <c r="BC55" s="53">
        <f t="shared" si="28"/>
        <v>0.15075341109442891</v>
      </c>
    </row>
    <row r="56" spans="1:55" x14ac:dyDescent="0.35">
      <c r="A56" s="5" t="s">
        <v>32</v>
      </c>
      <c r="B56" s="11">
        <v>2021</v>
      </c>
      <c r="C56" s="22">
        <f t="shared" si="1"/>
        <v>0.51940891804345701</v>
      </c>
      <c r="D56" s="12">
        <f t="shared" si="32"/>
        <v>0.51940891804345701</v>
      </c>
      <c r="E56" s="13">
        <f>'[1]2021'!D24-'[1]2020'!D24</f>
        <v>0.17319941487206303</v>
      </c>
      <c r="F56" s="13">
        <f>'[1]2021'!E24-'[1]2020'!E24</f>
        <v>0.34620950317139398</v>
      </c>
      <c r="G56" s="13">
        <f>'[1]2021'!F24-'[1]2020'!F24</f>
        <v>0</v>
      </c>
      <c r="H56" s="14">
        <f t="shared" si="33"/>
        <v>5.6614440224317886E-2</v>
      </c>
      <c r="I56" s="13">
        <f>'[1]2021'!H24-'[1]2020'!H24</f>
        <v>4.8093464304235667E-2</v>
      </c>
      <c r="J56" s="13">
        <f>'[1]2021'!I24-'[1]2020'!I24</f>
        <v>8.5209759200822188E-3</v>
      </c>
      <c r="K56" s="13">
        <f>'[1]2021'!J24-'[1]2020'!J24</f>
        <v>0</v>
      </c>
      <c r="L56" s="3">
        <f t="shared" si="30"/>
        <v>1.9311998402105592</v>
      </c>
      <c r="M56" s="14">
        <f t="shared" si="31"/>
        <v>1.9311998402105592</v>
      </c>
      <c r="N56" s="4">
        <f t="shared" si="2"/>
        <v>1.1313246010847482</v>
      </c>
      <c r="O56" s="14">
        <f t="shared" si="34"/>
        <v>1.1313246010847482</v>
      </c>
      <c r="P56" s="13">
        <f>'[1]2021'!M24-'[1]2020'!M24</f>
        <v>0.64396792335688302</v>
      </c>
      <c r="Q56" s="13">
        <f>'[1]2021'!N24-'[1]2020'!N24</f>
        <v>0.37724565776873042</v>
      </c>
      <c r="R56" s="13">
        <f>'[1]2021'!O24-'[1]2020'!O24</f>
        <v>1.2872319168536763</v>
      </c>
      <c r="S56" s="13">
        <f>'[1]2021'!P24-'[1]2020'!P24</f>
        <v>0.75407894331601777</v>
      </c>
      <c r="T56" s="13">
        <f>'[1]2021'!Q24-'[1]2020'!Q24</f>
        <v>0</v>
      </c>
      <c r="U56" s="13">
        <f>'[1]2021'!R24-'[1]2020'!S24</f>
        <v>0</v>
      </c>
      <c r="V56" s="14">
        <f t="shared" si="36"/>
        <v>0.21049657431115887</v>
      </c>
      <c r="W56" s="14">
        <f t="shared" si="35"/>
        <v>0.12331191625218463</v>
      </c>
      <c r="X56" s="13">
        <f>'[1]2021'!U24-'[1]2020'!V24</f>
        <v>0.17881497092766807</v>
      </c>
      <c r="Y56" s="13">
        <f>'[1]2021'!V24-'[1]2020'!W24</f>
        <v>0.10475237799867854</v>
      </c>
      <c r="Z56" s="13">
        <f>'[1]2021'!W24-'[1]2020'!X24</f>
        <v>3.1681603383490797E-2</v>
      </c>
      <c r="AA56" s="13">
        <f>'[1]2021'!X24-'[1]2020'!Y24</f>
        <v>1.8559538253506092E-2</v>
      </c>
      <c r="AB56" s="13">
        <f>'[1]2021'!Y24-'[1]2020'!Z24</f>
        <v>0</v>
      </c>
      <c r="AC56" s="13">
        <f>'[1]2021'!Z24-'[1]2020'!AA24</f>
        <v>0</v>
      </c>
      <c r="AD56" s="21"/>
      <c r="AE56" s="17">
        <v>45.911572818750003</v>
      </c>
      <c r="AF56" s="26">
        <f t="shared" si="5"/>
        <v>0.57602335826777495</v>
      </c>
      <c r="AG56" s="26">
        <f t="shared" si="6"/>
        <v>0.57602335826777495</v>
      </c>
      <c r="AH56" s="52">
        <f t="shared" si="7"/>
        <v>0.90171502698333339</v>
      </c>
      <c r="AI56" s="52">
        <f t="shared" si="8"/>
        <v>0.90171502698333339</v>
      </c>
      <c r="AJ56" s="52">
        <f t="shared" si="9"/>
        <v>0.90171502698333339</v>
      </c>
      <c r="AK56" s="52">
        <f t="shared" si="10"/>
        <v>0.90171502698333339</v>
      </c>
      <c r="AL56" s="52">
        <f t="shared" si="11"/>
        <v>0.60103379177629146</v>
      </c>
      <c r="AM56" s="52">
        <f t="shared" si="12"/>
        <v>0.60103379177629146</v>
      </c>
      <c r="AN56" s="52">
        <f t="shared" si="13"/>
        <v>0.30068123520704193</v>
      </c>
      <c r="AO56" s="52">
        <f t="shared" si="14"/>
        <v>0.30068123520704193</v>
      </c>
      <c r="AP56" s="52">
        <f t="shared" si="15"/>
        <v>0</v>
      </c>
      <c r="AQ56" s="52">
        <f t="shared" si="16"/>
        <v>0</v>
      </c>
      <c r="AR56" s="52">
        <f t="shared" si="17"/>
        <v>0.66654516536897024</v>
      </c>
      <c r="AS56" s="52">
        <f t="shared" si="18"/>
        <v>0.33345483463102971</v>
      </c>
      <c r="AT56" s="52">
        <f t="shared" si="19"/>
        <v>9.8284973016666513E-2</v>
      </c>
      <c r="AU56" s="52">
        <f t="shared" si="20"/>
        <v>9.8284973016666513E-2</v>
      </c>
      <c r="AV56" s="52">
        <f t="shared" si="21"/>
        <v>8.349221192845889E-2</v>
      </c>
      <c r="AW56" s="52">
        <f t="shared" si="22"/>
        <v>8.349221192845889E-2</v>
      </c>
      <c r="AX56" s="52">
        <f t="shared" si="23"/>
        <v>1.4792761088207622E-2</v>
      </c>
      <c r="AY56" s="52">
        <f t="shared" si="24"/>
        <v>1.4792761088207622E-2</v>
      </c>
      <c r="AZ56" s="52">
        <f t="shared" si="25"/>
        <v>0.84949112123478776</v>
      </c>
      <c r="BA56" s="52">
        <f t="shared" si="26"/>
        <v>0.1505088787652123</v>
      </c>
      <c r="BB56" s="52">
        <f t="shared" si="27"/>
        <v>1.254636517336933E-2</v>
      </c>
      <c r="BC56" s="53">
        <f t="shared" si="28"/>
        <v>1.254636517336933E-2</v>
      </c>
    </row>
    <row r="57" spans="1:55" x14ac:dyDescent="0.35">
      <c r="A57" s="5" t="s">
        <v>33</v>
      </c>
      <c r="B57" s="11">
        <v>2021</v>
      </c>
      <c r="C57" s="22">
        <f t="shared" si="1"/>
        <v>0.71857570806513849</v>
      </c>
      <c r="D57" s="12">
        <f t="shared" si="32"/>
        <v>4.9855542861867672</v>
      </c>
      <c r="E57" s="13">
        <f>'[1]2021'!D25-'[1]2020'!D25</f>
        <v>2.5734683081935983</v>
      </c>
      <c r="F57" s="13">
        <f>'[1]2021'!E25-'[1]2020'!E25</f>
        <v>2.4120859779931685</v>
      </c>
      <c r="G57" s="13">
        <f>'[1]2021'!F25-'[1]2020'!F25</f>
        <v>-4.2669785781216287</v>
      </c>
      <c r="H57" s="14">
        <f t="shared" si="33"/>
        <v>-2.1450185809986744</v>
      </c>
      <c r="I57" s="13">
        <f>'[1]2021'!H25-'[1]2020'!H25</f>
        <v>-1.3850592296860416</v>
      </c>
      <c r="J57" s="13">
        <f>'[1]2021'!I25-'[1]2020'!I25</f>
        <v>-0.75995935131263259</v>
      </c>
      <c r="K57" s="13">
        <f>'[1]2021'!J25-'[1]2020'!J25</f>
        <v>3.4268640238179242</v>
      </c>
      <c r="L57" s="3">
        <f t="shared" si="30"/>
        <v>0.2820774022637571</v>
      </c>
      <c r="M57" s="14">
        <f t="shared" si="31"/>
        <v>1.9570828600359866</v>
      </c>
      <c r="N57" s="4">
        <f t="shared" si="2"/>
        <v>0.28841166694823506</v>
      </c>
      <c r="O57" s="14">
        <f t="shared" si="34"/>
        <v>1.9634171247204646</v>
      </c>
      <c r="P57" s="13">
        <f>'[1]2021'!M25-'[1]2020'!M25</f>
        <v>1.0102168039300783</v>
      </c>
      <c r="Q57" s="13">
        <f>'[1]2021'!N25-'[1]2020'!N25</f>
        <v>1.0134864563068218</v>
      </c>
      <c r="R57" s="13">
        <f>'[1]2021'!O25-'[1]2020'!O25</f>
        <v>0.94686605610590835</v>
      </c>
      <c r="S57" s="13">
        <f>'[1]2021'!P25-'[1]2020'!P25</f>
        <v>0.94993066841364282</v>
      </c>
      <c r="T57" s="13">
        <f>'[1]2021'!Q25-'[1]2020'!Q25</f>
        <v>-1.6750054577722295</v>
      </c>
      <c r="U57" s="13">
        <f>'[1]2021'!R25-'[1]2020'!S25</f>
        <v>-1.6804267550172929</v>
      </c>
      <c r="V57" s="14">
        <f t="shared" si="36"/>
        <v>0.50318933489651585</v>
      </c>
      <c r="W57" s="14">
        <f t="shared" si="35"/>
        <v>0.50481794986153672</v>
      </c>
      <c r="X57" s="13">
        <f>'[1]2021'!U25-'[1]2020'!V25</f>
        <v>-0.54370597990749736</v>
      </c>
      <c r="Y57" s="13">
        <f>'[1]2021'!V25-'[1]2020'!W25</f>
        <v>-0.54546573043088797</v>
      </c>
      <c r="Z57" s="13">
        <f>'[1]2021'!W25-'[1]2020'!X25</f>
        <v>-0.29832258068051143</v>
      </c>
      <c r="AA57" s="13">
        <f>'[1]2021'!X25-'[1]2020'!Y25</f>
        <v>-0.29928812701785557</v>
      </c>
      <c r="AB57" s="13">
        <f>'[1]2021'!Y25-'[1]2020'!Z25</f>
        <v>1.3452178954845246</v>
      </c>
      <c r="AC57" s="13">
        <f>'[1]2021'!Z25-'[1]2020'!AA25</f>
        <v>1.3495718073102803</v>
      </c>
      <c r="AD57" s="21"/>
      <c r="AE57" s="17">
        <v>253.92231856471</v>
      </c>
      <c r="AF57" s="26">
        <f t="shared" si="5"/>
        <v>2.8405357051880928</v>
      </c>
      <c r="AG57" s="26">
        <f>(D57)+(H57*-1)</f>
        <v>7.1305728671854416</v>
      </c>
      <c r="AH57" s="52">
        <f t="shared" si="7"/>
        <v>0.69918004893127894</v>
      </c>
      <c r="AI57" s="52">
        <f t="shared" si="8"/>
        <v>0.69918004893127894</v>
      </c>
      <c r="AJ57" s="52">
        <f t="shared" si="9"/>
        <v>1.7551457906622712</v>
      </c>
      <c r="AK57" s="52">
        <f t="shared" si="10"/>
        <v>1.7551457906622712</v>
      </c>
      <c r="AL57" s="52">
        <f t="shared" si="11"/>
        <v>0.33827379972420923</v>
      </c>
      <c r="AM57" s="52">
        <f t="shared" si="12"/>
        <v>0.84916587163034674</v>
      </c>
      <c r="AN57" s="52">
        <f t="shared" si="13"/>
        <v>0.36090624920706965</v>
      </c>
      <c r="AO57" s="52">
        <f t="shared" si="14"/>
        <v>0.90597991903192432</v>
      </c>
      <c r="AP57" s="52">
        <f t="shared" si="15"/>
        <v>-0.59840613897349848</v>
      </c>
      <c r="AQ57" s="52">
        <f t="shared" si="16"/>
        <v>-1.5021738928780972</v>
      </c>
      <c r="AR57" s="52">
        <f t="shared" si="17"/>
        <v>0.48381500622232071</v>
      </c>
      <c r="AS57" s="52">
        <f t="shared" si="18"/>
        <v>0.51618499377767924</v>
      </c>
      <c r="AT57" s="52">
        <f t="shared" si="19"/>
        <v>-0.30081995106872106</v>
      </c>
      <c r="AU57" s="52">
        <f t="shared" si="20"/>
        <v>-0.75514579066227117</v>
      </c>
      <c r="AV57" s="52">
        <f t="shared" si="21"/>
        <v>-0.19424234987626568</v>
      </c>
      <c r="AW57" s="52">
        <f t="shared" si="22"/>
        <v>-0.48760493563108603</v>
      </c>
      <c r="AX57" s="52">
        <f t="shared" si="23"/>
        <v>-0.10657760119245531</v>
      </c>
      <c r="AY57" s="52">
        <f t="shared" si="24"/>
        <v>-0.26754085503118508</v>
      </c>
      <c r="AZ57" s="52">
        <f t="shared" si="25"/>
        <v>0.6457096651541302</v>
      </c>
      <c r="BA57" s="52">
        <f t="shared" si="26"/>
        <v>0.35429033484586969</v>
      </c>
      <c r="BB57" s="52">
        <f t="shared" si="27"/>
        <v>1.118663267271721E-2</v>
      </c>
      <c r="BC57" s="53">
        <f t="shared" si="28"/>
        <v>2.8081709821692079E-2</v>
      </c>
    </row>
    <row r="58" spans="1:55" x14ac:dyDescent="0.35">
      <c r="A58" s="5" t="s">
        <v>34</v>
      </c>
      <c r="B58" s="11">
        <v>2021</v>
      </c>
      <c r="C58" s="22">
        <f t="shared" si="1"/>
        <v>12.03237311502695</v>
      </c>
      <c r="D58" s="12">
        <f t="shared" si="32"/>
        <v>11.883527864307789</v>
      </c>
      <c r="E58" s="13">
        <f>'[1]2021'!D26-'[1]2020'!D26</f>
        <v>0.84238309482866103</v>
      </c>
      <c r="F58" s="13">
        <f>'[1]2021'!E26-'[1]2020'!E26</f>
        <v>11.041144769479128</v>
      </c>
      <c r="G58" s="13">
        <f>'[1]2021'!F26-'[1]2020'!F26</f>
        <v>0.14884525071915999</v>
      </c>
      <c r="H58" s="14">
        <f t="shared" si="33"/>
        <v>-2.3709503086954533</v>
      </c>
      <c r="I58" s="13">
        <f>'[1]2021'!H26-'[1]2020'!H26</f>
        <v>-2.6537642735686289</v>
      </c>
      <c r="J58" s="13">
        <f>'[1]2021'!I26-'[1]2020'!I26</f>
        <v>0.28281396487317556</v>
      </c>
      <c r="K58" s="13">
        <f>'[1]2021'!J26-'[1]2020'!J26</f>
        <v>0</v>
      </c>
      <c r="L58" s="3">
        <f t="shared" si="30"/>
        <v>5.901027759000204</v>
      </c>
      <c r="M58" s="14">
        <f t="shared" si="31"/>
        <v>5.828029693872705</v>
      </c>
      <c r="N58" s="4">
        <f t="shared" si="2"/>
        <v>4.0138817886458851</v>
      </c>
      <c r="O58" s="14">
        <f t="shared" si="34"/>
        <v>3.940883723518386</v>
      </c>
      <c r="P58" s="13">
        <f>'[1]2021'!M26-'[1]2020'!M26</f>
        <v>0.41312931196326985</v>
      </c>
      <c r="Q58" s="13">
        <f>'[1]2021'!N26-'[1]2020'!N26</f>
        <v>0.2793559173070268</v>
      </c>
      <c r="R58" s="13">
        <f>'[1]2021'!O26-'[1]2020'!O26</f>
        <v>5.414900381909435</v>
      </c>
      <c r="S58" s="13">
        <f>'[1]2021'!P26-'[1]2020'!P26</f>
        <v>3.6615278062113594</v>
      </c>
      <c r="T58" s="13">
        <f>'[1]2021'!Q26-'[1]2020'!Q26</f>
        <v>7.2998065127499179E-2</v>
      </c>
      <c r="U58" s="13">
        <f>'[1]2021'!R26-'[1]2020'!S26</f>
        <v>4.9360916436603897E-2</v>
      </c>
      <c r="V58" s="14">
        <f t="shared" si="36"/>
        <v>-1.1627833888685584</v>
      </c>
      <c r="W58" s="14">
        <f t="shared" si="35"/>
        <v>-0.78626815096487068</v>
      </c>
      <c r="X58" s="13">
        <f>'[1]2021'!U26-'[1]2020'!V26</f>
        <v>-1.3014836304082156</v>
      </c>
      <c r="Y58" s="13">
        <f>'[1]2021'!V26-'[1]2020'!W26</f>
        <v>-0.880056541388889</v>
      </c>
      <c r="Z58" s="13">
        <f>'[1]2021'!W26-'[1]2020'!X26</f>
        <v>0.13870024153965721</v>
      </c>
      <c r="AA58" s="13">
        <f>'[1]2021'!X26-'[1]2020'!Y26</f>
        <v>9.378839042401832E-2</v>
      </c>
      <c r="AB58" s="13">
        <f>'[1]2021'!Y26-'[1]2020'!Z26</f>
        <v>0</v>
      </c>
      <c r="AC58" s="13">
        <f>'[1]2021'!Z26-'[1]2020'!AA26</f>
        <v>0</v>
      </c>
      <c r="AD58" s="21"/>
      <c r="AE58" s="17">
        <v>301.54474727050001</v>
      </c>
      <c r="AF58" s="26">
        <f t="shared" si="5"/>
        <v>9.5125775556123351</v>
      </c>
      <c r="AG58" s="26">
        <f t="shared" ref="AG58" si="37">(D58)+(H58*-1)</f>
        <v>14.254478173003243</v>
      </c>
      <c r="AH58" s="52">
        <f t="shared" si="7"/>
        <v>0.83366979275426367</v>
      </c>
      <c r="AI58" s="52">
        <f t="shared" si="8"/>
        <v>0.83366979275426367</v>
      </c>
      <c r="AJ58" s="52">
        <f t="shared" si="9"/>
        <v>1.2492437296657428</v>
      </c>
      <c r="AK58" s="52">
        <f t="shared" si="10"/>
        <v>1.2492437296657428</v>
      </c>
      <c r="AL58" s="52">
        <f t="shared" si="11"/>
        <v>0.77457376099464015</v>
      </c>
      <c r="AM58" s="52">
        <f t="shared" si="12"/>
        <v>1.1606890671776917</v>
      </c>
      <c r="AN58" s="52">
        <f t="shared" si="13"/>
        <v>5.90960317596236E-2</v>
      </c>
      <c r="AO58" s="52">
        <f t="shared" si="14"/>
        <v>8.8554662488051161E-2</v>
      </c>
      <c r="AP58" s="52">
        <f t="shared" si="15"/>
        <v>1.0441999272976553E-2</v>
      </c>
      <c r="AQ58" s="52">
        <f t="shared" si="16"/>
        <v>1.5647204960903854E-2</v>
      </c>
      <c r="AR58" s="52">
        <f t="shared" si="17"/>
        <v>0.92911338245280173</v>
      </c>
      <c r="AS58" s="52">
        <f t="shared" si="18"/>
        <v>7.0886617547198355E-2</v>
      </c>
      <c r="AT58" s="52">
        <f t="shared" si="19"/>
        <v>-0.16633020724573627</v>
      </c>
      <c r="AU58" s="52">
        <f t="shared" si="20"/>
        <v>-0.24924372966574279</v>
      </c>
      <c r="AV58" s="52">
        <f t="shared" si="21"/>
        <v>-0.18617056628524153</v>
      </c>
      <c r="AW58" s="52">
        <f t="shared" si="22"/>
        <v>-0.27897425887507554</v>
      </c>
      <c r="AX58" s="52">
        <f t="shared" si="23"/>
        <v>1.9840359039505279E-2</v>
      </c>
      <c r="AY58" s="52">
        <f t="shared" si="24"/>
        <v>2.9730529209332741E-2</v>
      </c>
      <c r="AZ58" s="52">
        <f t="shared" si="25"/>
        <v>1.1192829574858469</v>
      </c>
      <c r="BA58" s="52">
        <f t="shared" si="26"/>
        <v>-0.119282957485847</v>
      </c>
      <c r="BB58" s="52">
        <f t="shared" si="27"/>
        <v>3.1546155725535152E-2</v>
      </c>
      <c r="BC58" s="53">
        <f t="shared" si="28"/>
        <v>4.7271518744832576E-2</v>
      </c>
    </row>
    <row r="59" spans="1:55" x14ac:dyDescent="0.35">
      <c r="A59" s="5" t="s">
        <v>35</v>
      </c>
      <c r="B59" s="11">
        <v>2021</v>
      </c>
      <c r="C59" s="22">
        <f t="shared" si="1"/>
        <v>1.3707408892030422</v>
      </c>
      <c r="D59" s="12">
        <f t="shared" si="32"/>
        <v>1.2954206183447887</v>
      </c>
      <c r="E59" s="13">
        <f>'[1]2021'!D27-'[1]2020'!D27</f>
        <v>7.4642707273780445E-2</v>
      </c>
      <c r="F59" s="13">
        <f>'[1]2021'!E27-'[1]2020'!E27</f>
        <v>1.2207779110710082</v>
      </c>
      <c r="G59" s="13">
        <f>'[1]2021'!F27-'[1]2020'!F27</f>
        <v>7.5320270858253366E-2</v>
      </c>
      <c r="H59" s="14">
        <f t="shared" si="33"/>
        <v>-0.68163203800733407</v>
      </c>
      <c r="I59" s="13">
        <f>'[1]2021'!H27-'[1]2020'!H27</f>
        <v>0</v>
      </c>
      <c r="J59" s="13">
        <f>'[1]2021'!I27-'[1]2020'!I27</f>
        <v>-0.68163203800733407</v>
      </c>
      <c r="K59" s="13">
        <f>'[1]2021'!J27-'[1]2020'!J27</f>
        <v>0</v>
      </c>
      <c r="L59" s="3">
        <f t="shared" si="30"/>
        <v>6.6123535968318263</v>
      </c>
      <c r="M59" s="14">
        <f t="shared" si="31"/>
        <v>6.2490141299443351</v>
      </c>
      <c r="N59" s="4">
        <f t="shared" si="2"/>
        <v>7.1566213175395834</v>
      </c>
      <c r="O59" s="14">
        <f t="shared" si="34"/>
        <v>6.7932818506520922</v>
      </c>
      <c r="P59" s="13">
        <f>'[1]2021'!M27-'[1]2020'!M27</f>
        <v>0.36007094981022181</v>
      </c>
      <c r="Q59" s="13">
        <f>'[1]2021'!N27-'[1]2020'!N27</f>
        <v>0.39143189588445193</v>
      </c>
      <c r="R59" s="13">
        <f>'[1]2021'!O27-'[1]2020'!O27</f>
        <v>5.8889431801341132</v>
      </c>
      <c r="S59" s="13">
        <f>'[1]2021'!P27-'[1]2020'!P27</f>
        <v>6.4018499547676404</v>
      </c>
      <c r="T59" s="13">
        <f>'[1]2021'!Q27-'[1]2020'!Q27</f>
        <v>0.3633394668874913</v>
      </c>
      <c r="U59" s="13">
        <f>'[1]2021'!R27-'[1]2020'!S27</f>
        <v>0.39498508960074769</v>
      </c>
      <c r="V59" s="14">
        <f t="shared" si="36"/>
        <v>-3.2881429989690583</v>
      </c>
      <c r="W59" s="14">
        <f t="shared" si="35"/>
        <v>-3.5745289885341034</v>
      </c>
      <c r="X59" s="13">
        <f>'[1]2021'!U27-'[1]2020'!V27</f>
        <v>0</v>
      </c>
      <c r="Y59" s="13">
        <f>'[1]2021'!V27-'[1]2020'!W27</f>
        <v>0</v>
      </c>
      <c r="Z59" s="13">
        <f>'[1]2021'!W27-'[1]2020'!X27</f>
        <v>-3.2881429989690583</v>
      </c>
      <c r="AA59" s="13">
        <f>'[1]2021'!X27-'[1]2020'!Y27</f>
        <v>-3.5745289885341034</v>
      </c>
      <c r="AB59" s="13">
        <f>'[1]2021'!Y27-'[1]2020'!Z27</f>
        <v>0</v>
      </c>
      <c r="AC59" s="13">
        <f>'[1]2021'!Z27-'[1]2020'!AA27</f>
        <v>0</v>
      </c>
      <c r="AD59" s="21"/>
      <c r="AE59" s="17">
        <v>19.06914282116</v>
      </c>
      <c r="AF59" s="26">
        <f t="shared" si="5"/>
        <v>0.61378858033745465</v>
      </c>
      <c r="AG59" s="26">
        <f>(D59)+(H59*-1)</f>
        <v>1.9770526563521229</v>
      </c>
      <c r="AH59" s="52">
        <f t="shared" si="7"/>
        <v>0.6552281823059688</v>
      </c>
      <c r="AI59" s="52">
        <f t="shared" si="8"/>
        <v>0.6552281823059688</v>
      </c>
      <c r="AJ59" s="52">
        <f t="shared" si="9"/>
        <v>2.1105322905039707</v>
      </c>
      <c r="AK59" s="52">
        <f t="shared" si="10"/>
        <v>2.1105322905039707</v>
      </c>
      <c r="AL59" s="52">
        <f t="shared" si="11"/>
        <v>0.61747364550394734</v>
      </c>
      <c r="AM59" s="52">
        <f t="shared" si="12"/>
        <v>1.9889224892386188</v>
      </c>
      <c r="AN59" s="52">
        <f t="shared" si="13"/>
        <v>3.7754536802021427E-2</v>
      </c>
      <c r="AO59" s="52">
        <f t="shared" si="14"/>
        <v>0.12160980126535208</v>
      </c>
      <c r="AP59" s="52">
        <f t="shared" si="15"/>
        <v>3.8097250781993566E-2</v>
      </c>
      <c r="AQ59" s="52">
        <f t="shared" si="16"/>
        <v>0.12271370512765659</v>
      </c>
      <c r="AR59" s="52">
        <f t="shared" si="17"/>
        <v>0.94237955902758863</v>
      </c>
      <c r="AS59" s="52">
        <f t="shared" si="18"/>
        <v>5.7620440972411299E-2</v>
      </c>
      <c r="AT59" s="52">
        <f t="shared" si="19"/>
        <v>-0.34477181769403115</v>
      </c>
      <c r="AU59" s="52">
        <f t="shared" si="20"/>
        <v>-1.110532290503971</v>
      </c>
      <c r="AV59" s="52">
        <f t="shared" si="21"/>
        <v>0</v>
      </c>
      <c r="AW59" s="52">
        <f t="shared" si="22"/>
        <v>0</v>
      </c>
      <c r="AX59" s="52">
        <f t="shared" si="23"/>
        <v>-0.34477181769403115</v>
      </c>
      <c r="AY59" s="52">
        <f t="shared" si="24"/>
        <v>-1.110532290503971</v>
      </c>
      <c r="AZ59" s="52">
        <f t="shared" si="25"/>
        <v>0</v>
      </c>
      <c r="BA59" s="52">
        <f t="shared" si="26"/>
        <v>1</v>
      </c>
      <c r="BB59" s="52">
        <f t="shared" si="27"/>
        <v>3.2187528621179899E-2</v>
      </c>
      <c r="BC59" s="53">
        <f t="shared" si="28"/>
        <v>0.10367810839186196</v>
      </c>
    </row>
    <row r="60" spans="1:55" x14ac:dyDescent="0.35">
      <c r="A60" s="5" t="s">
        <v>36</v>
      </c>
      <c r="B60" s="11">
        <v>2021</v>
      </c>
      <c r="C60" s="22">
        <f t="shared" si="1"/>
        <v>27.607314255928809</v>
      </c>
      <c r="D60" s="12">
        <f t="shared" si="32"/>
        <v>26.757596863801012</v>
      </c>
      <c r="E60" s="13">
        <f>'[1]2021'!D28-'[1]2020'!D28</f>
        <v>2.0607683670948558</v>
      </c>
      <c r="F60" s="13">
        <f>'[1]2021'!E28-'[1]2020'!E28</f>
        <v>24.696828496706157</v>
      </c>
      <c r="G60" s="13">
        <f>'[1]2021'!F28-'[1]2020'!F28</f>
        <v>0.84971739212779607</v>
      </c>
      <c r="H60" s="14">
        <f t="shared" si="33"/>
        <v>5.2628185935441252</v>
      </c>
      <c r="I60" s="13">
        <f>'[1]2021'!H28-'[1]2020'!H28</f>
        <v>2.0164092967720628</v>
      </c>
      <c r="J60" s="13">
        <f>'[1]2021'!I28-'[1]2020'!I28</f>
        <v>3.2464092967720628</v>
      </c>
      <c r="K60" s="13">
        <f>'[1]2021'!J28-'[1]2020'!J28</f>
        <v>0</v>
      </c>
      <c r="L60" s="3">
        <f t="shared" si="30"/>
        <v>7.4319775995159443</v>
      </c>
      <c r="M60" s="14">
        <f t="shared" si="31"/>
        <v>7.2032309505058292</v>
      </c>
      <c r="N60" s="4">
        <f t="shared" si="2"/>
        <v>6.6317589951348577</v>
      </c>
      <c r="O60" s="14">
        <f t="shared" si="34"/>
        <v>6.4030123461247435</v>
      </c>
      <c r="P60" s="13">
        <f>'[1]2021'!M28-'[1]2020'!M28</f>
        <v>0.5547654581702357</v>
      </c>
      <c r="Q60" s="13">
        <f>'[1]2021'!N28-'[1]2020'!N28</f>
        <v>0.49313566402006381</v>
      </c>
      <c r="R60" s="13">
        <f>'[1]2021'!O28-'[1]2020'!O28</f>
        <v>6.6484654923355935</v>
      </c>
      <c r="S60" s="13">
        <f>'[1]2021'!P28-'[1]2020'!P28</f>
        <v>5.90987668210468</v>
      </c>
      <c r="T60" s="13">
        <f>'[1]2021'!Q28-'[1]2020'!Q28</f>
        <v>0.22874664901011466</v>
      </c>
      <c r="U60" s="13">
        <f>'[1]2021'!R28-'[1]2020'!S28</f>
        <v>0.20333481292080136</v>
      </c>
      <c r="V60" s="14">
        <f t="shared" si="36"/>
        <v>1.4167676556634341</v>
      </c>
      <c r="W60" s="14">
        <f t="shared" si="35"/>
        <v>1.2593766398904851</v>
      </c>
      <c r="X60" s="13">
        <f>'[1]2021'!U28-'[1]2020'!V28</f>
        <v>0.54282385407509814</v>
      </c>
      <c r="Y60" s="13">
        <f>'[1]2021'!V28-'[1]2020'!W28</f>
        <v>0.48252067208393412</v>
      </c>
      <c r="Z60" s="13">
        <f>'[1]2021'!W28-'[1]2020'!X28</f>
        <v>0.87394380158833596</v>
      </c>
      <c r="AA60" s="13">
        <f>'[1]2021'!X28-'[1]2020'!Y28</f>
        <v>0.77685596780655086</v>
      </c>
      <c r="AB60" s="13">
        <f>'[1]2021'!Y28-'[1]2020'!Z28</f>
        <v>0</v>
      </c>
      <c r="AC60" s="13">
        <f>'[1]2021'!Z28-'[1]2020'!AA28</f>
        <v>0</v>
      </c>
      <c r="AD60" s="21"/>
      <c r="AE60" s="17">
        <v>417.89075855828003</v>
      </c>
      <c r="AF60" s="26">
        <f t="shared" si="5"/>
        <v>32.020415457345138</v>
      </c>
      <c r="AG60" s="26">
        <f t="shared" si="6"/>
        <v>32.020415457345138</v>
      </c>
      <c r="AH60" s="52">
        <f t="shared" si="7"/>
        <v>0.83564177671102358</v>
      </c>
      <c r="AI60" s="52">
        <f t="shared" si="8"/>
        <v>0.83564177671102358</v>
      </c>
      <c r="AJ60" s="52">
        <f t="shared" si="9"/>
        <v>0.83564177671102358</v>
      </c>
      <c r="AK60" s="52">
        <f t="shared" si="10"/>
        <v>0.83564177671102358</v>
      </c>
      <c r="AL60" s="52">
        <f t="shared" si="11"/>
        <v>0.77128382452142641</v>
      </c>
      <c r="AM60" s="52">
        <f t="shared" si="12"/>
        <v>0.77128382452142641</v>
      </c>
      <c r="AN60" s="52">
        <f t="shared" si="13"/>
        <v>6.435795218959714E-2</v>
      </c>
      <c r="AO60" s="52">
        <f t="shared" si="14"/>
        <v>6.435795218959714E-2</v>
      </c>
      <c r="AP60" s="52">
        <f t="shared" si="15"/>
        <v>2.6536738514830235E-2</v>
      </c>
      <c r="AQ60" s="52">
        <f t="shared" si="16"/>
        <v>2.6536738514830235E-2</v>
      </c>
      <c r="AR60" s="52">
        <f t="shared" si="17"/>
        <v>0.92298380241004518</v>
      </c>
      <c r="AS60" s="52">
        <f t="shared" si="18"/>
        <v>7.7016197589954885E-2</v>
      </c>
      <c r="AT60" s="52">
        <f t="shared" si="19"/>
        <v>0.16435822328897645</v>
      </c>
      <c r="AU60" s="52">
        <f t="shared" si="20"/>
        <v>0.16435822328897645</v>
      </c>
      <c r="AV60" s="52">
        <f t="shared" si="21"/>
        <v>6.2972615063603757E-2</v>
      </c>
      <c r="AW60" s="52">
        <f t="shared" si="22"/>
        <v>6.2972615063603757E-2</v>
      </c>
      <c r="AX60" s="52">
        <f t="shared" si="23"/>
        <v>0.10138560822537271</v>
      </c>
      <c r="AY60" s="52">
        <f t="shared" si="24"/>
        <v>0.10138560822537271</v>
      </c>
      <c r="AZ60" s="52">
        <f t="shared" si="25"/>
        <v>0.38314246651890732</v>
      </c>
      <c r="BA60" s="52">
        <f t="shared" si="26"/>
        <v>0.61685753348109273</v>
      </c>
      <c r="BB60" s="52">
        <f t="shared" si="27"/>
        <v>7.6623889860152283E-2</v>
      </c>
      <c r="BC60" s="53">
        <f t="shared" si="28"/>
        <v>7.6623889860152283E-2</v>
      </c>
    </row>
    <row r="61" spans="1:55" x14ac:dyDescent="0.35">
      <c r="A61" s="5" t="s">
        <v>37</v>
      </c>
      <c r="B61" s="11">
        <v>2021</v>
      </c>
      <c r="C61" s="22">
        <f t="shared" si="1"/>
        <v>16.023962405858153</v>
      </c>
      <c r="D61" s="12">
        <f t="shared" si="32"/>
        <v>16.008152922120104</v>
      </c>
      <c r="E61" s="13">
        <f>'[1]2021'!D29-'[1]2020'!D29</f>
        <v>4.942148062439716</v>
      </c>
      <c r="F61" s="13">
        <f>'[1]2021'!E29-'[1]2020'!E29</f>
        <v>11.066004859680387</v>
      </c>
      <c r="G61" s="13">
        <f>'[1]2021'!F29-'[1]2020'!F29</f>
        <v>1.5809483738048691E-2</v>
      </c>
      <c r="H61" s="14">
        <f t="shared" si="33"/>
        <v>4.1553701560992913</v>
      </c>
      <c r="I61" s="13">
        <f>'[1]2021'!H29-'[1]2020'!H29</f>
        <v>1.0736931038835773</v>
      </c>
      <c r="J61" s="13">
        <f>'[1]2021'!I29-'[1]2020'!I29</f>
        <v>3.0816770522157135</v>
      </c>
      <c r="K61" s="13">
        <f>'[1]2021'!J29-'[1]2020'!J29</f>
        <v>0</v>
      </c>
      <c r="L61" s="3">
        <f t="shared" si="30"/>
        <v>4.4702201384004692</v>
      </c>
      <c r="M61" s="14">
        <f t="shared" si="31"/>
        <v>4.4658097515814319</v>
      </c>
      <c r="N61" s="4">
        <f t="shared" si="2"/>
        <v>4.6797336265735066</v>
      </c>
      <c r="O61" s="14">
        <f t="shared" si="34"/>
        <v>4.6753232397544693</v>
      </c>
      <c r="P61" s="13">
        <f>'[1]2021'!M29-'[1]2020'!M29</f>
        <v>1.3787157780399026</v>
      </c>
      <c r="Q61" s="13">
        <f>'[1]2021'!N29-'[1]2020'!N29</f>
        <v>1.4433982360765563</v>
      </c>
      <c r="R61" s="13">
        <f>'[1]2021'!O29-'[1]2020'!O29</f>
        <v>3.0870939735415295</v>
      </c>
      <c r="S61" s="13">
        <f>'[1]2021'!P29-'[1]2020'!P29</f>
        <v>3.2319250036779135</v>
      </c>
      <c r="T61" s="13">
        <f>'[1]2021'!Q29-'[1]2020'!Q29</f>
        <v>4.4103868190368267E-3</v>
      </c>
      <c r="U61" s="13">
        <f>'[1]2021'!R29-'[1]2020'!S29</f>
        <v>4.6173001400358071E-3</v>
      </c>
      <c r="V61" s="14">
        <f t="shared" si="36"/>
        <v>1.1592275920163422</v>
      </c>
      <c r="W61" s="14">
        <f t="shared" si="35"/>
        <v>1.2136127606419809</v>
      </c>
      <c r="X61" s="13">
        <f>'[1]2021'!U29-'[1]2020'!V29</f>
        <v>0.29952919345887785</v>
      </c>
      <c r="Y61" s="13">
        <f>'[1]2021'!V29-'[1]2020'!W29</f>
        <v>0.31358160715809641</v>
      </c>
      <c r="Z61" s="13">
        <f>'[1]2021'!W29-'[1]2020'!X29</f>
        <v>0.85969839855746422</v>
      </c>
      <c r="AA61" s="13">
        <f>'[1]2021'!X29-'[1]2020'!Y29</f>
        <v>0.90003115348388452</v>
      </c>
      <c r="AB61" s="13">
        <f>'[1]2021'!Y29-'[1]2020'!Z29</f>
        <v>0</v>
      </c>
      <c r="AC61" s="13">
        <f>'[1]2021'!Z29-'[1]2020'!AA29</f>
        <v>0</v>
      </c>
      <c r="AD61" s="21"/>
      <c r="AE61" s="17">
        <v>342.39670930134002</v>
      </c>
      <c r="AF61" s="26">
        <f t="shared" si="5"/>
        <v>20.163523078219395</v>
      </c>
      <c r="AG61" s="26">
        <f t="shared" si="6"/>
        <v>20.163523078219395</v>
      </c>
      <c r="AH61" s="52">
        <f t="shared" si="7"/>
        <v>0.79391646291277762</v>
      </c>
      <c r="AI61" s="52">
        <f t="shared" si="8"/>
        <v>0.79391646291277762</v>
      </c>
      <c r="AJ61" s="52">
        <f t="shared" si="9"/>
        <v>0.79391646291277762</v>
      </c>
      <c r="AK61" s="52">
        <f t="shared" si="10"/>
        <v>0.79391646291277762</v>
      </c>
      <c r="AL61" s="52">
        <f t="shared" si="11"/>
        <v>0.54881306291328957</v>
      </c>
      <c r="AM61" s="52">
        <f t="shared" si="12"/>
        <v>0.54881306291328957</v>
      </c>
      <c r="AN61" s="52">
        <f t="shared" si="13"/>
        <v>0.24510339999948799</v>
      </c>
      <c r="AO61" s="52">
        <f t="shared" si="14"/>
        <v>0.24510339999948799</v>
      </c>
      <c r="AP61" s="52">
        <f t="shared" si="15"/>
        <v>7.8406356253913137E-4</v>
      </c>
      <c r="AQ61" s="52">
        <f t="shared" si="16"/>
        <v>7.8406356253913137E-4</v>
      </c>
      <c r="AR61" s="52">
        <f t="shared" si="17"/>
        <v>0.69127306026601953</v>
      </c>
      <c r="AS61" s="52">
        <f t="shared" si="18"/>
        <v>0.30872693973398041</v>
      </c>
      <c r="AT61" s="52">
        <f t="shared" si="19"/>
        <v>0.20608353708722238</v>
      </c>
      <c r="AU61" s="52">
        <f t="shared" si="20"/>
        <v>0.20608353708722238</v>
      </c>
      <c r="AV61" s="52">
        <f t="shared" si="21"/>
        <v>5.3249280878071292E-2</v>
      </c>
      <c r="AW61" s="52">
        <f t="shared" si="22"/>
        <v>5.3249280878071292E-2</v>
      </c>
      <c r="AX61" s="52">
        <f t="shared" si="23"/>
        <v>0.15283425620915106</v>
      </c>
      <c r="AY61" s="52">
        <f t="shared" si="24"/>
        <v>0.15283425620915106</v>
      </c>
      <c r="AZ61" s="52">
        <f t="shared" si="25"/>
        <v>0.25838687374399139</v>
      </c>
      <c r="BA61" s="52">
        <f t="shared" si="26"/>
        <v>0.7416131262560085</v>
      </c>
      <c r="BB61" s="52">
        <f t="shared" si="27"/>
        <v>5.8889360003964504E-2</v>
      </c>
      <c r="BC61" s="53">
        <f t="shared" si="28"/>
        <v>5.8889360003964504E-2</v>
      </c>
    </row>
    <row r="62" spans="1:55" x14ac:dyDescent="0.35">
      <c r="A62" s="6" t="s">
        <v>38</v>
      </c>
      <c r="B62" s="11">
        <v>2021</v>
      </c>
      <c r="C62" s="22">
        <f t="shared" si="1"/>
        <v>0.93070101122818638</v>
      </c>
      <c r="D62" s="12">
        <f t="shared" si="32"/>
        <v>0.93070101122818638</v>
      </c>
      <c r="E62" s="13">
        <f>'[1]2021'!D30-'[1]2020'!D30</f>
        <v>0.44007731725619964</v>
      </c>
      <c r="F62" s="13">
        <f>'[1]2021'!E30-'[1]2020'!E30</f>
        <v>0.4906236939719868</v>
      </c>
      <c r="G62" s="13">
        <f>'[1]2021'!F30-'[1]2020'!F30</f>
        <v>0</v>
      </c>
      <c r="H62" s="14">
        <f t="shared" si="33"/>
        <v>-0.30933920314716878</v>
      </c>
      <c r="I62" s="13">
        <f>'[1]2021'!H30-'[1]2020'!H30</f>
        <v>4.0174250299493036E-2</v>
      </c>
      <c r="J62" s="13">
        <f>'[1]2021'!I30-'[1]2020'!I30</f>
        <v>-0.34951345344666185</v>
      </c>
      <c r="K62" s="13">
        <f>'[1]2021'!J30-'[1]2020'!J30</f>
        <v>0</v>
      </c>
      <c r="L62" s="3">
        <f t="shared" si="30"/>
        <v>3.0858707525433022</v>
      </c>
      <c r="M62" s="14">
        <f t="shared" si="31"/>
        <v>3.0858707525433022</v>
      </c>
      <c r="N62" s="4">
        <f t="shared" si="2"/>
        <v>1.6792809855950741</v>
      </c>
      <c r="O62" s="14">
        <f t="shared" si="34"/>
        <v>1.6792809855950741</v>
      </c>
      <c r="P62" s="13">
        <f>'[1]2021'!M30-'[1]2020'!M30</f>
        <v>1.4591385480354555</v>
      </c>
      <c r="Q62" s="13">
        <f>'[1]2021'!N30-'[1]2020'!N30</f>
        <v>0.79403961330696116</v>
      </c>
      <c r="R62" s="13">
        <f>'[1]2021'!O30-'[1]2020'!O30</f>
        <v>1.6267322045078467</v>
      </c>
      <c r="S62" s="13">
        <f>'[1]2021'!P30-'[1]2020'!P30</f>
        <v>0.88524137228811295</v>
      </c>
      <c r="T62" s="13">
        <f>'[1]2021'!Q30-'[1]2020'!Q30</f>
        <v>0</v>
      </c>
      <c r="U62" s="13">
        <f>'[1]2021'!R30-'[1]2020'!S30</f>
        <v>0</v>
      </c>
      <c r="V62" s="14">
        <f t="shared" si="36"/>
        <v>-1.0256578515448271</v>
      </c>
      <c r="W62" s="14">
        <f t="shared" si="35"/>
        <v>-0.55814642476713816</v>
      </c>
      <c r="X62" s="13">
        <f>'[1]2021'!U30-'[1]2020'!V30</f>
        <v>0.13320340529227637</v>
      </c>
      <c r="Y62" s="13">
        <f>'[1]2021'!V30-'[1]2020'!W30</f>
        <v>7.2487140149819107E-2</v>
      </c>
      <c r="Z62" s="13">
        <f>'[1]2021'!W30-'[1]2020'!X30</f>
        <v>-1.1588612568371035</v>
      </c>
      <c r="AA62" s="13">
        <f>'[1]2021'!X30-'[1]2020'!Y30</f>
        <v>-0.63063356491695732</v>
      </c>
      <c r="AB62" s="13">
        <f>'[1]2021'!Y30-'[1]2020'!Z30</f>
        <v>0</v>
      </c>
      <c r="AC62" s="13">
        <f>'[1]2021'!Z30-'[1]2020'!AA30</f>
        <v>0</v>
      </c>
      <c r="AD62" s="21"/>
      <c r="AE62" s="18">
        <v>55.422589739999999</v>
      </c>
      <c r="AF62" s="26">
        <f t="shared" si="5"/>
        <v>0.6213618080810176</v>
      </c>
      <c r="AG62" s="26">
        <f>(D62)+(H62*-1)</f>
        <v>1.2400402143753553</v>
      </c>
      <c r="AH62" s="52">
        <f t="shared" si="7"/>
        <v>0.75054099087988679</v>
      </c>
      <c r="AI62" s="52">
        <f t="shared" si="8"/>
        <v>0.75054099087988679</v>
      </c>
      <c r="AJ62" s="52">
        <f t="shared" si="9"/>
        <v>1.4978407091071728</v>
      </c>
      <c r="AK62" s="52">
        <f t="shared" si="10"/>
        <v>1.4978407091071728</v>
      </c>
      <c r="AL62" s="52">
        <f t="shared" si="11"/>
        <v>0.3956514379810887</v>
      </c>
      <c r="AM62" s="52">
        <f t="shared" si="12"/>
        <v>0.78959422286864434</v>
      </c>
      <c r="AN62" s="52">
        <f t="shared" si="13"/>
        <v>0.35488955289879814</v>
      </c>
      <c r="AO62" s="52">
        <f t="shared" si="14"/>
        <v>0.70824648623852859</v>
      </c>
      <c r="AP62" s="52">
        <f t="shared" si="15"/>
        <v>0</v>
      </c>
      <c r="AQ62" s="52">
        <f t="shared" si="16"/>
        <v>0</v>
      </c>
      <c r="AR62" s="52">
        <f t="shared" si="17"/>
        <v>0.52715500257654413</v>
      </c>
      <c r="AS62" s="52">
        <f t="shared" si="18"/>
        <v>0.47284499742345598</v>
      </c>
      <c r="AT62" s="52">
        <f t="shared" si="19"/>
        <v>-0.24945900912011312</v>
      </c>
      <c r="AU62" s="52">
        <f t="shared" si="20"/>
        <v>-0.49784070910717276</v>
      </c>
      <c r="AV62" s="52">
        <f t="shared" si="21"/>
        <v>3.2397538268329459E-2</v>
      </c>
      <c r="AW62" s="52">
        <f t="shared" si="22"/>
        <v>6.4655165117993268E-2</v>
      </c>
      <c r="AX62" s="52">
        <f t="shared" si="23"/>
        <v>-0.28185654738844262</v>
      </c>
      <c r="AY62" s="52">
        <f t="shared" si="24"/>
        <v>-0.56249587422516611</v>
      </c>
      <c r="AZ62" s="52">
        <f t="shared" si="25"/>
        <v>-0.12987118958983046</v>
      </c>
      <c r="BA62" s="52">
        <f t="shared" si="26"/>
        <v>1.1298711895898306</v>
      </c>
      <c r="BB62" s="52">
        <f t="shared" si="27"/>
        <v>1.1211345608279358E-2</v>
      </c>
      <c r="BC62" s="53">
        <f t="shared" si="28"/>
        <v>2.2374274103622124E-2</v>
      </c>
    </row>
    <row r="63" spans="1:55" x14ac:dyDescent="0.35">
      <c r="A63" s="5" t="s">
        <v>39</v>
      </c>
      <c r="B63" s="11">
        <v>2021</v>
      </c>
      <c r="C63" s="22">
        <f t="shared" si="1"/>
        <v>0.9199303851044236</v>
      </c>
      <c r="D63" s="12">
        <f t="shared" si="32"/>
        <v>1.8127272608878233</v>
      </c>
      <c r="E63" s="13">
        <f>'[1]2021'!D31-'[1]2020'!D31</f>
        <v>0.53086829320013718</v>
      </c>
      <c r="F63" s="13">
        <f>'[1]2021'!E31-'[1]2020'!E31</f>
        <v>1.2818589676876861</v>
      </c>
      <c r="G63" s="13">
        <f>'[1]2021'!F31-'[1]2020'!F31</f>
        <v>-0.89279687578339972</v>
      </c>
      <c r="H63" s="14">
        <f t="shared" si="33"/>
        <v>-0.3828441054824393</v>
      </c>
      <c r="I63" s="13">
        <f>'[1]2021'!H31-'[1]2020'!H31</f>
        <v>6.9442814202764436E-2</v>
      </c>
      <c r="J63" s="13">
        <f>'[1]2021'!I31-'[1]2020'!I31</f>
        <v>-0.45228691968520374</v>
      </c>
      <c r="K63" s="13">
        <f>'[1]2021'!J31-'[1]2020'!J31</f>
        <v>0</v>
      </c>
      <c r="L63" s="3">
        <f t="shared" si="30"/>
        <v>1.9079055142535277</v>
      </c>
      <c r="M63" s="14">
        <f t="shared" si="31"/>
        <v>3.7595370181114136</v>
      </c>
      <c r="N63" s="4">
        <f t="shared" si="2"/>
        <v>1.4541585501075316E-2</v>
      </c>
      <c r="O63" s="14">
        <f t="shared" si="34"/>
        <v>1.8661730893589612</v>
      </c>
      <c r="P63" s="13">
        <f>'[1]2021'!M31-'[1]2020'!M31</f>
        <v>1.1010034675873095</v>
      </c>
      <c r="Q63" s="13">
        <f>'[1]2021'!N31-'[1]2020'!N31</f>
        <v>0.54652023177430764</v>
      </c>
      <c r="R63" s="13">
        <f>'[1]2021'!O31-'[1]2020'!O31</f>
        <v>2.6585335505241039</v>
      </c>
      <c r="S63" s="13">
        <f>'[1]2021'!P31-'[1]2020'!P31</f>
        <v>1.3196528575846536</v>
      </c>
      <c r="T63" s="13">
        <f>'[1]2021'!Q31-'[1]2020'!Q31</f>
        <v>-1.8516315038578859</v>
      </c>
      <c r="U63" s="13">
        <f>'[1]2021'!R31-'[1]2020'!S31</f>
        <v>-0.91911979248037601</v>
      </c>
      <c r="V63" s="14">
        <f t="shared" si="36"/>
        <v>-0.79400614630909438</v>
      </c>
      <c r="W63" s="14">
        <f t="shared" si="35"/>
        <v>-0.39413174970464826</v>
      </c>
      <c r="X63" s="13">
        <f>'[1]2021'!U31-'[1]2020'!V31</f>
        <v>0.14402212416073001</v>
      </c>
      <c r="Y63" s="13">
        <f>'[1]2021'!V31-'[1]2020'!W31</f>
        <v>7.149024230544343E-2</v>
      </c>
      <c r="Z63" s="13">
        <f>'[1]2021'!W31-'[1]2020'!X31</f>
        <v>-0.9380282704698244</v>
      </c>
      <c r="AA63" s="13">
        <f>'[1]2021'!X31-'[1]2020'!Y31</f>
        <v>-0.46562199201009169</v>
      </c>
      <c r="AB63" s="13">
        <f>'[1]2021'!Y31-'[1]2020'!Z31</f>
        <v>0</v>
      </c>
      <c r="AC63" s="13">
        <f>'[1]2021'!Z31-'[1]2020'!AA31</f>
        <v>0</v>
      </c>
      <c r="AD63" s="21"/>
      <c r="AE63" s="17">
        <v>97.136073348400004</v>
      </c>
      <c r="AF63" s="26">
        <f t="shared" si="5"/>
        <v>1.4298831554053839</v>
      </c>
      <c r="AG63" s="26">
        <f>(D63)+(H63*-1)</f>
        <v>2.1955713663702627</v>
      </c>
      <c r="AH63" s="52">
        <f t="shared" si="7"/>
        <v>0.82562894044507396</v>
      </c>
      <c r="AI63" s="52">
        <f t="shared" si="8"/>
        <v>0.82562894044507396</v>
      </c>
      <c r="AJ63" s="52">
        <f t="shared" si="9"/>
        <v>1.2677450280011866</v>
      </c>
      <c r="AK63" s="52">
        <f t="shared" si="10"/>
        <v>1.2677450280011866</v>
      </c>
      <c r="AL63" s="52">
        <f t="shared" si="11"/>
        <v>0.58383844284090214</v>
      </c>
      <c r="AM63" s="52">
        <f t="shared" si="12"/>
        <v>0.89647812329411514</v>
      </c>
      <c r="AN63" s="52">
        <f t="shared" si="13"/>
        <v>0.24179049760417179</v>
      </c>
      <c r="AO63" s="52">
        <f t="shared" si="14"/>
        <v>0.37126690470707135</v>
      </c>
      <c r="AP63" s="52">
        <f t="shared" si="15"/>
        <v>-0.40663532484456616</v>
      </c>
      <c r="AQ63" s="52">
        <f t="shared" si="16"/>
        <v>-0.62438449771812599</v>
      </c>
      <c r="AR63" s="52">
        <f t="shared" si="17"/>
        <v>0.70714386843824883</v>
      </c>
      <c r="AS63" s="52">
        <f t="shared" si="18"/>
        <v>0.29285613156175117</v>
      </c>
      <c r="AT63" s="52">
        <f t="shared" si="19"/>
        <v>-0.17437105955492599</v>
      </c>
      <c r="AU63" s="52">
        <f t="shared" si="20"/>
        <v>-0.26774502800118644</v>
      </c>
      <c r="AV63" s="52">
        <f t="shared" si="21"/>
        <v>3.1628584370531253E-2</v>
      </c>
      <c r="AW63" s="52">
        <f t="shared" si="22"/>
        <v>4.8565376786382813E-2</v>
      </c>
      <c r="AX63" s="52">
        <f t="shared" si="23"/>
        <v>-0.20599964392545725</v>
      </c>
      <c r="AY63" s="52">
        <f t="shared" si="24"/>
        <v>-0.31631040478756922</v>
      </c>
      <c r="AZ63" s="52">
        <f t="shared" si="25"/>
        <v>-0.18138666158972561</v>
      </c>
      <c r="BA63" s="52">
        <f t="shared" si="26"/>
        <v>1.1813866615897257</v>
      </c>
      <c r="BB63" s="52">
        <f t="shared" si="27"/>
        <v>1.4720413396543135E-2</v>
      </c>
      <c r="BC63" s="53">
        <f t="shared" si="28"/>
        <v>2.2603048390636097E-2</v>
      </c>
    </row>
    <row r="64" spans="1:55" x14ac:dyDescent="0.35">
      <c r="A64" s="5" t="s">
        <v>40</v>
      </c>
      <c r="B64" s="11">
        <v>2021</v>
      </c>
      <c r="C64" s="22">
        <f t="shared" si="1"/>
        <v>0.1244481767756411</v>
      </c>
      <c r="D64" s="12">
        <f t="shared" si="32"/>
        <v>0.12197614489762618</v>
      </c>
      <c r="E64" s="13">
        <f>'[1]2021'!D32-'[1]2020'!D32</f>
        <v>0.11473187508637858</v>
      </c>
      <c r="F64" s="13">
        <f>'[1]2021'!E32-'[1]2020'!E32</f>
        <v>7.2442698112475945E-3</v>
      </c>
      <c r="G64" s="13">
        <f>'[1]2021'!F32-'[1]2020'!F32</f>
        <v>2.4720318780149242E-3</v>
      </c>
      <c r="H64" s="14">
        <f t="shared" si="33"/>
        <v>8.7534926885912689E-3</v>
      </c>
      <c r="I64" s="13">
        <f>'[1]2021'!H32-'[1]2020'!H32</f>
        <v>1.2073783018746731E-3</v>
      </c>
      <c r="J64" s="13">
        <f>'[1]2021'!I32-'[1]2020'!I32</f>
        <v>7.5461143867165958E-3</v>
      </c>
      <c r="K64" s="13">
        <f>'[1]2021'!J32-'[1]2020'!J32</f>
        <v>-8.696217414326135E-3</v>
      </c>
      <c r="L64" s="3">
        <f t="shared" si="30"/>
        <v>0.18697845389002388</v>
      </c>
      <c r="M64" s="14">
        <f t="shared" si="31"/>
        <v>0.18326432395663583</v>
      </c>
      <c r="N64" s="4">
        <f t="shared" si="2"/>
        <v>0.18756962964702706</v>
      </c>
      <c r="O64" s="14">
        <f t="shared" si="34"/>
        <v>0.18385549971363901</v>
      </c>
      <c r="P64" s="13">
        <f>'[1]2021'!M32-'[1]2020'!M32</f>
        <v>0.17238009564599355</v>
      </c>
      <c r="Q64" s="13">
        <f>'[1]2021'!N32-'[1]2020'!N32</f>
        <v>0.17293616095830111</v>
      </c>
      <c r="R64" s="13">
        <f>'[1]2021'!O32-'[1]2020'!O32</f>
        <v>1.0884228310642285E-2</v>
      </c>
      <c r="S64" s="13">
        <f>'[1]2021'!P32-'[1]2020'!P32</f>
        <v>1.0919338755337904E-2</v>
      </c>
      <c r="T64" s="13">
        <f>'[1]2021'!Q32-'[1]2020'!Q32</f>
        <v>3.714129933388044E-3</v>
      </c>
      <c r="U64" s="13">
        <f>'[1]2021'!R32-'[1]2020'!S32</f>
        <v>3.726111008196753E-3</v>
      </c>
      <c r="V64" s="14">
        <f t="shared" si="36"/>
        <v>8.6053829840837537E-5</v>
      </c>
      <c r="W64" s="14">
        <f t="shared" si="35"/>
        <v>8.6331423084007319E-5</v>
      </c>
      <c r="X64" s="13">
        <f>'[1]2021'!U32-'[1]2020'!V32</f>
        <v>1.8140380517739363E-3</v>
      </c>
      <c r="Y64" s="13">
        <f>'[1]2021'!V32-'[1]2020'!W32</f>
        <v>1.8198897925564284E-3</v>
      </c>
      <c r="Z64" s="13">
        <f>'[1]2021'!W32-'[1]2020'!X32</f>
        <v>1.133773782358638E-2</v>
      </c>
      <c r="AA64" s="13">
        <f>'[1]2021'!X32-'[1]2020'!Y32</f>
        <v>1.1374311203478094E-2</v>
      </c>
      <c r="AB64" s="13">
        <f>'[1]2021'!Y32-'[1]2020'!Z32</f>
        <v>-1.3065722045519479E-2</v>
      </c>
      <c r="AC64" s="13">
        <f>'[1]2021'!Z32-'[1]2020'!AA32</f>
        <v>-1.3107869572950515E-2</v>
      </c>
      <c r="AD64" s="21"/>
      <c r="AE64" s="17">
        <v>66.343484468840003</v>
      </c>
      <c r="AF64" s="26">
        <f t="shared" si="5"/>
        <v>0.13072963758621745</v>
      </c>
      <c r="AG64" s="26">
        <f t="shared" si="6"/>
        <v>0.13072963758621745</v>
      </c>
      <c r="AH64" s="52">
        <f t="shared" si="7"/>
        <v>0.93304125330556154</v>
      </c>
      <c r="AI64" s="52">
        <f t="shared" si="8"/>
        <v>0.93304125330556154</v>
      </c>
      <c r="AJ64" s="52">
        <f t="shared" si="9"/>
        <v>0.93304125330556154</v>
      </c>
      <c r="AK64" s="52">
        <f t="shared" si="10"/>
        <v>0.93304125330556154</v>
      </c>
      <c r="AL64" s="52">
        <f t="shared" si="11"/>
        <v>5.5414135195394613E-2</v>
      </c>
      <c r="AM64" s="52">
        <f t="shared" si="12"/>
        <v>5.5414135195394613E-2</v>
      </c>
      <c r="AN64" s="52">
        <f t="shared" si="13"/>
        <v>0.87762711811016703</v>
      </c>
      <c r="AO64" s="52">
        <f t="shared" si="14"/>
        <v>0.87762711811016703</v>
      </c>
      <c r="AP64" s="52">
        <f t="shared" si="15"/>
        <v>1.8909498440126828E-2</v>
      </c>
      <c r="AQ64" s="52">
        <f t="shared" si="16"/>
        <v>1.8909498440126828E-2</v>
      </c>
      <c r="AR64" s="52">
        <f t="shared" si="17"/>
        <v>5.9390873660810195E-2</v>
      </c>
      <c r="AS64" s="52">
        <f t="shared" si="18"/>
        <v>0.9406091263391898</v>
      </c>
      <c r="AT64" s="52">
        <f t="shared" si="19"/>
        <v>6.6958746694438409E-2</v>
      </c>
      <c r="AU64" s="52">
        <f t="shared" si="20"/>
        <v>6.6958746694438409E-2</v>
      </c>
      <c r="AV64" s="52">
        <f t="shared" si="21"/>
        <v>9.2356891992330017E-3</v>
      </c>
      <c r="AW64" s="52">
        <f t="shared" si="22"/>
        <v>9.2356891992330017E-3</v>
      </c>
      <c r="AX64" s="52">
        <f t="shared" si="23"/>
        <v>5.7723057495205413E-2</v>
      </c>
      <c r="AY64" s="52">
        <f t="shared" si="24"/>
        <v>5.7723057495205413E-2</v>
      </c>
      <c r="AZ64" s="52">
        <f t="shared" si="25"/>
        <v>0.13793103448276037</v>
      </c>
      <c r="BA64" s="52">
        <f t="shared" si="26"/>
        <v>0.86206896551723966</v>
      </c>
      <c r="BB64" s="52">
        <f t="shared" si="27"/>
        <v>1.9704970070967276E-3</v>
      </c>
      <c r="BC64" s="53">
        <f t="shared" si="28"/>
        <v>1.9704970070967276E-3</v>
      </c>
    </row>
    <row r="65" spans="1:55" x14ac:dyDescent="0.35">
      <c r="A65" s="5" t="s">
        <v>41</v>
      </c>
      <c r="B65" s="11">
        <v>2021</v>
      </c>
      <c r="C65" s="22">
        <f t="shared" si="1"/>
        <v>52.187941871937106</v>
      </c>
      <c r="D65" s="12">
        <f t="shared" si="32"/>
        <v>53.405319500717908</v>
      </c>
      <c r="E65" s="13">
        <f>'[1]2021'!D33-'[1]2020'!D33</f>
        <v>12.229524725044866</v>
      </c>
      <c r="F65" s="13">
        <f>'[1]2021'!E33-'[1]2020'!E33</f>
        <v>41.17579477567304</v>
      </c>
      <c r="G65" s="13">
        <f>'[1]2021'!F33-'[1]2020'!F33</f>
        <v>-1.2173776287808025</v>
      </c>
      <c r="H65" s="14">
        <f t="shared" si="33"/>
        <v>-34.270513178448631</v>
      </c>
      <c r="I65" s="13">
        <f>'[1]2021'!H33-'[1]2020'!H33</f>
        <v>0</v>
      </c>
      <c r="J65" s="13">
        <f>'[1]2021'!I33-'[1]2020'!I33</f>
        <v>-34.270513178448631</v>
      </c>
      <c r="K65" s="13">
        <f>'[1]2021'!J33-'[1]2020'!J33</f>
        <v>0</v>
      </c>
      <c r="L65" s="3">
        <f t="shared" si="30"/>
        <v>6.2109985425354868</v>
      </c>
      <c r="M65" s="14">
        <f t="shared" si="31"/>
        <v>6.35588125694923</v>
      </c>
      <c r="N65" s="4">
        <f t="shared" si="2"/>
        <v>5.5825951522028916</v>
      </c>
      <c r="O65" s="14">
        <f t="shared" si="34"/>
        <v>5.7274778666166348</v>
      </c>
      <c r="P65" s="13">
        <f>'[1]2021'!M33-'[1]2020'!M33</f>
        <v>1.4554618848458527</v>
      </c>
      <c r="Q65" s="13">
        <f>'[1]2021'!N33-'[1]2020'!N33</f>
        <v>1.3115609612820269</v>
      </c>
      <c r="R65" s="13">
        <f>'[1]2021'!O33-'[1]2020'!O33</f>
        <v>4.9004193721033777</v>
      </c>
      <c r="S65" s="13">
        <f>'[1]2021'!P33-'[1]2020'!P33</f>
        <v>4.4159169053346083</v>
      </c>
      <c r="T65" s="13">
        <f>'[1]2021'!Q33-'[1]2020'!Q33</f>
        <v>-0.14488271441374279</v>
      </c>
      <c r="U65" s="13">
        <f>'[1]2021'!R33-'[1]2020'!S33</f>
        <v>-0.13055821946842872</v>
      </c>
      <c r="V65" s="14">
        <f t="shared" si="36"/>
        <v>-4.0786070453900241</v>
      </c>
      <c r="W65" s="14">
        <f t="shared" si="35"/>
        <v>-3.6753568285368967</v>
      </c>
      <c r="X65" s="13">
        <f>'[1]2021'!U33-'[1]2020'!V33</f>
        <v>0</v>
      </c>
      <c r="Y65" s="13">
        <f>'[1]2021'!V33-'[1]2020'!W33</f>
        <v>0</v>
      </c>
      <c r="Z65" s="13">
        <f>'[1]2021'!W33-'[1]2020'!X33</f>
        <v>-4.0786070453900241</v>
      </c>
      <c r="AA65" s="13">
        <f>'[1]2021'!X33-'[1]2020'!Y33</f>
        <v>-3.6753568285368967</v>
      </c>
      <c r="AB65" s="13">
        <f>'[1]2021'!Y33-'[1]2020'!Z33</f>
        <v>0</v>
      </c>
      <c r="AC65" s="13">
        <f>'[1]2021'!Z33-'[1]2020'!AA33</f>
        <v>0</v>
      </c>
      <c r="AD65" s="21"/>
      <c r="AE65" s="17">
        <v>932.44043441874999</v>
      </c>
      <c r="AF65" s="26">
        <f t="shared" si="5"/>
        <v>19.134806322269277</v>
      </c>
      <c r="AG65" s="26">
        <f>(D65)+(H65*-1)</f>
        <v>87.675832679166547</v>
      </c>
      <c r="AH65" s="52">
        <f t="shared" si="7"/>
        <v>0.60912246703313067</v>
      </c>
      <c r="AI65" s="52">
        <f t="shared" si="8"/>
        <v>0.60912246703313067</v>
      </c>
      <c r="AJ65" s="52">
        <f t="shared" si="9"/>
        <v>2.7910039224470364</v>
      </c>
      <c r="AK65" s="52">
        <f t="shared" si="10"/>
        <v>2.7910039224470364</v>
      </c>
      <c r="AL65" s="52">
        <f t="shared" si="11"/>
        <v>0.46963676896401119</v>
      </c>
      <c r="AM65" s="52">
        <f t="shared" si="12"/>
        <v>2.1518793596438046</v>
      </c>
      <c r="AN65" s="52">
        <f t="shared" si="13"/>
        <v>0.13948569806911951</v>
      </c>
      <c r="AO65" s="52">
        <f t="shared" si="14"/>
        <v>0.63912456280323171</v>
      </c>
      <c r="AP65" s="52">
        <f t="shared" si="15"/>
        <v>-1.3884985081756453E-2</v>
      </c>
      <c r="AQ65" s="52">
        <f t="shared" si="16"/>
        <v>-6.3621110570845255E-2</v>
      </c>
      <c r="AR65" s="52">
        <f t="shared" si="17"/>
        <v>0.77100549459533763</v>
      </c>
      <c r="AS65" s="52">
        <f t="shared" si="18"/>
        <v>0.22899450540466235</v>
      </c>
      <c r="AT65" s="52">
        <f t="shared" si="19"/>
        <v>-0.39087753296686922</v>
      </c>
      <c r="AU65" s="52">
        <f t="shared" si="20"/>
        <v>-1.7910039224470367</v>
      </c>
      <c r="AV65" s="52">
        <f t="shared" si="21"/>
        <v>0</v>
      </c>
      <c r="AW65" s="52">
        <f t="shared" si="22"/>
        <v>0</v>
      </c>
      <c r="AX65" s="52">
        <f t="shared" si="23"/>
        <v>-0.39087753296686922</v>
      </c>
      <c r="AY65" s="52">
        <f t="shared" si="24"/>
        <v>-1.7910039224470367</v>
      </c>
      <c r="AZ65" s="52">
        <f t="shared" si="25"/>
        <v>0</v>
      </c>
      <c r="BA65" s="52">
        <f t="shared" si="26"/>
        <v>1</v>
      </c>
      <c r="BB65" s="52">
        <f t="shared" si="27"/>
        <v>2.0521210380797388E-2</v>
      </c>
      <c r="BC65" s="53">
        <f t="shared" si="28"/>
        <v>9.4028346951535322E-2</v>
      </c>
    </row>
    <row r="66" spans="1:55" x14ac:dyDescent="0.35">
      <c r="A66" s="5" t="s">
        <v>42</v>
      </c>
      <c r="B66" s="11">
        <v>2021</v>
      </c>
      <c r="C66" s="22">
        <f t="shared" si="1"/>
        <v>0.4580441819920309</v>
      </c>
      <c r="D66" s="12">
        <f t="shared" si="32"/>
        <v>0.4580441819920309</v>
      </c>
      <c r="E66" s="13">
        <f>'[1]2021'!D34-'[1]2020'!D34</f>
        <v>0.78844834295863242</v>
      </c>
      <c r="F66" s="13">
        <f>'[1]2021'!E34-'[1]2020'!E34</f>
        <v>-0.33040416096660152</v>
      </c>
      <c r="G66" s="13">
        <f>'[1]2021'!F34-'[1]2020'!F34</f>
        <v>0</v>
      </c>
      <c r="H66" s="14">
        <f t="shared" si="33"/>
        <v>-1.5736558197847814</v>
      </c>
      <c r="I66" s="13">
        <f>'[1]2021'!H34-'[1]2020'!H34</f>
        <v>0.59041841284024388</v>
      </c>
      <c r="J66" s="13">
        <f>'[1]2021'!I34-'[1]2020'!I34</f>
        <v>-2.1640742326250253</v>
      </c>
      <c r="K66" s="13">
        <f>'[1]2021'!J34-'[1]2020'!J34</f>
        <v>0</v>
      </c>
      <c r="L66" s="3">
        <f t="shared" ref="L66:L77" si="38">M66+T66</f>
        <v>0.22570525354736315</v>
      </c>
      <c r="M66" s="14">
        <f t="shared" si="31"/>
        <v>0.22570525354736315</v>
      </c>
      <c r="N66" s="4">
        <f t="shared" si="2"/>
        <v>0.23613713299910688</v>
      </c>
      <c r="O66" s="14">
        <f t="shared" si="34"/>
        <v>0.23613713299910688</v>
      </c>
      <c r="P66" s="13">
        <f>'[1]2021'!M34-'[1]2020'!M34</f>
        <v>0.38851477685524127</v>
      </c>
      <c r="Q66" s="13">
        <f>'[1]2021'!N34-'[1]2020'!N34</f>
        <v>0.40647155567928794</v>
      </c>
      <c r="R66" s="13">
        <f>'[1]2021'!O34-'[1]2020'!O34</f>
        <v>-0.16280952330787812</v>
      </c>
      <c r="S66" s="13">
        <f>'[1]2021'!P34-'[1]2020'!P34</f>
        <v>-0.17033442268018106</v>
      </c>
      <c r="T66" s="13">
        <f>'[1]2021'!Q34-'[1]2020'!Q34</f>
        <v>0</v>
      </c>
      <c r="U66" s="13">
        <f>'[1]2021'!R34-'[1]2020'!S34</f>
        <v>0</v>
      </c>
      <c r="V66" s="14">
        <f t="shared" si="36"/>
        <v>-0.77543258874312093</v>
      </c>
      <c r="W66" s="14">
        <f t="shared" si="35"/>
        <v>-0.81127233620839212</v>
      </c>
      <c r="X66" s="13">
        <f>'[1]2021'!U34-'[1]2020'!V34</f>
        <v>0.29093380684280101</v>
      </c>
      <c r="Y66" s="13">
        <f>'[1]2021'!V34-'[1]2020'!W34</f>
        <v>0.30438048720899091</v>
      </c>
      <c r="Z66" s="13">
        <f>'[1]2021'!W34-'[1]2020'!X34</f>
        <v>-1.0663663955859219</v>
      </c>
      <c r="AA66" s="13">
        <f>'[1]2021'!X34-'[1]2020'!Y34</f>
        <v>-1.115652823417383</v>
      </c>
      <c r="AB66" s="13">
        <f>'[1]2021'!Y34-'[1]2020'!Z34</f>
        <v>0</v>
      </c>
      <c r="AC66" s="13">
        <f>'[1]2021'!Z34-'[1]2020'!AA34</f>
        <v>0</v>
      </c>
      <c r="AD66" s="21"/>
      <c r="AE66" s="17">
        <v>193.97380504054999</v>
      </c>
      <c r="AF66" s="26">
        <f t="shared" si="5"/>
        <v>-1.1156116377927505</v>
      </c>
      <c r="AG66" s="26">
        <f>(D66)+(H66*-1)</f>
        <v>2.0317000017768123</v>
      </c>
      <c r="AH66" s="52">
        <f t="shared" si="7"/>
        <v>0.22544872844979613</v>
      </c>
      <c r="AI66" s="52">
        <f t="shared" si="8"/>
        <v>0.22544872844979613</v>
      </c>
      <c r="AJ66" s="52">
        <f t="shared" si="9"/>
        <v>-0.41057673340363871</v>
      </c>
      <c r="AK66" s="52">
        <f t="shared" si="10"/>
        <v>-0.41057673340363871</v>
      </c>
      <c r="AL66" s="52">
        <f t="shared" si="11"/>
        <v>-0.16262448229445703</v>
      </c>
      <c r="AM66" s="52">
        <f t="shared" si="12"/>
        <v>0.29616413971828914</v>
      </c>
      <c r="AN66" s="52">
        <f t="shared" si="13"/>
        <v>0.38807321074425316</v>
      </c>
      <c r="AO66" s="52">
        <f t="shared" si="14"/>
        <v>-0.70674087312192779</v>
      </c>
      <c r="AP66" s="52">
        <f t="shared" si="15"/>
        <v>0</v>
      </c>
      <c r="AQ66" s="52">
        <f t="shared" si="16"/>
        <v>0</v>
      </c>
      <c r="AR66" s="52">
        <f t="shared" si="17"/>
        <v>-0.72133687962081772</v>
      </c>
      <c r="AS66" s="52">
        <f t="shared" si="18"/>
        <v>1.7213368796208177</v>
      </c>
      <c r="AT66" s="52">
        <f t="shared" si="19"/>
        <v>-0.77455127155020387</v>
      </c>
      <c r="AU66" s="52">
        <f t="shared" si="20"/>
        <v>1.4105767334036388</v>
      </c>
      <c r="AV66" s="52">
        <f t="shared" si="21"/>
        <v>0.29060314629320105</v>
      </c>
      <c r="AW66" s="52">
        <f t="shared" si="22"/>
        <v>-0.52923292733696559</v>
      </c>
      <c r="AX66" s="52">
        <f t="shared" si="23"/>
        <v>-1.0651544178434049</v>
      </c>
      <c r="AY66" s="52">
        <f t="shared" si="24"/>
        <v>1.9398096607406043</v>
      </c>
      <c r="AZ66" s="52">
        <f t="shared" si="25"/>
        <v>-0.37518903779162555</v>
      </c>
      <c r="BA66" s="52">
        <f t="shared" si="26"/>
        <v>1.3751890377916256</v>
      </c>
      <c r="BB66" s="52">
        <f t="shared" si="27"/>
        <v>-5.7513520320928557E-3</v>
      </c>
      <c r="BC66" s="53">
        <f t="shared" si="28"/>
        <v>1.0474094692074984E-2</v>
      </c>
    </row>
    <row r="67" spans="1:55" x14ac:dyDescent="0.35">
      <c r="A67" s="5" t="s">
        <v>43</v>
      </c>
      <c r="B67" s="11">
        <v>2021</v>
      </c>
      <c r="C67" s="22">
        <f t="shared" ref="C67:C77" si="39">D67+G67</f>
        <v>10.568195188791748</v>
      </c>
      <c r="D67" s="12">
        <f t="shared" si="32"/>
        <v>10.568195188791748</v>
      </c>
      <c r="E67" s="13">
        <f>'[1]2021'!D35-'[1]2020'!D35</f>
        <v>1.4817617492001967</v>
      </c>
      <c r="F67" s="13">
        <f>'[1]2021'!E35-'[1]2020'!E35</f>
        <v>9.0864334395915503</v>
      </c>
      <c r="G67" s="13">
        <f>'[1]2021'!F35-'[1]2020'!F35</f>
        <v>0</v>
      </c>
      <c r="H67" s="14">
        <f t="shared" si="33"/>
        <v>0.86303426186269405</v>
      </c>
      <c r="I67" s="13">
        <f>'[1]2021'!H35-'[1]2020'!H35</f>
        <v>0.82313210460347186</v>
      </c>
      <c r="J67" s="13">
        <f>'[1]2021'!I35-'[1]2020'!I35</f>
        <v>3.9902157259222193E-2</v>
      </c>
      <c r="K67" s="13">
        <f>'[1]2021'!J35-'[1]2020'!J35</f>
        <v>0</v>
      </c>
      <c r="L67" s="3">
        <f t="shared" si="38"/>
        <v>2.5760420131275383</v>
      </c>
      <c r="M67" s="14">
        <f t="shared" si="31"/>
        <v>2.5760420131275383</v>
      </c>
      <c r="N67" s="4">
        <f t="shared" ref="N67:N77" si="40">O67+T67</f>
        <v>3.1980810121919347</v>
      </c>
      <c r="O67" s="14">
        <f t="shared" si="34"/>
        <v>3.1980810121919347</v>
      </c>
      <c r="P67" s="13">
        <f>'[1]2021'!M35-'[1]2020'!M35</f>
        <v>0.36118565669882002</v>
      </c>
      <c r="Q67" s="13">
        <f>'[1]2021'!N35-'[1]2020'!N35</f>
        <v>0.4484014564506959</v>
      </c>
      <c r="R67" s="13">
        <f>'[1]2021'!O35-'[1]2020'!O35</f>
        <v>2.2148563564287183</v>
      </c>
      <c r="S67" s="13">
        <f>'[1]2021'!P35-'[1]2020'!P35</f>
        <v>2.7496795557412388</v>
      </c>
      <c r="T67" s="13">
        <f>'[1]2021'!Q35-'[1]2020'!Q35</f>
        <v>0</v>
      </c>
      <c r="U67" s="13">
        <f>'[1]2021'!R35-'[1]2020'!S35</f>
        <v>0</v>
      </c>
      <c r="V67" s="14">
        <f t="shared" si="36"/>
        <v>0.21036823011034778</v>
      </c>
      <c r="W67" s="14">
        <f t="shared" si="35"/>
        <v>0.26116602091730678</v>
      </c>
      <c r="X67" s="13">
        <f>'[1]2021'!U35-'[1]2020'!V35</f>
        <v>0.20064191150268296</v>
      </c>
      <c r="Y67" s="13">
        <f>'[1]2021'!V35-'[1]2020'!W35</f>
        <v>0.24909108009755787</v>
      </c>
      <c r="Z67" s="13">
        <f>'[1]2021'!W35-'[1]2020'!X35</f>
        <v>9.7263186076648189E-3</v>
      </c>
      <c r="AA67" s="13">
        <f>'[1]2021'!X35-'[1]2020'!Y35</f>
        <v>1.2074940819748914E-2</v>
      </c>
      <c r="AB67" s="13">
        <f>'[1]2021'!Y35-'[1]2020'!Z35</f>
        <v>0</v>
      </c>
      <c r="AC67" s="13">
        <f>'[1]2021'!Z35-'[1]2020'!AA35</f>
        <v>0</v>
      </c>
      <c r="AD67" s="21"/>
      <c r="AE67" s="17">
        <v>330.45426768437</v>
      </c>
      <c r="AF67" s="26">
        <f t="shared" ref="AF67:AF77" si="41">D67+H67</f>
        <v>11.431229450654442</v>
      </c>
      <c r="AG67" s="26">
        <f t="shared" ref="AG67:AG75" si="42">(D67)+(H67)</f>
        <v>11.431229450654442</v>
      </c>
      <c r="AH67" s="52">
        <f t="shared" ref="AH67:AH76" si="43">($D67/$AG67)</f>
        <v>0.92450206116602052</v>
      </c>
      <c r="AI67" s="52">
        <f t="shared" ref="AI67:AI77" si="44">$D67/$AG67</f>
        <v>0.92450206116602052</v>
      </c>
      <c r="AJ67" s="52">
        <f t="shared" ref="AJ67:AJ77" si="45">(($D67)/(AF67))</f>
        <v>0.92450206116602052</v>
      </c>
      <c r="AK67" s="52">
        <f t="shared" ref="AK67:AK77" si="46">$D67/(AF67)</f>
        <v>0.92450206116602052</v>
      </c>
      <c r="AL67" s="52">
        <f t="shared" ref="AL67:AL77" si="47">($F67/(AG67))</f>
        <v>0.7948780556645505</v>
      </c>
      <c r="AM67" s="52">
        <f t="shared" ref="AM67:AM77" si="48">($F67/(AF67))</f>
        <v>0.7948780556645505</v>
      </c>
      <c r="AN67" s="52">
        <f t="shared" ref="AN67:AN77" si="49">($E67/AG67)</f>
        <v>0.12962400550146994</v>
      </c>
      <c r="AO67" s="52">
        <f t="shared" ref="AO67:AO77" si="50">($E67/AF67)</f>
        <v>0.12962400550146994</v>
      </c>
      <c r="AP67" s="52">
        <f t="shared" ref="AP67:AP77" si="51">($G67/$AG67)</f>
        <v>0</v>
      </c>
      <c r="AQ67" s="52">
        <f t="shared" ref="AQ67:AQ77" si="52">($G67/$AF67)</f>
        <v>0</v>
      </c>
      <c r="AR67" s="52">
        <f t="shared" ref="AR67:AR77" si="53">(F67/D67)</f>
        <v>0.85979046348692523</v>
      </c>
      <c r="AS67" s="52">
        <f t="shared" ref="AS67:AS77" si="54">(E67/D67)</f>
        <v>0.14020953651307466</v>
      </c>
      <c r="AT67" s="52">
        <f t="shared" ref="AT67:AT77" si="55">($H67/(AG67))</f>
        <v>7.5497938833979497E-2</v>
      </c>
      <c r="AU67" s="52">
        <f t="shared" ref="AU67:AU77" si="56">($H67/(AF67))</f>
        <v>7.5497938833979497E-2</v>
      </c>
      <c r="AV67" s="52">
        <f t="shared" ref="AV67:AV77" si="57">($I67/(AG67))</f>
        <v>7.200731191309849E-2</v>
      </c>
      <c r="AW67" s="52">
        <f t="shared" ref="AW67:AW77" si="58">($I67/(AF67))</f>
        <v>7.200731191309849E-2</v>
      </c>
      <c r="AX67" s="52">
        <f t="shared" ref="AX67:AX77" si="59">($J67/(AG67))</f>
        <v>3.4906269208810066E-3</v>
      </c>
      <c r="AY67" s="52">
        <f t="shared" ref="AY67:AY77" si="60">($J67/(AF67))</f>
        <v>3.4906269208810066E-3</v>
      </c>
      <c r="AZ67" s="52">
        <f t="shared" ref="AZ67:AZ77" si="61">(I67/H67)</f>
        <v>0.95376526863128119</v>
      </c>
      <c r="BA67" s="52">
        <f t="shared" ref="BA67:BA77" si="62">J67/H67</f>
        <v>4.623473136871882E-2</v>
      </c>
      <c r="BB67" s="52">
        <f t="shared" ref="BB67:BB77" si="63">(AF67/AE67)</f>
        <v>3.4592470331092418E-2</v>
      </c>
      <c r="BC67" s="53">
        <f t="shared" ref="BC67:BC77" si="64">(AG67/AE67)</f>
        <v>3.4592470331092418E-2</v>
      </c>
    </row>
    <row r="68" spans="1:55" x14ac:dyDescent="0.35">
      <c r="A68" s="5" t="s">
        <v>44</v>
      </c>
      <c r="B68" s="11">
        <v>2021</v>
      </c>
      <c r="C68" s="22">
        <f t="shared" si="39"/>
        <v>-4.740862853156985</v>
      </c>
      <c r="D68" s="12">
        <f t="shared" si="32"/>
        <v>2.9960080689909963</v>
      </c>
      <c r="E68" s="13">
        <f>'[1]2021'!D36-'[1]2020'!D36</f>
        <v>6.64058066031048E-3</v>
      </c>
      <c r="F68" s="13">
        <f>'[1]2021'!E36-'[1]2020'!E36</f>
        <v>2.9893674883306858</v>
      </c>
      <c r="G68" s="13">
        <f>'[1]2021'!F36-'[1]2020'!F36</f>
        <v>-7.7368709221479817</v>
      </c>
      <c r="H68" s="14">
        <f t="shared" si="33"/>
        <v>-1.6726829942206933</v>
      </c>
      <c r="I68" s="13">
        <f>'[1]2021'!H36-'[1]2020'!H36</f>
        <v>0</v>
      </c>
      <c r="J68" s="13">
        <f>'[1]2021'!I36-'[1]2020'!I36</f>
        <v>-1.6726829942206933</v>
      </c>
      <c r="K68" s="13">
        <f>'[1]2021'!J36-'[1]2020'!J36</f>
        <v>0</v>
      </c>
      <c r="L68" s="3">
        <f t="shared" si="38"/>
        <v>-2.13204356979141</v>
      </c>
      <c r="M68" s="14">
        <f t="shared" si="31"/>
        <v>1.347353833338979</v>
      </c>
      <c r="N68" s="4">
        <f t="shared" si="40"/>
        <v>-2.6013586472256827</v>
      </c>
      <c r="O68" s="14">
        <f t="shared" si="34"/>
        <v>0.87803875590470637</v>
      </c>
      <c r="P68" s="13">
        <f>'[1]2021'!M36-'[1]2020'!M36</f>
        <v>2.9863777407246328E-3</v>
      </c>
      <c r="Q68" s="13">
        <f>'[1]2021'!N36-'[1]2020'!N36</f>
        <v>1.9461520286986334E-3</v>
      </c>
      <c r="R68" s="13">
        <f>'[1]2021'!O36-'[1]2020'!O36</f>
        <v>1.3443674555982543</v>
      </c>
      <c r="S68" s="13">
        <f>'[1]2021'!P36-'[1]2020'!P36</f>
        <v>0.87609260387600774</v>
      </c>
      <c r="T68" s="13">
        <f>'[1]2021'!Q36-'[1]2020'!Q36</f>
        <v>-3.4793974031303891</v>
      </c>
      <c r="U68" s="13">
        <f>'[1]2021'!R36-'[1]2020'!S36</f>
        <v>-2.2674413294774491</v>
      </c>
      <c r="V68" s="14">
        <f t="shared" si="36"/>
        <v>-0.75223290202391802</v>
      </c>
      <c r="W68" s="14">
        <f t="shared" si="35"/>
        <v>-0.49021246320044876</v>
      </c>
      <c r="X68" s="13">
        <f>'[1]2021'!U36-'[1]2020'!V36</f>
        <v>0</v>
      </c>
      <c r="Y68" s="13">
        <f>'[1]2021'!V36-'[1]2020'!W36</f>
        <v>0</v>
      </c>
      <c r="Z68" s="13">
        <f>'[1]2021'!W36-'[1]2020'!X36</f>
        <v>-0.75223290202391802</v>
      </c>
      <c r="AA68" s="13">
        <f>'[1]2021'!X36-'[1]2020'!Y36</f>
        <v>-0.49021246320044876</v>
      </c>
      <c r="AB68" s="13">
        <f>'[1]2021'!Y36-'[1]2020'!Z36</f>
        <v>0</v>
      </c>
      <c r="AC68" s="13">
        <f>'[1]2021'!Z36-'[1]2020'!AA36</f>
        <v>0</v>
      </c>
      <c r="AD68" s="21"/>
      <c r="AE68" s="17">
        <v>341.21592570296002</v>
      </c>
      <c r="AF68" s="26">
        <f t="shared" si="41"/>
        <v>1.3233250747703029</v>
      </c>
      <c r="AG68" s="26">
        <f>(D68)+(H68*-1)</f>
        <v>4.6686910632116891</v>
      </c>
      <c r="AH68" s="52">
        <f t="shared" si="43"/>
        <v>0.64172334995538993</v>
      </c>
      <c r="AI68" s="52">
        <f t="shared" si="44"/>
        <v>0.64172334995538993</v>
      </c>
      <c r="AJ68" s="52">
        <f t="shared" si="45"/>
        <v>2.2640000753488558</v>
      </c>
      <c r="AK68" s="52">
        <f t="shared" si="46"/>
        <v>2.2640000753488558</v>
      </c>
      <c r="AL68" s="52">
        <f t="shared" si="47"/>
        <v>0.64030098540601188</v>
      </c>
      <c r="AM68" s="52">
        <f t="shared" si="48"/>
        <v>2.2589819730043033</v>
      </c>
      <c r="AN68" s="52">
        <f t="shared" si="49"/>
        <v>1.4223645493780621E-3</v>
      </c>
      <c r="AO68" s="52">
        <f t="shared" si="50"/>
        <v>5.0181023445528862E-3</v>
      </c>
      <c r="AP68" s="52">
        <f t="shared" si="51"/>
        <v>-1.6571820275521996</v>
      </c>
      <c r="AQ68" s="52">
        <f t="shared" si="52"/>
        <v>-5.8465384429376996</v>
      </c>
      <c r="AR68" s="52">
        <f t="shared" si="53"/>
        <v>0.99778352377316959</v>
      </c>
      <c r="AS68" s="52">
        <f t="shared" si="54"/>
        <v>2.2164762268303611E-3</v>
      </c>
      <c r="AT68" s="52">
        <f t="shared" si="55"/>
        <v>-0.35827665004461018</v>
      </c>
      <c r="AU68" s="52">
        <f t="shared" si="56"/>
        <v>-1.2640000753488561</v>
      </c>
      <c r="AV68" s="52">
        <f t="shared" si="57"/>
        <v>0</v>
      </c>
      <c r="AW68" s="52">
        <f t="shared" si="58"/>
        <v>0</v>
      </c>
      <c r="AX68" s="52">
        <f t="shared" si="59"/>
        <v>-0.35827665004461018</v>
      </c>
      <c r="AY68" s="52">
        <f t="shared" si="60"/>
        <v>-1.2640000753488561</v>
      </c>
      <c r="AZ68" s="52">
        <f t="shared" si="61"/>
        <v>0</v>
      </c>
      <c r="BA68" s="52">
        <f t="shared" si="62"/>
        <v>1</v>
      </c>
      <c r="BB68" s="52">
        <f t="shared" si="63"/>
        <v>3.8782629270425733E-3</v>
      </c>
      <c r="BC68" s="53">
        <f t="shared" si="64"/>
        <v>1.3682512191051547E-2</v>
      </c>
    </row>
    <row r="69" spans="1:55" x14ac:dyDescent="0.35">
      <c r="A69" s="5" t="s">
        <v>45</v>
      </c>
      <c r="B69" s="11">
        <v>2021</v>
      </c>
      <c r="C69" s="22">
        <f t="shared" si="39"/>
        <v>2.3887745550245674</v>
      </c>
      <c r="D69" s="12">
        <f t="shared" si="32"/>
        <v>2.3328215382855015</v>
      </c>
      <c r="E69" s="13">
        <f>'[1]2021'!D37-'[1]2020'!D37</f>
        <v>1.1463344391640371</v>
      </c>
      <c r="F69" s="13">
        <f>'[1]2021'!E37-'[1]2020'!E37</f>
        <v>1.1864870991214644</v>
      </c>
      <c r="G69" s="13">
        <f>'[1]2021'!F37-'[1]2020'!F37</f>
        <v>5.5953016739066053E-2</v>
      </c>
      <c r="H69" s="14">
        <f t="shared" si="33"/>
        <v>-2.7644362885349008</v>
      </c>
      <c r="I69" s="13">
        <f>'[1]2021'!H37-'[1]2020'!H37</f>
        <v>0</v>
      </c>
      <c r="J69" s="13">
        <f>'[1]2021'!I37-'[1]2020'!I37</f>
        <v>-2.7644362885349008</v>
      </c>
      <c r="K69" s="13">
        <f>'[1]2021'!J37-'[1]2020'!J37</f>
        <v>0</v>
      </c>
      <c r="L69" s="3">
        <f t="shared" si="38"/>
        <v>2.4010424129484917</v>
      </c>
      <c r="M69" s="14">
        <f t="shared" si="31"/>
        <v>2.3448020423198233</v>
      </c>
      <c r="N69" s="4">
        <f t="shared" si="40"/>
        <v>1.3400437672427912</v>
      </c>
      <c r="O69" s="14">
        <f t="shared" si="34"/>
        <v>1.2838033966141227</v>
      </c>
      <c r="P69" s="13">
        <f>'[1]2021'!M37-'[1]2020'!M37</f>
        <v>1.152221586615179</v>
      </c>
      <c r="Q69" s="13">
        <f>'[1]2021'!N37-'[1]2020'!N37</f>
        <v>0.63085324895282546</v>
      </c>
      <c r="R69" s="13">
        <f>'[1]2021'!O37-'[1]2020'!O37</f>
        <v>1.1925804557046442</v>
      </c>
      <c r="S69" s="13">
        <f>'[1]2021'!P37-'[1]2020'!P37</f>
        <v>0.65295014766129711</v>
      </c>
      <c r="T69" s="13">
        <f>'[1]2021'!Q37-'[1]2020'!Q37</f>
        <v>5.624037062866849E-2</v>
      </c>
      <c r="U69" s="13">
        <f>'[1]2021'!R37-'[1]2020'!S37</f>
        <v>3.0792185240716252E-2</v>
      </c>
      <c r="V69" s="14">
        <f t="shared" si="36"/>
        <v>-2.778633405444134</v>
      </c>
      <c r="W69" s="14">
        <f t="shared" si="35"/>
        <v>-1.5213305598819034</v>
      </c>
      <c r="X69" s="13">
        <f>'[1]2021'!U37-'[1]2020'!V37</f>
        <v>0</v>
      </c>
      <c r="Y69" s="13">
        <f>'[1]2021'!V37-'[1]2020'!W37</f>
        <v>0</v>
      </c>
      <c r="Z69" s="13">
        <f>'[1]2021'!W37-'[1]2020'!X37</f>
        <v>-2.778633405444134</v>
      </c>
      <c r="AA69" s="13">
        <f>'[1]2021'!X37-'[1]2020'!Y37</f>
        <v>-1.5213305598819034</v>
      </c>
      <c r="AB69" s="13">
        <f>'[1]2021'!Y37-'[1]2020'!Z37</f>
        <v>0</v>
      </c>
      <c r="AC69" s="13">
        <f>'[1]2021'!Z37-'[1]2020'!AA37</f>
        <v>0</v>
      </c>
      <c r="AD69" s="21"/>
      <c r="AE69" s="17">
        <v>181.71174374815001</v>
      </c>
      <c r="AF69" s="26">
        <f t="shared" si="41"/>
        <v>-0.43161475024939921</v>
      </c>
      <c r="AG69" s="26">
        <f>(D69)+(H69*-1)</f>
        <v>5.0972578268204023</v>
      </c>
      <c r="AH69" s="52">
        <f t="shared" si="43"/>
        <v>0.45766206410254956</v>
      </c>
      <c r="AI69" s="52">
        <f t="shared" si="44"/>
        <v>0.45766206410254956</v>
      </c>
      <c r="AJ69" s="52">
        <f t="shared" si="45"/>
        <v>-5.4048698218435103</v>
      </c>
      <c r="AK69" s="52">
        <f t="shared" si="46"/>
        <v>-5.4048698218435103</v>
      </c>
      <c r="AL69" s="52">
        <f t="shared" si="47"/>
        <v>0.23276968508017937</v>
      </c>
      <c r="AM69" s="52">
        <f t="shared" si="48"/>
        <v>-2.7489493777399372</v>
      </c>
      <c r="AN69" s="52">
        <f t="shared" si="49"/>
        <v>0.22489237902237022</v>
      </c>
      <c r="AO69" s="52">
        <f t="shared" si="50"/>
        <v>-2.6559204441035731</v>
      </c>
      <c r="AP69" s="52">
        <f t="shared" si="51"/>
        <v>1.0977081921313907E-2</v>
      </c>
      <c r="AQ69" s="52">
        <f t="shared" si="52"/>
        <v>-0.12963647953814095</v>
      </c>
      <c r="AR69" s="52">
        <f t="shared" si="53"/>
        <v>0.50860602907218899</v>
      </c>
      <c r="AS69" s="52">
        <f t="shared" si="54"/>
        <v>0.49139397092781101</v>
      </c>
      <c r="AT69" s="52">
        <f t="shared" si="55"/>
        <v>-0.54233793589745038</v>
      </c>
      <c r="AU69" s="52">
        <f t="shared" si="56"/>
        <v>6.4048698218435103</v>
      </c>
      <c r="AV69" s="52">
        <f t="shared" si="57"/>
        <v>0</v>
      </c>
      <c r="AW69" s="52">
        <f t="shared" si="58"/>
        <v>0</v>
      </c>
      <c r="AX69" s="52">
        <f t="shared" si="59"/>
        <v>-0.54233793589745038</v>
      </c>
      <c r="AY69" s="52">
        <f t="shared" si="60"/>
        <v>6.4048698218435103</v>
      </c>
      <c r="AZ69" s="52">
        <f t="shared" si="61"/>
        <v>0</v>
      </c>
      <c r="BA69" s="52">
        <f t="shared" si="62"/>
        <v>1</v>
      </c>
      <c r="BB69" s="52">
        <f t="shared" si="63"/>
        <v>-2.3752716326778051E-3</v>
      </c>
      <c r="BC69" s="53">
        <f t="shared" si="64"/>
        <v>2.8051339564960268E-2</v>
      </c>
    </row>
    <row r="70" spans="1:55" x14ac:dyDescent="0.35">
      <c r="A70" s="5" t="s">
        <v>46</v>
      </c>
      <c r="B70" s="11">
        <v>2021</v>
      </c>
      <c r="C70" s="22">
        <f t="shared" si="39"/>
        <v>2.8080199049526562</v>
      </c>
      <c r="D70" s="12">
        <f t="shared" si="32"/>
        <v>2.4340199049526561</v>
      </c>
      <c r="E70" s="13">
        <f>'[1]2021'!D38-'[1]2020'!D38</f>
        <v>-5.5305365439891896E-2</v>
      </c>
      <c r="F70" s="13">
        <f>'[1]2021'!E38-'[1]2020'!E38</f>
        <v>2.4893252703925479</v>
      </c>
      <c r="G70" s="13">
        <f>'[1]2021'!F38-'[1]2020'!F38</f>
        <v>0.374</v>
      </c>
      <c r="H70" s="14">
        <f t="shared" si="33"/>
        <v>0</v>
      </c>
      <c r="I70" s="13">
        <f>'[1]2021'!H38-'[1]2020'!H38</f>
        <v>0</v>
      </c>
      <c r="J70" s="13">
        <f>'[1]2021'!I38-'[1]2020'!I38</f>
        <v>0</v>
      </c>
      <c r="K70" s="13">
        <f>'[1]2021'!J38-'[1]2020'!J38</f>
        <v>0</v>
      </c>
      <c r="L70" s="3">
        <f t="shared" si="38"/>
        <v>5.5694814260102303</v>
      </c>
      <c r="M70" s="14">
        <f t="shared" si="31"/>
        <v>4.8276825343236185</v>
      </c>
      <c r="N70" s="4">
        <f t="shared" si="40"/>
        <v>3.9428828199939616</v>
      </c>
      <c r="O70" s="14">
        <f t="shared" si="34"/>
        <v>3.2010839283073498</v>
      </c>
      <c r="P70" s="13">
        <f>'[1]2021'!M38-'[1]2020'!M38</f>
        <v>-0.10969374007388999</v>
      </c>
      <c r="Q70" s="13">
        <f>'[1]2021'!N38-'[1]2020'!N38</f>
        <v>-7.2734457141691355E-2</v>
      </c>
      <c r="R70" s="13">
        <f>'[1]2021'!O38-'[1]2020'!O38</f>
        <v>4.9373762743975087</v>
      </c>
      <c r="S70" s="13">
        <f>'[1]2021'!P38-'[1]2020'!P38</f>
        <v>3.273818385449041</v>
      </c>
      <c r="T70" s="13">
        <f>'[1]2021'!Q38-'[1]2020'!Q38</f>
        <v>0.74179889168661206</v>
      </c>
      <c r="U70" s="13">
        <f>'[1]2021'!R38-'[1]2020'!S38</f>
        <v>0.49186343412842204</v>
      </c>
      <c r="V70" s="14">
        <f t="shared" si="36"/>
        <v>0</v>
      </c>
      <c r="W70" s="14">
        <f t="shared" si="35"/>
        <v>0</v>
      </c>
      <c r="X70" s="13">
        <f>'[1]2021'!U38-'[1]2020'!V38</f>
        <v>0</v>
      </c>
      <c r="Y70" s="13">
        <f>'[1]2021'!V38-'[1]2020'!W38</f>
        <v>0</v>
      </c>
      <c r="Z70" s="13">
        <f>'[1]2021'!W38-'[1]2020'!X38</f>
        <v>0</v>
      </c>
      <c r="AA70" s="13">
        <f>'[1]2021'!X38-'[1]2020'!Y38</f>
        <v>0</v>
      </c>
      <c r="AB70" s="13">
        <f>'[1]2021'!Y38-'[1]2020'!Z38</f>
        <v>0</v>
      </c>
      <c r="AC70" s="13">
        <f>'[1]2021'!Z38-'[1]2020'!AA38</f>
        <v>0</v>
      </c>
      <c r="AD70" s="21"/>
      <c r="AE70" s="17">
        <v>76.037366075549997</v>
      </c>
      <c r="AF70" s="26">
        <f t="shared" si="41"/>
        <v>2.4340199049526561</v>
      </c>
      <c r="AG70" s="26">
        <f t="shared" si="42"/>
        <v>2.4340199049526561</v>
      </c>
      <c r="AH70" s="52">
        <f t="shared" si="43"/>
        <v>1</v>
      </c>
      <c r="AI70" s="52">
        <f t="shared" si="44"/>
        <v>1</v>
      </c>
      <c r="AJ70" s="52">
        <f t="shared" si="45"/>
        <v>1</v>
      </c>
      <c r="AK70" s="52">
        <f t="shared" si="46"/>
        <v>1</v>
      </c>
      <c r="AL70" s="52">
        <f t="shared" si="47"/>
        <v>1.0227218213488551</v>
      </c>
      <c r="AM70" s="52">
        <f t="shared" si="48"/>
        <v>1.0227218213488551</v>
      </c>
      <c r="AN70" s="52">
        <f t="shared" si="49"/>
        <v>-2.2721821348855253E-2</v>
      </c>
      <c r="AO70" s="52">
        <f t="shared" si="50"/>
        <v>-2.2721821348855253E-2</v>
      </c>
      <c r="AP70" s="52">
        <f t="shared" si="51"/>
        <v>0.15365527588291217</v>
      </c>
      <c r="AQ70" s="52">
        <f t="shared" si="52"/>
        <v>0.15365527588291217</v>
      </c>
      <c r="AR70" s="52">
        <f t="shared" si="53"/>
        <v>1.0227218213488551</v>
      </c>
      <c r="AS70" s="52">
        <f t="shared" si="54"/>
        <v>-2.2721821348855253E-2</v>
      </c>
      <c r="AT70" s="52">
        <f t="shared" si="55"/>
        <v>0</v>
      </c>
      <c r="AU70" s="52">
        <f t="shared" si="56"/>
        <v>0</v>
      </c>
      <c r="AV70" s="52">
        <f t="shared" si="57"/>
        <v>0</v>
      </c>
      <c r="AW70" s="52">
        <f t="shared" si="58"/>
        <v>0</v>
      </c>
      <c r="AX70" s="52">
        <f t="shared" si="59"/>
        <v>0</v>
      </c>
      <c r="AY70" s="52">
        <f t="shared" si="60"/>
        <v>0</v>
      </c>
      <c r="AZ70" s="52">
        <v>0</v>
      </c>
      <c r="BA70" s="52">
        <v>0</v>
      </c>
      <c r="BB70" s="52">
        <f t="shared" si="63"/>
        <v>3.2010839283073501E-2</v>
      </c>
      <c r="BC70" s="53">
        <f t="shared" si="64"/>
        <v>3.2010839283073501E-2</v>
      </c>
    </row>
    <row r="71" spans="1:55" x14ac:dyDescent="0.35">
      <c r="A71" s="5" t="s">
        <v>47</v>
      </c>
      <c r="B71" s="11">
        <v>2021</v>
      </c>
      <c r="C71" s="22">
        <f t="shared" si="39"/>
        <v>0.2625735759179717</v>
      </c>
      <c r="D71" s="12">
        <f t="shared" si="32"/>
        <v>0.14978738107463396</v>
      </c>
      <c r="E71" s="13">
        <f>'[1]2021'!D39-'[1]2020'!D39</f>
        <v>4.9594344938770796E-2</v>
      </c>
      <c r="F71" s="13">
        <f>'[1]2021'!E39-'[1]2020'!E39</f>
        <v>0.10019303613586317</v>
      </c>
      <c r="G71" s="13">
        <f>'[1]2021'!F39-'[1]2020'!F39</f>
        <v>0.11278619484333774</v>
      </c>
      <c r="H71" s="14">
        <f t="shared" si="33"/>
        <v>8.8107902061195453E-2</v>
      </c>
      <c r="I71" s="13">
        <f>'[1]2021'!H39-'[1]2020'!H39</f>
        <v>3.9390999393047466E-3</v>
      </c>
      <c r="J71" s="13">
        <f>'[1]2021'!I39-'[1]2020'!I39</f>
        <v>8.4168802121890707E-2</v>
      </c>
      <c r="K71" s="13">
        <f>'[1]2021'!J39-'[1]2020'!J39</f>
        <v>0</v>
      </c>
      <c r="L71" s="3">
        <f t="shared" si="38"/>
        <v>4.7756168147635392E-2</v>
      </c>
      <c r="M71" s="14">
        <f t="shared" si="31"/>
        <v>2.7242921653429675E-2</v>
      </c>
      <c r="N71" s="4">
        <f t="shared" si="40"/>
        <v>4.9262975860462799E-2</v>
      </c>
      <c r="O71" s="14">
        <f t="shared" si="34"/>
        <v>2.8749729366257082E-2</v>
      </c>
      <c r="P71" s="13">
        <f>'[1]2021'!M39-'[1]2020'!M39</f>
        <v>9.0200846288038816E-3</v>
      </c>
      <c r="Q71" s="13">
        <f>'[1]2021'!N39-'[1]2020'!N39</f>
        <v>9.518986077845959E-3</v>
      </c>
      <c r="R71" s="13">
        <f>'[1]2021'!O39-'[1]2020'!O39</f>
        <v>1.8222837024625793E-2</v>
      </c>
      <c r="S71" s="13">
        <f>'[1]2021'!P39-'[1]2020'!P39</f>
        <v>1.9230743288411123E-2</v>
      </c>
      <c r="T71" s="13">
        <f>'[1]2021'!Q39-'[1]2020'!Q39</f>
        <v>2.0513246494205717E-2</v>
      </c>
      <c r="U71" s="13">
        <f>'[1]2021'!R39-'[1]2020'!S39</f>
        <v>2.1647835450037789E-2</v>
      </c>
      <c r="V71" s="14">
        <f t="shared" si="36"/>
        <v>1.6024825694130385E-2</v>
      </c>
      <c r="W71" s="14">
        <f t="shared" si="35"/>
        <v>1.6911159812760423E-2</v>
      </c>
      <c r="X71" s="13">
        <f>'[1]2021'!U39-'[1]2020'!V39</f>
        <v>7.16432788006649E-4</v>
      </c>
      <c r="Y71" s="13">
        <f>'[1]2021'!V39-'[1]2020'!W39</f>
        <v>7.5605873064316098E-4</v>
      </c>
      <c r="Z71" s="13">
        <f>'[1]2021'!W39-'[1]2020'!X39</f>
        <v>1.5308392906123736E-2</v>
      </c>
      <c r="AA71" s="13">
        <f>'[1]2021'!X39-'[1]2020'!Y39</f>
        <v>1.6155101082117262E-2</v>
      </c>
      <c r="AB71" s="13">
        <f>'[1]2021'!Y39-'[1]2020'!Z39</f>
        <v>0</v>
      </c>
      <c r="AC71" s="13">
        <f>'[1]2021'!Z39-'[1]2020'!AA39</f>
        <v>0</v>
      </c>
      <c r="AD71" s="21"/>
      <c r="AE71" s="17">
        <v>521.00449074291998</v>
      </c>
      <c r="AF71" s="26">
        <f t="shared" si="41"/>
        <v>0.23789528313582942</v>
      </c>
      <c r="AG71" s="26">
        <f t="shared" si="42"/>
        <v>0.23789528313582942</v>
      </c>
      <c r="AH71" s="52">
        <f t="shared" si="43"/>
        <v>0.62963577545634186</v>
      </c>
      <c r="AI71" s="52">
        <f t="shared" si="44"/>
        <v>0.62963577545634186</v>
      </c>
      <c r="AJ71" s="52">
        <f t="shared" si="45"/>
        <v>0.62963577545634186</v>
      </c>
      <c r="AK71" s="52">
        <f t="shared" si="46"/>
        <v>0.62963577545634186</v>
      </c>
      <c r="AL71" s="52">
        <f t="shared" si="47"/>
        <v>0.4211644502369416</v>
      </c>
      <c r="AM71" s="52">
        <f t="shared" si="48"/>
        <v>0.4211644502369416</v>
      </c>
      <c r="AN71" s="52">
        <f t="shared" si="49"/>
        <v>0.20847132521940023</v>
      </c>
      <c r="AO71" s="52">
        <f t="shared" si="50"/>
        <v>0.20847132521940023</v>
      </c>
      <c r="AP71" s="52">
        <f t="shared" si="51"/>
        <v>0.47410017280141276</v>
      </c>
      <c r="AQ71" s="52">
        <f t="shared" si="52"/>
        <v>0.47410017280141276</v>
      </c>
      <c r="AR71" s="52">
        <f t="shared" si="53"/>
        <v>0.6689017153316833</v>
      </c>
      <c r="AS71" s="52">
        <f t="shared" si="54"/>
        <v>0.33109828466831676</v>
      </c>
      <c r="AT71" s="52">
        <f t="shared" si="55"/>
        <v>0.37036422454365814</v>
      </c>
      <c r="AU71" s="52">
        <f t="shared" si="56"/>
        <v>0.37036422454365814</v>
      </c>
      <c r="AV71" s="52">
        <f t="shared" si="57"/>
        <v>1.6558125438139375E-2</v>
      </c>
      <c r="AW71" s="52">
        <f t="shared" si="58"/>
        <v>1.6558125438139375E-2</v>
      </c>
      <c r="AX71" s="52">
        <f t="shared" si="59"/>
        <v>0.35380609910551875</v>
      </c>
      <c r="AY71" s="52">
        <f t="shared" si="60"/>
        <v>0.35380609910551875</v>
      </c>
      <c r="AZ71" s="52">
        <f t="shared" si="61"/>
        <v>4.4707680550251212E-2</v>
      </c>
      <c r="BA71" s="52">
        <f t="shared" si="62"/>
        <v>0.95529231944974879</v>
      </c>
      <c r="BB71" s="52">
        <f t="shared" si="63"/>
        <v>4.5660889179017545E-4</v>
      </c>
      <c r="BC71" s="53">
        <f t="shared" si="64"/>
        <v>4.5660889179017545E-4</v>
      </c>
    </row>
    <row r="72" spans="1:55" x14ac:dyDescent="0.35">
      <c r="A72" s="5" t="s">
        <v>48</v>
      </c>
      <c r="B72" s="11">
        <v>2021</v>
      </c>
      <c r="C72" s="22">
        <f t="shared" si="39"/>
        <v>19.992191518567093</v>
      </c>
      <c r="D72" s="12">
        <f t="shared" si="32"/>
        <v>19.992191518567093</v>
      </c>
      <c r="E72" s="13">
        <f>'[1]2021'!D40-'[1]2020'!D40</f>
        <v>4.4998146472499663</v>
      </c>
      <c r="F72" s="13">
        <f>'[1]2021'!E40-'[1]2020'!E40</f>
        <v>15.492376871317127</v>
      </c>
      <c r="G72" s="13">
        <f>'[1]2021'!F40-'[1]2020'!F40</f>
        <v>0</v>
      </c>
      <c r="H72" s="14">
        <f t="shared" si="33"/>
        <v>1.8682202314776863</v>
      </c>
      <c r="I72" s="13">
        <f>'[1]2021'!H40-'[1]2020'!H40</f>
        <v>0.32113714115521264</v>
      </c>
      <c r="J72" s="13">
        <f>'[1]2021'!I40-'[1]2020'!I40</f>
        <v>1.5470830903224737</v>
      </c>
      <c r="K72" s="13">
        <f>'[1]2021'!J40-'[1]2020'!J40</f>
        <v>0</v>
      </c>
      <c r="L72" s="3">
        <f t="shared" si="38"/>
        <v>2.6759375900372087</v>
      </c>
      <c r="M72" s="14">
        <f t="shared" si="31"/>
        <v>2.6759375900372087</v>
      </c>
      <c r="N72" s="4">
        <f t="shared" si="40"/>
        <v>3.3838372405297141</v>
      </c>
      <c r="O72" s="14">
        <f t="shared" si="34"/>
        <v>3.3838372405297141</v>
      </c>
      <c r="P72" s="13">
        <f>'[1]2021'!M40-'[1]2020'!M40</f>
        <v>0.60229630911615228</v>
      </c>
      <c r="Q72" s="13">
        <f>'[1]2021'!N40-'[1]2020'!N40</f>
        <v>0.76162937738487912</v>
      </c>
      <c r="R72" s="13">
        <f>'[1]2021'!O40-'[1]2020'!O40</f>
        <v>2.0736412809210565</v>
      </c>
      <c r="S72" s="13">
        <f>'[1]2021'!P40-'[1]2020'!P40</f>
        <v>2.6222078631448351</v>
      </c>
      <c r="T72" s="13">
        <f>'[1]2021'!Q40-'[1]2020'!Q40</f>
        <v>0</v>
      </c>
      <c r="U72" s="13">
        <f>'[1]2021'!R40-'[1]2020'!S40</f>
        <v>0</v>
      </c>
      <c r="V72" s="14">
        <f t="shared" si="36"/>
        <v>0.25005966650710959</v>
      </c>
      <c r="W72" s="14">
        <f t="shared" si="35"/>
        <v>0.31621111607069929</v>
      </c>
      <c r="X72" s="13">
        <f>'[1]2021'!U40-'[1]2020'!V40</f>
        <v>4.298392933942391E-2</v>
      </c>
      <c r="Y72" s="13">
        <f>'[1]2021'!V40-'[1]2020'!W40</f>
        <v>5.435501238316176E-2</v>
      </c>
      <c r="Z72" s="13">
        <f>'[1]2021'!W40-'[1]2020'!X40</f>
        <v>0.20707573716768568</v>
      </c>
      <c r="AA72" s="13">
        <f>'[1]2021'!X40-'[1]2020'!Y40</f>
        <v>0.26185610368753753</v>
      </c>
      <c r="AB72" s="13">
        <f>'[1]2021'!Y40-'[1]2020'!Z40</f>
        <v>0</v>
      </c>
      <c r="AC72" s="13">
        <f>'[1]2021'!Z40-'[1]2020'!AA40</f>
        <v>0</v>
      </c>
      <c r="AD72" s="21"/>
      <c r="AE72" s="17">
        <v>590.81421763174001</v>
      </c>
      <c r="AF72" s="26">
        <f t="shared" si="41"/>
        <v>21.860411750044779</v>
      </c>
      <c r="AG72" s="26">
        <f t="shared" si="42"/>
        <v>21.860411750044779</v>
      </c>
      <c r="AH72" s="52">
        <f t="shared" si="43"/>
        <v>0.91453865312148752</v>
      </c>
      <c r="AI72" s="52">
        <f t="shared" si="44"/>
        <v>0.91453865312148752</v>
      </c>
      <c r="AJ72" s="52">
        <f t="shared" si="45"/>
        <v>0.91453865312148752</v>
      </c>
      <c r="AK72" s="52">
        <f t="shared" si="46"/>
        <v>0.91453865312148752</v>
      </c>
      <c r="AL72" s="52">
        <f t="shared" si="47"/>
        <v>0.70869556568555447</v>
      </c>
      <c r="AM72" s="52">
        <f t="shared" si="48"/>
        <v>0.70869556568555447</v>
      </c>
      <c r="AN72" s="52">
        <f t="shared" si="49"/>
        <v>0.20584308743593308</v>
      </c>
      <c r="AO72" s="52">
        <f t="shared" si="50"/>
        <v>0.20584308743593308</v>
      </c>
      <c r="AP72" s="52">
        <f t="shared" si="51"/>
        <v>0</v>
      </c>
      <c r="AQ72" s="52">
        <f t="shared" si="52"/>
        <v>0</v>
      </c>
      <c r="AR72" s="52">
        <f t="shared" si="53"/>
        <v>0.7749213915307428</v>
      </c>
      <c r="AS72" s="52">
        <f t="shared" si="54"/>
        <v>0.22507860846925715</v>
      </c>
      <c r="AT72" s="52">
        <f t="shared" si="55"/>
        <v>8.5461346878512451E-2</v>
      </c>
      <c r="AU72" s="52">
        <f t="shared" si="56"/>
        <v>8.5461346878512451E-2</v>
      </c>
      <c r="AV72" s="52">
        <f t="shared" si="57"/>
        <v>1.4690351893969006E-2</v>
      </c>
      <c r="AW72" s="52">
        <f t="shared" si="58"/>
        <v>1.4690351893969006E-2</v>
      </c>
      <c r="AX72" s="52">
        <f t="shared" si="59"/>
        <v>7.0770994984543451E-2</v>
      </c>
      <c r="AY72" s="52">
        <f t="shared" si="60"/>
        <v>7.0770994984543451E-2</v>
      </c>
      <c r="AZ72" s="52">
        <f t="shared" si="61"/>
        <v>0.17189469193426204</v>
      </c>
      <c r="BA72" s="52">
        <f t="shared" si="62"/>
        <v>0.8281053080657379</v>
      </c>
      <c r="BB72" s="52">
        <f t="shared" si="63"/>
        <v>3.7000483566004119E-2</v>
      </c>
      <c r="BC72" s="53">
        <f t="shared" si="64"/>
        <v>3.7000483566004119E-2</v>
      </c>
    </row>
    <row r="73" spans="1:55" x14ac:dyDescent="0.35">
      <c r="A73" s="1" t="s">
        <v>49</v>
      </c>
      <c r="B73" s="11">
        <v>2021</v>
      </c>
      <c r="C73" s="22">
        <f t="shared" si="39"/>
        <v>12.333043733477528</v>
      </c>
      <c r="D73" s="12">
        <f t="shared" si="32"/>
        <v>11.328436070309353</v>
      </c>
      <c r="E73" s="13">
        <f>'[1]2021'!D41-'[1]2020'!D41</f>
        <v>-0.69891173880890034</v>
      </c>
      <c r="F73" s="13">
        <f>'[1]2021'!E41-'[1]2020'!E41</f>
        <v>12.027347809118254</v>
      </c>
      <c r="G73" s="13">
        <f>'[1]2021'!F41-'[1]2020'!F41</f>
        <v>1.0046076631681755</v>
      </c>
      <c r="H73" s="14">
        <f t="shared" si="33"/>
        <v>3.2859281358385646</v>
      </c>
      <c r="I73" s="13">
        <f>'[1]2021'!H41-'[1]2020'!H41</f>
        <v>3.2859281358385646</v>
      </c>
      <c r="J73" s="13">
        <f>'[1]2021'!I41-'[1]2020'!I41</f>
        <v>0</v>
      </c>
      <c r="K73" s="13">
        <f>'[1]2021'!J41-'[1]2020'!J41</f>
        <v>-1.4672521220830275</v>
      </c>
      <c r="L73" s="3">
        <f t="shared" si="38"/>
        <v>4.7079971290143501</v>
      </c>
      <c r="M73" s="14">
        <f t="shared" si="31"/>
        <v>4.3244997461952943</v>
      </c>
      <c r="N73" s="4">
        <f t="shared" si="40"/>
        <v>2.9506233159586852</v>
      </c>
      <c r="O73" s="14">
        <f t="shared" si="34"/>
        <v>2.5671259331396294</v>
      </c>
      <c r="P73" s="13">
        <f>'[1]2021'!M41-'[1]2020'!M41</f>
        <v>-0.26680149125028052</v>
      </c>
      <c r="Q73" s="13">
        <f>'[1]2021'!N41-'[1]2020'!N41</f>
        <v>-0.1583797126572869</v>
      </c>
      <c r="R73" s="13">
        <f>'[1]2021'!O41-'[1]2020'!O41</f>
        <v>4.5913012374455748</v>
      </c>
      <c r="S73" s="13">
        <f>'[1]2021'!P41-'[1]2020'!P41</f>
        <v>2.7255056457969165</v>
      </c>
      <c r="T73" s="13">
        <f>'[1]2021'!Q41-'[1]2020'!Q41</f>
        <v>0.38349738281905577</v>
      </c>
      <c r="U73" s="13">
        <f>'[1]2021'!R41-'[1]2020'!S41</f>
        <v>0.22765317019433928</v>
      </c>
      <c r="V73" s="14">
        <f t="shared" si="36"/>
        <v>0.69425858177460875</v>
      </c>
      <c r="W73" s="14">
        <f t="shared" si="35"/>
        <v>0.41212841118706633</v>
      </c>
      <c r="X73" s="13">
        <f>'[1]2021'!U41-'[1]2020'!V41</f>
        <v>1.2543651481330917</v>
      </c>
      <c r="Y73" s="13">
        <f>'[1]2021'!V41-'[1]2020'!W41</f>
        <v>0.74462099442416596</v>
      </c>
      <c r="Z73" s="13">
        <f>'[1]2021'!W41-'[1]2020'!X41</f>
        <v>0</v>
      </c>
      <c r="AA73" s="13">
        <f>'[1]2021'!X41-'[1]2020'!Y41</f>
        <v>0</v>
      </c>
      <c r="AB73" s="13">
        <f>'[1]2021'!Y41-'[1]2020'!Z41</f>
        <v>-0.56010656635848299</v>
      </c>
      <c r="AC73" s="13">
        <f>'[1]2021'!Z41-'[1]2020'!AA41</f>
        <v>-0.33249258323709963</v>
      </c>
      <c r="AD73" s="21"/>
      <c r="AE73" s="17">
        <v>441.28867711817003</v>
      </c>
      <c r="AF73" s="26">
        <f t="shared" si="41"/>
        <v>14.614364206147918</v>
      </c>
      <c r="AG73" s="26">
        <f t="shared" si="42"/>
        <v>14.614364206147918</v>
      </c>
      <c r="AH73" s="52">
        <f t="shared" si="43"/>
        <v>0.77515764014857025</v>
      </c>
      <c r="AI73" s="52">
        <f t="shared" si="44"/>
        <v>0.77515764014857025</v>
      </c>
      <c r="AJ73" s="52">
        <f t="shared" si="45"/>
        <v>0.77515764014857025</v>
      </c>
      <c r="AK73" s="52">
        <f t="shared" si="46"/>
        <v>0.77515764014857025</v>
      </c>
      <c r="AL73" s="52">
        <f t="shared" si="47"/>
        <v>0.82298125593849869</v>
      </c>
      <c r="AM73" s="52">
        <f t="shared" si="48"/>
        <v>0.82298125593849869</v>
      </c>
      <c r="AN73" s="52">
        <f t="shared" si="49"/>
        <v>-4.7823615789928421E-2</v>
      </c>
      <c r="AO73" s="52">
        <f t="shared" si="50"/>
        <v>-4.7823615789928421E-2</v>
      </c>
      <c r="AP73" s="52">
        <f t="shared" si="51"/>
        <v>6.8741113126601888E-2</v>
      </c>
      <c r="AQ73" s="52">
        <f t="shared" si="52"/>
        <v>6.8741113126601888E-2</v>
      </c>
      <c r="AR73" s="52">
        <f t="shared" si="53"/>
        <v>1.0616953420993984</v>
      </c>
      <c r="AS73" s="52">
        <f t="shared" si="54"/>
        <v>-6.1695342099398427E-2</v>
      </c>
      <c r="AT73" s="52">
        <f t="shared" si="55"/>
        <v>0.22484235985142975</v>
      </c>
      <c r="AU73" s="52">
        <f t="shared" si="56"/>
        <v>0.22484235985142975</v>
      </c>
      <c r="AV73" s="52">
        <f t="shared" si="57"/>
        <v>0.22484235985142975</v>
      </c>
      <c r="AW73" s="52">
        <f t="shared" si="58"/>
        <v>0.22484235985142975</v>
      </c>
      <c r="AX73" s="52">
        <f t="shared" si="59"/>
        <v>0</v>
      </c>
      <c r="AY73" s="52">
        <f t="shared" si="60"/>
        <v>0</v>
      </c>
      <c r="AZ73" s="52">
        <f t="shared" si="61"/>
        <v>1</v>
      </c>
      <c r="BA73" s="52">
        <f t="shared" si="62"/>
        <v>0</v>
      </c>
      <c r="BB73" s="52">
        <f t="shared" si="63"/>
        <v>3.3117469275637967E-2</v>
      </c>
      <c r="BC73" s="53">
        <f t="shared" si="64"/>
        <v>3.3117469275637967E-2</v>
      </c>
    </row>
    <row r="74" spans="1:55" x14ac:dyDescent="0.35">
      <c r="A74" s="1" t="s">
        <v>50</v>
      </c>
      <c r="B74" s="11">
        <v>2021</v>
      </c>
      <c r="C74" s="22">
        <f t="shared" si="39"/>
        <v>1.8517206229125112</v>
      </c>
      <c r="D74" s="12">
        <f t="shared" si="32"/>
        <v>1.4773253152961932</v>
      </c>
      <c r="E74" s="13">
        <f>'[1]2021'!D42-'[1]2020'!D42</f>
        <v>0.96162805443899124</v>
      </c>
      <c r="F74" s="13">
        <f>'[1]2021'!E42-'[1]2020'!E42</f>
        <v>0.51569726085720191</v>
      </c>
      <c r="G74" s="13">
        <f>'[1]2021'!F42-'[1]2020'!F42</f>
        <v>0.37439530761631801</v>
      </c>
      <c r="H74" s="14">
        <f t="shared" si="33"/>
        <v>-0.792975186445525</v>
      </c>
      <c r="I74" s="13">
        <f>'[1]2021'!H42-'[1]2020'!H42</f>
        <v>-0.84264994808854254</v>
      </c>
      <c r="J74" s="13">
        <f>'[1]2021'!I42-'[1]2020'!I42</f>
        <v>4.967476164301754E-2</v>
      </c>
      <c r="K74" s="13">
        <f>'[1]2021'!J42-'[1]2020'!J42</f>
        <v>0</v>
      </c>
      <c r="L74" s="3">
        <f t="shared" si="38"/>
        <v>0.57613202269686359</v>
      </c>
      <c r="M74" s="14">
        <f t="shared" si="31"/>
        <v>0.45964516004804001</v>
      </c>
      <c r="N74" s="4">
        <f t="shared" si="40"/>
        <v>0.33044651031572164</v>
      </c>
      <c r="O74" s="14">
        <f t="shared" si="34"/>
        <v>0.21395964766689801</v>
      </c>
      <c r="P74" s="13">
        <f>'[1]2021'!M42-'[1]2020'!M42</f>
        <v>0.29919454869740458</v>
      </c>
      <c r="Q74" s="13">
        <f>'[1]2021'!N42-'[1]2020'!N42</f>
        <v>0.13927169431407183</v>
      </c>
      <c r="R74" s="13">
        <f>'[1]2021'!O42-'[1]2020'!O42</f>
        <v>0.16045061135063543</v>
      </c>
      <c r="S74" s="13">
        <f>'[1]2021'!P42-'[1]2020'!P42</f>
        <v>7.4687953352826186E-2</v>
      </c>
      <c r="T74" s="13">
        <f>'[1]2021'!Q42-'[1]2020'!Q42</f>
        <v>0.11648686264882363</v>
      </c>
      <c r="U74" s="13">
        <f>'[1]2021'!R42-'[1]2020'!S42</f>
        <v>5.4223323242563383E-2</v>
      </c>
      <c r="V74" s="14">
        <f t="shared" si="36"/>
        <v>-0.24672101852854311</v>
      </c>
      <c r="W74" s="14">
        <f t="shared" si="35"/>
        <v>-0.11484585672754211</v>
      </c>
      <c r="X74" s="13">
        <f>'[1]2021'!U42-'[1]2020'!V42</f>
        <v>-0.26217649304681157</v>
      </c>
      <c r="Y74" s="13">
        <f>'[1]2021'!V42-'[1]2020'!W42</f>
        <v>-0.12204020612982402</v>
      </c>
      <c r="Z74" s="13">
        <f>'[1]2021'!W42-'[1]2020'!X42</f>
        <v>1.5455474518268453E-2</v>
      </c>
      <c r="AA74" s="13">
        <f>'[1]2021'!X42-'[1]2020'!Y42</f>
        <v>7.1943494022819188E-3</v>
      </c>
      <c r="AB74" s="13">
        <f>'[1]2021'!Y42-'[1]2020'!Z42</f>
        <v>0</v>
      </c>
      <c r="AC74" s="13">
        <f>'[1]2021'!Z42-'[1]2020'!AA42</f>
        <v>0</v>
      </c>
      <c r="AD74" s="21"/>
      <c r="AE74" s="17">
        <v>690.46912883131995</v>
      </c>
      <c r="AF74" s="26">
        <f t="shared" si="41"/>
        <v>0.68435012885066815</v>
      </c>
      <c r="AG74" s="26">
        <f>(D74)+(H74*-1)</f>
        <v>2.2703005017417182</v>
      </c>
      <c r="AH74" s="52">
        <f t="shared" si="43"/>
        <v>0.65071796185695496</v>
      </c>
      <c r="AI74" s="52">
        <f t="shared" si="44"/>
        <v>0.65071796185695496</v>
      </c>
      <c r="AJ74" s="52">
        <f t="shared" si="45"/>
        <v>2.1587273137177414</v>
      </c>
      <c r="AK74" s="52">
        <f t="shared" si="46"/>
        <v>2.1587273137177414</v>
      </c>
      <c r="AL74" s="52">
        <f t="shared" si="47"/>
        <v>0.22714934012549079</v>
      </c>
      <c r="AM74" s="52">
        <f t="shared" si="48"/>
        <v>0.7535576295182258</v>
      </c>
      <c r="AN74" s="52">
        <f t="shared" si="49"/>
        <v>0.4235686217314642</v>
      </c>
      <c r="AO74" s="52">
        <f t="shared" si="50"/>
        <v>1.4051696841995156</v>
      </c>
      <c r="AP74" s="52">
        <f t="shared" si="51"/>
        <v>0.16491002284899783</v>
      </c>
      <c r="AQ74" s="52">
        <f t="shared" si="52"/>
        <v>0.54708151841089914</v>
      </c>
      <c r="AR74" s="52">
        <f t="shared" si="53"/>
        <v>0.34907495019389706</v>
      </c>
      <c r="AS74" s="52">
        <f t="shared" si="54"/>
        <v>0.65092504980610288</v>
      </c>
      <c r="AT74" s="52">
        <f t="shared" si="55"/>
        <v>-0.34928203814304498</v>
      </c>
      <c r="AU74" s="52">
        <f t="shared" si="56"/>
        <v>-1.1587273137177416</v>
      </c>
      <c r="AV74" s="52">
        <f t="shared" si="57"/>
        <v>-0.37116229655152805</v>
      </c>
      <c r="AW74" s="52">
        <f t="shared" si="58"/>
        <v>-1.2313140782244478</v>
      </c>
      <c r="AX74" s="52">
        <f t="shared" si="59"/>
        <v>2.188025840848306E-2</v>
      </c>
      <c r="AY74" s="52">
        <f t="shared" si="60"/>
        <v>7.2586764506706272E-2</v>
      </c>
      <c r="AZ74" s="52">
        <f t="shared" si="61"/>
        <v>1.0626435259162175</v>
      </c>
      <c r="BA74" s="52">
        <f t="shared" si="62"/>
        <v>-6.2643525916217357E-2</v>
      </c>
      <c r="BB74" s="52">
        <f t="shared" si="63"/>
        <v>9.9113790939356155E-4</v>
      </c>
      <c r="BC74" s="53">
        <f t="shared" si="64"/>
        <v>3.2880550439444013E-3</v>
      </c>
    </row>
    <row r="75" spans="1:55" x14ac:dyDescent="0.35">
      <c r="A75" s="1" t="s">
        <v>51</v>
      </c>
      <c r="B75" s="11">
        <v>2021</v>
      </c>
      <c r="C75" s="22">
        <f t="shared" si="39"/>
        <v>-0.2511395029745106</v>
      </c>
      <c r="D75" s="12">
        <f t="shared" si="32"/>
        <v>0.15333847332957776</v>
      </c>
      <c r="E75" s="13">
        <f>'[1]2021'!D43-'[1]2020'!D43</f>
        <v>4.6165707683641088E-3</v>
      </c>
      <c r="F75" s="13">
        <f>'[1]2021'!E43-'[1]2020'!E43</f>
        <v>0.14872190256121365</v>
      </c>
      <c r="G75" s="13">
        <f>'[1]2021'!F43-'[1]2020'!F43</f>
        <v>-0.40447797630408838</v>
      </c>
      <c r="H75" s="14">
        <f t="shared" si="33"/>
        <v>0</v>
      </c>
      <c r="I75" s="13">
        <f>'[1]2021'!H43-'[1]2020'!H43</f>
        <v>0</v>
      </c>
      <c r="J75" s="13">
        <f>'[1]2021'!I43-'[1]2020'!I43</f>
        <v>0</v>
      </c>
      <c r="K75" s="13">
        <f>'[1]2021'!J43-'[1]2020'!J43</f>
        <v>0</v>
      </c>
      <c r="L75" s="3">
        <f t="shared" si="38"/>
        <v>-0.39007420589816971</v>
      </c>
      <c r="M75" s="14">
        <f t="shared" si="31"/>
        <v>0.238167960473122</v>
      </c>
      <c r="N75" s="4">
        <f t="shared" si="40"/>
        <v>-0.46016959034177563</v>
      </c>
      <c r="O75" s="14">
        <f t="shared" si="34"/>
        <v>0.16807257602951609</v>
      </c>
      <c r="P75" s="13">
        <f>'[1]2021'!M43-'[1]2020'!M43</f>
        <v>7.1705373113886695E-3</v>
      </c>
      <c r="Q75" s="13">
        <f>'[1]2021'!N43-'[1]2020'!N43</f>
        <v>5.0601712969569057E-3</v>
      </c>
      <c r="R75" s="13">
        <f>'[1]2021'!O43-'[1]2020'!O43</f>
        <v>0.23099742316173333</v>
      </c>
      <c r="S75" s="13">
        <f>'[1]2021'!P43-'[1]2020'!P43</f>
        <v>0.16301240473255918</v>
      </c>
      <c r="T75" s="13">
        <f>'[1]2021'!Q43-'[1]2020'!Q43</f>
        <v>-0.62824216637129171</v>
      </c>
      <c r="U75" s="13">
        <f>'[1]2021'!R43-'[1]2020'!S43</f>
        <v>-0.44334376069153497</v>
      </c>
      <c r="V75" s="14">
        <f t="shared" si="36"/>
        <v>0</v>
      </c>
      <c r="W75" s="14">
        <f t="shared" si="35"/>
        <v>0</v>
      </c>
      <c r="X75" s="13">
        <f>'[1]2021'!U43-'[1]2020'!V43</f>
        <v>0</v>
      </c>
      <c r="Y75" s="13">
        <f>'[1]2021'!V43-'[1]2020'!W43</f>
        <v>0</v>
      </c>
      <c r="Z75" s="13">
        <f>'[1]2021'!W43-'[1]2020'!X43</f>
        <v>0</v>
      </c>
      <c r="AA75" s="13">
        <f>'[1]2021'!X43-'[1]2020'!Y43</f>
        <v>0</v>
      </c>
      <c r="AB75" s="13">
        <f>'[1]2021'!Y43-'[1]2020'!Z43</f>
        <v>0</v>
      </c>
      <c r="AC75" s="13">
        <f>'[1]2021'!Z43-'[1]2020'!AA43</f>
        <v>0</v>
      </c>
      <c r="AD75" s="21"/>
      <c r="AE75" s="17">
        <v>91.233487908610002</v>
      </c>
      <c r="AF75" s="26">
        <f t="shared" si="41"/>
        <v>0.15333847332957776</v>
      </c>
      <c r="AG75" s="26">
        <f t="shared" si="42"/>
        <v>0.15333847332957776</v>
      </c>
      <c r="AH75" s="52">
        <f t="shared" si="43"/>
        <v>1</v>
      </c>
      <c r="AI75" s="52">
        <f t="shared" si="44"/>
        <v>1</v>
      </c>
      <c r="AJ75" s="52">
        <f t="shared" si="45"/>
        <v>1</v>
      </c>
      <c r="AK75" s="52">
        <f t="shared" si="46"/>
        <v>1</v>
      </c>
      <c r="AL75" s="52">
        <f t="shared" si="47"/>
        <v>0.96989293901184548</v>
      </c>
      <c r="AM75" s="52">
        <f t="shared" si="48"/>
        <v>0.96989293901184548</v>
      </c>
      <c r="AN75" s="52">
        <f t="shared" si="49"/>
        <v>3.010706098815456E-2</v>
      </c>
      <c r="AO75" s="52">
        <f t="shared" si="50"/>
        <v>3.010706098815456E-2</v>
      </c>
      <c r="AP75" s="52">
        <f t="shared" si="51"/>
        <v>-2.6378114214997068</v>
      </c>
      <c r="AQ75" s="52">
        <f t="shared" si="52"/>
        <v>-2.6378114214997068</v>
      </c>
      <c r="AR75" s="52">
        <f t="shared" si="53"/>
        <v>0.96989293901184548</v>
      </c>
      <c r="AS75" s="52">
        <f t="shared" si="54"/>
        <v>3.010706098815456E-2</v>
      </c>
      <c r="AT75" s="52">
        <f t="shared" si="55"/>
        <v>0</v>
      </c>
      <c r="AU75" s="52">
        <f t="shared" si="56"/>
        <v>0</v>
      </c>
      <c r="AV75" s="52">
        <f t="shared" si="57"/>
        <v>0</v>
      </c>
      <c r="AW75" s="52">
        <f t="shared" si="58"/>
        <v>0</v>
      </c>
      <c r="AX75" s="52">
        <f t="shared" si="59"/>
        <v>0</v>
      </c>
      <c r="AY75" s="52">
        <f t="shared" si="60"/>
        <v>0</v>
      </c>
      <c r="AZ75" s="52">
        <v>0</v>
      </c>
      <c r="BA75" s="52">
        <v>0</v>
      </c>
      <c r="BB75" s="52">
        <f t="shared" si="63"/>
        <v>1.6807257602951592E-3</v>
      </c>
      <c r="BC75" s="53">
        <f t="shared" si="64"/>
        <v>1.6807257602951592E-3</v>
      </c>
    </row>
    <row r="76" spans="1:55" x14ac:dyDescent="0.35">
      <c r="A76" s="1" t="s">
        <v>52</v>
      </c>
      <c r="B76" s="11">
        <v>2021</v>
      </c>
      <c r="C76" s="22">
        <f t="shared" si="39"/>
        <v>11.802450953905005</v>
      </c>
      <c r="D76" s="12">
        <f t="shared" si="32"/>
        <v>11.802450953905005</v>
      </c>
      <c r="E76" s="13">
        <f>'[1]2021'!D44-'[1]2020'!D44</f>
        <v>5.9305849670506685</v>
      </c>
      <c r="F76" s="13">
        <f>'[1]2021'!E44-'[1]2020'!E44</f>
        <v>5.8718659868543375</v>
      </c>
      <c r="G76" s="13">
        <f>'[1]2021'!F44-'[1]2020'!F44</f>
        <v>0</v>
      </c>
      <c r="H76" s="14">
        <f t="shared" si="33"/>
        <v>-0.12702259531584925</v>
      </c>
      <c r="I76" s="13">
        <f>'[1]2021'!H44-'[1]2020'!H44</f>
        <v>0</v>
      </c>
      <c r="J76" s="13">
        <f>'[1]2021'!I44-'[1]2020'!I44</f>
        <v>-0.12702259531584925</v>
      </c>
      <c r="K76" s="13">
        <f>'[1]2021'!J44-'[1]2020'!J44</f>
        <v>0</v>
      </c>
      <c r="L76" s="3">
        <f t="shared" si="38"/>
        <v>8.0079608453303432</v>
      </c>
      <c r="M76" s="14">
        <f t="shared" si="31"/>
        <v>8.0079608453303432</v>
      </c>
      <c r="N76" s="4">
        <f t="shared" si="40"/>
        <v>3.8086162631906841</v>
      </c>
      <c r="O76" s="14">
        <f t="shared" si="34"/>
        <v>3.8086162631906841</v>
      </c>
      <c r="P76" s="13">
        <f>'[1]2021'!M44-'[1]2020'!M44</f>
        <v>4.0239008314059657</v>
      </c>
      <c r="Q76" s="13">
        <f>'[1]2021'!N44-'[1]2020'!N44</f>
        <v>1.9137823528315558</v>
      </c>
      <c r="R76" s="13">
        <f>'[1]2021'!O44-'[1]2020'!O44</f>
        <v>3.9840600139243771</v>
      </c>
      <c r="S76" s="13">
        <f>'[1]2021'!P44-'[1]2020'!P44</f>
        <v>1.8948339103591281</v>
      </c>
      <c r="T76" s="13">
        <f>'[1]2021'!Q44-'[1]2020'!Q44</f>
        <v>0</v>
      </c>
      <c r="U76" s="13">
        <f>'[1]2021'!R44-'[1]2020'!S44</f>
        <v>0</v>
      </c>
      <c r="V76" s="14">
        <f t="shared" si="36"/>
        <v>-8.6184808031336324E-2</v>
      </c>
      <c r="W76" s="14">
        <f t="shared" si="35"/>
        <v>-4.098981848787675E-2</v>
      </c>
      <c r="X76" s="13">
        <f>'[1]2021'!U44-'[1]2020'!V44</f>
        <v>0</v>
      </c>
      <c r="Y76" s="13">
        <f>'[1]2021'!V44-'[1]2020'!W44</f>
        <v>0</v>
      </c>
      <c r="Z76" s="13">
        <f>'[1]2021'!W44-'[1]2020'!X44</f>
        <v>-8.6184808031336324E-2</v>
      </c>
      <c r="AA76" s="13">
        <f>'[1]2021'!X44-'[1]2020'!Y44</f>
        <v>-4.098981848787675E-2</v>
      </c>
      <c r="AB76" s="13">
        <f>'[1]2021'!Y44-'[1]2020'!Z44</f>
        <v>0</v>
      </c>
      <c r="AC76" s="13">
        <f>'[1]2021'!Z44-'[1]2020'!AA44</f>
        <v>0</v>
      </c>
      <c r="AD76" s="21"/>
      <c r="AE76" s="17">
        <v>309.88816247970999</v>
      </c>
      <c r="AF76" s="26">
        <f t="shared" si="41"/>
        <v>11.675428358589155</v>
      </c>
      <c r="AG76" s="26">
        <f>(D76)+(H76*-1)</f>
        <v>11.929473549220855</v>
      </c>
      <c r="AH76" s="52">
        <f t="shared" si="43"/>
        <v>0.98935220445464278</v>
      </c>
      <c r="AI76" s="52">
        <f t="shared" si="44"/>
        <v>0.98935220445464278</v>
      </c>
      <c r="AJ76" s="52">
        <f t="shared" si="45"/>
        <v>1.0108794805136554</v>
      </c>
      <c r="AK76" s="52">
        <f t="shared" si="46"/>
        <v>1.0108794805136554</v>
      </c>
      <c r="AL76" s="52">
        <f t="shared" si="47"/>
        <v>0.49221501373275978</v>
      </c>
      <c r="AM76" s="52">
        <f t="shared" si="48"/>
        <v>0.50292510103362809</v>
      </c>
      <c r="AN76" s="52">
        <f t="shared" si="49"/>
        <v>0.49713719072188312</v>
      </c>
      <c r="AO76" s="52">
        <f t="shared" si="50"/>
        <v>0.50795437948002731</v>
      </c>
      <c r="AP76" s="52">
        <f t="shared" si="51"/>
        <v>0</v>
      </c>
      <c r="AQ76" s="52">
        <f t="shared" si="52"/>
        <v>0</v>
      </c>
      <c r="AR76" s="52">
        <f t="shared" si="53"/>
        <v>0.49751242430806702</v>
      </c>
      <c r="AS76" s="52">
        <f t="shared" si="54"/>
        <v>0.50248757569193303</v>
      </c>
      <c r="AT76" s="52">
        <f t="shared" si="55"/>
        <v>-1.0647795545357107E-2</v>
      </c>
      <c r="AU76" s="52">
        <f t="shared" si="56"/>
        <v>-1.0879480513655304E-2</v>
      </c>
      <c r="AV76" s="52">
        <f t="shared" si="57"/>
        <v>0</v>
      </c>
      <c r="AW76" s="52">
        <f t="shared" si="58"/>
        <v>0</v>
      </c>
      <c r="AX76" s="52">
        <f t="shared" si="59"/>
        <v>-1.0647795545357107E-2</v>
      </c>
      <c r="AY76" s="52">
        <f t="shared" si="60"/>
        <v>-1.0879480513655304E-2</v>
      </c>
      <c r="AZ76" s="52">
        <f t="shared" si="61"/>
        <v>0</v>
      </c>
      <c r="BA76" s="52">
        <f t="shared" si="62"/>
        <v>1</v>
      </c>
      <c r="BB76" s="52">
        <f t="shared" si="63"/>
        <v>3.7676264447028068E-2</v>
      </c>
      <c r="BC76" s="53">
        <f t="shared" si="64"/>
        <v>3.8496060816785603E-2</v>
      </c>
    </row>
    <row r="77" spans="1:55" x14ac:dyDescent="0.35">
      <c r="A77" s="1" t="s">
        <v>53</v>
      </c>
      <c r="B77" s="11">
        <v>2021</v>
      </c>
      <c r="C77" s="22">
        <f t="shared" si="39"/>
        <v>-6.1933720156130523</v>
      </c>
      <c r="D77" s="12">
        <f t="shared" si="32"/>
        <v>-6.1933720156130523</v>
      </c>
      <c r="E77" s="13">
        <f>'[1]2021'!D45-'[1]2020'!D45</f>
        <v>1.6041485317439506</v>
      </c>
      <c r="F77" s="13">
        <f>'[1]2021'!E45-'[1]2020'!E45</f>
        <v>-7.7975205473570028</v>
      </c>
      <c r="G77" s="13">
        <f>'[1]2021'!F45-'[1]2020'!F45</f>
        <v>0</v>
      </c>
      <c r="H77" s="14">
        <f t="shared" si="33"/>
        <v>-2.8691941720151064</v>
      </c>
      <c r="I77" s="13">
        <f>'[1]2021'!H45-'[1]2020'!H45</f>
        <v>-2.9933301505039651</v>
      </c>
      <c r="J77" s="13">
        <f>'[1]2021'!I45-'[1]2020'!I45</f>
        <v>0.12413597848885871</v>
      </c>
      <c r="K77" s="13">
        <f>'[1]2021'!J45-'[1]2020'!J45</f>
        <v>0</v>
      </c>
      <c r="L77" s="3">
        <f t="shared" si="38"/>
        <v>-1.0836987288498245</v>
      </c>
      <c r="M77" s="14">
        <f t="shared" si="31"/>
        <v>-1.0836987288498245</v>
      </c>
      <c r="N77" s="4">
        <f t="shared" si="40"/>
        <v>-0.50956520348752554</v>
      </c>
      <c r="O77" s="14">
        <f t="shared" si="34"/>
        <v>-0.50956520348752554</v>
      </c>
      <c r="P77" s="13">
        <f>'[1]2021'!M45-'[1]2020'!M45</f>
        <v>0.28068937573180058</v>
      </c>
      <c r="Q77" s="13">
        <f>'[1]2021'!N45-'[1]2020'!N45</f>
        <v>0.13198275042120303</v>
      </c>
      <c r="R77" s="13">
        <f>'[1]2021'!O45-'[1]2020'!O45</f>
        <v>-1.3643881045816251</v>
      </c>
      <c r="S77" s="13">
        <f>'[1]2021'!P45-'[1]2020'!P45</f>
        <v>-0.64154795390872854</v>
      </c>
      <c r="T77" s="13">
        <f>'[1]2021'!Q45-'[1]2020'!Q45</f>
        <v>0</v>
      </c>
      <c r="U77" s="13">
        <f>'[1]2021'!R45-'[1]2020'!S45</f>
        <v>0</v>
      </c>
      <c r="V77" s="14">
        <f t="shared" si="36"/>
        <v>-0.50204348603598548</v>
      </c>
      <c r="W77" s="14">
        <f t="shared" si="35"/>
        <v>-0.23606550816298377</v>
      </c>
      <c r="X77" s="13">
        <f>'[1]2021'!U45-'[1]2020'!V45</f>
        <v>-0.52376444866406202</v>
      </c>
      <c r="Y77" s="13">
        <f>'[1]2021'!V45-'[1]2020'!W45</f>
        <v>-0.24627890645059447</v>
      </c>
      <c r="Z77" s="13">
        <f>'[1]2021'!W45-'[1]2020'!X45</f>
        <v>2.1720962628076546E-2</v>
      </c>
      <c r="AA77" s="13">
        <f>'[1]2021'!X45-'[1]2020'!Y45</f>
        <v>1.0213398287610698E-2</v>
      </c>
      <c r="AB77" s="13">
        <f>'[1]2021'!Y45-'[1]2020'!Z45</f>
        <v>0</v>
      </c>
      <c r="AC77" s="13">
        <f>'[1]2021'!Z45-'[1]2020'!AA45</f>
        <v>0</v>
      </c>
      <c r="AD77" s="21"/>
      <c r="AE77" s="17">
        <v>1215.4228689920101</v>
      </c>
      <c r="AF77" s="26">
        <f t="shared" si="41"/>
        <v>-9.0625661876281587</v>
      </c>
      <c r="AG77" s="26">
        <f>(D77*-1)+(H77*-1)</f>
        <v>9.0625661876281587</v>
      </c>
      <c r="AH77" s="52">
        <f>($D77/$AG77)*-1</f>
        <v>0.6834015760423342</v>
      </c>
      <c r="AI77" s="52">
        <f t="shared" si="44"/>
        <v>-0.6834015760423342</v>
      </c>
      <c r="AJ77" s="52">
        <f t="shared" si="45"/>
        <v>0.6834015760423342</v>
      </c>
      <c r="AK77" s="52">
        <f t="shared" si="46"/>
        <v>0.6834015760423342</v>
      </c>
      <c r="AL77" s="52">
        <f t="shared" si="47"/>
        <v>-0.86040977642754835</v>
      </c>
      <c r="AM77" s="52">
        <f t="shared" si="48"/>
        <v>0.86040977642754835</v>
      </c>
      <c r="AN77" s="52">
        <f t="shared" si="49"/>
        <v>0.17700820038521406</v>
      </c>
      <c r="AO77" s="52">
        <f t="shared" si="50"/>
        <v>-0.17700820038521406</v>
      </c>
      <c r="AP77" s="52">
        <f t="shared" si="51"/>
        <v>0</v>
      </c>
      <c r="AQ77" s="52">
        <f t="shared" si="52"/>
        <v>0</v>
      </c>
      <c r="AR77" s="52">
        <f t="shared" si="53"/>
        <v>1.2590105241054479</v>
      </c>
      <c r="AS77" s="52">
        <f t="shared" si="54"/>
        <v>-0.25901052410544784</v>
      </c>
      <c r="AT77" s="52">
        <f t="shared" si="55"/>
        <v>-0.31659842395766574</v>
      </c>
      <c r="AU77" s="52">
        <f t="shared" si="56"/>
        <v>0.31659842395766574</v>
      </c>
      <c r="AV77" s="52">
        <f t="shared" si="57"/>
        <v>-0.33029608706089625</v>
      </c>
      <c r="AW77" s="52">
        <f t="shared" si="58"/>
        <v>0.33029608706089625</v>
      </c>
      <c r="AX77" s="52">
        <f t="shared" si="59"/>
        <v>1.369766310323052E-2</v>
      </c>
      <c r="AY77" s="52">
        <f t="shared" si="60"/>
        <v>-1.369766310323052E-2</v>
      </c>
      <c r="AZ77" s="52">
        <f t="shared" si="61"/>
        <v>1.043265101992618</v>
      </c>
      <c r="BA77" s="52">
        <f t="shared" si="62"/>
        <v>-4.3265101992617995E-2</v>
      </c>
      <c r="BB77" s="52">
        <f t="shared" si="63"/>
        <v>-7.45630711650509E-3</v>
      </c>
      <c r="BC77" s="53">
        <f t="shared" si="64"/>
        <v>7.45630711650509E-3</v>
      </c>
    </row>
    <row r="79" spans="1:55" x14ac:dyDescent="0.35">
      <c r="AF79" s="40">
        <f>SUM(AF2:AF77)</f>
        <v>14625.45043070157</v>
      </c>
    </row>
    <row r="81" spans="13:13" x14ac:dyDescent="0.35">
      <c r="M81" s="54"/>
    </row>
  </sheetData>
  <conditionalFormatting sqref="D1:K1048576">
    <cfRule type="cellIs" dxfId="1" priority="1" operator="lessThan">
      <formula>0</formula>
    </cfRule>
  </conditionalFormatting>
  <conditionalFormatting sqref="AJ2:AK77">
    <cfRule type="cellIs" dxfId="0" priority="2" operator="greaterThan">
      <formula>10</formula>
    </cfRule>
  </conditionalFormatting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aulis pesenti</dc:creator>
  <cp:lastModifiedBy>aulis pesenti</cp:lastModifiedBy>
  <dcterms:created xsi:type="dcterms:W3CDTF">2024-04-28T12:37:32Z</dcterms:created>
  <dcterms:modified xsi:type="dcterms:W3CDTF">2024-05-16T13:30:22Z</dcterms:modified>
</cp:coreProperties>
</file>