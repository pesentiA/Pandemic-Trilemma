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
    </mc:Choice>
  </mc:AlternateContent>
  <xr:revisionPtr revIDLastSave="21" documentId="14_{5DFAA4E6-4014-488B-8F36-5776566ED172}" xr6:coauthVersionLast="47" xr6:coauthVersionMax="47" xr10:uidLastSave="{671DCC88-1788-4414-800B-406FE98C61A7}"/>
  <bookViews>
    <workbookView xWindow="-4665" yWindow="-21600" windowWidth="26010" windowHeight="20985" activeTab="1" xr2:uid="{7335C908-1BB0-49F1-B05E-0A0E728BF13E}"/>
  </bookViews>
  <sheets>
    <sheet name="Database" sheetId="1" r:id="rId1"/>
    <sheet name="Summary.Global" sheetId="3" r:id="rId2"/>
    <sheet name="Figure" sheetId="4" r:id="rId3"/>
  </sheets>
  <definedNames>
    <definedName name="_xlnm._FilterDatabase" localSheetId="0" hidden="1">Database!$A$5:$F$203</definedName>
    <definedName name="_xlnm.Print_Area" localSheetId="0">Database!$C$2:$X$205</definedName>
    <definedName name="_xlnm.Print_Area" localSheetId="1">Summary.Global!$B$1:$W$56</definedName>
    <definedName name="_xlnm.Print_Titles" localSheetId="0">Database!$4:$5</definedName>
    <definedName name="_xlnm.Print_Titles" localSheetId="1">Summary.Global!$1:$6</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tc={A8C4A238-BE9A-4F75-9A86-321B2D55863C}</author>
    <author>tc={14FA73BD-CA3C-4719-91FB-0D24035FED80}</author>
  </authors>
  <commentList>
    <comment ref="Q102" authorId="0" shapeId="0" xr:uid="{A8C4A238-BE9A-4F75-9A86-321B2D55863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input on web for item 1.2 (26 bn) is mislabeled. There is only one 26 bn for guarantees</t>
      </text>
    </comment>
    <comment ref="G108" authorId="1" shapeId="0" xr:uid="{14FA73BD-CA3C-4719-91FB-0D24035FED8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desk reported values in % of GDP in the survey. The most up to date data was sent in via email on June 7 2021 by Jose, which are different from web.</t>
      </text>
    </comment>
  </commentList>
</comments>
</file>

<file path=xl/sharedStrings.xml><?xml version="1.0" encoding="utf-8"?>
<sst xmlns="http://schemas.openxmlformats.org/spreadsheetml/2006/main" count="1450" uniqueCount="533">
  <si>
    <t>Fiscal Monitor: Database of Country Fiscal Measures in Response to the COVID-19 Pandemic</t>
  </si>
  <si>
    <t>A. Above-the line measures</t>
  </si>
  <si>
    <t>B. Below the line measures</t>
  </si>
  <si>
    <t>C. Contingent liabilities</t>
  </si>
  <si>
    <t>Other measures</t>
  </si>
  <si>
    <t>G20 + Spain</t>
  </si>
  <si>
    <t>Country Group</t>
  </si>
  <si>
    <t>Country /1</t>
  </si>
  <si>
    <t>Government Level</t>
  </si>
  <si>
    <t>Unit</t>
  </si>
  <si>
    <t>Total on-budget 
(A-D)</t>
  </si>
  <si>
    <t>Total size</t>
  </si>
  <si>
    <t>Additional spending and forgone revenue in the health sector</t>
  </si>
  <si>
    <t>Total 
size</t>
  </si>
  <si>
    <t>Additional spending and forgone revenue
in areas other than health</t>
  </si>
  <si>
    <t>D. Accelerated spending and deferred revenue in areas other than health</t>
  </si>
  <si>
    <t>Total off-budget (B+C)</t>
  </si>
  <si>
    <t>Equity injections, asset purchases, loans, debt assumptions, including through extra-budgetary funds</t>
  </si>
  <si>
    <t>Guarantees (on loans, deposits etc.)</t>
  </si>
  <si>
    <t>Quasi-fiscal operations (noncommercial activity of public corporations on behalf of government)</t>
  </si>
  <si>
    <t>Automatic stabilizers, contingency lines</t>
  </si>
  <si>
    <t>AE</t>
  </si>
  <si>
    <t>Australia</t>
  </si>
  <si>
    <t>General Government</t>
  </si>
  <si>
    <t>LC bn</t>
  </si>
  <si>
    <r>
      <t xml:space="preserve">Additional spending (AUD 239.2 bn): 
</t>
    </r>
    <r>
      <rPr>
        <sz val="10"/>
        <rFont val="Arial"/>
        <family val="2"/>
      </rPr>
      <t>At the Commonwealth government level 
• Measures include tax-free cash flow assistance, wage subsidies, payments to lower-income Australians (pensioners, other social security and veteran income support recipients, and eligible concession cardholders), and the Home Builder program. 
• FY2021 budget, released on October 6, includes additional spending measures under the JobMaker program, comprising job hiring credit, infrastructure projects, and others for job creation. 
• The 2020-21  MYEFO extends coronavirus supplement and other income support measures through end-March 2021.                                                                          • The FY2022 budget adds spending on infrastructure investment, extension of aviation and tourism support, women’s economic support package, and various programs for job creation
At state and local government levels 
• Measures include discount utility bills, cash payments to vulnerable households, and construction and infrastructure projects.
• The Commonwealth government will help finance fast-track infrastructure projects across States and Territories and the arts industry for job creation, as well as the new home care package for the senior citizens. 
• Pandemic Leave Disaster Payment has been arranged with the State and Territory governments, which provides a lump sum payment to help workers during their 14-day self-isolation period.</t>
    </r>
    <r>
      <rPr>
        <b/>
        <sz val="10"/>
        <rFont val="Arial"/>
        <family val="2"/>
      </rPr>
      <t xml:space="preserve">
Forgone revenue (AUD 102.5 bn): 
</t>
    </r>
    <r>
      <rPr>
        <sz val="10"/>
        <rFont val="Arial"/>
        <family val="2"/>
      </rPr>
      <t xml:space="preserve">At the Commonwealth government level 
• Measures include raising the asset write-off threshold, accelerated depreciation deductions, and COVID-19 Relief and Recovery Fund which provides waiver of fees and charges to affected industries (e.g., aviation industry), regions, and communities.
• FY2021 budget includes additional revenue measures under the JobMaker program, comprising extension of immediate expensing, loss carry-backs, income tax cut for lower- and middle-income earners, and tax incentives for R&amp;D.                                                                                                                                                            • The FY2022 budget extends temporary full expensing and loss carry-backs for businesses, and retains the low- and middle-income tax offset for FY2021-22.
At state and local government levels
• Measures include payroll tax relief for businesses. </t>
    </r>
  </si>
  <si>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</si>
  <si>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t>• The Coronavirus SME Guarantee Scheme provides a loan guarantee arrangement between the government and participating banks to cover the immediate cash flow needs of SMEs. In mid-July 2020, this scheme was extended through June 2021, with the maximum loan size raised from A$250,000 to A$1 million and the maximum maturity extended to five years.                                                                                                                                                                                                          • In March 2021, the government renamed it the SME Recovery Loan Scheme, under which the government guarantees 80 percent (previously: 50 percent) of new SME loan amounts (starting April 2021), with the maximum loan size raised to A$5 million and the maximum maturity extended to ten years. The scheme also offers up to 24 months of repayment holidays.</t>
  </si>
  <si>
    <t>Parliament approved an advance authorization of A$40 billion for unforeseen events.</t>
  </si>
  <si>
    <t>USD bn</t>
  </si>
  <si>
    <t>% GDP</t>
  </si>
  <si>
    <t>Canada</t>
  </si>
  <si>
    <t>Central Government</t>
  </si>
  <si>
    <r>
      <rPr>
        <b/>
        <sz val="10"/>
        <color theme="1"/>
        <rFont val="Arial"/>
        <family val="2"/>
      </rPr>
      <t>Additional spending (CAD 60.3 bn):</t>
    </r>
    <r>
      <rPr>
        <sz val="10"/>
        <color theme="1"/>
        <rFont val="Arial"/>
        <family val="2"/>
      </rPr>
      <t xml:space="preserve"> Support to the health system including
•  Immediate public health response, including COVID-19 Response Fund;
• Funding for personal protective equipment and supplies; PPE and related equipment for essential workers;
• Reducing import costs to facilitate access to critical medical goods;
• Health and social support for Northern Communities (critical priorities, air carriers, food subsidy enhancement); 
• COVID-19 medical research and vaccine development (over two years); 
• Consular assistance;  
• Virtual care and mental health tools for Canadians; 
• Enhancing public health measures in indigenous communities;
• Provincial safe restart agreement.</t>
    </r>
  </si>
  <si>
    <r>
      <rPr>
        <b/>
        <sz val="10"/>
        <color theme="1"/>
        <rFont val="Arial"/>
        <family val="2"/>
      </rPr>
      <t xml:space="preserve">Additional spending (CAD 289.9 bn): </t>
    </r>
    <r>
      <rPr>
        <sz val="10"/>
        <color theme="1"/>
        <rFont val="Arial"/>
        <family val="2"/>
      </rPr>
      <t xml:space="preserve">
Households (CAN 253.6 bn)
of which:	
• Emergency response benefit, Recovery benefits, and enhanced employment insurance (CAN 120.2 bn)
• Wage subsidies and protecting jobs (CAN 110.5.2 bn)
• Others, including support to students, seniors, and vulnerable groups (CAN 22.9 bn)
Businesses (CAN 36.2 bn)
of which:	
• Emergency business account with 25% loan forgiveness (CAN 13.8 bn)
• Emergency rent subsidy (CAN 8.4 bn)
• Others, including sector-specific support and sub-nationals support (CAN 14 bn)</t>
    </r>
  </si>
  <si>
    <r>
      <rPr>
        <b/>
        <sz val="10"/>
        <color theme="1"/>
        <rFont val="Arial"/>
        <family val="2"/>
      </rPr>
      <t>Deferred revenue (CAD 85.1 bn)</t>
    </r>
    <r>
      <rPr>
        <sz val="10"/>
        <color theme="1"/>
        <rFont val="Arial"/>
        <family val="2"/>
      </rPr>
      <t>: Temporary interest-free tax deferrals for businesses and self employed, amounting to CAD 55 bn in deferred income taxes and CAD 30 bn in deferred GST/HST and customs duties for imports.</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</si>
  <si>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</si>
  <si>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the Mid-Market Guarantee and Financing Program, the Large Employer Emergency Financing Facility, and Support for the Agriculture and Agri-Food Sector.
</t>
  </si>
  <si>
    <t>n.a.</t>
  </si>
  <si>
    <t>European Union</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</si>
  <si>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</si>
  <si>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r>
      <rPr>
        <b/>
        <sz val="10"/>
        <color theme="1"/>
        <rFont val="Arial"/>
        <family val="2"/>
      </rPr>
      <t xml:space="preserve">Additional spending (€427.8 bn): </t>
    </r>
    <r>
      <rPr>
        <sz val="10"/>
        <color theme="1"/>
        <rFont val="Arial"/>
        <family val="2"/>
      </rPr>
      <t xml:space="preserve">
• In April 2020, the European Commission announced that the size of the Corona Response Investment Initiative will be raised to €37 bn, which includes an upfront cash injection of €8 bn from the EU cohesion funds, to support public investment for hospitals, labor markets, and stressed regions. The Commission extended the scope of the EU Solidarity Fund by also including a public health crisis within its scope, in view of mobilizing it if needed for the hardest hit EU member states. The Coronavirus Response Investment Initiative Plus (CRII+) introduced greater flexibility to allow that all non-utilized support from the European cohesion funds can be mobilized to the fullest. This flexibility is provided for through: transfer possibilities across the three cohesion policy funds (the European Regional Development Fund, European Social Fund and Cohesion Fund); transfers between the different categories of regions; flexibility when it comes to thematic concentration; and a 100% EU co-financing rate for cohesion policy programs for the accounting year 2020-2021, allowing Member States to benefit for full EU financing for crisis-related measures.
•On December 11, EU leaders agreed on the Next Generation EU (NGEU) recovery package, which includes €390 bn in grants to EU members. The main instrument is the Recovery and Resilience Facility (RRF), which will fund member countries’ investments and reforms. The NGEU’s grant element comprises: €312.5 bn is from the RRF and will be committed in 2021–2023 (70 percent for 2021 and 2022 and 30 percent for 2023); €47.5 bn to top up cohesion funds (ReactEU) that can be used for investments and expenditures related to the crisis (e.g., investing in active labor market policies, short-time work schemes); €10 bn to top up to the Just Transition Fund to help regions/workers dependent on carbon intensive industries transition away from those industries; R&amp;D (€5 bn); support for private sector investment (€5.6 bn), rural development (€7.5 bn), and rescEU (€1.9 bn).
• As of early June, 2021, 24 EU countries had submitted national Recovery and Resilience Plans (RRPs). The first disbursements are expected to begin in July 2021.</t>
    </r>
  </si>
  <si>
    <t>On April 9 2020, the euro area finance ministers (Eurogroup) agreed on establishing safety nets for workers, businesses and sovereigns, amounting to a package of which €340 bn were below-the-line measures:
•A new and temporary EU unemployment reinsurance fund (SURE) will provide up to €100 bn in loans on favorable terms to governments, in support of national unemployment, short-time work schemes, and health-related measures. Loans will be guaranteed by the EU budget and EU member states. The instrument will then be operational until 31 December 2022.
•The ESM will provide Pandemic Crisis Support to its members to finance crisis-related health spending of up to 2 percent of a requesting member’s 2019 GDP. Should all 19 countries draw from the credit line, this would amount to around €240 bn.The loans from the ESM are meant to finance direct and indirect health-related spending in response to the Covid-19 crisis.
On December 11, EU leaders agreed on the Next Generation EU (NGEU) recovery package, which includes €360 bn in loans from the Recovery and Resilience Facility (RRF), for which EU members can apply for to finance parts of their national recovery and resilience plans.</t>
  </si>
  <si>
    <t>•The EU Council agreed on a new pan-European guarantee fund of €25 bn, which could support €200 bn of total financing for hard-hit SMEs throughout the European Investment Bank or national development banks. The guarantee fund comes on top of an earlier support package of up to €40 bn for the European Investment Bank in March, and both packages are likely to be funded by voluntary contributions from member states.</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</si>
  <si>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</si>
  <si>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t>France</t>
  </si>
  <si>
    <r>
      <rPr>
        <b/>
        <sz val="10"/>
        <color theme="1"/>
        <rFont val="Arial"/>
        <family val="2"/>
      </rPr>
      <t>Additional spending (€31.3 bn): 
•</t>
    </r>
    <r>
      <rPr>
        <sz val="10"/>
        <color theme="1"/>
        <rFont val="Arial"/>
        <family val="2"/>
      </rPr>
      <t xml:space="preserve"> Support for streamlining and boosting health insurance (paid sick leave) for the sick or their caregivers, higher spending on health supplies; bonuses for health workers.
• Additional investment and equipment in the health sector announced in the recovery plan for 2021 and beyond.</t>
    </r>
  </si>
  <si>
    <r>
      <rPr>
        <b/>
        <sz val="10"/>
        <rFont val="Arial"/>
        <family val="2"/>
      </rPr>
      <t>Additional spending (€156.8 bn):</t>
    </r>
    <r>
      <rPr>
        <sz val="10"/>
        <rFont val="Arial"/>
        <family val="2"/>
      </rPr>
      <t xml:space="preserve"> Support for wages of workers under the subsidized short-time work scheme; direct financial support for affected enterprises, liberal professions, and independent workers; direct transfers for low-income families; extension of expiring unemployment and other benefits; additional transfers for self-employed; additional spending in social programs; incentives to purchase greener vehicles; subsidies for green investment for the auto and aerospace sectors. Key measures in the recovery plan (mostly from 2021 onward) include: subsidies for energy renovation of buildings; investment aimed at ecological transformation of the transport sector and the development of clean energy; extension of the short-time work scheme; financing for training programs; hiring subsidies and other support for youth workers; further increase in social transfers for low-income households.
</t>
    </r>
    <r>
      <rPr>
        <b/>
        <sz val="10"/>
        <rFont val="Arial"/>
        <family val="2"/>
      </rPr>
      <t>Foregone revenue (€32.6 bn):</t>
    </r>
    <r>
      <rPr>
        <sz val="10"/>
        <rFont val="Arial"/>
        <family val="2"/>
      </rPr>
      <t xml:space="preserve"> Exoneration of social security contributions for affected firms in selected sectors; carry back for corporate income taxes; permanent cuts in production taxes (recovery plan) for 2021 onward. (The amount reported for forgone revenue includes the equivalent cuts in production taxes for 2 years) </t>
    </r>
  </si>
  <si>
    <r>
      <rPr>
        <b/>
        <sz val="10"/>
        <rFont val="Arial"/>
        <family val="2"/>
      </rPr>
      <t xml:space="preserve">Accelerated spending (€17.5 bn): </t>
    </r>
    <r>
      <rPr>
        <sz val="10"/>
        <rFont val="Arial"/>
        <family val="2"/>
      </rPr>
      <t>Accelerated refund of tax credits (e.g. CIT and VAT).</t>
    </r>
    <r>
      <rPr>
        <b/>
        <sz val="10"/>
        <rFont val="Arial"/>
        <family val="2"/>
      </rPr>
      <t xml:space="preserve">
Deferred revenue (€52 bn): </t>
    </r>
    <r>
      <rPr>
        <sz val="10"/>
        <rFont val="Arial"/>
        <family val="2"/>
      </rPr>
      <t>Postponement of social security contributions and tax payment for companies.</t>
    </r>
  </si>
  <si>
    <t>• Envelope for direct equity support (mostly for strategic companies, e.g., Air France-KLM, SNCF).</t>
  </si>
  <si>
    <t xml:space="preserve">• State guarantees for bank loans to companies and credit reinsurance schemes (€315 bn); other guarantees (€12.5 bn).
• The recovery plan also includes the creation of a up to €20 bn fund leveraged by public guarantees (€7 bn), to provide quasi-equity support or equity loans to firms. </t>
  </si>
  <si>
    <t>Liquidity support through postponement of social security contributions and tax payment for companies (€33.5 bn).</t>
  </si>
  <si>
    <t>Germany</t>
  </si>
  <si>
    <r>
      <rPr>
        <b/>
        <sz val="10"/>
        <color theme="1"/>
        <rFont val="Arial"/>
        <family val="2"/>
      </rPr>
      <t xml:space="preserve">Additional spending (€61 bn): </t>
    </r>
    <r>
      <rPr>
        <sz val="10"/>
        <color theme="1"/>
        <rFont val="Arial"/>
        <family val="2"/>
      </rPr>
      <t>on vaccines, equipment, research, information campaigns, as well as broader measures to modernize and improve the capacity of hospitals.</t>
    </r>
  </si>
  <si>
    <r>
      <rPr>
        <b/>
        <sz val="10"/>
        <color theme="1"/>
        <rFont val="Arial"/>
        <family val="2"/>
      </rPr>
      <t>Additional spending (€285 bn):</t>
    </r>
    <r>
      <rPr>
        <sz val="10"/>
        <color theme="1"/>
        <rFont val="Arial"/>
        <family val="2"/>
      </rPr>
      <t xml:space="preserve"> 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 xml:space="preserve">Forgone revenue (€109 bn): </t>
    </r>
    <r>
      <rPr>
        <sz val="10"/>
        <color theme="1"/>
        <rFont val="Arial"/>
        <family val="2"/>
      </rPr>
      <t>a temporary VAT reduction (the general VAT cut was expired at end-2020, but special VAT cuts for restaurants and food services remain in place), corporate tax reliefs, personal income tax reliefs, and social security contribution reduction.</t>
    </r>
  </si>
  <si>
    <r>
      <rPr>
        <b/>
        <sz val="10"/>
        <color theme="1"/>
        <rFont val="Arial"/>
        <family val="2"/>
      </rPr>
      <t>Deferred revenue</t>
    </r>
    <r>
      <rPr>
        <sz val="10"/>
        <color theme="1"/>
        <rFont val="Arial"/>
        <family val="2"/>
      </rPr>
      <t>: including options for deferring tax payments and reducing prepayments until the year-end without penalties.</t>
    </r>
  </si>
  <si>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</si>
  <si>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€70 bn.</t>
  </si>
  <si>
    <t>The government provides options for deferring tax payments and reducing prepayments; while tax penalties will not be levied until the end of this year.</t>
  </si>
  <si>
    <t>Italy</t>
  </si>
  <si>
    <r>
      <rPr>
        <b/>
        <sz val="10"/>
        <color theme="1"/>
        <rFont val="Arial"/>
        <family val="2"/>
      </rPr>
      <t xml:space="preserve">Additional spending (€19.5 bn): </t>
    </r>
    <r>
      <rPr>
        <sz val="10"/>
        <color theme="1"/>
        <rFont val="Arial"/>
        <family val="2"/>
      </rPr>
      <t xml:space="preserve">including on medical equipment,  staff, and vaccine.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</si>
  <si>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(€150 bn): </t>
    </r>
    <r>
      <rPr>
        <sz val="10"/>
        <rFont val="Arial"/>
        <family val="2"/>
      </rPr>
      <t xml:space="preserve">including broadening the wage supplementation fund to provide income support to laid-off workers and the self-employed, vouchers for the payment of babysitters (€80 bn), grants for SME  (€60 bn), education (€4 bn), and other (€10 bn).
</t>
    </r>
    <r>
      <rPr>
        <b/>
        <sz val="10"/>
        <rFont val="Arial"/>
        <family val="2"/>
      </rPr>
      <t>Forgone revenue (€10 bn)</t>
    </r>
    <r>
      <rPr>
        <sz val="10"/>
        <rFont val="Arial"/>
        <family val="2"/>
      </rPr>
      <t>: corporate income tax credits (€4 bn) and social security contribution reduction (€6 bn).</t>
    </r>
  </si>
  <si>
    <r>
      <rPr>
        <b/>
        <sz val="10"/>
        <rFont val="Arial"/>
        <family val="2"/>
      </rPr>
      <t>Deferred revenue:</t>
    </r>
    <r>
      <rPr>
        <sz val="10"/>
        <rFont val="Arial"/>
        <family val="2"/>
      </rPr>
      <t xml:space="preserve"> mostly due to postponement of VAT, CIT, and social security contributions as well as property taxes.  </t>
    </r>
  </si>
  <si>
    <t>• Equity injection to Alitalia (€3.3 bn)</t>
  </si>
  <si>
    <t xml:space="preserve">The total guarantee is estimated at about 579 bn euros, aimed to unlock more than 750 billion euros of liquidity for businesses and households. (Note that the amount reported here is the originally announced ceiling, and the current level of contracted guarantees is about one-fourth of the announced).
</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</si>
  <si>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</si>
  <si>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t>Japan</t>
  </si>
  <si>
    <r>
      <rPr>
        <b/>
        <sz val="10"/>
        <color theme="1"/>
        <rFont val="Arial"/>
        <family val="2"/>
      </rPr>
      <t>Additional spending:</t>
    </r>
    <r>
      <rPr>
        <sz val="10"/>
        <color theme="1"/>
        <rFont val="Arial"/>
        <family val="2"/>
      </rPr>
      <t xml:space="preserve">
• Production, procurement and distribution of critical equipment such as masks and ventilators (JPY 0.8 tn)
•Transfers to local governments to be used for their health- and long-term care related measures including cash handouts to medical and long-term care practitioners (JPY 3.7 tn)
•  Other health-related measures (procurement of vaccines, etc.) (JPY 5.6 tn).</t>
    </r>
  </si>
  <si>
    <r>
      <t>Additional spending (JPY 78 tn):</t>
    </r>
    <r>
      <rPr>
        <sz val="10"/>
        <rFont val="Arial"/>
        <family val="2"/>
      </rPr>
      <t xml:space="preserve">
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2020 include: 
• Transfers to local governments (JPY 2 tn); 
• Expansion of work subsidies (JPY 1.3 tn); 
• Subsidies for public/private financial institutions' lending (JPY 9.3 tn); 
• Replenishment of cash transfers for firms (JPY 1.9 tn); 
• Subsidies to affected firms for rent payment (JPY 2 tn).
The government announced additional measures on December 8 2020, including: 
• Incentives for firms to invest in green technologies (JPY 2.0 tn)
• Subsidies to accelerate business restructuring of SMEs (JPY 1.1 tn)
• Extension of the Employment Adjustment Subsidy (JPY 1.5 tn)
• Transfers to the local governments (JPY1.5 tn)
•  Subsidies for financial institutions' lending (JPY 3.2 tn)
•  Measures to enhance national resilience (primarily public investments) (JPY 4.4 tn)
In April 2020 onwards, the government decided to spend a part of the COVID-19 reserve fund on the health and non-health measures totaling JPY 9.8 tn (excluding the spending approved on December 11 2020). The measures include:
•  Cash transfers to affected firms (JPY 1.2 tn)
•  Replenishment of the emergency loan program for affected households (JPY 0.8 tn)
•  Enhancement of healthcare capacity (JPY1.7 tn)
•  Procurement of vaccines (JPY 1.3 tn)
•  Top up the Employment Adjustment Subsidy (JPY 0.4 tn)
•  Transfers to the local governments (JPY 3.9 tn)
</t>
    </r>
    <r>
      <rPr>
        <b/>
        <sz val="10"/>
        <rFont val="Arial"/>
        <family val="2"/>
      </rPr>
      <t xml:space="preserve">
Forgone revenue :</t>
    </r>
    <r>
      <rPr>
        <sz val="10"/>
        <rFont val="Arial"/>
        <family val="2"/>
      </rPr>
      <t xml:space="preserve"> Revenue measures included in the past economic packages include expansion of the loss carry-back and carry-forward schemes, tax incentives for firms’ decarbonization and digitalization, and reduction of property tax and the aviation fuel tax.</t>
    </r>
  </si>
  <si>
    <r>
      <rPr>
        <b/>
        <sz val="10"/>
        <rFont val="Arial"/>
        <family val="2"/>
      </rPr>
      <t>Deferred revenue (JPY 3 tn):</t>
    </r>
    <r>
      <rPr>
        <sz val="10"/>
        <rFont val="Arial"/>
        <family val="2"/>
      </rPr>
      <t xml:space="preserve"> Deferral of payment of taxes and social security premiums by affected firms and households for one year.</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</si>
  <si>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</si>
  <si>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 Concessional loans and guarantees to affected firms through the public and private financial institutions. (JPY 112 tn)• Public financial institutions' provision of subordinated loans (quasi-equity) and equities (JPY 2.7 tn)
• Public financial institutions' loans to affected hospitals and clinics (JPY 3.5 tn)
• The university fund (JPY 4.0 tn) 
• Other quasi-fiscal operations using the Development Bank of Japan and other agencies (primarily for infrastructure projects) (JPY 15 tn)</t>
  </si>
  <si>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</si>
  <si>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t>Korea</t>
  </si>
  <si>
    <r>
      <rPr>
        <b/>
        <sz val="10"/>
        <rFont val="Arial"/>
        <family val="2"/>
      </rPr>
      <t xml:space="preserve">Additional spending: </t>
    </r>
    <r>
      <rPr>
        <sz val="10"/>
        <rFont val="Arial"/>
        <family val="2"/>
      </rPr>
      <t xml:space="preserve">
•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 Customized Relief Package (December 2020; KRW 0.8 tn) Strengthen disease prevention measures and reinforce medical system and facilities
• 2021 supplementary budget (KRW 4.2 tn) : COVID-19 vaccination,  compensation for medical institutions </t>
    </r>
  </si>
  <si>
    <r>
      <rPr>
        <b/>
        <sz val="10"/>
        <rFont val="Arial"/>
        <family val="2"/>
      </rPr>
      <t>Additional Spending (KRW 73.3 tn):</t>
    </r>
    <r>
      <rPr>
        <sz val="10"/>
        <rFont val="Arial"/>
        <family val="2"/>
      </rPr>
      <t xml:space="preserve">
•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whole households (KRW 14.3 tn). 
• The 3rd supplementary budget includes support for companies, employment, and social safety nets; boost to consumption, investment, and local economies; and Korean new deal for digital and green investment (KRW 23.7 tn).
• The 4th supplementary budget: KRW 7.8 tn (KRW 3.9 tn for SME support, KRW 1.5 tn for employment relationship, KRW 0.4 tn support for unemployed and low income household, KRW 1.8 tn in daycare support and mobile bills, and KRW 0.2 tn for emergency disease prevention).
• Customized Relief Package (December 2020; KRW 4.6 tn): Rent subsidy for small business owners and income support for freelancers, platform workers, and etc.
• 2021 supplementary budget: KRW 10.7 tn (KRW 8.2 tn support for SME and vulnerable workers, KRW 2.5 tn support for employment)
</t>
    </r>
    <r>
      <rPr>
        <b/>
        <sz val="10"/>
        <rFont val="Arial"/>
        <family val="2"/>
      </rPr>
      <t xml:space="preserve">Forgone revenue (KRW 3.4 tn):
</t>
    </r>
    <r>
      <rPr>
        <sz val="10"/>
        <rFont val="Arial"/>
        <family val="2"/>
      </rPr>
      <t>•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</si>
  <si>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Deferred revenue (KRW 43.4 tn):</t>
    </r>
    <r>
      <rPr>
        <sz val="10"/>
        <rFont val="Arial"/>
        <family val="2"/>
      </rPr>
      <t xml:space="preserve"> Tax payment deferral including Corporate Income Tax and VAT, deferment in tax investigation, early tax refund have been conducted(KRW 42.9 tn); social security contribution payment deferral for households &amp; electricity charge deferral (KRW 0.5 tn)</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</si>
  <si>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</si>
  <si>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 Credit recovery program by KAMCO (KRW 2.0 tn).
• Loan expansion to SMEs provided by state-backed financial institutions (KRW 21.2 tn).
• Support package to stabilize corporate bond and short-term funding market, except P-CBO (KRW 11.1 tn).
• Low-rated corporate bond and CP purchase program (KRW 20.0 tn).
• Key Industry Stabilization Fund (KRW 40.0 tn).
• Stock Market Stabilization Fund (KRW 10.7 tn).
• Bond Market Stabilization Fund (KRW 20.0 tn).</t>
  </si>
  <si>
    <t>Tax payment deferral covering a broad range of taxes for small businesses and the self-employed in medical, tourism, performance, hospitality, and other affected sectors. Social security contribution payment deferral for households</t>
  </si>
  <si>
    <t>Spain</t>
  </si>
  <si>
    <r>
      <rPr>
        <b/>
        <sz val="10"/>
        <color theme="1"/>
        <rFont val="Arial"/>
        <family val="2"/>
      </rPr>
      <t>Additional spending (€14.1 bn):</t>
    </r>
    <r>
      <rPr>
        <sz val="10"/>
        <color theme="1"/>
        <rFont val="Arial"/>
        <family val="2"/>
      </rPr>
      <t xml:space="preserve">
• Budget support from the contingency fund to the Ministry of Health (€1.4 bn); transfer to the regions for health services (€12.4 bn); additional healthcare related spending including research related to COVID-19 (€270 mn).</t>
    </r>
  </si>
  <si>
    <r>
      <rPr>
        <b/>
        <sz val="10"/>
        <rFont val="Arial"/>
        <family val="2"/>
      </rPr>
      <t xml:space="preserve">Additional spending (€68.8 bn):
• </t>
    </r>
    <r>
      <rPr>
        <sz val="10"/>
        <rFont val="Arial"/>
        <family val="2"/>
      </rPr>
      <t xml:space="preserve">Unemployment benefit for workers temporary laid off under the ERTE due to COVID-19, with no requirement for prior minimum contribution or reduction of accumulated entitlement (about €21.7 bn); and exemptions of social contributions for companies that maintain employment under the ERTEs (about €7.7 bn);
• An allowance for self-employed workers affected by economic activity suspension (about €6.5 bn), and exemption of social contributions for self-employed that receive this benefit (about €3.3 bn);
• Corporate solvency support (€10 bn);
• Measures taken by regional governments on social services, education and support to firms (about €5.5 bn); 
• Introduction of a new means-tested "minimum income scheme"(about €3 bn annually); and new rental assistance programs for certain vulnerable renters and additional state contribution to the State Housing Plan 2018-21;
• Various measures to expand existing benefits for workers and other support for households and firms;
</t>
    </r>
    <r>
      <rPr>
        <b/>
        <sz val="10"/>
        <rFont val="Arial"/>
        <family val="2"/>
      </rPr>
      <t xml:space="preserve">
Forgone revenue (€2.1 bn): 
</t>
    </r>
    <r>
      <rPr>
        <sz val="10"/>
        <rFont val="Arial"/>
        <family val="2"/>
      </rPr>
      <t>• Reduction in VAT for surgical disposable masks;
• Temporary waiver of VAT on purchases of certain medical material, as well COVID-19 tests and vaccines;
• Flexibility in filing income tax and VAT installment payment for SMEs and self-employed;
• Tax incentives for landlords that reduce rents of properties used for activities related to the hotel, restaurant and tourism industries;
• Reduction in the contribution for Employed Agricultural Workers who have completed a maximum of 55 real days of contribution in 2019;
• Other revenue measures.</t>
    </r>
  </si>
  <si>
    <r>
      <rPr>
        <b/>
        <sz val="10"/>
        <color theme="1"/>
        <rFont val="Arial"/>
        <family val="2"/>
      </rPr>
      <t>Deferred revenue</t>
    </r>
    <r>
      <rPr>
        <sz val="10"/>
        <color theme="1"/>
        <rFont val="Arial"/>
        <family val="2"/>
      </rPr>
      <t>: Deferral of social security contribution and debts for companies and the self-employed; Deferral of tax debts and debts arising from customs declaration; tax payment deferrals for small and medium enterprises and self-employed, with the first three/four months exempt from interest.</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</si>
  <si>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</si>
  <si>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Guarantees for financing operations carried out by the European investment Bank (€2.8 billion) and  endorsement to the European SURE instrument (€2.3 billion)
• Additional guarantees of up to €2 bn for exporters through the Spanish Export Insurance Credit Company 
• Guarantees to provide financial assistance on housing expenses for vulnerable households (€1.2 billion); up to €2 billion public guarantees for exporters through the Spanish Export Insurance Credit Company; expansion of the ICO credit lines for the tourism sector (€200 million)
• Additional loan guarantees for SMEs and self-employed through the Compañía Española de Reafianzamiento (€1.1 bn) and line of guarantees for listed companies (€1 billion)</t>
  </si>
  <si>
    <t>• Additional funding for the Instituto de Crédito Official (ICO) credit lines (€10 bn)</t>
  </si>
  <si>
    <t>United Kingdom</t>
  </si>
  <si>
    <r>
      <rPr>
        <b/>
        <sz val="10"/>
        <color theme="1"/>
        <rFont val="Arial"/>
        <family val="2"/>
      </rPr>
      <t>Additional spending (£156.6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(£2.2 bn)</t>
    </r>
    <r>
      <rPr>
        <sz val="10"/>
        <color theme="1"/>
        <rFont val="Arial"/>
        <family val="2"/>
      </rPr>
      <t>:
• Waiver of VAT and customs duties on critical medical import.</t>
    </r>
  </si>
  <si>
    <r>
      <rPr>
        <b/>
        <sz val="10"/>
        <color theme="1"/>
        <rFont val="Arial"/>
        <family val="2"/>
      </rPr>
      <t xml:space="preserve">Additional spending (£163.1 bn):
</t>
    </r>
    <r>
      <rPr>
        <sz val="10"/>
        <color theme="1"/>
        <rFont val="Arial"/>
        <family val="2"/>
      </rPr>
      <t xml:space="preserve">• Coronavirus Job Retention Scheme to subsidize furloughed employees' wages and firms' social security contributions (initially for 3 months and extended several times until September 2021); 
• Income support for the self-employed (initially for 3 months, but extended too until September 2021);                                                                                                               • Paid sick leave for self-isolating individuals and compensation for small firms needing to close for over 2 weeks, and support for low-income people in need to self-isolate.  
• Direct grants for small firms in the most-affected (retail and hospitality) sectors (Restart program); 
• Support for the vulnerable by expanding the Universal Credit and Working Tax Credit schemes until September 2021; 
• Rent support by increasing the Local Housing Allowance; 
• International support, with £150 million made available to the IMF’s Catastrophe Containment and Relief Trust and £2.2 billion loan to the IMF Poverty Reduction and Growth Trust to help low-income countries;
• Government support for charities; 
• Cover the cost of 25 hours' work a week at the National Minimum Wage for six months for hired unemployed up to 24 years old.
• Boost of Active Labour Market Poilicies, including 250,000 subsidized jobs for young people.
• Entitle every diner to a 50% discount of up to £10 in August. 
• Public sector and social housing decarbonization and Green Homes Grant.
• Support for low-income people in need to self-isolate 
• Funding of 40,000 traineeships and 27,000 job coaches.
• Additional transfers to devolved administrations.
</t>
    </r>
    <r>
      <rPr>
        <b/>
        <sz val="10"/>
        <color theme="1"/>
        <rFont val="Arial"/>
        <family val="2"/>
      </rPr>
      <t xml:space="preserve">Forgone revenue (£21.3 bn): 
</t>
    </r>
    <r>
      <rPr>
        <sz val="10"/>
        <color theme="1"/>
        <rFont val="Arial"/>
        <family val="2"/>
      </rPr>
      <t>• Property tax (business rate) holiday for firms in affected sectors.
• Temporary cut on stamp duty land tax until June 2021.
• VAT reduced at 5% for hospitality, accommodation, and attractions until the end of September 2021, at 12.5% until March 2022, aftern which it will return to normal.</t>
    </r>
  </si>
  <si>
    <r>
      <rPr>
        <b/>
        <sz val="10"/>
        <rFont val="Arial"/>
        <family val="2"/>
      </rPr>
      <t xml:space="preserve">Accelerated spending (£4 bn): </t>
    </r>
    <r>
      <rPr>
        <sz val="10"/>
        <rFont val="Arial"/>
        <family val="2"/>
      </rPr>
      <t xml:space="preserve">
</t>
    </r>
    <r>
      <rPr>
        <b/>
        <sz val="10"/>
        <rFont val="Arial"/>
        <family val="2"/>
      </rPr>
      <t>•</t>
    </r>
    <r>
      <rPr>
        <sz val="10"/>
        <rFont val="Arial"/>
        <family val="2"/>
      </rPr>
      <t xml:space="preserve"> Bring forward public infrastructure spending to FY2020/21.</t>
    </r>
    <r>
      <rPr>
        <b/>
        <sz val="10"/>
        <rFont val="Arial"/>
        <family val="2"/>
      </rPr>
      <t xml:space="preserve">
Deferred revenue (£7.5 bn):</t>
    </r>
    <r>
      <rPr>
        <sz val="10"/>
        <rFont val="Arial"/>
        <family val="2"/>
      </rPr>
      <t xml:space="preserve"> 
• Deferral of VAT for the second quarter of 2020 until June 21; 
• Deferral of income tax (self-assessment) of the self-employed until the end of January 2021.                                                                                                                           • Extension to reduced VAT rate for hospitality, accommodation and attractions (5% to 30 September 2021 then 12.5% to 31 March 2022)
• Extension the window for starting deferred payments through the VAT New Payment Scheme by up to three months
• Stamp Duty Land Tax: maintain nil-rate band at £500k until 30 June 2021, £250k until 30 September 2021
• Fuel Duty: one year freeze in 2021-22
Alcohol Duty: one year freeze in 2021-22</t>
    </r>
  </si>
  <si>
    <t>•  The government has put in place a £1 bn program to support firms driving innovation and development through grants and loans.
•  The government has provided a £30 mn convertible loan to the steel company, Celsa.</t>
  </si>
  <si>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Covid-19 Corporate Financing Facility (CCFF), the Bank of England will buy short term debt from larger companies. 
•  The Bounce Back Loan Scheme will help SMEs to borrow between £2K and £50K for up to 6 years, with the government guaranteeing 100 percent of the loan and SMEs not paying any fees or interest in the first 12 months. The combined cost of the CBILS, CLBILS, CCCF, and BBLS was £112bn as of their expiration in end-March 2021.                                                                                                                                                                                                                                                                                                                                                                                                                    •  In March 2021, a new government-backed loan scheme – the Recovery Loan Scheme (RLS) – was announced. The RLS is to help businesses of any size access loans and other kinds of finance, with up to £10 million per business. The government guarantees 80 percent of the financing. The scheme is open until 31 December 2021, subject to review, and is estimated to cost £12bn.
•  Trade credit Insurance for business-to-business transactions will receive up to £10 billion of government guarantees through the Trade Credit Reinsurance scheme. The scheme is for 9 months.                                                                                                                                                                                                                            •  In March 2021, a new government-backed loan scheme – the Recovery Loan Scheme (RLS) – was announced. The RLS is to help businesses of any size access loans and other kinds of finance, with up to £10 million per business. The government guarantees 80 percent of the financing. The scheme is open until 31 December 2021, subject to review, and is estimated to cost £12bn.</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</si>
  <si>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</si>
  <si>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t>United States</t>
  </si>
  <si>
    <r>
      <t xml:space="preserve">Additional spending ($622.3 bn)
</t>
    </r>
    <r>
      <rPr>
        <sz val="10"/>
        <color theme="1"/>
        <rFont val="Arial"/>
        <family val="2"/>
      </rPr>
      <t xml:space="preserve">•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$178.9 bn. 
• Coronavirus Aid, Relief, and Economic Security Act (March 27, 2020) approved $128.8 bn for additional health spending, which includes funding for hospital ($100 bn), the Center of Disease Control ($4.3bn) and vaccine development and expanding Medicare payments and providing tax advantage for certain medical expense.
• Paycheck Protection Program and Health Care Enhancement Act (April 23, 2020) includes $75 bn for hospitals and $25 bn for testing, with estimated budget cost of $99.6 bn.
• Consolidated Appropriation Act (Dec.21, 2020) includes $23bn for vaccine procument, $9bn for vaccine distribution, $22bn for testing/tracing/covid mitigation programs, with a total estimated cost of 65.4 bn.
• American Rescue Plan (Mar.12, 2021) includes $95.8bn for various activities related to vaccine distributions, testing for, treating, and responding to COVID-19 and other COVID-19 related activities, $14.3bn for preserving private health coverage of workers during the pandemic, $24.4bn for subsidizing health insurance through the government exchange/marketplaces and $23.1bn for expanding and supporting Medicaid, CHIPs and Medicare. The total estimated cost is $151.5bn.
</t>
    </r>
    <r>
      <rPr>
        <b/>
        <sz val="10"/>
        <color theme="1"/>
        <rFont val="Arial"/>
        <family val="2"/>
      </rPr>
      <t xml:space="preserve">
Forgone revenue ($65 bn)
</t>
    </r>
    <r>
      <rPr>
        <sz val="10"/>
        <color theme="1"/>
        <rFont val="Arial"/>
        <family val="2"/>
      </rPr>
      <t>• CARES act includes expansion of qualified medical expenses which is estimated to reduce revenue by $9 bn.
• American Rescue Plan (Mar.12, 2021) will lead to revenue changes due to preserving private health coverage of workers during the pandemic, subsidizing health insurance through the government exchange/marketplaces and expanding and supporting Medicaid, CHIPs and Medicare. The total estimated revenue loss is $56.2bn.</t>
    </r>
  </si>
  <si>
    <r>
      <rPr>
        <b/>
        <sz val="10"/>
        <color theme="1"/>
        <rFont val="Arial"/>
        <family val="2"/>
      </rPr>
      <t xml:space="preserve">Additional spending ($4263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$437 bn unemployment insurance and $350 bn in emergency appropriations, and $349 bn forgivable small business loans and other items. Estimated increase in spending from this Act is $1512bn.
• Paycheck Protection Program and Health Care Enhancement Act (April 23, 2020) includes $62.1 bn for the Small Business Administration's loans programs and other expense, and $321 bn for the Paycheck Protection Program and small business assistance (of the $310 for the Paycheck Protection Program only $176bn was used).
• The federal government (through an Executive Order by President Trump on August 8, 2020) reallocated $44 billion from the Department of Homeland Security's Disaster Relief Fund to provide extra unemployment benefits of $300 dollar per week following the expiration of the enhanced unemployment benefits mad available by the CARES act. Of the $44 billion, it is estimated that $18 billion is pre-COVID-19 appropriated funds (and therefore represents additional COVID-19 expenditure)
• Consolidated Appropriation Act (Dec.21, 2020) includes $329bn support to households, $347bn support for businesses, $92bn for education and childcare, and support for other areas. The total estimated cost is $796.9bn.
• American Rescue Plan (Mar.12, 2021) includes $794.2bn support to households, $86.4bn support for business, $362.1bn support for state, local and triable governments, $171bn support for education, $38.9bn support for providing childcare, and other spending in areas including transportation, federal emergency management authority, international response and others. The total estimated cost is $1646.4bn. 
Forgone revenue ($378 bn): 
• Coronavirus Aid, Relief, and Economic Security Act (March 27, 2020) includes tax rebates: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•Families First Coronavirus Response Act (March 16, 2020) has revenue implications on the budget, estimated to cost around $94 bn.
•Consolidated Appropriation Act (Dec.21, 2021) provides an extension of the employee retention tax credit and also expands the usage of the earned income tax credit and child tax credit. The estimated revenue loss is $5bn.
• American Rescue Plan (Mar.12, 2020) will lead to revenue changes due to the provision of the recovery rebates, child tax credit, earned income tax credit, dependent care assistance, credit for paid sick and family leave, employee retention credit and supporting pension plans. The estimated revenue change is $10bn. Please note that the support of pension plans is estimated to introduce revenue gains, which outweighs revenue losses from other measures.
</t>
    </r>
    <r>
      <rPr>
        <b/>
        <sz val="10"/>
        <color theme="1"/>
        <rFont val="Arial"/>
        <family val="2"/>
      </rPr>
      <t xml:space="preserve">Forgone revenue ($382.5 bn): </t>
    </r>
    <r>
      <rPr>
        <sz val="10"/>
        <color theme="1"/>
        <rFont val="Arial"/>
        <family val="2"/>
      </rPr>
      <t xml:space="preserve">
• Coronavirus Aid, Relief, and Economic Security Act (March 27, 2020) includes tax rebates: $1+K39,200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$288 bn.
• Families First Coronavirus Response Act (March 16, 2020) has revenue implications on the budget, estimated to cost around $94 bn.</t>
    </r>
  </si>
  <si>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</si>
  <si>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t xml:space="preserve">• Coronavirus Aid, Relief, and Economic Security Act (March 27, 2020) includes $56 bn in loans for distress businesses (e.g., passenger and cargo air carriers, postal service).
</t>
  </si>
  <si>
    <t>• Coronavirus Aid, Relief, and Economic Security Act (March 27, 2020) includes $454 bn to backstop section 13(3) Federal Reserve facilities that purchase corporate obligations in primary or secondary market.</t>
  </si>
  <si>
    <t xml:space="preserve">IRS extended income tax filing deadline by 90 days; Delay of employers' payroll taxes to 2021 and 2022 </t>
  </si>
  <si>
    <t>EM</t>
  </si>
  <si>
    <t>Argentina</t>
  </si>
  <si>
    <r>
      <t xml:space="preserve">Additional spending (AR $116.1 bn):
</t>
    </r>
    <r>
      <rPr>
        <sz val="10"/>
        <rFont val="Arial"/>
        <family val="2"/>
      </rPr>
      <t xml:space="preserve">• Budget increase for Health Ministry to improve virus diagnostics, purchase vaccines, hospital equipment, and build temporary emergency treatment centers.
• Budget transfers to specific hospitals.
• Monthly bonuses of AR $5K for healthcare workers (most recent April-June 2021).
• Health Strategy for Families and Communities. 
• Financial Assistance for Health Insurance Agents.
• Other (non-costed) support for the health sector includes discretionary transfers related to healthcare to provinces. 
</t>
    </r>
    <r>
      <rPr>
        <b/>
        <sz val="10"/>
        <rFont val="Arial"/>
        <family val="2"/>
      </rPr>
      <t>Forgone revenue (AR $65.1 bn):</t>
    </r>
    <r>
      <rPr>
        <sz val="10"/>
        <rFont val="Arial"/>
        <family val="2"/>
      </rPr>
      <t xml:space="preserve">
• Exemption from import duties and statistical tax for medical supplies (April-August 2020).
• Tax aliquots on credits and debits in bank accounts and other operations of 2.5 and 5 percent for health service operations (April 2020 - December 2021).
• 95 percent reduction in the aliquot of employer social security contributions for a period of 90 days for health workers (April 2020 - December 2021).
• Special tax compensation scheme for those who make sales of essential goods, including a VAT refund for milk sales.</t>
    </r>
  </si>
  <si>
    <r>
      <t xml:space="preserve">Additional spending (AR $972.4 bn):
</t>
    </r>
    <r>
      <rPr>
        <sz val="10"/>
        <rFont val="Arial"/>
        <family val="2"/>
      </rPr>
      <t xml:space="preserve">• One-off additional allowances in 2020 for pensioners, beneficiaries of child, pregnancy, and other social allowances, as well as food stamps. 
• Emergency family allowance for monotributistas, informal workers, and unemployed - three payments in 2020.
• Assistance to community kitchens (comedores) and retiree centers for food distribution.
• Transfers to provincial governments.
• Wage subsidies and complementary wages for affected SMEs.
• • Higher spending on public works/infrastructure.
• Unemployment insurance increased by AR $4K to AR $10K.
• Financing for infrastructure in industrial parks.
• Small-scale supports for tourism and entertainment industries, science, education, external and security sectors.
• Transfers to state-guaranteed funds (FOGAR/FONDEP) for credit to SMEs and monotributistas.
• Support for hard hit and critical sectors: extension of the em+K42ployment support program (REPRO II) in April 21; supplementary salaries.
</t>
    </r>
    <r>
      <rPr>
        <b/>
        <sz val="10"/>
        <rFont val="Arial"/>
        <family val="2"/>
      </rPr>
      <t>Forgone revenue (AR $67.1 bn):</t>
    </r>
    <r>
      <rPr>
        <sz val="10"/>
        <rFont val="Arial"/>
        <family val="2"/>
      </rPr>
      <t xml:space="preserve">
• Reduction in employers' contributions to Social Security -most affected sectors granted 95% reduction in employers’ contributions to the pension system (April - May 2020).
• Special benefits (tax breaks) for police and security at the forefront of COVID response. </t>
    </r>
  </si>
  <si>
    <r>
      <rPr>
        <b/>
        <sz val="10"/>
        <rFont val="Arial"/>
        <family val="2"/>
      </rPr>
      <t>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</si>
  <si>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 State guaranteed, subsidized bank lending (estimated at 2 percent of GDP):
• Banco Nación and ANSES loans, subsidies, and transfers for housing projects;
• Subsidized loans for the construction and repair of houses.
• Financing for SMEs to help implement remote working facilities;
• Suspension of public service cuts for 180 days due to non-payment of up to 3 consecutive invoices.</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</si>
  <si>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</si>
  <si>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t>Brazil</t>
  </si>
  <si>
    <r>
      <t>Additional spending (BRL101.7 bn):</t>
    </r>
    <r>
      <rPr>
        <sz val="10"/>
        <color theme="1"/>
        <rFont val="Arial"/>
        <family val="2"/>
      </rPr>
      <t xml:space="preserve"> Federal Government spending (BRL91.7 bn), including BRL 24.5 bn for vaccination purposes, and transfers to Local Governments (BRL 10 bn) to combat the health crisis and cover higher health spending.
</t>
    </r>
    <r>
      <rPr>
        <b/>
        <sz val="10"/>
        <color theme="1"/>
        <rFont val="Arial"/>
        <family val="2"/>
      </rPr>
      <t>Forgone revenue (BRL 7.1 bn):</t>
    </r>
    <r>
      <rPr>
        <sz val="10"/>
        <color theme="1"/>
        <rFont val="Arial"/>
        <family val="2"/>
      </rPr>
      <t xml:space="preserve"> a temporary reduction in taxes (IPI, the Industrialized Products Tax, and zero import taxes) for listed imported and domestic goods necessary to combat Covid-19.</t>
    </r>
  </si>
  <si>
    <r>
      <rPr>
        <b/>
        <sz val="10"/>
        <color theme="1"/>
        <rFont val="Arial"/>
        <family val="2"/>
      </rPr>
      <t>Additional spending (BRL 560 bn):</t>
    </r>
    <r>
      <rPr>
        <sz val="10"/>
        <color theme="1"/>
        <rFont val="Arial"/>
        <family val="2"/>
      </rPr>
      <t xml:space="preserve">
• Targeted assistance for the elderly, poor, and unemployed, including (i) expanding the cash transfer program 'Bolsa Família' to accommodate 1.2 million new beneficiaries; (ii) “Covid-19” cash transfer ("Emergency Aid) for informal workers and  low-income households, of BRL600 per month in April-August and BRL 300 per month in September-December 2020 and BRL 250 per month in April - July 2021;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t>
    </r>
    <r>
      <rPr>
        <b/>
        <sz val="10"/>
        <color theme="1"/>
        <rFont val="Arial"/>
        <family val="2"/>
      </rPr>
      <t xml:space="preserve">Forgone revenue (BRL 19.1 bn): </t>
    </r>
    <r>
      <rPr>
        <sz val="10"/>
        <color theme="1"/>
        <rFont val="Arial"/>
        <family val="2"/>
      </rPr>
      <t xml:space="preserve">
• Elimination of the financial transactions tax (during 9 months)</t>
    </r>
  </si>
  <si>
    <r>
      <rPr>
        <b/>
        <sz val="10"/>
        <rFont val="Arial"/>
        <family val="2"/>
      </rPr>
      <t>Accelerated spending (BRL 58.7 bn):</t>
    </r>
    <r>
      <rPr>
        <sz val="10"/>
        <rFont val="Arial"/>
        <family val="2"/>
      </rPr>
      <t xml:space="preserve"> Advance payment of 13th pension benefit, wage bonuses to low-income workers, and sickness/disability benefits.
</t>
    </r>
    <r>
      <rPr>
        <b/>
        <sz val="10"/>
        <rFont val="Arial"/>
        <family val="2"/>
      </rPr>
      <t>Deferred revenue (BRL 170.9 bn):</t>
    </r>
    <r>
      <rPr>
        <sz val="10"/>
        <rFont val="Arial"/>
        <family val="2"/>
      </rPr>
      <t xml:space="preserve"> 
• 2020: 4-month deferral of social contributions paid by firms and employers, 3-month deferral of small business taxes, and delayed PIT filling. Deferral of taxes paid by the telecommunications sector and of tax debt payment obligations.
• 2021: 3 month deferral of small business taxes.</t>
    </r>
  </si>
  <si>
    <t>• BRL 6.8 billion credit line to SMEs (to finance payroll costs during 7 months); BRL 48.1 billion support to funds which lend to microbusinesses; BRL 20 billion support to a investment guarantee fund (to finance SMEs), 5bn credit support to the tourism sector.</t>
  </si>
  <si>
    <t xml:space="preserve">
</t>
  </si>
  <si>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and commerce and services; and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</si>
  <si>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t>Payment of employers’ contributions to the FGTS and small business taxes will be postponed by 3 months.</t>
  </si>
  <si>
    <t>China</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</si>
  <si>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</si>
  <si>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r>
      <rPr>
        <b/>
        <sz val="10"/>
        <rFont val="Arial"/>
        <family val="2"/>
      </rPr>
      <t xml:space="preserve">Additional spending (RMB 3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1.8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</si>
  <si>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</si>
  <si>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</si>
  <si>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</si>
  <si>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was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</si>
  <si>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</si>
  <si>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t>India</t>
  </si>
  <si>
    <r>
      <rPr>
        <b/>
        <sz val="10"/>
        <color theme="1"/>
        <rFont val="Arial"/>
        <family val="2"/>
      </rPr>
      <t>Additional spending (Rs 710 bn):</t>
    </r>
    <r>
      <rPr>
        <sz val="10"/>
        <color theme="1"/>
        <rFont val="Arial"/>
        <family val="2"/>
      </rPr>
      <t xml:space="preserve">
• Additional spending on health infrastructure, including for COVID-19 testing facilities, personal protective equipment, isolation beds, ICU beds, ventilators and medical screening.
• The budget for FY2020/21 released on February 1, 2021 provisioned 350 billion Rs for the country's vaccination program with the possibility of expanding the envelope.</t>
    </r>
  </si>
  <si>
    <r>
      <t>Additional spending (Rs 6216.78 bn):</t>
    </r>
    <r>
      <rPr>
        <sz val="10"/>
        <rFont val="Arial"/>
        <family val="2"/>
      </rPr>
      <t xml:space="preserve">
• On March 26, the central government announced a package that provides insurance coverage for workers in the healthcare sector, substantial in-kind (food; cooking gas) and cash transfers, as well as wage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93 bn).
• On June 30, authorities extended the provision of food rations to vulnerable households (Rs 829 bn).
• On August 20, authorities extended and expanded unemployment benefits for workers who are covered under the Employees State Insurance Corporation (ESIC) scheme.
• On October 12, authorities announced measures targeting consumption and public investment. On the consumption side authorities: i) offered public sector employees a cash payment which can be used to buy (via digital mode) goods that attract GST of 12% or more (i.e. discretionary, nonessential items) (Rs 56.8 bn): ii) a Special Festive Advance Scheme which is an interest-free advance to central government employees (Rs 40 bn). On the public investment side authorities announced i) additional spending by the central government (Rs 250 bn) and a lending scheme for state governments, involving a 50-year interest free loan (Rs 120 bn). 
• On November 12, authorities announced a new package (Rs 2650.8 bn) which included: (i) a Production Linked Incentive scheme targeting 13 priority sectors (1459.8 billion Rs.) to be disbursed over 5 years (no impact on the current fiscal year); (ii) more spending on fertilizer subsidies (650 billion Rs.); (iii) spending on urban housing projects (180 billion Rs.); (iv) additional capital expenditure and industrial infrastructure and incentives (102 billion Rs.); (v) support for rural employment (100 billion Rs.) and employment support in the formal sector (60 billion Rs.).
• In April 2021, in response to the recent surge in infections, the authorities announced that free food grains to individuals in May and June (260 billion Rs). The authorities also extended a scheme for providing interest-free loans to states for capital expenditure to FY2021/22 (150 billion Rs.) and expedited the release of Disaster Response Fund to state governments (from June to May).</t>
    </r>
  </si>
  <si>
    <r>
      <rPr>
        <b/>
        <sz val="10"/>
        <rFont val="Arial"/>
        <family val="2"/>
      </rPr>
      <t xml:space="preserve">Accelerated Spending (Rs 660 bn:
</t>
    </r>
    <r>
      <rPr>
        <sz val="10"/>
        <rFont val="Arial"/>
        <family val="2"/>
      </rPr>
      <t>• On March 26, 2020, the government accelerated the first installment of payments to lower income farmers under PM KISAN (160 billion rupees). As part of the scheme announced on June 20th, 2020, the government expedited the implementation of a set of public works projects spanning 12 different ministries, to boost employment and livelihood opportunities for migrant workers returning to villages (500 billion rupees)</t>
    </r>
    <r>
      <rPr>
        <b/>
        <sz val="10"/>
        <rFont val="Arial"/>
        <family val="2"/>
      </rPr>
      <t xml:space="preserve">
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</si>
  <si>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(500 billion Rs.) and a viability-gap funding scheme for private sector involvement in social infrastructure (81 billion Rs.), both announced in May; and equity infusion in infrastructure financing funds and platforms (60 billion Rs.) announced in November.</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</si>
  <si>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
•On November 12, the collateral-free lending program was extended to March 31, 2021 and expanded to provide additional support to 26 stressed sectors.</t>
  </si>
  <si>
    <t>• Loans to companies in the electricity distribution sector (initially 900 billion but expanded to 1200 billion Rs), carried out by Power Finance Crops and Rural Electrification Corps (both SOEs) under state government guarantees. Government also relaxed the borrowing limits of DISCOM companies on a one-time basis, allowing more electricity distribution companies to take advantage of the borrowing scheme.</t>
  </si>
  <si>
    <t>Indonesia</t>
  </si>
  <si>
    <r>
      <rPr>
        <b/>
        <sz val="10"/>
        <color theme="1"/>
        <rFont val="Arial"/>
        <family val="2"/>
      </rPr>
      <t>Additional spending (IDR 276 tn):</t>
    </r>
    <r>
      <rPr>
        <sz val="10"/>
        <color theme="1"/>
        <rFont val="Arial"/>
        <family val="2"/>
      </rPr>
      <t xml:space="preserve">
• Several fiscal packages have been announced by the government amounting to IDR 276 tn for the years 2020 and 2021. 
.• For 2020 Economic recovery program (PEN), health budget is around  IDR 100 tn. Preliminary assessment suggests that around IDR 64 tn have benn spended. 
• 2021 PEN budget for 2021 stands at IDR 176 tn as of March 3, 2021 among which around IDR 40 tn is reallocation from other spending.</t>
    </r>
  </si>
  <si>
    <r>
      <rPr>
        <b/>
        <sz val="10"/>
        <color theme="1"/>
        <rFont val="Arial"/>
        <family val="2"/>
      </rPr>
      <t>Additional spending (IDR 280.1 tn):</t>
    </r>
    <r>
      <rPr>
        <sz val="10"/>
        <color theme="1"/>
        <rFont val="Arial"/>
        <family val="2"/>
      </rPr>
      <t xml:space="preserve">
•The approved budget for 2020 is IDR 145.3 tn including social protection, cash transfer etc
•The approved budget for 2021 is IDR 134.8 tn . Several revisions have been announced by the government but details remain to be known.
</t>
    </r>
    <r>
      <rPr>
        <b/>
        <sz val="10"/>
        <color theme="1"/>
        <rFont val="Arial"/>
        <family val="2"/>
      </rPr>
      <t>Forgone revenue (IDR 143.4 tn):</t>
    </r>
    <r>
      <rPr>
        <sz val="10"/>
        <color theme="1"/>
        <rFont val="Arial"/>
        <family val="2"/>
      </rPr>
      <t xml:space="preserve"> 
• For 2020, approved tax incentives amounted to IDR 123 tn.
• For 2021, the approved budget is IDR 20.4 tn
•Packages include various tax reliefs and incentives: exemption and reduction of income taxes (with an income ceiling) and a reduction of the corporate income tax from 25 percent to 22 percent.</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</si>
  <si>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</si>
  <si>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t>• Capital injection to SOEs.</t>
  </si>
  <si>
    <t xml:space="preserve">• Government guarantees for bank lending to micro, small, and medium enterprises (IDR 150 tn), expected to be financed by Bank of Indonesia's purchase of new government recovery bonds.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</si>
  <si>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</si>
  <si>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t>Mexico</t>
  </si>
  <si>
    <t>Non-financial Public Sector</t>
  </si>
  <si>
    <r>
      <rPr>
        <b/>
        <sz val="10"/>
        <color theme="1"/>
        <rFont val="Arial"/>
        <family val="2"/>
      </rPr>
      <t>Additional spending:</t>
    </r>
    <r>
      <rPr>
        <sz val="10"/>
        <color theme="1"/>
        <rFont val="Arial"/>
        <family val="2"/>
      </rPr>
      <t xml:space="preserve">
The authorities have increased public health spending to ensure sufficient supply of medical equipment and materials.</t>
    </r>
  </si>
  <si>
    <r>
      <rPr>
        <b/>
        <sz val="10"/>
        <rFont val="Arial"/>
        <family val="2"/>
      </rPr>
      <t>Additional spending:</t>
    </r>
    <r>
      <rPr>
        <sz val="10"/>
        <rFont val="Arial"/>
        <family val="2"/>
      </rPr>
      <t xml:space="preserve">
• Loans with optional repayment to be granted by the Ministry of Economy to SMEs that maintain employees on payroll, self-employed, and domestic workers. Eligibility is assessed using IMSS database.
• Loans with optional repayment to be granted by the Ministry of Economy to family businesses, previously registered in the Welfare Census.
• Unemployment subsidy for 3 months to workers that hold a mortgage with the Housing Institute.
• Housing program.</t>
    </r>
  </si>
  <si>
    <r>
      <rPr>
        <b/>
        <sz val="10"/>
        <rFont val="Arial"/>
        <family val="2"/>
      </rPr>
      <t xml:space="preserve">Accelerated spending:
</t>
    </r>
    <r>
      <rPr>
        <sz val="10"/>
        <rFont val="Arial"/>
        <family val="2"/>
      </rPr>
      <t>• Frontloaded social pension payments for the elderly and disabled people.
• Procurement processes and VAT refunds are to be accelerated.</t>
    </r>
  </si>
  <si>
    <t>• Institute for Social Security and Services (ISSSTE) loans to state workers with low interest rates.
• Personal loans granted by the Institute of the National Fund for the Consumption of Workers (Fonacot).
• Special Program to Reactivate the Economy against COVID by Housing Fund of the Institute for Social Security and Services(Fovissste).</t>
  </si>
  <si>
    <t>• Development bank guarantees program</t>
  </si>
  <si>
    <t>• Development banks to provide loans, particularly to small- and medium-scale enterprises.</t>
  </si>
  <si>
    <t>At the state-level, several state governments have announced support, including deferral of tax payments or tax holidays.</t>
  </si>
  <si>
    <t>Russia</t>
  </si>
  <si>
    <r>
      <rPr>
        <b/>
        <sz val="10"/>
        <color theme="1"/>
        <rFont val="Arial"/>
        <family val="2"/>
      </rPr>
      <t>Additional spending</t>
    </r>
    <r>
      <rPr>
        <sz val="10"/>
        <color theme="1"/>
        <rFont val="Arial"/>
        <family val="2"/>
      </rPr>
      <t xml:space="preserve">:
• RUB 224 billion – new infection hospitals, additional beds and re-equipment of existing beds, special ambulances and equipment, medicine
• RUB 346 billion – bonus fund for medical staff, R&amp;D in diagnostics and prevention
• RUB 32 billion – other
• RUB 141 billion expected in 2021.
• 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</si>
  <si>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3.1 tn):  </t>
    </r>
    <r>
      <rPr>
        <sz val="10"/>
        <rFont val="Arial"/>
        <family val="2"/>
      </rPr>
      <t xml:space="preserve">
• Quarantined or self-isolating individuals to receive sick leave benefits from the Social Insurance Fund.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 Expected expenditure measures in 2021:  951 billion : 851 billion to the corporate sector (employment retention programs- 477 billion, and industry specific support and development programs-373 billion) and 100 billion to local governments.
</t>
    </r>
    <r>
      <rPr>
        <b/>
        <sz val="10"/>
        <rFont val="Arial"/>
        <family val="2"/>
      </rPr>
      <t xml:space="preserve">Forgone revenue (RUB 939 bn): 
</t>
    </r>
    <r>
      <rPr>
        <sz val="10"/>
        <rFont val="Arial"/>
        <family val="2"/>
      </rPr>
      <t>•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</si>
  <si>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</si>
  <si>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RUB 70 billion for restructuring regional debt to the federal government.
• Recapitalization of leasing firms due to potential problems of their clients in the transportation sector.</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</si>
  <si>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</si>
  <si>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</si>
  <si>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t>Saudi Arabia</t>
  </si>
  <si>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</si>
  <si>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</si>
  <si>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Deferred revenue (SAR 56 bn)</t>
    </r>
    <r>
      <rPr>
        <sz val="10"/>
        <color theme="1"/>
        <rFont val="Arial"/>
        <family val="2"/>
      </rPr>
      <t>: Deferred declaration &amp; payment of taxes for 3 months, waiver of customs duties (30 days to 3 months), waiver of expat fees for 3 months; and  waiver of municipal fees on companies for 3 months.</t>
    </r>
  </si>
  <si>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</si>
  <si>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t>South Africa</t>
  </si>
  <si>
    <r>
      <rPr>
        <b/>
        <sz val="10"/>
        <color theme="1"/>
        <rFont val="Arial"/>
        <family val="2"/>
      </rPr>
      <t xml:space="preserve">Additional spending: </t>
    </r>
    <r>
      <rPr>
        <sz val="10"/>
        <color theme="1"/>
        <rFont val="Arial"/>
        <family val="2"/>
      </rPr>
      <t>for medical equipment and staff for health facilities, and policing the lockdown, vaccine program and rollout, and second wave management.</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</si>
  <si>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(R 227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(extended to April 2021).
• Increase transfers to households: grants and food distribution and public work program expansions. 
• Increase child support and all other grants from May till Oct 2020.
• Distribute food parcels and provide transfers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750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</si>
  <si>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2020.
• Three-month deferral for filing and payment date of carbon tax.</t>
    </r>
  </si>
  <si>
    <t xml:space="preserve">The Treasury will guarantee up to R 200 bn in loans where also the banks are taking part of the risk to help businesses (with a cap of R100 million per loan) pay operating expenses and restart, suppliers etc (extended to June 11 2021). </t>
  </si>
  <si>
    <t>Programs from the industrial development corporation to support businesses.</t>
  </si>
  <si>
    <t>Turkey</t>
  </si>
  <si>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</si>
  <si>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t>• Turkey Wealth Fund (TWF) has been granted new rights to take equity in firms affected by Covid-19, and was assigned to inject a core capital of 0.4 percent of GDP into three state banks, funded by issuance of Treasury bonds.</t>
  </si>
  <si>
    <t>• Treasury-backed credit guarantee system.  
• Credit guarantee fund doubled in size from TL25 to 50 billion as part of the fiscal package.</t>
  </si>
  <si>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                      • Farmers’ loans that will become due in May and June have been postponed by six months.</t>
  </si>
  <si>
    <t>Belgium</t>
  </si>
  <si>
    <r>
      <t>Additional spending (€9.2 bn):</t>
    </r>
    <r>
      <rPr>
        <sz val="10"/>
        <color theme="1"/>
        <rFont val="Arial"/>
        <family val="2"/>
      </rPr>
      <t xml:space="preserve"> on medical equipment, tests, contact tracing, administration, etc. Measures also include advance payments to hospitals (2bn allocated based on Covid-related cost pressures and revenue losses) as well as a structural increase in the budget for mental health care (200mn annually; for 2020 prorated from Sept) and the federal health sector (wage increases and improvement in working conditions; 350mn in 2021, 600mn thereafter). An additional, one-off 200mn was allocated to federal health workers in 2020. Additional spending on vaccine rollout.</t>
    </r>
  </si>
  <si>
    <r>
      <t xml:space="preserve">Additional spending (€23.1 bn): 
</t>
    </r>
    <r>
      <rPr>
        <sz val="10"/>
        <rFont val="Arial"/>
        <family val="2"/>
      </rPr>
      <t xml:space="preserve">• Federal government eased access to temporary unemployment for firms affected by Covid-19, raised the benefit replacement rate, and introduced a daily premium, as well as eased access to replacement income for the self-employed. It also introduced Covid-19 parental leave and increased unemployment benefits (extension of switching on allowance for the young, freezing of degressivity, etc.), social assistance benefits, and support to local social services. Key temporary measures have been extended until end-March or end-June 2021, with eligibility widened and benefits increased for some of them to support firms and households through the second lockdown. Additional measures have been taken to support hard-hit sectors and vulnerable groups.
• Regional governments provided transfers for companies and self-employed affected by closures or significantly reduced turnover; further support to specific, affected sectors in addition to the health care sector; support for utility bills for affected households; and a host of smaller support measures. Similar measures have been reintroduced in Oct-Nov in the context of the re-imposition of restrictions and the second lockdown.
</t>
    </r>
    <r>
      <rPr>
        <b/>
        <sz val="10"/>
        <rFont val="Arial"/>
        <family val="2"/>
      </rPr>
      <t xml:space="preserve">
Forgone revenue (€4.8 bn):  
</t>
    </r>
    <r>
      <rPr>
        <sz val="10"/>
        <rFont val="Arial"/>
        <family val="2"/>
      </rPr>
      <t>•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increase in the investment allowance for SMEs and natural persons (extended until end-2022), and increase in the CIT allowance for restaurant and reception costs.</t>
    </r>
  </si>
  <si>
    <r>
      <rPr>
        <b/>
        <sz val="10"/>
        <color theme="1"/>
        <rFont val="Arial"/>
        <family val="2"/>
      </rPr>
      <t xml:space="preserve">Deferred revenue (€13.2 bn): 
</t>
    </r>
    <r>
      <rPr>
        <sz val="10"/>
        <color theme="1"/>
        <rFont val="Arial"/>
        <family val="2"/>
      </rPr>
      <t>• Deferred payment of tax and social security contributions for affected firms, self-employed, and households, without application of interest charges and penalties, estimated at about 10 billion euros, and deferral of advance VAT payment in December 2020. Additional deferral of SSC payments due in Q4 for firms affected by the second lockdown.</t>
    </r>
  </si>
  <si>
    <r>
      <rPr>
        <b/>
        <sz val="10"/>
        <rFont val="Arial"/>
        <family val="2"/>
      </rPr>
      <t xml:space="preserve">Government loans (1.3bn): 
</t>
    </r>
    <r>
      <rPr>
        <sz val="10"/>
        <rFont val="Arial"/>
        <family val="2"/>
      </rPr>
      <t xml:space="preserve">• Federal loan to Brussels Airlines;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</si>
  <si>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t>• Federal government launched a guarantee mechanism for all new credits and credit lines, initially with a maximum maturity of 12 months granted by banks to viable non-financial corporations and self-employed (ended Dec 2020). Modified end-July to extend the maturity to 36 months, replace the loss tranching by uniform loss sharing between government and banks (80-20), and ease the viability criterion. The modified scheme applies to 10bn out of a total envelope of 50bn total envelope. Take-up is about 1.5bn.
· Regional governments also provide guarantees for affected companies and self-employed in need of bridge loans. Take-up is about 0.4bn.
· The federal government signed a memorandum of understanding with Credendo ECA, Assuralia and private credit-insurance firms, committing to provide reinsurance for short-term (&lt; 2yrs) trade credit insurance.</t>
  </si>
  <si>
    <t>Czech Republic</t>
  </si>
  <si>
    <r>
      <t xml:space="preserve">Additional spending: 
• </t>
    </r>
    <r>
      <rPr>
        <sz val="10"/>
        <rFont val="Arial"/>
        <family val="2"/>
      </rPr>
      <t>Purchases of medical equipment, vaccine, tests, etc. (CZK 34.1bn).
• The government approved higher premium payments on state-covered health insurance--increase by CZK500 per person as of June 2020 (CZK 20.9bn) and by CZK200 per person since January 2021 (CZK50.9bn).
• Debt relief of hospitals (CZK 6.6bn). 
• Bonus for workers in social services, hospitals, emergency responders, hygienically stations (CZK 34.3 bn).
• Remission of VAT on purchase of the vaccine, tests, respirators (CZK 2.4bn) 
• Other health measures: (mobile collection teams, Smart Quarantine establishment, anti-covid programmes for technological firms) (CZK 1.7bn).</t>
    </r>
  </si>
  <si>
    <r>
      <rPr>
        <b/>
        <sz val="10"/>
        <rFont val="Arial"/>
        <family val="2"/>
      </rPr>
      <t xml:space="preserve">Additional spending: 
</t>
    </r>
    <r>
      <rPr>
        <sz val="10"/>
        <rFont val="Arial"/>
        <family val="2"/>
      </rPr>
      <t xml:space="preserve">• Payments for employment support: Employees affected during the shutdown due to government measures will receive full wages of which the government covered 80 percent up to CZK 39,000/month (since October the government has covered 100% up to CZK 50,000/month in case of business shutdown due to government measures). Staff in businesses affected receive 60-100% of gross wages with a state contribution of 60% of total labor costs per employee (up to CZK 29,000/month) (CZK 49.1bn).
• Care Allowance to parents, who cannot work because they need to care for children up to 13 years, of 80% of eligible income until end of June 2020 (calculated based on a progressive table) for sick leave. During the other waves of COVID, care allowance to parents with children up to 10 years, 70% of eligible income - since March 2021 80% of eligible income (in total CZK 12.2bn). 
• Care Allowance to self-employed persons (CZK 434 per day in March 2020, CZK 500 per day since April), who cannot work because they need to care for children up to 13 years. During the other waves of COVID for parents with children up to 10 years, CZK 400 per day (CZK 3.1bn)
• The state covers half of business property rents in Q2-Q4 2020 (CZK 8.8bn).
• Programs in support of the sports, culture, tourism, transport, restaurants, agriculture and other closed sectors (CZK 45.5bn).
• One-off cash benefit for pensioners in amount of CZK 5000 (CZK 15.0bn).
• Loss carryback measure: Taxpayers who report tax losses in 2020 due to the state of emergency, will be able to reduce their tax bases for the tax years 2019 and 2018 by this loss (maximum CZK 30 million) (CZK 19.1bn).
• Self-employed receive lump sum of CZK 500 per day during Mar 12 and Jun 8 (CZK 20.2bn), additional lump-sum assistance grant (CZK 500 per day) to small business (Ltd) during Mar 12 and Jun 8 (CZK 1.7bn) and additional lump-sum assistance grant (CZK 350 per day) to contractors (CZK 0.1bn). The subjects in affected sectors received identical lump-sum during  Oct 5 2020 and Feb 15 2021 (CZK 7.6bn) and lump-sum of CZK 1000 per day during Feb 1 and May 31 2021 (CZK 16.8bn)
• Other expenditure (CZK 8.4bn).
</t>
    </r>
    <r>
      <rPr>
        <b/>
        <sz val="10"/>
        <rFont val="Arial"/>
        <family val="2"/>
      </rPr>
      <t xml:space="preserve">Forgone Revenue: </t>
    </r>
    <r>
      <rPr>
        <sz val="10"/>
        <rFont val="Arial"/>
        <family val="2"/>
      </rPr>
      <t xml:space="preserve">
• The effective reduction in the personal income taxation and increase in the basic rebate for taxpayers (in total CZK 99bn).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13.3bn).
• Introduction of extraordinary allowance at CZK 370 per day for employees who have been ordered to quarantine (CZK 2.1bn).
• Reduced VAT rate to 10% for accommodation, sports and culture services (CZK 2.6bn).
• Reduced road tax rate for vehicles above 3.5t (CZK 2bn) and decrease in excise tax on diesel oil (CZK 5.6bn).
• Abolition of the real property acquisition tax (CZK 27.6bn).
• Lower dividends from Airport Prague (CZK 1.5bn).
• Introduction of extraordinary accelerated depreciation on assets (in the 1st and 2nd depreciation classes), acquired in 2020 and 2021 (CZK 26.7bn); increase in the limit for the depreciation of tangible fixed assets and other measures (CZK 3.7bn).</t>
    </r>
  </si>
  <si>
    <r>
      <t xml:space="preserve">Deferred revenue: 
</t>
    </r>
    <r>
      <rPr>
        <sz val="10"/>
        <rFont val="Arial"/>
        <family val="2"/>
      </rPr>
      <t xml:space="preserve">• Postponement of (i) advance payments on personal and corporate income taxes (CZK 22bn) - no impact on balance in ESA2010 methodology; (ii) advance payments on social security and health insurance contributions for self-employed by 6 months (CZK 14.3bn); (iii) advance payments on road tax
• Deferral of the VAT </t>
    </r>
  </si>
  <si>
    <t xml:space="preserve">• The CMZRB provided CZK 1bn through interest-free loans, the rest will be handled through state guarantees on loans of commercial banks (COVID I Programme).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</si>
  <si>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(CZK 1.6bn).
• COVID Sport Guarantee Program (CZK 4bn).
• COVID Travel Agency Guarantee Program (CZK 0.3bn)
• Other guarantees (National guarantee, Expansion guarantee) (CZK 19.7bn).</t>
  </si>
  <si>
    <t>Denmark</t>
  </si>
  <si>
    <r>
      <rPr>
        <b/>
        <sz val="10"/>
        <color theme="1"/>
        <rFont val="Arial"/>
        <family val="2"/>
      </rPr>
      <t>Additional spending:</t>
    </r>
    <r>
      <rPr>
        <sz val="10"/>
        <color theme="1"/>
        <rFont val="Arial"/>
        <family val="2"/>
      </rPr>
      <t xml:space="preserve"> Additional resources to hire social and health workers nationwide. </t>
    </r>
  </si>
  <si>
    <r>
      <rPr>
        <b/>
        <sz val="10"/>
        <rFont val="Arial"/>
        <family val="2"/>
      </rPr>
      <t xml:space="preserve">Additional spending:
• </t>
    </r>
    <r>
      <rPr>
        <sz val="10"/>
        <rFont val="Arial"/>
        <family val="2"/>
      </rPr>
      <t>Compensation scheme for the cancellation and postponement of major events following COVID-19 (Announced: DKK 2.4 billion; Uptake: DKK 0.23 bn)
• Temporary salary compensation between 75% and 90% of workers salary (Announced: DKK 14.7 billion Uptake: DKK 13 billion); Temporary compensation scheme for self-employed and freelancers (Announced: DKK 14.1 billion Uptake: DKK 6.2 bn)
• Sickness benefit reimbursement (Announced: DKK 2.2 bn) and increased access to unemployment benefits and sickness benefits (Announced: DKK 2.6 bn)
• Temporary compensation scheme for companies’ fixed costs (Announced: DKK 65.3 billion, Uptake: DKK 7.9 bn). 
• Boosting liquidity and facilitating the advancement and completion of various construction projects in the Danish municipalities and regions (Announced: DKK 2.5 billion).
• Increase in deductions for for summerhouse owners. (Announced: DKK 3.3 bn)
• Increase in corporate deductions for R&amp;D (Announced DKK 3.6 bn).
• One-time grant of DKK 1000 to low-income (Announced DKK 2.2 bn) .
• Other support measures to businesses (Announced DKK 0.33 bn)
• Other initiatives (about DKK 3.5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</si>
  <si>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(Announced: DKK 90 billion + DKK 74 billion)
The payment deadline for VAT for businesses that pay VAT on a monthly basis is postponed (Announced: DKK 35 billion + DKK 32.5 billion)
• Small enterprises’ VAT period will be extended from 6 months to 12 months in 2020, while medium-sized enterprises’ VAT periods will be extended from 3 months to 6 months for the first half of 2020 (Announced: DKK 35 billion + DKK 18 billion)
• Temporary postponement of payment deadlines for B-taxes (provisional tax paid by self-employed businessmen) (Announced: DKK 5 billion)
• Temporary postponement of payment deadlines for payroll tax for certain businesses. (Announced: DKK 0.275 billion)</t>
    </r>
  </si>
  <si>
    <t>• Increase the Danish Students’ Loan Scheme (DKK 1.5 billion). 
• Interest free loans based on VAT payments and payroll tax payments (DKK 35 billion + DKK 28 bn). 
• Loans and equity to start-ups and high growth enterprises (Announced: less than DKK 4.5 billion Uptake: DKK 1.583 bn)
• Interest free loans based on A-taxes (withholding tax) and labour market contribution due in January aimed at SME's (DKK 7 bn)
• Interest free loans based on A-taxes (withholding tax) and labour market contribution aimed at large firms (DKK 78 bn)
• Interest free loans based on VAT rates and payroll tax rates aimed at SME's (DKK 63.5 bn)
• Due to the consequences of COVID19 SAS AB has completed a recapitalisation of the company to which the Danish State (among others) has contributed (DKK 3.8 bn)
• Danish Recapitalization Fund (DKK 10 bn).  Danish state will invest in equity as an investor of last resort by acquiring preferred shares of the beneficiaries affected by Covid-19</t>
  </si>
  <si>
    <t xml:space="preserve">• The government will 1) guarantee 70% of the value of new loans to large companies that can demonstrate a fall in turnover over more than 30 percent and 2) guarantee 70% of the value of any new bank loans given to SMEs that have seen operating profits fall by more than 30%. (Announced DKK 50.0 bn Uptake: DKK 7.4 bn) 
• Two new liquidity guarantee schemes for companies with export related activities (revenue from export should amount to a minimum of 10% of total revenue) have been implemented through Denmark's Export Credit Agency (EKF). Under the SME scheme, the government guarantees 90% of loans to SME's while the guarantee under the large company scheme covers 80% of the loan. (Announced DKK 7.35 bn)
• Credit guarantee for Scandinavian Airlines (SAS). (Announced:  DKK 1 bn)
• EKF (Denmark's Export Credit Agency) has established a scheme in which they reinsure the activities of trade credit insurance companies (Announced DKK 30 bn) 
• Strengthening the Travel Guarantee Fund. (Announced DKK 3.4 bn)
</t>
  </si>
  <si>
    <t>Another 2 percent of GDP in countercyclical support is expected to come through the stronger automatic stabilizers—including from weaker tax receipts and higher social benefits.</t>
  </si>
  <si>
    <t>Finland</t>
  </si>
  <si>
    <r>
      <rPr>
        <b/>
        <sz val="10"/>
        <color theme="1"/>
        <rFont val="Arial"/>
        <family val="2"/>
      </rPr>
      <t xml:space="preserve">Additional spending: </t>
    </r>
    <r>
      <rPr>
        <sz val="10"/>
        <color theme="1"/>
        <rFont val="Arial"/>
        <family val="2"/>
      </rPr>
      <t xml:space="preserve">
•	Health and social services resources and equipment purchases, and covid-19 vaccine and drug development research (0.9) 
•	Other expenditure increases arising from the coronavirus situation (0.5)
•	Covid tests and other directly health-security related expenditure (1.7) 
•	Covid related appropriations in first and second supplementary budgets (0.5)
</t>
    </r>
  </si>
  <si>
    <r>
      <rPr>
        <b/>
        <sz val="10"/>
        <color theme="1"/>
        <rFont val="Arial"/>
        <family val="2"/>
      </rPr>
      <t>Additional spending:</t>
    </r>
    <r>
      <rPr>
        <sz val="10"/>
        <color theme="1"/>
        <rFont val="Arial"/>
        <family val="2"/>
      </rPr>
      <t xml:space="preserve"> 
•	Support for enterprises: grants provided for companies by Business Finland and ELY Centres, support for solvency of sole entrepreneurs, support for catering entrepreneurs, support for agricultural and natural resource economy enterprises, general cost support for companies, estimated increase in Finnvera’s loss compensation (2.41)
•	Extension of unemployment security: eliminating the waiting period, speeding up the layoff procedure, making entrepreneurs eligible for unemployment security, extending the payment period of startup grants, streamlining unemployment benefit payments (0.497)
•	Extension of social benefits: support for individuals arriving from other countries and parents of small children, temporary increase in social assistance (0.154)
•	Children and young people, and wellbeing of the elderly: free leisure activities, early childhood education and care, basic education and general upper secondary education, guidance counselling and youth work, student health care, ensuring properly functioning services for the elderly (0.660)
•	Investment projects: basic transport infrastructure maintenance, developing the transport network, renovation construction, and public transport support. The sums for the years 2021 and 2022 are based on a technical assumption concerning the timing of the projects. (0.45)
•	R&amp;D&amp;I, competence and wellbeing: additional starting places for higher education and developing continuous learning, research appropriations for the Academy of Finland, public employment and business services and developing the service structure. (0.327)
•	Ripple effects of 2020 supplementary budgets e.g., payments for business development projects as grants and loans, infrastructure (1.0) 
</t>
    </r>
    <r>
      <rPr>
        <b/>
        <sz val="10"/>
        <color theme="1"/>
        <rFont val="Arial"/>
        <family val="2"/>
      </rPr>
      <t>Forgone revenue:</t>
    </r>
    <r>
      <rPr>
        <sz val="10"/>
        <color theme="1"/>
        <rFont val="Arial"/>
        <family val="2"/>
      </rPr>
      <t xml:space="preserve">
•	Lower pension contributions for the period May 1 - 31 December  2020 (€1.05 billion).
</t>
    </r>
  </si>
  <si>
    <r>
      <rPr>
        <b/>
        <sz val="10"/>
        <color theme="1"/>
        <rFont val="Arial"/>
        <family val="2"/>
      </rPr>
      <t>Deferred revenue:</t>
    </r>
    <r>
      <rPr>
        <sz val="10"/>
        <color theme="1"/>
        <rFont val="Arial"/>
        <family val="2"/>
      </rPr>
      <t xml:space="preserve"> Easing of payment terms for taxes due on or after 1 March 2020 and lowering the interest on late payments from 7% to 2,5%. The easing also applies to value added tax payments due in the period January - March. Assessing the impacts of the delays of 2020 tax revenue to 2021. (2.1)</t>
    </r>
  </si>
  <si>
    <t>• Injecting capital into Finnish Industry Investment for the setting up of a new stability programme (€400 million)
• Equity investment in Finnish Minerals Group (€500 million)
• Capitalisation arrangements in Finnair Plc (€700 million)</t>
  </si>
  <si>
    <t xml:space="preserve">•	Increasing Finnvera’s domestic financing authorisations from EUR 4.2 to EUR 12 billion. About EUR 2 billion of the existing authorisations have already been used and thus any additional funding would total EUR 10 billion.
•	Increasing Business Finland’s lending authorisations, total increase for the period 2020-2022 (0.3)
•	State guarantees to cover Finnair’s financing needs (0.5)
•	State guarantees to shipping companies to ensure cargo traffic important to security of supply (0.6)
•	State guarantees for the loans granted within the framework of the European instrument for temporary Support to mitigate Unemployment Risks in an Emergency  (SURE) (0.4)
•	State guarantees for any losses arising from the Pan-European covid-19 guarantee fund to be established under the European Investment Bank (0.4)
</t>
  </si>
  <si>
    <t>• The State Pension Fund will invest in commercial paper (€1 billion).
• Bank of Finland's investments in commercial paper (€1 billion).
• Authorizing the Financial Stability Fund to borrow funds to meet its statutory obligations concerning the deposit guarantee (€2 billion)</t>
  </si>
  <si>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</si>
  <si>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</si>
  <si>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t>The Netherlands</t>
  </si>
  <si>
    <r>
      <rPr>
        <b/>
        <sz val="10"/>
        <color theme="1"/>
        <rFont val="Arial"/>
        <family val="2"/>
      </rPr>
      <t>Additional spending:</t>
    </r>
    <r>
      <rPr>
        <sz val="10"/>
        <color theme="1"/>
        <rFont val="Arial"/>
        <family val="2"/>
      </rPr>
      <t xml:space="preserve"> including on purchase, distribution and sale of medical devices; vaccine research contribution; healthcare costs in the Caribbean Netherlands; training for healthcare personnel and bonusses; research. The reported 16.6 billion covers 2020-2022.</t>
    </r>
  </si>
  <si>
    <r>
      <rPr>
        <b/>
        <sz val="10"/>
        <color theme="1"/>
        <rFont val="Arial"/>
        <family val="2"/>
      </rPr>
      <t>Additional spending:
•</t>
    </r>
    <r>
      <rPr>
        <sz val="10"/>
        <color theme="1"/>
        <rFont val="Arial"/>
        <family val="2"/>
      </rPr>
      <t xml:space="preserve"> Companies expecting a reduction in revenues over 20% can request a compensation for labor costs (max 90% of labor costs) to allow companies to continue paying wages; compensation for affected sectors (for example, hospitality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 xml:space="preserve">Allowances for SMEs affected by the outbreak to help them finance their fixed costs. </t>
    </r>
    <r>
      <rPr>
        <b/>
        <sz val="10"/>
        <color theme="1"/>
        <rFont val="Arial"/>
        <family val="2"/>
      </rPr>
      <t xml:space="preserve">
Forgone revenue (info not available for 2021-2022):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</si>
  <si>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</si>
  <si>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was expanded to cover up to 90 percent of total loan for SMEs (with maturity of 1 year or less) and 80 percent for large firms.
• A guarantee scheme for supplier credit was also established.</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</si>
  <si>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</si>
  <si>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t>New Zealand</t>
  </si>
  <si>
    <r>
      <rPr>
        <b/>
        <sz val="10"/>
        <color theme="1"/>
        <rFont val="Arial"/>
        <family val="2"/>
      </rPr>
      <t>Additional spending</t>
    </r>
    <r>
      <rPr>
        <sz val="10"/>
        <color theme="1"/>
        <rFont val="Arial"/>
        <family val="2"/>
      </rPr>
      <t>: doubling resources for public health units; expanding intensive care capacity and equipment at hospitals; expanding health line capacity; support for primary care; the purchasing of vaccines, the cost of managed isolation.</t>
    </r>
  </si>
  <si>
    <r>
      <t>Additional spending</t>
    </r>
    <r>
      <rPr>
        <sz val="10"/>
        <rFont val="Arial"/>
        <family val="2"/>
      </rPr>
      <t xml:space="preserve"> (NZ$48.4 bn)</t>
    </r>
    <r>
      <rPr>
        <b/>
        <sz val="10"/>
        <rFont val="Arial"/>
        <family val="2"/>
      </rPr>
      <t>:</t>
    </r>
    <r>
      <rPr>
        <sz val="10"/>
        <rFont val="Arial"/>
        <family val="2"/>
      </rPr>
      <t xml:space="preserve"> including wage subsidies available for all employers that are significantly affected by the impact of COVID-19 (NZ$13.9 billion); income relief payment to support people who have lost their job (NZ$570 million); financial support for workers that are not paid normally during self-isolation (NZ$126 million); temporary increase in winter energy payment (NZ$480 million); permanent increase in benefits (NZ$2.4 billion in next four years); infrastructure investment (NZ$3.8 billion); support package for the aviation sector (NZ$600 million); tourism recovery package (NZ$400 million); housing and urban development (NZ$ 4.7 billion); education (NZ$3.4 billion); transport projects (NZ$600 million); government R&amp;D (NZ$196 million); targeted training and apprenticeship fund (NZ$ 320million); and Flexi-wage subsidies (NZ$311 million).
</t>
    </r>
    <r>
      <rPr>
        <b/>
        <sz val="10"/>
        <rFont val="Arial"/>
        <family val="2"/>
      </rPr>
      <t xml:space="preserve">Forgone revenue </t>
    </r>
    <r>
      <rPr>
        <sz val="10"/>
        <rFont val="Arial"/>
        <family val="2"/>
      </rPr>
      <t>(NZ$8.6 bn):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</si>
  <si>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 NZ$ 900 mn loan is granted to Air New Zealand, an airline company, of which the government owns 52 percent of shares.
• Maximum NZ$100 thousand loan is granted to small businesses that employ 50 or fewer full time equivalent employees (NZ$ 1.7 bn).
• NZ$150 million short-term R&amp;D scheme to support private sector R&amp;D investment.</t>
  </si>
  <si>
    <t>• A loan guarantee scheme for firms with a turnover of between NZ$ 250 thousand and NZ$ 80 mn per annum, with the Government carrying 80% of the credit risk. The loans will be limited to NZ$ 5 mn for a maximum of five years and expected to be provided by the banks at competitive, transparent rates.</t>
  </si>
  <si>
    <t>Norway</t>
  </si>
  <si>
    <r>
      <rPr>
        <b/>
        <sz val="10"/>
        <color theme="1"/>
        <rFont val="Arial"/>
        <family val="2"/>
      </rPr>
      <t>Additional spending:</t>
    </r>
    <r>
      <rPr>
        <sz val="10"/>
        <color theme="1"/>
        <rFont val="Arial"/>
        <family val="2"/>
      </rPr>
      <t xml:space="preserve"> 
• Strengthening the financial situation in the hospital trust through increased appropriations and temporary reduced employer tax (NOK 6 bn). 
• Increased appropriations to cover expenses for necessary medicines, medical equipment and laboratory analyzes (NOK 4.8 bn). 
• Other measures.
</t>
    </r>
    <r>
      <rPr>
        <b/>
        <sz val="10"/>
        <color theme="1"/>
        <rFont val="Arial"/>
        <family val="2"/>
      </rPr>
      <t>Forgone revenue:</t>
    </r>
    <r>
      <rPr>
        <sz val="10"/>
        <color theme="1"/>
        <rFont val="Arial"/>
        <family val="2"/>
      </rPr>
      <t xml:space="preserve">  
• Strengthening the financial situation in the hospital trust by NOK 6 bn through increased appropriations and temporary reduced employer tax. </t>
    </r>
  </si>
  <si>
    <r>
      <rPr>
        <b/>
        <sz val="10"/>
        <color theme="1"/>
        <rFont val="Arial"/>
        <family val="2"/>
      </rPr>
      <t>Additional spending</t>
    </r>
    <r>
      <rPr>
        <sz val="10"/>
        <color theme="1"/>
        <rFont val="Arial"/>
        <family val="2"/>
      </rPr>
      <t xml:space="preserve">: 
• Include household income protection scheme offering larger wage subsidies for temporary lay-offs, more generous unemployment benefits, and expanded sickness and child care; 
• Measures for business offering a scheme to compensate heavily affected but otherwise sustainable businesses for unavoidable fixed costs, grants for start-ups and subsidies of domestic air routes; 
• Strengthening of critical sectors other than healthcare (public transport, municipalities);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 xml:space="preserve">Lowering of reduced VAT rate from 12 to 6 percent; 
• Change in CIT regulations so that lossmaking companies can re-allocate their losses towards previous years’ taxed profits
• Temporary amendments to the petroleum tax system to improve liquidity in the sector. 
• Suspension of aviation charges. 
• Temporary lowering of the employers’ social insurance contributions. </t>
    </r>
  </si>
  <si>
    <t>• Deferral of various tax payments.</t>
  </si>
  <si>
    <t>• The reinstatement of a government fund that buys bonds issued by Norwegian companies to increase liquidity and access to capital in the Norwegian bond market, with a ceiling of NOK 50 bn.
• Increased funding for Innovation Norway and Research Council (NOK 5.4 bn). 
• Grant to help alleviate the financial situation in Avinor (NOK 3.6 bn).
• Other (NOK 0.5 bn)</t>
  </si>
  <si>
    <t>• Government guarantee scheme for bank loans to SMEs (NOK 50 bn).              
• A scheme for re-insurance of private credit insurance providers (NOK 20 bn).                    
• A guarantee scheme for the aviation industry (NOK 6 bn).                              
 • A loan scheme for package tour operators   (NOK 2 bn).</t>
  </si>
  <si>
    <t>Automatic stabilizers, contingency lines, advance payments and tax deferrals, international aid; Deferral of various tax payments.</t>
  </si>
  <si>
    <t>% GDP 2/</t>
  </si>
  <si>
    <t>Portugal</t>
  </si>
  <si>
    <r>
      <rPr>
        <b/>
        <sz val="10"/>
        <color theme="1"/>
        <rFont val="Arial"/>
        <family val="2"/>
      </rPr>
      <t>Additional spending (€1.9 bn):</t>
    </r>
    <r>
      <rPr>
        <sz val="10"/>
        <color theme="1"/>
        <rFont val="Arial"/>
        <family val="2"/>
      </rPr>
      <t xml:space="preserve">
• Medicines, personal protective equipment, complementary means of diagnosis and therapy; 
• Personnel expenses, incl. extraordinary health insurance subsidies for health professionals;
• Profilactic isolation;
• Investment to expand intensive care services of the National Health Service.</t>
    </r>
  </si>
  <si>
    <r>
      <rPr>
        <b/>
        <sz val="10"/>
        <rFont val="Arial"/>
        <family val="2"/>
      </rPr>
      <t>Additional spending (€8.5 bn):</t>
    </r>
    <r>
      <rPr>
        <sz val="10"/>
        <rFont val="Arial"/>
        <family val="2"/>
      </rPr>
      <t xml:space="preserve">
• Support measures for employment and resumption of activity (€3.0 bn);
• Non-repayble subsidies to businesses affected by the pandemic, program Apoiar.pt (€1.5 bn);
• Social protection programs, such as extension of unemployment coverage and support to self-employed and informal workers (€0.6 bn);
• Extraordinary financial incentive (subsidy) to businesses for normalization of economic activity (€0.3 bn);
• Family support programs (€0.2 bn);
• Other support measures (€0.2 bn);
• Investment, incl. digital education, teleworking (€0.4 bn);
• Investment under the Recovery and Resilience Plan in 2021 (€0.5 bn);
• Support to national airlines (€1.3 bn in 2020 and €0.5 bn in 2021);
</t>
    </r>
    <r>
      <rPr>
        <b/>
        <sz val="10"/>
        <rFont val="Arial"/>
        <family val="2"/>
      </rPr>
      <t>Forgone revenue (€1.0 bn):</t>
    </r>
    <r>
      <rPr>
        <sz val="10"/>
        <rFont val="Arial"/>
        <family val="2"/>
      </rPr>
      <t xml:space="preserve">
• Exemption from payment of the Single Social Fee (€0.5 bn);
• Lowering of reduced electricity VAT rate (€0.2 bn);
• Temporary waiver of VAT on purchases of certain medical material;
• VAT refund program for catering, accommodation and culture (€0.2);
• Other tax relief measures, such as road toll reductions,property rents, SME taxes (€0.1).</t>
    </r>
  </si>
  <si>
    <r>
      <rPr>
        <b/>
        <sz val="10"/>
        <color theme="1"/>
        <rFont val="Arial"/>
        <family val="2"/>
      </rPr>
      <t>Deferred revenue</t>
    </r>
    <r>
      <rPr>
        <sz val="10"/>
        <color theme="1"/>
        <rFont val="Arial"/>
        <family val="2"/>
      </rPr>
      <t xml:space="preserve">:  At the end of 2020 (€0.9bn): suspension of installment payments on CIT account; suspension of payment of installment plans and contributory execution processes. PIT withholding rate reduction for 2021 (€0.2bn).
</t>
    </r>
  </si>
  <si>
    <t>A maximum of €13 billion authorized under the EU Temporary State Aid Framework. 
Public guarantee programs rolled out in 2020 include:
• Credit lines rolled out in April 2020 targeting micro, SMEs and mid-cap companies (€6.2bn), including: restaurants (€.6 bn); travel agencies (€0.2M); tourism (€0.9M); and industry (€4.5bn).
• Capitalizar credit line in May 2020 (€0.4bn) targeting working capital needs and open to large companies;
• Credit line for treasury needs of micro companies in the tourism sector (€0.06 bn);
• Credit insurances guaranteed on export operations: metallurgy and construction (€0.4 bn); short-term export (€0.3 bn);
• Credit line targeting companies in Madeira region (€0.1 bn);
• Creidt line fo SMEs in November 2020 (€0.8bn), of which 20% is non-repayable;
Introduced for the first half of 2021:
• New and expanded credit lines targeting SMEs (€0.750 bn);
• Industry and tourism exporting companies (€1.050 bn), with loans up to €4,000 per worker, of which 20 percent can be converted into a non-refundable subsidy if jobs are maintained;
• Credit line for event organizers (€0.050 bn), 20% non-refundable;
Credit line for large companies in the sectors most affected (€0.750 bn);
• Travel agencies and tour operators, including SMEs (€0.4 bn).</t>
  </si>
  <si>
    <t>Singapore</t>
  </si>
  <si>
    <r>
      <rPr>
        <b/>
        <sz val="10"/>
        <color theme="1"/>
        <rFont val="Arial"/>
        <family val="2"/>
      </rPr>
      <t>Additional spending</t>
    </r>
    <r>
      <rPr>
        <sz val="10"/>
        <color theme="1"/>
        <rFont val="Arial"/>
        <family val="2"/>
      </rPr>
      <t>: for containment measures.</t>
    </r>
  </si>
  <si>
    <r>
      <rPr>
        <b/>
        <sz val="10"/>
        <color theme="1"/>
        <rFont val="Arial"/>
        <family val="2"/>
      </rPr>
      <t xml:space="preserve">Additional spending: </t>
    </r>
    <r>
      <rPr>
        <sz val="10"/>
        <color theme="1"/>
        <rFont val="Arial"/>
        <family val="2"/>
      </rPr>
      <t xml:space="preserve">
• Support to households, including a cash payout to all Singaporeans (higher for families with children under 20), and additional payments for lower-income individuals and the unemployed. 
• Support to businesses and workers, including wage subsidies; support to cover rental costs, an enhancement of financing schemes, and additional support for the self-employed and industries most directly affected..
• Other measures: e.g. support to R&amp;D investment, a national stockpile of health supplies, and a program on food resilience.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faster write-downs for qualifying investments; foreign worker levy waivers. </t>
    </r>
  </si>
  <si>
    <t>• S$22 bn in loan capital was set aside to help businesses facing cash flow challenges with loan obligations and insurance premium payments.</t>
  </si>
  <si>
    <t>Sweden</t>
  </si>
  <si>
    <r>
      <rPr>
        <b/>
        <sz val="10"/>
        <rFont val="Arial"/>
        <family val="2"/>
      </rPr>
      <t>Additional spending:</t>
    </r>
    <r>
      <rPr>
        <sz val="10"/>
        <rFont val="Arial"/>
        <family val="2"/>
      </rPr>
      <t xml:space="preserve"> 
• Increased testing and tracing for Covid-19 (SEK 7 bn); funding of extraordinary costs associated with Covid-19 for municipalities and regions (SEK 5 bn) and elderly care boost (SEK 2.2 bn).
• Extra funding to train up to 10,000 people in health and social care during 2020Q4. Folk high schools' adult vocational training was also to be expanded with 1000 seats during 2020, focusing on health and social care.
• The National Board of Health and Welfare’s credit framework has increased to enable purchases of personal protective equipment and intensive care equipment.
• Removal of income ceiling for student aid to enable health and medical care students to help out in the health care sector without their student aid being reduced.
</t>
    </r>
  </si>
  <si>
    <r>
      <rPr>
        <b/>
        <sz val="10"/>
        <rFont val="Arial"/>
        <family val="2"/>
      </rPr>
      <t xml:space="preserve">Additional spending (SEK 136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</si>
  <si>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bn if uptake similar to GFC, and SEK 315 bn if fully used by all firms), deferral of annual VAT for 2019 (SEK 7 bn) and deferral of SME taxes (SEK 13 bn).</t>
    </r>
  </si>
  <si>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</si>
  <si>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</si>
  <si>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t>Switzerland</t>
  </si>
  <si>
    <r>
      <rPr>
        <b/>
        <sz val="10"/>
        <rFont val="Arial"/>
        <family val="2"/>
      </rPr>
      <t>Additional spending</t>
    </r>
    <r>
      <rPr>
        <sz val="10"/>
        <rFont val="Arial"/>
        <family val="2"/>
      </rPr>
      <t>: Includes medical goods including vaccines (CHF3.215 billion), Covid-19 tests (CHF3.036 billion), additional spending on medication, health protection and prevention, and by Federal Department of Health (CHF0.358 billion)</t>
    </r>
  </si>
  <si>
    <r>
      <rPr>
        <b/>
        <sz val="10"/>
        <rFont val="Arial"/>
        <family val="2"/>
      </rPr>
      <t>Additional spending</t>
    </r>
    <r>
      <rPr>
        <sz val="10"/>
        <rFont val="Arial"/>
        <family val="2"/>
      </rPr>
      <t>: Benefits COVID income replacement directly and indirectly affected (CHF 8.44 bn); financing for short term work program and the unemployment fund (CHF 26.2 bn), COVID bridging loan losses (CHF 2 bn); support to cantonal hardship programs (CHF 8.2 billion); and other measures.</t>
    </r>
  </si>
  <si>
    <t>• Loan support to sports clubs (CHF400 mn)
• Financial support to air traffic control company Skyguide (CHF 400 mn)
• Loan to ICRC (CHF 200 mn)</t>
  </si>
  <si>
    <t>• Guarantees for Covid-19 bridge loans for firms with annual turnover up to CHF 500 mn (CHF 40 bn)
• Guarantees for startups (CHF 0.1 bn)
• Guarantees for airlines (CHF 1.275 bn)
• Guarantees for flight-related business (CHF 0.6 bn)
• Guarantees for SNB loan to IMF (CHF 0.8 bn)</t>
  </si>
  <si>
    <t>Albania</t>
  </si>
  <si>
    <t>Additional spending:           
· Additional health equipment (ventilators)
· Personal Protective Equipment
· Bonuses for front line health-workers dealing with Covid-19
· Setting up a new quarantine center 
·  COVID-19 treatment and vaccines (Lk10.2bn for 2021)
· Wage increases for doctors and nurses (Lk4.5bn for 2021)</t>
  </si>
  <si>
    <r>
      <rPr>
        <b/>
        <sz val="10"/>
        <rFont val="Arial"/>
        <family val="2"/>
      </rPr>
      <t xml:space="preserve">Additional spending: </t>
    </r>
    <r>
      <rPr>
        <sz val="10"/>
        <rFont val="Arial"/>
        <family val="2"/>
      </rPr>
      <t xml:space="preserve">
·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 One-off transfer of Lk40,000 to affected people (in tourism, active processing and employees of small businesses not included in the first package, including employees of large businesses that have been laid off due to the pandemic.
· An additional minimum wage will be paid to public transport workers who started work one month later than the removal of restrictions for the rest of the economy ( Lk135m). 
· A temporary increase in the payments for social assistance  (Lk 2.5 bn for 2021).
</t>
    </r>
    <r>
      <rPr>
        <b/>
        <sz val="10"/>
        <rFont val="Arial"/>
        <family val="2"/>
      </rPr>
      <t xml:space="preserve">Foregone revenue:
</t>
    </r>
    <r>
      <rPr>
        <sz val="10"/>
        <rFont val="Arial"/>
        <family val="2"/>
      </rPr>
      <t>· Small businesses (those below an annual turnover threshold of Lk14 million) will not pay profit tax in 2020 (normative act April 23). Estimated amount Lk81 mn.</t>
    </r>
  </si>
  <si>
    <r>
      <rPr>
        <b/>
        <sz val="10"/>
        <color theme="1"/>
        <rFont val="Arial"/>
        <family val="2"/>
      </rPr>
      <t>Accelerated spending (2.1):</t>
    </r>
    <r>
      <rPr>
        <sz val="10"/>
        <color theme="1"/>
        <rFont val="Arial"/>
        <family val="2"/>
      </rPr>
      <t xml:space="preserve">
· Annual indexation of pensions to CPI - usually applied in July, brought forward to April. Pensions were increased by 2.3% effective April 1.
</t>
    </r>
    <r>
      <rPr>
        <b/>
        <sz val="10"/>
        <color theme="1"/>
        <rFont val="Arial"/>
        <family val="2"/>
      </rPr>
      <t xml:space="preserve">Deferred revenue (0): </t>
    </r>
    <r>
      <rPr>
        <sz val="10"/>
        <color theme="1"/>
        <rFont val="Arial"/>
        <family val="2"/>
      </rPr>
      <t xml:space="preserve">
· All large companies (except banks, telecommunication, SOE-s and companies in the chain of supply of essential goods) can defer the corporate income tax installments for Q2 and Q3 2020 to Q2 - Q3 2021.
· For tourism, active processing and call centers – and small businesses with turnover of Lk14 mn or less – the payment of Q2, Q3 and Q4 of 2020 profit tax is deferred to Q2-Q4 2021.</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</si>
  <si>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</si>
  <si>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t>Bulgaria</t>
  </si>
  <si>
    <r>
      <rPr>
        <b/>
        <sz val="10"/>
        <color theme="1"/>
        <rFont val="Arial"/>
        <family val="2"/>
      </rPr>
      <t>Additional spending (1.702 bn):</t>
    </r>
    <r>
      <rPr>
        <sz val="10"/>
        <color theme="1"/>
        <rFont val="Arial"/>
        <family val="2"/>
      </rPr>
      <t xml:space="preserve">
• Purchase of vaccines and medicines - BGN 198.8 mn;
• Support of personnel on the frontline of the fight with COVID-19 - BGN 192 mn
• Additional financing of medical activities - BGN 748 mn
• Provision of PPA and other equipment to the medical establishments - BGN 130 mn
• Subsidies and capital transfers to medical establishments - BGN 70 mn
• Provision of PPA and other equipment to the state administration - BGN 35 mn;
• Health expenditures in education - BGN 38 mn
• Additional remuneration in healthcare - BGN 287 mn 
</t>
    </r>
    <r>
      <rPr>
        <b/>
        <sz val="10"/>
        <color theme="1"/>
        <rFont val="Arial"/>
        <family val="2"/>
      </rPr>
      <t>Foregone Revenue (0.003 bn):</t>
    </r>
    <r>
      <rPr>
        <sz val="10"/>
        <color theme="1"/>
        <rFont val="Arial"/>
        <family val="2"/>
      </rPr>
      <t xml:space="preserve">
• Exemption from VAT and customs duties of import of key medical supplies - BGN 3 mn</t>
    </r>
  </si>
  <si>
    <r>
      <t xml:space="preserve">Additional spending (BGN 3.778 bn): </t>
    </r>
    <r>
      <rPr>
        <sz val="10"/>
        <rFont val="Arial"/>
        <family val="2"/>
      </rPr>
      <t xml:space="preserve">
• Pensioners support - bonuses, minimum pension increase - BGN 1639.4 mn;
• Parental support - BGN 180 mn;
• Active labor market policies - BGN 14 mn;
• Tourism vouchers of BGN 210 for the people of the frontline - BGN 10 mn;
• Increased unemployment benefits and other social support - BGN 344 mn;
• 60/40 employment subsidy scheme - BGN 1136 mn;
• Support for artists, who have been hit by the lockdown - BGN 5 mn;
• Tourism support - BGN 47 mn;
• Agricultural producers support - BGN 85 mn;
• Expenditures for remote education - BGN 30 mn;
• National co-financing of EU-funded measures - BGN 168 mn;
• “Keep Me” program - BGN 25 million;
• "Employment for you" program - BGN 50 million;
• "Parents in Employment" program - BGN 23 million.
Support with BGN 290 each in the workplace in the hotel and restaurant sector - BGN 22 million.</t>
    </r>
    <r>
      <rPr>
        <b/>
        <sz val="10"/>
        <rFont val="Arial"/>
        <family val="2"/>
      </rPr>
      <t xml:space="preserve">
Forgone revenue (BGN 0.486 bn):  
</t>
    </r>
    <r>
      <rPr>
        <sz val="10"/>
        <rFont val="Arial"/>
        <family val="2"/>
      </rPr>
      <t>• Tax relief for households with children with disabilities - BGN 143 mn;
• Reduced VAT rate of 9% for restaurant services, books, baby food, wine, beer, tour operators and tourist trips, gyms and sports facilities and food delivery until end-2021 - BGN 343 mn.</t>
    </r>
  </si>
  <si>
    <r>
      <rPr>
        <b/>
        <sz val="10"/>
        <color theme="1"/>
        <rFont val="Arial"/>
        <family val="2"/>
      </rPr>
      <t>Deferred revenue</t>
    </r>
    <r>
      <rPr>
        <sz val="10"/>
        <color theme="1"/>
        <rFont val="Arial"/>
        <family val="2"/>
      </rPr>
      <t xml:space="preserve">: Deferral of corporate tax payments till June 30 2020. </t>
    </r>
  </si>
  <si>
    <t xml:space="preserve">• Capital increase in the state-owned bank (BGN 700 Mn)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</si>
  <si>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6900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</si>
  <si>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t>Deferment of the payment of corporate taxes until June 30 (about 0.5 percent of 2019 GDP)</t>
  </si>
  <si>
    <t>Chile</t>
  </si>
  <si>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</si>
  <si>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 xml:space="preserve">Additional spending: </t>
    </r>
    <r>
      <rPr>
        <sz val="10"/>
        <rFont val="Arial"/>
        <family val="2"/>
      </rPr>
      <t xml:space="preserve">cash transfers for the most vulnerable
</t>
    </r>
    <r>
      <rPr>
        <b/>
        <sz val="10"/>
        <rFont val="Arial"/>
        <family val="2"/>
      </rPr>
      <t>Forgone revenue:</t>
    </r>
    <r>
      <rPr>
        <sz val="10"/>
        <rFont val="Arial"/>
        <family val="2"/>
      </rPr>
      <t xml:space="preserve"> Tax deferrals (CIT,VAT) and suspension of stamp tax for six months.
</t>
    </r>
  </si>
  <si>
    <r>
      <rPr>
        <b/>
        <sz val="10"/>
        <rFont val="Arial"/>
        <family val="2"/>
      </rPr>
      <t>Accelerated spending:</t>
    </r>
    <r>
      <rPr>
        <sz val="10"/>
        <rFont val="Arial"/>
        <family val="2"/>
      </rPr>
      <t xml:space="preserve">
•Accelerated pay to government's suppliers.
</t>
    </r>
    <r>
      <rPr>
        <b/>
        <sz val="10"/>
        <rFont val="Arial"/>
        <family val="2"/>
      </rPr>
      <t>Deferred revenue:</t>
    </r>
    <r>
      <rPr>
        <sz val="10"/>
        <rFont val="Arial"/>
        <family val="2"/>
      </rPr>
      <t xml:space="preserve">
•Deferred CIT, VAT and property taxes.
</t>
    </r>
  </si>
  <si>
    <t>•Injection to the unemployment insurance fund to pay for enhanced coverage and to the state-owned bank for loan guarantees.</t>
  </si>
  <si>
    <t>Loans to unemployment insurance fund and capitalization of state-owned financial institutions to provide loan guarantees.</t>
  </si>
  <si>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</si>
  <si>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t>Colombia</t>
  </si>
  <si>
    <r>
      <rPr>
        <b/>
        <sz val="10"/>
        <color theme="1"/>
        <rFont val="Arial"/>
        <family val="2"/>
      </rPr>
      <t>Additional spending (13,675 bn pesos):</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and transfer of 243 thousand million pesos to cover hospital payrolls.
· Resources for vaccines and testing capacity.
</t>
    </r>
    <r>
      <rPr>
        <b/>
        <sz val="10"/>
        <color theme="1"/>
        <rFont val="Arial"/>
        <family val="2"/>
      </rPr>
      <t xml:space="preserve">
Forgone revenue (685 bl pesos):</t>
    </r>
    <r>
      <rPr>
        <sz val="10"/>
        <color theme="1"/>
        <rFont val="Arial"/>
        <family val="2"/>
      </rPr>
      <t xml:space="preserve"> a reduction of tariffs for strategic health imports,  VAT exemption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</si>
  <si>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 Increased infrastructure spending to support the recovery.
</t>
    </r>
    <r>
      <rPr>
        <b/>
        <sz val="10"/>
        <color theme="1"/>
        <rFont val="Arial"/>
        <family val="2"/>
      </rPr>
      <t xml:space="preserve">
Forgone revenue: </t>
    </r>
    <r>
      <rPr>
        <sz val="10"/>
        <color theme="1"/>
        <rFont val="Arial"/>
        <family val="2"/>
      </rPr>
      <t xml:space="preserve">
• No road tolls during the quarantine period.
• Elimination of withholding tax for companies in bankruptcy protection.
• Tariff reduction for soy beans and corn, no VAT for internet connection and new trucks.
• No interest costs on delayed payment of electricity and gas for most strata 1-4 households. Lowered interest rate on tax arrears.
• For a duration of six months, public sector workers earning between Col Pesos 10-15 mn will pay additional taxes worth 10% of their salaries, those earning above 15 mn will contribute 15%.</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</si>
  <si>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</si>
  <si>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</si>
  <si>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Support to SMEs through the National Guarantee Fund, with the government providing a capital injection of 0.2 percent of GDP to guarantee loans up to 2.5 percent of GDP.</t>
  </si>
  <si>
    <t>Egypt</t>
  </si>
  <si>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</si>
  <si>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t>
    </r>
    <r>
      <rPr>
        <b/>
        <sz val="10"/>
        <color theme="1"/>
        <rFont val="Arial"/>
        <family val="2"/>
      </rPr>
      <t xml:space="preserve">                                                                                                                                                                                                                                              Forgone revenue: </t>
    </r>
    <r>
      <rPr>
        <sz val="10"/>
        <color theme="1"/>
        <rFont val="Arial"/>
        <family val="2"/>
      </rPr>
      <t xml:space="preserve">
• Temporary real estate tax relief has been provided for industrial and tourism sectors; the moratorium on the tax law on agricultural land has been extended for 2 years+K114.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</si>
  <si>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 xml:space="preserve">Deferred revenue: </t>
    </r>
    <r>
      <rPr>
        <sz val="10"/>
        <color theme="1"/>
        <rFont val="Arial"/>
        <family val="2"/>
      </rPr>
      <t>6-month grace period for MSMEs to pay insurance premiums.</t>
    </r>
  </si>
  <si>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</si>
  <si>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t>• Stock-purchase by the central bank of EGP 20 billion 
• Various loan subsidies to tourism, industry, agriculture and housing: The preferential interest rate has been reduced to 8 percent from 10 percent, for the tourism, industry, agriculture and construction sectors, as well as for housing loans for middle-class families. The central bank has approved an EGP 100 billion guarantee to cover lending at preferential rates to the manufacturing, agriculture and contracting sectors, previously covered a under a lending support initiative.
• Housing initiative to avail housing units to all applicant with low cost of financing</t>
  </si>
  <si>
    <t>Georgia</t>
  </si>
  <si>
    <r>
      <t xml:space="preserve">Additional spending:  </t>
    </r>
    <r>
      <rPr>
        <sz val="10"/>
        <color theme="1"/>
        <rFont val="Arial"/>
        <family val="2"/>
      </rPr>
      <t xml:space="preserve">Support to public clinics, provision of lab tests; treatment of patients; medical supply and equipment acquisition; acquisition of vaccines. </t>
    </r>
    <r>
      <rPr>
        <b/>
        <sz val="10"/>
        <color theme="1"/>
        <rFont val="Arial"/>
        <family val="2"/>
      </rPr>
      <t xml:space="preserve">
Forgone revenue: </t>
    </r>
    <r>
      <rPr>
        <sz val="10"/>
        <color theme="1"/>
        <rFont val="Arial"/>
        <family val="2"/>
      </rPr>
      <t>VAT waiver on the supply of pharmaceutical goods produced nationally.</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</si>
  <si>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2020.  
• Subsidy on utility costs (for electricity and natural gas) for low-level consumers from March to May 2020 and from November 2020 to February 2021.  
• Cash transfers to vulnerable families and to compensate job loss including: provision of 1,200 GEL over the course of 6 months in 2020 and again in 2021 to individuals who lost their jobs or were put on an unpaid leave, one-time assistance of 300 GEL to people who are self-employed or employed in the “informal sector”; as well as support to extremely poor families; children in poor families; invalids and invalid children.  
• Support to businesses in the form of a credit guarantee scheme for SMEs, microgrants, support to the agriculture sector and construction sector  including through the acquisition of houses for refugees.
• Cash transfer of 300 GEL and assistance with loan postponement for persons employed at malls, markets, shops and retail trade, which were forced to shut during the second lockdown.
</t>
    </r>
    <r>
      <rPr>
        <b/>
        <sz val="10"/>
        <color theme="1"/>
        <rFont val="Arial"/>
        <family val="2"/>
      </rPr>
      <t xml:space="preserve">
Forgone revenue:
</t>
    </r>
    <r>
      <rPr>
        <sz val="10"/>
        <color theme="1"/>
        <rFont val="Arial"/>
        <family val="2"/>
      </rPr>
      <t>• Income tax relief to businesses who retain workers. Over the course of 6 months in 2020 and in 2021: (1) salaries up to 750 GEL will be fully exempt from income tax; and (2) for salaries up to 1,500 GEL, 750 GEL will be exempt from income tax.
• Property and income tax waiver to the tourism sector.</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</si>
  <si>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</si>
  <si>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t>• Within the frame of the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 This measure was extended to restaurants and sports facilities.</t>
  </si>
  <si>
    <t>Credit guarantee scheme to support SMEs and micro enterprises.</t>
  </si>
  <si>
    <t>Guatemala</t>
  </si>
  <si>
    <t>Ceneral Government</t>
  </si>
  <si>
    <r>
      <rPr>
        <b/>
        <sz val="10"/>
        <color indexed="8"/>
        <rFont val="Arial"/>
        <family val="2"/>
      </rPr>
      <t>Additional spending:</t>
    </r>
    <r>
      <rPr>
        <sz val="10"/>
        <color theme="1"/>
        <rFont val="Arial"/>
        <family val="2"/>
      </rPr>
      <t xml:space="preserve"> Emergency measures to upgrade national healthcare facilities and procure pharmaceuticals and medical equipment to the country’s hospitals.</t>
    </r>
  </si>
  <si>
    <r>
      <rPr>
        <b/>
        <sz val="10"/>
        <color indexed="8"/>
        <rFont val="Arial"/>
        <family val="2"/>
      </rPr>
      <t>Additional spending:</t>
    </r>
    <r>
      <rPr>
        <sz val="10"/>
        <color theme="1"/>
        <rFont val="Arial"/>
        <family val="2"/>
      </rPr>
      <t xml:space="preserve"> Cash transfers to vulnerable households (1.0 percent of GDP); cash transfers to private-sector formal workers (0.3 percent of GDP); SMEs financial support fund (0.4 percent of GDP); food assistance program (0.1 percent of GDP) and oth</t>
    </r>
  </si>
  <si>
    <t>Deferred revenue: Income tax payments deferred by one quarter.</t>
  </si>
  <si>
    <t>Kazakhstan</t>
  </si>
  <si>
    <r>
      <rPr>
        <b/>
        <sz val="10"/>
        <color theme="1"/>
        <rFont val="Arial"/>
        <family val="2"/>
      </rPr>
      <t>Additional spending</t>
    </r>
    <r>
      <rPr>
        <sz val="10"/>
        <color theme="1"/>
        <rFont val="Arial"/>
        <family val="2"/>
      </rPr>
      <t xml:space="preserve">: Funding allocated to the health system in 2020 (KZT 232 billion) and in 2021 (KZT265) to cover additional compensation for medical staff, spending on medical services, including the purchase of vaccines, PPE, PCR tests and the construction of medical facilities. Medical staff salary is expected to increase over 2021-23 with the estimated fiscal cost of KZT 557 billion. </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</si>
  <si>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</si>
  <si>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 xml:space="preserve">Deferred revenue: </t>
    </r>
    <r>
      <rPr>
        <sz val="10"/>
        <color theme="1"/>
        <rFont val="Arial"/>
        <family val="2"/>
      </rPr>
      <t xml:space="preserve">
• Postponement of tax reporting from Q2 to Q3 2020.</t>
    </r>
  </si>
  <si>
    <t xml:space="preserve">• Subsidized lending will be provided under the state program (“Economy of Simple Things”, KZT 1 tn), along with policy to help SMEs finance working capital. </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</si>
  <si>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</si>
  <si>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800 bn) program will be financed by Kazakhstan stability fund, a subsidiary of the National Bank of Kazakhstan. The program is extended to end-2021.</t>
  </si>
  <si>
    <t>Mauritius</t>
  </si>
  <si>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</si>
  <si>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 IImplementation of a Wage Support Scheme providing wage subsidy to employers, and Self-Employed Assistance Scheme providing income support to those employed in informal sectors or self-employed.. The schemes were extended until September 2021 for employees in tourism-related sectors.
• The government provided Rs 9 billion support to Air Mauritius from its National Resilience Fund.
• In October 2020, the government announced that Rs 9 billion would be redirected from November 2020 until June 2021 funding the following initiatives: (i) The Human Resource Development Council will increase the National Training and Reskilling Intake by around 9,000 unemployed beneficiaries who will be paid monthly stipends, (ii) Employment Support Scheme for SMEs to support 11,000 employees with a monthly payment of Rs 10,200, (iii) Recruitment by Landscape of around 2,000 unemployed people for the National Clean-Up Campaign, (iv) the Air Freight Scheme, incorporated into the Economic Recovery Plan, with two components: supervision of the national airline currently under voluntary administration and support for the export sector.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</si>
  <si>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t xml:space="preserve">• The State Investment Corporation will raise Rs 4 bn (0.9 percent of GDP) to make equity investments in troubled firms, including SMEs. 
• The Development Bank of Mauritius Ltd provides Rs10 bill (2.3 percent of GDP) in credit to distressed enterprises and cooperatives.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2020. </t>
    </r>
  </si>
  <si>
    <t>The Parliament amended the law governing the central bank to allow for a range of unconventional financing measures, including 1) one-off exceptional transfer (grant, not advance) from the central bank to the government of the amount R60 bn (12 percent of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
• The Bank of Mauritius made 2.5 percent two-year savings bonds available to retail investors, worth Rs 5 bn (1 percent of GDP).</t>
  </si>
  <si>
    <t>North Macedonia</t>
  </si>
  <si>
    <r>
      <rPr>
        <b/>
        <sz val="10"/>
        <rFont val="Arial"/>
        <family val="2"/>
      </rPr>
      <t>Spending Measures:</t>
    </r>
    <r>
      <rPr>
        <sz val="10"/>
        <rFont val="Arial"/>
        <family val="2"/>
      </rPr>
      <t xml:space="preserve">                                                                                                                                                                                                                             • Increased spending for medical supplies and equipment. 
                                                                                                                                                                                                                                                                                                                                                                                                                                                                                                                                                                                                                              </t>
    </r>
    <r>
      <rPr>
        <b/>
        <sz val="10"/>
        <rFont val="Arial"/>
        <family val="2"/>
      </rPr>
      <t>Foregone Revenues:</t>
    </r>
    <r>
      <rPr>
        <sz val="10"/>
        <rFont val="Arial"/>
        <family val="2"/>
      </rPr>
      <t xml:space="preserve">
• Abolished the import duty on medical supplies</t>
    </r>
  </si>
  <si>
    <r>
      <rPr>
        <b/>
        <sz val="10"/>
        <rFont val="Arial"/>
        <family val="2"/>
      </rPr>
      <t>Spending Measures (22 bn):</t>
    </r>
    <r>
      <rPr>
        <sz val="10"/>
        <rFont val="Arial"/>
        <family val="2"/>
      </rPr>
      <t xml:space="preserve">
Targeted subsidies on private sector wages and social security contributions (for April, May, and June);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 xml:space="preserve">                                                                                                                                                                                                                                                   Foregone Revenues (2 bn):</t>
    </r>
    <r>
      <rPr>
        <sz val="10"/>
        <rFont val="Arial"/>
        <family val="2"/>
      </rPr>
      <t xml:space="preserve">
Lowering the late interest rate for public taxes and duties from 0.03% to 0.015%.
Lowering the penalty rate, by 50% i.e. to 5% for corporates and to 4% for the households.                                                                                                                            PIT and CIT deferrals (extended several times, currently through June 2021), temporary changes to CIT loss carry forward provisions, deduction of Covid-19 related expenses from taxable income, higher turnover tax thresholds, lower custom duties, and reduced VAT rate for the catering sector.</t>
    </r>
  </si>
  <si>
    <r>
      <rPr>
        <b/>
        <sz val="10"/>
        <rFont val="Arial"/>
        <family val="2"/>
      </rPr>
      <t>Spending Measures:</t>
    </r>
    <r>
      <rPr>
        <sz val="10"/>
        <rFont val="Arial"/>
        <family val="2"/>
      </rPr>
      <t xml:space="preserve"> Accelerated refund of VAT tax credits.
                                                                                                                                                                                                                                                                                                 </t>
    </r>
    <r>
      <rPr>
        <b/>
        <sz val="10"/>
        <rFont val="Arial"/>
        <family val="2"/>
      </rPr>
      <t>Deferred Revenue:</t>
    </r>
    <r>
      <rPr>
        <sz val="10"/>
        <rFont val="Arial"/>
        <family val="2"/>
      </rPr>
      <t xml:space="preserve"> Deferral of CIT/PIT payment or filing obligations for specific sectors of the economy</t>
    </r>
  </si>
  <si>
    <t>Several interest free or low interest rate loans to SMEs from the MKD development banks channeled through commercial banks</t>
  </si>
  <si>
    <t>Pakistan</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</si>
  <si>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</si>
  <si>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for the construction sector until the end of December 2021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</si>
  <si>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</si>
  <si>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t>• Risk sharing facility under the refinance scheme for the payment of wages and salaries to prevent layoffs, whereby the Government of Pakistan bears 60 percent first loss on disbursed portfolio for eligible SMEs.
• Temporary Economic Refinance Facility to stimulate new investment in manufacturing at maximum interest rate of 7 percent fixed for 10 years.
• Refinance Facility for Combating COVID-19 to support hospitals and medical centers in combating the virus at maximum interest rate of 3 percent fixed.</t>
  </si>
  <si>
    <t>Peru</t>
  </si>
  <si>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and vaccines.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</si>
  <si>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</si>
  <si>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</si>
  <si>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</si>
  <si>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t>Philippines</t>
  </si>
  <si>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</si>
  <si>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rPr>
        <b/>
        <sz val="10"/>
        <color theme="1"/>
        <rFont val="Arial"/>
        <family val="2"/>
      </rPr>
      <t xml:space="preserve">Additional spending (331bn): </t>
    </r>
    <r>
      <rPr>
        <sz val="10"/>
        <color theme="1"/>
        <rFont val="Arial"/>
        <family val="2"/>
      </rPr>
      <t xml:space="preserve">Cash aid to low-income households and social protection measures for vulnerable workers. Subsidies to rice farmers and wages for small businesses. Retraining of displaced workers.
</t>
    </r>
    <r>
      <rPr>
        <b/>
        <sz val="10"/>
        <color theme="1"/>
        <rFont val="Arial"/>
        <family val="2"/>
      </rPr>
      <t xml:space="preserve">
Forgone revenue (42bn)</t>
    </r>
    <r>
      <rPr>
        <sz val="10"/>
        <color theme="1"/>
        <rFont val="Arial"/>
        <family val="2"/>
      </rPr>
      <t xml:space="preserve">: Planned corporate income tax rate reduction from 30 to 20 percent starting in July 2020. </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</si>
  <si>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</si>
  <si>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t>• Credit guarantees for small businesses and support to the agriculture sector.</t>
  </si>
  <si>
    <t xml:space="preserve">• Microfinancing special loan package for affected micro entrepreneurs and MSMEs. </t>
  </si>
  <si>
    <t>Poland</t>
  </si>
  <si>
    <r>
      <rPr>
        <b/>
        <sz val="10"/>
        <color theme="1"/>
        <rFont val="Arial"/>
        <family val="2"/>
      </rPr>
      <t>Additional spending:</t>
    </r>
    <r>
      <rPr>
        <sz val="10"/>
        <color theme="1"/>
        <rFont val="Arial"/>
        <family val="2"/>
      </rPr>
      <t xml:space="preserve"> Allocated to support patient care, co-finance healthcare infrastructure improvements, and telemedicine and digitalization.</t>
    </r>
  </si>
  <si>
    <r>
      <rPr>
        <b/>
        <sz val="10"/>
        <color theme="1"/>
        <rFont val="Arial"/>
        <family val="2"/>
      </rPr>
      <t xml:space="preserve">Additional spending (PLN 114.8 bn): </t>
    </r>
    <r>
      <rPr>
        <sz val="10"/>
        <color theme="1"/>
        <rFont val="Arial"/>
        <family val="2"/>
      </rPr>
      <t xml:space="preserve">Wage subsidies for employees of affected businesses up to 40 percent of average wages; care allowance for children owing to school closures; monthly benefit for self-employed individuals. Includes the nonreturnable portion of the Polish Development Fund's provision of liquidity loans that is treated as an above-the-line expenditure item. Several of these measures have been extended durin the second wave, with eligibility limited to companies in sectors most impacted by the partial lockdown,including the write-off of the repayable portion of liquidity loans for affected SMEs and the extension of liquidity loans, guarantees, wage subsidies.
</t>
    </r>
    <r>
      <rPr>
        <b/>
        <sz val="10"/>
        <color theme="1"/>
        <rFont val="Arial"/>
        <family val="2"/>
      </rPr>
      <t xml:space="preserve">Foregone revenue: (PLN 20.7 bn) </t>
    </r>
    <r>
      <rPr>
        <sz val="10"/>
        <color theme="1"/>
        <rFont val="Arial"/>
        <family val="2"/>
      </rPr>
      <t>For micro firms up to 9 employees social insurance contributions will be covered by the budget for 3 months. For companies employing from 10 to 49 employees 50% of social insurance contributions will be paid by the budget. Extended to month of November for affected industries, and later for December and January. Also includes non-collection of tax revenue (CIT/PIT) in 2021 due to subsidies granted for liquidity loans.</t>
    </r>
  </si>
  <si>
    <t>Deferred revenue:Possible deferral, payment in installments, or cancellation of taxes. Deduction of this year’s losses for 2021 tax settlement (the tax returns  for 2019 might be corrected in order to deduct the losses of 2020 from 2019 income).</t>
  </si>
  <si>
    <t>The share of below-the-line activity in the PFR liquidity loans for firms.</t>
  </si>
  <si>
    <t xml:space="preserve">• Credit guarantees and micro-loans for entrepreneurs from the Polish Development Fund and BGK state-owned development bank.
</t>
  </si>
  <si>
    <t>“Accelerated EU funds absorption; relaxed state aid rules (in line with EU approval)”</t>
  </si>
  <si>
    <t>Romania</t>
  </si>
  <si>
    <r>
      <rPr>
        <b/>
        <sz val="10"/>
        <color theme="1"/>
        <rFont val="Arial"/>
        <family val="2"/>
      </rPr>
      <t>Additional spending:</t>
    </r>
    <r>
      <rPr>
        <sz val="10"/>
        <color theme="1"/>
        <rFont val="Arial"/>
        <family val="2"/>
      </rPr>
      <t xml:space="preserve">
· Purchase of medical equipment and supplies 2020 (RON 5 bn - expired);
· Financial support to quarantine centers 2020 (RON 0.3 bn - expired);
· Risk bonus for healthcare workers 2020/2021 (RON 0.4 bn);
· Purchase of medical equipment and supplies (including vaccination program) 2021 (RON 3.7 bn);
· Additional bonuses for health personnel 2020-2021 (RON 3.5 bn).
</t>
    </r>
    <r>
      <rPr>
        <b/>
        <sz val="10"/>
        <color theme="1"/>
        <rFont val="Arial"/>
        <family val="2"/>
      </rPr>
      <t>Forgone revenue:</t>
    </r>
    <r>
      <rPr>
        <sz val="10"/>
        <color theme="1"/>
        <rFont val="Arial"/>
        <family val="2"/>
      </rPr>
      <t xml:space="preserve"> Capping the fee on medicine sales; suspending VAT for medical imports.</t>
    </r>
  </si>
  <si>
    <r>
      <rPr>
        <b/>
        <sz val="10"/>
        <color theme="1"/>
        <rFont val="Arial"/>
        <family val="2"/>
      </rPr>
      <t xml:space="preserve">Additional spending (RON 19.6 bn): </t>
    </r>
    <r>
      <rPr>
        <sz val="10"/>
        <color theme="1"/>
        <rFont val="Arial"/>
        <family val="2"/>
      </rPr>
      <t xml:space="preserve">
Paying 75 percent of the gross wage to employees of companies facing difficulties (RON4.3 billion); paying 75 percent of gross wage to affected self-employed and individual enterprises (RON0.9 billion); Covering partially the wages of parents staying home for the period the schools are closed  (RON 0.09 bn); Continue to pay technical unemployment benefits to those returning to work  (4.6 billion RON); The state finances 75% of the gross salary for professional athletes (RON 0.1bn); Grants to businesses (RON8.6 billion); Wage supports to hire job seekers over 50 or below 30 or Romanian citizens returning to the country after losing their jobs abroad.
</t>
    </r>
    <r>
      <rPr>
        <b/>
        <sz val="10"/>
        <color theme="1"/>
        <rFont val="Arial"/>
        <family val="2"/>
      </rPr>
      <t>Forgone revenue (RON 0.9 bn):</t>
    </r>
    <r>
      <rPr>
        <sz val="10"/>
        <color theme="1"/>
        <rFont val="Arial"/>
        <family val="2"/>
      </rPr>
      <t xml:space="preserve"> 5 to 10 percent discount for corporate income tax payments.</t>
    </r>
  </si>
  <si>
    <r>
      <rPr>
        <b/>
        <sz val="10"/>
        <rFont val="Arial"/>
        <family val="2"/>
      </rPr>
      <t>Deferred revenue:</t>
    </r>
    <r>
      <rPr>
        <sz val="10"/>
        <rFont val="Arial"/>
        <family val="2"/>
      </rPr>
      <t xml:space="preserve"> Deferring by 3 months the payment of property taxes  (expired)
Expediting VAT refunds (expired)
Temporary suspension of tax controls and enforcement (expired)
Suspending labor inspections (expired)
Deferral of rent and utility payments for affected SMEs (expired)
Exempting for 90 days the specific tax for hospitality industry (expired)</t>
    </r>
  </si>
  <si>
    <t>• RON1.1 billion loan to buy medical supplies granted to pharmaceutical SOE;  and RON0.6 billion loan to low-cost carrier Blue Air and state-owned airline Tarom.</t>
  </si>
  <si>
    <t>· Loan guarantees up to 80% of the value of the financing granted to SMEs for working capital and investment. ( maximum value of the  line of credit for financing the working capital is 5 million lei and for investments 10 million lei).
· Loan guarantees up to 90% of the value of the financing for micro-enterprises or small enterprises, for financing of working capital (maximum value RON 500,000 for micro-enterprises and RON 1 million for small businesses. Interest is subsidized for all loans.
· State guarantees for leasing of work equipment for SMEs. The guarantee is up to 80% loan for IT equipment, and 60% for other technological equipment.  The maximum value of the financing will be 5,000,000 RON. The leasing period will be 72 months.
· State guarantee scheme for large companies to be implemented by state-owned Eximbank. The guarantee is up to 80% of loan
· State guarantees for factoring (SMEs)
· State guarantees for holiday vouchers and trade credit insurance (SMEs)</t>
  </si>
  <si>
    <t>Serbia</t>
  </si>
  <si>
    <t>· 10 percent wage increase for public healthcare sector (RSD 13bn, about RSD 17bn estimated in 2021)
· Increased healthcare spending (about RSD 60bn ) in 2020.                                                                                                                                                                   · One off assistance of RSD 10,000 to public-sector health workers (RSD 1.3bn).</t>
  </si>
  <si>
    <r>
      <rPr>
        <b/>
        <sz val="10"/>
        <rFont val="Arial"/>
        <family val="2"/>
      </rPr>
      <t>Additional spending:</t>
    </r>
    <r>
      <rPr>
        <sz val="10"/>
        <rFont val="Arial"/>
        <family val="2"/>
      </rPr>
      <t xml:space="preserve"> 
Measures announced in 2020 include: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71bn)
Support to 14,000 most vulnerable women in 50 municipalities across Serbia (worth RSD 12bn) in hygiene packages and essential foods                                                          One-off fiscal support to help hotels in cities, through a fixed subsidy per room and per bed, with an estimated cost of RSD 1.3 billion.
                                                                                                                             Measures announced in 2021 include:                                                                                                                                                                                                                   Three additional months of wage subsidies (RSD 73bn)
Additional payments for employees in travel and hospitality
EUR 30 universal cash transfers to all adult citizens, paid in May and November (RSD 43bn)
Pension bonus (RSD 8.5bn)
Support for the transport sector and for city hotels (RSD 3bn)
One-off financial assistance to all the (registered) unemployed, of EUR 60, to be paid in June.</t>
    </r>
  </si>
  <si>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</si>
  <si>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 xml:space="preserve">Measures announced in 2020:                                                                                                                                                                                                                                                             • A state guarantee scheme for bank loans to SMEs has been approved (exposure of RSD 56.5bn)   
                                                                                                                                                                                                                                                  Measures announced in 2021: 
• The existing scheme for state guaranteed bank loans to SMEs will be expanded by EUR 500 million (1 percent of GDP) and a new EUR 500 million scheme for vulnerable companies was announced.
</t>
  </si>
  <si>
    <t>EUR 200mn (0.4 percent of GDP) subsidized loans (1 percent interest rate) to SMEs from the Development Fund</t>
  </si>
  <si>
    <t>Thailand</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</si>
  <si>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</si>
  <si>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t xml:space="preserve">Additional spending: </t>
    </r>
    <r>
      <rPr>
        <sz val="10"/>
        <color theme="1"/>
        <rFont val="Arial"/>
        <family val="2"/>
      </rPr>
      <t xml:space="preserve">
· 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
· Stimulus package to the tourism sector amounting to THB 22.4 billion including subsidies for 5 million domestic trips between July and October, 2020 (40 percent of certain accommodation, event and food costs).
· Transfers to elderly, children up to 6-years-old, and holders of state-welfare cards that had previously not received assistance linked to the impact of Covid-19. This program covers about 6.8 million people with approximate cost of THB 20 billion.
· On September 22 the government passed a new shopping subsidy package for welfare cardholders worth THB 51 billion. The package will cover 24 million mainly low-income people via two schemes:14 million welfare cardholders will receive an extra monthly discount of Bt500 from October to December on their shopping;10 million people will get daily discounts of up to B100 on food, beverages and household essentials.
</t>
    </r>
    <r>
      <rPr>
        <b/>
        <sz val="10"/>
        <color theme="1"/>
        <rFont val="Arial"/>
        <family val="2"/>
      </rPr>
      <t>Forgone revenue:</t>
    </r>
    <r>
      <rPr>
        <sz val="10"/>
        <color theme="1"/>
        <rFont val="Arial"/>
        <family val="2"/>
      </rPr>
      <t xml:space="preserve">
· 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
· 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
· 400,000 baht limit (form 200,000) for tax deduction of investments in the Super Saving Fund.
· As of October 8th, income tax deductions (to rebate VAT) on products worth THB 30,000 per person running from October 23 to December 31, 2020, to help boost spending on goods and services.</t>
    </r>
  </si>
  <si>
    <r>
      <rPr>
        <b/>
        <sz val="10"/>
        <color theme="1"/>
        <rFont val="Arial"/>
        <family val="2"/>
      </rPr>
      <t xml:space="preserve">Deferred revenue: </t>
    </r>
    <r>
      <rPr>
        <sz val="10"/>
        <color theme="1"/>
        <rFont val="Arial"/>
        <family val="2"/>
      </rPr>
      <t>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 Reduced withholding tax form 3 percent to 1.5 percent from April to September 2020.
· Expedited VAT refund process for exporters. 
· Delay in collection of fees and charges levied by government agencies and SOEs.</t>
    </r>
  </si>
  <si>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</si>
  <si>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t>• The Bank of Thailand has been authorized to lend THB500 billion to financial institutions for on-lending to SMEs. Financial institutions will be compensated up to 60 or 70 percent of the additional loans in case these turn nonperforming.</t>
  </si>
  <si>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</si>
  <si>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t>Tunisia</t>
  </si>
  <si>
    <r>
      <rPr>
        <b/>
        <sz val="10"/>
        <color theme="1"/>
        <rFont val="Arial"/>
        <family val="2"/>
      </rPr>
      <t>Additional spending</t>
    </r>
    <r>
      <rPr>
        <sz val="10"/>
        <color theme="1"/>
        <rFont val="Arial"/>
        <family val="2"/>
      </rPr>
      <t xml:space="preserve">: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t>
    </r>
  </si>
  <si>
    <r>
      <t>Additional spending</t>
    </r>
    <r>
      <rPr>
        <sz val="10"/>
        <color theme="1"/>
        <rFont val="Arial"/>
        <family val="2"/>
      </rPr>
      <t xml:space="preserve">: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Forgone revenue</t>
    </r>
    <r>
      <rPr>
        <sz val="10"/>
        <color theme="1"/>
        <rFont val="Arial"/>
        <family val="2"/>
      </rPr>
      <t xml:space="preserve">: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</si>
  <si>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</si>
  <si>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</si>
  <si>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</si>
  <si>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t>Postponement of CIT payments, other taxes and social contributions until end-May.</t>
  </si>
  <si>
    <t>United Arab Emirates</t>
  </si>
  <si>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</si>
  <si>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</si>
  <si>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The Abu Dhabi government announced provision of loans to SMEs. 
• State-owned enterprises and banks support the private sector through loan restructuring, lowering lease payments (by real estate companies), halting evictions etc.</t>
  </si>
  <si>
    <t>• Abu Dhabi: Credit guarantees and liquidity support to small- and medium-sized enterprises.</t>
  </si>
  <si>
    <t>• State-owned enterprises and banks have been asked to support the private sector through loan restructuring, lowering lease payments (by real estate companies), halting evictions, etc.</t>
  </si>
  <si>
    <t>LIDC</t>
  </si>
  <si>
    <t>Bangladesh</t>
  </si>
  <si>
    <r>
      <rPr>
        <b/>
        <sz val="10"/>
        <rFont val="Arial"/>
        <family val="2"/>
      </rPr>
      <t>Additional spending:</t>
    </r>
    <r>
      <rPr>
        <sz val="10"/>
        <rFont val="Arial"/>
        <family val="2"/>
      </rPr>
      <t xml:space="preserve">                                                                                                                                                                                                                 Additional spending on vaccines, healthcare equipment, testing; compensation against COVID-19 related health risks of officials, doctors and field staff; hiring of additional healthcare workers, COVID-19 Preparedness and Response Plan by the Ministry of Health. etc.  
</t>
    </r>
    <r>
      <rPr>
        <b/>
        <sz val="10"/>
        <rFont val="Arial"/>
        <family val="2"/>
      </rPr>
      <t>Forgone revenue:</t>
    </r>
    <r>
      <rPr>
        <sz val="10"/>
        <rFont val="Arial"/>
        <family val="2"/>
      </rPr>
      <t xml:space="preserve">                                                                                                                                                                                                                           The National Board of Revenue has temporarily suspended duties and taxes on imports of medical supplies, including protective equipment and test kits.</t>
    </r>
  </si>
  <si>
    <r>
      <rPr>
        <b/>
        <sz val="10"/>
        <color theme="1"/>
        <rFont val="Arial"/>
        <family val="2"/>
      </rPr>
      <t>Additional spending:</t>
    </r>
    <r>
      <rPr>
        <sz val="10"/>
        <color theme="1"/>
        <rFont val="Arial"/>
        <family val="2"/>
      </rPr>
      <t xml:space="preserve"> 
· Expansion of existing social transfer programs for vulnerable households, including allowance programs and food aid distribution; Cash assistance to the jobless poor affected by COVID-19 (Corona-Cash), the disadvantaged elderly people, widows and female divorcees.   
· Wage support for export-oriented industries; Fund for the construction of home for homeless people; Increasing the target for procurement and distribution of paddy; Providing support for farm mechanization; Enhancing the amount of agricultural subsidy; Low interest loans to rural poor farmers, expatriate migrant workers and trained youth and unemployed youth; Subsidy for partial remission of commercial bank's suspended interest of April and May of 2020; Social safety net program for the workers who lost their job in the RMG, leather goods and footwear industries. Stimulus package for the micro and cottage entrepreneurs.
</t>
    </r>
    <r>
      <rPr>
        <b/>
        <sz val="10"/>
        <color theme="1"/>
        <rFont val="Arial"/>
        <family val="2"/>
      </rPr>
      <t>Forgone revenue:</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</si>
  <si>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t xml:space="preserve">Credit guarantee scheme for the SME sector. </t>
  </si>
  <si>
    <t>Chad</t>
  </si>
  <si>
    <r>
      <rPr>
        <b/>
        <sz val="10"/>
        <color theme="1"/>
        <rFont val="Arial"/>
        <family val="2"/>
      </rPr>
      <t>Additional spending:</t>
    </r>
    <r>
      <rPr>
        <sz val="10"/>
        <color theme="1"/>
        <rFont val="Arial"/>
        <family val="2"/>
      </rPr>
      <t xml:space="preserve">                                                                                                                                                                                                                   Hiring of additional healthcare workers, prevention measures, clearance of arrears for medical expenses for civilian agents and defense and security forces, etc.  
</t>
    </r>
    <r>
      <rPr>
        <b/>
        <sz val="10"/>
        <color theme="1"/>
        <rFont val="Arial"/>
        <family val="2"/>
      </rPr>
      <t>Forgone revenue:</t>
    </r>
    <r>
      <rPr>
        <sz val="10"/>
        <color theme="1"/>
        <rFont val="Arial"/>
        <family val="2"/>
      </rPr>
      <t xml:space="preserve">                                                                                                                                                                                                                            tax exemptions and simplification of the import process for food and necessity items, including health equipment.</t>
    </r>
  </si>
  <si>
    <r>
      <rPr>
        <b/>
        <sz val="10"/>
        <color theme="1"/>
        <rFont val="Arial"/>
        <family val="2"/>
      </rPr>
      <t>Additional spending:</t>
    </r>
    <r>
      <rPr>
        <sz val="10"/>
        <color theme="1"/>
        <rFont val="Arial"/>
        <family val="2"/>
      </rPr>
      <t xml:space="preserve"> 
· clearance of arrears on death benefits due to deceased civil and military agents, indemnities and ancillary wages owed to retirees, 
. establishment of a Youth Entrepreneurship Fund;  
</t>
    </r>
    <r>
      <rPr>
        <b/>
        <sz val="10"/>
        <color theme="1"/>
        <rFont val="Arial"/>
        <family val="2"/>
      </rPr>
      <t xml:space="preserve">. </t>
    </r>
    <r>
      <rPr>
        <sz val="10"/>
        <color theme="1"/>
        <rFont val="Arial"/>
        <family val="2"/>
      </rPr>
      <t xml:space="preserve">creation of a solidarity fund for the vulnerable population amounting to CFAF 100 billion.
</t>
    </r>
    <r>
      <rPr>
        <b/>
        <sz val="10"/>
        <color theme="1"/>
        <rFont val="Arial"/>
        <family val="2"/>
      </rPr>
      <t xml:space="preserve">. </t>
    </r>
    <r>
      <rPr>
        <sz val="10"/>
        <color theme="1"/>
        <rFont val="Arial"/>
        <family val="2"/>
      </rPr>
      <t>clearance of arrears to suppliers;                                                                    
. subsidies to agriculture.</t>
    </r>
    <r>
      <rPr>
        <b/>
        <sz val="10"/>
        <color theme="1"/>
        <rFont val="Arial"/>
        <family val="2"/>
      </rPr>
      <t xml:space="preserve">                                                                                                                                                                                             
Forgone revenue:</t>
    </r>
    <r>
      <rPr>
        <sz val="10"/>
        <color theme="1"/>
        <rFont val="Arial"/>
        <family val="2"/>
      </rPr>
      <t xml:space="preserve"> 
·exonerations of employer’s charges for the recruitment of young graduates, exemption from VAT on many items, particularly on equipment and other agricultural related ingredients, and reduction of charges for enterprises that work in the hotels’ business.
· reduction in business license fees and the presumptive tax by 50 percent, and (ii) tax breaks, such as carryforward losses and delays in tax payments, which will be considered on a case-by case basis;                                                             
. suspension of payments of electricity and water bills,                                                   </t>
    </r>
  </si>
  <si>
    <t>Ethiopia</t>
  </si>
  <si>
    <r>
      <rPr>
        <b/>
        <sz val="10"/>
        <color theme="1"/>
        <rFont val="Arial"/>
        <family val="2"/>
      </rPr>
      <t>Additional spending</t>
    </r>
    <r>
      <rPr>
        <sz val="10"/>
        <color theme="1"/>
        <rFont val="Arial"/>
        <family val="2"/>
      </rPr>
      <t xml:space="preserve">: Increasing healthcare capacity, diagnostic and medical equipment, increasing payments to health workers, procurement of personal protective equipment.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</si>
  <si>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agricultural sector support, and support to FDI operations via facilitation of logistics in export and import process. For FY2019/20, the authorities indicated that the COVID-19 related spending (including health and non-health sector) was 52.4 billion birr. The authorities plan to allocate about 30 billion birr for COVID-19 related spending.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</si>
  <si>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t>• Capital injection into the Development Bank of Ethiopia by the Ministry of Finance. Not strictly related to Covid, but aimed at facilitating lending by DBE to private enterprises.</t>
  </si>
  <si>
    <t>Ghana</t>
  </si>
  <si>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</si>
  <si>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</si>
  <si>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Deferred revenue</t>
    </r>
    <r>
      <rPr>
        <sz val="10"/>
        <color theme="1"/>
        <rFont val="Arial"/>
        <family val="2"/>
      </rPr>
      <t>:
• Tax filing dates were extended by six months.</t>
    </r>
  </si>
  <si>
    <t>• Soft loan scheme to support MSMEs including a one-year postponement of interest payments for non-marketable debt and a two-year repayment period.</t>
  </si>
  <si>
    <t>Guinea-Bissau</t>
  </si>
  <si>
    <r>
      <t xml:space="preserve">Additional spending: </t>
    </r>
    <r>
      <rPr>
        <sz val="10"/>
        <rFont val="Arial"/>
        <family val="2"/>
      </rPr>
      <t>Emergency measures to upgrade the main national hospital, pharmaceuticals, food provision and medical equipment to the country’s hospitals. Also includes vaccine costs.</t>
    </r>
  </si>
  <si>
    <r>
      <rPr>
        <b/>
        <sz val="10"/>
        <rFont val="Arial"/>
        <family val="2"/>
      </rPr>
      <t>Additional spending:</t>
    </r>
    <r>
      <rPr>
        <sz val="10"/>
        <rFont val="Arial"/>
        <family val="2"/>
      </rPr>
      <t xml:space="preserve"> Transfers to vulnerable families (0.1 percent of GDP), citizen security to enforce COVID-19 measures (0.2 and 0.1 percent of GDP in 2020 and 2021, respectively) and investments to strengthen the agricultural sector (0.4 percent of GDP in 2021). </t>
    </r>
  </si>
  <si>
    <t>Loans to banks for on-lending to the cashew sector.</t>
  </si>
  <si>
    <t>Honduras</t>
  </si>
  <si>
    <r>
      <rPr>
        <b/>
        <sz val="10"/>
        <color theme="1"/>
        <rFont val="Arial"/>
        <family val="2"/>
      </rPr>
      <t>Additional spending</t>
    </r>
    <r>
      <rPr>
        <sz val="10"/>
        <color theme="1"/>
        <rFont val="Arial"/>
        <family val="2"/>
      </rPr>
      <t>: medical supplies, personnel, adaptation of facilities.</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</si>
  <si>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</si>
  <si>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</si>
  <si>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Public development bank Banhprovi will deploy L5,625 mn (0.9 percent of GDP), funded with loans from the regional development bank CABEI, to finance loans to SME and other sectors affected by the pandemic. A dedicated L4,000 mn (0.7 percent of GDP) rediscount facility funded with accumulated profits at Banhprovi was also created for loans restructured as a result of the pandemic.</t>
  </si>
  <si>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</si>
  <si>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Kenya</t>
  </si>
  <si>
    <r>
      <rPr>
        <b/>
        <sz val="10"/>
        <rFont val="Arial"/>
        <family val="2"/>
      </rPr>
      <t>Additional spending</t>
    </r>
    <r>
      <rPr>
        <sz val="10"/>
        <rFont val="Arial"/>
        <family val="2"/>
      </rPr>
      <t>: Recruitment of additional health workers, expansion of hospital bed capacity, enhanced surveillance, laboratory services, isolation units, equipment, supplies, and communication and vaccines.</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</si>
  <si>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 Some of the tax measures, including the reduction of top PAYE rate, corporate income tax rate and VAT were reversed effective January 1, 2021.</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</si>
  <si>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</si>
  <si>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t>Myanmar</t>
  </si>
  <si>
    <r>
      <rPr>
        <sz val="10"/>
        <color theme="1"/>
        <rFont val="Symbol"/>
        <family val="1"/>
        <charset val="2"/>
      </rPr>
      <t>·</t>
    </r>
    <r>
      <rPr>
        <sz val="10"/>
        <color theme="1"/>
        <rFont val="Arial"/>
        <family val="2"/>
      </rPr>
      <t xml:space="preserve"> 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</si>
  <si>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r>
      <rPr>
        <b/>
        <sz val="10"/>
        <rFont val="Arial"/>
        <family val="2"/>
      </rPr>
      <t xml:space="preserve">Additional spending: </t>
    </r>
    <r>
      <rPr>
        <sz val="10"/>
        <rFont val="Arial"/>
        <family val="2"/>
      </rPr>
      <t xml:space="preserve">Cash transfers, food, cash-for-work, pension support, health benefit extension. Support for productivity enhancement in businesses, and targeted support to rural and agriculture sectors
</t>
    </r>
    <r>
      <rPr>
        <b/>
        <sz val="10"/>
        <rFont val="Arial"/>
        <family val="2"/>
      </rPr>
      <t>Forgone revenue:</t>
    </r>
    <r>
      <rPr>
        <sz val="10"/>
        <rFont val="Arial"/>
        <family val="2"/>
      </rPr>
      <t xml:space="preserve"> Waive the 2% Withholding Tax on exports.
Further tax relief on additional salary and wage expenses and additional expenditures for capital equipment during Income Year 2019-2020 was granted by an order of the President Office on June 12.                                                       Exempt electricity tariffs for all households (excluding embassies and international organizations) up to 150 units per month for April to December.</t>
    </r>
  </si>
  <si>
    <r>
      <rPr>
        <b/>
        <sz val="10"/>
        <color theme="1"/>
        <rFont val="Arial"/>
        <family val="2"/>
      </rPr>
      <t xml:space="preserve"> Deferred revenue:</t>
    </r>
    <r>
      <rPr>
        <sz val="10"/>
        <color theme="1"/>
        <rFont val="Arial"/>
        <family val="2"/>
      </rPr>
      <t xml:space="preserve">  Deferment of income and commercial tax payments due in the second third, and fourth quarters of FY 19/20 to January 31, 2021</t>
    </r>
  </si>
  <si>
    <t>Establish funds to on lend to support SME, MFI, small farmers, trade financing.                                                                                                                        Additional 100 billion kyat from re-appropriation of ministries’ budget was allocated to COVID-19 Fund for providing soft loans to COVID-19 affected businesses.</t>
  </si>
  <si>
    <t>Government plans to extend government guarantees to firms, existing or new, in selected high growth sectors affected. No amount is announced.</t>
  </si>
  <si>
    <t>Niger</t>
  </si>
  <si>
    <r>
      <rPr>
        <b/>
        <sz val="10"/>
        <rFont val="Arial"/>
        <family val="2"/>
      </rPr>
      <t xml:space="preserve">Additional spending:                                                                                                                                                                                                                           </t>
    </r>
    <r>
      <rPr>
        <sz val="10"/>
        <rFont val="Symbol"/>
        <family val="1"/>
        <charset val="2"/>
      </rPr>
      <t>·</t>
    </r>
    <r>
      <rPr>
        <sz val="10"/>
        <rFont val="Arial"/>
        <family val="2"/>
      </rPr>
      <t xml:space="preserve"> Reinforced protection for medical staff; increased capacity to quarantine; recruitment of 1,500 health workers; set up isolation sites; 
</t>
    </r>
    <r>
      <rPr>
        <sz val="10"/>
        <rFont val="Symbol"/>
        <family val="1"/>
        <charset val="2"/>
      </rPr>
      <t>·</t>
    </r>
    <r>
      <rPr>
        <sz val="10"/>
        <rFont val="Arial"/>
        <family val="2"/>
      </rPr>
      <t xml:space="preserve"> Exemption of VAT and duties on medical goods.</t>
    </r>
    <r>
      <rPr>
        <sz val="10"/>
        <rFont val="Arial"/>
        <family val="2"/>
        <charset val="2"/>
      </rPr>
      <t xml:space="preserve"> 
</t>
    </r>
    <r>
      <rPr>
        <b/>
        <sz val="10"/>
        <rFont val="Arial"/>
        <family val="2"/>
      </rPr>
      <t>Forgone revenues:</t>
    </r>
    <r>
      <rPr>
        <sz val="10"/>
        <rFont val="Arial"/>
        <family val="2"/>
        <charset val="2"/>
      </rPr>
      <t xml:space="preserve">                                                                                                                                                                                                                          Higher depreciation cost allowed in tax declaration for businesses
New import credits
Delaying vehicle taxes
Suspension of fiscal controls
Suspension of the uniform informal tax and transport VAT in urban centers
Reduction of VAT on the hotel sector to 10 percent and the exemption of the minimum flat tax (IMF) from 2019 tax declarations
Suspension of tax controls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</si>
  <si>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Compensation for job losses and to businesses for loss of value added. 
</t>
    </r>
    <r>
      <rPr>
        <sz val="10"/>
        <color theme="1"/>
        <rFont val="Symbol"/>
        <family val="1"/>
        <charset val="2"/>
      </rPr>
      <t>·</t>
    </r>
    <r>
      <rPr>
        <sz val="10"/>
        <color theme="1"/>
        <rFont val="Arial"/>
        <family val="2"/>
      </rPr>
      <t xml:space="preserve"> 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</si>
  <si>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</si>
  <si>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bn supporting a total of 150 bn in new loans to private sector.</t>
  </si>
  <si>
    <t>Nigeria</t>
  </si>
  <si>
    <r>
      <rPr>
        <b/>
        <sz val="10"/>
        <color theme="1"/>
        <rFont val="Arial"/>
        <family val="2"/>
      </rPr>
      <t>Additional spending</t>
    </r>
    <r>
      <rPr>
        <sz val="10"/>
        <color theme="1"/>
        <rFont val="Arial"/>
        <family val="2"/>
      </rPr>
      <t>: A total of N100 bn was allocated for health sector, including contingency funds released to Nigeria’s Center for Disease Control for more testing kits and opening more centers and train medical personnel.Recently, the government has approved the 2021 supplementary budget draft of N896 bn (will be sent to the National Assembly), of which N125 bn will be spent for vaccine and health sector (the rest will go to security spending).</t>
    </r>
  </si>
  <si>
    <r>
      <t xml:space="preserve">                                                                                                                                                          
</t>
    </r>
    <r>
      <rPr>
        <b/>
        <sz val="10"/>
        <rFont val="Arial"/>
        <family val="2"/>
      </rPr>
      <t xml:space="preserve">                                                                                                                                                                                                                                                    Additional spending</t>
    </r>
    <r>
      <rPr>
        <sz val="10"/>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rFont val="Arial"/>
        <family val="2"/>
      </rPr>
      <t xml:space="preserve">
Forgone revenue:</t>
    </r>
    <r>
      <rPr>
        <sz val="10"/>
        <rFont val="Arial"/>
        <family val="2"/>
      </rPr>
      <t xml:space="preserve"> Income tax relief and import duty waivers for medicine and medical goods were introduced.</t>
    </r>
  </si>
  <si>
    <t>Senegal</t>
  </si>
  <si>
    <r>
      <rPr>
        <b/>
        <sz val="10"/>
        <rFont val="Arial"/>
        <family val="2"/>
      </rPr>
      <t>Additional spending (97 bn):</t>
    </r>
    <r>
      <rPr>
        <sz val="10"/>
        <rFont val="Arial"/>
        <family val="2"/>
      </rPr>
      <t xml:space="preserve"> Enhance treatment and testing capacity through procuring medical supplies, improve prevention, intensify communication.
</t>
    </r>
    <r>
      <rPr>
        <b/>
        <sz val="10"/>
        <rFont val="Arial"/>
        <family val="2"/>
      </rPr>
      <t>Forgone revenue (3 bn)</t>
    </r>
    <r>
      <rPr>
        <sz val="10"/>
        <rFont val="Arial"/>
        <family val="2"/>
      </rPr>
      <t>: Exoneration of import tax/duties for health related imports.</t>
    </r>
  </si>
  <si>
    <r>
      <rPr>
        <b/>
        <sz val="10"/>
        <rFont val="Arial"/>
        <family val="2"/>
      </rPr>
      <t>Additional spending (443 bn)</t>
    </r>
    <r>
      <rPr>
        <sz val="10"/>
        <rFont val="Arial"/>
        <family val="2"/>
      </rPr>
      <t xml:space="preserve">: (i) social safety net programs: urgent food aid, subsidies to help the most vulnerable to pay utility bills (water, electricity) and support to diaspora (CFAF 97 bn - 0.68% of GDP), (ii) other economic support measures, such as direct support to heavily hit sectors (CFAF 100 bn - 0.68% of GDP), (iii) some arrears to private sector suppliers will be settled faster than originally anticipated (CFAF 200 billion - 1.40% of GDP), and (iv) action on securing key food and energy supplies (CFAF 34 billion - 0.24%  of GDP).
</t>
    </r>
    <r>
      <rPr>
        <b/>
        <sz val="10"/>
        <rFont val="Arial"/>
        <family val="2"/>
      </rPr>
      <t>Forgone revenue (70 bn)</t>
    </r>
    <r>
      <rPr>
        <sz val="10"/>
        <rFont val="Arial"/>
        <family val="2"/>
      </rPr>
      <t>: Tax rebates for companies that keep their workers on payroll or pay 70% of salary (FCFA 40 billion - 0.28% of GDP).</t>
    </r>
  </si>
  <si>
    <r>
      <rPr>
        <b/>
        <sz val="10"/>
        <rFont val="Arial"/>
        <family val="2"/>
      </rPr>
      <t xml:space="preserve">Accelerated spending (31 bn): </t>
    </r>
    <r>
      <rPr>
        <sz val="10"/>
        <rFont val="Arial"/>
        <family val="2"/>
      </rPr>
      <t>Accelerated domestic VAT refunds.</t>
    </r>
    <r>
      <rPr>
        <b/>
        <sz val="10"/>
        <rFont val="Arial"/>
        <family val="2"/>
      </rPr>
      <t xml:space="preserve">
                                                                                                                                                                              Deferred revenue (49 bn)</t>
    </r>
    <r>
      <rPr>
        <sz val="10"/>
        <rFont val="Arial"/>
        <family val="2"/>
      </rPr>
      <t>: Deadline for payment of suspended VAT extended from 12 to 24 months (CFAF 15 billion). Accelerated refund of VAT credits, deferral of CIT for SMEs and companies in hardest hit sectors.</t>
    </r>
  </si>
  <si>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 From the total, CFAF 100 billion will go for credit to large companies with a 20 percent state guarantee and CFAF 100 billion for small enterprises with a state guarantee of 50 percent.</t>
  </si>
  <si>
    <t>Uzbekistan</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</si>
  <si>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</si>
  <si>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(14,550 bn):
</t>
    </r>
    <r>
      <rPr>
        <sz val="10"/>
        <color theme="1"/>
        <rFont val="Arial"/>
        <family val="2"/>
      </rPr>
      <t xml:space="preserve">· Doubled the number of households receiving social benefits; 
· Raised spending to cover the average salary for worker taking care of their children during the quarantine period. 
· Increased spending to cover leave payments of employees of age 60+ with chronic illnesses (that must stay at home during quarantine period).
· Provided assistance to affected businesses via revolving facilities, debt service deferrals at subsidized interest.
· Increased spending for public works to support infrastructure in the regions and support employment. </t>
    </r>
    <r>
      <rPr>
        <b/>
        <sz val="10"/>
        <color theme="1"/>
        <rFont val="Arial"/>
        <family val="2"/>
      </rPr>
      <t xml:space="preserve">
Forgone revenue (4,350 bn):
</t>
    </r>
    <r>
      <rPr>
        <sz val="10"/>
        <color theme="1"/>
        <rFont val="Arial"/>
        <family val="2"/>
      </rPr>
      <t>· Reduction of minimum payment of social tax for individual entrepreneurs (a single tax for small businesses) from UZS 223,000 to UZS 111,500 per month during Apr-Oct 2020: (central government). Reduced tax rate for usage of water resources for farmland by 50 percent: (central government); Temporary suspension of tourism tax: (central government); Extended a moratorium on tax audits: (central government)
· Moratorium on tourism and hotels from paying property and land tax and social tax rate is reduced from 12 to 1 percent (central government). SMEs whose revenue drops significantly can defer payments of turnover tax, land tax, property tax, social and water use tax.
·Exemption of income tax for self employees.</t>
    </r>
  </si>
  <si>
    <t>Government equity injections and new loans to SOEs to repay debt and finance additional investment. Rollover loans issued under the government program for individual entrepreneurs.</t>
  </si>
  <si>
    <t>Vietnam</t>
  </si>
  <si>
    <t>General government</t>
  </si>
  <si>
    <r>
      <rPr>
        <b/>
        <sz val="10"/>
        <color theme="1"/>
        <rFont val="Arial"/>
        <family val="2"/>
      </rPr>
      <t>Additional spending:</t>
    </r>
    <r>
      <rPr>
        <sz val="10"/>
        <color theme="1"/>
        <rFont val="Arial"/>
        <family val="2"/>
      </rPr>
      <t xml:space="preserve"> Additional spending on medical equipment and materials. Treatment costs of Covid-19 positive patients are covered by either Health Insurance Fund (under Vietnam Social Security) or by the state budget.
</t>
    </r>
    <r>
      <rPr>
        <b/>
        <sz val="10"/>
        <color theme="1"/>
        <rFont val="Arial"/>
        <family val="2"/>
      </rPr>
      <t>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</si>
  <si>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Nearly 10 million people are estimated to benefit from this support package.
</t>
    </r>
    <r>
      <rPr>
        <b/>
        <sz val="10"/>
        <color theme="1"/>
        <rFont val="Arial"/>
        <family val="2"/>
      </rPr>
      <t>Forgone revenue:</t>
    </r>
    <r>
      <rPr>
        <sz val="10"/>
        <color theme="1"/>
        <rFont val="Arial"/>
        <family val="2"/>
      </rPr>
      <t xml:space="preserve"> Raise the deductibles of personal income tax starting in July, including individual thresholds and dependent deduction. Fees reduction for supporting firms and workers, effectively from May and extended to June 2021,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</si>
  <si>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Deferred revenue:</t>
    </r>
    <r>
      <rPr>
        <sz val="10"/>
        <rFont val="Arial"/>
        <family val="2"/>
      </rPr>
      <t xml:space="preserve"> Payments of VAT, CIT and of land rental fees are deferred by 5 months, and payment of PIT tax obligations is deferred to year-end (total value of VND 180 tn). </t>
    </r>
  </si>
  <si>
    <t>Affected firms and workers are allowed to defer their contribution (up to 12 months) to the pension fund and survivor-ship fund with no interest penalty for late payment (estimated to be VND 9.5 tn).</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</si>
  <si>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</si>
  <si>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 xml:space="preserve">Measures include 30 tn VND tax and land rental payment deferrals (for 5 months) to support affected entities; affected firms are allowed to defer their contribution (due Mar-Jun) to the pension fund with no interest penalty for late payment; </t>
  </si>
  <si>
    <t>Zambia</t>
  </si>
  <si>
    <r>
      <rPr>
        <b/>
        <sz val="10"/>
        <rFont val="Arial"/>
        <family val="2"/>
      </rPr>
      <t>Additional spending:</t>
    </r>
    <r>
      <rPr>
        <sz val="10"/>
        <rFont val="Arial"/>
        <family val="2"/>
      </rPr>
      <t xml:space="preserve">                                                                                                                                                                                                                                     The government has announced an 8 billion kwacha Covid-19 Mitigation Bond to finance related spending, which includes 1 billion in health-related spending: purchases of equipment and clearance of arrears to local drug suppliers.
                                                                                                                                                                                                                                               </t>
    </r>
    <r>
      <rPr>
        <b/>
        <sz val="10"/>
        <rFont val="Arial"/>
        <family val="2"/>
      </rPr>
      <t xml:space="preserve">Forgone revenues:                                                                                                                                                                                                                                   </t>
    </r>
    <r>
      <rPr>
        <sz val="10"/>
        <rFont val="Arial"/>
        <family val="2"/>
      </rPr>
      <t>The government has suspended import duties and VAT on some medical supplies and devices, including testing equipment, protective garments, thermometers, disinfectants, sterilization products, ventilators and patient monitoring devices.
The government has also suspended excise duty on ethanol for use in alcohol-based sanitizers and other medical commodities.</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</si>
  <si>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3.1 billion to clear arrears to suppliers of goods and services, on VAT refunds, on pensions, as well as third-party arrears to micro-finance institutions.
</t>
    </r>
    <r>
      <rPr>
        <sz val="10"/>
        <rFont val="Symbol"/>
        <family val="1"/>
        <charset val="2"/>
      </rPr>
      <t>·</t>
    </r>
    <r>
      <rPr>
        <sz val="10"/>
        <rFont val="Arial"/>
        <family val="2"/>
      </rPr>
      <t xml:space="preserve"> 0.5 billion for youth empowerment programs;
</t>
    </r>
    <r>
      <rPr>
        <b/>
        <sz val="10"/>
        <rFont val="Symbol"/>
        <family val="1"/>
        <charset val="2"/>
      </rPr>
      <t>·</t>
    </r>
    <r>
      <rPr>
        <sz val="10"/>
        <rFont val="Arial"/>
        <family val="2"/>
      </rPr>
      <t xml:space="preserve"> 1.7 billion for grain purchases; 
</t>
    </r>
    <r>
      <rPr>
        <sz val="10"/>
        <rFont val="Symbol"/>
        <family val="1"/>
        <charset val="2"/>
      </rPr>
      <t>·</t>
    </r>
    <r>
      <rPr>
        <sz val="10"/>
        <rFont val="Arial"/>
        <family val="2"/>
      </rPr>
      <t xml:space="preserve"> 0.8 billion for other purposes; 
</t>
    </r>
    <r>
      <rPr>
        <b/>
        <sz val="10"/>
        <rFont val="Arial"/>
        <family val="2"/>
      </rPr>
      <t xml:space="preserve">· </t>
    </r>
    <r>
      <rPr>
        <sz val="10"/>
        <rFont val="Arial"/>
        <family val="2"/>
      </rPr>
      <t>The 2021 Budget envisions tax breaks for tourism: a permanently lower CIT rate and suspended import duties and fees;</t>
    </r>
    <r>
      <rPr>
        <b/>
        <sz val="10"/>
        <rFont val="Arial"/>
        <family val="2"/>
      </rPr>
      <t xml:space="preserve">
                                                                                                                                                                                                                                               Forgone revenues:</t>
    </r>
    <r>
      <rPr>
        <sz val="10"/>
        <rFont val="Arial"/>
        <family val="2"/>
      </rPr>
      <t xml:space="preserve">                                                                                             Import duties on mineral concentrate and export duties on precious metals and crocodile skin were suspended. The government has waived tax penalties and interest on outstanding tax liabilities resulting from the impact of COVID-19. It also removed provisions relating to claiming VAT on imported spare parts, lubricants, and stationery.
The 2021 Budget envisions zero rating under the VAT for equipment used for full body sanitization for a period of one year, as well as tax breaks for tourism: a permanently lower CIT rate and suspended import duties and fees.</t>
    </r>
  </si>
  <si>
    <t>Recapitalize NATSAVE (development bank).</t>
  </si>
  <si>
    <t>Sources: National authorities and IMF staff estimates.</t>
  </si>
  <si>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June 5, 2021, and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2020 GDP are based on July 2021 World Economic Outlook database unless otherwise stated. G20 = Group of Twenty; AE = Advanced Economy; EM = Emerging Market; LIDC = Low Income Developing Country. </t>
  </si>
  <si>
    <t xml:space="preserve">1/ The country list includes European Union as well, but the total global fiscal support does not include measures announced by the European Union because those are financing the measures by member states, which are included individually. </t>
  </si>
  <si>
    <t xml:space="preserve">2/ Norway fiscal support measures are expressed in percent of continental GDP. </t>
  </si>
  <si>
    <t>Table 1. Summary of Country Fiscal Measures in Response to the COVID-19 Pandemic since January 2020</t>
  </si>
  <si>
    <t>(USD billion and percent of 2020 GDP)</t>
  </si>
  <si>
    <t>USD Billion</t>
  </si>
  <si>
    <t>Percent of GDP</t>
  </si>
  <si>
    <t>Above the line measures</t>
  </si>
  <si>
    <t>Liquidity support</t>
  </si>
  <si>
    <t>Additional spending or foregone revenues</t>
  </si>
  <si>
    <t>Accelerated spending / deferred revenue</t>
  </si>
  <si>
    <r>
      <rPr>
        <b/>
        <sz val="8.5"/>
        <color theme="1"/>
        <rFont val="Arial"/>
        <family val="2"/>
      </rPr>
      <t>Below the line measures:</t>
    </r>
    <r>
      <rPr>
        <sz val="8.5"/>
        <color theme="1"/>
        <rFont val="Arial"/>
        <family val="2"/>
      </rPr>
      <t xml:space="preserve"> equity injections, loans, asset purchase or debt assumptions.</t>
    </r>
  </si>
  <si>
    <t>Contingent liabilities</t>
  </si>
  <si>
    <t>Subtotal</t>
  </si>
  <si>
    <t>Health sector</t>
  </si>
  <si>
    <t>Non-health sector</t>
  </si>
  <si>
    <t>Guarantees</t>
  </si>
  <si>
    <t>Quasi-fiscal operations</t>
  </si>
  <si>
    <t>G20: Advanced economies</t>
  </si>
  <si>
    <t>Austria</t>
  </si>
  <si>
    <t>Czech republic</t>
  </si>
  <si>
    <t>Estonia</t>
  </si>
  <si>
    <t>Greece</t>
  </si>
  <si>
    <t>Iceland</t>
  </si>
  <si>
    <t>Ireland</t>
  </si>
  <si>
    <t>Israel</t>
  </si>
  <si>
    <t>Latvia</t>
  </si>
  <si>
    <t>Lithuania</t>
  </si>
  <si>
    <t>Luxembourg</t>
  </si>
  <si>
    <t>Slovak Republic</t>
  </si>
  <si>
    <t>Slovenia</t>
  </si>
  <si>
    <t>Costa Rica</t>
  </si>
  <si>
    <t>Hungary</t>
  </si>
  <si>
    <t>Global</t>
  </si>
  <si>
    <t>Note: Estimates as of June 5, 2021. Numbers in U.S. dollar and percent of GDP are based on July 2021 World Economic Outlook unless otherwise stated. The fiscal measures include resources allocated or planned in response to the COVID-19 pandemic since January 2020, which will cover implementation in 2020, 2021, and beyond.</t>
  </si>
  <si>
    <t xml:space="preserve">The country list includes European Union as well, but the total global fiscal support does not include measures announced by the European Union because those are financing the measures by member states, which are included individually. </t>
  </si>
  <si>
    <t>The global estimate of fiscal support includes above-the-line measures of additional spending and foregone revenue, as well as below the line measures and contingent liabilities from guarantees and quasi-fiscal operations.</t>
  </si>
  <si>
    <r>
      <rPr>
        <vertAlign val="superscript"/>
        <sz val="10"/>
        <color theme="1"/>
        <rFont val="Arial"/>
        <family val="2"/>
      </rPr>
      <t>1</t>
    </r>
    <r>
      <rPr>
        <sz val="10"/>
        <color theme="1"/>
        <rFont val="Arial"/>
        <family val="2"/>
      </rPr>
      <t xml:space="preserve"> Norway fiscal support measures expressed in percent of continental GDP. </t>
    </r>
  </si>
  <si>
    <t/>
  </si>
  <si>
    <r>
      <t xml:space="preserve">Additional spending (AUD 20.0 bn):
</t>
    </r>
    <r>
      <rPr>
        <sz val="10"/>
        <rFont val="Arial"/>
        <family val="2"/>
      </rPr>
      <t>•Australia is co-funding the WHO’s Pacific regional coronavirus response plan (together with New Zealand).
•The Commonwealth government increased the budget to secure access to COVID-19 vaccines and roll out a national Vaccination Program.
•The health spending package provides support across primary care, aged care, hospitals and research, to diagnose and treat people with the Coronavirus.
•In relation to aged care, temporary measures will be introduced to support the aged care sector, which helps ensure the continuity of residential and home care. 
•The Commonwealth government will pay for half of all additional costs incurred by states and territories in diagnosing and treating patients with, or suspected of having, COVID-19, and efforts to minimize the spread of the virus.
• The 2020-21 Mid-Year Economic and FIscal Outlook (MYEFO), released on December 17, includes cost of vaccine procurement and rollout.</t>
    </r>
  </si>
  <si>
    <t>iso</t>
  </si>
  <si>
    <t>AEs</t>
  </si>
  <si>
    <t>country</t>
  </si>
  <si>
    <t>Additional spending and forgone revenue</t>
  </si>
  <si>
    <t>Equity, loans, and guarantees</t>
  </si>
  <si>
    <t>Cote d'Ivoire</t>
  </si>
  <si>
    <t>LIDCs</t>
  </si>
  <si>
    <t>CIV</t>
  </si>
  <si>
    <t>Advanced Economies</t>
  </si>
  <si>
    <t>DNK</t>
  </si>
  <si>
    <t>SWE</t>
  </si>
  <si>
    <t>FIN</t>
  </si>
  <si>
    <t>KOR</t>
  </si>
  <si>
    <t>NOR</t>
  </si>
  <si>
    <t>ESP</t>
  </si>
  <si>
    <t>CHE</t>
  </si>
  <si>
    <t>BEL</t>
  </si>
  <si>
    <t>FRA</t>
  </si>
  <si>
    <t>CZE</t>
  </si>
  <si>
    <t>NLD</t>
  </si>
  <si>
    <t>ITA</t>
  </si>
  <si>
    <t>DEU</t>
  </si>
  <si>
    <t>CAN</t>
  </si>
  <si>
    <t>GBR</t>
  </si>
  <si>
    <t>JPN</t>
  </si>
  <si>
    <t>AUS</t>
  </si>
  <si>
    <t>SGP</t>
  </si>
  <si>
    <t>NZL</t>
  </si>
  <si>
    <t>USA</t>
  </si>
  <si>
    <t>Emerging Market Economies</t>
  </si>
  <si>
    <t>MEX</t>
  </si>
  <si>
    <t>EGY</t>
  </si>
  <si>
    <t>TUR</t>
  </si>
  <si>
    <t>PAK</t>
  </si>
  <si>
    <t>SAU</t>
  </si>
  <si>
    <t>ALB</t>
  </si>
  <si>
    <t>ARE</t>
  </si>
  <si>
    <t>TUN</t>
  </si>
  <si>
    <t>PHL</t>
  </si>
  <si>
    <t>ROU</t>
  </si>
  <si>
    <t>IND</t>
  </si>
  <si>
    <t>KAZ</t>
  </si>
  <si>
    <t>ARG</t>
  </si>
  <si>
    <t>IDN</t>
  </si>
  <si>
    <t>RUS</t>
  </si>
  <si>
    <t>COL</t>
  </si>
  <si>
    <t>CHN</t>
  </si>
  <si>
    <t>BGR</t>
  </si>
  <si>
    <t>ZAF</t>
  </si>
  <si>
    <t>GEO</t>
  </si>
  <si>
    <t>POL</t>
  </si>
  <si>
    <t>PER</t>
  </si>
  <si>
    <t>BRA</t>
  </si>
  <si>
    <t>THA</t>
  </si>
  <si>
    <t>CHL</t>
  </si>
  <si>
    <t>MMR</t>
  </si>
  <si>
    <t>NER</t>
  </si>
  <si>
    <t>BGD</t>
  </si>
  <si>
    <t>VNM</t>
  </si>
  <si>
    <t>ZMB</t>
  </si>
  <si>
    <t>HND</t>
  </si>
  <si>
    <t>ETH</t>
  </si>
  <si>
    <t>KEN</t>
  </si>
  <si>
    <t>GHA</t>
  </si>
  <si>
    <t>SEN</t>
  </si>
  <si>
    <t>UZB</t>
  </si>
  <si>
    <t>GNB</t>
  </si>
  <si>
    <t>Low Income Developing Countries</t>
  </si>
  <si>
    <t>EMEs</t>
  </si>
  <si>
    <r>
      <rPr>
        <vertAlign val="superscript"/>
        <sz val="10"/>
        <color theme="1"/>
        <rFont val="Arial"/>
        <family val="2"/>
      </rPr>
      <t>2</t>
    </r>
    <r>
      <rPr>
        <sz val="10"/>
        <color theme="1"/>
        <rFont val="Arial"/>
        <family val="2"/>
      </rPr>
      <t xml:space="preserve"> The numbers are based on official estimates covering cumulative spending in 2020 and the first five months of 2021.</t>
    </r>
  </si>
  <si>
    <t>3/ The American Families (AFP) and the American Job (AJP) plans are not included in this version of the database as their final size and measures, as well as the degree to which the measures are COVID-related remains uncertain.</t>
  </si>
  <si>
    <r>
      <rPr>
        <vertAlign val="superscript"/>
        <sz val="10"/>
        <color theme="1"/>
        <rFont val="Arial"/>
        <family val="2"/>
      </rPr>
      <t>3</t>
    </r>
    <r>
      <rPr>
        <sz val="10"/>
        <color theme="1"/>
        <rFont val="Arial"/>
        <family val="2"/>
      </rPr>
      <t xml:space="preserve"> The American Families (AFP) and the American Job (AJP) plans are not included in this version of the database as their final size and measures, as well as the degree to which the measures are COVID-related remains uncertain.</t>
    </r>
  </si>
  <si>
    <t>This database summarizes key fiscal measures governments have announced or taken in selected economies in response to the COVID-19 pandemic as of June 5, 2021 for 20 G20 Advanced and Emerging Market Economies, 26 Non-G20 Advanced Economies, 82 Non-G20 Emerging Market Economies, 59 Low-Income Developing Countries. It includes COVID-19 related measures since January 2020 and covers measures for implementation in 2020, 2021, and beyond.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</si>
  <si>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r>
      <rPr>
        <b/>
        <sz val="10"/>
        <rFont val="Arial"/>
        <family val="2"/>
      </rPr>
      <t>Additional spending:</t>
    </r>
    <r>
      <rPr>
        <sz val="10"/>
        <rFont val="Arial"/>
        <family val="2"/>
      </rPr>
      <t xml:space="preserve"> including medicine, vaccine and medical equipment spending, protective equipment and other needs of University Hospitals and Institutions, SUT expenditure, performance pay for medics.</t>
    </r>
  </si>
  <si>
    <r>
      <rPr>
        <b/>
        <sz val="10"/>
        <rFont val="Arial"/>
        <family val="2"/>
      </rPr>
      <t xml:space="preserve">Additional spending: 
</t>
    </r>
    <r>
      <rPr>
        <sz val="10"/>
        <rFont val="Arial"/>
        <family val="2"/>
      </rPr>
      <t>• Cash aid and raised minimum pension (TL 22.5 bn);
• Unemployment benefits (TL 5.9 bn);
• Short-time work allowance (TL 33.2 bn); 
• Cash aid to employees (TL 11.4 bn).
• Normalization support (TL 4.5 bn).
• Social Support Program (TL 8.8 bn).</t>
    </r>
    <r>
      <rPr>
        <b/>
        <sz val="10"/>
        <rFont val="Arial"/>
        <family val="2"/>
      </rPr>
      <t xml:space="preserve">
Forgone revenue (TL 26.2 bn):
</t>
    </r>
    <r>
      <rPr>
        <sz val="10"/>
        <rFont val="Arial"/>
        <family val="2"/>
      </rPr>
      <t xml:space="preserve">• VAT rate on food and beverage, cinema, theatre, museum and accommodation services was reduced from 8% to 1% until 31 December, 2020. It is prolonged for five months for 2021.
• VAT rate on workplace rental services, passenger transportation, maintenance and repair of small home appliances, wedding and marriage organizations, residential maintenance, repair, painting, and cleaning services was reduced from 18% to 8% until 31 December, 2020. It is prolonged for five months for 2021.
• Withholding tax on workplace rent was reduced from 20% to 10% until 31 December, 2020. It is prolonged for five months for 2021.
• VAT rate on passenger transportation by air was reduced to 1% from 1 April, 2020 to 30 June, 2020.
• VAT rate on education and training services between 1 September, 2020 and 30 June, 2021 was reduced from 8% to 1% temporarily. 
• Support to tradespeople (TL 4.6 bn).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</si>
</sst>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_(* #,##0_);_(* \(#,##0\);_(* &quot;-&quot;??_);_(@_)"/>
    <numFmt numFmtId="167" formatCode="_(* #,##0.0_);_(* \(#,##0.0\);_(* &quot;-&quot;??_);_(@_)"/>
  </numFmts>
  <fonts count="31">
    <font>
      <sz val="10"/>
      <color theme="1"/>
      <name val="Arial"/>
      <family val="2"/>
    </font>
    <font>
      <sz val="10"/>
      <color theme="1"/>
      <name val="Arial"/>
      <family val="2"/>
    </font>
    <font>
      <sz val="10"/>
      <color rgb="FFFF0000"/>
      <name val="Arial"/>
      <family val="2"/>
    </font>
    <font>
      <b/>
      <sz val="10"/>
      <color theme="1"/>
      <name val="Arial"/>
      <family val="2"/>
    </font>
    <font>
      <b/>
      <sz val="16"/>
      <color rgb="FF7030A0"/>
      <name val="Arial"/>
      <family val="2"/>
    </font>
    <font>
      <b/>
      <sz val="10"/>
      <color rgb="FF7030A0"/>
      <name val="Arial"/>
      <family val="2"/>
    </font>
    <font>
      <sz val="15"/>
      <color theme="1"/>
      <name val="Arial"/>
      <family val="2"/>
    </font>
    <font>
      <b/>
      <sz val="10"/>
      <name val="Arial"/>
      <family val="2"/>
    </font>
    <font>
      <sz val="10"/>
      <name val="Arial"/>
      <family val="2"/>
    </font>
    <font>
      <sz val="10"/>
      <name val="Symbol"/>
      <family val="1"/>
      <charset val="2"/>
    </font>
    <font>
      <sz val="11"/>
      <name val="Calibri"/>
      <family val="2"/>
      <charset val="238"/>
      <scheme val="minor"/>
    </font>
    <font>
      <sz val="10"/>
      <color theme="1"/>
      <name val="Arial"/>
      <family val="1"/>
      <charset val="2"/>
    </font>
    <font>
      <sz val="10"/>
      <color theme="1"/>
      <name val="Symbol"/>
      <family val="1"/>
      <charset val="2"/>
    </font>
    <font>
      <sz val="7"/>
      <color theme="1"/>
      <name val="Arial"/>
      <family val="2"/>
    </font>
    <font>
      <sz val="10"/>
      <color theme="1"/>
      <name val="Arial"/>
      <family val="2"/>
      <charset val="2"/>
    </font>
    <font>
      <b/>
      <sz val="10"/>
      <color indexed="8"/>
      <name val="Arial"/>
      <family val="2"/>
    </font>
    <font>
      <sz val="6.6"/>
      <color theme="1"/>
      <name val="Arial"/>
      <family val="2"/>
    </font>
    <font>
      <sz val="8"/>
      <color theme="1"/>
      <name val="Arial"/>
      <family val="2"/>
    </font>
    <font>
      <sz val="10"/>
      <name val="Arial"/>
      <family val="2"/>
      <charset val="2"/>
    </font>
    <font>
      <b/>
      <sz val="10"/>
      <color theme="1"/>
      <name val="Symbol"/>
      <family val="1"/>
      <charset val="2"/>
    </font>
    <font>
      <b/>
      <sz val="10"/>
      <name val="Symbol"/>
      <family val="1"/>
      <charset val="2"/>
    </font>
    <font>
      <sz val="11"/>
      <name val="Calibri"/>
      <family val="2"/>
    </font>
    <font>
      <b/>
      <sz val="10"/>
      <color rgb="FF7030A0"/>
      <name val="HelveticaNeueLT Std"/>
      <family val="2"/>
    </font>
    <font>
      <i/>
      <sz val="10"/>
      <color rgb="FF7030A0"/>
      <name val="HelveticaNeueLT Std"/>
    </font>
    <font>
      <b/>
      <sz val="8.5"/>
      <name val="Arial"/>
      <family val="2"/>
    </font>
    <font>
      <b/>
      <i/>
      <sz val="8.5"/>
      <name val="Arial"/>
      <family val="2"/>
    </font>
    <font>
      <sz val="8.5"/>
      <color theme="1"/>
      <name val="Arial"/>
      <family val="2"/>
    </font>
    <font>
      <sz val="9"/>
      <color theme="1"/>
      <name val="Arial"/>
      <family val="2"/>
    </font>
    <font>
      <b/>
      <sz val="8.5"/>
      <color theme="1"/>
      <name val="Arial"/>
      <family val="2"/>
    </font>
    <font>
      <b/>
      <sz val="9"/>
      <color theme="1"/>
      <name val="Arial"/>
      <family val="2"/>
    </font>
    <font>
      <vertAlign val="superscript"/>
      <sz val="10"/>
      <color theme="1"/>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FF00"/>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theme="0" tint="-0.499984740745262"/>
      </top>
      <bottom/>
      <diagonal/>
    </border>
    <border>
      <left/>
      <right/>
      <top style="thin">
        <color indexed="64"/>
      </top>
      <bottom style="thin">
        <color indexed="64"/>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3">
    <xf numFmtId="0" fontId="0" fillId="0" borderId="0"/>
    <xf numFmtId="164" fontId="1" fillId="0" borderId="0" applyFont="0" applyFill="0" applyBorder="0" applyAlignment="0" applyProtection="0"/>
    <xf numFmtId="0" fontId="21" fillId="0" borderId="0"/>
  </cellStyleXfs>
  <cellXfs count="294">
    <xf numFmtId="0" fontId="0" fillId="0" borderId="0" xfId="0"/>
    <xf numFmtId="0" fontId="0" fillId="2" borderId="0" xfId="0" applyFill="1" applyAlignment="1">
      <alignment wrapText="1"/>
    </xf>
    <xf numFmtId="0" fontId="0" fillId="2" borderId="0" xfId="0" applyFill="1"/>
    <xf numFmtId="0" fontId="4" fillId="2" borderId="1" xfId="0" applyFont="1" applyFill="1" applyBorder="1" applyAlignment="1">
      <alignment horizontal="left" vertical="center"/>
    </xf>
    <xf numFmtId="0" fontId="0" fillId="2" borderId="1" xfId="0" applyFill="1" applyBorder="1" applyAlignment="1">
      <alignment vertical="center"/>
    </xf>
    <xf numFmtId="0" fontId="5" fillId="2" borderId="1" xfId="0" applyFont="1" applyFill="1" applyBorder="1" applyAlignment="1">
      <alignment horizontal="left" vertical="center"/>
    </xf>
    <xf numFmtId="165" fontId="3" fillId="2" borderId="1" xfId="0" applyNumberFormat="1" applyFont="1" applyFill="1" applyBorder="1" applyAlignment="1">
      <alignment horizontal="center" vertical="center"/>
    </xf>
    <xf numFmtId="0" fontId="0" fillId="2" borderId="1" xfId="0" applyFill="1" applyBorder="1"/>
    <xf numFmtId="0" fontId="0" fillId="2" borderId="1" xfId="0" applyFill="1" applyBorder="1" applyAlignment="1">
      <alignment horizontal="left" vertical="center"/>
    </xf>
    <xf numFmtId="165" fontId="1" fillId="2" borderId="1" xfId="1" applyNumberFormat="1" applyFont="1" applyFill="1" applyBorder="1" applyAlignment="1">
      <alignment horizontal="center" vertical="center"/>
    </xf>
    <xf numFmtId="165" fontId="0" fillId="2" borderId="1" xfId="0" applyNumberFormat="1" applyFill="1" applyBorder="1" applyAlignment="1">
      <alignment horizontal="center" vertical="center"/>
    </xf>
    <xf numFmtId="0" fontId="0" fillId="2" borderId="0" xfId="0" applyFill="1" applyAlignment="1">
      <alignment horizontal="left" vertical="center"/>
    </xf>
    <xf numFmtId="0" fontId="0" fillId="2" borderId="0" xfId="0" applyFill="1" applyAlignment="1">
      <alignment vertical="center"/>
    </xf>
    <xf numFmtId="0" fontId="0" fillId="2" borderId="0" xfId="0" applyFill="1" applyAlignment="1">
      <alignment horizontal="left" vertical="center" wrapText="1"/>
    </xf>
    <xf numFmtId="0" fontId="0" fillId="2" borderId="2" xfId="0" applyFill="1" applyBorder="1" applyAlignment="1">
      <alignment vertical="center" wrapText="1"/>
    </xf>
    <xf numFmtId="0" fontId="0" fillId="2" borderId="2" xfId="0" applyFill="1" applyBorder="1" applyAlignment="1">
      <alignment vertical="center" textRotation="90" wrapText="1"/>
    </xf>
    <xf numFmtId="165" fontId="3" fillId="2" borderId="2" xfId="0" applyNumberFormat="1" applyFont="1" applyFill="1" applyBorder="1" applyAlignment="1">
      <alignment vertical="center" wrapText="1"/>
    </xf>
    <xf numFmtId="165" fontId="3" fillId="2" borderId="2" xfId="1" applyNumberFormat="1" applyFont="1" applyFill="1" applyBorder="1" applyAlignment="1">
      <alignment vertical="center" wrapText="1"/>
    </xf>
    <xf numFmtId="0" fontId="0" fillId="4" borderId="0" xfId="0" applyFill="1" applyAlignment="1">
      <alignment horizontal="left" vertical="center"/>
    </xf>
    <xf numFmtId="0" fontId="0" fillId="2" borderId="1" xfId="0" applyFill="1" applyBorder="1" applyAlignment="1">
      <alignment horizontal="center" vertical="center" wrapText="1"/>
    </xf>
    <xf numFmtId="0" fontId="0" fillId="2" borderId="0" xfId="0" applyFill="1" applyAlignment="1">
      <alignment vertical="center" wrapText="1"/>
    </xf>
    <xf numFmtId="0" fontId="0" fillId="0" borderId="1" xfId="0" applyBorder="1" applyAlignment="1">
      <alignment horizontal="center" vertical="center" textRotation="90" wrapText="1"/>
    </xf>
    <xf numFmtId="0" fontId="0" fillId="2" borderId="1" xfId="0" applyFill="1" applyBorder="1" applyAlignment="1">
      <alignment vertical="center" textRotation="90" wrapText="1"/>
    </xf>
    <xf numFmtId="0" fontId="0" fillId="2" borderId="1" xfId="0" applyFill="1" applyBorder="1" applyAlignment="1">
      <alignment vertical="center" wrapText="1"/>
    </xf>
    <xf numFmtId="0" fontId="0" fillId="0" borderId="1" xfId="0" applyBorder="1" applyAlignment="1">
      <alignment vertical="center" textRotation="90" wrapText="1"/>
    </xf>
    <xf numFmtId="165" fontId="3" fillId="2" borderId="1" xfId="0" applyNumberFormat="1" applyFont="1" applyFill="1" applyBorder="1" applyAlignment="1">
      <alignment horizontal="center" vertical="center" wrapText="1"/>
    </xf>
    <xf numFmtId="165" fontId="0" fillId="2" borderId="1" xfId="0" applyNumberFormat="1" applyFill="1" applyBorder="1" applyAlignment="1">
      <alignment horizontal="center" vertical="center" wrapText="1"/>
    </xf>
    <xf numFmtId="165" fontId="3" fillId="2" borderId="1" xfId="1" applyNumberFormat="1" applyFont="1" applyFill="1" applyBorder="1" applyAlignment="1">
      <alignment horizontal="center" vertical="center" wrapText="1"/>
    </xf>
    <xf numFmtId="165" fontId="0" fillId="2" borderId="1" xfId="1" applyNumberFormat="1" applyFont="1" applyFill="1" applyBorder="1" applyAlignment="1">
      <alignment horizontal="center" vertical="center" wrapText="1"/>
    </xf>
    <xf numFmtId="0" fontId="0" fillId="2" borderId="1" xfId="0" applyFill="1" applyBorder="1" applyAlignment="1">
      <alignment horizontal="left" vertical="center" textRotation="90" wrapText="1"/>
    </xf>
    <xf numFmtId="0" fontId="0" fillId="2" borderId="1" xfId="0" applyFill="1" applyBorder="1" applyAlignment="1">
      <alignment horizontal="left" vertical="center" wrapText="1"/>
    </xf>
    <xf numFmtId="0" fontId="0" fillId="2" borderId="1" xfId="0" applyFill="1" applyBorder="1" applyAlignment="1">
      <alignment wrapText="1"/>
    </xf>
    <xf numFmtId="0" fontId="0" fillId="5" borderId="0" xfId="0" applyFill="1" applyAlignment="1">
      <alignment horizontal="left" vertical="center" textRotation="90"/>
    </xf>
    <xf numFmtId="1" fontId="0" fillId="5" borderId="0" xfId="0" applyNumberFormat="1" applyFill="1" applyAlignment="1">
      <alignment horizontal="center" vertical="center" wrapText="1"/>
    </xf>
    <xf numFmtId="165" fontId="0" fillId="5" borderId="0" xfId="0" applyNumberFormat="1" applyFill="1" applyAlignment="1">
      <alignment horizontal="center" vertical="center"/>
    </xf>
    <xf numFmtId="1" fontId="8" fillId="5" borderId="0" xfId="0" applyNumberFormat="1" applyFont="1" applyFill="1" applyAlignment="1">
      <alignment horizontal="center" vertical="center" wrapText="1"/>
    </xf>
    <xf numFmtId="165" fontId="8" fillId="5" borderId="0" xfId="0" applyNumberFormat="1" applyFont="1" applyFill="1" applyAlignment="1">
      <alignment horizontal="left" vertical="center" wrapText="1"/>
    </xf>
    <xf numFmtId="1" fontId="0" fillId="5" borderId="0" xfId="0" applyNumberFormat="1" applyFill="1" applyAlignment="1">
      <alignment horizontal="center" vertical="center"/>
    </xf>
    <xf numFmtId="1" fontId="1" fillId="5" borderId="0" xfId="1" applyNumberFormat="1" applyFont="1" applyFill="1" applyBorder="1" applyAlignment="1">
      <alignment horizontal="center" vertical="center" wrapText="1"/>
    </xf>
    <xf numFmtId="0" fontId="0" fillId="5" borderId="0" xfId="0" applyFill="1" applyAlignment="1">
      <alignment horizontal="left" vertical="center" wrapText="1"/>
    </xf>
    <xf numFmtId="0" fontId="8" fillId="5" borderId="0" xfId="0" applyFont="1" applyFill="1" applyAlignment="1">
      <alignment horizontal="left" vertical="center" wrapText="1"/>
    </xf>
    <xf numFmtId="1" fontId="8" fillId="5" borderId="0" xfId="0" applyNumberFormat="1" applyFont="1" applyFill="1" applyAlignment="1">
      <alignment horizontal="center" vertical="center"/>
    </xf>
    <xf numFmtId="1" fontId="0" fillId="5" borderId="0" xfId="1" applyNumberFormat="1" applyFont="1" applyFill="1" applyBorder="1" applyAlignment="1">
      <alignment horizontal="center" vertical="center"/>
    </xf>
    <xf numFmtId="0" fontId="0" fillId="5" borderId="1" xfId="0" applyFill="1" applyBorder="1" applyAlignment="1">
      <alignment horizontal="left" vertical="center" textRotation="90"/>
    </xf>
    <xf numFmtId="165" fontId="0" fillId="5" borderId="1" xfId="0" applyNumberFormat="1" applyFill="1" applyBorder="1" applyAlignment="1">
      <alignment horizontal="center" vertical="center"/>
    </xf>
    <xf numFmtId="0" fontId="8" fillId="5" borderId="1" xfId="0" applyFont="1" applyFill="1" applyBorder="1" applyAlignment="1">
      <alignment horizontal="left" vertical="center" wrapText="1"/>
    </xf>
    <xf numFmtId="165" fontId="8" fillId="5" borderId="1" xfId="0" applyNumberFormat="1" applyFont="1" applyFill="1" applyBorder="1" applyAlignment="1">
      <alignment horizontal="center" vertical="center"/>
    </xf>
    <xf numFmtId="165" fontId="1" fillId="5" borderId="1" xfId="1" applyNumberFormat="1" applyFont="1" applyFill="1" applyBorder="1" applyAlignment="1">
      <alignment horizontal="center" vertical="center"/>
    </xf>
    <xf numFmtId="165" fontId="0" fillId="5" borderId="0" xfId="1" applyNumberFormat="1" applyFont="1" applyFill="1" applyBorder="1" applyAlignment="1">
      <alignment horizontal="center" vertical="center"/>
    </xf>
    <xf numFmtId="0" fontId="0" fillId="5" borderId="1" xfId="0" applyFill="1" applyBorder="1" applyAlignment="1">
      <alignment horizontal="left" vertical="center" wrapText="1"/>
    </xf>
    <xf numFmtId="0" fontId="0" fillId="2" borderId="2" xfId="0" applyFill="1" applyBorder="1" applyAlignment="1">
      <alignment horizontal="left" vertical="center"/>
    </xf>
    <xf numFmtId="0" fontId="0" fillId="5" borderId="2" xfId="0" applyFill="1" applyBorder="1" applyAlignment="1">
      <alignment horizontal="left" vertical="center" textRotation="90"/>
    </xf>
    <xf numFmtId="1" fontId="0" fillId="5" borderId="2" xfId="0" applyNumberFormat="1" applyFill="1" applyBorder="1" applyAlignment="1">
      <alignment horizontal="center" vertical="center"/>
    </xf>
    <xf numFmtId="1" fontId="0" fillId="5" borderId="2" xfId="0" applyNumberFormat="1" applyFill="1" applyBorder="1" applyAlignment="1">
      <alignment vertical="center" wrapText="1"/>
    </xf>
    <xf numFmtId="165" fontId="1" fillId="5" borderId="2" xfId="1" applyNumberFormat="1" applyFont="1" applyFill="1" applyBorder="1" applyAlignment="1">
      <alignment horizontal="center" vertical="center"/>
    </xf>
    <xf numFmtId="165" fontId="0" fillId="5" borderId="2" xfId="0" applyNumberFormat="1" applyFill="1" applyBorder="1" applyAlignment="1">
      <alignment horizontal="center" vertical="center"/>
    </xf>
    <xf numFmtId="0" fontId="0" fillId="5" borderId="2" xfId="0" applyFill="1" applyBorder="1" applyAlignment="1">
      <alignment horizontal="left" vertical="center" wrapText="1"/>
    </xf>
    <xf numFmtId="0" fontId="0" fillId="2" borderId="2" xfId="0" applyFill="1" applyBorder="1" applyAlignment="1">
      <alignment vertical="center"/>
    </xf>
    <xf numFmtId="1" fontId="0" fillId="5" borderId="0" xfId="0" applyNumberFormat="1" applyFill="1" applyAlignment="1">
      <alignment vertical="center" wrapText="1"/>
    </xf>
    <xf numFmtId="165" fontId="1" fillId="5" borderId="0" xfId="1" applyNumberFormat="1" applyFont="1" applyFill="1" applyBorder="1" applyAlignment="1">
      <alignment horizontal="center" vertical="center"/>
    </xf>
    <xf numFmtId="165" fontId="0" fillId="5" borderId="1" xfId="0" applyNumberFormat="1" applyFill="1" applyBorder="1" applyAlignment="1">
      <alignment horizontal="right" vertical="center"/>
    </xf>
    <xf numFmtId="1" fontId="1" fillId="5" borderId="2" xfId="1" applyNumberFormat="1" applyFont="1" applyFill="1" applyBorder="1" applyAlignment="1">
      <alignment horizontal="center" vertical="center"/>
    </xf>
    <xf numFmtId="0" fontId="0" fillId="5" borderId="2" xfId="0" applyFill="1" applyBorder="1" applyAlignment="1">
      <alignment horizontal="left" vertical="center"/>
    </xf>
    <xf numFmtId="1" fontId="1" fillId="5" borderId="0" xfId="1" applyNumberFormat="1" applyFont="1" applyFill="1" applyBorder="1" applyAlignment="1">
      <alignment horizontal="center" vertical="center"/>
    </xf>
    <xf numFmtId="1" fontId="0" fillId="5" borderId="2" xfId="0" applyNumberFormat="1" applyFill="1" applyBorder="1" applyAlignment="1">
      <alignment horizontal="center" vertical="center" wrapText="1"/>
    </xf>
    <xf numFmtId="0" fontId="0" fillId="5" borderId="2" xfId="0" applyFill="1" applyBorder="1" applyAlignment="1">
      <alignment horizontal="center" vertical="center" wrapText="1"/>
    </xf>
    <xf numFmtId="166" fontId="0" fillId="5" borderId="2" xfId="1" applyNumberFormat="1" applyFont="1" applyFill="1" applyBorder="1" applyAlignment="1">
      <alignment horizontal="center" vertical="center"/>
    </xf>
    <xf numFmtId="0" fontId="0" fillId="2" borderId="2" xfId="0" applyFill="1" applyBorder="1"/>
    <xf numFmtId="165" fontId="0" fillId="5" borderId="0" xfId="0" applyNumberFormat="1" applyFill="1" applyAlignment="1">
      <alignment horizontal="left" vertical="center" wrapText="1"/>
    </xf>
    <xf numFmtId="166" fontId="0" fillId="5" borderId="0" xfId="1" applyNumberFormat="1" applyFont="1" applyFill="1" applyBorder="1" applyAlignment="1">
      <alignment horizontal="center" vertical="center"/>
    </xf>
    <xf numFmtId="165" fontId="0" fillId="5" borderId="1" xfId="0" applyNumberFormat="1" applyFill="1" applyBorder="1" applyAlignment="1">
      <alignment horizontal="left" vertical="center" wrapText="1"/>
    </xf>
    <xf numFmtId="0" fontId="8" fillId="5" borderId="2" xfId="0" applyFont="1" applyFill="1" applyBorder="1" applyAlignment="1">
      <alignment horizontal="left" vertical="center" wrapText="1"/>
    </xf>
    <xf numFmtId="2" fontId="0" fillId="5" borderId="1" xfId="0" applyNumberFormat="1" applyFill="1" applyBorder="1" applyAlignment="1">
      <alignment horizontal="center" vertical="center"/>
    </xf>
    <xf numFmtId="166" fontId="8" fillId="5" borderId="2" xfId="1" applyNumberFormat="1" applyFont="1" applyFill="1" applyBorder="1" applyAlignment="1">
      <alignment horizontal="center" vertical="center"/>
    </xf>
    <xf numFmtId="166" fontId="8" fillId="5" borderId="2" xfId="0" applyNumberFormat="1" applyFont="1" applyFill="1" applyBorder="1" applyAlignment="1">
      <alignment horizontal="center" vertical="center"/>
    </xf>
    <xf numFmtId="166" fontId="1" fillId="5" borderId="2" xfId="1" applyNumberFormat="1" applyFill="1" applyBorder="1" applyAlignment="1">
      <alignment horizontal="center" vertical="center"/>
    </xf>
    <xf numFmtId="1" fontId="1" fillId="5" borderId="0" xfId="1" applyNumberFormat="1" applyFill="1" applyAlignment="1">
      <alignment horizontal="center" vertical="center"/>
    </xf>
    <xf numFmtId="166" fontId="0" fillId="5" borderId="0" xfId="0" applyNumberFormat="1" applyFill="1" applyAlignment="1">
      <alignment vertical="center"/>
    </xf>
    <xf numFmtId="165" fontId="1" fillId="5" borderId="1" xfId="1" applyNumberFormat="1" applyFill="1" applyBorder="1" applyAlignment="1">
      <alignment horizontal="center" vertical="center"/>
    </xf>
    <xf numFmtId="167" fontId="0" fillId="5" borderId="0" xfId="0" applyNumberFormat="1" applyFill="1" applyAlignment="1">
      <alignment vertical="center"/>
    </xf>
    <xf numFmtId="166" fontId="8" fillId="5" borderId="2" xfId="1" applyNumberFormat="1" applyFont="1" applyFill="1" applyBorder="1" applyAlignment="1">
      <alignment horizontal="left" vertical="center"/>
    </xf>
    <xf numFmtId="37" fontId="8" fillId="5" borderId="2" xfId="0" applyNumberFormat="1" applyFont="1" applyFill="1" applyBorder="1" applyAlignment="1">
      <alignment horizontal="center" vertical="center"/>
    </xf>
    <xf numFmtId="3" fontId="8" fillId="5" borderId="2" xfId="0" applyNumberFormat="1" applyFont="1" applyFill="1" applyBorder="1" applyAlignment="1">
      <alignment horizontal="center" vertical="center"/>
    </xf>
    <xf numFmtId="165" fontId="8" fillId="5" borderId="0" xfId="0" applyNumberFormat="1" applyFont="1" applyFill="1" applyAlignment="1">
      <alignment horizontal="center" vertical="center"/>
    </xf>
    <xf numFmtId="1" fontId="1" fillId="5" borderId="0" xfId="0" applyNumberFormat="1" applyFont="1" applyFill="1" applyAlignment="1">
      <alignment horizontal="center" vertical="center"/>
    </xf>
    <xf numFmtId="165" fontId="1" fillId="5" borderId="1" xfId="0" applyNumberFormat="1" applyFont="1" applyFill="1" applyBorder="1" applyAlignment="1">
      <alignment horizontal="center" vertical="center"/>
    </xf>
    <xf numFmtId="167" fontId="0" fillId="5" borderId="1" xfId="0" applyNumberFormat="1" applyFill="1" applyBorder="1" applyAlignment="1">
      <alignment vertical="center"/>
    </xf>
    <xf numFmtId="0" fontId="0" fillId="2" borderId="2" xfId="0" applyFill="1" applyBorder="1" applyAlignment="1">
      <alignment horizontal="left" vertical="center" wrapText="1"/>
    </xf>
    <xf numFmtId="165" fontId="0" fillId="5" borderId="2" xfId="0" applyNumberFormat="1" applyFill="1" applyBorder="1" applyAlignment="1">
      <alignment horizontal="center" vertical="center" wrapText="1"/>
    </xf>
    <xf numFmtId="1" fontId="0" fillId="5" borderId="2" xfId="0" applyNumberFormat="1" applyFill="1" applyBorder="1" applyAlignment="1">
      <alignment horizontal="left" vertical="center" wrapText="1"/>
    </xf>
    <xf numFmtId="165" fontId="1" fillId="5" borderId="2" xfId="1" applyNumberFormat="1" applyFont="1" applyFill="1" applyBorder="1" applyAlignment="1">
      <alignment horizontal="center" vertical="center" wrapText="1"/>
    </xf>
    <xf numFmtId="165" fontId="0" fillId="5" borderId="0" xfId="0" applyNumberFormat="1" applyFill="1" applyAlignment="1">
      <alignment horizontal="center" vertical="center" wrapText="1"/>
    </xf>
    <xf numFmtId="1" fontId="0" fillId="5" borderId="0" xfId="0" applyNumberFormat="1" applyFill="1" applyAlignment="1">
      <alignment horizontal="left" vertical="center" wrapText="1"/>
    </xf>
    <xf numFmtId="165" fontId="1" fillId="5" borderId="0" xfId="0" applyNumberFormat="1" applyFont="1" applyFill="1" applyAlignment="1">
      <alignment horizontal="center" vertical="center"/>
    </xf>
    <xf numFmtId="165" fontId="0" fillId="5" borderId="1" xfId="0" applyNumberFormat="1" applyFill="1" applyBorder="1" applyAlignment="1">
      <alignment horizontal="center" vertical="center" wrapText="1"/>
    </xf>
    <xf numFmtId="0" fontId="2" fillId="5" borderId="2" xfId="0" applyFont="1" applyFill="1" applyBorder="1" applyAlignment="1">
      <alignment horizontal="left" vertical="center" wrapText="1"/>
    </xf>
    <xf numFmtId="1" fontId="8" fillId="5" borderId="2" xfId="1" applyNumberFormat="1" applyFont="1" applyFill="1" applyBorder="1" applyAlignment="1">
      <alignment horizontal="center" vertical="center"/>
    </xf>
    <xf numFmtId="0" fontId="0" fillId="5" borderId="0" xfId="0" applyFill="1" applyAlignment="1">
      <alignment horizontal="center" vertical="center" wrapText="1"/>
    </xf>
    <xf numFmtId="165" fontId="0" fillId="5" borderId="1" xfId="1" applyNumberFormat="1" applyFont="1" applyFill="1" applyBorder="1" applyAlignment="1">
      <alignment horizontal="center" vertical="center"/>
    </xf>
    <xf numFmtId="0" fontId="0" fillId="5" borderId="0" xfId="0" applyFill="1" applyAlignment="1">
      <alignment horizontal="left" vertical="center"/>
    </xf>
    <xf numFmtId="1" fontId="0" fillId="5" borderId="2" xfId="1" applyNumberFormat="1" applyFont="1" applyFill="1" applyBorder="1" applyAlignment="1">
      <alignment horizontal="center" vertical="center"/>
    </xf>
    <xf numFmtId="166" fontId="0" fillId="5" borderId="2" xfId="1" applyNumberFormat="1" applyFont="1" applyFill="1" applyBorder="1" applyAlignment="1">
      <alignment horizontal="center" vertical="center" wrapText="1"/>
    </xf>
    <xf numFmtId="1" fontId="1" fillId="5" borderId="2" xfId="1" applyNumberFormat="1" applyFont="1" applyFill="1" applyBorder="1" applyAlignment="1">
      <alignment horizontal="center" vertical="center" wrapText="1"/>
    </xf>
    <xf numFmtId="0" fontId="8" fillId="5" borderId="2" xfId="0" applyFont="1" applyFill="1" applyBorder="1" applyAlignment="1">
      <alignment horizontal="center" vertical="center" wrapText="1"/>
    </xf>
    <xf numFmtId="166" fontId="8" fillId="5" borderId="2" xfId="1" applyNumberFormat="1" applyFont="1" applyFill="1" applyBorder="1" applyAlignment="1">
      <alignment horizontal="center" vertical="center" wrapText="1"/>
    </xf>
    <xf numFmtId="3" fontId="0" fillId="5" borderId="2" xfId="0" applyNumberFormat="1" applyFill="1" applyBorder="1" applyAlignment="1">
      <alignment horizontal="center" vertical="center" wrapText="1"/>
    </xf>
    <xf numFmtId="166" fontId="8" fillId="5" borderId="2" xfId="0" applyNumberFormat="1" applyFont="1" applyFill="1" applyBorder="1" applyAlignment="1">
      <alignment horizontal="center" vertical="center" wrapText="1"/>
    </xf>
    <xf numFmtId="166" fontId="1" fillId="5" borderId="2" xfId="1" applyNumberFormat="1" applyFont="1" applyFill="1" applyBorder="1" applyAlignment="1">
      <alignment horizontal="center" vertical="center" wrapText="1"/>
    </xf>
    <xf numFmtId="3" fontId="2" fillId="5" borderId="2" xfId="0" applyNumberFormat="1" applyFont="1" applyFill="1" applyBorder="1" applyAlignment="1">
      <alignment horizontal="left" vertical="center" wrapText="1"/>
    </xf>
    <xf numFmtId="165" fontId="2" fillId="5" borderId="0" xfId="0" applyNumberFormat="1" applyFont="1" applyFill="1" applyAlignment="1">
      <alignment horizontal="left" vertical="center" wrapText="1"/>
    </xf>
    <xf numFmtId="0" fontId="2" fillId="5" borderId="0" xfId="0" applyFont="1" applyFill="1" applyAlignment="1">
      <alignment horizontal="left" vertical="center" wrapText="1"/>
    </xf>
    <xf numFmtId="165" fontId="2" fillId="5" borderId="1" xfId="0" applyNumberFormat="1" applyFont="1" applyFill="1" applyBorder="1" applyAlignment="1">
      <alignment horizontal="left" vertical="center" wrapText="1"/>
    </xf>
    <xf numFmtId="0" fontId="0" fillId="0" borderId="0" xfId="0" applyAlignment="1">
      <alignment vertical="center" wrapText="1"/>
    </xf>
    <xf numFmtId="165" fontId="8" fillId="5" borderId="0" xfId="0" applyNumberFormat="1" applyFont="1" applyFill="1" applyAlignment="1">
      <alignment horizontal="center" vertical="center" wrapText="1"/>
    </xf>
    <xf numFmtId="165" fontId="0" fillId="5" borderId="0" xfId="0" applyNumberFormat="1" applyFill="1" applyAlignment="1">
      <alignment vertical="center" wrapText="1"/>
    </xf>
    <xf numFmtId="165" fontId="8" fillId="5" borderId="2" xfId="0" applyNumberFormat="1" applyFont="1" applyFill="1" applyBorder="1" applyAlignment="1">
      <alignment horizontal="center" vertical="center" wrapText="1"/>
    </xf>
    <xf numFmtId="165" fontId="8" fillId="5" borderId="1" xfId="0" applyNumberFormat="1" applyFont="1" applyFill="1" applyBorder="1" applyAlignment="1">
      <alignment horizontal="center" vertical="center" wrapText="1"/>
    </xf>
    <xf numFmtId="1" fontId="10" fillId="5" borderId="2" xfId="0" applyNumberFormat="1" applyFont="1" applyFill="1" applyBorder="1" applyAlignment="1">
      <alignment horizontal="center" vertical="center" wrapText="1"/>
    </xf>
    <xf numFmtId="1" fontId="10" fillId="5" borderId="2" xfId="1" applyNumberFormat="1" applyFont="1" applyFill="1" applyBorder="1" applyAlignment="1">
      <alignment horizontal="center" vertical="center" wrapText="1"/>
    </xf>
    <xf numFmtId="165" fontId="1" fillId="5" borderId="0" xfId="1" applyNumberFormat="1" applyFont="1" applyFill="1" applyBorder="1" applyAlignment="1">
      <alignment horizontal="center" vertical="center" wrapText="1"/>
    </xf>
    <xf numFmtId="165" fontId="8" fillId="5" borderId="2" xfId="0" applyNumberFormat="1" applyFont="1" applyFill="1" applyBorder="1" applyAlignment="1">
      <alignment horizontal="center" vertical="center"/>
    </xf>
    <xf numFmtId="1" fontId="8" fillId="5" borderId="2" xfId="0" applyNumberFormat="1" applyFont="1" applyFill="1" applyBorder="1" applyAlignment="1">
      <alignment horizontal="center" vertical="center"/>
    </xf>
    <xf numFmtId="0" fontId="0" fillId="5" borderId="2" xfId="0" applyFill="1" applyBorder="1" applyAlignment="1">
      <alignment vertical="center" wrapText="1"/>
    </xf>
    <xf numFmtId="0" fontId="8" fillId="5" borderId="0" xfId="0" applyFont="1" applyFill="1" applyAlignment="1">
      <alignment horizontal="center" vertical="center" wrapText="1"/>
    </xf>
    <xf numFmtId="0" fontId="0" fillId="5" borderId="0" xfId="0" applyFill="1" applyAlignment="1">
      <alignment horizontal="left" wrapText="1"/>
    </xf>
    <xf numFmtId="165" fontId="8" fillId="5" borderId="0" xfId="1" applyNumberFormat="1" applyFont="1" applyFill="1" applyBorder="1" applyAlignment="1">
      <alignment horizontal="center" vertical="center"/>
    </xf>
    <xf numFmtId="1" fontId="0" fillId="5" borderId="1" xfId="0" applyNumberFormat="1" applyFill="1" applyBorder="1" applyAlignment="1">
      <alignment horizontal="center" vertical="center"/>
    </xf>
    <xf numFmtId="0" fontId="0" fillId="2" borderId="0" xfId="0" applyFill="1" applyAlignment="1">
      <alignment horizontal="center" vertical="center"/>
    </xf>
    <xf numFmtId="0" fontId="0" fillId="5" borderId="1" xfId="0" applyFill="1" applyBorder="1" applyAlignment="1">
      <alignment horizontal="left" vertical="center"/>
    </xf>
    <xf numFmtId="166" fontId="1" fillId="5" borderId="2" xfId="1" applyNumberFormat="1" applyFont="1" applyFill="1" applyBorder="1" applyAlignment="1">
      <alignment horizontal="left" vertical="center" wrapText="1"/>
    </xf>
    <xf numFmtId="165" fontId="0" fillId="5" borderId="2" xfId="0" applyNumberFormat="1" applyFill="1" applyBorder="1" applyAlignment="1">
      <alignment vertical="center" wrapText="1"/>
    </xf>
    <xf numFmtId="165" fontId="0" fillId="5" borderId="0" xfId="1" applyNumberFormat="1" applyFont="1" applyFill="1" applyBorder="1" applyAlignment="1">
      <alignment horizontal="center" vertical="center" wrapText="1"/>
    </xf>
    <xf numFmtId="0" fontId="0" fillId="5" borderId="3" xfId="0" applyFill="1" applyBorder="1" applyAlignment="1">
      <alignment horizontal="left" vertical="center" textRotation="90"/>
    </xf>
    <xf numFmtId="1" fontId="0" fillId="5" borderId="2" xfId="1" applyNumberFormat="1" applyFont="1" applyFill="1" applyBorder="1" applyAlignment="1">
      <alignment horizontal="center" vertical="center" wrapText="1"/>
    </xf>
    <xf numFmtId="0" fontId="1" fillId="0" borderId="0" xfId="0" applyFont="1" applyAlignment="1">
      <alignment vertical="center"/>
    </xf>
    <xf numFmtId="1" fontId="8" fillId="5" borderId="2" xfId="0" applyNumberFormat="1" applyFont="1" applyFill="1" applyBorder="1" applyAlignment="1">
      <alignment horizontal="center" vertical="center" wrapText="1"/>
    </xf>
    <xf numFmtId="165" fontId="0" fillId="5" borderId="2" xfId="1" applyNumberFormat="1" applyFont="1" applyFill="1" applyBorder="1" applyAlignment="1">
      <alignment horizontal="center" vertical="center" wrapText="1"/>
    </xf>
    <xf numFmtId="0" fontId="0" fillId="5" borderId="0" xfId="0" applyFill="1" applyAlignment="1">
      <alignment vertical="center" wrapText="1"/>
    </xf>
    <xf numFmtId="0" fontId="0" fillId="5" borderId="1" xfId="0" applyFill="1" applyBorder="1" applyAlignment="1">
      <alignment horizontal="center" vertical="center" wrapText="1"/>
    </xf>
    <xf numFmtId="165" fontId="8" fillId="5" borderId="0" xfId="1" applyNumberFormat="1" applyFont="1" applyFill="1" applyAlignment="1">
      <alignment horizontal="center" vertical="center"/>
    </xf>
    <xf numFmtId="0" fontId="0" fillId="2" borderId="2" xfId="0" applyFill="1" applyBorder="1" applyAlignment="1">
      <alignment horizontal="left" vertical="center" textRotation="90"/>
    </xf>
    <xf numFmtId="165" fontId="8" fillId="5" borderId="2" xfId="1" applyNumberFormat="1" applyFont="1" applyFill="1" applyBorder="1" applyAlignment="1">
      <alignment horizontal="center" vertical="center" wrapText="1"/>
    </xf>
    <xf numFmtId="165" fontId="8" fillId="5" borderId="1" xfId="1" applyNumberFormat="1" applyFont="1" applyFill="1" applyBorder="1" applyAlignment="1">
      <alignment horizontal="center" vertical="center"/>
    </xf>
    <xf numFmtId="1" fontId="0" fillId="5" borderId="0" xfId="0" applyNumberFormat="1" applyFill="1" applyAlignment="1">
      <alignment horizontal="right" vertical="center"/>
    </xf>
    <xf numFmtId="165" fontId="0" fillId="5" borderId="0" xfId="0" applyNumberFormat="1" applyFill="1" applyAlignment="1">
      <alignment horizontal="right" vertical="center"/>
    </xf>
    <xf numFmtId="1" fontId="0" fillId="5" borderId="2" xfId="0" applyNumberFormat="1" applyFill="1" applyBorder="1" applyAlignment="1">
      <alignment horizontal="right" vertical="center"/>
    </xf>
    <xf numFmtId="167" fontId="0" fillId="5" borderId="0" xfId="0" applyNumberFormat="1" applyFill="1" applyAlignment="1">
      <alignment horizontal="left" vertical="center"/>
    </xf>
    <xf numFmtId="167" fontId="0" fillId="5" borderId="1" xfId="0" applyNumberFormat="1" applyFill="1" applyBorder="1" applyAlignment="1">
      <alignment horizontal="left" vertical="center"/>
    </xf>
    <xf numFmtId="167" fontId="0" fillId="5" borderId="2" xfId="0" applyNumberFormat="1" applyFill="1" applyBorder="1" applyAlignment="1">
      <alignment horizontal="left" vertical="center"/>
    </xf>
    <xf numFmtId="0" fontId="2" fillId="5" borderId="1" xfId="0" applyFont="1" applyFill="1" applyBorder="1" applyAlignment="1">
      <alignment horizontal="left" vertical="center" wrapText="1"/>
    </xf>
    <xf numFmtId="165" fontId="0" fillId="2" borderId="0" xfId="0" applyNumberFormat="1" applyFill="1" applyAlignment="1">
      <alignment horizontal="center" vertical="center"/>
    </xf>
    <xf numFmtId="165" fontId="1" fillId="2" borderId="0" xfId="1" applyNumberFormat="1" applyFont="1" applyFill="1" applyBorder="1" applyAlignment="1">
      <alignment horizontal="center" vertical="center"/>
    </xf>
    <xf numFmtId="0" fontId="0" fillId="0" borderId="0" xfId="0" applyAlignment="1">
      <alignment horizontal="center" vertical="center"/>
    </xf>
    <xf numFmtId="0" fontId="22" fillId="2" borderId="0" xfId="2" applyFont="1" applyFill="1"/>
    <xf numFmtId="0" fontId="23" fillId="2" borderId="0" xfId="2" applyFont="1" applyFill="1"/>
    <xf numFmtId="0" fontId="26" fillId="2" borderId="2" xfId="0" applyFont="1" applyFill="1" applyBorder="1"/>
    <xf numFmtId="0" fontId="27" fillId="0" borderId="0" xfId="0" applyFont="1"/>
    <xf numFmtId="0" fontId="26" fillId="2" borderId="0" xfId="0" applyFont="1" applyFill="1" applyAlignment="1">
      <alignment horizontal="center"/>
    </xf>
    <xf numFmtId="0" fontId="28" fillId="2" borderId="0" xfId="0" applyFont="1" applyFill="1"/>
    <xf numFmtId="0" fontId="28" fillId="2" borderId="1" xfId="0" applyFont="1" applyFill="1" applyBorder="1"/>
    <xf numFmtId="0" fontId="28" fillId="2" borderId="0" xfId="0" applyFont="1" applyFill="1" applyAlignment="1">
      <alignment wrapText="1"/>
    </xf>
    <xf numFmtId="0" fontId="26" fillId="2" borderId="1" xfId="0" applyFont="1" applyFill="1" applyBorder="1"/>
    <xf numFmtId="165" fontId="26" fillId="2" borderId="1" xfId="0" applyNumberFormat="1"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2" borderId="1" xfId="0" applyFont="1" applyFill="1" applyBorder="1" applyAlignment="1">
      <alignment horizontal="left" vertical="center"/>
    </xf>
    <xf numFmtId="0" fontId="26" fillId="2" borderId="1" xfId="0" applyFont="1" applyFill="1" applyBorder="1" applyAlignment="1">
      <alignment vertical="center" wrapText="1"/>
    </xf>
    <xf numFmtId="0" fontId="26" fillId="2" borderId="1" xfId="0" applyFont="1" applyFill="1" applyBorder="1" applyAlignment="1">
      <alignment horizontal="left" vertical="center" wrapText="1"/>
    </xf>
    <xf numFmtId="0" fontId="26" fillId="2" borderId="0" xfId="0" applyFont="1" applyFill="1" applyAlignment="1">
      <alignment horizontal="left" vertical="center"/>
    </xf>
    <xf numFmtId="0" fontId="26" fillId="2" borderId="4" xfId="0" applyFont="1" applyFill="1" applyBorder="1" applyAlignment="1">
      <alignment horizontal="left" vertical="center"/>
    </xf>
    <xf numFmtId="0" fontId="29" fillId="2" borderId="0" xfId="0" applyFont="1" applyFill="1"/>
    <xf numFmtId="0" fontId="27" fillId="2" borderId="0" xfId="0" applyFont="1" applyFill="1"/>
    <xf numFmtId="0" fontId="27" fillId="2" borderId="0" xfId="0" applyFont="1" applyFill="1" applyAlignment="1">
      <alignment horizontal="left" indent="1"/>
    </xf>
    <xf numFmtId="1" fontId="29" fillId="0" borderId="0" xfId="1" applyNumberFormat="1" applyFont="1" applyFill="1" applyAlignment="1">
      <alignment horizontal="right"/>
    </xf>
    <xf numFmtId="1" fontId="27" fillId="0" borderId="0" xfId="1" applyNumberFormat="1" applyFont="1" applyFill="1" applyAlignment="1"/>
    <xf numFmtId="1" fontId="29" fillId="0" borderId="0" xfId="1" applyNumberFormat="1" applyFont="1" applyFill="1" applyAlignment="1"/>
    <xf numFmtId="165" fontId="29" fillId="0" borderId="0" xfId="1" applyNumberFormat="1" applyFont="1" applyFill="1" applyAlignment="1"/>
    <xf numFmtId="165" fontId="27" fillId="0" borderId="0" xfId="1" applyNumberFormat="1" applyFont="1" applyFill="1" applyAlignment="1"/>
    <xf numFmtId="166" fontId="27" fillId="0" borderId="0" xfId="1" applyNumberFormat="1" applyFont="1" applyFill="1" applyAlignment="1"/>
    <xf numFmtId="167" fontId="27" fillId="0" borderId="0" xfId="1" applyNumberFormat="1" applyFont="1" applyFill="1" applyAlignment="1"/>
    <xf numFmtId="0" fontId="0" fillId="0" borderId="0" xfId="0" applyAlignment="1">
      <alignment horizontal="left" indent="1"/>
    </xf>
    <xf numFmtId="165" fontId="29" fillId="0" borderId="0" xfId="1" applyNumberFormat="1" applyFont="1" applyFill="1" applyAlignment="1">
      <alignment horizontal="right"/>
    </xf>
    <xf numFmtId="0" fontId="0" fillId="2" borderId="0" xfId="0" applyFill="1" applyAlignment="1">
      <alignment horizontal="left" indent="1"/>
    </xf>
    <xf numFmtId="0" fontId="0" fillId="6" borderId="0" xfId="0" applyFill="1" applyAlignment="1">
      <alignment horizontal="left" indent="1"/>
    </xf>
    <xf numFmtId="0" fontId="0" fillId="6" borderId="0" xfId="0" applyFill="1"/>
    <xf numFmtId="166" fontId="29" fillId="0" borderId="0" xfId="1" applyNumberFormat="1" applyFont="1" applyFill="1" applyAlignment="1"/>
    <xf numFmtId="0" fontId="29" fillId="2" borderId="0" xfId="0" applyFont="1" applyFill="1" applyAlignment="1">
      <alignment horizontal="left" indent="1"/>
    </xf>
    <xf numFmtId="166" fontId="29" fillId="0" borderId="0" xfId="1" applyNumberFormat="1" applyFont="1" applyFill="1" applyAlignment="1">
      <alignment horizontal="right"/>
    </xf>
    <xf numFmtId="0" fontId="0" fillId="0" borderId="1" xfId="0" applyBorder="1"/>
    <xf numFmtId="0" fontId="27" fillId="2" borderId="1" xfId="0" applyFont="1" applyFill="1" applyBorder="1"/>
    <xf numFmtId="0" fontId="27" fillId="2" borderId="0" xfId="0" applyFont="1" applyFill="1" applyAlignment="1">
      <alignment horizontal="left"/>
    </xf>
    <xf numFmtId="166" fontId="0" fillId="2" borderId="0" xfId="0" applyNumberFormat="1" applyFill="1"/>
    <xf numFmtId="0" fontId="0" fillId="2" borderId="5" xfId="0" applyFill="1" applyBorder="1"/>
    <xf numFmtId="165" fontId="0" fillId="2" borderId="0" xfId="0" applyNumberFormat="1" applyFill="1"/>
    <xf numFmtId="0" fontId="0" fillId="2" borderId="6" xfId="0" applyFill="1" applyBorder="1"/>
    <xf numFmtId="0" fontId="21" fillId="2" borderId="2" xfId="2" applyFill="1" applyBorder="1"/>
    <xf numFmtId="0" fontId="21" fillId="2" borderId="7" xfId="2" applyFill="1" applyBorder="1"/>
    <xf numFmtId="0" fontId="0" fillId="2" borderId="8" xfId="0" applyFill="1" applyBorder="1"/>
    <xf numFmtId="2" fontId="0" fillId="2" borderId="0" xfId="0" applyNumberFormat="1" applyFill="1"/>
    <xf numFmtId="0" fontId="0" fillId="2" borderId="0" xfId="0" quotePrefix="1" applyFill="1"/>
    <xf numFmtId="0" fontId="0" fillId="2" borderId="9" xfId="0" applyFill="1" applyBorder="1"/>
    <xf numFmtId="165" fontId="0" fillId="2" borderId="1" xfId="0" applyNumberFormat="1" applyFill="1" applyBorder="1"/>
    <xf numFmtId="0" fontId="0" fillId="2" borderId="10" xfId="0" applyFill="1" applyBorder="1"/>
    <xf numFmtId="0" fontId="21" fillId="2" borderId="0" xfId="2" applyFill="1"/>
    <xf numFmtId="0" fontId="8" fillId="2" borderId="0" xfId="0" applyFont="1" applyFill="1"/>
    <xf numFmtId="0" fontId="21" fillId="2" borderId="8" xfId="2" applyFill="1" applyBorder="1"/>
    <xf numFmtId="0" fontId="3" fillId="0" borderId="0" xfId="0" applyFont="1"/>
    <xf numFmtId="0" fontId="8" fillId="2" borderId="6" xfId="0" applyFont="1" applyFill="1" applyBorder="1"/>
    <xf numFmtId="0" fontId="8" fillId="2" borderId="2" xfId="0" applyFont="1" applyFill="1" applyBorder="1"/>
    <xf numFmtId="0" fontId="8" fillId="2" borderId="5" xfId="0" applyFont="1" applyFill="1" applyBorder="1"/>
    <xf numFmtId="165" fontId="8" fillId="2" borderId="0" xfId="0" applyNumberFormat="1" applyFont="1" applyFill="1"/>
    <xf numFmtId="0" fontId="8" fillId="2" borderId="8" xfId="0" applyFont="1" applyFill="1" applyBorder="1"/>
    <xf numFmtId="1" fontId="8" fillId="2" borderId="0" xfId="0" applyNumberFormat="1" applyFont="1" applyFill="1"/>
    <xf numFmtId="1" fontId="8" fillId="2" borderId="8" xfId="0" applyNumberFormat="1" applyFont="1" applyFill="1" applyBorder="1"/>
    <xf numFmtId="0" fontId="8" fillId="2" borderId="9" xfId="0" applyFont="1" applyFill="1" applyBorder="1"/>
    <xf numFmtId="0" fontId="8" fillId="2" borderId="1" xfId="0" applyFont="1" applyFill="1" applyBorder="1"/>
    <xf numFmtId="165" fontId="8" fillId="2" borderId="1" xfId="0" applyNumberFormat="1" applyFont="1" applyFill="1" applyBorder="1"/>
    <xf numFmtId="0" fontId="8" fillId="2" borderId="10" xfId="0" applyFont="1" applyFill="1" applyBorder="1"/>
    <xf numFmtId="0" fontId="7" fillId="2" borderId="0" xfId="0" applyFont="1" applyFill="1"/>
    <xf numFmtId="0" fontId="0" fillId="2" borderId="0" xfId="0" applyFill="1" applyAlignment="1">
      <alignment horizontal="left"/>
    </xf>
    <xf numFmtId="1" fontId="0" fillId="0" borderId="0" xfId="0" applyNumberFormat="1"/>
    <xf numFmtId="165" fontId="0" fillId="0" borderId="0" xfId="0" applyNumberFormat="1"/>
    <xf numFmtId="0" fontId="0" fillId="0" borderId="8" xfId="0" applyBorder="1"/>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1" xfId="0" applyFill="1" applyBorder="1" applyAlignment="1">
      <alignment horizontal="left" vertical="center" wrapText="1"/>
    </xf>
    <xf numFmtId="0" fontId="0" fillId="2" borderId="0" xfId="0" applyFill="1" applyAlignment="1">
      <alignment horizontal="left" vertical="center" wrapText="1"/>
    </xf>
    <xf numFmtId="0" fontId="7" fillId="5" borderId="2" xfId="0" applyFont="1" applyFill="1" applyBorder="1" applyAlignment="1">
      <alignment horizontal="left" vertical="center" wrapText="1"/>
    </xf>
    <xf numFmtId="0" fontId="2" fillId="5" borderId="0" xfId="0" applyFont="1" applyFill="1" applyAlignment="1">
      <alignment horizontal="left" vertical="center" wrapText="1"/>
    </xf>
    <xf numFmtId="0" fontId="2" fillId="5" borderId="1" xfId="0" applyFont="1" applyFill="1" applyBorder="1" applyAlignment="1">
      <alignment horizontal="left" vertical="center" wrapText="1"/>
    </xf>
    <xf numFmtId="0" fontId="0" fillId="2" borderId="0" xfId="0" applyFill="1" applyAlignment="1">
      <alignment horizontal="center" vertical="center"/>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1" xfId="0" applyFill="1" applyBorder="1" applyAlignment="1">
      <alignment horizontal="center" vertical="center" textRotation="90"/>
    </xf>
    <xf numFmtId="0" fontId="0" fillId="5" borderId="2" xfId="0" applyFill="1" applyBorder="1" applyAlignment="1">
      <alignment horizontal="center" vertical="center" textRotation="90"/>
    </xf>
    <xf numFmtId="0" fontId="0" fillId="5" borderId="0" xfId="0" applyFill="1" applyAlignment="1">
      <alignment horizontal="center" vertical="center" textRotation="90"/>
    </xf>
    <xf numFmtId="0" fontId="0" fillId="5" borderId="1" xfId="0" applyFill="1" applyBorder="1" applyAlignment="1">
      <alignment horizontal="center" vertical="center" textRotation="90"/>
    </xf>
    <xf numFmtId="0" fontId="8" fillId="5" borderId="2" xfId="0" applyFont="1" applyFill="1" applyBorder="1" applyAlignment="1">
      <alignment horizontal="left" vertical="center" wrapText="1"/>
    </xf>
    <xf numFmtId="0" fontId="8" fillId="5" borderId="0" xfId="0" applyFont="1" applyFill="1" applyAlignment="1">
      <alignment horizontal="left" vertical="center" wrapText="1"/>
    </xf>
    <xf numFmtId="0" fontId="8" fillId="5" borderId="1" xfId="0" applyFont="1" applyFill="1" applyBorder="1" applyAlignment="1">
      <alignment horizontal="left" vertical="center" wrapText="1"/>
    </xf>
    <xf numFmtId="0" fontId="0" fillId="5" borderId="2" xfId="0" applyFill="1" applyBorder="1" applyAlignment="1">
      <alignment vertical="center" wrapText="1"/>
    </xf>
    <xf numFmtId="0" fontId="0" fillId="5" borderId="0" xfId="0" applyFill="1" applyAlignment="1">
      <alignment vertical="center" wrapText="1"/>
    </xf>
    <xf numFmtId="0" fontId="0" fillId="5" borderId="1" xfId="0" applyFill="1" applyBorder="1" applyAlignment="1">
      <alignment vertical="center" wrapText="1"/>
    </xf>
    <xf numFmtId="1" fontId="18" fillId="5" borderId="2" xfId="0" applyNumberFormat="1" applyFont="1" applyFill="1" applyBorder="1" applyAlignment="1">
      <alignment horizontal="left" vertical="center" wrapText="1"/>
    </xf>
    <xf numFmtId="1" fontId="8" fillId="5" borderId="0" xfId="0" applyNumberFormat="1" applyFont="1" applyFill="1" applyAlignment="1">
      <alignment horizontal="left" vertical="center" wrapText="1"/>
    </xf>
    <xf numFmtId="1" fontId="8" fillId="5" borderId="1" xfId="0" applyNumberFormat="1" applyFont="1" applyFill="1" applyBorder="1" applyAlignment="1">
      <alignment horizontal="left" vertical="center" wrapText="1"/>
    </xf>
    <xf numFmtId="0" fontId="14" fillId="5" borderId="2"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8" fillId="5" borderId="2"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1" xfId="0" applyFont="1" applyFill="1" applyBorder="1" applyAlignment="1">
      <alignment horizontal="center" vertical="center" wrapText="1"/>
    </xf>
    <xf numFmtId="0" fontId="7" fillId="5" borderId="0" xfId="0" applyFont="1" applyFill="1" applyAlignment="1">
      <alignment horizontal="left" vertical="center" wrapText="1"/>
    </xf>
    <xf numFmtId="0" fontId="7" fillId="5" borderId="1" xfId="0" applyFont="1" applyFill="1" applyBorder="1" applyAlignment="1">
      <alignment horizontal="left" vertical="center" wrapText="1"/>
    </xf>
    <xf numFmtId="0" fontId="3" fillId="5" borderId="2" xfId="0" applyFont="1" applyFill="1" applyBorder="1" applyAlignment="1">
      <alignment horizontal="left" vertical="center" wrapText="1"/>
    </xf>
    <xf numFmtId="0" fontId="11" fillId="5" borderId="0" xfId="0" applyFont="1" applyFill="1" applyAlignment="1">
      <alignment horizontal="left" vertical="center" wrapText="1"/>
    </xf>
    <xf numFmtId="0" fontId="11" fillId="5" borderId="1" xfId="0" applyFont="1" applyFill="1" applyBorder="1" applyAlignment="1">
      <alignment horizontal="left" vertical="center" wrapText="1"/>
    </xf>
    <xf numFmtId="0" fontId="8" fillId="5" borderId="2" xfId="0" applyFont="1" applyFill="1" applyBorder="1" applyAlignment="1">
      <alignment vertical="center" wrapText="1"/>
    </xf>
    <xf numFmtId="0" fontId="8" fillId="5" borderId="0" xfId="0" applyFont="1" applyFill="1" applyAlignment="1">
      <alignment vertical="center" wrapText="1"/>
    </xf>
    <xf numFmtId="0" fontId="8" fillId="5" borderId="1" xfId="0" applyFont="1" applyFill="1" applyBorder="1" applyAlignment="1">
      <alignment vertical="center" wrapText="1"/>
    </xf>
    <xf numFmtId="0" fontId="2" fillId="5" borderId="2" xfId="0" applyFont="1" applyFill="1" applyBorder="1" applyAlignment="1">
      <alignment horizontal="left" vertical="center" wrapText="1"/>
    </xf>
    <xf numFmtId="0" fontId="0" fillId="5" borderId="0" xfId="0" applyFill="1" applyAlignment="1">
      <alignment horizontal="center" vertical="center" wrapText="1"/>
    </xf>
    <xf numFmtId="0" fontId="0" fillId="5" borderId="1" xfId="0" applyFill="1" applyBorder="1" applyAlignment="1">
      <alignment horizontal="center" vertical="center" wrapText="1"/>
    </xf>
    <xf numFmtId="0" fontId="0" fillId="5" borderId="2" xfId="0" quotePrefix="1" applyFill="1" applyBorder="1" applyAlignment="1">
      <alignment vertical="center" wrapText="1"/>
    </xf>
    <xf numFmtId="0" fontId="8" fillId="5" borderId="2" xfId="0" quotePrefix="1" applyFont="1" applyFill="1" applyBorder="1" applyAlignment="1">
      <alignment horizontal="left" vertical="center" wrapText="1"/>
    </xf>
    <xf numFmtId="0" fontId="0" fillId="5" borderId="2" xfId="0" applyFill="1" applyBorder="1" applyAlignment="1">
      <alignment horizontal="left" vertical="top" wrapText="1"/>
    </xf>
    <xf numFmtId="0" fontId="0" fillId="5" borderId="0" xfId="0" applyFill="1" applyAlignment="1">
      <alignment horizontal="left" vertical="top" wrapText="1"/>
    </xf>
    <xf numFmtId="0" fontId="0" fillId="5" borderId="1" xfId="0" applyFill="1" applyBorder="1" applyAlignment="1">
      <alignment horizontal="left" vertical="top" wrapText="1"/>
    </xf>
    <xf numFmtId="0" fontId="1" fillId="5" borderId="0" xfId="0" applyFont="1" applyFill="1" applyAlignment="1">
      <alignment horizontal="left" vertical="center" wrapText="1"/>
    </xf>
    <xf numFmtId="0" fontId="1" fillId="5" borderId="1" xfId="0" applyFont="1" applyFill="1" applyBorder="1" applyAlignment="1">
      <alignment horizontal="left" vertical="center" wrapText="1"/>
    </xf>
    <xf numFmtId="0" fontId="8" fillId="3" borderId="0" xfId="0" applyFont="1" applyFill="1" applyAlignment="1">
      <alignment horizontal="center" vertical="center" textRotation="90"/>
    </xf>
    <xf numFmtId="0" fontId="8" fillId="3" borderId="1" xfId="0" applyFont="1" applyFill="1" applyBorder="1" applyAlignment="1">
      <alignment horizontal="center" vertical="center" textRotation="90"/>
    </xf>
    <xf numFmtId="0" fontId="3" fillId="5" borderId="2" xfId="0" applyFont="1" applyFill="1" applyBorder="1" applyAlignment="1">
      <alignment vertical="center" wrapText="1"/>
    </xf>
    <xf numFmtId="0" fontId="7" fillId="5" borderId="2" xfId="0" applyFont="1" applyFill="1" applyBorder="1" applyAlignment="1">
      <alignment vertical="center" wrapText="1"/>
    </xf>
    <xf numFmtId="0" fontId="0" fillId="2" borderId="2" xfId="0" applyFill="1" applyBorder="1" applyAlignment="1">
      <alignment horizontal="left" vertical="center" wrapText="1"/>
    </xf>
    <xf numFmtId="0" fontId="0" fillId="2" borderId="1" xfId="0" applyFill="1" applyBorder="1" applyAlignment="1">
      <alignment horizontal="left" vertical="center" wrapText="1"/>
    </xf>
    <xf numFmtId="0" fontId="0" fillId="5" borderId="2" xfId="0" quotePrefix="1" applyFill="1" applyBorder="1" applyAlignment="1">
      <alignment horizontal="left" vertical="center" wrapText="1"/>
    </xf>
    <xf numFmtId="0" fontId="8" fillId="3" borderId="2" xfId="0" applyFont="1" applyFill="1" applyBorder="1" applyAlignment="1">
      <alignment horizontal="center" vertical="center" textRotation="90"/>
    </xf>
    <xf numFmtId="0" fontId="0" fillId="5" borderId="0" xfId="0" applyFill="1" applyAlignment="1">
      <alignment horizontal="left" vertical="center"/>
    </xf>
    <xf numFmtId="0" fontId="0" fillId="5" borderId="1" xfId="0" applyFill="1" applyBorder="1" applyAlignment="1">
      <alignment horizontal="left" vertical="center"/>
    </xf>
    <xf numFmtId="0" fontId="2" fillId="5" borderId="0" xfId="0" applyFont="1" applyFill="1" applyAlignment="1">
      <alignment horizontal="left" vertical="center"/>
    </xf>
    <xf numFmtId="0" fontId="2" fillId="5" borderId="1" xfId="0" applyFont="1" applyFill="1" applyBorder="1" applyAlignment="1">
      <alignment horizontal="left" vertical="center"/>
    </xf>
    <xf numFmtId="0" fontId="8" fillId="5" borderId="0" xfId="0" applyFont="1" applyFill="1" applyAlignment="1">
      <alignment horizontal="center" vertical="center" textRotation="90"/>
    </xf>
    <xf numFmtId="0" fontId="8" fillId="5" borderId="1" xfId="0" applyFont="1" applyFill="1" applyBorder="1" applyAlignment="1">
      <alignment horizontal="center" vertical="center" textRotation="90"/>
    </xf>
    <xf numFmtId="0" fontId="6" fillId="2" borderId="0" xfId="0" applyFont="1" applyFill="1" applyAlignment="1">
      <alignment horizontal="left" vertical="center" wrapText="1"/>
    </xf>
    <xf numFmtId="0" fontId="3" fillId="3" borderId="2" xfId="0" applyFont="1" applyFill="1" applyBorder="1" applyAlignment="1">
      <alignment horizontal="center"/>
    </xf>
    <xf numFmtId="0" fontId="3" fillId="3" borderId="2" xfId="0" applyFont="1" applyFill="1" applyBorder="1" applyAlignment="1">
      <alignment horizontal="center" vertical="center"/>
    </xf>
    <xf numFmtId="0" fontId="0" fillId="2" borderId="2" xfId="0" applyFill="1" applyBorder="1" applyAlignment="1">
      <alignment horizontal="center" vertical="center"/>
    </xf>
    <xf numFmtId="0" fontId="28" fillId="2" borderId="4" xfId="0" applyFont="1" applyFill="1" applyBorder="1" applyAlignment="1">
      <alignment horizontal="center" wrapText="1"/>
    </xf>
    <xf numFmtId="0" fontId="26" fillId="2" borderId="2"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2" borderId="0" xfId="0" applyFont="1" applyFill="1" applyAlignment="1">
      <alignment horizontal="center" wrapText="1"/>
    </xf>
    <xf numFmtId="0" fontId="26" fillId="2" borderId="1" xfId="0" applyFont="1" applyFill="1" applyBorder="1" applyAlignment="1">
      <alignment horizontal="center" wrapText="1"/>
    </xf>
    <xf numFmtId="0" fontId="28" fillId="2" borderId="1" xfId="0" applyFont="1" applyFill="1" applyBorder="1" applyAlignment="1">
      <alignment horizontal="center"/>
    </xf>
    <xf numFmtId="0" fontId="24" fillId="2" borderId="4" xfId="2" applyFont="1" applyFill="1" applyBorder="1" applyAlignment="1">
      <alignment horizontal="center"/>
    </xf>
    <xf numFmtId="0" fontId="25" fillId="2" borderId="4" xfId="2" applyFont="1" applyFill="1" applyBorder="1" applyAlignment="1">
      <alignment horizontal="center"/>
    </xf>
  </cellXfs>
  <cellStyles count="3">
    <cellStyle name="Komma" xfId="1" builtinId="3"/>
    <cellStyle name="Normal 2" xfId="2" xr:uid="{2BECC053-6A66-4DA0-87C1-00C0030840C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742966894896863E-2"/>
          <c:y val="2.7064085739282588E-2"/>
          <c:w val="0.91984230096237973"/>
          <c:h val="0.85929899387576558"/>
        </c:manualLayout>
      </c:layout>
      <c:barChart>
        <c:barDir val="col"/>
        <c:grouping val="clustered"/>
        <c:varyColors val="0"/>
        <c:ser>
          <c:idx val="0"/>
          <c:order val="0"/>
          <c:tx>
            <c:strRef>
              <c:f>Figure!$E$3</c:f>
              <c:strCache>
                <c:ptCount val="1"/>
                <c:pt idx="0">
                  <c:v>Additional spending and forgone revenue</c:v>
                </c:pt>
              </c:strCache>
            </c:strRef>
          </c:tx>
          <c:spPr>
            <a:solidFill>
              <a:schemeClr val="accent1"/>
            </a:solidFill>
            <a:ln>
              <a:solidFill>
                <a:schemeClr val="tx1"/>
              </a:solidFill>
            </a:ln>
            <a:effectLst/>
          </c:spPr>
          <c:invertIfNegative val="0"/>
          <c:cat>
            <c:strRef>
              <c:f>Figure!$C$4:$C$24</c:f>
              <c:strCache>
                <c:ptCount val="21"/>
                <c:pt idx="0">
                  <c:v>DNK</c:v>
                </c:pt>
                <c:pt idx="1">
                  <c:v>SWE</c:v>
                </c:pt>
                <c:pt idx="2">
                  <c:v>FIN</c:v>
                </c:pt>
                <c:pt idx="3">
                  <c:v>KOR</c:v>
                </c:pt>
                <c:pt idx="4">
                  <c:v>NOR</c:v>
                </c:pt>
                <c:pt idx="5">
                  <c:v>ESP</c:v>
                </c:pt>
                <c:pt idx="6">
                  <c:v>CHE</c:v>
                </c:pt>
                <c:pt idx="7">
                  <c:v>BEL</c:v>
                </c:pt>
                <c:pt idx="8">
                  <c:v>FRA</c:v>
                </c:pt>
                <c:pt idx="9">
                  <c:v>CZE</c:v>
                </c:pt>
                <c:pt idx="10">
                  <c:v>NLD</c:v>
                </c:pt>
                <c:pt idx="11">
                  <c:v>ITA</c:v>
                </c:pt>
                <c:pt idx="12">
                  <c:v>DEU</c:v>
                </c:pt>
                <c:pt idx="13">
                  <c:v>CAN</c:v>
                </c:pt>
                <c:pt idx="14">
                  <c:v>GBR</c:v>
                </c:pt>
                <c:pt idx="15">
                  <c:v>JPN</c:v>
                </c:pt>
                <c:pt idx="16">
                  <c:v>AUS</c:v>
                </c:pt>
                <c:pt idx="17">
                  <c:v>SGP</c:v>
                </c:pt>
                <c:pt idx="18">
                  <c:v>AEs</c:v>
                </c:pt>
                <c:pt idx="19">
                  <c:v>NZL</c:v>
                </c:pt>
                <c:pt idx="20">
                  <c:v>USA</c:v>
                </c:pt>
              </c:strCache>
            </c:strRef>
          </c:cat>
          <c:val>
            <c:numRef>
              <c:f>Figure!$E$4:$E$24</c:f>
              <c:numCache>
                <c:formatCode>0.0</c:formatCode>
                <c:ptCount val="21"/>
                <c:pt idx="0">
                  <c:v>3.4557432473141603</c:v>
                </c:pt>
                <c:pt idx="1">
                  <c:v>4.1805066006564005</c:v>
                </c:pt>
                <c:pt idx="2">
                  <c:v>4.272892600949719</c:v>
                </c:pt>
                <c:pt idx="3">
                  <c:v>4.4849024836324336</c:v>
                </c:pt>
                <c:pt idx="4">
                  <c:v>7.4022943167997886</c:v>
                </c:pt>
                <c:pt idx="5">
                  <c:v>7.5786887379669032</c:v>
                </c:pt>
                <c:pt idx="6">
                  <c:v>7.7730721144719874</c:v>
                </c:pt>
                <c:pt idx="7">
                  <c:v>8.2229368961627038</c:v>
                </c:pt>
                <c:pt idx="8">
                  <c:v>9.583735007772944</c:v>
                </c:pt>
                <c:pt idx="9">
                  <c:v>9.6047679561305017</c:v>
                </c:pt>
                <c:pt idx="10">
                  <c:v>10.304579841086603</c:v>
                </c:pt>
                <c:pt idx="11">
                  <c:v>10.898555638640223</c:v>
                </c:pt>
                <c:pt idx="12" formatCode="0.00">
                  <c:v>13.638352846668944</c:v>
                </c:pt>
                <c:pt idx="13">
                  <c:v>15.882770459498252</c:v>
                </c:pt>
                <c:pt idx="14">
                  <c:v>16.24023041241189</c:v>
                </c:pt>
                <c:pt idx="15">
                  <c:v>16.46834716835404</c:v>
                </c:pt>
                <c:pt idx="16">
                  <c:v>18.373752710725405</c:v>
                </c:pt>
                <c:pt idx="17">
                  <c:v>18.39709108521307</c:v>
                </c:pt>
                <c:pt idx="18" formatCode="0.00">
                  <c:v>17.306639534787191</c:v>
                </c:pt>
                <c:pt idx="19">
                  <c:v>19.283678120943755</c:v>
                </c:pt>
                <c:pt idx="20">
                  <c:v>25.449751749930151</c:v>
                </c:pt>
              </c:numCache>
            </c:numRef>
          </c:val>
          <c:extLst>
            <c:ext xmlns:c16="http://schemas.microsoft.com/office/drawing/2014/chart" uri="{C3380CC4-5D6E-409C-BE32-E72D297353CC}">
              <c16:uniqueId val="{00000000-932B-4B9C-A244-691C7589FB1A}"/>
            </c:ext>
          </c:extLst>
        </c:ser>
        <c:ser>
          <c:idx val="1"/>
          <c:order val="1"/>
          <c:tx>
            <c:strRef>
              <c:f>Figure!$F$3</c:f>
              <c:strCache>
                <c:ptCount val="1"/>
                <c:pt idx="0">
                  <c:v>Equity, loans, and guarantees</c:v>
                </c:pt>
              </c:strCache>
            </c:strRef>
          </c:tx>
          <c:spPr>
            <a:solidFill>
              <a:schemeClr val="accent1">
                <a:alpha val="50000"/>
              </a:schemeClr>
            </a:solidFill>
            <a:ln>
              <a:solidFill>
                <a:schemeClr val="tx1"/>
              </a:solidFill>
            </a:ln>
            <a:effectLst/>
          </c:spPr>
          <c:invertIfNegative val="0"/>
          <c:cat>
            <c:strRef>
              <c:f>Figure!$C$4:$C$24</c:f>
              <c:strCache>
                <c:ptCount val="21"/>
                <c:pt idx="0">
                  <c:v>DNK</c:v>
                </c:pt>
                <c:pt idx="1">
                  <c:v>SWE</c:v>
                </c:pt>
                <c:pt idx="2">
                  <c:v>FIN</c:v>
                </c:pt>
                <c:pt idx="3">
                  <c:v>KOR</c:v>
                </c:pt>
                <c:pt idx="4">
                  <c:v>NOR</c:v>
                </c:pt>
                <c:pt idx="5">
                  <c:v>ESP</c:v>
                </c:pt>
                <c:pt idx="6">
                  <c:v>CHE</c:v>
                </c:pt>
                <c:pt idx="7">
                  <c:v>BEL</c:v>
                </c:pt>
                <c:pt idx="8">
                  <c:v>FRA</c:v>
                </c:pt>
                <c:pt idx="9">
                  <c:v>CZE</c:v>
                </c:pt>
                <c:pt idx="10">
                  <c:v>NLD</c:v>
                </c:pt>
                <c:pt idx="11">
                  <c:v>ITA</c:v>
                </c:pt>
                <c:pt idx="12">
                  <c:v>DEU</c:v>
                </c:pt>
                <c:pt idx="13">
                  <c:v>CAN</c:v>
                </c:pt>
                <c:pt idx="14">
                  <c:v>GBR</c:v>
                </c:pt>
                <c:pt idx="15">
                  <c:v>JPN</c:v>
                </c:pt>
                <c:pt idx="16">
                  <c:v>AUS</c:v>
                </c:pt>
                <c:pt idx="17">
                  <c:v>SGP</c:v>
                </c:pt>
                <c:pt idx="18">
                  <c:v>AEs</c:v>
                </c:pt>
                <c:pt idx="19">
                  <c:v>NZL</c:v>
                </c:pt>
                <c:pt idx="20">
                  <c:v>USA</c:v>
                </c:pt>
              </c:strCache>
            </c:strRef>
          </c:cat>
          <c:val>
            <c:numRef>
              <c:f>Figure!$F$4:$F$24</c:f>
              <c:numCache>
                <c:formatCode>0.0</c:formatCode>
                <c:ptCount val="21"/>
                <c:pt idx="0">
                  <c:v>15.673495525178295</c:v>
                </c:pt>
                <c:pt idx="1">
                  <c:v>5.28521051880087</c:v>
                </c:pt>
                <c:pt idx="2">
                  <c:v>7.4933486006802941</c:v>
                </c:pt>
                <c:pt idx="3">
                  <c:v>10.133706995889202</c:v>
                </c:pt>
                <c:pt idx="4">
                  <c:v>4.5196068763764252</c:v>
                </c:pt>
                <c:pt idx="5">
                  <c:v>14.374546446547997</c:v>
                </c:pt>
                <c:pt idx="6">
                  <c:v>6.2291301018034106</c:v>
                </c:pt>
                <c:pt idx="7">
                  <c:v>11.880038211167678</c:v>
                </c:pt>
                <c:pt idx="8">
                  <c:v>15.211519588685375</c:v>
                </c:pt>
                <c:pt idx="9">
                  <c:v>15.508453841119907</c:v>
                </c:pt>
                <c:pt idx="10">
                  <c:v>8.1384895464231963</c:v>
                </c:pt>
                <c:pt idx="11">
                  <c:v>35.253800114434831</c:v>
                </c:pt>
                <c:pt idx="12">
                  <c:v>27.786270524971673</c:v>
                </c:pt>
                <c:pt idx="13">
                  <c:v>3.9502835723081042</c:v>
                </c:pt>
                <c:pt idx="14">
                  <c:v>16.713706517730021</c:v>
                </c:pt>
                <c:pt idx="15">
                  <c:v>28.332241013425325</c:v>
                </c:pt>
                <c:pt idx="16">
                  <c:v>1.7779412354862849</c:v>
                </c:pt>
                <c:pt idx="17">
                  <c:v>4.6898725825572125</c:v>
                </c:pt>
                <c:pt idx="18">
                  <c:v>11.385598314278408</c:v>
                </c:pt>
                <c:pt idx="19">
                  <c:v>1.6457889539613828</c:v>
                </c:pt>
                <c:pt idx="20">
                  <c:v>2.4359314213659848</c:v>
                </c:pt>
              </c:numCache>
            </c:numRef>
          </c:val>
          <c:extLst>
            <c:ext xmlns:c16="http://schemas.microsoft.com/office/drawing/2014/chart" uri="{C3380CC4-5D6E-409C-BE32-E72D297353CC}">
              <c16:uniqueId val="{00000001-932B-4B9C-A244-691C7589FB1A}"/>
            </c:ext>
          </c:extLst>
        </c:ser>
        <c:dLbls>
          <c:showLegendKey val="0"/>
          <c:showVal val="0"/>
          <c:showCatName val="0"/>
          <c:showSerName val="0"/>
          <c:showPercent val="0"/>
          <c:showBubbleSize val="0"/>
        </c:dLbls>
        <c:gapWidth val="219"/>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5"/>
      </c:valAx>
      <c:spPr>
        <a:solidFill>
          <a:sysClr val="window" lastClr="FFFFFF"/>
        </a:solidFill>
        <a:ln>
          <a:solidFill>
            <a:schemeClr val="bg1">
              <a:lumMod val="65000"/>
            </a:schemeClr>
          </a:solidFill>
        </a:ln>
        <a:effectLst/>
      </c:spPr>
    </c:plotArea>
    <c:legend>
      <c:legendPos val="t"/>
      <c:layout>
        <c:manualLayout>
          <c:xMode val="edge"/>
          <c:yMode val="edge"/>
          <c:x val="0.32879677896883225"/>
          <c:y val="2.9435504235439957E-2"/>
          <c:w val="0.6339671330403378"/>
          <c:h val="0.1142046019757734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49588717316279E-2"/>
          <c:y val="1.8730476576258863E-2"/>
          <c:w val="0.90659446677405175"/>
          <c:h val="0.87739216972878398"/>
        </c:manualLayout>
      </c:layout>
      <c:barChart>
        <c:barDir val="col"/>
        <c:grouping val="clustered"/>
        <c:varyColors val="0"/>
        <c:ser>
          <c:idx val="0"/>
          <c:order val="0"/>
          <c:tx>
            <c:strRef>
              <c:f>Figure!$E$27</c:f>
              <c:strCache>
                <c:ptCount val="1"/>
                <c:pt idx="0">
                  <c:v>Additional spending and forgone revenue</c:v>
                </c:pt>
              </c:strCache>
            </c:strRef>
          </c:tx>
          <c:spPr>
            <a:solidFill>
              <a:srgbClr val="C00000"/>
            </a:solidFill>
            <a:ln>
              <a:solidFill>
                <a:schemeClr val="tx1"/>
              </a:solidFill>
            </a:ln>
            <a:effectLst/>
          </c:spPr>
          <c:invertIfNegative val="0"/>
          <c:cat>
            <c:strRef>
              <c:extLst>
                <c:ext xmlns:c15="http://schemas.microsoft.com/office/drawing/2012/chart" uri="{02D57815-91ED-43cb-92C2-25804820EDAC}">
                  <c15:fullRef>
                    <c15:sqref>Figure!$C$28:$C$53</c15:sqref>
                  </c15:fullRef>
                </c:ext>
              </c:extLst>
              <c:f>(Figure!$C$28:$C$34,Figure!$C$38:$C$46,Figure!$C$48:$C$53)</c:f>
              <c:strCache>
                <c:ptCount val="22"/>
                <c:pt idx="0">
                  <c:v>MEX</c:v>
                </c:pt>
                <c:pt idx="1">
                  <c:v>EGY</c:v>
                </c:pt>
                <c:pt idx="2">
                  <c:v>PAK</c:v>
                </c:pt>
                <c:pt idx="3">
                  <c:v>SAU</c:v>
                </c:pt>
                <c:pt idx="4">
                  <c:v>ALB</c:v>
                </c:pt>
                <c:pt idx="5">
                  <c:v>ARE</c:v>
                </c:pt>
                <c:pt idx="6">
                  <c:v>TUN</c:v>
                </c:pt>
                <c:pt idx="7">
                  <c:v>IND</c:v>
                </c:pt>
                <c:pt idx="8">
                  <c:v>EMEs</c:v>
                </c:pt>
                <c:pt idx="9">
                  <c:v>KAZ</c:v>
                </c:pt>
                <c:pt idx="10">
                  <c:v>ARG</c:v>
                </c:pt>
                <c:pt idx="11">
                  <c:v>IDN</c:v>
                </c:pt>
                <c:pt idx="12">
                  <c:v>RUS</c:v>
                </c:pt>
                <c:pt idx="13">
                  <c:v>COL</c:v>
                </c:pt>
                <c:pt idx="14">
                  <c:v>CHN</c:v>
                </c:pt>
                <c:pt idx="15">
                  <c:v>BGR</c:v>
                </c:pt>
                <c:pt idx="16">
                  <c:v>GEO</c:v>
                </c:pt>
                <c:pt idx="17">
                  <c:v>POL</c:v>
                </c:pt>
                <c:pt idx="18">
                  <c:v>PER</c:v>
                </c:pt>
                <c:pt idx="19">
                  <c:v>BRA</c:v>
                </c:pt>
                <c:pt idx="20">
                  <c:v>THA</c:v>
                </c:pt>
                <c:pt idx="21">
                  <c:v>CHL</c:v>
                </c:pt>
              </c:strCache>
            </c:strRef>
          </c:cat>
          <c:val>
            <c:numRef>
              <c:extLst>
                <c:ext xmlns:c15="http://schemas.microsoft.com/office/drawing/2012/chart" uri="{02D57815-91ED-43cb-92C2-25804820EDAC}">
                  <c15:fullRef>
                    <c15:sqref>Figure!$E$28:$E$53</c15:sqref>
                  </c15:fullRef>
                </c:ext>
              </c:extLst>
              <c:f>(Figure!$E$28:$E$34,Figure!$E$38:$E$46,Figure!$E$48:$E$53)</c:f>
              <c:numCache>
                <c:formatCode>0.0</c:formatCode>
                <c:ptCount val="22"/>
                <c:pt idx="0">
                  <c:v>0.65442396745349374</c:v>
                </c:pt>
                <c:pt idx="1">
                  <c:v>1.5713893653516295</c:v>
                </c:pt>
                <c:pt idx="2">
                  <c:v>1.9924764282578782</c:v>
                </c:pt>
                <c:pt idx="3">
                  <c:v>2.1939162799420835</c:v>
                </c:pt>
                <c:pt idx="4">
                  <c:v>2.2512745821149296</c:v>
                </c:pt>
                <c:pt idx="5">
                  <c:v>2.4594746603328654</c:v>
                </c:pt>
                <c:pt idx="6">
                  <c:v>2.683122031298951</c:v>
                </c:pt>
                <c:pt idx="7">
                  <c:v>3.5079994753280079</c:v>
                </c:pt>
                <c:pt idx="8">
                  <c:v>4.0999999999999996</c:v>
                </c:pt>
                <c:pt idx="9">
                  <c:v>4.4418311035086644</c:v>
                </c:pt>
                <c:pt idx="10">
                  <c:v>4.5175576086619849</c:v>
                </c:pt>
                <c:pt idx="11">
                  <c:v>4.5321570570531771</c:v>
                </c:pt>
                <c:pt idx="12">
                  <c:v>4.5378286069427096</c:v>
                </c:pt>
                <c:pt idx="13">
                  <c:v>4.7053509644817844</c:v>
                </c:pt>
                <c:pt idx="14">
                  <c:v>4.7801156546253365</c:v>
                </c:pt>
                <c:pt idx="15">
                  <c:v>5.0326678658001889</c:v>
                </c:pt>
                <c:pt idx="16">
                  <c:v>6.1492492800160736</c:v>
                </c:pt>
                <c:pt idx="17">
                  <c:v>6.463386978297736</c:v>
                </c:pt>
                <c:pt idx="18">
                  <c:v>7.8478940548341756</c:v>
                </c:pt>
                <c:pt idx="19">
                  <c:v>9.2362126130761357</c:v>
                </c:pt>
                <c:pt idx="20">
                  <c:v>11.402518720833598</c:v>
                </c:pt>
                <c:pt idx="21">
                  <c:v>14.09619540198695</c:v>
                </c:pt>
              </c:numCache>
            </c:numRef>
          </c:val>
          <c:extLst>
            <c:ext xmlns:c16="http://schemas.microsoft.com/office/drawing/2014/chart" uri="{C3380CC4-5D6E-409C-BE32-E72D297353CC}">
              <c16:uniqueId val="{00000000-4884-4F89-BF17-E6B8FB2B928B}"/>
            </c:ext>
          </c:extLst>
        </c:ser>
        <c:ser>
          <c:idx val="1"/>
          <c:order val="1"/>
          <c:tx>
            <c:strRef>
              <c:f>Figure!$F$27</c:f>
              <c:strCache>
                <c:ptCount val="1"/>
                <c:pt idx="0">
                  <c:v>Equity, loans, and guarantees</c:v>
                </c:pt>
              </c:strCache>
            </c:strRef>
          </c:tx>
          <c:spPr>
            <a:solidFill>
              <a:srgbClr val="C00000">
                <a:alpha val="25000"/>
              </a:srgbClr>
            </a:solidFill>
            <a:ln>
              <a:solidFill>
                <a:schemeClr val="tx1"/>
              </a:solidFill>
            </a:ln>
            <a:effectLst/>
          </c:spPr>
          <c:invertIfNegative val="0"/>
          <c:cat>
            <c:strRef>
              <c:extLst>
                <c:ext xmlns:c15="http://schemas.microsoft.com/office/drawing/2012/chart" uri="{02D57815-91ED-43cb-92C2-25804820EDAC}">
                  <c15:fullRef>
                    <c15:sqref>Figure!$C$28:$C$53</c15:sqref>
                  </c15:fullRef>
                </c:ext>
              </c:extLst>
              <c:f>(Figure!$C$28:$C$34,Figure!$C$38:$C$46,Figure!$C$48:$C$53)</c:f>
              <c:strCache>
                <c:ptCount val="22"/>
                <c:pt idx="0">
                  <c:v>MEX</c:v>
                </c:pt>
                <c:pt idx="1">
                  <c:v>EGY</c:v>
                </c:pt>
                <c:pt idx="2">
                  <c:v>PAK</c:v>
                </c:pt>
                <c:pt idx="3">
                  <c:v>SAU</c:v>
                </c:pt>
                <c:pt idx="4">
                  <c:v>ALB</c:v>
                </c:pt>
                <c:pt idx="5">
                  <c:v>ARE</c:v>
                </c:pt>
                <c:pt idx="6">
                  <c:v>TUN</c:v>
                </c:pt>
                <c:pt idx="7">
                  <c:v>IND</c:v>
                </c:pt>
                <c:pt idx="8">
                  <c:v>EMEs</c:v>
                </c:pt>
                <c:pt idx="9">
                  <c:v>KAZ</c:v>
                </c:pt>
                <c:pt idx="10">
                  <c:v>ARG</c:v>
                </c:pt>
                <c:pt idx="11">
                  <c:v>IDN</c:v>
                </c:pt>
                <c:pt idx="12">
                  <c:v>RUS</c:v>
                </c:pt>
                <c:pt idx="13">
                  <c:v>COL</c:v>
                </c:pt>
                <c:pt idx="14">
                  <c:v>CHN</c:v>
                </c:pt>
                <c:pt idx="15">
                  <c:v>BGR</c:v>
                </c:pt>
                <c:pt idx="16">
                  <c:v>GEO</c:v>
                </c:pt>
                <c:pt idx="17">
                  <c:v>POL</c:v>
                </c:pt>
                <c:pt idx="18">
                  <c:v>PER</c:v>
                </c:pt>
                <c:pt idx="19">
                  <c:v>BRA</c:v>
                </c:pt>
                <c:pt idx="20">
                  <c:v>THA</c:v>
                </c:pt>
                <c:pt idx="21">
                  <c:v>CHL</c:v>
                </c:pt>
              </c:strCache>
            </c:strRef>
          </c:cat>
          <c:val>
            <c:numRef>
              <c:extLst>
                <c:ext xmlns:c15="http://schemas.microsoft.com/office/drawing/2012/chart" uri="{02D57815-91ED-43cb-92C2-25804820EDAC}">
                  <c15:fullRef>
                    <c15:sqref>Figure!$F$28:$F$53</c15:sqref>
                  </c15:fullRef>
                </c:ext>
              </c:extLst>
              <c:f>(Figure!$F$28:$F$34,Figure!$F$38:$F$46,Figure!$F$48:$F$53)</c:f>
              <c:numCache>
                <c:formatCode>0.0</c:formatCode>
                <c:ptCount val="22"/>
                <c:pt idx="0">
                  <c:v>1.1974658424331148</c:v>
                </c:pt>
                <c:pt idx="1">
                  <c:v>0.12761578044596913</c:v>
                </c:pt>
                <c:pt idx="2">
                  <c:v>0</c:v>
                </c:pt>
                <c:pt idx="3">
                  <c:v>0.83795413470010138</c:v>
                </c:pt>
                <c:pt idx="4">
                  <c:v>1.6169375451654189</c:v>
                </c:pt>
                <c:pt idx="5">
                  <c:v>0</c:v>
                </c:pt>
                <c:pt idx="6">
                  <c:v>0.808981516974558</c:v>
                </c:pt>
                <c:pt idx="7">
                  <c:v>5.2117755437014797</c:v>
                </c:pt>
                <c:pt idx="8">
                  <c:v>2.6</c:v>
                </c:pt>
                <c:pt idx="9">
                  <c:v>2.8523315300149559</c:v>
                </c:pt>
                <c:pt idx="10">
                  <c:v>1.9984280402043679</c:v>
                </c:pt>
                <c:pt idx="11">
                  <c:v>0.87565550573371964</c:v>
                </c:pt>
                <c:pt idx="12">
                  <c:v>1.464931484771163</c:v>
                </c:pt>
                <c:pt idx="13">
                  <c:v>5.738532009468333</c:v>
                </c:pt>
                <c:pt idx="14">
                  <c:v>1.296401676315599</c:v>
                </c:pt>
                <c:pt idx="15">
                  <c:v>3.8969661376660198</c:v>
                </c:pt>
                <c:pt idx="16">
                  <c:v>1.0822935394318946E-3</c:v>
                </c:pt>
                <c:pt idx="17">
                  <c:v>4.8195695177719475</c:v>
                </c:pt>
                <c:pt idx="18">
                  <c:v>11.750782332551351</c:v>
                </c:pt>
                <c:pt idx="19">
                  <c:v>6.1507617357903435</c:v>
                </c:pt>
                <c:pt idx="20">
                  <c:v>4.2361312566225386</c:v>
                </c:pt>
                <c:pt idx="21">
                  <c:v>2.4993669036002961</c:v>
                </c:pt>
              </c:numCache>
            </c:numRef>
          </c:val>
          <c:extLst>
            <c:ext xmlns:c16="http://schemas.microsoft.com/office/drawing/2014/chart" uri="{C3380CC4-5D6E-409C-BE32-E72D297353CC}">
              <c16:uniqueId val="{00000001-4884-4F89-BF17-E6B8FB2B928B}"/>
            </c:ext>
          </c:extLst>
        </c:ser>
        <c:dLbls>
          <c:showLegendKey val="0"/>
          <c:showVal val="0"/>
          <c:showCatName val="0"/>
          <c:showSerName val="0"/>
          <c:showPercent val="0"/>
          <c:showBubbleSize val="0"/>
        </c:dLbls>
        <c:gapWidth val="10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3"/>
      </c:valAx>
      <c:spPr>
        <a:solidFill>
          <a:sysClr val="window" lastClr="FFFFFF"/>
        </a:solidFill>
        <a:ln>
          <a:solidFill>
            <a:schemeClr val="bg1">
              <a:lumMod val="65000"/>
            </a:schemeClr>
          </a:solidFill>
        </a:ln>
        <a:effectLst/>
      </c:spPr>
    </c:plotArea>
    <c:legend>
      <c:legendPos val="t"/>
      <c:layout>
        <c:manualLayout>
          <c:xMode val="edge"/>
          <c:yMode val="edge"/>
          <c:x val="0.37346485284110725"/>
          <c:y val="1.860111236095488E-2"/>
          <c:w val="0.59030346696858971"/>
          <c:h val="0.1567714239801657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498115728043059E-2"/>
          <c:y val="2.7100602709185986E-2"/>
          <c:w val="0.90764434737628596"/>
          <c:h val="0.84456282808398953"/>
        </c:manualLayout>
      </c:layout>
      <c:barChart>
        <c:barDir val="col"/>
        <c:grouping val="clustered"/>
        <c:varyColors val="0"/>
        <c:ser>
          <c:idx val="0"/>
          <c:order val="0"/>
          <c:tx>
            <c:strRef>
              <c:f>Figure!$E$56</c:f>
              <c:strCache>
                <c:ptCount val="1"/>
                <c:pt idx="0">
                  <c:v>Additional spending and forgone revenue</c:v>
                </c:pt>
              </c:strCache>
            </c:strRef>
          </c:tx>
          <c:spPr>
            <a:solidFill>
              <a:schemeClr val="accent6">
                <a:lumMod val="75000"/>
              </a:schemeClr>
            </a:solidFill>
            <a:ln>
              <a:solidFill>
                <a:schemeClr val="tx1"/>
              </a:solidFill>
            </a:ln>
            <a:effectLst/>
          </c:spPr>
          <c:invertIfNegative val="0"/>
          <c:cat>
            <c:strRef>
              <c:f>Figure!$C$57:$C$71</c:f>
              <c:strCache>
                <c:ptCount val="15"/>
                <c:pt idx="0">
                  <c:v>MMR</c:v>
                </c:pt>
                <c:pt idx="1">
                  <c:v>NER</c:v>
                </c:pt>
                <c:pt idx="2">
                  <c:v>BGD</c:v>
                </c:pt>
                <c:pt idx="3">
                  <c:v>VNM</c:v>
                </c:pt>
                <c:pt idx="4">
                  <c:v>LIDCs</c:v>
                </c:pt>
                <c:pt idx="5">
                  <c:v>ZMB</c:v>
                </c:pt>
                <c:pt idx="6">
                  <c:v>CIV</c:v>
                </c:pt>
                <c:pt idx="7">
                  <c:v>HND</c:v>
                </c:pt>
                <c:pt idx="8">
                  <c:v>ETH</c:v>
                </c:pt>
                <c:pt idx="9">
                  <c:v>CIV</c:v>
                </c:pt>
                <c:pt idx="10">
                  <c:v>KEN</c:v>
                </c:pt>
                <c:pt idx="11">
                  <c:v>GHA</c:v>
                </c:pt>
                <c:pt idx="12">
                  <c:v>SEN</c:v>
                </c:pt>
                <c:pt idx="13">
                  <c:v>UZB</c:v>
                </c:pt>
                <c:pt idx="14">
                  <c:v>GNB</c:v>
                </c:pt>
              </c:strCache>
            </c:strRef>
          </c:cat>
          <c:val>
            <c:numRef>
              <c:f>Figure!$E$57:$E$71</c:f>
              <c:numCache>
                <c:formatCode>0.0</c:formatCode>
                <c:ptCount val="15"/>
                <c:pt idx="0">
                  <c:v>0.72281274109279325</c:v>
                </c:pt>
                <c:pt idx="1">
                  <c:v>0.74293024848976019</c:v>
                </c:pt>
                <c:pt idx="2">
                  <c:v>1.4078706806647932</c:v>
                </c:pt>
                <c:pt idx="3">
                  <c:v>1.6788172566898991</c:v>
                </c:pt>
                <c:pt idx="4">
                  <c:v>2.0479253649651623</c:v>
                </c:pt>
                <c:pt idx="5">
                  <c:v>2.0903179195391677</c:v>
                </c:pt>
                <c:pt idx="6">
                  <c:v>2.3707909284496753</c:v>
                </c:pt>
                <c:pt idx="7">
                  <c:v>2.373091974528696</c:v>
                </c:pt>
                <c:pt idx="8">
                  <c:v>2.4597335906408286</c:v>
                </c:pt>
                <c:pt idx="9">
                  <c:v>2.5</c:v>
                </c:pt>
                <c:pt idx="10">
                  <c:v>2.5045970637574322</c:v>
                </c:pt>
                <c:pt idx="11">
                  <c:v>3.2633816696409426</c:v>
                </c:pt>
                <c:pt idx="12">
                  <c:v>4.3213332525970563</c:v>
                </c:pt>
                <c:pt idx="13">
                  <c:v>4.4294827387285496</c:v>
                </c:pt>
                <c:pt idx="14">
                  <c:v>6.702226729381966</c:v>
                </c:pt>
              </c:numCache>
            </c:numRef>
          </c:val>
          <c:extLst>
            <c:ext xmlns:c16="http://schemas.microsoft.com/office/drawing/2014/chart" uri="{C3380CC4-5D6E-409C-BE32-E72D297353CC}">
              <c16:uniqueId val="{00000000-1D0B-4C2F-B50B-D5EF71A33DA4}"/>
            </c:ext>
          </c:extLst>
        </c:ser>
        <c:ser>
          <c:idx val="1"/>
          <c:order val="1"/>
          <c:tx>
            <c:strRef>
              <c:f>Figure!$F$56</c:f>
              <c:strCache>
                <c:ptCount val="1"/>
                <c:pt idx="0">
                  <c:v>Equity, loans, and guarantees</c:v>
                </c:pt>
              </c:strCache>
            </c:strRef>
          </c:tx>
          <c:spPr>
            <a:solidFill>
              <a:schemeClr val="accent6">
                <a:lumMod val="60000"/>
                <a:lumOff val="40000"/>
              </a:schemeClr>
            </a:solidFill>
            <a:ln>
              <a:solidFill>
                <a:schemeClr val="tx1"/>
              </a:solidFill>
            </a:ln>
            <a:effectLst/>
          </c:spPr>
          <c:invertIfNegative val="0"/>
          <c:cat>
            <c:strRef>
              <c:f>Figure!$C$57:$C$71</c:f>
              <c:strCache>
                <c:ptCount val="15"/>
                <c:pt idx="0">
                  <c:v>MMR</c:v>
                </c:pt>
                <c:pt idx="1">
                  <c:v>NER</c:v>
                </c:pt>
                <c:pt idx="2">
                  <c:v>BGD</c:v>
                </c:pt>
                <c:pt idx="3">
                  <c:v>VNM</c:v>
                </c:pt>
                <c:pt idx="4">
                  <c:v>LIDCs</c:v>
                </c:pt>
                <c:pt idx="5">
                  <c:v>ZMB</c:v>
                </c:pt>
                <c:pt idx="6">
                  <c:v>CIV</c:v>
                </c:pt>
                <c:pt idx="7">
                  <c:v>HND</c:v>
                </c:pt>
                <c:pt idx="8">
                  <c:v>ETH</c:v>
                </c:pt>
                <c:pt idx="9">
                  <c:v>CIV</c:v>
                </c:pt>
                <c:pt idx="10">
                  <c:v>KEN</c:v>
                </c:pt>
                <c:pt idx="11">
                  <c:v>GHA</c:v>
                </c:pt>
                <c:pt idx="12">
                  <c:v>SEN</c:v>
                </c:pt>
                <c:pt idx="13">
                  <c:v>UZB</c:v>
                </c:pt>
                <c:pt idx="14">
                  <c:v>GNB</c:v>
                </c:pt>
              </c:strCache>
            </c:strRef>
          </c:cat>
          <c:val>
            <c:numRef>
              <c:f>Figure!$F$57:$F$71</c:f>
              <c:numCache>
                <c:formatCode>0.0</c:formatCode>
                <c:ptCount val="15"/>
                <c:pt idx="0">
                  <c:v>0.26062959414403603</c:v>
                </c:pt>
                <c:pt idx="1">
                  <c:v>1.2701833620956746</c:v>
                </c:pt>
                <c:pt idx="2">
                  <c:v>7.2073015476377969E-2</c:v>
                </c:pt>
                <c:pt idx="3">
                  <c:v>0.48027595990526362</c:v>
                </c:pt>
                <c:pt idx="4">
                  <c:v>0.15671063224040413</c:v>
                </c:pt>
                <c:pt idx="5">
                  <c:v>0.26496987712468323</c:v>
                </c:pt>
                <c:pt idx="6">
                  <c:v>0</c:v>
                </c:pt>
                <c:pt idx="7">
                  <c:v>1.1653576660631988</c:v>
                </c:pt>
                <c:pt idx="8">
                  <c:v>0.62234223377659526</c:v>
                </c:pt>
                <c:pt idx="9">
                  <c:v>0</c:v>
                </c:pt>
                <c:pt idx="10">
                  <c:v>0</c:v>
                </c:pt>
                <c:pt idx="11">
                  <c:v>0.31328464028553049</c:v>
                </c:pt>
                <c:pt idx="12">
                  <c:v>0.1762370820798147</c:v>
                </c:pt>
                <c:pt idx="13">
                  <c:v>1.3271212874789819</c:v>
                </c:pt>
                <c:pt idx="14">
                  <c:v>1.8202679873389367</c:v>
                </c:pt>
              </c:numCache>
            </c:numRef>
          </c:val>
          <c:extLst>
            <c:ext xmlns:c16="http://schemas.microsoft.com/office/drawing/2014/chart" uri="{C3380CC4-5D6E-409C-BE32-E72D297353CC}">
              <c16:uniqueId val="{00000001-1D0B-4C2F-B50B-D5EF71A33DA4}"/>
            </c:ext>
          </c:extLst>
        </c:ser>
        <c:dLbls>
          <c:showLegendKey val="0"/>
          <c:showVal val="0"/>
          <c:showCatName val="0"/>
          <c:showSerName val="0"/>
          <c:showPercent val="0"/>
          <c:showBubbleSize val="0"/>
        </c:dLbls>
        <c:gapWidth val="380"/>
        <c:axId val="413358112"/>
        <c:axId val="167687744"/>
      </c:barChart>
      <c:catAx>
        <c:axId val="413358112"/>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5400000" spcFirstLastPara="1" vertOverflow="ellipsis" wrap="square" anchor="ctr" anchorCtr="1"/>
          <a:lstStyle/>
          <a:p>
            <a:pPr>
              <a:defRPr sz="1100" b="0" i="0" u="none" strike="noStrike" kern="1200" baseline="0">
                <a:solidFill>
                  <a:sysClr val="windowText" lastClr="000000"/>
                </a:solidFill>
                <a:latin typeface="+mn-lt"/>
                <a:ea typeface="+mn-ea"/>
                <a:cs typeface="+mn-cs"/>
              </a:defRPr>
            </a:pPr>
            <a:endParaRPr lang="en-CH"/>
          </a:p>
        </c:txPr>
        <c:crossAx val="167687744"/>
        <c:crosses val="autoZero"/>
        <c:auto val="1"/>
        <c:lblAlgn val="ctr"/>
        <c:lblOffset val="100"/>
        <c:noMultiLvlLbl val="0"/>
      </c:catAx>
      <c:valAx>
        <c:axId val="167687744"/>
        <c:scaling>
          <c:orientation val="minMax"/>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CH"/>
          </a:p>
        </c:txPr>
        <c:crossAx val="413358112"/>
        <c:crosses val="autoZero"/>
        <c:crossBetween val="between"/>
        <c:majorUnit val="2"/>
      </c:valAx>
      <c:spPr>
        <a:solidFill>
          <a:sysClr val="window" lastClr="FFFFFF"/>
        </a:solidFill>
        <a:ln>
          <a:solidFill>
            <a:schemeClr val="bg1">
              <a:lumMod val="65000"/>
            </a:schemeClr>
          </a:solidFill>
        </a:ln>
        <a:effectLst/>
      </c:spPr>
    </c:plotArea>
    <c:legend>
      <c:legendPos val="t"/>
      <c:layout>
        <c:manualLayout>
          <c:xMode val="edge"/>
          <c:yMode val="edge"/>
          <c:x val="0.36038868952646463"/>
          <c:y val="3.1567445719384482E-2"/>
          <c:w val="0.61097961511211973"/>
          <c:h val="9.837025473856583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CH"/>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9</xdr:col>
      <xdr:colOff>152400</xdr:colOff>
      <xdr:row>5</xdr:row>
      <xdr:rowOff>142875</xdr:rowOff>
    </xdr:from>
    <xdr:to>
      <xdr:col>16</xdr:col>
      <xdr:colOff>225425</xdr:colOff>
      <xdr:row>26</xdr:row>
      <xdr:rowOff>9525</xdr:rowOff>
    </xdr:to>
    <xdr:graphicFrame macro="">
      <xdr:nvGraphicFramePr>
        <xdr:cNvPr id="2" name="Chart 1">
          <a:extLst>
            <a:ext uri="{FF2B5EF4-FFF2-40B4-BE49-F238E27FC236}">
              <a16:creationId xmlns:a16="http://schemas.microsoft.com/office/drawing/2014/main" id="{7A36AEFB-4A81-4883-B5EB-6C3118CF3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447675</xdr:colOff>
      <xdr:row>6</xdr:row>
      <xdr:rowOff>19049</xdr:rowOff>
    </xdr:from>
    <xdr:to>
      <xdr:col>24</xdr:col>
      <xdr:colOff>104775</xdr:colOff>
      <xdr:row>27</xdr:row>
      <xdr:rowOff>9524</xdr:rowOff>
    </xdr:to>
    <xdr:graphicFrame macro="">
      <xdr:nvGraphicFramePr>
        <xdr:cNvPr id="3" name="Chart 2">
          <a:extLst>
            <a:ext uri="{FF2B5EF4-FFF2-40B4-BE49-F238E27FC236}">
              <a16:creationId xmlns:a16="http://schemas.microsoft.com/office/drawing/2014/main" id="{3679D2B6-6817-4C04-9F2F-18732FB94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352425</xdr:colOff>
      <xdr:row>6</xdr:row>
      <xdr:rowOff>114300</xdr:rowOff>
    </xdr:from>
    <xdr:to>
      <xdr:col>31</xdr:col>
      <xdr:colOff>425450</xdr:colOff>
      <xdr:row>26</xdr:row>
      <xdr:rowOff>85725</xdr:rowOff>
    </xdr:to>
    <xdr:graphicFrame macro="">
      <xdr:nvGraphicFramePr>
        <xdr:cNvPr id="4" name="Chart 3">
          <a:extLst>
            <a:ext uri="{FF2B5EF4-FFF2-40B4-BE49-F238E27FC236}">
              <a16:creationId xmlns:a16="http://schemas.microsoft.com/office/drawing/2014/main" id="{4A9F7340-712E-488A-AE22-970E8FE09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238125</xdr:colOff>
      <xdr:row>1</xdr:row>
      <xdr:rowOff>9525</xdr:rowOff>
    </xdr:from>
    <xdr:to>
      <xdr:col>17</xdr:col>
      <xdr:colOff>381000</xdr:colOff>
      <xdr:row>5</xdr:row>
      <xdr:rowOff>133350</xdr:rowOff>
    </xdr:to>
    <xdr:pic>
      <xdr:nvPicPr>
        <xdr:cNvPr id="5" name="Picture 4">
          <a:extLst>
            <a:ext uri="{FF2B5EF4-FFF2-40B4-BE49-F238E27FC236}">
              <a16:creationId xmlns:a16="http://schemas.microsoft.com/office/drawing/2014/main" id="{E0DDFCF5-D2EC-42ED-B78C-16D7CD71FBA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24525" y="171450"/>
          <a:ext cx="5019675"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333375</xdr:colOff>
      <xdr:row>28</xdr:row>
      <xdr:rowOff>0</xdr:rowOff>
    </xdr:from>
    <xdr:to>
      <xdr:col>20</xdr:col>
      <xdr:colOff>400050</xdr:colOff>
      <xdr:row>36</xdr:row>
      <xdr:rowOff>47625</xdr:rowOff>
    </xdr:to>
    <xdr:sp macro="" textlink="">
      <xdr:nvSpPr>
        <xdr:cNvPr id="8" name="TextBox 7">
          <a:extLst>
            <a:ext uri="{FF2B5EF4-FFF2-40B4-BE49-F238E27FC236}">
              <a16:creationId xmlns:a16="http://schemas.microsoft.com/office/drawing/2014/main" id="{2FBAF4D2-0E3E-4CD9-B6B6-8DE087A65752}"/>
            </a:ext>
          </a:extLst>
        </xdr:cNvPr>
        <xdr:cNvSpPr txBox="1"/>
      </xdr:nvSpPr>
      <xdr:spPr>
        <a:xfrm>
          <a:off x="5819775" y="4591050"/>
          <a:ext cx="6772275" cy="1343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0" i="0" u="none" strike="noStrike" baseline="0">
              <a:solidFill>
                <a:schemeClr val="dk1"/>
              </a:solidFill>
              <a:latin typeface="+mn-lt"/>
              <a:ea typeface="+mn-ea"/>
              <a:cs typeface="+mn-cs"/>
            </a:rPr>
            <a:t>Sources: Database of Country Fiscal Measures in Response to the COVID-19 Pandemic; and IMF staff estimates.</a:t>
          </a:r>
        </a:p>
        <a:p>
          <a:pPr rtl="0"/>
          <a:r>
            <a:rPr lang="en-US" sz="1100" b="0" i="0" u="none" strike="noStrike" baseline="0">
              <a:solidFill>
                <a:schemeClr val="dk1"/>
              </a:solidFill>
              <a:latin typeface="+mn-lt"/>
              <a:ea typeface="+mn-ea"/>
              <a:cs typeface="+mn-cs"/>
            </a:rPr>
            <a:t>Note: Estimates as of June 5, 2021. Numbers in U.S. dollar and percent of GDP are based on July 2021 World Economic Outlook Update unless otherwise stated. Country group averages are weighted by GDP in US dollars adjusted by purchasing power parity. Data labels use International Organization for Standardization country codes. AEs = advanced economies; EMEs = emerging market economies; LIDCs = low-income developing countries.</a:t>
          </a:r>
          <a:endParaRPr lang="en-US" sz="1100" b="0" i="1" u="none" strike="noStrike" baseline="0">
            <a:solidFill>
              <a:schemeClr val="dk1"/>
            </a:solidFill>
            <a:latin typeface="+mn-lt"/>
            <a:ea typeface="+mn-ea"/>
            <a:cs typeface="+mn-cs"/>
          </a:endParaRPr>
        </a:p>
        <a:p>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0.85986</cdr:x>
      <cdr:y>0.875</cdr:y>
    </cdr:from>
    <cdr:to>
      <cdr:x>0.89986</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3731980" y="2858691"/>
          <a:ext cx="173609" cy="408384"/>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3.xml><?xml version="1.0" encoding="utf-8"?>
<c:userShapes xmlns:c="http://schemas.openxmlformats.org/drawingml/2006/chart">
  <cdr:relSizeAnchor xmlns:cdr="http://schemas.openxmlformats.org/drawingml/2006/chartDrawing">
    <cdr:from>
      <cdr:x>0.39165</cdr:x>
      <cdr:y>0.88301</cdr:y>
    </cdr:from>
    <cdr:to>
      <cdr:x>0.43277</cdr:x>
      <cdr:y>1</cdr:y>
    </cdr:to>
    <cdr:sp macro="" textlink="">
      <cdr:nvSpPr>
        <cdr:cNvPr id="2" name="Oval 1">
          <a:extLst xmlns:a="http://schemas.openxmlformats.org/drawingml/2006/main">
            <a:ext uri="{FF2B5EF4-FFF2-40B4-BE49-F238E27FC236}">
              <a16:creationId xmlns:a16="http://schemas.microsoft.com/office/drawing/2014/main" id="{2BC80502-78B7-4C96-81B3-9A14F86E4E34}"/>
            </a:ext>
          </a:extLst>
        </cdr:cNvPr>
        <cdr:cNvSpPr/>
      </cdr:nvSpPr>
      <cdr:spPr>
        <a:xfrm xmlns:a="http://schemas.openxmlformats.org/drawingml/2006/main">
          <a:off x="1775718" y="3019426"/>
          <a:ext cx="186431" cy="400049"/>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US"/>
        </a:p>
      </cdr:txBody>
    </cdr:sp>
  </cdr:relSizeAnchor>
</c:userShapes>
</file>

<file path=xl/drawings/drawing4.xml><?xml version="1.0" encoding="utf-8"?>
<c:userShapes xmlns:c="http://schemas.openxmlformats.org/drawingml/2006/chart">
  <cdr:relSizeAnchor xmlns:cdr="http://schemas.openxmlformats.org/drawingml/2006/chartDrawing">
    <cdr:from>
      <cdr:x>0.30353</cdr:x>
      <cdr:y>0.875</cdr:y>
    </cdr:from>
    <cdr:to>
      <cdr:x>0.34353</cdr:x>
      <cdr:y>1</cdr:y>
    </cdr:to>
    <cdr:sp macro="" textlink="">
      <cdr:nvSpPr>
        <cdr:cNvPr id="2" name="Oval 1">
          <a:extLst xmlns:a="http://schemas.openxmlformats.org/drawingml/2006/main">
            <a:ext uri="{FF2B5EF4-FFF2-40B4-BE49-F238E27FC236}">
              <a16:creationId xmlns:a16="http://schemas.microsoft.com/office/drawing/2014/main" id="{973CD3B6-920C-4A6F-8791-4533D8729BF2}"/>
            </a:ext>
          </a:extLst>
        </cdr:cNvPr>
        <cdr:cNvSpPr/>
      </cdr:nvSpPr>
      <cdr:spPr>
        <a:xfrm xmlns:a="http://schemas.openxmlformats.org/drawingml/2006/main">
          <a:off x="1317372" y="2808684"/>
          <a:ext cx="173609" cy="401241"/>
        </a:xfrm>
        <a:prstGeom xmlns:a="http://schemas.openxmlformats.org/drawingml/2006/main" prst="ellipse">
          <a:avLst/>
        </a:prstGeom>
        <a:noFill xmlns:a="http://schemas.openxmlformats.org/drawingml/2006/main"/>
      </cdr:spPr>
      <cdr:style>
        <a:lnRef xmlns:a="http://schemas.openxmlformats.org/drawingml/2006/main" idx="2">
          <a:schemeClr val="accent4"/>
        </a:lnRef>
        <a:fillRef xmlns:a="http://schemas.openxmlformats.org/drawingml/2006/main" idx="1">
          <a:schemeClr val="lt1"/>
        </a:fillRef>
        <a:effectRef xmlns:a="http://schemas.openxmlformats.org/drawingml/2006/main" idx="0">
          <a:schemeClr val="accent4"/>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ersons/person.xml><?xml version="1.0" encoding="utf-8"?>
<personList xmlns="http://schemas.microsoft.com/office/spreadsheetml/2018/threadedcomments" xmlns:x="http://schemas.openxmlformats.org/spreadsheetml/2006/main">
  <person displayName="Han, Xuehui" id="{547B2E81-CA4B-47E5-A50E-59240034FD18}" userId="S::XHan@imf.org::bb66be45-1b11-4526-9c9c-fc7f1246fb84"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02" dT="2021-06-10T18:49:39.94" personId="{547B2E81-CA4B-47E5-A50E-59240034FD18}" id="{A8C4A238-BE9A-4F75-9A86-321B2D55863C}">
    <text>The input on web for item 1.2 (26 bn) is mislabeled. There is only one 26 bn for guarantees</text>
  </threadedComment>
  <threadedComment ref="G108" dT="2021-06-08T02:38:55.37" personId="{547B2E81-CA4B-47E5-A50E-59240034FD18}" id="{14FA73BD-CA3C-4719-91FB-0D24035FED80}">
    <text>The desk reported values in % of GDP in the survey. The most up to date data was sent in via email on June 7 2021 by Jose, which are different from web.</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523D-77B3-4772-B63B-307B10B98CEF}">
  <sheetPr>
    <tabColor rgb="FFFF0000"/>
    <pageSetUpPr fitToPage="1"/>
  </sheetPr>
  <dimension ref="A2:Z205"/>
  <sheetViews>
    <sheetView view="pageBreakPreview" zoomScale="70" zoomScaleNormal="100" zoomScaleSheetLayoutView="70" workbookViewId="0">
      <pane ySplit="5" topLeftCell="A64" activePane="bottomLeft" state="frozen"/>
      <selection activeCell="K198" sqref="K198:K200"/>
      <selection pane="bottomLeft" activeCell="I66" sqref="I66:I68"/>
    </sheetView>
  </sheetViews>
  <sheetFormatPr baseColWidth="10" defaultColWidth="8.54296875" defaultRowHeight="12.5" outlineLevelRow="1" outlineLevelCol="1"/>
  <cols>
    <col min="1" max="1" width="6.54296875" style="2" customWidth="1" outlineLevel="1"/>
    <col min="2" max="2" width="7.26953125" style="2" customWidth="1" outlineLevel="1"/>
    <col min="3" max="3" width="5.81640625" style="152" customWidth="1"/>
    <col min="4" max="4" width="5.81640625" style="127" customWidth="1"/>
    <col min="5" max="5" width="1.453125" style="12" customWidth="1"/>
    <col min="6" max="6" width="4" style="11" bestFit="1" customWidth="1"/>
    <col min="7" max="7" width="10.54296875" style="150" customWidth="1"/>
    <col min="8" max="8" width="8.1796875" style="2" customWidth="1"/>
    <col min="9" max="9" width="32.54296875" style="12" customWidth="1"/>
    <col min="10" max="10" width="9" style="12" customWidth="1"/>
    <col min="11" max="11" width="68.81640625" style="11" customWidth="1"/>
    <col min="12" max="12" width="9" style="11" customWidth="1"/>
    <col min="13" max="13" width="36.54296875" style="11" customWidth="1"/>
    <col min="14" max="14" width="1.453125" style="12" customWidth="1"/>
    <col min="15" max="15" width="4" style="11" bestFit="1" customWidth="1"/>
    <col min="16" max="16" width="9.453125" style="12" customWidth="1"/>
    <col min="17" max="17" width="8.453125" style="151" customWidth="1"/>
    <col min="18" max="18" width="32.1796875" style="11" customWidth="1"/>
    <col min="19" max="19" width="1.453125" style="12" customWidth="1"/>
    <col min="20" max="20" width="4" style="11" bestFit="1" customWidth="1"/>
    <col min="21" max="21" width="8.54296875" style="150" bestFit="1" customWidth="1"/>
    <col min="22" max="22" width="37.453125" style="11" customWidth="1"/>
    <col min="23" max="23" width="9" style="11" customWidth="1"/>
    <col min="24" max="24" width="37.1796875" style="11" customWidth="1"/>
    <col min="25" max="25" width="9.54296875" style="11" hidden="1" customWidth="1"/>
    <col min="26" max="26" width="2.54296875" style="12" customWidth="1"/>
    <col min="27" max="16384" width="8.54296875" style="2"/>
  </cols>
  <sheetData>
    <row r="2" spans="1:26" ht="21.65" customHeight="1">
      <c r="A2" s="1"/>
      <c r="C2" s="3" t="s">
        <v>0</v>
      </c>
      <c r="D2" s="3"/>
      <c r="E2" s="4"/>
      <c r="F2" s="5"/>
      <c r="G2" s="6"/>
      <c r="H2" s="7"/>
      <c r="I2" s="4"/>
      <c r="J2" s="4"/>
      <c r="K2" s="8"/>
      <c r="L2" s="8"/>
      <c r="M2" s="8"/>
      <c r="N2" s="4"/>
      <c r="O2" s="8"/>
      <c r="P2" s="4"/>
      <c r="Q2" s="9"/>
      <c r="R2" s="8"/>
      <c r="S2" s="4"/>
      <c r="T2" s="8"/>
      <c r="U2" s="10"/>
      <c r="V2" s="8"/>
      <c r="W2" s="8"/>
      <c r="X2" s="8"/>
    </row>
    <row r="3" spans="1:26" ht="116.15" customHeight="1" outlineLevel="1">
      <c r="A3" s="1"/>
      <c r="C3" s="282" t="s">
        <v>530</v>
      </c>
      <c r="D3" s="282"/>
      <c r="E3" s="282"/>
      <c r="F3" s="282"/>
      <c r="G3" s="282"/>
      <c r="H3" s="282"/>
      <c r="I3" s="282"/>
      <c r="J3" s="282"/>
      <c r="K3" s="282"/>
      <c r="L3" s="282"/>
      <c r="M3" s="282"/>
      <c r="N3" s="282"/>
      <c r="O3" s="282"/>
      <c r="P3" s="282"/>
      <c r="Q3" s="282"/>
      <c r="R3" s="282"/>
      <c r="S3" s="282"/>
      <c r="T3" s="282"/>
      <c r="U3" s="282"/>
      <c r="V3" s="282"/>
      <c r="W3" s="282"/>
      <c r="X3" s="282"/>
    </row>
    <row r="4" spans="1:26" ht="13" customHeight="1">
      <c r="A4" s="14"/>
      <c r="B4" s="14"/>
      <c r="C4" s="15"/>
      <c r="D4" s="15"/>
      <c r="F4" s="15"/>
      <c r="G4" s="16"/>
      <c r="H4" s="283" t="s">
        <v>1</v>
      </c>
      <c r="I4" s="283"/>
      <c r="J4" s="283"/>
      <c r="K4" s="283"/>
      <c r="L4" s="283"/>
      <c r="M4" s="283"/>
      <c r="O4" s="15"/>
      <c r="P4" s="17"/>
      <c r="Q4" s="284" t="s">
        <v>2</v>
      </c>
      <c r="R4" s="284"/>
      <c r="T4" s="284" t="s">
        <v>3</v>
      </c>
      <c r="U4" s="284"/>
      <c r="V4" s="284"/>
      <c r="W4" s="284"/>
      <c r="X4" s="284"/>
      <c r="Y4" s="18" t="s">
        <v>4</v>
      </c>
    </row>
    <row r="5" spans="1:26" s="31" customFormat="1" ht="58">
      <c r="A5" s="19" t="s">
        <v>5</v>
      </c>
      <c r="B5" s="20" t="s">
        <v>6</v>
      </c>
      <c r="C5" s="21" t="s">
        <v>7</v>
      </c>
      <c r="D5" s="22" t="s">
        <v>8</v>
      </c>
      <c r="E5" s="23"/>
      <c r="F5" s="24" t="s">
        <v>9</v>
      </c>
      <c r="G5" s="25" t="s">
        <v>10</v>
      </c>
      <c r="H5" s="26" t="s">
        <v>11</v>
      </c>
      <c r="I5" s="19" t="s">
        <v>12</v>
      </c>
      <c r="J5" s="26" t="s">
        <v>13</v>
      </c>
      <c r="K5" s="19" t="s">
        <v>14</v>
      </c>
      <c r="L5" s="19" t="s">
        <v>13</v>
      </c>
      <c r="M5" s="19" t="s">
        <v>15</v>
      </c>
      <c r="N5" s="23"/>
      <c r="O5" s="24" t="s">
        <v>9</v>
      </c>
      <c r="P5" s="27" t="s">
        <v>16</v>
      </c>
      <c r="Q5" s="28" t="s">
        <v>13</v>
      </c>
      <c r="R5" s="19" t="s">
        <v>17</v>
      </c>
      <c r="S5" s="23"/>
      <c r="T5" s="29" t="s">
        <v>9</v>
      </c>
      <c r="U5" s="28" t="s">
        <v>13</v>
      </c>
      <c r="V5" s="19" t="s">
        <v>18</v>
      </c>
      <c r="W5" s="19" t="s">
        <v>13</v>
      </c>
      <c r="X5" s="19" t="s">
        <v>19</v>
      </c>
      <c r="Y5" s="30" t="s">
        <v>20</v>
      </c>
      <c r="Z5" s="23"/>
    </row>
    <row r="6" spans="1:26" ht="152.5" customHeight="1">
      <c r="A6" s="285">
        <v>1</v>
      </c>
      <c r="B6" s="229" t="s">
        <v>21</v>
      </c>
      <c r="C6" s="230" t="s">
        <v>22</v>
      </c>
      <c r="D6" s="233" t="s">
        <v>23</v>
      </c>
      <c r="F6" s="32" t="s">
        <v>24</v>
      </c>
      <c r="G6" s="33">
        <v>361.7</v>
      </c>
      <c r="H6" s="34">
        <v>20</v>
      </c>
      <c r="I6" s="226" t="s">
        <v>457</v>
      </c>
      <c r="J6" s="35">
        <v>341.7</v>
      </c>
      <c r="K6" s="226" t="s">
        <v>25</v>
      </c>
      <c r="L6" s="36"/>
      <c r="M6" s="247"/>
      <c r="O6" s="32" t="s">
        <v>24</v>
      </c>
      <c r="P6" s="37">
        <v>35</v>
      </c>
      <c r="Q6" s="38">
        <v>15</v>
      </c>
      <c r="R6" s="222" t="s">
        <v>26</v>
      </c>
      <c r="T6" s="32" t="s">
        <v>24</v>
      </c>
      <c r="U6" s="33">
        <v>20</v>
      </c>
      <c r="V6" s="236" t="s">
        <v>27</v>
      </c>
      <c r="W6" s="39"/>
      <c r="X6" s="39"/>
      <c r="Y6" s="223" t="s">
        <v>28</v>
      </c>
    </row>
    <row r="7" spans="1:26" ht="105" customHeight="1">
      <c r="A7" s="229"/>
      <c r="B7" s="229"/>
      <c r="C7" s="231"/>
      <c r="D7" s="234"/>
      <c r="F7" s="32" t="s">
        <v>29</v>
      </c>
      <c r="G7" s="37">
        <v>249.72579708899613</v>
      </c>
      <c r="H7" s="34">
        <v>13.808448829914081</v>
      </c>
      <c r="I7" s="237"/>
      <c r="J7" s="37">
        <v>235.91734825908208</v>
      </c>
      <c r="K7" s="237"/>
      <c r="L7" s="40"/>
      <c r="M7" s="248"/>
      <c r="O7" s="32" t="s">
        <v>29</v>
      </c>
      <c r="P7" s="41">
        <v>24.164785452349641</v>
      </c>
      <c r="Q7" s="41">
        <v>10.356336622435562</v>
      </c>
      <c r="R7" s="223"/>
      <c r="T7" s="32" t="s">
        <v>29</v>
      </c>
      <c r="U7" s="42">
        <v>13.808448829914079</v>
      </c>
      <c r="V7" s="237"/>
      <c r="W7" s="39"/>
      <c r="X7" s="39"/>
      <c r="Y7" s="223"/>
    </row>
    <row r="8" spans="1:26" ht="267" customHeight="1">
      <c r="A8" s="229"/>
      <c r="B8" s="229"/>
      <c r="C8" s="232"/>
      <c r="D8" s="235"/>
      <c r="E8" s="4"/>
      <c r="F8" s="43" t="s">
        <v>30</v>
      </c>
      <c r="G8" s="44">
        <v>18.373752710725405</v>
      </c>
      <c r="H8" s="44">
        <v>1.0159664202778771</v>
      </c>
      <c r="I8" s="238"/>
      <c r="J8" s="44">
        <v>17.357786290447528</v>
      </c>
      <c r="K8" s="238"/>
      <c r="L8" s="45"/>
      <c r="M8" s="249"/>
      <c r="N8" s="4"/>
      <c r="O8" s="43" t="s">
        <v>30</v>
      </c>
      <c r="P8" s="46">
        <v>1.7779412354862849</v>
      </c>
      <c r="Q8" s="47">
        <v>0.76197481520840771</v>
      </c>
      <c r="R8" s="224"/>
      <c r="S8" s="4"/>
      <c r="T8" s="43" t="s">
        <v>30</v>
      </c>
      <c r="U8" s="48">
        <v>1.0159664202778771</v>
      </c>
      <c r="V8" s="238"/>
      <c r="W8" s="49"/>
      <c r="X8" s="49"/>
      <c r="Y8" s="224"/>
      <c r="Z8" s="4"/>
    </row>
    <row r="9" spans="1:26" ht="89.5" customHeight="1">
      <c r="A9" s="229">
        <v>1</v>
      </c>
      <c r="B9" s="229" t="s">
        <v>21</v>
      </c>
      <c r="C9" s="230" t="s">
        <v>31</v>
      </c>
      <c r="D9" s="234" t="s">
        <v>32</v>
      </c>
      <c r="E9" s="50"/>
      <c r="F9" s="51" t="s">
        <v>24</v>
      </c>
      <c r="G9" s="52">
        <v>350.2</v>
      </c>
      <c r="H9" s="52">
        <v>60.3</v>
      </c>
      <c r="I9" s="239" t="s">
        <v>33</v>
      </c>
      <c r="J9" s="52">
        <v>289.89999999999998</v>
      </c>
      <c r="K9" s="222" t="s">
        <v>34</v>
      </c>
      <c r="L9" s="52">
        <v>85.1</v>
      </c>
      <c r="M9" s="222" t="s">
        <v>35</v>
      </c>
      <c r="N9" s="50"/>
      <c r="O9" s="51" t="s">
        <v>24</v>
      </c>
      <c r="P9" s="53">
        <v>87.100000000000009</v>
      </c>
      <c r="Q9" s="54">
        <v>5.2</v>
      </c>
      <c r="R9" s="222" t="s">
        <v>36</v>
      </c>
      <c r="S9" s="50"/>
      <c r="T9" s="51" t="s">
        <v>24</v>
      </c>
      <c r="U9" s="55">
        <v>81.900000000000006</v>
      </c>
      <c r="V9" s="222" t="s">
        <v>37</v>
      </c>
      <c r="W9" s="56"/>
      <c r="X9" s="56"/>
      <c r="Y9" s="56"/>
      <c r="Z9" s="57"/>
    </row>
    <row r="10" spans="1:26" ht="98.5" customHeight="1">
      <c r="A10" s="229"/>
      <c r="B10" s="229"/>
      <c r="C10" s="231"/>
      <c r="D10" s="234"/>
      <c r="E10" s="11"/>
      <c r="F10" s="32" t="s">
        <v>29</v>
      </c>
      <c r="G10" s="37">
        <v>261.11866848038159</v>
      </c>
      <c r="H10" s="37">
        <v>44.961324127261591</v>
      </c>
      <c r="I10" s="240"/>
      <c r="J10" s="37">
        <v>216.15734435311998</v>
      </c>
      <c r="K10" s="223"/>
      <c r="L10" s="37">
        <v>63.452880318904832</v>
      </c>
      <c r="M10" s="223"/>
      <c r="N10" s="11"/>
      <c r="O10" s="32" t="s">
        <v>29</v>
      </c>
      <c r="P10" s="58">
        <v>64.944134850488979</v>
      </c>
      <c r="Q10" s="59">
        <v>3.8772617821187447</v>
      </c>
      <c r="R10" s="223"/>
      <c r="S10" s="11"/>
      <c r="T10" s="32" t="s">
        <v>29</v>
      </c>
      <c r="U10" s="37">
        <v>61.066873068370228</v>
      </c>
      <c r="V10" s="223"/>
      <c r="W10" s="39"/>
      <c r="X10" s="39"/>
      <c r="Y10" s="39"/>
    </row>
    <row r="11" spans="1:26" ht="178.5" customHeight="1">
      <c r="A11" s="229"/>
      <c r="B11" s="229"/>
      <c r="C11" s="232"/>
      <c r="D11" s="235"/>
      <c r="E11" s="8"/>
      <c r="F11" s="43" t="s">
        <v>30</v>
      </c>
      <c r="G11" s="44">
        <v>15.882770459498252</v>
      </c>
      <c r="H11" s="44">
        <v>2.7348117039056099</v>
      </c>
      <c r="I11" s="241"/>
      <c r="J11" s="44">
        <v>13.147958755592642</v>
      </c>
      <c r="K11" s="224"/>
      <c r="L11" s="44">
        <v>3.8595767164571715</v>
      </c>
      <c r="M11" s="224"/>
      <c r="N11" s="8"/>
      <c r="O11" s="43" t="s">
        <v>30</v>
      </c>
      <c r="P11" s="60">
        <v>3.9502835723081042</v>
      </c>
      <c r="Q11" s="47">
        <v>0.23583782521242411</v>
      </c>
      <c r="R11" s="224"/>
      <c r="S11" s="8"/>
      <c r="T11" s="43" t="s">
        <v>30</v>
      </c>
      <c r="U11" s="44">
        <v>3.71444574709568</v>
      </c>
      <c r="V11" s="224"/>
      <c r="W11" s="49"/>
      <c r="X11" s="49"/>
      <c r="Y11" s="49"/>
      <c r="Z11" s="4"/>
    </row>
    <row r="12" spans="1:26" ht="169.5" customHeight="1">
      <c r="A12" s="229" t="s">
        <v>38</v>
      </c>
      <c r="B12" s="229" t="s">
        <v>38</v>
      </c>
      <c r="C12" s="230" t="s">
        <v>39</v>
      </c>
      <c r="D12" s="234"/>
      <c r="E12" s="50"/>
      <c r="F12" s="32" t="s">
        <v>24</v>
      </c>
      <c r="G12" s="52">
        <v>427.85</v>
      </c>
      <c r="H12" s="55">
        <v>0.05</v>
      </c>
      <c r="I12" s="239" t="s">
        <v>40</v>
      </c>
      <c r="J12" s="52">
        <v>427.8</v>
      </c>
      <c r="K12" s="222" t="s">
        <v>41</v>
      </c>
      <c r="L12" s="56"/>
      <c r="M12" s="56"/>
      <c r="N12" s="50"/>
      <c r="O12" s="32" t="s">
        <v>24</v>
      </c>
      <c r="P12" s="53">
        <v>765</v>
      </c>
      <c r="Q12" s="61">
        <v>700</v>
      </c>
      <c r="R12" s="236" t="s">
        <v>42</v>
      </c>
      <c r="S12" s="50"/>
      <c r="T12" s="32" t="s">
        <v>24</v>
      </c>
      <c r="U12" s="52">
        <v>65</v>
      </c>
      <c r="V12" s="222" t="s">
        <v>43</v>
      </c>
      <c r="W12" s="56"/>
      <c r="X12" s="56"/>
      <c r="Y12" s="222" t="s">
        <v>44</v>
      </c>
      <c r="Z12" s="57"/>
    </row>
    <row r="13" spans="1:26" ht="138" customHeight="1">
      <c r="A13" s="229"/>
      <c r="B13" s="229"/>
      <c r="C13" s="231"/>
      <c r="D13" s="234"/>
      <c r="E13" s="11"/>
      <c r="F13" s="32" t="s">
        <v>29</v>
      </c>
      <c r="G13" s="37">
        <v>488.29744352478542</v>
      </c>
      <c r="H13" s="34">
        <v>5.706409296772063E-2</v>
      </c>
      <c r="I13" s="240"/>
      <c r="J13" s="37">
        <v>488.2403794318177</v>
      </c>
      <c r="K13" s="223"/>
      <c r="L13" s="39"/>
      <c r="M13" s="39"/>
      <c r="N13" s="11"/>
      <c r="O13" s="32" t="s">
        <v>29</v>
      </c>
      <c r="P13" s="58">
        <v>873.0806224061256</v>
      </c>
      <c r="Q13" s="63">
        <v>798.89730154808876</v>
      </c>
      <c r="R13" s="237"/>
      <c r="S13" s="11"/>
      <c r="T13" s="32" t="s">
        <v>29</v>
      </c>
      <c r="U13" s="37">
        <v>74.183320858036808</v>
      </c>
      <c r="V13" s="223"/>
      <c r="W13" s="39"/>
      <c r="X13" s="39"/>
      <c r="Y13" s="223"/>
    </row>
    <row r="14" spans="1:26" ht="216" customHeight="1">
      <c r="A14" s="229"/>
      <c r="B14" s="229"/>
      <c r="C14" s="232"/>
      <c r="D14" s="235"/>
      <c r="E14" s="8"/>
      <c r="F14" s="43" t="s">
        <v>30</v>
      </c>
      <c r="G14" s="44">
        <v>3.776659588773188</v>
      </c>
      <c r="H14" s="44">
        <v>4.4135322996063909E-4</v>
      </c>
      <c r="I14" s="241"/>
      <c r="J14" s="44">
        <v>3.7762182355432281</v>
      </c>
      <c r="K14" s="224"/>
      <c r="L14" s="49"/>
      <c r="M14" s="49"/>
      <c r="N14" s="8"/>
      <c r="O14" s="43" t="s">
        <v>30</v>
      </c>
      <c r="P14" s="60">
        <v>6.7527044183977774</v>
      </c>
      <c r="Q14" s="47">
        <v>6.1789452194489467</v>
      </c>
      <c r="R14" s="238"/>
      <c r="S14" s="8"/>
      <c r="T14" s="43" t="s">
        <v>30</v>
      </c>
      <c r="U14" s="44">
        <v>0.57375919894883076</v>
      </c>
      <c r="V14" s="224"/>
      <c r="W14" s="49"/>
      <c r="X14" s="49"/>
      <c r="Y14" s="224"/>
      <c r="Z14" s="4"/>
    </row>
    <row r="15" spans="1:26" ht="91.5" customHeight="1">
      <c r="A15" s="229">
        <v>1</v>
      </c>
      <c r="B15" s="229" t="s">
        <v>21</v>
      </c>
      <c r="C15" s="231" t="s">
        <v>45</v>
      </c>
      <c r="D15" s="234" t="s">
        <v>23</v>
      </c>
      <c r="E15" s="50"/>
      <c r="F15" s="32" t="s">
        <v>24</v>
      </c>
      <c r="G15" s="52">
        <v>220.70000000000002</v>
      </c>
      <c r="H15" s="52">
        <v>31.3</v>
      </c>
      <c r="I15" s="222" t="s">
        <v>46</v>
      </c>
      <c r="J15" s="64">
        <v>189.4</v>
      </c>
      <c r="K15" s="236" t="s">
        <v>47</v>
      </c>
      <c r="L15" s="64">
        <v>69.5</v>
      </c>
      <c r="M15" s="236" t="s">
        <v>48</v>
      </c>
      <c r="N15" s="50"/>
      <c r="O15" s="32" t="s">
        <v>24</v>
      </c>
      <c r="P15" s="53">
        <v>350.3</v>
      </c>
      <c r="Q15" s="61">
        <v>15.8</v>
      </c>
      <c r="R15" s="222" t="s">
        <v>49</v>
      </c>
      <c r="S15" s="50"/>
      <c r="T15" s="32" t="s">
        <v>24</v>
      </c>
      <c r="U15" s="52">
        <v>334.5</v>
      </c>
      <c r="V15" s="222" t="s">
        <v>50</v>
      </c>
      <c r="W15" s="56"/>
      <c r="X15" s="56"/>
      <c r="Y15" s="56" t="s">
        <v>51</v>
      </c>
      <c r="Z15" s="57"/>
    </row>
    <row r="16" spans="1:26" ht="76.5" customHeight="1">
      <c r="A16" s="229"/>
      <c r="B16" s="229"/>
      <c r="C16" s="231"/>
      <c r="D16" s="234"/>
      <c r="E16" s="11"/>
      <c r="F16" s="32" t="s">
        <v>29</v>
      </c>
      <c r="G16" s="37">
        <v>251.88090635951886</v>
      </c>
      <c r="H16" s="37">
        <v>35.722122197793112</v>
      </c>
      <c r="I16" s="223"/>
      <c r="J16" s="37">
        <v>216.15878416172575</v>
      </c>
      <c r="K16" s="237"/>
      <c r="L16" s="37">
        <v>79.319089225131677</v>
      </c>
      <c r="M16" s="237"/>
      <c r="N16" s="11"/>
      <c r="O16" s="32" t="s">
        <v>29</v>
      </c>
      <c r="P16" s="58">
        <v>399.79103533185071</v>
      </c>
      <c r="Q16" s="63">
        <v>18.032253377799719</v>
      </c>
      <c r="R16" s="223"/>
      <c r="S16" s="11"/>
      <c r="T16" s="32" t="s">
        <v>29</v>
      </c>
      <c r="U16" s="37">
        <v>381.75878195405102</v>
      </c>
      <c r="V16" s="223"/>
      <c r="W16" s="39"/>
      <c r="X16" s="39"/>
      <c r="Y16" s="39"/>
    </row>
    <row r="17" spans="1:26" s="7" customFormat="1" ht="108" customHeight="1">
      <c r="A17" s="229"/>
      <c r="B17" s="229"/>
      <c r="C17" s="232"/>
      <c r="D17" s="235"/>
      <c r="E17" s="8"/>
      <c r="F17" s="43" t="s">
        <v>30</v>
      </c>
      <c r="G17" s="44">
        <v>9.583735007772944</v>
      </c>
      <c r="H17" s="44">
        <v>1.3591794551123386</v>
      </c>
      <c r="I17" s="224"/>
      <c r="J17" s="44">
        <v>8.224555552660604</v>
      </c>
      <c r="K17" s="238"/>
      <c r="L17" s="44">
        <v>3.017986330041774</v>
      </c>
      <c r="M17" s="238"/>
      <c r="N17" s="8"/>
      <c r="O17" s="43" t="s">
        <v>30</v>
      </c>
      <c r="P17" s="60">
        <v>15.211519588685375</v>
      </c>
      <c r="Q17" s="47">
        <v>0.68610336711741049</v>
      </c>
      <c r="R17" s="224"/>
      <c r="S17" s="8"/>
      <c r="T17" s="43" t="s">
        <v>30</v>
      </c>
      <c r="U17" s="44">
        <v>14.525416221567964</v>
      </c>
      <c r="V17" s="224"/>
      <c r="W17" s="49"/>
      <c r="X17" s="49"/>
      <c r="Y17" s="49"/>
      <c r="Z17" s="4"/>
    </row>
    <row r="18" spans="1:26" s="67" customFormat="1" ht="52.5" customHeight="1">
      <c r="A18" s="229">
        <v>1</v>
      </c>
      <c r="B18" s="229" t="s">
        <v>21</v>
      </c>
      <c r="C18" s="231" t="s">
        <v>52</v>
      </c>
      <c r="D18" s="280" t="s">
        <v>23</v>
      </c>
      <c r="E18" s="50"/>
      <c r="F18" s="51" t="s">
        <v>24</v>
      </c>
      <c r="G18" s="52">
        <v>455</v>
      </c>
      <c r="H18" s="52">
        <v>61</v>
      </c>
      <c r="I18" s="239" t="s">
        <v>53</v>
      </c>
      <c r="J18" s="52">
        <v>394</v>
      </c>
      <c r="K18" s="222" t="s">
        <v>54</v>
      </c>
      <c r="L18" s="65"/>
      <c r="M18" s="222" t="s">
        <v>55</v>
      </c>
      <c r="N18" s="50"/>
      <c r="O18" s="51" t="s">
        <v>24</v>
      </c>
      <c r="P18" s="66">
        <v>927</v>
      </c>
      <c r="Q18" s="61">
        <v>100</v>
      </c>
      <c r="R18" s="222" t="s">
        <v>56</v>
      </c>
      <c r="S18" s="50"/>
      <c r="T18" s="51" t="s">
        <v>24</v>
      </c>
      <c r="U18" s="52">
        <v>827</v>
      </c>
      <c r="V18" s="222" t="s">
        <v>57</v>
      </c>
      <c r="W18" s="56"/>
      <c r="X18" s="56"/>
      <c r="Y18" s="222" t="s">
        <v>58</v>
      </c>
      <c r="Z18" s="57"/>
    </row>
    <row r="19" spans="1:26" ht="54.65" customHeight="1">
      <c r="A19" s="229"/>
      <c r="B19" s="229"/>
      <c r="C19" s="231"/>
      <c r="D19" s="280"/>
      <c r="E19" s="11"/>
      <c r="F19" s="32" t="s">
        <v>29</v>
      </c>
      <c r="G19" s="37">
        <v>519.28324600625774</v>
      </c>
      <c r="H19" s="37">
        <v>69.618193420619164</v>
      </c>
      <c r="I19" s="240"/>
      <c r="J19" s="37">
        <v>449.66505258563853</v>
      </c>
      <c r="K19" s="223"/>
      <c r="L19" s="68"/>
      <c r="M19" s="223"/>
      <c r="N19" s="11"/>
      <c r="O19" s="32" t="s">
        <v>29</v>
      </c>
      <c r="P19" s="69">
        <v>1057.9682836215404</v>
      </c>
      <c r="Q19" s="63">
        <v>114.12818593544125</v>
      </c>
      <c r="R19" s="223"/>
      <c r="S19" s="11"/>
      <c r="T19" s="32" t="s">
        <v>29</v>
      </c>
      <c r="U19" s="37">
        <v>943.84009768609917</v>
      </c>
      <c r="V19" s="223"/>
      <c r="W19" s="39"/>
      <c r="X19" s="39"/>
      <c r="Y19" s="223"/>
    </row>
    <row r="20" spans="1:26" ht="65.25" customHeight="1">
      <c r="A20" s="229"/>
      <c r="B20" s="229"/>
      <c r="C20" s="232"/>
      <c r="D20" s="281"/>
      <c r="E20" s="8"/>
      <c r="F20" s="43" t="s">
        <v>30</v>
      </c>
      <c r="G20" s="44">
        <v>13.638352846668944</v>
      </c>
      <c r="H20" s="44">
        <v>1.828438513509463</v>
      </c>
      <c r="I20" s="241"/>
      <c r="J20" s="44">
        <v>11.809914333159483</v>
      </c>
      <c r="K20" s="224"/>
      <c r="L20" s="70"/>
      <c r="M20" s="224"/>
      <c r="N20" s="8"/>
      <c r="O20" s="43" t="s">
        <v>30</v>
      </c>
      <c r="P20" s="60">
        <v>27.786270524971673</v>
      </c>
      <c r="Q20" s="47">
        <v>2.9974401860810866</v>
      </c>
      <c r="R20" s="224"/>
      <c r="S20" s="8"/>
      <c r="T20" s="43" t="s">
        <v>30</v>
      </c>
      <c r="U20" s="44">
        <v>24.788830338890588</v>
      </c>
      <c r="V20" s="224"/>
      <c r="W20" s="49"/>
      <c r="X20" s="49"/>
      <c r="Y20" s="224"/>
      <c r="Z20" s="4"/>
    </row>
    <row r="21" spans="1:26" ht="30.65" customHeight="1">
      <c r="A21" s="229">
        <v>1</v>
      </c>
      <c r="B21" s="229" t="s">
        <v>21</v>
      </c>
      <c r="C21" s="231" t="s">
        <v>59</v>
      </c>
      <c r="D21" s="234" t="s">
        <v>23</v>
      </c>
      <c r="E21" s="50"/>
      <c r="F21" s="32" t="s">
        <v>24</v>
      </c>
      <c r="G21" s="52">
        <v>180</v>
      </c>
      <c r="H21" s="55">
        <v>20</v>
      </c>
      <c r="I21" s="239" t="s">
        <v>60</v>
      </c>
      <c r="J21" s="52">
        <v>160</v>
      </c>
      <c r="K21" s="236" t="s">
        <v>61</v>
      </c>
      <c r="L21" s="55">
        <v>7</v>
      </c>
      <c r="M21" s="236" t="s">
        <v>62</v>
      </c>
      <c r="N21" s="50"/>
      <c r="O21" s="32" t="s">
        <v>24</v>
      </c>
      <c r="P21" s="52">
        <v>582.25</v>
      </c>
      <c r="Q21" s="54">
        <v>3.25</v>
      </c>
      <c r="R21" s="236" t="s">
        <v>63</v>
      </c>
      <c r="S21" s="50"/>
      <c r="T21" s="32" t="s">
        <v>24</v>
      </c>
      <c r="U21" s="52">
        <v>579</v>
      </c>
      <c r="V21" s="236" t="s">
        <v>64</v>
      </c>
      <c r="W21" s="71"/>
      <c r="X21" s="236"/>
      <c r="Y21" s="222" t="s">
        <v>65</v>
      </c>
      <c r="Z21" s="57"/>
    </row>
    <row r="22" spans="1:26" ht="38">
      <c r="A22" s="229"/>
      <c r="B22" s="229"/>
      <c r="C22" s="231"/>
      <c r="D22" s="234"/>
      <c r="E22" s="11"/>
      <c r="F22" s="32" t="s">
        <v>29</v>
      </c>
      <c r="G22" s="37">
        <v>205.43073468379424</v>
      </c>
      <c r="H22" s="34">
        <v>22.825637187088251</v>
      </c>
      <c r="I22" s="240"/>
      <c r="J22" s="37">
        <v>182.60509749670601</v>
      </c>
      <c r="K22" s="237"/>
      <c r="L22" s="34">
        <v>7.9889730154808873</v>
      </c>
      <c r="M22" s="237"/>
      <c r="N22" s="11"/>
      <c r="O22" s="32" t="s">
        <v>29</v>
      </c>
      <c r="P22" s="37">
        <v>664.51136260910664</v>
      </c>
      <c r="Q22" s="34">
        <v>3.7091660429018405</v>
      </c>
      <c r="R22" s="237"/>
      <c r="S22" s="11"/>
      <c r="T22" s="32" t="s">
        <v>29</v>
      </c>
      <c r="U22" s="37">
        <v>660.80219656620488</v>
      </c>
      <c r="V22" s="237"/>
      <c r="W22" s="37"/>
      <c r="X22" s="237"/>
      <c r="Y22" s="223"/>
    </row>
    <row r="23" spans="1:26" ht="59.25" customHeight="1">
      <c r="A23" s="229"/>
      <c r="B23" s="229"/>
      <c r="C23" s="232"/>
      <c r="D23" s="235"/>
      <c r="E23" s="8"/>
      <c r="F23" s="43" t="s">
        <v>30</v>
      </c>
      <c r="G23" s="44">
        <v>10.898555638640223</v>
      </c>
      <c r="H23" s="44">
        <v>1.2109506265155805</v>
      </c>
      <c r="I23" s="241"/>
      <c r="J23" s="44">
        <v>9.687605012124644</v>
      </c>
      <c r="K23" s="238"/>
      <c r="L23" s="44">
        <v>0.42383271928045313</v>
      </c>
      <c r="M23" s="238"/>
      <c r="N23" s="8"/>
      <c r="O23" s="43" t="s">
        <v>30</v>
      </c>
      <c r="P23" s="44">
        <v>35.253800114434839</v>
      </c>
      <c r="Q23" s="44">
        <v>0.19677947680878183</v>
      </c>
      <c r="R23" s="238"/>
      <c r="S23" s="8"/>
      <c r="T23" s="43" t="s">
        <v>30</v>
      </c>
      <c r="U23" s="44">
        <v>35.057020637626053</v>
      </c>
      <c r="V23" s="238"/>
      <c r="W23" s="72"/>
      <c r="X23" s="238"/>
      <c r="Y23" s="224"/>
      <c r="Z23" s="4"/>
    </row>
    <row r="24" spans="1:26" ht="130.5" customHeight="1">
      <c r="A24" s="229">
        <v>1</v>
      </c>
      <c r="B24" s="229" t="s">
        <v>21</v>
      </c>
      <c r="C24" s="268" t="s">
        <v>66</v>
      </c>
      <c r="D24" s="234" t="s">
        <v>23</v>
      </c>
      <c r="E24" s="50"/>
      <c r="F24" s="32" t="s">
        <v>24</v>
      </c>
      <c r="G24" s="66">
        <v>88700</v>
      </c>
      <c r="H24" s="66">
        <v>10100</v>
      </c>
      <c r="I24" s="222" t="s">
        <v>67</v>
      </c>
      <c r="J24" s="66">
        <v>78600</v>
      </c>
      <c r="K24" s="226" t="s">
        <v>68</v>
      </c>
      <c r="L24" s="73">
        <v>2900</v>
      </c>
      <c r="M24" s="236" t="s">
        <v>69</v>
      </c>
      <c r="N24" s="50"/>
      <c r="O24" s="51" t="s">
        <v>24</v>
      </c>
      <c r="P24" s="74">
        <v>152600</v>
      </c>
      <c r="Q24" s="75"/>
      <c r="R24" s="274"/>
      <c r="S24" s="50"/>
      <c r="T24" s="51" t="s">
        <v>24</v>
      </c>
      <c r="U24" s="66">
        <v>15700</v>
      </c>
      <c r="V24" s="274" t="s">
        <v>70</v>
      </c>
      <c r="W24" s="73">
        <v>136900</v>
      </c>
      <c r="X24" s="262" t="s">
        <v>71</v>
      </c>
      <c r="Y24" s="222" t="s">
        <v>72</v>
      </c>
      <c r="Z24" s="57"/>
    </row>
    <row r="25" spans="1:26" ht="155.5" customHeight="1">
      <c r="A25" s="229"/>
      <c r="B25" s="229"/>
      <c r="C25" s="268"/>
      <c r="D25" s="234"/>
      <c r="E25" s="11"/>
      <c r="F25" s="32" t="s">
        <v>29</v>
      </c>
      <c r="G25" s="37">
        <v>830.72205126485812</v>
      </c>
      <c r="H25" s="34">
        <v>94.591800651353637</v>
      </c>
      <c r="I25" s="276"/>
      <c r="J25" s="37">
        <v>736.13025061350459</v>
      </c>
      <c r="K25" s="237"/>
      <c r="L25" s="37">
        <v>27.16002196920055</v>
      </c>
      <c r="M25" s="237"/>
      <c r="N25" s="11"/>
      <c r="O25" s="32" t="s">
        <v>29</v>
      </c>
      <c r="P25" s="37">
        <v>1429.1790870689667</v>
      </c>
      <c r="Q25" s="76"/>
      <c r="R25" s="276"/>
      <c r="S25" s="11"/>
      <c r="T25" s="32" t="s">
        <v>29</v>
      </c>
      <c r="U25" s="37">
        <v>147.0387396263616</v>
      </c>
      <c r="V25" s="276"/>
      <c r="W25" s="77">
        <v>1282.1403474426052</v>
      </c>
      <c r="X25" s="278"/>
      <c r="Y25" s="223"/>
    </row>
    <row r="26" spans="1:26" s="7" customFormat="1" ht="270.75" customHeight="1">
      <c r="A26" s="229"/>
      <c r="B26" s="229"/>
      <c r="C26" s="269"/>
      <c r="D26" s="235"/>
      <c r="E26" s="8"/>
      <c r="F26" s="43" t="s">
        <v>30</v>
      </c>
      <c r="G26" s="44">
        <v>16.46834716835404</v>
      </c>
      <c r="H26" s="44">
        <v>1.875200748594992</v>
      </c>
      <c r="I26" s="277"/>
      <c r="J26" s="44">
        <v>14.593146419759046</v>
      </c>
      <c r="K26" s="238"/>
      <c r="L26" s="44">
        <v>0.5384239773193541</v>
      </c>
      <c r="M26" s="238"/>
      <c r="N26" s="8"/>
      <c r="O26" s="43" t="s">
        <v>30</v>
      </c>
      <c r="P26" s="44">
        <v>28.332241013425325</v>
      </c>
      <c r="Q26" s="78"/>
      <c r="R26" s="277"/>
      <c r="S26" s="8"/>
      <c r="T26" s="43" t="s">
        <v>30</v>
      </c>
      <c r="U26" s="44">
        <v>2.91491601514271</v>
      </c>
      <c r="V26" s="277"/>
      <c r="W26" s="79">
        <v>25.417324998282613</v>
      </c>
      <c r="X26" s="279"/>
      <c r="Y26" s="224"/>
      <c r="Z26" s="4"/>
    </row>
    <row r="27" spans="1:26" s="67" customFormat="1" ht="115" customHeight="1">
      <c r="A27" s="229">
        <v>1</v>
      </c>
      <c r="B27" s="229" t="s">
        <v>21</v>
      </c>
      <c r="C27" s="275" t="s">
        <v>73</v>
      </c>
      <c r="D27" s="233" t="s">
        <v>23</v>
      </c>
      <c r="E27" s="50"/>
      <c r="F27" s="51" t="s">
        <v>24</v>
      </c>
      <c r="G27" s="80">
        <v>86700</v>
      </c>
      <c r="H27" s="81">
        <v>10000</v>
      </c>
      <c r="I27" s="255" t="s">
        <v>74</v>
      </c>
      <c r="J27" s="80">
        <v>76700</v>
      </c>
      <c r="K27" s="236" t="s">
        <v>75</v>
      </c>
      <c r="L27" s="80">
        <v>46700</v>
      </c>
      <c r="M27" s="236" t="s">
        <v>76</v>
      </c>
      <c r="N27" s="50"/>
      <c r="O27" s="51" t="s">
        <v>24</v>
      </c>
      <c r="P27" s="73">
        <v>195900</v>
      </c>
      <c r="Q27" s="73"/>
      <c r="R27" s="222"/>
      <c r="S27" s="50"/>
      <c r="T27" s="51" t="s">
        <v>24</v>
      </c>
      <c r="U27" s="82">
        <v>70900</v>
      </c>
      <c r="V27" s="236" t="s">
        <v>77</v>
      </c>
      <c r="W27" s="82">
        <v>125000</v>
      </c>
      <c r="X27" s="274" t="s">
        <v>78</v>
      </c>
      <c r="Y27" s="222" t="s">
        <v>79</v>
      </c>
      <c r="Z27" s="57"/>
    </row>
    <row r="28" spans="1:26" ht="100" customHeight="1">
      <c r="A28" s="229"/>
      <c r="B28" s="229"/>
      <c r="C28" s="268"/>
      <c r="D28" s="234"/>
      <c r="E28" s="11"/>
      <c r="F28" s="32" t="s">
        <v>29</v>
      </c>
      <c r="G28" s="41">
        <v>73.474251908227828</v>
      </c>
      <c r="H28" s="83">
        <v>8.4745388590804875</v>
      </c>
      <c r="I28" s="256"/>
      <c r="J28" s="37">
        <v>64.999713049147346</v>
      </c>
      <c r="K28" s="237"/>
      <c r="L28" s="37">
        <v>39.576096471905878</v>
      </c>
      <c r="M28" s="237"/>
      <c r="N28" s="11"/>
      <c r="O28" s="32" t="s">
        <v>29</v>
      </c>
      <c r="P28" s="37">
        <v>166.01621624938676</v>
      </c>
      <c r="Q28" s="84"/>
      <c r="R28" s="223"/>
      <c r="S28" s="11"/>
      <c r="T28" s="32" t="s">
        <v>29</v>
      </c>
      <c r="U28" s="41">
        <v>60.08448051088066</v>
      </c>
      <c r="V28" s="237"/>
      <c r="W28" s="77">
        <v>105.93173573850609</v>
      </c>
      <c r="X28" s="223"/>
      <c r="Y28" s="223"/>
    </row>
    <row r="29" spans="1:26" ht="263.25" customHeight="1">
      <c r="A29" s="229"/>
      <c r="B29" s="229"/>
      <c r="C29" s="269"/>
      <c r="D29" s="235"/>
      <c r="E29" s="8"/>
      <c r="F29" s="43" t="s">
        <v>30</v>
      </c>
      <c r="G29" s="46">
        <v>4.4849024836324336</v>
      </c>
      <c r="H29" s="46">
        <v>0.51728979049970403</v>
      </c>
      <c r="I29" s="257"/>
      <c r="J29" s="44">
        <v>3.9676126931327298</v>
      </c>
      <c r="K29" s="238"/>
      <c r="L29" s="44">
        <v>2.4157433216336175</v>
      </c>
      <c r="M29" s="238"/>
      <c r="N29" s="8"/>
      <c r="O29" s="43" t="s">
        <v>30</v>
      </c>
      <c r="P29" s="44">
        <v>10.133706995889202</v>
      </c>
      <c r="Q29" s="85"/>
      <c r="R29" s="224"/>
      <c r="S29" s="8"/>
      <c r="T29" s="43" t="s">
        <v>30</v>
      </c>
      <c r="U29" s="46">
        <v>3.6675846146429012</v>
      </c>
      <c r="V29" s="238"/>
      <c r="W29" s="86">
        <v>6.4661223812463007</v>
      </c>
      <c r="X29" s="224"/>
      <c r="Y29" s="224"/>
      <c r="Z29" s="4"/>
    </row>
    <row r="30" spans="1:26" s="13" customFormat="1" ht="183.65" customHeight="1">
      <c r="A30" s="229">
        <v>1</v>
      </c>
      <c r="B30" s="229" t="s">
        <v>21</v>
      </c>
      <c r="C30" s="268" t="s">
        <v>80</v>
      </c>
      <c r="D30" s="234" t="s">
        <v>23</v>
      </c>
      <c r="E30" s="87"/>
      <c r="F30" s="51" t="s">
        <v>24</v>
      </c>
      <c r="G30" s="88">
        <v>85.009999999999991</v>
      </c>
      <c r="H30" s="65">
        <v>14.1</v>
      </c>
      <c r="I30" s="239" t="s">
        <v>81</v>
      </c>
      <c r="J30" s="64">
        <v>70.91</v>
      </c>
      <c r="K30" s="236" t="s">
        <v>82</v>
      </c>
      <c r="L30" s="88">
        <v>4.4999999999999998E-2</v>
      </c>
      <c r="M30" s="222" t="s">
        <v>83</v>
      </c>
      <c r="N30" s="87"/>
      <c r="O30" s="32" t="s">
        <v>24</v>
      </c>
      <c r="P30" s="89">
        <v>161.239</v>
      </c>
      <c r="Q30" s="90">
        <v>0.63900000000000001</v>
      </c>
      <c r="R30" s="222" t="s">
        <v>84</v>
      </c>
      <c r="S30" s="87"/>
      <c r="T30" s="32" t="s">
        <v>24</v>
      </c>
      <c r="U30" s="64">
        <v>150.6</v>
      </c>
      <c r="V30" s="222" t="s">
        <v>85</v>
      </c>
      <c r="W30" s="64">
        <v>10</v>
      </c>
      <c r="X30" s="222" t="s">
        <v>86</v>
      </c>
      <c r="Y30" s="56"/>
      <c r="Z30" s="87"/>
    </row>
    <row r="31" spans="1:26" s="12" customFormat="1" ht="145" customHeight="1">
      <c r="A31" s="229"/>
      <c r="B31" s="229"/>
      <c r="C31" s="268"/>
      <c r="D31" s="234"/>
      <c r="E31" s="13"/>
      <c r="F31" s="32" t="s">
        <v>29</v>
      </c>
      <c r="G31" s="37">
        <v>97.020370863718597</v>
      </c>
      <c r="H31" s="91">
        <v>16.092074216897217</v>
      </c>
      <c r="I31" s="240"/>
      <c r="J31" s="37">
        <v>80.928296646821394</v>
      </c>
      <c r="K31" s="237"/>
      <c r="L31" s="34">
        <v>5.1357683670948562E-2</v>
      </c>
      <c r="M31" s="223"/>
      <c r="N31" s="13"/>
      <c r="O31" s="32" t="s">
        <v>29</v>
      </c>
      <c r="P31" s="92">
        <v>184.01914572044612</v>
      </c>
      <c r="Q31" s="93">
        <v>0.72927910812746966</v>
      </c>
      <c r="R31" s="223"/>
      <c r="S31" s="13"/>
      <c r="T31" s="32" t="s">
        <v>29</v>
      </c>
      <c r="U31" s="37">
        <v>171.87704801877453</v>
      </c>
      <c r="V31" s="223"/>
      <c r="W31" s="37">
        <v>11.412818593544126</v>
      </c>
      <c r="X31" s="223"/>
      <c r="Y31" s="39"/>
      <c r="Z31" s="13"/>
    </row>
    <row r="32" spans="1:26" ht="139" customHeight="1">
      <c r="A32" s="229"/>
      <c r="B32" s="229"/>
      <c r="C32" s="269"/>
      <c r="D32" s="235"/>
      <c r="E32" s="8"/>
      <c r="F32" s="43" t="s">
        <v>30</v>
      </c>
      <c r="G32" s="44">
        <v>7.5786887379669032</v>
      </c>
      <c r="H32" s="94">
        <v>1.2570228350233306</v>
      </c>
      <c r="I32" s="241"/>
      <c r="J32" s="44">
        <v>6.3216659029435727</v>
      </c>
      <c r="K32" s="238"/>
      <c r="L32" s="44">
        <v>4.0117750053936087E-3</v>
      </c>
      <c r="M32" s="224"/>
      <c r="N32" s="8"/>
      <c r="O32" s="43" t="s">
        <v>30</v>
      </c>
      <c r="P32" s="68">
        <v>14.374546446547997</v>
      </c>
      <c r="Q32" s="47">
        <v>5.6967205076589235E-2</v>
      </c>
      <c r="R32" s="224"/>
      <c r="S32" s="8"/>
      <c r="T32" s="43" t="s">
        <v>30</v>
      </c>
      <c r="U32" s="44">
        <v>13.426073684717274</v>
      </c>
      <c r="V32" s="224"/>
      <c r="W32" s="44">
        <v>0.89150555675413523</v>
      </c>
      <c r="X32" s="224"/>
      <c r="Y32" s="49"/>
      <c r="Z32" s="4"/>
    </row>
    <row r="33" spans="1:26" ht="113.5" customHeight="1">
      <c r="A33" s="229">
        <v>1</v>
      </c>
      <c r="B33" s="229" t="s">
        <v>21</v>
      </c>
      <c r="C33" s="231" t="s">
        <v>87</v>
      </c>
      <c r="D33" s="234" t="s">
        <v>32</v>
      </c>
      <c r="E33" s="50"/>
      <c r="F33" s="32" t="s">
        <v>24</v>
      </c>
      <c r="G33" s="52">
        <v>343</v>
      </c>
      <c r="H33" s="52">
        <v>159</v>
      </c>
      <c r="I33" s="239" t="s">
        <v>88</v>
      </c>
      <c r="J33" s="52">
        <v>184</v>
      </c>
      <c r="K33" s="222" t="s">
        <v>89</v>
      </c>
      <c r="L33" s="54">
        <v>11</v>
      </c>
      <c r="M33" s="236" t="s">
        <v>90</v>
      </c>
      <c r="N33" s="50"/>
      <c r="O33" s="32" t="s">
        <v>24</v>
      </c>
      <c r="P33" s="52">
        <v>353</v>
      </c>
      <c r="Q33" s="54">
        <v>1</v>
      </c>
      <c r="R33" s="236" t="s">
        <v>91</v>
      </c>
      <c r="S33" s="50"/>
      <c r="T33" s="32" t="s">
        <v>24</v>
      </c>
      <c r="U33" s="52">
        <v>352</v>
      </c>
      <c r="V33" s="236" t="s">
        <v>92</v>
      </c>
      <c r="W33" s="95"/>
      <c r="X33" s="222"/>
      <c r="Y33" s="272" t="s">
        <v>93</v>
      </c>
      <c r="Z33" s="57"/>
    </row>
    <row r="34" spans="1:26" ht="175" customHeight="1">
      <c r="A34" s="229"/>
      <c r="B34" s="229"/>
      <c r="C34" s="231"/>
      <c r="D34" s="234"/>
      <c r="E34" s="11"/>
      <c r="F34" s="32" t="s">
        <v>29</v>
      </c>
      <c r="G34" s="37">
        <v>440.0580179680901</v>
      </c>
      <c r="H34" s="37">
        <v>203.99190920386684</v>
      </c>
      <c r="I34" s="240"/>
      <c r="J34" s="33">
        <v>236.06610876422326</v>
      </c>
      <c r="K34" s="223"/>
      <c r="L34" s="59">
        <v>14.112647806556826</v>
      </c>
      <c r="M34" s="237"/>
      <c r="N34" s="11"/>
      <c r="O34" s="32" t="s">
        <v>29</v>
      </c>
      <c r="P34" s="37">
        <v>452.88769779223264</v>
      </c>
      <c r="Q34" s="59">
        <v>1.2829679824142568</v>
      </c>
      <c r="R34" s="237"/>
      <c r="S34" s="11"/>
      <c r="T34" s="32" t="s">
        <v>29</v>
      </c>
      <c r="U34" s="37">
        <v>451.60472980981842</v>
      </c>
      <c r="V34" s="237"/>
      <c r="W34" s="39"/>
      <c r="X34" s="223"/>
      <c r="Y34" s="225"/>
    </row>
    <row r="35" spans="1:26" s="7" customFormat="1" ht="396.75" customHeight="1">
      <c r="A35" s="229"/>
      <c r="B35" s="229"/>
      <c r="C35" s="232"/>
      <c r="D35" s="235"/>
      <c r="E35" s="8"/>
      <c r="F35" s="43" t="s">
        <v>30</v>
      </c>
      <c r="G35" s="44">
        <v>16.24023041241189</v>
      </c>
      <c r="H35" s="44">
        <v>7.5282700745582813</v>
      </c>
      <c r="I35" s="241"/>
      <c r="J35" s="94">
        <v>8.7119603378536077</v>
      </c>
      <c r="K35" s="224"/>
      <c r="L35" s="94">
        <v>0.52082371584994402</v>
      </c>
      <c r="M35" s="238"/>
      <c r="N35" s="8"/>
      <c r="O35" s="43" t="s">
        <v>30</v>
      </c>
      <c r="P35" s="44">
        <v>16.713706517730021</v>
      </c>
      <c r="Q35" s="47">
        <v>4.7347610531813092E-2</v>
      </c>
      <c r="R35" s="238"/>
      <c r="S35" s="8"/>
      <c r="T35" s="43" t="s">
        <v>30</v>
      </c>
      <c r="U35" s="44">
        <v>16.666358907198209</v>
      </c>
      <c r="V35" s="238"/>
      <c r="W35" s="49"/>
      <c r="X35" s="224"/>
      <c r="Y35" s="273"/>
      <c r="Z35" s="4"/>
    </row>
    <row r="36" spans="1:26" s="67" customFormat="1" ht="234" customHeight="1">
      <c r="A36" s="229">
        <v>1</v>
      </c>
      <c r="B36" s="229" t="s">
        <v>21</v>
      </c>
      <c r="C36" s="230" t="s">
        <v>94</v>
      </c>
      <c r="D36" s="233" t="s">
        <v>32</v>
      </c>
      <c r="E36" s="50"/>
      <c r="F36" s="51" t="s">
        <v>24</v>
      </c>
      <c r="G36" s="73">
        <v>5328.3</v>
      </c>
      <c r="H36" s="52">
        <v>687.3</v>
      </c>
      <c r="I36" s="270" t="s">
        <v>95</v>
      </c>
      <c r="J36" s="73">
        <v>4641</v>
      </c>
      <c r="K36" s="222" t="s">
        <v>96</v>
      </c>
      <c r="L36" s="64">
        <v>17.98</v>
      </c>
      <c r="M36" s="222" t="s">
        <v>97</v>
      </c>
      <c r="N36" s="50"/>
      <c r="O36" s="51" t="s">
        <v>24</v>
      </c>
      <c r="P36" s="53">
        <v>510</v>
      </c>
      <c r="Q36" s="96">
        <v>56</v>
      </c>
      <c r="R36" s="236" t="s">
        <v>98</v>
      </c>
      <c r="S36" s="50"/>
      <c r="T36" s="51" t="s">
        <v>24</v>
      </c>
      <c r="U36" s="52">
        <v>454</v>
      </c>
      <c r="V36" s="222" t="s">
        <v>99</v>
      </c>
      <c r="W36" s="56"/>
      <c r="X36" s="56"/>
      <c r="Y36" s="222" t="s">
        <v>100</v>
      </c>
      <c r="Z36" s="57"/>
    </row>
    <row r="37" spans="1:26" ht="166.5" customHeight="1">
      <c r="A37" s="229"/>
      <c r="B37" s="229"/>
      <c r="C37" s="231"/>
      <c r="D37" s="234"/>
      <c r="E37" s="11"/>
      <c r="F37" s="32" t="s">
        <v>29</v>
      </c>
      <c r="G37" s="69">
        <v>5328.3</v>
      </c>
      <c r="H37" s="37">
        <v>687.3</v>
      </c>
      <c r="I37" s="240"/>
      <c r="J37" s="69">
        <v>4641</v>
      </c>
      <c r="K37" s="223"/>
      <c r="L37" s="97">
        <v>17.98</v>
      </c>
      <c r="M37" s="223"/>
      <c r="N37" s="11"/>
      <c r="O37" s="32" t="s">
        <v>29</v>
      </c>
      <c r="P37" s="58">
        <v>510</v>
      </c>
      <c r="Q37" s="63">
        <v>56</v>
      </c>
      <c r="R37" s="237"/>
      <c r="S37" s="11"/>
      <c r="T37" s="32" t="s">
        <v>29</v>
      </c>
      <c r="U37" s="42">
        <v>454</v>
      </c>
      <c r="V37" s="223"/>
      <c r="W37" s="39"/>
      <c r="X37" s="39"/>
      <c r="Y37" s="223"/>
    </row>
    <row r="38" spans="1:26" ht="409.5" customHeight="1">
      <c r="A38" s="229"/>
      <c r="B38" s="229"/>
      <c r="C38" s="232"/>
      <c r="D38" s="235"/>
      <c r="E38" s="8"/>
      <c r="F38" s="43" t="s">
        <v>30</v>
      </c>
      <c r="G38" s="44">
        <v>25.449751749930151</v>
      </c>
      <c r="H38" s="44">
        <v>3.2827758154996882</v>
      </c>
      <c r="I38" s="241"/>
      <c r="J38" s="44">
        <v>22.166975934430457</v>
      </c>
      <c r="K38" s="224"/>
      <c r="L38" s="94">
        <v>8.587852344345176E-2</v>
      </c>
      <c r="M38" s="224"/>
      <c r="N38" s="8"/>
      <c r="O38" s="43" t="s">
        <v>30</v>
      </c>
      <c r="P38" s="60">
        <v>2.4359314213659848</v>
      </c>
      <c r="Q38" s="47">
        <v>0.26747482273822576</v>
      </c>
      <c r="R38" s="238"/>
      <c r="S38" s="8"/>
      <c r="T38" s="43" t="s">
        <v>30</v>
      </c>
      <c r="U38" s="98">
        <v>2.1684565986277589</v>
      </c>
      <c r="V38" s="224"/>
      <c r="W38" s="49"/>
      <c r="X38" s="49"/>
      <c r="Y38" s="224"/>
      <c r="Z38" s="4"/>
    </row>
    <row r="39" spans="1:26" ht="139.5" customHeight="1">
      <c r="A39" s="229">
        <v>1</v>
      </c>
      <c r="B39" s="229" t="s">
        <v>101</v>
      </c>
      <c r="C39" s="231" t="s">
        <v>102</v>
      </c>
      <c r="D39" s="234" t="s">
        <v>32</v>
      </c>
      <c r="E39" s="11"/>
      <c r="F39" s="32" t="s">
        <v>24</v>
      </c>
      <c r="G39" s="35">
        <v>1220.7</v>
      </c>
      <c r="H39" s="37">
        <v>181.2</v>
      </c>
      <c r="I39" s="271" t="s">
        <v>103</v>
      </c>
      <c r="J39" s="37">
        <v>1039.5</v>
      </c>
      <c r="K39" s="226" t="s">
        <v>104</v>
      </c>
      <c r="L39" s="37">
        <v>10</v>
      </c>
      <c r="M39" s="236" t="s">
        <v>105</v>
      </c>
      <c r="N39" s="11"/>
      <c r="O39" s="32" t="s">
        <v>24</v>
      </c>
      <c r="P39" s="37">
        <v>540</v>
      </c>
      <c r="Q39" s="59"/>
      <c r="R39" s="236"/>
      <c r="S39" s="11"/>
      <c r="T39" s="32" t="s">
        <v>24</v>
      </c>
      <c r="U39" s="41">
        <v>540</v>
      </c>
      <c r="V39" s="236" t="s">
        <v>106</v>
      </c>
      <c r="W39" s="39"/>
      <c r="X39" s="222"/>
      <c r="Y39" s="99"/>
    </row>
    <row r="40" spans="1:26" ht="139.5" customHeight="1">
      <c r="A40" s="229"/>
      <c r="B40" s="229"/>
      <c r="C40" s="231"/>
      <c r="D40" s="234"/>
      <c r="E40" s="11"/>
      <c r="F40" s="32" t="s">
        <v>29</v>
      </c>
      <c r="G40" s="33">
        <v>17.281856962988488</v>
      </c>
      <c r="H40" s="34">
        <v>2.5653088241939166</v>
      </c>
      <c r="I40" s="256"/>
      <c r="J40" s="37">
        <v>14.716548138794572</v>
      </c>
      <c r="K40" s="237"/>
      <c r="L40" s="34">
        <v>0.14157333466853844</v>
      </c>
      <c r="M40" s="237"/>
      <c r="N40" s="11"/>
      <c r="O40" s="32" t="s">
        <v>29</v>
      </c>
      <c r="P40" s="34">
        <v>7.6449600721010764</v>
      </c>
      <c r="Q40" s="59"/>
      <c r="R40" s="237"/>
      <c r="S40" s="11"/>
      <c r="T40" s="32" t="s">
        <v>29</v>
      </c>
      <c r="U40" s="34">
        <v>7.6449600721010764</v>
      </c>
      <c r="V40" s="237"/>
      <c r="W40" s="39"/>
      <c r="X40" s="223"/>
      <c r="Y40" s="39" t="s">
        <v>107</v>
      </c>
    </row>
    <row r="41" spans="1:26" ht="209.15" customHeight="1">
      <c r="A41" s="229"/>
      <c r="B41" s="229"/>
      <c r="C41" s="232"/>
      <c r="D41" s="235"/>
      <c r="E41" s="8"/>
      <c r="F41" s="43" t="s">
        <v>30</v>
      </c>
      <c r="G41" s="44">
        <v>4.5175576086619849</v>
      </c>
      <c r="H41" s="44">
        <v>0.67058363126857667</v>
      </c>
      <c r="I41" s="257"/>
      <c r="J41" s="44">
        <v>3.8469739773934077</v>
      </c>
      <c r="K41" s="238"/>
      <c r="L41" s="44">
        <v>3.700792667045126E-2</v>
      </c>
      <c r="M41" s="238"/>
      <c r="N41" s="8"/>
      <c r="O41" s="43" t="s">
        <v>30</v>
      </c>
      <c r="P41" s="44">
        <v>1.9984280402043679</v>
      </c>
      <c r="Q41" s="47"/>
      <c r="R41" s="238"/>
      <c r="S41" s="8"/>
      <c r="T41" s="43" t="s">
        <v>30</v>
      </c>
      <c r="U41" s="44">
        <v>1.9984280402043679</v>
      </c>
      <c r="V41" s="238"/>
      <c r="W41" s="49"/>
      <c r="X41" s="224"/>
      <c r="Y41" s="49"/>
      <c r="Z41" s="4"/>
    </row>
    <row r="42" spans="1:26" ht="121.5" customHeight="1">
      <c r="A42" s="229">
        <v>1</v>
      </c>
      <c r="B42" s="229" t="s">
        <v>101</v>
      </c>
      <c r="C42" s="268" t="s">
        <v>108</v>
      </c>
      <c r="D42" s="234" t="s">
        <v>23</v>
      </c>
      <c r="E42" s="50"/>
      <c r="F42" s="32" t="s">
        <v>24</v>
      </c>
      <c r="G42" s="52">
        <v>687.9</v>
      </c>
      <c r="H42" s="52">
        <v>108.8</v>
      </c>
      <c r="I42" s="270" t="s">
        <v>109</v>
      </c>
      <c r="J42" s="52">
        <v>579.1</v>
      </c>
      <c r="K42" s="222" t="s">
        <v>110</v>
      </c>
      <c r="L42" s="52">
        <v>229.60000000000002</v>
      </c>
      <c r="M42" s="236" t="s">
        <v>111</v>
      </c>
      <c r="N42" s="50"/>
      <c r="O42" s="32" t="s">
        <v>24</v>
      </c>
      <c r="P42" s="52">
        <v>458.1</v>
      </c>
      <c r="Q42" s="61">
        <v>79.900000000000006</v>
      </c>
      <c r="R42" s="222" t="s">
        <v>112</v>
      </c>
      <c r="S42" s="50"/>
      <c r="T42" s="32" t="s">
        <v>24</v>
      </c>
      <c r="U42" s="52"/>
      <c r="V42" s="222" t="s">
        <v>113</v>
      </c>
      <c r="W42" s="100">
        <v>378.2</v>
      </c>
      <c r="X42" s="222" t="s">
        <v>114</v>
      </c>
      <c r="Y42" s="222" t="s">
        <v>115</v>
      </c>
      <c r="Z42" s="57"/>
    </row>
    <row r="43" spans="1:26" ht="157" customHeight="1">
      <c r="A43" s="229"/>
      <c r="B43" s="229"/>
      <c r="C43" s="268"/>
      <c r="D43" s="234"/>
      <c r="E43" s="11"/>
      <c r="F43" s="32" t="s">
        <v>29</v>
      </c>
      <c r="G43" s="37">
        <v>132.45509174201518</v>
      </c>
      <c r="H43" s="37">
        <v>20.949431576582722</v>
      </c>
      <c r="I43" s="240"/>
      <c r="J43" s="37">
        <v>111.50566016543249</v>
      </c>
      <c r="K43" s="223"/>
      <c r="L43" s="37">
        <v>44.209462224112073</v>
      </c>
      <c r="M43" s="237"/>
      <c r="N43" s="11"/>
      <c r="O43" s="32" t="s">
        <v>29</v>
      </c>
      <c r="P43" s="37">
        <v>88.207119533387356</v>
      </c>
      <c r="Q43" s="63">
        <v>15.384738814052938</v>
      </c>
      <c r="R43" s="223"/>
      <c r="S43" s="11"/>
      <c r="T43" s="32" t="s">
        <v>29</v>
      </c>
      <c r="U43" s="34"/>
      <c r="V43" s="223"/>
      <c r="W43" s="37">
        <v>72.822380719334419</v>
      </c>
      <c r="X43" s="223"/>
      <c r="Y43" s="223"/>
    </row>
    <row r="44" spans="1:26" ht="210" customHeight="1">
      <c r="A44" s="229"/>
      <c r="B44" s="229"/>
      <c r="C44" s="269"/>
      <c r="D44" s="235"/>
      <c r="E44" s="11"/>
      <c r="F44" s="32" t="s">
        <v>30</v>
      </c>
      <c r="G44" s="34">
        <v>9.2362126130761357</v>
      </c>
      <c r="H44" s="44">
        <v>1.460822695599191</v>
      </c>
      <c r="I44" s="241"/>
      <c r="J44" s="44">
        <v>7.7753899174769447</v>
      </c>
      <c r="K44" s="224"/>
      <c r="L44" s="44">
        <v>3.0827655414482935</v>
      </c>
      <c r="M44" s="238"/>
      <c r="N44" s="11"/>
      <c r="O44" s="32" t="s">
        <v>30</v>
      </c>
      <c r="P44" s="34">
        <v>6.1507617357903444</v>
      </c>
      <c r="Q44" s="59">
        <v>1.0727916670806561</v>
      </c>
      <c r="R44" s="224"/>
      <c r="S44" s="11"/>
      <c r="T44" s="32" t="s">
        <v>30</v>
      </c>
      <c r="U44" s="34"/>
      <c r="V44" s="224"/>
      <c r="W44" s="44">
        <v>5.0779700687096874</v>
      </c>
      <c r="X44" s="224"/>
      <c r="Y44" s="224"/>
    </row>
    <row r="45" spans="1:26" s="87" customFormat="1" ht="137.5" customHeight="1">
      <c r="A45" s="229">
        <v>1</v>
      </c>
      <c r="B45" s="229" t="s">
        <v>101</v>
      </c>
      <c r="C45" s="268" t="s">
        <v>116</v>
      </c>
      <c r="D45" s="234" t="s">
        <v>23</v>
      </c>
      <c r="F45" s="51" t="s">
        <v>24</v>
      </c>
      <c r="G45" s="101">
        <v>4904</v>
      </c>
      <c r="H45" s="65">
        <v>147</v>
      </c>
      <c r="I45" s="239" t="s">
        <v>117</v>
      </c>
      <c r="J45" s="101">
        <v>4757</v>
      </c>
      <c r="K45" s="236" t="s">
        <v>118</v>
      </c>
      <c r="L45" s="101">
        <v>1600</v>
      </c>
      <c r="M45" s="236" t="s">
        <v>119</v>
      </c>
      <c r="O45" s="51" t="s">
        <v>24</v>
      </c>
      <c r="P45" s="53">
        <v>1330</v>
      </c>
      <c r="Q45" s="102">
        <v>0</v>
      </c>
      <c r="R45" s="222" t="s">
        <v>120</v>
      </c>
      <c r="T45" s="51" t="s">
        <v>24</v>
      </c>
      <c r="U45" s="64">
        <v>400</v>
      </c>
      <c r="V45" s="222" t="s">
        <v>121</v>
      </c>
      <c r="W45" s="103">
        <v>930</v>
      </c>
      <c r="X45" s="236" t="s">
        <v>122</v>
      </c>
      <c r="Y45" s="222" t="s">
        <v>123</v>
      </c>
    </row>
    <row r="46" spans="1:26" ht="137.5" customHeight="1">
      <c r="A46" s="229"/>
      <c r="B46" s="229"/>
      <c r="C46" s="268"/>
      <c r="D46" s="234"/>
      <c r="E46" s="11"/>
      <c r="F46" s="32" t="s">
        <v>29</v>
      </c>
      <c r="G46" s="37">
        <v>710.64739339926814</v>
      </c>
      <c r="H46" s="37">
        <v>21.302032387783935</v>
      </c>
      <c r="I46" s="240"/>
      <c r="J46" s="37">
        <v>689.34536101148421</v>
      </c>
      <c r="K46" s="237"/>
      <c r="L46" s="37">
        <v>231.8588559214578</v>
      </c>
      <c r="M46" s="237"/>
      <c r="N46" s="11"/>
      <c r="O46" s="32" t="s">
        <v>29</v>
      </c>
      <c r="P46" s="58">
        <v>192.73267398471179</v>
      </c>
      <c r="Q46" s="63"/>
      <c r="R46" s="223"/>
      <c r="S46" s="11"/>
      <c r="T46" s="32" t="s">
        <v>29</v>
      </c>
      <c r="U46" s="37">
        <v>57.964713980364451</v>
      </c>
      <c r="V46" s="223"/>
      <c r="W46" s="33">
        <v>134.76796000434734</v>
      </c>
      <c r="X46" s="237"/>
      <c r="Y46" s="223"/>
    </row>
    <row r="47" spans="1:26" ht="119.15" customHeight="1">
      <c r="A47" s="229"/>
      <c r="B47" s="229"/>
      <c r="C47" s="269"/>
      <c r="D47" s="235"/>
      <c r="E47" s="8"/>
      <c r="F47" s="43" t="s">
        <v>30</v>
      </c>
      <c r="G47" s="44">
        <v>4.7801156546253365</v>
      </c>
      <c r="H47" s="44">
        <v>0.14328650106646096</v>
      </c>
      <c r="I47" s="241"/>
      <c r="J47" s="44">
        <v>4.6368291535588764</v>
      </c>
      <c r="K47" s="238"/>
      <c r="L47" s="44">
        <v>1.5595809639886906</v>
      </c>
      <c r="M47" s="238"/>
      <c r="N47" s="8"/>
      <c r="O47" s="43" t="s">
        <v>30</v>
      </c>
      <c r="P47" s="60">
        <v>1.296401676315599</v>
      </c>
      <c r="Q47" s="47"/>
      <c r="R47" s="224"/>
      <c r="S47" s="8"/>
      <c r="T47" s="43" t="s">
        <v>30</v>
      </c>
      <c r="U47" s="44">
        <v>0.38989524099717265</v>
      </c>
      <c r="V47" s="224"/>
      <c r="W47" s="91">
        <v>0.90650643531842645</v>
      </c>
      <c r="X47" s="238"/>
      <c r="Y47" s="223"/>
    </row>
    <row r="48" spans="1:26" s="87" customFormat="1" ht="138.65" customHeight="1">
      <c r="A48" s="229">
        <v>1</v>
      </c>
      <c r="B48" s="229" t="s">
        <v>101</v>
      </c>
      <c r="C48" s="230" t="s">
        <v>124</v>
      </c>
      <c r="D48" s="233" t="s">
        <v>32</v>
      </c>
      <c r="F48" s="51" t="s">
        <v>24</v>
      </c>
      <c r="G48" s="101">
        <v>6926.78</v>
      </c>
      <c r="H48" s="65">
        <v>710</v>
      </c>
      <c r="I48" s="222" t="s">
        <v>125</v>
      </c>
      <c r="J48" s="101">
        <v>6216.78</v>
      </c>
      <c r="K48" s="226" t="s">
        <v>126</v>
      </c>
      <c r="L48" s="65">
        <v>1340</v>
      </c>
      <c r="M48" s="236" t="s">
        <v>127</v>
      </c>
      <c r="O48" s="51" t="s">
        <v>24</v>
      </c>
      <c r="P48" s="101">
        <v>10291</v>
      </c>
      <c r="Q48" s="65">
        <v>641</v>
      </c>
      <c r="R48" s="222" t="s">
        <v>128</v>
      </c>
      <c r="T48" s="51" t="s">
        <v>24</v>
      </c>
      <c r="U48" s="104">
        <v>8450</v>
      </c>
      <c r="V48" s="236" t="s">
        <v>129</v>
      </c>
      <c r="W48" s="65">
        <v>1200</v>
      </c>
      <c r="X48" s="222" t="s">
        <v>130</v>
      </c>
      <c r="Y48" s="56"/>
    </row>
    <row r="49" spans="1:26" s="13" customFormat="1" ht="170.5" customHeight="1">
      <c r="A49" s="229"/>
      <c r="B49" s="229"/>
      <c r="C49" s="231"/>
      <c r="D49" s="234"/>
      <c r="F49" s="32" t="s">
        <v>29</v>
      </c>
      <c r="G49" s="37">
        <v>93.321339321351203</v>
      </c>
      <c r="H49" s="34">
        <v>9.5655053167791326</v>
      </c>
      <c r="I49" s="223"/>
      <c r="J49" s="37">
        <v>83.755834004572066</v>
      </c>
      <c r="K49" s="237"/>
      <c r="L49" s="34">
        <v>18.05320721758315</v>
      </c>
      <c r="M49" s="237"/>
      <c r="O49" s="32" t="s">
        <v>29</v>
      </c>
      <c r="P49" s="63">
        <v>138.64593692249866</v>
      </c>
      <c r="Q49" s="59">
        <v>8.6358998705005963</v>
      </c>
      <c r="R49" s="223"/>
      <c r="T49" s="32" t="s">
        <v>29</v>
      </c>
      <c r="U49" s="63">
        <v>113.84298581237137</v>
      </c>
      <c r="V49" s="237"/>
      <c r="W49" s="63">
        <v>16.167051239626701</v>
      </c>
      <c r="X49" s="223"/>
      <c r="Y49" s="39"/>
    </row>
    <row r="50" spans="1:26" ht="166.5" customHeight="1">
      <c r="A50" s="229"/>
      <c r="B50" s="229"/>
      <c r="C50" s="232"/>
      <c r="D50" s="235"/>
      <c r="E50" s="8"/>
      <c r="F50" s="43" t="s">
        <v>30</v>
      </c>
      <c r="G50" s="44">
        <v>3.5079994753280079</v>
      </c>
      <c r="H50" s="46">
        <v>0.35957250374385874</v>
      </c>
      <c r="I50" s="224"/>
      <c r="J50" s="46">
        <v>3.1484269715841493</v>
      </c>
      <c r="K50" s="238"/>
      <c r="L50" s="46">
        <v>0.67862979579826865</v>
      </c>
      <c r="M50" s="238"/>
      <c r="N50" s="8"/>
      <c r="O50" s="43" t="s">
        <v>30</v>
      </c>
      <c r="P50" s="46">
        <v>5.2117755437014797</v>
      </c>
      <c r="Q50" s="46">
        <v>0.32462813366170912</v>
      </c>
      <c r="R50" s="224"/>
      <c r="S50" s="8"/>
      <c r="T50" s="43" t="s">
        <v>30</v>
      </c>
      <c r="U50" s="46">
        <v>4.2794192346980378</v>
      </c>
      <c r="V50" s="238"/>
      <c r="W50" s="46">
        <v>0.60772817534173318</v>
      </c>
      <c r="X50" s="224"/>
      <c r="Y50" s="39"/>
    </row>
    <row r="51" spans="1:26" s="87" customFormat="1" ht="82.5" customHeight="1">
      <c r="A51" s="229">
        <v>1</v>
      </c>
      <c r="B51" s="229" t="s">
        <v>101</v>
      </c>
      <c r="C51" s="231" t="s">
        <v>131</v>
      </c>
      <c r="D51" s="234" t="s">
        <v>32</v>
      </c>
      <c r="F51" s="51" t="s">
        <v>24</v>
      </c>
      <c r="G51" s="101">
        <v>699500</v>
      </c>
      <c r="H51" s="105">
        <v>276000</v>
      </c>
      <c r="I51" s="222" t="s">
        <v>132</v>
      </c>
      <c r="J51" s="105">
        <v>423500</v>
      </c>
      <c r="K51" s="222" t="s">
        <v>133</v>
      </c>
      <c r="L51" s="71"/>
      <c r="M51" s="236" t="s">
        <v>134</v>
      </c>
      <c r="O51" s="51" t="s">
        <v>24</v>
      </c>
      <c r="P51" s="106">
        <v>135150</v>
      </c>
      <c r="Q51" s="107">
        <v>35150</v>
      </c>
      <c r="R51" s="222" t="s">
        <v>135</v>
      </c>
      <c r="T51" s="51" t="s">
        <v>24</v>
      </c>
      <c r="U51" s="107">
        <v>100000</v>
      </c>
      <c r="V51" s="236" t="s">
        <v>136</v>
      </c>
      <c r="W51" s="108"/>
      <c r="X51" s="71"/>
      <c r="Y51" s="56"/>
    </row>
    <row r="52" spans="1:26" s="13" customFormat="1" ht="74.150000000000006" customHeight="1">
      <c r="A52" s="229"/>
      <c r="B52" s="229"/>
      <c r="C52" s="231"/>
      <c r="D52" s="234"/>
      <c r="F52" s="32" t="s">
        <v>29</v>
      </c>
      <c r="G52" s="37">
        <v>48.024441316810268</v>
      </c>
      <c r="H52" s="34">
        <v>18.948886066389758</v>
      </c>
      <c r="I52" s="223"/>
      <c r="J52" s="41">
        <v>29.075555250420514</v>
      </c>
      <c r="K52" s="223"/>
      <c r="L52" s="40"/>
      <c r="M52" s="237"/>
      <c r="O52" s="32" t="s">
        <v>29</v>
      </c>
      <c r="P52" s="37">
        <v>9.2787751879441149</v>
      </c>
      <c r="Q52" s="93">
        <v>2.4132367580927534</v>
      </c>
      <c r="R52" s="266"/>
      <c r="T52" s="32" t="s">
        <v>29</v>
      </c>
      <c r="U52" s="84">
        <v>6.8655384298513615</v>
      </c>
      <c r="V52" s="237"/>
      <c r="W52" s="109"/>
      <c r="X52" s="110"/>
      <c r="Y52" s="39"/>
    </row>
    <row r="53" spans="1:26" s="7" customFormat="1" ht="63" customHeight="1">
      <c r="A53" s="229"/>
      <c r="B53" s="229"/>
      <c r="C53" s="232"/>
      <c r="D53" s="235"/>
      <c r="E53" s="8"/>
      <c r="F53" s="43" t="s">
        <v>30</v>
      </c>
      <c r="G53" s="44">
        <v>4.5321570570531771</v>
      </c>
      <c r="H53" s="44">
        <v>1.788242098279738</v>
      </c>
      <c r="I53" s="224"/>
      <c r="J53" s="46">
        <v>2.7439149587734391</v>
      </c>
      <c r="K53" s="224"/>
      <c r="L53" s="45"/>
      <c r="M53" s="238"/>
      <c r="N53" s="8"/>
      <c r="O53" s="43" t="s">
        <v>30</v>
      </c>
      <c r="P53" s="44">
        <v>0.87565550573371964</v>
      </c>
      <c r="Q53" s="85">
        <v>0.22774170200917679</v>
      </c>
      <c r="R53" s="267"/>
      <c r="S53" s="8"/>
      <c r="T53" s="43" t="s">
        <v>30</v>
      </c>
      <c r="U53" s="85">
        <v>0.64791380372454288</v>
      </c>
      <c r="V53" s="238"/>
      <c r="W53" s="111"/>
      <c r="X53" s="45"/>
      <c r="Y53" s="112" t="s">
        <v>137</v>
      </c>
      <c r="Z53" s="4"/>
    </row>
    <row r="54" spans="1:26" s="20" customFormat="1" ht="58.5" customHeight="1">
      <c r="A54" s="229">
        <v>1</v>
      </c>
      <c r="B54" s="229" t="s">
        <v>101</v>
      </c>
      <c r="C54" s="231" t="s">
        <v>138</v>
      </c>
      <c r="D54" s="234" t="s">
        <v>139</v>
      </c>
      <c r="F54" s="32" t="s">
        <v>24</v>
      </c>
      <c r="G54" s="33">
        <v>151</v>
      </c>
      <c r="H54" s="97">
        <v>103.2</v>
      </c>
      <c r="I54" s="261" t="s">
        <v>140</v>
      </c>
      <c r="J54" s="33">
        <v>47.8</v>
      </c>
      <c r="K54" s="262" t="s">
        <v>141</v>
      </c>
      <c r="L54" s="33">
        <v>92</v>
      </c>
      <c r="M54" s="236" t="s">
        <v>142</v>
      </c>
      <c r="O54" s="32" t="s">
        <v>24</v>
      </c>
      <c r="P54" s="33">
        <v>276.3</v>
      </c>
      <c r="Q54" s="38">
        <v>19.2</v>
      </c>
      <c r="R54" s="222" t="s">
        <v>143</v>
      </c>
      <c r="T54" s="32" t="s">
        <v>24</v>
      </c>
      <c r="U54" s="91">
        <v>3.8</v>
      </c>
      <c r="V54" s="39" t="s">
        <v>144</v>
      </c>
      <c r="W54" s="38">
        <v>253.3</v>
      </c>
      <c r="X54" s="263" t="s">
        <v>145</v>
      </c>
      <c r="Y54" s="222" t="s">
        <v>146</v>
      </c>
    </row>
    <row r="55" spans="1:26" s="20" customFormat="1" ht="58.5" customHeight="1">
      <c r="A55" s="229"/>
      <c r="B55" s="229"/>
      <c r="C55" s="231"/>
      <c r="D55" s="234"/>
      <c r="F55" s="32" t="s">
        <v>29</v>
      </c>
      <c r="G55" s="34">
        <v>7.0279601888550927</v>
      </c>
      <c r="H55" s="34">
        <v>4.8032151754294405</v>
      </c>
      <c r="I55" s="240"/>
      <c r="J55" s="34">
        <v>2.2247450134256517</v>
      </c>
      <c r="K55" s="237"/>
      <c r="L55" s="34">
        <v>4.2819360091037648</v>
      </c>
      <c r="M55" s="237"/>
      <c r="O55" s="32" t="s">
        <v>29</v>
      </c>
      <c r="P55" s="34">
        <v>12.859770862123591</v>
      </c>
      <c r="Q55" s="34">
        <v>0.89362142798687272</v>
      </c>
      <c r="R55" s="223"/>
      <c r="T55" s="32" t="s">
        <v>29</v>
      </c>
      <c r="U55" s="91">
        <v>0.17686257428906854</v>
      </c>
      <c r="V55" s="39"/>
      <c r="W55" s="34">
        <v>11.78928685984765</v>
      </c>
      <c r="X55" s="264"/>
      <c r="Y55" s="223"/>
    </row>
    <row r="56" spans="1:26" s="23" customFormat="1" ht="58.5" customHeight="1">
      <c r="A56" s="229"/>
      <c r="B56" s="229"/>
      <c r="C56" s="232"/>
      <c r="D56" s="235"/>
      <c r="F56" s="43" t="s">
        <v>30</v>
      </c>
      <c r="G56" s="44">
        <v>0.65442396745349374</v>
      </c>
      <c r="H56" s="44">
        <v>0.44726194331920904</v>
      </c>
      <c r="I56" s="241"/>
      <c r="J56" s="44">
        <v>0.20716202413428478</v>
      </c>
      <c r="K56" s="238"/>
      <c r="L56" s="44">
        <v>0.39872188745510878</v>
      </c>
      <c r="M56" s="238"/>
      <c r="O56" s="43" t="s">
        <v>30</v>
      </c>
      <c r="P56" s="44">
        <v>1.1974658424331148</v>
      </c>
      <c r="Q56" s="44">
        <v>8.3211524338457493E-2</v>
      </c>
      <c r="R56" s="224"/>
      <c r="T56" s="43" t="s">
        <v>30</v>
      </c>
      <c r="U56" s="94">
        <v>1.6468947525319709E-2</v>
      </c>
      <c r="V56" s="49"/>
      <c r="W56" s="44">
        <v>1.0977853705693377</v>
      </c>
      <c r="X56" s="265"/>
      <c r="Y56" s="224"/>
    </row>
    <row r="57" spans="1:26" s="13" customFormat="1" ht="165" customHeight="1">
      <c r="A57" s="229">
        <v>1</v>
      </c>
      <c r="B57" s="229" t="s">
        <v>101</v>
      </c>
      <c r="C57" s="231" t="s">
        <v>147</v>
      </c>
      <c r="D57" s="234" t="s">
        <v>32</v>
      </c>
      <c r="E57" s="87"/>
      <c r="F57" s="32" t="s">
        <v>24</v>
      </c>
      <c r="G57" s="101">
        <v>4854</v>
      </c>
      <c r="H57" s="65">
        <v>775</v>
      </c>
      <c r="I57" s="222" t="s">
        <v>148</v>
      </c>
      <c r="J57" s="101">
        <v>4079</v>
      </c>
      <c r="K57" s="236" t="s">
        <v>149</v>
      </c>
      <c r="L57" s="65">
        <v>460</v>
      </c>
      <c r="M57" s="222" t="s">
        <v>150</v>
      </c>
      <c r="N57" s="87"/>
      <c r="O57" s="32" t="s">
        <v>24</v>
      </c>
      <c r="P57" s="101">
        <v>1567</v>
      </c>
      <c r="Q57" s="38">
        <v>567</v>
      </c>
      <c r="R57" s="222" t="s">
        <v>151</v>
      </c>
      <c r="S57" s="87"/>
      <c r="T57" s="32" t="s">
        <v>24</v>
      </c>
      <c r="U57" s="33">
        <v>500</v>
      </c>
      <c r="V57" s="222" t="s">
        <v>152</v>
      </c>
      <c r="W57" s="103">
        <v>500</v>
      </c>
      <c r="X57" s="236" t="s">
        <v>153</v>
      </c>
      <c r="Y57" s="56"/>
      <c r="Z57" s="87"/>
    </row>
    <row r="58" spans="1:26" s="13" customFormat="1" ht="138" customHeight="1">
      <c r="A58" s="229"/>
      <c r="B58" s="229"/>
      <c r="C58" s="231"/>
      <c r="D58" s="234"/>
      <c r="F58" s="32" t="s">
        <v>29</v>
      </c>
      <c r="G58" s="37">
        <v>67.095009342166705</v>
      </c>
      <c r="H58" s="91">
        <v>10.712532393938853</v>
      </c>
      <c r="I58" s="223"/>
      <c r="J58" s="41">
        <v>56.382476948227847</v>
      </c>
      <c r="K58" s="237"/>
      <c r="L58" s="83">
        <v>6.3584063241443518</v>
      </c>
      <c r="M58" s="223"/>
      <c r="O58" s="32" t="s">
        <v>29</v>
      </c>
      <c r="P58" s="37">
        <v>21.660049369422172</v>
      </c>
      <c r="Q58" s="34">
        <v>7.837426925630103</v>
      </c>
      <c r="R58" s="223"/>
      <c r="T58" s="32" t="s">
        <v>29</v>
      </c>
      <c r="U58" s="34">
        <v>6.9113112218960344</v>
      </c>
      <c r="V58" s="223"/>
      <c r="W58" s="34">
        <v>6.9113112218960344</v>
      </c>
      <c r="X58" s="237"/>
      <c r="Y58" s="39"/>
    </row>
    <row r="59" spans="1:26" ht="161.25" customHeight="1">
      <c r="A59" s="229"/>
      <c r="B59" s="229"/>
      <c r="C59" s="232"/>
      <c r="D59" s="235"/>
      <c r="E59" s="11"/>
      <c r="F59" s="32" t="s">
        <v>30</v>
      </c>
      <c r="G59" s="34">
        <v>4.5378286069427096</v>
      </c>
      <c r="H59" s="113">
        <v>0.72451940057284703</v>
      </c>
      <c r="I59" s="224"/>
      <c r="J59" s="46">
        <v>3.8133092063698624</v>
      </c>
      <c r="K59" s="238"/>
      <c r="L59" s="46">
        <v>0.43003732163033498</v>
      </c>
      <c r="M59" s="224"/>
      <c r="N59" s="11"/>
      <c r="O59" s="32" t="s">
        <v>30</v>
      </c>
      <c r="P59" s="44">
        <v>1.464931484771163</v>
      </c>
      <c r="Q59" s="44">
        <v>0.53006774209652163</v>
      </c>
      <c r="R59" s="224"/>
      <c r="S59" s="11"/>
      <c r="T59" s="32" t="s">
        <v>30</v>
      </c>
      <c r="U59" s="44">
        <v>0.46743187133732073</v>
      </c>
      <c r="V59" s="224"/>
      <c r="W59" s="44">
        <v>0.46743187133732073</v>
      </c>
      <c r="X59" s="238"/>
      <c r="Y59" s="39"/>
    </row>
    <row r="60" spans="1:26" s="87" customFormat="1" ht="43.5" customHeight="1">
      <c r="A60" s="229">
        <v>1</v>
      </c>
      <c r="B60" s="229" t="s">
        <v>101</v>
      </c>
      <c r="C60" s="231" t="s">
        <v>154</v>
      </c>
      <c r="D60" s="234" t="s">
        <v>23</v>
      </c>
      <c r="F60" s="51" t="s">
        <v>24</v>
      </c>
      <c r="G60" s="64">
        <v>57.6</v>
      </c>
      <c r="H60" s="65">
        <v>47</v>
      </c>
      <c r="I60" s="222" t="s">
        <v>155</v>
      </c>
      <c r="J60" s="88">
        <v>10.6</v>
      </c>
      <c r="K60" s="222" t="s">
        <v>156</v>
      </c>
      <c r="L60" s="65">
        <v>56</v>
      </c>
      <c r="M60" s="222" t="s">
        <v>157</v>
      </c>
      <c r="O60" s="51" t="s">
        <v>24</v>
      </c>
      <c r="P60" s="53">
        <v>22</v>
      </c>
      <c r="Q60" s="102">
        <v>22</v>
      </c>
      <c r="R60" s="222" t="s">
        <v>158</v>
      </c>
      <c r="T60" s="51" t="s">
        <v>24</v>
      </c>
      <c r="U60" s="88"/>
      <c r="V60" s="56"/>
      <c r="W60" s="56"/>
      <c r="X60" s="56"/>
      <c r="Y60" s="56"/>
    </row>
    <row r="61" spans="1:26" s="13" customFormat="1" ht="58.5" customHeight="1">
      <c r="A61" s="229"/>
      <c r="B61" s="229"/>
      <c r="C61" s="231"/>
      <c r="D61" s="234"/>
      <c r="F61" s="32" t="s">
        <v>29</v>
      </c>
      <c r="G61" s="37">
        <v>15.360000000000001</v>
      </c>
      <c r="H61" s="37">
        <v>12.533333333333333</v>
      </c>
      <c r="I61" s="223"/>
      <c r="J61" s="34">
        <v>2.8266666666666667</v>
      </c>
      <c r="K61" s="223"/>
      <c r="L61" s="37">
        <v>14.933333333333334</v>
      </c>
      <c r="M61" s="223"/>
      <c r="O61" s="32" t="s">
        <v>29</v>
      </c>
      <c r="P61" s="114">
        <v>5.8666666666666663</v>
      </c>
      <c r="Q61" s="59">
        <v>5.8666666666666663</v>
      </c>
      <c r="R61" s="223"/>
      <c r="T61" s="32" t="s">
        <v>29</v>
      </c>
      <c r="U61" s="91"/>
      <c r="V61" s="39"/>
      <c r="W61" s="39"/>
      <c r="X61" s="39"/>
      <c r="Y61" s="39"/>
    </row>
    <row r="62" spans="1:26" ht="47.5" customHeight="1">
      <c r="A62" s="229"/>
      <c r="B62" s="229"/>
      <c r="C62" s="232"/>
      <c r="D62" s="235"/>
      <c r="E62" s="8"/>
      <c r="F62" s="43" t="s">
        <v>30</v>
      </c>
      <c r="G62" s="44">
        <v>2.1939162799420835</v>
      </c>
      <c r="H62" s="44">
        <v>1.7901747423138528</v>
      </c>
      <c r="I62" s="224"/>
      <c r="J62" s="44">
        <v>0.40374153762823062</v>
      </c>
      <c r="K62" s="224"/>
      <c r="L62" s="44">
        <v>2.1329741610548036</v>
      </c>
      <c r="M62" s="224"/>
      <c r="N62" s="8"/>
      <c r="O62" s="43" t="s">
        <v>30</v>
      </c>
      <c r="P62" s="60">
        <v>0.83795413470010138</v>
      </c>
      <c r="Q62" s="47">
        <v>0.83795413470010138</v>
      </c>
      <c r="R62" s="224"/>
      <c r="S62" s="8"/>
      <c r="T62" s="43" t="s">
        <v>30</v>
      </c>
      <c r="U62" s="44"/>
      <c r="V62" s="49"/>
      <c r="W62" s="49"/>
      <c r="X62" s="49"/>
      <c r="Y62" s="49"/>
      <c r="Z62" s="4"/>
    </row>
    <row r="63" spans="1:26" s="13" customFormat="1" ht="143.5" customHeight="1">
      <c r="A63" s="229">
        <v>1</v>
      </c>
      <c r="B63" s="229" t="s">
        <v>101</v>
      </c>
      <c r="C63" s="231" t="s">
        <v>159</v>
      </c>
      <c r="D63" s="234" t="s">
        <v>23</v>
      </c>
      <c r="E63" s="87"/>
      <c r="F63" s="32" t="s">
        <v>24</v>
      </c>
      <c r="G63" s="64">
        <v>291.3</v>
      </c>
      <c r="H63" s="64">
        <v>38.299999999999997</v>
      </c>
      <c r="I63" s="222" t="s">
        <v>160</v>
      </c>
      <c r="J63" s="64">
        <v>253</v>
      </c>
      <c r="K63" s="236" t="s">
        <v>161</v>
      </c>
      <c r="L63" s="64">
        <v>44</v>
      </c>
      <c r="M63" s="236" t="s">
        <v>162</v>
      </c>
      <c r="N63" s="87"/>
      <c r="O63" s="32" t="s">
        <v>24</v>
      </c>
      <c r="P63" s="64">
        <v>203</v>
      </c>
      <c r="Q63" s="102"/>
      <c r="R63" s="222"/>
      <c r="S63" s="87"/>
      <c r="T63" s="32" t="s">
        <v>24</v>
      </c>
      <c r="U63" s="64">
        <v>200</v>
      </c>
      <c r="V63" s="236" t="s">
        <v>163</v>
      </c>
      <c r="W63" s="88">
        <v>3</v>
      </c>
      <c r="X63" s="236" t="s">
        <v>164</v>
      </c>
      <c r="Y63" s="56"/>
      <c r="Z63" s="87"/>
    </row>
    <row r="64" spans="1:26" s="13" customFormat="1" ht="97.5" customHeight="1">
      <c r="A64" s="229"/>
      <c r="B64" s="229"/>
      <c r="C64" s="231"/>
      <c r="D64" s="234"/>
      <c r="F64" s="32" t="s">
        <v>29</v>
      </c>
      <c r="G64" s="37">
        <v>17.693238243228844</v>
      </c>
      <c r="H64" s="34">
        <v>2.3262994325975441</v>
      </c>
      <c r="I64" s="223"/>
      <c r="J64" s="41">
        <v>15.366938810631298</v>
      </c>
      <c r="K64" s="237"/>
      <c r="L64" s="83">
        <v>2.6725110975010953</v>
      </c>
      <c r="M64" s="237"/>
      <c r="O64" s="32" t="s">
        <v>29</v>
      </c>
      <c r="P64" s="33">
        <v>12.32999438165278</v>
      </c>
      <c r="Q64" s="59"/>
      <c r="R64" s="223"/>
      <c r="T64" s="32" t="s">
        <v>29</v>
      </c>
      <c r="U64" s="33">
        <v>12.147777715914069</v>
      </c>
      <c r="V64" s="237"/>
      <c r="W64" s="91">
        <v>0.18221666573871104</v>
      </c>
      <c r="X64" s="237"/>
      <c r="Y64" s="39"/>
    </row>
    <row r="65" spans="1:26" ht="61.5" customHeight="1">
      <c r="A65" s="229"/>
      <c r="B65" s="229"/>
      <c r="C65" s="232"/>
      <c r="D65" s="235"/>
      <c r="E65" s="8"/>
      <c r="F65" s="43" t="s">
        <v>30</v>
      </c>
      <c r="G65" s="44">
        <v>5.8576606558448407</v>
      </c>
      <c r="H65" s="44">
        <v>0.77016272955323517</v>
      </c>
      <c r="I65" s="224"/>
      <c r="J65" s="46">
        <v>5.087497926291606</v>
      </c>
      <c r="K65" s="238"/>
      <c r="L65" s="46">
        <v>0.88478224805071415</v>
      </c>
      <c r="M65" s="238"/>
      <c r="N65" s="8"/>
      <c r="O65" s="43" t="s">
        <v>30</v>
      </c>
      <c r="P65" s="44">
        <v>4.0820635535067034</v>
      </c>
      <c r="Q65" s="47"/>
      <c r="R65" s="224"/>
      <c r="S65" s="8"/>
      <c r="T65" s="43" t="s">
        <v>30</v>
      </c>
      <c r="U65" s="44">
        <v>4.0217374911396089</v>
      </c>
      <c r="V65" s="238"/>
      <c r="W65" s="94">
        <v>6.032606236709414E-2</v>
      </c>
      <c r="X65" s="238"/>
      <c r="Y65" s="49"/>
      <c r="Z65" s="4"/>
    </row>
    <row r="66" spans="1:26" s="20" customFormat="1" ht="92.15" customHeight="1">
      <c r="A66" s="229">
        <v>1</v>
      </c>
      <c r="B66" s="229" t="s">
        <v>101</v>
      </c>
      <c r="C66" s="231" t="s">
        <v>165</v>
      </c>
      <c r="D66" s="234" t="s">
        <v>139</v>
      </c>
      <c r="E66" s="14"/>
      <c r="F66" s="32" t="s">
        <v>24</v>
      </c>
      <c r="G66" s="65">
        <v>135.69999999999999</v>
      </c>
      <c r="H66" s="65">
        <v>18.600000000000001</v>
      </c>
      <c r="I66" s="236" t="s">
        <v>531</v>
      </c>
      <c r="J66" s="103">
        <v>117.1</v>
      </c>
      <c r="K66" s="236" t="s">
        <v>532</v>
      </c>
      <c r="L66" s="115">
        <v>70.400000000000006</v>
      </c>
      <c r="M66" s="236" t="s">
        <v>166</v>
      </c>
      <c r="N66" s="14"/>
      <c r="O66" s="32" t="s">
        <v>24</v>
      </c>
      <c r="P66" s="65">
        <v>478.2</v>
      </c>
      <c r="Q66" s="102">
        <v>21</v>
      </c>
      <c r="R66" s="222" t="s">
        <v>167</v>
      </c>
      <c r="S66" s="14"/>
      <c r="T66" s="32" t="s">
        <v>24</v>
      </c>
      <c r="U66" s="64">
        <v>322</v>
      </c>
      <c r="V66" s="222" t="s">
        <v>168</v>
      </c>
      <c r="W66" s="65">
        <v>135.19999999999999</v>
      </c>
      <c r="X66" s="222" t="s">
        <v>169</v>
      </c>
      <c r="Y66" s="56"/>
      <c r="Z66" s="14"/>
    </row>
    <row r="67" spans="1:26" s="20" customFormat="1" ht="106" customHeight="1">
      <c r="A67" s="229"/>
      <c r="B67" s="229"/>
      <c r="C67" s="231"/>
      <c r="D67" s="234"/>
      <c r="F67" s="32" t="s">
        <v>29</v>
      </c>
      <c r="G67" s="34">
        <v>19.38</v>
      </c>
      <c r="H67" s="91">
        <v>2.6570999999999998</v>
      </c>
      <c r="I67" s="237"/>
      <c r="J67" s="83">
        <v>16.72</v>
      </c>
      <c r="K67" s="237"/>
      <c r="L67" s="83">
        <v>10.042295835235661</v>
      </c>
      <c r="M67" s="237"/>
      <c r="O67" s="32" t="s">
        <v>29</v>
      </c>
      <c r="P67" s="41">
        <v>68.31</v>
      </c>
      <c r="Q67" s="83">
        <v>2.995571200851546</v>
      </c>
      <c r="R67" s="223"/>
      <c r="T67" s="32" t="s">
        <v>29</v>
      </c>
      <c r="U67" s="37">
        <v>45.932091746390377</v>
      </c>
      <c r="V67" s="223"/>
      <c r="W67" s="37">
        <v>19.309999999999999</v>
      </c>
      <c r="X67" s="223"/>
      <c r="Y67" s="39"/>
    </row>
    <row r="68" spans="1:26" ht="146.15" customHeight="1">
      <c r="A68" s="229"/>
      <c r="B68" s="229"/>
      <c r="C68" s="232"/>
      <c r="D68" s="235"/>
      <c r="E68" s="8"/>
      <c r="F68" s="43" t="s">
        <v>30</v>
      </c>
      <c r="G68" s="44">
        <v>2.6901999999999999</v>
      </c>
      <c r="H68" s="116">
        <v>0.36873973110299635</v>
      </c>
      <c r="I68" s="238"/>
      <c r="J68" s="46">
        <v>2.3214000000000001</v>
      </c>
      <c r="K68" s="238"/>
      <c r="L68" s="46">
        <v>1.4026916760641697</v>
      </c>
      <c r="M68" s="238"/>
      <c r="N68" s="8"/>
      <c r="O68" s="43" t="s">
        <v>30</v>
      </c>
      <c r="P68" s="46">
        <v>9.3671786530196659</v>
      </c>
      <c r="Q68" s="46">
        <v>0.41841655109868692</v>
      </c>
      <c r="R68" s="224"/>
      <c r="S68" s="8"/>
      <c r="T68" s="43" t="s">
        <v>30</v>
      </c>
      <c r="U68" s="44">
        <v>6.415720450179867</v>
      </c>
      <c r="V68" s="224"/>
      <c r="W68" s="44">
        <v>2.68</v>
      </c>
      <c r="X68" s="224"/>
      <c r="Y68" s="49"/>
      <c r="Z68" s="4"/>
    </row>
    <row r="69" spans="1:26" ht="109.5" customHeight="1">
      <c r="A69" s="229">
        <v>0</v>
      </c>
      <c r="B69" s="229" t="s">
        <v>21</v>
      </c>
      <c r="C69" s="230" t="s">
        <v>170</v>
      </c>
      <c r="D69" s="233" t="s">
        <v>23</v>
      </c>
      <c r="E69" s="57"/>
      <c r="F69" s="51" t="s">
        <v>24</v>
      </c>
      <c r="G69" s="52">
        <v>37.1</v>
      </c>
      <c r="H69" s="55">
        <v>9.1999999999999993</v>
      </c>
      <c r="I69" s="252" t="s">
        <v>171</v>
      </c>
      <c r="J69" s="52">
        <v>27.900000000000002</v>
      </c>
      <c r="K69" s="226" t="s">
        <v>172</v>
      </c>
      <c r="L69" s="52">
        <v>13.2</v>
      </c>
      <c r="M69" s="222" t="s">
        <v>173</v>
      </c>
      <c r="N69" s="57"/>
      <c r="O69" s="51" t="s">
        <v>24</v>
      </c>
      <c r="P69" s="53">
        <v>53.6</v>
      </c>
      <c r="Q69" s="54">
        <v>1.6</v>
      </c>
      <c r="R69" s="236" t="s">
        <v>174</v>
      </c>
      <c r="S69" s="57"/>
      <c r="T69" s="51" t="s">
        <v>24</v>
      </c>
      <c r="U69" s="52">
        <v>52</v>
      </c>
      <c r="V69" s="222" t="s">
        <v>175</v>
      </c>
      <c r="W69" s="62"/>
      <c r="X69" s="62"/>
    </row>
    <row r="70" spans="1:26" ht="116.15" customHeight="1">
      <c r="A70" s="229"/>
      <c r="B70" s="229"/>
      <c r="C70" s="231"/>
      <c r="D70" s="234"/>
      <c r="F70" s="32" t="s">
        <v>29</v>
      </c>
      <c r="G70" s="37">
        <v>42.341556982048708</v>
      </c>
      <c r="H70" s="34">
        <v>10.499793106060594</v>
      </c>
      <c r="I70" s="223"/>
      <c r="J70" s="37">
        <v>31.841763875988111</v>
      </c>
      <c r="K70" s="237"/>
      <c r="L70" s="37">
        <v>15.064920543478244</v>
      </c>
      <c r="M70" s="223"/>
      <c r="O70" s="32" t="s">
        <v>29</v>
      </c>
      <c r="P70" s="58">
        <v>61.172707661396508</v>
      </c>
      <c r="Q70" s="34">
        <v>1.8260509749670601</v>
      </c>
      <c r="R70" s="237"/>
      <c r="T70" s="32" t="s">
        <v>29</v>
      </c>
      <c r="U70" s="37">
        <v>59.346656686429448</v>
      </c>
      <c r="V70" s="223"/>
      <c r="W70" s="99"/>
      <c r="X70" s="99"/>
    </row>
    <row r="71" spans="1:26" ht="151.5" customHeight="1">
      <c r="A71" s="229"/>
      <c r="B71" s="229"/>
      <c r="C71" s="232"/>
      <c r="D71" s="235"/>
      <c r="E71" s="4"/>
      <c r="F71" s="43" t="s">
        <v>30</v>
      </c>
      <c r="G71" s="44">
        <v>8.2229368961627038</v>
      </c>
      <c r="H71" s="44">
        <v>2.0463953413365181</v>
      </c>
      <c r="I71" s="224"/>
      <c r="J71" s="44">
        <v>6.2059163068792254</v>
      </c>
      <c r="K71" s="238"/>
      <c r="L71" s="44">
        <v>2.9361324462654395</v>
      </c>
      <c r="M71" s="224"/>
      <c r="N71" s="4"/>
      <c r="O71" s="43" t="s">
        <v>30</v>
      </c>
      <c r="P71" s="60">
        <v>11.922477206047542</v>
      </c>
      <c r="Q71" s="44">
        <v>0.35589484197156845</v>
      </c>
      <c r="R71" s="238"/>
      <c r="S71" s="4"/>
      <c r="T71" s="43" t="s">
        <v>30</v>
      </c>
      <c r="U71" s="44">
        <v>11.525410204864166</v>
      </c>
      <c r="V71" s="224"/>
      <c r="W71" s="128"/>
      <c r="X71" s="128"/>
    </row>
    <row r="72" spans="1:26" ht="234.65" customHeight="1">
      <c r="A72" s="229">
        <v>0</v>
      </c>
      <c r="B72" s="229" t="s">
        <v>21</v>
      </c>
      <c r="C72" s="231" t="s">
        <v>176</v>
      </c>
      <c r="D72" s="234" t="s">
        <v>23</v>
      </c>
      <c r="E72" s="57"/>
      <c r="F72" s="32" t="s">
        <v>24</v>
      </c>
      <c r="G72" s="64">
        <v>542.9</v>
      </c>
      <c r="H72" s="117">
        <v>151</v>
      </c>
      <c r="I72" s="226" t="s">
        <v>177</v>
      </c>
      <c r="J72" s="118">
        <v>391.9</v>
      </c>
      <c r="K72" s="236" t="s">
        <v>178</v>
      </c>
      <c r="L72" s="118">
        <v>36.299999999999997</v>
      </c>
      <c r="M72" s="226" t="s">
        <v>179</v>
      </c>
      <c r="N72" s="14"/>
      <c r="O72" s="32" t="s">
        <v>24</v>
      </c>
      <c r="P72" s="53">
        <v>876.6</v>
      </c>
      <c r="Q72" s="90">
        <v>1</v>
      </c>
      <c r="R72" s="236" t="s">
        <v>180</v>
      </c>
      <c r="S72" s="14"/>
      <c r="T72" s="32" t="s">
        <v>24</v>
      </c>
      <c r="U72" s="64">
        <v>875.6</v>
      </c>
      <c r="V72" s="222" t="s">
        <v>181</v>
      </c>
      <c r="W72" s="64"/>
      <c r="X72" s="222"/>
    </row>
    <row r="73" spans="1:26" ht="194.5" customHeight="1">
      <c r="A73" s="229"/>
      <c r="B73" s="229"/>
      <c r="C73" s="231"/>
      <c r="D73" s="234"/>
      <c r="F73" s="32" t="s">
        <v>29</v>
      </c>
      <c r="G73" s="37">
        <v>23.390527891771956</v>
      </c>
      <c r="H73" s="91">
        <v>6.505746383602073</v>
      </c>
      <c r="I73" s="237"/>
      <c r="J73" s="34">
        <v>16.884781508169883</v>
      </c>
      <c r="K73" s="237"/>
      <c r="L73" s="34">
        <v>1.5639641968526836</v>
      </c>
      <c r="M73" s="237"/>
      <c r="N73" s="20"/>
      <c r="O73" s="32" t="s">
        <v>29</v>
      </c>
      <c r="P73" s="58">
        <v>37.767796555401176</v>
      </c>
      <c r="Q73" s="119">
        <v>4.3084413136437572E-2</v>
      </c>
      <c r="R73" s="237"/>
      <c r="S73" s="20"/>
      <c r="T73" s="32" t="s">
        <v>29</v>
      </c>
      <c r="U73" s="37">
        <v>37.724712142264735</v>
      </c>
      <c r="V73" s="223"/>
      <c r="W73" s="34"/>
      <c r="X73" s="223"/>
    </row>
    <row r="74" spans="1:26" ht="243.65" customHeight="1">
      <c r="A74" s="229"/>
      <c r="B74" s="229"/>
      <c r="C74" s="232"/>
      <c r="D74" s="235"/>
      <c r="F74" s="43" t="s">
        <v>30</v>
      </c>
      <c r="G74" s="44">
        <v>9.6047679561305017</v>
      </c>
      <c r="H74" s="94">
        <v>2.6714311316553796</v>
      </c>
      <c r="I74" s="238"/>
      <c r="J74" s="44">
        <v>6.9333368244751208</v>
      </c>
      <c r="K74" s="238"/>
      <c r="L74" s="44">
        <v>0.64220496741119393</v>
      </c>
      <c r="M74" s="238"/>
      <c r="N74" s="8"/>
      <c r="O74" s="43" t="s">
        <v>30</v>
      </c>
      <c r="P74" s="60">
        <v>15.508453841119907</v>
      </c>
      <c r="Q74" s="47">
        <v>1.7691596898379996E-2</v>
      </c>
      <c r="R74" s="238"/>
      <c r="S74" s="8"/>
      <c r="T74" s="43" t="s">
        <v>30</v>
      </c>
      <c r="U74" s="44">
        <v>15.490762244221527</v>
      </c>
      <c r="V74" s="224"/>
      <c r="W74" s="44"/>
      <c r="X74" s="224"/>
    </row>
    <row r="75" spans="1:26" s="13" customFormat="1" ht="177.65" customHeight="1">
      <c r="A75" s="229">
        <v>0</v>
      </c>
      <c r="B75" s="229" t="s">
        <v>21</v>
      </c>
      <c r="C75" s="230" t="s">
        <v>182</v>
      </c>
      <c r="D75" s="233" t="s">
        <v>23</v>
      </c>
      <c r="E75" s="87"/>
      <c r="F75" s="51" t="s">
        <v>24</v>
      </c>
      <c r="G75" s="88">
        <v>80.3</v>
      </c>
      <c r="H75" s="65">
        <v>0.8</v>
      </c>
      <c r="I75" s="239" t="s">
        <v>183</v>
      </c>
      <c r="J75" s="64">
        <v>79.5</v>
      </c>
      <c r="K75" s="236" t="s">
        <v>184</v>
      </c>
      <c r="L75" s="64">
        <v>318.8</v>
      </c>
      <c r="M75" s="222" t="s">
        <v>185</v>
      </c>
      <c r="N75" s="87"/>
      <c r="O75" s="51" t="s">
        <v>24</v>
      </c>
      <c r="P75" s="53">
        <v>364.2</v>
      </c>
      <c r="Q75" s="102">
        <v>282</v>
      </c>
      <c r="R75" s="236" t="s">
        <v>186</v>
      </c>
      <c r="S75" s="87"/>
      <c r="T75" s="51" t="s">
        <v>24</v>
      </c>
      <c r="U75" s="64">
        <v>82.2</v>
      </c>
      <c r="V75" s="236" t="s">
        <v>187</v>
      </c>
      <c r="W75" s="56"/>
      <c r="X75" s="56"/>
      <c r="Y75" s="223" t="s">
        <v>188</v>
      </c>
    </row>
    <row r="76" spans="1:26" ht="104.5" customHeight="1">
      <c r="A76" s="229"/>
      <c r="B76" s="229"/>
      <c r="C76" s="231"/>
      <c r="D76" s="234"/>
      <c r="E76" s="11"/>
      <c r="F76" s="32" t="s">
        <v>29</v>
      </c>
      <c r="G76" s="37">
        <v>12.274248212821654</v>
      </c>
      <c r="H76" s="113">
        <v>0.12228391743782471</v>
      </c>
      <c r="I76" s="240"/>
      <c r="J76" s="37">
        <v>12.151964295383831</v>
      </c>
      <c r="K76" s="237"/>
      <c r="L76" s="37">
        <v>48.730141098973149</v>
      </c>
      <c r="M76" s="223"/>
      <c r="N76" s="11"/>
      <c r="O76" s="32" t="s">
        <v>29</v>
      </c>
      <c r="P76" s="58">
        <v>55.669753413569694</v>
      </c>
      <c r="Q76" s="59">
        <v>43.105080896833208</v>
      </c>
      <c r="R76" s="237"/>
      <c r="S76" s="11"/>
      <c r="T76" s="32" t="s">
        <v>29</v>
      </c>
      <c r="U76" s="37">
        <v>12.56467251673649</v>
      </c>
      <c r="V76" s="223"/>
      <c r="W76" s="39"/>
      <c r="X76" s="39"/>
      <c r="Y76" s="223"/>
    </row>
    <row r="77" spans="1:26" ht="151" customHeight="1">
      <c r="A77" s="229"/>
      <c r="B77" s="229"/>
      <c r="C77" s="232"/>
      <c r="D77" s="235"/>
      <c r="E77" s="8"/>
      <c r="F77" s="43" t="s">
        <v>30</v>
      </c>
      <c r="G77" s="44">
        <v>3.4557432473141603</v>
      </c>
      <c r="H77" s="116">
        <v>3.4428326249705203E-2</v>
      </c>
      <c r="I77" s="241"/>
      <c r="J77" s="44">
        <v>3.4213149210644547</v>
      </c>
      <c r="K77" s="238"/>
      <c r="L77" s="44">
        <v>13.719688010507525</v>
      </c>
      <c r="M77" s="224"/>
      <c r="N77" s="8"/>
      <c r="O77" s="43" t="s">
        <v>30</v>
      </c>
      <c r="P77" s="60">
        <v>15.673495525178295</v>
      </c>
      <c r="Q77" s="47">
        <v>12.135985003021085</v>
      </c>
      <c r="R77" s="238"/>
      <c r="S77" s="8"/>
      <c r="T77" s="43" t="s">
        <v>30</v>
      </c>
      <c r="U77" s="44">
        <v>3.5375105221572096</v>
      </c>
      <c r="V77" s="224"/>
      <c r="W77" s="49"/>
      <c r="X77" s="49"/>
      <c r="Y77" s="224"/>
    </row>
    <row r="78" spans="1:26" s="57" customFormat="1" ht="104.5" customHeight="1">
      <c r="A78" s="229">
        <v>0</v>
      </c>
      <c r="B78" s="229" t="s">
        <v>21</v>
      </c>
      <c r="C78" s="231" t="s">
        <v>189</v>
      </c>
      <c r="D78" s="234" t="s">
        <v>23</v>
      </c>
      <c r="F78" s="51" t="s">
        <v>24</v>
      </c>
      <c r="G78" s="88">
        <v>10.15</v>
      </c>
      <c r="H78" s="88">
        <v>3.6</v>
      </c>
      <c r="I78" s="222" t="s">
        <v>190</v>
      </c>
      <c r="J78" s="120">
        <v>6.55</v>
      </c>
      <c r="K78" s="222" t="s">
        <v>191</v>
      </c>
      <c r="L78" s="88">
        <v>2.1</v>
      </c>
      <c r="M78" s="239" t="s">
        <v>192</v>
      </c>
      <c r="O78" s="51" t="s">
        <v>24</v>
      </c>
      <c r="P78" s="53">
        <v>17.799999999999997</v>
      </c>
      <c r="Q78" s="54">
        <v>1.6</v>
      </c>
      <c r="R78" s="236" t="s">
        <v>193</v>
      </c>
      <c r="T78" s="51" t="s">
        <v>24</v>
      </c>
      <c r="U78" s="121">
        <v>12.2</v>
      </c>
      <c r="V78" s="222" t="s">
        <v>194</v>
      </c>
      <c r="W78" s="88">
        <v>4</v>
      </c>
      <c r="X78" s="222" t="s">
        <v>195</v>
      </c>
      <c r="Y78" s="222" t="s">
        <v>196</v>
      </c>
    </row>
    <row r="79" spans="1:26" s="12" customFormat="1" ht="164.5" customHeight="1">
      <c r="A79" s="229"/>
      <c r="B79" s="229"/>
      <c r="C79" s="231"/>
      <c r="D79" s="234"/>
      <c r="F79" s="32" t="s">
        <v>29</v>
      </c>
      <c r="G79" s="34">
        <v>11.584010872447287</v>
      </c>
      <c r="H79" s="34">
        <v>4.1086146936758849</v>
      </c>
      <c r="I79" s="253"/>
      <c r="J79" s="34">
        <v>7.4753961787714021</v>
      </c>
      <c r="K79" s="223"/>
      <c r="L79" s="91">
        <v>2.3966919046442663</v>
      </c>
      <c r="M79" s="240"/>
      <c r="O79" s="32" t="s">
        <v>29</v>
      </c>
      <c r="P79" s="58">
        <v>20.314817096508541</v>
      </c>
      <c r="Q79" s="59">
        <v>1.8260509749670601</v>
      </c>
      <c r="R79" s="237"/>
      <c r="T79" s="32" t="s">
        <v>29</v>
      </c>
      <c r="U79" s="37">
        <v>13.923638684123832</v>
      </c>
      <c r="V79" s="223"/>
      <c r="W79" s="91">
        <v>4.56512743741765</v>
      </c>
      <c r="X79" s="223"/>
      <c r="Y79" s="224"/>
    </row>
    <row r="80" spans="1:26" ht="206.5" customHeight="1">
      <c r="A80" s="229"/>
      <c r="B80" s="229"/>
      <c r="C80" s="232"/>
      <c r="D80" s="235"/>
      <c r="E80" s="8"/>
      <c r="F80" s="43" t="s">
        <v>30</v>
      </c>
      <c r="G80" s="44">
        <v>4.272892600949719</v>
      </c>
      <c r="H80" s="44">
        <v>1.5155087057555652</v>
      </c>
      <c r="I80" s="254"/>
      <c r="J80" s="44">
        <v>2.7573838951941534</v>
      </c>
      <c r="K80" s="224"/>
      <c r="L80" s="94">
        <v>0.88404674502407976</v>
      </c>
      <c r="M80" s="241"/>
      <c r="N80" s="8"/>
      <c r="O80" s="43" t="s">
        <v>30</v>
      </c>
      <c r="P80" s="60">
        <v>7.4933486006802941</v>
      </c>
      <c r="Q80" s="47">
        <v>0.67355942478025121</v>
      </c>
      <c r="R80" s="238"/>
      <c r="S80" s="8"/>
      <c r="T80" s="43" t="s">
        <v>30</v>
      </c>
      <c r="U80" s="44">
        <v>5.1358906139494147</v>
      </c>
      <c r="V80" s="224"/>
      <c r="W80" s="94">
        <v>1.6838985619506279</v>
      </c>
      <c r="X80" s="224"/>
      <c r="Y80" s="122" t="s">
        <v>197</v>
      </c>
      <c r="Z80" s="4"/>
    </row>
    <row r="81" spans="1:26" ht="104.5" customHeight="1">
      <c r="A81" s="229">
        <v>0</v>
      </c>
      <c r="B81" s="229" t="s">
        <v>21</v>
      </c>
      <c r="C81" s="231" t="s">
        <v>198</v>
      </c>
      <c r="D81" s="233" t="s">
        <v>23</v>
      </c>
      <c r="E81" s="14"/>
      <c r="F81" s="51" t="s">
        <v>24</v>
      </c>
      <c r="G81" s="64">
        <v>82.300000000000011</v>
      </c>
      <c r="H81" s="34">
        <v>16.600000000000001</v>
      </c>
      <c r="I81" s="222" t="s">
        <v>199</v>
      </c>
      <c r="J81" s="64">
        <v>65.7</v>
      </c>
      <c r="K81" s="222" t="s">
        <v>200</v>
      </c>
      <c r="L81" s="64">
        <v>12.6</v>
      </c>
      <c r="M81" s="222" t="s">
        <v>201</v>
      </c>
      <c r="N81" s="14"/>
      <c r="O81" s="32" t="s">
        <v>24</v>
      </c>
      <c r="P81" s="64">
        <v>65</v>
      </c>
      <c r="Q81" s="90"/>
      <c r="R81" s="222"/>
      <c r="S81" s="14"/>
      <c r="T81" s="32" t="s">
        <v>24</v>
      </c>
      <c r="U81" s="64">
        <v>65</v>
      </c>
      <c r="V81" s="222" t="s">
        <v>202</v>
      </c>
      <c r="W81" s="56"/>
      <c r="X81" s="56"/>
      <c r="Y81" s="222" t="s">
        <v>203</v>
      </c>
      <c r="Z81" s="14"/>
    </row>
    <row r="82" spans="1:26" ht="70.5" customHeight="1">
      <c r="A82" s="229"/>
      <c r="B82" s="229"/>
      <c r="C82" s="231"/>
      <c r="D82" s="234"/>
      <c r="E82" s="20"/>
      <c r="F82" s="32" t="s">
        <v>29</v>
      </c>
      <c r="G82" s="37">
        <v>93.92749702486816</v>
      </c>
      <c r="H82" s="34">
        <v>18.94527886528325</v>
      </c>
      <c r="I82" s="253"/>
      <c r="J82" s="37">
        <v>74.982218159584903</v>
      </c>
      <c r="K82" s="223"/>
      <c r="L82" s="37">
        <v>14.380151427865597</v>
      </c>
      <c r="M82" s="223"/>
      <c r="N82" s="20"/>
      <c r="O82" s="32" t="s">
        <v>29</v>
      </c>
      <c r="P82" s="33">
        <v>74.183320858036808</v>
      </c>
      <c r="Q82" s="119"/>
      <c r="R82" s="223"/>
      <c r="S82" s="20"/>
      <c r="T82" s="32" t="s">
        <v>29</v>
      </c>
      <c r="U82" s="33">
        <v>74.183320858036808</v>
      </c>
      <c r="V82" s="223"/>
      <c r="W82" s="39"/>
      <c r="X82" s="39"/>
      <c r="Y82" s="223"/>
      <c r="Z82" s="20"/>
    </row>
    <row r="83" spans="1:26" ht="131.5" customHeight="1">
      <c r="A83" s="229"/>
      <c r="B83" s="229"/>
      <c r="C83" s="232"/>
      <c r="D83" s="235"/>
      <c r="E83" s="8"/>
      <c r="F83" s="43" t="s">
        <v>30</v>
      </c>
      <c r="G83" s="44">
        <v>10.304579841086603</v>
      </c>
      <c r="H83" s="44">
        <v>2.0784450226250013</v>
      </c>
      <c r="I83" s="254"/>
      <c r="J83" s="44">
        <v>8.2261348184616008</v>
      </c>
      <c r="K83" s="224"/>
      <c r="L83" s="44">
        <v>1.5776148966912658</v>
      </c>
      <c r="M83" s="224"/>
      <c r="N83" s="8"/>
      <c r="O83" s="43" t="s">
        <v>30</v>
      </c>
      <c r="P83" s="44">
        <v>8.1384895464231963</v>
      </c>
      <c r="Q83" s="47"/>
      <c r="R83" s="224"/>
      <c r="S83" s="8"/>
      <c r="T83" s="43" t="s">
        <v>30</v>
      </c>
      <c r="U83" s="94">
        <v>8.1384895464231963</v>
      </c>
      <c r="V83" s="224"/>
      <c r="W83" s="49"/>
      <c r="X83" s="49"/>
      <c r="Y83" s="224"/>
      <c r="Z83" s="4"/>
    </row>
    <row r="84" spans="1:26" ht="111.65" customHeight="1">
      <c r="A84" s="229">
        <v>0</v>
      </c>
      <c r="B84" s="229" t="s">
        <v>21</v>
      </c>
      <c r="C84" s="231" t="s">
        <v>204</v>
      </c>
      <c r="D84" s="234" t="s">
        <v>32</v>
      </c>
      <c r="E84" s="14"/>
      <c r="F84" s="51" t="s">
        <v>24</v>
      </c>
      <c r="G84" s="34">
        <v>62.1</v>
      </c>
      <c r="H84" s="123">
        <v>5.0999999999999996</v>
      </c>
      <c r="I84" s="222" t="s">
        <v>205</v>
      </c>
      <c r="J84" s="35">
        <v>57</v>
      </c>
      <c r="K84" s="226" t="s">
        <v>206</v>
      </c>
      <c r="L84" s="124"/>
      <c r="M84" s="124"/>
      <c r="N84" s="11"/>
      <c r="O84" s="32" t="s">
        <v>24</v>
      </c>
      <c r="P84" s="64">
        <v>5.3</v>
      </c>
      <c r="Q84" s="125">
        <v>2.8</v>
      </c>
      <c r="R84" s="236" t="s">
        <v>207</v>
      </c>
      <c r="S84" s="11"/>
      <c r="T84" s="32" t="s">
        <v>24</v>
      </c>
      <c r="U84" s="91">
        <v>2.5</v>
      </c>
      <c r="V84" s="236" t="s">
        <v>208</v>
      </c>
      <c r="W84" s="39"/>
      <c r="X84" s="258"/>
      <c r="Y84" s="39"/>
    </row>
    <row r="85" spans="1:26" ht="83.5" customHeight="1">
      <c r="A85" s="229"/>
      <c r="B85" s="229"/>
      <c r="C85" s="231"/>
      <c r="D85" s="234"/>
      <c r="E85" s="20"/>
      <c r="F85" s="32" t="s">
        <v>29</v>
      </c>
      <c r="G85" s="37">
        <v>40.366333649903929</v>
      </c>
      <c r="H85" s="34">
        <v>3.3151095268037039</v>
      </c>
      <c r="I85" s="253"/>
      <c r="J85" s="37">
        <v>37.051224123100226</v>
      </c>
      <c r="K85" s="237"/>
      <c r="L85" s="124"/>
      <c r="M85" s="124"/>
      <c r="N85" s="11"/>
      <c r="O85" s="32" t="s">
        <v>29</v>
      </c>
      <c r="P85" s="91">
        <v>3.4451138219724768</v>
      </c>
      <c r="Q85" s="34">
        <v>1.8200601323628178</v>
      </c>
      <c r="R85" s="237"/>
      <c r="S85" s="11"/>
      <c r="T85" s="32" t="s">
        <v>29</v>
      </c>
      <c r="U85" s="34">
        <v>1.625053689609659</v>
      </c>
      <c r="V85" s="237"/>
      <c r="W85" s="39"/>
      <c r="X85" s="227"/>
      <c r="Y85" s="39"/>
    </row>
    <row r="86" spans="1:26" ht="117.75" customHeight="1">
      <c r="A86" s="229"/>
      <c r="B86" s="229"/>
      <c r="C86" s="232"/>
      <c r="D86" s="235"/>
      <c r="E86" s="8"/>
      <c r="F86" s="43" t="s">
        <v>30</v>
      </c>
      <c r="G86" s="44">
        <v>19.283678120943755</v>
      </c>
      <c r="H86" s="44">
        <v>1.5836837104156705</v>
      </c>
      <c r="I86" s="254"/>
      <c r="J86" s="44">
        <v>17.699994410528081</v>
      </c>
      <c r="K86" s="238"/>
      <c r="L86" s="124"/>
      <c r="M86" s="124"/>
      <c r="N86" s="11"/>
      <c r="O86" s="43" t="s">
        <v>30</v>
      </c>
      <c r="P86" s="44">
        <v>1.6457889539613828</v>
      </c>
      <c r="Q86" s="44">
        <v>0.86947340963997588</v>
      </c>
      <c r="R86" s="238"/>
      <c r="S86" s="11"/>
      <c r="T86" s="43" t="s">
        <v>30</v>
      </c>
      <c r="U86" s="44">
        <v>0.77631554432140704</v>
      </c>
      <c r="V86" s="238"/>
      <c r="W86" s="39"/>
      <c r="X86" s="228"/>
      <c r="Y86" s="39"/>
    </row>
    <row r="87" spans="1:26" s="20" customFormat="1" ht="58.5" customHeight="1">
      <c r="A87" s="229">
        <v>0</v>
      </c>
      <c r="B87" s="229" t="s">
        <v>21</v>
      </c>
      <c r="C87" s="230" t="s">
        <v>209</v>
      </c>
      <c r="D87" s="233" t="s">
        <v>32</v>
      </c>
      <c r="E87" s="14"/>
      <c r="F87" s="51" t="s">
        <v>24</v>
      </c>
      <c r="G87" s="64">
        <v>225.2</v>
      </c>
      <c r="H87" s="65">
        <v>24.7</v>
      </c>
      <c r="I87" s="222" t="s">
        <v>210</v>
      </c>
      <c r="J87" s="88">
        <v>200.5</v>
      </c>
      <c r="K87" s="222" t="s">
        <v>211</v>
      </c>
      <c r="L87" s="65"/>
      <c r="M87" s="222" t="s">
        <v>212</v>
      </c>
      <c r="N87" s="14"/>
      <c r="O87" s="51" t="s">
        <v>24</v>
      </c>
      <c r="P87" s="64">
        <v>137.5</v>
      </c>
      <c r="Q87" s="102">
        <v>59.5</v>
      </c>
      <c r="R87" s="222" t="s">
        <v>213</v>
      </c>
      <c r="S87" s="14"/>
      <c r="T87" s="51" t="s">
        <v>24</v>
      </c>
      <c r="U87" s="64">
        <v>78</v>
      </c>
      <c r="V87" s="222" t="s">
        <v>214</v>
      </c>
      <c r="W87" s="56"/>
      <c r="X87" s="56"/>
      <c r="Y87" s="222" t="s">
        <v>215</v>
      </c>
      <c r="Z87" s="14"/>
    </row>
    <row r="88" spans="1:26" s="20" customFormat="1" ht="62.5" customHeight="1">
      <c r="A88" s="229"/>
      <c r="B88" s="229"/>
      <c r="C88" s="231"/>
      <c r="D88" s="234"/>
      <c r="F88" s="32" t="s">
        <v>29</v>
      </c>
      <c r="G88" s="37">
        <v>23.917160810691193</v>
      </c>
      <c r="H88" s="91">
        <v>2.6232409947782966</v>
      </c>
      <c r="I88" s="223"/>
      <c r="J88" s="91">
        <v>21.293919815912897</v>
      </c>
      <c r="K88" s="223"/>
      <c r="L88" s="39"/>
      <c r="M88" s="223"/>
      <c r="O88" s="32" t="s">
        <v>29</v>
      </c>
      <c r="P88" s="33">
        <v>14.603062217895378</v>
      </c>
      <c r="Q88" s="93">
        <v>6.3191432870165452</v>
      </c>
      <c r="R88" s="223"/>
      <c r="T88" s="32" t="s">
        <v>29</v>
      </c>
      <c r="U88" s="33">
        <v>8.2839189308788317</v>
      </c>
      <c r="V88" s="223"/>
      <c r="W88" s="39"/>
      <c r="X88" s="39"/>
      <c r="Y88" s="223"/>
    </row>
    <row r="89" spans="1:26" ht="102" customHeight="1">
      <c r="A89" s="229"/>
      <c r="B89" s="229"/>
      <c r="C89" s="232"/>
      <c r="D89" s="235"/>
      <c r="E89" s="8"/>
      <c r="F89" s="43" t="s">
        <v>216</v>
      </c>
      <c r="G89" s="44">
        <v>7.4022943167997886</v>
      </c>
      <c r="H89" s="116">
        <v>0.81188574433816507</v>
      </c>
      <c r="I89" s="224"/>
      <c r="J89" s="94">
        <v>6.5904085724616239</v>
      </c>
      <c r="K89" s="224"/>
      <c r="L89" s="49"/>
      <c r="M89" s="224"/>
      <c r="N89" s="8"/>
      <c r="O89" s="43" t="s">
        <v>216</v>
      </c>
      <c r="P89" s="126">
        <v>4.5196068763764252</v>
      </c>
      <c r="Q89" s="85">
        <v>1.9557571574137986</v>
      </c>
      <c r="R89" s="224"/>
      <c r="S89" s="8"/>
      <c r="T89" s="43" t="s">
        <v>30</v>
      </c>
      <c r="U89" s="44">
        <v>2.563849718962627</v>
      </c>
      <c r="V89" s="224"/>
      <c r="W89" s="49"/>
      <c r="X89" s="49"/>
      <c r="Y89" s="224"/>
      <c r="Z89" s="4"/>
    </row>
    <row r="90" spans="1:26" ht="182.5" customHeight="1">
      <c r="A90" s="127"/>
      <c r="B90" s="127"/>
      <c r="C90" s="230" t="s">
        <v>217</v>
      </c>
      <c r="D90" s="233" t="s">
        <v>23</v>
      </c>
      <c r="E90" s="11"/>
      <c r="F90" s="32" t="s">
        <v>24</v>
      </c>
      <c r="G90" s="34">
        <v>11.4</v>
      </c>
      <c r="H90" s="113">
        <v>1.9</v>
      </c>
      <c r="I90" s="222" t="s">
        <v>218</v>
      </c>
      <c r="J90" s="91">
        <v>9.5</v>
      </c>
      <c r="K90" s="236" t="s">
        <v>219</v>
      </c>
      <c r="L90" s="97">
        <v>1.1000000000000001</v>
      </c>
      <c r="M90" s="39" t="s">
        <v>220</v>
      </c>
      <c r="N90" s="11"/>
      <c r="O90" s="32" t="s">
        <v>24</v>
      </c>
      <c r="P90" s="34">
        <v>11.5</v>
      </c>
      <c r="Q90" s="93"/>
      <c r="R90" s="39"/>
      <c r="S90" s="11"/>
      <c r="T90" s="32" t="s">
        <v>24</v>
      </c>
      <c r="U90" s="34">
        <v>11.5</v>
      </c>
      <c r="V90" s="222" t="s">
        <v>221</v>
      </c>
      <c r="W90" s="39"/>
      <c r="X90" s="39"/>
      <c r="Y90" s="39"/>
    </row>
    <row r="91" spans="1:26" ht="120" customHeight="1">
      <c r="A91" s="127"/>
      <c r="B91" s="127"/>
      <c r="C91" s="231"/>
      <c r="D91" s="234"/>
      <c r="E91" s="11"/>
      <c r="F91" s="32" t="s">
        <v>29</v>
      </c>
      <c r="G91" s="34">
        <v>13.010613196640303</v>
      </c>
      <c r="H91" s="34">
        <v>2.1684355327733837</v>
      </c>
      <c r="I91" s="223"/>
      <c r="J91" s="34">
        <v>10.842177663866918</v>
      </c>
      <c r="K91" s="237"/>
      <c r="L91" s="34">
        <v>1.2554100452898538</v>
      </c>
      <c r="M91" s="39"/>
      <c r="N91" s="11"/>
      <c r="O91" s="32" t="s">
        <v>29</v>
      </c>
      <c r="P91" s="34">
        <v>13.124741382575744</v>
      </c>
      <c r="Q91" s="93"/>
      <c r="R91" s="39"/>
      <c r="S91" s="11"/>
      <c r="T91" s="32" t="s">
        <v>29</v>
      </c>
      <c r="U91" s="34">
        <v>13.124741382575744</v>
      </c>
      <c r="V91" s="223"/>
      <c r="W91" s="39"/>
      <c r="X91" s="39"/>
      <c r="Y91" s="39"/>
    </row>
    <row r="92" spans="1:26" ht="190" customHeight="1">
      <c r="A92" s="127"/>
      <c r="B92" s="127"/>
      <c r="C92" s="232"/>
      <c r="D92" s="235"/>
      <c r="E92" s="11"/>
      <c r="F92" s="32" t="s">
        <v>30</v>
      </c>
      <c r="G92" s="44">
        <v>5.6308753739098822</v>
      </c>
      <c r="H92" s="44">
        <v>0.93847922898498037</v>
      </c>
      <c r="I92" s="224"/>
      <c r="J92" s="44">
        <v>4.6923961449249019</v>
      </c>
      <c r="K92" s="238"/>
      <c r="L92" s="44">
        <v>0.54333007993867288</v>
      </c>
      <c r="M92" s="49"/>
      <c r="N92" s="8"/>
      <c r="O92" s="43" t="s">
        <v>30</v>
      </c>
      <c r="P92" s="44">
        <v>5.6802690175406712</v>
      </c>
      <c r="Q92" s="85"/>
      <c r="R92" s="49"/>
      <c r="S92" s="8"/>
      <c r="T92" s="43" t="s">
        <v>30</v>
      </c>
      <c r="U92" s="44">
        <v>5.6802690175406712</v>
      </c>
      <c r="V92" s="224"/>
      <c r="W92" s="39"/>
      <c r="X92" s="39"/>
      <c r="Y92" s="39"/>
    </row>
    <row r="93" spans="1:26" s="20" customFormat="1" ht="73.5" customHeight="1">
      <c r="A93" s="229">
        <v>0</v>
      </c>
      <c r="B93" s="229" t="s">
        <v>21</v>
      </c>
      <c r="C93" s="231" t="s">
        <v>222</v>
      </c>
      <c r="D93" s="234" t="s">
        <v>32</v>
      </c>
      <c r="E93" s="14"/>
      <c r="F93" s="51" t="s">
        <v>24</v>
      </c>
      <c r="G93" s="64">
        <v>86.300000000000011</v>
      </c>
      <c r="H93" s="65">
        <v>18.600000000000001</v>
      </c>
      <c r="I93" s="222" t="s">
        <v>223</v>
      </c>
      <c r="J93" s="64">
        <v>67.7</v>
      </c>
      <c r="K93" s="222" t="s">
        <v>224</v>
      </c>
      <c r="L93" s="56"/>
      <c r="M93" s="259"/>
      <c r="O93" s="32" t="s">
        <v>24</v>
      </c>
      <c r="P93" s="33">
        <v>22</v>
      </c>
      <c r="Q93" s="38">
        <v>22</v>
      </c>
      <c r="R93" s="223" t="s">
        <v>225</v>
      </c>
      <c r="T93" s="32" t="s">
        <v>24</v>
      </c>
      <c r="U93" s="91"/>
      <c r="V93" s="222"/>
      <c r="W93" s="56"/>
      <c r="X93" s="56"/>
      <c r="Y93" s="56"/>
      <c r="Z93" s="14"/>
    </row>
    <row r="94" spans="1:26" s="13" customFormat="1" ht="58.5" customHeight="1">
      <c r="A94" s="229"/>
      <c r="B94" s="229"/>
      <c r="C94" s="231"/>
      <c r="D94" s="234"/>
      <c r="E94" s="20"/>
      <c r="F94" s="32" t="s">
        <v>29</v>
      </c>
      <c r="G94" s="37">
        <v>62.546527888588585</v>
      </c>
      <c r="H94" s="34">
        <v>13.480479938907852</v>
      </c>
      <c r="I94" s="223"/>
      <c r="J94" s="37">
        <v>49.06604794968073</v>
      </c>
      <c r="K94" s="223"/>
      <c r="L94" s="39"/>
      <c r="M94" s="259"/>
      <c r="N94" s="20"/>
      <c r="O94" s="32" t="s">
        <v>29</v>
      </c>
      <c r="P94" s="33">
        <v>15.94465369118133</v>
      </c>
      <c r="Q94" s="63">
        <v>15.94465369118133</v>
      </c>
      <c r="R94" s="223"/>
      <c r="S94" s="20"/>
      <c r="T94" s="32" t="s">
        <v>29</v>
      </c>
      <c r="U94" s="91"/>
      <c r="V94" s="223"/>
      <c r="W94" s="39"/>
      <c r="X94" s="39"/>
      <c r="Y94" s="39"/>
      <c r="Z94" s="20"/>
    </row>
    <row r="95" spans="1:26" ht="56.25" customHeight="1">
      <c r="A95" s="229"/>
      <c r="B95" s="229"/>
      <c r="C95" s="232"/>
      <c r="D95" s="235"/>
      <c r="E95" s="11"/>
      <c r="F95" s="32" t="s">
        <v>30</v>
      </c>
      <c r="G95" s="34">
        <v>18.39709108521307</v>
      </c>
      <c r="H95" s="44">
        <v>3.9650740925256436</v>
      </c>
      <c r="I95" s="224"/>
      <c r="J95" s="44">
        <v>14.432016992687425</v>
      </c>
      <c r="K95" s="224"/>
      <c r="L95" s="39"/>
      <c r="M95" s="260"/>
      <c r="N95" s="11"/>
      <c r="O95" s="32" t="s">
        <v>30</v>
      </c>
      <c r="P95" s="44">
        <v>4.6898725825572125</v>
      </c>
      <c r="Q95" s="59">
        <v>4.6898725825572125</v>
      </c>
      <c r="R95" s="224"/>
      <c r="S95" s="11"/>
      <c r="T95" s="32" t="s">
        <v>30</v>
      </c>
      <c r="U95" s="34"/>
      <c r="V95" s="224"/>
      <c r="W95" s="39"/>
      <c r="X95" s="39"/>
      <c r="Y95" s="39"/>
    </row>
    <row r="96" spans="1:26" s="57" customFormat="1" ht="136.5" customHeight="1">
      <c r="A96" s="229">
        <v>0</v>
      </c>
      <c r="B96" s="229" t="s">
        <v>21</v>
      </c>
      <c r="C96" s="231" t="s">
        <v>226</v>
      </c>
      <c r="D96" s="233" t="s">
        <v>32</v>
      </c>
      <c r="F96" s="51" t="s">
        <v>24</v>
      </c>
      <c r="G96" s="64">
        <v>207</v>
      </c>
      <c r="H96" s="88">
        <v>38</v>
      </c>
      <c r="I96" s="255" t="s">
        <v>227</v>
      </c>
      <c r="J96" s="55">
        <v>169</v>
      </c>
      <c r="K96" s="236" t="s">
        <v>228</v>
      </c>
      <c r="L96" s="65">
        <v>335</v>
      </c>
      <c r="M96" s="252" t="s">
        <v>229</v>
      </c>
      <c r="O96" s="51" t="s">
        <v>24</v>
      </c>
      <c r="P96" s="64">
        <v>261.7</v>
      </c>
      <c r="Q96" s="54">
        <v>11.7</v>
      </c>
      <c r="R96" s="236" t="s">
        <v>230</v>
      </c>
      <c r="T96" s="51" t="s">
        <v>24</v>
      </c>
      <c r="U96" s="52">
        <v>250</v>
      </c>
      <c r="V96" s="236" t="s">
        <v>231</v>
      </c>
      <c r="W96" s="56"/>
      <c r="X96" s="56"/>
      <c r="Y96" s="62"/>
    </row>
    <row r="97" spans="1:26" s="20" customFormat="1" ht="110.15" customHeight="1">
      <c r="A97" s="229"/>
      <c r="B97" s="229"/>
      <c r="C97" s="231"/>
      <c r="D97" s="234"/>
      <c r="E97" s="12"/>
      <c r="F97" s="32" t="s">
        <v>29</v>
      </c>
      <c r="G97" s="37">
        <v>22.474815922163589</v>
      </c>
      <c r="H97" s="34">
        <v>4.125811618561432</v>
      </c>
      <c r="I97" s="256"/>
      <c r="J97" s="37">
        <v>18.349004303602158</v>
      </c>
      <c r="K97" s="237"/>
      <c r="L97" s="33">
        <v>36.372286637317892</v>
      </c>
      <c r="M97" s="223"/>
      <c r="N97" s="12"/>
      <c r="O97" s="32" t="s">
        <v>29</v>
      </c>
      <c r="P97" s="33">
        <v>28.413813173092809</v>
      </c>
      <c r="Q97" s="34">
        <v>1.2703156825570725</v>
      </c>
      <c r="R97" s="237"/>
      <c r="S97" s="12"/>
      <c r="T97" s="32" t="s">
        <v>29</v>
      </c>
      <c r="U97" s="37">
        <v>27.143497490535736</v>
      </c>
      <c r="V97" s="237"/>
      <c r="W97" s="39"/>
      <c r="X97" s="39"/>
      <c r="Y97" s="99"/>
      <c r="Z97" s="12"/>
    </row>
    <row r="98" spans="1:26" ht="93.65" customHeight="1">
      <c r="A98" s="229"/>
      <c r="B98" s="229"/>
      <c r="C98" s="232"/>
      <c r="D98" s="235"/>
      <c r="E98" s="8"/>
      <c r="F98" s="43" t="s">
        <v>30</v>
      </c>
      <c r="G98" s="44">
        <v>4.1805066006564005</v>
      </c>
      <c r="H98" s="44">
        <v>0.76743599432339715</v>
      </c>
      <c r="I98" s="257"/>
      <c r="J98" s="44">
        <v>3.4130706063330032</v>
      </c>
      <c r="K98" s="238"/>
      <c r="L98" s="94">
        <v>6.76555416048258</v>
      </c>
      <c r="M98" s="224"/>
      <c r="N98" s="8"/>
      <c r="O98" s="43" t="s">
        <v>30</v>
      </c>
      <c r="P98" s="44">
        <v>5.28521051880087</v>
      </c>
      <c r="Q98" s="44">
        <v>0.23628950351536174</v>
      </c>
      <c r="R98" s="238"/>
      <c r="S98" s="8"/>
      <c r="T98" s="43" t="s">
        <v>30</v>
      </c>
      <c r="U98" s="44">
        <v>5.048921015285508</v>
      </c>
      <c r="V98" s="238"/>
      <c r="W98" s="49"/>
      <c r="X98" s="49"/>
      <c r="Y98" s="49"/>
      <c r="Z98" s="4"/>
    </row>
    <row r="99" spans="1:26" ht="58.5" customHeight="1">
      <c r="A99" s="229">
        <v>0</v>
      </c>
      <c r="B99" s="229" t="s">
        <v>21</v>
      </c>
      <c r="C99" s="231" t="s">
        <v>232</v>
      </c>
      <c r="D99" s="233" t="s">
        <v>32</v>
      </c>
      <c r="E99" s="57"/>
      <c r="F99" s="51" t="s">
        <v>24</v>
      </c>
      <c r="G99" s="37">
        <v>54.625</v>
      </c>
      <c r="H99" s="113">
        <v>6.6079999999999997</v>
      </c>
      <c r="I99" s="236" t="s">
        <v>233</v>
      </c>
      <c r="J99" s="113">
        <v>48.017000000000003</v>
      </c>
      <c r="K99" s="236" t="s">
        <v>234</v>
      </c>
      <c r="L99" s="68"/>
      <c r="M99" s="222"/>
      <c r="N99" s="11"/>
      <c r="O99" s="51" t="s">
        <v>24</v>
      </c>
      <c r="P99" s="64">
        <v>43.774999999999999</v>
      </c>
      <c r="Q99" s="59">
        <v>1</v>
      </c>
      <c r="R99" s="222" t="s">
        <v>235</v>
      </c>
      <c r="S99" s="11"/>
      <c r="T99" s="51" t="s">
        <v>24</v>
      </c>
      <c r="U99" s="37">
        <v>42.774999999999999</v>
      </c>
      <c r="V99" s="222" t="s">
        <v>236</v>
      </c>
      <c r="W99" s="39"/>
      <c r="X99" s="39"/>
      <c r="Y99" s="39"/>
    </row>
    <row r="100" spans="1:26" ht="58.5" customHeight="1">
      <c r="A100" s="229"/>
      <c r="B100" s="229"/>
      <c r="C100" s="231"/>
      <c r="D100" s="234"/>
      <c r="F100" s="32" t="s">
        <v>29</v>
      </c>
      <c r="G100" s="37">
        <v>58.183399756792603</v>
      </c>
      <c r="H100" s="34">
        <v>7.0384605142862338</v>
      </c>
      <c r="I100" s="237"/>
      <c r="J100" s="37">
        <v>51.144939242506375</v>
      </c>
      <c r="K100" s="237"/>
      <c r="L100" s="37"/>
      <c r="M100" s="223"/>
      <c r="N100" s="11"/>
      <c r="O100" s="32" t="s">
        <v>29</v>
      </c>
      <c r="P100" s="33">
        <v>46.626605480157366</v>
      </c>
      <c r="Q100" s="34">
        <v>1.0651423296438005</v>
      </c>
      <c r="R100" s="223"/>
      <c r="S100" s="11"/>
      <c r="T100" s="32" t="s">
        <v>29</v>
      </c>
      <c r="U100" s="37">
        <v>45.561463150513568</v>
      </c>
      <c r="V100" s="223"/>
      <c r="W100" s="39"/>
      <c r="X100" s="39"/>
      <c r="Y100" s="39"/>
    </row>
    <row r="101" spans="1:26" ht="58.5" customHeight="1">
      <c r="A101" s="229"/>
      <c r="B101" s="229"/>
      <c r="C101" s="232"/>
      <c r="D101" s="235"/>
      <c r="E101" s="8"/>
      <c r="F101" s="43" t="s">
        <v>30</v>
      </c>
      <c r="G101" s="44">
        <v>7.7730721144719874</v>
      </c>
      <c r="H101" s="44">
        <v>0.94031049029621783</v>
      </c>
      <c r="I101" s="238"/>
      <c r="J101" s="44">
        <v>6.8327616241757703</v>
      </c>
      <c r="K101" s="238"/>
      <c r="L101" s="44"/>
      <c r="M101" s="224"/>
      <c r="N101" s="8"/>
      <c r="O101" s="43" t="s">
        <v>30</v>
      </c>
      <c r="P101" s="44">
        <v>6.2291301018034106</v>
      </c>
      <c r="Q101" s="44">
        <v>0.14229880301092884</v>
      </c>
      <c r="R101" s="224"/>
      <c r="S101" s="8"/>
      <c r="T101" s="43" t="s">
        <v>30</v>
      </c>
      <c r="U101" s="44">
        <v>6.0868312987924815</v>
      </c>
      <c r="V101" s="224"/>
      <c r="W101" s="49"/>
      <c r="X101" s="49"/>
      <c r="Y101" s="39"/>
    </row>
    <row r="102" spans="1:26" s="20" customFormat="1" ht="90.65" customHeight="1">
      <c r="A102" s="229">
        <v>0</v>
      </c>
      <c r="B102" s="229" t="s">
        <v>101</v>
      </c>
      <c r="C102" s="231" t="s">
        <v>237</v>
      </c>
      <c r="D102" s="233" t="s">
        <v>23</v>
      </c>
      <c r="F102" s="32" t="s">
        <v>24</v>
      </c>
      <c r="G102" s="33">
        <v>36.200000000000003</v>
      </c>
      <c r="H102" s="65">
        <v>18.2</v>
      </c>
      <c r="I102" s="239" t="s">
        <v>238</v>
      </c>
      <c r="J102" s="33">
        <v>18</v>
      </c>
      <c r="K102" s="236" t="s">
        <v>239</v>
      </c>
      <c r="L102" s="97"/>
      <c r="M102" s="222" t="s">
        <v>240</v>
      </c>
      <c r="O102" s="32" t="s">
        <v>24</v>
      </c>
      <c r="P102" s="53">
        <v>26</v>
      </c>
      <c r="Q102" s="119"/>
      <c r="R102" s="39"/>
      <c r="T102" s="32" t="s">
        <v>24</v>
      </c>
      <c r="U102" s="33">
        <v>26</v>
      </c>
      <c r="V102" s="222" t="s">
        <v>241</v>
      </c>
      <c r="W102" s="97"/>
      <c r="X102" s="39"/>
      <c r="Y102" s="39"/>
    </row>
    <row r="103" spans="1:26" ht="83.5" customHeight="1">
      <c r="A103" s="229"/>
      <c r="B103" s="229"/>
      <c r="C103" s="231"/>
      <c r="D103" s="234"/>
      <c r="E103" s="20"/>
      <c r="F103" s="32" t="s">
        <v>29</v>
      </c>
      <c r="G103" s="34">
        <v>0.33382004491368428</v>
      </c>
      <c r="H103" s="34">
        <v>0.16783217727704566</v>
      </c>
      <c r="I103" s="240"/>
      <c r="J103" s="34">
        <v>0.16598786763663859</v>
      </c>
      <c r="K103" s="237"/>
      <c r="L103" s="39"/>
      <c r="M103" s="223"/>
      <c r="N103" s="20"/>
      <c r="O103" s="32" t="s">
        <v>29</v>
      </c>
      <c r="P103" s="114">
        <v>0.23976025325292241</v>
      </c>
      <c r="Q103" s="119"/>
      <c r="R103" s="39"/>
      <c r="S103" s="20"/>
      <c r="T103" s="32" t="s">
        <v>29</v>
      </c>
      <c r="U103" s="34">
        <v>0.23976025325292241</v>
      </c>
      <c r="V103" s="223"/>
      <c r="W103" s="39"/>
      <c r="X103" s="39"/>
      <c r="Y103" s="39"/>
      <c r="Z103" s="20"/>
    </row>
    <row r="104" spans="1:26" ht="106.5" customHeight="1">
      <c r="A104" s="229"/>
      <c r="B104" s="229"/>
      <c r="C104" s="232"/>
      <c r="D104" s="235"/>
      <c r="E104" s="8"/>
      <c r="F104" s="43" t="s">
        <v>30</v>
      </c>
      <c r="G104" s="44">
        <v>2.2512745821149296</v>
      </c>
      <c r="H104" s="44">
        <v>1.1080167908431224</v>
      </c>
      <c r="I104" s="241"/>
      <c r="J104" s="44">
        <v>1.0958407821525387</v>
      </c>
      <c r="K104" s="238"/>
      <c r="L104" s="49"/>
      <c r="M104" s="224"/>
      <c r="N104" s="8"/>
      <c r="O104" s="43" t="s">
        <v>30</v>
      </c>
      <c r="P104" s="60">
        <v>1.5828811297758891</v>
      </c>
      <c r="Q104" s="47"/>
      <c r="R104" s="128"/>
      <c r="S104" s="8"/>
      <c r="T104" s="43" t="s">
        <v>30</v>
      </c>
      <c r="U104" s="44">
        <v>1.5828811297758891</v>
      </c>
      <c r="V104" s="224"/>
      <c r="W104" s="49"/>
      <c r="X104" s="49"/>
      <c r="Y104" s="49"/>
      <c r="Z104" s="4"/>
    </row>
    <row r="105" spans="1:26" ht="172.5" customHeight="1">
      <c r="A105" s="229">
        <v>0</v>
      </c>
      <c r="B105" s="229" t="s">
        <v>101</v>
      </c>
      <c r="C105" s="231" t="s">
        <v>242</v>
      </c>
      <c r="D105" s="233" t="s">
        <v>23</v>
      </c>
      <c r="E105" s="57"/>
      <c r="F105" s="51" t="s">
        <v>24</v>
      </c>
      <c r="G105" s="88">
        <v>5.9690000000000003</v>
      </c>
      <c r="H105" s="88">
        <v>1.7050000000000001</v>
      </c>
      <c r="I105" s="222" t="s">
        <v>243</v>
      </c>
      <c r="J105" s="55">
        <v>4.2640000000000002</v>
      </c>
      <c r="K105" s="226" t="s">
        <v>244</v>
      </c>
      <c r="L105" s="65">
        <v>0.6</v>
      </c>
      <c r="M105" s="222" t="s">
        <v>245</v>
      </c>
      <c r="N105" s="57"/>
      <c r="O105" s="32" t="s">
        <v>24</v>
      </c>
      <c r="P105" s="88">
        <v>4.6219999999999999</v>
      </c>
      <c r="Q105" s="54">
        <v>1.6220000000000001</v>
      </c>
      <c r="R105" s="222" t="s">
        <v>246</v>
      </c>
      <c r="S105" s="57"/>
      <c r="T105" s="32" t="s">
        <v>24</v>
      </c>
      <c r="U105" s="55"/>
      <c r="V105" s="222"/>
      <c r="W105" s="55">
        <v>3</v>
      </c>
      <c r="X105" s="222" t="s">
        <v>247</v>
      </c>
      <c r="Y105" s="222" t="s">
        <v>248</v>
      </c>
      <c r="Z105" s="57"/>
    </row>
    <row r="106" spans="1:26" s="11" customFormat="1" ht="155.5" customHeight="1">
      <c r="A106" s="229"/>
      <c r="B106" s="229"/>
      <c r="C106" s="231"/>
      <c r="D106" s="234"/>
      <c r="E106" s="12"/>
      <c r="F106" s="32" t="s">
        <v>29</v>
      </c>
      <c r="G106" s="34">
        <v>3.4830795204524279</v>
      </c>
      <c r="H106" s="34">
        <v>0.99491549377976041</v>
      </c>
      <c r="I106" s="253"/>
      <c r="J106" s="34">
        <v>2.4881640266726675</v>
      </c>
      <c r="K106" s="237"/>
      <c r="L106" s="34">
        <v>0.35011688930666052</v>
      </c>
      <c r="M106" s="223"/>
      <c r="N106" s="12"/>
      <c r="O106" s="32" t="s">
        <v>29</v>
      </c>
      <c r="P106" s="34">
        <v>2.6970671039589753</v>
      </c>
      <c r="Q106" s="59">
        <v>0.94648265742567239</v>
      </c>
      <c r="R106" s="223"/>
      <c r="S106" s="12"/>
      <c r="T106" s="32" t="s">
        <v>29</v>
      </c>
      <c r="U106" s="34"/>
      <c r="V106" s="223"/>
      <c r="W106" s="34">
        <v>1.7505844465333027</v>
      </c>
      <c r="X106" s="223"/>
      <c r="Y106" s="223"/>
      <c r="Z106" s="12"/>
    </row>
    <row r="107" spans="1:26" ht="90.75" customHeight="1">
      <c r="A107" s="229"/>
      <c r="B107" s="229"/>
      <c r="C107" s="232"/>
      <c r="D107" s="235"/>
      <c r="E107" s="8"/>
      <c r="F107" s="43" t="s">
        <v>30</v>
      </c>
      <c r="G107" s="44">
        <v>5.0326678658001889</v>
      </c>
      <c r="H107" s="44">
        <v>1.4375437612982613</v>
      </c>
      <c r="I107" s="254"/>
      <c r="J107" s="44">
        <v>3.5951241045019273</v>
      </c>
      <c r="K107" s="238"/>
      <c r="L107" s="44">
        <v>0.50588050250965211</v>
      </c>
      <c r="M107" s="224"/>
      <c r="N107" s="8"/>
      <c r="O107" s="43" t="s">
        <v>30</v>
      </c>
      <c r="P107" s="44">
        <v>3.8969661376660198</v>
      </c>
      <c r="Q107" s="44">
        <v>1.3675636251177596</v>
      </c>
      <c r="R107" s="224"/>
      <c r="S107" s="8"/>
      <c r="T107" s="43" t="s">
        <v>30</v>
      </c>
      <c r="U107" s="44"/>
      <c r="V107" s="224"/>
      <c r="W107" s="44">
        <v>2.5294025125482604</v>
      </c>
      <c r="X107" s="224"/>
      <c r="Y107" s="224"/>
      <c r="Z107" s="4"/>
    </row>
    <row r="108" spans="1:26" s="11" customFormat="1" ht="50.5" customHeight="1">
      <c r="A108" s="229">
        <v>0</v>
      </c>
      <c r="B108" s="229" t="s">
        <v>101</v>
      </c>
      <c r="C108" s="231" t="s">
        <v>249</v>
      </c>
      <c r="D108" s="234" t="s">
        <v>32</v>
      </c>
      <c r="E108" s="50"/>
      <c r="F108" s="51" t="s">
        <v>24</v>
      </c>
      <c r="G108" s="129">
        <v>28231.64</v>
      </c>
      <c r="H108" s="101">
        <v>1201.346</v>
      </c>
      <c r="I108" s="255" t="s">
        <v>250</v>
      </c>
      <c r="J108" s="101">
        <v>27030.29</v>
      </c>
      <c r="K108" s="236" t="s">
        <v>251</v>
      </c>
      <c r="L108" s="101">
        <v>2603</v>
      </c>
      <c r="M108" s="237" t="s">
        <v>252</v>
      </c>
      <c r="N108" s="50"/>
      <c r="O108" s="32" t="s">
        <v>24</v>
      </c>
      <c r="P108" s="107">
        <v>5005.6930000000002</v>
      </c>
      <c r="Q108" s="107">
        <v>2603</v>
      </c>
      <c r="R108" s="237" t="s">
        <v>253</v>
      </c>
      <c r="S108" s="50"/>
      <c r="T108" s="32" t="s">
        <v>24</v>
      </c>
      <c r="U108" s="107"/>
      <c r="V108" s="237"/>
      <c r="W108" s="52">
        <v>2402.6930000000002</v>
      </c>
      <c r="X108" s="239" t="s">
        <v>254</v>
      </c>
      <c r="Y108" s="222" t="s">
        <v>255</v>
      </c>
      <c r="Z108" s="50"/>
    </row>
    <row r="109" spans="1:26" s="20" customFormat="1" ht="45.65" customHeight="1">
      <c r="A109" s="229"/>
      <c r="B109" s="229"/>
      <c r="C109" s="231"/>
      <c r="D109" s="234"/>
      <c r="E109" s="11"/>
      <c r="F109" s="32" t="s">
        <v>29</v>
      </c>
      <c r="G109" s="37">
        <v>35.638547905057798</v>
      </c>
      <c r="H109" s="34">
        <v>1.5165334699489497</v>
      </c>
      <c r="I109" s="256"/>
      <c r="J109" s="37">
        <v>34.12200938566108</v>
      </c>
      <c r="K109" s="237"/>
      <c r="L109" s="34">
        <v>3.2859281358385646</v>
      </c>
      <c r="M109" s="237"/>
      <c r="N109" s="11"/>
      <c r="O109" s="32" t="s">
        <v>29</v>
      </c>
      <c r="P109" s="114">
        <v>6.3189963380984064</v>
      </c>
      <c r="Q109" s="34">
        <v>3.2859281358385646</v>
      </c>
      <c r="R109" s="237"/>
      <c r="S109" s="11"/>
      <c r="T109" s="32" t="s">
        <v>29</v>
      </c>
      <c r="U109" s="34"/>
      <c r="V109" s="237"/>
      <c r="W109" s="34">
        <v>3.0330682022598419</v>
      </c>
      <c r="X109" s="240"/>
      <c r="Y109" s="223"/>
      <c r="Z109" s="11"/>
    </row>
    <row r="110" spans="1:26" ht="42.65" customHeight="1">
      <c r="A110" s="229"/>
      <c r="B110" s="229"/>
      <c r="C110" s="232"/>
      <c r="D110" s="235"/>
      <c r="E110" s="8"/>
      <c r="F110" s="43" t="s">
        <v>30</v>
      </c>
      <c r="G110" s="44">
        <v>14.09619540198695</v>
      </c>
      <c r="H110" s="44">
        <v>0.59983791098906813</v>
      </c>
      <c r="I110" s="257"/>
      <c r="J110" s="44">
        <v>13.496355493778395</v>
      </c>
      <c r="K110" s="238"/>
      <c r="L110" s="94">
        <v>1.2996905823172877</v>
      </c>
      <c r="M110" s="238"/>
      <c r="N110" s="8"/>
      <c r="O110" s="43" t="s">
        <v>30</v>
      </c>
      <c r="P110" s="60">
        <v>2.4993669036002961</v>
      </c>
      <c r="Q110" s="44">
        <v>1.2996905823172877</v>
      </c>
      <c r="R110" s="238"/>
      <c r="S110" s="8"/>
      <c r="T110" s="43" t="s">
        <v>30</v>
      </c>
      <c r="U110" s="44"/>
      <c r="V110" s="238"/>
      <c r="W110" s="44">
        <v>1.1996763212830086</v>
      </c>
      <c r="X110" s="241"/>
      <c r="Y110" s="224"/>
      <c r="Z110" s="4"/>
    </row>
    <row r="111" spans="1:26" s="11" customFormat="1" ht="115.5" customHeight="1">
      <c r="A111" s="229">
        <v>0</v>
      </c>
      <c r="B111" s="229" t="s">
        <v>101</v>
      </c>
      <c r="C111" s="231" t="s">
        <v>256</v>
      </c>
      <c r="D111" s="233" t="s">
        <v>23</v>
      </c>
      <c r="E111" s="50"/>
      <c r="F111" s="51" t="s">
        <v>24</v>
      </c>
      <c r="G111" s="101">
        <v>47191</v>
      </c>
      <c r="H111" s="101">
        <v>14360</v>
      </c>
      <c r="I111" s="239" t="s">
        <v>257</v>
      </c>
      <c r="J111" s="101">
        <v>32831</v>
      </c>
      <c r="K111" s="222" t="s">
        <v>258</v>
      </c>
      <c r="L111" s="65">
        <v>1780</v>
      </c>
      <c r="M111" s="222" t="s">
        <v>259</v>
      </c>
      <c r="N111" s="50"/>
      <c r="O111" s="32" t="s">
        <v>24</v>
      </c>
      <c r="P111" s="101">
        <v>57553</v>
      </c>
      <c r="Q111" s="107">
        <v>31978</v>
      </c>
      <c r="R111" s="245" t="s">
        <v>260</v>
      </c>
      <c r="S111" s="50"/>
      <c r="T111" s="32" t="s">
        <v>24</v>
      </c>
      <c r="U111" s="101">
        <v>25575</v>
      </c>
      <c r="V111" s="222" t="s">
        <v>261</v>
      </c>
      <c r="W111" s="62"/>
      <c r="X111" s="62"/>
      <c r="Y111" s="62"/>
      <c r="Z111" s="50"/>
    </row>
    <row r="112" spans="1:26" s="11" customFormat="1" ht="115.5" customHeight="1">
      <c r="A112" s="229"/>
      <c r="B112" s="229"/>
      <c r="C112" s="231"/>
      <c r="D112" s="234"/>
      <c r="F112" s="32" t="s">
        <v>29</v>
      </c>
      <c r="G112" s="34">
        <v>12.777545498790493</v>
      </c>
      <c r="H112" s="34">
        <v>3.8881471755765187</v>
      </c>
      <c r="I112" s="240"/>
      <c r="J112" s="34">
        <v>8.8893983232139746</v>
      </c>
      <c r="K112" s="223"/>
      <c r="L112" s="34">
        <v>0.4819569618750838</v>
      </c>
      <c r="M112" s="223"/>
      <c r="O112" s="32" t="s">
        <v>29</v>
      </c>
      <c r="P112" s="91">
        <v>15.583184846514998</v>
      </c>
      <c r="Q112" s="59">
        <v>8.6584380487873194</v>
      </c>
      <c r="R112" s="223"/>
      <c r="T112" s="32" t="s">
        <v>29</v>
      </c>
      <c r="U112" s="34">
        <v>6.9247467977276784</v>
      </c>
      <c r="V112" s="223"/>
      <c r="W112" s="99"/>
      <c r="X112" s="99"/>
      <c r="Y112" s="99"/>
    </row>
    <row r="113" spans="1:26" ht="73" customHeight="1">
      <c r="A113" s="229"/>
      <c r="B113" s="229"/>
      <c r="C113" s="232"/>
      <c r="D113" s="235"/>
      <c r="E113" s="8"/>
      <c r="F113" s="43" t="s">
        <v>30</v>
      </c>
      <c r="G113" s="44">
        <v>4.7053509644817844</v>
      </c>
      <c r="H113" s="44">
        <v>1.4318162329672697</v>
      </c>
      <c r="I113" s="241"/>
      <c r="J113" s="44">
        <v>3.2735347315145145</v>
      </c>
      <c r="K113" s="224"/>
      <c r="L113" s="44">
        <v>0.17748139935109608</v>
      </c>
      <c r="M113" s="224"/>
      <c r="N113" s="8"/>
      <c r="O113" s="43" t="s">
        <v>30</v>
      </c>
      <c r="P113" s="44">
        <v>5.738532009468333</v>
      </c>
      <c r="Q113" s="47">
        <v>3.1884832519378374</v>
      </c>
      <c r="R113" s="224"/>
      <c r="S113" s="8"/>
      <c r="T113" s="43" t="s">
        <v>30</v>
      </c>
      <c r="U113" s="44">
        <v>2.550048757530496</v>
      </c>
      <c r="V113" s="224"/>
      <c r="W113" s="49"/>
      <c r="X113" s="49"/>
      <c r="Y113" s="49"/>
      <c r="Z113" s="4"/>
    </row>
    <row r="114" spans="1:26" s="20" customFormat="1" ht="92.5" customHeight="1">
      <c r="A114" s="229">
        <v>0</v>
      </c>
      <c r="B114" s="229" t="s">
        <v>101</v>
      </c>
      <c r="C114" s="231" t="s">
        <v>262</v>
      </c>
      <c r="D114" s="233" t="s">
        <v>32</v>
      </c>
      <c r="E114" s="14"/>
      <c r="F114" s="51" t="s">
        <v>24</v>
      </c>
      <c r="G114" s="88">
        <v>91.612000000000009</v>
      </c>
      <c r="H114" s="88">
        <v>12.941000000000001</v>
      </c>
      <c r="I114" s="222" t="s">
        <v>263</v>
      </c>
      <c r="J114" s="88">
        <v>78.671000000000006</v>
      </c>
      <c r="K114" s="252" t="s">
        <v>264</v>
      </c>
      <c r="L114" s="56"/>
      <c r="M114" s="222" t="s">
        <v>265</v>
      </c>
      <c r="N114" s="14"/>
      <c r="O114" s="32" t="s">
        <v>24</v>
      </c>
      <c r="P114" s="88">
        <v>7.44</v>
      </c>
      <c r="Q114" s="90">
        <v>7.44</v>
      </c>
      <c r="R114" s="246"/>
      <c r="S114" s="14"/>
      <c r="T114" s="32" t="s">
        <v>24</v>
      </c>
      <c r="U114" s="88"/>
      <c r="V114" s="222" t="s">
        <v>266</v>
      </c>
      <c r="W114" s="56"/>
      <c r="X114" s="222" t="s">
        <v>267</v>
      </c>
      <c r="Y114" s="56"/>
      <c r="Z114" s="14"/>
    </row>
    <row r="115" spans="1:26" s="20" customFormat="1" ht="127.5" customHeight="1">
      <c r="A115" s="229"/>
      <c r="B115" s="229"/>
      <c r="C115" s="231"/>
      <c r="D115" s="234"/>
      <c r="F115" s="32" t="s">
        <v>29</v>
      </c>
      <c r="G115" s="34">
        <v>5.6957877830164128</v>
      </c>
      <c r="H115" s="34">
        <v>0.80458007357131589</v>
      </c>
      <c r="I115" s="223"/>
      <c r="J115" s="91">
        <v>4.891207709445097</v>
      </c>
      <c r="K115" s="223"/>
      <c r="L115" s="39"/>
      <c r="M115" s="223"/>
      <c r="O115" s="32" t="s">
        <v>29</v>
      </c>
      <c r="P115" s="91">
        <v>0.46256670638826908</v>
      </c>
      <c r="Q115" s="91">
        <v>0.46256670638826908</v>
      </c>
      <c r="R115" s="253"/>
      <c r="T115" s="32" t="s">
        <v>29</v>
      </c>
      <c r="U115" s="91"/>
      <c r="V115" s="223"/>
      <c r="W115" s="39"/>
      <c r="X115" s="223"/>
      <c r="Y115" s="39"/>
    </row>
    <row r="116" spans="1:26" ht="86.5" customHeight="1">
      <c r="A116" s="229"/>
      <c r="B116" s="229"/>
      <c r="C116" s="232"/>
      <c r="D116" s="235"/>
      <c r="E116" s="8"/>
      <c r="F116" s="43" t="s">
        <v>30</v>
      </c>
      <c r="G116" s="44">
        <v>1.5713893653516295</v>
      </c>
      <c r="H116" s="44">
        <v>0.22197255574614067</v>
      </c>
      <c r="I116" s="224"/>
      <c r="J116" s="94">
        <v>1.3494168096054888</v>
      </c>
      <c r="K116" s="224"/>
      <c r="L116" s="49"/>
      <c r="M116" s="224"/>
      <c r="N116" s="8"/>
      <c r="O116" s="43" t="s">
        <v>30</v>
      </c>
      <c r="P116" s="44">
        <v>0.12761578044596913</v>
      </c>
      <c r="Q116" s="44">
        <v>0.12761578044596913</v>
      </c>
      <c r="R116" s="254"/>
      <c r="S116" s="8"/>
      <c r="T116" s="43" t="s">
        <v>30</v>
      </c>
      <c r="U116" s="44"/>
      <c r="V116" s="224"/>
      <c r="W116" s="49"/>
      <c r="X116" s="224"/>
      <c r="Y116" s="49"/>
      <c r="Z116" s="4"/>
    </row>
    <row r="117" spans="1:26" ht="125.5" customHeight="1">
      <c r="A117" s="229">
        <v>0</v>
      </c>
      <c r="B117" s="229" t="s">
        <v>101</v>
      </c>
      <c r="C117" s="231" t="s">
        <v>268</v>
      </c>
      <c r="D117" s="234" t="s">
        <v>23</v>
      </c>
      <c r="E117" s="11"/>
      <c r="F117" s="51" t="s">
        <v>24</v>
      </c>
      <c r="G117" s="34">
        <v>3.008</v>
      </c>
      <c r="H117" s="91">
        <v>0.86799999999999999</v>
      </c>
      <c r="I117" s="252" t="s">
        <v>269</v>
      </c>
      <c r="J117" s="91">
        <v>2.14</v>
      </c>
      <c r="K117" s="222" t="s">
        <v>270</v>
      </c>
      <c r="L117" s="39"/>
      <c r="M117" s="222" t="s">
        <v>271</v>
      </c>
      <c r="N117" s="11"/>
      <c r="O117" s="32" t="s">
        <v>24</v>
      </c>
      <c r="P117" s="34">
        <v>0.4</v>
      </c>
      <c r="Q117" s="34">
        <v>7.0000000000000007E-2</v>
      </c>
      <c r="R117" s="222" t="s">
        <v>272</v>
      </c>
      <c r="S117" s="11"/>
      <c r="T117" s="32" t="s">
        <v>24</v>
      </c>
      <c r="U117" s="34">
        <v>0.33</v>
      </c>
      <c r="V117" s="222" t="s">
        <v>273</v>
      </c>
      <c r="W117" s="56"/>
      <c r="X117" s="56"/>
      <c r="Y117" s="39"/>
    </row>
    <row r="118" spans="1:26" ht="102.65" customHeight="1">
      <c r="A118" s="229"/>
      <c r="B118" s="229"/>
      <c r="C118" s="231"/>
      <c r="D118" s="234"/>
      <c r="E118" s="11"/>
      <c r="F118" s="32" t="s">
        <v>29</v>
      </c>
      <c r="G118" s="34">
        <v>0.96746180648619573</v>
      </c>
      <c r="H118" s="34">
        <v>0.27917448405253253</v>
      </c>
      <c r="I118" s="223"/>
      <c r="J118" s="34">
        <v>0.6882873224336632</v>
      </c>
      <c r="K118" s="223"/>
      <c r="L118" s="34"/>
      <c r="M118" s="223"/>
      <c r="N118" s="11"/>
      <c r="O118" s="32" t="s">
        <v>29</v>
      </c>
      <c r="P118" s="91">
        <v>1.4218228479822556E-4</v>
      </c>
      <c r="Q118" s="48">
        <v>2.4881899839689477E-5</v>
      </c>
      <c r="R118" s="223"/>
      <c r="S118" s="11"/>
      <c r="T118" s="32" t="s">
        <v>29</v>
      </c>
      <c r="U118" s="34">
        <v>1.173003849585361E-4</v>
      </c>
      <c r="V118" s="223"/>
      <c r="W118" s="39"/>
      <c r="X118" s="39"/>
      <c r="Y118" s="39"/>
    </row>
    <row r="119" spans="1:26" ht="108.75" customHeight="1">
      <c r="A119" s="229"/>
      <c r="B119" s="229"/>
      <c r="C119" s="232"/>
      <c r="D119" s="235"/>
      <c r="E119" s="11"/>
      <c r="F119" s="43" t="s">
        <v>30</v>
      </c>
      <c r="G119" s="44">
        <v>6.1492492800160736</v>
      </c>
      <c r="H119" s="44">
        <v>1.7744509225578298</v>
      </c>
      <c r="I119" s="224"/>
      <c r="J119" s="44">
        <v>4.3747983574582445</v>
      </c>
      <c r="K119" s="224"/>
      <c r="L119" s="44"/>
      <c r="M119" s="224"/>
      <c r="N119" s="11"/>
      <c r="O119" s="43" t="s">
        <v>30</v>
      </c>
      <c r="P119" s="44">
        <v>1.0822935394318946E-3</v>
      </c>
      <c r="Q119" s="98">
        <v>1.8940136940058156E-4</v>
      </c>
      <c r="R119" s="224"/>
      <c r="S119" s="11"/>
      <c r="T119" s="43" t="s">
        <v>30</v>
      </c>
      <c r="U119" s="44">
        <v>8.9289217003131298E-4</v>
      </c>
      <c r="V119" s="224"/>
      <c r="W119" s="49"/>
      <c r="X119" s="49"/>
      <c r="Y119" s="39"/>
    </row>
    <row r="120" spans="1:26" ht="92.5" customHeight="1">
      <c r="A120" s="127"/>
      <c r="B120" s="127"/>
      <c r="C120" s="231" t="s">
        <v>274</v>
      </c>
      <c r="D120" s="234" t="s">
        <v>275</v>
      </c>
      <c r="E120" s="11"/>
      <c r="F120" s="51" t="s">
        <v>24</v>
      </c>
      <c r="G120" s="34">
        <v>19.8</v>
      </c>
      <c r="H120" s="34">
        <v>1.2</v>
      </c>
      <c r="I120" s="222" t="s">
        <v>276</v>
      </c>
      <c r="J120" s="34">
        <v>18.600000000000001</v>
      </c>
      <c r="K120" s="222" t="s">
        <v>277</v>
      </c>
      <c r="L120" s="34" t="s">
        <v>38</v>
      </c>
      <c r="M120" s="222" t="s">
        <v>278</v>
      </c>
      <c r="N120" s="11"/>
      <c r="O120" s="32"/>
      <c r="P120" s="34"/>
      <c r="Q120" s="48"/>
      <c r="R120" s="39"/>
      <c r="S120" s="11"/>
      <c r="T120" s="32"/>
      <c r="U120" s="34"/>
      <c r="V120" s="39"/>
      <c r="W120" s="39"/>
      <c r="X120" s="39"/>
      <c r="Y120" s="39"/>
    </row>
    <row r="121" spans="1:26" ht="92.5" customHeight="1">
      <c r="A121" s="127"/>
      <c r="B121" s="127"/>
      <c r="C121" s="231"/>
      <c r="D121" s="234"/>
      <c r="E121" s="11"/>
      <c r="F121" s="32" t="s">
        <v>29</v>
      </c>
      <c r="G121" s="34">
        <v>2.5641753408135464</v>
      </c>
      <c r="H121" s="34">
        <v>0.15540456610991188</v>
      </c>
      <c r="I121" s="223"/>
      <c r="J121" s="34">
        <v>2.4087707747036342</v>
      </c>
      <c r="K121" s="223"/>
      <c r="L121" s="34"/>
      <c r="M121" s="223"/>
      <c r="N121" s="11"/>
      <c r="O121" s="32"/>
      <c r="P121" s="34"/>
      <c r="Q121" s="48"/>
      <c r="R121" s="39"/>
      <c r="S121" s="11"/>
      <c r="T121" s="32"/>
      <c r="U121" s="34"/>
      <c r="V121" s="39"/>
      <c r="W121" s="39"/>
      <c r="X121" s="39"/>
      <c r="Y121" s="39"/>
    </row>
    <row r="122" spans="1:26" ht="92.5" customHeight="1">
      <c r="A122" s="127"/>
      <c r="B122" s="127"/>
      <c r="C122" s="232"/>
      <c r="D122" s="235"/>
      <c r="E122" s="11"/>
      <c r="F122" s="43" t="s">
        <v>30</v>
      </c>
      <c r="G122" s="44">
        <v>3.3042084105491103</v>
      </c>
      <c r="H122" s="44">
        <v>0.20025505518479456</v>
      </c>
      <c r="I122" s="224"/>
      <c r="J122" s="44">
        <v>3.1039533553643155</v>
      </c>
      <c r="K122" s="224"/>
      <c r="L122" s="44"/>
      <c r="M122" s="224"/>
      <c r="N122" s="11"/>
      <c r="O122" s="32"/>
      <c r="P122" s="34"/>
      <c r="Q122" s="48"/>
      <c r="R122" s="39"/>
      <c r="S122" s="11"/>
      <c r="T122" s="32"/>
      <c r="U122" s="34"/>
      <c r="V122" s="39"/>
      <c r="W122" s="39"/>
      <c r="X122" s="39"/>
      <c r="Y122" s="39"/>
    </row>
    <row r="123" spans="1:26" s="13" customFormat="1" ht="88" customHeight="1">
      <c r="A123" s="229">
        <v>0</v>
      </c>
      <c r="B123" s="229" t="s">
        <v>101</v>
      </c>
      <c r="C123" s="231" t="s">
        <v>279</v>
      </c>
      <c r="D123" s="234" t="s">
        <v>32</v>
      </c>
      <c r="E123" s="87"/>
      <c r="F123" s="51" t="s">
        <v>24</v>
      </c>
      <c r="G123" s="101">
        <v>3141</v>
      </c>
      <c r="H123" s="65">
        <v>497</v>
      </c>
      <c r="I123" s="222" t="s">
        <v>280</v>
      </c>
      <c r="J123" s="65">
        <v>2644</v>
      </c>
      <c r="K123" s="222" t="s">
        <v>281</v>
      </c>
      <c r="L123" s="65">
        <v>200</v>
      </c>
      <c r="M123" s="222" t="s">
        <v>282</v>
      </c>
      <c r="N123" s="87"/>
      <c r="O123" s="51" t="s">
        <v>24</v>
      </c>
      <c r="P123" s="101">
        <v>2017</v>
      </c>
      <c r="Q123" s="101">
        <v>1217</v>
      </c>
      <c r="R123" s="222" t="s">
        <v>283</v>
      </c>
      <c r="S123" s="87"/>
      <c r="T123" s="51" t="s">
        <v>24</v>
      </c>
      <c r="U123" s="64"/>
      <c r="V123" s="222" t="s">
        <v>284</v>
      </c>
      <c r="W123" s="65">
        <v>800</v>
      </c>
      <c r="X123" s="222" t="s">
        <v>285</v>
      </c>
      <c r="Y123" s="56"/>
      <c r="Z123" s="87"/>
    </row>
    <row r="124" spans="1:26" s="13" customFormat="1" ht="60" customHeight="1">
      <c r="A124" s="229"/>
      <c r="B124" s="229"/>
      <c r="C124" s="231"/>
      <c r="D124" s="234"/>
      <c r="F124" s="32" t="s">
        <v>29</v>
      </c>
      <c r="G124" s="34">
        <v>7.6061863325961028</v>
      </c>
      <c r="H124" s="91">
        <v>1.203525822126795</v>
      </c>
      <c r="I124" s="223"/>
      <c r="J124" s="91">
        <v>6.4026605104693077</v>
      </c>
      <c r="K124" s="223"/>
      <c r="L124" s="91">
        <v>0.48431622620796583</v>
      </c>
      <c r="M124" s="223"/>
      <c r="O124" s="32" t="s">
        <v>29</v>
      </c>
      <c r="P124" s="114">
        <v>4.8843291413073349</v>
      </c>
      <c r="Q124" s="34">
        <v>2.9470642364754718</v>
      </c>
      <c r="R124" s="223"/>
      <c r="T124" s="32" t="s">
        <v>29</v>
      </c>
      <c r="U124" s="91"/>
      <c r="V124" s="223"/>
      <c r="W124" s="34">
        <v>1.9372649048318633</v>
      </c>
      <c r="X124" s="223"/>
      <c r="Y124" s="39"/>
    </row>
    <row r="125" spans="1:26" ht="54" customHeight="1">
      <c r="A125" s="229"/>
      <c r="B125" s="229"/>
      <c r="C125" s="232"/>
      <c r="D125" s="235"/>
      <c r="E125" s="8"/>
      <c r="F125" s="43" t="s">
        <v>30</v>
      </c>
      <c r="G125" s="44">
        <v>4.4418311035086644</v>
      </c>
      <c r="H125" s="94">
        <v>0.70283032742559903</v>
      </c>
      <c r="I125" s="224"/>
      <c r="J125" s="94">
        <v>3.7390007760830657</v>
      </c>
      <c r="K125" s="224"/>
      <c r="L125" s="91">
        <v>0.28282910560386276</v>
      </c>
      <c r="M125" s="224"/>
      <c r="N125" s="8"/>
      <c r="O125" s="43" t="s">
        <v>30</v>
      </c>
      <c r="P125" s="60">
        <v>2.8523315300149559</v>
      </c>
      <c r="Q125" s="44">
        <v>1.721015107599505</v>
      </c>
      <c r="R125" s="224"/>
      <c r="S125" s="8"/>
      <c r="T125" s="43" t="s">
        <v>30</v>
      </c>
      <c r="U125" s="44"/>
      <c r="V125" s="224"/>
      <c r="W125" s="44">
        <v>1.1313164224154511</v>
      </c>
      <c r="X125" s="224"/>
      <c r="Y125" s="49"/>
      <c r="Z125" s="4"/>
    </row>
    <row r="126" spans="1:26" ht="116.15" customHeight="1">
      <c r="A126" s="229">
        <v>0</v>
      </c>
      <c r="B126" s="229" t="s">
        <v>101</v>
      </c>
      <c r="C126" s="231" t="s">
        <v>286</v>
      </c>
      <c r="D126" s="234" t="s">
        <v>23</v>
      </c>
      <c r="E126" s="87"/>
      <c r="F126" s="51" t="s">
        <v>24</v>
      </c>
      <c r="G126" s="88">
        <v>39.299999999999997</v>
      </c>
      <c r="H126" s="65">
        <v>1.3</v>
      </c>
      <c r="I126" s="222" t="s">
        <v>287</v>
      </c>
      <c r="J126" s="88">
        <v>38</v>
      </c>
      <c r="K126" s="222" t="s">
        <v>288</v>
      </c>
      <c r="L126" s="56"/>
      <c r="M126" s="56"/>
      <c r="N126" s="87"/>
      <c r="O126" s="32" t="s">
        <v>24</v>
      </c>
      <c r="P126" s="53">
        <v>159.19999999999999</v>
      </c>
      <c r="Q126" s="90">
        <v>14.2</v>
      </c>
      <c r="R126" s="222" t="s">
        <v>289</v>
      </c>
      <c r="S126" s="87"/>
      <c r="T126" s="32" t="s">
        <v>24</v>
      </c>
      <c r="U126" s="64"/>
      <c r="V126" s="222"/>
      <c r="W126" s="56">
        <v>145</v>
      </c>
      <c r="X126" s="222" t="s">
        <v>290</v>
      </c>
      <c r="Y126" s="56"/>
      <c r="Z126" s="87"/>
    </row>
    <row r="127" spans="1:26" ht="121" customHeight="1">
      <c r="A127" s="229"/>
      <c r="B127" s="229"/>
      <c r="C127" s="231"/>
      <c r="D127" s="234"/>
      <c r="E127" s="13"/>
      <c r="F127" s="32" t="s">
        <v>29</v>
      </c>
      <c r="G127" s="34">
        <v>1.0280161998702229</v>
      </c>
      <c r="H127" s="34">
        <v>3.4005624932093886E-2</v>
      </c>
      <c r="I127" s="223"/>
      <c r="J127" s="34">
        <v>0.99401057493812905</v>
      </c>
      <c r="K127" s="223"/>
      <c r="L127" s="39"/>
      <c r="M127" s="39"/>
      <c r="N127" s="13"/>
      <c r="O127" s="32" t="s">
        <v>29</v>
      </c>
      <c r="P127" s="114">
        <v>4.1643811455302666</v>
      </c>
      <c r="Q127" s="59">
        <v>0.37144605695056399</v>
      </c>
      <c r="R127" s="223"/>
      <c r="S127" s="13"/>
      <c r="T127" s="32" t="s">
        <v>29</v>
      </c>
      <c r="U127" s="59"/>
      <c r="V127" s="223"/>
      <c r="W127" s="68">
        <v>3.7929350885797026</v>
      </c>
      <c r="X127" s="223"/>
      <c r="Y127" s="39"/>
      <c r="Z127" s="13"/>
    </row>
    <row r="128" spans="1:26" ht="75" customHeight="1">
      <c r="A128" s="229"/>
      <c r="B128" s="229"/>
      <c r="C128" s="232"/>
      <c r="D128" s="235"/>
      <c r="E128" s="8"/>
      <c r="F128" s="43" t="s">
        <v>30</v>
      </c>
      <c r="G128" s="44">
        <v>9.1999999999999993</v>
      </c>
      <c r="H128" s="44">
        <v>0.30432569974554707</v>
      </c>
      <c r="I128" s="224"/>
      <c r="J128" s="44">
        <v>8.895674300254452</v>
      </c>
      <c r="K128" s="224"/>
      <c r="L128" s="49"/>
      <c r="M128" s="49"/>
      <c r="N128" s="8"/>
      <c r="O128" s="43" t="s">
        <v>30</v>
      </c>
      <c r="P128" s="60">
        <v>37.268193384223913</v>
      </c>
      <c r="Q128" s="47">
        <v>3.3241730279898221</v>
      </c>
      <c r="R128" s="224"/>
      <c r="S128" s="8"/>
      <c r="T128" s="43" t="s">
        <v>30</v>
      </c>
      <c r="U128" s="47"/>
      <c r="V128" s="224"/>
      <c r="W128" s="70">
        <v>33.944020356234091</v>
      </c>
      <c r="X128" s="224"/>
      <c r="Y128" s="49"/>
      <c r="Z128" s="4"/>
    </row>
    <row r="129" spans="1:26" ht="54.65" customHeight="1">
      <c r="A129" s="127"/>
      <c r="B129" s="127"/>
      <c r="C129" s="230" t="s">
        <v>291</v>
      </c>
      <c r="D129" s="233" t="s">
        <v>23</v>
      </c>
      <c r="E129" s="20"/>
      <c r="F129" s="32" t="s">
        <v>24</v>
      </c>
      <c r="G129" s="91">
        <v>28.249999999999996</v>
      </c>
      <c r="H129" s="115">
        <v>4.2</v>
      </c>
      <c r="I129" s="255" t="s">
        <v>292</v>
      </c>
      <c r="J129" s="35">
        <v>24.049999999999997</v>
      </c>
      <c r="K129" s="236" t="s">
        <v>293</v>
      </c>
      <c r="L129" s="39"/>
      <c r="M129" s="236" t="s">
        <v>294</v>
      </c>
      <c r="N129" s="20"/>
      <c r="O129" s="32" t="s">
        <v>24</v>
      </c>
      <c r="P129" s="130">
        <v>20.63</v>
      </c>
      <c r="Q129" s="131"/>
      <c r="R129" s="39"/>
      <c r="S129" s="20"/>
      <c r="T129" s="32" t="s">
        <v>24</v>
      </c>
      <c r="U129" s="83">
        <v>20.63</v>
      </c>
      <c r="V129" s="222" t="s">
        <v>295</v>
      </c>
      <c r="W129" s="34"/>
      <c r="X129" s="39"/>
      <c r="Y129" s="39"/>
    </row>
    <row r="130" spans="1:26" ht="67.5" customHeight="1">
      <c r="A130" s="127">
        <v>0</v>
      </c>
      <c r="B130" s="127" t="s">
        <v>101</v>
      </c>
      <c r="C130" s="231"/>
      <c r="D130" s="234"/>
      <c r="E130" s="20"/>
      <c r="F130" s="32" t="s">
        <v>29</v>
      </c>
      <c r="G130" s="34">
        <v>0.52276703492082477</v>
      </c>
      <c r="H130" s="34">
        <v>7.7721116696193429E-2</v>
      </c>
      <c r="I130" s="256"/>
      <c r="J130" s="34">
        <v>0.44504591822463135</v>
      </c>
      <c r="K130" s="237"/>
      <c r="L130" s="39"/>
      <c r="M130" s="237"/>
      <c r="N130" s="20"/>
      <c r="O130" s="32" t="s">
        <v>29</v>
      </c>
      <c r="P130" s="114">
        <v>0.38175872320058818</v>
      </c>
      <c r="Q130" s="131"/>
      <c r="R130" s="39"/>
      <c r="S130" s="20"/>
      <c r="T130" s="32" t="s">
        <v>29</v>
      </c>
      <c r="U130" s="34">
        <v>0.38175872320058818</v>
      </c>
      <c r="V130" s="223"/>
      <c r="W130" s="34"/>
      <c r="X130" s="39"/>
      <c r="Y130" s="39"/>
    </row>
    <row r="131" spans="1:26" ht="127.5" customHeight="1">
      <c r="A131" s="127"/>
      <c r="B131" s="127"/>
      <c r="C131" s="232"/>
      <c r="D131" s="235"/>
      <c r="E131" s="8"/>
      <c r="F131" s="43" t="s">
        <v>30</v>
      </c>
      <c r="G131" s="44">
        <v>4.2544604064101534</v>
      </c>
      <c r="H131" s="44">
        <v>0.63252154714770437</v>
      </c>
      <c r="I131" s="257"/>
      <c r="J131" s="44">
        <v>3.6219388592624489</v>
      </c>
      <c r="K131" s="238"/>
      <c r="L131" s="49"/>
      <c r="M131" s="238"/>
      <c r="N131" s="8"/>
      <c r="O131" s="43" t="s">
        <v>30</v>
      </c>
      <c r="P131" s="60">
        <v>3.106885599442176</v>
      </c>
      <c r="Q131" s="98"/>
      <c r="R131" s="128"/>
      <c r="S131" s="8"/>
      <c r="T131" s="43" t="s">
        <v>30</v>
      </c>
      <c r="U131" s="44">
        <v>3.106885599442176</v>
      </c>
      <c r="V131" s="224"/>
      <c r="W131" s="44"/>
      <c r="X131" s="49"/>
      <c r="Y131" s="39"/>
    </row>
    <row r="132" spans="1:26" ht="83.5" customHeight="1">
      <c r="A132" s="229">
        <v>0</v>
      </c>
      <c r="B132" s="229" t="s">
        <v>101</v>
      </c>
      <c r="C132" s="231" t="s">
        <v>296</v>
      </c>
      <c r="D132" s="234" t="s">
        <v>32</v>
      </c>
      <c r="E132" s="11"/>
      <c r="F132" s="51" t="s">
        <v>24</v>
      </c>
      <c r="G132" s="37">
        <v>828</v>
      </c>
      <c r="H132" s="37">
        <v>178</v>
      </c>
      <c r="I132" s="222" t="s">
        <v>297</v>
      </c>
      <c r="J132" s="33">
        <v>650</v>
      </c>
      <c r="K132" s="222" t="s">
        <v>298</v>
      </c>
      <c r="L132" s="33">
        <v>480</v>
      </c>
      <c r="M132" s="222" t="s">
        <v>299</v>
      </c>
      <c r="N132" s="11"/>
      <c r="O132" s="51" t="s">
        <v>24</v>
      </c>
      <c r="P132" s="88" t="s">
        <v>38</v>
      </c>
      <c r="Q132" s="59"/>
      <c r="R132" s="39"/>
      <c r="S132" s="11"/>
      <c r="T132" s="51" t="s">
        <v>24</v>
      </c>
      <c r="U132" s="34" t="s">
        <v>38</v>
      </c>
      <c r="V132" s="222" t="s">
        <v>300</v>
      </c>
      <c r="W132" s="39" t="s">
        <v>38</v>
      </c>
      <c r="X132" s="246"/>
      <c r="Y132" s="39"/>
    </row>
    <row r="133" spans="1:26" ht="58.5" customHeight="1">
      <c r="A133" s="229"/>
      <c r="B133" s="229"/>
      <c r="C133" s="231"/>
      <c r="D133" s="234"/>
      <c r="E133" s="11"/>
      <c r="F133" s="32" t="s">
        <v>29</v>
      </c>
      <c r="G133" s="34">
        <v>5.2148375564455147</v>
      </c>
      <c r="H133" s="34">
        <v>1.1210641123759681</v>
      </c>
      <c r="I133" s="223"/>
      <c r="J133" s="34">
        <v>4.0937734440695461</v>
      </c>
      <c r="K133" s="223"/>
      <c r="L133" s="34">
        <v>3.0230942356205883</v>
      </c>
      <c r="M133" s="223"/>
      <c r="N133" s="11"/>
      <c r="O133" s="32" t="s">
        <v>29</v>
      </c>
      <c r="P133" s="114"/>
      <c r="Q133" s="34"/>
      <c r="R133" s="39"/>
      <c r="S133" s="11"/>
      <c r="T133" s="32" t="s">
        <v>29</v>
      </c>
      <c r="U133" s="34"/>
      <c r="V133" s="223"/>
      <c r="W133" s="39"/>
      <c r="X133" s="253"/>
      <c r="Y133" s="39"/>
    </row>
    <row r="134" spans="1:26" ht="50.5" customHeight="1">
      <c r="A134" s="229"/>
      <c r="B134" s="229"/>
      <c r="C134" s="232"/>
      <c r="D134" s="235"/>
      <c r="E134" s="11"/>
      <c r="F134" s="43" t="s">
        <v>30</v>
      </c>
      <c r="G134" s="44">
        <v>1.9924764282578782</v>
      </c>
      <c r="H134" s="44">
        <v>0.42833430462548588</v>
      </c>
      <c r="I134" s="224"/>
      <c r="J134" s="44">
        <v>1.5641421236323922</v>
      </c>
      <c r="K134" s="224"/>
      <c r="L134" s="44">
        <v>1.1550587989900742</v>
      </c>
      <c r="M134" s="224"/>
      <c r="N134" s="8"/>
      <c r="O134" s="43" t="s">
        <v>30</v>
      </c>
      <c r="P134" s="60"/>
      <c r="Q134" s="44"/>
      <c r="R134" s="49"/>
      <c r="S134" s="8"/>
      <c r="T134" s="43" t="s">
        <v>30</v>
      </c>
      <c r="U134" s="44"/>
      <c r="V134" s="224"/>
      <c r="W134" s="49"/>
      <c r="X134" s="254"/>
      <c r="Y134" s="39"/>
    </row>
    <row r="135" spans="1:26" ht="48.65" customHeight="1">
      <c r="A135" s="229">
        <v>0</v>
      </c>
      <c r="B135" s="229" t="s">
        <v>101</v>
      </c>
      <c r="C135" s="231" t="s">
        <v>301</v>
      </c>
      <c r="D135" s="234" t="s">
        <v>23</v>
      </c>
      <c r="E135" s="11"/>
      <c r="F135" s="51" t="s">
        <v>24</v>
      </c>
      <c r="G135" s="37">
        <v>55.9</v>
      </c>
      <c r="H135" s="34">
        <v>9.6429999999999989</v>
      </c>
      <c r="I135" s="222" t="s">
        <v>302</v>
      </c>
      <c r="J135" s="37">
        <v>46.256999999999998</v>
      </c>
      <c r="K135" s="222" t="s">
        <v>303</v>
      </c>
      <c r="L135" s="37">
        <v>12.045</v>
      </c>
      <c r="M135" s="222" t="s">
        <v>304</v>
      </c>
      <c r="N135" s="11"/>
      <c r="O135" s="51" t="s">
        <v>24</v>
      </c>
      <c r="P135" s="53">
        <v>83.7</v>
      </c>
      <c r="Q135" s="34">
        <v>14.5</v>
      </c>
      <c r="R135" s="39"/>
      <c r="S135" s="11"/>
      <c r="T135" s="51" t="s">
        <v>24</v>
      </c>
      <c r="U135" s="37">
        <v>69.2</v>
      </c>
      <c r="V135" s="222" t="s">
        <v>305</v>
      </c>
      <c r="W135" s="34"/>
      <c r="X135" s="258"/>
      <c r="Y135" s="39"/>
    </row>
    <row r="136" spans="1:26" ht="48.65" customHeight="1">
      <c r="A136" s="229"/>
      <c r="B136" s="229"/>
      <c r="C136" s="231"/>
      <c r="D136" s="234"/>
      <c r="E136" s="11"/>
      <c r="F136" s="32" t="s">
        <v>29</v>
      </c>
      <c r="G136" s="37">
        <v>15.991799077396191</v>
      </c>
      <c r="H136" s="34">
        <v>2.758656860524713</v>
      </c>
      <c r="I136" s="223"/>
      <c r="J136" s="37">
        <v>13.233142216871478</v>
      </c>
      <c r="K136" s="223"/>
      <c r="L136" s="34">
        <v>3.4458178870704317</v>
      </c>
      <c r="M136" s="223"/>
      <c r="N136" s="11"/>
      <c r="O136" s="32" t="s">
        <v>29</v>
      </c>
      <c r="P136" s="58">
        <v>23.944786811772119</v>
      </c>
      <c r="Q136" s="34">
        <v>4.1481410844766504</v>
      </c>
      <c r="R136" s="39"/>
      <c r="S136" s="11"/>
      <c r="T136" s="32" t="s">
        <v>29</v>
      </c>
      <c r="U136" s="37">
        <v>19.796645727295466</v>
      </c>
      <c r="V136" s="223"/>
      <c r="W136" s="39"/>
      <c r="X136" s="227"/>
      <c r="Y136" s="39"/>
    </row>
    <row r="137" spans="1:26" ht="39.65" customHeight="1">
      <c r="A137" s="229"/>
      <c r="B137" s="229"/>
      <c r="C137" s="232"/>
      <c r="D137" s="235"/>
      <c r="E137" s="11"/>
      <c r="F137" s="43" t="s">
        <v>30</v>
      </c>
      <c r="G137" s="44">
        <v>7.8478940548341756</v>
      </c>
      <c r="H137" s="44">
        <v>1.3537968223750618</v>
      </c>
      <c r="I137" s="224"/>
      <c r="J137" s="44">
        <v>6.4940972324591142</v>
      </c>
      <c r="K137" s="224"/>
      <c r="L137" s="44">
        <v>1.6910176009029991</v>
      </c>
      <c r="M137" s="224"/>
      <c r="N137" s="8"/>
      <c r="O137" s="43" t="s">
        <v>30</v>
      </c>
      <c r="P137" s="60">
        <v>11.750782332551351</v>
      </c>
      <c r="Q137" s="44">
        <v>2.035679137658239</v>
      </c>
      <c r="R137" s="49"/>
      <c r="S137" s="8"/>
      <c r="T137" s="43" t="s">
        <v>30</v>
      </c>
      <c r="U137" s="44">
        <v>9.7151031948931124</v>
      </c>
      <c r="V137" s="224"/>
      <c r="W137" s="49"/>
      <c r="X137" s="228"/>
      <c r="Y137" s="39"/>
    </row>
    <row r="138" spans="1:26" ht="43.5" customHeight="1">
      <c r="A138" s="229">
        <v>0</v>
      </c>
      <c r="B138" s="229" t="s">
        <v>101</v>
      </c>
      <c r="C138" s="231" t="s">
        <v>306</v>
      </c>
      <c r="D138" s="234" t="s">
        <v>32</v>
      </c>
      <c r="E138" s="11"/>
      <c r="F138" s="51" t="s">
        <v>24</v>
      </c>
      <c r="G138" s="37">
        <v>486.7</v>
      </c>
      <c r="H138" s="37">
        <v>74.2</v>
      </c>
      <c r="I138" s="222" t="s">
        <v>307</v>
      </c>
      <c r="J138" s="37">
        <v>412.5</v>
      </c>
      <c r="K138" s="222" t="s">
        <v>308</v>
      </c>
      <c r="L138" s="34"/>
      <c r="M138" s="39"/>
      <c r="N138" s="11"/>
      <c r="O138" s="51" t="s">
        <v>24</v>
      </c>
      <c r="P138" s="53">
        <v>164.3</v>
      </c>
      <c r="Q138" s="37">
        <v>44.3</v>
      </c>
      <c r="R138" s="222" t="s">
        <v>309</v>
      </c>
      <c r="S138" s="11"/>
      <c r="T138" s="51" t="s">
        <v>24</v>
      </c>
      <c r="U138" s="37">
        <v>120</v>
      </c>
      <c r="V138" s="222" t="s">
        <v>310</v>
      </c>
      <c r="W138" s="34"/>
      <c r="X138" s="222" t="s">
        <v>311</v>
      </c>
      <c r="Y138" s="39"/>
    </row>
    <row r="139" spans="1:26" ht="43.5" customHeight="1">
      <c r="A139" s="229"/>
      <c r="B139" s="229"/>
      <c r="C139" s="231"/>
      <c r="D139" s="234"/>
      <c r="E139" s="11"/>
      <c r="F139" s="32" t="s">
        <v>29</v>
      </c>
      <c r="G139" s="34">
        <v>9.8077345483343787</v>
      </c>
      <c r="H139" s="34">
        <v>1.4952412235184116</v>
      </c>
      <c r="I139" s="223"/>
      <c r="J139" s="34">
        <v>8.312493324815966</v>
      </c>
      <c r="K139" s="223"/>
      <c r="L139" s="34"/>
      <c r="M139" s="39"/>
      <c r="N139" s="11"/>
      <c r="O139" s="32" t="s">
        <v>29</v>
      </c>
      <c r="P139" s="114">
        <v>3.3108912806479109</v>
      </c>
      <c r="Q139" s="34">
        <v>0.8927114043378116</v>
      </c>
      <c r="R139" s="223"/>
      <c r="S139" s="11"/>
      <c r="T139" s="32" t="s">
        <v>29</v>
      </c>
      <c r="U139" s="34">
        <v>2.4181798763100995</v>
      </c>
      <c r="V139" s="223"/>
      <c r="W139" s="34"/>
      <c r="X139" s="223"/>
      <c r="Y139" s="39"/>
    </row>
    <row r="140" spans="1:26" ht="48.65" customHeight="1">
      <c r="A140" s="229"/>
      <c r="B140" s="229"/>
      <c r="C140" s="232"/>
      <c r="D140" s="235"/>
      <c r="E140" s="11"/>
      <c r="F140" s="43" t="s">
        <v>30</v>
      </c>
      <c r="G140" s="44">
        <v>2.7131461435306155</v>
      </c>
      <c r="H140" s="44">
        <v>0.41363353986022533</v>
      </c>
      <c r="I140" s="224"/>
      <c r="J140" s="44">
        <v>2.2995126036703901</v>
      </c>
      <c r="K140" s="224"/>
      <c r="L140" s="44"/>
      <c r="M140" s="39"/>
      <c r="N140" s="11"/>
      <c r="O140" s="43" t="s">
        <v>30</v>
      </c>
      <c r="P140" s="60">
        <v>0.91590283826192742</v>
      </c>
      <c r="Q140" s="44">
        <v>0.24695371719417764</v>
      </c>
      <c r="R140" s="224"/>
      <c r="S140" s="11"/>
      <c r="T140" s="43" t="s">
        <v>30</v>
      </c>
      <c r="U140" s="44">
        <v>0.66894912106774984</v>
      </c>
      <c r="V140" s="224"/>
      <c r="W140" s="44"/>
      <c r="X140" s="224"/>
      <c r="Y140" s="39"/>
    </row>
    <row r="141" spans="1:26" s="13" customFormat="1" ht="58.5" customHeight="1">
      <c r="A141" s="229">
        <v>0</v>
      </c>
      <c r="B141" s="229" t="s">
        <v>101</v>
      </c>
      <c r="C141" s="231" t="s">
        <v>312</v>
      </c>
      <c r="D141" s="233" t="s">
        <v>23</v>
      </c>
      <c r="E141" s="87"/>
      <c r="F141" s="51" t="s">
        <v>24</v>
      </c>
      <c r="G141" s="64">
        <v>150.19999999999999</v>
      </c>
      <c r="H141" s="88">
        <v>14.7</v>
      </c>
      <c r="I141" s="222" t="s">
        <v>313</v>
      </c>
      <c r="J141" s="64">
        <v>135.5</v>
      </c>
      <c r="K141" s="222" t="s">
        <v>314</v>
      </c>
      <c r="L141" s="65" t="s">
        <v>38</v>
      </c>
      <c r="M141" s="222" t="s">
        <v>315</v>
      </c>
      <c r="N141" s="87"/>
      <c r="O141" s="32" t="s">
        <v>24</v>
      </c>
      <c r="P141" s="53">
        <v>112</v>
      </c>
      <c r="Q141" s="102">
        <v>38</v>
      </c>
      <c r="R141" s="222" t="s">
        <v>316</v>
      </c>
      <c r="S141" s="87"/>
      <c r="T141" s="132" t="s">
        <v>24</v>
      </c>
      <c r="U141" s="133">
        <v>74</v>
      </c>
      <c r="V141" s="222" t="s">
        <v>317</v>
      </c>
      <c r="W141" s="133"/>
      <c r="X141" s="222"/>
      <c r="Y141" s="134" t="s">
        <v>318</v>
      </c>
      <c r="Z141" s="87"/>
    </row>
    <row r="142" spans="1:26" s="13" customFormat="1" ht="91.5" customHeight="1">
      <c r="A142" s="229"/>
      <c r="B142" s="229"/>
      <c r="C142" s="231"/>
      <c r="D142" s="234"/>
      <c r="F142" s="32" t="s">
        <v>29</v>
      </c>
      <c r="G142" s="37">
        <v>38.516359409090974</v>
      </c>
      <c r="H142" s="34">
        <v>3.7695771192652283</v>
      </c>
      <c r="I142" s="223"/>
      <c r="J142" s="37">
        <v>34.746782289825745</v>
      </c>
      <c r="K142" s="223"/>
      <c r="L142" s="39"/>
      <c r="M142" s="223"/>
      <c r="O142" s="32" t="s">
        <v>29</v>
      </c>
      <c r="P142" s="58">
        <v>28.720587575354124</v>
      </c>
      <c r="Q142" s="38">
        <v>9.7444850702094339</v>
      </c>
      <c r="R142" s="223"/>
      <c r="T142" s="32" t="s">
        <v>29</v>
      </c>
      <c r="U142" s="42">
        <v>18.976102505144688</v>
      </c>
      <c r="V142" s="223"/>
      <c r="W142" s="37"/>
      <c r="X142" s="223"/>
      <c r="Y142" s="39"/>
    </row>
    <row r="143" spans="1:26" ht="74.5" customHeight="1">
      <c r="A143" s="229"/>
      <c r="B143" s="229"/>
      <c r="C143" s="232"/>
      <c r="D143" s="235"/>
      <c r="E143" s="8"/>
      <c r="F143" s="43" t="s">
        <v>30</v>
      </c>
      <c r="G143" s="44">
        <v>6.463386978297736</v>
      </c>
      <c r="H143" s="44">
        <v>0.63256849920756808</v>
      </c>
      <c r="I143" s="224"/>
      <c r="J143" s="44">
        <v>5.8308184790901691</v>
      </c>
      <c r="K143" s="224"/>
      <c r="L143" s="49"/>
      <c r="M143" s="224"/>
      <c r="N143" s="8"/>
      <c r="O143" s="43" t="s">
        <v>30</v>
      </c>
      <c r="P143" s="60">
        <v>4.8195695177719475</v>
      </c>
      <c r="Q143" s="47">
        <v>1.6352110863869107</v>
      </c>
      <c r="R143" s="224"/>
      <c r="S143" s="8"/>
      <c r="T143" s="43" t="s">
        <v>30</v>
      </c>
      <c r="U143" s="98">
        <v>3.184358431385037</v>
      </c>
      <c r="V143" s="224"/>
      <c r="W143" s="44"/>
      <c r="X143" s="224"/>
      <c r="Y143" s="49"/>
      <c r="Z143" s="4"/>
    </row>
    <row r="144" spans="1:26" ht="131.5" customHeight="1">
      <c r="A144" s="229">
        <v>0</v>
      </c>
      <c r="B144" s="229" t="s">
        <v>101</v>
      </c>
      <c r="C144" s="231" t="s">
        <v>319</v>
      </c>
      <c r="D144" s="233" t="s">
        <v>32</v>
      </c>
      <c r="E144" s="11"/>
      <c r="F144" s="51" t="s">
        <v>24</v>
      </c>
      <c r="G144" s="37">
        <v>33.4</v>
      </c>
      <c r="H144" s="123">
        <v>12.9</v>
      </c>
      <c r="I144" s="222" t="s">
        <v>320</v>
      </c>
      <c r="J144" s="33">
        <v>20.5</v>
      </c>
      <c r="K144" s="222" t="s">
        <v>321</v>
      </c>
      <c r="L144" s="97">
        <v>2.2999999999999998</v>
      </c>
      <c r="M144" s="236" t="s">
        <v>322</v>
      </c>
      <c r="N144" s="11"/>
      <c r="O144" s="32" t="s">
        <v>24</v>
      </c>
      <c r="P144" s="53">
        <v>44.1</v>
      </c>
      <c r="Q144" s="59">
        <v>1.7</v>
      </c>
      <c r="R144" s="222" t="s">
        <v>323</v>
      </c>
      <c r="S144" s="11"/>
      <c r="T144" s="32" t="s">
        <v>24</v>
      </c>
      <c r="U144" s="42">
        <v>42.4</v>
      </c>
      <c r="V144" s="246" t="s">
        <v>324</v>
      </c>
      <c r="W144" s="39"/>
      <c r="X144" s="39"/>
      <c r="Y144" s="39"/>
    </row>
    <row r="145" spans="1:26" ht="105.65" customHeight="1">
      <c r="A145" s="229"/>
      <c r="B145" s="229"/>
      <c r="C145" s="231"/>
      <c r="D145" s="234"/>
      <c r="E145" s="11"/>
      <c r="F145" s="32" t="s">
        <v>29</v>
      </c>
      <c r="G145" s="34">
        <v>7.8699494775947949</v>
      </c>
      <c r="H145" s="34">
        <v>3.0395912652985886</v>
      </c>
      <c r="I145" s="223"/>
      <c r="J145" s="34">
        <v>4.8303582122962068</v>
      </c>
      <c r="K145" s="223"/>
      <c r="L145" s="34">
        <v>0.54194262869664755</v>
      </c>
      <c r="M145" s="237"/>
      <c r="N145" s="11"/>
      <c r="O145" s="32" t="s">
        <v>29</v>
      </c>
      <c r="P145" s="114">
        <v>10.391160837183547</v>
      </c>
      <c r="Q145" s="34">
        <v>0.40056629077578298</v>
      </c>
      <c r="R145" s="223"/>
      <c r="S145" s="11"/>
      <c r="T145" s="32" t="s">
        <v>29</v>
      </c>
      <c r="U145" s="34">
        <v>9.9905945464077632</v>
      </c>
      <c r="V145" s="223"/>
      <c r="W145" s="39"/>
      <c r="X145" s="39"/>
      <c r="Y145" s="39"/>
    </row>
    <row r="146" spans="1:26" ht="126.65" customHeight="1">
      <c r="A146" s="229"/>
      <c r="B146" s="229"/>
      <c r="C146" s="232"/>
      <c r="D146" s="235"/>
      <c r="E146" s="11"/>
      <c r="F146" s="43" t="s">
        <v>30</v>
      </c>
      <c r="G146" s="44">
        <v>3.1642307773927647</v>
      </c>
      <c r="H146" s="44">
        <v>1.2221130846816368</v>
      </c>
      <c r="I146" s="224"/>
      <c r="J146" s="44">
        <v>1.9421176927111281</v>
      </c>
      <c r="K146" s="224"/>
      <c r="L146" s="44">
        <v>0.21789613137734604</v>
      </c>
      <c r="M146" s="238"/>
      <c r="N146" s="8"/>
      <c r="O146" s="43" t="s">
        <v>30</v>
      </c>
      <c r="P146" s="60">
        <v>4.1779214755395486</v>
      </c>
      <c r="Q146" s="44">
        <v>0.16105366232238622</v>
      </c>
      <c r="R146" s="224"/>
      <c r="S146" s="8"/>
      <c r="T146" s="43" t="s">
        <v>30</v>
      </c>
      <c r="U146" s="44">
        <v>4.0168678132171625</v>
      </c>
      <c r="V146" s="224"/>
      <c r="W146" s="49"/>
      <c r="X146" s="49"/>
      <c r="Y146" s="39"/>
    </row>
    <row r="147" spans="1:26" ht="69.650000000000006" customHeight="1">
      <c r="A147" s="127"/>
      <c r="B147" s="127"/>
      <c r="C147" s="230" t="s">
        <v>325</v>
      </c>
      <c r="D147" s="233" t="s">
        <v>23</v>
      </c>
      <c r="E147" s="20"/>
      <c r="F147" s="32" t="s">
        <v>24</v>
      </c>
      <c r="G147" s="35">
        <v>453</v>
      </c>
      <c r="H147" s="135">
        <v>91.3</v>
      </c>
      <c r="I147" s="255" t="s">
        <v>326</v>
      </c>
      <c r="J147" s="33">
        <v>361.7</v>
      </c>
      <c r="K147" s="236" t="s">
        <v>327</v>
      </c>
      <c r="L147" s="33">
        <v>151</v>
      </c>
      <c r="M147" s="222" t="s">
        <v>328</v>
      </c>
      <c r="N147" s="20"/>
      <c r="O147" s="32" t="s">
        <v>24</v>
      </c>
      <c r="P147" s="53">
        <v>133</v>
      </c>
      <c r="Q147" s="119"/>
      <c r="R147" s="39"/>
      <c r="S147" s="20"/>
      <c r="T147" s="32" t="s">
        <v>24</v>
      </c>
      <c r="U147" s="35">
        <v>113</v>
      </c>
      <c r="V147" s="236" t="s">
        <v>329</v>
      </c>
      <c r="W147" s="37">
        <v>20</v>
      </c>
      <c r="X147" s="222" t="s">
        <v>330</v>
      </c>
      <c r="Y147" s="39"/>
    </row>
    <row r="148" spans="1:26" ht="69.650000000000006" customHeight="1">
      <c r="A148" s="127">
        <v>0</v>
      </c>
      <c r="B148" s="127" t="s">
        <v>101</v>
      </c>
      <c r="C148" s="231"/>
      <c r="D148" s="234"/>
      <c r="E148" s="20"/>
      <c r="F148" s="32" t="s">
        <v>29</v>
      </c>
      <c r="G148" s="34">
        <v>4.3910968008242452</v>
      </c>
      <c r="H148" s="34">
        <v>0.88500471945972092</v>
      </c>
      <c r="I148" s="256"/>
      <c r="J148" s="34">
        <v>3.5060920813645242</v>
      </c>
      <c r="K148" s="237"/>
      <c r="L148" s="34">
        <v>1.4636989336080817</v>
      </c>
      <c r="M148" s="223"/>
      <c r="N148" s="20"/>
      <c r="O148" s="32" t="s">
        <v>29</v>
      </c>
      <c r="P148" s="114">
        <v>1.2892182660256613</v>
      </c>
      <c r="Q148" s="119"/>
      <c r="R148" s="39"/>
      <c r="S148" s="20"/>
      <c r="T148" s="32" t="s">
        <v>29</v>
      </c>
      <c r="U148" s="34">
        <v>1.0953508576007498</v>
      </c>
      <c r="V148" s="237"/>
      <c r="W148" s="34">
        <v>0.19386740842491149</v>
      </c>
      <c r="X148" s="223"/>
      <c r="Y148" s="39"/>
    </row>
    <row r="149" spans="1:26" ht="205" customHeight="1">
      <c r="A149" s="127"/>
      <c r="B149" s="127"/>
      <c r="C149" s="232"/>
      <c r="D149" s="235"/>
      <c r="E149" s="8"/>
      <c r="F149" s="43" t="s">
        <v>30</v>
      </c>
      <c r="G149" s="44">
        <v>8.2913242621243057</v>
      </c>
      <c r="H149" s="44">
        <v>1.6710770532714105</v>
      </c>
      <c r="I149" s="257"/>
      <c r="J149" s="44">
        <v>6.620247208852895</v>
      </c>
      <c r="K149" s="238"/>
      <c r="L149" s="44">
        <v>2.7637747540414348</v>
      </c>
      <c r="M149" s="224"/>
      <c r="N149" s="8"/>
      <c r="O149" s="43" t="s">
        <v>30</v>
      </c>
      <c r="P149" s="60">
        <v>2.4343181608444429</v>
      </c>
      <c r="Q149" s="47"/>
      <c r="R149" s="128"/>
      <c r="S149" s="8"/>
      <c r="T149" s="43" t="s">
        <v>30</v>
      </c>
      <c r="U149" s="44">
        <v>2.0682552795144513</v>
      </c>
      <c r="V149" s="238"/>
      <c r="W149" s="44">
        <v>0.36606288132999137</v>
      </c>
      <c r="X149" s="224"/>
      <c r="Y149" s="39"/>
    </row>
    <row r="150" spans="1:26" ht="247.5" customHeight="1">
      <c r="A150" s="229">
        <v>0</v>
      </c>
      <c r="B150" s="229" t="s">
        <v>101</v>
      </c>
      <c r="C150" s="231" t="s">
        <v>331</v>
      </c>
      <c r="D150" s="234" t="s">
        <v>139</v>
      </c>
      <c r="E150" s="11"/>
      <c r="F150" s="51" t="s">
        <v>24</v>
      </c>
      <c r="G150" s="101">
        <v>1790</v>
      </c>
      <c r="H150" s="34" t="s">
        <v>38</v>
      </c>
      <c r="I150" s="222" t="s">
        <v>332</v>
      </c>
      <c r="J150" s="34" t="s">
        <v>38</v>
      </c>
      <c r="K150" s="252" t="s">
        <v>333</v>
      </c>
      <c r="L150" s="34"/>
      <c r="M150" s="222" t="s">
        <v>334</v>
      </c>
      <c r="N150" s="11"/>
      <c r="O150" s="32" t="s">
        <v>24</v>
      </c>
      <c r="P150" s="53">
        <v>665</v>
      </c>
      <c r="Q150" s="37">
        <v>90</v>
      </c>
      <c r="R150" s="246" t="s">
        <v>335</v>
      </c>
      <c r="S150" s="11"/>
      <c r="T150" s="32" t="s">
        <v>24</v>
      </c>
      <c r="U150" s="37">
        <v>325</v>
      </c>
      <c r="V150" s="222" t="s">
        <v>336</v>
      </c>
      <c r="W150" s="37">
        <v>250</v>
      </c>
      <c r="X150" s="222" t="s">
        <v>337</v>
      </c>
      <c r="Y150" s="39"/>
    </row>
    <row r="151" spans="1:26" ht="161.5" customHeight="1">
      <c r="A151" s="229"/>
      <c r="B151" s="229"/>
      <c r="C151" s="231"/>
      <c r="D151" s="234"/>
      <c r="E151" s="11"/>
      <c r="F151" s="32" t="s">
        <v>29</v>
      </c>
      <c r="G151" s="37">
        <v>57.207815091577316</v>
      </c>
      <c r="H151" s="34"/>
      <c r="I151" s="223"/>
      <c r="J151" s="34"/>
      <c r="K151" s="223"/>
      <c r="L151" s="34"/>
      <c r="M151" s="223"/>
      <c r="N151" s="11"/>
      <c r="O151" s="32" t="s">
        <v>29</v>
      </c>
      <c r="P151" s="58">
        <v>21.253182701619505</v>
      </c>
      <c r="Q151" s="34">
        <v>2.8763705911966246</v>
      </c>
      <c r="R151" s="253"/>
      <c r="S151" s="11"/>
      <c r="T151" s="32" t="s">
        <v>29</v>
      </c>
      <c r="U151" s="37">
        <v>10.386893801543367</v>
      </c>
      <c r="V151" s="223"/>
      <c r="W151" s="34">
        <v>7.9899183088795134</v>
      </c>
      <c r="X151" s="223"/>
      <c r="Y151" s="39"/>
    </row>
    <row r="152" spans="1:26" ht="108.65" customHeight="1">
      <c r="A152" s="229"/>
      <c r="B152" s="229"/>
      <c r="C152" s="232"/>
      <c r="D152" s="235"/>
      <c r="E152" s="11"/>
      <c r="F152" s="43" t="s">
        <v>30</v>
      </c>
      <c r="G152" s="44">
        <v>11.402518720833598</v>
      </c>
      <c r="H152" s="44"/>
      <c r="I152" s="224"/>
      <c r="J152" s="44"/>
      <c r="K152" s="224"/>
      <c r="L152" s="44"/>
      <c r="M152" s="224"/>
      <c r="N152" s="8"/>
      <c r="O152" s="43" t="s">
        <v>30</v>
      </c>
      <c r="P152" s="60">
        <v>4.2361312566225386</v>
      </c>
      <c r="Q152" s="44">
        <v>0.57331099713688494</v>
      </c>
      <c r="R152" s="254"/>
      <c r="S152" s="8"/>
      <c r="T152" s="43" t="s">
        <v>30</v>
      </c>
      <c r="U152" s="44">
        <v>2.0702897118831953</v>
      </c>
      <c r="V152" s="224"/>
      <c r="W152" s="44">
        <v>1.592530547602458</v>
      </c>
      <c r="X152" s="224"/>
      <c r="Y152" s="39"/>
    </row>
    <row r="153" spans="1:26" s="13" customFormat="1" ht="88" customHeight="1">
      <c r="A153" s="229">
        <v>0</v>
      </c>
      <c r="B153" s="229" t="s">
        <v>101</v>
      </c>
      <c r="C153" s="230" t="s">
        <v>338</v>
      </c>
      <c r="D153" s="233" t="s">
        <v>23</v>
      </c>
      <c r="E153" s="87"/>
      <c r="F153" s="51" t="s">
        <v>24</v>
      </c>
      <c r="G153" s="88">
        <v>2.9849999999999999</v>
      </c>
      <c r="H153" s="88">
        <v>0.39500000000000002</v>
      </c>
      <c r="I153" s="222" t="s">
        <v>339</v>
      </c>
      <c r="J153" s="88">
        <v>2.59</v>
      </c>
      <c r="K153" s="252" t="s">
        <v>340</v>
      </c>
      <c r="L153" s="88">
        <v>0.3</v>
      </c>
      <c r="M153" s="222" t="s">
        <v>341</v>
      </c>
      <c r="N153" s="87"/>
      <c r="O153" s="51" t="s">
        <v>24</v>
      </c>
      <c r="P153" s="130">
        <v>0.89999999999999991</v>
      </c>
      <c r="Q153" s="136">
        <v>0.7</v>
      </c>
      <c r="R153" s="222" t="s">
        <v>342</v>
      </c>
      <c r="S153" s="87"/>
      <c r="T153" s="51" t="s">
        <v>24</v>
      </c>
      <c r="U153" s="88">
        <v>0.2</v>
      </c>
      <c r="V153" s="222" t="s">
        <v>343</v>
      </c>
      <c r="W153" s="56"/>
      <c r="X153" s="56"/>
      <c r="Y153" s="222" t="s">
        <v>344</v>
      </c>
      <c r="Z153" s="87"/>
    </row>
    <row r="154" spans="1:26" s="13" customFormat="1" ht="88" customHeight="1">
      <c r="A154" s="229"/>
      <c r="B154" s="229"/>
      <c r="C154" s="231"/>
      <c r="D154" s="234"/>
      <c r="F154" s="32" t="s">
        <v>29</v>
      </c>
      <c r="G154" s="34">
        <v>1.0612630368420157</v>
      </c>
      <c r="H154" s="34">
        <v>0.14043514222867545</v>
      </c>
      <c r="I154" s="223"/>
      <c r="J154" s="34">
        <v>0.92082789461334014</v>
      </c>
      <c r="K154" s="223"/>
      <c r="L154" s="34">
        <v>0.10665960169266489</v>
      </c>
      <c r="M154" s="223"/>
      <c r="O154" s="32" t="s">
        <v>29</v>
      </c>
      <c r="P154" s="114">
        <v>0.3199788050779947</v>
      </c>
      <c r="Q154" s="48">
        <v>0.2488724039495514</v>
      </c>
      <c r="R154" s="223"/>
      <c r="T154" s="32" t="s">
        <v>29</v>
      </c>
      <c r="U154" s="34">
        <v>7.110640112844327E-2</v>
      </c>
      <c r="V154" s="223"/>
      <c r="W154" s="39"/>
      <c r="X154" s="39"/>
      <c r="Y154" s="223"/>
    </row>
    <row r="155" spans="1:26" ht="88" customHeight="1">
      <c r="A155" s="229"/>
      <c r="B155" s="229"/>
      <c r="C155" s="232"/>
      <c r="D155" s="235"/>
      <c r="E155" s="8"/>
      <c r="F155" s="43" t="s">
        <v>30</v>
      </c>
      <c r="G155" s="44">
        <v>2.683122031298951</v>
      </c>
      <c r="H155" s="44">
        <v>0.35505299911661165</v>
      </c>
      <c r="I155" s="224"/>
      <c r="J155" s="44">
        <v>2.3280690321823396</v>
      </c>
      <c r="K155" s="224"/>
      <c r="L155" s="44">
        <v>0.26966050565818606</v>
      </c>
      <c r="M155" s="224"/>
      <c r="N155" s="8"/>
      <c r="O155" s="43" t="s">
        <v>30</v>
      </c>
      <c r="P155" s="60">
        <v>0.808981516974558</v>
      </c>
      <c r="Q155" s="98">
        <v>0.62920784653576733</v>
      </c>
      <c r="R155" s="224"/>
      <c r="S155" s="8"/>
      <c r="T155" s="43" t="s">
        <v>30</v>
      </c>
      <c r="U155" s="44">
        <v>0.17977367043879069</v>
      </c>
      <c r="V155" s="224"/>
      <c r="W155" s="49"/>
      <c r="X155" s="49"/>
      <c r="Y155" s="224"/>
      <c r="Z155" s="4"/>
    </row>
    <row r="156" spans="1:26" s="13" customFormat="1" ht="68.5" customHeight="1">
      <c r="A156" s="229">
        <v>0</v>
      </c>
      <c r="B156" s="229" t="s">
        <v>101</v>
      </c>
      <c r="C156" s="230" t="s">
        <v>345</v>
      </c>
      <c r="D156" s="233" t="s">
        <v>23</v>
      </c>
      <c r="E156" s="87"/>
      <c r="F156" s="51" t="s">
        <v>24</v>
      </c>
      <c r="G156" s="64">
        <v>32</v>
      </c>
      <c r="H156" s="65" t="s">
        <v>38</v>
      </c>
      <c r="I156" s="222" t="s">
        <v>346</v>
      </c>
      <c r="J156" s="55" t="s">
        <v>38</v>
      </c>
      <c r="K156" s="222" t="s">
        <v>347</v>
      </c>
      <c r="L156" s="56"/>
      <c r="M156" s="56"/>
      <c r="N156" s="87"/>
      <c r="O156" s="51" t="s">
        <v>24</v>
      </c>
      <c r="P156" s="136" t="s">
        <v>38</v>
      </c>
      <c r="Q156" s="136" t="s">
        <v>38</v>
      </c>
      <c r="R156" s="222" t="s">
        <v>348</v>
      </c>
      <c r="S156" s="87"/>
      <c r="T156" s="51" t="s">
        <v>24</v>
      </c>
      <c r="U156" s="136" t="s">
        <v>38</v>
      </c>
      <c r="V156" s="222" t="s">
        <v>349</v>
      </c>
      <c r="W156" s="136" t="s">
        <v>38</v>
      </c>
      <c r="X156" s="222" t="s">
        <v>350</v>
      </c>
      <c r="Y156" s="56"/>
      <c r="Z156" s="87"/>
    </row>
    <row r="157" spans="1:26" s="13" customFormat="1" ht="69.650000000000006" customHeight="1">
      <c r="A157" s="229"/>
      <c r="B157" s="229"/>
      <c r="C157" s="231"/>
      <c r="D157" s="234"/>
      <c r="F157" s="32" t="s">
        <v>29</v>
      </c>
      <c r="G157" s="34">
        <v>8.7134104833219883</v>
      </c>
      <c r="H157" s="137"/>
      <c r="I157" s="223"/>
      <c r="J157" s="97"/>
      <c r="K157" s="223"/>
      <c r="L157" s="39"/>
      <c r="M157" s="39"/>
      <c r="O157" s="32" t="s">
        <v>29</v>
      </c>
      <c r="P157" s="39"/>
      <c r="Q157" s="119"/>
      <c r="R157" s="223"/>
      <c r="T157" s="32" t="s">
        <v>29</v>
      </c>
      <c r="U157" s="91"/>
      <c r="V157" s="223"/>
      <c r="W157" s="39"/>
      <c r="X157" s="223"/>
      <c r="Y157" s="39"/>
    </row>
    <row r="158" spans="1:26" ht="47.5" customHeight="1">
      <c r="A158" s="229"/>
      <c r="B158" s="229"/>
      <c r="C158" s="232"/>
      <c r="D158" s="235"/>
      <c r="E158" s="8"/>
      <c r="F158" s="43" t="s">
        <v>30</v>
      </c>
      <c r="G158" s="44">
        <v>2.4594746603328654</v>
      </c>
      <c r="H158" s="138"/>
      <c r="I158" s="224"/>
      <c r="J158" s="94"/>
      <c r="K158" s="224"/>
      <c r="L158" s="49"/>
      <c r="M158" s="49"/>
      <c r="N158" s="8"/>
      <c r="O158" s="43" t="s">
        <v>30</v>
      </c>
      <c r="P158" s="128"/>
      <c r="Q158" s="47"/>
      <c r="R158" s="224"/>
      <c r="S158" s="8"/>
      <c r="T158" s="43" t="s">
        <v>30</v>
      </c>
      <c r="U158" s="44"/>
      <c r="V158" s="224"/>
      <c r="W158" s="49"/>
      <c r="X158" s="224"/>
      <c r="Y158" s="49"/>
      <c r="Z158" s="4"/>
    </row>
    <row r="159" spans="1:26" s="13" customFormat="1" ht="128.5" customHeight="1">
      <c r="A159" s="229">
        <v>0</v>
      </c>
      <c r="B159" s="229" t="s">
        <v>351</v>
      </c>
      <c r="C159" s="230" t="s">
        <v>352</v>
      </c>
      <c r="D159" s="233" t="s">
        <v>32</v>
      </c>
      <c r="E159" s="87"/>
      <c r="F159" s="51" t="s">
        <v>24</v>
      </c>
      <c r="G159" s="135">
        <v>390.67899999999997</v>
      </c>
      <c r="H159" s="135">
        <v>34.769387000000002</v>
      </c>
      <c r="I159" s="236" t="s">
        <v>353</v>
      </c>
      <c r="J159" s="135">
        <v>355.90961299999998</v>
      </c>
      <c r="K159" s="222" t="s">
        <v>354</v>
      </c>
      <c r="L159" s="56"/>
      <c r="M159" s="56"/>
      <c r="N159" s="87"/>
      <c r="O159" s="51" t="s">
        <v>24</v>
      </c>
      <c r="P159" s="130">
        <v>20</v>
      </c>
      <c r="Q159" s="102"/>
      <c r="R159" s="222"/>
      <c r="S159" s="87"/>
      <c r="T159" s="51" t="s">
        <v>24</v>
      </c>
      <c r="U159" s="88">
        <v>20</v>
      </c>
      <c r="V159" s="56" t="s">
        <v>355</v>
      </c>
      <c r="W159" s="56"/>
      <c r="X159" s="56"/>
      <c r="Y159" s="56"/>
      <c r="Z159" s="87"/>
    </row>
    <row r="160" spans="1:26" s="20" customFormat="1" ht="94.5" customHeight="1">
      <c r="A160" s="229"/>
      <c r="B160" s="229"/>
      <c r="C160" s="231"/>
      <c r="D160" s="234"/>
      <c r="E160" s="13"/>
      <c r="F160" s="32" t="s">
        <v>29</v>
      </c>
      <c r="G160" s="34">
        <v>4.6335787688907972</v>
      </c>
      <c r="H160" s="34">
        <v>0.41237612825503217</v>
      </c>
      <c r="I160" s="237"/>
      <c r="J160" s="34">
        <v>4.2212026406357648</v>
      </c>
      <c r="K160" s="223"/>
      <c r="L160" s="39"/>
      <c r="M160" s="39"/>
      <c r="N160" s="13"/>
      <c r="O160" s="32" t="s">
        <v>29</v>
      </c>
      <c r="P160" s="114">
        <v>0.23720644154872914</v>
      </c>
      <c r="Q160" s="59"/>
      <c r="R160" s="223"/>
      <c r="S160" s="13"/>
      <c r="T160" s="32" t="s">
        <v>29</v>
      </c>
      <c r="U160" s="91">
        <v>0.23720644154872914</v>
      </c>
      <c r="V160" s="39"/>
      <c r="W160" s="39"/>
      <c r="X160" s="39"/>
      <c r="Y160" s="39"/>
      <c r="Z160" s="13"/>
    </row>
    <row r="161" spans="1:26" ht="157.5" customHeight="1">
      <c r="A161" s="229"/>
      <c r="B161" s="229"/>
      <c r="C161" s="232"/>
      <c r="D161" s="235"/>
      <c r="E161" s="8"/>
      <c r="F161" s="43" t="s">
        <v>30</v>
      </c>
      <c r="G161" s="44">
        <v>1.4078706806647932</v>
      </c>
      <c r="H161" s="44">
        <v>0.12529672836775876</v>
      </c>
      <c r="I161" s="238"/>
      <c r="J161" s="44">
        <v>1.2825739522970345</v>
      </c>
      <c r="K161" s="224"/>
      <c r="L161" s="49"/>
      <c r="M161" s="49"/>
      <c r="N161" s="8"/>
      <c r="O161" s="43" t="s">
        <v>30</v>
      </c>
      <c r="P161" s="60">
        <v>7.2073015476377969E-2</v>
      </c>
      <c r="Q161" s="47"/>
      <c r="R161" s="224"/>
      <c r="S161" s="8"/>
      <c r="T161" s="43" t="s">
        <v>30</v>
      </c>
      <c r="U161" s="44">
        <v>7.2073015476377969E-2</v>
      </c>
      <c r="V161" s="49"/>
      <c r="W161" s="49"/>
      <c r="X161" s="49"/>
      <c r="Y161" s="39"/>
    </row>
    <row r="162" spans="1:26" ht="157.5" customHeight="1">
      <c r="A162" s="127"/>
      <c r="B162" s="127"/>
      <c r="C162" s="230" t="s">
        <v>356</v>
      </c>
      <c r="D162" s="233" t="s">
        <v>32</v>
      </c>
      <c r="E162" s="50"/>
      <c r="F162" s="51" t="s">
        <v>24</v>
      </c>
      <c r="G162" s="37">
        <v>361.108</v>
      </c>
      <c r="H162" s="135">
        <v>62.26</v>
      </c>
      <c r="I162" s="222" t="s">
        <v>357</v>
      </c>
      <c r="J162" s="135">
        <v>298.84800000000001</v>
      </c>
      <c r="K162" s="222" t="s">
        <v>358</v>
      </c>
      <c r="L162" s="56"/>
      <c r="M162" s="56"/>
      <c r="N162" s="50"/>
      <c r="O162" s="51" t="s">
        <v>24</v>
      </c>
      <c r="P162" s="58">
        <v>4.4497935732382095</v>
      </c>
      <c r="Q162" s="54"/>
      <c r="R162" s="56"/>
      <c r="S162" s="50"/>
      <c r="T162" s="51" t="s">
        <v>24</v>
      </c>
      <c r="U162" s="55">
        <v>4.4497935732382095</v>
      </c>
      <c r="V162" s="56"/>
      <c r="W162" s="56"/>
      <c r="X162" s="56"/>
      <c r="Y162" s="39"/>
    </row>
    <row r="163" spans="1:26" ht="157.5" customHeight="1">
      <c r="A163" s="127"/>
      <c r="B163" s="127"/>
      <c r="C163" s="231"/>
      <c r="D163" s="234"/>
      <c r="E163" s="11"/>
      <c r="F163" s="32" t="s">
        <v>29</v>
      </c>
      <c r="G163" s="34">
        <v>0.62829869022696883</v>
      </c>
      <c r="H163" s="34">
        <v>0.10832736038396014</v>
      </c>
      <c r="I163" s="223"/>
      <c r="J163" s="34">
        <v>0.51997132984300864</v>
      </c>
      <c r="K163" s="223"/>
      <c r="L163" s="39"/>
      <c r="M163" s="39"/>
      <c r="N163" s="11"/>
      <c r="O163" s="32" t="s">
        <v>29</v>
      </c>
      <c r="P163" s="114">
        <v>7.7422806302988312E-3</v>
      </c>
      <c r="Q163" s="59"/>
      <c r="R163" s="39"/>
      <c r="S163" s="11"/>
      <c r="T163" s="32" t="s">
        <v>29</v>
      </c>
      <c r="U163" s="91">
        <v>7.7422806302988312E-3</v>
      </c>
      <c r="V163" s="39"/>
      <c r="W163" s="39"/>
      <c r="X163" s="39"/>
      <c r="Y163" s="39"/>
    </row>
    <row r="164" spans="1:26" ht="21" customHeight="1">
      <c r="A164" s="127"/>
      <c r="B164" s="127"/>
      <c r="C164" s="232"/>
      <c r="D164" s="235"/>
      <c r="E164" s="8"/>
      <c r="F164" s="43" t="s">
        <v>30</v>
      </c>
      <c r="G164" s="44">
        <v>5.8488426584930577</v>
      </c>
      <c r="H164" s="44">
        <v>1.0084211480160445</v>
      </c>
      <c r="I164" s="224"/>
      <c r="J164" s="44">
        <v>4.8404215104770136</v>
      </c>
      <c r="K164" s="224"/>
      <c r="L164" s="49"/>
      <c r="M164" s="49"/>
      <c r="N164" s="8"/>
      <c r="O164" s="43" t="s">
        <v>30</v>
      </c>
      <c r="P164" s="60">
        <v>7.2073015476377969E-2</v>
      </c>
      <c r="Q164" s="47"/>
      <c r="R164" s="49"/>
      <c r="S164" s="8"/>
      <c r="T164" s="43" t="s">
        <v>30</v>
      </c>
      <c r="U164" s="44">
        <v>7.2073015476377969E-2</v>
      </c>
      <c r="V164" s="49"/>
      <c r="W164" s="49"/>
      <c r="X164" s="49"/>
      <c r="Y164" s="39"/>
    </row>
    <row r="165" spans="1:26" ht="58.5" customHeight="1">
      <c r="A165" s="229">
        <v>0</v>
      </c>
      <c r="B165" s="229" t="s">
        <v>351</v>
      </c>
      <c r="C165" s="231" t="s">
        <v>359</v>
      </c>
      <c r="D165" s="234" t="s">
        <v>23</v>
      </c>
      <c r="E165" s="11"/>
      <c r="F165" s="32" t="s">
        <v>24</v>
      </c>
      <c r="G165" s="37">
        <v>83</v>
      </c>
      <c r="H165" s="33">
        <v>20</v>
      </c>
      <c r="I165" s="222" t="s">
        <v>360</v>
      </c>
      <c r="J165" s="33">
        <v>63</v>
      </c>
      <c r="K165" s="223" t="s">
        <v>361</v>
      </c>
      <c r="L165" s="39"/>
      <c r="M165" s="39"/>
      <c r="N165" s="11"/>
      <c r="O165" s="32" t="s">
        <v>24</v>
      </c>
      <c r="P165" s="58">
        <v>21</v>
      </c>
      <c r="Q165" s="63">
        <v>21</v>
      </c>
      <c r="R165" s="223" t="s">
        <v>362</v>
      </c>
      <c r="S165" s="11"/>
      <c r="T165" s="32" t="s">
        <v>24</v>
      </c>
      <c r="U165" s="34"/>
      <c r="V165" s="39"/>
      <c r="W165" s="39"/>
      <c r="X165" s="39"/>
      <c r="Y165" s="39"/>
    </row>
    <row r="166" spans="1:26" ht="58.5" customHeight="1">
      <c r="A166" s="229"/>
      <c r="B166" s="229"/>
      <c r="C166" s="231"/>
      <c r="D166" s="234"/>
      <c r="E166" s="11"/>
      <c r="F166" s="32" t="s">
        <v>29</v>
      </c>
      <c r="G166" s="34">
        <v>2.3763664151214603</v>
      </c>
      <c r="H166" s="34">
        <v>0.57261841328227958</v>
      </c>
      <c r="I166" s="223"/>
      <c r="J166" s="34">
        <v>1.8037480018391807</v>
      </c>
      <c r="K166" s="223"/>
      <c r="L166" s="34"/>
      <c r="M166" s="39"/>
      <c r="N166" s="11"/>
      <c r="O166" s="32" t="s">
        <v>29</v>
      </c>
      <c r="P166" s="114">
        <v>0.60124933394639357</v>
      </c>
      <c r="Q166" s="59">
        <v>0.60124933394639357</v>
      </c>
      <c r="R166" s="223"/>
      <c r="S166" s="11"/>
      <c r="T166" s="32" t="s">
        <v>29</v>
      </c>
      <c r="U166" s="34"/>
      <c r="V166" s="39"/>
      <c r="W166" s="39"/>
      <c r="X166" s="39"/>
      <c r="Y166" s="39"/>
    </row>
    <row r="167" spans="1:26" ht="72" customHeight="1">
      <c r="A167" s="229"/>
      <c r="B167" s="229"/>
      <c r="C167" s="232"/>
      <c r="D167" s="235"/>
      <c r="E167" s="8"/>
      <c r="F167" s="43" t="s">
        <v>30</v>
      </c>
      <c r="G167" s="44">
        <v>2.4597335906408286</v>
      </c>
      <c r="H167" s="44">
        <v>0.59270688931104309</v>
      </c>
      <c r="I167" s="224"/>
      <c r="J167" s="44">
        <v>1.8670267013297857</v>
      </c>
      <c r="K167" s="224"/>
      <c r="L167" s="44"/>
      <c r="M167" s="49"/>
      <c r="N167" s="8"/>
      <c r="O167" s="43" t="s">
        <v>30</v>
      </c>
      <c r="P167" s="60">
        <v>0.62234223377659526</v>
      </c>
      <c r="Q167" s="47">
        <v>0.62234223377659526</v>
      </c>
      <c r="R167" s="224"/>
      <c r="S167" s="8"/>
      <c r="T167" s="43" t="s">
        <v>30</v>
      </c>
      <c r="U167" s="44"/>
      <c r="V167" s="49"/>
      <c r="W167" s="49"/>
      <c r="X167" s="49"/>
      <c r="Y167" s="39"/>
    </row>
    <row r="168" spans="1:26" ht="58.5" customHeight="1">
      <c r="A168" s="229">
        <v>0</v>
      </c>
      <c r="B168" s="229" t="s">
        <v>351</v>
      </c>
      <c r="C168" s="231" t="s">
        <v>363</v>
      </c>
      <c r="D168" s="234" t="s">
        <v>32</v>
      </c>
      <c r="E168" s="11"/>
      <c r="F168" s="32" t="s">
        <v>24</v>
      </c>
      <c r="G168" s="83">
        <v>12.5</v>
      </c>
      <c r="H168" s="113">
        <v>4.2</v>
      </c>
      <c r="I168" s="222" t="s">
        <v>364</v>
      </c>
      <c r="J168" s="34">
        <v>8.3000000000000007</v>
      </c>
      <c r="K168" s="222" t="s">
        <v>365</v>
      </c>
      <c r="L168" s="39" t="s">
        <v>38</v>
      </c>
      <c r="M168" s="222" t="s">
        <v>366</v>
      </c>
      <c r="N168" s="11"/>
      <c r="O168" s="51" t="s">
        <v>24</v>
      </c>
      <c r="P168" s="130">
        <v>1.2</v>
      </c>
      <c r="Q168" s="139">
        <v>1.2</v>
      </c>
      <c r="R168" s="236" t="s">
        <v>367</v>
      </c>
      <c r="S168" s="11"/>
      <c r="T168" s="51" t="s">
        <v>24</v>
      </c>
      <c r="U168" s="34"/>
      <c r="V168" s="39"/>
      <c r="W168" s="39"/>
      <c r="X168" s="39"/>
      <c r="Y168" s="39"/>
    </row>
    <row r="169" spans="1:26" ht="58.5" customHeight="1">
      <c r="A169" s="229"/>
      <c r="B169" s="229"/>
      <c r="C169" s="231"/>
      <c r="D169" s="234"/>
      <c r="E169" s="11"/>
      <c r="F169" s="32" t="s">
        <v>29</v>
      </c>
      <c r="G169" s="34">
        <v>2.2327431550550991</v>
      </c>
      <c r="H169" s="34">
        <v>0.75020170009851339</v>
      </c>
      <c r="I169" s="223"/>
      <c r="J169" s="34">
        <v>1.4825414549565861</v>
      </c>
      <c r="K169" s="223"/>
      <c r="L169" s="34"/>
      <c r="M169" s="223"/>
      <c r="N169" s="11"/>
      <c r="O169" s="32" t="s">
        <v>29</v>
      </c>
      <c r="P169" s="114">
        <v>0.21434334288528953</v>
      </c>
      <c r="Q169" s="34">
        <v>0.21434334288528953</v>
      </c>
      <c r="R169" s="237"/>
      <c r="S169" s="11"/>
      <c r="T169" s="32" t="s">
        <v>29</v>
      </c>
      <c r="U169" s="34"/>
      <c r="V169" s="39"/>
      <c r="W169" s="39"/>
      <c r="X169" s="39"/>
      <c r="Y169" s="39"/>
    </row>
    <row r="170" spans="1:26" ht="42.65" customHeight="1">
      <c r="A170" s="229"/>
      <c r="B170" s="229"/>
      <c r="C170" s="232"/>
      <c r="D170" s="235"/>
      <c r="E170" s="8"/>
      <c r="F170" s="43" t="s">
        <v>30</v>
      </c>
      <c r="G170" s="44">
        <v>3.2633816696409426</v>
      </c>
      <c r="H170" s="44">
        <v>1.0964962409993568</v>
      </c>
      <c r="I170" s="224"/>
      <c r="J170" s="44">
        <v>2.166885428641586</v>
      </c>
      <c r="K170" s="224"/>
      <c r="L170" s="44"/>
      <c r="M170" s="224"/>
      <c r="N170" s="8"/>
      <c r="O170" s="43" t="s">
        <v>30</v>
      </c>
      <c r="P170" s="60">
        <v>0.31328464028553049</v>
      </c>
      <c r="Q170" s="44">
        <v>0.31328464028553049</v>
      </c>
      <c r="R170" s="238"/>
      <c r="S170" s="8"/>
      <c r="T170" s="43" t="s">
        <v>30</v>
      </c>
      <c r="U170" s="44"/>
      <c r="V170" s="49"/>
      <c r="W170" s="49"/>
      <c r="X170" s="49"/>
      <c r="Y170" s="39"/>
    </row>
    <row r="171" spans="1:26" ht="41.5" customHeight="1">
      <c r="A171" s="229">
        <v>0</v>
      </c>
      <c r="B171" s="229" t="s">
        <v>351</v>
      </c>
      <c r="C171" s="230" t="s">
        <v>368</v>
      </c>
      <c r="D171" s="233" t="s">
        <v>32</v>
      </c>
      <c r="E171" s="50"/>
      <c r="F171" s="51" t="s">
        <v>24</v>
      </c>
      <c r="G171" s="52">
        <v>55.230000000000004</v>
      </c>
      <c r="H171" s="135">
        <v>48.6</v>
      </c>
      <c r="I171" s="226" t="s">
        <v>369</v>
      </c>
      <c r="J171" s="120">
        <v>6.6300000000000008</v>
      </c>
      <c r="K171" s="236" t="s">
        <v>370</v>
      </c>
      <c r="L171" s="56"/>
      <c r="M171" s="56"/>
      <c r="N171" s="50"/>
      <c r="O171" s="51" t="s">
        <v>24</v>
      </c>
      <c r="P171" s="53">
        <v>15</v>
      </c>
      <c r="Q171" s="52">
        <v>15</v>
      </c>
      <c r="R171" s="222" t="s">
        <v>371</v>
      </c>
      <c r="S171" s="50"/>
      <c r="T171" s="51" t="s">
        <v>24</v>
      </c>
      <c r="U171" s="55"/>
      <c r="V171" s="56"/>
      <c r="W171" s="56"/>
      <c r="X171" s="56"/>
      <c r="Y171" s="39"/>
    </row>
    <row r="172" spans="1:26" ht="58.5" customHeight="1">
      <c r="A172" s="229"/>
      <c r="B172" s="229"/>
      <c r="C172" s="231"/>
      <c r="D172" s="234"/>
      <c r="E172" s="11"/>
      <c r="F172" s="32" t="s">
        <v>29</v>
      </c>
      <c r="G172" s="34">
        <v>9.6095729425089899E-2</v>
      </c>
      <c r="H172" s="34">
        <v>8.4560066088346361E-2</v>
      </c>
      <c r="I172" s="250"/>
      <c r="J172" s="34">
        <v>1.1535663336743546E-2</v>
      </c>
      <c r="K172" s="237"/>
      <c r="L172" s="34"/>
      <c r="M172" s="39"/>
      <c r="N172" s="11"/>
      <c r="O172" s="32" t="s">
        <v>29</v>
      </c>
      <c r="P172" s="114">
        <v>2.6098785829736529E-2</v>
      </c>
      <c r="Q172" s="34">
        <v>2.6098785829736529E-2</v>
      </c>
      <c r="R172" s="223"/>
      <c r="S172" s="11"/>
      <c r="T172" s="32" t="s">
        <v>29</v>
      </c>
      <c r="U172" s="34"/>
      <c r="V172" s="39"/>
      <c r="W172" s="39"/>
      <c r="X172" s="39"/>
      <c r="Y172" s="39"/>
    </row>
    <row r="173" spans="1:26" ht="38.5" customHeight="1">
      <c r="A173" s="229"/>
      <c r="B173" s="229"/>
      <c r="C173" s="232"/>
      <c r="D173" s="235"/>
      <c r="E173" s="8"/>
      <c r="F173" s="43" t="s">
        <v>30</v>
      </c>
      <c r="G173" s="44">
        <v>6.702226729381966</v>
      </c>
      <c r="H173" s="44">
        <v>5.8976682789781556</v>
      </c>
      <c r="I173" s="251"/>
      <c r="J173" s="44">
        <v>0.80455845040381013</v>
      </c>
      <c r="K173" s="238"/>
      <c r="L173" s="44"/>
      <c r="M173" s="49"/>
      <c r="N173" s="8"/>
      <c r="O173" s="43" t="s">
        <v>30</v>
      </c>
      <c r="P173" s="60">
        <v>1.8202679873389367</v>
      </c>
      <c r="Q173" s="44">
        <v>1.8202679873389367</v>
      </c>
      <c r="R173" s="224"/>
      <c r="S173" s="8"/>
      <c r="T173" s="43" t="s">
        <v>30</v>
      </c>
      <c r="U173" s="44"/>
      <c r="V173" s="49"/>
      <c r="W173" s="49"/>
      <c r="X173" s="49"/>
      <c r="Y173" s="39"/>
    </row>
    <row r="174" spans="1:26" s="87" customFormat="1" ht="37.5" customHeight="1">
      <c r="A174" s="229">
        <v>0</v>
      </c>
      <c r="B174" s="229" t="s">
        <v>351</v>
      </c>
      <c r="C174" s="230" t="s">
        <v>372</v>
      </c>
      <c r="D174" s="233" t="s">
        <v>32</v>
      </c>
      <c r="E174" s="140"/>
      <c r="F174" s="51" t="s">
        <v>24</v>
      </c>
      <c r="G174" s="135">
        <v>15.8</v>
      </c>
      <c r="H174" s="103">
        <v>5.6</v>
      </c>
      <c r="I174" s="239" t="s">
        <v>373</v>
      </c>
      <c r="J174" s="115">
        <v>10.200000000000001</v>
      </c>
      <c r="K174" s="222" t="s">
        <v>374</v>
      </c>
      <c r="L174" s="71">
        <v>2.8</v>
      </c>
      <c r="M174" s="222" t="s">
        <v>375</v>
      </c>
      <c r="N174" s="140"/>
      <c r="O174" s="51" t="s">
        <v>24</v>
      </c>
      <c r="P174" s="53">
        <v>16.475000000000001</v>
      </c>
      <c r="Q174" s="141">
        <v>9.6</v>
      </c>
      <c r="R174" s="247" t="s">
        <v>376</v>
      </c>
      <c r="S174" s="140"/>
      <c r="T174" s="51" t="s">
        <v>24</v>
      </c>
      <c r="U174" s="88">
        <v>6.875</v>
      </c>
      <c r="V174" s="222" t="s">
        <v>377</v>
      </c>
      <c r="W174" s="65">
        <v>0</v>
      </c>
      <c r="X174" s="222"/>
      <c r="Y174" s="56"/>
      <c r="Z174" s="14"/>
    </row>
    <row r="175" spans="1:26" ht="58.5" customHeight="1">
      <c r="A175" s="229"/>
      <c r="B175" s="229"/>
      <c r="C175" s="231"/>
      <c r="D175" s="234"/>
      <c r="E175" s="11"/>
      <c r="F175" s="32" t="s">
        <v>29</v>
      </c>
      <c r="G175" s="34">
        <v>0.63448143937381374</v>
      </c>
      <c r="H175" s="34">
        <v>0.22487949749957956</v>
      </c>
      <c r="I175" s="240"/>
      <c r="J175" s="34">
        <v>0.40960194187423427</v>
      </c>
      <c r="K175" s="223"/>
      <c r="L175" s="39"/>
      <c r="M175" s="223"/>
      <c r="N175" s="11"/>
      <c r="O175" s="32" t="s">
        <v>29</v>
      </c>
      <c r="P175" s="114">
        <v>0.27607974023385884</v>
      </c>
      <c r="Q175" s="125"/>
      <c r="R175" s="248"/>
      <c r="S175" s="11"/>
      <c r="T175" s="32" t="s">
        <v>29</v>
      </c>
      <c r="U175" s="34">
        <v>0.27607974023385884</v>
      </c>
      <c r="V175" s="223"/>
      <c r="W175" s="34">
        <v>0</v>
      </c>
      <c r="X175" s="223"/>
      <c r="Y175" s="39"/>
    </row>
    <row r="176" spans="1:26" ht="61" customHeight="1">
      <c r="A176" s="229"/>
      <c r="B176" s="229"/>
      <c r="C176" s="232"/>
      <c r="D176" s="235"/>
      <c r="E176" s="8"/>
      <c r="F176" s="43" t="s">
        <v>30</v>
      </c>
      <c r="G176" s="44">
        <v>2.6782037998252428</v>
      </c>
      <c r="H176" s="44">
        <v>0.94923678981147841</v>
      </c>
      <c r="I176" s="241"/>
      <c r="J176" s="44">
        <v>1.7289670100137644</v>
      </c>
      <c r="K176" s="224"/>
      <c r="L176" s="49"/>
      <c r="M176" s="224"/>
      <c r="N176" s="8"/>
      <c r="O176" s="43" t="s">
        <v>30</v>
      </c>
      <c r="P176" s="60">
        <v>1.1653576660631988</v>
      </c>
      <c r="Q176" s="142"/>
      <c r="R176" s="249"/>
      <c r="S176" s="8"/>
      <c r="T176" s="43" t="s">
        <v>30</v>
      </c>
      <c r="U176" s="44">
        <v>1.1653576660631988</v>
      </c>
      <c r="V176" s="224"/>
      <c r="W176" s="44">
        <v>0</v>
      </c>
      <c r="X176" s="224"/>
      <c r="Y176" s="49"/>
      <c r="Z176" s="4"/>
    </row>
    <row r="177" spans="1:26" ht="58.5" customHeight="1">
      <c r="A177" s="229">
        <v>0</v>
      </c>
      <c r="B177" s="229" t="s">
        <v>351</v>
      </c>
      <c r="C177" s="231" t="s">
        <v>378</v>
      </c>
      <c r="D177" s="234" t="s">
        <v>32</v>
      </c>
      <c r="E177" s="11"/>
      <c r="F177" s="51" t="s">
        <v>24</v>
      </c>
      <c r="G177" s="37">
        <v>263.60000000000002</v>
      </c>
      <c r="H177" s="83">
        <v>21.6</v>
      </c>
      <c r="I177" s="236" t="s">
        <v>379</v>
      </c>
      <c r="J177" s="33">
        <v>242</v>
      </c>
      <c r="K177" s="222" t="s">
        <v>380</v>
      </c>
      <c r="L177" s="97">
        <v>33</v>
      </c>
      <c r="M177" s="222" t="s">
        <v>381</v>
      </c>
      <c r="N177" s="11"/>
      <c r="O177" s="51" t="s">
        <v>24</v>
      </c>
      <c r="P177" s="130"/>
      <c r="Q177" s="48"/>
      <c r="R177" s="39"/>
      <c r="S177" s="11"/>
      <c r="T177" s="51" t="s">
        <v>24</v>
      </c>
      <c r="U177" s="34"/>
      <c r="V177" s="39"/>
      <c r="W177" s="39"/>
      <c r="X177" s="39"/>
      <c r="Y177" s="39"/>
    </row>
    <row r="178" spans="1:26" ht="58.5" customHeight="1">
      <c r="A178" s="229"/>
      <c r="B178" s="229"/>
      <c r="C178" s="231"/>
      <c r="D178" s="234"/>
      <c r="E178" s="11"/>
      <c r="F178" s="32" t="s">
        <v>29</v>
      </c>
      <c r="G178" s="34">
        <v>2.4866419876697607</v>
      </c>
      <c r="H178" s="34">
        <v>0.20376125543879678</v>
      </c>
      <c r="I178" s="237"/>
      <c r="J178" s="34">
        <v>2.2828807322309639</v>
      </c>
      <c r="K178" s="223"/>
      <c r="L178" s="34">
        <v>0.31130191803149504</v>
      </c>
      <c r="M178" s="223"/>
      <c r="N178" s="11"/>
      <c r="O178" s="32" t="s">
        <v>29</v>
      </c>
      <c r="P178" s="114"/>
      <c r="Q178" s="34"/>
      <c r="R178" s="39"/>
      <c r="S178" s="11"/>
      <c r="T178" s="32" t="s">
        <v>29</v>
      </c>
      <c r="U178" s="34"/>
      <c r="V178" s="39"/>
      <c r="W178" s="39"/>
      <c r="X178" s="39"/>
      <c r="Y178" s="39"/>
    </row>
    <row r="179" spans="1:26" ht="77.150000000000006" customHeight="1">
      <c r="A179" s="229"/>
      <c r="B179" s="229"/>
      <c r="C179" s="232"/>
      <c r="D179" s="235"/>
      <c r="E179" s="8"/>
      <c r="F179" s="43" t="s">
        <v>30</v>
      </c>
      <c r="G179" s="44">
        <v>2.5045970637574322</v>
      </c>
      <c r="H179" s="44">
        <v>0.20523253633217198</v>
      </c>
      <c r="I179" s="238"/>
      <c r="J179" s="44">
        <v>2.2993645274252597</v>
      </c>
      <c r="K179" s="224"/>
      <c r="L179" s="44">
        <v>0.31354970828526268</v>
      </c>
      <c r="M179" s="224"/>
      <c r="N179" s="11"/>
      <c r="O179" s="43" t="s">
        <v>30</v>
      </c>
      <c r="P179" s="60"/>
      <c r="Q179" s="44"/>
      <c r="R179" s="49"/>
      <c r="S179" s="8"/>
      <c r="T179" s="43" t="s">
        <v>30</v>
      </c>
      <c r="U179" s="44"/>
      <c r="V179" s="49"/>
      <c r="W179" s="49"/>
      <c r="X179" s="49"/>
      <c r="Y179" s="39"/>
    </row>
    <row r="180" spans="1:26" ht="98.5" customHeight="1">
      <c r="A180" s="229">
        <v>0</v>
      </c>
      <c r="B180" s="229" t="s">
        <v>351</v>
      </c>
      <c r="C180" s="230" t="s">
        <v>382</v>
      </c>
      <c r="D180" s="233" t="s">
        <v>139</v>
      </c>
      <c r="E180" s="11"/>
      <c r="F180" s="51" t="s">
        <v>24</v>
      </c>
      <c r="G180" s="37">
        <v>832</v>
      </c>
      <c r="H180" s="41">
        <v>185</v>
      </c>
      <c r="I180" s="246" t="s">
        <v>383</v>
      </c>
      <c r="J180" s="41">
        <v>647</v>
      </c>
      <c r="K180" s="236" t="s">
        <v>384</v>
      </c>
      <c r="L180" s="34"/>
      <c r="M180" s="39" t="s">
        <v>385</v>
      </c>
      <c r="N180" s="11"/>
      <c r="O180" s="51" t="s">
        <v>24</v>
      </c>
      <c r="P180" s="143">
        <v>300</v>
      </c>
      <c r="Q180" s="41">
        <v>300</v>
      </c>
      <c r="R180" s="236" t="s">
        <v>386</v>
      </c>
      <c r="S180" s="11"/>
      <c r="T180" s="51" t="s">
        <v>24</v>
      </c>
      <c r="U180" s="34"/>
      <c r="V180" s="40" t="s">
        <v>387</v>
      </c>
      <c r="W180" s="39"/>
      <c r="X180" s="39"/>
      <c r="Y180" s="39"/>
    </row>
    <row r="181" spans="1:26" ht="84.65" customHeight="1">
      <c r="A181" s="229"/>
      <c r="B181" s="229"/>
      <c r="C181" s="231"/>
      <c r="D181" s="234"/>
      <c r="E181" s="11"/>
      <c r="F181" s="32" t="s">
        <v>29</v>
      </c>
      <c r="G181" s="34">
        <v>0.58733903180831615</v>
      </c>
      <c r="H181" s="34">
        <v>0.13059822221699338</v>
      </c>
      <c r="I181" s="223"/>
      <c r="J181" s="34">
        <v>0.45674080959132279</v>
      </c>
      <c r="K181" s="237"/>
      <c r="L181" s="34"/>
      <c r="M181" s="39"/>
      <c r="N181" s="11"/>
      <c r="O181" s="32" t="s">
        <v>29</v>
      </c>
      <c r="P181" s="144">
        <v>0.21178090089242169</v>
      </c>
      <c r="Q181" s="34">
        <v>0.21178090089242169</v>
      </c>
      <c r="R181" s="237"/>
      <c r="S181" s="11"/>
      <c r="T181" s="32" t="s">
        <v>29</v>
      </c>
      <c r="U181" s="34"/>
      <c r="V181" s="39"/>
      <c r="W181" s="39"/>
      <c r="X181" s="39"/>
      <c r="Y181" s="39"/>
    </row>
    <row r="182" spans="1:26" ht="54.65" customHeight="1">
      <c r="A182" s="229"/>
      <c r="B182" s="229"/>
      <c r="C182" s="232"/>
      <c r="D182" s="235"/>
      <c r="E182" s="8"/>
      <c r="F182" s="43" t="s">
        <v>30</v>
      </c>
      <c r="G182" s="44">
        <v>0.72281274109279325</v>
      </c>
      <c r="H182" s="44">
        <v>0.16072158305548889</v>
      </c>
      <c r="I182" s="224"/>
      <c r="J182" s="44">
        <v>0.56209115803730436</v>
      </c>
      <c r="K182" s="238"/>
      <c r="L182" s="44"/>
      <c r="M182" s="49"/>
      <c r="N182" s="8"/>
      <c r="O182" s="43" t="s">
        <v>30</v>
      </c>
      <c r="P182" s="60">
        <v>0.26062959414403603</v>
      </c>
      <c r="Q182" s="44">
        <v>0.26062959414403603</v>
      </c>
      <c r="R182" s="238"/>
      <c r="S182" s="8"/>
      <c r="T182" s="43" t="s">
        <v>30</v>
      </c>
      <c r="U182" s="44"/>
      <c r="V182" s="49"/>
      <c r="W182" s="49"/>
      <c r="X182" s="49"/>
      <c r="Y182" s="39"/>
    </row>
    <row r="183" spans="1:26" ht="75.650000000000006" customHeight="1">
      <c r="A183" s="229">
        <v>0</v>
      </c>
      <c r="B183" s="229" t="s">
        <v>351</v>
      </c>
      <c r="C183" s="230" t="s">
        <v>388</v>
      </c>
      <c r="D183" s="233" t="s">
        <v>32</v>
      </c>
      <c r="E183" s="50"/>
      <c r="F183" s="51" t="s">
        <v>24</v>
      </c>
      <c r="G183" s="52">
        <v>58.49</v>
      </c>
      <c r="H183" s="52">
        <v>25.75</v>
      </c>
      <c r="I183" s="242" t="s">
        <v>389</v>
      </c>
      <c r="J183" s="52">
        <v>32.74</v>
      </c>
      <c r="K183" s="245" t="s">
        <v>390</v>
      </c>
      <c r="L183" s="55"/>
      <c r="M183" s="56"/>
      <c r="N183" s="50"/>
      <c r="O183" s="51" t="s">
        <v>24</v>
      </c>
      <c r="P183" s="145">
        <v>100</v>
      </c>
      <c r="Q183" s="52">
        <v>50</v>
      </c>
      <c r="R183" s="222" t="s">
        <v>391</v>
      </c>
      <c r="S183" s="50"/>
      <c r="T183" s="51" t="s">
        <v>24</v>
      </c>
      <c r="U183" s="52">
        <v>50</v>
      </c>
      <c r="V183" s="222" t="s">
        <v>392</v>
      </c>
      <c r="W183" s="56"/>
      <c r="X183" s="56"/>
      <c r="Y183" s="39"/>
    </row>
    <row r="184" spans="1:26" ht="91.5" customHeight="1">
      <c r="A184" s="229"/>
      <c r="B184" s="229"/>
      <c r="C184" s="231"/>
      <c r="D184" s="234"/>
      <c r="E184" s="11"/>
      <c r="F184" s="32" t="s">
        <v>29</v>
      </c>
      <c r="G184" s="34">
        <v>0.10176470509427343</v>
      </c>
      <c r="H184" s="34">
        <v>4.4801524297786645E-2</v>
      </c>
      <c r="I184" s="243"/>
      <c r="J184" s="34">
        <v>5.6963180796486788E-2</v>
      </c>
      <c r="K184" s="223"/>
      <c r="L184" s="34"/>
      <c r="M184" s="39"/>
      <c r="N184" s="11"/>
      <c r="O184" s="32" t="s">
        <v>29</v>
      </c>
      <c r="P184" s="144">
        <v>0.17398650212732678</v>
      </c>
      <c r="Q184" s="34">
        <v>8.6993251063663388E-2</v>
      </c>
      <c r="R184" s="223"/>
      <c r="S184" s="11"/>
      <c r="T184" s="32" t="s">
        <v>29</v>
      </c>
      <c r="U184" s="34">
        <v>8.6993251063663388E-2</v>
      </c>
      <c r="V184" s="223"/>
      <c r="W184" s="39"/>
      <c r="X184" s="39"/>
      <c r="Y184" s="39"/>
    </row>
    <row r="185" spans="1:26" ht="144.65" customHeight="1">
      <c r="A185" s="229"/>
      <c r="B185" s="229"/>
      <c r="C185" s="232"/>
      <c r="D185" s="235"/>
      <c r="E185" s="8"/>
      <c r="F185" s="43" t="s">
        <v>30</v>
      </c>
      <c r="G185" s="44">
        <v>0.74293024848976019</v>
      </c>
      <c r="H185" s="44">
        <v>0.32707221573963624</v>
      </c>
      <c r="I185" s="244"/>
      <c r="J185" s="44">
        <v>0.4158580327501239</v>
      </c>
      <c r="K185" s="224"/>
      <c r="L185" s="44"/>
      <c r="M185" s="49"/>
      <c r="N185" s="8"/>
      <c r="O185" s="43" t="s">
        <v>30</v>
      </c>
      <c r="P185" s="60">
        <v>1.2701833620956746</v>
      </c>
      <c r="Q185" s="44">
        <v>0.63509168104783731</v>
      </c>
      <c r="R185" s="224"/>
      <c r="S185" s="8"/>
      <c r="T185" s="43" t="s">
        <v>30</v>
      </c>
      <c r="U185" s="44">
        <v>0.63509168104783731</v>
      </c>
      <c r="V185" s="224"/>
      <c r="W185" s="49"/>
      <c r="X185" s="49"/>
      <c r="Y185" s="39"/>
    </row>
    <row r="186" spans="1:26" s="13" customFormat="1" ht="59.5" customHeight="1">
      <c r="A186" s="229">
        <v>0</v>
      </c>
      <c r="B186" s="229" t="s">
        <v>351</v>
      </c>
      <c r="C186" s="231" t="s">
        <v>393</v>
      </c>
      <c r="D186" s="233" t="s">
        <v>23</v>
      </c>
      <c r="F186" s="32" t="s">
        <v>24</v>
      </c>
      <c r="G186" s="35">
        <v>3657</v>
      </c>
      <c r="H186" s="97">
        <v>225</v>
      </c>
      <c r="I186" s="223" t="s">
        <v>394</v>
      </c>
      <c r="J186" s="97">
        <v>3432</v>
      </c>
      <c r="K186" s="237" t="s">
        <v>395</v>
      </c>
      <c r="L186" s="39"/>
      <c r="M186" s="39"/>
      <c r="O186" s="32" t="s">
        <v>24</v>
      </c>
      <c r="P186" s="39"/>
      <c r="Q186" s="119"/>
      <c r="R186" s="39"/>
      <c r="T186" s="32" t="s">
        <v>24</v>
      </c>
      <c r="U186" s="91"/>
      <c r="V186" s="39"/>
      <c r="W186" s="39"/>
      <c r="X186" s="39"/>
      <c r="Y186" s="56"/>
      <c r="Z186" s="87"/>
    </row>
    <row r="187" spans="1:26" s="20" customFormat="1" ht="73.5" customHeight="1">
      <c r="A187" s="229"/>
      <c r="B187" s="229"/>
      <c r="C187" s="231"/>
      <c r="D187" s="234"/>
      <c r="E187" s="13"/>
      <c r="F187" s="32" t="s">
        <v>29</v>
      </c>
      <c r="G187" s="91">
        <v>10.180721494026225</v>
      </c>
      <c r="H187" s="34">
        <v>0.62637745041178583</v>
      </c>
      <c r="I187" s="223"/>
      <c r="J187" s="91">
        <v>9.5543440436144387</v>
      </c>
      <c r="K187" s="237"/>
      <c r="L187" s="39"/>
      <c r="M187" s="39"/>
      <c r="N187" s="13"/>
      <c r="O187" s="32" t="s">
        <v>29</v>
      </c>
      <c r="P187" s="39"/>
      <c r="Q187" s="119"/>
      <c r="R187" s="39"/>
      <c r="S187" s="13"/>
      <c r="T187" s="32" t="s">
        <v>29</v>
      </c>
      <c r="U187" s="91"/>
      <c r="V187" s="39"/>
      <c r="W187" s="39"/>
      <c r="X187" s="39"/>
      <c r="Y187" s="39"/>
      <c r="Z187" s="13"/>
    </row>
    <row r="188" spans="1:26" ht="48.65" customHeight="1">
      <c r="A188" s="229"/>
      <c r="B188" s="229"/>
      <c r="C188" s="232"/>
      <c r="D188" s="235"/>
      <c r="E188" s="8"/>
      <c r="F188" s="43" t="s">
        <v>30</v>
      </c>
      <c r="G188" s="44">
        <v>2.3707909284496753</v>
      </c>
      <c r="H188" s="44">
        <v>0.14586490535990618</v>
      </c>
      <c r="I188" s="224"/>
      <c r="J188" s="44">
        <v>2.2249260230897692</v>
      </c>
      <c r="K188" s="238"/>
      <c r="L188" s="49"/>
      <c r="M188" s="49"/>
      <c r="N188" s="8"/>
      <c r="O188" s="43" t="s">
        <v>30</v>
      </c>
      <c r="P188" s="128"/>
      <c r="Q188" s="47"/>
      <c r="R188" s="128"/>
      <c r="S188" s="8"/>
      <c r="T188" s="43" t="s">
        <v>30</v>
      </c>
      <c r="U188" s="44"/>
      <c r="V188" s="49"/>
      <c r="W188" s="49"/>
      <c r="X188" s="49"/>
      <c r="Y188" s="49"/>
      <c r="Z188" s="4"/>
    </row>
    <row r="189" spans="1:26" ht="58.5" customHeight="1">
      <c r="A189" s="229">
        <v>0</v>
      </c>
      <c r="B189" s="229" t="s">
        <v>351</v>
      </c>
      <c r="C189" s="231" t="s">
        <v>396</v>
      </c>
      <c r="D189" s="234" t="s">
        <v>32</v>
      </c>
      <c r="E189" s="14"/>
      <c r="F189" s="51" t="s">
        <v>24</v>
      </c>
      <c r="G189" s="64">
        <v>613</v>
      </c>
      <c r="H189" s="135">
        <v>100</v>
      </c>
      <c r="I189" s="236" t="s">
        <v>397</v>
      </c>
      <c r="J189" s="103">
        <v>513</v>
      </c>
      <c r="K189" s="236" t="s">
        <v>398</v>
      </c>
      <c r="L189" s="103">
        <v>80</v>
      </c>
      <c r="M189" s="236" t="s">
        <v>399</v>
      </c>
      <c r="N189" s="14"/>
      <c r="O189" s="32" t="s">
        <v>24</v>
      </c>
      <c r="P189" s="64">
        <v>25</v>
      </c>
      <c r="Q189" s="107"/>
      <c r="R189" s="236"/>
      <c r="S189" s="14"/>
      <c r="T189" s="32" t="s">
        <v>24</v>
      </c>
      <c r="U189" s="64">
        <v>25</v>
      </c>
      <c r="V189" s="222" t="s">
        <v>400</v>
      </c>
      <c r="W189" s="56"/>
      <c r="X189" s="56"/>
      <c r="Y189" s="56"/>
      <c r="Z189" s="14"/>
    </row>
    <row r="190" spans="1:26" ht="58.5" customHeight="1">
      <c r="A190" s="229"/>
      <c r="B190" s="229"/>
      <c r="C190" s="231"/>
      <c r="D190" s="234"/>
      <c r="E190" s="20"/>
      <c r="F190" s="32" t="s">
        <v>29</v>
      </c>
      <c r="G190" s="34">
        <v>1.0665421358172194</v>
      </c>
      <c r="H190" s="34">
        <v>0.17398729784946482</v>
      </c>
      <c r="I190" s="237"/>
      <c r="J190" s="34">
        <v>0.89255483796775448</v>
      </c>
      <c r="K190" s="237"/>
      <c r="L190" s="34">
        <v>0.13918983827957185</v>
      </c>
      <c r="M190" s="237"/>
      <c r="N190" s="20"/>
      <c r="O190" s="32" t="s">
        <v>29</v>
      </c>
      <c r="P190" s="59">
        <v>4.3496824462366204E-2</v>
      </c>
      <c r="Q190" s="59"/>
      <c r="R190" s="237"/>
      <c r="S190" s="20"/>
      <c r="T190" s="32" t="s">
        <v>29</v>
      </c>
      <c r="U190" s="34">
        <v>4.3496824462366204E-2</v>
      </c>
      <c r="V190" s="223"/>
      <c r="W190" s="39"/>
      <c r="X190" s="39"/>
      <c r="Y190" s="39"/>
      <c r="Z190" s="20"/>
    </row>
    <row r="191" spans="1:26" ht="87.65" customHeight="1">
      <c r="A191" s="229"/>
      <c r="B191" s="229"/>
      <c r="C191" s="232"/>
      <c r="D191" s="235"/>
      <c r="E191" s="8"/>
      <c r="F191" s="43" t="s">
        <v>30</v>
      </c>
      <c r="G191" s="44">
        <v>4.3213332525970563</v>
      </c>
      <c r="H191" s="44">
        <v>0.7049483283192588</v>
      </c>
      <c r="I191" s="238"/>
      <c r="J191" s="44">
        <v>3.6163849242777975</v>
      </c>
      <c r="K191" s="238"/>
      <c r="L191" s="44">
        <v>0.56395866265540706</v>
      </c>
      <c r="M191" s="238"/>
      <c r="N191" s="8"/>
      <c r="O191" s="43" t="s">
        <v>30</v>
      </c>
      <c r="P191" s="47">
        <v>0.1762370820798147</v>
      </c>
      <c r="Q191" s="47"/>
      <c r="R191" s="238"/>
      <c r="S191" s="8"/>
      <c r="T191" s="43" t="s">
        <v>30</v>
      </c>
      <c r="U191" s="44">
        <v>0.1762370820798147</v>
      </c>
      <c r="V191" s="224"/>
      <c r="W191" s="49"/>
      <c r="X191" s="49"/>
      <c r="Y191" s="49"/>
      <c r="Z191" s="4"/>
    </row>
    <row r="192" spans="1:26" ht="133.5" customHeight="1">
      <c r="A192" s="229">
        <v>0</v>
      </c>
      <c r="B192" s="229" t="s">
        <v>351</v>
      </c>
      <c r="C192" s="230" t="s">
        <v>401</v>
      </c>
      <c r="D192" s="233" t="s">
        <v>23</v>
      </c>
      <c r="E192" s="50"/>
      <c r="F192" s="51" t="s">
        <v>24</v>
      </c>
      <c r="G192" s="101">
        <v>25700</v>
      </c>
      <c r="H192" s="101">
        <v>6800</v>
      </c>
      <c r="I192" s="222" t="s">
        <v>402</v>
      </c>
      <c r="J192" s="101">
        <v>18900</v>
      </c>
      <c r="K192" s="222" t="s">
        <v>403</v>
      </c>
      <c r="L192" s="55"/>
      <c r="M192" s="56"/>
      <c r="N192" s="50"/>
      <c r="O192" s="51" t="s">
        <v>24</v>
      </c>
      <c r="P192" s="101">
        <v>7700</v>
      </c>
      <c r="Q192" s="101">
        <v>7700</v>
      </c>
      <c r="R192" s="236" t="s">
        <v>404</v>
      </c>
      <c r="S192" s="50"/>
      <c r="T192" s="51" t="s">
        <v>24</v>
      </c>
      <c r="U192" s="55"/>
      <c r="V192" s="56"/>
      <c r="W192" s="56"/>
      <c r="X192" s="56"/>
      <c r="Y192" s="39"/>
    </row>
    <row r="193" spans="1:26" ht="117.65" customHeight="1">
      <c r="A193" s="229"/>
      <c r="B193" s="229"/>
      <c r="C193" s="231"/>
      <c r="D193" s="234"/>
      <c r="E193" s="11"/>
      <c r="F193" s="32" t="s">
        <v>29</v>
      </c>
      <c r="G193" s="34">
        <v>2.5560582614708252</v>
      </c>
      <c r="H193" s="34">
        <v>0.676311135330802</v>
      </c>
      <c r="I193" s="223"/>
      <c r="J193" s="34">
        <v>1.8797471261400234</v>
      </c>
      <c r="K193" s="223"/>
      <c r="L193" s="34"/>
      <c r="M193" s="39"/>
      <c r="N193" s="11"/>
      <c r="O193" s="32" t="s">
        <v>29</v>
      </c>
      <c r="P193" s="59">
        <v>0.76582290324223168</v>
      </c>
      <c r="Q193" s="34">
        <v>0.76582290324223168</v>
      </c>
      <c r="R193" s="237"/>
      <c r="S193" s="11"/>
      <c r="T193" s="32" t="s">
        <v>29</v>
      </c>
      <c r="U193" s="34"/>
      <c r="V193" s="39"/>
      <c r="W193" s="39"/>
      <c r="X193" s="39"/>
      <c r="Y193" s="39"/>
    </row>
    <row r="194" spans="1:26" ht="55.5" customHeight="1">
      <c r="A194" s="229"/>
      <c r="B194" s="229"/>
      <c r="C194" s="232"/>
      <c r="D194" s="235"/>
      <c r="E194" s="8"/>
      <c r="F194" s="43" t="s">
        <v>30</v>
      </c>
      <c r="G194" s="44">
        <v>4.4294827387285496</v>
      </c>
      <c r="H194" s="44">
        <v>1.1720032149165034</v>
      </c>
      <c r="I194" s="224"/>
      <c r="J194" s="44">
        <v>3.2574795238120466</v>
      </c>
      <c r="K194" s="224"/>
      <c r="L194" s="44"/>
      <c r="M194" s="49"/>
      <c r="N194" s="8"/>
      <c r="O194" s="43" t="s">
        <v>30</v>
      </c>
      <c r="P194" s="47">
        <v>1.3271212874789819</v>
      </c>
      <c r="Q194" s="44">
        <v>1.3271212874789819</v>
      </c>
      <c r="R194" s="238"/>
      <c r="S194" s="8"/>
      <c r="T194" s="43" t="s">
        <v>30</v>
      </c>
      <c r="U194" s="44"/>
      <c r="V194" s="49"/>
      <c r="W194" s="49"/>
      <c r="X194" s="49"/>
      <c r="Y194" s="39"/>
    </row>
    <row r="195" spans="1:26" ht="83.5" customHeight="1">
      <c r="A195" s="229">
        <v>0</v>
      </c>
      <c r="B195" s="229" t="s">
        <v>351</v>
      </c>
      <c r="C195" s="231" t="s">
        <v>405</v>
      </c>
      <c r="D195" s="234" t="s">
        <v>406</v>
      </c>
      <c r="E195" s="14"/>
      <c r="F195" s="51" t="s">
        <v>24</v>
      </c>
      <c r="G195" s="101">
        <v>132830</v>
      </c>
      <c r="H195" s="104">
        <v>14700</v>
      </c>
      <c r="I195" s="239" t="s">
        <v>407</v>
      </c>
      <c r="J195" s="106">
        <v>118130</v>
      </c>
      <c r="K195" s="222" t="s">
        <v>408</v>
      </c>
      <c r="L195" s="104">
        <v>295000</v>
      </c>
      <c r="M195" s="226" t="s">
        <v>409</v>
      </c>
      <c r="N195" s="14"/>
      <c r="O195" s="32" t="s">
        <v>24</v>
      </c>
      <c r="P195" s="101">
        <v>38000</v>
      </c>
      <c r="Q195" s="101">
        <v>9500</v>
      </c>
      <c r="R195" s="222" t="s">
        <v>410</v>
      </c>
      <c r="S195" s="14"/>
      <c r="T195" s="32" t="s">
        <v>24</v>
      </c>
      <c r="U195" s="88"/>
      <c r="V195" s="56"/>
      <c r="W195" s="101">
        <v>28500</v>
      </c>
      <c r="X195" s="222" t="s">
        <v>411</v>
      </c>
      <c r="Y195" s="222" t="s">
        <v>412</v>
      </c>
      <c r="Z195" s="14"/>
    </row>
    <row r="196" spans="1:26" ht="80.5" customHeight="1">
      <c r="A196" s="229"/>
      <c r="B196" s="229"/>
      <c r="C196" s="231"/>
      <c r="D196" s="234"/>
      <c r="E196" s="11"/>
      <c r="F196" s="32" t="s">
        <v>29</v>
      </c>
      <c r="G196" s="34">
        <v>5.7217694130241608</v>
      </c>
      <c r="H196" s="34">
        <v>0.63321546617070812</v>
      </c>
      <c r="I196" s="240"/>
      <c r="J196" s="34">
        <v>5.0885539468534526</v>
      </c>
      <c r="K196" s="223"/>
      <c r="L196" s="34">
        <v>12.707385205466592</v>
      </c>
      <c r="M196" s="227"/>
      <c r="N196" s="11"/>
      <c r="O196" s="32" t="s">
        <v>29</v>
      </c>
      <c r="P196" s="146">
        <v>1.6368835179923067</v>
      </c>
      <c r="Q196" s="146">
        <v>0.40922087949807667</v>
      </c>
      <c r="R196" s="223"/>
      <c r="S196" s="11"/>
      <c r="T196" s="32" t="s">
        <v>29</v>
      </c>
      <c r="U196" s="34"/>
      <c r="V196" s="39"/>
      <c r="W196" s="146">
        <v>1.22766263849423</v>
      </c>
      <c r="X196" s="223"/>
      <c r="Y196" s="223"/>
    </row>
    <row r="197" spans="1:26" ht="89.5" customHeight="1">
      <c r="A197" s="229"/>
      <c r="B197" s="229"/>
      <c r="C197" s="232"/>
      <c r="D197" s="235"/>
      <c r="E197" s="8"/>
      <c r="F197" s="43" t="s">
        <v>30</v>
      </c>
      <c r="G197" s="44">
        <v>1.6788172566898991</v>
      </c>
      <c r="H197" s="44">
        <v>0.18579096343703619</v>
      </c>
      <c r="I197" s="241"/>
      <c r="J197" s="44">
        <v>1.4930262932528628</v>
      </c>
      <c r="K197" s="224"/>
      <c r="L197" s="44">
        <v>3.7284581097908625</v>
      </c>
      <c r="M197" s="228"/>
      <c r="N197" s="8"/>
      <c r="O197" s="43" t="s">
        <v>30</v>
      </c>
      <c r="P197" s="147">
        <v>0.48027595990526356</v>
      </c>
      <c r="Q197" s="147">
        <v>0.12006898997631589</v>
      </c>
      <c r="R197" s="224"/>
      <c r="S197" s="8"/>
      <c r="T197" s="43" t="s">
        <v>30</v>
      </c>
      <c r="U197" s="44"/>
      <c r="V197" s="49"/>
      <c r="W197" s="147">
        <v>0.36020696992894774</v>
      </c>
      <c r="X197" s="224"/>
      <c r="Y197" s="224"/>
      <c r="Z197" s="4"/>
    </row>
    <row r="198" spans="1:26" ht="58.5" customHeight="1">
      <c r="A198" s="229">
        <v>0</v>
      </c>
      <c r="B198" s="229" t="s">
        <v>351</v>
      </c>
      <c r="C198" s="230" t="s">
        <v>413</v>
      </c>
      <c r="D198" s="233" t="s">
        <v>32</v>
      </c>
      <c r="E198" s="50"/>
      <c r="F198" s="51" t="s">
        <v>24</v>
      </c>
      <c r="G198" s="55">
        <v>7.1</v>
      </c>
      <c r="H198" s="55">
        <v>1</v>
      </c>
      <c r="I198" s="236" t="s">
        <v>414</v>
      </c>
      <c r="J198" s="55">
        <v>6.1</v>
      </c>
      <c r="K198" s="236" t="s">
        <v>415</v>
      </c>
      <c r="L198" s="55"/>
      <c r="M198" s="95"/>
      <c r="N198" s="50"/>
      <c r="O198" s="51" t="s">
        <v>24</v>
      </c>
      <c r="P198" s="148">
        <v>0.9</v>
      </c>
      <c r="Q198" s="148">
        <v>0.9</v>
      </c>
      <c r="R198" s="222" t="s">
        <v>416</v>
      </c>
      <c r="S198" s="50"/>
      <c r="T198" s="51" t="s">
        <v>24</v>
      </c>
      <c r="U198" s="55"/>
      <c r="V198" s="56"/>
      <c r="W198" s="148"/>
      <c r="X198" s="56"/>
      <c r="Y198" s="39"/>
    </row>
    <row r="199" spans="1:26" ht="58.5" customHeight="1">
      <c r="A199" s="229"/>
      <c r="B199" s="229"/>
      <c r="C199" s="231"/>
      <c r="D199" s="234"/>
      <c r="E199" s="11"/>
      <c r="F199" s="32" t="s">
        <v>29</v>
      </c>
      <c r="G199" s="34">
        <v>0.38731724524554628</v>
      </c>
      <c r="H199" s="34">
        <v>5.4551724682471305E-2</v>
      </c>
      <c r="I199" s="237"/>
      <c r="J199" s="34">
        <v>0.33276552056307496</v>
      </c>
      <c r="K199" s="237"/>
      <c r="L199" s="34"/>
      <c r="M199" s="110"/>
      <c r="N199" s="11"/>
      <c r="O199" s="32" t="s">
        <v>29</v>
      </c>
      <c r="P199" s="146">
        <v>4.9096552214224175E-2</v>
      </c>
      <c r="Q199" s="34">
        <v>4.9096552214224175E-2</v>
      </c>
      <c r="R199" s="223"/>
      <c r="S199" s="11"/>
      <c r="T199" s="32" t="s">
        <v>29</v>
      </c>
      <c r="U199" s="34"/>
      <c r="V199" s="39"/>
      <c r="W199" s="146"/>
      <c r="X199" s="39"/>
      <c r="Y199" s="39"/>
    </row>
    <row r="200" spans="1:26" ht="182.25" customHeight="1">
      <c r="A200" s="229"/>
      <c r="B200" s="229"/>
      <c r="C200" s="232"/>
      <c r="D200" s="235"/>
      <c r="E200" s="8"/>
      <c r="F200" s="43" t="s">
        <v>30</v>
      </c>
      <c r="G200" s="44">
        <v>2.0903179195391677</v>
      </c>
      <c r="H200" s="44">
        <v>0.29441097458298138</v>
      </c>
      <c r="I200" s="238"/>
      <c r="J200" s="44">
        <v>1.7959069449561862</v>
      </c>
      <c r="K200" s="238"/>
      <c r="L200" s="44"/>
      <c r="M200" s="149"/>
      <c r="N200" s="8"/>
      <c r="O200" s="43" t="s">
        <v>30</v>
      </c>
      <c r="P200" s="147">
        <v>0.26496987712468323</v>
      </c>
      <c r="Q200" s="44">
        <v>0.26496987712468323</v>
      </c>
      <c r="R200" s="224"/>
      <c r="S200" s="8"/>
      <c r="T200" s="43" t="s">
        <v>30</v>
      </c>
      <c r="U200" s="44"/>
      <c r="V200" s="49"/>
      <c r="W200" s="147"/>
      <c r="X200" s="49"/>
      <c r="Y200" s="39"/>
    </row>
    <row r="201" spans="1:26" ht="15" customHeight="1">
      <c r="C201" s="11" t="s">
        <v>417</v>
      </c>
    </row>
    <row r="202" spans="1:26" ht="42" customHeight="1">
      <c r="C202" s="225" t="s">
        <v>418</v>
      </c>
      <c r="D202" s="225"/>
      <c r="E202" s="225"/>
      <c r="F202" s="225"/>
      <c r="G202" s="225"/>
      <c r="H202" s="225"/>
      <c r="I202" s="225"/>
      <c r="J202" s="225"/>
      <c r="K202" s="225"/>
      <c r="L202" s="225"/>
      <c r="M202" s="225"/>
      <c r="N202" s="225"/>
      <c r="O202" s="225"/>
      <c r="P202" s="225"/>
      <c r="Q202" s="225"/>
      <c r="R202" s="225"/>
      <c r="S202" s="225"/>
      <c r="T202" s="225"/>
      <c r="U202" s="225"/>
      <c r="V202" s="225"/>
      <c r="W202" s="225"/>
      <c r="X202" s="225"/>
    </row>
    <row r="203" spans="1:26">
      <c r="C203" s="11" t="s">
        <v>419</v>
      </c>
    </row>
    <row r="204" spans="1:26" ht="15.65" customHeight="1">
      <c r="C204" s="11" t="s">
        <v>420</v>
      </c>
    </row>
    <row r="205" spans="1:26" ht="15.75" customHeight="1">
      <c r="C205" s="11" t="s">
        <v>528</v>
      </c>
    </row>
  </sheetData>
  <autoFilter ref="A5:F203" xr:uid="{70D8D969-D19A-4A37-9D57-5E4D8D57F6B2}"/>
  <mergeCells count="590">
    <mergeCell ref="C3:X3"/>
    <mergeCell ref="H4:M4"/>
    <mergeCell ref="Q4:R4"/>
    <mergeCell ref="T4:X4"/>
    <mergeCell ref="A6:A8"/>
    <mergeCell ref="B6:B8"/>
    <mergeCell ref="C6:C8"/>
    <mergeCell ref="D6:D8"/>
    <mergeCell ref="I6:I8"/>
    <mergeCell ref="K6:K8"/>
    <mergeCell ref="M6:M8"/>
    <mergeCell ref="R6:R8"/>
    <mergeCell ref="V6:V8"/>
    <mergeCell ref="Y12:Y14"/>
    <mergeCell ref="Y6:Y8"/>
    <mergeCell ref="A9:A11"/>
    <mergeCell ref="B9:B11"/>
    <mergeCell ref="C9:C11"/>
    <mergeCell ref="D9:D11"/>
    <mergeCell ref="I9:I11"/>
    <mergeCell ref="K9:K11"/>
    <mergeCell ref="M9:M11"/>
    <mergeCell ref="R9:R11"/>
    <mergeCell ref="V9:V11"/>
    <mergeCell ref="R15:R17"/>
    <mergeCell ref="V15:V17"/>
    <mergeCell ref="A12:A14"/>
    <mergeCell ref="B12:B14"/>
    <mergeCell ref="C12:C14"/>
    <mergeCell ref="D12:D14"/>
    <mergeCell ref="I12:I14"/>
    <mergeCell ref="K12:K14"/>
    <mergeCell ref="R12:R14"/>
    <mergeCell ref="V12:V14"/>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8:R20"/>
    <mergeCell ref="V18:V20"/>
    <mergeCell ref="Y18:Y20"/>
    <mergeCell ref="A21:A23"/>
    <mergeCell ref="B21:B23"/>
    <mergeCell ref="C21:C23"/>
    <mergeCell ref="D21:D23"/>
    <mergeCell ref="I21:I23"/>
    <mergeCell ref="K21:K23"/>
    <mergeCell ref="A18:A20"/>
    <mergeCell ref="B18:B20"/>
    <mergeCell ref="C18:C20"/>
    <mergeCell ref="D18:D20"/>
    <mergeCell ref="I18:I20"/>
    <mergeCell ref="K18:K20"/>
    <mergeCell ref="M18:M20"/>
    <mergeCell ref="R24:R26"/>
    <mergeCell ref="V24:V26"/>
    <mergeCell ref="X24:X26"/>
    <mergeCell ref="Y24:Y26"/>
    <mergeCell ref="M21:M23"/>
    <mergeCell ref="R21:R23"/>
    <mergeCell ref="V21:V23"/>
    <mergeCell ref="X21:X23"/>
    <mergeCell ref="Y21:Y23"/>
    <mergeCell ref="M27:M29"/>
    <mergeCell ref="R27:R29"/>
    <mergeCell ref="V27:V29"/>
    <mergeCell ref="X27:X29"/>
    <mergeCell ref="Y27:Y29"/>
    <mergeCell ref="A27:A29"/>
    <mergeCell ref="B27:B29"/>
    <mergeCell ref="C27:C29"/>
    <mergeCell ref="D27:D29"/>
    <mergeCell ref="I27:I29"/>
    <mergeCell ref="K27:K29"/>
    <mergeCell ref="A33:A35"/>
    <mergeCell ref="B33:B35"/>
    <mergeCell ref="C33:C35"/>
    <mergeCell ref="D33:D35"/>
    <mergeCell ref="I33:I35"/>
    <mergeCell ref="A30:A32"/>
    <mergeCell ref="B30:B32"/>
    <mergeCell ref="C30:C32"/>
    <mergeCell ref="D30:D32"/>
    <mergeCell ref="I30:I32"/>
    <mergeCell ref="K33:K35"/>
    <mergeCell ref="M33:M35"/>
    <mergeCell ref="R33:R35"/>
    <mergeCell ref="V33:V35"/>
    <mergeCell ref="X33:X35"/>
    <mergeCell ref="Y33:Y35"/>
    <mergeCell ref="M30:M32"/>
    <mergeCell ref="R30:R32"/>
    <mergeCell ref="V30:V32"/>
    <mergeCell ref="X30:X32"/>
    <mergeCell ref="K30:K32"/>
    <mergeCell ref="Y36:Y38"/>
    <mergeCell ref="A39:A41"/>
    <mergeCell ref="B39:B41"/>
    <mergeCell ref="C39:C41"/>
    <mergeCell ref="D39:D41"/>
    <mergeCell ref="I39:I41"/>
    <mergeCell ref="K39:K41"/>
    <mergeCell ref="M39:M41"/>
    <mergeCell ref="R39:R41"/>
    <mergeCell ref="V39:V41"/>
    <mergeCell ref="A36:A38"/>
    <mergeCell ref="B36:B38"/>
    <mergeCell ref="C36:C38"/>
    <mergeCell ref="D36:D38"/>
    <mergeCell ref="I36:I38"/>
    <mergeCell ref="K36:K38"/>
    <mergeCell ref="M36:M38"/>
    <mergeCell ref="R36:R38"/>
    <mergeCell ref="V36:V38"/>
    <mergeCell ref="X39:X41"/>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X48:X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Y54:Y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A60:A62"/>
    <mergeCell ref="B60:B62"/>
    <mergeCell ref="C60:C62"/>
    <mergeCell ref="D60:D62"/>
    <mergeCell ref="I60:I62"/>
    <mergeCell ref="K60:K62"/>
    <mergeCell ref="M60:M62"/>
    <mergeCell ref="R60:R62"/>
    <mergeCell ref="A63:A65"/>
    <mergeCell ref="B63:B65"/>
    <mergeCell ref="C63:C65"/>
    <mergeCell ref="D63:D65"/>
    <mergeCell ref="I63:I65"/>
    <mergeCell ref="K63:K65"/>
    <mergeCell ref="M63:M65"/>
    <mergeCell ref="R63:R65"/>
    <mergeCell ref="V63:V65"/>
    <mergeCell ref="X63:X65"/>
    <mergeCell ref="A66:A68"/>
    <mergeCell ref="B66:B68"/>
    <mergeCell ref="C66:C68"/>
    <mergeCell ref="D66:D68"/>
    <mergeCell ref="I66:I68"/>
    <mergeCell ref="K66:K68"/>
    <mergeCell ref="M66:M68"/>
    <mergeCell ref="R66:R68"/>
    <mergeCell ref="V66:V68"/>
    <mergeCell ref="X66:X68"/>
    <mergeCell ref="A69:A71"/>
    <mergeCell ref="B69:B71"/>
    <mergeCell ref="C69:C71"/>
    <mergeCell ref="D69:D71"/>
    <mergeCell ref="I69:I71"/>
    <mergeCell ref="K69:K71"/>
    <mergeCell ref="M69:M71"/>
    <mergeCell ref="R69:R71"/>
    <mergeCell ref="V69:V71"/>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Y75:Y77"/>
    <mergeCell ref="A78:A80"/>
    <mergeCell ref="B78:B80"/>
    <mergeCell ref="C78:C80"/>
    <mergeCell ref="D78:D80"/>
    <mergeCell ref="I78:I80"/>
    <mergeCell ref="K78:K80"/>
    <mergeCell ref="M78:M80"/>
    <mergeCell ref="R78:R80"/>
    <mergeCell ref="Y81:Y83"/>
    <mergeCell ref="A84:A86"/>
    <mergeCell ref="B84:B86"/>
    <mergeCell ref="C84:C86"/>
    <mergeCell ref="D84:D86"/>
    <mergeCell ref="I84:I86"/>
    <mergeCell ref="K84:K86"/>
    <mergeCell ref="V78:V80"/>
    <mergeCell ref="X78:X80"/>
    <mergeCell ref="Y78:Y79"/>
    <mergeCell ref="A81:A83"/>
    <mergeCell ref="B81:B83"/>
    <mergeCell ref="C81:C83"/>
    <mergeCell ref="D81:D83"/>
    <mergeCell ref="I81:I83"/>
    <mergeCell ref="K81:K83"/>
    <mergeCell ref="M81:M83"/>
    <mergeCell ref="A87:A89"/>
    <mergeCell ref="B87:B89"/>
    <mergeCell ref="C87:C89"/>
    <mergeCell ref="D87:D89"/>
    <mergeCell ref="I87:I89"/>
    <mergeCell ref="K87:K89"/>
    <mergeCell ref="M87:M89"/>
    <mergeCell ref="R81:R83"/>
    <mergeCell ref="V81:V83"/>
    <mergeCell ref="R87:R89"/>
    <mergeCell ref="V87:V89"/>
    <mergeCell ref="Y87:Y89"/>
    <mergeCell ref="C90:C92"/>
    <mergeCell ref="D90:D92"/>
    <mergeCell ref="I90:I92"/>
    <mergeCell ref="K90:K92"/>
    <mergeCell ref="V90:V92"/>
    <mergeCell ref="R84:R86"/>
    <mergeCell ref="V84:V86"/>
    <mergeCell ref="X84:X86"/>
    <mergeCell ref="M93:M95"/>
    <mergeCell ref="R93:R95"/>
    <mergeCell ref="V93:V95"/>
    <mergeCell ref="A96:A98"/>
    <mergeCell ref="B96:B98"/>
    <mergeCell ref="C96:C98"/>
    <mergeCell ref="D96:D98"/>
    <mergeCell ref="I96:I98"/>
    <mergeCell ref="K96:K98"/>
    <mergeCell ref="M96:M98"/>
    <mergeCell ref="A93:A95"/>
    <mergeCell ref="B93:B95"/>
    <mergeCell ref="C93:C95"/>
    <mergeCell ref="D93:D95"/>
    <mergeCell ref="I93:I95"/>
    <mergeCell ref="K93:K95"/>
    <mergeCell ref="R96:R98"/>
    <mergeCell ref="V96:V98"/>
    <mergeCell ref="A99:A101"/>
    <mergeCell ref="B99:B101"/>
    <mergeCell ref="C99:C101"/>
    <mergeCell ref="D99:D101"/>
    <mergeCell ref="I99:I101"/>
    <mergeCell ref="K99:K101"/>
    <mergeCell ref="M99:M101"/>
    <mergeCell ref="R99:R101"/>
    <mergeCell ref="V99:V101"/>
    <mergeCell ref="A102:A104"/>
    <mergeCell ref="B102:B104"/>
    <mergeCell ref="C102:C104"/>
    <mergeCell ref="D102:D104"/>
    <mergeCell ref="I102:I104"/>
    <mergeCell ref="K102:K104"/>
    <mergeCell ref="M102:M104"/>
    <mergeCell ref="V102:V104"/>
    <mergeCell ref="A108:A110"/>
    <mergeCell ref="B108:B110"/>
    <mergeCell ref="C108:C110"/>
    <mergeCell ref="D108:D110"/>
    <mergeCell ref="I108:I110"/>
    <mergeCell ref="A105:A107"/>
    <mergeCell ref="B105:B107"/>
    <mergeCell ref="C105:C107"/>
    <mergeCell ref="D105:D107"/>
    <mergeCell ref="I105:I107"/>
    <mergeCell ref="K108:K110"/>
    <mergeCell ref="M108:M110"/>
    <mergeCell ref="R108:R110"/>
    <mergeCell ref="V108:V110"/>
    <mergeCell ref="X108:X110"/>
    <mergeCell ref="Y108:Y110"/>
    <mergeCell ref="M105:M107"/>
    <mergeCell ref="R105:R107"/>
    <mergeCell ref="V105:V107"/>
    <mergeCell ref="X105:X107"/>
    <mergeCell ref="Y105:Y107"/>
    <mergeCell ref="K105:K107"/>
    <mergeCell ref="A111:A113"/>
    <mergeCell ref="B111:B113"/>
    <mergeCell ref="C111:C113"/>
    <mergeCell ref="D111:D113"/>
    <mergeCell ref="I111:I113"/>
    <mergeCell ref="K111:K113"/>
    <mergeCell ref="M111:M113"/>
    <mergeCell ref="R111:R113"/>
    <mergeCell ref="V111:V113"/>
    <mergeCell ref="R114:R116"/>
    <mergeCell ref="V114:V116"/>
    <mergeCell ref="M123:M125"/>
    <mergeCell ref="R123:R125"/>
    <mergeCell ref="V123:V125"/>
    <mergeCell ref="X114:X116"/>
    <mergeCell ref="A117:A119"/>
    <mergeCell ref="B117:B119"/>
    <mergeCell ref="C117:C119"/>
    <mergeCell ref="D117:D119"/>
    <mergeCell ref="I117:I119"/>
    <mergeCell ref="K117:K119"/>
    <mergeCell ref="A114:A116"/>
    <mergeCell ref="B114:B116"/>
    <mergeCell ref="C114:C116"/>
    <mergeCell ref="D114:D116"/>
    <mergeCell ref="I114:I116"/>
    <mergeCell ref="K114:K116"/>
    <mergeCell ref="M117:M119"/>
    <mergeCell ref="R117:R119"/>
    <mergeCell ref="V117:V119"/>
    <mergeCell ref="X123:X125"/>
    <mergeCell ref="B132:B134"/>
    <mergeCell ref="C132:C134"/>
    <mergeCell ref="C120:C122"/>
    <mergeCell ref="D120:D122"/>
    <mergeCell ref="I120:I122"/>
    <mergeCell ref="K120:K122"/>
    <mergeCell ref="M120:M122"/>
    <mergeCell ref="M114:M116"/>
    <mergeCell ref="A126:A128"/>
    <mergeCell ref="B126:B128"/>
    <mergeCell ref="C126:C128"/>
    <mergeCell ref="D126:D128"/>
    <mergeCell ref="I126:I128"/>
    <mergeCell ref="K126:K128"/>
    <mergeCell ref="A123:A125"/>
    <mergeCell ref="B123:B125"/>
    <mergeCell ref="C123:C125"/>
    <mergeCell ref="D123:D125"/>
    <mergeCell ref="I123:I125"/>
    <mergeCell ref="K123:K125"/>
    <mergeCell ref="R126:R128"/>
    <mergeCell ref="V126:V128"/>
    <mergeCell ref="X126:X128"/>
    <mergeCell ref="D132:D134"/>
    <mergeCell ref="I132:I134"/>
    <mergeCell ref="K132:K134"/>
    <mergeCell ref="C129:C131"/>
    <mergeCell ref="D129:D131"/>
    <mergeCell ref="I129:I131"/>
    <mergeCell ref="K129:K131"/>
    <mergeCell ref="V135:V137"/>
    <mergeCell ref="X135:X137"/>
    <mergeCell ref="M129:M131"/>
    <mergeCell ref="V129:V131"/>
    <mergeCell ref="M132:M134"/>
    <mergeCell ref="V132:V134"/>
    <mergeCell ref="X132:X134"/>
    <mergeCell ref="A138:A140"/>
    <mergeCell ref="B138:B140"/>
    <mergeCell ref="C138:C140"/>
    <mergeCell ref="D138:D140"/>
    <mergeCell ref="I138:I140"/>
    <mergeCell ref="K138:K140"/>
    <mergeCell ref="R138:R140"/>
    <mergeCell ref="V138:V140"/>
    <mergeCell ref="X138:X140"/>
    <mergeCell ref="A135:A137"/>
    <mergeCell ref="B135:B137"/>
    <mergeCell ref="C135:C137"/>
    <mergeCell ref="D135:D137"/>
    <mergeCell ref="I135:I137"/>
    <mergeCell ref="K135:K137"/>
    <mergeCell ref="M135:M137"/>
    <mergeCell ref="A132:A134"/>
    <mergeCell ref="X141:X143"/>
    <mergeCell ref="A144:A146"/>
    <mergeCell ref="B144:B146"/>
    <mergeCell ref="C144:C146"/>
    <mergeCell ref="D144:D146"/>
    <mergeCell ref="I144:I146"/>
    <mergeCell ref="K144:K146"/>
    <mergeCell ref="M144:M146"/>
    <mergeCell ref="R144:R146"/>
    <mergeCell ref="V144:V146"/>
    <mergeCell ref="A141:A143"/>
    <mergeCell ref="B141:B143"/>
    <mergeCell ref="C141:C143"/>
    <mergeCell ref="D141:D143"/>
    <mergeCell ref="I141:I143"/>
    <mergeCell ref="K141:K143"/>
    <mergeCell ref="M141:M143"/>
    <mergeCell ref="R141:R143"/>
    <mergeCell ref="V141:V143"/>
    <mergeCell ref="X147:X149"/>
    <mergeCell ref="A150:A152"/>
    <mergeCell ref="B150:B152"/>
    <mergeCell ref="C150:C152"/>
    <mergeCell ref="D150:D152"/>
    <mergeCell ref="I150:I152"/>
    <mergeCell ref="K150:K152"/>
    <mergeCell ref="M150:M152"/>
    <mergeCell ref="R150:R152"/>
    <mergeCell ref="V150:V152"/>
    <mergeCell ref="C147:C149"/>
    <mergeCell ref="D147:D149"/>
    <mergeCell ref="I147:I149"/>
    <mergeCell ref="K147:K149"/>
    <mergeCell ref="M147:M149"/>
    <mergeCell ref="V147:V149"/>
    <mergeCell ref="X150:X152"/>
    <mergeCell ref="Y153:Y155"/>
    <mergeCell ref="A156:A158"/>
    <mergeCell ref="B156:B158"/>
    <mergeCell ref="C156:C158"/>
    <mergeCell ref="D156:D158"/>
    <mergeCell ref="I156:I158"/>
    <mergeCell ref="K156:K158"/>
    <mergeCell ref="R156:R158"/>
    <mergeCell ref="V156:V158"/>
    <mergeCell ref="X156:X158"/>
    <mergeCell ref="A153:A155"/>
    <mergeCell ref="B153:B155"/>
    <mergeCell ref="C153:C155"/>
    <mergeCell ref="D153:D155"/>
    <mergeCell ref="I153:I155"/>
    <mergeCell ref="K153:K155"/>
    <mergeCell ref="M153:M155"/>
    <mergeCell ref="R153:R155"/>
    <mergeCell ref="V153:V155"/>
    <mergeCell ref="M168:M170"/>
    <mergeCell ref="R168:R170"/>
    <mergeCell ref="R171:R173"/>
    <mergeCell ref="R159:R161"/>
    <mergeCell ref="C162:C164"/>
    <mergeCell ref="D162:D164"/>
    <mergeCell ref="I162:I164"/>
    <mergeCell ref="K162:K164"/>
    <mergeCell ref="A165:A167"/>
    <mergeCell ref="B165:B167"/>
    <mergeCell ref="C165:C167"/>
    <mergeCell ref="D165:D167"/>
    <mergeCell ref="I165:I167"/>
    <mergeCell ref="A159:A161"/>
    <mergeCell ref="B159:B161"/>
    <mergeCell ref="C159:C161"/>
    <mergeCell ref="D159:D161"/>
    <mergeCell ref="I159:I161"/>
    <mergeCell ref="K159:K161"/>
    <mergeCell ref="K165:K167"/>
    <mergeCell ref="R165:R167"/>
    <mergeCell ref="A171:A173"/>
    <mergeCell ref="B171:B173"/>
    <mergeCell ref="C171:C173"/>
    <mergeCell ref="D171:D173"/>
    <mergeCell ref="I171:I173"/>
    <mergeCell ref="K171:K173"/>
    <mergeCell ref="A168:A170"/>
    <mergeCell ref="B168:B170"/>
    <mergeCell ref="C168:C170"/>
    <mergeCell ref="D168:D170"/>
    <mergeCell ref="I168:I170"/>
    <mergeCell ref="K168:K170"/>
    <mergeCell ref="V174:V176"/>
    <mergeCell ref="X174:X176"/>
    <mergeCell ref="A177:A179"/>
    <mergeCell ref="B177:B179"/>
    <mergeCell ref="C177:C179"/>
    <mergeCell ref="D177:D179"/>
    <mergeCell ref="I177:I179"/>
    <mergeCell ref="K177:K179"/>
    <mergeCell ref="M177:M179"/>
    <mergeCell ref="A174:A176"/>
    <mergeCell ref="B174:B176"/>
    <mergeCell ref="C174:C176"/>
    <mergeCell ref="D174:D176"/>
    <mergeCell ref="I174:I176"/>
    <mergeCell ref="K174:K176"/>
    <mergeCell ref="M174:M176"/>
    <mergeCell ref="R174:R176"/>
    <mergeCell ref="V183:V185"/>
    <mergeCell ref="A186:A188"/>
    <mergeCell ref="B186:B188"/>
    <mergeCell ref="C186:C188"/>
    <mergeCell ref="D186:D188"/>
    <mergeCell ref="I186:I188"/>
    <mergeCell ref="K186:K188"/>
    <mergeCell ref="R180:R182"/>
    <mergeCell ref="A183:A185"/>
    <mergeCell ref="B183:B185"/>
    <mergeCell ref="C183:C185"/>
    <mergeCell ref="D183:D185"/>
    <mergeCell ref="I183:I185"/>
    <mergeCell ref="K183:K185"/>
    <mergeCell ref="R183:R185"/>
    <mergeCell ref="A180:A182"/>
    <mergeCell ref="B180:B182"/>
    <mergeCell ref="C180:C182"/>
    <mergeCell ref="D180:D182"/>
    <mergeCell ref="I180:I182"/>
    <mergeCell ref="K180:K182"/>
    <mergeCell ref="M189:M191"/>
    <mergeCell ref="R189:R191"/>
    <mergeCell ref="V189:V191"/>
    <mergeCell ref="A192:A194"/>
    <mergeCell ref="B192:B194"/>
    <mergeCell ref="C192:C194"/>
    <mergeCell ref="D192:D194"/>
    <mergeCell ref="I192:I194"/>
    <mergeCell ref="K192:K194"/>
    <mergeCell ref="R192:R194"/>
    <mergeCell ref="A189:A191"/>
    <mergeCell ref="B189:B191"/>
    <mergeCell ref="C189:C191"/>
    <mergeCell ref="D189:D191"/>
    <mergeCell ref="I189:I191"/>
    <mergeCell ref="K189:K191"/>
    <mergeCell ref="R198:R200"/>
    <mergeCell ref="C202:X202"/>
    <mergeCell ref="M195:M197"/>
    <mergeCell ref="R195:R197"/>
    <mergeCell ref="X195:X197"/>
    <mergeCell ref="Y195:Y197"/>
    <mergeCell ref="A198:A200"/>
    <mergeCell ref="B198:B200"/>
    <mergeCell ref="C198:C200"/>
    <mergeCell ref="D198:D200"/>
    <mergeCell ref="I198:I200"/>
    <mergeCell ref="K198:K200"/>
    <mergeCell ref="A195:A197"/>
    <mergeCell ref="B195:B197"/>
    <mergeCell ref="C195:C197"/>
    <mergeCell ref="D195:D197"/>
    <mergeCell ref="I195:I197"/>
    <mergeCell ref="K195:K197"/>
  </mergeCells>
  <pageMargins left="0.7" right="0.7" top="0.75" bottom="0.75" header="0.3" footer="0.3"/>
  <pageSetup scale="36" fitToHeight="0" orientation="landscape" r:id="rId1"/>
  <rowBreaks count="18" manualBreakCount="18">
    <brk id="11" min="2" max="23" man="1"/>
    <brk id="23" min="2" max="23" man="1"/>
    <brk id="29" min="2" max="23" man="1"/>
    <brk id="35" min="2" max="23" man="1"/>
    <brk id="41" max="16383" man="1"/>
    <brk id="50" min="2" max="23" man="1"/>
    <brk id="62" max="16383" man="1"/>
    <brk id="71" max="16383" man="1"/>
    <brk id="77" min="2" max="23" man="1"/>
    <brk id="89" min="2" max="23" man="1"/>
    <brk id="101" min="2" max="23" man="1"/>
    <brk id="113" min="2" max="23" man="1"/>
    <brk id="125" min="2" max="23" man="1"/>
    <brk id="140" min="2" max="23" man="1"/>
    <brk id="149" min="2" max="23" man="1"/>
    <brk id="161" min="2" max="23" man="1"/>
    <brk id="176" min="2" max="23" man="1"/>
    <brk id="188" min="2" max="23" man="1"/>
  </rowBreaks>
  <colBreaks count="1" manualBreakCount="1">
    <brk id="25" max="1048575"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59D06-0CF0-402C-BE9C-C0EB4F8E0BCB}">
  <sheetPr>
    <tabColor rgb="FFFF0000"/>
    <pageSetUpPr fitToPage="1"/>
  </sheetPr>
  <dimension ref="A1:AA57"/>
  <sheetViews>
    <sheetView showGridLines="0" tabSelected="1" view="pageBreakPreview" zoomScaleNormal="100" zoomScaleSheetLayoutView="100" workbookViewId="0">
      <pane xSplit="2" ySplit="7" topLeftCell="C8" activePane="bottomRight" state="frozen"/>
      <selection activeCell="I90" sqref="I90:I92"/>
      <selection pane="topRight" activeCell="I90" sqref="I90:I92"/>
      <selection pane="bottomLeft" activeCell="I90" sqref="I90:I92"/>
      <selection pane="bottomRight" activeCell="I8" sqref="I8:K45"/>
    </sheetView>
  </sheetViews>
  <sheetFormatPr baseColWidth="10" defaultColWidth="9.1796875" defaultRowHeight="12.5"/>
  <cols>
    <col min="1" max="1" width="10.26953125" customWidth="1"/>
    <col min="2" max="2" width="26.54296875" style="2" customWidth="1"/>
    <col min="3" max="3" width="8" style="2" customWidth="1"/>
    <col min="4" max="4" width="6.453125" style="2" customWidth="1"/>
    <col min="5" max="5" width="8.26953125" style="2" bestFit="1" customWidth="1"/>
    <col min="6" max="6" width="9.7265625" style="2" customWidth="1"/>
    <col min="7" max="7" width="2.1796875" style="2" customWidth="1"/>
    <col min="8" max="8" width="8.26953125" style="2" customWidth="1"/>
    <col min="9" max="9" width="18.81640625" style="2" customWidth="1"/>
    <col min="10" max="10" width="9.26953125" style="2" customWidth="1"/>
    <col min="11" max="11" width="8.54296875" style="2" bestFit="1" customWidth="1"/>
    <col min="12" max="12" width="2.1796875" style="2" customWidth="1"/>
    <col min="13" max="13" width="1.26953125" style="2" customWidth="1"/>
    <col min="14" max="14" width="6.81640625" style="2" customWidth="1"/>
    <col min="15" max="15" width="5.81640625" style="2" customWidth="1"/>
    <col min="16" max="16" width="7.81640625" style="2" bestFit="1" customWidth="1"/>
    <col min="17" max="17" width="9.81640625" style="2" customWidth="1"/>
    <col min="18" max="18" width="1.81640625" style="2" customWidth="1"/>
    <col min="19" max="19" width="6.7265625" style="2" customWidth="1"/>
    <col min="20" max="20" width="18.81640625" style="2" customWidth="1"/>
    <col min="21" max="21" width="1.54296875" style="2" customWidth="1"/>
    <col min="22" max="22" width="8.81640625" style="2" customWidth="1"/>
    <col min="23" max="23" width="18.7265625" style="2" customWidth="1"/>
    <col min="24" max="24" width="1.54296875" customWidth="1"/>
  </cols>
  <sheetData>
    <row r="1" spans="1:27" ht="15.75" customHeight="1">
      <c r="B1" s="153" t="s">
        <v>421</v>
      </c>
    </row>
    <row r="2" spans="1:27" ht="15.75" customHeight="1">
      <c r="B2" s="154" t="s">
        <v>422</v>
      </c>
    </row>
    <row r="3" spans="1:27" ht="15.75" customHeight="1">
      <c r="B3" s="292" t="s">
        <v>423</v>
      </c>
      <c r="C3" s="293"/>
      <c r="D3" s="293"/>
      <c r="E3" s="293"/>
      <c r="F3" s="293"/>
      <c r="G3" s="293"/>
      <c r="H3" s="293"/>
      <c r="I3" s="293"/>
      <c r="J3" s="293"/>
      <c r="K3" s="293"/>
      <c r="L3" s="155"/>
      <c r="M3" s="292" t="s">
        <v>424</v>
      </c>
      <c r="N3" s="293"/>
      <c r="O3" s="293"/>
      <c r="P3" s="293"/>
      <c r="Q3" s="293"/>
      <c r="R3" s="293"/>
      <c r="S3" s="293"/>
      <c r="T3" s="293"/>
      <c r="U3" s="293"/>
      <c r="V3" s="293"/>
      <c r="W3" s="293"/>
    </row>
    <row r="4" spans="1:27" ht="11.15" customHeight="1">
      <c r="A4" s="156"/>
      <c r="B4" s="157"/>
      <c r="C4" s="291" t="s">
        <v>425</v>
      </c>
      <c r="D4" s="291"/>
      <c r="E4" s="291"/>
      <c r="F4" s="291"/>
      <c r="G4" s="158"/>
      <c r="H4" s="286" t="s">
        <v>426</v>
      </c>
      <c r="I4" s="286"/>
      <c r="J4" s="286"/>
      <c r="K4" s="286"/>
      <c r="L4" s="158"/>
      <c r="M4" s="159"/>
      <c r="N4" s="291" t="s">
        <v>425</v>
      </c>
      <c r="O4" s="291"/>
      <c r="P4" s="291"/>
      <c r="Q4" s="291"/>
      <c r="R4" s="158"/>
      <c r="S4" s="286" t="s">
        <v>426</v>
      </c>
      <c r="T4" s="286"/>
      <c r="U4" s="286"/>
      <c r="V4" s="286"/>
      <c r="W4" s="286"/>
    </row>
    <row r="5" spans="1:27" ht="27" customHeight="1">
      <c r="A5" s="156"/>
      <c r="B5" s="157"/>
      <c r="C5" s="286" t="s">
        <v>427</v>
      </c>
      <c r="D5" s="286"/>
      <c r="E5" s="286"/>
      <c r="F5" s="287" t="s">
        <v>428</v>
      </c>
      <c r="G5" s="158"/>
      <c r="H5" s="160"/>
      <c r="I5" s="289" t="s">
        <v>429</v>
      </c>
      <c r="J5" s="291" t="s">
        <v>430</v>
      </c>
      <c r="K5" s="291"/>
      <c r="L5" s="158"/>
      <c r="M5" s="159"/>
      <c r="N5" s="286" t="s">
        <v>427</v>
      </c>
      <c r="O5" s="286"/>
      <c r="P5" s="286"/>
      <c r="Q5" s="287" t="s">
        <v>428</v>
      </c>
      <c r="R5" s="158"/>
      <c r="S5" s="160"/>
      <c r="T5" s="289" t="s">
        <v>429</v>
      </c>
      <c r="U5" s="160"/>
      <c r="V5" s="291" t="s">
        <v>430</v>
      </c>
      <c r="W5" s="291"/>
    </row>
    <row r="6" spans="1:27" ht="29.5" customHeight="1">
      <c r="A6" s="156"/>
      <c r="B6" s="161"/>
      <c r="C6" s="162" t="s">
        <v>431</v>
      </c>
      <c r="D6" s="163" t="s">
        <v>432</v>
      </c>
      <c r="E6" s="163" t="s">
        <v>433</v>
      </c>
      <c r="F6" s="288"/>
      <c r="G6" s="164"/>
      <c r="H6" s="165" t="s">
        <v>431</v>
      </c>
      <c r="I6" s="290"/>
      <c r="J6" s="166" t="s">
        <v>434</v>
      </c>
      <c r="K6" s="166" t="s">
        <v>435</v>
      </c>
      <c r="L6" s="167"/>
      <c r="M6" s="168"/>
      <c r="N6" s="162" t="s">
        <v>431</v>
      </c>
      <c r="O6" s="163" t="s">
        <v>432</v>
      </c>
      <c r="P6" s="163" t="s">
        <v>433</v>
      </c>
      <c r="Q6" s="288"/>
      <c r="R6" s="164"/>
      <c r="S6" s="165" t="s">
        <v>431</v>
      </c>
      <c r="T6" s="290"/>
      <c r="U6" s="166"/>
      <c r="V6" s="166" t="s">
        <v>434</v>
      </c>
      <c r="W6" s="163" t="s">
        <v>435</v>
      </c>
    </row>
    <row r="7" spans="1:27">
      <c r="A7" s="169"/>
      <c r="B7" s="169" t="s">
        <v>436</v>
      </c>
      <c r="C7" s="170"/>
      <c r="D7" s="170"/>
      <c r="E7" s="170"/>
      <c r="F7" s="170"/>
      <c r="G7" s="170"/>
      <c r="H7" s="170"/>
      <c r="I7" s="170"/>
      <c r="J7" s="170"/>
      <c r="K7" s="170"/>
    </row>
    <row r="8" spans="1:27">
      <c r="A8" s="171"/>
      <c r="B8" s="171" t="s">
        <v>22</v>
      </c>
      <c r="C8" s="172">
        <v>249.72579708899613</v>
      </c>
      <c r="D8" s="173">
        <v>13.808448829914081</v>
      </c>
      <c r="E8" s="173">
        <v>235.91734825908208</v>
      </c>
      <c r="F8" s="173" t="s">
        <v>456</v>
      </c>
      <c r="G8" s="173"/>
      <c r="H8" s="174">
        <v>24.164785452349641</v>
      </c>
      <c r="I8" s="173">
        <v>10.356336622435562</v>
      </c>
      <c r="J8" s="173">
        <v>13.808448829914079</v>
      </c>
      <c r="K8" s="173" t="s">
        <v>456</v>
      </c>
      <c r="L8"/>
      <c r="M8"/>
      <c r="N8" s="175">
        <v>18.373752710725405</v>
      </c>
      <c r="O8" s="176">
        <v>1.0159664202778771</v>
      </c>
      <c r="P8" s="176">
        <v>17.357786290447528</v>
      </c>
      <c r="Q8" s="176" t="s">
        <v>456</v>
      </c>
      <c r="R8" s="177"/>
      <c r="S8" s="175">
        <v>1.7779412354862849</v>
      </c>
      <c r="T8" s="176">
        <v>0.76197481520840771</v>
      </c>
      <c r="U8" s="178"/>
      <c r="V8" s="176">
        <v>1.0159664202778771</v>
      </c>
      <c r="W8" s="176" t="s">
        <v>456</v>
      </c>
      <c r="Y8" s="219"/>
      <c r="Z8" s="219"/>
      <c r="AA8" s="219"/>
    </row>
    <row r="9" spans="1:27">
      <c r="A9" s="171"/>
      <c r="B9" s="171" t="s">
        <v>31</v>
      </c>
      <c r="C9" s="172">
        <v>261.11866848038159</v>
      </c>
      <c r="D9" s="173">
        <v>44.961324127261591</v>
      </c>
      <c r="E9" s="173">
        <v>216.15734435311998</v>
      </c>
      <c r="F9" s="173">
        <v>63.452880318904832</v>
      </c>
      <c r="G9" s="173"/>
      <c r="H9" s="174">
        <v>64.944134850488979</v>
      </c>
      <c r="I9" s="173">
        <v>3.8772617821187447</v>
      </c>
      <c r="J9" s="173">
        <v>61.066873068370228</v>
      </c>
      <c r="K9" s="173" t="s">
        <v>456</v>
      </c>
      <c r="L9"/>
      <c r="M9"/>
      <c r="N9" s="175">
        <v>15.882770459498252</v>
      </c>
      <c r="O9" s="176">
        <v>2.7348117039056099</v>
      </c>
      <c r="P9" s="176">
        <v>13.147958755592642</v>
      </c>
      <c r="Q9" s="176">
        <v>3.8595767164571715</v>
      </c>
      <c r="R9" s="177"/>
      <c r="S9" s="175">
        <v>3.9502835723081042</v>
      </c>
      <c r="T9" s="176">
        <v>0.23583782521242411</v>
      </c>
      <c r="U9" s="178"/>
      <c r="V9" s="176">
        <v>3.71444574709568</v>
      </c>
      <c r="W9" s="176" t="s">
        <v>456</v>
      </c>
      <c r="Y9" s="219"/>
      <c r="Z9" s="219"/>
      <c r="AA9" s="219"/>
    </row>
    <row r="10" spans="1:27">
      <c r="A10" s="171"/>
      <c r="B10" s="171" t="s">
        <v>45</v>
      </c>
      <c r="C10" s="172">
        <v>251.88090635951886</v>
      </c>
      <c r="D10" s="173">
        <v>35.722122197793112</v>
      </c>
      <c r="E10" s="173">
        <v>216.15878416172575</v>
      </c>
      <c r="F10" s="173">
        <v>79.319089225131677</v>
      </c>
      <c r="G10" s="173"/>
      <c r="H10" s="174">
        <v>399.79103533185071</v>
      </c>
      <c r="I10" s="173">
        <v>18.032253377799719</v>
      </c>
      <c r="J10" s="173">
        <v>381.75878195405102</v>
      </c>
      <c r="K10" s="173" t="s">
        <v>456</v>
      </c>
      <c r="L10"/>
      <c r="M10"/>
      <c r="N10" s="175">
        <v>9.583735007772944</v>
      </c>
      <c r="O10" s="176">
        <v>1.3591794551123386</v>
      </c>
      <c r="P10" s="176">
        <v>8.224555552660604</v>
      </c>
      <c r="Q10" s="176">
        <v>3.017986330041774</v>
      </c>
      <c r="R10" s="177"/>
      <c r="S10" s="175">
        <v>15.211519588685375</v>
      </c>
      <c r="T10" s="176">
        <v>0.68610336711741049</v>
      </c>
      <c r="U10" s="178"/>
      <c r="V10" s="176">
        <v>14.525416221567964</v>
      </c>
      <c r="W10" s="176" t="s">
        <v>456</v>
      </c>
      <c r="Y10" s="219"/>
      <c r="Z10" s="219"/>
      <c r="AA10" s="219"/>
    </row>
    <row r="11" spans="1:27">
      <c r="A11" s="171"/>
      <c r="B11" s="171" t="s">
        <v>52</v>
      </c>
      <c r="C11" s="172">
        <v>519.28324600625774</v>
      </c>
      <c r="D11" s="173">
        <v>69.618193420619164</v>
      </c>
      <c r="E11" s="173">
        <v>449.66505258563853</v>
      </c>
      <c r="F11" s="173" t="s">
        <v>456</v>
      </c>
      <c r="G11" s="173"/>
      <c r="H11" s="174">
        <v>1057.9682836215404</v>
      </c>
      <c r="I11" s="173">
        <v>114.12818593544125</v>
      </c>
      <c r="J11" s="173">
        <v>943.84009768609917</v>
      </c>
      <c r="K11" s="173" t="s">
        <v>456</v>
      </c>
      <c r="L11"/>
      <c r="M11"/>
      <c r="N11" s="175">
        <v>13.638352846668944</v>
      </c>
      <c r="O11" s="176">
        <v>1.828438513509463</v>
      </c>
      <c r="P11" s="176">
        <v>11.809914333159483</v>
      </c>
      <c r="Q11" s="176" t="s">
        <v>456</v>
      </c>
      <c r="R11" s="177"/>
      <c r="S11" s="175">
        <v>27.786270524971673</v>
      </c>
      <c r="T11" s="176">
        <v>2.9974401860810866</v>
      </c>
      <c r="U11" s="178"/>
      <c r="V11" s="176">
        <v>24.788830338890588</v>
      </c>
      <c r="W11" s="176" t="s">
        <v>456</v>
      </c>
      <c r="Y11" s="219"/>
      <c r="Z11" s="219"/>
      <c r="AA11" s="219"/>
    </row>
    <row r="12" spans="1:27">
      <c r="A12" s="171"/>
      <c r="B12" s="171" t="s">
        <v>59</v>
      </c>
      <c r="C12" s="172">
        <v>205.43073468379424</v>
      </c>
      <c r="D12" s="173">
        <v>22.825637187088251</v>
      </c>
      <c r="E12" s="173">
        <v>182.60509749670601</v>
      </c>
      <c r="F12" s="173">
        <v>7.9889730154808873</v>
      </c>
      <c r="G12" s="173"/>
      <c r="H12" s="174">
        <v>664.51136260910664</v>
      </c>
      <c r="I12" s="173">
        <v>3.7091660429018405</v>
      </c>
      <c r="J12" s="173">
        <v>660.80219656620488</v>
      </c>
      <c r="K12" s="173" t="s">
        <v>456</v>
      </c>
      <c r="L12"/>
      <c r="M12"/>
      <c r="N12" s="175">
        <v>10.898555638640223</v>
      </c>
      <c r="O12" s="176">
        <v>1.2109506265155805</v>
      </c>
      <c r="P12" s="176">
        <v>9.687605012124644</v>
      </c>
      <c r="Q12" s="176">
        <v>0.42383271928045313</v>
      </c>
      <c r="R12" s="177"/>
      <c r="S12" s="175">
        <v>35.253800114434839</v>
      </c>
      <c r="T12" s="176">
        <v>0.19677947680878183</v>
      </c>
      <c r="U12" s="178"/>
      <c r="V12" s="176">
        <v>35.057020637626053</v>
      </c>
      <c r="W12" s="176" t="s">
        <v>456</v>
      </c>
      <c r="Y12" s="219"/>
      <c r="Z12" s="219"/>
      <c r="AA12" s="219"/>
    </row>
    <row r="13" spans="1:27">
      <c r="A13" s="171"/>
      <c r="B13" s="171" t="s">
        <v>66</v>
      </c>
      <c r="C13" s="172">
        <v>830.72205126485812</v>
      </c>
      <c r="D13" s="173">
        <v>94.591800651353637</v>
      </c>
      <c r="E13" s="173">
        <v>736.13025061350459</v>
      </c>
      <c r="F13" s="173">
        <v>27.16002196920055</v>
      </c>
      <c r="G13" s="173"/>
      <c r="H13" s="174">
        <v>1429.1790870689667</v>
      </c>
      <c r="I13" s="173" t="s">
        <v>456</v>
      </c>
      <c r="J13" s="173">
        <v>147.0387396263616</v>
      </c>
      <c r="K13" s="173">
        <v>1282.1403474426052</v>
      </c>
      <c r="L13"/>
      <c r="M13"/>
      <c r="N13" s="175">
        <v>16.46834716835404</v>
      </c>
      <c r="O13" s="176">
        <v>1.875200748594992</v>
      </c>
      <c r="P13" s="176">
        <v>14.593146419759046</v>
      </c>
      <c r="Q13" s="176">
        <v>0.5384239773193541</v>
      </c>
      <c r="R13" s="177"/>
      <c r="S13" s="175">
        <v>28.332241013425325</v>
      </c>
      <c r="T13" s="176" t="s">
        <v>456</v>
      </c>
      <c r="U13" s="178"/>
      <c r="V13" s="176">
        <v>2.91491601514271</v>
      </c>
      <c r="W13" s="176">
        <v>25.417324998282613</v>
      </c>
      <c r="Y13" s="219"/>
      <c r="Z13" s="219"/>
      <c r="AA13" s="219"/>
    </row>
    <row r="14" spans="1:27">
      <c r="A14" s="171"/>
      <c r="B14" s="171" t="s">
        <v>73</v>
      </c>
      <c r="C14" s="172">
        <v>73.474251908227828</v>
      </c>
      <c r="D14" s="173">
        <v>8.4745388590804875</v>
      </c>
      <c r="E14" s="173">
        <v>64.999713049147346</v>
      </c>
      <c r="F14" s="173">
        <v>39.576096471905878</v>
      </c>
      <c r="G14" s="173"/>
      <c r="H14" s="174">
        <v>166.01621624938676</v>
      </c>
      <c r="I14" s="173" t="s">
        <v>456</v>
      </c>
      <c r="J14" s="173">
        <v>60.08448051088066</v>
      </c>
      <c r="K14" s="173">
        <v>105.93173573850609</v>
      </c>
      <c r="L14"/>
      <c r="M14"/>
      <c r="N14" s="175">
        <v>4.4849024836324336</v>
      </c>
      <c r="O14" s="176">
        <v>0.51728979049970403</v>
      </c>
      <c r="P14" s="176">
        <v>3.9676126931327298</v>
      </c>
      <c r="Q14" s="176">
        <v>2.4157433216336175</v>
      </c>
      <c r="R14" s="177"/>
      <c r="S14" s="175">
        <v>10.133706995889202</v>
      </c>
      <c r="T14" s="176" t="s">
        <v>456</v>
      </c>
      <c r="U14" s="178"/>
      <c r="V14" s="176">
        <v>3.6675846146429012</v>
      </c>
      <c r="W14" s="176">
        <v>6.4661223812463007</v>
      </c>
      <c r="Y14" s="219"/>
      <c r="Z14" s="219"/>
      <c r="AA14" s="219"/>
    </row>
    <row r="15" spans="1:27">
      <c r="A15" s="171"/>
      <c r="B15" s="171" t="s">
        <v>80</v>
      </c>
      <c r="C15" s="172">
        <v>97.020370863718597</v>
      </c>
      <c r="D15" s="173">
        <v>16.092074216897217</v>
      </c>
      <c r="E15" s="173">
        <v>80.928296646821394</v>
      </c>
      <c r="F15" s="173">
        <v>5.1357683670948562E-2</v>
      </c>
      <c r="G15" s="173"/>
      <c r="H15" s="174">
        <v>184.01914572044612</v>
      </c>
      <c r="I15" s="173">
        <v>0.72927910812746966</v>
      </c>
      <c r="J15" s="173">
        <v>171.87704801877453</v>
      </c>
      <c r="K15" s="173">
        <v>11.412818593544126</v>
      </c>
      <c r="L15"/>
      <c r="M15"/>
      <c r="N15" s="175">
        <v>7.5786887379669032</v>
      </c>
      <c r="O15" s="176">
        <v>1.2570228350233306</v>
      </c>
      <c r="P15" s="176">
        <v>6.3216659029435727</v>
      </c>
      <c r="Q15" s="176">
        <v>4.0117750053936087E-3</v>
      </c>
      <c r="R15" s="177"/>
      <c r="S15" s="175">
        <v>14.374546446547997</v>
      </c>
      <c r="T15" s="176">
        <v>5.6967205076589235E-2</v>
      </c>
      <c r="U15" s="178"/>
      <c r="V15" s="176">
        <v>13.426073684717274</v>
      </c>
      <c r="W15" s="176">
        <v>0.89150555675413523</v>
      </c>
      <c r="Y15" s="219"/>
      <c r="Z15" s="219"/>
      <c r="AA15" s="219"/>
    </row>
    <row r="16" spans="1:27">
      <c r="A16" s="171"/>
      <c r="B16" s="171" t="s">
        <v>87</v>
      </c>
      <c r="C16" s="172">
        <v>440.0580179680901</v>
      </c>
      <c r="D16" s="173">
        <v>203.99190920386684</v>
      </c>
      <c r="E16" s="173">
        <v>236.06610876422326</v>
      </c>
      <c r="F16" s="173">
        <v>14.112647806556826</v>
      </c>
      <c r="G16" s="173"/>
      <c r="H16" s="174">
        <v>452.88769779223264</v>
      </c>
      <c r="I16" s="173">
        <v>1.2829679824142568</v>
      </c>
      <c r="J16" s="173">
        <v>451.60472980981842</v>
      </c>
      <c r="K16" s="173" t="s">
        <v>456</v>
      </c>
      <c r="L16"/>
      <c r="M16"/>
      <c r="N16" s="175">
        <v>16.24023041241189</v>
      </c>
      <c r="O16" s="176">
        <v>7.5282700745582813</v>
      </c>
      <c r="P16" s="176">
        <v>8.7119603378536077</v>
      </c>
      <c r="Q16" s="176">
        <v>0.52082371584994402</v>
      </c>
      <c r="R16" s="177"/>
      <c r="S16" s="175">
        <v>16.713706517730021</v>
      </c>
      <c r="T16" s="176">
        <v>4.7347610531813092E-2</v>
      </c>
      <c r="U16" s="178"/>
      <c r="V16" s="176">
        <v>16.666358907198209</v>
      </c>
      <c r="W16" s="176" t="s">
        <v>456</v>
      </c>
      <c r="Y16" s="219"/>
      <c r="Z16" s="219"/>
      <c r="AA16" s="219"/>
    </row>
    <row r="17" spans="1:27">
      <c r="A17" s="171"/>
      <c r="B17" s="171" t="s">
        <v>94</v>
      </c>
      <c r="C17" s="172">
        <v>5328.3</v>
      </c>
      <c r="D17" s="173">
        <v>687.3</v>
      </c>
      <c r="E17" s="173">
        <v>4641</v>
      </c>
      <c r="F17" s="173">
        <v>17.98</v>
      </c>
      <c r="G17" s="173"/>
      <c r="H17" s="174">
        <v>510</v>
      </c>
      <c r="I17" s="173">
        <v>56</v>
      </c>
      <c r="J17" s="173">
        <v>454</v>
      </c>
      <c r="K17" s="173" t="s">
        <v>456</v>
      </c>
      <c r="L17"/>
      <c r="M17"/>
      <c r="N17" s="175">
        <v>25.449751749930151</v>
      </c>
      <c r="O17" s="176">
        <v>3.2827758154996882</v>
      </c>
      <c r="P17" s="176">
        <v>22.166975934430457</v>
      </c>
      <c r="Q17" s="176">
        <v>8.587852344345176E-2</v>
      </c>
      <c r="R17" s="177"/>
      <c r="S17" s="175">
        <v>2.4359314213659848</v>
      </c>
      <c r="T17" s="176">
        <v>0.26747482273822576</v>
      </c>
      <c r="U17" s="178"/>
      <c r="V17" s="176">
        <v>2.1684565986277589</v>
      </c>
      <c r="W17" s="176" t="s">
        <v>456</v>
      </c>
      <c r="Y17" s="219"/>
      <c r="Z17" s="219"/>
      <c r="AA17" s="219"/>
    </row>
    <row r="18" spans="1:27">
      <c r="A18" s="171"/>
      <c r="B18" s="171" t="s">
        <v>138</v>
      </c>
      <c r="C18" s="172">
        <v>7.0279601888550927</v>
      </c>
      <c r="D18" s="173">
        <v>4.8032151754294405</v>
      </c>
      <c r="E18" s="173">
        <v>2.2247450134256517</v>
      </c>
      <c r="F18" s="173">
        <v>4.2819360091037648</v>
      </c>
      <c r="G18" s="173"/>
      <c r="H18" s="174">
        <v>12.859770862123591</v>
      </c>
      <c r="I18" s="173">
        <v>0.89362142798687272</v>
      </c>
      <c r="J18" s="173">
        <v>0.17686257428906854</v>
      </c>
      <c r="K18" s="173">
        <v>11.78928685984765</v>
      </c>
      <c r="L18"/>
      <c r="M18"/>
      <c r="N18" s="175">
        <v>0.65442396745349374</v>
      </c>
      <c r="O18" s="176">
        <v>0.44726194331920904</v>
      </c>
      <c r="P18" s="176">
        <v>0.20716202413428478</v>
      </c>
      <c r="Q18" s="176">
        <v>0.39872188745510878</v>
      </c>
      <c r="R18" s="177"/>
      <c r="S18" s="175">
        <v>1.1974658424331148</v>
      </c>
      <c r="T18" s="176">
        <v>8.3211524338457493E-2</v>
      </c>
      <c r="U18" s="178"/>
      <c r="V18" s="176">
        <v>1.6468947525319709E-2</v>
      </c>
      <c r="W18" s="176">
        <v>1.0977853705693377</v>
      </c>
      <c r="Y18" s="219"/>
      <c r="Z18" s="219"/>
      <c r="AA18" s="219"/>
    </row>
    <row r="19" spans="1:27">
      <c r="A19" s="171"/>
      <c r="B19" s="171" t="s">
        <v>165</v>
      </c>
      <c r="C19" s="172">
        <v>19</v>
      </c>
      <c r="D19" s="173">
        <v>3</v>
      </c>
      <c r="E19" s="173">
        <v>17</v>
      </c>
      <c r="F19" s="173">
        <v>10</v>
      </c>
      <c r="G19" s="173"/>
      <c r="H19" s="174">
        <v>68</v>
      </c>
      <c r="I19" s="173">
        <v>3</v>
      </c>
      <c r="J19" s="173">
        <v>46</v>
      </c>
      <c r="K19" s="173">
        <v>19</v>
      </c>
      <c r="L19"/>
      <c r="M19"/>
      <c r="N19" s="175">
        <v>2.7</v>
      </c>
      <c r="O19" s="176">
        <v>0.4</v>
      </c>
      <c r="P19" s="176">
        <v>2.2999999999999998</v>
      </c>
      <c r="Q19" s="176">
        <v>1.4</v>
      </c>
      <c r="R19" s="177"/>
      <c r="S19" s="175">
        <v>9.5</v>
      </c>
      <c r="T19" s="176">
        <v>0.4</v>
      </c>
      <c r="U19" s="178"/>
      <c r="V19" s="176">
        <v>6.4</v>
      </c>
      <c r="W19" s="176">
        <v>2.7</v>
      </c>
      <c r="Y19" s="219"/>
      <c r="Z19" s="219"/>
      <c r="AA19" s="219"/>
    </row>
    <row r="20" spans="1:27">
      <c r="A20" s="179"/>
      <c r="B20" s="179" t="s">
        <v>437</v>
      </c>
      <c r="C20" s="180">
        <v>50.216401811594153</v>
      </c>
      <c r="D20" s="176">
        <v>2.8532046483860314</v>
      </c>
      <c r="E20" s="176">
        <v>47.36319716320812</v>
      </c>
      <c r="F20" s="176" t="s">
        <v>456</v>
      </c>
      <c r="G20" s="177"/>
      <c r="H20" s="175">
        <v>10.271536734189713</v>
      </c>
      <c r="I20" s="176" t="s">
        <v>456</v>
      </c>
      <c r="J20" s="176">
        <v>10.271536734189713</v>
      </c>
      <c r="K20" s="176" t="s">
        <v>456</v>
      </c>
      <c r="L20"/>
      <c r="M20"/>
      <c r="N20" s="175">
        <v>11.661894124843759</v>
      </c>
      <c r="O20" s="176">
        <v>0.66260762072975898</v>
      </c>
      <c r="P20" s="176">
        <v>10.999286504113998</v>
      </c>
      <c r="Q20" s="176" t="s">
        <v>456</v>
      </c>
      <c r="R20" s="177"/>
      <c r="S20" s="175">
        <v>2.3853874346271322</v>
      </c>
      <c r="T20" s="176" t="s">
        <v>456</v>
      </c>
      <c r="U20" s="178"/>
      <c r="V20" s="176">
        <v>2.3853874346271322</v>
      </c>
      <c r="W20" s="176" t="s">
        <v>456</v>
      </c>
      <c r="Y20" s="219"/>
      <c r="Z20" s="219"/>
      <c r="AA20" s="219"/>
    </row>
    <row r="21" spans="1:27">
      <c r="A21" s="171"/>
      <c r="B21" s="171" t="s">
        <v>170</v>
      </c>
      <c r="C21" s="180">
        <v>42.341556982048708</v>
      </c>
      <c r="D21" s="176">
        <v>10.499793106060594</v>
      </c>
      <c r="E21" s="176">
        <v>31.841763875988111</v>
      </c>
      <c r="F21" s="176">
        <v>15.064920543478244</v>
      </c>
      <c r="G21" s="177"/>
      <c r="H21" s="175">
        <v>61.172707661396508</v>
      </c>
      <c r="I21" s="176">
        <v>1.8260509749670601</v>
      </c>
      <c r="J21" s="176">
        <v>59.346656686429448</v>
      </c>
      <c r="K21" s="176" t="s">
        <v>456</v>
      </c>
      <c r="L21"/>
      <c r="M21"/>
      <c r="N21" s="175">
        <v>8.2229368961627038</v>
      </c>
      <c r="O21" s="176">
        <v>2.0463953413365181</v>
      </c>
      <c r="P21" s="176">
        <v>6.2059163068792254</v>
      </c>
      <c r="Q21" s="176">
        <v>2.9361324462654395</v>
      </c>
      <c r="R21" s="177"/>
      <c r="S21" s="175">
        <v>11.922477206047542</v>
      </c>
      <c r="T21" s="176">
        <v>0.35589484197156845</v>
      </c>
      <c r="U21" s="178"/>
      <c r="V21" s="176">
        <v>11.525410204864166</v>
      </c>
      <c r="W21" s="176" t="s">
        <v>456</v>
      </c>
      <c r="Y21" s="219"/>
      <c r="Z21" s="219"/>
      <c r="AA21" s="219"/>
    </row>
    <row r="22" spans="1:27">
      <c r="A22" s="181"/>
      <c r="B22" s="181" t="s">
        <v>438</v>
      </c>
      <c r="C22" s="180">
        <v>23.390527891771956</v>
      </c>
      <c r="D22" s="176">
        <v>6.505746383602073</v>
      </c>
      <c r="E22" s="176">
        <v>16.884781508169883</v>
      </c>
      <c r="F22" s="176">
        <v>1.5639641968526836</v>
      </c>
      <c r="G22" s="177"/>
      <c r="H22" s="175">
        <v>37.767796555401176</v>
      </c>
      <c r="I22" s="176">
        <v>4.3084413136437572E-2</v>
      </c>
      <c r="J22" s="176">
        <v>37.724712142264735</v>
      </c>
      <c r="K22" s="176" t="s">
        <v>456</v>
      </c>
      <c r="L22"/>
      <c r="M22"/>
      <c r="N22" s="175">
        <v>9.6047679561305017</v>
      </c>
      <c r="O22" s="176">
        <v>2.6714311316553796</v>
      </c>
      <c r="P22" s="176">
        <v>6.9333368244751208</v>
      </c>
      <c r="Q22" s="176">
        <v>0.64220496741119393</v>
      </c>
      <c r="R22" s="177"/>
      <c r="S22" s="175">
        <v>15.508453841119907</v>
      </c>
      <c r="T22" s="176">
        <v>1.7691596898379996E-2</v>
      </c>
      <c r="U22" s="178"/>
      <c r="V22" s="176">
        <v>15.490762244221527</v>
      </c>
      <c r="W22" s="176" t="s">
        <v>456</v>
      </c>
      <c r="Y22" s="219"/>
      <c r="Z22" s="219"/>
      <c r="AA22" s="219"/>
    </row>
    <row r="23" spans="1:27">
      <c r="A23" s="181"/>
      <c r="B23" s="181" t="s">
        <v>182</v>
      </c>
      <c r="C23" s="180">
        <v>12.274248212821654</v>
      </c>
      <c r="D23" s="176">
        <v>0.12228391743782471</v>
      </c>
      <c r="E23" s="176">
        <v>12.151964295383831</v>
      </c>
      <c r="F23" s="176">
        <v>48.730141098973149</v>
      </c>
      <c r="G23" s="177"/>
      <c r="H23" s="175">
        <v>55.669753413569694</v>
      </c>
      <c r="I23" s="176">
        <v>43.105080896833208</v>
      </c>
      <c r="J23" s="176">
        <v>12.56467251673649</v>
      </c>
      <c r="K23" s="176" t="s">
        <v>456</v>
      </c>
      <c r="L23"/>
      <c r="M23"/>
      <c r="N23" s="175">
        <v>3.4557432473141603</v>
      </c>
      <c r="O23" s="176">
        <v>3.4428326249705203E-2</v>
      </c>
      <c r="P23" s="176">
        <v>3.4213149210644547</v>
      </c>
      <c r="Q23" s="176">
        <v>13.719688010507525</v>
      </c>
      <c r="R23" s="177"/>
      <c r="S23" s="175">
        <v>15.673495525178295</v>
      </c>
      <c r="T23" s="176">
        <v>12.135985003021085</v>
      </c>
      <c r="U23" s="178"/>
      <c r="V23" s="176">
        <v>3.5375105221572096</v>
      </c>
      <c r="W23" s="176" t="s">
        <v>456</v>
      </c>
      <c r="Y23" s="219"/>
      <c r="Z23" s="219"/>
      <c r="AA23" s="219"/>
    </row>
    <row r="24" spans="1:27">
      <c r="A24" s="181"/>
      <c r="B24" s="179" t="s">
        <v>439</v>
      </c>
      <c r="C24" s="180">
        <v>1.5871</v>
      </c>
      <c r="D24" s="176">
        <v>0.435</v>
      </c>
      <c r="E24" s="176">
        <v>1.1520999999999999</v>
      </c>
      <c r="F24" s="176" t="s">
        <v>456</v>
      </c>
      <c r="G24" s="177"/>
      <c r="H24" s="175">
        <v>1.3769999999999998</v>
      </c>
      <c r="I24" s="176">
        <v>1.0269999999999999</v>
      </c>
      <c r="J24" s="176">
        <v>0.35</v>
      </c>
      <c r="K24" s="176" t="s">
        <v>456</v>
      </c>
      <c r="L24"/>
      <c r="M24"/>
      <c r="N24" s="175">
        <v>5.8</v>
      </c>
      <c r="O24" s="176">
        <v>1.6</v>
      </c>
      <c r="P24" s="176">
        <v>4.1999999999999993</v>
      </c>
      <c r="Q24" s="176" t="s">
        <v>456</v>
      </c>
      <c r="R24" s="177"/>
      <c r="S24" s="175">
        <v>5.0883310701650863</v>
      </c>
      <c r="T24" s="176">
        <v>3.8</v>
      </c>
      <c r="U24" s="178"/>
      <c r="V24" s="176">
        <v>1.2883310701650865</v>
      </c>
      <c r="W24" s="176" t="s">
        <v>456</v>
      </c>
      <c r="Y24" s="219"/>
      <c r="Z24" s="219"/>
      <c r="AA24" s="219"/>
    </row>
    <row r="25" spans="1:27">
      <c r="A25" s="181"/>
      <c r="B25" s="179" t="s">
        <v>189</v>
      </c>
      <c r="C25" s="180">
        <v>11.584010872447287</v>
      </c>
      <c r="D25" s="176">
        <v>4.1086146936758849</v>
      </c>
      <c r="E25" s="176">
        <v>7.4753961787714021</v>
      </c>
      <c r="F25" s="176">
        <v>2.3966919046442663</v>
      </c>
      <c r="G25" s="177"/>
      <c r="H25" s="175">
        <v>20.314817096508541</v>
      </c>
      <c r="I25" s="176">
        <v>1.8260509749670601</v>
      </c>
      <c r="J25" s="176">
        <v>13.923638684123832</v>
      </c>
      <c r="K25" s="176">
        <v>4.56512743741765</v>
      </c>
      <c r="L25"/>
      <c r="M25"/>
      <c r="N25" s="175">
        <v>4.272892600949719</v>
      </c>
      <c r="O25" s="176">
        <v>1.5155087057555652</v>
      </c>
      <c r="P25" s="176">
        <v>2.7573838951941534</v>
      </c>
      <c r="Q25" s="176">
        <v>0.88404674502407976</v>
      </c>
      <c r="R25" s="177"/>
      <c r="S25" s="175">
        <v>7.4933486006802941</v>
      </c>
      <c r="T25" s="176">
        <v>0.67355942478025121</v>
      </c>
      <c r="U25" s="178"/>
      <c r="V25" s="176">
        <v>5.1358906139494147</v>
      </c>
      <c r="W25" s="176">
        <v>1.6838985619506279</v>
      </c>
      <c r="Y25" s="219"/>
      <c r="Z25" s="219"/>
      <c r="AA25" s="219"/>
    </row>
    <row r="26" spans="1:27">
      <c r="A26" s="181"/>
      <c r="B26" s="179" t="s">
        <v>440</v>
      </c>
      <c r="C26" s="180">
        <v>38.894885766798375</v>
      </c>
      <c r="D26" s="176">
        <v>1.1070434035737802</v>
      </c>
      <c r="E26" s="176">
        <v>37.787842363224598</v>
      </c>
      <c r="F26" s="176">
        <v>1.7918125191864278</v>
      </c>
      <c r="G26" s="177"/>
      <c r="H26" s="175">
        <v>12.942136285079037</v>
      </c>
      <c r="I26" s="176">
        <v>6.4710681425395187</v>
      </c>
      <c r="J26" s="176">
        <v>6.4710681425395187</v>
      </c>
      <c r="K26" s="176" t="s">
        <v>456</v>
      </c>
      <c r="L26"/>
      <c r="M26"/>
      <c r="N26" s="175">
        <v>21.072102273058327</v>
      </c>
      <c r="O26" s="176">
        <v>0.59976347432120236</v>
      </c>
      <c r="P26" s="176">
        <v>20.472338798737123</v>
      </c>
      <c r="Q26" s="176">
        <v>0.97075119039617308</v>
      </c>
      <c r="R26" s="177"/>
      <c r="S26" s="175">
        <v>7.0116678338169436</v>
      </c>
      <c r="T26" s="176">
        <v>3.5058339169084718</v>
      </c>
      <c r="U26" s="178"/>
      <c r="V26" s="176">
        <v>3.5058339169084718</v>
      </c>
      <c r="W26" s="176" t="s">
        <v>456</v>
      </c>
      <c r="Y26" s="219"/>
      <c r="Z26" s="219"/>
      <c r="AA26" s="219"/>
    </row>
    <row r="27" spans="1:27" s="183" customFormat="1">
      <c r="A27" s="182"/>
      <c r="B27" s="179" t="s">
        <v>441</v>
      </c>
      <c r="C27" s="180">
        <v>2.0091211225997041</v>
      </c>
      <c r="D27" s="176">
        <v>0.10494830132939439</v>
      </c>
      <c r="E27" s="176">
        <v>1.9041728212703097</v>
      </c>
      <c r="F27" s="176">
        <v>0</v>
      </c>
      <c r="G27" s="177"/>
      <c r="H27" s="175">
        <v>0.32127031019202362</v>
      </c>
      <c r="I27" s="176">
        <v>8.862629246676515E-2</v>
      </c>
      <c r="J27" s="176">
        <v>0.23264401772525847</v>
      </c>
      <c r="K27" s="176" t="s">
        <v>456</v>
      </c>
      <c r="L27"/>
      <c r="M27"/>
      <c r="N27" s="175">
        <v>9.2497449846990811</v>
      </c>
      <c r="O27" s="176">
        <v>0.48316899013940834</v>
      </c>
      <c r="P27" s="176">
        <v>8.7665759945596733</v>
      </c>
      <c r="Q27" s="176">
        <v>0</v>
      </c>
      <c r="R27" s="177"/>
      <c r="S27" s="175">
        <v>1.4790887453247195</v>
      </c>
      <c r="T27" s="176" t="s">
        <v>456</v>
      </c>
      <c r="U27" s="178"/>
      <c r="V27" s="176">
        <v>0.40802448146888803</v>
      </c>
      <c r="W27" s="176">
        <v>1.0710642638558314</v>
      </c>
      <c r="Y27" s="219"/>
      <c r="Z27" s="219"/>
      <c r="AA27" s="219"/>
    </row>
    <row r="28" spans="1:27">
      <c r="A28" s="181"/>
      <c r="B28" s="179" t="s">
        <v>442</v>
      </c>
      <c r="C28" s="180">
        <v>43.140454283596789</v>
      </c>
      <c r="D28" s="176">
        <v>5.0216401811594151</v>
      </c>
      <c r="E28" s="176">
        <v>38.118814102437376</v>
      </c>
      <c r="F28" s="176">
        <v>2.8532046483860314</v>
      </c>
      <c r="G28" s="177"/>
      <c r="H28" s="175">
        <v>13.695382312252949</v>
      </c>
      <c r="I28" s="176">
        <v>7.9889730154808873</v>
      </c>
      <c r="J28" s="176">
        <v>5.7064092967720628</v>
      </c>
      <c r="K28" s="176" t="s">
        <v>456</v>
      </c>
      <c r="L28"/>
      <c r="M28"/>
      <c r="N28" s="175">
        <v>10.313610145536499</v>
      </c>
      <c r="O28" s="176">
        <v>1.2005260486867886</v>
      </c>
      <c r="P28" s="176">
        <v>9.1130840968497111</v>
      </c>
      <c r="Q28" s="176">
        <v>0.68211707311749337</v>
      </c>
      <c r="R28" s="177"/>
      <c r="S28" s="175">
        <v>3.2741619509639683</v>
      </c>
      <c r="T28" s="176">
        <v>1.9099278047289816</v>
      </c>
      <c r="U28" s="178"/>
      <c r="V28" s="176">
        <v>1.3642341462349867</v>
      </c>
      <c r="W28" s="176" t="s">
        <v>456</v>
      </c>
      <c r="Y28" s="219"/>
      <c r="Z28" s="219"/>
      <c r="AA28" s="219"/>
    </row>
    <row r="29" spans="1:27">
      <c r="A29" s="181"/>
      <c r="B29" s="181" t="s">
        <v>443</v>
      </c>
      <c r="C29" s="180">
        <v>41.4</v>
      </c>
      <c r="D29" s="176">
        <v>6.5</v>
      </c>
      <c r="E29" s="176">
        <v>34.9</v>
      </c>
      <c r="F29" s="176">
        <v>2.1</v>
      </c>
      <c r="G29" s="177"/>
      <c r="H29" s="175">
        <v>17</v>
      </c>
      <c r="I29" s="176">
        <v>3.7</v>
      </c>
      <c r="J29" s="176">
        <v>13.3</v>
      </c>
      <c r="K29" s="176" t="s">
        <v>456</v>
      </c>
      <c r="L29"/>
      <c r="M29"/>
      <c r="N29" s="175">
        <v>10.1</v>
      </c>
      <c r="O29" s="176">
        <v>1.6</v>
      </c>
      <c r="P29" s="176">
        <v>8.5</v>
      </c>
      <c r="Q29" s="176">
        <v>0.5</v>
      </c>
      <c r="R29" s="177"/>
      <c r="S29" s="175">
        <v>4.1000000000000005</v>
      </c>
      <c r="T29" s="176">
        <v>0.9</v>
      </c>
      <c r="U29" s="178"/>
      <c r="V29" s="176">
        <v>3.2</v>
      </c>
      <c r="W29" s="176" t="s">
        <v>456</v>
      </c>
      <c r="Y29" s="219"/>
      <c r="Z29" s="219"/>
      <c r="AA29" s="219"/>
    </row>
    <row r="30" spans="1:27">
      <c r="A30" s="179"/>
      <c r="B30" s="179" t="s">
        <v>444</v>
      </c>
      <c r="C30" s="180">
        <v>2.9126178965863905</v>
      </c>
      <c r="D30" s="176">
        <v>0.67911263411214207</v>
      </c>
      <c r="E30" s="176">
        <v>2.2335052624742486</v>
      </c>
      <c r="F30" s="176" t="s">
        <v>456</v>
      </c>
      <c r="G30" s="177"/>
      <c r="H30" s="175">
        <v>1.0455461485605735</v>
      </c>
      <c r="I30" s="176">
        <v>0.2896249719004359</v>
      </c>
      <c r="J30" s="176">
        <v>0.75592117666013769</v>
      </c>
      <c r="K30" s="176">
        <v>0</v>
      </c>
      <c r="L30"/>
      <c r="M30"/>
      <c r="N30" s="175">
        <v>8.6999999999999993</v>
      </c>
      <c r="O30" s="176">
        <v>2.028511849666303</v>
      </c>
      <c r="P30" s="176">
        <v>6.6714881503336958</v>
      </c>
      <c r="Q30" s="176">
        <v>0</v>
      </c>
      <c r="R30" s="177"/>
      <c r="S30" s="175">
        <v>2.9579392390093187</v>
      </c>
      <c r="T30" s="176">
        <v>0.7</v>
      </c>
      <c r="U30" s="178"/>
      <c r="V30" s="176">
        <v>2.2579392390093189</v>
      </c>
      <c r="W30" s="176">
        <v>0</v>
      </c>
      <c r="Y30" s="219"/>
      <c r="Z30" s="219"/>
      <c r="AA30" s="219"/>
    </row>
    <row r="31" spans="1:27">
      <c r="A31" s="181"/>
      <c r="B31" s="181" t="s">
        <v>445</v>
      </c>
      <c r="C31" s="180">
        <v>4.1622029999999999</v>
      </c>
      <c r="D31" s="176">
        <v>1.086606</v>
      </c>
      <c r="E31" s="176">
        <v>3.0755970000000001</v>
      </c>
      <c r="F31" s="176">
        <v>1.5986199999999999</v>
      </c>
      <c r="G31" s="177"/>
      <c r="H31" s="175">
        <v>1.5635561473155453</v>
      </c>
      <c r="I31" s="176">
        <v>0.42227428796113264</v>
      </c>
      <c r="J31" s="176">
        <v>1.1412818593544125</v>
      </c>
      <c r="K31" s="176" t="s">
        <v>456</v>
      </c>
      <c r="L31"/>
      <c r="M31"/>
      <c r="N31" s="175">
        <v>7.4969999999999999</v>
      </c>
      <c r="O31" s="176">
        <v>1.9572000000000001</v>
      </c>
      <c r="P31" s="176">
        <v>5.5397999999999996</v>
      </c>
      <c r="Q31" s="176">
        <v>2.8794</v>
      </c>
      <c r="R31" s="177"/>
      <c r="S31" s="175">
        <v>2.7999354175480335</v>
      </c>
      <c r="T31" s="176">
        <v>0.75618693758596522</v>
      </c>
      <c r="U31" s="178"/>
      <c r="V31" s="176">
        <v>2.0437484799620682</v>
      </c>
      <c r="W31" s="176" t="s">
        <v>456</v>
      </c>
      <c r="Y31" s="219"/>
      <c r="Z31" s="219"/>
      <c r="AA31" s="219"/>
    </row>
    <row r="32" spans="1:27">
      <c r="A32" s="181"/>
      <c r="B32" s="179" t="s">
        <v>446</v>
      </c>
      <c r="C32" s="180">
        <v>3.0814610202569139</v>
      </c>
      <c r="D32" s="176">
        <v>0.34238455780632376</v>
      </c>
      <c r="E32" s="176">
        <v>2.7390764624505901</v>
      </c>
      <c r="F32" s="176">
        <v>5.2384837344367536</v>
      </c>
      <c r="G32" s="177"/>
      <c r="H32" s="175">
        <v>4.3254582469532235</v>
      </c>
      <c r="I32" s="176">
        <v>0.45651274374176504</v>
      </c>
      <c r="J32" s="176">
        <v>2.8532046483860314</v>
      </c>
      <c r="K32" s="176">
        <v>1.0157408548254272</v>
      </c>
      <c r="L32"/>
      <c r="M32"/>
      <c r="N32" s="175">
        <v>4.2093447453346426</v>
      </c>
      <c r="O32" s="176">
        <v>0.46770497170384917</v>
      </c>
      <c r="P32" s="176">
        <v>3.7416397736307934</v>
      </c>
      <c r="Q32" s="176">
        <v>7.1558860670688924</v>
      </c>
      <c r="R32" s="177"/>
      <c r="S32" s="175">
        <v>5.9086728091919616</v>
      </c>
      <c r="T32" s="176">
        <v>0.62360662893846563</v>
      </c>
      <c r="U32" s="178"/>
      <c r="V32" s="176">
        <v>3.8975414308654104</v>
      </c>
      <c r="W32" s="176">
        <v>1.387524749388086</v>
      </c>
      <c r="Y32" s="219"/>
      <c r="Z32" s="219"/>
      <c r="AA32" s="219"/>
    </row>
    <row r="33" spans="1:27">
      <c r="A33" s="181"/>
      <c r="B33" s="179" t="s">
        <v>198</v>
      </c>
      <c r="C33" s="180">
        <v>93.92749702486816</v>
      </c>
      <c r="D33" s="176">
        <v>18.94527886528325</v>
      </c>
      <c r="E33" s="176">
        <v>74.982218159584903</v>
      </c>
      <c r="F33" s="176">
        <v>14.380151427865597</v>
      </c>
      <c r="G33" s="177"/>
      <c r="H33" s="175">
        <v>74.183320858036808</v>
      </c>
      <c r="I33" s="176" t="s">
        <v>456</v>
      </c>
      <c r="J33" s="176">
        <v>74.183320858036808</v>
      </c>
      <c r="K33" s="176" t="s">
        <v>456</v>
      </c>
      <c r="L33"/>
      <c r="M33"/>
      <c r="N33" s="175">
        <v>10.304579841086603</v>
      </c>
      <c r="O33" s="176">
        <v>2.0784450226250013</v>
      </c>
      <c r="P33" s="176">
        <v>8.2261348184616008</v>
      </c>
      <c r="Q33" s="176">
        <v>1.5776148966912658</v>
      </c>
      <c r="R33" s="177"/>
      <c r="S33" s="175">
        <v>8.1384895464231963</v>
      </c>
      <c r="T33" s="176" t="s">
        <v>456</v>
      </c>
      <c r="U33" s="178"/>
      <c r="V33" s="176">
        <v>8.1384895464231963</v>
      </c>
      <c r="W33" s="176" t="s">
        <v>456</v>
      </c>
      <c r="Y33" s="219"/>
      <c r="Z33" s="219"/>
      <c r="AA33" s="219"/>
    </row>
    <row r="34" spans="1:27">
      <c r="A34" s="181"/>
      <c r="B34" s="179" t="s">
        <v>204</v>
      </c>
      <c r="C34" s="180">
        <v>40.366333649903929</v>
      </c>
      <c r="D34" s="176">
        <v>3.3151095268037039</v>
      </c>
      <c r="E34" s="176">
        <v>37.051224123100226</v>
      </c>
      <c r="F34" s="176" t="s">
        <v>456</v>
      </c>
      <c r="G34" s="177"/>
      <c r="H34" s="175">
        <v>3.4451138219724768</v>
      </c>
      <c r="I34" s="176">
        <v>1.8200601323628178</v>
      </c>
      <c r="J34" s="176">
        <v>1.625053689609659</v>
      </c>
      <c r="K34" s="176" t="s">
        <v>456</v>
      </c>
      <c r="L34"/>
      <c r="M34"/>
      <c r="N34" s="175">
        <v>19.283678120943755</v>
      </c>
      <c r="O34" s="176">
        <v>1.5836837104156705</v>
      </c>
      <c r="P34" s="176">
        <v>17.699994410528081</v>
      </c>
      <c r="Q34" s="176" t="s">
        <v>456</v>
      </c>
      <c r="R34" s="177"/>
      <c r="S34" s="175">
        <v>1.6457889539613828</v>
      </c>
      <c r="T34" s="176">
        <v>0.86947340963997588</v>
      </c>
      <c r="U34" s="178"/>
      <c r="V34" s="176">
        <v>0.77631554432140704</v>
      </c>
      <c r="W34" s="176" t="s">
        <v>456</v>
      </c>
      <c r="Y34" s="219"/>
      <c r="Z34" s="219"/>
      <c r="AA34" s="219"/>
    </row>
    <row r="35" spans="1:27">
      <c r="A35" s="181"/>
      <c r="B35" s="179" t="s">
        <v>209</v>
      </c>
      <c r="C35" s="180">
        <v>23.917160810691193</v>
      </c>
      <c r="D35" s="176">
        <v>2.6232409947782966</v>
      </c>
      <c r="E35" s="176">
        <v>21.293919815912897</v>
      </c>
      <c r="F35" s="176" t="s">
        <v>456</v>
      </c>
      <c r="G35" s="177"/>
      <c r="H35" s="175">
        <v>14.603062217895378</v>
      </c>
      <c r="I35" s="176">
        <v>6.3191432870165452</v>
      </c>
      <c r="J35" s="176">
        <v>8.2839189308788317</v>
      </c>
      <c r="K35" s="176" t="s">
        <v>456</v>
      </c>
      <c r="L35"/>
      <c r="M35"/>
      <c r="N35" s="175">
        <v>7.4022943167997886</v>
      </c>
      <c r="O35" s="176">
        <v>0.81188574433816507</v>
      </c>
      <c r="P35" s="176">
        <v>6.5904085724616239</v>
      </c>
      <c r="Q35" s="176" t="s">
        <v>456</v>
      </c>
      <c r="R35" s="177"/>
      <c r="S35" s="175">
        <v>4.5196068763764252</v>
      </c>
      <c r="T35" s="176">
        <v>1.9557571574137986</v>
      </c>
      <c r="U35" s="178"/>
      <c r="V35" s="176">
        <v>2.563849718962627</v>
      </c>
      <c r="W35" s="176" t="s">
        <v>456</v>
      </c>
      <c r="Y35" s="219"/>
      <c r="Z35" s="219"/>
      <c r="AA35" s="219"/>
    </row>
    <row r="36" spans="1:27">
      <c r="A36" s="181"/>
      <c r="B36" s="179" t="s">
        <v>217</v>
      </c>
      <c r="C36" s="180">
        <v>13.010613196640303</v>
      </c>
      <c r="D36" s="176">
        <v>2.1684355327733837</v>
      </c>
      <c r="E36" s="176">
        <v>10.842177663866918</v>
      </c>
      <c r="F36" s="176">
        <v>1.2554100452898538</v>
      </c>
      <c r="G36" s="177"/>
      <c r="H36" s="175">
        <v>13.124741382575744</v>
      </c>
      <c r="I36" s="176" t="s">
        <v>456</v>
      </c>
      <c r="J36" s="176">
        <v>13.124741382575744</v>
      </c>
      <c r="K36" s="176" t="s">
        <v>456</v>
      </c>
      <c r="L36"/>
      <c r="M36"/>
      <c r="N36" s="175">
        <v>5.6308753739098822</v>
      </c>
      <c r="O36" s="176">
        <v>0.93847922898498037</v>
      </c>
      <c r="P36" s="176">
        <v>4.6923961449249019</v>
      </c>
      <c r="Q36" s="176">
        <v>0.54333007993867288</v>
      </c>
      <c r="R36" s="177"/>
      <c r="S36" s="175">
        <v>5.6802690175406712</v>
      </c>
      <c r="T36" s="176" t="s">
        <v>456</v>
      </c>
      <c r="U36" s="178"/>
      <c r="V36" s="176">
        <v>5.6802690175406712</v>
      </c>
      <c r="W36" s="176" t="s">
        <v>456</v>
      </c>
      <c r="Y36" s="219"/>
      <c r="Z36" s="219"/>
      <c r="AA36" s="219"/>
    </row>
    <row r="37" spans="1:27">
      <c r="A37" s="181"/>
      <c r="B37" s="181" t="s">
        <v>447</v>
      </c>
      <c r="C37" s="180">
        <v>4.6197248733241425</v>
      </c>
      <c r="D37" s="176">
        <v>0.28079327190109787</v>
      </c>
      <c r="E37" s="176">
        <v>4.3389316014230443</v>
      </c>
      <c r="F37" s="176">
        <v>0.6006120601465349</v>
      </c>
      <c r="G37" s="177"/>
      <c r="H37" s="175">
        <v>4.5823680163275764</v>
      </c>
      <c r="I37" s="176">
        <v>0</v>
      </c>
      <c r="J37" s="176">
        <v>4.5823680163275764</v>
      </c>
      <c r="K37" s="176" t="s">
        <v>456</v>
      </c>
      <c r="L37"/>
      <c r="M37"/>
      <c r="N37" s="175">
        <v>4.4381614743586155</v>
      </c>
      <c r="O37" s="176">
        <v>0.26975759721245984</v>
      </c>
      <c r="P37" s="176">
        <v>4.1684038771461553</v>
      </c>
      <c r="Q37" s="176">
        <v>0.57700693861006003</v>
      </c>
      <c r="R37" s="177"/>
      <c r="S37" s="175">
        <v>4.4022728082428815</v>
      </c>
      <c r="T37" s="176">
        <v>0</v>
      </c>
      <c r="U37" s="178"/>
      <c r="V37" s="176">
        <v>4.4022728082428815</v>
      </c>
      <c r="W37" s="176" t="s">
        <v>456</v>
      </c>
      <c r="Y37" s="219"/>
      <c r="Z37" s="219"/>
      <c r="AA37" s="219"/>
    </row>
    <row r="38" spans="1:27">
      <c r="A38" s="181"/>
      <c r="B38" s="181" t="s">
        <v>448</v>
      </c>
      <c r="C38" s="180">
        <v>4.1790000000000003</v>
      </c>
      <c r="D38" s="176">
        <v>0.41199999999999998</v>
      </c>
      <c r="E38" s="176">
        <v>3.7670000000000003</v>
      </c>
      <c r="F38" s="176">
        <v>0.47399999999999998</v>
      </c>
      <c r="G38" s="177"/>
      <c r="H38" s="175">
        <v>3.5</v>
      </c>
      <c r="I38" s="176">
        <v>1</v>
      </c>
      <c r="J38" s="176">
        <v>2.5</v>
      </c>
      <c r="K38" s="176" t="s">
        <v>456</v>
      </c>
      <c r="L38"/>
      <c r="M38"/>
      <c r="N38" s="175">
        <v>7.7</v>
      </c>
      <c r="O38" s="176">
        <v>0.8</v>
      </c>
      <c r="P38" s="176">
        <v>6.9</v>
      </c>
      <c r="Q38" s="176">
        <v>0.9</v>
      </c>
      <c r="R38" s="177"/>
      <c r="S38" s="175">
        <v>6.6</v>
      </c>
      <c r="T38" s="176">
        <v>1.9</v>
      </c>
      <c r="U38" s="178"/>
      <c r="V38" s="176">
        <v>4.7</v>
      </c>
      <c r="W38" s="176" t="s">
        <v>456</v>
      </c>
      <c r="Y38" s="219"/>
      <c r="Z38" s="219"/>
      <c r="AA38" s="219"/>
    </row>
    <row r="39" spans="1:27">
      <c r="A39" s="181"/>
      <c r="B39" s="181" t="s">
        <v>226</v>
      </c>
      <c r="C39" s="180">
        <v>22.474815922163589</v>
      </c>
      <c r="D39" s="176">
        <v>4.125811618561432</v>
      </c>
      <c r="E39" s="176">
        <v>18.349004303602158</v>
      </c>
      <c r="F39" s="176">
        <v>36.372286637317892</v>
      </c>
      <c r="G39" s="177"/>
      <c r="H39" s="175">
        <v>28.413813173092809</v>
      </c>
      <c r="I39" s="176">
        <v>1.2703156825570725</v>
      </c>
      <c r="J39" s="176">
        <v>27.143497490535736</v>
      </c>
      <c r="K39" s="176" t="s">
        <v>456</v>
      </c>
      <c r="L39"/>
      <c r="M39"/>
      <c r="N39" s="175">
        <v>4.1805066006564005</v>
      </c>
      <c r="O39" s="176">
        <v>0.76743599432339715</v>
      </c>
      <c r="P39" s="176">
        <v>3.4130706063330032</v>
      </c>
      <c r="Q39" s="176">
        <v>6.76555416048258</v>
      </c>
      <c r="R39" s="177"/>
      <c r="S39" s="175">
        <v>5.28521051880087</v>
      </c>
      <c r="T39" s="176">
        <v>0.23628950351536174</v>
      </c>
      <c r="U39" s="178"/>
      <c r="V39" s="176">
        <v>5.048921015285508</v>
      </c>
      <c r="W39" s="176" t="s">
        <v>456</v>
      </c>
      <c r="Y39" s="219"/>
      <c r="Z39" s="219"/>
      <c r="AA39" s="219"/>
    </row>
    <row r="40" spans="1:27">
      <c r="A40" s="181"/>
      <c r="B40" s="181" t="s">
        <v>232</v>
      </c>
      <c r="C40" s="180">
        <v>58.183399756792603</v>
      </c>
      <c r="D40" s="176">
        <v>7.0384605142862338</v>
      </c>
      <c r="E40" s="176">
        <v>51.144939242506375</v>
      </c>
      <c r="F40" s="176" t="s">
        <v>456</v>
      </c>
      <c r="G40" s="177"/>
      <c r="H40" s="175">
        <v>46.626605480157366</v>
      </c>
      <c r="I40" s="176">
        <v>1.0651423296438005</v>
      </c>
      <c r="J40" s="176">
        <v>45.561463150513568</v>
      </c>
      <c r="K40" s="176" t="s">
        <v>456</v>
      </c>
      <c r="L40"/>
      <c r="M40"/>
      <c r="N40" s="175">
        <v>7.7730721144719874</v>
      </c>
      <c r="O40" s="176">
        <v>0.94031049029621783</v>
      </c>
      <c r="P40" s="176">
        <v>6.8327616241757703</v>
      </c>
      <c r="Q40" s="176" t="s">
        <v>456</v>
      </c>
      <c r="R40" s="177"/>
      <c r="S40" s="175">
        <v>6.2291301018034106</v>
      </c>
      <c r="T40" s="176">
        <v>0.14229880301092884</v>
      </c>
      <c r="U40" s="178"/>
      <c r="V40" s="176">
        <v>6.0868312987924815</v>
      </c>
      <c r="W40" s="176" t="s">
        <v>456</v>
      </c>
      <c r="Y40" s="219"/>
      <c r="Z40" s="219"/>
      <c r="AA40" s="219"/>
    </row>
    <row r="41" spans="1:27">
      <c r="A41" s="171"/>
      <c r="B41" s="171" t="s">
        <v>249</v>
      </c>
      <c r="C41" s="180">
        <v>35.638547905057798</v>
      </c>
      <c r="D41" s="176">
        <v>1.5165334699489497</v>
      </c>
      <c r="E41" s="176">
        <v>34.12200938566108</v>
      </c>
      <c r="F41" s="176">
        <v>3.2859281358385646</v>
      </c>
      <c r="G41" s="177"/>
      <c r="H41" s="175">
        <v>6.3189963380984064</v>
      </c>
      <c r="I41" s="176">
        <v>3.2859281358385646</v>
      </c>
      <c r="J41" s="176" t="s">
        <v>456</v>
      </c>
      <c r="K41" s="176">
        <v>3.0330682022598419</v>
      </c>
      <c r="L41"/>
      <c r="M41"/>
      <c r="N41" s="175">
        <v>14.09619540198695</v>
      </c>
      <c r="O41" s="176">
        <v>0.59983791098906813</v>
      </c>
      <c r="P41" s="176">
        <v>13.496355493778395</v>
      </c>
      <c r="Q41" s="176">
        <v>1.2996905823172877</v>
      </c>
      <c r="R41" s="177"/>
      <c r="S41" s="175">
        <v>2.4993669036002961</v>
      </c>
      <c r="T41" s="176">
        <v>1.2996905823172877</v>
      </c>
      <c r="U41" s="178"/>
      <c r="V41" s="176" t="s">
        <v>456</v>
      </c>
      <c r="W41" s="176">
        <v>1.1996763212830086</v>
      </c>
      <c r="Y41" s="219"/>
      <c r="Z41" s="219"/>
      <c r="AA41" s="219"/>
    </row>
    <row r="42" spans="1:27">
      <c r="A42" s="171"/>
      <c r="B42" s="171" t="s">
        <v>256</v>
      </c>
      <c r="C42" s="180">
        <v>12.777545498790493</v>
      </c>
      <c r="D42" s="176">
        <v>3.8881471755765187</v>
      </c>
      <c r="E42" s="176">
        <v>8.8893983232139746</v>
      </c>
      <c r="F42" s="176">
        <v>0.4819569618750838</v>
      </c>
      <c r="G42" s="177"/>
      <c r="H42" s="175">
        <v>15.583184846514998</v>
      </c>
      <c r="I42" s="176">
        <v>8.6584380487873194</v>
      </c>
      <c r="J42" s="176">
        <v>6.9247467977276784</v>
      </c>
      <c r="K42" s="176" t="s">
        <v>456</v>
      </c>
      <c r="L42"/>
      <c r="M42"/>
      <c r="N42" s="175">
        <v>4.7053509644817844</v>
      </c>
      <c r="O42" s="176">
        <v>1.4318162329672697</v>
      </c>
      <c r="P42" s="176">
        <v>3.2735347315145145</v>
      </c>
      <c r="Q42" s="176">
        <v>0.17748139935109608</v>
      </c>
      <c r="R42" s="177"/>
      <c r="S42" s="175">
        <v>5.738532009468333</v>
      </c>
      <c r="T42" s="176">
        <v>3.1884832519378374</v>
      </c>
      <c r="U42" s="178"/>
      <c r="V42" s="176">
        <v>2.550048757530496</v>
      </c>
      <c r="W42" s="176" t="s">
        <v>456</v>
      </c>
      <c r="Y42" s="219"/>
      <c r="Z42" s="219"/>
      <c r="AA42" s="219"/>
    </row>
    <row r="43" spans="1:27">
      <c r="A43" s="171"/>
      <c r="B43" s="171" t="s">
        <v>449</v>
      </c>
      <c r="C43" s="180">
        <v>0.85465337395785701</v>
      </c>
      <c r="D43" s="176">
        <v>0.2</v>
      </c>
      <c r="E43" s="176">
        <v>0.65465337395785705</v>
      </c>
      <c r="F43" s="176">
        <v>0</v>
      </c>
      <c r="G43" s="177"/>
      <c r="H43" s="175" t="s">
        <v>456</v>
      </c>
      <c r="I43" s="176" t="s">
        <v>456</v>
      </c>
      <c r="J43" s="176" t="s">
        <v>456</v>
      </c>
      <c r="K43" s="176" t="s">
        <v>456</v>
      </c>
      <c r="L43"/>
      <c r="M43"/>
      <c r="N43" s="175">
        <v>1.5</v>
      </c>
      <c r="O43" s="176">
        <v>0.3</v>
      </c>
      <c r="P43" s="176">
        <v>1.2</v>
      </c>
      <c r="Q43" s="176">
        <v>0</v>
      </c>
      <c r="R43" s="177"/>
      <c r="S43" s="175" t="s">
        <v>456</v>
      </c>
      <c r="T43" s="176" t="s">
        <v>456</v>
      </c>
      <c r="U43" s="178"/>
      <c r="V43" s="176" t="s">
        <v>456</v>
      </c>
      <c r="W43" s="176" t="s">
        <v>456</v>
      </c>
      <c r="Y43" s="219"/>
      <c r="Z43" s="219"/>
      <c r="AA43" s="219"/>
    </row>
    <row r="44" spans="1:27">
      <c r="A44" s="171"/>
      <c r="B44" s="171" t="s">
        <v>450</v>
      </c>
      <c r="C44" s="180">
        <v>16.289137328326046</v>
      </c>
      <c r="D44" s="176">
        <v>7.0357904306323586</v>
      </c>
      <c r="E44" s="176">
        <v>9.253346897693687</v>
      </c>
      <c r="F44" s="176" t="s">
        <v>456</v>
      </c>
      <c r="G44" s="177"/>
      <c r="H44" s="175">
        <v>6.4935767703113596</v>
      </c>
      <c r="I44" s="176" t="s">
        <v>456</v>
      </c>
      <c r="J44" s="176">
        <v>6.4935767703113596</v>
      </c>
      <c r="K44" s="176" t="s">
        <v>456</v>
      </c>
      <c r="L44"/>
      <c r="M44"/>
      <c r="N44" s="175">
        <v>10.508244426750341</v>
      </c>
      <c r="O44" s="176">
        <v>4.5388410748989427</v>
      </c>
      <c r="P44" s="176">
        <v>5.9694033518513985</v>
      </c>
      <c r="Q44" s="176" t="s">
        <v>456</v>
      </c>
      <c r="R44" s="177"/>
      <c r="S44" s="175">
        <v>4.1890549837553683</v>
      </c>
      <c r="T44" s="176" t="s">
        <v>456</v>
      </c>
      <c r="U44" s="178"/>
      <c r="V44" s="176">
        <v>4.1890549837553683</v>
      </c>
      <c r="W44" s="176" t="s">
        <v>456</v>
      </c>
      <c r="Y44" s="219"/>
      <c r="Z44" s="219"/>
      <c r="AA44" s="219"/>
    </row>
    <row r="45" spans="1:27">
      <c r="A45" s="171"/>
      <c r="B45" s="171" t="s">
        <v>312</v>
      </c>
      <c r="C45" s="180">
        <v>38.516359409090974</v>
      </c>
      <c r="D45" s="176">
        <v>3.7695771192652283</v>
      </c>
      <c r="E45" s="176">
        <v>34.746782289825745</v>
      </c>
      <c r="F45" s="176" t="s">
        <v>456</v>
      </c>
      <c r="G45" s="177"/>
      <c r="H45" s="175">
        <v>28.720587575354124</v>
      </c>
      <c r="I45" s="176">
        <v>9.7444850702094339</v>
      </c>
      <c r="J45" s="176">
        <v>18.976102505144688</v>
      </c>
      <c r="K45" s="176" t="s">
        <v>456</v>
      </c>
      <c r="L45"/>
      <c r="M45"/>
      <c r="N45" s="175">
        <v>6.463386978297736</v>
      </c>
      <c r="O45" s="176">
        <v>0.63256849920756808</v>
      </c>
      <c r="P45" s="176">
        <v>5.8308184790901691</v>
      </c>
      <c r="Q45" s="176" t="s">
        <v>456</v>
      </c>
      <c r="R45" s="177"/>
      <c r="S45" s="175">
        <v>4.8195695177719475</v>
      </c>
      <c r="T45" s="176">
        <v>1.6352110863869107</v>
      </c>
      <c r="U45" s="178"/>
      <c r="V45" s="176">
        <v>3.184358431385037</v>
      </c>
      <c r="W45" s="176" t="s">
        <v>456</v>
      </c>
      <c r="Y45" s="219"/>
      <c r="Z45" s="219"/>
      <c r="AA45" s="219"/>
    </row>
    <row r="46" spans="1:27">
      <c r="A46" s="171"/>
      <c r="B46" s="171"/>
      <c r="C46" s="180"/>
      <c r="D46" s="176"/>
      <c r="E46" s="176"/>
      <c r="F46" s="176"/>
      <c r="G46" s="177"/>
      <c r="H46" s="175"/>
      <c r="I46" s="176"/>
      <c r="J46" s="176"/>
      <c r="K46" s="176"/>
      <c r="L46"/>
      <c r="M46"/>
      <c r="N46" s="175"/>
      <c r="O46" s="176"/>
      <c r="P46" s="176"/>
      <c r="Q46" s="176"/>
      <c r="R46" s="177"/>
      <c r="S46" s="175"/>
      <c r="T46" s="176"/>
      <c r="U46" s="178"/>
      <c r="V46" s="176"/>
      <c r="W46" s="176"/>
      <c r="Y46" s="219"/>
      <c r="Z46" s="219"/>
      <c r="AA46" s="219"/>
    </row>
    <row r="47" spans="1:27">
      <c r="A47" s="185"/>
      <c r="B47" s="185" t="s">
        <v>451</v>
      </c>
      <c r="C47" s="186">
        <v>10417</v>
      </c>
      <c r="D47" s="186">
        <v>1458</v>
      </c>
      <c r="E47" s="186">
        <v>8882</v>
      </c>
      <c r="F47" s="177">
        <v>772</v>
      </c>
      <c r="G47" s="177"/>
      <c r="H47" s="184">
        <v>6132</v>
      </c>
      <c r="I47" s="177">
        <v>388</v>
      </c>
      <c r="J47" s="177">
        <v>4054</v>
      </c>
      <c r="K47" s="177">
        <v>1690</v>
      </c>
      <c r="L47"/>
      <c r="M47"/>
      <c r="N47" s="175">
        <v>9.6999999999999993</v>
      </c>
      <c r="O47" s="175">
        <v>1.4</v>
      </c>
      <c r="P47" s="175">
        <v>8.1999999999999993</v>
      </c>
      <c r="Q47" s="176">
        <v>0.9</v>
      </c>
      <c r="R47" s="177"/>
      <c r="S47" s="175">
        <v>6.2</v>
      </c>
      <c r="T47" s="176">
        <v>0.4</v>
      </c>
      <c r="U47" s="178"/>
      <c r="V47" s="176">
        <v>4.0999999999999996</v>
      </c>
      <c r="W47" s="176">
        <v>1.6</v>
      </c>
      <c r="Y47" s="219"/>
      <c r="Z47" s="219"/>
      <c r="AA47" s="219"/>
    </row>
    <row r="49" spans="2:23" s="187" customFormat="1" ht="3.65" customHeight="1">
      <c r="B49" s="188"/>
      <c r="C49" s="7"/>
      <c r="D49" s="7"/>
      <c r="E49" s="7"/>
      <c r="F49" s="7"/>
      <c r="G49" s="7"/>
      <c r="H49" s="7"/>
      <c r="I49" s="7"/>
      <c r="J49" s="7"/>
      <c r="K49" s="7"/>
      <c r="L49" s="7"/>
      <c r="M49" s="7"/>
      <c r="N49" s="7"/>
      <c r="O49" s="7"/>
      <c r="P49" s="7"/>
      <c r="Q49" s="7"/>
      <c r="R49" s="7"/>
      <c r="S49" s="7"/>
      <c r="T49" s="7"/>
      <c r="U49" s="7"/>
      <c r="V49" s="7"/>
      <c r="W49" s="7"/>
    </row>
    <row r="50" spans="2:23">
      <c r="B50" s="189" t="s">
        <v>417</v>
      </c>
    </row>
    <row r="51" spans="2:23" ht="27.65" customHeight="1">
      <c r="B51" s="225" t="s">
        <v>452</v>
      </c>
      <c r="C51" s="225"/>
      <c r="D51" s="225"/>
      <c r="E51" s="225"/>
      <c r="F51" s="225"/>
      <c r="G51" s="225"/>
      <c r="H51" s="225"/>
      <c r="I51" s="225"/>
      <c r="J51" s="225"/>
      <c r="K51" s="225"/>
      <c r="L51" s="225"/>
      <c r="M51" s="225"/>
      <c r="N51" s="225"/>
      <c r="O51" s="225"/>
      <c r="P51" s="225"/>
      <c r="Q51" s="225"/>
      <c r="R51" s="225"/>
      <c r="S51" s="225"/>
      <c r="T51" s="225"/>
      <c r="U51" s="225"/>
      <c r="V51" s="225"/>
    </row>
    <row r="52" spans="2:23">
      <c r="B52" s="2" t="s">
        <v>453</v>
      </c>
    </row>
    <row r="53" spans="2:23">
      <c r="B53" s="2" t="s">
        <v>454</v>
      </c>
    </row>
    <row r="54" spans="2:23" ht="14.5">
      <c r="B54" t="s">
        <v>455</v>
      </c>
    </row>
    <row r="55" spans="2:23" ht="14.5">
      <c r="B55" s="2" t="s">
        <v>527</v>
      </c>
    </row>
    <row r="56" spans="2:23" ht="14.5">
      <c r="B56" s="218" t="s">
        <v>529</v>
      </c>
    </row>
    <row r="57" spans="2:23">
      <c r="C57" s="190"/>
      <c r="D57" s="190"/>
      <c r="E57" s="190"/>
      <c r="F57" s="190"/>
      <c r="G57" s="190"/>
      <c r="H57" s="190"/>
      <c r="I57" s="190"/>
      <c r="J57" s="190"/>
      <c r="K57" s="190"/>
    </row>
  </sheetData>
  <mergeCells count="15">
    <mergeCell ref="B3:K3"/>
    <mergeCell ref="M3:W3"/>
    <mergeCell ref="C4:F4"/>
    <mergeCell ref="H4:K4"/>
    <mergeCell ref="N4:Q4"/>
    <mergeCell ref="S4:W4"/>
    <mergeCell ref="B51:V51"/>
    <mergeCell ref="C5:E5"/>
    <mergeCell ref="F5:F6"/>
    <mergeCell ref="I5:I6"/>
    <mergeCell ref="J5:K5"/>
    <mergeCell ref="N5:P5"/>
    <mergeCell ref="Q5:Q6"/>
    <mergeCell ref="T5:T6"/>
    <mergeCell ref="V5:W5"/>
  </mergeCells>
  <pageMargins left="0.7" right="0.7" top="0.75" bottom="0.75" header="0.3" footer="0.3"/>
  <pageSetup scale="6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F488-B887-4461-B8C8-07300CAF7C55}">
  <sheetPr>
    <tabColor theme="5" tint="0.59999389629810485"/>
  </sheetPr>
  <dimension ref="C2:N71"/>
  <sheetViews>
    <sheetView showGridLines="0" topLeftCell="A18" workbookViewId="0">
      <selection activeCell="J39" sqref="J39"/>
    </sheetView>
  </sheetViews>
  <sheetFormatPr baseColWidth="10" defaultColWidth="8.7265625" defaultRowHeight="12.5"/>
  <sheetData>
    <row r="2" spans="3:8" ht="13">
      <c r="C2" s="205" t="s">
        <v>466</v>
      </c>
    </row>
    <row r="3" spans="3:8" ht="14.5">
      <c r="C3" s="193" t="s">
        <v>458</v>
      </c>
      <c r="D3" s="67" t="s">
        <v>460</v>
      </c>
      <c r="E3" s="67" t="s">
        <v>461</v>
      </c>
      <c r="F3" s="67" t="s">
        <v>462</v>
      </c>
      <c r="G3" s="194"/>
      <c r="H3" s="195"/>
    </row>
    <row r="4" spans="3:8">
      <c r="C4" s="191" t="s">
        <v>467</v>
      </c>
      <c r="D4" s="2" t="s">
        <v>182</v>
      </c>
      <c r="E4" s="192">
        <v>3.4557432473141603</v>
      </c>
      <c r="F4" s="192">
        <v>15.673495525178295</v>
      </c>
      <c r="G4" s="2"/>
      <c r="H4" s="196"/>
    </row>
    <row r="5" spans="3:8">
      <c r="C5" s="191" t="s">
        <v>468</v>
      </c>
      <c r="D5" s="2" t="s">
        <v>226</v>
      </c>
      <c r="E5" s="192">
        <v>4.1805066006564005</v>
      </c>
      <c r="F5" s="192">
        <v>5.28521051880087</v>
      </c>
      <c r="G5" s="2"/>
      <c r="H5" s="196"/>
    </row>
    <row r="6" spans="3:8">
      <c r="C6" s="191" t="s">
        <v>469</v>
      </c>
      <c r="D6" s="2" t="s">
        <v>189</v>
      </c>
      <c r="E6" s="192">
        <v>4.272892600949719</v>
      </c>
      <c r="F6" s="192">
        <v>7.4933486006802941</v>
      </c>
      <c r="G6" s="2"/>
      <c r="H6" s="196"/>
    </row>
    <row r="7" spans="3:8">
      <c r="C7" s="191" t="s">
        <v>470</v>
      </c>
      <c r="D7" s="2" t="s">
        <v>73</v>
      </c>
      <c r="E7" s="192">
        <v>4.4849024836324336</v>
      </c>
      <c r="F7" s="192">
        <v>10.133706995889202</v>
      </c>
      <c r="G7" s="2"/>
      <c r="H7" s="196"/>
    </row>
    <row r="8" spans="3:8">
      <c r="C8" s="191" t="s">
        <v>471</v>
      </c>
      <c r="D8" s="2" t="s">
        <v>209</v>
      </c>
      <c r="E8" s="192">
        <v>7.4022943167997886</v>
      </c>
      <c r="F8" s="192">
        <v>4.5196068763764252</v>
      </c>
      <c r="G8" s="2"/>
      <c r="H8" s="196"/>
    </row>
    <row r="9" spans="3:8">
      <c r="C9" s="191" t="s">
        <v>472</v>
      </c>
      <c r="D9" s="2" t="s">
        <v>80</v>
      </c>
      <c r="E9" s="192">
        <v>7.5786887379669032</v>
      </c>
      <c r="F9" s="192">
        <v>14.374546446547997</v>
      </c>
      <c r="G9" s="2"/>
      <c r="H9" s="196"/>
    </row>
    <row r="10" spans="3:8">
      <c r="C10" s="191" t="s">
        <v>473</v>
      </c>
      <c r="D10" s="2" t="s">
        <v>232</v>
      </c>
      <c r="E10" s="192">
        <v>7.7730721144719874</v>
      </c>
      <c r="F10" s="192">
        <v>6.2291301018034106</v>
      </c>
      <c r="G10" s="2"/>
      <c r="H10" s="196"/>
    </row>
    <row r="11" spans="3:8">
      <c r="C11" s="191" t="s">
        <v>474</v>
      </c>
      <c r="D11" s="2" t="s">
        <v>170</v>
      </c>
      <c r="E11" s="192">
        <v>8.2229368961627038</v>
      </c>
      <c r="F11" s="192">
        <v>11.880038211167678</v>
      </c>
      <c r="G11" s="2"/>
      <c r="H11" s="196"/>
    </row>
    <row r="12" spans="3:8">
      <c r="C12" s="191" t="s">
        <v>475</v>
      </c>
      <c r="D12" s="2" t="s">
        <v>45</v>
      </c>
      <c r="E12" s="192">
        <v>9.583735007772944</v>
      </c>
      <c r="F12" s="192">
        <v>15.211519588685375</v>
      </c>
      <c r="G12" s="2"/>
      <c r="H12" s="196"/>
    </row>
    <row r="13" spans="3:8">
      <c r="C13" s="191" t="s">
        <v>476</v>
      </c>
      <c r="D13" s="2" t="s">
        <v>438</v>
      </c>
      <c r="E13" s="192">
        <v>9.6047679561305017</v>
      </c>
      <c r="F13" s="192">
        <v>15.508453841119907</v>
      </c>
      <c r="G13" s="2"/>
      <c r="H13" s="196"/>
    </row>
    <row r="14" spans="3:8">
      <c r="C14" s="191" t="s">
        <v>477</v>
      </c>
      <c r="D14" s="2" t="s">
        <v>198</v>
      </c>
      <c r="E14" s="192">
        <v>10.304579841086603</v>
      </c>
      <c r="F14" s="192">
        <v>8.1384895464231963</v>
      </c>
      <c r="G14" s="2"/>
      <c r="H14" s="196"/>
    </row>
    <row r="15" spans="3:8">
      <c r="C15" s="191" t="s">
        <v>478</v>
      </c>
      <c r="D15" s="2" t="s">
        <v>59</v>
      </c>
      <c r="E15" s="192">
        <v>10.898555638640223</v>
      </c>
      <c r="F15" s="192">
        <v>35.253800114434831</v>
      </c>
      <c r="G15" s="2"/>
      <c r="H15" s="196"/>
    </row>
    <row r="16" spans="3:8">
      <c r="C16" s="191" t="s">
        <v>479</v>
      </c>
      <c r="D16" s="2" t="s">
        <v>52</v>
      </c>
      <c r="E16" s="197">
        <v>13.638352846668944</v>
      </c>
      <c r="F16" s="192">
        <v>27.786270524971673</v>
      </c>
      <c r="G16" s="2"/>
      <c r="H16" s="196"/>
    </row>
    <row r="17" spans="3:8">
      <c r="C17" s="191" t="s">
        <v>480</v>
      </c>
      <c r="D17" s="2" t="s">
        <v>31</v>
      </c>
      <c r="E17" s="192">
        <v>15.882770459498252</v>
      </c>
      <c r="F17" s="192">
        <v>3.9502835723081042</v>
      </c>
      <c r="G17" s="2"/>
      <c r="H17" s="196"/>
    </row>
    <row r="18" spans="3:8">
      <c r="C18" s="191" t="s">
        <v>481</v>
      </c>
      <c r="D18" s="2" t="s">
        <v>87</v>
      </c>
      <c r="E18" s="192">
        <v>16.24023041241189</v>
      </c>
      <c r="F18" s="192">
        <v>16.713706517730021</v>
      </c>
      <c r="G18" s="2"/>
      <c r="H18" s="196"/>
    </row>
    <row r="19" spans="3:8">
      <c r="C19" s="191" t="s">
        <v>482</v>
      </c>
      <c r="D19" s="2" t="s">
        <v>66</v>
      </c>
      <c r="E19" s="192">
        <v>16.46834716835404</v>
      </c>
      <c r="F19" s="192">
        <v>28.332241013425325</v>
      </c>
      <c r="G19" s="2"/>
      <c r="H19" s="196"/>
    </row>
    <row r="20" spans="3:8">
      <c r="C20" s="191" t="s">
        <v>483</v>
      </c>
      <c r="D20" s="2" t="s">
        <v>22</v>
      </c>
      <c r="E20" s="192">
        <v>18.373752710725405</v>
      </c>
      <c r="F20" s="192">
        <v>1.7779412354862849</v>
      </c>
      <c r="G20" s="2"/>
      <c r="H20" s="196"/>
    </row>
    <row r="21" spans="3:8">
      <c r="C21" s="191" t="s">
        <v>484</v>
      </c>
      <c r="D21" s="2" t="s">
        <v>222</v>
      </c>
      <c r="E21" s="192">
        <v>18.39709108521307</v>
      </c>
      <c r="F21" s="192">
        <v>4.6898725825572125</v>
      </c>
      <c r="G21" s="2"/>
      <c r="H21" s="196"/>
    </row>
    <row r="22" spans="3:8">
      <c r="C22" s="191" t="s">
        <v>459</v>
      </c>
      <c r="D22" s="198" t="s">
        <v>459</v>
      </c>
      <c r="E22" s="197">
        <v>17.306639534787191</v>
      </c>
      <c r="F22" s="192">
        <v>11.385598314278408</v>
      </c>
      <c r="G22" s="2"/>
      <c r="H22" s="196"/>
    </row>
    <row r="23" spans="3:8">
      <c r="C23" s="191" t="s">
        <v>485</v>
      </c>
      <c r="D23" s="2" t="s">
        <v>204</v>
      </c>
      <c r="E23" s="192">
        <v>19.283678120943755</v>
      </c>
      <c r="F23" s="192">
        <v>1.6457889539613828</v>
      </c>
      <c r="G23" s="2"/>
      <c r="H23" s="196"/>
    </row>
    <row r="24" spans="3:8">
      <c r="C24" s="199" t="s">
        <v>486</v>
      </c>
      <c r="D24" s="7" t="s">
        <v>94</v>
      </c>
      <c r="E24" s="200">
        <v>25.449751749930151</v>
      </c>
      <c r="F24" s="200">
        <v>2.4359314213659848</v>
      </c>
      <c r="G24" s="7"/>
      <c r="H24" s="201"/>
    </row>
    <row r="26" spans="3:8" ht="13">
      <c r="C26" s="205" t="s">
        <v>487</v>
      </c>
    </row>
    <row r="27" spans="3:8" ht="14.5">
      <c r="C27" s="206" t="s">
        <v>458</v>
      </c>
      <c r="D27" s="207" t="s">
        <v>460</v>
      </c>
      <c r="E27" s="207" t="s">
        <v>461</v>
      </c>
      <c r="F27" s="207" t="s">
        <v>462</v>
      </c>
      <c r="G27" s="194"/>
      <c r="H27" s="195"/>
    </row>
    <row r="28" spans="3:8">
      <c r="C28" s="208" t="s">
        <v>488</v>
      </c>
      <c r="D28" s="203" t="s">
        <v>138</v>
      </c>
      <c r="E28" s="209">
        <v>0.65442396745349374</v>
      </c>
      <c r="F28" s="209">
        <v>1.1974658424331148</v>
      </c>
      <c r="G28" s="203"/>
      <c r="H28" s="210"/>
    </row>
    <row r="29" spans="3:8">
      <c r="C29" s="208" t="s">
        <v>489</v>
      </c>
      <c r="D29" s="203" t="s">
        <v>262</v>
      </c>
      <c r="E29" s="209">
        <v>1.5713893653516295</v>
      </c>
      <c r="F29" s="209">
        <v>0.12761578044596913</v>
      </c>
      <c r="G29" s="203"/>
      <c r="H29" s="210"/>
    </row>
    <row r="30" spans="3:8">
      <c r="C30" s="208" t="s">
        <v>491</v>
      </c>
      <c r="D30" s="203" t="s">
        <v>296</v>
      </c>
      <c r="E30" s="209">
        <v>1.9924764282578782</v>
      </c>
      <c r="F30" s="209">
        <v>0</v>
      </c>
      <c r="H30" s="221"/>
    </row>
    <row r="31" spans="3:8">
      <c r="C31" s="208" t="s">
        <v>492</v>
      </c>
      <c r="D31" s="203" t="s">
        <v>154</v>
      </c>
      <c r="E31" s="209">
        <v>2.1939162799420835</v>
      </c>
      <c r="F31" s="209">
        <v>0.83795413470010138</v>
      </c>
      <c r="G31" s="203"/>
      <c r="H31" s="210"/>
    </row>
    <row r="32" spans="3:8">
      <c r="C32" s="208" t="s">
        <v>493</v>
      </c>
      <c r="D32" s="203" t="s">
        <v>237</v>
      </c>
      <c r="E32" s="209">
        <v>2.2512745821149296</v>
      </c>
      <c r="F32" s="209">
        <v>1.6169375451654189</v>
      </c>
      <c r="G32" s="203"/>
      <c r="H32" s="210"/>
    </row>
    <row r="33" spans="3:8">
      <c r="C33" s="208" t="s">
        <v>494</v>
      </c>
      <c r="D33" s="203" t="s">
        <v>345</v>
      </c>
      <c r="E33" s="209">
        <v>2.4594746603328654</v>
      </c>
      <c r="F33" s="209">
        <v>0</v>
      </c>
      <c r="G33" s="203"/>
      <c r="H33" s="210"/>
    </row>
    <row r="34" spans="3:8">
      <c r="C34" s="208" t="s">
        <v>495</v>
      </c>
      <c r="D34" s="203" t="s">
        <v>338</v>
      </c>
      <c r="E34" s="209">
        <v>2.683122031298951</v>
      </c>
      <c r="F34" s="209">
        <v>0.808981516974558</v>
      </c>
      <c r="G34" s="203"/>
      <c r="H34" s="210"/>
    </row>
    <row r="35" spans="3:8">
      <c r="C35" s="208" t="s">
        <v>490</v>
      </c>
      <c r="D35" s="203" t="s">
        <v>165</v>
      </c>
      <c r="E35" s="209">
        <v>2.7</v>
      </c>
      <c r="F35" s="209">
        <v>9.5</v>
      </c>
      <c r="G35" s="203"/>
      <c r="H35" s="210"/>
    </row>
    <row r="36" spans="3:8">
      <c r="C36" s="208" t="s">
        <v>496</v>
      </c>
      <c r="D36" s="203" t="s">
        <v>306</v>
      </c>
      <c r="E36" s="209">
        <v>2.7131461435306155</v>
      </c>
      <c r="F36" s="209">
        <v>0.91590283826192742</v>
      </c>
      <c r="G36" s="203"/>
      <c r="H36" s="210"/>
    </row>
    <row r="37" spans="3:8">
      <c r="C37" s="208" t="s">
        <v>497</v>
      </c>
      <c r="D37" s="203" t="s">
        <v>319</v>
      </c>
      <c r="E37" s="209">
        <v>3.1642307773927647</v>
      </c>
      <c r="F37" s="209">
        <v>4.1779214755395486</v>
      </c>
      <c r="G37" s="203"/>
      <c r="H37" s="210"/>
    </row>
    <row r="38" spans="3:8">
      <c r="C38" s="208" t="s">
        <v>498</v>
      </c>
      <c r="D38" s="203" t="s">
        <v>124</v>
      </c>
      <c r="E38" s="209">
        <v>3.5079994753280079</v>
      </c>
      <c r="F38" s="209">
        <v>5.2117755437014797</v>
      </c>
      <c r="G38" s="203"/>
      <c r="H38" s="210"/>
    </row>
    <row r="39" spans="3:8">
      <c r="C39" s="208" t="s">
        <v>526</v>
      </c>
      <c r="D39" s="203" t="s">
        <v>526</v>
      </c>
      <c r="E39" s="209">
        <v>4.0999999999999996</v>
      </c>
      <c r="F39" s="209">
        <v>2.6</v>
      </c>
      <c r="G39" s="203"/>
      <c r="H39" s="210"/>
    </row>
    <row r="40" spans="3:8">
      <c r="C40" s="208" t="s">
        <v>499</v>
      </c>
      <c r="D40" s="203" t="s">
        <v>279</v>
      </c>
      <c r="E40" s="209">
        <v>4.4418311035086644</v>
      </c>
      <c r="F40" s="209">
        <v>2.8523315300149559</v>
      </c>
      <c r="G40" s="203"/>
      <c r="H40" s="210"/>
    </row>
    <row r="41" spans="3:8">
      <c r="C41" s="208" t="s">
        <v>500</v>
      </c>
      <c r="D41" s="203" t="s">
        <v>102</v>
      </c>
      <c r="E41" s="209">
        <v>4.5175576086619849</v>
      </c>
      <c r="F41" s="209">
        <v>1.9984280402043679</v>
      </c>
      <c r="G41" s="203"/>
      <c r="H41" s="210"/>
    </row>
    <row r="42" spans="3:8">
      <c r="C42" s="208" t="s">
        <v>501</v>
      </c>
      <c r="D42" s="203" t="s">
        <v>131</v>
      </c>
      <c r="E42" s="209">
        <v>4.5321570570531771</v>
      </c>
      <c r="F42" s="209">
        <v>0.87565550573371964</v>
      </c>
      <c r="G42" s="203"/>
      <c r="H42" s="210"/>
    </row>
    <row r="43" spans="3:8">
      <c r="C43" s="208" t="s">
        <v>502</v>
      </c>
      <c r="D43" s="203" t="s">
        <v>147</v>
      </c>
      <c r="E43" s="209">
        <v>4.5378286069427096</v>
      </c>
      <c r="F43" s="209">
        <v>1.464931484771163</v>
      </c>
      <c r="G43" s="203"/>
      <c r="H43" s="210"/>
    </row>
    <row r="44" spans="3:8">
      <c r="C44" s="208" t="s">
        <v>503</v>
      </c>
      <c r="D44" s="203" t="s">
        <v>256</v>
      </c>
      <c r="E44" s="209">
        <v>4.7053509644817844</v>
      </c>
      <c r="F44" s="209">
        <v>5.738532009468333</v>
      </c>
      <c r="G44" s="203"/>
      <c r="H44" s="210"/>
    </row>
    <row r="45" spans="3:8">
      <c r="C45" s="208" t="s">
        <v>504</v>
      </c>
      <c r="D45" s="203" t="s">
        <v>116</v>
      </c>
      <c r="E45" s="209">
        <v>4.7801156546253365</v>
      </c>
      <c r="F45" s="209">
        <v>1.296401676315599</v>
      </c>
      <c r="G45" s="203"/>
      <c r="H45" s="210"/>
    </row>
    <row r="46" spans="3:8">
      <c r="C46" s="208" t="s">
        <v>505</v>
      </c>
      <c r="D46" s="203" t="s">
        <v>242</v>
      </c>
      <c r="E46" s="209">
        <v>5.0326678658001889</v>
      </c>
      <c r="F46" s="209">
        <v>3.8969661376660198</v>
      </c>
      <c r="G46" s="203"/>
      <c r="H46" s="210"/>
    </row>
    <row r="47" spans="3:8">
      <c r="C47" s="208" t="s">
        <v>506</v>
      </c>
      <c r="D47" s="203" t="s">
        <v>159</v>
      </c>
      <c r="E47" s="209">
        <v>5.8576606558448407</v>
      </c>
      <c r="F47" s="209">
        <v>4.0820635535067034</v>
      </c>
      <c r="G47" s="203"/>
      <c r="H47" s="210"/>
    </row>
    <row r="48" spans="3:8">
      <c r="C48" s="208" t="s">
        <v>507</v>
      </c>
      <c r="D48" s="203" t="s">
        <v>268</v>
      </c>
      <c r="E48" s="209">
        <v>6.1492492800160736</v>
      </c>
      <c r="F48" s="209">
        <v>1.0822935394318946E-3</v>
      </c>
      <c r="G48" s="203"/>
      <c r="H48" s="210"/>
    </row>
    <row r="49" spans="3:14">
      <c r="C49" s="208" t="s">
        <v>508</v>
      </c>
      <c r="D49" s="203" t="s">
        <v>312</v>
      </c>
      <c r="E49" s="209">
        <v>6.463386978297736</v>
      </c>
      <c r="F49" s="209">
        <v>4.8195695177719475</v>
      </c>
      <c r="G49" s="211"/>
      <c r="H49" s="212"/>
    </row>
    <row r="50" spans="3:14">
      <c r="C50" s="208" t="s">
        <v>509</v>
      </c>
      <c r="D50" s="203" t="s">
        <v>301</v>
      </c>
      <c r="E50" s="209">
        <v>7.8478940548341756</v>
      </c>
      <c r="F50" s="209">
        <v>11.750782332551351</v>
      </c>
      <c r="G50" s="211"/>
      <c r="H50" s="212"/>
    </row>
    <row r="51" spans="3:14">
      <c r="C51" s="208" t="s">
        <v>510</v>
      </c>
      <c r="D51" s="203" t="s">
        <v>108</v>
      </c>
      <c r="E51" s="209">
        <v>9.2362126130761357</v>
      </c>
      <c r="F51" s="209">
        <v>6.1507617357903435</v>
      </c>
      <c r="G51" s="203"/>
      <c r="H51" s="210"/>
    </row>
    <row r="52" spans="3:14">
      <c r="C52" s="208" t="s">
        <v>511</v>
      </c>
      <c r="D52" s="203" t="s">
        <v>331</v>
      </c>
      <c r="E52" s="209">
        <v>11.402518720833598</v>
      </c>
      <c r="F52" s="209">
        <v>4.2361312566225386</v>
      </c>
      <c r="G52" s="203"/>
      <c r="H52" s="210"/>
    </row>
    <row r="53" spans="3:14">
      <c r="C53" s="213" t="s">
        <v>512</v>
      </c>
      <c r="D53" s="214" t="s">
        <v>249</v>
      </c>
      <c r="E53" s="215">
        <v>14.09619540198695</v>
      </c>
      <c r="F53" s="215">
        <v>2.4993669036002961</v>
      </c>
      <c r="G53" s="214"/>
      <c r="H53" s="216"/>
    </row>
    <row r="55" spans="3:14" ht="13">
      <c r="C55" s="217" t="s">
        <v>525</v>
      </c>
    </row>
    <row r="56" spans="3:14" ht="14.5">
      <c r="C56" s="193" t="s">
        <v>458</v>
      </c>
      <c r="D56" s="67" t="s">
        <v>460</v>
      </c>
      <c r="E56" s="67" t="s">
        <v>461</v>
      </c>
      <c r="F56" s="67" t="s">
        <v>462</v>
      </c>
      <c r="G56" s="194"/>
      <c r="H56" s="195"/>
    </row>
    <row r="57" spans="3:14" ht="14.5">
      <c r="C57" s="191" t="s">
        <v>513</v>
      </c>
      <c r="D57" s="2" t="s">
        <v>382</v>
      </c>
      <c r="E57" s="192">
        <v>0.72281274109279325</v>
      </c>
      <c r="F57" s="192">
        <v>0.26062959414403603</v>
      </c>
      <c r="G57" s="202"/>
      <c r="H57" s="204"/>
      <c r="M57" s="220"/>
      <c r="N57" s="220"/>
    </row>
    <row r="58" spans="3:14">
      <c r="C58" s="191" t="s">
        <v>514</v>
      </c>
      <c r="D58" s="2" t="s">
        <v>388</v>
      </c>
      <c r="E58" s="192">
        <v>0.74293024848976019</v>
      </c>
      <c r="F58" s="192">
        <v>1.2701833620956746</v>
      </c>
      <c r="G58" s="2"/>
      <c r="H58" s="196"/>
      <c r="M58" s="220"/>
      <c r="N58" s="220"/>
    </row>
    <row r="59" spans="3:14">
      <c r="C59" s="191" t="s">
        <v>515</v>
      </c>
      <c r="D59" s="2" t="s">
        <v>352</v>
      </c>
      <c r="E59" s="192">
        <v>1.4078706806647932</v>
      </c>
      <c r="F59" s="192">
        <v>7.2073015476377969E-2</v>
      </c>
      <c r="G59" s="2"/>
      <c r="H59" s="196"/>
      <c r="M59" s="220"/>
      <c r="N59" s="220"/>
    </row>
    <row r="60" spans="3:14">
      <c r="C60" s="191" t="s">
        <v>516</v>
      </c>
      <c r="D60" s="2" t="s">
        <v>405</v>
      </c>
      <c r="E60" s="192">
        <v>1.6788172566898991</v>
      </c>
      <c r="F60" s="192">
        <v>0.48027595990526362</v>
      </c>
      <c r="G60" s="2"/>
      <c r="H60" s="196"/>
      <c r="M60" s="220"/>
      <c r="N60" s="220"/>
    </row>
    <row r="61" spans="3:14">
      <c r="C61" s="191" t="s">
        <v>464</v>
      </c>
      <c r="D61" s="2" t="s">
        <v>464</v>
      </c>
      <c r="E61" s="192">
        <v>2.0479253649651623</v>
      </c>
      <c r="F61" s="192">
        <v>0.15671063224040413</v>
      </c>
      <c r="G61" s="2"/>
      <c r="H61" s="196"/>
      <c r="M61" s="220"/>
      <c r="N61" s="220"/>
    </row>
    <row r="62" spans="3:14">
      <c r="C62" s="191" t="s">
        <v>517</v>
      </c>
      <c r="D62" s="2" t="s">
        <v>413</v>
      </c>
      <c r="E62" s="192">
        <v>2.0903179195391677</v>
      </c>
      <c r="F62" s="192">
        <v>0.26496987712468323</v>
      </c>
      <c r="G62" s="2"/>
      <c r="H62" s="196"/>
      <c r="M62" s="220"/>
      <c r="N62" s="220"/>
    </row>
    <row r="63" spans="3:14">
      <c r="C63" s="191" t="s">
        <v>465</v>
      </c>
      <c r="D63" s="2" t="s">
        <v>393</v>
      </c>
      <c r="E63" s="192">
        <v>2.3707909284496753</v>
      </c>
      <c r="F63" s="192">
        <v>0</v>
      </c>
      <c r="G63" s="2"/>
      <c r="H63" s="196"/>
      <c r="M63" s="220"/>
      <c r="N63" s="220"/>
    </row>
    <row r="64" spans="3:14">
      <c r="C64" s="191" t="s">
        <v>518</v>
      </c>
      <c r="D64" s="2" t="s">
        <v>372</v>
      </c>
      <c r="E64" s="192">
        <v>2.373091974528696</v>
      </c>
      <c r="F64" s="192">
        <v>1.1653576660631988</v>
      </c>
      <c r="G64" s="2"/>
      <c r="H64" s="196"/>
      <c r="M64" s="220"/>
      <c r="N64" s="220"/>
    </row>
    <row r="65" spans="3:14">
      <c r="C65" s="191" t="s">
        <v>519</v>
      </c>
      <c r="D65" s="2" t="s">
        <v>359</v>
      </c>
      <c r="E65" s="192">
        <v>2.4597335906408286</v>
      </c>
      <c r="F65" s="192">
        <v>0.62234223377659526</v>
      </c>
      <c r="G65" s="2"/>
      <c r="H65" s="196"/>
      <c r="M65" s="220"/>
      <c r="N65" s="220"/>
    </row>
    <row r="66" spans="3:14">
      <c r="C66" s="191" t="s">
        <v>465</v>
      </c>
      <c r="D66" s="2" t="s">
        <v>463</v>
      </c>
      <c r="E66" s="192">
        <v>2.5</v>
      </c>
      <c r="F66" s="192">
        <v>0</v>
      </c>
      <c r="G66" s="2"/>
      <c r="H66" s="196"/>
      <c r="M66" s="220"/>
      <c r="N66" s="220"/>
    </row>
    <row r="67" spans="3:14">
      <c r="C67" s="191" t="s">
        <v>520</v>
      </c>
      <c r="D67" s="2" t="s">
        <v>378</v>
      </c>
      <c r="E67" s="192">
        <v>2.5045970637574322</v>
      </c>
      <c r="F67" s="192">
        <v>0</v>
      </c>
      <c r="G67" s="2"/>
      <c r="H67" s="196"/>
      <c r="M67" s="220"/>
      <c r="N67" s="220"/>
    </row>
    <row r="68" spans="3:14">
      <c r="C68" s="191" t="s">
        <v>521</v>
      </c>
      <c r="D68" s="2" t="s">
        <v>363</v>
      </c>
      <c r="E68" s="192">
        <v>3.2633816696409426</v>
      </c>
      <c r="F68" s="192">
        <v>0.31328464028553049</v>
      </c>
      <c r="G68" s="2"/>
      <c r="H68" s="196"/>
      <c r="M68" s="220"/>
      <c r="N68" s="220"/>
    </row>
    <row r="69" spans="3:14">
      <c r="C69" s="191" t="s">
        <v>522</v>
      </c>
      <c r="D69" s="2" t="s">
        <v>396</v>
      </c>
      <c r="E69" s="192">
        <v>4.3213332525970563</v>
      </c>
      <c r="F69" s="192">
        <v>0.1762370820798147</v>
      </c>
      <c r="G69" s="2"/>
      <c r="H69" s="196"/>
      <c r="M69" s="220"/>
      <c r="N69" s="220"/>
    </row>
    <row r="70" spans="3:14">
      <c r="C70" s="191" t="s">
        <v>523</v>
      </c>
      <c r="D70" s="2" t="s">
        <v>401</v>
      </c>
      <c r="E70" s="192">
        <v>4.4294827387285496</v>
      </c>
      <c r="F70" s="192">
        <v>1.3271212874789819</v>
      </c>
      <c r="G70" s="2"/>
      <c r="H70" s="196"/>
      <c r="M70" s="220"/>
      <c r="N70" s="220"/>
    </row>
    <row r="71" spans="3:14">
      <c r="C71" s="199" t="s">
        <v>524</v>
      </c>
      <c r="D71" s="7" t="s">
        <v>368</v>
      </c>
      <c r="E71" s="200">
        <v>6.702226729381966</v>
      </c>
      <c r="F71" s="200">
        <v>1.8202679873389367</v>
      </c>
      <c r="G71" s="7"/>
      <c r="H71" s="201"/>
      <c r="M71" s="220"/>
      <c r="N71" s="220"/>
    </row>
  </sheetData>
  <pageMargins left="0.7" right="0.7" top="0.75" bottom="0.75" header="0.3" footer="0.3"/>
  <pageSetup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4</vt:i4>
      </vt:variant>
    </vt:vector>
  </HeadingPairs>
  <TitlesOfParts>
    <vt:vector size="7" baseType="lpstr">
      <vt:lpstr>Database</vt:lpstr>
      <vt:lpstr>Summary.Global</vt:lpstr>
      <vt:lpstr>Figure</vt:lpstr>
      <vt:lpstr>Database!Druckbereich</vt:lpstr>
      <vt:lpstr>Summary.Global!Druckbereich</vt:lpstr>
      <vt:lpstr>Database!Drucktitel</vt:lpstr>
      <vt:lpstr>Summary.Global!Drucktitel</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 Yuan</dc:creator>
  <cp:lastModifiedBy>aulis pesenti</cp:lastModifiedBy>
  <cp:lastPrinted>2021-07-25T15:12:17Z</cp:lastPrinted>
  <dcterms:created xsi:type="dcterms:W3CDTF">2021-06-28T18:43:58Z</dcterms:created>
  <dcterms:modified xsi:type="dcterms:W3CDTF">2024-04-29T08:37:04Z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{9E135E7C-3B8B-413A-859C-D74F679EF125}</vt:lpwstr>
  </property>
</Properties>
</file>