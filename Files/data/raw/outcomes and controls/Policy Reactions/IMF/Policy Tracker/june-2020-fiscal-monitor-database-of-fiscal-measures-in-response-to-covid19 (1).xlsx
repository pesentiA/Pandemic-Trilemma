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49" documentId="8_{1E7F927B-4D47-4CE3-B88E-088F3100A76F}" xr6:coauthVersionLast="47" xr6:coauthVersionMax="47" xr10:uidLastSave="{DB859A5C-1CAF-44BD-9BFB-B335C41ED05A}"/>
  <bookViews>
    <workbookView xWindow="-4665" yWindow="-21600" windowWidth="26010" windowHeight="20985" activeTab="2" xr2:uid="{F63FA2F4-72A2-42CD-8675-46C63D8073D0}"/>
  </bookViews>
  <sheets>
    <sheet name="Read me" sheetId="23" r:id="rId1"/>
    <sheet name="Database" sheetId="27" r:id="rId2"/>
    <sheet name="Summary Table" sheetId="29" r:id="rId3"/>
    <sheet name="Figure. Fiscal Measures Summary" sheetId="26" r:id="rId4"/>
  </sheets>
  <definedNames>
    <definedName name="_xlnm._FilterDatabase" localSheetId="1" hidden="1">Database!$A$5:$F$5</definedName>
    <definedName name="_xlnm.Print_Area" localSheetId="1">Database!$C$2:$X$176</definedName>
    <definedName name="_xlnm.Print_Area" localSheetId="2">'Summary Table'!$B$1:$W$34</definedName>
    <definedName name="_xlnm.Print_Titles" localSheetId="1">Database!$4:$5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<sst xmlns="http://schemas.openxmlformats.org/spreadsheetml/2006/main" count="1165" uniqueCount="396">
  <si>
    <t>Australia</t>
  </si>
  <si>
    <t>Canada</t>
  </si>
  <si>
    <t>France</t>
  </si>
  <si>
    <t>Germany</t>
  </si>
  <si>
    <t>Italy</t>
  </si>
  <si>
    <t>Japan</t>
  </si>
  <si>
    <t>Korea</t>
  </si>
  <si>
    <t>United Kingdom</t>
  </si>
  <si>
    <t>United States</t>
  </si>
  <si>
    <t>Argentina</t>
  </si>
  <si>
    <t>Brazil</t>
  </si>
  <si>
    <t>China</t>
  </si>
  <si>
    <t>India</t>
  </si>
  <si>
    <t>Indonesia</t>
  </si>
  <si>
    <t>Mexico</t>
  </si>
  <si>
    <t>Russia</t>
  </si>
  <si>
    <t>Saudi Arabia</t>
  </si>
  <si>
    <t>South Africa</t>
  </si>
  <si>
    <t>Turkey</t>
  </si>
  <si>
    <t>Denmark</t>
  </si>
  <si>
    <t>Finland</t>
  </si>
  <si>
    <t>Sweden</t>
  </si>
  <si>
    <t>Poland</t>
  </si>
  <si>
    <t>Egypt</t>
  </si>
  <si>
    <t>Bulgaria</t>
  </si>
  <si>
    <t>Nigeria</t>
  </si>
  <si>
    <t>Tunisia</t>
  </si>
  <si>
    <t>Singapore</t>
  </si>
  <si>
    <t>Spain</t>
  </si>
  <si>
    <t>Vietnam</t>
  </si>
  <si>
    <t>Colombia</t>
  </si>
  <si>
    <t>Kazakhstan</t>
  </si>
  <si>
    <t>Norway</t>
  </si>
  <si>
    <t>Bangladesh</t>
  </si>
  <si>
    <t>Honduras</t>
  </si>
  <si>
    <t>Albania</t>
  </si>
  <si>
    <t>Chile</t>
  </si>
  <si>
    <t>United Arab Emirates</t>
  </si>
  <si>
    <t>n.a.</t>
  </si>
  <si>
    <t>Mauritius</t>
  </si>
  <si>
    <t>Senegal</t>
  </si>
  <si>
    <t>Total size</t>
  </si>
  <si>
    <t>Sources: National authorities and IMF staff estimates.</t>
  </si>
  <si>
    <t>LC bn</t>
  </si>
  <si>
    <t>USD bn</t>
  </si>
  <si>
    <t>% GDP</t>
  </si>
  <si>
    <t>The Netherlands</t>
  </si>
  <si>
    <t>Contingent liabilities</t>
  </si>
  <si>
    <t>• Additional funding for the Instituto de Crédito Official (ICO) credit lines (€10 bn)</t>
  </si>
  <si>
    <t>The State Pension Fund will invest in commercial paper (€1 bn).</t>
  </si>
  <si>
    <t>• Coronavirus Aid, Relief, and Economic Security Act (March 27, 2020) includes $454 bn to backstop section 13(3) Federal Reserve facilities that purchase corporate obligations in primary or secondary market.</t>
  </si>
  <si>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</si>
  <si>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 The Abu Dhabi government announced provision of loans to SMEs. 
• State-owned enterprises and banks support the private sector through loan restructuring, lowering lease payments (by real estate companies), halting evictions etc.</t>
  </si>
  <si>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</si>
  <si>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t xml:space="preserve">• The reinstatement of a government fund that buys bonds issued by Norwegian companies to increase liquidity and access to capital in the Norwegian bond market, with a ceiling of NOK 50 bn. </t>
  </si>
  <si>
    <t>• Abu Dhabi: Credit guarantees and liquidity support to small- and medium-sized enterprises.</t>
  </si>
  <si>
    <r>
      <rPr>
        <b/>
        <sz val="10"/>
        <color theme="1"/>
        <rFont val="Arial"/>
        <family val="2"/>
      </rPr>
      <t>Deferred revenue</t>
    </r>
    <r>
      <rPr>
        <sz val="10"/>
        <color theme="1"/>
        <rFont val="Arial"/>
        <family val="2"/>
      </rPr>
      <t>: including options for deferring tax payments and reducing prepayments until the year-end without penalties.</t>
    </r>
  </si>
  <si>
    <r>
      <rPr>
        <b/>
        <sz val="10"/>
        <color theme="1"/>
        <rFont val="Arial"/>
        <family val="2"/>
      </rPr>
      <t xml:space="preserve">Additional spending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</si>
  <si>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t>Equity injections, asset purchases, loans, debt assumptions, including through extra-budgetary funds</t>
  </si>
  <si>
    <t>Subtotal</t>
  </si>
  <si>
    <t>European Union</t>
  </si>
  <si>
    <t>USD Billion</t>
  </si>
  <si>
    <t/>
  </si>
  <si>
    <t>Percent of GDP</t>
  </si>
  <si>
    <t>• The EU Council agreed on a new guarantee fund of €25 billion for the European Investment Bank, which is estimated to provide bank financing of around €200 billion to firms, particularly SMEs, across the EU. The guarantee fund comes on top of an earlier support package of up to €40 billion announced in March, and both packages are likely to be funded by voluntary contributions from Member States.</t>
  </si>
  <si>
    <t>Czech republic</t>
  </si>
  <si>
    <t>Czech Republic</t>
  </si>
  <si>
    <t>Additional spending and forgone revenue in the health sector</t>
  </si>
  <si>
    <t>Additional spending and forgone revenue
in areas other than health</t>
  </si>
  <si>
    <t>• The authorities announced potential direct equity support in strategic companies (around €21 bn).</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</si>
  <si>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</si>
  <si>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Belgium</t>
  </si>
  <si>
    <t>Ethiopia</t>
  </si>
  <si>
    <t>Georgia</t>
  </si>
  <si>
    <t>Ghana</t>
  </si>
  <si>
    <t>Kenya</t>
  </si>
  <si>
    <t>New Zealand</t>
  </si>
  <si>
    <t>Pakistan</t>
  </si>
  <si>
    <t>Peru</t>
  </si>
  <si>
    <t>Philippines</t>
  </si>
  <si>
    <t>Romania</t>
  </si>
  <si>
    <t>Switzerland</t>
  </si>
  <si>
    <t>Thailand</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</si>
  <si>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</si>
  <si>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r>
      <rPr>
        <b/>
        <sz val="10"/>
        <rFont val="Arial"/>
        <family val="2"/>
      </rPr>
      <t>Additional spending (AUD 5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</si>
  <si>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Additional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</si>
  <si>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Additional spending (€8 bn): </t>
    </r>
    <r>
      <rPr>
        <sz val="10"/>
        <color theme="1"/>
        <rFont val="Arial"/>
        <family val="2"/>
      </rPr>
      <t>Support for streamlining and boosting health insurance (paid sick leave) for the sick or their caregivers, higher spending on health supplies; bonuses for health workers.</t>
    </r>
  </si>
  <si>
    <r>
      <rPr>
        <b/>
        <sz val="10"/>
        <color theme="1"/>
        <rFont val="Arial"/>
        <family val="2"/>
      </rPr>
      <t>Additional spending (€4.3 bn):</t>
    </r>
    <r>
      <rPr>
        <sz val="10"/>
        <color theme="1"/>
        <rFont val="Arial"/>
        <family val="2"/>
      </rPr>
      <t xml:space="preserve">
• Budget support from the contingency fund to the Ministry of Health (€1.4 bn); advance transfer to the regions for health services (€2.9 bn); additional funding for research related to the development of drugs and vaccines (€0.05 bn).
• An emergency management process for the procurement of all goods and services needed by the public sector to implement any measure to address the pandemic.</t>
    </r>
  </si>
  <si>
    <t>• A loan guarantee scheme for firms with a turnover of between NZ$250 thousand and NZ$80 million per annum, with the Government carrying 80% of the credit risk. The loans will be limited to NZ$500 thousand for a maximum of three years and expected to be provided by the banks at competitive, transparent rates.</t>
  </si>
  <si>
    <t>Guinea-Bissau</t>
  </si>
  <si>
    <t>• The Bank of Thailand has been authorized to lend THB500 billion to financial institutions for on-lending to SMEs. Financial institutions will be compensated up to 60 or 70 percent of the additional loans in case these turn nonperforming.</t>
  </si>
  <si>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withholding tax (A-taxes) and labor market contributions (DKK 90 bn), for businesses that pay VAT on a monthly basis (DKK 35 bn), for provisional tax paid by self-employed businessmen (B-taxes) (DKK 5 bn), and for payroll tax for certain businesses. (DKK 0.4 bn)
• VAT period for small enterprises will be extended from 6 to 12 months in 2020, and for medium-sized enterprises from 3 to 6 months in the first half of 2020 (DKK 35 bn)
</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</si>
  <si>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
• Reinsurance scheme targeted companies using trade credit insurance</t>
  </si>
  <si>
    <t>General Government</t>
  </si>
  <si>
    <t>Central Government</t>
  </si>
  <si>
    <t>Non-financial Public Sector</t>
  </si>
  <si>
    <t>• Development banks to provide loans, particularly to small- and medium-scale enterprises (SMEs).</t>
  </si>
  <si>
    <t>• RUB 70 billion for restructuring regional debt to the federal government.
• Recapitalization of leasing firms due to potential problems of their clients in the transportation sector.</t>
  </si>
  <si>
    <t>Programs from the industrial development corporation to support businesses.</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</si>
  <si>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</si>
  <si>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</si>
  <si>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 xml:space="preserve">• Guarantees to new financial sector loans for working capital, primarily targeted to SMEs. The program is also tied to a liquidity provision program in which the central bank can accept the guaranteed loans for repo operations. </t>
  </si>
  <si>
    <t>• Credit guarantees for small businesses and support to the agriculture sector.</t>
  </si>
  <si>
    <t xml:space="preserve">• Microfinancing special loan package for affected micro entrepreneurs and MSMEs. </t>
  </si>
  <si>
    <t xml:space="preserve">• Establish a government guarantee and loan scheme which includes loan guarantees for SMEs (NOK 50 bn) and a scheme for re-insurance of private credit insurance providers (NOK 20 bn). </t>
  </si>
  <si>
    <r>
      <rPr>
        <sz val="10"/>
        <color theme="1"/>
        <rFont val="Symbol"/>
        <family val="1"/>
        <charset val="2"/>
      </rPr>
      <t xml:space="preserve">· </t>
    </r>
    <r>
      <rPr>
        <sz val="10"/>
        <color theme="1"/>
        <rFont val="Arial"/>
        <family val="2"/>
      </rPr>
      <t xml:space="preserve">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</si>
  <si>
    <t>General government</t>
  </si>
  <si>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</si>
  <si>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r>
      <rPr>
        <b/>
        <sz val="10"/>
        <color theme="1"/>
        <rFont val="Arial"/>
        <family val="2"/>
      </rPr>
      <t xml:space="preserve">Accelerated spending: 
</t>
    </r>
    <r>
      <rPr>
        <sz val="10"/>
        <color theme="1"/>
        <rFont val="Arial"/>
        <family val="2"/>
      </rPr>
      <t xml:space="preserve">• Early pension fund withdrawals.
</t>
    </r>
    <r>
      <rPr>
        <b/>
        <sz val="10"/>
        <color theme="1"/>
        <rFont val="Arial"/>
        <family val="2"/>
      </rPr>
      <t xml:space="preserve">
Deferred revenue: </t>
    </r>
    <r>
      <rPr>
        <sz val="10"/>
        <color theme="1"/>
        <rFont val="Arial"/>
        <family val="2"/>
      </rPr>
      <t xml:space="preserve">
• Income tax deferrals for individuals and businesses.
• Extension in declaration deadline of tax payments for households and SMEs.</t>
    </r>
  </si>
  <si>
    <t>Above the line measures</t>
  </si>
  <si>
    <t>Guarantees</t>
  </si>
  <si>
    <t>Quasi-fiscal operations</t>
  </si>
  <si>
    <t xml:space="preserve">• Government to provide the Australian Office of Financial Management with an investment capacity (AUD 15 bn) to invest in structured finance markets used by smaller lenders. </t>
  </si>
  <si>
    <t>• A loan guarantee arrangement between the Government and participating banks to cover the immediate cash flow needs of SMEs.</t>
  </si>
  <si>
    <t>A. Above-the line measures</t>
  </si>
  <si>
    <t>B. Below the line measures</t>
  </si>
  <si>
    <t>C. Contingent liabilities</t>
  </si>
  <si>
    <t>Total off-budget (B+C)</t>
  </si>
  <si>
    <r>
      <rPr>
        <b/>
        <sz val="10"/>
        <color theme="1"/>
        <rFont val="Arial"/>
        <family val="2"/>
      </rPr>
      <t xml:space="preserve">Additional spending (CAD 4 bn): </t>
    </r>
    <r>
      <rPr>
        <sz val="10"/>
        <color theme="1"/>
        <rFont val="Arial"/>
        <family val="2"/>
      </rPr>
      <t>Support to the health system including for increased testing, vaccine development, medical supplies, mitigation efforts, and greater protection of Indigenous communities.</t>
    </r>
  </si>
  <si>
    <r>
      <rPr>
        <b/>
        <sz val="10"/>
        <color theme="1"/>
        <rFont val="Arial"/>
        <family val="2"/>
      </rPr>
      <t xml:space="preserve">Additional spending (CAD 116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t>
    </r>
  </si>
  <si>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</si>
  <si>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</si>
  <si>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</si>
  <si>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t>• Farm Credit Canada will receive support from the government that will allow for an additional CAD 5 bn in lending capacity to producers, agribusinesses, and food processors.</t>
  </si>
  <si>
    <r>
      <rPr>
        <b/>
        <sz val="10"/>
        <rFont val="Arial"/>
        <family val="2"/>
      </rPr>
      <t xml:space="preserve">Additional spending: 
</t>
    </r>
    <r>
      <rPr>
        <sz val="10"/>
        <rFont val="Arial"/>
        <family val="2"/>
      </rPr>
      <t xml:space="preserve">• At the Commonwealth level (AUD 128 bn), tax-free cash payments and wage subsidies to eligible small businesses to continue operations and keep their workers; payments to lower-income Australians, including pensioners, other social security and veteran income support recipients, and eligible concession card holders.
• At state and territory level, discounted utility bills and cash payments to vulnerable households.
</t>
    </r>
    <r>
      <rPr>
        <b/>
        <sz val="10"/>
        <rFont val="Arial"/>
        <family val="2"/>
      </rPr>
      <t xml:space="preserve">Forgone revenue: 
</t>
    </r>
    <r>
      <rPr>
        <sz val="10"/>
        <rFont val="Arial"/>
        <family val="2"/>
      </rPr>
      <t>• At the Commonwealth level (AUD 5.8 bn), asset write-off; accelerated depreciation deductions; tax relief for airlines and airports; waiver of fees and charges for tourism businesses in most affected regions/communities.
• At state and territory level, payroll tax relief for firms.</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</si>
  <si>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</si>
  <si>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</si>
  <si>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r>
      <rPr>
        <b/>
        <sz val="10"/>
        <color theme="1"/>
        <rFont val="Arial"/>
        <family val="2"/>
      </rPr>
      <t>Additional spending:</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t>
    </r>
    <r>
      <rPr>
        <sz val="10"/>
        <color theme="1"/>
        <rFont val="Arial"/>
        <family val="2"/>
      </rPr>
      <t xml:space="preserve">
• Waiver of VAT and customs duties on critical medical imports, including ventilators, testing kits, and protective gear.</t>
    </r>
  </si>
  <si>
    <r>
      <rPr>
        <b/>
        <sz val="10"/>
        <color theme="1"/>
        <rFont val="Arial"/>
        <family val="2"/>
      </rPr>
      <t>Deferred revenue</t>
    </r>
    <r>
      <rPr>
        <sz val="10"/>
        <color theme="1"/>
        <rFont val="Arial"/>
        <family val="2"/>
      </rPr>
      <t>: 
• Deferral of income tax for the self employed and VAT payments; 
• Time to Pay arrangements (tax debt restructuring) for businesses and individuals.</t>
    </r>
  </si>
  <si>
    <t xml:space="preserve">• Coronavirus Aid, Relief, and Economic Security Act (March 27, 2020) includes $56 bn in loans for distress businesses (e.g., passenger and cargo air carriers, postal service).
</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</si>
  <si>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</si>
  <si>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r>
      <t xml:space="preserve">•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</si>
  <si>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</si>
  <si>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r>
      <rPr>
        <b/>
        <sz val="10"/>
        <rFont val="Arial"/>
        <family val="2"/>
      </rPr>
      <t xml:space="preserve">Accelerated spending </t>
    </r>
    <r>
      <rPr>
        <sz val="10"/>
        <rFont val="Arial"/>
        <family val="2"/>
      </rPr>
      <t>(0.7 percent of GDP):</t>
    </r>
    <r>
      <rPr>
        <b/>
        <sz val="10"/>
        <rFont val="Arial"/>
        <family val="2"/>
      </rPr>
      <t xml:space="preserve">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(0.8 percent of GDP):
• Tax deferrals (corporate income tax, VAT, property).
</t>
    </r>
  </si>
  <si>
    <t xml:space="preserve">• Credit guarantee scheme for SMEs that could apply to credits totaling US$24 billion.
</t>
  </si>
  <si>
    <t>• Liquidity provision to SMEs and households, including through the state-owned Banco del Estado (0.2 percent of GDP). 
• A state injection to the unemployment insurance fund (0.9 percent of GDP).</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</si>
  <si>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</si>
  <si>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t>• Equity infusion for companies in the electricity distribution (DISCOM) sector (Rs 900 bn), carried out by Power Finance Corps and Rural Electrification Corps (both SOEs).</t>
  </si>
  <si>
    <t>• Equity infusion for micro, small, and medium-sized enterprises (Rs 500 bn)</t>
  </si>
  <si>
    <r>
      <rPr>
        <b/>
        <sz val="10"/>
        <color theme="1"/>
        <rFont val="Arial"/>
        <family val="2"/>
      </rPr>
      <t>Deferred revenue</t>
    </r>
    <r>
      <rPr>
        <sz val="10"/>
        <color theme="1"/>
        <rFont val="Arial"/>
        <family val="2"/>
      </rPr>
      <t>:
• Tax filing dates were extended by six months.</t>
    </r>
  </si>
  <si>
    <t xml:space="preserve">• New credit guarantees and micro loans for entrepreneurs estimated at PLN 75 billion (3.4 percent of GDP)
</t>
  </si>
  <si>
    <r>
      <rPr>
        <b/>
        <sz val="10"/>
        <color theme="1"/>
        <rFont val="Arial"/>
        <family val="2"/>
      </rPr>
      <t>Deferred revenue</t>
    </r>
    <r>
      <rPr>
        <sz val="10"/>
        <color theme="1"/>
        <rFont val="Arial"/>
        <family val="2"/>
      </rPr>
      <t>: Companies can defer tax payments without penalties, and calculate provisional taxes on the basis of expected reduced activity levels. Entrepreneurs can request  a deferral of tax payment, without the need to provide evidence.</t>
    </r>
  </si>
  <si>
    <r>
      <rPr>
        <b/>
        <sz val="10"/>
        <color theme="1"/>
        <rFont val="Arial"/>
        <family val="2"/>
      </rPr>
      <t>Deferred revenue (SAR 48bn)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</si>
  <si>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t>
    </r>
  </si>
  <si>
    <r>
      <rPr>
        <b/>
        <sz val="10"/>
        <color theme="1"/>
        <rFont val="Arial"/>
        <family val="2"/>
      </rPr>
      <t>Deferred revenue</t>
    </r>
    <r>
      <rPr>
        <sz val="10"/>
        <color theme="1"/>
        <rFont val="Arial"/>
        <family val="2"/>
      </rPr>
      <t>: from various taxes.</t>
    </r>
  </si>
  <si>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</si>
  <si>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Additional spending</t>
    </r>
    <r>
      <rPr>
        <sz val="10"/>
        <color theme="1"/>
        <rFont val="Arial"/>
        <family val="2"/>
      </rPr>
      <t>: Includes army pharmacy (CHF2.55 billion), medication (CHF30 million) and health protection (CHF10 million).</t>
    </r>
  </si>
  <si>
    <r>
      <rPr>
        <b/>
        <sz val="10"/>
        <color theme="1"/>
        <rFont val="Arial"/>
        <family val="2"/>
      </rPr>
      <t>Additional spending:</t>
    </r>
    <r>
      <rPr>
        <sz val="10"/>
        <color theme="1"/>
        <rFont val="Arial"/>
        <family val="2"/>
      </rPr>
      <t xml:space="preserve"> financing for short-time work program and unemployment fund (CHF20.2 billion); Covid-19 income replacement (both directly and indirectly affected) (CHF5.3 billion); Covid-19 bridge loan losses (CHF1 billion); supports to sports and culture sectors (CHF0.6 billion); support for airport and other near-flight operations (CHF0.6 billion); development aid (incl. contribution to IMF) (CHF0.3 billion); and other measures (CHF0.2 billion).</t>
    </r>
  </si>
  <si>
    <r>
      <rPr>
        <b/>
        <sz val="10"/>
        <color theme="1"/>
        <rFont val="Arial"/>
        <family val="2"/>
      </rPr>
      <t>Deferred revenue</t>
    </r>
    <r>
      <rPr>
        <sz val="10"/>
        <color theme="1"/>
        <rFont val="Arial"/>
        <family val="2"/>
      </rPr>
      <t>: Temporary interest-free deferral of social security contribution payments for affected companies and extended payment periods for taxes and payables to federal suppliers.</t>
    </r>
  </si>
  <si>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</si>
  <si>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color theme="1"/>
        <rFont val="Arial"/>
        <family val="2"/>
      </rPr>
      <t>Additional spending</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Government allocated BGN 2.4 million for coronavirus research.</t>
    </r>
  </si>
  <si>
    <r>
      <rPr>
        <b/>
        <sz val="10"/>
        <color theme="1"/>
        <rFont val="Arial"/>
        <family val="2"/>
      </rPr>
      <t>Deferred revenue</t>
    </r>
    <r>
      <rPr>
        <sz val="10"/>
        <color theme="1"/>
        <rFont val="Arial"/>
        <family val="2"/>
      </rPr>
      <t xml:space="preserve">: Deferral of corporate tax payments till June 30. </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</si>
  <si>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</si>
  <si>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color theme="1"/>
        <rFont val="Arial"/>
        <family val="2"/>
      </rPr>
      <t>Additional spending (7.7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 </t>
    </r>
  </si>
  <si>
    <r>
      <rPr>
        <b/>
        <sz val="10"/>
        <color theme="1"/>
        <rFont val="Arial"/>
        <family val="2"/>
      </rPr>
      <t xml:space="preserve">Additional spending: </t>
    </r>
    <r>
      <rPr>
        <sz val="10"/>
        <color theme="1"/>
        <rFont val="Arial"/>
        <family val="2"/>
      </rPr>
      <t xml:space="preserve">
• Industrial companies have received subsidies on lower energy costs and subsidy pay-out for exporters.
• Increase in support to pensioners and irregular workers;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</si>
  <si>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</si>
  <si>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</si>
  <si>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</si>
  <si>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to employees who become unemployed on a temporary basis, as well as those employed in informal sectors or self-employed.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</si>
  <si>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</si>
  <si>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t>
    </r>
    <r>
      <rPr>
        <sz val="10"/>
        <color theme="1"/>
        <rFont val="Arial"/>
        <family val="2"/>
      </rPr>
      <t xml:space="preserve">Cash transfers for poor families, independent workers, and other families in need. </t>
    </r>
  </si>
  <si>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</si>
  <si>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t>• RON1.1 billion loan to buy medical supplies granted to pharmaceutical SOE;  and RON0.6 billion loan to low-cost carrier Blue Air and state-owned airline Tarom (pending approval from EC).</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</si>
  <si>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</si>
  <si>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</si>
  <si>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</si>
  <si>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</si>
  <si>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</si>
  <si>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The government plans to roll out a program to provide cash and in-kind food assistance to support the most vulnerable households (CFAF 525 million have already been spent).</t>
    </r>
  </si>
  <si>
    <r>
      <rPr>
        <b/>
        <sz val="10"/>
        <color theme="1"/>
        <rFont val="Arial"/>
        <family val="2"/>
      </rPr>
      <t>Additional spending</t>
    </r>
    <r>
      <rPr>
        <sz val="10"/>
        <color theme="1"/>
        <rFont val="Arial"/>
        <family val="2"/>
      </rPr>
      <t>: medical supplies, hiring of new personnel, adaptation of facilities.</t>
    </r>
  </si>
  <si>
    <r>
      <rPr>
        <b/>
        <sz val="10"/>
        <color theme="1"/>
        <rFont val="Arial"/>
        <family val="2"/>
      </rPr>
      <t>Deferred revenue</t>
    </r>
    <r>
      <rPr>
        <sz val="10"/>
        <color theme="1"/>
        <rFont val="Arial"/>
        <family val="2"/>
      </rPr>
      <t>: Reduced advanced payments in corporate income tax to provide cash flow relief to companies. Deferrals on tax and social contribution payments, favoring especially SMEs. VAT payments also deferred for SMEs in the non-essential sectors not operating during the curfew.</t>
    </r>
  </si>
  <si>
    <r>
      <rPr>
        <b/>
        <sz val="10"/>
        <color theme="1"/>
        <rFont val="Arial"/>
        <family val="2"/>
      </rPr>
      <t>Additional spending</t>
    </r>
    <r>
      <rPr>
        <sz val="10"/>
        <color theme="1"/>
        <rFont val="Arial"/>
        <family val="2"/>
      </rPr>
      <t>: Enhanced surveillance, laboratory services, isolation units, equipment, supplies, and communication.</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</si>
  <si>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</si>
  <si>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t xml:space="preserve">• Subsidized lending will be provided under the state program (“Economy of Simple Things”, KZT 1 tn), along with policy to help SMEs finance working capital. </t>
  </si>
  <si>
    <r>
      <rPr>
        <b/>
        <sz val="10"/>
        <color theme="1"/>
        <rFont val="Arial"/>
        <family val="2"/>
      </rPr>
      <t>Deferred revenue</t>
    </r>
    <r>
      <rPr>
        <sz val="10"/>
        <color theme="1"/>
        <rFont val="Arial"/>
        <family val="2"/>
      </rPr>
      <t xml:space="preserve">: Postponement of social insurance contributions. Possible deferral, payment in installments of taxes. </t>
    </r>
  </si>
  <si>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Funding of extraordinary costs associated with Covid-19 for municipalities and regions</t>
    </r>
  </si>
  <si>
    <r>
      <t xml:space="preserve">Deferred revenues: </t>
    </r>
    <r>
      <rPr>
        <sz val="10"/>
        <color theme="1"/>
        <rFont val="Arial"/>
        <family val="2"/>
      </rPr>
      <t>Companies can defer a maximum of three months on social contribution fees, VAT, and payroll taxes for a period of up to 12 months (SEK 27 billion if uptake similar to GFC, and SEK 315 billion if fully used by all firms), deferral of annual VAT for 2019 (SEK 7 billion) and deferral of SME taxes (SEK 13 billion).</t>
    </r>
  </si>
  <si>
    <t xml:space="preserve">• Credit guarantees for Swedish airlines. 
• Expansion of the Swedish Export Credit Agency’s credit guarantee framework and the programs under the Swedish Export Credit Corporation. </t>
  </si>
  <si>
    <t>• Capital injection to SOEs (IDR 35.2 tn)</t>
  </si>
  <si>
    <t>Total 
size</t>
  </si>
  <si>
    <t>Guarantees (on loans, deposits etc.)</t>
  </si>
  <si>
    <t>Quasi-fiscal operations (noncommercial activity of public corporations on behalf of government)</t>
  </si>
  <si>
    <t xml:space="preserve">•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t>
  </si>
  <si>
    <t>D. Accelerated spending and deferred revenue in areas other than health</t>
  </si>
  <si>
    <t xml:space="preserve">
</t>
  </si>
  <si>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</si>
  <si>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r>
      <t xml:space="preserve">• Capitalization of Findeter and Bancoldex (Colombian Development Banks) for the purpose of credit lines.
• Credit lines for payroll and loan payments, with a focus on SMEs through the National Guarantee Fund (government capitalization of 0.2 percent of GDP to guarantee around 1.2 percent of GDP of loans).
• Capitalization of Findeter and Bancoldex for the purpose of credit lines (worth around 0.1 percent of GDP) 
</t>
    </r>
    <r>
      <rPr>
        <sz val="10"/>
        <color theme="1"/>
        <rFont val="Symbol"/>
        <family val="1"/>
        <charset val="2"/>
      </rPr>
      <t>·</t>
    </r>
    <r>
      <rPr>
        <sz val="7"/>
        <color theme="1"/>
        <rFont val="Arial"/>
        <family val="2"/>
        <charset val="2"/>
      </rPr>
      <t xml:space="preserve"> </t>
    </r>
    <r>
      <rPr>
        <sz val="10"/>
        <color theme="1"/>
        <rFont val="Arial"/>
        <family val="2"/>
        <charset val="2"/>
      </rPr>
      <t>A new National Emergency Mitigation Fund (FOME) was announced, where the central government partially finances response measures with resources from regional stabilization funds (FAE, FONPET).</t>
    </r>
  </si>
  <si>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</si>
  <si>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€4.5 billion (2 percent of GDP) in relief; adjusted VAT payment arrangements provide €750 million (0.3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</si>
  <si>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</si>
  <si>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 Debt relief of hospitals (CZK 6.6bn). 
• Bonus for workers in social services and emergency responders (CZK 6.3bn).</t>
    </r>
  </si>
  <si>
    <r>
      <rPr>
        <b/>
        <sz val="10"/>
        <rFont val="Arial"/>
        <family val="2"/>
      </rPr>
      <t xml:space="preserve">Deferred revenue: 
</t>
    </r>
    <r>
      <rPr>
        <sz val="10"/>
        <rFont val="Arial"/>
        <family val="2"/>
      </rPr>
      <t>• Postponement of (i) personal and corporate income taxes by three months to July; (ii) advance payments on social security and health insurance contributions for self-employed by 6 months; (iii) the introduction of the third and fourth waves of the electronic registration of sales system up to the end of 2020+K13; (iv) advance payments on motor vehicle tax to mid-October. 
• Employers are allowed to defer payment of social contributions for May-July</t>
    </r>
  </si>
  <si>
    <r>
      <t xml:space="preserve">
•</t>
    </r>
    <r>
      <rPr>
        <sz val="7"/>
        <rFont val="Arial"/>
        <family val="2"/>
      </rPr>
      <t xml:space="preserve"> </t>
    </r>
    <r>
      <rPr>
        <sz val="10"/>
        <rFont val="Arial"/>
        <family val="2"/>
      </rPr>
      <t xml:space="preserve">The CMZRB provided CZK 0.8bn through interest-free loans, the rest will be handled through state guarantees on loans of commercial banks.
</t>
    </r>
  </si>
  <si>
    <r>
      <rPr>
        <b/>
        <sz val="10"/>
        <color theme="1"/>
        <rFont val="Arial"/>
        <family val="2"/>
      </rPr>
      <t xml:space="preserve">Additional spending (€23 bn): </t>
    </r>
    <r>
      <rPr>
        <sz val="10"/>
        <color theme="1"/>
        <rFont val="Arial"/>
        <family val="2"/>
      </rPr>
      <t xml:space="preserve">on hospital capacity, medical equipment, research, and information campaigns. </t>
    </r>
  </si>
  <si>
    <t>(iii) €400 bn to provide additional state guarantees to non-financial corporations to alleviate liquidity bottlenecks and support refinancing.
•  For the new and expansion of the existing KfW-programs, the guarantee framework of the federal government was increased by €357 billion. 
•  Total guarantees provided by state governments to be increased by €63 bn.</t>
  </si>
  <si>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</si>
  <si>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The government has put in place a £1 bn program to support firms driving innovation and development through grants and loans.</t>
  </si>
  <si>
    <t>• S$20 billion in loan capital was set aside to help businesses and individuals facing cash flow challenges with loan obligations and insurance premium payments.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</si>
  <si>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</si>
  <si>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</si>
  <si>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</si>
  <si>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r>
      <rPr>
        <sz val="10"/>
        <color theme="1"/>
        <rFont val="Symbol"/>
        <family val="1"/>
        <charset val="2"/>
      </rPr>
      <t>·</t>
    </r>
    <r>
      <rPr>
        <sz val="7"/>
        <color theme="1"/>
        <rFont val="Arial"/>
        <family val="2"/>
      </rPr>
      <t xml:space="preserve"> </t>
    </r>
    <r>
      <rPr>
        <sz val="10"/>
        <color theme="1"/>
        <rFont val="Arial"/>
        <family val="2"/>
      </rPr>
      <t>A “Temporary Economic Refinance Facility (TERF)” to stimulate new investment in manufacturing at maximum interest rate of 7 percent fixed for 10 years;
• A “Refinance Facility for Combating COVID–19 (RFCC)” to support hospitals and medical centers in combating the spread of the virus at maximum interest rate of 3 percent fixed;
• A temporary refinance scheme for businesses to incentivize against laying off workers during the pandemic, the scheme provides financing for wages and salaries expenses for three months from April to June 2020 at maximum interest rate of 3-5 percent.
• Deferment in the payment of power tariffs for 6 months for low-level consumers.
• Support of bank lending to SMEs, by the government guaranteeing a portion of potential losses.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</si>
  <si>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</si>
  <si>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</si>
  <si>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rPr>
        <b/>
        <sz val="10"/>
        <rFont val="Arial"/>
        <family val="2"/>
      </rPr>
      <t>Additional spending</t>
    </r>
    <r>
      <rPr>
        <sz val="10"/>
        <rFont val="Arial"/>
        <family val="2"/>
      </rPr>
      <t xml:space="preserve"> (BGN 1.5 bn): 
·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for about 1200 people, at a cost of about 2.7 million leva and distributed BGN 610 as an additional bonus to social workers - employees of the Bureau of Labor and the General Labor Inspectorate.
- Government approved one-off cash transfer of BGN 375 to parents, forced to take unpaid leave to care for their children during the state of emergency (means-tested)
- BGN 800 000 for food for people hit by Covid-19 crisis.</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</si>
  <si>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</si>
  <si>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</si>
  <si>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COVID Prague Program</t>
    </r>
  </si>
  <si>
    <t>• NZ $900 mn loan is granted to Air New Zealand, an airline company, of which the government owns 52 percent od shares.
• Maximum NZ $100 thousand loan is granted to small businesses that employ 50 or fewer full time equivalent employees.</t>
  </si>
  <si>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</si>
  <si>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</si>
  <si>
    <t>Total on-budget 
(A-D)</t>
  </si>
  <si>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</si>
  <si>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rFont val="Arial"/>
        <family val="2"/>
      </rPr>
      <t xml:space="preserve">Additional spending (125.2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</si>
  <si>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(€1.547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(€963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</si>
  <si>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distribution of food and household products; measures to support employment under the "Employment Roadmap" initiative (including some large-scale projects to modernize transportation infrastructure).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</si>
  <si>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</si>
  <si>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</si>
  <si>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</si>
  <si>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</si>
  <si>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</si>
  <si>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</si>
  <si>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</si>
  <si>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t>• State-owned enterprises and banks have been asked to support the private sector through loan restructuring, lowering lease payments (by real estate companies), halting evictions, etc.</t>
  </si>
  <si>
    <t>• Capital injection into the Development Bank of Ethiopia by the Ministry of Finance. Not strictly related to Covid, but aimed at facilitating lending by DBE to private enterprises.</t>
  </si>
  <si>
    <t>• Soft loan scheme to support MSMEs including a one-year postponement of interest payments for non-marketable debt and a two-year repayment period.</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</si>
  <si>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</si>
  <si>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</si>
  <si>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 (11.1bn)</t>
    </r>
    <r>
      <rPr>
        <sz val="10"/>
        <color theme="1"/>
        <rFont val="Arial"/>
        <family val="2"/>
      </rPr>
      <t xml:space="preserve">: Social protection and cash transfers; food relief; and funds for expediting payments of existing obligations to maintain cash flow for businesses during the crisis.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</si>
  <si>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t>
    </r>
    <r>
      <rPr>
        <sz val="10"/>
        <color theme="1"/>
        <rFont val="Arial"/>
        <family val="2"/>
      </rPr>
      <t xml:space="preserv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</si>
  <si>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</si>
  <si>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</si>
  <si>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</si>
  <si>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 Proposal to cut electricity prices by 10 percent for certain enterprises and households, and exempt payment for quarantine zones, with Vietnam Electricity (EVN) bearing costs of price adjustment.</t>
  </si>
  <si>
    <r>
      <rPr>
        <b/>
        <sz val="10"/>
        <rFont val="Arial"/>
        <family val="2"/>
      </rPr>
      <t>Additional spending:</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 Allowance to parents, who cannot work because they need to care for children up to 13 years, of 80% of eligible income (calculated based on a progressive table) for sick leave.
• Self-employed receive lump sum of CZK 500 per day during Mar 12 and Jun 8 and have access to sick leave (same regime as that for full-time employees).
• Additional lump-sum assistance grant (CZK 500 per day) to micro businesses during Mar 12 and Jun 6. Eligible businesses are limited liability companies with up to two partners and turnover of at least at CZK 180,000 in 2019. 
• The state covers half of business property rents in Q2.
</t>
    </r>
    <r>
      <rPr>
        <b/>
        <sz val="10"/>
        <rFont val="Arial"/>
        <family val="2"/>
      </rPr>
      <t xml:space="preserve">
Forgone Revenue:</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 Loss carryback measure: Taxpayers who report tax losses in 2020 due to the state of emergency, will be able to reduce their tax bases for the tax years 2019 and 2018 by this loss (maximum CZK 30 million).
• Reduced VAT rate to 10% for accommodation, sports and culture services.
• Reduced road tax rate for vehicles above 3.5t.
• Abolition of the real property transfer tax.
• Programs in support of the sports, culture, and agriculture sectors.</t>
    </r>
  </si>
  <si>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1.1 tn):
</t>
    </r>
    <r>
      <rPr>
        <sz val="10"/>
        <rFont val="Arial"/>
        <family val="2"/>
      </rPr>
      <t xml:space="preserve">•  VAT exemptions for goods and services related to epidemic control and for small taxpayers in Hubei; and VAT rate cut from 3% to 1% in other regions until the year end.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t>
    </r>
  </si>
  <si>
    <r>
      <rPr>
        <b/>
        <sz val="10"/>
        <rFont val="Arial"/>
        <family val="2"/>
      </rPr>
      <t>Accelerated spending:</t>
    </r>
    <r>
      <rPr>
        <sz val="10"/>
        <rFont val="Arial"/>
        <family val="2"/>
      </rPr>
      <t xml:space="preserve"> Accelerated issuance of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(no estimate).</t>
    </r>
  </si>
  <si>
    <r>
      <rPr>
        <b/>
        <sz val="10"/>
        <color theme="1"/>
        <rFont val="Arial"/>
        <family val="2"/>
      </rPr>
      <t>Additional spending (SEK 205.3 bn):  
·</t>
    </r>
    <r>
      <rPr>
        <sz val="10"/>
        <color theme="1"/>
        <rFont val="Arial"/>
        <family val="2"/>
      </rPr>
      <t xml:space="preserve"> Includes additional expenditures on wage subsidies for short-term leave, temporary grants to businesses based on their loss of turnover to cover their fixed cost;
· temporary payment of sick leave, extra funding to the cultural sector and sports sector, rent subsidies to certain sectors, more generous unemployment benefits; 
· expanded active labor market policies, more funding for education and training; 
· supplementary housing allowances to families with children, infrastructure investment and extra support to public transport; general grants to municipalities and regions. </t>
    </r>
    <r>
      <rPr>
        <b/>
        <sz val="10"/>
        <color theme="1"/>
        <rFont val="Arial"/>
        <family val="2"/>
      </rPr>
      <t xml:space="preserve">
Forgone revenue (SEK 33 bn): </t>
    </r>
    <r>
      <rPr>
        <sz val="10"/>
        <color theme="1"/>
        <rFont val="Arial"/>
        <family val="2"/>
      </rPr>
      <t xml:space="preserve">Temporary reduction in employers' social security contributions. </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</si>
  <si>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</si>
  <si>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</si>
  <si>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0.7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</si>
  <si>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t>• The federal government announced guarantees of up to RUB 500 bn on bank lending to firms, including RUB 220 bn in guarantees to VEB to guarantee bank credit to systematically-important enterprises.</t>
  </si>
  <si>
    <t>Health sector</t>
  </si>
  <si>
    <t>Additional spending or foregone revenues</t>
  </si>
  <si>
    <t>Accelerated spending / deferred revenue</t>
  </si>
  <si>
    <t>Non-health sector</t>
  </si>
  <si>
    <t>Liquidity support</t>
  </si>
  <si>
    <t>(USD billion and percent of GDP)</t>
  </si>
  <si>
    <t>G20: Advanced economies</t>
  </si>
  <si>
    <t xml:space="preserve">Note: Numbers in U.S. dollar and percent of GDP are based on June 2020 World Economic Outlook Update for 2020 unless otherwise stated. For Argentina, U.S. dollar values use end-May 2020 exchange rate. </t>
  </si>
  <si>
    <r>
      <rPr>
        <b/>
        <sz val="8.5"/>
        <color theme="1"/>
        <rFont val="Arial"/>
        <family val="2"/>
      </rPr>
      <t>Below the line measures:</t>
    </r>
    <r>
      <rPr>
        <sz val="8.5"/>
        <color theme="1"/>
        <rFont val="Arial"/>
        <family val="2"/>
      </rPr>
      <t xml:space="preserve"> equity injections, loans, asset purchase or debt assumptions.</t>
    </r>
  </si>
  <si>
    <r>
      <t xml:space="preserve">· The Polish Development Fund is providing liquidity loans and subsidies for micro, small/medium, and large enterprises. The total value of the program equals PLN 100 billion. Approximately 60 percent of the financing may be non-returnable, with relevant conditions related to maintaining employment, continuing business activity, and the level of lost sales. </t>
    </r>
    <r>
      <rPr>
        <sz val="10"/>
        <rFont val="Arial"/>
        <family val="2"/>
      </rPr>
      <t>The nonreturnable portion is treated as an above the line expenditure item</t>
    </r>
    <r>
      <rPr>
        <sz val="10"/>
        <color theme="1"/>
        <rFont val="Arial"/>
        <family val="2"/>
      </rPr>
      <t>.</t>
    </r>
  </si>
  <si>
    <r>
      <t xml:space="preserve">Additional spending (€2.1 bn): </t>
    </r>
    <r>
      <rPr>
        <sz val="10"/>
        <color theme="1"/>
        <rFont val="Arial"/>
        <family val="2"/>
      </rPr>
      <t>on medical equipment, tests, administration etc.</t>
    </r>
    <r>
      <rPr>
        <b/>
        <sz val="10"/>
        <color theme="1"/>
        <rFont val="Arial"/>
        <family val="2"/>
      </rPr>
      <t xml:space="preserve">
</t>
    </r>
  </si>
  <si>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</si>
  <si>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rFont val="Arial"/>
        <family val="2"/>
      </rPr>
      <t>Additional spending</t>
    </r>
    <r>
      <rPr>
        <sz val="10"/>
        <rFont val="Arial"/>
        <family val="2"/>
      </rPr>
      <t xml:space="preserve">: Additional spending on healthcare equipment, testing; compensation against COVID-19 related health risks of officials, doctors and field staff; hiring of additional healthcare workers, etc.  
</t>
    </r>
    <r>
      <rPr>
        <b/>
        <sz val="10"/>
        <rFont val="Arial"/>
        <family val="2"/>
      </rPr>
      <t>Forgone revenue</t>
    </r>
    <r>
      <rPr>
        <sz val="10"/>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</si>
  <si>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Provision of targeted social assistance to those who lost their jobs or were put on an unpaid leave (1,200 GEL over the course of 6 months). 
</t>
    </r>
    <r>
      <rPr>
        <sz val="10"/>
        <color theme="1"/>
        <rFont val="Symbol"/>
        <family val="1"/>
        <charset val="2"/>
      </rPr>
      <t>·</t>
    </r>
    <r>
      <rPr>
        <sz val="10"/>
        <color theme="1"/>
        <rFont val="Arial"/>
        <family val="2"/>
      </rPr>
      <t xml:space="preserve"> A state subsidy for employers who maintain jobs. Over the course of 6 months: (1) salaries up to 750 GEL will be fully exempt from income tax; and (2) for salaries up to 1,500 GEL, 750 GEL will be exempt from income tax; One-time assistance of 300 GEL will be provided to people who are self-employed or employed in the “informal sector”; 
</t>
    </r>
    <r>
      <rPr>
        <sz val="10"/>
        <color theme="1"/>
        <rFont val="Symbol"/>
        <family val="1"/>
        <charset val="2"/>
      </rPr>
      <t>·</t>
    </r>
    <r>
      <rPr>
        <sz val="10"/>
        <color theme="1"/>
        <rFont val="Arial"/>
        <family val="2"/>
      </rPr>
      <t xml:space="preserve"> Cash transfers to vulnerable families and to compensate job loss (for self-employed, employees, and informal workers).
</t>
    </r>
    <r>
      <rPr>
        <b/>
        <sz val="10"/>
        <color theme="1"/>
        <rFont val="Arial"/>
        <family val="2"/>
      </rPr>
      <t xml:space="preserve">
Forgone revenue:
</t>
    </r>
    <r>
      <rPr>
        <sz val="10"/>
        <color theme="1"/>
        <rFont val="Arial"/>
        <family val="2"/>
      </rPr>
      <t>• Income tax relief to businesses who retain workers.
• Property tax waiver to the tourism sector.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</si>
  <si>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</si>
  <si>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</si>
  <si>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</si>
  <si>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</si>
  <si>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</si>
  <si>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</si>
  <si>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</si>
  <si>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Additional spending:</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t>
    </r>
    <r>
      <rPr>
        <sz val="10"/>
        <color theme="1"/>
        <rFont val="Arial"/>
        <family val="2"/>
      </rPr>
      <t>: Tax rebates for companies that keep their workers on payroll or pay 70% of salary (FCFA 40 billion).</t>
    </r>
  </si>
  <si>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(TND 0.1 bn).
</t>
    </r>
    <r>
      <rPr>
        <b/>
        <sz val="10"/>
        <color theme="1"/>
        <rFont val="Arial"/>
        <family val="2"/>
      </rPr>
      <t>Forgone revenue:</t>
    </r>
    <r>
      <rPr>
        <sz val="10"/>
        <color theme="1"/>
        <rFont val="Arial"/>
        <family val="2"/>
      </rPr>
      <t xml:space="preserve"> Waiver of VAT for businesses selling medicines (TND 0.03 bn).</t>
    </r>
  </si>
  <si>
    <r>
      <rPr>
        <b/>
        <sz val="10"/>
        <color theme="1"/>
        <rFont val="Arial"/>
        <family val="2"/>
      </rPr>
      <t>Additional spending</t>
    </r>
    <r>
      <rPr>
        <sz val="10"/>
        <color theme="1"/>
        <rFont val="Arial"/>
        <family val="2"/>
      </rPr>
      <t xml:space="preserve"> (TND 1.48bn):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</si>
  <si>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</si>
  <si>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(0.04 TND bn)
• Some extra-budgetary funds on public donation to the health sector (TND 0.186bn). 
• Investment fund to finance private companies to preserve jobs (TND 0.5bn). 
• A bridging fund for repurchase of shares in investment funds (TND 0.1bn).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</si>
  <si>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(€32.5 bn): </t>
    </r>
    <r>
      <rPr>
        <sz val="10"/>
        <rFont val="Arial"/>
        <family val="2"/>
      </rPr>
      <t>Postponement of social security contributions and tax payment for companies from Q2 to Q3.</t>
    </r>
  </si>
  <si>
    <t xml:space="preserve">• State guarantees for liquidity bank loans to companies and credit reinsurance schemes. </t>
  </si>
  <si>
    <r>
      <rPr>
        <b/>
        <sz val="10"/>
        <color theme="1"/>
        <rFont val="Arial"/>
        <family val="2"/>
      </rPr>
      <t>Additional spending (JPY 4.1 tn):</t>
    </r>
    <r>
      <rPr>
        <sz val="10"/>
        <color theme="1"/>
        <rFont val="Arial"/>
        <family val="2"/>
      </rPr>
      <t xml:space="preserve">
• Production, procurement, and distribution of critical equipment such as masks and ventilators (JPY 0.6 tn).
• Transfers to local governments to be used for their health- and long-term care related measures including cash handouts to medical and long-term care practitioners (JPY 2.4 tn).
• Other health-related measures, e.g., vaccine development, etc. (JPY 1.1 tn).</t>
    </r>
  </si>
  <si>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</si>
  <si>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($540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$446 bn.
• Families First Coronavirus Response Act (March 16, 2020) has revenue implications on the budget, estimated to cost around $94 bn.</t>
    </r>
  </si>
  <si>
    <r>
      <rPr>
        <b/>
        <sz val="10"/>
        <color theme="1"/>
        <rFont val="Arial"/>
        <family val="2"/>
      </rPr>
      <t xml:space="preserve">Additional spending:
• </t>
    </r>
    <r>
      <rPr>
        <sz val="10"/>
        <color theme="1"/>
        <rFont val="Arial"/>
        <family val="2"/>
      </rPr>
      <t xml:space="preserve">Expanded transfers for vulnerable groups (0.25 percent of GDP), including expanded social programs and support to workers in the informal sector. 
• Payroll subsidy for three months equivalent to 40 percent of the minimum wage per worker for businesses with a revenue fall above 20 percent (around 0.2 percent of GDP). 
•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t>
    </r>
  </si>
  <si>
    <r>
      <rPr>
        <b/>
        <sz val="10"/>
        <color theme="1"/>
        <rFont val="Arial"/>
        <family val="2"/>
      </rPr>
      <t>Additional spending (Rs150 bn):</t>
    </r>
    <r>
      <rPr>
        <sz val="10"/>
        <color theme="1"/>
        <rFont val="Arial"/>
        <family val="2"/>
      </rPr>
      <t xml:space="preserve">
• Additional spending on health infrastructure, including for COVID-19 testing facilities, personal protective equipment, isolation beds, ICU beds, and ventilators.</t>
    </r>
  </si>
  <si>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</si>
  <si>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1.4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250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</si>
  <si>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</si>
  <si>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</si>
  <si>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 All public banks: Principal and interest payments by those firms whose cash flows are affected adversely by Covid-19 will be postponed by minimum 3 months and provided with refinancing. 
• Halkbank: The principal and interest payments by tradesmen and artisans will be postponed by 3 months from April, May and June
• Various state bank lending/forbearance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t>
  </si>
  <si>
    <t>This database summarizes key fiscal measures governments have announced or taken in selected economies in response to the COVID-19 pandemic as of June 12, 2020,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</si>
  <si>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r>
      <rPr>
        <b/>
        <sz val="10"/>
        <color theme="1"/>
        <rFont val="Arial"/>
        <family val="2"/>
      </rPr>
      <t>Deferred revenue</t>
    </r>
    <r>
      <rPr>
        <sz val="10"/>
        <color theme="1"/>
        <rFont val="Arial"/>
        <family val="2"/>
      </rPr>
      <t xml:space="preserve">: 
• Coronavirus Aid, Relief, and Economic Security Act (March 27, 2020) includes extension of IRS income tax filing deadline by 90 days and delay of employers' payroll taxes to 2021 and 2022. </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</si>
  <si>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14 million Lek) will not pay profit tax in 2020 (normative act April 23). Estimated amount Lk81 mn.</t>
    </r>
  </si>
  <si>
    <r>
      <t xml:space="preserve">• Lk11 bn Government has offered a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</si>
  <si>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 xml:space="preserve">Deferred revenue: </t>
    </r>
    <r>
      <rPr>
        <sz val="10"/>
        <color theme="1"/>
        <rFont val="Arial"/>
        <family val="2"/>
      </rPr>
      <t xml:space="preserve">
• Postponement of tax reporting from Q2 to Q3.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</si>
  <si>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</si>
  <si>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t>
    </r>
    <r>
      <rPr>
        <b/>
        <sz val="10"/>
        <color theme="1"/>
        <rFont val="Arial"/>
        <family val="2"/>
      </rPr>
      <t xml:space="preserve">
Forgone revenue:
</t>
    </r>
    <r>
      <rPr>
        <b/>
        <sz val="10"/>
        <color theme="1"/>
        <rFont val="Symbol"/>
        <family val="1"/>
        <charset val="2"/>
      </rPr>
      <t xml:space="preserve">· </t>
    </r>
    <r>
      <rPr>
        <sz val="10"/>
        <color theme="1"/>
        <rFont val="Arial"/>
        <family val="2"/>
      </rPr>
      <t>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 Tax relief including for i) for personal income tax deduction for health insurance premium; ii) import duties for products preventing related to prevention or treatment of Covid-19 exempted until September 2020; iii) taxes are exempted and fees are cut for debt restructuring with non-financial creditors; iv) reduction in excise tax on jet fuel for domestic flights; and v) reduced withholding tax.</t>
    </r>
  </si>
  <si>
    <r>
      <rPr>
        <b/>
        <sz val="10"/>
        <color theme="1"/>
        <rFont val="Arial"/>
        <family val="2"/>
      </rPr>
      <t>Deferred revenue</t>
    </r>
    <r>
      <rPr>
        <sz val="10"/>
        <color theme="1"/>
        <rFont val="Arial"/>
        <family val="2"/>
      </rPr>
      <t>: Including personal income payment deadline extended to August, 2020; one month extension of deadline for payment of VAT, Special Business Tax, and other taxes under the Revenue Department; expedited VAT refund process for exporters, delay in collection of fees and charges levied by government agencies and SOEs.</t>
    </r>
  </si>
  <si>
    <t>• On-lending to local banks to support stakeholders of the cashew nut economy (CFAF 15.5 billion have already been lent).</t>
  </si>
  <si>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</si>
  <si>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r>
      <rPr>
        <b/>
        <sz val="10"/>
        <rFont val="Arial"/>
        <family val="2"/>
      </rPr>
      <t xml:space="preserve">Additional spending (€45.9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</si>
  <si>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</si>
  <si>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r>
      <rPr>
        <b/>
        <sz val="10"/>
        <color theme="1"/>
        <rFont val="Arial"/>
        <family val="2"/>
      </rPr>
      <t>Additional spending</t>
    </r>
    <r>
      <rPr>
        <sz val="10"/>
        <color theme="1"/>
        <rFont val="Arial"/>
        <family val="2"/>
      </rPr>
      <t xml:space="preserve"> (PLN 142.2 bn or 6.3 percent of GDP):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</si>
  <si>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Expansion of existing social transfer programs for vulnerable households, including allowance programs and food aid distribution; Cash assistance to the jobless poor affected by COVID-19 (Corona-Cash). 
</t>
    </r>
    <r>
      <rPr>
        <sz val="10"/>
        <rFont val="Symbol"/>
        <family val="1"/>
        <charset val="2"/>
      </rPr>
      <t xml:space="preserve">· </t>
    </r>
    <r>
      <rPr>
        <sz val="10"/>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rFont val="Symbol"/>
        <family val="1"/>
        <charset val="2"/>
      </rPr>
      <t>·</t>
    </r>
    <r>
      <rPr>
        <sz val="10"/>
        <rFont val="Arial"/>
        <family val="2"/>
      </rPr>
      <t xml:space="preserve"> Subsidies to the agriculture sector (e.g. purchase of fertilizer and agriculture machinery, government procurement).</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</si>
  <si>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</si>
  <si>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xml:space="preserve">• Newly established Business Credit Availability Program (BCAP) and Canada Emergency Business Account (CEBA) will provide CAD 65 bn of additional support for businesses in the form of loan guarantees and shared financing arrangements through the Business Development Bank of Canada and Export Development Canada, including in sectors such as oil and gas, air transportation, exportation,  and tourism.
</t>
  </si>
  <si>
    <r>
      <rPr>
        <b/>
        <sz val="10"/>
        <color theme="1"/>
        <rFont val="Arial"/>
        <family val="2"/>
      </rPr>
      <t xml:space="preserve">Additional spending (€251 bn): </t>
    </r>
    <r>
      <rPr>
        <sz val="10"/>
        <color theme="1"/>
        <rFont val="Arial"/>
        <family val="2"/>
      </rPr>
      <t xml:space="preserve">including grants to hard hit small businesses and self-employed, increased access to childcare and basic social security benefits, temporary relief to affected tenants, more child support, and renewable electricity subsidy.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</si>
  <si>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</si>
  <si>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(€46.5 bn): </t>
    </r>
    <r>
      <rPr>
        <sz val="10"/>
        <rFont val="Arial"/>
        <family val="2"/>
      </rPr>
      <t xml:space="preserve">including income support to laid-off workers and the self-employed, and vouchers for the payment of babysitters by broadening the wage supplementation fund (€25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</si>
  <si>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</si>
  <si>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</si>
  <si>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</si>
  <si>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r>
      <rPr>
        <b/>
        <sz val="10"/>
        <rFont val="Arial"/>
        <family val="2"/>
      </rPr>
      <t xml:space="preserve">Additional spending (€26 bn):
</t>
    </r>
    <r>
      <rPr>
        <sz val="10"/>
        <rFont val="Arial"/>
        <family val="2"/>
      </rPr>
      <t xml:space="preserve">• Unemployment benefit for workers registered under the Temporary Employment Adjustment Schemes (ERTE), with no requirement for prior minimum contribution or reduction of accumulated entitlement (€17.8 bn); 
• An allowance for affected self-employed (€3.8 bn);
• Increased sick pay for infected or quarantined workers (€1.4 bn); 
• Introduction of a new means-tested "minimum vital income";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rFont val="Arial"/>
        <family val="2"/>
      </rPr>
      <t xml:space="preserve">
Forgone revenue (€6 bn): 
</t>
    </r>
    <r>
      <rPr>
        <sz val="10"/>
        <rFont val="Arial"/>
        <family val="2"/>
      </rPr>
      <t>• Exemptions of social contributions for affected companies that maintain employment under the ERTE and affected self-employed (€3.2 bn);
• Flexibility in filing income tax and VAT installment payment for SMEs and self-employed (€1.1 bn);
• Temporary waiver of VAT on purchases of certain medical material (€1 billion);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</si>
  <si>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 xml:space="preserve">Additional spending: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t>
    </r>
    <r>
      <rPr>
        <b/>
        <sz val="10"/>
        <color theme="1"/>
        <rFont val="Arial"/>
        <family val="2"/>
      </rPr>
      <t xml:space="preserve">
Forgone revenue:</t>
    </r>
    <r>
      <rPr>
        <sz val="10"/>
        <color theme="1"/>
        <rFont val="Arial"/>
        <family val="2"/>
      </rPr>
      <t xml:space="preserve"> property tax (business rate) holiday for firms in affected sectors for 12 months.</t>
    </r>
  </si>
  <si>
    <r>
      <rPr>
        <b/>
        <sz val="10"/>
        <color theme="1"/>
        <rFont val="Arial"/>
        <family val="2"/>
      </rPr>
      <t>Additional spending ($304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t>
    </r>
  </si>
  <si>
    <r>
      <rPr>
        <b/>
        <sz val="10"/>
        <rFont val="Arial"/>
        <family val="2"/>
      </rPr>
      <t>Additional spending (AR $710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$75 bn)</t>
    </r>
    <r>
      <rPr>
        <sz val="10"/>
        <rFont val="Arial"/>
        <family val="2"/>
      </rPr>
      <t>:
• Most affected sectors granted 95% reduction in employers’ contributions to the pension system.
• VAT refund for milk sales.</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</si>
  <si>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</si>
  <si>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Road tolls and some service fees charged by airports and railways were exempted or reduced; the price of electricity was cut by 5 percent. The authorities estimate the cost of the toll exemption was about RMB 140 bn.
• Railway logistic fee lowered by 50% until Jun 30 with an estimated cost of RMB 350 mn.
• From Mar 1 to Dec 31, the port construction fee will be exempted and some fees are cut. 
• Allow China’s state-funded infrastructure projects to use up to 15 percent of investment for a project to pay wages.
• The central government transfer payment rate to provinces was increased from 3% to 4% for pensions.</t>
  </si>
  <si>
    <t>• The national guarantee fund will work with banks providing loan guarantee services, planning to increase re-guarantee business by RMB 400 bn in 2020. Local government-backed guarantee/re-guarantee agencies are required to lower guarantee service costs to below 1 percent for SMEs.</t>
  </si>
  <si>
    <r>
      <rPr>
        <b/>
        <sz val="10"/>
        <rFont val="Arial"/>
        <family val="2"/>
      </rPr>
      <t xml:space="preserve">Additional spending (Rs 2.3 tn):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</si>
  <si>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</si>
  <si>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</si>
  <si>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</si>
  <si>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222.3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</si>
  <si>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color theme="1"/>
        <rFont val="Arial"/>
        <family val="2"/>
      </rPr>
      <t xml:space="preserve">Additional spending (SAR 9.9 bn): 
</t>
    </r>
    <r>
      <rPr>
        <sz val="10"/>
        <color theme="1"/>
        <rFont val="Arial"/>
        <family val="2"/>
      </rPr>
      <t xml:space="preserve">• Wage benefits to employers who keep their workers to be provided through the unemployment insurance scheme, SANED (SAR 9 bn). 
• Ministry of Energy announced temporary electricity subsidies to commercial, industrial, and agricultural sectors (SAR 0.9 bn)
</t>
    </r>
  </si>
  <si>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</si>
  <si>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</si>
  <si>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</si>
  <si>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</si>
  <si>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 Turkey Wealth Fund (TWF) has been granted new rights to take equity in firms affected by Covid-19, and was assigned to inject a core capital of 0.4 percent of GDP into three state banks, funded by issuance of Treasury bonds.</t>
  </si>
  <si>
    <r>
      <rPr>
        <b/>
        <sz val="10"/>
        <color theme="1"/>
        <rFont val="Arial"/>
        <family val="2"/>
      </rPr>
      <t xml:space="preserve">Additional spending (SAR 47 bn): </t>
    </r>
    <r>
      <rPr>
        <sz val="10"/>
        <color theme="1"/>
        <rFont val="Arial"/>
        <family val="2"/>
      </rPr>
      <t>Budget reallocation within the Ministry of Health budget [and other budget items] for emergency spending to fight COVID-19.</t>
    </r>
  </si>
  <si>
    <r>
      <t xml:space="preserve">Additional spending (NZ $55.7 bn): </t>
    </r>
    <r>
      <rPr>
        <sz val="10"/>
        <rFont val="Arial"/>
        <family val="2"/>
      </rPr>
      <t xml:space="preserve">including lump sum 12-week wage subsidies available for all employers significantly affected by COVID-19 (NZ $14.9 bn); financial support for workers not paid normally during self-isolation (NZ $126 mn); temporary increase in winter energy payment (NZ $480 mn); permanent increase in benefits (NZ$2.4 bn in the next four years); and support package for the aviation sector (NZ$ 600 mn). A large part of additional spending is still unallocated.
</t>
    </r>
    <r>
      <rPr>
        <b/>
        <sz val="10"/>
        <rFont val="Arial"/>
        <family val="2"/>
      </rPr>
      <t>Forgone revenue (NZ $5.9 bn)</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</si>
  <si>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and temporary reduction in VAT in the hospitality sector (e.g., food and non-alcoholic beverages). Suspension of penalties for delays or non-performance of suppliers to the public sector.</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</si>
  <si>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(€10 bn): </t>
    </r>
    <r>
      <rPr>
        <sz val="10"/>
        <color theme="1"/>
        <rFont val="Arial"/>
        <family val="2"/>
      </rPr>
      <t xml:space="preserve">
• Deferred payment of tax and social security contributions for affected firms, self-employed, and households, without application of interest charges and penalties, estimated at about 10 bn euros.</t>
    </r>
  </si>
  <si>
    <r>
      <t xml:space="preserve">
• </t>
    </r>
    <r>
      <rPr>
        <sz val="10"/>
        <rFont val="Arial"/>
        <family val="2"/>
      </rPr>
      <t>The federal government lau</t>
    </r>
    <r>
      <rPr>
        <sz val="10"/>
        <color theme="1"/>
        <rFont val="Arial"/>
        <family val="2"/>
      </rPr>
      <t>nched a guarantee mechanism for new credit lines, intialy with a maximum maturity of 12 months granted by banks to viable non-financial corporations a</t>
    </r>
    <r>
      <rPr>
        <sz val="10"/>
        <rFont val="Arial"/>
        <family val="2"/>
      </rPr>
      <t>nd self employed (up to 50bn), which will be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</si>
  <si>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color theme="1"/>
        <rFont val="Arial"/>
        <family val="2"/>
      </rPr>
      <t>Additional spending:</t>
    </r>
    <r>
      <rPr>
        <sz val="10"/>
        <color theme="1"/>
        <rFont val="Arial"/>
        <family val="2"/>
      </rPr>
      <t xml:space="preserve">
• Compensation of up to 90 percent of labor costs for companies expecting a reduction in revenues of 20 percent or more; compensation for affected sectors (for example, hospitality services and travel). 
• Income support for entrepreneurs and self-employed (administered at municipal and regional level) for a period of three months through expedited procedures.
• Support for start-ups and small innovation companies through loans provided by government regional agencies. 
• Scaling up of the short-time working scheme (unemployment benefit compensation available to companies needing to reduce their staff by at least 20 percent). I92
</t>
    </r>
    <r>
      <rPr>
        <b/>
        <sz val="10"/>
        <color theme="1"/>
        <rFont val="Arial"/>
        <family val="2"/>
      </rPr>
      <t xml:space="preserve">
Forgone revenue</t>
    </r>
    <r>
      <rPr>
        <sz val="10"/>
        <color theme="1"/>
        <rFont val="Arial"/>
        <family val="2"/>
      </rPr>
      <t>:
• Reduction of tourist taxes and taxes in the culture sector.</t>
    </r>
  </si>
  <si>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t>
  </si>
  <si>
    <t>Country /1</t>
  </si>
  <si>
    <t>Unit</t>
  </si>
  <si>
    <t>Government Level</t>
  </si>
  <si>
    <t>AE</t>
  </si>
  <si>
    <t>Country Group</t>
  </si>
  <si>
    <t>G20 + Spain</t>
  </si>
  <si>
    <t>EM</t>
  </si>
  <si>
    <t>LIDC</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</si>
  <si>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</si>
  <si>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</si>
  <si>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</si>
  <si>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</si>
  <si>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</si>
  <si>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1/ The country list includes European Union as well, but the total global fiscal support does not include measures announced by the European Union because those are financing the measures by member states, which have been included individually. </t>
  </si>
  <si>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brewong companies (KRW 2tn); deferral of customs duties (KRW 0.4 tn).</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</si>
  <si>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</si>
  <si>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t xml:space="preserve">1/ The country list includes European Union as well, but the total global fiscal support does not include measures announced by the European Union because those are financing the measures by member states, which have been included individually. </t>
  </si>
  <si>
    <t>Table 1. Fiscal Measures in Response to the COVID-19 Pandemic</t>
  </si>
  <si>
    <t>Fiscal Monitor: Database of Country Fiscal Measures in Response to the COVID-19 Pandemic</t>
  </si>
  <si>
    <t>• Loans for the industrial sector to promote digital transformation and modernization.</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</si>
  <si>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t>
  </si>
  <si>
    <r>
      <rPr>
        <b/>
        <sz val="10"/>
        <rFont val="Arial"/>
        <family val="2"/>
      </rPr>
      <t>Additional spending (AR $33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$5.5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</si>
  <si>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color theme="1"/>
        <rFont val="Arial"/>
        <family val="2"/>
      </rPr>
      <t xml:space="preserve">Additional spending (BRL 54.2 bn): </t>
    </r>
    <r>
      <rPr>
        <sz val="10"/>
        <color theme="1"/>
        <rFont val="Arial"/>
        <family val="2"/>
      </rPr>
      <t xml:space="preserve">Federal Government spending (BRL 44.2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</si>
  <si>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374.8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9.2 bn): 
</t>
    </r>
    <r>
      <rPr>
        <sz val="10"/>
        <color theme="1"/>
        <rFont val="Arial"/>
        <family val="2"/>
      </rPr>
      <t>• Lower social contributions for small businesses for 3 months.
• Elimination of the financial transactions tax for 3 months.</t>
    </r>
  </si>
  <si>
    <r>
      <rPr>
        <b/>
        <sz val="10"/>
        <color theme="1"/>
        <rFont val="Arial"/>
        <family val="2"/>
      </rPr>
      <t xml:space="preserve">Accelerated spending (BRL 63.8 bn): </t>
    </r>
    <r>
      <rPr>
        <sz val="10"/>
        <color theme="1"/>
        <rFont val="Arial"/>
        <family val="2"/>
      </rPr>
      <t xml:space="preserve">Advance payment of 13th pension benefit, wage bonuses to low-income workers, and sickness/disability benefits.
</t>
    </r>
    <r>
      <rPr>
        <b/>
        <sz val="10"/>
        <color theme="1"/>
        <rFont val="Arial"/>
        <family val="2"/>
      </rPr>
      <t xml:space="preserve">
Deferred revenue (BRL 132.2 bn)</t>
    </r>
    <r>
      <rPr>
        <sz val="10"/>
        <color theme="1"/>
        <rFont val="Arial"/>
        <family val="2"/>
      </rPr>
      <t>: 3-month delay in social contributions paid by firms and employers, as well as in small business taxes and PIT.</t>
    </r>
  </si>
  <si>
    <t>• Direct government loans, including credit lines to SMEs to finance payroll costs (BRL 34 bn), support to fund lending to microbusinesses (BRL 15.9 bn), support to a credit guarantee fund to finance SMEs (BRL 20 bn), and credit support to the tourism sector (BRL 5 bn).</t>
  </si>
  <si>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</si>
  <si>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from public banks to SMEs, micro-firms, and individuals (BNDES: BRL 39bn,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t>
  </si>
  <si>
    <t xml:space="preserve">• Government guarantees for bank lending to micro, small, amd medium enterprises (IDR 150 tn)
</t>
  </si>
  <si>
    <r>
      <rPr>
        <b/>
        <sz val="10"/>
        <rFont val="Arial"/>
        <family val="2"/>
      </rPr>
      <t xml:space="preserve">Additional spending: 
• </t>
    </r>
    <r>
      <rPr>
        <sz val="10"/>
        <rFont val="Arial"/>
        <family val="2"/>
      </rPr>
      <t xml:space="preserve">First supplementary budget (KRW 2.1 tn): Epidemic prevention and treatment, support for medical institutions and quarantined households.
• Third supplementary budget (KRW 2.5 tn): Expanding diagnostic and treatment facilities and smart medical centers; promoting treatment and vaccine development; promoting test-trace-treatment to be a global standard and increasing official development aid of K COVID-19 response kits and tools. </t>
    </r>
  </si>
  <si>
    <t>Fiscal Monitor: Database of Country Fiscal Policy Measures in Response to the COVID-19 Pandemic</t>
  </si>
  <si>
    <r>
      <rPr>
        <b/>
        <sz val="10"/>
        <color theme="1"/>
        <rFont val="Arial"/>
        <family val="2"/>
      </rPr>
      <t xml:space="preserve">Additional spending (JPY 54.7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1.1 tn).
Additional measures announced May 27 include: 
• Transfers to local governments (JPY 2 tn); 
• Expansion of work subsidies (JPY 1.3 tn); 
• Subsidies for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</si>
  <si>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color theme="1"/>
        <rFont val="Arial"/>
        <family val="2"/>
      </rPr>
      <t xml:space="preserve">Questions and suggestions: </t>
    </r>
    <r>
      <rPr>
        <sz val="10"/>
        <color theme="1"/>
        <rFont val="Arial"/>
        <family val="2"/>
      </rPr>
      <t>please contact imffiscal_coviddata@imf.org</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</si>
  <si>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VAT rate on internal travel reduced from 18% to 1%.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</si>
  <si>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 Tax deferrals for the self-employed, farmers, tailors, grocers, lawyers, financial advisers, architects, engineers, doctors, and dentists, and affected sectors, such as retail, iron-steel, logistics-transportation, etc.
• Tax deferrals for over 65s or those with chronic illnesses.
• Postponed payments regarding withholding tax returns and VAT declarations
• Payment of SSC premiums has also been postponed.  
• Land occupation and revenue sharing payments in leasing of hotels will be postponed for 6 months.
</t>
    </r>
  </si>
  <si>
    <t xml:space="preserve">• Credit guarantee fund (TBCG) guarantees to SMEs, large firms, and individuals. </t>
  </si>
  <si>
    <t>RHS ATL</t>
  </si>
  <si>
    <t>BTL BTL</t>
  </si>
  <si>
    <t>LIDCs</t>
  </si>
  <si>
    <t>EMs</t>
  </si>
  <si>
    <t>G20</t>
  </si>
  <si>
    <t>AEs</t>
  </si>
  <si>
    <t>TUR</t>
  </si>
  <si>
    <t>MEX</t>
  </si>
  <si>
    <t>IND</t>
  </si>
  <si>
    <t>RUS</t>
  </si>
  <si>
    <t>SAU</t>
  </si>
  <si>
    <t>IDN</t>
  </si>
  <si>
    <t>FRA</t>
  </si>
  <si>
    <t>ARG</t>
  </si>
  <si>
    <t>KOR</t>
  </si>
  <si>
    <t>ESP</t>
  </si>
  <si>
    <t>ITA</t>
  </si>
  <si>
    <t>CHN</t>
  </si>
  <si>
    <t>ZAF</t>
  </si>
  <si>
    <t>CAN</t>
  </si>
  <si>
    <t>GBR</t>
  </si>
  <si>
    <t>BRA</t>
  </si>
  <si>
    <t>AUS</t>
  </si>
  <si>
    <t>DEU</t>
  </si>
  <si>
    <t>JPN</t>
  </si>
  <si>
    <t>USA</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</si>
  <si>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t>
  </si>
  <si>
    <r>
      <rPr>
        <b/>
        <sz val="10"/>
        <rFont val="Arial"/>
        <family val="2"/>
      </rPr>
      <t xml:space="preserve">Additional Spending (KRW 50.1tn):
</t>
    </r>
    <r>
      <rPr>
        <sz val="10"/>
        <rFont val="Arial"/>
        <family val="2"/>
      </rPr>
      <t xml:space="preserve">• The government has announced consumption coupons for the poor, emergency family care support, and support for business re-opening (KRW 5.6tn).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deductable entertainment expenses when calculating corporation tax (KRW 0.2 tn)
• Social security (healthcare insurance) contribution cut for households (KRW 0.9 tn). </t>
    </r>
  </si>
  <si>
    <t>• Special guarantee for SMEs and small merchants (KRW 5.5 tn), 
• guarantee for small businesses (KRW 3 tn).
• guarantees for SMEs and middle market enterprises with unfavorable credit history (KRW 7.9 tn).
• Korea Credit Guarantee Fund (KODIT) to support corporate bond issuance by primary collateralized obligations (KRW 11.7 tn).
• guarantees/loans related to trade financing and overseas projects (KRW 6 tn).</t>
  </si>
  <si>
    <t xml:space="preserve">• From February to June, Korean government has announced KRW 147 tn financial support measures (excluding guarantee, mostly for SMEs), including KRW 40 tn financial support for key industries.
</t>
  </si>
  <si>
    <t>Additional spending and forgone revenue (ATL)</t>
  </si>
  <si>
    <t>Loans, equity, and guarantees (BTL)</t>
  </si>
  <si>
    <t>Figure. Summary of Country Fiscal Measures in Response to the COVID-19 Pandemic (Percent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</si>
</sst>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_(* #,##0_);_(* \(#,##0\);_(* &quot;-&quot;??_);_(@_)"/>
    <numFmt numFmtId="167" formatCode="_(* #,##0.0_);_(* \(#,##0.0\);_(* &quot;-&quot;??_);_(@_)"/>
    <numFmt numFmtId="168" formatCode="_(* #,##0.000_);_(* \(#,##0.000\);_(* &quot;-&quot;??_);_(@_)"/>
  </numFmts>
  <fonts count="35">
    <font>
      <sz val="10"/>
      <color theme="1"/>
      <name val="Arial"/>
      <family val="2"/>
    </font>
    <font>
      <b/>
      <sz val="10"/>
      <color theme="1"/>
      <name val="Arial"/>
      <family val="2"/>
    </font>
    <font>
      <b/>
      <sz val="10"/>
      <color rgb="FF7030A0"/>
      <name val="Arial"/>
      <family val="2"/>
    </font>
    <font>
      <u/>
      <sz val="10"/>
      <color theme="10"/>
      <name val="Arial"/>
      <family val="2"/>
    </font>
    <font>
      <sz val="12"/>
      <color theme="1"/>
      <name val="Calibri"/>
      <family val="2"/>
      <scheme val="minor"/>
    </font>
    <font>
      <sz val="11"/>
      <name val="Calibri"/>
      <family val="2"/>
    </font>
    <font>
      <sz val="11"/>
      <color theme="1"/>
      <name val="Calibri"/>
      <family val="2"/>
      <scheme val="minor"/>
    </font>
    <font>
      <sz val="10"/>
      <color rgb="FFFF0000"/>
      <name val="Arial"/>
      <family val="2"/>
    </font>
    <font>
      <sz val="10"/>
      <color theme="1"/>
      <name val="Arial"/>
      <family val="2"/>
    </font>
    <font>
      <sz val="10"/>
      <color theme="1"/>
      <name val="Arial"/>
      <family val="2"/>
      <charset val="2"/>
    </font>
    <font>
      <sz val="10"/>
      <color theme="1"/>
      <name val="Arial"/>
      <family val="1"/>
      <charset val="2"/>
    </font>
    <font>
      <sz val="10"/>
      <color theme="1"/>
      <name val="Symbol"/>
      <family val="1"/>
      <charset val="2"/>
    </font>
    <font>
      <sz val="10"/>
      <name val="Arial"/>
      <family val="2"/>
    </font>
    <font>
      <b/>
      <sz val="10"/>
      <name val="Arial"/>
      <family val="2"/>
    </font>
    <font>
      <b/>
      <sz val="18"/>
      <color rgb="FF7030A0"/>
      <name val="Arial"/>
      <family val="2"/>
    </font>
    <font>
      <b/>
      <sz val="16"/>
      <color rgb="FF7030A0"/>
      <name val="Arial"/>
      <family val="2"/>
    </font>
    <font>
      <sz val="15"/>
      <color theme="1"/>
      <name val="Arial"/>
      <family val="2"/>
    </font>
    <font>
      <sz val="10"/>
      <name val="Symbol"/>
      <family val="1"/>
      <charset val="2"/>
    </font>
    <font>
      <sz val="10.4"/>
      <color theme="1"/>
      <name val="Arial"/>
      <family val="2"/>
    </font>
    <font>
      <b/>
      <sz val="10"/>
      <color theme="1"/>
      <name val="Symbol"/>
      <family val="1"/>
      <charset val="2"/>
    </font>
    <font>
      <sz val="8"/>
      <color theme="1"/>
      <name val="Arial"/>
      <family val="2"/>
    </font>
    <font>
      <sz val="7"/>
      <color theme="1"/>
      <name val="Arial"/>
      <family val="2"/>
    </font>
    <font>
      <sz val="7"/>
      <color theme="1"/>
      <name val="Arial"/>
      <family val="2"/>
      <charset val="2"/>
    </font>
    <font>
      <b/>
      <sz val="10"/>
      <name val="Symbol"/>
      <family val="1"/>
      <charset val="2"/>
    </font>
    <font>
      <sz val="7"/>
      <name val="Arial"/>
      <family val="2"/>
    </font>
    <font>
      <b/>
      <sz val="10"/>
      <color rgb="FF7030A0"/>
      <name val="HelveticaNeueLT Std"/>
      <family val="2"/>
    </font>
    <font>
      <sz val="9"/>
      <color theme="1"/>
      <name val="Arial"/>
      <family val="2"/>
    </font>
    <font>
      <b/>
      <sz val="9"/>
      <color theme="1"/>
      <name val="Arial"/>
      <family val="2"/>
    </font>
    <font>
      <i/>
      <sz val="10"/>
      <color rgb="FF7030A0"/>
      <name val="HelveticaNeueLT Std"/>
    </font>
    <font>
      <b/>
      <sz val="8.5"/>
      <name val="Arial"/>
      <family val="2"/>
    </font>
    <font>
      <b/>
      <i/>
      <sz val="8.5"/>
      <name val="Arial"/>
      <family val="2"/>
    </font>
    <font>
      <sz val="8.5"/>
      <color theme="1"/>
      <name val="Arial"/>
      <family val="2"/>
    </font>
    <font>
      <b/>
      <sz val="8.5"/>
      <color theme="1"/>
      <name val="Arial"/>
      <family val="2"/>
    </font>
    <font>
      <b/>
      <sz val="11"/>
      <name val="Calibri"/>
      <family val="2"/>
    </font>
    <font>
      <b/>
      <sz val="11"/>
      <color rgb="FF7030A0"/>
      <name val="Calibri"/>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59999389629810485"/>
        <bgColor indexed="64"/>
      </patternFill>
    </fill>
  </fills>
  <borders count="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theme="0" tint="-0.499984740745262"/>
      </top>
      <bottom/>
      <diagonal/>
    </border>
  </borders>
  <cellStyleXfs count="11">
    <xf numFmtId="0" fontId="0" fillId="0" borderId="0"/>
    <xf numFmtId="0" fontId="4" fillId="0" borderId="0"/>
    <xf numFmtId="0" fontId="5" fillId="0" borderId="0"/>
    <xf numFmtId="0" fontId="6" fillId="0" borderId="0"/>
    <xf numFmtId="164" fontId="8" fillId="0" borderId="0" applyFont="0" applyFill="0" applyBorder="0" applyAlignment="0" applyProtection="0"/>
    <xf numFmtId="0" fontId="5" fillId="0" borderId="0"/>
    <xf numFmtId="164" fontId="5" fillId="0" borderId="0" applyFont="0" applyFill="0" applyBorder="0" applyAlignment="0" applyProtection="0"/>
    <xf numFmtId="0" fontId="8" fillId="0" borderId="0"/>
    <xf numFmtId="0" fontId="8" fillId="0" borderId="0"/>
    <xf numFmtId="0" fontId="3" fillId="0" borderId="0" applyNumberFormat="0" applyFill="0" applyBorder="0" applyAlignment="0" applyProtection="0"/>
    <xf numFmtId="164" fontId="8" fillId="0" borderId="0" applyFont="0" applyFill="0" applyBorder="0" applyAlignment="0" applyProtection="0"/>
  </cellStyleXfs>
  <cellXfs count="238">
    <xf numFmtId="0" fontId="0" fillId="0" borderId="0" xfId="0"/>
    <xf numFmtId="0" fontId="0" fillId="2" borderId="1" xfId="0" applyFill="1" applyBorder="1"/>
    <xf numFmtId="0" fontId="0" fillId="2" borderId="1" xfId="0" applyFill="1" applyBorder="1" applyAlignment="1">
      <alignment wrapText="1"/>
    </xf>
    <xf numFmtId="0" fontId="0" fillId="2" borderId="0" xfId="0" applyFill="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left" vertical="center"/>
    </xf>
    <xf numFmtId="165" fontId="0" fillId="4" borderId="1" xfId="0" applyNumberFormat="1" applyFill="1" applyBorder="1" applyAlignment="1">
      <alignment horizontal="center" vertical="center"/>
    </xf>
    <xf numFmtId="0" fontId="0" fillId="4" borderId="2" xfId="0" applyFill="1" applyBorder="1" applyAlignment="1">
      <alignment horizontal="left" vertical="center"/>
    </xf>
    <xf numFmtId="0" fontId="0" fillId="2" borderId="0" xfId="0" applyFill="1"/>
    <xf numFmtId="0" fontId="0" fillId="4" borderId="2" xfId="0" applyFill="1" applyBorder="1" applyAlignment="1">
      <alignment horizontal="left" vertical="center" textRotation="90"/>
    </xf>
    <xf numFmtId="0" fontId="0" fillId="2" borderId="1" xfId="0" applyFill="1" applyBorder="1" applyAlignment="1">
      <alignment vertical="center"/>
    </xf>
    <xf numFmtId="0" fontId="0" fillId="4" borderId="1" xfId="0" applyFill="1" applyBorder="1" applyAlignment="1">
      <alignment horizontal="left" vertical="center" textRotation="90"/>
    </xf>
    <xf numFmtId="0" fontId="0" fillId="2" borderId="0" xfId="0" applyFill="1" applyAlignment="1">
      <alignment vertical="center"/>
    </xf>
    <xf numFmtId="0" fontId="0" fillId="2" borderId="1" xfId="0" applyFill="1" applyBorder="1" applyAlignment="1">
      <alignment vertical="center" wrapText="1"/>
    </xf>
    <xf numFmtId="165" fontId="0" fillId="4" borderId="2" xfId="0" applyNumberFormat="1" applyFill="1" applyBorder="1" applyAlignment="1">
      <alignment horizontal="center" vertical="center"/>
    </xf>
    <xf numFmtId="165" fontId="0" fillId="4" borderId="1" xfId="4" applyNumberFormat="1" applyFont="1" applyFill="1" applyBorder="1" applyAlignment="1">
      <alignment horizontal="center" vertical="center"/>
    </xf>
    <xf numFmtId="165" fontId="0" fillId="4" borderId="2" xfId="4" applyNumberFormat="1" applyFont="1" applyFill="1" applyBorder="1" applyAlignment="1">
      <alignment horizontal="center" vertical="center" wrapText="1"/>
    </xf>
    <xf numFmtId="165" fontId="0" fillId="2" borderId="1" xfId="4"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 fontId="0" fillId="4" borderId="2" xfId="0" applyNumberFormat="1" applyFill="1" applyBorder="1" applyAlignment="1">
      <alignment horizontal="center" vertical="center"/>
    </xf>
    <xf numFmtId="1" fontId="0" fillId="4" borderId="1" xfId="0" applyNumberFormat="1" applyFill="1" applyBorder="1" applyAlignment="1">
      <alignment horizontal="center" vertical="center"/>
    </xf>
    <xf numFmtId="1" fontId="12" fillId="4" borderId="2" xfId="0" applyNumberFormat="1" applyFont="1" applyFill="1" applyBorder="1" applyAlignment="1">
      <alignment horizontal="center" vertical="center"/>
    </xf>
    <xf numFmtId="1" fontId="0" fillId="4" borderId="2" xfId="4" applyNumberFormat="1" applyFont="1" applyFill="1" applyBorder="1" applyAlignment="1">
      <alignment horizontal="center" vertical="center" wrapText="1"/>
    </xf>
    <xf numFmtId="1" fontId="12" fillId="4" borderId="2" xfId="0" applyNumberFormat="1" applyFont="1" applyFill="1" applyBorder="1" applyAlignment="1">
      <alignment horizontal="center" vertical="center" wrapText="1"/>
    </xf>
    <xf numFmtId="1" fontId="0" fillId="4" borderId="2" xfId="4" applyNumberFormat="1" applyFont="1" applyFill="1" applyBorder="1" applyAlignment="1">
      <alignment horizontal="center" vertical="center"/>
    </xf>
    <xf numFmtId="0" fontId="0" fillId="2" borderId="0" xfId="0" applyFill="1" applyAlignment="1">
      <alignment horizontal="left"/>
    </xf>
    <xf numFmtId="0" fontId="14" fillId="2" borderId="0" xfId="0" applyFont="1" applyFill="1" applyAlignment="1">
      <alignment horizontal="left" vertical="center"/>
    </xf>
    <xf numFmtId="165" fontId="12" fillId="4" borderId="1" xfId="0" applyNumberFormat="1" applyFont="1" applyFill="1" applyBorder="1" applyAlignment="1">
      <alignment horizontal="center" vertical="center"/>
    </xf>
    <xf numFmtId="1" fontId="0" fillId="4" borderId="2" xfId="0" applyNumberFormat="1" applyFill="1" applyBorder="1" applyAlignment="1">
      <alignment horizontal="center" vertical="center" wrapText="1"/>
    </xf>
    <xf numFmtId="166" fontId="12" fillId="4" borderId="2" xfId="4" applyNumberFormat="1" applyFont="1" applyFill="1" applyBorder="1" applyAlignment="1">
      <alignment horizontal="center" vertical="center" wrapText="1"/>
    </xf>
    <xf numFmtId="166" fontId="0" fillId="4" borderId="2" xfId="4" applyNumberFormat="1" applyFont="1" applyFill="1" applyBorder="1" applyAlignment="1">
      <alignment horizontal="center" vertical="center" wrapText="1"/>
    </xf>
    <xf numFmtId="166" fontId="0" fillId="4" borderId="2" xfId="4" applyNumberFormat="1" applyFont="1" applyFill="1" applyBorder="1" applyAlignment="1">
      <alignment horizontal="center" vertical="center"/>
    </xf>
    <xf numFmtId="166" fontId="12" fillId="4" borderId="2" xfId="4" applyNumberFormat="1" applyFont="1" applyFill="1" applyBorder="1" applyAlignment="1">
      <alignment horizontal="left" vertical="center"/>
    </xf>
    <xf numFmtId="1" fontId="0" fillId="4" borderId="0" xfId="0" applyNumberFormat="1" applyFill="1" applyAlignment="1">
      <alignment horizontal="center" vertical="center" wrapText="1"/>
    </xf>
    <xf numFmtId="0" fontId="0" fillId="2" borderId="0" xfId="0" applyFill="1" applyAlignment="1">
      <alignment horizontal="left" vertical="center" wrapText="1"/>
    </xf>
    <xf numFmtId="0" fontId="0" fillId="2" borderId="2" xfId="0" applyFill="1" applyBorder="1"/>
    <xf numFmtId="0" fontId="0" fillId="2" borderId="2" xfId="0" applyFill="1" applyBorder="1" applyAlignment="1">
      <alignment horizontal="left" vertical="center" textRotation="90"/>
    </xf>
    <xf numFmtId="165" fontId="0" fillId="2" borderId="0" xfId="0" applyNumberFormat="1" applyFill="1" applyAlignment="1">
      <alignment horizontal="center" vertical="center"/>
    </xf>
    <xf numFmtId="165" fontId="0" fillId="2" borderId="0" xfId="0" applyNumberFormat="1" applyFill="1" applyAlignment="1">
      <alignment horizontal="left" vertical="center"/>
    </xf>
    <xf numFmtId="165" fontId="8" fillId="2" borderId="0" xfId="4"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65" fontId="8" fillId="2" borderId="0" xfId="4" applyNumberFormat="1" applyFont="1" applyFill="1" applyBorder="1" applyAlignment="1">
      <alignment horizontal="left" vertical="center"/>
    </xf>
    <xf numFmtId="0" fontId="0" fillId="0" borderId="1" xfId="0" applyBorder="1"/>
    <xf numFmtId="1" fontId="0" fillId="4" borderId="2" xfId="0" applyNumberFormat="1" applyFill="1" applyBorder="1" applyAlignment="1">
      <alignment horizontal="left" vertical="center" wrapText="1"/>
    </xf>
    <xf numFmtId="166" fontId="0" fillId="4" borderId="2" xfId="0" applyNumberFormat="1" applyFill="1" applyBorder="1" applyAlignment="1">
      <alignment horizontal="center" vertical="center"/>
    </xf>
    <xf numFmtId="165" fontId="0" fillId="4" borderId="1" xfId="0" applyNumberFormat="1" applyFill="1" applyBorder="1" applyAlignment="1">
      <alignment horizontal="left" vertical="center" wrapText="1"/>
    </xf>
    <xf numFmtId="166" fontId="12" fillId="4" borderId="2" xfId="4" applyNumberFormat="1" applyFont="1" applyFill="1" applyBorder="1" applyAlignment="1">
      <alignment horizontal="center" vertical="center"/>
    </xf>
    <xf numFmtId="3" fontId="12" fillId="4" borderId="2" xfId="0" applyNumberFormat="1" applyFont="1" applyFill="1" applyBorder="1" applyAlignment="1">
      <alignment horizontal="center" vertical="center"/>
    </xf>
    <xf numFmtId="165" fontId="0" fillId="4" borderId="0" xfId="0" applyNumberFormat="1" applyFill="1" applyAlignment="1">
      <alignment horizontal="center" vertical="center"/>
    </xf>
    <xf numFmtId="1" fontId="12" fillId="4" borderId="2" xfId="4" applyNumberFormat="1" applyFont="1" applyFill="1" applyBorder="1" applyAlignment="1">
      <alignment horizontal="center" vertical="center"/>
    </xf>
    <xf numFmtId="3" fontId="0" fillId="4" borderId="2" xfId="0" applyNumberFormat="1" applyFill="1" applyBorder="1" applyAlignment="1">
      <alignment horizontal="center" vertical="center" wrapText="1"/>
    </xf>
    <xf numFmtId="166" fontId="12" fillId="4" borderId="2" xfId="0" applyNumberFormat="1" applyFont="1" applyFill="1" applyBorder="1" applyAlignment="1">
      <alignment horizontal="center" vertical="center" wrapText="1"/>
    </xf>
    <xf numFmtId="166" fontId="0" fillId="4" borderId="2" xfId="0" applyNumberFormat="1" applyFill="1" applyBorder="1" applyAlignment="1">
      <alignment horizontal="center" vertical="center" wrapText="1"/>
    </xf>
    <xf numFmtId="165" fontId="7" fillId="4" borderId="0" xfId="0" applyNumberFormat="1" applyFont="1" applyFill="1" applyAlignment="1">
      <alignment horizontal="center" vertical="center"/>
    </xf>
    <xf numFmtId="1" fontId="0" fillId="4" borderId="2" xfId="0" applyNumberFormat="1" applyFill="1" applyBorder="1" applyAlignment="1">
      <alignment vertical="center" wrapText="1"/>
    </xf>
    <xf numFmtId="165" fontId="0" fillId="4" borderId="2" xfId="0" applyNumberFormat="1" applyFill="1" applyBorder="1" applyAlignment="1">
      <alignment vertical="center" wrapText="1"/>
    </xf>
    <xf numFmtId="165" fontId="0" fillId="4" borderId="1" xfId="0" applyNumberFormat="1" applyFill="1" applyBorder="1" applyAlignment="1">
      <alignment horizontal="right" vertical="center"/>
    </xf>
    <xf numFmtId="1" fontId="0" fillId="4" borderId="2" xfId="0" applyNumberFormat="1" applyFill="1" applyBorder="1" applyAlignment="1">
      <alignment horizontal="left" vertical="center"/>
    </xf>
    <xf numFmtId="165" fontId="12" fillId="4" borderId="0" xfId="0" applyNumberFormat="1" applyFont="1" applyFill="1" applyAlignment="1">
      <alignment horizontal="left" vertical="center" wrapText="1"/>
    </xf>
    <xf numFmtId="165" fontId="12" fillId="4" borderId="2" xfId="0" applyNumberFormat="1" applyFont="1" applyFill="1" applyBorder="1" applyAlignment="1">
      <alignment horizontal="center" vertical="center"/>
    </xf>
    <xf numFmtId="165" fontId="12" fillId="4" borderId="0" xfId="4" applyNumberFormat="1" applyFont="1" applyFill="1" applyAlignment="1">
      <alignment horizontal="center" vertical="center"/>
    </xf>
    <xf numFmtId="0" fontId="0" fillId="4" borderId="0" xfId="0" applyFill="1" applyAlignment="1">
      <alignment horizontal="left" vertical="center" textRotation="90"/>
    </xf>
    <xf numFmtId="166" fontId="8" fillId="4" borderId="2" xfId="4" applyNumberFormat="1" applyFill="1" applyBorder="1" applyAlignment="1">
      <alignment horizontal="center" vertical="center"/>
    </xf>
    <xf numFmtId="1" fontId="0" fillId="4" borderId="0" xfId="0" applyNumberFormat="1" applyFill="1" applyAlignment="1">
      <alignment horizontal="center" vertical="center"/>
    </xf>
    <xf numFmtId="1" fontId="8" fillId="4" borderId="0" xfId="4" applyNumberFormat="1" applyFill="1" applyAlignment="1">
      <alignment horizontal="center" vertical="center"/>
    </xf>
    <xf numFmtId="165" fontId="8" fillId="4" borderId="1" xfId="4" applyNumberFormat="1" applyFill="1" applyBorder="1" applyAlignment="1">
      <alignment horizontal="center" vertical="center"/>
    </xf>
    <xf numFmtId="0" fontId="12" fillId="4" borderId="2" xfId="0" applyFont="1" applyFill="1" applyBorder="1" applyAlignment="1">
      <alignment horizontal="center" vertical="center" wrapText="1"/>
    </xf>
    <xf numFmtId="0" fontId="0" fillId="4" borderId="2" xfId="0" applyFill="1" applyBorder="1" applyAlignment="1">
      <alignment horizontal="center" vertical="center" wrapText="1"/>
    </xf>
    <xf numFmtId="3" fontId="7" fillId="4" borderId="2" xfId="0" applyNumberFormat="1" applyFont="1" applyFill="1" applyBorder="1" applyAlignment="1">
      <alignment horizontal="left" vertical="center" wrapText="1"/>
    </xf>
    <xf numFmtId="165" fontId="7" fillId="4" borderId="1" xfId="0" applyNumberFormat="1" applyFont="1" applyFill="1" applyBorder="1" applyAlignment="1">
      <alignment horizontal="left" vertical="center" wrapText="1"/>
    </xf>
    <xf numFmtId="37" fontId="12" fillId="4" borderId="2" xfId="0" applyNumberFormat="1" applyFont="1" applyFill="1" applyBorder="1" applyAlignment="1">
      <alignment horizontal="center" vertical="center"/>
    </xf>
    <xf numFmtId="165" fontId="0" fillId="4" borderId="2" xfId="0" applyNumberFormat="1" applyFill="1" applyBorder="1" applyAlignment="1">
      <alignment horizontal="left" vertical="center" wrapText="1"/>
    </xf>
    <xf numFmtId="167" fontId="0" fillId="4" borderId="1" xfId="0" applyNumberFormat="1" applyFill="1" applyBorder="1" applyAlignment="1">
      <alignment horizontal="left" vertical="center"/>
    </xf>
    <xf numFmtId="0" fontId="14" fillId="0" borderId="0" xfId="0" applyFont="1" applyAlignment="1">
      <alignment horizontal="left" vertical="center"/>
    </xf>
    <xf numFmtId="0" fontId="0" fillId="0" borderId="0" xfId="0" applyAlignment="1">
      <alignment horizontal="left" vertical="center"/>
    </xf>
    <xf numFmtId="0" fontId="0" fillId="4" borderId="4" xfId="0" applyFill="1" applyBorder="1" applyAlignment="1">
      <alignment horizontal="left" vertical="center" textRotation="90"/>
    </xf>
    <xf numFmtId="0" fontId="25" fillId="0" borderId="0" xfId="2" applyFont="1"/>
    <xf numFmtId="0" fontId="26" fillId="0" borderId="0" xfId="0" applyFont="1"/>
    <xf numFmtId="0" fontId="26" fillId="0" borderId="1" xfId="0" applyFont="1" applyBorder="1"/>
    <xf numFmtId="0" fontId="27" fillId="0" borderId="0" xfId="0" applyFont="1"/>
    <xf numFmtId="0" fontId="26" fillId="0" borderId="0" xfId="0" applyFont="1" applyAlignment="1">
      <alignment horizontal="left" indent="1"/>
    </xf>
    <xf numFmtId="0" fontId="0" fillId="0" borderId="0" xfId="0" applyAlignment="1">
      <alignment horizontal="left" indent="1"/>
    </xf>
    <xf numFmtId="0" fontId="26" fillId="0" borderId="0" xfId="0" applyFont="1" applyAlignment="1">
      <alignment horizontal="left"/>
    </xf>
    <xf numFmtId="0" fontId="28" fillId="0" borderId="0" xfId="2" applyFont="1"/>
    <xf numFmtId="0" fontId="31" fillId="0" borderId="2" xfId="0" applyFont="1" applyBorder="1"/>
    <xf numFmtId="0" fontId="32" fillId="0" borderId="0" xfId="0" applyFont="1"/>
    <xf numFmtId="0" fontId="32" fillId="0" borderId="1" xfId="0" applyFont="1" applyBorder="1"/>
    <xf numFmtId="0" fontId="31" fillId="0" borderId="1" xfId="0" applyFont="1" applyBorder="1"/>
    <xf numFmtId="165" fontId="31" fillId="2" borderId="1" xfId="0" applyNumberFormat="1" applyFont="1" applyFill="1" applyBorder="1" applyAlignment="1">
      <alignment horizontal="center" vertical="center" wrapText="1"/>
    </xf>
    <xf numFmtId="0" fontId="31" fillId="0" borderId="1" xfId="0" applyFont="1" applyBorder="1" applyAlignment="1">
      <alignment horizontal="left" vertical="center"/>
    </xf>
    <xf numFmtId="0" fontId="31" fillId="2" borderId="1" xfId="0" applyFont="1" applyFill="1" applyBorder="1" applyAlignment="1">
      <alignment vertical="center" wrapText="1"/>
    </xf>
    <xf numFmtId="0" fontId="31" fillId="2" borderId="1" xfId="0" applyFont="1" applyFill="1" applyBorder="1" applyAlignment="1">
      <alignment horizontal="left" vertical="center" wrapText="1"/>
    </xf>
    <xf numFmtId="0" fontId="31" fillId="0" borderId="0" xfId="0" applyFont="1" applyAlignment="1">
      <alignment horizontal="left" vertical="center"/>
    </xf>
    <xf numFmtId="0" fontId="31" fillId="0" borderId="3" xfId="0" applyFont="1" applyBorder="1" applyAlignment="1">
      <alignment horizontal="left" vertical="center"/>
    </xf>
    <xf numFmtId="165" fontId="0" fillId="4" borderId="1" xfId="0" applyNumberFormat="1" applyFill="1" applyBorder="1" applyAlignment="1">
      <alignment horizontal="center" vertical="center" wrapText="1"/>
    </xf>
    <xf numFmtId="165" fontId="0" fillId="4" borderId="2" xfId="0" applyNumberForma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horizontal="center" vertical="center" wrapText="1"/>
    </xf>
    <xf numFmtId="165" fontId="1" fillId="2" borderId="1" xfId="4"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0" fillId="2" borderId="2" xfId="0" applyFill="1" applyBorder="1" applyAlignment="1">
      <alignment vertical="center" textRotation="90" wrapText="1"/>
    </xf>
    <xf numFmtId="0" fontId="0" fillId="2" borderId="1" xfId="0" applyFill="1" applyBorder="1" applyAlignment="1">
      <alignment vertical="center" textRotation="90" wrapText="1"/>
    </xf>
    <xf numFmtId="165" fontId="1" fillId="2" borderId="2" xfId="0" applyNumberFormat="1" applyFont="1" applyFill="1" applyBorder="1" applyAlignment="1">
      <alignment vertical="center" wrapText="1"/>
    </xf>
    <xf numFmtId="165" fontId="1" fillId="2" borderId="2" xfId="4" applyNumberFormat="1" applyFont="1" applyFill="1" applyBorder="1" applyAlignment="1">
      <alignment vertical="center" wrapText="1"/>
    </xf>
    <xf numFmtId="0" fontId="15" fillId="2" borderId="1" xfId="0" applyFont="1" applyFill="1" applyBorder="1" applyAlignment="1">
      <alignment horizontal="left" vertical="center"/>
    </xf>
    <xf numFmtId="0" fontId="2" fillId="2" borderId="1" xfId="0" applyFont="1" applyFill="1" applyBorder="1" applyAlignment="1">
      <alignment horizontal="left" vertical="center"/>
    </xf>
    <xf numFmtId="165" fontId="1" fillId="2" borderId="1" xfId="0" applyNumberFormat="1" applyFont="1" applyFill="1" applyBorder="1" applyAlignment="1">
      <alignment horizontal="center" vertical="center"/>
    </xf>
    <xf numFmtId="0" fontId="0" fillId="2" borderId="0" xfId="0" applyFill="1" applyAlignment="1">
      <alignment wrapText="1"/>
    </xf>
    <xf numFmtId="165" fontId="8" fillId="2" borderId="1" xfId="4" applyNumberForma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0" borderId="1" xfId="0" applyBorder="1" applyAlignment="1">
      <alignment vertical="center" textRotation="90" wrapText="1"/>
    </xf>
    <xf numFmtId="1" fontId="8" fillId="4" borderId="0" xfId="4" applyNumberFormat="1" applyFill="1" applyAlignment="1">
      <alignment horizontal="center" vertical="center" wrapText="1"/>
    </xf>
    <xf numFmtId="1" fontId="12" fillId="4" borderId="0" xfId="0" applyNumberFormat="1" applyFont="1" applyFill="1" applyAlignment="1">
      <alignment horizontal="center" vertical="center"/>
    </xf>
    <xf numFmtId="1" fontId="0" fillId="4" borderId="0" xfId="4" applyNumberFormat="1" applyFont="1" applyFill="1" applyAlignment="1">
      <alignment horizontal="center" vertical="center"/>
    </xf>
    <xf numFmtId="165" fontId="0" fillId="4" borderId="0" xfId="4" applyNumberFormat="1" applyFont="1" applyFill="1" applyAlignment="1">
      <alignment horizontal="center" vertical="center"/>
    </xf>
    <xf numFmtId="165" fontId="8" fillId="4" borderId="2" xfId="4" applyNumberFormat="1" applyFill="1" applyBorder="1" applyAlignment="1">
      <alignment horizontal="center" vertical="center"/>
    </xf>
    <xf numFmtId="1" fontId="0" fillId="4" borderId="0" xfId="0" applyNumberFormat="1" applyFill="1" applyAlignment="1">
      <alignment vertical="center" wrapText="1"/>
    </xf>
    <xf numFmtId="165" fontId="8" fillId="4" borderId="0" xfId="4" applyNumberFormat="1" applyFill="1" applyAlignment="1">
      <alignment horizontal="center" vertical="center"/>
    </xf>
    <xf numFmtId="1" fontId="8" fillId="4" borderId="2" xfId="4" applyNumberFormat="1" applyFill="1" applyBorder="1" applyAlignment="1">
      <alignment horizontal="center" vertical="center"/>
    </xf>
    <xf numFmtId="165" fontId="0" fillId="4" borderId="0" xfId="0" applyNumberFormat="1" applyFill="1" applyAlignment="1">
      <alignment horizontal="left" vertical="center" wrapText="1"/>
    </xf>
    <xf numFmtId="166" fontId="0" fillId="4" borderId="0" xfId="4" applyNumberFormat="1" applyFont="1" applyFill="1" applyAlignment="1">
      <alignment horizontal="center" vertical="center"/>
    </xf>
    <xf numFmtId="165" fontId="12" fillId="4" borderId="0" xfId="0" applyNumberFormat="1" applyFont="1" applyFill="1" applyAlignment="1">
      <alignment horizontal="center" vertical="center"/>
    </xf>
    <xf numFmtId="1" fontId="8" fillId="4" borderId="0" xfId="0" applyNumberFormat="1" applyFont="1" applyFill="1" applyAlignment="1">
      <alignment horizontal="center" vertical="center"/>
    </xf>
    <xf numFmtId="166" fontId="0" fillId="4" borderId="0" xfId="0" applyNumberFormat="1" applyFill="1" applyAlignment="1">
      <alignment horizontal="left" vertical="center"/>
    </xf>
    <xf numFmtId="167" fontId="0" fillId="4" borderId="0" xfId="0" applyNumberFormat="1" applyFill="1" applyAlignment="1">
      <alignment horizontal="left" vertical="center"/>
    </xf>
    <xf numFmtId="165" fontId="8" fillId="4" borderId="2" xfId="4" applyNumberFormat="1" applyFill="1" applyBorder="1" applyAlignment="1">
      <alignment horizontal="center" vertical="center" wrapText="1"/>
    </xf>
    <xf numFmtId="165" fontId="0" fillId="4" borderId="0" xfId="0" applyNumberFormat="1" applyFill="1" applyAlignment="1">
      <alignment horizontal="center" vertical="center" wrapText="1"/>
    </xf>
    <xf numFmtId="1" fontId="0" fillId="4" borderId="0" xfId="0" applyNumberFormat="1" applyFill="1" applyAlignment="1">
      <alignment horizontal="left" vertical="center" wrapText="1"/>
    </xf>
    <xf numFmtId="165" fontId="8" fillId="4" borderId="0" xfId="0" applyNumberFormat="1" applyFont="1" applyFill="1" applyAlignment="1">
      <alignment horizontal="center" vertical="center"/>
    </xf>
    <xf numFmtId="1" fontId="12" fillId="4" borderId="0" xfId="0" applyNumberFormat="1" applyFont="1" applyFill="1" applyAlignment="1">
      <alignment horizontal="center" vertical="center" wrapText="1"/>
    </xf>
    <xf numFmtId="1" fontId="8" fillId="4" borderId="2" xfId="4" applyNumberFormat="1" applyFill="1" applyBorder="1" applyAlignment="1">
      <alignment horizontal="center" vertical="center" wrapText="1"/>
    </xf>
    <xf numFmtId="166" fontId="8" fillId="4" borderId="2" xfId="4" applyNumberFormat="1" applyFill="1" applyBorder="1" applyAlignment="1">
      <alignment horizontal="center" vertical="center" wrapText="1"/>
    </xf>
    <xf numFmtId="165" fontId="7" fillId="4" borderId="0" xfId="0" applyNumberFormat="1" applyFont="1" applyFill="1" applyAlignment="1">
      <alignment horizontal="left" vertical="center" wrapText="1"/>
    </xf>
    <xf numFmtId="0" fontId="0" fillId="4" borderId="0" xfId="0" applyFill="1" applyAlignment="1">
      <alignment horizontal="center" vertical="center" wrapText="1"/>
    </xf>
    <xf numFmtId="165" fontId="12" fillId="4" borderId="0" xfId="0" applyNumberFormat="1" applyFont="1" applyFill="1" applyAlignment="1">
      <alignment horizontal="center" vertical="center" wrapText="1"/>
    </xf>
    <xf numFmtId="165" fontId="0" fillId="4" borderId="0" xfId="0" applyNumberFormat="1" applyFill="1" applyAlignment="1">
      <alignment vertical="center" wrapText="1"/>
    </xf>
    <xf numFmtId="0" fontId="0" fillId="4" borderId="0" xfId="0" applyFill="1" applyAlignment="1">
      <alignment horizontal="center" vertical="center"/>
    </xf>
    <xf numFmtId="165" fontId="8" fillId="4" borderId="0" xfId="4" applyNumberFormat="1" applyFill="1" applyAlignment="1">
      <alignment horizontal="center" vertical="center" wrapText="1"/>
    </xf>
    <xf numFmtId="0" fontId="0" fillId="4" borderId="0" xfId="0" applyFill="1" applyAlignment="1">
      <alignment horizontal="left" wrapText="1"/>
    </xf>
    <xf numFmtId="0" fontId="0" fillId="4" borderId="2" xfId="0" applyFill="1" applyBorder="1" applyAlignment="1">
      <alignment horizontal="center" vertical="center"/>
    </xf>
    <xf numFmtId="166" fontId="8" fillId="4" borderId="2" xfId="4" applyNumberFormat="1" applyFill="1" applyBorder="1" applyAlignment="1">
      <alignment horizontal="left" vertical="center" wrapText="1"/>
    </xf>
    <xf numFmtId="0" fontId="0" fillId="4" borderId="1" xfId="0" applyFill="1" applyBorder="1" applyAlignment="1">
      <alignment horizontal="center" vertical="center" wrapText="1"/>
    </xf>
    <xf numFmtId="165" fontId="8" fillId="2" borderId="0" xfId="4" applyNumberFormat="1" applyFill="1" applyAlignment="1">
      <alignment horizontal="center" vertical="center"/>
    </xf>
    <xf numFmtId="0" fontId="0" fillId="0" borderId="0" xfId="0" applyAlignment="1">
      <alignment horizontal="center" vertical="center"/>
    </xf>
    <xf numFmtId="0" fontId="31" fillId="0" borderId="0" xfId="0" applyFont="1" applyAlignment="1">
      <alignment horizontal="center"/>
    </xf>
    <xf numFmtId="0" fontId="32" fillId="0" borderId="0" xfId="0" applyFont="1" applyAlignment="1">
      <alignment wrapText="1"/>
    </xf>
    <xf numFmtId="0" fontId="5" fillId="0" borderId="0" xfId="2"/>
    <xf numFmtId="0" fontId="5" fillId="0" borderId="0" xfId="2" applyAlignment="1">
      <alignment horizontal="left"/>
    </xf>
    <xf numFmtId="0" fontId="33" fillId="0" borderId="0" xfId="2" applyFont="1"/>
    <xf numFmtId="0" fontId="5" fillId="2" borderId="0" xfId="2" applyFill="1"/>
    <xf numFmtId="0" fontId="34" fillId="2" borderId="0" xfId="2" applyFont="1" applyFill="1"/>
    <xf numFmtId="0" fontId="0" fillId="2" borderId="0" xfId="0" applyFill="1" applyAlignment="1">
      <alignment horizontal="center" vertical="center"/>
    </xf>
    <xf numFmtId="0" fontId="0" fillId="4" borderId="0" xfId="0" applyFill="1" applyAlignment="1">
      <alignment horizontal="center" vertical="center" textRotation="90"/>
    </xf>
    <xf numFmtId="0" fontId="0" fillId="4" borderId="1" xfId="0" applyFill="1" applyBorder="1" applyAlignment="1">
      <alignment horizontal="center" vertical="center" textRotation="90"/>
    </xf>
    <xf numFmtId="0" fontId="12" fillId="4" borderId="0" xfId="0" applyFont="1" applyFill="1" applyAlignment="1">
      <alignment horizontal="left" vertical="center" wrapText="1"/>
    </xf>
    <xf numFmtId="0" fontId="12" fillId="4" borderId="1" xfId="0" applyFont="1" applyFill="1" applyBorder="1" applyAlignment="1">
      <alignment horizontal="left" vertical="center" wrapText="1"/>
    </xf>
    <xf numFmtId="0" fontId="12" fillId="4" borderId="0" xfId="0" applyFont="1" applyFill="1" applyAlignment="1">
      <alignment horizontal="center" vertical="center" wrapText="1"/>
    </xf>
    <xf numFmtId="0" fontId="0" fillId="4" borderId="0" xfId="0" applyFill="1" applyAlignment="1">
      <alignment horizontal="left" vertical="center" wrapText="1"/>
    </xf>
    <xf numFmtId="0" fontId="0" fillId="4" borderId="1" xfId="0" applyFill="1" applyBorder="1" applyAlignment="1">
      <alignment horizontal="left" vertical="center" wrapText="1"/>
    </xf>
    <xf numFmtId="0" fontId="0" fillId="4" borderId="0" xfId="0" applyFill="1" applyAlignment="1">
      <alignment vertical="center" wrapText="1"/>
    </xf>
    <xf numFmtId="0" fontId="0" fillId="4" borderId="2" xfId="0" applyFill="1" applyBorder="1" applyAlignment="1">
      <alignment horizontal="left" vertical="center" wrapText="1"/>
    </xf>
    <xf numFmtId="0" fontId="12" fillId="4" borderId="2" xfId="0" applyFont="1" applyFill="1" applyBorder="1" applyAlignment="1">
      <alignment horizontal="left" vertical="center" wrapText="1"/>
    </xf>
    <xf numFmtId="0" fontId="0" fillId="4" borderId="0" xfId="0" applyFill="1" applyAlignment="1">
      <alignment horizontal="left" vertical="center"/>
    </xf>
    <xf numFmtId="0" fontId="0" fillId="4" borderId="1" xfId="0" applyFill="1" applyBorder="1" applyAlignment="1">
      <alignment horizontal="left" vertical="center"/>
    </xf>
    <xf numFmtId="0" fontId="0" fillId="2" borderId="2" xfId="0"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0" xfId="0" applyFont="1" applyFill="1" applyAlignment="1">
      <alignment horizontal="left" vertical="center" wrapText="1"/>
    </xf>
    <xf numFmtId="0" fontId="31" fillId="2" borderId="1" xfId="0" applyFont="1" applyFill="1" applyBorder="1" applyAlignment="1">
      <alignment horizontal="center" vertical="center" wrapText="1"/>
    </xf>
    <xf numFmtId="0" fontId="33" fillId="5" borderId="0" xfId="2" applyFont="1" applyFill="1"/>
    <xf numFmtId="0" fontId="5" fillId="5" borderId="0" xfId="2" applyFill="1"/>
    <xf numFmtId="0" fontId="33" fillId="5" borderId="0" xfId="2" applyFont="1" applyFill="1" applyAlignment="1">
      <alignment wrapText="1"/>
    </xf>
    <xf numFmtId="2" fontId="5" fillId="5" borderId="0" xfId="2" applyNumberFormat="1" applyFill="1"/>
    <xf numFmtId="2" fontId="34" fillId="5" borderId="0" xfId="2" applyNumberFormat="1" applyFont="1" applyFill="1"/>
    <xf numFmtId="0" fontId="5" fillId="5" borderId="0" xfId="2" quotePrefix="1" applyFill="1"/>
    <xf numFmtId="0" fontId="0" fillId="2" borderId="0" xfId="0" applyFill="1" applyAlignment="1">
      <alignment horizontal="left" vertical="center" wrapText="1"/>
    </xf>
    <xf numFmtId="0" fontId="13" fillId="4" borderId="2" xfId="0" applyFont="1" applyFill="1" applyBorder="1" applyAlignment="1">
      <alignment horizontal="left" vertical="center" wrapText="1"/>
    </xf>
    <xf numFmtId="0" fontId="7" fillId="4" borderId="0" xfId="0" applyFont="1" applyFill="1" applyAlignment="1">
      <alignment horizontal="left" vertical="center" wrapText="1"/>
    </xf>
    <xf numFmtId="0" fontId="7" fillId="4" borderId="1" xfId="0" applyFont="1" applyFill="1" applyBorder="1" applyAlignment="1">
      <alignment horizontal="left" vertical="center" wrapText="1"/>
    </xf>
    <xf numFmtId="0" fontId="0" fillId="4" borderId="2" xfId="0" applyFill="1" applyBorder="1" applyAlignment="1">
      <alignment horizontal="left" vertical="center" wrapText="1"/>
    </xf>
    <xf numFmtId="0" fontId="0" fillId="4" borderId="0" xfId="0" applyFill="1" applyAlignment="1">
      <alignment horizontal="left" vertical="center" wrapText="1"/>
    </xf>
    <xf numFmtId="0" fontId="0" fillId="4" borderId="1" xfId="0"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0" xfId="0" applyFont="1" applyFill="1" applyAlignment="1">
      <alignment horizontal="left" vertical="center" wrapText="1"/>
    </xf>
    <xf numFmtId="0" fontId="12" fillId="4" borderId="1" xfId="0" applyFont="1" applyFill="1" applyBorder="1" applyAlignment="1">
      <alignment horizontal="left" vertical="center" wrapText="1"/>
    </xf>
    <xf numFmtId="0" fontId="0" fillId="2" borderId="0" xfId="0" applyFill="1" applyAlignment="1">
      <alignment horizontal="center" vertical="center"/>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4" borderId="0" xfId="0" applyFill="1" applyAlignment="1">
      <alignment horizontal="center" vertical="center" textRotation="90"/>
    </xf>
    <xf numFmtId="0" fontId="0" fillId="4" borderId="1" xfId="0" applyFill="1" applyBorder="1" applyAlignment="1">
      <alignment horizontal="center" vertical="center" textRotation="90"/>
    </xf>
    <xf numFmtId="0" fontId="0" fillId="4" borderId="2" xfId="0" applyFill="1" applyBorder="1" applyAlignment="1">
      <alignment vertical="center" wrapText="1"/>
    </xf>
    <xf numFmtId="0" fontId="0" fillId="4" borderId="0" xfId="0" applyFill="1" applyAlignment="1">
      <alignment vertical="center" wrapText="1"/>
    </xf>
    <xf numFmtId="0" fontId="0" fillId="4" borderId="1" xfId="0" applyFill="1" applyBorder="1" applyAlignment="1">
      <alignment vertical="center" wrapText="1"/>
    </xf>
    <xf numFmtId="0" fontId="0" fillId="4" borderId="2" xfId="0" applyFill="1" applyBorder="1" applyAlignment="1">
      <alignment horizontal="center" vertical="center" textRotation="90"/>
    </xf>
    <xf numFmtId="0" fontId="1" fillId="4" borderId="2" xfId="0" applyFont="1" applyFill="1" applyBorder="1" applyAlignment="1">
      <alignment horizontal="left" vertical="center" wrapText="1"/>
    </xf>
    <xf numFmtId="0" fontId="1" fillId="4" borderId="0" xfId="0" applyFont="1" applyFill="1" applyAlignment="1">
      <alignment horizontal="left" vertical="center" wrapText="1"/>
    </xf>
    <xf numFmtId="0" fontId="1" fillId="4"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0" fillId="4" borderId="0" xfId="0" applyFont="1" applyFill="1" applyAlignment="1">
      <alignment horizontal="left" vertical="center" wrapText="1"/>
    </xf>
    <xf numFmtId="0" fontId="10" fillId="4"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2" fillId="4" borderId="2" xfId="0" applyFont="1" applyFill="1" applyBorder="1" applyAlignment="1">
      <alignment vertical="center" wrapText="1"/>
    </xf>
    <xf numFmtId="0" fontId="12" fillId="4" borderId="0" xfId="0" applyFont="1" applyFill="1" applyAlignment="1">
      <alignment vertical="center" wrapText="1"/>
    </xf>
    <xf numFmtId="0" fontId="12" fillId="4" borderId="1" xfId="0" applyFont="1" applyFill="1" applyBorder="1" applyAlignment="1">
      <alignment vertical="center" wrapText="1"/>
    </xf>
    <xf numFmtId="0" fontId="8" fillId="4" borderId="0" xfId="0" applyFont="1" applyFill="1" applyAlignment="1">
      <alignment horizontal="left" vertical="center" wrapText="1"/>
    </xf>
    <xf numFmtId="0" fontId="8" fillId="4" borderId="1" xfId="0" applyFont="1" applyFill="1" applyBorder="1" applyAlignment="1">
      <alignment horizontal="left" vertical="center" wrapText="1"/>
    </xf>
    <xf numFmtId="0" fontId="12" fillId="4" borderId="2" xfId="0" quotePrefix="1" applyFont="1" applyFill="1" applyBorder="1" applyAlignment="1">
      <alignment horizontal="left" vertical="center" wrapText="1"/>
    </xf>
    <xf numFmtId="0" fontId="12" fillId="3" borderId="0" xfId="0" applyFont="1" applyFill="1" applyAlignment="1">
      <alignment horizontal="center" vertical="center" textRotation="90"/>
    </xf>
    <xf numFmtId="0" fontId="12" fillId="3" borderId="1" xfId="0" applyFont="1" applyFill="1" applyBorder="1" applyAlignment="1">
      <alignment horizontal="center" vertical="center" textRotation="90"/>
    </xf>
    <xf numFmtId="0" fontId="0" fillId="4" borderId="2" xfId="0" quotePrefix="1" applyFill="1" applyBorder="1" applyAlignment="1">
      <alignment horizontal="left" vertical="center" wrapText="1"/>
    </xf>
    <xf numFmtId="0" fontId="0" fillId="4" borderId="0" xfId="0" applyFill="1" applyAlignment="1">
      <alignment horizontal="left" vertical="center"/>
    </xf>
    <xf numFmtId="0" fontId="0" fillId="4" borderId="1" xfId="0" applyFill="1" applyBorder="1" applyAlignment="1">
      <alignment horizontal="left" vertical="center"/>
    </xf>
    <xf numFmtId="0" fontId="12" fillId="4" borderId="0" xfId="0" applyFont="1" applyFill="1" applyAlignment="1">
      <alignment horizontal="center" vertical="center" textRotation="90"/>
    </xf>
    <xf numFmtId="0" fontId="12" fillId="4" borderId="1" xfId="0" applyFont="1" applyFill="1" applyBorder="1" applyAlignment="1">
      <alignment horizontal="center" vertical="center" textRotation="90"/>
    </xf>
    <xf numFmtId="0" fontId="0" fillId="3" borderId="2" xfId="0" applyFill="1" applyBorder="1" applyAlignment="1">
      <alignment horizontal="center" vertical="center" textRotation="90"/>
    </xf>
    <xf numFmtId="0" fontId="12" fillId="4" borderId="0" xfId="0" applyFont="1" applyFill="1" applyAlignment="1">
      <alignment horizontal="center" vertical="center" wrapText="1"/>
    </xf>
    <xf numFmtId="0" fontId="12" fillId="4" borderId="1" xfId="0" applyFont="1" applyFill="1" applyBorder="1" applyAlignment="1">
      <alignment horizontal="center" vertical="center" wrapText="1"/>
    </xf>
    <xf numFmtId="0" fontId="16" fillId="2" borderId="0" xfId="0" applyFont="1" applyFill="1" applyAlignment="1">
      <alignment horizontal="left" vertical="center" wrapText="1"/>
    </xf>
    <xf numFmtId="0" fontId="1" fillId="3" borderId="2" xfId="0" applyFont="1" applyFill="1" applyBorder="1" applyAlignment="1">
      <alignment horizontal="center"/>
    </xf>
    <xf numFmtId="0" fontId="1" fillId="3" borderId="2" xfId="0" applyFont="1" applyFill="1" applyBorder="1" applyAlignment="1">
      <alignment horizontal="center" vertical="center"/>
    </xf>
    <xf numFmtId="0" fontId="31" fillId="0" borderId="0" xfId="0" applyFont="1" applyAlignment="1">
      <alignment horizontal="center" wrapText="1"/>
    </xf>
    <xf numFmtId="0" fontId="31" fillId="0" borderId="1" xfId="0" applyFont="1" applyBorder="1" applyAlignment="1">
      <alignment horizontal="center" wrapText="1"/>
    </xf>
    <xf numFmtId="0" fontId="32" fillId="0" borderId="1" xfId="0" applyFont="1" applyBorder="1" applyAlignment="1">
      <alignment horizontal="center"/>
    </xf>
    <xf numFmtId="0" fontId="32" fillId="0" borderId="3" xfId="0" applyFont="1" applyBorder="1" applyAlignment="1">
      <alignment horizontal="center" wrapText="1"/>
    </xf>
    <xf numFmtId="0" fontId="31" fillId="2" borderId="2"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29" fillId="0" borderId="3" xfId="2" applyFont="1" applyBorder="1" applyAlignment="1">
      <alignment horizontal="center"/>
    </xf>
    <xf numFmtId="0" fontId="30" fillId="0" borderId="3" xfId="2" applyFont="1" applyBorder="1" applyAlignment="1">
      <alignment horizontal="center"/>
    </xf>
    <xf numFmtId="168" fontId="27" fillId="0" borderId="0" xfId="4" applyNumberFormat="1" applyFont="1"/>
    <xf numFmtId="168" fontId="26" fillId="0" borderId="0" xfId="4" applyNumberFormat="1" applyFont="1"/>
    <xf numFmtId="168" fontId="0" fillId="0" borderId="0" xfId="0" applyNumberFormat="1"/>
    <xf numFmtId="168" fontId="27" fillId="0" borderId="0" xfId="0" applyNumberFormat="1" applyFont="1"/>
    <xf numFmtId="168" fontId="26" fillId="0" borderId="0" xfId="0" applyNumberFormat="1" applyFont="1"/>
  </cellXfs>
  <cellStyles count="11">
    <cellStyle name="Comma 2" xfId="10" xr:uid="{32B3EA6D-C9AE-4583-9F03-E60196D28E24}"/>
    <cellStyle name="Comma 3" xfId="6" xr:uid="{11BED4ED-4A4B-4B30-A841-400D2A1AEBE8}"/>
    <cellStyle name="Hyperlink 2" xfId="9" xr:uid="{3E6FFBC5-B67A-41BF-AA9D-817DC627F165}"/>
    <cellStyle name="Komma" xfId="4" builtinId="3"/>
    <cellStyle name="Normal 2" xfId="2" xr:uid="{FC4444F1-840A-4C07-849C-06065498BFF6}"/>
    <cellStyle name="Normal 3" xfId="1" xr:uid="{EE2C9F8D-7B90-4A17-A0BC-2DEA4A4C58A8}"/>
    <cellStyle name="Normal 4" xfId="3" xr:uid="{A65936BE-3F02-4D3E-BC06-527BE74CA692}"/>
    <cellStyle name="Normal 5" xfId="7" xr:uid="{49024511-E0B6-4C6A-8A0C-97FA59C3AAD0}"/>
    <cellStyle name="Normal 6" xfId="8" xr:uid="{BF50077B-2E5B-4CDA-8EE0-4507D10FA881}"/>
    <cellStyle name="Normal 7" xfId="5" xr:uid="{5FD5C82E-34D8-4B74-8F80-4088C58AAB8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14260717410323E-2"/>
          <c:y val="5.0925925925925923E-2"/>
          <c:w val="0.87753018372703417"/>
          <c:h val="0.7536729568286723"/>
        </c:manualLayout>
      </c:layout>
      <c:barChart>
        <c:barDir val="col"/>
        <c:grouping val="clustered"/>
        <c:varyColors val="0"/>
        <c:ser>
          <c:idx val="1"/>
          <c:order val="0"/>
          <c:tx>
            <c:v>Additional spending and forgone revenue</c:v>
          </c:tx>
          <c:spPr>
            <a:solidFill>
              <a:srgbClr val="C00000"/>
            </a:solidFill>
            <a:ln>
              <a:noFill/>
            </a:ln>
            <a:effectLst/>
          </c:spPr>
          <c:invertIfNegative val="0"/>
          <c:cat>
            <c:strRef>
              <c:f>'Figure. Fiscal Measures Summary'!$D$3:$D$31</c:f>
              <c:strCache>
                <c:ptCount val="28"/>
                <c:pt idx="0">
                  <c:v>Turkey</c:v>
                </c:pt>
                <c:pt idx="1">
                  <c:v>Mexico</c:v>
                </c:pt>
                <c:pt idx="2">
                  <c:v>India</c:v>
                </c:pt>
                <c:pt idx="3">
                  <c:v>Russia</c:v>
                </c:pt>
                <c:pt idx="4">
                  <c:v>Saudi Arabia</c:v>
                </c:pt>
                <c:pt idx="5">
                  <c:v>Indonesia</c:v>
                </c:pt>
                <c:pt idx="6">
                  <c:v>France</c:v>
                </c:pt>
                <c:pt idx="7">
                  <c:v>Argentina</c:v>
                </c:pt>
                <c:pt idx="8">
                  <c:v>Korea</c:v>
                </c:pt>
                <c:pt idx="9">
                  <c:v>Spain</c:v>
                </c:pt>
                <c:pt idx="10">
                  <c:v>Italy</c:v>
                </c:pt>
                <c:pt idx="11">
                  <c:v>China</c:v>
                </c:pt>
                <c:pt idx="12">
                  <c:v>South Africa</c:v>
                </c:pt>
                <c:pt idx="13">
                  <c:v>Canada</c:v>
                </c:pt>
                <c:pt idx="14">
                  <c:v>United Kingdom</c:v>
                </c:pt>
                <c:pt idx="15">
                  <c:v>Brazil</c:v>
                </c:pt>
                <c:pt idx="16">
                  <c:v>Australia</c:v>
                </c:pt>
                <c:pt idx="17">
                  <c:v>Germany</c:v>
                </c:pt>
                <c:pt idx="18">
                  <c:v>Japan</c:v>
                </c:pt>
                <c:pt idx="19">
                  <c:v>United States</c:v>
                </c:pt>
                <c:pt idx="21">
                  <c:v>LIDCs</c:v>
                </c:pt>
                <c:pt idx="23">
                  <c:v>EMs</c:v>
                </c:pt>
                <c:pt idx="25">
                  <c:v>G20</c:v>
                </c:pt>
                <c:pt idx="27">
                  <c:v>AEs</c:v>
                </c:pt>
              </c:strCache>
            </c:strRef>
          </c:cat>
          <c:val>
            <c:numRef>
              <c:f>'Figure. Fiscal Measures Summary'!$E$3:$E$31</c:f>
              <c:numCache>
                <c:formatCode>0.00</c:formatCode>
                <c:ptCount val="29"/>
                <c:pt idx="0">
                  <c:v>0.23907437703979553</c:v>
                </c:pt>
                <c:pt idx="1">
                  <c:v>0.65471013968229408</c:v>
                </c:pt>
                <c:pt idx="2">
                  <c:v>1.2110614944023894</c:v>
                </c:pt>
                <c:pt idx="3">
                  <c:v>1.857994990745192</c:v>
                </c:pt>
                <c:pt idx="4">
                  <c:v>2.3465350680880586</c:v>
                </c:pt>
                <c:pt idx="5">
                  <c:v>2.44499374053856</c:v>
                </c:pt>
                <c:pt idx="6">
                  <c:v>2.6637277798530086</c:v>
                </c:pt>
                <c:pt idx="7">
                  <c:v>2.8456549968053992</c:v>
                </c:pt>
                <c:pt idx="8">
                  <c:v>3.1136761983892827</c:v>
                </c:pt>
                <c:pt idx="9">
                  <c:v>3.3641995153395459</c:v>
                </c:pt>
                <c:pt idx="10">
                  <c:v>3.5054154811260818</c:v>
                </c:pt>
                <c:pt idx="11">
                  <c:v>4.0954525155603303</c:v>
                </c:pt>
                <c:pt idx="12">
                  <c:v>5.3296846845360042</c:v>
                </c:pt>
                <c:pt idx="13">
                  <c:v>5.6445518946679822</c:v>
                </c:pt>
                <c:pt idx="14">
                  <c:v>6.1639950739120586</c:v>
                </c:pt>
                <c:pt idx="15">
                  <c:v>6.5281010484208366</c:v>
                </c:pt>
                <c:pt idx="16">
                  <c:v>8.8396643581259351</c:v>
                </c:pt>
                <c:pt idx="17">
                  <c:v>9.3923899799064596</c:v>
                </c:pt>
                <c:pt idx="18">
                  <c:v>11.330991365634006</c:v>
                </c:pt>
                <c:pt idx="19">
                  <c:v>12.284407153405569</c:v>
                </c:pt>
              </c:numCache>
            </c:numRef>
          </c:val>
          <c:extLst>
            <c:ext xmlns:c16="http://schemas.microsoft.com/office/drawing/2014/chart" uri="{C3380CC4-5D6E-409C-BE32-E72D297353CC}">
              <c16:uniqueId val="{00000000-12CD-40B8-A0CD-24828891E971}"/>
            </c:ext>
          </c:extLst>
        </c:ser>
        <c:ser>
          <c:idx val="2"/>
          <c:order val="1"/>
          <c:tx>
            <c:v>Loans, equity, and guarantees</c:v>
          </c:tx>
          <c:spPr>
            <a:solidFill>
              <a:srgbClr val="0070C0"/>
            </a:solidFill>
            <a:ln>
              <a:noFill/>
            </a:ln>
            <a:effectLst/>
          </c:spPr>
          <c:invertIfNegative val="0"/>
          <c:cat>
            <c:strRef>
              <c:f>'Figure. Fiscal Measures Summary'!$D$3:$D$31</c:f>
              <c:strCache>
                <c:ptCount val="28"/>
                <c:pt idx="0">
                  <c:v>Turkey</c:v>
                </c:pt>
                <c:pt idx="1">
                  <c:v>Mexico</c:v>
                </c:pt>
                <c:pt idx="2">
                  <c:v>India</c:v>
                </c:pt>
                <c:pt idx="3">
                  <c:v>Russia</c:v>
                </c:pt>
                <c:pt idx="4">
                  <c:v>Saudi Arabia</c:v>
                </c:pt>
                <c:pt idx="5">
                  <c:v>Indonesia</c:v>
                </c:pt>
                <c:pt idx="6">
                  <c:v>France</c:v>
                </c:pt>
                <c:pt idx="7">
                  <c:v>Argentina</c:v>
                </c:pt>
                <c:pt idx="8">
                  <c:v>Korea</c:v>
                </c:pt>
                <c:pt idx="9">
                  <c:v>Spain</c:v>
                </c:pt>
                <c:pt idx="10">
                  <c:v>Italy</c:v>
                </c:pt>
                <c:pt idx="11">
                  <c:v>China</c:v>
                </c:pt>
                <c:pt idx="12">
                  <c:v>South Africa</c:v>
                </c:pt>
                <c:pt idx="13">
                  <c:v>Canada</c:v>
                </c:pt>
                <c:pt idx="14">
                  <c:v>United Kingdom</c:v>
                </c:pt>
                <c:pt idx="15">
                  <c:v>Brazil</c:v>
                </c:pt>
                <c:pt idx="16">
                  <c:v>Australia</c:v>
                </c:pt>
                <c:pt idx="17">
                  <c:v>Germany</c:v>
                </c:pt>
                <c:pt idx="18">
                  <c:v>Japan</c:v>
                </c:pt>
                <c:pt idx="19">
                  <c:v>United States</c:v>
                </c:pt>
                <c:pt idx="21">
                  <c:v>LIDCs</c:v>
                </c:pt>
                <c:pt idx="23">
                  <c:v>EMs</c:v>
                </c:pt>
                <c:pt idx="25">
                  <c:v>G20</c:v>
                </c:pt>
                <c:pt idx="27">
                  <c:v>AEs</c:v>
                </c:pt>
              </c:strCache>
            </c:strRef>
          </c:cat>
          <c:val>
            <c:numRef>
              <c:f>'Figure. Fiscal Measures Summary'!$F$3:$F$31</c:f>
              <c:numCache>
                <c:formatCode>0.00</c:formatCode>
                <c:ptCount val="29"/>
                <c:pt idx="0">
                  <c:v>9.1478550269136303</c:v>
                </c:pt>
                <c:pt idx="1">
                  <c:v>0.45780817642414318</c:v>
                </c:pt>
                <c:pt idx="2">
                  <c:v>4.9240743913654574</c:v>
                </c:pt>
                <c:pt idx="3">
                  <c:v>1.0563520935692645</c:v>
                </c:pt>
                <c:pt idx="4">
                  <c:v>0.9072719068178785</c:v>
                </c:pt>
                <c:pt idx="5">
                  <c:v>1.1475236714337085</c:v>
                </c:pt>
                <c:pt idx="6">
                  <c:v>16.177613741515657</c:v>
                </c:pt>
                <c:pt idx="7">
                  <c:v>1.9696701252933546</c:v>
                </c:pt>
                <c:pt idx="8">
                  <c:v>9.7054519712271787</c:v>
                </c:pt>
                <c:pt idx="9">
                  <c:v>10.630870468472965</c:v>
                </c:pt>
                <c:pt idx="10">
                  <c:v>33.98978320153708</c:v>
                </c:pt>
                <c:pt idx="11">
                  <c:v>0.52577281225541095</c:v>
                </c:pt>
                <c:pt idx="12">
                  <c:v>4.2098287586023693</c:v>
                </c:pt>
                <c:pt idx="13">
                  <c:v>3.292655271889656</c:v>
                </c:pt>
                <c:pt idx="14">
                  <c:v>16.882910202441867</c:v>
                </c:pt>
                <c:pt idx="15">
                  <c:v>5.4006934466247483</c:v>
                </c:pt>
                <c:pt idx="16">
                  <c:v>1.8339552610219787</c:v>
                </c:pt>
                <c:pt idx="17">
                  <c:v>31.513940064159829</c:v>
                </c:pt>
                <c:pt idx="18">
                  <c:v>23.9852971711184</c:v>
                </c:pt>
                <c:pt idx="19">
                  <c:v>2.5644894180257225</c:v>
                </c:pt>
              </c:numCache>
            </c:numRef>
          </c:val>
          <c:extLst>
            <c:ext xmlns:c16="http://schemas.microsoft.com/office/drawing/2014/chart" uri="{C3380CC4-5D6E-409C-BE32-E72D297353CC}">
              <c16:uniqueId val="{00000001-12CD-40B8-A0CD-24828891E971}"/>
            </c:ext>
          </c:extLst>
        </c:ser>
        <c:dLbls>
          <c:showLegendKey val="0"/>
          <c:showVal val="0"/>
          <c:showCatName val="0"/>
          <c:showSerName val="0"/>
          <c:showPercent val="0"/>
          <c:showBubbleSize val="0"/>
        </c:dLbls>
        <c:gapWidth val="24"/>
        <c:axId val="646157807"/>
        <c:axId val="858483743"/>
      </c:barChart>
      <c:barChart>
        <c:barDir val="col"/>
        <c:grouping val="clustered"/>
        <c:varyColors val="0"/>
        <c:ser>
          <c:idx val="0"/>
          <c:order val="2"/>
          <c:tx>
            <c:v>LHS</c:v>
          </c:tx>
          <c:spPr>
            <a:solidFill>
              <a:srgbClr val="C00000"/>
            </a:solidFill>
            <a:ln>
              <a:noFill/>
            </a:ln>
            <a:effectLst/>
          </c:spPr>
          <c:invertIfNegative val="0"/>
          <c:dPt>
            <c:idx val="20"/>
            <c:invertIfNegative val="0"/>
            <c:bubble3D val="0"/>
            <c:spPr>
              <a:solidFill>
                <a:srgbClr val="C00000"/>
              </a:solidFill>
              <a:ln>
                <a:noFill/>
              </a:ln>
              <a:effectLst/>
            </c:spPr>
            <c:extLst>
              <c:ext xmlns:c16="http://schemas.microsoft.com/office/drawing/2014/chart" uri="{C3380CC4-5D6E-409C-BE32-E72D297353CC}">
                <c16:uniqueId val="{00000003-12CD-40B8-A0CD-24828891E971}"/>
              </c:ext>
            </c:extLst>
          </c:dPt>
          <c:cat>
            <c:strRef>
              <c:f>'Figure. Fiscal Measures Summary'!$D$3:$D$31</c:f>
              <c:strCache>
                <c:ptCount val="28"/>
                <c:pt idx="0">
                  <c:v>Turkey</c:v>
                </c:pt>
                <c:pt idx="1">
                  <c:v>Mexico</c:v>
                </c:pt>
                <c:pt idx="2">
                  <c:v>India</c:v>
                </c:pt>
                <c:pt idx="3">
                  <c:v>Russia</c:v>
                </c:pt>
                <c:pt idx="4">
                  <c:v>Saudi Arabia</c:v>
                </c:pt>
                <c:pt idx="5">
                  <c:v>Indonesia</c:v>
                </c:pt>
                <c:pt idx="6">
                  <c:v>France</c:v>
                </c:pt>
                <c:pt idx="7">
                  <c:v>Argentina</c:v>
                </c:pt>
                <c:pt idx="8">
                  <c:v>Korea</c:v>
                </c:pt>
                <c:pt idx="9">
                  <c:v>Spain</c:v>
                </c:pt>
                <c:pt idx="10">
                  <c:v>Italy</c:v>
                </c:pt>
                <c:pt idx="11">
                  <c:v>China</c:v>
                </c:pt>
                <c:pt idx="12">
                  <c:v>South Africa</c:v>
                </c:pt>
                <c:pt idx="13">
                  <c:v>Canada</c:v>
                </c:pt>
                <c:pt idx="14">
                  <c:v>United Kingdom</c:v>
                </c:pt>
                <c:pt idx="15">
                  <c:v>Brazil</c:v>
                </c:pt>
                <c:pt idx="16">
                  <c:v>Australia</c:v>
                </c:pt>
                <c:pt idx="17">
                  <c:v>Germany</c:v>
                </c:pt>
                <c:pt idx="18">
                  <c:v>Japan</c:v>
                </c:pt>
                <c:pt idx="19">
                  <c:v>United States</c:v>
                </c:pt>
                <c:pt idx="21">
                  <c:v>LIDCs</c:v>
                </c:pt>
                <c:pt idx="23">
                  <c:v>EMs</c:v>
                </c:pt>
                <c:pt idx="25">
                  <c:v>G20</c:v>
                </c:pt>
                <c:pt idx="27">
                  <c:v>AEs</c:v>
                </c:pt>
              </c:strCache>
            </c:strRef>
          </c:cat>
          <c:val>
            <c:numRef>
              <c:f>'Figure. Fiscal Measures Summary'!$G$3:$G$31</c:f>
              <c:numCache>
                <c:formatCode>0.00</c:formatCode>
                <c:ptCount val="29"/>
                <c:pt idx="21">
                  <c:v>1.0338728080108597</c:v>
                </c:pt>
                <c:pt idx="23">
                  <c:v>3.0963976929401151</c:v>
                </c:pt>
                <c:pt idx="25">
                  <c:v>5.7839501353604392</c:v>
                </c:pt>
                <c:pt idx="27">
                  <c:v>8.8516199715504165</c:v>
                </c:pt>
              </c:numCache>
            </c:numRef>
          </c:val>
          <c:extLst>
            <c:ext xmlns:c16="http://schemas.microsoft.com/office/drawing/2014/chart" uri="{C3380CC4-5D6E-409C-BE32-E72D297353CC}">
              <c16:uniqueId val="{00000004-12CD-40B8-A0CD-24828891E971}"/>
            </c:ext>
          </c:extLst>
        </c:ser>
        <c:ser>
          <c:idx val="3"/>
          <c:order val="3"/>
          <c:tx>
            <c:v>RHS</c:v>
          </c:tx>
          <c:spPr>
            <a:solidFill>
              <a:srgbClr val="0070C0"/>
            </a:solidFill>
            <a:ln>
              <a:noFill/>
            </a:ln>
            <a:effectLst/>
          </c:spPr>
          <c:invertIfNegative val="0"/>
          <c:cat>
            <c:strRef>
              <c:f>'Figure. Fiscal Measures Summary'!$D$3:$D$31</c:f>
              <c:strCache>
                <c:ptCount val="28"/>
                <c:pt idx="0">
                  <c:v>Turkey</c:v>
                </c:pt>
                <c:pt idx="1">
                  <c:v>Mexico</c:v>
                </c:pt>
                <c:pt idx="2">
                  <c:v>India</c:v>
                </c:pt>
                <c:pt idx="3">
                  <c:v>Russia</c:v>
                </c:pt>
                <c:pt idx="4">
                  <c:v>Saudi Arabia</c:v>
                </c:pt>
                <c:pt idx="5">
                  <c:v>Indonesia</c:v>
                </c:pt>
                <c:pt idx="6">
                  <c:v>France</c:v>
                </c:pt>
                <c:pt idx="7">
                  <c:v>Argentina</c:v>
                </c:pt>
                <c:pt idx="8">
                  <c:v>Korea</c:v>
                </c:pt>
                <c:pt idx="9">
                  <c:v>Spain</c:v>
                </c:pt>
                <c:pt idx="10">
                  <c:v>Italy</c:v>
                </c:pt>
                <c:pt idx="11">
                  <c:v>China</c:v>
                </c:pt>
                <c:pt idx="12">
                  <c:v>South Africa</c:v>
                </c:pt>
                <c:pt idx="13">
                  <c:v>Canada</c:v>
                </c:pt>
                <c:pt idx="14">
                  <c:v>United Kingdom</c:v>
                </c:pt>
                <c:pt idx="15">
                  <c:v>Brazil</c:v>
                </c:pt>
                <c:pt idx="16">
                  <c:v>Australia</c:v>
                </c:pt>
                <c:pt idx="17">
                  <c:v>Germany</c:v>
                </c:pt>
                <c:pt idx="18">
                  <c:v>Japan</c:v>
                </c:pt>
                <c:pt idx="19">
                  <c:v>United States</c:v>
                </c:pt>
                <c:pt idx="21">
                  <c:v>LIDCs</c:v>
                </c:pt>
                <c:pt idx="23">
                  <c:v>EMs</c:v>
                </c:pt>
                <c:pt idx="25">
                  <c:v>G20</c:v>
                </c:pt>
                <c:pt idx="27">
                  <c:v>AEs</c:v>
                </c:pt>
              </c:strCache>
            </c:strRef>
          </c:cat>
          <c:val>
            <c:numRef>
              <c:f>'Figure. Fiscal Measures Summary'!$H$3:$H$31</c:f>
              <c:numCache>
                <c:formatCode>0.00</c:formatCode>
                <c:ptCount val="29"/>
                <c:pt idx="21">
                  <c:v>0.1240795404682169</c:v>
                </c:pt>
                <c:pt idx="23">
                  <c:v>1.9976077492124205</c:v>
                </c:pt>
                <c:pt idx="25">
                  <c:v>6.3539835368996167</c:v>
                </c:pt>
                <c:pt idx="27">
                  <c:v>10.906739496605095</c:v>
                </c:pt>
              </c:numCache>
            </c:numRef>
          </c:val>
          <c:extLst>
            <c:ext xmlns:c16="http://schemas.microsoft.com/office/drawing/2014/chart" uri="{C3380CC4-5D6E-409C-BE32-E72D297353CC}">
              <c16:uniqueId val="{00000005-12CD-40B8-A0CD-24828891E971}"/>
            </c:ext>
          </c:extLst>
        </c:ser>
        <c:dLbls>
          <c:showLegendKey val="0"/>
          <c:showVal val="0"/>
          <c:showCatName val="0"/>
          <c:showSerName val="0"/>
          <c:showPercent val="0"/>
          <c:showBubbleSize val="0"/>
        </c:dLbls>
        <c:gapWidth val="24"/>
        <c:axId val="511776591"/>
        <c:axId val="772519215"/>
      </c:barChart>
      <c:catAx>
        <c:axId val="646157807"/>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CH"/>
          </a:p>
        </c:txPr>
        <c:crossAx val="858483743"/>
        <c:crosses val="autoZero"/>
        <c:auto val="1"/>
        <c:lblAlgn val="ctr"/>
        <c:lblOffset val="100"/>
        <c:noMultiLvlLbl val="0"/>
      </c:catAx>
      <c:valAx>
        <c:axId val="8584837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H"/>
          </a:p>
        </c:txPr>
        <c:crossAx val="646157807"/>
        <c:crosses val="autoZero"/>
        <c:crossBetween val="between"/>
      </c:valAx>
      <c:valAx>
        <c:axId val="772519215"/>
        <c:scaling>
          <c:orientation val="minMax"/>
          <c:max val="12"/>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H"/>
          </a:p>
        </c:txPr>
        <c:crossAx val="511776591"/>
        <c:crosses val="max"/>
        <c:crossBetween val="between"/>
        <c:majorUnit val="2"/>
      </c:valAx>
      <c:catAx>
        <c:axId val="511776591"/>
        <c:scaling>
          <c:orientation val="minMax"/>
        </c:scaling>
        <c:delete val="1"/>
        <c:axPos val="b"/>
        <c:numFmt formatCode="General" sourceLinked="1"/>
        <c:majorTickMark val="out"/>
        <c:minorTickMark val="none"/>
        <c:tickLblPos val="nextTo"/>
        <c:crossAx val="772519215"/>
        <c:crosses val="autoZero"/>
        <c:auto val="1"/>
        <c:lblAlgn val="ctr"/>
        <c:lblOffset val="100"/>
        <c:noMultiLvlLbl val="0"/>
      </c:catAx>
      <c:spPr>
        <a:noFill/>
        <a:ln>
          <a:solidFill>
            <a:schemeClr val="bg1">
              <a:lumMod val="65000"/>
            </a:schemeClr>
          </a:solidFill>
        </a:ln>
        <a:effectLst/>
      </c:spPr>
    </c:plotArea>
    <c:legend>
      <c:legendPos val="b"/>
      <c:legendEntry>
        <c:idx val="2"/>
        <c:delete val="1"/>
      </c:legendEntry>
      <c:legendEntry>
        <c:idx val="3"/>
        <c:delete val="1"/>
      </c:legendEntry>
      <c:layout>
        <c:manualLayout>
          <c:xMode val="edge"/>
          <c:yMode val="edge"/>
          <c:x val="1.3907580399086299E-4"/>
          <c:y val="5.6100522481418794E-2"/>
          <c:w val="0.67676392101635019"/>
          <c:h val="0.1063755611156082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417195</xdr:colOff>
      <xdr:row>32</xdr:row>
      <xdr:rowOff>173355</xdr:rowOff>
    </xdr:from>
    <xdr:to>
      <xdr:col>8</xdr:col>
      <xdr:colOff>38735</xdr:colOff>
      <xdr:row>50</xdr:row>
      <xdr:rowOff>5715</xdr:rowOff>
    </xdr:to>
    <xdr:graphicFrame macro="">
      <xdr:nvGraphicFramePr>
        <xdr:cNvPr id="3" name="Chart 2">
          <a:extLst>
            <a:ext uri="{FF2B5EF4-FFF2-40B4-BE49-F238E27FC236}">
              <a16:creationId xmlns:a16="http://schemas.microsoft.com/office/drawing/2014/main" id="{C06306F8-6313-4F92-9F94-A68D672A2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0.69315</cdr:x>
      <cdr:y>0.04948</cdr:y>
    </cdr:from>
    <cdr:to>
      <cdr:x>0.69594</cdr:x>
      <cdr:y>0.71776</cdr:y>
    </cdr:to>
    <cdr:cxnSp macro="">
      <cdr:nvCxnSpPr>
        <cdr:cNvPr id="3" name="Straight Connector 2">
          <a:extLst xmlns:a="http://schemas.openxmlformats.org/drawingml/2006/main">
            <a:ext uri="{FF2B5EF4-FFF2-40B4-BE49-F238E27FC236}">
              <a16:creationId xmlns:a16="http://schemas.microsoft.com/office/drawing/2014/main" id="{DE1928FE-86CE-41C8-93CA-07CAFD62E921}"/>
            </a:ext>
          </a:extLst>
        </cdr:cNvPr>
        <cdr:cNvCxnSpPr/>
      </cdr:nvCxnSpPr>
      <cdr:spPr>
        <a:xfrm xmlns:a="http://schemas.openxmlformats.org/drawingml/2006/main">
          <a:off x="3248318" y="154974"/>
          <a:ext cx="13072" cy="2092926"/>
        </a:xfrm>
        <a:prstGeom xmlns:a="http://schemas.openxmlformats.org/drawingml/2006/main" prst="line">
          <a:avLst/>
        </a:prstGeom>
        <a:ln xmlns:a="http://schemas.openxmlformats.org/drawingml/2006/main">
          <a:solidFill>
            <a:schemeClr val="bg1">
              <a:lumMod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0.73442</cdr:x>
      <cdr:y>0.07704</cdr:y>
    </cdr:from>
    <cdr:to>
      <cdr:x>0.91653</cdr:x>
      <cdr:y>0.1403</cdr:y>
    </cdr:to>
    <cdr:sp macro="" textlink="">
      <cdr:nvSpPr>
        <cdr:cNvPr id="5" name="TextBox 1">
          <a:extLst xmlns:a="http://schemas.openxmlformats.org/drawingml/2006/main">
            <a:ext uri="{FF2B5EF4-FFF2-40B4-BE49-F238E27FC236}">
              <a16:creationId xmlns:a16="http://schemas.microsoft.com/office/drawing/2014/main" id="{54F3915D-18EB-4697-9889-80DC0F809E57}"/>
            </a:ext>
          </a:extLst>
        </cdr:cNvPr>
        <cdr:cNvSpPr txBox="1"/>
      </cdr:nvSpPr>
      <cdr:spPr>
        <a:xfrm xmlns:a="http://schemas.openxmlformats.org/drawingml/2006/main">
          <a:off x="3441703" y="241288"/>
          <a:ext cx="853422" cy="1981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Right scale</a:t>
          </a:r>
        </a:p>
      </cdr:txBody>
    </cdr:sp>
  </cdr:relSizeAnchor>
  <cdr:relSizeAnchor xmlns:cdr="http://schemas.openxmlformats.org/drawingml/2006/chartDrawing">
    <cdr:from>
      <cdr:x>0.7019</cdr:x>
      <cdr:y>0.12084</cdr:y>
    </cdr:from>
    <cdr:to>
      <cdr:x>0.74743</cdr:x>
      <cdr:y>0.12084</cdr:y>
    </cdr:to>
    <cdr:cxnSp macro="">
      <cdr:nvCxnSpPr>
        <cdr:cNvPr id="6" name="Straight Arrow Connector 5">
          <a:extLst xmlns:a="http://schemas.openxmlformats.org/drawingml/2006/main">
            <a:ext uri="{FF2B5EF4-FFF2-40B4-BE49-F238E27FC236}">
              <a16:creationId xmlns:a16="http://schemas.microsoft.com/office/drawing/2014/main" id="{07B883E3-7DEB-4AE8-BF47-63D96D09250A}"/>
            </a:ext>
          </a:extLst>
        </cdr:cNvPr>
        <cdr:cNvCxnSpPr/>
      </cdr:nvCxnSpPr>
      <cdr:spPr>
        <a:xfrm xmlns:a="http://schemas.openxmlformats.org/drawingml/2006/main">
          <a:off x="3289323" y="378462"/>
          <a:ext cx="213368" cy="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0.62873</cdr:x>
      <cdr:y>0.12571</cdr:y>
    </cdr:from>
    <cdr:to>
      <cdr:x>0.68401</cdr:x>
      <cdr:y>0.12571</cdr:y>
    </cdr:to>
    <cdr:cxnSp macro="">
      <cdr:nvCxnSpPr>
        <cdr:cNvPr id="7" name="Straight Arrow Connector 6">
          <a:extLst xmlns:a="http://schemas.openxmlformats.org/drawingml/2006/main">
            <a:ext uri="{FF2B5EF4-FFF2-40B4-BE49-F238E27FC236}">
              <a16:creationId xmlns:a16="http://schemas.microsoft.com/office/drawing/2014/main" id="{5F5B09EE-6FC9-42E4-9997-CB8A86BA37E7}"/>
            </a:ext>
          </a:extLst>
        </cdr:cNvPr>
        <cdr:cNvCxnSpPr/>
      </cdr:nvCxnSpPr>
      <cdr:spPr>
        <a:xfrm xmlns:a="http://schemas.openxmlformats.org/drawingml/2006/main" flipH="1">
          <a:off x="2946417" y="393711"/>
          <a:ext cx="259059" cy="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0.48076</cdr:x>
      <cdr:y>0.08191</cdr:y>
    </cdr:from>
    <cdr:to>
      <cdr:x>0.66287</cdr:x>
      <cdr:y>0.14517</cdr:y>
    </cdr:to>
    <cdr:sp macro="" textlink="">
      <cdr:nvSpPr>
        <cdr:cNvPr id="8" name="TextBox 4">
          <a:extLst xmlns:a="http://schemas.openxmlformats.org/drawingml/2006/main">
            <a:ext uri="{FF2B5EF4-FFF2-40B4-BE49-F238E27FC236}">
              <a16:creationId xmlns:a16="http://schemas.microsoft.com/office/drawing/2014/main" id="{EE5D176F-2EA3-4B25-BB0C-E0D2134FD4CD}"/>
            </a:ext>
          </a:extLst>
        </cdr:cNvPr>
        <cdr:cNvSpPr txBox="1"/>
      </cdr:nvSpPr>
      <cdr:spPr>
        <a:xfrm xmlns:a="http://schemas.openxmlformats.org/drawingml/2006/main">
          <a:off x="2252967" y="256540"/>
          <a:ext cx="853422" cy="1981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Left scale</a:t>
          </a:r>
        </a:p>
      </cdr:txBody>
    </cdr:sp>
  </cdr:relSizeAnchor>
</c:userShape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2E9D-C899-42DB-B5A9-E1BD12CCF2BE}">
  <dimension ref="B2:AA13"/>
  <sheetViews>
    <sheetView workbookViewId="0">
      <selection activeCell="B3" sqref="B3:W3"/>
    </sheetView>
  </sheetViews>
  <sheetFormatPr baseColWidth="10" defaultColWidth="8.7265625" defaultRowHeight="12.5"/>
  <cols>
    <col min="1" max="16384" width="8.7265625" style="10"/>
  </cols>
  <sheetData>
    <row r="2" spans="2:27" ht="23">
      <c r="B2" s="76" t="s">
        <v>345</v>
      </c>
      <c r="C2" s="29"/>
      <c r="D2" s="14"/>
      <c r="E2" s="3"/>
      <c r="F2" s="40"/>
      <c r="H2" s="14"/>
      <c r="I2" s="14"/>
      <c r="J2" s="3"/>
      <c r="K2" s="3"/>
      <c r="L2" s="3"/>
      <c r="M2" s="14"/>
      <c r="N2" s="3"/>
      <c r="O2" s="14"/>
      <c r="P2" s="42"/>
      <c r="Q2" s="3"/>
      <c r="R2" s="14"/>
      <c r="S2" s="3"/>
      <c r="T2" s="40"/>
      <c r="U2" s="3"/>
      <c r="V2" s="3"/>
      <c r="W2" s="3"/>
      <c r="X2" s="14"/>
      <c r="Y2" s="3"/>
      <c r="Z2" s="14"/>
      <c r="AA2" s="37"/>
    </row>
    <row r="3" spans="2:27" ht="82.5" customHeight="1">
      <c r="B3" s="179" t="s">
        <v>280</v>
      </c>
      <c r="C3" s="179"/>
      <c r="D3" s="179"/>
      <c r="E3" s="179"/>
      <c r="F3" s="179"/>
      <c r="G3" s="179"/>
      <c r="H3" s="179"/>
      <c r="I3" s="179"/>
      <c r="J3" s="179"/>
      <c r="K3" s="179"/>
      <c r="L3" s="179"/>
      <c r="M3" s="179"/>
      <c r="N3" s="179"/>
      <c r="O3" s="179"/>
      <c r="P3" s="179"/>
      <c r="Q3" s="179"/>
      <c r="R3" s="179"/>
      <c r="S3" s="179"/>
      <c r="T3" s="179"/>
      <c r="U3" s="179"/>
      <c r="V3" s="179"/>
      <c r="W3" s="179"/>
      <c r="X3" s="14"/>
      <c r="Y3" s="3"/>
      <c r="Z3" s="14"/>
      <c r="AA3" s="37"/>
    </row>
    <row r="5" spans="2:27">
      <c r="B5" s="77" t="s">
        <v>42</v>
      </c>
      <c r="C5" s="3"/>
      <c r="D5" s="3"/>
      <c r="E5" s="3"/>
      <c r="F5" s="41"/>
      <c r="G5" s="28"/>
      <c r="H5" s="3"/>
      <c r="I5" s="3"/>
      <c r="J5" s="3"/>
      <c r="K5" s="3"/>
      <c r="L5" s="3"/>
      <c r="M5" s="3"/>
      <c r="N5" s="3"/>
      <c r="O5" s="3"/>
      <c r="P5" s="44"/>
      <c r="Q5" s="3"/>
      <c r="R5" s="3"/>
      <c r="S5" s="3"/>
      <c r="T5" s="41"/>
      <c r="U5" s="3"/>
      <c r="V5" s="3"/>
      <c r="W5" s="3"/>
    </row>
    <row r="6" spans="2:27" ht="12.65" customHeight="1">
      <c r="B6" s="179" t="s">
        <v>340</v>
      </c>
      <c r="C6" s="179"/>
      <c r="D6" s="179"/>
      <c r="E6" s="179"/>
      <c r="F6" s="179"/>
      <c r="G6" s="179"/>
      <c r="H6" s="179"/>
      <c r="I6" s="179"/>
      <c r="J6" s="179"/>
      <c r="K6" s="179"/>
      <c r="L6" s="179"/>
      <c r="M6" s="179"/>
      <c r="N6" s="179"/>
      <c r="O6" s="179"/>
      <c r="P6" s="179"/>
      <c r="Q6" s="179"/>
      <c r="R6" s="179"/>
      <c r="S6" s="179"/>
      <c r="T6" s="179"/>
      <c r="U6" s="179"/>
      <c r="V6" s="179"/>
      <c r="W6" s="179"/>
    </row>
    <row r="7" spans="2:27">
      <c r="B7" s="179"/>
      <c r="C7" s="179"/>
      <c r="D7" s="179"/>
      <c r="E7" s="179"/>
      <c r="F7" s="179"/>
      <c r="G7" s="179"/>
      <c r="H7" s="179"/>
      <c r="I7" s="179"/>
      <c r="J7" s="179"/>
      <c r="K7" s="179"/>
      <c r="L7" s="179"/>
      <c r="M7" s="179"/>
      <c r="N7" s="179"/>
      <c r="O7" s="179"/>
      <c r="P7" s="179"/>
      <c r="Q7" s="179"/>
      <c r="R7" s="179"/>
      <c r="S7" s="179"/>
      <c r="T7" s="179"/>
      <c r="U7" s="179"/>
      <c r="V7" s="179"/>
      <c r="W7" s="179"/>
    </row>
    <row r="8" spans="2:27">
      <c r="B8" s="179"/>
      <c r="C8" s="179"/>
      <c r="D8" s="179"/>
      <c r="E8" s="179"/>
      <c r="F8" s="179"/>
      <c r="G8" s="179"/>
      <c r="H8" s="179"/>
      <c r="I8" s="179"/>
      <c r="J8" s="179"/>
      <c r="K8" s="179"/>
      <c r="L8" s="179"/>
      <c r="M8" s="179"/>
      <c r="N8" s="179"/>
      <c r="O8" s="179"/>
      <c r="P8" s="179"/>
      <c r="Q8" s="179"/>
      <c r="R8" s="179"/>
      <c r="S8" s="179"/>
      <c r="T8" s="179"/>
      <c r="U8" s="179"/>
      <c r="V8" s="179"/>
      <c r="W8" s="179"/>
    </row>
    <row r="9" spans="2:27">
      <c r="B9" s="179"/>
      <c r="C9" s="179"/>
      <c r="D9" s="179"/>
      <c r="E9" s="179"/>
      <c r="F9" s="179"/>
      <c r="G9" s="179"/>
      <c r="H9" s="179"/>
      <c r="I9" s="179"/>
      <c r="J9" s="179"/>
      <c r="K9" s="179"/>
      <c r="L9" s="179"/>
      <c r="M9" s="179"/>
      <c r="N9" s="179"/>
      <c r="O9" s="179"/>
      <c r="P9" s="179"/>
      <c r="Q9" s="179"/>
      <c r="R9" s="179"/>
      <c r="S9" s="179"/>
      <c r="T9" s="179"/>
      <c r="U9" s="179"/>
      <c r="V9" s="179"/>
      <c r="W9" s="179"/>
    </row>
    <row r="10" spans="2:27">
      <c r="B10" s="179"/>
      <c r="C10" s="179"/>
      <c r="D10" s="179"/>
      <c r="E10" s="179"/>
      <c r="F10" s="179"/>
      <c r="G10" s="179"/>
      <c r="H10" s="179"/>
      <c r="I10" s="179"/>
      <c r="J10" s="179"/>
      <c r="K10" s="179"/>
      <c r="L10" s="179"/>
      <c r="M10" s="179"/>
      <c r="N10" s="179"/>
      <c r="O10" s="179"/>
      <c r="P10" s="179"/>
      <c r="Q10" s="179"/>
      <c r="R10" s="179"/>
      <c r="S10" s="179"/>
      <c r="T10" s="179"/>
      <c r="U10" s="179"/>
      <c r="V10" s="179"/>
      <c r="W10" s="179"/>
    </row>
    <row r="11" spans="2:27">
      <c r="B11" s="179"/>
      <c r="C11" s="179"/>
      <c r="D11" s="179"/>
      <c r="E11" s="179"/>
      <c r="F11" s="179"/>
      <c r="G11" s="179"/>
      <c r="H11" s="179"/>
      <c r="I11" s="179"/>
      <c r="J11" s="179"/>
      <c r="K11" s="179"/>
      <c r="L11" s="179"/>
      <c r="M11" s="179"/>
      <c r="N11" s="179"/>
      <c r="O11" s="179"/>
      <c r="P11" s="179"/>
      <c r="Q11" s="179"/>
      <c r="R11" s="179"/>
      <c r="S11" s="179"/>
      <c r="T11" s="179"/>
      <c r="U11" s="179"/>
      <c r="V11" s="179"/>
      <c r="W11" s="179"/>
    </row>
    <row r="13" spans="2:27" ht="13">
      <c r="B13" s="10" t="s">
        <v>359</v>
      </c>
    </row>
  </sheetData>
  <mergeCells count="2">
    <mergeCell ref="B3:W3"/>
    <mergeCell ref="B6:W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4EF5-4494-459B-8EAF-C457D9DFB5A1}">
  <sheetPr>
    <tabColor rgb="FFFF0000"/>
    <pageSetUpPr fitToPage="1"/>
  </sheetPr>
  <dimension ref="A2:Y177"/>
  <sheetViews>
    <sheetView view="pageBreakPreview" zoomScale="75" zoomScaleNormal="100" zoomScaleSheetLayoutView="75" workbookViewId="0">
      <pane ySplit="5" topLeftCell="A172" activePane="bottomLeft" state="frozen"/>
      <selection activeCell="A144" sqref="A144:A146"/>
      <selection pane="bottomLeft" activeCell="C175" sqref="C175:X175"/>
    </sheetView>
  </sheetViews>
  <sheetFormatPr baseColWidth="10" defaultColWidth="8.54296875" defaultRowHeight="12.5" outlineLevelRow="1" outlineLevelCol="1"/>
  <cols>
    <col min="1" max="1" width="6.54296875" style="10" customWidth="1" outlineLevel="1"/>
    <col min="2" max="2" width="6.7265625" style="10" customWidth="1" outlineLevel="1"/>
    <col min="3" max="3" width="5.81640625" style="148" customWidth="1"/>
    <col min="4" max="4" width="5.81640625" style="156" customWidth="1"/>
    <col min="5" max="5" width="1.453125" style="14" customWidth="1"/>
    <col min="6" max="6" width="4" style="3" bestFit="1" customWidth="1"/>
    <col min="7" max="7" width="10.54296875" style="40" customWidth="1"/>
    <col min="8" max="8" width="7.54296875" style="10" customWidth="1"/>
    <col min="9" max="9" width="29.54296875" style="14" customWidth="1"/>
    <col min="10" max="10" width="8.453125" style="14" customWidth="1"/>
    <col min="11" max="11" width="49.453125" style="3" customWidth="1"/>
    <col min="12" max="12" width="9" style="3" customWidth="1"/>
    <col min="13" max="13" width="36.54296875" style="3" customWidth="1"/>
    <col min="14" max="14" width="1.453125" style="14" customWidth="1"/>
    <col min="15" max="15" width="4" style="3" bestFit="1" customWidth="1"/>
    <col min="16" max="16" width="9.453125" style="14" customWidth="1"/>
    <col min="17" max="17" width="8.453125" style="147" customWidth="1"/>
    <col min="18" max="18" width="32.1796875" style="3" customWidth="1"/>
    <col min="19" max="19" width="1.453125" style="14" customWidth="1"/>
    <col min="20" max="20" width="4" style="3" bestFit="1" customWidth="1"/>
    <col min="21" max="21" width="8.54296875" style="40" bestFit="1" customWidth="1"/>
    <col min="22" max="22" width="37.453125" style="3" customWidth="1"/>
    <col min="23" max="23" width="9" style="3" customWidth="1"/>
    <col min="24" max="24" width="37.1796875" style="3" customWidth="1"/>
    <col min="25" max="25" width="2.54296875" style="14" customWidth="1"/>
    <col min="26" max="16384" width="8.54296875" style="10"/>
  </cols>
  <sheetData>
    <row r="2" spans="1:25" ht="21.65" customHeight="1">
      <c r="A2" s="110"/>
      <c r="C2" s="107" t="s">
        <v>357</v>
      </c>
      <c r="D2" s="107"/>
      <c r="E2" s="12"/>
      <c r="F2" s="108"/>
      <c r="G2" s="109"/>
      <c r="H2" s="1"/>
      <c r="I2" s="12"/>
      <c r="J2" s="12"/>
      <c r="K2" s="4"/>
      <c r="L2" s="4"/>
      <c r="M2" s="4"/>
      <c r="N2" s="12"/>
      <c r="O2" s="4"/>
      <c r="P2" s="12"/>
      <c r="Q2" s="111"/>
      <c r="R2" s="4"/>
      <c r="S2" s="12"/>
      <c r="T2" s="4"/>
      <c r="U2" s="112"/>
      <c r="V2" s="4"/>
      <c r="W2" s="4"/>
      <c r="X2" s="4"/>
    </row>
    <row r="3" spans="1:25" ht="112" hidden="1" customHeight="1" outlineLevel="1">
      <c r="A3" s="110"/>
      <c r="C3" s="222" t="s">
        <v>280</v>
      </c>
      <c r="D3" s="222"/>
      <c r="E3" s="222"/>
      <c r="F3" s="222"/>
      <c r="G3" s="222"/>
      <c r="H3" s="222"/>
      <c r="I3" s="222"/>
      <c r="J3" s="222"/>
      <c r="K3" s="222"/>
      <c r="L3" s="222"/>
      <c r="M3" s="222"/>
      <c r="N3" s="222"/>
      <c r="O3" s="222"/>
      <c r="P3" s="222"/>
      <c r="Q3" s="222"/>
      <c r="R3" s="222"/>
      <c r="S3" s="222"/>
      <c r="T3" s="222"/>
      <c r="U3" s="222"/>
      <c r="V3" s="222"/>
      <c r="W3" s="222"/>
      <c r="X3" s="222"/>
    </row>
    <row r="4" spans="1:25" ht="13" customHeight="1" collapsed="1">
      <c r="A4" s="5"/>
      <c r="B4" s="5"/>
      <c r="C4" s="103"/>
      <c r="D4" s="103"/>
      <c r="F4" s="103"/>
      <c r="G4" s="105"/>
      <c r="H4" s="223" t="s">
        <v>114</v>
      </c>
      <c r="I4" s="223"/>
      <c r="J4" s="223"/>
      <c r="K4" s="223"/>
      <c r="L4" s="223"/>
      <c r="M4" s="223"/>
      <c r="O4" s="103"/>
      <c r="P4" s="106"/>
      <c r="Q4" s="224" t="s">
        <v>115</v>
      </c>
      <c r="R4" s="224"/>
      <c r="T4" s="224" t="s">
        <v>116</v>
      </c>
      <c r="U4" s="224"/>
      <c r="V4" s="224"/>
      <c r="W4" s="224"/>
      <c r="X4" s="224"/>
    </row>
    <row r="5" spans="1:25" s="2" customFormat="1" ht="65.150000000000006" customHeight="1">
      <c r="A5" s="100" t="s">
        <v>332</v>
      </c>
      <c r="B5" s="113" t="s">
        <v>331</v>
      </c>
      <c r="C5" s="114" t="s">
        <v>327</v>
      </c>
      <c r="D5" s="104" t="s">
        <v>329</v>
      </c>
      <c r="E5" s="15"/>
      <c r="F5" s="115" t="s">
        <v>328</v>
      </c>
      <c r="G5" s="102" t="s">
        <v>211</v>
      </c>
      <c r="H5" s="21" t="s">
        <v>41</v>
      </c>
      <c r="I5" s="100" t="s">
        <v>67</v>
      </c>
      <c r="J5" s="21" t="s">
        <v>179</v>
      </c>
      <c r="K5" s="100" t="s">
        <v>68</v>
      </c>
      <c r="L5" s="100" t="s">
        <v>179</v>
      </c>
      <c r="M5" s="100" t="s">
        <v>183</v>
      </c>
      <c r="N5" s="15"/>
      <c r="O5" s="115" t="s">
        <v>328</v>
      </c>
      <c r="P5" s="101" t="s">
        <v>117</v>
      </c>
      <c r="Q5" s="19" t="s">
        <v>179</v>
      </c>
      <c r="R5" s="100" t="s">
        <v>58</v>
      </c>
      <c r="S5" s="15"/>
      <c r="T5" s="99" t="s">
        <v>328</v>
      </c>
      <c r="U5" s="19" t="s">
        <v>179</v>
      </c>
      <c r="V5" s="100" t="s">
        <v>180</v>
      </c>
      <c r="W5" s="100" t="s">
        <v>179</v>
      </c>
      <c r="X5" s="100" t="s">
        <v>181</v>
      </c>
      <c r="Y5" s="15"/>
    </row>
    <row r="6" spans="1:25" ht="70" customHeight="1">
      <c r="A6" s="189">
        <v>1</v>
      </c>
      <c r="B6" s="189" t="s">
        <v>330</v>
      </c>
      <c r="C6" s="219" t="s">
        <v>0</v>
      </c>
      <c r="D6" s="192" t="s">
        <v>93</v>
      </c>
      <c r="F6" s="64" t="s">
        <v>43</v>
      </c>
      <c r="G6" s="36">
        <v>168.7</v>
      </c>
      <c r="H6" s="51">
        <v>5</v>
      </c>
      <c r="I6" s="187" t="s">
        <v>84</v>
      </c>
      <c r="J6" s="36">
        <v>163.69999999999999</v>
      </c>
      <c r="K6" s="187" t="s">
        <v>124</v>
      </c>
      <c r="L6" s="61"/>
      <c r="M6" s="220"/>
      <c r="O6" s="64" t="s">
        <v>43</v>
      </c>
      <c r="P6" s="66">
        <v>35</v>
      </c>
      <c r="Q6" s="116">
        <v>15</v>
      </c>
      <c r="R6" s="184" t="s">
        <v>112</v>
      </c>
      <c r="T6" s="64" t="s">
        <v>43</v>
      </c>
      <c r="U6" s="36">
        <v>20</v>
      </c>
      <c r="V6" s="184" t="s">
        <v>113</v>
      </c>
      <c r="W6" s="162"/>
      <c r="X6" s="162"/>
    </row>
    <row r="7" spans="1:25" ht="70" customHeight="1">
      <c r="A7" s="189"/>
      <c r="B7" s="189"/>
      <c r="C7" s="190"/>
      <c r="D7" s="192"/>
      <c r="F7" s="64" t="s">
        <v>44</v>
      </c>
      <c r="G7" s="66">
        <v>110.3718152195127</v>
      </c>
      <c r="H7" s="51">
        <v>3.2712452643601866</v>
      </c>
      <c r="I7" s="187"/>
      <c r="J7" s="66">
        <v>107.10056995515251</v>
      </c>
      <c r="K7" s="187"/>
      <c r="L7" s="159"/>
      <c r="M7" s="220"/>
      <c r="O7" s="64" t="s">
        <v>44</v>
      </c>
      <c r="P7" s="117">
        <v>22.898716850521307</v>
      </c>
      <c r="Q7" s="67">
        <v>9.8137357930805607</v>
      </c>
      <c r="R7" s="184"/>
      <c r="T7" s="64" t="s">
        <v>44</v>
      </c>
      <c r="U7" s="118">
        <v>13.084981057440746</v>
      </c>
      <c r="V7" s="184"/>
      <c r="W7" s="162"/>
      <c r="X7" s="162"/>
    </row>
    <row r="8" spans="1:25" ht="70" customHeight="1">
      <c r="A8" s="189"/>
      <c r="B8" s="189"/>
      <c r="C8" s="191"/>
      <c r="D8" s="193"/>
      <c r="E8" s="12"/>
      <c r="F8" s="13" t="s">
        <v>45</v>
      </c>
      <c r="G8" s="8">
        <v>8.8396643581259351</v>
      </c>
      <c r="H8" s="8">
        <v>0.2619936087174255</v>
      </c>
      <c r="I8" s="188"/>
      <c r="J8" s="8">
        <v>8.5776707494085098</v>
      </c>
      <c r="K8" s="188"/>
      <c r="L8" s="160"/>
      <c r="M8" s="221"/>
      <c r="N8" s="12"/>
      <c r="O8" s="13" t="s">
        <v>45</v>
      </c>
      <c r="P8" s="30">
        <v>1.8339552610219787</v>
      </c>
      <c r="Q8" s="68">
        <v>0.78598082615227649</v>
      </c>
      <c r="R8" s="185"/>
      <c r="S8" s="12"/>
      <c r="T8" s="13" t="s">
        <v>45</v>
      </c>
      <c r="U8" s="119">
        <v>1.047974434869702</v>
      </c>
      <c r="V8" s="185"/>
      <c r="W8" s="163"/>
      <c r="X8" s="163"/>
      <c r="Y8" s="12"/>
    </row>
    <row r="9" spans="1:25" ht="60" customHeight="1">
      <c r="A9" s="189">
        <v>1</v>
      </c>
      <c r="B9" s="189" t="s">
        <v>330</v>
      </c>
      <c r="C9" s="219" t="s">
        <v>1</v>
      </c>
      <c r="D9" s="192" t="s">
        <v>94</v>
      </c>
      <c r="E9" s="7"/>
      <c r="F9" s="11" t="s">
        <v>43</v>
      </c>
      <c r="G9" s="22">
        <v>120</v>
      </c>
      <c r="H9" s="16">
        <v>4</v>
      </c>
      <c r="I9" s="194" t="s">
        <v>118</v>
      </c>
      <c r="J9" s="22">
        <v>116</v>
      </c>
      <c r="K9" s="183" t="s">
        <v>119</v>
      </c>
      <c r="L9" s="22">
        <v>85</v>
      </c>
      <c r="M9" s="183" t="s">
        <v>294</v>
      </c>
      <c r="N9" s="7"/>
      <c r="O9" s="11" t="s">
        <v>43</v>
      </c>
      <c r="P9" s="57">
        <v>70</v>
      </c>
      <c r="Q9" s="120">
        <v>5</v>
      </c>
      <c r="R9" s="183" t="s">
        <v>123</v>
      </c>
      <c r="S9" s="7"/>
      <c r="T9" s="11" t="s">
        <v>43</v>
      </c>
      <c r="U9" s="22">
        <v>65</v>
      </c>
      <c r="V9" s="183" t="s">
        <v>295</v>
      </c>
      <c r="W9" s="165"/>
      <c r="X9" s="165"/>
      <c r="Y9" s="6"/>
    </row>
    <row r="10" spans="1:25" ht="60" customHeight="1">
      <c r="A10" s="189"/>
      <c r="B10" s="189"/>
      <c r="C10" s="190"/>
      <c r="D10" s="192"/>
      <c r="E10" s="3"/>
      <c r="F10" s="64" t="s">
        <v>44</v>
      </c>
      <c r="G10" s="66">
        <v>86.382126693131013</v>
      </c>
      <c r="H10" s="51">
        <v>2.8794042231043675</v>
      </c>
      <c r="I10" s="195"/>
      <c r="J10" s="66">
        <v>83.502722470026654</v>
      </c>
      <c r="K10" s="184"/>
      <c r="L10" s="66">
        <v>61.187339740967808</v>
      </c>
      <c r="M10" s="184"/>
      <c r="N10" s="3"/>
      <c r="O10" s="64" t="s">
        <v>44</v>
      </c>
      <c r="P10" s="121">
        <v>50.389573904326426</v>
      </c>
      <c r="Q10" s="122">
        <v>3.599255278880459</v>
      </c>
      <c r="R10" s="184"/>
      <c r="S10" s="3"/>
      <c r="T10" s="64" t="s">
        <v>44</v>
      </c>
      <c r="U10" s="66">
        <v>46.79031862544597</v>
      </c>
      <c r="V10" s="184"/>
      <c r="W10" s="162"/>
      <c r="X10" s="162"/>
    </row>
    <row r="11" spans="1:25" ht="41.5" customHeight="1">
      <c r="A11" s="189"/>
      <c r="B11" s="189"/>
      <c r="C11" s="191"/>
      <c r="D11" s="193"/>
      <c r="E11" s="4"/>
      <c r="F11" s="13" t="s">
        <v>45</v>
      </c>
      <c r="G11" s="8">
        <v>5.6445518946679822</v>
      </c>
      <c r="H11" s="8">
        <v>0.18815172982226605</v>
      </c>
      <c r="I11" s="196"/>
      <c r="J11" s="8">
        <v>5.4564001648457161</v>
      </c>
      <c r="K11" s="185"/>
      <c r="L11" s="8">
        <v>3.9982242587231536</v>
      </c>
      <c r="M11" s="185"/>
      <c r="N11" s="4"/>
      <c r="O11" s="13" t="s">
        <v>45</v>
      </c>
      <c r="P11" s="59">
        <v>3.292655271889656</v>
      </c>
      <c r="Q11" s="68">
        <v>0.23518966227783258</v>
      </c>
      <c r="R11" s="185"/>
      <c r="S11" s="4"/>
      <c r="T11" s="13" t="s">
        <v>45</v>
      </c>
      <c r="U11" s="8">
        <v>3.0574656096118233</v>
      </c>
      <c r="V11" s="185"/>
      <c r="W11" s="163"/>
      <c r="X11" s="163"/>
      <c r="Y11" s="12"/>
    </row>
    <row r="12" spans="1:25" ht="65.150000000000006" customHeight="1">
      <c r="A12" s="189" t="s">
        <v>38</v>
      </c>
      <c r="B12" s="189" t="s">
        <v>38</v>
      </c>
      <c r="C12" s="219" t="s">
        <v>60</v>
      </c>
      <c r="D12" s="192"/>
      <c r="E12" s="7"/>
      <c r="F12" s="64" t="s">
        <v>43</v>
      </c>
      <c r="G12" s="22">
        <v>37</v>
      </c>
      <c r="H12" s="16">
        <v>0.05</v>
      </c>
      <c r="I12" s="194" t="s">
        <v>85</v>
      </c>
      <c r="J12" s="22">
        <v>37</v>
      </c>
      <c r="K12" s="183" t="s">
        <v>57</v>
      </c>
      <c r="L12" s="165"/>
      <c r="M12" s="165"/>
      <c r="N12" s="7"/>
      <c r="O12" s="64" t="s">
        <v>43</v>
      </c>
      <c r="P12" s="57">
        <v>405</v>
      </c>
      <c r="Q12" s="123">
        <v>340</v>
      </c>
      <c r="R12" s="186" t="s">
        <v>326</v>
      </c>
      <c r="S12" s="7"/>
      <c r="T12" s="64" t="s">
        <v>43</v>
      </c>
      <c r="U12" s="22">
        <v>65</v>
      </c>
      <c r="V12" s="183" t="s">
        <v>64</v>
      </c>
      <c r="W12" s="165"/>
      <c r="X12" s="165"/>
      <c r="Y12" s="6"/>
    </row>
    <row r="13" spans="1:25" ht="65.150000000000006" customHeight="1">
      <c r="A13" s="189"/>
      <c r="B13" s="189"/>
      <c r="C13" s="190"/>
      <c r="D13" s="192"/>
      <c r="E13" s="3"/>
      <c r="F13" s="64" t="s">
        <v>44</v>
      </c>
      <c r="G13" s="66">
        <v>41.425128197738204</v>
      </c>
      <c r="H13" s="51">
        <v>5.464160352133602E-2</v>
      </c>
      <c r="I13" s="195"/>
      <c r="J13" s="66">
        <v>40.434786605788652</v>
      </c>
      <c r="K13" s="184"/>
      <c r="L13" s="162"/>
      <c r="M13" s="162"/>
      <c r="N13" s="3"/>
      <c r="O13" s="64" t="s">
        <v>44</v>
      </c>
      <c r="P13" s="121">
        <v>442.59698852282179</v>
      </c>
      <c r="Q13" s="67">
        <v>371.56290394508494</v>
      </c>
      <c r="R13" s="187"/>
      <c r="S13" s="3"/>
      <c r="T13" s="64" t="s">
        <v>44</v>
      </c>
      <c r="U13" s="66">
        <v>71.03408457773682</v>
      </c>
      <c r="V13" s="184"/>
      <c r="W13" s="162"/>
      <c r="X13" s="162"/>
    </row>
    <row r="14" spans="1:25" ht="65.150000000000006" customHeight="1">
      <c r="A14" s="189"/>
      <c r="B14" s="189"/>
      <c r="C14" s="191"/>
      <c r="D14" s="193"/>
      <c r="E14" s="4"/>
      <c r="F14" s="13" t="s">
        <v>45</v>
      </c>
      <c r="G14" s="8">
        <v>0.34223784854475769</v>
      </c>
      <c r="H14" s="8">
        <v>4.6248357911453749E-4</v>
      </c>
      <c r="I14" s="196"/>
      <c r="J14" s="8">
        <v>0.34223784854475769</v>
      </c>
      <c r="K14" s="185"/>
      <c r="L14" s="163"/>
      <c r="M14" s="163"/>
      <c r="N14" s="4"/>
      <c r="O14" s="13" t="s">
        <v>45</v>
      </c>
      <c r="P14" s="59">
        <v>3.746116990827753</v>
      </c>
      <c r="Q14" s="68">
        <v>3.1448883379788546</v>
      </c>
      <c r="R14" s="188"/>
      <c r="S14" s="4"/>
      <c r="T14" s="13" t="s">
        <v>45</v>
      </c>
      <c r="U14" s="8">
        <v>0.60122865284889859</v>
      </c>
      <c r="V14" s="185"/>
      <c r="W14" s="163"/>
      <c r="X14" s="163"/>
      <c r="Y14" s="12"/>
    </row>
    <row r="15" spans="1:25" ht="46" customHeight="1">
      <c r="A15" s="189">
        <v>1</v>
      </c>
      <c r="B15" s="189" t="s">
        <v>330</v>
      </c>
      <c r="C15" s="190" t="s">
        <v>2</v>
      </c>
      <c r="D15" s="192" t="s">
        <v>93</v>
      </c>
      <c r="E15" s="7"/>
      <c r="F15" s="64" t="s">
        <v>43</v>
      </c>
      <c r="G15" s="22">
        <v>57.3</v>
      </c>
      <c r="H15" s="16">
        <v>8</v>
      </c>
      <c r="I15" s="183" t="s">
        <v>86</v>
      </c>
      <c r="J15" s="31">
        <v>49.3</v>
      </c>
      <c r="K15" s="186" t="s">
        <v>290</v>
      </c>
      <c r="L15" s="31">
        <v>55.5</v>
      </c>
      <c r="M15" s="186" t="s">
        <v>268</v>
      </c>
      <c r="N15" s="7"/>
      <c r="O15" s="64" t="s">
        <v>43</v>
      </c>
      <c r="P15" s="57">
        <v>348</v>
      </c>
      <c r="Q15" s="123">
        <v>21</v>
      </c>
      <c r="R15" s="183" t="s">
        <v>69</v>
      </c>
      <c r="S15" s="7"/>
      <c r="T15" s="64" t="s">
        <v>43</v>
      </c>
      <c r="U15" s="22">
        <v>327</v>
      </c>
      <c r="V15" s="183" t="s">
        <v>269</v>
      </c>
      <c r="W15" s="165"/>
      <c r="X15" s="165"/>
      <c r="Y15" s="6"/>
    </row>
    <row r="16" spans="1:25" ht="40" customHeight="1">
      <c r="A16" s="189"/>
      <c r="B16" s="189"/>
      <c r="C16" s="190"/>
      <c r="D16" s="192"/>
      <c r="E16" s="3"/>
      <c r="F16" s="64" t="s">
        <v>44</v>
      </c>
      <c r="G16" s="66">
        <v>62.619277635451212</v>
      </c>
      <c r="H16" s="51">
        <v>8.7426565634137816</v>
      </c>
      <c r="I16" s="184"/>
      <c r="J16" s="66">
        <v>53.87662107203743</v>
      </c>
      <c r="K16" s="187"/>
      <c r="L16" s="66">
        <v>60.652179908683117</v>
      </c>
      <c r="M16" s="187"/>
      <c r="N16" s="3"/>
      <c r="O16" s="64" t="s">
        <v>44</v>
      </c>
      <c r="P16" s="121">
        <v>380.30556050849952</v>
      </c>
      <c r="Q16" s="67">
        <v>22.949473478961178</v>
      </c>
      <c r="R16" s="184"/>
      <c r="S16" s="3"/>
      <c r="T16" s="64" t="s">
        <v>44</v>
      </c>
      <c r="U16" s="66">
        <v>357.35608702953834</v>
      </c>
      <c r="V16" s="184"/>
      <c r="W16" s="162"/>
      <c r="X16" s="162"/>
    </row>
    <row r="17" spans="1:25" s="1" customFormat="1" ht="43.5" customHeight="1">
      <c r="A17" s="189"/>
      <c r="B17" s="189"/>
      <c r="C17" s="191"/>
      <c r="D17" s="193"/>
      <c r="E17" s="4"/>
      <c r="F17" s="13" t="s">
        <v>45</v>
      </c>
      <c r="G17" s="8">
        <v>2.6637277798530086</v>
      </c>
      <c r="H17" s="8">
        <v>0.37189916647162424</v>
      </c>
      <c r="I17" s="185"/>
      <c r="J17" s="8">
        <v>2.2918286133813845</v>
      </c>
      <c r="K17" s="188"/>
      <c r="L17" s="8">
        <v>2.5800504673968931</v>
      </c>
      <c r="M17" s="188"/>
      <c r="N17" s="4"/>
      <c r="O17" s="13" t="s">
        <v>45</v>
      </c>
      <c r="P17" s="59">
        <v>16.177613741515657</v>
      </c>
      <c r="Q17" s="68">
        <v>0.97623531198801372</v>
      </c>
      <c r="R17" s="185"/>
      <c r="S17" s="4"/>
      <c r="T17" s="13" t="s">
        <v>45</v>
      </c>
      <c r="U17" s="8">
        <v>15.201378429527642</v>
      </c>
      <c r="V17" s="185"/>
      <c r="W17" s="163"/>
      <c r="X17" s="163"/>
      <c r="Y17" s="12"/>
    </row>
    <row r="18" spans="1:25" s="38" customFormat="1" ht="50.15" customHeight="1">
      <c r="A18" s="189">
        <v>1</v>
      </c>
      <c r="B18" s="189" t="s">
        <v>330</v>
      </c>
      <c r="C18" s="190" t="s">
        <v>3</v>
      </c>
      <c r="D18" s="217" t="s">
        <v>93</v>
      </c>
      <c r="E18" s="7"/>
      <c r="F18" s="11" t="s">
        <v>43</v>
      </c>
      <c r="G18" s="22">
        <v>304</v>
      </c>
      <c r="H18" s="22">
        <v>23</v>
      </c>
      <c r="I18" s="194" t="s">
        <v>193</v>
      </c>
      <c r="J18" s="22">
        <v>281</v>
      </c>
      <c r="K18" s="183" t="s">
        <v>296</v>
      </c>
      <c r="L18" s="70"/>
      <c r="M18" s="183" t="s">
        <v>56</v>
      </c>
      <c r="N18" s="7"/>
      <c r="O18" s="11" t="s">
        <v>43</v>
      </c>
      <c r="P18" s="34">
        <v>1020</v>
      </c>
      <c r="Q18" s="123">
        <v>200</v>
      </c>
      <c r="R18" s="183" t="s">
        <v>51</v>
      </c>
      <c r="S18" s="7"/>
      <c r="T18" s="11" t="s">
        <v>43</v>
      </c>
      <c r="U18" s="22">
        <v>820</v>
      </c>
      <c r="V18" s="183" t="s">
        <v>194</v>
      </c>
      <c r="W18" s="165"/>
      <c r="X18" s="165"/>
      <c r="Y18" s="6"/>
    </row>
    <row r="19" spans="1:25" ht="50.15" customHeight="1">
      <c r="A19" s="189"/>
      <c r="B19" s="189"/>
      <c r="C19" s="190"/>
      <c r="D19" s="217"/>
      <c r="E19" s="3"/>
      <c r="F19" s="64" t="s">
        <v>44</v>
      </c>
      <c r="G19" s="66">
        <v>332.220949409723</v>
      </c>
      <c r="H19" s="66">
        <v>25.135137619814568</v>
      </c>
      <c r="I19" s="195"/>
      <c r="J19" s="66">
        <v>307.0858117899084</v>
      </c>
      <c r="K19" s="184"/>
      <c r="L19" s="124"/>
      <c r="M19" s="184"/>
      <c r="N19" s="3"/>
      <c r="O19" s="64" t="s">
        <v>44</v>
      </c>
      <c r="P19" s="125">
        <v>1114.6887118352547</v>
      </c>
      <c r="Q19" s="67">
        <v>218.56641408534406</v>
      </c>
      <c r="R19" s="184"/>
      <c r="S19" s="3"/>
      <c r="T19" s="64" t="s">
        <v>44</v>
      </c>
      <c r="U19" s="66">
        <v>896.12229774991067</v>
      </c>
      <c r="V19" s="184"/>
      <c r="W19" s="162"/>
      <c r="X19" s="162"/>
    </row>
    <row r="20" spans="1:25" ht="50.5" customHeight="1">
      <c r="A20" s="189"/>
      <c r="B20" s="189"/>
      <c r="C20" s="191"/>
      <c r="D20" s="218"/>
      <c r="E20" s="4"/>
      <c r="F20" s="13" t="s">
        <v>45</v>
      </c>
      <c r="G20" s="8">
        <v>9.3923899799064596</v>
      </c>
      <c r="H20" s="8">
        <v>0.71060845242713355</v>
      </c>
      <c r="I20" s="196"/>
      <c r="J20" s="8">
        <v>8.6817815274793269</v>
      </c>
      <c r="K20" s="185"/>
      <c r="L20" s="48"/>
      <c r="M20" s="185"/>
      <c r="N20" s="4"/>
      <c r="O20" s="13" t="s">
        <v>45</v>
      </c>
      <c r="P20" s="59">
        <v>31.513940064159836</v>
      </c>
      <c r="Q20" s="68">
        <v>6.1792039341489868</v>
      </c>
      <c r="R20" s="185"/>
      <c r="S20" s="4"/>
      <c r="T20" s="13" t="s">
        <v>45</v>
      </c>
      <c r="U20" s="8">
        <v>25.33473613001085</v>
      </c>
      <c r="V20" s="185"/>
      <c r="W20" s="163"/>
      <c r="X20" s="163"/>
      <c r="Y20" s="12"/>
    </row>
    <row r="21" spans="1:25" ht="70" customHeight="1">
      <c r="A21" s="189">
        <v>1</v>
      </c>
      <c r="B21" s="189" t="s">
        <v>330</v>
      </c>
      <c r="C21" s="190" t="s">
        <v>4</v>
      </c>
      <c r="D21" s="192" t="s">
        <v>93</v>
      </c>
      <c r="E21" s="7"/>
      <c r="F21" s="64" t="s">
        <v>43</v>
      </c>
      <c r="G21" s="22">
        <v>55</v>
      </c>
      <c r="H21" s="16">
        <v>6.5</v>
      </c>
      <c r="I21" s="194" t="s">
        <v>297</v>
      </c>
      <c r="J21" s="22">
        <v>48.5</v>
      </c>
      <c r="K21" s="186" t="s">
        <v>298</v>
      </c>
      <c r="L21" s="16">
        <v>7</v>
      </c>
      <c r="M21" s="186" t="s">
        <v>299</v>
      </c>
      <c r="N21" s="7"/>
      <c r="O21" s="64" t="s">
        <v>43</v>
      </c>
      <c r="P21" s="22">
        <v>533.29999999999995</v>
      </c>
      <c r="Q21" s="120">
        <v>3.3</v>
      </c>
      <c r="R21" s="186" t="s">
        <v>125</v>
      </c>
      <c r="S21" s="7"/>
      <c r="T21" s="64" t="s">
        <v>43</v>
      </c>
      <c r="U21" s="22">
        <v>530</v>
      </c>
      <c r="V21" s="186" t="s">
        <v>126</v>
      </c>
      <c r="W21" s="166"/>
      <c r="X21" s="186"/>
      <c r="Y21" s="6"/>
    </row>
    <row r="22" spans="1:25" ht="70" customHeight="1">
      <c r="A22" s="189"/>
      <c r="B22" s="189"/>
      <c r="C22" s="190"/>
      <c r="D22" s="192"/>
      <c r="E22" s="3"/>
      <c r="F22" s="64" t="s">
        <v>44</v>
      </c>
      <c r="G22" s="66">
        <v>60.105763873469755</v>
      </c>
      <c r="H22" s="51">
        <v>7.103408457773698</v>
      </c>
      <c r="I22" s="195"/>
      <c r="J22" s="66">
        <v>53.002355415696051</v>
      </c>
      <c r="K22" s="187"/>
      <c r="L22" s="51">
        <v>7.6498244929870598</v>
      </c>
      <c r="M22" s="187"/>
      <c r="N22" s="3"/>
      <c r="O22" s="64" t="s">
        <v>44</v>
      </c>
      <c r="P22" s="66">
        <v>582.80734315857126</v>
      </c>
      <c r="Q22" s="51">
        <v>3.6063458324081847</v>
      </c>
      <c r="R22" s="187"/>
      <c r="S22" s="3"/>
      <c r="T22" s="64" t="s">
        <v>44</v>
      </c>
      <c r="U22" s="66">
        <v>579.20099732616302</v>
      </c>
      <c r="V22" s="187"/>
      <c r="W22" s="66"/>
      <c r="X22" s="187"/>
    </row>
    <row r="23" spans="1:25" ht="58.5" customHeight="1">
      <c r="A23" s="189"/>
      <c r="B23" s="189"/>
      <c r="C23" s="191"/>
      <c r="D23" s="193"/>
      <c r="E23" s="4"/>
      <c r="F23" s="13" t="s">
        <v>45</v>
      </c>
      <c r="G23" s="8">
        <v>3.5054154811260818</v>
      </c>
      <c r="H23" s="8">
        <v>0.41427637504217335</v>
      </c>
      <c r="I23" s="196"/>
      <c r="J23" s="8">
        <v>3.0911391060839088</v>
      </c>
      <c r="K23" s="188"/>
      <c r="L23" s="8">
        <v>0.44614378850695591</v>
      </c>
      <c r="M23" s="188"/>
      <c r="N23" s="4"/>
      <c r="O23" s="13" t="s">
        <v>45</v>
      </c>
      <c r="P23" s="8">
        <v>33.98978320153708</v>
      </c>
      <c r="Q23" s="8">
        <v>0.2103249288675649</v>
      </c>
      <c r="R23" s="188"/>
      <c r="S23" s="4"/>
      <c r="T23" s="13" t="s">
        <v>45</v>
      </c>
      <c r="U23" s="8">
        <v>33.779458272669515</v>
      </c>
      <c r="V23" s="188"/>
      <c r="W23" s="8"/>
      <c r="X23" s="188"/>
      <c r="Y23" s="12"/>
    </row>
    <row r="24" spans="1:25" ht="105" customHeight="1">
      <c r="A24" s="189">
        <v>1</v>
      </c>
      <c r="B24" s="189" t="s">
        <v>330</v>
      </c>
      <c r="C24" s="212" t="s">
        <v>5</v>
      </c>
      <c r="D24" s="192" t="s">
        <v>93</v>
      </c>
      <c r="E24" s="7"/>
      <c r="F24" s="64" t="s">
        <v>43</v>
      </c>
      <c r="G24" s="34">
        <v>58800</v>
      </c>
      <c r="H24" s="34">
        <v>4100</v>
      </c>
      <c r="I24" s="183" t="s">
        <v>270</v>
      </c>
      <c r="J24" s="34">
        <v>54700</v>
      </c>
      <c r="K24" s="183" t="s">
        <v>358</v>
      </c>
      <c r="L24" s="34">
        <v>26000</v>
      </c>
      <c r="M24" s="183" t="s">
        <v>70</v>
      </c>
      <c r="N24" s="7"/>
      <c r="O24" s="11" t="s">
        <v>43</v>
      </c>
      <c r="P24" s="47">
        <v>124700</v>
      </c>
      <c r="Q24" s="65"/>
      <c r="R24" s="214"/>
      <c r="S24" s="7"/>
      <c r="T24" s="11" t="s">
        <v>43</v>
      </c>
      <c r="U24" s="34">
        <v>15700</v>
      </c>
      <c r="V24" s="214" t="s">
        <v>300</v>
      </c>
      <c r="W24" s="65">
        <v>109000</v>
      </c>
      <c r="X24" s="214" t="s">
        <v>301</v>
      </c>
      <c r="Y24" s="6"/>
    </row>
    <row r="25" spans="1:25" ht="105" customHeight="1">
      <c r="A25" s="189"/>
      <c r="B25" s="189"/>
      <c r="C25" s="212"/>
      <c r="D25" s="192"/>
      <c r="E25" s="3"/>
      <c r="F25" s="64" t="s">
        <v>44</v>
      </c>
      <c r="G25" s="66">
        <v>551.10682418759711</v>
      </c>
      <c r="H25" s="66">
        <v>38.427516652536532</v>
      </c>
      <c r="I25" s="215"/>
      <c r="J25" s="66">
        <v>512.67930753506062</v>
      </c>
      <c r="K25" s="184"/>
      <c r="L25" s="36">
        <v>243.68669096730486</v>
      </c>
      <c r="M25" s="184"/>
      <c r="N25" s="3"/>
      <c r="O25" s="64" t="s">
        <v>44</v>
      </c>
      <c r="P25" s="125">
        <v>1168.7588601393429</v>
      </c>
      <c r="Q25" s="67"/>
      <c r="R25" s="215"/>
      <c r="S25" s="3"/>
      <c r="T25" s="64" t="s">
        <v>44</v>
      </c>
      <c r="U25" s="66">
        <v>147.1492710841033</v>
      </c>
      <c r="V25" s="215"/>
      <c r="W25" s="125">
        <v>1021.6095890552396</v>
      </c>
      <c r="X25" s="215"/>
    </row>
    <row r="26" spans="1:25" s="1" customFormat="1" ht="105" customHeight="1">
      <c r="A26" s="189"/>
      <c r="B26" s="189"/>
      <c r="C26" s="213"/>
      <c r="D26" s="193"/>
      <c r="E26" s="4"/>
      <c r="F26" s="13" t="s">
        <v>45</v>
      </c>
      <c r="G26" s="8">
        <v>11.330991365634006</v>
      </c>
      <c r="H26" s="8">
        <v>0.7900861326377453</v>
      </c>
      <c r="I26" s="216"/>
      <c r="J26" s="8">
        <v>10.540905232996261</v>
      </c>
      <c r="K26" s="185"/>
      <c r="L26" s="97">
        <v>5.0103023045320434</v>
      </c>
      <c r="M26" s="185"/>
      <c r="N26" s="4"/>
      <c r="O26" s="13" t="s">
        <v>45</v>
      </c>
      <c r="P26" s="8">
        <v>24.030180668274838</v>
      </c>
      <c r="Q26" s="68"/>
      <c r="R26" s="216"/>
      <c r="S26" s="4"/>
      <c r="T26" s="13" t="s">
        <v>45</v>
      </c>
      <c r="U26" s="8">
        <v>3.0254517761981954</v>
      </c>
      <c r="V26" s="216"/>
      <c r="W26" s="68">
        <v>21.004728892076642</v>
      </c>
      <c r="X26" s="216"/>
      <c r="Y26" s="12"/>
    </row>
    <row r="27" spans="1:25" s="38" customFormat="1" ht="120" customHeight="1">
      <c r="A27" s="189">
        <v>1</v>
      </c>
      <c r="B27" s="189" t="s">
        <v>330</v>
      </c>
      <c r="C27" s="212" t="s">
        <v>6</v>
      </c>
      <c r="D27" s="192" t="s">
        <v>93</v>
      </c>
      <c r="E27" s="7"/>
      <c r="F27" s="11" t="s">
        <v>43</v>
      </c>
      <c r="G27" s="35">
        <v>58100</v>
      </c>
      <c r="H27" s="73">
        <v>4600</v>
      </c>
      <c r="I27" s="206" t="s">
        <v>356</v>
      </c>
      <c r="J27" s="35">
        <v>53500</v>
      </c>
      <c r="K27" s="186" t="s">
        <v>390</v>
      </c>
      <c r="L27" s="35">
        <v>33000</v>
      </c>
      <c r="M27" s="186" t="s">
        <v>341</v>
      </c>
      <c r="N27" s="7"/>
      <c r="O27" s="11" t="s">
        <v>43</v>
      </c>
      <c r="P27" s="49">
        <v>181100</v>
      </c>
      <c r="Q27" s="49"/>
      <c r="R27" s="183"/>
      <c r="S27" s="7"/>
      <c r="T27" s="11" t="s">
        <v>43</v>
      </c>
      <c r="U27" s="50">
        <v>34100</v>
      </c>
      <c r="V27" s="186" t="s">
        <v>391</v>
      </c>
      <c r="W27" s="50">
        <v>147000</v>
      </c>
      <c r="X27" s="183" t="s">
        <v>392</v>
      </c>
      <c r="Y27" s="6"/>
    </row>
    <row r="28" spans="1:25" ht="120" customHeight="1">
      <c r="A28" s="189"/>
      <c r="B28" s="189"/>
      <c r="C28" s="212"/>
      <c r="D28" s="192"/>
      <c r="E28" s="3"/>
      <c r="F28" s="64" t="s">
        <v>44</v>
      </c>
      <c r="G28" s="117">
        <v>47.759348551253893</v>
      </c>
      <c r="H28" s="126">
        <v>3.7812909352111514</v>
      </c>
      <c r="I28" s="207"/>
      <c r="J28" s="66">
        <v>43.97805761604274</v>
      </c>
      <c r="K28" s="187"/>
      <c r="L28" s="66">
        <v>27.126652361297392</v>
      </c>
      <c r="M28" s="187"/>
      <c r="N28" s="3"/>
      <c r="O28" s="64" t="s">
        <v>44</v>
      </c>
      <c r="P28" s="66">
        <v>148.86778007972597</v>
      </c>
      <c r="Q28" s="127"/>
      <c r="R28" s="184"/>
      <c r="S28" s="3"/>
      <c r="T28" s="64" t="s">
        <v>44</v>
      </c>
      <c r="U28" s="117">
        <v>28.03087410667397</v>
      </c>
      <c r="V28" s="187"/>
      <c r="W28" s="128">
        <v>120.83690597305201</v>
      </c>
      <c r="X28" s="184"/>
    </row>
    <row r="29" spans="1:25" ht="120" customHeight="1">
      <c r="A29" s="189"/>
      <c r="B29" s="189"/>
      <c r="C29" s="213"/>
      <c r="D29" s="193"/>
      <c r="E29" s="4"/>
      <c r="F29" s="13" t="s">
        <v>45</v>
      </c>
      <c r="G29" s="30">
        <v>3.1136761983892827</v>
      </c>
      <c r="H29" s="30">
        <v>0.24652169556954734</v>
      </c>
      <c r="I29" s="208"/>
      <c r="J29" s="8">
        <v>2.8671545028197354</v>
      </c>
      <c r="K29" s="188"/>
      <c r="L29" s="8">
        <v>1.7685252073467526</v>
      </c>
      <c r="M29" s="188"/>
      <c r="N29" s="4"/>
      <c r="O29" s="13" t="s">
        <v>45</v>
      </c>
      <c r="P29" s="8">
        <v>9.7054519712271787</v>
      </c>
      <c r="Q29" s="43"/>
      <c r="R29" s="185"/>
      <c r="S29" s="4"/>
      <c r="T29" s="13" t="s">
        <v>45</v>
      </c>
      <c r="U29" s="126">
        <v>1.8274760475916447</v>
      </c>
      <c r="V29" s="188"/>
      <c r="W29" s="129">
        <v>7.8779759236355344</v>
      </c>
      <c r="X29" s="185"/>
      <c r="Y29" s="12"/>
    </row>
    <row r="30" spans="1:25" s="37" customFormat="1" ht="127" customHeight="1">
      <c r="A30" s="189">
        <v>1</v>
      </c>
      <c r="B30" s="189" t="s">
        <v>330</v>
      </c>
      <c r="C30" s="212" t="s">
        <v>28</v>
      </c>
      <c r="D30" s="192" t="s">
        <v>93</v>
      </c>
      <c r="E30" s="169"/>
      <c r="F30" s="11" t="s">
        <v>43</v>
      </c>
      <c r="G30" s="31">
        <v>36.4</v>
      </c>
      <c r="H30" s="70">
        <v>4.3</v>
      </c>
      <c r="I30" s="194" t="s">
        <v>87</v>
      </c>
      <c r="J30" s="31">
        <v>32.1</v>
      </c>
      <c r="K30" s="186" t="s">
        <v>302</v>
      </c>
      <c r="L30" s="98"/>
      <c r="M30" s="183" t="s">
        <v>195</v>
      </c>
      <c r="N30" s="169"/>
      <c r="O30" s="64" t="s">
        <v>43</v>
      </c>
      <c r="P30" s="46">
        <v>115.024</v>
      </c>
      <c r="Q30" s="130">
        <v>0.124</v>
      </c>
      <c r="R30" s="183" t="s">
        <v>346</v>
      </c>
      <c r="S30" s="169"/>
      <c r="T30" s="64" t="s">
        <v>43</v>
      </c>
      <c r="U30" s="31">
        <v>104.9</v>
      </c>
      <c r="V30" s="183" t="s">
        <v>347</v>
      </c>
      <c r="W30" s="31">
        <v>10</v>
      </c>
      <c r="X30" s="183" t="s">
        <v>48</v>
      </c>
      <c r="Y30" s="169"/>
    </row>
    <row r="31" spans="1:25" s="14" customFormat="1" ht="150" customHeight="1">
      <c r="A31" s="189"/>
      <c r="B31" s="189"/>
      <c r="C31" s="212"/>
      <c r="D31" s="192"/>
      <c r="E31" s="37"/>
      <c r="F31" s="64" t="s">
        <v>44</v>
      </c>
      <c r="G31" s="66">
        <v>39.77908736353271</v>
      </c>
      <c r="H31" s="131">
        <v>4.6991779028349079</v>
      </c>
      <c r="I31" s="195"/>
      <c r="J31" s="66">
        <v>35.079909460697799</v>
      </c>
      <c r="K31" s="187"/>
      <c r="L31" s="51"/>
      <c r="M31" s="184"/>
      <c r="N31" s="37"/>
      <c r="O31" s="64" t="s">
        <v>44</v>
      </c>
      <c r="P31" s="132">
        <v>125.70191606876337</v>
      </c>
      <c r="Q31" s="133">
        <v>0.13551117673291363</v>
      </c>
      <c r="R31" s="184"/>
      <c r="S31" s="37"/>
      <c r="T31" s="64" t="s">
        <v>44</v>
      </c>
      <c r="U31" s="66">
        <v>114.63808418776323</v>
      </c>
      <c r="V31" s="184"/>
      <c r="W31" s="66">
        <v>10.928320704267227</v>
      </c>
      <c r="X31" s="184"/>
      <c r="Y31" s="37"/>
    </row>
    <row r="32" spans="1:25" ht="150" customHeight="1">
      <c r="A32" s="189"/>
      <c r="B32" s="189"/>
      <c r="C32" s="213"/>
      <c r="D32" s="193"/>
      <c r="E32" s="4"/>
      <c r="F32" s="13" t="s">
        <v>45</v>
      </c>
      <c r="G32" s="8">
        <v>3.3641995153395459</v>
      </c>
      <c r="H32" s="97">
        <v>0.39741917351538592</v>
      </c>
      <c r="I32" s="196"/>
      <c r="J32" s="8">
        <v>2.9667803418241601</v>
      </c>
      <c r="K32" s="188"/>
      <c r="L32" s="8"/>
      <c r="M32" s="185"/>
      <c r="N32" s="4"/>
      <c r="O32" s="13" t="s">
        <v>45</v>
      </c>
      <c r="P32" s="124">
        <v>10.630870468472963</v>
      </c>
      <c r="Q32" s="68">
        <v>1.146045988742043E-2</v>
      </c>
      <c r="R32" s="185"/>
      <c r="S32" s="4"/>
      <c r="T32" s="13" t="s">
        <v>45</v>
      </c>
      <c r="U32" s="8">
        <v>9.6951793725032509</v>
      </c>
      <c r="V32" s="185"/>
      <c r="W32" s="8">
        <v>0.92423063608229272</v>
      </c>
      <c r="X32" s="185"/>
      <c r="Y32" s="12"/>
    </row>
    <row r="33" spans="1:25" ht="100" customHeight="1">
      <c r="A33" s="189">
        <v>1</v>
      </c>
      <c r="B33" s="189" t="s">
        <v>330</v>
      </c>
      <c r="C33" s="190" t="s">
        <v>7</v>
      </c>
      <c r="D33" s="192" t="s">
        <v>94</v>
      </c>
      <c r="E33" s="7"/>
      <c r="F33" s="64" t="s">
        <v>43</v>
      </c>
      <c r="G33" s="22">
        <v>124.5</v>
      </c>
      <c r="H33" s="16">
        <v>6.6</v>
      </c>
      <c r="I33" s="194" t="s">
        <v>127</v>
      </c>
      <c r="J33" s="22">
        <v>117.9</v>
      </c>
      <c r="K33" s="183" t="s">
        <v>303</v>
      </c>
      <c r="L33" s="165"/>
      <c r="M33" s="183" t="s">
        <v>128</v>
      </c>
      <c r="N33" s="7"/>
      <c r="O33" s="64" t="s">
        <v>43</v>
      </c>
      <c r="P33" s="22">
        <v>341</v>
      </c>
      <c r="Q33" s="120">
        <v>1</v>
      </c>
      <c r="R33" s="186" t="s">
        <v>196</v>
      </c>
      <c r="S33" s="7"/>
      <c r="T33" s="64" t="s">
        <v>43</v>
      </c>
      <c r="U33" s="22">
        <v>340</v>
      </c>
      <c r="V33" s="186" t="s">
        <v>271</v>
      </c>
      <c r="W33" s="170"/>
      <c r="X33" s="183"/>
      <c r="Y33" s="6"/>
    </row>
    <row r="34" spans="1:25" ht="88.5" customHeight="1">
      <c r="A34" s="189"/>
      <c r="B34" s="189"/>
      <c r="C34" s="190"/>
      <c r="D34" s="192"/>
      <c r="E34" s="3"/>
      <c r="F34" s="64" t="s">
        <v>44</v>
      </c>
      <c r="G34" s="66">
        <v>154.61878438359881</v>
      </c>
      <c r="H34" s="51">
        <v>8.1966584492510197</v>
      </c>
      <c r="I34" s="195"/>
      <c r="J34" s="36">
        <v>146.42212593434778</v>
      </c>
      <c r="K34" s="184"/>
      <c r="L34" s="162"/>
      <c r="M34" s="184"/>
      <c r="N34" s="3"/>
      <c r="O34" s="64" t="s">
        <v>44</v>
      </c>
      <c r="P34" s="66">
        <v>423.49401987796938</v>
      </c>
      <c r="Q34" s="122">
        <v>1.2419179468562151</v>
      </c>
      <c r="R34" s="187"/>
      <c r="S34" s="3"/>
      <c r="T34" s="64" t="s">
        <v>44</v>
      </c>
      <c r="U34" s="66">
        <v>422.2521019311132</v>
      </c>
      <c r="V34" s="187"/>
      <c r="W34" s="162"/>
      <c r="X34" s="184"/>
    </row>
    <row r="35" spans="1:25" s="1" customFormat="1" ht="236.25" customHeight="1">
      <c r="A35" s="189"/>
      <c r="B35" s="189"/>
      <c r="C35" s="191"/>
      <c r="D35" s="193"/>
      <c r="E35" s="4"/>
      <c r="F35" s="13" t="s">
        <v>45</v>
      </c>
      <c r="G35" s="8">
        <v>6.1639950739120586</v>
      </c>
      <c r="H35" s="8">
        <v>0.32676600391822963</v>
      </c>
      <c r="I35" s="196"/>
      <c r="J35" s="97">
        <v>5.8372290699938292</v>
      </c>
      <c r="K35" s="185"/>
      <c r="L35" s="163"/>
      <c r="M35" s="185"/>
      <c r="N35" s="4"/>
      <c r="O35" s="13" t="s">
        <v>45</v>
      </c>
      <c r="P35" s="8">
        <v>16.882910202441863</v>
      </c>
      <c r="Q35" s="68">
        <v>4.9510000593671159E-2</v>
      </c>
      <c r="R35" s="188"/>
      <c r="S35" s="4"/>
      <c r="T35" s="13" t="s">
        <v>45</v>
      </c>
      <c r="U35" s="8">
        <v>16.833400201848196</v>
      </c>
      <c r="V35" s="188"/>
      <c r="W35" s="163"/>
      <c r="X35" s="185"/>
      <c r="Y35" s="12"/>
    </row>
    <row r="36" spans="1:25" s="38" customFormat="1" ht="150" customHeight="1">
      <c r="A36" s="189">
        <v>1</v>
      </c>
      <c r="B36" s="189" t="s">
        <v>330</v>
      </c>
      <c r="C36" s="190" t="s">
        <v>8</v>
      </c>
      <c r="D36" s="192" t="s">
        <v>94</v>
      </c>
      <c r="E36" s="7"/>
      <c r="F36" s="11" t="s">
        <v>43</v>
      </c>
      <c r="G36" s="49">
        <v>2443</v>
      </c>
      <c r="H36" s="22">
        <v>304</v>
      </c>
      <c r="I36" s="194" t="s">
        <v>304</v>
      </c>
      <c r="J36" s="49">
        <v>2139</v>
      </c>
      <c r="K36" s="183" t="s">
        <v>272</v>
      </c>
      <c r="L36" s="165"/>
      <c r="M36" s="183" t="s">
        <v>281</v>
      </c>
      <c r="N36" s="7"/>
      <c r="O36" s="11" t="s">
        <v>43</v>
      </c>
      <c r="P36" s="57">
        <v>510</v>
      </c>
      <c r="Q36" s="52">
        <v>56</v>
      </c>
      <c r="R36" s="186" t="s">
        <v>129</v>
      </c>
      <c r="S36" s="7"/>
      <c r="T36" s="11" t="s">
        <v>43</v>
      </c>
      <c r="U36" s="22">
        <v>454</v>
      </c>
      <c r="V36" s="183" t="s">
        <v>50</v>
      </c>
      <c r="W36" s="165"/>
      <c r="X36" s="165"/>
      <c r="Y36" s="6"/>
    </row>
    <row r="37" spans="1:25" ht="150" customHeight="1">
      <c r="A37" s="189"/>
      <c r="B37" s="189"/>
      <c r="C37" s="190"/>
      <c r="D37" s="192"/>
      <c r="E37" s="3"/>
      <c r="F37" s="64" t="s">
        <v>44</v>
      </c>
      <c r="G37" s="125">
        <v>2443</v>
      </c>
      <c r="H37" s="66">
        <v>304</v>
      </c>
      <c r="I37" s="195"/>
      <c r="J37" s="125">
        <v>2139</v>
      </c>
      <c r="K37" s="184"/>
      <c r="L37" s="162"/>
      <c r="M37" s="184"/>
      <c r="N37" s="3"/>
      <c r="O37" s="64" t="s">
        <v>44</v>
      </c>
      <c r="P37" s="121">
        <v>510</v>
      </c>
      <c r="Q37" s="67">
        <v>56</v>
      </c>
      <c r="R37" s="187"/>
      <c r="S37" s="3"/>
      <c r="T37" s="64" t="s">
        <v>44</v>
      </c>
      <c r="U37" s="118">
        <v>454</v>
      </c>
      <c r="V37" s="184"/>
      <c r="W37" s="162"/>
      <c r="X37" s="162"/>
    </row>
    <row r="38" spans="1:25" ht="128.5" customHeight="1">
      <c r="A38" s="189"/>
      <c r="B38" s="189"/>
      <c r="C38" s="191"/>
      <c r="D38" s="193"/>
      <c r="E38" s="4"/>
      <c r="F38" s="13" t="s">
        <v>45</v>
      </c>
      <c r="G38" s="8">
        <v>12.284407153405569</v>
      </c>
      <c r="H38" s="8">
        <v>1.528636829568274</v>
      </c>
      <c r="I38" s="196"/>
      <c r="J38" s="8">
        <v>10.755770323837295</v>
      </c>
      <c r="K38" s="185"/>
      <c r="L38" s="163"/>
      <c r="M38" s="185"/>
      <c r="N38" s="4"/>
      <c r="O38" s="13" t="s">
        <v>45</v>
      </c>
      <c r="P38" s="59">
        <v>2.5644894180257225</v>
      </c>
      <c r="Q38" s="68">
        <v>0.28159099492047152</v>
      </c>
      <c r="R38" s="188"/>
      <c r="S38" s="4"/>
      <c r="T38" s="13" t="s">
        <v>45</v>
      </c>
      <c r="U38" s="17">
        <v>2.2828984231052512</v>
      </c>
      <c r="V38" s="185"/>
      <c r="W38" s="163"/>
      <c r="X38" s="163"/>
      <c r="Y38" s="12"/>
    </row>
    <row r="39" spans="1:25" ht="120" customHeight="1">
      <c r="A39" s="189">
        <v>1</v>
      </c>
      <c r="B39" s="189" t="s">
        <v>333</v>
      </c>
      <c r="C39" s="190" t="s">
        <v>9</v>
      </c>
      <c r="D39" s="192" t="s">
        <v>94</v>
      </c>
      <c r="E39" s="3"/>
      <c r="F39" s="64" t="s">
        <v>43</v>
      </c>
      <c r="G39" s="134">
        <v>823.5</v>
      </c>
      <c r="H39" s="66">
        <v>38.5</v>
      </c>
      <c r="I39" s="206" t="s">
        <v>348</v>
      </c>
      <c r="J39" s="66">
        <v>785</v>
      </c>
      <c r="K39" s="186" t="s">
        <v>305</v>
      </c>
      <c r="L39" s="66">
        <v>10</v>
      </c>
      <c r="M39" s="186" t="s">
        <v>306</v>
      </c>
      <c r="N39" s="3"/>
      <c r="O39" s="64" t="s">
        <v>43</v>
      </c>
      <c r="P39" s="66">
        <v>570</v>
      </c>
      <c r="Q39" s="122"/>
      <c r="R39" s="186"/>
      <c r="S39" s="3"/>
      <c r="T39" s="64" t="s">
        <v>43</v>
      </c>
      <c r="U39" s="117">
        <v>570</v>
      </c>
      <c r="V39" s="186" t="s">
        <v>353</v>
      </c>
      <c r="W39" s="162"/>
      <c r="X39" s="183"/>
    </row>
    <row r="40" spans="1:25" ht="120" customHeight="1">
      <c r="A40" s="189"/>
      <c r="B40" s="189"/>
      <c r="C40" s="190"/>
      <c r="D40" s="192"/>
      <c r="E40" s="3"/>
      <c r="F40" s="64" t="s">
        <v>44</v>
      </c>
      <c r="G40" s="36">
        <v>11.932974366311321</v>
      </c>
      <c r="H40" s="66">
        <v>0.55788647614205933</v>
      </c>
      <c r="I40" s="207"/>
      <c r="J40" s="66">
        <v>11.375087890169262</v>
      </c>
      <c r="K40" s="187"/>
      <c r="L40" s="51">
        <v>0.14490557821871672</v>
      </c>
      <c r="M40" s="187"/>
      <c r="N40" s="3"/>
      <c r="O40" s="64" t="s">
        <v>44</v>
      </c>
      <c r="P40" s="51">
        <v>8.259617958466853</v>
      </c>
      <c r="Q40" s="122"/>
      <c r="R40" s="187"/>
      <c r="S40" s="3"/>
      <c r="T40" s="64" t="s">
        <v>44</v>
      </c>
      <c r="U40" s="51">
        <v>8.259617958466853</v>
      </c>
      <c r="V40" s="187"/>
      <c r="W40" s="162"/>
      <c r="X40" s="184"/>
    </row>
    <row r="41" spans="1:25" ht="120" customHeight="1">
      <c r="A41" s="189"/>
      <c r="B41" s="189"/>
      <c r="C41" s="191"/>
      <c r="D41" s="193"/>
      <c r="E41" s="4"/>
      <c r="F41" s="13" t="s">
        <v>45</v>
      </c>
      <c r="G41" s="8">
        <v>2.8456549968053992</v>
      </c>
      <c r="H41" s="8">
        <v>0.13303912249788447</v>
      </c>
      <c r="I41" s="208"/>
      <c r="J41" s="8">
        <v>2.7126158743075148</v>
      </c>
      <c r="K41" s="188"/>
      <c r="L41" s="8">
        <v>3.4555616233216749E-2</v>
      </c>
      <c r="M41" s="188"/>
      <c r="N41" s="4"/>
      <c r="O41" s="13" t="s">
        <v>45</v>
      </c>
      <c r="P41" s="8">
        <v>1.9696701252933546</v>
      </c>
      <c r="Q41" s="68"/>
      <c r="R41" s="188"/>
      <c r="S41" s="4"/>
      <c r="T41" s="13" t="s">
        <v>45</v>
      </c>
      <c r="U41" s="8">
        <v>1.9696701252933546</v>
      </c>
      <c r="V41" s="188"/>
      <c r="W41" s="163"/>
      <c r="X41" s="185"/>
      <c r="Y41" s="12"/>
    </row>
    <row r="42" spans="1:25" ht="120" customHeight="1">
      <c r="A42" s="189">
        <v>1</v>
      </c>
      <c r="B42" s="189" t="s">
        <v>333</v>
      </c>
      <c r="C42" s="212" t="s">
        <v>10</v>
      </c>
      <c r="D42" s="192" t="s">
        <v>93</v>
      </c>
      <c r="E42" s="7"/>
      <c r="F42" s="64" t="s">
        <v>43</v>
      </c>
      <c r="G42" s="22">
        <v>444.7</v>
      </c>
      <c r="H42" s="22">
        <v>60.7</v>
      </c>
      <c r="I42" s="194" t="s">
        <v>349</v>
      </c>
      <c r="J42" s="22">
        <v>384</v>
      </c>
      <c r="K42" s="183" t="s">
        <v>350</v>
      </c>
      <c r="L42" s="22">
        <v>196</v>
      </c>
      <c r="M42" s="183" t="s">
        <v>351</v>
      </c>
      <c r="N42" s="7"/>
      <c r="O42" s="64" t="s">
        <v>43</v>
      </c>
      <c r="P42" s="22">
        <v>367.9</v>
      </c>
      <c r="Q42" s="123">
        <v>74.900000000000006</v>
      </c>
      <c r="R42" s="183" t="s">
        <v>352</v>
      </c>
      <c r="S42" s="7"/>
      <c r="T42" s="64" t="s">
        <v>43</v>
      </c>
      <c r="U42" s="22"/>
      <c r="V42" s="183" t="s">
        <v>184</v>
      </c>
      <c r="W42" s="27">
        <v>293</v>
      </c>
      <c r="X42" s="183" t="s">
        <v>354</v>
      </c>
      <c r="Y42" s="6"/>
    </row>
    <row r="43" spans="1:25" ht="92.15" customHeight="1">
      <c r="A43" s="189"/>
      <c r="B43" s="189"/>
      <c r="C43" s="212"/>
      <c r="D43" s="192"/>
      <c r="E43" s="3"/>
      <c r="F43" s="64" t="s">
        <v>44</v>
      </c>
      <c r="G43" s="66">
        <v>86.181466712895116</v>
      </c>
      <c r="H43" s="51">
        <v>11.763469821166479</v>
      </c>
      <c r="I43" s="195"/>
      <c r="J43" s="66">
        <v>74.417996891728635</v>
      </c>
      <c r="K43" s="184"/>
      <c r="L43" s="66">
        <v>37.984185913486492</v>
      </c>
      <c r="M43" s="184"/>
      <c r="N43" s="3"/>
      <c r="O43" s="64" t="s">
        <v>44</v>
      </c>
      <c r="P43" s="66">
        <v>71.29786733454938</v>
      </c>
      <c r="Q43" s="67">
        <v>14.515385331225197</v>
      </c>
      <c r="R43" s="184"/>
      <c r="S43" s="3"/>
      <c r="T43" s="64" t="s">
        <v>44</v>
      </c>
      <c r="U43" s="51"/>
      <c r="V43" s="184"/>
      <c r="W43" s="66">
        <v>56.782482003324191</v>
      </c>
      <c r="X43" s="184"/>
    </row>
    <row r="44" spans="1:25" ht="101.5" customHeight="1">
      <c r="A44" s="189"/>
      <c r="B44" s="189"/>
      <c r="C44" s="213"/>
      <c r="D44" s="193"/>
      <c r="E44" s="3"/>
      <c r="F44" s="64" t="s">
        <v>45</v>
      </c>
      <c r="G44" s="51">
        <v>6.5281010484208366</v>
      </c>
      <c r="H44" s="8">
        <v>0.89106303944039755</v>
      </c>
      <c r="I44" s="196"/>
      <c r="J44" s="8">
        <v>5.6370380089804391</v>
      </c>
      <c r="K44" s="185"/>
      <c r="L44" s="8">
        <v>2.877238150417099</v>
      </c>
      <c r="M44" s="185"/>
      <c r="N44" s="3"/>
      <c r="O44" s="64" t="s">
        <v>45</v>
      </c>
      <c r="P44" s="51">
        <v>5.4006934466247483</v>
      </c>
      <c r="Q44" s="122">
        <v>1.0995160074808199</v>
      </c>
      <c r="R44" s="185"/>
      <c r="S44" s="3"/>
      <c r="T44" s="64" t="s">
        <v>45</v>
      </c>
      <c r="U44" s="51"/>
      <c r="V44" s="185"/>
      <c r="W44" s="8">
        <v>4.3011774391439284</v>
      </c>
      <c r="X44" s="185"/>
    </row>
    <row r="45" spans="1:25" s="169" customFormat="1" ht="110.15" customHeight="1">
      <c r="A45" s="189">
        <v>1</v>
      </c>
      <c r="B45" s="189" t="s">
        <v>333</v>
      </c>
      <c r="C45" s="212" t="s">
        <v>11</v>
      </c>
      <c r="D45" s="192" t="s">
        <v>93</v>
      </c>
      <c r="F45" s="11" t="s">
        <v>43</v>
      </c>
      <c r="G45" s="33">
        <v>4209</v>
      </c>
      <c r="H45" s="70">
        <v>147</v>
      </c>
      <c r="I45" s="194" t="s">
        <v>136</v>
      </c>
      <c r="J45" s="33">
        <v>4062</v>
      </c>
      <c r="K45" s="186" t="s">
        <v>235</v>
      </c>
      <c r="L45" s="33">
        <v>1600</v>
      </c>
      <c r="M45" s="186" t="s">
        <v>236</v>
      </c>
      <c r="O45" s="11" t="s">
        <v>43</v>
      </c>
      <c r="P45" s="57">
        <v>540.35</v>
      </c>
      <c r="Q45" s="135">
        <v>140.35</v>
      </c>
      <c r="R45" s="183" t="s">
        <v>307</v>
      </c>
      <c r="T45" s="11" t="s">
        <v>43</v>
      </c>
      <c r="U45" s="31">
        <v>400</v>
      </c>
      <c r="V45" s="183" t="s">
        <v>308</v>
      </c>
      <c r="W45" s="170"/>
      <c r="X45" s="186" t="s">
        <v>182</v>
      </c>
    </row>
    <row r="46" spans="1:25" ht="110.15" customHeight="1">
      <c r="A46" s="189"/>
      <c r="B46" s="189"/>
      <c r="C46" s="212"/>
      <c r="D46" s="192"/>
      <c r="E46" s="3"/>
      <c r="F46" s="64" t="s">
        <v>44</v>
      </c>
      <c r="G46" s="66">
        <v>625.12833305744164</v>
      </c>
      <c r="H46" s="66">
        <v>21.832707284258476</v>
      </c>
      <c r="I46" s="195"/>
      <c r="J46" s="66">
        <v>603.29562577318325</v>
      </c>
      <c r="K46" s="187"/>
      <c r="L46" s="66">
        <v>237.63490921641878</v>
      </c>
      <c r="M46" s="187"/>
      <c r="N46" s="3"/>
      <c r="O46" s="64" t="s">
        <v>44</v>
      </c>
      <c r="P46" s="121">
        <v>80.253764496932433</v>
      </c>
      <c r="Q46" s="67">
        <v>20.845037192827736</v>
      </c>
      <c r="R46" s="184"/>
      <c r="S46" s="3"/>
      <c r="T46" s="64" t="s">
        <v>44</v>
      </c>
      <c r="U46" s="66">
        <v>59.408727304104694</v>
      </c>
      <c r="V46" s="184"/>
      <c r="W46" s="162"/>
      <c r="X46" s="187"/>
    </row>
    <row r="47" spans="1:25" ht="110.15" customHeight="1">
      <c r="A47" s="189"/>
      <c r="B47" s="189"/>
      <c r="C47" s="213"/>
      <c r="D47" s="193"/>
      <c r="E47" s="4"/>
      <c r="F47" s="13" t="s">
        <v>45</v>
      </c>
      <c r="G47" s="8">
        <v>4.0954525155603303</v>
      </c>
      <c r="H47" s="8">
        <v>0.14303433589626244</v>
      </c>
      <c r="I47" s="196"/>
      <c r="J47" s="8">
        <v>3.9524181796640683</v>
      </c>
      <c r="K47" s="188"/>
      <c r="L47" s="8">
        <v>1.5568363090749653</v>
      </c>
      <c r="M47" s="188"/>
      <c r="N47" s="4"/>
      <c r="O47" s="13" t="s">
        <v>45</v>
      </c>
      <c r="P47" s="59">
        <v>0.52577281225541095</v>
      </c>
      <c r="Q47" s="68">
        <v>0.1365637349866696</v>
      </c>
      <c r="R47" s="185"/>
      <c r="S47" s="4"/>
      <c r="T47" s="13" t="s">
        <v>45</v>
      </c>
      <c r="U47" s="8">
        <v>0.38920907726874132</v>
      </c>
      <c r="V47" s="185"/>
      <c r="W47" s="162"/>
      <c r="X47" s="188"/>
    </row>
    <row r="48" spans="1:25" s="169" customFormat="1" ht="61" customHeight="1">
      <c r="A48" s="189">
        <v>1</v>
      </c>
      <c r="B48" s="189" t="s">
        <v>333</v>
      </c>
      <c r="C48" s="190" t="s">
        <v>12</v>
      </c>
      <c r="D48" s="192" t="s">
        <v>94</v>
      </c>
      <c r="F48" s="11" t="s">
        <v>43</v>
      </c>
      <c r="G48" s="33">
        <v>2442.5</v>
      </c>
      <c r="H48" s="70">
        <v>150</v>
      </c>
      <c r="I48" s="183" t="s">
        <v>274</v>
      </c>
      <c r="J48" s="33">
        <v>2292.5</v>
      </c>
      <c r="K48" s="186" t="s">
        <v>309</v>
      </c>
      <c r="L48" s="70">
        <v>680</v>
      </c>
      <c r="M48" s="186" t="s">
        <v>310</v>
      </c>
      <c r="O48" s="11" t="s">
        <v>43</v>
      </c>
      <c r="P48" s="33">
        <v>9931</v>
      </c>
      <c r="Q48" s="70">
        <v>500</v>
      </c>
      <c r="R48" s="183" t="s">
        <v>138</v>
      </c>
      <c r="T48" s="11" t="s">
        <v>43</v>
      </c>
      <c r="U48" s="32">
        <v>8531</v>
      </c>
      <c r="V48" s="186" t="s">
        <v>311</v>
      </c>
      <c r="W48" s="70">
        <v>900</v>
      </c>
      <c r="X48" s="183" t="s">
        <v>137</v>
      </c>
    </row>
    <row r="49" spans="1:25" s="37" customFormat="1" ht="60.65" customHeight="1">
      <c r="A49" s="189"/>
      <c r="B49" s="189"/>
      <c r="C49" s="190"/>
      <c r="D49" s="192"/>
      <c r="F49" s="64" t="s">
        <v>44</v>
      </c>
      <c r="G49" s="66">
        <v>35.596054530246384</v>
      </c>
      <c r="H49" s="51">
        <v>2.1860422434132887</v>
      </c>
      <c r="I49" s="184"/>
      <c r="J49" s="66">
        <v>33.410012286833094</v>
      </c>
      <c r="K49" s="187"/>
      <c r="L49" s="51">
        <v>9.9100581701402408</v>
      </c>
      <c r="M49" s="187"/>
      <c r="O49" s="64" t="s">
        <v>44</v>
      </c>
      <c r="P49" s="67">
        <v>144.73057012891579</v>
      </c>
      <c r="Q49" s="122">
        <v>7.2868074780442953</v>
      </c>
      <c r="R49" s="184"/>
      <c r="T49" s="64" t="s">
        <v>44</v>
      </c>
      <c r="U49" s="67">
        <v>124.32750919039177</v>
      </c>
      <c r="V49" s="187"/>
      <c r="W49" s="67">
        <v>13.116253460479731</v>
      </c>
      <c r="X49" s="184"/>
    </row>
    <row r="50" spans="1:25" ht="103" customHeight="1">
      <c r="A50" s="189"/>
      <c r="B50" s="189"/>
      <c r="C50" s="191"/>
      <c r="D50" s="193"/>
      <c r="E50" s="3"/>
      <c r="F50" s="64" t="s">
        <v>45</v>
      </c>
      <c r="G50" s="51">
        <v>1.2110614944023894</v>
      </c>
      <c r="H50" s="30">
        <v>7.4374298530341221E-2</v>
      </c>
      <c r="I50" s="185"/>
      <c r="J50" s="30">
        <v>1.1366871958720481</v>
      </c>
      <c r="K50" s="188"/>
      <c r="L50" s="30">
        <v>0.33716348667088014</v>
      </c>
      <c r="M50" s="188"/>
      <c r="N50" s="3"/>
      <c r="O50" s="64" t="s">
        <v>45</v>
      </c>
      <c r="P50" s="30">
        <v>4.9240743913654574</v>
      </c>
      <c r="Q50" s="30">
        <v>0.2479143284344707</v>
      </c>
      <c r="R50" s="185"/>
      <c r="S50" s="3"/>
      <c r="T50" s="64" t="s">
        <v>45</v>
      </c>
      <c r="U50" s="30">
        <v>4.2299142717489389</v>
      </c>
      <c r="V50" s="188"/>
      <c r="W50" s="30">
        <v>0.44624579118204727</v>
      </c>
      <c r="X50" s="185"/>
    </row>
    <row r="51" spans="1:25" s="169" customFormat="1" ht="73.5" customHeight="1">
      <c r="A51" s="189">
        <v>1</v>
      </c>
      <c r="B51" s="189" t="s">
        <v>333</v>
      </c>
      <c r="C51" s="190" t="s">
        <v>13</v>
      </c>
      <c r="D51" s="192" t="s">
        <v>94</v>
      </c>
      <c r="F51" s="11" t="s">
        <v>43</v>
      </c>
      <c r="G51" s="33">
        <v>394600</v>
      </c>
      <c r="H51" s="53">
        <v>76000</v>
      </c>
      <c r="I51" s="183" t="s">
        <v>312</v>
      </c>
      <c r="J51" s="53">
        <v>318600</v>
      </c>
      <c r="K51" s="183" t="s">
        <v>313</v>
      </c>
      <c r="L51" s="166"/>
      <c r="M51" s="186" t="s">
        <v>143</v>
      </c>
      <c r="O51" s="11" t="s">
        <v>43</v>
      </c>
      <c r="P51" s="54">
        <v>185200</v>
      </c>
      <c r="Q51" s="136">
        <v>35200</v>
      </c>
      <c r="R51" s="183" t="s">
        <v>178</v>
      </c>
      <c r="T51" s="11" t="s">
        <v>43</v>
      </c>
      <c r="U51" s="136">
        <v>150000</v>
      </c>
      <c r="V51" s="186" t="s">
        <v>355</v>
      </c>
      <c r="W51" s="71"/>
      <c r="X51" s="166"/>
    </row>
    <row r="52" spans="1:25" s="37" customFormat="1" ht="100" customHeight="1">
      <c r="A52" s="189"/>
      <c r="B52" s="189"/>
      <c r="C52" s="190"/>
      <c r="D52" s="192"/>
      <c r="F52" s="64" t="s">
        <v>44</v>
      </c>
      <c r="G52" s="66">
        <v>27.393087948490443</v>
      </c>
      <c r="H52" s="51">
        <v>5.2759115156747942</v>
      </c>
      <c r="I52" s="184"/>
      <c r="J52" s="117">
        <v>22.117176432815651</v>
      </c>
      <c r="K52" s="184"/>
      <c r="L52" s="159"/>
      <c r="M52" s="187"/>
      <c r="O52" s="64" t="s">
        <v>44</v>
      </c>
      <c r="P52" s="66">
        <v>12.856563325039103</v>
      </c>
      <c r="Q52" s="133">
        <v>2.4435800704177995</v>
      </c>
      <c r="R52" s="209"/>
      <c r="T52" s="64" t="s">
        <v>44</v>
      </c>
      <c r="U52" s="127">
        <v>10.412983254621304</v>
      </c>
      <c r="V52" s="187"/>
      <c r="W52" s="137"/>
      <c r="X52" s="171"/>
    </row>
    <row r="53" spans="1:25" s="1" customFormat="1" ht="121.5" customHeight="1">
      <c r="A53" s="189"/>
      <c r="B53" s="189"/>
      <c r="C53" s="191"/>
      <c r="D53" s="193"/>
      <c r="E53" s="4"/>
      <c r="F53" s="13" t="s">
        <v>45</v>
      </c>
      <c r="G53" s="8">
        <v>2.44499374053856</v>
      </c>
      <c r="H53" s="8">
        <v>0.47090604227301203</v>
      </c>
      <c r="I53" s="185"/>
      <c r="J53" s="30">
        <v>1.974087698265548</v>
      </c>
      <c r="K53" s="185"/>
      <c r="L53" s="160"/>
      <c r="M53" s="188"/>
      <c r="N53" s="4"/>
      <c r="O53" s="13" t="s">
        <v>45</v>
      </c>
      <c r="P53" s="8">
        <v>1.1475236714337083</v>
      </c>
      <c r="Q53" s="43">
        <v>0.21810385115802661</v>
      </c>
      <c r="R53" s="210"/>
      <c r="S53" s="4"/>
      <c r="T53" s="13" t="s">
        <v>45</v>
      </c>
      <c r="U53" s="43">
        <v>0.92941982027568171</v>
      </c>
      <c r="V53" s="188"/>
      <c r="W53" s="72"/>
      <c r="X53" s="160"/>
      <c r="Y53" s="12"/>
    </row>
    <row r="54" spans="1:25" s="113" customFormat="1" ht="60" customHeight="1">
      <c r="A54" s="189">
        <v>1</v>
      </c>
      <c r="B54" s="189" t="s">
        <v>333</v>
      </c>
      <c r="C54" s="190" t="s">
        <v>14</v>
      </c>
      <c r="D54" s="192" t="s">
        <v>95</v>
      </c>
      <c r="F54" s="64" t="s">
        <v>43</v>
      </c>
      <c r="G54" s="36">
        <v>147.30000000000001</v>
      </c>
      <c r="H54" s="138">
        <v>40</v>
      </c>
      <c r="I54" s="194" t="s">
        <v>336</v>
      </c>
      <c r="J54" s="36">
        <v>107.3</v>
      </c>
      <c r="K54" s="211" t="s">
        <v>339</v>
      </c>
      <c r="L54" s="36">
        <v>46.4</v>
      </c>
      <c r="M54" s="186" t="s">
        <v>337</v>
      </c>
      <c r="O54" s="64" t="s">
        <v>43</v>
      </c>
      <c r="P54" s="36">
        <v>103</v>
      </c>
      <c r="Q54" s="116">
        <v>38</v>
      </c>
      <c r="R54" s="183" t="s">
        <v>338</v>
      </c>
      <c r="T54" s="64" t="s">
        <v>43</v>
      </c>
      <c r="U54" s="131"/>
      <c r="V54" s="162"/>
      <c r="W54" s="116">
        <v>65</v>
      </c>
      <c r="X54" s="183" t="s">
        <v>96</v>
      </c>
    </row>
    <row r="55" spans="1:25" s="113" customFormat="1" ht="60" customHeight="1">
      <c r="A55" s="189"/>
      <c r="B55" s="189"/>
      <c r="C55" s="190"/>
      <c r="D55" s="192"/>
      <c r="F55" s="64" t="s">
        <v>44</v>
      </c>
      <c r="G55" s="51">
        <v>6.8583816139161318</v>
      </c>
      <c r="H55" s="51">
        <v>1.8624254212942652</v>
      </c>
      <c r="I55" s="195"/>
      <c r="J55" s="51">
        <v>4.9959561926218665</v>
      </c>
      <c r="K55" s="187"/>
      <c r="L55" s="51">
        <v>2.1604134887013475</v>
      </c>
      <c r="M55" s="187"/>
      <c r="O55" s="64" t="s">
        <v>44</v>
      </c>
      <c r="P55" s="51">
        <v>4.7957454598327329</v>
      </c>
      <c r="Q55" s="51">
        <v>1.7693041502295519</v>
      </c>
      <c r="R55" s="184"/>
      <c r="T55" s="64" t="s">
        <v>44</v>
      </c>
      <c r="U55" s="131"/>
      <c r="V55" s="162"/>
      <c r="W55" s="51">
        <v>3.026441309603181</v>
      </c>
      <c r="X55" s="184"/>
    </row>
    <row r="56" spans="1:25" s="15" customFormat="1" ht="60" customHeight="1">
      <c r="A56" s="189"/>
      <c r="B56" s="189"/>
      <c r="C56" s="191"/>
      <c r="D56" s="193"/>
      <c r="F56" s="13" t="s">
        <v>45</v>
      </c>
      <c r="G56" s="8">
        <v>0.65471013968229408</v>
      </c>
      <c r="H56" s="8">
        <v>0.17778958307733717</v>
      </c>
      <c r="I56" s="196"/>
      <c r="J56" s="8">
        <v>0.47692055660495697</v>
      </c>
      <c r="K56" s="188"/>
      <c r="L56" s="8">
        <v>0.20623591636971111</v>
      </c>
      <c r="M56" s="188"/>
      <c r="O56" s="13" t="s">
        <v>45</v>
      </c>
      <c r="P56" s="8">
        <v>0.45780817642414318</v>
      </c>
      <c r="Q56" s="8">
        <v>0.1689001039234703</v>
      </c>
      <c r="R56" s="185"/>
      <c r="T56" s="13" t="s">
        <v>45</v>
      </c>
      <c r="U56" s="97"/>
      <c r="V56" s="163"/>
      <c r="W56" s="8">
        <v>0.28890807250067285</v>
      </c>
      <c r="X56" s="185"/>
    </row>
    <row r="57" spans="1:25" s="37" customFormat="1" ht="99.65" customHeight="1">
      <c r="A57" s="189">
        <v>1</v>
      </c>
      <c r="B57" s="189" t="s">
        <v>333</v>
      </c>
      <c r="C57" s="190" t="s">
        <v>15</v>
      </c>
      <c r="D57" s="192" t="s">
        <v>94</v>
      </c>
      <c r="E57" s="169"/>
      <c r="F57" s="64" t="s">
        <v>43</v>
      </c>
      <c r="G57" s="33">
        <v>1882</v>
      </c>
      <c r="H57" s="70">
        <v>232</v>
      </c>
      <c r="I57" s="183" t="s">
        <v>275</v>
      </c>
      <c r="J57" s="33">
        <v>1650</v>
      </c>
      <c r="K57" s="186" t="s">
        <v>276</v>
      </c>
      <c r="L57" s="70">
        <v>432</v>
      </c>
      <c r="M57" s="183" t="s">
        <v>277</v>
      </c>
      <c r="N57" s="169"/>
      <c r="O57" s="64" t="s">
        <v>43</v>
      </c>
      <c r="P57" s="31">
        <v>1070</v>
      </c>
      <c r="Q57" s="116">
        <v>70</v>
      </c>
      <c r="R57" s="183" t="s">
        <v>97</v>
      </c>
      <c r="S57" s="169"/>
      <c r="T57" s="64" t="s">
        <v>43</v>
      </c>
      <c r="U57" s="36">
        <v>500</v>
      </c>
      <c r="V57" s="183" t="s">
        <v>241</v>
      </c>
      <c r="W57" s="69">
        <v>500</v>
      </c>
      <c r="X57" s="186" t="s">
        <v>278</v>
      </c>
      <c r="Y57" s="169"/>
    </row>
    <row r="58" spans="1:25" s="37" customFormat="1" ht="140.15" customHeight="1">
      <c r="A58" s="189"/>
      <c r="B58" s="189"/>
      <c r="C58" s="190"/>
      <c r="D58" s="192"/>
      <c r="F58" s="64" t="s">
        <v>44</v>
      </c>
      <c r="G58" s="66">
        <v>25.740728797370579</v>
      </c>
      <c r="H58" s="131">
        <v>3.1731397879861714</v>
      </c>
      <c r="I58" s="184"/>
      <c r="J58" s="117">
        <v>22.56758900938441</v>
      </c>
      <c r="K58" s="187"/>
      <c r="L58" s="126">
        <v>5.9086051224570086</v>
      </c>
      <c r="M58" s="184"/>
      <c r="O58" s="64" t="s">
        <v>44</v>
      </c>
      <c r="P58" s="51">
        <v>14.63473953941898</v>
      </c>
      <c r="Q58" s="51">
        <v>0.95741286706479312</v>
      </c>
      <c r="R58" s="184"/>
      <c r="T58" s="64" t="s">
        <v>44</v>
      </c>
      <c r="U58" s="51">
        <v>6.8386633361770937</v>
      </c>
      <c r="V58" s="184"/>
      <c r="W58" s="51">
        <v>6.8386633361770937</v>
      </c>
      <c r="X58" s="187"/>
    </row>
    <row r="59" spans="1:25" ht="140.15" customHeight="1">
      <c r="A59" s="189"/>
      <c r="B59" s="189"/>
      <c r="C59" s="191"/>
      <c r="D59" s="193"/>
      <c r="E59" s="3"/>
      <c r="F59" s="64" t="s">
        <v>45</v>
      </c>
      <c r="G59" s="51">
        <v>1.857994990745192</v>
      </c>
      <c r="H59" s="139">
        <v>0.22904082776455081</v>
      </c>
      <c r="I59" s="185"/>
      <c r="J59" s="30">
        <v>1.6289541629806412</v>
      </c>
      <c r="K59" s="188"/>
      <c r="L59" s="30">
        <v>0.42648981721674978</v>
      </c>
      <c r="M59" s="185"/>
      <c r="N59" s="3"/>
      <c r="O59" s="64" t="s">
        <v>45</v>
      </c>
      <c r="P59" s="8">
        <v>1.0563520935692645</v>
      </c>
      <c r="Q59" s="8">
        <v>6.910714630826964E-2</v>
      </c>
      <c r="R59" s="185"/>
      <c r="S59" s="3"/>
      <c r="T59" s="64" t="s">
        <v>45</v>
      </c>
      <c r="U59" s="8">
        <v>0.49362247363049738</v>
      </c>
      <c r="V59" s="185"/>
      <c r="W59" s="8">
        <v>0.49362247363049738</v>
      </c>
      <c r="X59" s="188"/>
    </row>
    <row r="60" spans="1:25" s="169" customFormat="1" ht="39.65" customHeight="1">
      <c r="A60" s="189">
        <v>1</v>
      </c>
      <c r="B60" s="189" t="s">
        <v>333</v>
      </c>
      <c r="C60" s="190" t="s">
        <v>16</v>
      </c>
      <c r="D60" s="192" t="s">
        <v>93</v>
      </c>
      <c r="F60" s="11" t="s">
        <v>43</v>
      </c>
      <c r="G60" s="31">
        <v>56.9</v>
      </c>
      <c r="H60" s="70">
        <v>47</v>
      </c>
      <c r="I60" s="183" t="s">
        <v>320</v>
      </c>
      <c r="J60" s="98">
        <v>9.9</v>
      </c>
      <c r="K60" s="183" t="s">
        <v>314</v>
      </c>
      <c r="L60" s="70">
        <v>48</v>
      </c>
      <c r="M60" s="183" t="s">
        <v>142</v>
      </c>
      <c r="O60" s="11" t="s">
        <v>43</v>
      </c>
      <c r="P60" s="57">
        <v>22</v>
      </c>
      <c r="Q60" s="135">
        <v>22</v>
      </c>
      <c r="R60" s="183" t="s">
        <v>212</v>
      </c>
      <c r="T60" s="11" t="s">
        <v>43</v>
      </c>
      <c r="U60" s="98"/>
      <c r="V60" s="165"/>
      <c r="W60" s="165"/>
      <c r="X60" s="165"/>
    </row>
    <row r="61" spans="1:25" s="37" customFormat="1" ht="50.15" customHeight="1">
      <c r="A61" s="189"/>
      <c r="B61" s="189"/>
      <c r="C61" s="190"/>
      <c r="D61" s="192"/>
      <c r="F61" s="64" t="s">
        <v>44</v>
      </c>
      <c r="G61" s="66">
        <v>15.173333333333334</v>
      </c>
      <c r="H61" s="66">
        <v>12.533333333333333</v>
      </c>
      <c r="I61" s="184"/>
      <c r="J61" s="51">
        <v>2.64</v>
      </c>
      <c r="K61" s="184"/>
      <c r="L61" s="66">
        <v>12.8</v>
      </c>
      <c r="M61" s="184"/>
      <c r="O61" s="64" t="s">
        <v>44</v>
      </c>
      <c r="P61" s="140">
        <v>5.8666666666666663</v>
      </c>
      <c r="Q61" s="122">
        <v>5.8666666666666663</v>
      </c>
      <c r="R61" s="184"/>
      <c r="T61" s="64" t="s">
        <v>44</v>
      </c>
      <c r="U61" s="131"/>
      <c r="V61" s="162"/>
      <c r="W61" s="162"/>
      <c r="X61" s="162"/>
    </row>
    <row r="62" spans="1:25" ht="38.5" customHeight="1">
      <c r="A62" s="189"/>
      <c r="B62" s="189"/>
      <c r="C62" s="191"/>
      <c r="D62" s="193"/>
      <c r="E62" s="4"/>
      <c r="F62" s="13" t="s">
        <v>45</v>
      </c>
      <c r="G62" s="8">
        <v>2.3465350680880586</v>
      </c>
      <c r="H62" s="8">
        <v>1.9382627100200132</v>
      </c>
      <c r="I62" s="185"/>
      <c r="J62" s="8">
        <v>0.4082723580680454</v>
      </c>
      <c r="K62" s="185"/>
      <c r="L62" s="8">
        <v>1.9795023421480988</v>
      </c>
      <c r="M62" s="185"/>
      <c r="N62" s="4"/>
      <c r="O62" s="13" t="s">
        <v>45</v>
      </c>
      <c r="P62" s="59">
        <v>0.9072719068178785</v>
      </c>
      <c r="Q62" s="68">
        <v>0.9072719068178785</v>
      </c>
      <c r="R62" s="185"/>
      <c r="S62" s="4"/>
      <c r="T62" s="13" t="s">
        <v>45</v>
      </c>
      <c r="U62" s="8"/>
      <c r="V62" s="163"/>
      <c r="W62" s="163"/>
      <c r="X62" s="163"/>
      <c r="Y62" s="12"/>
    </row>
    <row r="63" spans="1:25" s="37" customFormat="1" ht="61" customHeight="1">
      <c r="A63" s="189">
        <v>1</v>
      </c>
      <c r="B63" s="189" t="s">
        <v>333</v>
      </c>
      <c r="C63" s="190" t="s">
        <v>17</v>
      </c>
      <c r="D63" s="192" t="s">
        <v>93</v>
      </c>
      <c r="E63" s="169"/>
      <c r="F63" s="64" t="s">
        <v>43</v>
      </c>
      <c r="G63" s="31">
        <v>257</v>
      </c>
      <c r="H63" s="31">
        <v>20</v>
      </c>
      <c r="I63" s="183" t="s">
        <v>315</v>
      </c>
      <c r="J63" s="31">
        <v>237</v>
      </c>
      <c r="K63" s="186" t="s">
        <v>316</v>
      </c>
      <c r="L63" s="31">
        <v>44</v>
      </c>
      <c r="M63" s="186" t="s">
        <v>317</v>
      </c>
      <c r="N63" s="169"/>
      <c r="O63" s="64" t="s">
        <v>43</v>
      </c>
      <c r="P63" s="31">
        <v>203</v>
      </c>
      <c r="Q63" s="135"/>
      <c r="R63" s="183"/>
      <c r="S63" s="169"/>
      <c r="T63" s="64" t="s">
        <v>43</v>
      </c>
      <c r="U63" s="31">
        <v>200</v>
      </c>
      <c r="V63" s="186" t="s">
        <v>318</v>
      </c>
      <c r="W63" s="98">
        <v>3</v>
      </c>
      <c r="X63" s="186" t="s">
        <v>98</v>
      </c>
      <c r="Y63" s="169"/>
    </row>
    <row r="64" spans="1:25" s="37" customFormat="1" ht="110.15" customHeight="1">
      <c r="A64" s="189"/>
      <c r="B64" s="189"/>
      <c r="C64" s="190"/>
      <c r="D64" s="192"/>
      <c r="F64" s="64" t="s">
        <v>44</v>
      </c>
      <c r="G64" s="66">
        <v>14.685714285714285</v>
      </c>
      <c r="H64" s="51">
        <v>1.1428571428571428</v>
      </c>
      <c r="I64" s="184"/>
      <c r="J64" s="117">
        <v>13.542857142857143</v>
      </c>
      <c r="K64" s="187"/>
      <c r="L64" s="126">
        <v>2.5142857142857142</v>
      </c>
      <c r="M64" s="187"/>
      <c r="O64" s="64" t="s">
        <v>44</v>
      </c>
      <c r="P64" s="36">
        <v>11.6</v>
      </c>
      <c r="Q64" s="122"/>
      <c r="R64" s="184"/>
      <c r="T64" s="64" t="s">
        <v>44</v>
      </c>
      <c r="U64" s="36">
        <v>11.428571428571429</v>
      </c>
      <c r="V64" s="187"/>
      <c r="W64" s="131">
        <v>0.17142857142857143</v>
      </c>
      <c r="X64" s="187"/>
    </row>
    <row r="65" spans="1:25" ht="118.5" customHeight="1">
      <c r="A65" s="189"/>
      <c r="B65" s="189"/>
      <c r="C65" s="191"/>
      <c r="D65" s="193"/>
      <c r="E65" s="4"/>
      <c r="F65" s="13" t="s">
        <v>45</v>
      </c>
      <c r="G65" s="8">
        <v>5.3296846845360042</v>
      </c>
      <c r="H65" s="8">
        <v>0.41476145404949449</v>
      </c>
      <c r="I65" s="185"/>
      <c r="J65" s="30">
        <v>4.9149232304865098</v>
      </c>
      <c r="K65" s="188"/>
      <c r="L65" s="30">
        <v>0.91247519890888784</v>
      </c>
      <c r="M65" s="188"/>
      <c r="N65" s="4"/>
      <c r="O65" s="13" t="s">
        <v>45</v>
      </c>
      <c r="P65" s="8">
        <v>4.3190431119235164</v>
      </c>
      <c r="Q65" s="68"/>
      <c r="R65" s="185"/>
      <c r="S65" s="4"/>
      <c r="T65" s="13" t="s">
        <v>45</v>
      </c>
      <c r="U65" s="8">
        <v>4.1476145404949447</v>
      </c>
      <c r="V65" s="188"/>
      <c r="W65" s="97">
        <v>6.2214218107424175E-2</v>
      </c>
      <c r="X65" s="188"/>
      <c r="Y65" s="12"/>
    </row>
    <row r="66" spans="1:25" s="113" customFormat="1" ht="88.5" customHeight="1">
      <c r="A66" s="189">
        <v>1</v>
      </c>
      <c r="B66" s="189" t="s">
        <v>333</v>
      </c>
      <c r="C66" s="190" t="s">
        <v>18</v>
      </c>
      <c r="D66" s="192" t="s">
        <v>95</v>
      </c>
      <c r="E66" s="5"/>
      <c r="F66" s="64" t="s">
        <v>43</v>
      </c>
      <c r="G66" s="31">
        <v>11</v>
      </c>
      <c r="H66" s="70"/>
      <c r="I66" s="186"/>
      <c r="J66" s="26">
        <v>11</v>
      </c>
      <c r="K66" s="186" t="s">
        <v>360</v>
      </c>
      <c r="L66" s="26">
        <v>65.900000000000006</v>
      </c>
      <c r="M66" s="186" t="s">
        <v>361</v>
      </c>
      <c r="N66" s="5"/>
      <c r="O66" s="64" t="s">
        <v>43</v>
      </c>
      <c r="P66" s="31">
        <v>420.9</v>
      </c>
      <c r="Q66" s="135">
        <v>20</v>
      </c>
      <c r="R66" s="183" t="s">
        <v>319</v>
      </c>
      <c r="S66" s="5"/>
      <c r="T66" s="64" t="s">
        <v>43</v>
      </c>
      <c r="U66" s="31">
        <v>298</v>
      </c>
      <c r="V66" s="183" t="s">
        <v>362</v>
      </c>
      <c r="W66" s="31">
        <v>102.9</v>
      </c>
      <c r="X66" s="183" t="s">
        <v>279</v>
      </c>
      <c r="Y66" s="5"/>
    </row>
    <row r="67" spans="1:25" s="113" customFormat="1" ht="71.150000000000006" customHeight="1">
      <c r="A67" s="189"/>
      <c r="B67" s="189"/>
      <c r="C67" s="190"/>
      <c r="D67" s="192"/>
      <c r="F67" s="64" t="s">
        <v>44</v>
      </c>
      <c r="G67" s="66">
        <v>1.6541353383458646</v>
      </c>
      <c r="H67" s="138"/>
      <c r="I67" s="187"/>
      <c r="J67" s="126">
        <v>1.6541353383458646</v>
      </c>
      <c r="K67" s="187"/>
      <c r="L67" s="126">
        <v>9.9097744360902258</v>
      </c>
      <c r="M67" s="187"/>
      <c r="O67" s="64" t="s">
        <v>44</v>
      </c>
      <c r="P67" s="117">
        <v>63.293233082706763</v>
      </c>
      <c r="Q67" s="126">
        <v>3.007518796992481</v>
      </c>
      <c r="R67" s="184"/>
      <c r="T67" s="64" t="s">
        <v>44</v>
      </c>
      <c r="U67" s="66">
        <v>44.81203007518797</v>
      </c>
      <c r="V67" s="184"/>
      <c r="W67" s="66">
        <v>15.473684210526315</v>
      </c>
      <c r="X67" s="184"/>
    </row>
    <row r="68" spans="1:25" ht="100" customHeight="1">
      <c r="A68" s="189"/>
      <c r="B68" s="189"/>
      <c r="C68" s="191"/>
      <c r="D68" s="193"/>
      <c r="E68" s="4"/>
      <c r="F68" s="13" t="s">
        <v>45</v>
      </c>
      <c r="G68" s="8">
        <v>0.23907437703979553</v>
      </c>
      <c r="H68" s="20"/>
      <c r="I68" s="188"/>
      <c r="J68" s="30">
        <v>0.23907437703979553</v>
      </c>
      <c r="K68" s="188"/>
      <c r="L68" s="30">
        <v>1.4322728588111389</v>
      </c>
      <c r="M68" s="188"/>
      <c r="N68" s="4"/>
      <c r="O68" s="13" t="s">
        <v>45</v>
      </c>
      <c r="P68" s="30">
        <v>9.1478550269136303</v>
      </c>
      <c r="Q68" s="30">
        <v>0.43468068552690098</v>
      </c>
      <c r="R68" s="185"/>
      <c r="S68" s="4"/>
      <c r="T68" s="13" t="s">
        <v>45</v>
      </c>
      <c r="U68" s="8">
        <v>6.4767422143508249</v>
      </c>
      <c r="V68" s="185"/>
      <c r="W68" s="8">
        <v>2.2364321270359055</v>
      </c>
      <c r="X68" s="185"/>
      <c r="Y68" s="12"/>
    </row>
    <row r="69" spans="1:25" ht="66" customHeight="1">
      <c r="A69" s="189">
        <v>0</v>
      </c>
      <c r="B69" s="189" t="s">
        <v>330</v>
      </c>
      <c r="C69" s="190" t="s">
        <v>71</v>
      </c>
      <c r="D69" s="192" t="s">
        <v>93</v>
      </c>
      <c r="F69" s="64" t="s">
        <v>43</v>
      </c>
      <c r="G69" s="66">
        <v>14.4</v>
      </c>
      <c r="H69" s="51">
        <v>2.1</v>
      </c>
      <c r="I69" s="199" t="s">
        <v>252</v>
      </c>
      <c r="J69" s="141">
        <v>12.3</v>
      </c>
      <c r="K69" s="186" t="s">
        <v>322</v>
      </c>
      <c r="L69" s="141">
        <v>11</v>
      </c>
      <c r="M69" s="183" t="s">
        <v>323</v>
      </c>
      <c r="O69" s="64" t="s">
        <v>43</v>
      </c>
      <c r="P69" s="57">
        <v>52</v>
      </c>
      <c r="Q69" s="122"/>
      <c r="R69" s="167"/>
      <c r="T69" s="64" t="s">
        <v>43</v>
      </c>
      <c r="U69" s="66">
        <v>52</v>
      </c>
      <c r="V69" s="183" t="s">
        <v>324</v>
      </c>
      <c r="W69" s="167"/>
      <c r="X69" s="167"/>
    </row>
    <row r="70" spans="1:25" ht="99.65" customHeight="1">
      <c r="A70" s="189"/>
      <c r="B70" s="189"/>
      <c r="C70" s="190"/>
      <c r="D70" s="192"/>
      <c r="F70" s="64" t="s">
        <v>44</v>
      </c>
      <c r="G70" s="66">
        <v>15.736781814144809</v>
      </c>
      <c r="H70" s="51">
        <v>2.2949473478961178</v>
      </c>
      <c r="I70" s="184"/>
      <c r="J70" s="66">
        <v>13.441834466248691</v>
      </c>
      <c r="K70" s="187"/>
      <c r="L70" s="66">
        <v>12.021152774693951</v>
      </c>
      <c r="M70" s="184"/>
      <c r="O70" s="64" t="s">
        <v>44</v>
      </c>
      <c r="P70" s="121">
        <v>56.827267662189584</v>
      </c>
      <c r="Q70" s="66"/>
      <c r="R70" s="167"/>
      <c r="T70" s="64" t="s">
        <v>44</v>
      </c>
      <c r="U70" s="66">
        <v>56.827267662189584</v>
      </c>
      <c r="V70" s="184"/>
      <c r="W70" s="167"/>
      <c r="X70" s="167"/>
    </row>
    <row r="71" spans="1:25" ht="169.5" customHeight="1">
      <c r="A71" s="189"/>
      <c r="B71" s="189"/>
      <c r="C71" s="191"/>
      <c r="D71" s="193"/>
      <c r="F71" s="13" t="s">
        <v>45</v>
      </c>
      <c r="G71" s="8">
        <v>3.3579240772567021</v>
      </c>
      <c r="H71" s="8">
        <v>0.4896972612666024</v>
      </c>
      <c r="I71" s="185"/>
      <c r="J71" s="8">
        <v>2.8682268159900994</v>
      </c>
      <c r="K71" s="188"/>
      <c r="L71" s="8">
        <v>2.5650808923488695</v>
      </c>
      <c r="M71" s="185"/>
      <c r="O71" s="13" t="s">
        <v>45</v>
      </c>
      <c r="P71" s="59">
        <v>12.125836945649201</v>
      </c>
      <c r="Q71" s="8"/>
      <c r="R71" s="167"/>
      <c r="T71" s="13" t="s">
        <v>45</v>
      </c>
      <c r="U71" s="8">
        <v>12.125836945649201</v>
      </c>
      <c r="V71" s="185"/>
      <c r="W71" s="167"/>
      <c r="X71" s="167"/>
    </row>
    <row r="72" spans="1:25" ht="144.65" customHeight="1">
      <c r="A72" s="189">
        <v>0</v>
      </c>
      <c r="B72" s="189" t="s">
        <v>330</v>
      </c>
      <c r="C72" s="190" t="s">
        <v>66</v>
      </c>
      <c r="D72" s="192" t="s">
        <v>93</v>
      </c>
      <c r="E72" s="6"/>
      <c r="F72" s="64" t="s">
        <v>43</v>
      </c>
      <c r="G72" s="31">
        <v>270</v>
      </c>
      <c r="H72" s="70">
        <v>47</v>
      </c>
      <c r="I72" s="186" t="s">
        <v>190</v>
      </c>
      <c r="J72" s="31">
        <v>223</v>
      </c>
      <c r="K72" s="186" t="s">
        <v>234</v>
      </c>
      <c r="L72" s="166"/>
      <c r="M72" s="186" t="s">
        <v>191</v>
      </c>
      <c r="N72" s="5"/>
      <c r="O72" s="64" t="s">
        <v>43</v>
      </c>
      <c r="P72" s="57">
        <v>500.8</v>
      </c>
      <c r="Q72" s="135">
        <v>0.8</v>
      </c>
      <c r="R72" s="186" t="s">
        <v>192</v>
      </c>
      <c r="S72" s="5"/>
      <c r="T72" s="64" t="s">
        <v>43</v>
      </c>
      <c r="U72" s="31">
        <v>500</v>
      </c>
      <c r="V72" s="183" t="s">
        <v>207</v>
      </c>
      <c r="W72" s="31"/>
      <c r="X72" s="183"/>
    </row>
    <row r="73" spans="1:25" ht="153" customHeight="1">
      <c r="A73" s="189"/>
      <c r="B73" s="189"/>
      <c r="C73" s="190"/>
      <c r="D73" s="192"/>
      <c r="F73" s="64" t="s">
        <v>44</v>
      </c>
      <c r="G73" s="66">
        <v>10.960523548524858</v>
      </c>
      <c r="H73" s="131">
        <v>1.9079429880765493</v>
      </c>
      <c r="I73" s="187"/>
      <c r="J73" s="51">
        <v>9.0525805604483072</v>
      </c>
      <c r="K73" s="187"/>
      <c r="L73" s="159"/>
      <c r="M73" s="187"/>
      <c r="N73" s="113"/>
      <c r="O73" s="64" t="s">
        <v>44</v>
      </c>
      <c r="P73" s="121">
        <v>20.329741455930552</v>
      </c>
      <c r="Q73" s="142">
        <v>3.2475625328962539E-2</v>
      </c>
      <c r="R73" s="187"/>
      <c r="S73" s="113"/>
      <c r="T73" s="64" t="s">
        <v>44</v>
      </c>
      <c r="U73" s="66">
        <v>20.297265830601589</v>
      </c>
      <c r="V73" s="184"/>
      <c r="W73" s="51"/>
      <c r="X73" s="184"/>
    </row>
    <row r="74" spans="1:25" ht="165" customHeight="1">
      <c r="A74" s="189"/>
      <c r="B74" s="189"/>
      <c r="C74" s="191"/>
      <c r="D74" s="193"/>
      <c r="F74" s="13" t="s">
        <v>45</v>
      </c>
      <c r="G74" s="8">
        <v>5.0183115684894384</v>
      </c>
      <c r="H74" s="97">
        <v>0.8735579397000135</v>
      </c>
      <c r="I74" s="188"/>
      <c r="J74" s="8">
        <v>4.1447536287894255</v>
      </c>
      <c r="K74" s="188"/>
      <c r="L74" s="160"/>
      <c r="M74" s="188"/>
      <c r="N74" s="4"/>
      <c r="O74" s="13" t="s">
        <v>45</v>
      </c>
      <c r="P74" s="59">
        <v>9.3080386425907822</v>
      </c>
      <c r="Q74" s="68">
        <v>1.4869071314042782E-2</v>
      </c>
      <c r="R74" s="188"/>
      <c r="S74" s="4"/>
      <c r="T74" s="13" t="s">
        <v>45</v>
      </c>
      <c r="U74" s="8">
        <v>9.2931695712767386</v>
      </c>
      <c r="V74" s="185"/>
      <c r="W74" s="8"/>
      <c r="X74" s="185"/>
    </row>
    <row r="75" spans="1:25" s="37" customFormat="1" ht="57.65" customHeight="1">
      <c r="A75" s="189">
        <v>0</v>
      </c>
      <c r="B75" s="189" t="s">
        <v>330</v>
      </c>
      <c r="C75" s="190" t="s">
        <v>19</v>
      </c>
      <c r="D75" s="192" t="s">
        <v>93</v>
      </c>
      <c r="E75" s="169"/>
      <c r="F75" s="64" t="s">
        <v>43</v>
      </c>
      <c r="G75" s="36">
        <v>126</v>
      </c>
      <c r="H75" s="138">
        <v>0.8</v>
      </c>
      <c r="I75" s="195" t="s">
        <v>257</v>
      </c>
      <c r="J75" s="36">
        <v>125.2</v>
      </c>
      <c r="K75" s="186" t="s">
        <v>213</v>
      </c>
      <c r="L75" s="36">
        <v>166.4</v>
      </c>
      <c r="M75" s="184" t="s">
        <v>91</v>
      </c>
      <c r="O75" s="64" t="s">
        <v>43</v>
      </c>
      <c r="P75" s="57">
        <v>211.5</v>
      </c>
      <c r="Q75" s="116">
        <v>39.9</v>
      </c>
      <c r="R75" s="184" t="s">
        <v>131</v>
      </c>
      <c r="T75" s="64" t="s">
        <v>43</v>
      </c>
      <c r="U75" s="36">
        <v>171.6</v>
      </c>
      <c r="V75" s="184" t="s">
        <v>92</v>
      </c>
      <c r="W75" s="162"/>
      <c r="X75" s="162"/>
    </row>
    <row r="76" spans="1:25" ht="80.150000000000006" customHeight="1">
      <c r="A76" s="189"/>
      <c r="B76" s="189"/>
      <c r="C76" s="190"/>
      <c r="D76" s="192"/>
      <c r="E76" s="3"/>
      <c r="F76" s="64" t="s">
        <v>44</v>
      </c>
      <c r="G76" s="66">
        <v>18.388350848575691</v>
      </c>
      <c r="H76" s="139">
        <v>0.11675143395921074</v>
      </c>
      <c r="I76" s="195"/>
      <c r="J76" s="66">
        <v>18.271599414616482</v>
      </c>
      <c r="K76" s="187"/>
      <c r="L76" s="66">
        <v>24.284298263515833</v>
      </c>
      <c r="M76" s="184"/>
      <c r="N76" s="3"/>
      <c r="O76" s="64" t="s">
        <v>44</v>
      </c>
      <c r="P76" s="121">
        <v>30.866160352966336</v>
      </c>
      <c r="Q76" s="122">
        <v>5.822977768715635</v>
      </c>
      <c r="R76" s="202"/>
      <c r="S76" s="3"/>
      <c r="T76" s="64" t="s">
        <v>44</v>
      </c>
      <c r="U76" s="66">
        <v>25.043182584250701</v>
      </c>
      <c r="V76" s="184"/>
      <c r="W76" s="162"/>
      <c r="X76" s="162"/>
    </row>
    <row r="77" spans="1:25" ht="80.150000000000006" customHeight="1">
      <c r="A77" s="189"/>
      <c r="B77" s="189"/>
      <c r="C77" s="191"/>
      <c r="D77" s="193"/>
      <c r="E77" s="3"/>
      <c r="F77" s="64" t="s">
        <v>45</v>
      </c>
      <c r="G77" s="51">
        <v>5.784547949351464</v>
      </c>
      <c r="H77" s="139">
        <v>3.672728856731089E-2</v>
      </c>
      <c r="I77" s="196"/>
      <c r="J77" s="8">
        <v>5.7478206607841535</v>
      </c>
      <c r="K77" s="188"/>
      <c r="L77" s="8">
        <v>7.6392760220006641</v>
      </c>
      <c r="M77" s="185"/>
      <c r="N77" s="3"/>
      <c r="O77" s="64" t="s">
        <v>45</v>
      </c>
      <c r="P77" s="59">
        <v>9.7097769149828164</v>
      </c>
      <c r="Q77" s="122">
        <v>1.8317735172946306</v>
      </c>
      <c r="R77" s="203"/>
      <c r="S77" s="3"/>
      <c r="T77" s="64" t="s">
        <v>45</v>
      </c>
      <c r="U77" s="51">
        <v>7.8780033976881851</v>
      </c>
      <c r="V77" s="185"/>
      <c r="W77" s="162"/>
      <c r="X77" s="162"/>
    </row>
    <row r="78" spans="1:25" s="6" customFormat="1" ht="50.15" customHeight="1">
      <c r="A78" s="189">
        <v>0</v>
      </c>
      <c r="B78" s="189" t="s">
        <v>330</v>
      </c>
      <c r="C78" s="190" t="s">
        <v>20</v>
      </c>
      <c r="D78" s="192" t="s">
        <v>93</v>
      </c>
      <c r="F78" s="11" t="s">
        <v>43</v>
      </c>
      <c r="G78" s="98">
        <v>6.9590000000000005</v>
      </c>
      <c r="H78" s="98">
        <v>1.4610000000000001</v>
      </c>
      <c r="I78" s="183" t="s">
        <v>187</v>
      </c>
      <c r="J78" s="62">
        <v>5.4980000000000002</v>
      </c>
      <c r="K78" s="183" t="s">
        <v>214</v>
      </c>
      <c r="L78" s="74">
        <v>5.25</v>
      </c>
      <c r="M78" s="194" t="s">
        <v>188</v>
      </c>
      <c r="O78" s="11" t="s">
        <v>43</v>
      </c>
      <c r="P78" s="57">
        <v>16.420000000000002</v>
      </c>
      <c r="Q78" s="120">
        <v>2.42</v>
      </c>
      <c r="R78" s="186" t="s">
        <v>189</v>
      </c>
      <c r="T78" s="11" t="s">
        <v>43</v>
      </c>
      <c r="U78" s="24">
        <v>13</v>
      </c>
      <c r="V78" s="183" t="s">
        <v>130</v>
      </c>
      <c r="W78" s="98">
        <v>1</v>
      </c>
      <c r="X78" s="183" t="s">
        <v>49</v>
      </c>
    </row>
    <row r="79" spans="1:25" s="14" customFormat="1" ht="72" customHeight="1">
      <c r="A79" s="189"/>
      <c r="B79" s="189"/>
      <c r="C79" s="190"/>
      <c r="D79" s="192"/>
      <c r="F79" s="64" t="s">
        <v>44</v>
      </c>
      <c r="G79" s="51">
        <v>7.6050183780995644</v>
      </c>
      <c r="H79" s="51">
        <v>1.5966276548934419</v>
      </c>
      <c r="I79" s="202"/>
      <c r="J79" s="51">
        <v>6.008390723206122</v>
      </c>
      <c r="K79" s="184"/>
      <c r="L79" s="124">
        <v>5.7373683697402944</v>
      </c>
      <c r="M79" s="195"/>
      <c r="O79" s="64" t="s">
        <v>44</v>
      </c>
      <c r="P79" s="121">
        <v>17.944302596406789</v>
      </c>
      <c r="Q79" s="122">
        <v>2.6446536104326692</v>
      </c>
      <c r="R79" s="187"/>
      <c r="T79" s="64" t="s">
        <v>44</v>
      </c>
      <c r="U79" s="66">
        <v>14.206816915547396</v>
      </c>
      <c r="V79" s="184"/>
      <c r="W79" s="131">
        <v>1.0928320704267227</v>
      </c>
      <c r="X79" s="184"/>
    </row>
    <row r="80" spans="1:25" ht="117.65" customHeight="1">
      <c r="A80" s="189"/>
      <c r="B80" s="189"/>
      <c r="C80" s="191"/>
      <c r="D80" s="193"/>
      <c r="E80" s="4"/>
      <c r="F80" s="13" t="s">
        <v>45</v>
      </c>
      <c r="G80" s="8">
        <v>3.0908456824802713</v>
      </c>
      <c r="H80" s="8">
        <v>0.64890437449398997</v>
      </c>
      <c r="I80" s="203"/>
      <c r="J80" s="8">
        <v>2.4419413079862813</v>
      </c>
      <c r="K80" s="185"/>
      <c r="L80" s="48">
        <v>2.3317919001324077</v>
      </c>
      <c r="M80" s="196"/>
      <c r="N80" s="4"/>
      <c r="O80" s="13" t="s">
        <v>45</v>
      </c>
      <c r="P80" s="59">
        <v>7.2929567619379299</v>
      </c>
      <c r="Q80" s="68">
        <v>1.0748450282515096</v>
      </c>
      <c r="R80" s="188"/>
      <c r="S80" s="4"/>
      <c r="T80" s="13" t="s">
        <v>45</v>
      </c>
      <c r="U80" s="8">
        <v>5.7739608955659616</v>
      </c>
      <c r="V80" s="185"/>
      <c r="W80" s="97">
        <v>0.44415083812045852</v>
      </c>
      <c r="X80" s="185"/>
      <c r="Y80" s="12"/>
    </row>
    <row r="81" spans="1:25" ht="105" customHeight="1">
      <c r="A81" s="189">
        <v>0</v>
      </c>
      <c r="B81" s="189" t="s">
        <v>330</v>
      </c>
      <c r="C81" s="190" t="s">
        <v>46</v>
      </c>
      <c r="D81" s="197" t="s">
        <v>93</v>
      </c>
      <c r="E81" s="5"/>
      <c r="F81" s="11" t="s">
        <v>43</v>
      </c>
      <c r="G81" s="31">
        <v>31.099999999999998</v>
      </c>
      <c r="H81" s="51">
        <v>0.7</v>
      </c>
      <c r="I81" s="183" t="s">
        <v>120</v>
      </c>
      <c r="J81" s="31">
        <v>30.4</v>
      </c>
      <c r="K81" s="183" t="s">
        <v>325</v>
      </c>
      <c r="L81" s="31">
        <v>32</v>
      </c>
      <c r="M81" s="183" t="s">
        <v>141</v>
      </c>
      <c r="N81" s="5"/>
      <c r="O81" s="64" t="s">
        <v>43</v>
      </c>
      <c r="P81" s="98">
        <v>30.6</v>
      </c>
      <c r="Q81" s="130"/>
      <c r="R81" s="183"/>
      <c r="S81" s="5"/>
      <c r="T81" s="64" t="s">
        <v>43</v>
      </c>
      <c r="U81" s="98">
        <v>30.6</v>
      </c>
      <c r="V81" s="183" t="s">
        <v>121</v>
      </c>
      <c r="W81" s="165"/>
      <c r="X81" s="165"/>
      <c r="Y81" s="5"/>
    </row>
    <row r="82" spans="1:25" ht="90.65" customHeight="1">
      <c r="A82" s="189"/>
      <c r="B82" s="189"/>
      <c r="C82" s="190"/>
      <c r="D82" s="192"/>
      <c r="E82" s="113"/>
      <c r="F82" s="64" t="s">
        <v>44</v>
      </c>
      <c r="G82" s="66">
        <v>33.987077390271075</v>
      </c>
      <c r="H82" s="51">
        <v>0.76498244929870585</v>
      </c>
      <c r="I82" s="202"/>
      <c r="J82" s="66">
        <v>33.222094940972369</v>
      </c>
      <c r="K82" s="184"/>
      <c r="L82" s="66">
        <v>34.970626253655126</v>
      </c>
      <c r="M82" s="184"/>
      <c r="N82" s="113"/>
      <c r="O82" s="64" t="s">
        <v>44</v>
      </c>
      <c r="P82" s="131">
        <v>33.440661355057721</v>
      </c>
      <c r="Q82" s="142"/>
      <c r="R82" s="184"/>
      <c r="S82" s="113"/>
      <c r="T82" s="64" t="s">
        <v>44</v>
      </c>
      <c r="U82" s="131">
        <v>33.440661355057721</v>
      </c>
      <c r="V82" s="184"/>
      <c r="W82" s="162"/>
      <c r="X82" s="162"/>
      <c r="Y82" s="113"/>
    </row>
    <row r="83" spans="1:25" ht="105" customHeight="1">
      <c r="A83" s="189"/>
      <c r="B83" s="189"/>
      <c r="C83" s="191"/>
      <c r="D83" s="193"/>
      <c r="E83" s="4"/>
      <c r="F83" s="13" t="s">
        <v>45</v>
      </c>
      <c r="G83" s="8">
        <v>4.144208438713636</v>
      </c>
      <c r="H83" s="8">
        <v>9.3278003443715285E-2</v>
      </c>
      <c r="I83" s="203"/>
      <c r="J83" s="8">
        <v>4.0509304352699216</v>
      </c>
      <c r="K83" s="185"/>
      <c r="L83" s="8">
        <v>4.2641373002841281</v>
      </c>
      <c r="M83" s="185"/>
      <c r="N83" s="4"/>
      <c r="O83" s="13" t="s">
        <v>45</v>
      </c>
      <c r="P83" s="8">
        <v>4.0775812933966975</v>
      </c>
      <c r="Q83" s="68"/>
      <c r="R83" s="185"/>
      <c r="S83" s="4"/>
      <c r="T83" s="13" t="s">
        <v>45</v>
      </c>
      <c r="U83" s="97">
        <v>4.0775812933966975</v>
      </c>
      <c r="V83" s="185"/>
      <c r="W83" s="163"/>
      <c r="X83" s="163"/>
      <c r="Y83" s="12"/>
    </row>
    <row r="84" spans="1:25" ht="110.15" customHeight="1">
      <c r="A84" s="189">
        <v>0</v>
      </c>
      <c r="B84" s="189" t="s">
        <v>330</v>
      </c>
      <c r="C84" s="190" t="s">
        <v>76</v>
      </c>
      <c r="D84" s="192" t="s">
        <v>94</v>
      </c>
      <c r="E84" s="5"/>
      <c r="F84" s="11" t="s">
        <v>43</v>
      </c>
      <c r="G84" s="66">
        <v>62.1</v>
      </c>
      <c r="H84" s="161">
        <v>0.5</v>
      </c>
      <c r="I84" s="183" t="s">
        <v>122</v>
      </c>
      <c r="J84" s="134">
        <v>61.6</v>
      </c>
      <c r="K84" s="180" t="s">
        <v>321</v>
      </c>
      <c r="L84" s="143"/>
      <c r="M84" s="143"/>
      <c r="N84" s="3"/>
      <c r="O84" s="64" t="s">
        <v>43</v>
      </c>
      <c r="P84" s="98">
        <v>12.35</v>
      </c>
      <c r="Q84" s="63">
        <v>6.1</v>
      </c>
      <c r="R84" s="183" t="s">
        <v>208</v>
      </c>
      <c r="S84" s="3"/>
      <c r="T84" s="64" t="s">
        <v>43</v>
      </c>
      <c r="U84" s="131">
        <v>6.25</v>
      </c>
      <c r="V84" s="183" t="s">
        <v>88</v>
      </c>
      <c r="W84" s="162"/>
      <c r="X84" s="204"/>
    </row>
    <row r="85" spans="1:25" ht="91.5" customHeight="1">
      <c r="A85" s="189"/>
      <c r="B85" s="189"/>
      <c r="C85" s="190"/>
      <c r="D85" s="192"/>
      <c r="E85" s="113"/>
      <c r="F85" s="64" t="s">
        <v>44</v>
      </c>
      <c r="G85" s="66">
        <v>39.21106199759214</v>
      </c>
      <c r="H85" s="51">
        <v>0.31570903379703813</v>
      </c>
      <c r="I85" s="202"/>
      <c r="J85" s="66">
        <v>38.895352963795098</v>
      </c>
      <c r="K85" s="187"/>
      <c r="L85" s="143"/>
      <c r="M85" s="143"/>
      <c r="N85" s="3"/>
      <c r="O85" s="64" t="s">
        <v>44</v>
      </c>
      <c r="P85" s="131">
        <v>7.7980131347868422</v>
      </c>
      <c r="Q85" s="51">
        <v>3.851650212323865</v>
      </c>
      <c r="R85" s="184"/>
      <c r="S85" s="3"/>
      <c r="T85" s="64" t="s">
        <v>44</v>
      </c>
      <c r="U85" s="51">
        <v>3.9463629224629768</v>
      </c>
      <c r="V85" s="184"/>
      <c r="W85" s="162"/>
      <c r="X85" s="181"/>
    </row>
    <row r="86" spans="1:25" ht="88.5" customHeight="1">
      <c r="A86" s="189"/>
      <c r="B86" s="189"/>
      <c r="C86" s="191"/>
      <c r="D86" s="193"/>
      <c r="E86" s="4"/>
      <c r="F86" s="13" t="s">
        <v>45</v>
      </c>
      <c r="G86" s="8">
        <v>21.333961548060802</v>
      </c>
      <c r="H86" s="8">
        <v>0.1717710269570113</v>
      </c>
      <c r="I86" s="203"/>
      <c r="J86" s="8">
        <v>21.162190521103792</v>
      </c>
      <c r="K86" s="188"/>
      <c r="L86" s="143"/>
      <c r="M86" s="143"/>
      <c r="N86" s="3"/>
      <c r="O86" s="13" t="s">
        <v>45</v>
      </c>
      <c r="P86" s="8">
        <v>4.2427443658381794</v>
      </c>
      <c r="Q86" s="8">
        <v>2.0956065288755377</v>
      </c>
      <c r="R86" s="185"/>
      <c r="S86" s="3"/>
      <c r="T86" s="13" t="s">
        <v>45</v>
      </c>
      <c r="U86" s="8">
        <v>2.1471378369626413</v>
      </c>
      <c r="V86" s="185"/>
      <c r="W86" s="162"/>
      <c r="X86" s="182"/>
    </row>
    <row r="87" spans="1:25" s="113" customFormat="1" ht="70" customHeight="1">
      <c r="A87" s="189">
        <v>0</v>
      </c>
      <c r="B87" s="189" t="s">
        <v>330</v>
      </c>
      <c r="C87" s="190" t="s">
        <v>32</v>
      </c>
      <c r="D87" s="192" t="s">
        <v>94</v>
      </c>
      <c r="E87" s="5"/>
      <c r="F87" s="11" t="s">
        <v>43</v>
      </c>
      <c r="G87" s="31">
        <v>162</v>
      </c>
      <c r="H87" s="70" t="s">
        <v>38</v>
      </c>
      <c r="I87" s="183" t="s">
        <v>258</v>
      </c>
      <c r="J87" s="70" t="s">
        <v>38</v>
      </c>
      <c r="K87" s="183" t="s">
        <v>259</v>
      </c>
      <c r="L87" s="70" t="s">
        <v>38</v>
      </c>
      <c r="M87" s="183" t="s">
        <v>144</v>
      </c>
      <c r="N87" s="5"/>
      <c r="O87" s="64" t="s">
        <v>43</v>
      </c>
      <c r="P87" s="31">
        <v>179.6</v>
      </c>
      <c r="Q87" s="135">
        <v>50</v>
      </c>
      <c r="R87" s="183" t="s">
        <v>54</v>
      </c>
      <c r="S87" s="5"/>
      <c r="T87" s="64" t="s">
        <v>43</v>
      </c>
      <c r="U87" s="31">
        <v>129.6</v>
      </c>
      <c r="V87" s="183" t="s">
        <v>104</v>
      </c>
      <c r="W87" s="165"/>
      <c r="X87" s="165"/>
      <c r="Y87" s="5"/>
    </row>
    <row r="88" spans="1:25" s="113" customFormat="1" ht="70" customHeight="1">
      <c r="A88" s="189"/>
      <c r="B88" s="189"/>
      <c r="C88" s="190"/>
      <c r="D88" s="192"/>
      <c r="F88" s="64" t="s">
        <v>44</v>
      </c>
      <c r="G88" s="66">
        <v>16.009903927747391</v>
      </c>
      <c r="H88" s="164"/>
      <c r="I88" s="184"/>
      <c r="J88" s="138"/>
      <c r="K88" s="184"/>
      <c r="L88" s="162"/>
      <c r="M88" s="184"/>
      <c r="O88" s="64" t="s">
        <v>44</v>
      </c>
      <c r="P88" s="36">
        <v>17.74925151495945</v>
      </c>
      <c r="Q88" s="133">
        <v>4.9413283727615402</v>
      </c>
      <c r="R88" s="184"/>
      <c r="T88" s="64" t="s">
        <v>44</v>
      </c>
      <c r="U88" s="36">
        <v>12.807923142197911</v>
      </c>
      <c r="V88" s="184"/>
      <c r="W88" s="162"/>
      <c r="X88" s="162"/>
    </row>
    <row r="89" spans="1:25" ht="70" customHeight="1">
      <c r="A89" s="189"/>
      <c r="B89" s="189"/>
      <c r="C89" s="191"/>
      <c r="D89" s="193"/>
      <c r="E89" s="4"/>
      <c r="F89" s="13" t="s">
        <v>45</v>
      </c>
      <c r="G89" s="8">
        <v>5.5710306406685239</v>
      </c>
      <c r="H89" s="20"/>
      <c r="I89" s="185"/>
      <c r="J89" s="97"/>
      <c r="K89" s="185"/>
      <c r="L89" s="163"/>
      <c r="M89" s="185"/>
      <c r="N89" s="4"/>
      <c r="O89" s="13" t="s">
        <v>45</v>
      </c>
      <c r="P89" s="23">
        <v>6.1762784139757212</v>
      </c>
      <c r="Q89" s="43">
        <v>1.7194539014409025</v>
      </c>
      <c r="R89" s="185"/>
      <c r="S89" s="4"/>
      <c r="T89" s="13" t="s">
        <v>45</v>
      </c>
      <c r="U89" s="8">
        <v>4.4568245125348183</v>
      </c>
      <c r="V89" s="185"/>
      <c r="W89" s="163"/>
      <c r="X89" s="163"/>
      <c r="Y89" s="12"/>
    </row>
    <row r="90" spans="1:25" s="113" customFormat="1" ht="75" customHeight="1">
      <c r="A90" s="189">
        <v>0</v>
      </c>
      <c r="B90" s="189" t="s">
        <v>330</v>
      </c>
      <c r="C90" s="190" t="s">
        <v>27</v>
      </c>
      <c r="D90" s="192" t="s">
        <v>94</v>
      </c>
      <c r="E90" s="5"/>
      <c r="F90" s="11" t="s">
        <v>43</v>
      </c>
      <c r="G90" s="31">
        <v>72.8</v>
      </c>
      <c r="H90" s="70">
        <v>0.8</v>
      </c>
      <c r="I90" s="183" t="s">
        <v>145</v>
      </c>
      <c r="J90" s="31">
        <v>72</v>
      </c>
      <c r="K90" s="183" t="s">
        <v>335</v>
      </c>
      <c r="L90" s="165"/>
      <c r="M90" s="165"/>
      <c r="N90" s="5"/>
      <c r="O90" s="64" t="s">
        <v>43</v>
      </c>
      <c r="P90" s="31">
        <v>20</v>
      </c>
      <c r="Q90" s="135">
        <v>20</v>
      </c>
      <c r="R90" s="183" t="s">
        <v>197</v>
      </c>
      <c r="S90" s="5"/>
      <c r="T90" s="64" t="s">
        <v>43</v>
      </c>
      <c r="U90" s="98"/>
      <c r="V90" s="183"/>
      <c r="W90" s="165"/>
      <c r="X90" s="165"/>
      <c r="Y90" s="5"/>
    </row>
    <row r="91" spans="1:25" s="37" customFormat="1" ht="75" customHeight="1">
      <c r="A91" s="189"/>
      <c r="B91" s="189"/>
      <c r="C91" s="190"/>
      <c r="D91" s="192"/>
      <c r="E91" s="113"/>
      <c r="F91" s="64" t="s">
        <v>44</v>
      </c>
      <c r="G91" s="66">
        <v>51.599847705670626</v>
      </c>
      <c r="H91" s="51">
        <v>0.56703129346890802</v>
      </c>
      <c r="I91" s="184"/>
      <c r="J91" s="66">
        <v>51.032816412201718</v>
      </c>
      <c r="K91" s="184"/>
      <c r="L91" s="162"/>
      <c r="M91" s="162"/>
      <c r="N91" s="113"/>
      <c r="O91" s="64" t="s">
        <v>44</v>
      </c>
      <c r="P91" s="36">
        <v>14.175782336722701</v>
      </c>
      <c r="Q91" s="67">
        <v>14.175782336722701</v>
      </c>
      <c r="R91" s="184"/>
      <c r="S91" s="113"/>
      <c r="T91" s="64" t="s">
        <v>44</v>
      </c>
      <c r="U91" s="131"/>
      <c r="V91" s="184"/>
      <c r="W91" s="162"/>
      <c r="X91" s="162"/>
      <c r="Y91" s="113"/>
    </row>
    <row r="92" spans="1:25" ht="75" customHeight="1">
      <c r="A92" s="189"/>
      <c r="B92" s="189"/>
      <c r="C92" s="191"/>
      <c r="D92" s="193"/>
      <c r="E92" s="3"/>
      <c r="F92" s="64" t="s">
        <v>45</v>
      </c>
      <c r="G92" s="51">
        <v>15.363243305009183</v>
      </c>
      <c r="H92" s="8">
        <v>0.16882684950559543</v>
      </c>
      <c r="I92" s="185"/>
      <c r="J92" s="8">
        <v>15.194416455503587</v>
      </c>
      <c r="K92" s="185"/>
      <c r="L92" s="162"/>
      <c r="M92" s="162"/>
      <c r="N92" s="3"/>
      <c r="O92" s="64" t="s">
        <v>45</v>
      </c>
      <c r="P92" s="8">
        <v>4.2206712376398858</v>
      </c>
      <c r="Q92" s="122">
        <v>4.2206712376398858</v>
      </c>
      <c r="R92" s="185"/>
      <c r="S92" s="3"/>
      <c r="T92" s="64" t="s">
        <v>45</v>
      </c>
      <c r="U92" s="51"/>
      <c r="V92" s="185"/>
      <c r="W92" s="162"/>
      <c r="X92" s="162"/>
    </row>
    <row r="93" spans="1:25" s="6" customFormat="1" ht="70" customHeight="1">
      <c r="A93" s="189">
        <v>0</v>
      </c>
      <c r="B93" s="189" t="s">
        <v>330</v>
      </c>
      <c r="C93" s="190" t="s">
        <v>21</v>
      </c>
      <c r="D93" s="197" t="s">
        <v>94</v>
      </c>
      <c r="F93" s="11" t="s">
        <v>43</v>
      </c>
      <c r="G93" s="31">
        <v>247</v>
      </c>
      <c r="H93" s="70">
        <v>8.1999999999999993</v>
      </c>
      <c r="I93" s="194" t="s">
        <v>175</v>
      </c>
      <c r="J93" s="22">
        <v>238.3</v>
      </c>
      <c r="K93" s="183" t="s">
        <v>237</v>
      </c>
      <c r="L93" s="70">
        <v>335</v>
      </c>
      <c r="M93" s="198" t="s">
        <v>176</v>
      </c>
      <c r="O93" s="11" t="s">
        <v>43</v>
      </c>
      <c r="P93" s="31">
        <v>230</v>
      </c>
      <c r="Q93" s="120"/>
      <c r="R93" s="183"/>
      <c r="T93" s="11" t="s">
        <v>43</v>
      </c>
      <c r="U93" s="22">
        <v>230</v>
      </c>
      <c r="V93" s="183" t="s">
        <v>177</v>
      </c>
      <c r="W93" s="165"/>
      <c r="X93" s="165"/>
    </row>
    <row r="94" spans="1:25" s="113" customFormat="1" ht="70" customHeight="1">
      <c r="A94" s="189"/>
      <c r="B94" s="189"/>
      <c r="C94" s="190"/>
      <c r="D94" s="192"/>
      <c r="E94" s="14"/>
      <c r="F94" s="64" t="s">
        <v>44</v>
      </c>
      <c r="G94" s="66">
        <v>25.1513510243635</v>
      </c>
      <c r="H94" s="51">
        <v>0.8349841230760352</v>
      </c>
      <c r="I94" s="195"/>
      <c r="J94" s="66">
        <v>24.265453235246245</v>
      </c>
      <c r="K94" s="184"/>
      <c r="L94" s="36">
        <v>34.112156247618515</v>
      </c>
      <c r="M94" s="184"/>
      <c r="N94" s="14"/>
      <c r="O94" s="64" t="s">
        <v>44</v>
      </c>
      <c r="P94" s="36">
        <v>23.420286378961965</v>
      </c>
      <c r="Q94" s="66"/>
      <c r="R94" s="184"/>
      <c r="S94" s="14"/>
      <c r="T94" s="64" t="s">
        <v>44</v>
      </c>
      <c r="U94" s="66">
        <v>23.420286378961965</v>
      </c>
      <c r="V94" s="184"/>
      <c r="W94" s="162"/>
      <c r="X94" s="162"/>
      <c r="Y94" s="14"/>
    </row>
    <row r="95" spans="1:25" ht="70" customHeight="1">
      <c r="A95" s="189"/>
      <c r="B95" s="189"/>
      <c r="C95" s="191"/>
      <c r="D95" s="193"/>
      <c r="E95" s="4"/>
      <c r="F95" s="13" t="s">
        <v>45</v>
      </c>
      <c r="G95" s="8">
        <v>5.1750666913929617</v>
      </c>
      <c r="H95" s="8">
        <v>0.17180383347944245</v>
      </c>
      <c r="I95" s="196"/>
      <c r="J95" s="8">
        <v>4.9927870144086759</v>
      </c>
      <c r="K95" s="185"/>
      <c r="L95" s="97">
        <v>7.0188151482455146</v>
      </c>
      <c r="M95" s="185"/>
      <c r="N95" s="4"/>
      <c r="O95" s="13" t="s">
        <v>45</v>
      </c>
      <c r="P95" s="8">
        <v>4.8188880122282649</v>
      </c>
      <c r="Q95" s="8"/>
      <c r="R95" s="185"/>
      <c r="S95" s="4"/>
      <c r="T95" s="13" t="s">
        <v>45</v>
      </c>
      <c r="U95" s="8">
        <v>4.8188880122282649</v>
      </c>
      <c r="V95" s="185"/>
      <c r="W95" s="163"/>
      <c r="X95" s="163"/>
      <c r="Y95" s="12"/>
    </row>
    <row r="96" spans="1:25" ht="37.5" customHeight="1">
      <c r="A96" s="189">
        <v>0</v>
      </c>
      <c r="B96" s="189" t="s">
        <v>330</v>
      </c>
      <c r="C96" s="190" t="s">
        <v>81</v>
      </c>
      <c r="D96" s="197" t="s">
        <v>94</v>
      </c>
      <c r="E96" s="6"/>
      <c r="F96" s="11" t="s">
        <v>43</v>
      </c>
      <c r="G96" s="66">
        <v>30.8</v>
      </c>
      <c r="H96" s="161">
        <v>2.6</v>
      </c>
      <c r="I96" s="183" t="s">
        <v>146</v>
      </c>
      <c r="J96" s="36">
        <v>28.2</v>
      </c>
      <c r="K96" s="183" t="s">
        <v>147</v>
      </c>
      <c r="L96" s="124" t="s">
        <v>38</v>
      </c>
      <c r="M96" s="183" t="s">
        <v>148</v>
      </c>
      <c r="N96" s="3"/>
      <c r="O96" s="11" t="s">
        <v>43</v>
      </c>
      <c r="P96" s="31">
        <v>41.4</v>
      </c>
      <c r="Q96" s="122"/>
      <c r="R96" s="167"/>
      <c r="S96" s="3"/>
      <c r="T96" s="11" t="s">
        <v>43</v>
      </c>
      <c r="U96" s="66">
        <v>41.4</v>
      </c>
      <c r="V96" s="201" t="s">
        <v>185</v>
      </c>
      <c r="W96" s="162"/>
      <c r="X96" s="162"/>
    </row>
    <row r="97" spans="1:25" ht="38.5" customHeight="1">
      <c r="A97" s="189"/>
      <c r="B97" s="189"/>
      <c r="C97" s="190"/>
      <c r="D97" s="192"/>
      <c r="F97" s="64" t="s">
        <v>44</v>
      </c>
      <c r="G97" s="66">
        <v>31.955418247635048</v>
      </c>
      <c r="H97" s="51">
        <v>2.6975353066185432</v>
      </c>
      <c r="I97" s="184"/>
      <c r="J97" s="66">
        <v>29.257882941016504</v>
      </c>
      <c r="K97" s="184"/>
      <c r="L97" s="66"/>
      <c r="M97" s="184"/>
      <c r="N97" s="3"/>
      <c r="O97" s="64" t="s">
        <v>44</v>
      </c>
      <c r="P97" s="36">
        <v>42.953062190002953</v>
      </c>
      <c r="Q97" s="66"/>
      <c r="R97" s="167"/>
      <c r="S97" s="3"/>
      <c r="T97" s="64" t="s">
        <v>44</v>
      </c>
      <c r="U97" s="66">
        <v>42.953062190002953</v>
      </c>
      <c r="V97" s="184"/>
      <c r="W97" s="162"/>
      <c r="X97" s="162"/>
    </row>
    <row r="98" spans="1:25" ht="47.15" customHeight="1">
      <c r="A98" s="189"/>
      <c r="B98" s="189"/>
      <c r="C98" s="191"/>
      <c r="D98" s="193"/>
      <c r="E98" s="4"/>
      <c r="F98" s="13" t="s">
        <v>45</v>
      </c>
      <c r="G98" s="8">
        <v>4.7708406949082631</v>
      </c>
      <c r="H98" s="8">
        <v>0.40273330541433394</v>
      </c>
      <c r="I98" s="185"/>
      <c r="J98" s="8">
        <v>4.3681073894939288</v>
      </c>
      <c r="K98" s="185"/>
      <c r="L98" s="8"/>
      <c r="M98" s="185"/>
      <c r="N98" s="4"/>
      <c r="O98" s="13" t="s">
        <v>45</v>
      </c>
      <c r="P98" s="8">
        <v>6.4127534015974703</v>
      </c>
      <c r="Q98" s="8"/>
      <c r="R98" s="168"/>
      <c r="S98" s="4"/>
      <c r="T98" s="13" t="s">
        <v>45</v>
      </c>
      <c r="U98" s="8">
        <v>6.4127534015974703</v>
      </c>
      <c r="V98" s="185"/>
      <c r="W98" s="163"/>
      <c r="X98" s="163"/>
    </row>
    <row r="99" spans="1:25" s="113" customFormat="1" ht="90" customHeight="1">
      <c r="A99" s="189">
        <v>0</v>
      </c>
      <c r="B99" s="189" t="s">
        <v>333</v>
      </c>
      <c r="C99" s="190" t="s">
        <v>35</v>
      </c>
      <c r="D99" s="197" t="s">
        <v>93</v>
      </c>
      <c r="F99" s="64" t="s">
        <v>43</v>
      </c>
      <c r="G99" s="36">
        <v>19</v>
      </c>
      <c r="H99" s="70">
        <v>2.5</v>
      </c>
      <c r="I99" s="194" t="s">
        <v>149</v>
      </c>
      <c r="J99" s="36">
        <v>16.5</v>
      </c>
      <c r="K99" s="186" t="s">
        <v>282</v>
      </c>
      <c r="L99" s="162"/>
      <c r="M99" s="183" t="s">
        <v>238</v>
      </c>
      <c r="O99" s="64" t="s">
        <v>43</v>
      </c>
      <c r="P99" s="57">
        <v>26</v>
      </c>
      <c r="Q99" s="142"/>
      <c r="R99" s="162"/>
      <c r="T99" s="64" t="s">
        <v>43</v>
      </c>
      <c r="U99" s="36">
        <v>26</v>
      </c>
      <c r="V99" s="183" t="s">
        <v>283</v>
      </c>
      <c r="W99" s="162"/>
      <c r="X99" s="162"/>
    </row>
    <row r="100" spans="1:25" ht="90" customHeight="1">
      <c r="A100" s="189"/>
      <c r="B100" s="189"/>
      <c r="C100" s="190"/>
      <c r="D100" s="192"/>
      <c r="E100" s="113"/>
      <c r="F100" s="64" t="s">
        <v>44</v>
      </c>
      <c r="G100" s="51">
        <v>0.16424852046791563</v>
      </c>
      <c r="H100" s="51">
        <v>2.1611647429988896E-2</v>
      </c>
      <c r="I100" s="195"/>
      <c r="J100" s="51">
        <v>0.14263687303792671</v>
      </c>
      <c r="K100" s="187"/>
      <c r="L100" s="162"/>
      <c r="M100" s="184"/>
      <c r="N100" s="113"/>
      <c r="O100" s="64" t="s">
        <v>44</v>
      </c>
      <c r="P100" s="140">
        <v>0.22476113327188452</v>
      </c>
      <c r="Q100" s="142"/>
      <c r="R100" s="162"/>
      <c r="S100" s="113"/>
      <c r="T100" s="64" t="s">
        <v>44</v>
      </c>
      <c r="U100" s="51">
        <v>0.22476113327188452</v>
      </c>
      <c r="V100" s="184"/>
      <c r="W100" s="162"/>
      <c r="X100" s="162"/>
      <c r="Y100" s="113"/>
    </row>
    <row r="101" spans="1:25" ht="90" customHeight="1">
      <c r="A101" s="189"/>
      <c r="B101" s="189"/>
      <c r="C101" s="191"/>
      <c r="D101" s="193"/>
      <c r="E101" s="4"/>
      <c r="F101" s="13" t="s">
        <v>45</v>
      </c>
      <c r="G101" s="8">
        <v>1.2088294191232627</v>
      </c>
      <c r="H101" s="8">
        <v>0.15905650251621875</v>
      </c>
      <c r="I101" s="196"/>
      <c r="J101" s="8">
        <v>1.0497729166070437</v>
      </c>
      <c r="K101" s="188"/>
      <c r="L101" s="163"/>
      <c r="M101" s="185"/>
      <c r="N101" s="4"/>
      <c r="O101" s="13" t="s">
        <v>45</v>
      </c>
      <c r="P101" s="59">
        <v>1.6541876261686752</v>
      </c>
      <c r="Q101" s="68"/>
      <c r="R101" s="168"/>
      <c r="S101" s="4"/>
      <c r="T101" s="13" t="s">
        <v>45</v>
      </c>
      <c r="U101" s="8">
        <v>1.6541876261686752</v>
      </c>
      <c r="V101" s="185"/>
      <c r="W101" s="163"/>
      <c r="X101" s="163"/>
      <c r="Y101" s="12"/>
    </row>
    <row r="102" spans="1:25" ht="130" customHeight="1">
      <c r="A102" s="189">
        <v>0</v>
      </c>
      <c r="B102" s="189" t="s">
        <v>333</v>
      </c>
      <c r="C102" s="190" t="s">
        <v>24</v>
      </c>
      <c r="D102" s="197" t="s">
        <v>93</v>
      </c>
      <c r="E102" s="6"/>
      <c r="F102" s="11" t="s">
        <v>43</v>
      </c>
      <c r="G102" s="98">
        <v>2.0023999999999997</v>
      </c>
      <c r="H102" s="98">
        <v>0.50239999999999996</v>
      </c>
      <c r="I102" s="183" t="s">
        <v>150</v>
      </c>
      <c r="J102" s="144">
        <v>1.6</v>
      </c>
      <c r="K102" s="186" t="s">
        <v>204</v>
      </c>
      <c r="L102" s="70">
        <v>0.6</v>
      </c>
      <c r="M102" s="183" t="s">
        <v>151</v>
      </c>
      <c r="N102" s="6"/>
      <c r="O102" s="64" t="s">
        <v>43</v>
      </c>
      <c r="P102" s="98">
        <v>4.6295999999999999</v>
      </c>
      <c r="Q102" s="120">
        <v>1.6219999999999999</v>
      </c>
      <c r="R102" s="183" t="s">
        <v>205</v>
      </c>
      <c r="S102" s="6"/>
      <c r="T102" s="64" t="s">
        <v>43</v>
      </c>
      <c r="U102" s="16"/>
      <c r="V102" s="183"/>
      <c r="W102" s="16">
        <v>3.0076000000000005</v>
      </c>
      <c r="X102" s="183" t="s">
        <v>206</v>
      </c>
      <c r="Y102" s="6"/>
    </row>
    <row r="103" spans="1:25" s="3" customFormat="1" ht="130" customHeight="1">
      <c r="A103" s="189"/>
      <c r="B103" s="189"/>
      <c r="C103" s="190"/>
      <c r="D103" s="192"/>
      <c r="E103" s="14"/>
      <c r="F103" s="64" t="s">
        <v>44</v>
      </c>
      <c r="G103" s="51">
        <v>1.11885334503636</v>
      </c>
      <c r="H103" s="51">
        <v>0.28071909735630607</v>
      </c>
      <c r="I103" s="202"/>
      <c r="J103" s="51">
        <v>0.89400986419205764</v>
      </c>
      <c r="K103" s="187"/>
      <c r="L103" s="51">
        <v>0.33525369907202157</v>
      </c>
      <c r="M103" s="184"/>
      <c r="N103" s="14"/>
      <c r="O103" s="64" t="s">
        <v>44</v>
      </c>
      <c r="P103" s="51">
        <v>2.5868175420397188</v>
      </c>
      <c r="Q103" s="122">
        <v>0.90630249982469835</v>
      </c>
      <c r="R103" s="184"/>
      <c r="S103" s="14"/>
      <c r="T103" s="64" t="s">
        <v>44</v>
      </c>
      <c r="U103" s="51"/>
      <c r="V103" s="184"/>
      <c r="W103" s="51">
        <v>1.6805150422150206</v>
      </c>
      <c r="X103" s="184"/>
      <c r="Y103" s="14"/>
    </row>
    <row r="104" spans="1:25" ht="130" customHeight="1">
      <c r="A104" s="189"/>
      <c r="B104" s="189"/>
      <c r="C104" s="191"/>
      <c r="D104" s="193"/>
      <c r="E104" s="4"/>
      <c r="F104" s="13" t="s">
        <v>45</v>
      </c>
      <c r="G104" s="8">
        <v>1.7269134874873193</v>
      </c>
      <c r="H104" s="8">
        <v>0.43328073117939936</v>
      </c>
      <c r="I104" s="203"/>
      <c r="J104" s="8">
        <v>1.3798749400617818</v>
      </c>
      <c r="K104" s="188"/>
      <c r="L104" s="8">
        <v>0.51745310252316812</v>
      </c>
      <c r="M104" s="185"/>
      <c r="N104" s="4"/>
      <c r="O104" s="13" t="s">
        <v>45</v>
      </c>
      <c r="P104" s="8">
        <v>3.9926681390687655</v>
      </c>
      <c r="Q104" s="8">
        <v>1.3988482204876311</v>
      </c>
      <c r="R104" s="185"/>
      <c r="S104" s="4"/>
      <c r="T104" s="13" t="s">
        <v>45</v>
      </c>
      <c r="U104" s="8"/>
      <c r="V104" s="185"/>
      <c r="W104" s="8">
        <v>2.5938199185811346</v>
      </c>
      <c r="X104" s="185"/>
      <c r="Y104" s="12"/>
    </row>
    <row r="105" spans="1:25" s="3" customFormat="1" ht="37" customHeight="1">
      <c r="A105" s="189">
        <v>0</v>
      </c>
      <c r="B105" s="189" t="s">
        <v>333</v>
      </c>
      <c r="C105" s="190" t="s">
        <v>36</v>
      </c>
      <c r="D105" s="192" t="s">
        <v>94</v>
      </c>
      <c r="E105" s="7"/>
      <c r="F105" s="11" t="s">
        <v>43</v>
      </c>
      <c r="G105" s="145">
        <v>14800</v>
      </c>
      <c r="H105" s="136">
        <v>1400</v>
      </c>
      <c r="I105" s="206" t="s">
        <v>152</v>
      </c>
      <c r="J105" s="136">
        <v>13400</v>
      </c>
      <c r="K105" s="186" t="s">
        <v>342</v>
      </c>
      <c r="L105" s="136">
        <v>3100</v>
      </c>
      <c r="M105" s="187" t="s">
        <v>133</v>
      </c>
      <c r="N105" s="7"/>
      <c r="O105" s="64" t="s">
        <v>43</v>
      </c>
      <c r="P105" s="136">
        <v>4550</v>
      </c>
      <c r="Q105" s="136">
        <v>2100</v>
      </c>
      <c r="R105" s="187" t="s">
        <v>135</v>
      </c>
      <c r="S105" s="7"/>
      <c r="T105" s="64" t="s">
        <v>43</v>
      </c>
      <c r="U105" s="136">
        <v>2450</v>
      </c>
      <c r="V105" s="187" t="s">
        <v>134</v>
      </c>
      <c r="W105" s="60"/>
      <c r="X105" s="194"/>
      <c r="Y105" s="7"/>
    </row>
    <row r="106" spans="1:25" s="113" customFormat="1" ht="42.65" customHeight="1">
      <c r="A106" s="189"/>
      <c r="B106" s="189"/>
      <c r="C106" s="190"/>
      <c r="D106" s="192"/>
      <c r="E106" s="3"/>
      <c r="F106" s="64" t="s">
        <v>44</v>
      </c>
      <c r="G106" s="51">
        <v>18.197478788559124</v>
      </c>
      <c r="H106" s="51">
        <v>1.7213831286474848</v>
      </c>
      <c r="I106" s="207"/>
      <c r="J106" s="51">
        <v>16.476095659911639</v>
      </c>
      <c r="K106" s="187"/>
      <c r="L106" s="51">
        <v>3.8116340705765732</v>
      </c>
      <c r="M106" s="187"/>
      <c r="N106" s="3"/>
      <c r="O106" s="64" t="s">
        <v>44</v>
      </c>
      <c r="P106" s="140">
        <v>5.5944951681043253</v>
      </c>
      <c r="Q106" s="51">
        <v>2.582074692971227</v>
      </c>
      <c r="R106" s="187"/>
      <c r="S106" s="3"/>
      <c r="T106" s="64" t="s">
        <v>44</v>
      </c>
      <c r="U106" s="51">
        <v>3.0124204751330983</v>
      </c>
      <c r="V106" s="187"/>
      <c r="W106" s="51"/>
      <c r="X106" s="195"/>
      <c r="Y106" s="3"/>
    </row>
    <row r="107" spans="1:25" ht="43" customHeight="1">
      <c r="A107" s="189"/>
      <c r="B107" s="189"/>
      <c r="C107" s="191"/>
      <c r="D107" s="193"/>
      <c r="E107" s="4"/>
      <c r="F107" s="13" t="s">
        <v>45</v>
      </c>
      <c r="G107" s="8">
        <v>7.722528927483606</v>
      </c>
      <c r="H107" s="8">
        <v>0.73050949314034119</v>
      </c>
      <c r="I107" s="208"/>
      <c r="J107" s="8">
        <v>6.9920194343432645</v>
      </c>
      <c r="K107" s="188"/>
      <c r="L107" s="97">
        <v>1.6175567348107556</v>
      </c>
      <c r="M107" s="188"/>
      <c r="N107" s="4"/>
      <c r="O107" s="13" t="s">
        <v>45</v>
      </c>
      <c r="P107" s="59">
        <v>2.3741558527061088</v>
      </c>
      <c r="Q107" s="8">
        <v>1.0957642397105118</v>
      </c>
      <c r="R107" s="188"/>
      <c r="S107" s="4"/>
      <c r="T107" s="13" t="s">
        <v>45</v>
      </c>
      <c r="U107" s="8">
        <v>1.278391612995597</v>
      </c>
      <c r="V107" s="188"/>
      <c r="W107" s="8"/>
      <c r="X107" s="196"/>
      <c r="Y107" s="12"/>
    </row>
    <row r="108" spans="1:25" s="3" customFormat="1" ht="90" customHeight="1">
      <c r="A108" s="189">
        <v>0</v>
      </c>
      <c r="B108" s="189" t="s">
        <v>333</v>
      </c>
      <c r="C108" s="190" t="s">
        <v>30</v>
      </c>
      <c r="D108" s="197" t="s">
        <v>93</v>
      </c>
      <c r="E108" s="7"/>
      <c r="F108" s="11" t="s">
        <v>43</v>
      </c>
      <c r="G108" s="33">
        <v>14557</v>
      </c>
      <c r="H108" s="33">
        <v>7284</v>
      </c>
      <c r="I108" s="194" t="s">
        <v>240</v>
      </c>
      <c r="J108" s="33">
        <v>7273</v>
      </c>
      <c r="K108" s="183" t="s">
        <v>273</v>
      </c>
      <c r="L108" s="70">
        <v>400</v>
      </c>
      <c r="M108" s="183" t="s">
        <v>239</v>
      </c>
      <c r="N108" s="7"/>
      <c r="O108" s="64" t="s">
        <v>43</v>
      </c>
      <c r="P108" s="33">
        <v>3755</v>
      </c>
      <c r="Q108" s="33">
        <v>3755</v>
      </c>
      <c r="R108" s="205" t="s">
        <v>186</v>
      </c>
      <c r="S108" s="7"/>
      <c r="T108" s="64" t="s">
        <v>43</v>
      </c>
      <c r="U108" s="16"/>
      <c r="V108" s="183"/>
      <c r="W108" s="9"/>
      <c r="X108" s="9"/>
      <c r="Y108" s="7"/>
    </row>
    <row r="109" spans="1:25" s="3" customFormat="1" ht="90" customHeight="1">
      <c r="A109" s="189"/>
      <c r="B109" s="189"/>
      <c r="C109" s="190"/>
      <c r="D109" s="192"/>
      <c r="F109" s="64" t="s">
        <v>44</v>
      </c>
      <c r="G109" s="51">
        <v>3.824337949750285</v>
      </c>
      <c r="H109" s="51">
        <v>1.9136139057485111</v>
      </c>
      <c r="I109" s="195"/>
      <c r="J109" s="51">
        <v>1.9107240440017739</v>
      </c>
      <c r="K109" s="184"/>
      <c r="L109" s="51">
        <v>0.10508588169953384</v>
      </c>
      <c r="M109" s="184"/>
      <c r="O109" s="64" t="s">
        <v>44</v>
      </c>
      <c r="P109" s="131">
        <v>0.98649371445437384</v>
      </c>
      <c r="Q109" s="122">
        <v>0.98649371445437384</v>
      </c>
      <c r="R109" s="184"/>
      <c r="T109" s="64" t="s">
        <v>44</v>
      </c>
      <c r="U109" s="51"/>
      <c r="V109" s="184"/>
      <c r="W109" s="167"/>
      <c r="X109" s="167"/>
    </row>
    <row r="110" spans="1:25" ht="79.5" customHeight="1">
      <c r="A110" s="189"/>
      <c r="B110" s="189"/>
      <c r="C110" s="191"/>
      <c r="D110" s="193"/>
      <c r="E110" s="4"/>
      <c r="F110" s="13" t="s">
        <v>45</v>
      </c>
      <c r="G110" s="8">
        <v>1.4390436390882715</v>
      </c>
      <c r="H110" s="8">
        <v>0.72006552635288656</v>
      </c>
      <c r="I110" s="196"/>
      <c r="J110" s="8">
        <v>0.71897811273538503</v>
      </c>
      <c r="K110" s="185"/>
      <c r="L110" s="8">
        <v>3.9542313363695035E-2</v>
      </c>
      <c r="M110" s="185"/>
      <c r="N110" s="4"/>
      <c r="O110" s="13" t="s">
        <v>45</v>
      </c>
      <c r="P110" s="8">
        <v>0.37120346670168713</v>
      </c>
      <c r="Q110" s="68">
        <v>0.37120346670168713</v>
      </c>
      <c r="R110" s="185"/>
      <c r="S110" s="4"/>
      <c r="T110" s="13" t="s">
        <v>45</v>
      </c>
      <c r="U110" s="8"/>
      <c r="V110" s="185"/>
      <c r="W110" s="163"/>
      <c r="X110" s="163"/>
      <c r="Y110" s="12"/>
    </row>
    <row r="111" spans="1:25" s="113" customFormat="1" ht="99.65" customHeight="1">
      <c r="A111" s="189">
        <v>0</v>
      </c>
      <c r="B111" s="189" t="s">
        <v>333</v>
      </c>
      <c r="C111" s="190" t="s">
        <v>23</v>
      </c>
      <c r="D111" s="197" t="s">
        <v>94</v>
      </c>
      <c r="E111" s="5"/>
      <c r="F111" s="11" t="s">
        <v>43</v>
      </c>
      <c r="G111" s="31">
        <v>100</v>
      </c>
      <c r="H111" s="70">
        <v>7.7</v>
      </c>
      <c r="I111" s="183" t="s">
        <v>153</v>
      </c>
      <c r="J111" s="31">
        <v>92.3</v>
      </c>
      <c r="K111" s="183" t="s">
        <v>154</v>
      </c>
      <c r="L111" s="165"/>
      <c r="M111" s="183" t="s">
        <v>155</v>
      </c>
      <c r="N111" s="5"/>
      <c r="O111" s="64" t="s">
        <v>43</v>
      </c>
      <c r="P111" s="98">
        <v>3</v>
      </c>
      <c r="Q111" s="25" t="s">
        <v>38</v>
      </c>
      <c r="R111" s="201" t="s">
        <v>53</v>
      </c>
      <c r="S111" s="5"/>
      <c r="T111" s="64" t="s">
        <v>43</v>
      </c>
      <c r="U111" s="98">
        <v>3</v>
      </c>
      <c r="V111" s="183" t="s">
        <v>83</v>
      </c>
      <c r="W111" s="165"/>
      <c r="X111" s="165"/>
      <c r="Y111" s="5"/>
    </row>
    <row r="112" spans="1:25" s="113" customFormat="1" ht="95.15" customHeight="1">
      <c r="A112" s="189"/>
      <c r="B112" s="189"/>
      <c r="C112" s="190"/>
      <c r="D112" s="192"/>
      <c r="F112" s="64" t="s">
        <v>44</v>
      </c>
      <c r="G112" s="51">
        <v>6.1963019437282965</v>
      </c>
      <c r="H112" s="51">
        <v>0.47711524966707886</v>
      </c>
      <c r="I112" s="202"/>
      <c r="J112" s="131">
        <v>5.7191866940612179</v>
      </c>
      <c r="K112" s="184"/>
      <c r="L112" s="162"/>
      <c r="M112" s="184"/>
      <c r="O112" s="64" t="s">
        <v>44</v>
      </c>
      <c r="P112" s="131">
        <v>0.1858890583118489</v>
      </c>
      <c r="Q112" s="142"/>
      <c r="R112" s="202"/>
      <c r="T112" s="64" t="s">
        <v>44</v>
      </c>
      <c r="U112" s="131">
        <v>0.1858890583118489</v>
      </c>
      <c r="V112" s="184"/>
      <c r="W112" s="162"/>
      <c r="X112" s="162"/>
    </row>
    <row r="113" spans="1:25" ht="90" customHeight="1">
      <c r="A113" s="189"/>
      <c r="B113" s="189"/>
      <c r="C113" s="191"/>
      <c r="D113" s="193"/>
      <c r="E113" s="4"/>
      <c r="F113" s="13" t="s">
        <v>45</v>
      </c>
      <c r="G113" s="8">
        <v>1.7412289803722982</v>
      </c>
      <c r="H113" s="8">
        <v>0.13407463148866697</v>
      </c>
      <c r="I113" s="203"/>
      <c r="J113" s="97">
        <v>1.6071543488836313</v>
      </c>
      <c r="K113" s="185"/>
      <c r="L113" s="163"/>
      <c r="M113" s="185"/>
      <c r="N113" s="4"/>
      <c r="O113" s="13" t="s">
        <v>45</v>
      </c>
      <c r="P113" s="8">
        <v>5.2236869411168937E-2</v>
      </c>
      <c r="Q113" s="68"/>
      <c r="R113" s="203"/>
      <c r="S113" s="4"/>
      <c r="T113" s="13" t="s">
        <v>45</v>
      </c>
      <c r="U113" s="8">
        <v>5.2236869411168937E-2</v>
      </c>
      <c r="V113" s="185"/>
      <c r="W113" s="163"/>
      <c r="X113" s="163"/>
      <c r="Y113" s="12"/>
    </row>
    <row r="114" spans="1:25" ht="70.5" customHeight="1">
      <c r="A114" s="189">
        <v>0</v>
      </c>
      <c r="B114" s="189" t="s">
        <v>333</v>
      </c>
      <c r="C114" s="190" t="s">
        <v>73</v>
      </c>
      <c r="D114" s="192" t="s">
        <v>93</v>
      </c>
      <c r="E114" s="3"/>
      <c r="F114" s="11" t="s">
        <v>43</v>
      </c>
      <c r="G114" s="51">
        <v>2</v>
      </c>
      <c r="H114" s="131">
        <v>0.52300000000000002</v>
      </c>
      <c r="I114" s="198" t="s">
        <v>253</v>
      </c>
      <c r="J114" s="131">
        <v>1.4769999999999999</v>
      </c>
      <c r="K114" s="183" t="s">
        <v>255</v>
      </c>
      <c r="L114" s="162"/>
      <c r="M114" s="183" t="s">
        <v>291</v>
      </c>
      <c r="N114" s="3"/>
      <c r="O114" s="64" t="s">
        <v>43</v>
      </c>
      <c r="P114" s="51">
        <v>7.0000000000000007E-2</v>
      </c>
      <c r="Q114" s="51">
        <v>7.0000000000000007E-2</v>
      </c>
      <c r="R114" s="183" t="s">
        <v>256</v>
      </c>
      <c r="S114" s="3"/>
      <c r="T114" s="64" t="s">
        <v>43</v>
      </c>
      <c r="U114" s="56"/>
      <c r="V114" s="204"/>
      <c r="W114" s="162"/>
      <c r="X114" s="162"/>
    </row>
    <row r="115" spans="1:25" ht="90" customHeight="1">
      <c r="A115" s="189"/>
      <c r="B115" s="189"/>
      <c r="C115" s="190"/>
      <c r="D115" s="192"/>
      <c r="E115" s="3"/>
      <c r="F115" s="64" t="s">
        <v>44</v>
      </c>
      <c r="G115" s="51">
        <v>0.60172452610915117</v>
      </c>
      <c r="H115" s="51">
        <v>0.15735096357754302</v>
      </c>
      <c r="I115" s="184"/>
      <c r="J115" s="51">
        <v>0.44437356253160809</v>
      </c>
      <c r="K115" s="184"/>
      <c r="L115" s="51"/>
      <c r="M115" s="184"/>
      <c r="N115" s="3"/>
      <c r="O115" s="64" t="s">
        <v>44</v>
      </c>
      <c r="P115" s="131">
        <v>2.4381353628372098E-5</v>
      </c>
      <c r="Q115" s="119">
        <v>2.4381353628372098E-5</v>
      </c>
      <c r="R115" s="184"/>
      <c r="S115" s="3"/>
      <c r="T115" s="64" t="s">
        <v>44</v>
      </c>
      <c r="U115" s="51"/>
      <c r="V115" s="181"/>
      <c r="W115" s="162"/>
      <c r="X115" s="162"/>
    </row>
    <row r="116" spans="1:25" ht="90" customHeight="1">
      <c r="A116" s="189"/>
      <c r="B116" s="189"/>
      <c r="C116" s="191"/>
      <c r="D116" s="193"/>
      <c r="E116" s="3"/>
      <c r="F116" s="13" t="s">
        <v>45</v>
      </c>
      <c r="G116" s="8">
        <v>3.9758713612055594</v>
      </c>
      <c r="H116" s="8">
        <v>1.0396903609552537</v>
      </c>
      <c r="I116" s="185"/>
      <c r="J116" s="8">
        <v>2.9361810002503055</v>
      </c>
      <c r="K116" s="185"/>
      <c r="L116" s="8"/>
      <c r="M116" s="185"/>
      <c r="N116" s="3"/>
      <c r="O116" s="13" t="s">
        <v>45</v>
      </c>
      <c r="P116" s="8">
        <v>1.7675943768548632E-4</v>
      </c>
      <c r="Q116" s="17">
        <v>1.7675943768548632E-4</v>
      </c>
      <c r="R116" s="185"/>
      <c r="S116" s="3"/>
      <c r="T116" s="13" t="s">
        <v>45</v>
      </c>
      <c r="U116" s="8"/>
      <c r="V116" s="182"/>
      <c r="W116" s="162"/>
      <c r="X116" s="162"/>
    </row>
    <row r="117" spans="1:25" s="37" customFormat="1" ht="55" customHeight="1">
      <c r="A117" s="189">
        <v>0</v>
      </c>
      <c r="B117" s="189" t="s">
        <v>333</v>
      </c>
      <c r="C117" s="190" t="s">
        <v>31</v>
      </c>
      <c r="D117" s="192" t="s">
        <v>94</v>
      </c>
      <c r="E117" s="169"/>
      <c r="F117" s="11" t="s">
        <v>43</v>
      </c>
      <c r="G117" s="33">
        <v>1400</v>
      </c>
      <c r="H117" s="70" t="s">
        <v>38</v>
      </c>
      <c r="I117" s="183" t="s">
        <v>156</v>
      </c>
      <c r="J117" s="70" t="s">
        <v>38</v>
      </c>
      <c r="K117" s="183" t="s">
        <v>215</v>
      </c>
      <c r="L117" s="70" t="s">
        <v>38</v>
      </c>
      <c r="M117" s="183" t="s">
        <v>284</v>
      </c>
      <c r="N117" s="169"/>
      <c r="O117" s="11" t="s">
        <v>43</v>
      </c>
      <c r="P117" s="33">
        <v>1900</v>
      </c>
      <c r="Q117" s="33">
        <v>1300</v>
      </c>
      <c r="R117" s="183" t="s">
        <v>173</v>
      </c>
      <c r="S117" s="169"/>
      <c r="T117" s="11" t="s">
        <v>43</v>
      </c>
      <c r="U117" s="31"/>
      <c r="V117" s="183" t="s">
        <v>99</v>
      </c>
      <c r="W117" s="70">
        <v>600</v>
      </c>
      <c r="X117" s="183" t="s">
        <v>100</v>
      </c>
      <c r="Y117" s="169"/>
    </row>
    <row r="118" spans="1:25" s="37" customFormat="1" ht="55" customHeight="1">
      <c r="A118" s="189"/>
      <c r="B118" s="189"/>
      <c r="C118" s="190"/>
      <c r="D118" s="192"/>
      <c r="F118" s="64" t="s">
        <v>44</v>
      </c>
      <c r="G118" s="51">
        <v>3.4238758274366612</v>
      </c>
      <c r="H118" s="138"/>
      <c r="I118" s="184"/>
      <c r="J118" s="138"/>
      <c r="K118" s="184"/>
      <c r="L118" s="162"/>
      <c r="M118" s="184"/>
      <c r="O118" s="64" t="s">
        <v>44</v>
      </c>
      <c r="P118" s="140">
        <v>4.646688622949755</v>
      </c>
      <c r="Q118" s="51">
        <v>3.1793132683340426</v>
      </c>
      <c r="R118" s="184"/>
      <c r="T118" s="64" t="s">
        <v>44</v>
      </c>
      <c r="U118" s="131"/>
      <c r="V118" s="184"/>
      <c r="W118" s="51">
        <v>1.467375354615712</v>
      </c>
      <c r="X118" s="184"/>
    </row>
    <row r="119" spans="1:25" ht="73.5" customHeight="1">
      <c r="A119" s="189"/>
      <c r="B119" s="189"/>
      <c r="C119" s="191"/>
      <c r="D119" s="193"/>
      <c r="E119" s="4"/>
      <c r="F119" s="13" t="s">
        <v>45</v>
      </c>
      <c r="G119" s="8">
        <v>2.1146826340907348</v>
      </c>
      <c r="H119" s="146"/>
      <c r="I119" s="185"/>
      <c r="J119" s="97"/>
      <c r="K119" s="185"/>
      <c r="L119" s="163"/>
      <c r="M119" s="185"/>
      <c r="N119" s="4"/>
      <c r="O119" s="13" t="s">
        <v>45</v>
      </c>
      <c r="P119" s="59">
        <v>2.8699264319802831</v>
      </c>
      <c r="Q119" s="8">
        <v>1.963633874512825</v>
      </c>
      <c r="R119" s="185"/>
      <c r="S119" s="4"/>
      <c r="T119" s="13" t="s">
        <v>45</v>
      </c>
      <c r="U119" s="8"/>
      <c r="V119" s="185"/>
      <c r="W119" s="8">
        <v>0.90629255746745785</v>
      </c>
      <c r="X119" s="185"/>
      <c r="Y119" s="12"/>
    </row>
    <row r="120" spans="1:25" ht="46.5" customHeight="1">
      <c r="A120" s="189">
        <v>0</v>
      </c>
      <c r="B120" s="189" t="s">
        <v>333</v>
      </c>
      <c r="C120" s="190" t="s">
        <v>39</v>
      </c>
      <c r="D120" s="192" t="s">
        <v>93</v>
      </c>
      <c r="E120" s="169"/>
      <c r="F120" s="11" t="s">
        <v>43</v>
      </c>
      <c r="G120" s="98">
        <v>8.0500000000000007</v>
      </c>
      <c r="H120" s="70">
        <v>1.3</v>
      </c>
      <c r="I120" s="183" t="s">
        <v>157</v>
      </c>
      <c r="J120" s="98">
        <v>6.75</v>
      </c>
      <c r="K120" s="183" t="s">
        <v>158</v>
      </c>
      <c r="L120" s="165"/>
      <c r="M120" s="165"/>
      <c r="N120" s="169"/>
      <c r="O120" s="64" t="s">
        <v>43</v>
      </c>
      <c r="P120" s="58">
        <v>4.3449999999999998</v>
      </c>
      <c r="Q120" s="130">
        <v>4.3449999999999998</v>
      </c>
      <c r="R120" s="183" t="s">
        <v>202</v>
      </c>
      <c r="S120" s="169"/>
      <c r="T120" s="64" t="s">
        <v>43</v>
      </c>
      <c r="U120" s="98"/>
      <c r="V120" s="183"/>
      <c r="W120" s="165"/>
      <c r="X120" s="165"/>
      <c r="Y120" s="169"/>
    </row>
    <row r="121" spans="1:25" ht="42.65" customHeight="1">
      <c r="A121" s="189"/>
      <c r="B121" s="189"/>
      <c r="C121" s="190"/>
      <c r="D121" s="192"/>
      <c r="E121" s="37"/>
      <c r="F121" s="64" t="s">
        <v>44</v>
      </c>
      <c r="G121" s="51">
        <v>0.19995032290114259</v>
      </c>
      <c r="H121" s="51">
        <v>3.2290114257327376E-2</v>
      </c>
      <c r="I121" s="184"/>
      <c r="J121" s="51">
        <v>0.1676602086438152</v>
      </c>
      <c r="K121" s="184"/>
      <c r="L121" s="162"/>
      <c r="M121" s="162"/>
      <c r="N121" s="37"/>
      <c r="O121" s="64" t="s">
        <v>44</v>
      </c>
      <c r="P121" s="140">
        <v>0.10792349726775956</v>
      </c>
      <c r="Q121" s="122">
        <v>0.10792349726775956</v>
      </c>
      <c r="R121" s="184"/>
      <c r="S121" s="37"/>
      <c r="T121" s="64" t="s">
        <v>44</v>
      </c>
      <c r="U121" s="131"/>
      <c r="V121" s="184"/>
      <c r="W121" s="162"/>
      <c r="X121" s="162"/>
      <c r="Y121" s="37"/>
    </row>
    <row r="122" spans="1:25" ht="56.5" customHeight="1">
      <c r="A122" s="189"/>
      <c r="B122" s="189"/>
      <c r="C122" s="191"/>
      <c r="D122" s="193"/>
      <c r="E122" s="4"/>
      <c r="F122" s="13" t="s">
        <v>45</v>
      </c>
      <c r="G122" s="8">
        <v>1.7100590323477574</v>
      </c>
      <c r="H122" s="8">
        <v>0.27615860149715332</v>
      </c>
      <c r="I122" s="185"/>
      <c r="J122" s="8">
        <v>1.4339004308506038</v>
      </c>
      <c r="K122" s="185"/>
      <c r="L122" s="163"/>
      <c r="M122" s="163"/>
      <c r="N122" s="4"/>
      <c r="O122" s="13" t="s">
        <v>45</v>
      </c>
      <c r="P122" s="59">
        <v>0.92300701808087016</v>
      </c>
      <c r="Q122" s="68">
        <v>0.92300701808087016</v>
      </c>
      <c r="R122" s="185"/>
      <c r="S122" s="4"/>
      <c r="T122" s="13" t="s">
        <v>45</v>
      </c>
      <c r="U122" s="8"/>
      <c r="V122" s="185"/>
      <c r="W122" s="163"/>
      <c r="X122" s="163"/>
      <c r="Y122" s="12"/>
    </row>
    <row r="123" spans="1:25" ht="82.5" customHeight="1">
      <c r="A123" s="189">
        <v>0</v>
      </c>
      <c r="B123" s="189" t="s">
        <v>333</v>
      </c>
      <c r="C123" s="190" t="s">
        <v>77</v>
      </c>
      <c r="D123" s="192" t="s">
        <v>94</v>
      </c>
      <c r="E123" s="3"/>
      <c r="F123" s="11" t="s">
        <v>43</v>
      </c>
      <c r="G123" s="66">
        <v>828</v>
      </c>
      <c r="H123" s="66">
        <v>178</v>
      </c>
      <c r="I123" s="183" t="s">
        <v>198</v>
      </c>
      <c r="J123" s="36">
        <v>650</v>
      </c>
      <c r="K123" s="183" t="s">
        <v>199</v>
      </c>
      <c r="L123" s="36">
        <v>480</v>
      </c>
      <c r="M123" s="183" t="s">
        <v>200</v>
      </c>
      <c r="N123" s="3"/>
      <c r="O123" s="11" t="s">
        <v>43</v>
      </c>
      <c r="P123" s="98" t="s">
        <v>38</v>
      </c>
      <c r="Q123" s="122"/>
      <c r="R123" s="162"/>
      <c r="S123" s="3"/>
      <c r="T123" s="11" t="s">
        <v>43</v>
      </c>
      <c r="U123" s="51"/>
      <c r="V123" s="162"/>
      <c r="W123" s="162" t="s">
        <v>38</v>
      </c>
      <c r="X123" s="201" t="s">
        <v>201</v>
      </c>
    </row>
    <row r="124" spans="1:25" ht="96.65" customHeight="1">
      <c r="A124" s="189"/>
      <c r="B124" s="189"/>
      <c r="C124" s="190"/>
      <c r="D124" s="192"/>
      <c r="E124" s="3"/>
      <c r="F124" s="64" t="s">
        <v>44</v>
      </c>
      <c r="G124" s="51">
        <v>5.2144802026745598</v>
      </c>
      <c r="H124" s="51">
        <v>1.1209872899469464</v>
      </c>
      <c r="I124" s="184"/>
      <c r="J124" s="51">
        <v>4.093492912727613</v>
      </c>
      <c r="K124" s="184"/>
      <c r="L124" s="51">
        <v>3.0228870740142373</v>
      </c>
      <c r="M124" s="184"/>
      <c r="N124" s="3"/>
      <c r="O124" s="64" t="s">
        <v>44</v>
      </c>
      <c r="P124" s="140"/>
      <c r="Q124" s="51"/>
      <c r="R124" s="162"/>
      <c r="S124" s="3"/>
      <c r="T124" s="64" t="s">
        <v>44</v>
      </c>
      <c r="U124" s="51"/>
      <c r="V124" s="162"/>
      <c r="W124" s="162"/>
      <c r="X124" s="202"/>
    </row>
    <row r="125" spans="1:25" ht="92.5" customHeight="1">
      <c r="A125" s="189"/>
      <c r="B125" s="189"/>
      <c r="C125" s="191"/>
      <c r="D125" s="193"/>
      <c r="E125" s="3"/>
      <c r="F125" s="13" t="s">
        <v>45</v>
      </c>
      <c r="G125" s="8">
        <v>1.9843417699892416</v>
      </c>
      <c r="H125" s="8">
        <v>0.42658554958705924</v>
      </c>
      <c r="I125" s="185"/>
      <c r="J125" s="8">
        <v>1.5577562204021824</v>
      </c>
      <c r="K125" s="185"/>
      <c r="L125" s="8">
        <v>1.150343055066227</v>
      </c>
      <c r="M125" s="185"/>
      <c r="N125" s="4"/>
      <c r="O125" s="13" t="s">
        <v>45</v>
      </c>
      <c r="P125" s="59"/>
      <c r="Q125" s="8"/>
      <c r="R125" s="163"/>
      <c r="S125" s="4"/>
      <c r="T125" s="13" t="s">
        <v>45</v>
      </c>
      <c r="U125" s="8"/>
      <c r="V125" s="163"/>
      <c r="W125" s="163"/>
      <c r="X125" s="203"/>
    </row>
    <row r="126" spans="1:25" ht="42.65" customHeight="1">
      <c r="A126" s="189">
        <v>0</v>
      </c>
      <c r="B126" s="189" t="s">
        <v>333</v>
      </c>
      <c r="C126" s="190" t="s">
        <v>78</v>
      </c>
      <c r="D126" s="192" t="s">
        <v>93</v>
      </c>
      <c r="E126" s="3"/>
      <c r="F126" s="11" t="s">
        <v>43</v>
      </c>
      <c r="G126" s="66">
        <v>55</v>
      </c>
      <c r="H126" s="51">
        <v>1.1829999999999998</v>
      </c>
      <c r="I126" s="183" t="s">
        <v>159</v>
      </c>
      <c r="J126" s="66">
        <v>53.817</v>
      </c>
      <c r="K126" s="183" t="s">
        <v>160</v>
      </c>
      <c r="L126" s="66">
        <v>10.3</v>
      </c>
      <c r="M126" s="183" t="s">
        <v>108</v>
      </c>
      <c r="N126" s="3"/>
      <c r="O126" s="11" t="s">
        <v>43</v>
      </c>
      <c r="P126" s="57">
        <v>60</v>
      </c>
      <c r="Q126" s="51"/>
      <c r="R126" s="162"/>
      <c r="S126" s="3"/>
      <c r="T126" s="11" t="s">
        <v>43</v>
      </c>
      <c r="U126" s="66">
        <v>60</v>
      </c>
      <c r="V126" s="183" t="s">
        <v>101</v>
      </c>
      <c r="W126" s="56"/>
      <c r="X126" s="204"/>
    </row>
    <row r="127" spans="1:25" ht="37" customHeight="1">
      <c r="A127" s="189"/>
      <c r="B127" s="189"/>
      <c r="C127" s="190"/>
      <c r="D127" s="192"/>
      <c r="E127" s="3"/>
      <c r="F127" s="64" t="s">
        <v>44</v>
      </c>
      <c r="G127" s="66">
        <v>15.695272013332421</v>
      </c>
      <c r="H127" s="51">
        <v>0.33759103257767731</v>
      </c>
      <c r="I127" s="184"/>
      <c r="J127" s="66">
        <v>15.357680980754743</v>
      </c>
      <c r="K127" s="184"/>
      <c r="L127" s="51">
        <v>2.9392963952240718</v>
      </c>
      <c r="M127" s="184"/>
      <c r="N127" s="3"/>
      <c r="O127" s="64" t="s">
        <v>44</v>
      </c>
      <c r="P127" s="121">
        <v>17.122114923635369</v>
      </c>
      <c r="Q127" s="51"/>
      <c r="R127" s="162"/>
      <c r="S127" s="3"/>
      <c r="T127" s="64" t="s">
        <v>44</v>
      </c>
      <c r="U127" s="66">
        <v>17.122114923635369</v>
      </c>
      <c r="V127" s="184"/>
      <c r="W127" s="162"/>
      <c r="X127" s="181"/>
    </row>
    <row r="128" spans="1:25" ht="44.5" customHeight="1">
      <c r="A128" s="189"/>
      <c r="B128" s="189"/>
      <c r="C128" s="191"/>
      <c r="D128" s="193"/>
      <c r="E128" s="3"/>
      <c r="F128" s="13" t="s">
        <v>45</v>
      </c>
      <c r="G128" s="8">
        <v>8.1328089802030128</v>
      </c>
      <c r="H128" s="8">
        <v>0.1749293277014575</v>
      </c>
      <c r="I128" s="185"/>
      <c r="J128" s="8">
        <v>7.9578796525015552</v>
      </c>
      <c r="K128" s="185"/>
      <c r="L128" s="8">
        <v>1.5230533181107462</v>
      </c>
      <c r="M128" s="185"/>
      <c r="N128" s="4"/>
      <c r="O128" s="13" t="s">
        <v>45</v>
      </c>
      <c r="P128" s="59">
        <v>8.8721552511305593</v>
      </c>
      <c r="Q128" s="8"/>
      <c r="R128" s="163"/>
      <c r="S128" s="4"/>
      <c r="T128" s="13" t="s">
        <v>45</v>
      </c>
      <c r="U128" s="8">
        <v>8.8721552511305593</v>
      </c>
      <c r="V128" s="185"/>
      <c r="W128" s="163"/>
      <c r="X128" s="182"/>
    </row>
    <row r="129" spans="1:25" ht="40" customHeight="1">
      <c r="A129" s="189">
        <v>0</v>
      </c>
      <c r="B129" s="189" t="s">
        <v>333</v>
      </c>
      <c r="C129" s="190" t="s">
        <v>79</v>
      </c>
      <c r="D129" s="192" t="s">
        <v>94</v>
      </c>
      <c r="E129" s="3"/>
      <c r="F129" s="11" t="s">
        <v>43</v>
      </c>
      <c r="G129" s="66">
        <v>421.9</v>
      </c>
      <c r="H129" s="66">
        <v>64.099999999999994</v>
      </c>
      <c r="I129" s="183" t="s">
        <v>262</v>
      </c>
      <c r="J129" s="66">
        <v>357.8</v>
      </c>
      <c r="K129" s="183" t="s">
        <v>216</v>
      </c>
      <c r="L129" s="51"/>
      <c r="M129" s="162"/>
      <c r="N129" s="3"/>
      <c r="O129" s="11" t="s">
        <v>43</v>
      </c>
      <c r="P129" s="57">
        <v>193.8</v>
      </c>
      <c r="Q129" s="51">
        <v>72.8</v>
      </c>
      <c r="R129" s="183" t="s">
        <v>285</v>
      </c>
      <c r="S129" s="3"/>
      <c r="T129" s="11" t="s">
        <v>43</v>
      </c>
      <c r="U129" s="66">
        <v>120</v>
      </c>
      <c r="V129" s="183" t="s">
        <v>102</v>
      </c>
      <c r="W129" s="124">
        <v>1</v>
      </c>
      <c r="X129" s="183" t="s">
        <v>103</v>
      </c>
    </row>
    <row r="130" spans="1:25" ht="40" customHeight="1">
      <c r="A130" s="189"/>
      <c r="B130" s="189"/>
      <c r="C130" s="190"/>
      <c r="D130" s="192"/>
      <c r="E130" s="3"/>
      <c r="F130" s="64" t="s">
        <v>44</v>
      </c>
      <c r="G130" s="51">
        <v>8.3051181102362204</v>
      </c>
      <c r="H130" s="51">
        <v>1.2618110236220472</v>
      </c>
      <c r="I130" s="184"/>
      <c r="J130" s="51">
        <v>7.043307086614174</v>
      </c>
      <c r="K130" s="184"/>
      <c r="L130" s="51"/>
      <c r="M130" s="162"/>
      <c r="N130" s="3"/>
      <c r="O130" s="64" t="s">
        <v>44</v>
      </c>
      <c r="P130" s="140">
        <v>3.7952755905511815</v>
      </c>
      <c r="Q130" s="51">
        <v>1.4330708661417324</v>
      </c>
      <c r="R130" s="184"/>
      <c r="S130" s="3"/>
      <c r="T130" s="64" t="s">
        <v>44</v>
      </c>
      <c r="U130" s="51">
        <v>2.3622047244094491</v>
      </c>
      <c r="V130" s="184"/>
      <c r="W130" s="162"/>
      <c r="X130" s="184"/>
    </row>
    <row r="131" spans="1:25" ht="40" customHeight="1">
      <c r="A131" s="189"/>
      <c r="B131" s="189"/>
      <c r="C131" s="191"/>
      <c r="D131" s="193"/>
      <c r="E131" s="3"/>
      <c r="F131" s="13" t="s">
        <v>45</v>
      </c>
      <c r="G131" s="8">
        <v>2.2074729790106113</v>
      </c>
      <c r="H131" s="8">
        <v>0.33538520491723206</v>
      </c>
      <c r="I131" s="185"/>
      <c r="J131" s="8">
        <v>1.8720877740933797</v>
      </c>
      <c r="K131" s="185"/>
      <c r="L131" s="8"/>
      <c r="M131" s="162"/>
      <c r="N131" s="3"/>
      <c r="O131" s="13" t="s">
        <v>45</v>
      </c>
      <c r="P131" s="59">
        <v>1.0087717239944203</v>
      </c>
      <c r="Q131" s="8">
        <v>0.3809055057406317</v>
      </c>
      <c r="R131" s="185"/>
      <c r="S131" s="3"/>
      <c r="T131" s="13" t="s">
        <v>45</v>
      </c>
      <c r="U131" s="8">
        <v>0.62786621825378863</v>
      </c>
      <c r="V131" s="185"/>
      <c r="W131" s="162"/>
      <c r="X131" s="185"/>
    </row>
    <row r="132" spans="1:25" s="37" customFormat="1" ht="60" customHeight="1">
      <c r="A132" s="189">
        <v>0</v>
      </c>
      <c r="B132" s="189" t="s">
        <v>333</v>
      </c>
      <c r="C132" s="190" t="s">
        <v>22</v>
      </c>
      <c r="D132" s="197" t="s">
        <v>93</v>
      </c>
      <c r="E132" s="169"/>
      <c r="F132" s="11" t="s">
        <v>43</v>
      </c>
      <c r="G132" s="31">
        <v>165.9</v>
      </c>
      <c r="H132" s="98">
        <v>8.5</v>
      </c>
      <c r="I132" s="183" t="s">
        <v>161</v>
      </c>
      <c r="J132" s="31">
        <v>157.4</v>
      </c>
      <c r="K132" s="183" t="s">
        <v>292</v>
      </c>
      <c r="L132" s="70" t="s">
        <v>38</v>
      </c>
      <c r="M132" s="183" t="s">
        <v>174</v>
      </c>
      <c r="N132" s="169"/>
      <c r="O132" s="64" t="s">
        <v>43</v>
      </c>
      <c r="P132" s="57">
        <v>112.1</v>
      </c>
      <c r="Q132" s="130"/>
      <c r="R132" s="183"/>
      <c r="S132" s="169"/>
      <c r="T132" s="78" t="s">
        <v>43</v>
      </c>
      <c r="U132" s="25">
        <v>74</v>
      </c>
      <c r="V132" s="183" t="s">
        <v>140</v>
      </c>
      <c r="W132" s="25">
        <v>38.1</v>
      </c>
      <c r="X132" s="183" t="s">
        <v>251</v>
      </c>
      <c r="Y132" s="169"/>
    </row>
    <row r="133" spans="1:25" s="37" customFormat="1" ht="60" customHeight="1">
      <c r="A133" s="189"/>
      <c r="B133" s="189"/>
      <c r="C133" s="190"/>
      <c r="D133" s="192"/>
      <c r="F133" s="64" t="s">
        <v>44</v>
      </c>
      <c r="G133" s="66">
        <v>43.050977899376022</v>
      </c>
      <c r="H133" s="51">
        <v>2.2057463058752034</v>
      </c>
      <c r="I133" s="184"/>
      <c r="J133" s="66">
        <v>40.84523159350082</v>
      </c>
      <c r="K133" s="184"/>
      <c r="L133" s="162"/>
      <c r="M133" s="184"/>
      <c r="O133" s="64" t="s">
        <v>44</v>
      </c>
      <c r="P133" s="121">
        <v>29.089901281012974</v>
      </c>
      <c r="Q133" s="142"/>
      <c r="R133" s="184"/>
      <c r="T133" s="64" t="s">
        <v>44</v>
      </c>
      <c r="U133" s="118">
        <v>19.202967839384122</v>
      </c>
      <c r="V133" s="184"/>
      <c r="W133" s="66">
        <v>9.8869334416288517</v>
      </c>
      <c r="X133" s="184"/>
    </row>
    <row r="134" spans="1:25" ht="69.650000000000006" customHeight="1">
      <c r="A134" s="189"/>
      <c r="B134" s="189"/>
      <c r="C134" s="191"/>
      <c r="D134" s="193"/>
      <c r="E134" s="4"/>
      <c r="F134" s="13" t="s">
        <v>45</v>
      </c>
      <c r="G134" s="8">
        <v>7.3815359168356052</v>
      </c>
      <c r="H134" s="8">
        <v>0.37819804275529012</v>
      </c>
      <c r="I134" s="185"/>
      <c r="J134" s="8">
        <v>7.0033378740803149</v>
      </c>
      <c r="K134" s="185"/>
      <c r="L134" s="163"/>
      <c r="M134" s="185"/>
      <c r="N134" s="4"/>
      <c r="O134" s="13" t="s">
        <v>45</v>
      </c>
      <c r="P134" s="59">
        <v>4.9877647756315326</v>
      </c>
      <c r="Q134" s="68"/>
      <c r="R134" s="185"/>
      <c r="S134" s="4"/>
      <c r="T134" s="13" t="s">
        <v>45</v>
      </c>
      <c r="U134" s="17">
        <v>3.2925476663401732</v>
      </c>
      <c r="V134" s="185"/>
      <c r="W134" s="8">
        <v>1.6952171092913595</v>
      </c>
      <c r="X134" s="185"/>
      <c r="Y134" s="12"/>
    </row>
    <row r="135" spans="1:25" ht="60" customHeight="1">
      <c r="A135" s="189">
        <v>0</v>
      </c>
      <c r="B135" s="189" t="s">
        <v>333</v>
      </c>
      <c r="C135" s="190" t="s">
        <v>80</v>
      </c>
      <c r="D135" s="197" t="s">
        <v>94</v>
      </c>
      <c r="E135" s="3"/>
      <c r="F135" s="11" t="s">
        <v>43</v>
      </c>
      <c r="G135" s="66">
        <v>16.7</v>
      </c>
      <c r="H135" s="161">
        <v>6.4</v>
      </c>
      <c r="I135" s="183" t="s">
        <v>217</v>
      </c>
      <c r="J135" s="36">
        <v>10.299999999999999</v>
      </c>
      <c r="K135" s="183" t="s">
        <v>218</v>
      </c>
      <c r="L135" s="138"/>
      <c r="M135" s="186" t="s">
        <v>219</v>
      </c>
      <c r="N135" s="3"/>
      <c r="O135" s="64" t="s">
        <v>43</v>
      </c>
      <c r="P135" s="57">
        <v>31.7</v>
      </c>
      <c r="Q135" s="122">
        <v>1.7</v>
      </c>
      <c r="R135" s="183" t="s">
        <v>162</v>
      </c>
      <c r="S135" s="3"/>
      <c r="T135" s="64" t="s">
        <v>43</v>
      </c>
      <c r="U135" s="118">
        <v>30</v>
      </c>
      <c r="V135" s="201" t="s">
        <v>105</v>
      </c>
      <c r="W135" s="162"/>
      <c r="X135" s="162"/>
    </row>
    <row r="136" spans="1:25" ht="60" customHeight="1">
      <c r="A136" s="189"/>
      <c r="B136" s="189"/>
      <c r="C136" s="190"/>
      <c r="D136" s="192"/>
      <c r="E136" s="3"/>
      <c r="F136" s="64" t="s">
        <v>44</v>
      </c>
      <c r="G136" s="51">
        <v>3.8960542185297657</v>
      </c>
      <c r="H136" s="51">
        <v>1.4930986226700902</v>
      </c>
      <c r="I136" s="184"/>
      <c r="J136" s="51">
        <v>2.4029555958596758</v>
      </c>
      <c r="K136" s="184"/>
      <c r="L136" s="51"/>
      <c r="M136" s="187"/>
      <c r="N136" s="3"/>
      <c r="O136" s="64" t="s">
        <v>44</v>
      </c>
      <c r="P136" s="140">
        <v>7.3955041154127903</v>
      </c>
      <c r="Q136" s="51">
        <v>0.39660432164674264</v>
      </c>
      <c r="R136" s="184"/>
      <c r="S136" s="3"/>
      <c r="T136" s="64" t="s">
        <v>44</v>
      </c>
      <c r="U136" s="51">
        <v>6.9988997937660473</v>
      </c>
      <c r="V136" s="184"/>
      <c r="W136" s="162"/>
      <c r="X136" s="162"/>
    </row>
    <row r="137" spans="1:25" ht="54" customHeight="1">
      <c r="A137" s="189"/>
      <c r="B137" s="189"/>
      <c r="C137" s="191"/>
      <c r="D137" s="193"/>
      <c r="E137" s="3"/>
      <c r="F137" s="13" t="s">
        <v>45</v>
      </c>
      <c r="G137" s="8">
        <v>1.629396059175138</v>
      </c>
      <c r="H137" s="8">
        <v>0.62443920830663968</v>
      </c>
      <c r="I137" s="185"/>
      <c r="J137" s="8">
        <v>1.0049568508684981</v>
      </c>
      <c r="K137" s="185"/>
      <c r="L137" s="8"/>
      <c r="M137" s="188"/>
      <c r="N137" s="4"/>
      <c r="O137" s="13" t="s">
        <v>45</v>
      </c>
      <c r="P137" s="59">
        <v>3.0929254536438244</v>
      </c>
      <c r="Q137" s="8">
        <v>0.16586666470645117</v>
      </c>
      <c r="R137" s="185"/>
      <c r="S137" s="4"/>
      <c r="T137" s="13" t="s">
        <v>45</v>
      </c>
      <c r="U137" s="8">
        <v>2.9270587889373734</v>
      </c>
      <c r="V137" s="185"/>
      <c r="W137" s="163"/>
      <c r="X137" s="163"/>
    </row>
    <row r="138" spans="1:25" ht="98.5" customHeight="1">
      <c r="A138" s="189">
        <v>0</v>
      </c>
      <c r="B138" s="189" t="s">
        <v>333</v>
      </c>
      <c r="C138" s="190" t="s">
        <v>82</v>
      </c>
      <c r="D138" s="192" t="s">
        <v>95</v>
      </c>
      <c r="E138" s="3"/>
      <c r="F138" s="11" t="s">
        <v>43</v>
      </c>
      <c r="G138" s="33">
        <v>1277</v>
      </c>
      <c r="H138" s="51" t="s">
        <v>38</v>
      </c>
      <c r="I138" s="183" t="s">
        <v>163</v>
      </c>
      <c r="J138" s="51" t="s">
        <v>38</v>
      </c>
      <c r="K138" s="183" t="s">
        <v>286</v>
      </c>
      <c r="L138" s="51"/>
      <c r="M138" s="183" t="s">
        <v>287</v>
      </c>
      <c r="N138" s="3"/>
      <c r="O138" s="64" t="s">
        <v>43</v>
      </c>
      <c r="P138" s="57">
        <v>565</v>
      </c>
      <c r="Q138" s="51">
        <v>90</v>
      </c>
      <c r="R138" s="201" t="s">
        <v>209</v>
      </c>
      <c r="S138" s="3"/>
      <c r="T138" s="64" t="s">
        <v>43</v>
      </c>
      <c r="U138" s="66">
        <v>325</v>
      </c>
      <c r="V138" s="183" t="s">
        <v>90</v>
      </c>
      <c r="W138" s="66">
        <v>150</v>
      </c>
      <c r="X138" s="183" t="s">
        <v>210</v>
      </c>
    </row>
    <row r="139" spans="1:25" ht="110.15" customHeight="1">
      <c r="A139" s="189"/>
      <c r="B139" s="189"/>
      <c r="C139" s="190"/>
      <c r="D139" s="192"/>
      <c r="E139" s="3"/>
      <c r="F139" s="64" t="s">
        <v>44</v>
      </c>
      <c r="G139" s="66">
        <v>42.394631345519493</v>
      </c>
      <c r="H139" s="51"/>
      <c r="I139" s="184"/>
      <c r="J139" s="51"/>
      <c r="K139" s="184"/>
      <c r="L139" s="51"/>
      <c r="M139" s="184"/>
      <c r="N139" s="3"/>
      <c r="O139" s="64" t="s">
        <v>44</v>
      </c>
      <c r="P139" s="121">
        <v>18.757217470805415</v>
      </c>
      <c r="Q139" s="66">
        <v>2.9878753493318357</v>
      </c>
      <c r="R139" s="202"/>
      <c r="S139" s="3"/>
      <c r="T139" s="64" t="s">
        <v>44</v>
      </c>
      <c r="U139" s="66">
        <v>10.789549872587186</v>
      </c>
      <c r="V139" s="184"/>
      <c r="W139" s="66">
        <v>4.979792248886393</v>
      </c>
      <c r="X139" s="184"/>
    </row>
    <row r="140" spans="1:25" ht="110.15" customHeight="1">
      <c r="A140" s="189"/>
      <c r="B140" s="189"/>
      <c r="C140" s="191"/>
      <c r="D140" s="193"/>
      <c r="E140" s="3"/>
      <c r="F140" s="13" t="s">
        <v>45</v>
      </c>
      <c r="G140" s="8">
        <v>8.2068749452011236</v>
      </c>
      <c r="H140" s="8"/>
      <c r="I140" s="185"/>
      <c r="J140" s="8"/>
      <c r="K140" s="185"/>
      <c r="L140" s="8"/>
      <c r="M140" s="185"/>
      <c r="N140" s="4"/>
      <c r="O140" s="13" t="s">
        <v>45</v>
      </c>
      <c r="P140" s="59">
        <v>3.6310762286911782</v>
      </c>
      <c r="Q140" s="8">
        <v>0.57840152315434701</v>
      </c>
      <c r="R140" s="203"/>
      <c r="S140" s="4"/>
      <c r="T140" s="13" t="s">
        <v>45</v>
      </c>
      <c r="U140" s="8">
        <v>2.0886721669462531</v>
      </c>
      <c r="V140" s="185"/>
      <c r="W140" s="8">
        <v>0.96400253859057827</v>
      </c>
      <c r="X140" s="185"/>
    </row>
    <row r="141" spans="1:25" s="37" customFormat="1" ht="58" customHeight="1">
      <c r="A141" s="189">
        <v>0</v>
      </c>
      <c r="B141" s="189" t="s">
        <v>333</v>
      </c>
      <c r="C141" s="190" t="s">
        <v>26</v>
      </c>
      <c r="D141" s="192" t="s">
        <v>93</v>
      </c>
      <c r="E141" s="169"/>
      <c r="F141" s="11" t="s">
        <v>43</v>
      </c>
      <c r="G141" s="98">
        <v>1.84</v>
      </c>
      <c r="H141" s="98">
        <v>0.33</v>
      </c>
      <c r="I141" s="183" t="s">
        <v>264</v>
      </c>
      <c r="J141" s="98">
        <v>1.51</v>
      </c>
      <c r="K141" s="183" t="s">
        <v>265</v>
      </c>
      <c r="L141" s="98">
        <v>0.21000000000000002</v>
      </c>
      <c r="M141" s="183" t="s">
        <v>266</v>
      </c>
      <c r="N141" s="169"/>
      <c r="O141" s="64" t="s">
        <v>43</v>
      </c>
      <c r="P141" s="58">
        <v>1.272</v>
      </c>
      <c r="Q141" s="130">
        <v>1.0720000000000001</v>
      </c>
      <c r="R141" s="183" t="s">
        <v>267</v>
      </c>
      <c r="S141" s="169"/>
      <c r="T141" s="64" t="s">
        <v>43</v>
      </c>
      <c r="U141" s="98">
        <v>0.2</v>
      </c>
      <c r="V141" s="183" t="s">
        <v>132</v>
      </c>
      <c r="W141" s="165"/>
      <c r="X141" s="165"/>
      <c r="Y141" s="169"/>
    </row>
    <row r="142" spans="1:25" s="37" customFormat="1" ht="52" customHeight="1">
      <c r="A142" s="189"/>
      <c r="B142" s="189"/>
      <c r="C142" s="190"/>
      <c r="D142" s="192"/>
      <c r="F142" s="64" t="s">
        <v>44</v>
      </c>
      <c r="G142" s="51">
        <v>0.60591017832404692</v>
      </c>
      <c r="H142" s="51">
        <v>0.10866867328637798</v>
      </c>
      <c r="I142" s="184"/>
      <c r="J142" s="51">
        <v>0.4972415050376689</v>
      </c>
      <c r="K142" s="184"/>
      <c r="L142" s="51">
        <v>6.9152792091331447E-2</v>
      </c>
      <c r="M142" s="184"/>
      <c r="O142" s="64" t="s">
        <v>44</v>
      </c>
      <c r="P142" s="140">
        <v>0.41886834066749329</v>
      </c>
      <c r="Q142" s="122">
        <v>0.35300853867574905</v>
      </c>
      <c r="R142" s="184"/>
      <c r="T142" s="64" t="s">
        <v>44</v>
      </c>
      <c r="U142" s="51">
        <v>6.5859801991744224E-2</v>
      </c>
      <c r="V142" s="184"/>
      <c r="W142" s="162"/>
      <c r="X142" s="162"/>
    </row>
    <row r="143" spans="1:25" ht="108.65" customHeight="1">
      <c r="A143" s="189"/>
      <c r="B143" s="189"/>
      <c r="C143" s="191"/>
      <c r="D143" s="193"/>
      <c r="E143" s="4"/>
      <c r="F143" s="13" t="s">
        <v>45</v>
      </c>
      <c r="G143" s="8">
        <v>1.6551458373353838</v>
      </c>
      <c r="H143" s="8">
        <v>0.29684680778297645</v>
      </c>
      <c r="I143" s="185"/>
      <c r="J143" s="8">
        <v>1.3582990295524073</v>
      </c>
      <c r="K143" s="185"/>
      <c r="L143" s="8">
        <v>0.18890251404371231</v>
      </c>
      <c r="M143" s="185"/>
      <c r="N143" s="4"/>
      <c r="O143" s="13" t="s">
        <v>45</v>
      </c>
      <c r="P143" s="59">
        <v>1.1442095136362003</v>
      </c>
      <c r="Q143" s="68">
        <v>0.9643023574040932</v>
      </c>
      <c r="R143" s="185"/>
      <c r="S143" s="4"/>
      <c r="T143" s="13" t="s">
        <v>45</v>
      </c>
      <c r="U143" s="8">
        <v>0.17990715623210696</v>
      </c>
      <c r="V143" s="185"/>
      <c r="W143" s="163"/>
      <c r="X143" s="163"/>
      <c r="Y143" s="12"/>
    </row>
    <row r="144" spans="1:25" s="37" customFormat="1" ht="60" customHeight="1">
      <c r="A144" s="189">
        <v>0</v>
      </c>
      <c r="B144" s="189" t="s">
        <v>333</v>
      </c>
      <c r="C144" s="190" t="s">
        <v>37</v>
      </c>
      <c r="D144" s="192" t="s">
        <v>93</v>
      </c>
      <c r="E144" s="169"/>
      <c r="F144" s="11" t="s">
        <v>43</v>
      </c>
      <c r="G144" s="31">
        <v>25.4</v>
      </c>
      <c r="H144" s="70" t="s">
        <v>38</v>
      </c>
      <c r="I144" s="183" t="s">
        <v>164</v>
      </c>
      <c r="J144" s="51" t="s">
        <v>38</v>
      </c>
      <c r="K144" s="183" t="s">
        <v>220</v>
      </c>
      <c r="L144" s="165"/>
      <c r="M144" s="165"/>
      <c r="N144" s="169"/>
      <c r="O144" s="64" t="s">
        <v>43</v>
      </c>
      <c r="P144" s="18" t="s">
        <v>38</v>
      </c>
      <c r="Q144" s="18" t="s">
        <v>38</v>
      </c>
      <c r="R144" s="183" t="s">
        <v>52</v>
      </c>
      <c r="S144" s="169"/>
      <c r="T144" s="64" t="s">
        <v>43</v>
      </c>
      <c r="U144" s="18" t="s">
        <v>38</v>
      </c>
      <c r="V144" s="183" t="s">
        <v>55</v>
      </c>
      <c r="W144" s="18" t="s">
        <v>38</v>
      </c>
      <c r="X144" s="183" t="s">
        <v>223</v>
      </c>
      <c r="Y144" s="169"/>
    </row>
    <row r="145" spans="1:25" s="37" customFormat="1" ht="60" customHeight="1">
      <c r="A145" s="189"/>
      <c r="B145" s="189"/>
      <c r="C145" s="190"/>
      <c r="D145" s="192"/>
      <c r="F145" s="64" t="s">
        <v>44</v>
      </c>
      <c r="G145" s="51">
        <v>6.9162695711368274</v>
      </c>
      <c r="H145" s="164"/>
      <c r="I145" s="184"/>
      <c r="J145" s="138"/>
      <c r="K145" s="184"/>
      <c r="L145" s="162"/>
      <c r="M145" s="162"/>
      <c r="O145" s="64" t="s">
        <v>44</v>
      </c>
      <c r="P145" s="162"/>
      <c r="Q145" s="142"/>
      <c r="R145" s="184"/>
      <c r="T145" s="64" t="s">
        <v>44</v>
      </c>
      <c r="U145" s="131"/>
      <c r="V145" s="184"/>
      <c r="W145" s="162"/>
      <c r="X145" s="184"/>
    </row>
    <row r="146" spans="1:25" ht="60" customHeight="1">
      <c r="A146" s="189"/>
      <c r="B146" s="189"/>
      <c r="C146" s="191"/>
      <c r="D146" s="193"/>
      <c r="E146" s="4"/>
      <c r="F146" s="13" t="s">
        <v>45</v>
      </c>
      <c r="G146" s="8">
        <v>2.1141681059918671</v>
      </c>
      <c r="H146" s="20"/>
      <c r="I146" s="185"/>
      <c r="J146" s="97"/>
      <c r="K146" s="185"/>
      <c r="L146" s="163"/>
      <c r="M146" s="163"/>
      <c r="N146" s="4"/>
      <c r="O146" s="13" t="s">
        <v>45</v>
      </c>
      <c r="P146" s="168"/>
      <c r="Q146" s="68"/>
      <c r="R146" s="185"/>
      <c r="S146" s="4"/>
      <c r="T146" s="13" t="s">
        <v>45</v>
      </c>
      <c r="U146" s="8"/>
      <c r="V146" s="185"/>
      <c r="W146" s="163"/>
      <c r="X146" s="185"/>
      <c r="Y146" s="12"/>
    </row>
    <row r="147" spans="1:25" s="37" customFormat="1" ht="50.15" customHeight="1">
      <c r="A147" s="189">
        <v>0</v>
      </c>
      <c r="B147" s="189" t="s">
        <v>334</v>
      </c>
      <c r="C147" s="190" t="s">
        <v>33</v>
      </c>
      <c r="D147" s="192" t="s">
        <v>94</v>
      </c>
      <c r="F147" s="64" t="s">
        <v>43</v>
      </c>
      <c r="G147" s="31">
        <v>295</v>
      </c>
      <c r="H147" s="31">
        <v>20.2</v>
      </c>
      <c r="I147" s="186" t="s">
        <v>254</v>
      </c>
      <c r="J147" s="31">
        <v>275</v>
      </c>
      <c r="K147" s="186" t="s">
        <v>293</v>
      </c>
      <c r="L147" s="165"/>
      <c r="M147" s="165"/>
      <c r="N147" s="169"/>
      <c r="O147" s="11" t="s">
        <v>43</v>
      </c>
      <c r="P147" s="58"/>
      <c r="Q147" s="135"/>
      <c r="R147" s="183"/>
      <c r="S147" s="169"/>
      <c r="T147" s="11" t="s">
        <v>43</v>
      </c>
      <c r="U147" s="98"/>
      <c r="V147" s="165"/>
      <c r="W147" s="165"/>
      <c r="X147" s="165"/>
      <c r="Y147" s="169"/>
    </row>
    <row r="148" spans="1:25" s="113" customFormat="1" ht="57" customHeight="1">
      <c r="A148" s="189"/>
      <c r="B148" s="189"/>
      <c r="C148" s="190"/>
      <c r="D148" s="192"/>
      <c r="E148" s="37"/>
      <c r="F148" s="64" t="s">
        <v>44</v>
      </c>
      <c r="G148" s="51">
        <v>3.4312426236491254</v>
      </c>
      <c r="H148" s="51">
        <v>0.23495288473800791</v>
      </c>
      <c r="I148" s="187"/>
      <c r="J148" s="51">
        <v>3.1986160050966426</v>
      </c>
      <c r="K148" s="187"/>
      <c r="L148" s="162"/>
      <c r="M148" s="162"/>
      <c r="N148" s="37"/>
      <c r="O148" s="64" t="s">
        <v>44</v>
      </c>
      <c r="P148" s="140"/>
      <c r="Q148" s="122"/>
      <c r="R148" s="184"/>
      <c r="S148" s="37"/>
      <c r="T148" s="64" t="s">
        <v>44</v>
      </c>
      <c r="U148" s="131"/>
      <c r="V148" s="162"/>
      <c r="W148" s="162"/>
      <c r="X148" s="162"/>
      <c r="Y148" s="37"/>
    </row>
    <row r="149" spans="1:25" ht="60.65" customHeight="1">
      <c r="A149" s="189"/>
      <c r="B149" s="189"/>
      <c r="C149" s="191"/>
      <c r="D149" s="193"/>
      <c r="E149" s="4"/>
      <c r="F149" s="13" t="s">
        <v>45</v>
      </c>
      <c r="G149" s="8">
        <v>1.0446981905900852</v>
      </c>
      <c r="H149" s="8">
        <v>7.1535265931931255E-2</v>
      </c>
      <c r="I149" s="188"/>
      <c r="J149" s="8">
        <v>0.97387119461787597</v>
      </c>
      <c r="K149" s="188"/>
      <c r="L149" s="163"/>
      <c r="M149" s="163"/>
      <c r="N149" s="4"/>
      <c r="O149" s="13" t="s">
        <v>45</v>
      </c>
      <c r="P149" s="59"/>
      <c r="Q149" s="68"/>
      <c r="R149" s="185"/>
      <c r="S149" s="4"/>
      <c r="T149" s="13" t="s">
        <v>45</v>
      </c>
      <c r="U149" s="8"/>
      <c r="V149" s="163"/>
      <c r="W149" s="163"/>
      <c r="X149" s="163"/>
    </row>
    <row r="150" spans="1:25" ht="50.15" customHeight="1">
      <c r="A150" s="189">
        <v>0</v>
      </c>
      <c r="B150" s="189" t="s">
        <v>334</v>
      </c>
      <c r="C150" s="190" t="s">
        <v>72</v>
      </c>
      <c r="D150" s="192" t="s">
        <v>94</v>
      </c>
      <c r="E150" s="3"/>
      <c r="F150" s="64" t="s">
        <v>43</v>
      </c>
      <c r="G150" s="66">
        <v>60.8</v>
      </c>
      <c r="H150" s="36">
        <v>19.8</v>
      </c>
      <c r="I150" s="183" t="s">
        <v>165</v>
      </c>
      <c r="J150" s="36">
        <v>41</v>
      </c>
      <c r="K150" s="183" t="s">
        <v>221</v>
      </c>
      <c r="L150" s="162"/>
      <c r="M150" s="162"/>
      <c r="N150" s="3"/>
      <c r="O150" s="11" t="s">
        <v>43</v>
      </c>
      <c r="P150" s="57">
        <v>21</v>
      </c>
      <c r="Q150" s="67">
        <v>21</v>
      </c>
      <c r="R150" s="183" t="s">
        <v>224</v>
      </c>
      <c r="S150" s="3"/>
      <c r="T150" s="11" t="s">
        <v>43</v>
      </c>
      <c r="U150" s="51"/>
      <c r="V150" s="162"/>
      <c r="W150" s="162"/>
      <c r="X150" s="162"/>
    </row>
    <row r="151" spans="1:25" ht="50.15" customHeight="1">
      <c r="A151" s="189"/>
      <c r="B151" s="189"/>
      <c r="C151" s="190"/>
      <c r="D151" s="192"/>
      <c r="E151" s="3"/>
      <c r="F151" s="64" t="s">
        <v>44</v>
      </c>
      <c r="G151" s="51">
        <v>1.6884308304577045</v>
      </c>
      <c r="H151" s="51">
        <v>0.54985082965563403</v>
      </c>
      <c r="I151" s="184"/>
      <c r="J151" s="51">
        <v>1.1385800008020706</v>
      </c>
      <c r="K151" s="184"/>
      <c r="L151" s="51"/>
      <c r="M151" s="162"/>
      <c r="N151" s="3"/>
      <c r="O151" s="64" t="s">
        <v>44</v>
      </c>
      <c r="P151" s="140">
        <v>0.58317512236203606</v>
      </c>
      <c r="Q151" s="122">
        <v>0.58317512236203606</v>
      </c>
      <c r="R151" s="184"/>
      <c r="S151" s="3"/>
      <c r="T151" s="64" t="s">
        <v>44</v>
      </c>
      <c r="U151" s="51"/>
      <c r="V151" s="162"/>
      <c r="W151" s="162"/>
      <c r="X151" s="162"/>
    </row>
    <row r="152" spans="1:25" ht="58.5" customHeight="1">
      <c r="A152" s="189"/>
      <c r="B152" s="189"/>
      <c r="C152" s="191"/>
      <c r="D152" s="193"/>
      <c r="E152" s="4"/>
      <c r="F152" s="13" t="s">
        <v>45</v>
      </c>
      <c r="G152" s="8">
        <v>1.823043678934386</v>
      </c>
      <c r="H152" s="8">
        <v>0.59368856649507973</v>
      </c>
      <c r="I152" s="185"/>
      <c r="J152" s="8">
        <v>1.2293551124393063</v>
      </c>
      <c r="K152" s="185"/>
      <c r="L152" s="8"/>
      <c r="M152" s="163"/>
      <c r="N152" s="4"/>
      <c r="O152" s="13" t="s">
        <v>45</v>
      </c>
      <c r="P152" s="59">
        <v>0.62966969173720566</v>
      </c>
      <c r="Q152" s="68">
        <v>0.62966969173720566</v>
      </c>
      <c r="R152" s="185"/>
      <c r="S152" s="4"/>
      <c r="T152" s="13" t="s">
        <v>45</v>
      </c>
      <c r="U152" s="8"/>
      <c r="V152" s="163"/>
      <c r="W152" s="163"/>
      <c r="X152" s="163"/>
    </row>
    <row r="153" spans="1:25" ht="50.15" customHeight="1">
      <c r="A153" s="189">
        <v>0</v>
      </c>
      <c r="B153" s="189" t="s">
        <v>334</v>
      </c>
      <c r="C153" s="190" t="s">
        <v>74</v>
      </c>
      <c r="D153" s="192" t="s">
        <v>94</v>
      </c>
      <c r="E153" s="3"/>
      <c r="F153" s="64" t="s">
        <v>43</v>
      </c>
      <c r="G153" s="51">
        <v>1.8</v>
      </c>
      <c r="H153" s="131">
        <v>0.57199999999999995</v>
      </c>
      <c r="I153" s="183" t="s">
        <v>166</v>
      </c>
      <c r="J153" s="51">
        <v>1.2280000000000002</v>
      </c>
      <c r="K153" s="183" t="s">
        <v>260</v>
      </c>
      <c r="L153" s="162"/>
      <c r="M153" s="183" t="s">
        <v>139</v>
      </c>
      <c r="N153" s="3"/>
      <c r="O153" s="11" t="s">
        <v>43</v>
      </c>
      <c r="P153" s="58">
        <v>1.2</v>
      </c>
      <c r="Q153" s="63">
        <v>1.2</v>
      </c>
      <c r="R153" s="186" t="s">
        <v>225</v>
      </c>
      <c r="S153" s="3"/>
      <c r="T153" s="11" t="s">
        <v>43</v>
      </c>
      <c r="U153" s="51"/>
      <c r="V153" s="162"/>
      <c r="W153" s="162"/>
      <c r="X153" s="162"/>
    </row>
    <row r="154" spans="1:25" ht="40.5" customHeight="1">
      <c r="A154" s="189"/>
      <c r="B154" s="189"/>
      <c r="C154" s="190"/>
      <c r="D154" s="192"/>
      <c r="E154" s="3"/>
      <c r="F154" s="64" t="s">
        <v>44</v>
      </c>
      <c r="G154" s="51">
        <v>0.29987932800296263</v>
      </c>
      <c r="H154" s="51">
        <v>9.5294986454274783E-2</v>
      </c>
      <c r="I154" s="184"/>
      <c r="J154" s="51">
        <v>0.20458434154868788</v>
      </c>
      <c r="K154" s="184"/>
      <c r="L154" s="51"/>
      <c r="M154" s="184"/>
      <c r="N154" s="3"/>
      <c r="O154" s="64" t="s">
        <v>44</v>
      </c>
      <c r="P154" s="140">
        <v>0.19991955200197509</v>
      </c>
      <c r="Q154" s="51">
        <v>0.19991955200197509</v>
      </c>
      <c r="R154" s="187"/>
      <c r="S154" s="3"/>
      <c r="T154" s="64" t="s">
        <v>44</v>
      </c>
      <c r="U154" s="51"/>
      <c r="V154" s="162"/>
      <c r="W154" s="162"/>
      <c r="X154" s="162"/>
    </row>
    <row r="155" spans="1:25" ht="53.15" customHeight="1">
      <c r="A155" s="189"/>
      <c r="B155" s="189"/>
      <c r="C155" s="191"/>
      <c r="D155" s="193"/>
      <c r="E155" s="4"/>
      <c r="F155" s="13" t="s">
        <v>45</v>
      </c>
      <c r="G155" s="8">
        <v>0.4672273134015863</v>
      </c>
      <c r="H155" s="8">
        <v>0.14847445736983741</v>
      </c>
      <c r="I155" s="185"/>
      <c r="J155" s="8">
        <v>0.31875285603174891</v>
      </c>
      <c r="K155" s="185"/>
      <c r="L155" s="8"/>
      <c r="M155" s="185"/>
      <c r="N155" s="4"/>
      <c r="O155" s="13" t="s">
        <v>45</v>
      </c>
      <c r="P155" s="59">
        <v>0.31148487560105753</v>
      </c>
      <c r="Q155" s="8">
        <v>0.31148487560105753</v>
      </c>
      <c r="R155" s="188"/>
      <c r="S155" s="4"/>
      <c r="T155" s="13" t="s">
        <v>45</v>
      </c>
      <c r="U155" s="8"/>
      <c r="V155" s="163"/>
      <c r="W155" s="163"/>
      <c r="X155" s="163"/>
    </row>
    <row r="156" spans="1:25" ht="32.5" customHeight="1">
      <c r="A156" s="189">
        <v>0</v>
      </c>
      <c r="B156" s="189" t="s">
        <v>334</v>
      </c>
      <c r="C156" s="190" t="s">
        <v>89</v>
      </c>
      <c r="D156" s="197" t="s">
        <v>94</v>
      </c>
      <c r="E156" s="3"/>
      <c r="F156" s="64" t="s">
        <v>43</v>
      </c>
      <c r="G156" s="66">
        <v>16.2</v>
      </c>
      <c r="H156" s="134">
        <v>10.7</v>
      </c>
      <c r="I156" s="198" t="s">
        <v>167</v>
      </c>
      <c r="J156" s="51">
        <v>5.5</v>
      </c>
      <c r="K156" s="186" t="s">
        <v>168</v>
      </c>
      <c r="L156" s="162"/>
      <c r="M156" s="162"/>
      <c r="N156" s="3"/>
      <c r="O156" s="11" t="s">
        <v>43</v>
      </c>
      <c r="P156" s="57">
        <v>17.7</v>
      </c>
      <c r="Q156" s="66">
        <v>17.7</v>
      </c>
      <c r="R156" s="183" t="s">
        <v>288</v>
      </c>
      <c r="S156" s="3"/>
      <c r="T156" s="11" t="s">
        <v>43</v>
      </c>
      <c r="U156" s="51"/>
      <c r="V156" s="162"/>
      <c r="W156" s="162"/>
      <c r="X156" s="162"/>
    </row>
    <row r="157" spans="1:25" ht="38.5" customHeight="1">
      <c r="A157" s="189"/>
      <c r="B157" s="189"/>
      <c r="C157" s="190"/>
      <c r="D157" s="192"/>
      <c r="E157" s="3"/>
      <c r="F157" s="64" t="s">
        <v>44</v>
      </c>
      <c r="G157" s="51">
        <v>2.6989390373016679E-2</v>
      </c>
      <c r="H157" s="51">
        <v>1.7826325740202376E-2</v>
      </c>
      <c r="I157" s="199"/>
      <c r="J157" s="51">
        <v>9.1630646328143047E-3</v>
      </c>
      <c r="K157" s="184"/>
      <c r="L157" s="51"/>
      <c r="M157" s="162"/>
      <c r="N157" s="3"/>
      <c r="O157" s="64" t="s">
        <v>44</v>
      </c>
      <c r="P157" s="140">
        <v>2.9488408000147855E-2</v>
      </c>
      <c r="Q157" s="51">
        <v>2.9488408000147855E-2</v>
      </c>
      <c r="R157" s="184"/>
      <c r="S157" s="3"/>
      <c r="T157" s="64" t="s">
        <v>44</v>
      </c>
      <c r="U157" s="51"/>
      <c r="V157" s="162"/>
      <c r="W157" s="162"/>
      <c r="X157" s="162"/>
    </row>
    <row r="158" spans="1:25" ht="40" customHeight="1">
      <c r="A158" s="189"/>
      <c r="B158" s="189"/>
      <c r="C158" s="191"/>
      <c r="D158" s="193"/>
      <c r="E158" s="3"/>
      <c r="F158" s="64" t="s">
        <v>45</v>
      </c>
      <c r="G158" s="51">
        <v>1.9774139686215348</v>
      </c>
      <c r="H158" s="51">
        <v>1.3060697200154581</v>
      </c>
      <c r="I158" s="200"/>
      <c r="J158" s="51">
        <v>0.67134424860607667</v>
      </c>
      <c r="K158" s="185"/>
      <c r="L158" s="51"/>
      <c r="M158" s="162"/>
      <c r="N158" s="3"/>
      <c r="O158" s="13" t="s">
        <v>45</v>
      </c>
      <c r="P158" s="59">
        <v>2.1605078546050103</v>
      </c>
      <c r="Q158" s="51">
        <v>2.1605078546050103</v>
      </c>
      <c r="R158" s="185"/>
      <c r="S158" s="3"/>
      <c r="T158" s="13" t="s">
        <v>45</v>
      </c>
      <c r="U158" s="51"/>
      <c r="V158" s="162"/>
      <c r="W158" s="162"/>
      <c r="X158" s="162"/>
    </row>
    <row r="159" spans="1:25" s="169" customFormat="1" ht="36" customHeight="1">
      <c r="A159" s="189">
        <v>0</v>
      </c>
      <c r="B159" s="189" t="s">
        <v>334</v>
      </c>
      <c r="C159" s="190" t="s">
        <v>34</v>
      </c>
      <c r="D159" s="192" t="s">
        <v>94</v>
      </c>
      <c r="E159" s="39"/>
      <c r="F159" s="11" t="s">
        <v>43</v>
      </c>
      <c r="G159" s="31">
        <v>13.6</v>
      </c>
      <c r="H159" s="70">
        <v>5.6</v>
      </c>
      <c r="I159" s="194" t="s">
        <v>169</v>
      </c>
      <c r="J159" s="98">
        <v>8</v>
      </c>
      <c r="K159" s="183" t="s">
        <v>222</v>
      </c>
      <c r="L159" s="165"/>
      <c r="M159" s="183" t="s">
        <v>170</v>
      </c>
      <c r="N159" s="39"/>
      <c r="O159" s="11" t="s">
        <v>43</v>
      </c>
      <c r="P159" s="57">
        <v>12.475</v>
      </c>
      <c r="Q159" s="130"/>
      <c r="R159" s="165"/>
      <c r="S159" s="39"/>
      <c r="T159" s="11" t="s">
        <v>43</v>
      </c>
      <c r="U159" s="98">
        <v>6.875</v>
      </c>
      <c r="V159" s="183" t="s">
        <v>226</v>
      </c>
      <c r="W159" s="70">
        <v>5.6</v>
      </c>
      <c r="X159" s="183" t="s">
        <v>227</v>
      </c>
      <c r="Y159" s="5"/>
    </row>
    <row r="160" spans="1:25" ht="40" customHeight="1">
      <c r="A160" s="189"/>
      <c r="B160" s="189"/>
      <c r="C160" s="190"/>
      <c r="D160" s="192"/>
      <c r="E160" s="3"/>
      <c r="F160" s="64" t="s">
        <v>44</v>
      </c>
      <c r="G160" s="51">
        <v>0.53833470121755367</v>
      </c>
      <c r="H160" s="51">
        <v>0.2216672299131103</v>
      </c>
      <c r="I160" s="195"/>
      <c r="J160" s="51">
        <v>0.31666747130444334</v>
      </c>
      <c r="K160" s="184"/>
      <c r="L160" s="162"/>
      <c r="M160" s="184"/>
      <c r="N160" s="3"/>
      <c r="O160" s="64" t="s">
        <v>44</v>
      </c>
      <c r="P160" s="140">
        <v>0.49380333806536625</v>
      </c>
      <c r="Q160" s="122"/>
      <c r="R160" s="162"/>
      <c r="S160" s="3"/>
      <c r="T160" s="64" t="s">
        <v>44</v>
      </c>
      <c r="U160" s="51">
        <v>0.27213610815225597</v>
      </c>
      <c r="V160" s="184"/>
      <c r="W160" s="51">
        <v>0.2216672299131103</v>
      </c>
      <c r="X160" s="184"/>
    </row>
    <row r="161" spans="1:25" ht="40" customHeight="1">
      <c r="A161" s="189"/>
      <c r="B161" s="189"/>
      <c r="C161" s="191"/>
      <c r="D161" s="193"/>
      <c r="E161" s="4"/>
      <c r="F161" s="13" t="s">
        <v>45</v>
      </c>
      <c r="G161" s="8">
        <v>2.2379496367281861</v>
      </c>
      <c r="H161" s="8">
        <v>0.92150867394690028</v>
      </c>
      <c r="I161" s="196"/>
      <c r="J161" s="8">
        <v>1.3164409627812861</v>
      </c>
      <c r="K161" s="185"/>
      <c r="L161" s="163"/>
      <c r="M161" s="185"/>
      <c r="N161" s="4"/>
      <c r="O161" s="13" t="s">
        <v>45</v>
      </c>
      <c r="P161" s="59">
        <v>2.0528251263370683</v>
      </c>
      <c r="Q161" s="68"/>
      <c r="R161" s="163"/>
      <c r="S161" s="4"/>
      <c r="T161" s="13" t="s">
        <v>45</v>
      </c>
      <c r="U161" s="8">
        <v>1.1313164523901678</v>
      </c>
      <c r="V161" s="185"/>
      <c r="W161" s="8">
        <v>0.92150867394690028</v>
      </c>
      <c r="X161" s="185"/>
      <c r="Y161" s="12"/>
    </row>
    <row r="162" spans="1:25" ht="53.15" customHeight="1">
      <c r="A162" s="189">
        <v>0</v>
      </c>
      <c r="B162" s="189" t="s">
        <v>334</v>
      </c>
      <c r="C162" s="190" t="s">
        <v>75</v>
      </c>
      <c r="D162" s="192" t="s">
        <v>94</v>
      </c>
      <c r="E162" s="3"/>
      <c r="F162" s="11" t="s">
        <v>43</v>
      </c>
      <c r="G162" s="66">
        <v>57</v>
      </c>
      <c r="H162" s="51">
        <v>5.9</v>
      </c>
      <c r="I162" s="183" t="s">
        <v>171</v>
      </c>
      <c r="J162" s="36">
        <v>51.1</v>
      </c>
      <c r="K162" s="183" t="s">
        <v>228</v>
      </c>
      <c r="L162" s="138">
        <v>23</v>
      </c>
      <c r="M162" s="183" t="s">
        <v>261</v>
      </c>
      <c r="N162" s="3"/>
      <c r="O162" s="11" t="s">
        <v>43</v>
      </c>
      <c r="P162" s="58"/>
      <c r="Q162" s="122"/>
      <c r="R162" s="162"/>
      <c r="S162" s="3"/>
      <c r="T162" s="11" t="s">
        <v>43</v>
      </c>
      <c r="U162" s="51"/>
      <c r="V162" s="162"/>
      <c r="W162" s="162"/>
      <c r="X162" s="162"/>
    </row>
    <row r="163" spans="1:25" ht="46.5" customHeight="1">
      <c r="A163" s="189"/>
      <c r="B163" s="189"/>
      <c r="C163" s="190"/>
      <c r="D163" s="192"/>
      <c r="E163" s="3"/>
      <c r="F163" s="64" t="s">
        <v>44</v>
      </c>
      <c r="G163" s="51">
        <v>0.54796170472360639</v>
      </c>
      <c r="H163" s="51">
        <v>5.6718843120513646E-2</v>
      </c>
      <c r="I163" s="184"/>
      <c r="J163" s="51">
        <v>0.49124286160309272</v>
      </c>
      <c r="K163" s="184"/>
      <c r="L163" s="51">
        <v>0.22110735453759553</v>
      </c>
      <c r="M163" s="184"/>
      <c r="N163" s="3"/>
      <c r="O163" s="64" t="s">
        <v>44</v>
      </c>
      <c r="P163" s="140"/>
      <c r="Q163" s="51"/>
      <c r="R163" s="162"/>
      <c r="S163" s="3"/>
      <c r="T163" s="64" t="s">
        <v>44</v>
      </c>
      <c r="U163" s="51"/>
      <c r="V163" s="162"/>
      <c r="W163" s="162"/>
      <c r="X163" s="162"/>
    </row>
    <row r="164" spans="1:25" ht="52" customHeight="1">
      <c r="A164" s="189"/>
      <c r="B164" s="189"/>
      <c r="C164" s="191"/>
      <c r="D164" s="193"/>
      <c r="E164" s="3"/>
      <c r="F164" s="13" t="s">
        <v>45</v>
      </c>
      <c r="G164" s="51">
        <v>0.54546320698580286</v>
      </c>
      <c r="H164" s="51">
        <v>5.6460226688004163E-2</v>
      </c>
      <c r="I164" s="185"/>
      <c r="J164" s="51">
        <v>0.48900298029779865</v>
      </c>
      <c r="K164" s="185"/>
      <c r="L164" s="51">
        <v>0.22009918878374501</v>
      </c>
      <c r="M164" s="185"/>
      <c r="N164" s="3"/>
      <c r="O164" s="13" t="s">
        <v>45</v>
      </c>
      <c r="P164" s="59"/>
      <c r="Q164" s="51"/>
      <c r="R164" s="162"/>
      <c r="S164" s="3"/>
      <c r="T164" s="13" t="s">
        <v>45</v>
      </c>
      <c r="U164" s="51"/>
      <c r="V164" s="162"/>
      <c r="W164" s="162"/>
      <c r="X164" s="162"/>
    </row>
    <row r="165" spans="1:25" s="37" customFormat="1" ht="38.5" customHeight="1">
      <c r="A165" s="189">
        <v>0</v>
      </c>
      <c r="B165" s="189" t="s">
        <v>334</v>
      </c>
      <c r="C165" s="190" t="s">
        <v>25</v>
      </c>
      <c r="D165" s="157"/>
      <c r="E165" s="169"/>
      <c r="F165" s="11" t="s">
        <v>43</v>
      </c>
      <c r="G165" s="31">
        <v>636</v>
      </c>
      <c r="H165" s="70">
        <v>500</v>
      </c>
      <c r="I165" s="183" t="s">
        <v>203</v>
      </c>
      <c r="J165" s="31">
        <v>136</v>
      </c>
      <c r="K165" s="183" t="s">
        <v>229</v>
      </c>
      <c r="L165" s="165"/>
      <c r="M165" s="165"/>
      <c r="N165" s="169"/>
      <c r="O165" s="64" t="s">
        <v>43</v>
      </c>
      <c r="P165" s="165"/>
      <c r="Q165" s="130"/>
      <c r="R165" s="165"/>
      <c r="S165" s="169"/>
      <c r="T165" s="64" t="s">
        <v>43</v>
      </c>
      <c r="U165" s="98"/>
      <c r="V165" s="165"/>
      <c r="W165" s="165"/>
      <c r="X165" s="165"/>
      <c r="Y165" s="169"/>
    </row>
    <row r="166" spans="1:25" s="113" customFormat="1" ht="47.5" customHeight="1">
      <c r="A166" s="189"/>
      <c r="B166" s="189"/>
      <c r="C166" s="190"/>
      <c r="D166" s="157"/>
      <c r="E166" s="37"/>
      <c r="F166" s="64" t="s">
        <v>44</v>
      </c>
      <c r="G166" s="131">
        <v>1.8045350594984293</v>
      </c>
      <c r="H166" s="51">
        <v>1.4186596379704632</v>
      </c>
      <c r="I166" s="184"/>
      <c r="J166" s="131">
        <v>0.385875421527966</v>
      </c>
      <c r="K166" s="184"/>
      <c r="L166" s="162"/>
      <c r="M166" s="162"/>
      <c r="N166" s="37"/>
      <c r="O166" s="64" t="s">
        <v>44</v>
      </c>
      <c r="P166" s="162"/>
      <c r="Q166" s="142"/>
      <c r="R166" s="162"/>
      <c r="S166" s="37"/>
      <c r="T166" s="64" t="s">
        <v>44</v>
      </c>
      <c r="U166" s="131"/>
      <c r="V166" s="162"/>
      <c r="W166" s="162"/>
      <c r="X166" s="162"/>
      <c r="Y166" s="37"/>
    </row>
    <row r="167" spans="1:25" ht="34" customHeight="1">
      <c r="A167" s="189"/>
      <c r="B167" s="189"/>
      <c r="C167" s="191"/>
      <c r="D167" s="158"/>
      <c r="E167" s="4"/>
      <c r="F167" s="13" t="s">
        <v>45</v>
      </c>
      <c r="G167" s="8">
        <v>0.42713432285264413</v>
      </c>
      <c r="H167" s="8">
        <v>0.3357974236262925</v>
      </c>
      <c r="I167" s="185"/>
      <c r="J167" s="8">
        <v>9.1336899226351576E-2</v>
      </c>
      <c r="K167" s="185"/>
      <c r="L167" s="163"/>
      <c r="M167" s="163"/>
      <c r="N167" s="4"/>
      <c r="O167" s="13" t="s">
        <v>45</v>
      </c>
      <c r="P167" s="168"/>
      <c r="Q167" s="68"/>
      <c r="R167" s="168"/>
      <c r="S167" s="4"/>
      <c r="T167" s="13" t="s">
        <v>45</v>
      </c>
      <c r="U167" s="8"/>
      <c r="V167" s="163"/>
      <c r="W167" s="163"/>
      <c r="X167" s="163"/>
      <c r="Y167" s="12"/>
    </row>
    <row r="168" spans="1:25" ht="47.15" customHeight="1">
      <c r="A168" s="189">
        <v>0</v>
      </c>
      <c r="B168" s="189" t="s">
        <v>334</v>
      </c>
      <c r="C168" s="190" t="s">
        <v>40</v>
      </c>
      <c r="D168" s="192" t="s">
        <v>94</v>
      </c>
      <c r="E168" s="5"/>
      <c r="F168" s="11" t="s">
        <v>43</v>
      </c>
      <c r="G168" s="31">
        <v>396</v>
      </c>
      <c r="H168" s="31">
        <v>79</v>
      </c>
      <c r="I168" s="183" t="s">
        <v>172</v>
      </c>
      <c r="J168" s="70">
        <v>317</v>
      </c>
      <c r="K168" s="183" t="s">
        <v>263</v>
      </c>
      <c r="L168" s="70">
        <v>15</v>
      </c>
      <c r="M168" s="183" t="s">
        <v>107</v>
      </c>
      <c r="N168" s="5"/>
      <c r="O168" s="64" t="s">
        <v>43</v>
      </c>
      <c r="P168" s="31">
        <v>70</v>
      </c>
      <c r="Q168" s="136"/>
      <c r="R168" s="186"/>
      <c r="S168" s="5"/>
      <c r="T168" s="64" t="s">
        <v>43</v>
      </c>
      <c r="U168" s="31">
        <v>70</v>
      </c>
      <c r="V168" s="183" t="s">
        <v>289</v>
      </c>
      <c r="W168" s="165"/>
      <c r="X168" s="165"/>
      <c r="Y168" s="5"/>
    </row>
    <row r="169" spans="1:25" ht="39.65" customHeight="1">
      <c r="A169" s="189"/>
      <c r="B169" s="189"/>
      <c r="C169" s="190"/>
      <c r="D169" s="192"/>
      <c r="E169" s="113"/>
      <c r="F169" s="64" t="s">
        <v>44</v>
      </c>
      <c r="G169" s="51">
        <v>0.65974065356262879</v>
      </c>
      <c r="H169" s="51">
        <v>0.13161492836224162</v>
      </c>
      <c r="I169" s="184"/>
      <c r="J169" s="51">
        <v>0.52812572520038725</v>
      </c>
      <c r="K169" s="184"/>
      <c r="L169" s="51">
        <v>2.4990176271311698E-2</v>
      </c>
      <c r="M169" s="184"/>
      <c r="N169" s="113"/>
      <c r="O169" s="64" t="s">
        <v>44</v>
      </c>
      <c r="P169" s="122">
        <v>0.1166208225994546</v>
      </c>
      <c r="Q169" s="122"/>
      <c r="R169" s="187"/>
      <c r="S169" s="113"/>
      <c r="T169" s="64" t="s">
        <v>44</v>
      </c>
      <c r="U169" s="51">
        <v>0.1166208225994546</v>
      </c>
      <c r="V169" s="184"/>
      <c r="W169" s="162"/>
      <c r="X169" s="162"/>
      <c r="Y169" s="113"/>
    </row>
    <row r="170" spans="1:25" ht="70.5" customHeight="1">
      <c r="A170" s="189"/>
      <c r="B170" s="189"/>
      <c r="C170" s="191"/>
      <c r="D170" s="193"/>
      <c r="E170" s="4"/>
      <c r="F170" s="13" t="s">
        <v>45</v>
      </c>
      <c r="G170" s="8">
        <v>2.7606233686771082</v>
      </c>
      <c r="H170" s="8">
        <v>0.55073041950881707</v>
      </c>
      <c r="I170" s="185"/>
      <c r="J170" s="8">
        <v>2.2098929491682915</v>
      </c>
      <c r="K170" s="185"/>
      <c r="L170" s="8">
        <v>0.104569066995345</v>
      </c>
      <c r="M170" s="185"/>
      <c r="N170" s="4"/>
      <c r="O170" s="13" t="s">
        <v>45</v>
      </c>
      <c r="P170" s="68">
        <v>0.48798897931161006</v>
      </c>
      <c r="Q170" s="68"/>
      <c r="R170" s="188"/>
      <c r="S170" s="4"/>
      <c r="T170" s="13" t="s">
        <v>45</v>
      </c>
      <c r="U170" s="8">
        <v>0.48798897931161006</v>
      </c>
      <c r="V170" s="185"/>
      <c r="W170" s="163"/>
      <c r="X170" s="163"/>
      <c r="Y170" s="12"/>
    </row>
    <row r="171" spans="1:25" ht="98.15" customHeight="1">
      <c r="A171" s="189">
        <v>0</v>
      </c>
      <c r="B171" s="189" t="s">
        <v>334</v>
      </c>
      <c r="C171" s="190" t="s">
        <v>29</v>
      </c>
      <c r="D171" s="192" t="s">
        <v>106</v>
      </c>
      <c r="E171" s="5"/>
      <c r="F171" s="11" t="s">
        <v>43</v>
      </c>
      <c r="G171" s="33">
        <v>86000</v>
      </c>
      <c r="H171" s="33">
        <v>16200</v>
      </c>
      <c r="I171" s="194" t="s">
        <v>230</v>
      </c>
      <c r="J171" s="55">
        <v>69800</v>
      </c>
      <c r="K171" s="183" t="s">
        <v>231</v>
      </c>
      <c r="L171" s="33">
        <v>189500</v>
      </c>
      <c r="M171" s="180" t="s">
        <v>232</v>
      </c>
      <c r="N171" s="5"/>
      <c r="O171" s="64" t="s">
        <v>43</v>
      </c>
      <c r="P171" s="33">
        <v>12000</v>
      </c>
      <c r="Q171" s="130"/>
      <c r="R171" s="165"/>
      <c r="S171" s="5"/>
      <c r="T171" s="64" t="s">
        <v>43</v>
      </c>
      <c r="U171" s="98"/>
      <c r="V171" s="165"/>
      <c r="W171" s="33">
        <v>12000</v>
      </c>
      <c r="X171" s="183" t="s">
        <v>233</v>
      </c>
      <c r="Y171" s="5"/>
    </row>
    <row r="172" spans="1:25" ht="111.65" customHeight="1">
      <c r="A172" s="189"/>
      <c r="B172" s="189"/>
      <c r="C172" s="190"/>
      <c r="D172" s="192"/>
      <c r="E172" s="3"/>
      <c r="F172" s="64" t="s">
        <v>44</v>
      </c>
      <c r="G172" s="66">
        <v>3.7015433880898598</v>
      </c>
      <c r="H172" s="51">
        <v>0.69726747543087997</v>
      </c>
      <c r="I172" s="195"/>
      <c r="J172" s="66">
        <v>3.0042759126589784</v>
      </c>
      <c r="K172" s="184"/>
      <c r="L172" s="51">
        <v>8.1563078144538164</v>
      </c>
      <c r="M172" s="181"/>
      <c r="N172" s="3"/>
      <c r="O172" s="64" t="s">
        <v>44</v>
      </c>
      <c r="P172" s="129">
        <v>0.51649442624509656</v>
      </c>
      <c r="Q172" s="122"/>
      <c r="R172" s="162"/>
      <c r="S172" s="3"/>
      <c r="T172" s="64" t="s">
        <v>44</v>
      </c>
      <c r="U172" s="51"/>
      <c r="V172" s="162"/>
      <c r="W172" s="129">
        <v>0.51649442624509656</v>
      </c>
      <c r="X172" s="184"/>
    </row>
    <row r="173" spans="1:25" ht="97.5" customHeight="1">
      <c r="A173" s="189"/>
      <c r="B173" s="189"/>
      <c r="C173" s="191"/>
      <c r="D173" s="193"/>
      <c r="E173" s="4"/>
      <c r="F173" s="13" t="s">
        <v>45</v>
      </c>
      <c r="G173" s="8">
        <v>1.0679276341035899</v>
      </c>
      <c r="H173" s="8">
        <v>0.20116776363346645</v>
      </c>
      <c r="I173" s="196"/>
      <c r="J173" s="8">
        <v>0.86675987047012093</v>
      </c>
      <c r="K173" s="185"/>
      <c r="L173" s="8">
        <v>2.3531661239840678</v>
      </c>
      <c r="M173" s="182"/>
      <c r="N173" s="4"/>
      <c r="O173" s="13" t="s">
        <v>45</v>
      </c>
      <c r="P173" s="75">
        <v>0.1490131582470122</v>
      </c>
      <c r="Q173" s="68"/>
      <c r="R173" s="163"/>
      <c r="S173" s="4"/>
      <c r="T173" s="13" t="s">
        <v>45</v>
      </c>
      <c r="U173" s="8"/>
      <c r="V173" s="163"/>
      <c r="W173" s="75">
        <v>0.1490131582470122</v>
      </c>
      <c r="X173" s="185"/>
      <c r="Y173" s="12"/>
    </row>
    <row r="174" spans="1:25">
      <c r="C174" s="3" t="s">
        <v>42</v>
      </c>
    </row>
    <row r="175" spans="1:25" ht="32.15" customHeight="1">
      <c r="C175" s="179" t="s">
        <v>389</v>
      </c>
      <c r="D175" s="179"/>
      <c r="E175" s="179"/>
      <c r="F175" s="179"/>
      <c r="G175" s="179"/>
      <c r="H175" s="179"/>
      <c r="I175" s="179"/>
      <c r="J175" s="179"/>
      <c r="K175" s="179"/>
      <c r="L175" s="179"/>
      <c r="M175" s="179"/>
      <c r="N175" s="179"/>
      <c r="O175" s="179"/>
      <c r="P175" s="179"/>
      <c r="Q175" s="179"/>
      <c r="R175" s="179"/>
      <c r="S175" s="179"/>
      <c r="T175" s="179"/>
      <c r="U175" s="179"/>
      <c r="V175" s="179"/>
      <c r="W175" s="179"/>
      <c r="X175" s="179"/>
    </row>
    <row r="176" spans="1:25">
      <c r="C176" s="3" t="s">
        <v>343</v>
      </c>
    </row>
    <row r="177" spans="3:3">
      <c r="C177" s="156"/>
    </row>
  </sheetData>
  <mergeCells count="506">
    <mergeCell ref="M6:M8"/>
    <mergeCell ref="R6:R8"/>
    <mergeCell ref="V6:V8"/>
    <mergeCell ref="A9:A11"/>
    <mergeCell ref="B9:B11"/>
    <mergeCell ref="C9:C11"/>
    <mergeCell ref="D9:D11"/>
    <mergeCell ref="I9:I11"/>
    <mergeCell ref="C3:X3"/>
    <mergeCell ref="H4:M4"/>
    <mergeCell ref="Q4:R4"/>
    <mergeCell ref="T4:X4"/>
    <mergeCell ref="A6:A8"/>
    <mergeCell ref="B6:B8"/>
    <mergeCell ref="C6:C8"/>
    <mergeCell ref="D6:D8"/>
    <mergeCell ref="I6:I8"/>
    <mergeCell ref="K6:K8"/>
    <mergeCell ref="K9:K11"/>
    <mergeCell ref="M9:M11"/>
    <mergeCell ref="R9:R11"/>
    <mergeCell ref="V9:V11"/>
    <mergeCell ref="A12:A14"/>
    <mergeCell ref="B12:B14"/>
    <mergeCell ref="C12:C14"/>
    <mergeCell ref="D12:D14"/>
    <mergeCell ref="I12:I14"/>
    <mergeCell ref="K12:K14"/>
    <mergeCell ref="R12:R14"/>
    <mergeCell ref="V12:V14"/>
    <mergeCell ref="A15:A17"/>
    <mergeCell ref="B15:B17"/>
    <mergeCell ref="C15:C17"/>
    <mergeCell ref="D15:D17"/>
    <mergeCell ref="I15:I17"/>
    <mergeCell ref="K15:K17"/>
    <mergeCell ref="M15:M17"/>
    <mergeCell ref="R15:R17"/>
    <mergeCell ref="V15:V17"/>
    <mergeCell ref="R18:R20"/>
    <mergeCell ref="V18:V20"/>
    <mergeCell ref="A21:A23"/>
    <mergeCell ref="B21:B23"/>
    <mergeCell ref="C21:C23"/>
    <mergeCell ref="D21:D23"/>
    <mergeCell ref="I21:I23"/>
    <mergeCell ref="K21:K23"/>
    <mergeCell ref="K24:K26"/>
    <mergeCell ref="M24:M26"/>
    <mergeCell ref="R24:R26"/>
    <mergeCell ref="V24:V26"/>
    <mergeCell ref="A18:A20"/>
    <mergeCell ref="B18:B20"/>
    <mergeCell ref="C18:C20"/>
    <mergeCell ref="D18:D20"/>
    <mergeCell ref="I18:I20"/>
    <mergeCell ref="K18:K20"/>
    <mergeCell ref="M18:M20"/>
    <mergeCell ref="A24:A26"/>
    <mergeCell ref="B24:B26"/>
    <mergeCell ref="C24:C26"/>
    <mergeCell ref="D24:D26"/>
    <mergeCell ref="I24:I26"/>
    <mergeCell ref="X24:X26"/>
    <mergeCell ref="M21:M23"/>
    <mergeCell ref="R21:R23"/>
    <mergeCell ref="V21:V23"/>
    <mergeCell ref="X21:X23"/>
    <mergeCell ref="M27:M29"/>
    <mergeCell ref="R27:R29"/>
    <mergeCell ref="V27:V29"/>
    <mergeCell ref="X27:X29"/>
    <mergeCell ref="A27:A29"/>
    <mergeCell ref="B27:B29"/>
    <mergeCell ref="C27:C29"/>
    <mergeCell ref="D27:D29"/>
    <mergeCell ref="I27:I29"/>
    <mergeCell ref="K27:K29"/>
    <mergeCell ref="A33:A35"/>
    <mergeCell ref="B33:B35"/>
    <mergeCell ref="C33:C35"/>
    <mergeCell ref="D33:D35"/>
    <mergeCell ref="I33:I35"/>
    <mergeCell ref="A30:A32"/>
    <mergeCell ref="B30:B32"/>
    <mergeCell ref="C30:C32"/>
    <mergeCell ref="D30:D32"/>
    <mergeCell ref="I30:I32"/>
    <mergeCell ref="K33:K35"/>
    <mergeCell ref="M33:M35"/>
    <mergeCell ref="R33:R35"/>
    <mergeCell ref="V33:V35"/>
    <mergeCell ref="X33:X35"/>
    <mergeCell ref="M30:M32"/>
    <mergeCell ref="R30:R32"/>
    <mergeCell ref="V30:V32"/>
    <mergeCell ref="X30:X32"/>
    <mergeCell ref="K30:K32"/>
    <mergeCell ref="A36:A38"/>
    <mergeCell ref="B36:B38"/>
    <mergeCell ref="C36:C38"/>
    <mergeCell ref="D36:D38"/>
    <mergeCell ref="I36:I38"/>
    <mergeCell ref="K36:K38"/>
    <mergeCell ref="M36:M38"/>
    <mergeCell ref="R36:R38"/>
    <mergeCell ref="V36:V38"/>
    <mergeCell ref="X39:X41"/>
    <mergeCell ref="A42:A44"/>
    <mergeCell ref="B42:B44"/>
    <mergeCell ref="C42:C44"/>
    <mergeCell ref="D42:D44"/>
    <mergeCell ref="I42:I44"/>
    <mergeCell ref="K42:K44"/>
    <mergeCell ref="M42:M44"/>
    <mergeCell ref="R42:R44"/>
    <mergeCell ref="V42:V44"/>
    <mergeCell ref="A39:A41"/>
    <mergeCell ref="B39:B41"/>
    <mergeCell ref="C39:C41"/>
    <mergeCell ref="D39:D41"/>
    <mergeCell ref="I39:I41"/>
    <mergeCell ref="K39:K41"/>
    <mergeCell ref="M39:M41"/>
    <mergeCell ref="R39:R41"/>
    <mergeCell ref="V39:V41"/>
    <mergeCell ref="X42:X44"/>
    <mergeCell ref="X45:X47"/>
    <mergeCell ref="A48:A50"/>
    <mergeCell ref="B48:B50"/>
    <mergeCell ref="C48:C50"/>
    <mergeCell ref="D48:D50"/>
    <mergeCell ref="I48:I50"/>
    <mergeCell ref="K48:K50"/>
    <mergeCell ref="M48:M50"/>
    <mergeCell ref="R48:R50"/>
    <mergeCell ref="V48:V50"/>
    <mergeCell ref="X48:X50"/>
    <mergeCell ref="A45:A47"/>
    <mergeCell ref="B45:B47"/>
    <mergeCell ref="C45:C47"/>
    <mergeCell ref="D45:D47"/>
    <mergeCell ref="I45:I47"/>
    <mergeCell ref="K45:K47"/>
    <mergeCell ref="M45:M47"/>
    <mergeCell ref="R45:R47"/>
    <mergeCell ref="V45:V47"/>
    <mergeCell ref="A51:A53"/>
    <mergeCell ref="B51:B53"/>
    <mergeCell ref="C51:C53"/>
    <mergeCell ref="D51:D53"/>
    <mergeCell ref="I51:I53"/>
    <mergeCell ref="K51:K53"/>
    <mergeCell ref="R54:R56"/>
    <mergeCell ref="X54:X56"/>
    <mergeCell ref="A57:A59"/>
    <mergeCell ref="B57:B59"/>
    <mergeCell ref="C57:C59"/>
    <mergeCell ref="D57:D59"/>
    <mergeCell ref="I57:I59"/>
    <mergeCell ref="K57:K59"/>
    <mergeCell ref="M51:M53"/>
    <mergeCell ref="R51:R53"/>
    <mergeCell ref="V51:V53"/>
    <mergeCell ref="A54:A56"/>
    <mergeCell ref="B54:B56"/>
    <mergeCell ref="C54:C56"/>
    <mergeCell ref="D54:D56"/>
    <mergeCell ref="I54:I56"/>
    <mergeCell ref="K54:K56"/>
    <mergeCell ref="M54:M56"/>
    <mergeCell ref="M57:M59"/>
    <mergeCell ref="R57:R59"/>
    <mergeCell ref="V57:V59"/>
    <mergeCell ref="X57:X59"/>
    <mergeCell ref="A60:A62"/>
    <mergeCell ref="B60:B62"/>
    <mergeCell ref="C60:C62"/>
    <mergeCell ref="D60:D62"/>
    <mergeCell ref="I60:I62"/>
    <mergeCell ref="K60:K62"/>
    <mergeCell ref="M60:M62"/>
    <mergeCell ref="R60:R62"/>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R78:R80"/>
    <mergeCell ref="V78:V80"/>
    <mergeCell ref="X72:X74"/>
    <mergeCell ref="A75:A77"/>
    <mergeCell ref="B75:B77"/>
    <mergeCell ref="C75:C77"/>
    <mergeCell ref="D75:D77"/>
    <mergeCell ref="I75:I77"/>
    <mergeCell ref="K75:K77"/>
    <mergeCell ref="M75:M77"/>
    <mergeCell ref="R75:R77"/>
    <mergeCell ref="V75:V77"/>
    <mergeCell ref="V81:V83"/>
    <mergeCell ref="A84:A86"/>
    <mergeCell ref="B84:B86"/>
    <mergeCell ref="C84:C86"/>
    <mergeCell ref="D84:D86"/>
    <mergeCell ref="I84:I86"/>
    <mergeCell ref="K84:K86"/>
    <mergeCell ref="R84:R86"/>
    <mergeCell ref="X78:X80"/>
    <mergeCell ref="A81:A83"/>
    <mergeCell ref="B81:B83"/>
    <mergeCell ref="C81:C83"/>
    <mergeCell ref="D81:D83"/>
    <mergeCell ref="I81:I83"/>
    <mergeCell ref="K81:K83"/>
    <mergeCell ref="M81:M83"/>
    <mergeCell ref="R81:R83"/>
    <mergeCell ref="A78:A80"/>
    <mergeCell ref="B78:B80"/>
    <mergeCell ref="C78:C80"/>
    <mergeCell ref="D78:D80"/>
    <mergeCell ref="I78:I80"/>
    <mergeCell ref="K78:K80"/>
    <mergeCell ref="M78:M80"/>
    <mergeCell ref="X84:X86"/>
    <mergeCell ref="A87:A89"/>
    <mergeCell ref="B87:B89"/>
    <mergeCell ref="C87:C89"/>
    <mergeCell ref="D87:D89"/>
    <mergeCell ref="I87:I89"/>
    <mergeCell ref="K87:K89"/>
    <mergeCell ref="M87:M89"/>
    <mergeCell ref="R87:R89"/>
    <mergeCell ref="V87:V89"/>
    <mergeCell ref="A90:A92"/>
    <mergeCell ref="B90:B92"/>
    <mergeCell ref="C90:C92"/>
    <mergeCell ref="D90:D92"/>
    <mergeCell ref="I90:I92"/>
    <mergeCell ref="K90:K92"/>
    <mergeCell ref="R90:R92"/>
    <mergeCell ref="V84:V86"/>
    <mergeCell ref="V90:V92"/>
    <mergeCell ref="A93:A95"/>
    <mergeCell ref="B93:B95"/>
    <mergeCell ref="C93:C95"/>
    <mergeCell ref="D93:D95"/>
    <mergeCell ref="I93:I95"/>
    <mergeCell ref="K93:K95"/>
    <mergeCell ref="M93:M95"/>
    <mergeCell ref="R93:R95"/>
    <mergeCell ref="V93:V95"/>
    <mergeCell ref="M96:M98"/>
    <mergeCell ref="V96:V98"/>
    <mergeCell ref="A99:A101"/>
    <mergeCell ref="B99:B101"/>
    <mergeCell ref="C99:C101"/>
    <mergeCell ref="D99:D101"/>
    <mergeCell ref="I99:I101"/>
    <mergeCell ref="K99:K101"/>
    <mergeCell ref="M99:M101"/>
    <mergeCell ref="V99:V101"/>
    <mergeCell ref="A96:A98"/>
    <mergeCell ref="B96:B98"/>
    <mergeCell ref="C96:C98"/>
    <mergeCell ref="D96:D98"/>
    <mergeCell ref="I96:I98"/>
    <mergeCell ref="K96:K98"/>
    <mergeCell ref="A105:A107"/>
    <mergeCell ref="B105:B107"/>
    <mergeCell ref="C105:C107"/>
    <mergeCell ref="D105:D107"/>
    <mergeCell ref="I105:I107"/>
    <mergeCell ref="A102:A104"/>
    <mergeCell ref="B102:B104"/>
    <mergeCell ref="C102:C104"/>
    <mergeCell ref="D102:D104"/>
    <mergeCell ref="I102:I104"/>
    <mergeCell ref="K105:K107"/>
    <mergeCell ref="M105:M107"/>
    <mergeCell ref="R105:R107"/>
    <mergeCell ref="V105:V107"/>
    <mergeCell ref="X105:X107"/>
    <mergeCell ref="M102:M104"/>
    <mergeCell ref="R102:R104"/>
    <mergeCell ref="V102:V104"/>
    <mergeCell ref="X102:X104"/>
    <mergeCell ref="K102:K104"/>
    <mergeCell ref="A108:A110"/>
    <mergeCell ref="B108:B110"/>
    <mergeCell ref="C108:C110"/>
    <mergeCell ref="D108:D110"/>
    <mergeCell ref="I108:I110"/>
    <mergeCell ref="K108:K110"/>
    <mergeCell ref="M108:M110"/>
    <mergeCell ref="R108:R110"/>
    <mergeCell ref="V108:V110"/>
    <mergeCell ref="M111:M113"/>
    <mergeCell ref="R111:R113"/>
    <mergeCell ref="V111:V113"/>
    <mergeCell ref="A114:A116"/>
    <mergeCell ref="B114:B116"/>
    <mergeCell ref="C114:C116"/>
    <mergeCell ref="D114:D116"/>
    <mergeCell ref="I114:I116"/>
    <mergeCell ref="K114:K116"/>
    <mergeCell ref="M114:M116"/>
    <mergeCell ref="A111:A113"/>
    <mergeCell ref="B111:B113"/>
    <mergeCell ref="C111:C113"/>
    <mergeCell ref="D111:D113"/>
    <mergeCell ref="I111:I113"/>
    <mergeCell ref="K111:K113"/>
    <mergeCell ref="R114:R116"/>
    <mergeCell ref="V114:V116"/>
    <mergeCell ref="X117:X119"/>
    <mergeCell ref="A120:A122"/>
    <mergeCell ref="B120:B122"/>
    <mergeCell ref="C120:C122"/>
    <mergeCell ref="D120:D122"/>
    <mergeCell ref="I120:I122"/>
    <mergeCell ref="K120:K122"/>
    <mergeCell ref="R120:R122"/>
    <mergeCell ref="V120:V122"/>
    <mergeCell ref="A117:A119"/>
    <mergeCell ref="B117:B119"/>
    <mergeCell ref="C117:C119"/>
    <mergeCell ref="D117:D119"/>
    <mergeCell ref="I117:I119"/>
    <mergeCell ref="K117:K119"/>
    <mergeCell ref="M117:M119"/>
    <mergeCell ref="R117:R119"/>
    <mergeCell ref="V117:V119"/>
    <mergeCell ref="M123:M125"/>
    <mergeCell ref="X123:X125"/>
    <mergeCell ref="A126:A128"/>
    <mergeCell ref="B126:B128"/>
    <mergeCell ref="C126:C128"/>
    <mergeCell ref="D126:D128"/>
    <mergeCell ref="I126:I128"/>
    <mergeCell ref="K126:K128"/>
    <mergeCell ref="M126:M128"/>
    <mergeCell ref="V126:V128"/>
    <mergeCell ref="A123:A125"/>
    <mergeCell ref="B123:B125"/>
    <mergeCell ref="C123:C125"/>
    <mergeCell ref="D123:D125"/>
    <mergeCell ref="I123:I125"/>
    <mergeCell ref="K123:K125"/>
    <mergeCell ref="X126:X128"/>
    <mergeCell ref="A129:A131"/>
    <mergeCell ref="B129:B131"/>
    <mergeCell ref="C129:C131"/>
    <mergeCell ref="D129:D131"/>
    <mergeCell ref="I129:I131"/>
    <mergeCell ref="K129:K131"/>
    <mergeCell ref="R129:R131"/>
    <mergeCell ref="V129:V131"/>
    <mergeCell ref="X129:X131"/>
    <mergeCell ref="M132:M134"/>
    <mergeCell ref="R132:R134"/>
    <mergeCell ref="V132:V134"/>
    <mergeCell ref="X132:X134"/>
    <mergeCell ref="A135:A137"/>
    <mergeCell ref="B135:B137"/>
    <mergeCell ref="C135:C137"/>
    <mergeCell ref="D135:D137"/>
    <mergeCell ref="I135:I137"/>
    <mergeCell ref="K135:K137"/>
    <mergeCell ref="A132:A134"/>
    <mergeCell ref="B132:B134"/>
    <mergeCell ref="C132:C134"/>
    <mergeCell ref="D132:D134"/>
    <mergeCell ref="I132:I134"/>
    <mergeCell ref="K132:K134"/>
    <mergeCell ref="M135:M137"/>
    <mergeCell ref="R135:R137"/>
    <mergeCell ref="V135:V137"/>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A144:A146"/>
    <mergeCell ref="B144:B146"/>
    <mergeCell ref="C144:C146"/>
    <mergeCell ref="D144:D146"/>
    <mergeCell ref="I144:I146"/>
    <mergeCell ref="K144:K146"/>
    <mergeCell ref="R144:R146"/>
    <mergeCell ref="V144:V146"/>
    <mergeCell ref="X144:X146"/>
    <mergeCell ref="A147:A149"/>
    <mergeCell ref="B147:B149"/>
    <mergeCell ref="C147:C149"/>
    <mergeCell ref="D147:D149"/>
    <mergeCell ref="I147:I149"/>
    <mergeCell ref="K147:K149"/>
    <mergeCell ref="R147:R149"/>
    <mergeCell ref="R150:R152"/>
    <mergeCell ref="A153:A155"/>
    <mergeCell ref="B153:B155"/>
    <mergeCell ref="C153:C155"/>
    <mergeCell ref="D153:D155"/>
    <mergeCell ref="I153:I155"/>
    <mergeCell ref="K153:K155"/>
    <mergeCell ref="M153:M155"/>
    <mergeCell ref="R153:R155"/>
    <mergeCell ref="A150:A152"/>
    <mergeCell ref="B150:B152"/>
    <mergeCell ref="C150:C152"/>
    <mergeCell ref="D150:D152"/>
    <mergeCell ref="I150:I152"/>
    <mergeCell ref="K150:K152"/>
    <mergeCell ref="R156:R158"/>
    <mergeCell ref="A159:A161"/>
    <mergeCell ref="B159:B161"/>
    <mergeCell ref="C159:C161"/>
    <mergeCell ref="D159:D161"/>
    <mergeCell ref="I159:I161"/>
    <mergeCell ref="K159:K161"/>
    <mergeCell ref="M159:M161"/>
    <mergeCell ref="A156:A158"/>
    <mergeCell ref="B156:B158"/>
    <mergeCell ref="C156:C158"/>
    <mergeCell ref="D156:D158"/>
    <mergeCell ref="I156:I158"/>
    <mergeCell ref="K156:K158"/>
    <mergeCell ref="V159:V161"/>
    <mergeCell ref="X159:X161"/>
    <mergeCell ref="A162:A164"/>
    <mergeCell ref="B162:B164"/>
    <mergeCell ref="C162:C164"/>
    <mergeCell ref="D162:D164"/>
    <mergeCell ref="I162:I164"/>
    <mergeCell ref="K162:K164"/>
    <mergeCell ref="M162:M164"/>
    <mergeCell ref="A165:A167"/>
    <mergeCell ref="B165:B167"/>
    <mergeCell ref="C165:C167"/>
    <mergeCell ref="I165:I167"/>
    <mergeCell ref="K165:K167"/>
    <mergeCell ref="A168:A170"/>
    <mergeCell ref="B168:B170"/>
    <mergeCell ref="C168:C170"/>
    <mergeCell ref="D168:D170"/>
    <mergeCell ref="I168:I170"/>
    <mergeCell ref="M171:M173"/>
    <mergeCell ref="X171:X173"/>
    <mergeCell ref="C175:X175"/>
    <mergeCell ref="K168:K170"/>
    <mergeCell ref="M168:M170"/>
    <mergeCell ref="R168:R170"/>
    <mergeCell ref="V168:V170"/>
    <mergeCell ref="A171:A173"/>
    <mergeCell ref="B171:B173"/>
    <mergeCell ref="C171:C173"/>
    <mergeCell ref="D171:D173"/>
    <mergeCell ref="I171:I173"/>
    <mergeCell ref="K171:K173"/>
  </mergeCells>
  <pageMargins left="0.7" right="0.7" top="0.75" bottom="0.75" header="0.3" footer="0.3"/>
  <pageSetup scale="38" fitToHeight="0" orientation="landscape" r:id="rId1"/>
  <rowBreaks count="10" manualBreakCount="10">
    <brk id="23" min="2" max="23" man="1"/>
    <brk id="32" min="2" max="23" man="1"/>
    <brk id="41" min="2" max="23" man="1"/>
    <brk id="53" min="2" max="23" man="1"/>
    <brk id="80" min="2" max="23" man="1"/>
    <brk id="95" min="2" max="23" man="1"/>
    <brk id="110" min="2" max="23" man="1"/>
    <brk id="128" min="2" max="23" man="1"/>
    <brk id="146" min="2" max="23" man="1"/>
    <brk id="170" min="2" max="23" man="1"/>
  </rowBreaks>
  <colBreaks count="1" manualBreakCount="1">
    <brk id="2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55629-79D3-48D1-A80A-D601493DDA55}">
  <sheetPr>
    <pageSetUpPr fitToPage="1"/>
  </sheetPr>
  <dimension ref="A1:W34"/>
  <sheetViews>
    <sheetView showGridLines="0" tabSelected="1" view="pageBreakPreview" zoomScaleNormal="100" zoomScaleSheetLayoutView="100" workbookViewId="0">
      <selection activeCell="I27" sqref="I27:K28"/>
    </sheetView>
  </sheetViews>
  <sheetFormatPr baseColWidth="10" defaultColWidth="9.1796875" defaultRowHeight="12.5"/>
  <cols>
    <col min="1" max="1" width="3.453125" customWidth="1"/>
    <col min="2" max="2" width="26.54296875" customWidth="1"/>
    <col min="3" max="3" width="8" customWidth="1"/>
    <col min="4" max="4" width="12.08984375" customWidth="1"/>
    <col min="5" max="5" width="18.7265625" customWidth="1"/>
    <col min="6" max="6" width="13" customWidth="1"/>
    <col min="7" max="7" width="2.1796875" customWidth="1"/>
    <col min="8" max="8" width="12.90625" customWidth="1"/>
    <col min="9" max="9" width="18.81640625" customWidth="1"/>
    <col min="10" max="10" width="9.26953125" customWidth="1"/>
    <col min="11" max="11" width="9.54296875" bestFit="1" customWidth="1"/>
    <col min="12" max="12" width="2.1796875" customWidth="1"/>
    <col min="13" max="13" width="1.26953125" customWidth="1"/>
    <col min="14" max="14" width="6.81640625" customWidth="1"/>
    <col min="15" max="15" width="5.81640625" customWidth="1"/>
    <col min="16" max="16" width="8" bestFit="1" customWidth="1"/>
    <col min="17" max="17" width="9.81640625" customWidth="1"/>
    <col min="18" max="18" width="1.81640625" customWidth="1"/>
    <col min="19" max="19" width="6.7265625" customWidth="1"/>
    <col min="20" max="20" width="18.81640625" customWidth="1"/>
    <col min="21" max="21" width="1.54296875" customWidth="1"/>
    <col min="22" max="22" width="8.81640625" customWidth="1"/>
    <col min="23" max="23" width="9.7265625" customWidth="1"/>
    <col min="24" max="24" width="1.54296875" customWidth="1"/>
  </cols>
  <sheetData>
    <row r="1" spans="1:23" ht="15.75" customHeight="1">
      <c r="B1" s="79" t="s">
        <v>344</v>
      </c>
    </row>
    <row r="2" spans="1:23" ht="15.75" customHeight="1">
      <c r="B2" s="86" t="s">
        <v>247</v>
      </c>
    </row>
    <row r="3" spans="1:23" ht="15.75" customHeight="1">
      <c r="B3" s="231" t="s">
        <v>61</v>
      </c>
      <c r="C3" s="232"/>
      <c r="D3" s="232"/>
      <c r="E3" s="232"/>
      <c r="F3" s="232"/>
      <c r="G3" s="232"/>
      <c r="H3" s="232"/>
      <c r="I3" s="232"/>
      <c r="J3" s="232"/>
      <c r="K3" s="232"/>
      <c r="L3" s="87"/>
      <c r="M3" s="231" t="s">
        <v>63</v>
      </c>
      <c r="N3" s="232"/>
      <c r="O3" s="232"/>
      <c r="P3" s="232"/>
      <c r="Q3" s="232"/>
      <c r="R3" s="232"/>
      <c r="S3" s="232"/>
      <c r="T3" s="232"/>
      <c r="U3" s="232"/>
      <c r="V3" s="232"/>
      <c r="W3" s="232"/>
    </row>
    <row r="4" spans="1:23" ht="11.15" customHeight="1">
      <c r="A4" s="80"/>
      <c r="B4" s="149"/>
      <c r="C4" s="227" t="s">
        <v>109</v>
      </c>
      <c r="D4" s="227"/>
      <c r="E4" s="227"/>
      <c r="F4" s="227"/>
      <c r="G4" s="88"/>
      <c r="H4" s="228" t="s">
        <v>246</v>
      </c>
      <c r="I4" s="228"/>
      <c r="J4" s="228"/>
      <c r="K4" s="228"/>
      <c r="L4" s="88"/>
      <c r="M4" s="89"/>
      <c r="N4" s="227" t="s">
        <v>109</v>
      </c>
      <c r="O4" s="227"/>
      <c r="P4" s="227"/>
      <c r="Q4" s="227"/>
      <c r="R4" s="88"/>
      <c r="S4" s="228" t="s">
        <v>246</v>
      </c>
      <c r="T4" s="228"/>
      <c r="U4" s="228"/>
      <c r="V4" s="228"/>
      <c r="W4" s="228"/>
    </row>
    <row r="5" spans="1:23" ht="27" customHeight="1">
      <c r="A5" s="80"/>
      <c r="B5" s="149"/>
      <c r="C5" s="228" t="s">
        <v>243</v>
      </c>
      <c r="D5" s="228"/>
      <c r="E5" s="228"/>
      <c r="F5" s="229" t="s">
        <v>244</v>
      </c>
      <c r="G5" s="88"/>
      <c r="H5" s="150"/>
      <c r="I5" s="225" t="s">
        <v>250</v>
      </c>
      <c r="J5" s="227" t="s">
        <v>47</v>
      </c>
      <c r="K5" s="227"/>
      <c r="L5" s="88"/>
      <c r="M5" s="89"/>
      <c r="N5" s="228" t="s">
        <v>243</v>
      </c>
      <c r="O5" s="228"/>
      <c r="P5" s="228"/>
      <c r="Q5" s="229" t="s">
        <v>244</v>
      </c>
      <c r="R5" s="88"/>
      <c r="S5" s="150"/>
      <c r="T5" s="225" t="s">
        <v>250</v>
      </c>
      <c r="U5" s="150"/>
      <c r="V5" s="227" t="s">
        <v>47</v>
      </c>
      <c r="W5" s="227"/>
    </row>
    <row r="6" spans="1:23" ht="29.5" customHeight="1">
      <c r="A6" s="80"/>
      <c r="B6" s="90"/>
      <c r="C6" s="91" t="s">
        <v>59</v>
      </c>
      <c r="D6" s="172" t="s">
        <v>242</v>
      </c>
      <c r="E6" s="172" t="s">
        <v>245</v>
      </c>
      <c r="F6" s="230"/>
      <c r="G6" s="92"/>
      <c r="H6" s="93" t="s">
        <v>59</v>
      </c>
      <c r="I6" s="226"/>
      <c r="J6" s="94" t="s">
        <v>110</v>
      </c>
      <c r="K6" s="94" t="s">
        <v>111</v>
      </c>
      <c r="L6" s="95"/>
      <c r="M6" s="96"/>
      <c r="N6" s="91" t="s">
        <v>59</v>
      </c>
      <c r="O6" s="172" t="s">
        <v>242</v>
      </c>
      <c r="P6" s="172" t="s">
        <v>245</v>
      </c>
      <c r="Q6" s="230"/>
      <c r="R6" s="92"/>
      <c r="S6" s="93" t="s">
        <v>59</v>
      </c>
      <c r="T6" s="226"/>
      <c r="U6" s="94"/>
      <c r="V6" s="94" t="s">
        <v>110</v>
      </c>
      <c r="W6" s="172" t="s">
        <v>111</v>
      </c>
    </row>
    <row r="7" spans="1:23">
      <c r="A7" s="80"/>
      <c r="B7" s="82" t="s">
        <v>248</v>
      </c>
      <c r="C7" s="80"/>
      <c r="D7" s="80"/>
      <c r="E7" s="80"/>
      <c r="F7" s="80"/>
      <c r="G7" s="80"/>
      <c r="H7" s="80"/>
      <c r="I7" s="80"/>
      <c r="J7" s="80"/>
      <c r="K7" s="80"/>
    </row>
    <row r="8" spans="1:23">
      <c r="A8" s="80"/>
      <c r="B8" s="83" t="s">
        <v>0</v>
      </c>
      <c r="C8" s="233">
        <v>110.3718152195127</v>
      </c>
      <c r="D8" s="234">
        <v>3.2712452643601866</v>
      </c>
      <c r="E8" s="234">
        <v>107.10056995515251</v>
      </c>
      <c r="F8" s="234" t="s">
        <v>62</v>
      </c>
      <c r="G8" s="234"/>
      <c r="H8" s="233">
        <v>22.898716850521307</v>
      </c>
      <c r="I8" s="234">
        <v>9.8137357930805607</v>
      </c>
      <c r="J8" s="234">
        <v>13.084981057440746</v>
      </c>
      <c r="K8" s="234" t="s">
        <v>62</v>
      </c>
      <c r="L8" s="235"/>
      <c r="M8" s="235"/>
      <c r="N8" s="236">
        <v>8.8396643581259351</v>
      </c>
      <c r="O8" s="237">
        <v>0.2619936087174255</v>
      </c>
      <c r="P8" s="237">
        <v>8.5776707494085098</v>
      </c>
      <c r="Q8" s="237" t="s">
        <v>62</v>
      </c>
      <c r="R8" s="237"/>
      <c r="S8" s="236">
        <v>1.8339552610219787</v>
      </c>
      <c r="T8" s="237">
        <v>0.78598082615227649</v>
      </c>
      <c r="U8" s="237"/>
      <c r="V8" s="237">
        <v>1.047974434869702</v>
      </c>
      <c r="W8" s="237" t="s">
        <v>62</v>
      </c>
    </row>
    <row r="9" spans="1:23">
      <c r="A9" s="80"/>
      <c r="B9" s="83" t="s">
        <v>1</v>
      </c>
      <c r="C9" s="233">
        <v>86.382126693131013</v>
      </c>
      <c r="D9" s="234">
        <v>2.8794042231043675</v>
      </c>
      <c r="E9" s="234">
        <v>83.502722470026654</v>
      </c>
      <c r="F9" s="234">
        <v>61.187339740967808</v>
      </c>
      <c r="G9" s="234"/>
      <c r="H9" s="233">
        <v>50.389573904326426</v>
      </c>
      <c r="I9" s="234">
        <v>3.599255278880459</v>
      </c>
      <c r="J9" s="234">
        <v>46.79031862544597</v>
      </c>
      <c r="K9" s="234" t="s">
        <v>62</v>
      </c>
      <c r="L9" s="235"/>
      <c r="M9" s="235"/>
      <c r="N9" s="236">
        <v>5.6445518946679822</v>
      </c>
      <c r="O9" s="237">
        <v>0.18815172982226605</v>
      </c>
      <c r="P9" s="237">
        <v>5.4564001648457161</v>
      </c>
      <c r="Q9" s="237">
        <v>3.9982242587231536</v>
      </c>
      <c r="R9" s="237"/>
      <c r="S9" s="236">
        <v>3.292655271889656</v>
      </c>
      <c r="T9" s="237">
        <v>0.23518966227783258</v>
      </c>
      <c r="U9" s="237"/>
      <c r="V9" s="237">
        <v>3.0574656096118233</v>
      </c>
      <c r="W9" s="237" t="s">
        <v>62</v>
      </c>
    </row>
    <row r="10" spans="1:23">
      <c r="A10" s="80"/>
      <c r="B10" s="83" t="s">
        <v>2</v>
      </c>
      <c r="C10" s="233">
        <v>62.619277635451212</v>
      </c>
      <c r="D10" s="234">
        <v>8.7426565634137816</v>
      </c>
      <c r="E10" s="234">
        <v>53.87662107203743</v>
      </c>
      <c r="F10" s="234">
        <v>60.652179908683117</v>
      </c>
      <c r="G10" s="234"/>
      <c r="H10" s="233">
        <v>380.30556050849952</v>
      </c>
      <c r="I10" s="234">
        <v>22.949473478961178</v>
      </c>
      <c r="J10" s="234">
        <v>357.35608702953834</v>
      </c>
      <c r="K10" s="234" t="s">
        <v>62</v>
      </c>
      <c r="L10" s="235"/>
      <c r="M10" s="235"/>
      <c r="N10" s="236">
        <v>2.6637277798530086</v>
      </c>
      <c r="O10" s="237">
        <v>0.37189916647162424</v>
      </c>
      <c r="P10" s="237">
        <v>2.2918286133813845</v>
      </c>
      <c r="Q10" s="237">
        <v>2.5800504673968931</v>
      </c>
      <c r="R10" s="237"/>
      <c r="S10" s="236">
        <v>16.177613741515657</v>
      </c>
      <c r="T10" s="237">
        <v>0.97623531198801372</v>
      </c>
      <c r="U10" s="237"/>
      <c r="V10" s="237">
        <v>15.201378429527642</v>
      </c>
      <c r="W10" s="237" t="s">
        <v>62</v>
      </c>
    </row>
    <row r="11" spans="1:23">
      <c r="A11" s="80"/>
      <c r="B11" s="83" t="s">
        <v>3</v>
      </c>
      <c r="C11" s="233">
        <v>332.220949409723</v>
      </c>
      <c r="D11" s="234">
        <v>25.135137619814568</v>
      </c>
      <c r="E11" s="234">
        <v>307.0858117899084</v>
      </c>
      <c r="F11" s="234" t="s">
        <v>62</v>
      </c>
      <c r="G11" s="234"/>
      <c r="H11" s="233">
        <v>1114.6887118352547</v>
      </c>
      <c r="I11" s="234">
        <v>218.56641408534406</v>
      </c>
      <c r="J11" s="234">
        <v>896.12229774991067</v>
      </c>
      <c r="K11" s="234" t="s">
        <v>62</v>
      </c>
      <c r="L11" s="235"/>
      <c r="M11" s="235"/>
      <c r="N11" s="236">
        <v>9.3923899799064596</v>
      </c>
      <c r="O11" s="237">
        <v>0.71060845242713355</v>
      </c>
      <c r="P11" s="237">
        <v>8.6817815274793269</v>
      </c>
      <c r="Q11" s="237" t="s">
        <v>62</v>
      </c>
      <c r="R11" s="237"/>
      <c r="S11" s="236">
        <v>31.513940064159836</v>
      </c>
      <c r="T11" s="237">
        <v>6.1792039341489868</v>
      </c>
      <c r="U11" s="237"/>
      <c r="V11" s="237">
        <v>25.33473613001085</v>
      </c>
      <c r="W11" s="237" t="s">
        <v>62</v>
      </c>
    </row>
    <row r="12" spans="1:23">
      <c r="A12" s="80"/>
      <c r="B12" s="83" t="s">
        <v>4</v>
      </c>
      <c r="C12" s="233">
        <v>60.105763873469755</v>
      </c>
      <c r="D12" s="234">
        <v>7.103408457773698</v>
      </c>
      <c r="E12" s="234">
        <v>53.002355415696051</v>
      </c>
      <c r="F12" s="234">
        <v>7.6498244929870598</v>
      </c>
      <c r="G12" s="234"/>
      <c r="H12" s="233">
        <v>582.80734315857126</v>
      </c>
      <c r="I12" s="234">
        <v>3.6063458324081847</v>
      </c>
      <c r="J12" s="234">
        <v>579.20099732616302</v>
      </c>
      <c r="K12" s="234" t="s">
        <v>62</v>
      </c>
      <c r="L12" s="235"/>
      <c r="M12" s="235"/>
      <c r="N12" s="236">
        <v>3.5054154811260818</v>
      </c>
      <c r="O12" s="237">
        <v>0.41427637504217335</v>
      </c>
      <c r="P12" s="237">
        <v>3.0911391060839088</v>
      </c>
      <c r="Q12" s="237">
        <v>0.44614378850695591</v>
      </c>
      <c r="R12" s="237"/>
      <c r="S12" s="236">
        <v>33.98978320153708</v>
      </c>
      <c r="T12" s="237">
        <v>0.2103249288675649</v>
      </c>
      <c r="U12" s="237"/>
      <c r="V12" s="237">
        <v>33.779458272669515</v>
      </c>
      <c r="W12" s="237" t="s">
        <v>62</v>
      </c>
    </row>
    <row r="13" spans="1:23">
      <c r="A13" s="80"/>
      <c r="B13" s="83" t="s">
        <v>5</v>
      </c>
      <c r="C13" s="233">
        <v>551.10682418759711</v>
      </c>
      <c r="D13" s="234">
        <v>38.427516652536532</v>
      </c>
      <c r="E13" s="234">
        <v>512.67930753506062</v>
      </c>
      <c r="F13" s="234">
        <v>243.68669096730486</v>
      </c>
      <c r="G13" s="234"/>
      <c r="H13" s="233">
        <v>1168.7588601393429</v>
      </c>
      <c r="I13" s="234" t="s">
        <v>62</v>
      </c>
      <c r="J13" s="234">
        <v>147.1492710841033</v>
      </c>
      <c r="K13" s="234">
        <v>1021.6095890552396</v>
      </c>
      <c r="L13" s="235"/>
      <c r="M13" s="235"/>
      <c r="N13" s="236">
        <v>11.330991365634006</v>
      </c>
      <c r="O13" s="237">
        <v>0.7900861326377453</v>
      </c>
      <c r="P13" s="237">
        <v>10.540905232996261</v>
      </c>
      <c r="Q13" s="237">
        <v>5.0103023045320434</v>
      </c>
      <c r="R13" s="237"/>
      <c r="S13" s="236">
        <v>24.030180668274838</v>
      </c>
      <c r="T13" s="237" t="s">
        <v>62</v>
      </c>
      <c r="U13" s="237"/>
      <c r="V13" s="237">
        <v>3.0254517761981954</v>
      </c>
      <c r="W13" s="237">
        <v>21.004728892076642</v>
      </c>
    </row>
    <row r="14" spans="1:23">
      <c r="A14" s="80"/>
      <c r="B14" s="83" t="s">
        <v>6</v>
      </c>
      <c r="C14" s="233">
        <v>47.759348551253893</v>
      </c>
      <c r="D14" s="234">
        <v>3.7812909352111514</v>
      </c>
      <c r="E14" s="234">
        <v>43.97805761604274</v>
      </c>
      <c r="F14" s="234">
        <v>27.126652361297392</v>
      </c>
      <c r="G14" s="234"/>
      <c r="H14" s="233">
        <v>148.86778007972597</v>
      </c>
      <c r="I14" s="234" t="s">
        <v>62</v>
      </c>
      <c r="J14" s="234">
        <v>28.03087410667397</v>
      </c>
      <c r="K14" s="234">
        <v>120.83690597305201</v>
      </c>
      <c r="L14" s="235"/>
      <c r="M14" s="235"/>
      <c r="N14" s="236">
        <v>3.1136761983892827</v>
      </c>
      <c r="O14" s="237">
        <v>0.24652169556954734</v>
      </c>
      <c r="P14" s="237">
        <v>2.8671545028197354</v>
      </c>
      <c r="Q14" s="237">
        <v>1.7685252073467526</v>
      </c>
      <c r="R14" s="237"/>
      <c r="S14" s="236">
        <v>9.7054519712271787</v>
      </c>
      <c r="T14" s="237" t="s">
        <v>62</v>
      </c>
      <c r="U14" s="237"/>
      <c r="V14" s="237">
        <v>1.8274760475916447</v>
      </c>
      <c r="W14" s="237">
        <v>7.8779759236355344</v>
      </c>
    </row>
    <row r="15" spans="1:23">
      <c r="A15" s="80"/>
      <c r="B15" s="83" t="s">
        <v>28</v>
      </c>
      <c r="C15" s="233">
        <v>39.77908736353271</v>
      </c>
      <c r="D15" s="234">
        <v>4.6991779028349079</v>
      </c>
      <c r="E15" s="234">
        <v>35.079909460697799</v>
      </c>
      <c r="F15" s="234" t="s">
        <v>62</v>
      </c>
      <c r="G15" s="234"/>
      <c r="H15" s="233">
        <v>125.70191606876337</v>
      </c>
      <c r="I15" s="234">
        <v>0.13551117673291363</v>
      </c>
      <c r="J15" s="234">
        <v>114.63808418776323</v>
      </c>
      <c r="K15" s="234">
        <v>10.928320704267227</v>
      </c>
      <c r="L15" s="235"/>
      <c r="M15" s="235"/>
      <c r="N15" s="236">
        <v>3.3641995153395459</v>
      </c>
      <c r="O15" s="237">
        <v>0.39741917351538592</v>
      </c>
      <c r="P15" s="237">
        <v>2.9667803418241601</v>
      </c>
      <c r="Q15" s="237" t="s">
        <v>62</v>
      </c>
      <c r="R15" s="237"/>
      <c r="S15" s="236">
        <v>10.630870468472963</v>
      </c>
      <c r="T15" s="237">
        <v>1.146045988742043E-2</v>
      </c>
      <c r="U15" s="237"/>
      <c r="V15" s="237">
        <v>9.6951793725032509</v>
      </c>
      <c r="W15" s="237">
        <v>0.92423063608229272</v>
      </c>
    </row>
    <row r="16" spans="1:23">
      <c r="A16" s="80"/>
      <c r="B16" s="83" t="s">
        <v>7</v>
      </c>
      <c r="C16" s="233">
        <v>154.61878438359881</v>
      </c>
      <c r="D16" s="234">
        <v>8.1966584492510197</v>
      </c>
      <c r="E16" s="234">
        <v>146.42212593434778</v>
      </c>
      <c r="F16" s="234" t="s">
        <v>62</v>
      </c>
      <c r="G16" s="234"/>
      <c r="H16" s="233">
        <v>423.49401987796938</v>
      </c>
      <c r="I16" s="234">
        <v>1.2419179468562151</v>
      </c>
      <c r="J16" s="234">
        <v>422.2521019311132</v>
      </c>
      <c r="K16" s="234" t="s">
        <v>62</v>
      </c>
      <c r="L16" s="235"/>
      <c r="M16" s="235"/>
      <c r="N16" s="236">
        <v>6.1639950739120586</v>
      </c>
      <c r="O16" s="237">
        <v>0.32676600391822963</v>
      </c>
      <c r="P16" s="237">
        <v>5.8372290699938292</v>
      </c>
      <c r="Q16" s="237" t="s">
        <v>62</v>
      </c>
      <c r="R16" s="237"/>
      <c r="S16" s="236">
        <v>16.882910202441863</v>
      </c>
      <c r="T16" s="237">
        <v>4.9510000593671159E-2</v>
      </c>
      <c r="U16" s="237"/>
      <c r="V16" s="237">
        <v>16.833400201848196</v>
      </c>
      <c r="W16" s="237" t="s">
        <v>62</v>
      </c>
    </row>
    <row r="17" spans="1:23">
      <c r="A17" s="80"/>
      <c r="B17" s="83" t="s">
        <v>8</v>
      </c>
      <c r="C17" s="233">
        <v>2443</v>
      </c>
      <c r="D17" s="234">
        <v>304</v>
      </c>
      <c r="E17" s="234">
        <v>2139</v>
      </c>
      <c r="F17" s="234" t="s">
        <v>62</v>
      </c>
      <c r="G17" s="234"/>
      <c r="H17" s="233">
        <v>510</v>
      </c>
      <c r="I17" s="234">
        <v>56</v>
      </c>
      <c r="J17" s="234">
        <v>454</v>
      </c>
      <c r="K17" s="234" t="s">
        <v>62</v>
      </c>
      <c r="L17" s="235"/>
      <c r="M17" s="235"/>
      <c r="N17" s="236">
        <v>12.284407153405569</v>
      </c>
      <c r="O17" s="237">
        <v>1.528636829568274</v>
      </c>
      <c r="P17" s="237">
        <v>10.755770323837295</v>
      </c>
      <c r="Q17" s="237" t="s">
        <v>62</v>
      </c>
      <c r="R17" s="237"/>
      <c r="S17" s="236">
        <v>2.5644894180257225</v>
      </c>
      <c r="T17" s="237">
        <v>0.28159099492047152</v>
      </c>
      <c r="U17" s="237"/>
      <c r="V17" s="237">
        <v>2.2828984231052512</v>
      </c>
      <c r="W17" s="237" t="s">
        <v>62</v>
      </c>
    </row>
    <row r="18" spans="1:23">
      <c r="B18" s="83" t="s">
        <v>14</v>
      </c>
      <c r="C18" s="233">
        <v>6.8583816139161318</v>
      </c>
      <c r="D18" s="234">
        <v>1.8624254212942652</v>
      </c>
      <c r="E18" s="234">
        <v>4.9959561926218665</v>
      </c>
      <c r="F18" s="234">
        <v>2.1604134887013475</v>
      </c>
      <c r="G18" s="234"/>
      <c r="H18" s="233">
        <v>4.7957454598327329</v>
      </c>
      <c r="I18" s="234">
        <v>1.7693041502295519</v>
      </c>
      <c r="J18" s="234" t="s">
        <v>62</v>
      </c>
      <c r="K18" s="234">
        <v>3.026441309603181</v>
      </c>
      <c r="L18" s="235"/>
      <c r="M18" s="235"/>
      <c r="N18" s="236">
        <v>0.65471013968229408</v>
      </c>
      <c r="O18" s="237">
        <v>0.17778958307733717</v>
      </c>
      <c r="P18" s="237">
        <v>0.47692055660495697</v>
      </c>
      <c r="Q18" s="237">
        <v>0.20623591636971111</v>
      </c>
      <c r="R18" s="237"/>
      <c r="S18" s="236">
        <v>0.45780817642414318</v>
      </c>
      <c r="T18" s="237">
        <v>0.1689001039234703</v>
      </c>
      <c r="U18" s="237"/>
      <c r="V18" s="237" t="s">
        <v>62</v>
      </c>
      <c r="W18" s="237">
        <v>0.28890807250067285</v>
      </c>
    </row>
    <row r="19" spans="1:23">
      <c r="B19" s="83" t="s">
        <v>18</v>
      </c>
      <c r="C19" s="233">
        <v>1.6541353383458646</v>
      </c>
      <c r="D19" s="234" t="s">
        <v>62</v>
      </c>
      <c r="E19" s="234">
        <v>1.6541353383458646</v>
      </c>
      <c r="F19" s="234">
        <v>9.9097744360902258</v>
      </c>
      <c r="G19" s="234"/>
      <c r="H19" s="233">
        <v>63.293233082706763</v>
      </c>
      <c r="I19" s="234">
        <v>3.007518796992481</v>
      </c>
      <c r="J19" s="234">
        <v>44.81203007518797</v>
      </c>
      <c r="K19" s="234">
        <v>15.473684210526315</v>
      </c>
      <c r="L19" s="235"/>
      <c r="M19" s="235"/>
      <c r="N19" s="236">
        <v>0.23907437703979553</v>
      </c>
      <c r="O19" s="237" t="s">
        <v>62</v>
      </c>
      <c r="P19" s="237">
        <v>0.23907437703979553</v>
      </c>
      <c r="Q19" s="237">
        <v>1.4322728588111389</v>
      </c>
      <c r="R19" s="237"/>
      <c r="S19" s="236">
        <v>9.1478550269136303</v>
      </c>
      <c r="T19" s="237">
        <v>0.43468068552690098</v>
      </c>
      <c r="U19" s="237"/>
      <c r="V19" s="237">
        <v>6.4767422143508249</v>
      </c>
      <c r="W19" s="237">
        <v>2.2364321270359055</v>
      </c>
    </row>
    <row r="20" spans="1:23">
      <c r="B20" s="83" t="s">
        <v>71</v>
      </c>
      <c r="C20" s="233">
        <v>15.736781814144809</v>
      </c>
      <c r="D20" s="234">
        <v>2.2949473478961178</v>
      </c>
      <c r="E20" s="234">
        <v>13.441834466248691</v>
      </c>
      <c r="F20" s="234">
        <v>12.021152774693951</v>
      </c>
      <c r="G20" s="234"/>
      <c r="H20" s="233">
        <v>56.827267662189584</v>
      </c>
      <c r="I20" s="234" t="s">
        <v>62</v>
      </c>
      <c r="J20" s="234">
        <v>56.827267662189584</v>
      </c>
      <c r="K20" s="234" t="s">
        <v>62</v>
      </c>
      <c r="L20" s="235"/>
      <c r="M20" s="235"/>
      <c r="N20" s="236">
        <v>3.3579240772567021</v>
      </c>
      <c r="O20" s="237">
        <v>0.4896972612666024</v>
      </c>
      <c r="P20" s="237">
        <v>2.8682268159900994</v>
      </c>
      <c r="Q20" s="237">
        <v>2.5650808923488695</v>
      </c>
      <c r="R20" s="237"/>
      <c r="S20" s="236">
        <v>12.125836945649201</v>
      </c>
      <c r="T20" s="237" t="s">
        <v>62</v>
      </c>
      <c r="U20" s="237"/>
      <c r="V20" s="237">
        <v>12.125836945649201</v>
      </c>
      <c r="W20" s="237" t="s">
        <v>62</v>
      </c>
    </row>
    <row r="21" spans="1:23">
      <c r="B21" s="84" t="s">
        <v>65</v>
      </c>
      <c r="C21" s="233">
        <v>10.960523548524858</v>
      </c>
      <c r="D21" s="234">
        <v>1.9079429880765493</v>
      </c>
      <c r="E21" s="234">
        <v>9.0525805604483072</v>
      </c>
      <c r="F21" s="234" t="s">
        <v>62</v>
      </c>
      <c r="G21" s="234"/>
      <c r="H21" s="233">
        <v>20.329741455930552</v>
      </c>
      <c r="I21" s="234">
        <v>3.2475625328962539E-2</v>
      </c>
      <c r="J21" s="234">
        <v>20.297265830601589</v>
      </c>
      <c r="K21" s="234" t="s">
        <v>62</v>
      </c>
      <c r="L21" s="235"/>
      <c r="M21" s="235"/>
      <c r="N21" s="236">
        <v>5.0183115684894384</v>
      </c>
      <c r="O21" s="237">
        <v>0.8735579397000135</v>
      </c>
      <c r="P21" s="237">
        <v>4.1447536287894255</v>
      </c>
      <c r="Q21" s="237" t="s">
        <v>62</v>
      </c>
      <c r="R21" s="237"/>
      <c r="S21" s="236">
        <v>9.3080386425907822</v>
      </c>
      <c r="T21" s="237">
        <v>1.4869071314042782E-2</v>
      </c>
      <c r="U21" s="237"/>
      <c r="V21" s="237">
        <v>9.2931695712767386</v>
      </c>
      <c r="W21" s="237" t="s">
        <v>62</v>
      </c>
    </row>
    <row r="22" spans="1:23">
      <c r="B22" s="84" t="s">
        <v>19</v>
      </c>
      <c r="C22" s="233">
        <v>18.388350848575691</v>
      </c>
      <c r="D22" s="234">
        <v>0.11675143395921074</v>
      </c>
      <c r="E22" s="234">
        <v>18.271599414616482</v>
      </c>
      <c r="F22" s="234">
        <v>24.284298263515833</v>
      </c>
      <c r="G22" s="234"/>
      <c r="H22" s="233">
        <v>30.866160352966336</v>
      </c>
      <c r="I22" s="234">
        <v>5.822977768715635</v>
      </c>
      <c r="J22" s="234">
        <v>25.043182584250701</v>
      </c>
      <c r="K22" s="234" t="s">
        <v>62</v>
      </c>
      <c r="L22" s="235"/>
      <c r="M22" s="235"/>
      <c r="N22" s="236">
        <v>5.784547949351464</v>
      </c>
      <c r="O22" s="237">
        <v>3.672728856731089E-2</v>
      </c>
      <c r="P22" s="237">
        <v>5.7478206607841535</v>
      </c>
      <c r="Q22" s="237">
        <v>7.6392760220006641</v>
      </c>
      <c r="R22" s="237"/>
      <c r="S22" s="236">
        <v>9.7097769149828164</v>
      </c>
      <c r="T22" s="237">
        <v>1.8317735172946306</v>
      </c>
      <c r="U22" s="237"/>
      <c r="V22" s="237">
        <v>7.8780033976881851</v>
      </c>
      <c r="W22" s="237" t="s">
        <v>62</v>
      </c>
    </row>
    <row r="23" spans="1:23">
      <c r="B23" s="84" t="s">
        <v>20</v>
      </c>
      <c r="C23" s="233">
        <v>7.6050183780995644</v>
      </c>
      <c r="D23" s="234">
        <v>1.5966276548934419</v>
      </c>
      <c r="E23" s="234">
        <v>6.008390723206122</v>
      </c>
      <c r="F23" s="234">
        <v>5.7373683697402944</v>
      </c>
      <c r="G23" s="234"/>
      <c r="H23" s="233">
        <v>17.944302596406789</v>
      </c>
      <c r="I23" s="234">
        <v>2.6446536104326692</v>
      </c>
      <c r="J23" s="234">
        <v>14.206816915547396</v>
      </c>
      <c r="K23" s="234">
        <v>1.0928320704267227</v>
      </c>
      <c r="L23" s="235"/>
      <c r="M23" s="235"/>
      <c r="N23" s="236">
        <v>3.0908456824802713</v>
      </c>
      <c r="O23" s="237">
        <v>0.64890437449398997</v>
      </c>
      <c r="P23" s="237">
        <v>2.4419413079862813</v>
      </c>
      <c r="Q23" s="237">
        <v>2.3317919001324077</v>
      </c>
      <c r="R23" s="237"/>
      <c r="S23" s="236">
        <v>7.2929567619379299</v>
      </c>
      <c r="T23" s="237">
        <v>1.0748450282515096</v>
      </c>
      <c r="U23" s="237"/>
      <c r="V23" s="237">
        <v>5.7739608955659616</v>
      </c>
      <c r="W23" s="237">
        <v>0.44415083812045852</v>
      </c>
    </row>
    <row r="24" spans="1:23">
      <c r="B24" s="84" t="s">
        <v>46</v>
      </c>
      <c r="C24" s="233">
        <v>33.987077390271075</v>
      </c>
      <c r="D24" s="234">
        <v>0.76498244929870585</v>
      </c>
      <c r="E24" s="234">
        <v>33.222094940972369</v>
      </c>
      <c r="F24" s="234">
        <v>34.970626253655126</v>
      </c>
      <c r="G24" s="234"/>
      <c r="H24" s="233">
        <v>33.440661355057721</v>
      </c>
      <c r="I24" s="234" t="s">
        <v>62</v>
      </c>
      <c r="J24" s="234">
        <v>33.440661355057721</v>
      </c>
      <c r="K24" s="234" t="s">
        <v>62</v>
      </c>
      <c r="L24" s="235"/>
      <c r="M24" s="235"/>
      <c r="N24" s="236">
        <v>4.144208438713636</v>
      </c>
      <c r="O24" s="237">
        <v>9.3278003443715285E-2</v>
      </c>
      <c r="P24" s="237">
        <v>4.0509304352699216</v>
      </c>
      <c r="Q24" s="237">
        <v>4.2641373002841281</v>
      </c>
      <c r="R24" s="237"/>
      <c r="S24" s="236">
        <v>4.0775812933966975</v>
      </c>
      <c r="T24" s="237" t="s">
        <v>62</v>
      </c>
      <c r="U24" s="237"/>
      <c r="V24" s="237">
        <v>4.0775812933966975</v>
      </c>
      <c r="W24" s="237" t="s">
        <v>62</v>
      </c>
    </row>
    <row r="25" spans="1:23">
      <c r="B25" s="84" t="s">
        <v>76</v>
      </c>
      <c r="C25" s="233">
        <v>39.21106199759214</v>
      </c>
      <c r="D25" s="234">
        <v>0.31570903379703813</v>
      </c>
      <c r="E25" s="234">
        <v>38.895352963795098</v>
      </c>
      <c r="F25" s="234" t="s">
        <v>62</v>
      </c>
      <c r="G25" s="234"/>
      <c r="H25" s="233">
        <v>7.7980131347868422</v>
      </c>
      <c r="I25" s="234">
        <v>3.851650212323865</v>
      </c>
      <c r="J25" s="234">
        <v>3.9463629224629768</v>
      </c>
      <c r="K25" s="234" t="s">
        <v>62</v>
      </c>
      <c r="L25" s="235"/>
      <c r="M25" s="235"/>
      <c r="N25" s="236">
        <v>21.333961548060802</v>
      </c>
      <c r="O25" s="237">
        <v>0.1717710269570113</v>
      </c>
      <c r="P25" s="237">
        <v>21.162190521103792</v>
      </c>
      <c r="Q25" s="237" t="s">
        <v>62</v>
      </c>
      <c r="R25" s="237"/>
      <c r="S25" s="236">
        <v>4.2427443658381794</v>
      </c>
      <c r="T25" s="237">
        <v>2.0956065288755377</v>
      </c>
      <c r="U25" s="237"/>
      <c r="V25" s="237">
        <v>2.1471378369626413</v>
      </c>
      <c r="W25" s="237" t="s">
        <v>62</v>
      </c>
    </row>
    <row r="26" spans="1:23">
      <c r="B26" s="84" t="s">
        <v>32</v>
      </c>
      <c r="C26" s="233">
        <v>16.009903927747391</v>
      </c>
      <c r="D26" s="234" t="s">
        <v>62</v>
      </c>
      <c r="E26" s="234" t="s">
        <v>62</v>
      </c>
      <c r="F26" s="234" t="s">
        <v>62</v>
      </c>
      <c r="G26" s="234"/>
      <c r="H26" s="233">
        <v>17.74925151495945</v>
      </c>
      <c r="I26" s="234">
        <v>4.9413283727615402</v>
      </c>
      <c r="J26" s="234">
        <v>12.807923142197911</v>
      </c>
      <c r="K26" s="234" t="s">
        <v>62</v>
      </c>
      <c r="L26" s="235"/>
      <c r="M26" s="235"/>
      <c r="N26" s="236">
        <v>5.5710306406685239</v>
      </c>
      <c r="O26" s="237" t="s">
        <v>62</v>
      </c>
      <c r="P26" s="237" t="s">
        <v>62</v>
      </c>
      <c r="Q26" s="237" t="s">
        <v>62</v>
      </c>
      <c r="R26" s="237"/>
      <c r="S26" s="236">
        <v>6.1762784139757212</v>
      </c>
      <c r="T26" s="237">
        <v>1.7194539014409025</v>
      </c>
      <c r="U26" s="237"/>
      <c r="V26" s="237">
        <v>4.4568245125348183</v>
      </c>
      <c r="W26" s="237" t="s">
        <v>62</v>
      </c>
    </row>
    <row r="27" spans="1:23">
      <c r="B27" s="84" t="s">
        <v>21</v>
      </c>
      <c r="C27" s="233">
        <v>25.1513510243635</v>
      </c>
      <c r="D27" s="234">
        <v>0.8349841230760352</v>
      </c>
      <c r="E27" s="234">
        <v>24.265453235246245</v>
      </c>
      <c r="F27" s="234">
        <v>34.112156247618515</v>
      </c>
      <c r="G27" s="234"/>
      <c r="H27" s="233">
        <v>23.420286378961965</v>
      </c>
      <c r="I27" s="234" t="s">
        <v>62</v>
      </c>
      <c r="J27" s="234">
        <v>23.420286378961965</v>
      </c>
      <c r="K27" s="234" t="s">
        <v>62</v>
      </c>
      <c r="L27" s="235"/>
      <c r="M27" s="235"/>
      <c r="N27" s="236">
        <v>5.1750666913929617</v>
      </c>
      <c r="O27" s="237">
        <v>0.17180383347944245</v>
      </c>
      <c r="P27" s="237">
        <v>4.9927870144086759</v>
      </c>
      <c r="Q27" s="237">
        <v>7.0188151482455146</v>
      </c>
      <c r="R27" s="237"/>
      <c r="S27" s="236">
        <v>4.8188880122282649</v>
      </c>
      <c r="T27" s="237" t="s">
        <v>62</v>
      </c>
      <c r="U27" s="237"/>
      <c r="V27" s="237">
        <v>4.8188880122282649</v>
      </c>
      <c r="W27" s="237" t="s">
        <v>62</v>
      </c>
    </row>
    <row r="28" spans="1:23">
      <c r="B28" s="84" t="s">
        <v>81</v>
      </c>
      <c r="C28" s="233">
        <v>31.955418247635048</v>
      </c>
      <c r="D28" s="234">
        <v>2.6975353066185432</v>
      </c>
      <c r="E28" s="234">
        <v>29.257882941016504</v>
      </c>
      <c r="F28" s="234" t="s">
        <v>62</v>
      </c>
      <c r="G28" s="234"/>
      <c r="H28" s="233">
        <v>42.953062190002953</v>
      </c>
      <c r="I28" s="234" t="s">
        <v>62</v>
      </c>
      <c r="J28" s="234">
        <v>42.953062190002953</v>
      </c>
      <c r="K28" s="234" t="s">
        <v>62</v>
      </c>
      <c r="L28" s="235"/>
      <c r="M28" s="235"/>
      <c r="N28" s="236">
        <v>4.7708406949082631</v>
      </c>
      <c r="O28" s="237">
        <v>0.40273330541433394</v>
      </c>
      <c r="P28" s="237">
        <v>4.3681073894939288</v>
      </c>
      <c r="Q28" s="237" t="s">
        <v>62</v>
      </c>
      <c r="R28" s="237"/>
      <c r="S28" s="236">
        <v>6.4127534015974703</v>
      </c>
      <c r="T28" s="237" t="s">
        <v>62</v>
      </c>
      <c r="U28" s="237"/>
      <c r="V28" s="237">
        <v>6.4127534015974703</v>
      </c>
      <c r="W28" s="237" t="s">
        <v>62</v>
      </c>
    </row>
    <row r="29" spans="1:23">
      <c r="B29" s="83" t="s">
        <v>36</v>
      </c>
      <c r="C29" s="233">
        <v>18.197478788559124</v>
      </c>
      <c r="D29" s="234">
        <v>1.7213831286474848</v>
      </c>
      <c r="E29" s="234">
        <v>16.476095659911639</v>
      </c>
      <c r="F29" s="234">
        <v>3.8116340705765732</v>
      </c>
      <c r="G29" s="234"/>
      <c r="H29" s="233">
        <v>5.5944951681043253</v>
      </c>
      <c r="I29" s="234">
        <v>2.582074692971227</v>
      </c>
      <c r="J29" s="234">
        <v>3.0124204751330983</v>
      </c>
      <c r="K29" s="234" t="s">
        <v>62</v>
      </c>
      <c r="L29" s="235"/>
      <c r="M29" s="235"/>
      <c r="N29" s="236">
        <v>7.722528927483606</v>
      </c>
      <c r="O29" s="237">
        <v>0.73050949314034119</v>
      </c>
      <c r="P29" s="237">
        <v>6.9920194343432645</v>
      </c>
      <c r="Q29" s="237">
        <v>1.6175567348107556</v>
      </c>
      <c r="R29" s="237"/>
      <c r="S29" s="236">
        <v>2.3741558527061088</v>
      </c>
      <c r="T29" s="237">
        <v>1.0957642397105118</v>
      </c>
      <c r="U29" s="237"/>
      <c r="V29" s="237">
        <v>1.278391612995597</v>
      </c>
      <c r="W29" s="237" t="s">
        <v>62</v>
      </c>
    </row>
    <row r="30" spans="1:23">
      <c r="B30" s="83" t="s">
        <v>30</v>
      </c>
      <c r="C30" s="233">
        <v>3.824337949750285</v>
      </c>
      <c r="D30" s="234">
        <v>1.9136139057485111</v>
      </c>
      <c r="E30" s="234">
        <v>1.9107240440017739</v>
      </c>
      <c r="F30" s="234">
        <v>0.10508588169953384</v>
      </c>
      <c r="G30" s="234"/>
      <c r="H30" s="233">
        <v>0.98649371445437384</v>
      </c>
      <c r="I30" s="234">
        <v>0.98649371445437384</v>
      </c>
      <c r="J30" s="234" t="s">
        <v>62</v>
      </c>
      <c r="K30" s="234" t="s">
        <v>62</v>
      </c>
      <c r="L30" s="235"/>
      <c r="M30" s="235"/>
      <c r="N30" s="236">
        <v>1.4390436390882715</v>
      </c>
      <c r="O30" s="237">
        <v>0.72006552635288656</v>
      </c>
      <c r="P30" s="237">
        <v>0.71897811273538503</v>
      </c>
      <c r="Q30" s="237">
        <v>3.9542313363695035E-2</v>
      </c>
      <c r="R30" s="237"/>
      <c r="S30" s="236">
        <v>0.37120346670168713</v>
      </c>
      <c r="T30" s="237">
        <v>0.37120346670168713</v>
      </c>
      <c r="U30" s="237"/>
      <c r="V30" s="237" t="s">
        <v>62</v>
      </c>
      <c r="W30" s="237" t="s">
        <v>62</v>
      </c>
    </row>
    <row r="31" spans="1:23">
      <c r="B31" s="83" t="s">
        <v>22</v>
      </c>
      <c r="C31" s="233">
        <v>43.050977899376022</v>
      </c>
      <c r="D31" s="234">
        <v>2.2057463058752034</v>
      </c>
      <c r="E31" s="234">
        <v>40.84523159350082</v>
      </c>
      <c r="F31" s="234" t="s">
        <v>62</v>
      </c>
      <c r="G31" s="234"/>
      <c r="H31" s="233">
        <v>29.089901281012974</v>
      </c>
      <c r="I31" s="234" t="s">
        <v>62</v>
      </c>
      <c r="J31" s="234">
        <v>19.202967839384122</v>
      </c>
      <c r="K31" s="234">
        <v>9.8869334416288517</v>
      </c>
      <c r="L31" s="235"/>
      <c r="M31" s="235"/>
      <c r="N31" s="236">
        <v>7.3815359168356052</v>
      </c>
      <c r="O31" s="237">
        <v>0.37819804275529012</v>
      </c>
      <c r="P31" s="237">
        <v>7.0033378740803149</v>
      </c>
      <c r="Q31" s="237" t="s">
        <v>62</v>
      </c>
      <c r="R31" s="237"/>
      <c r="S31" s="236">
        <v>4.9877647756315326</v>
      </c>
      <c r="T31" s="237" t="s">
        <v>62</v>
      </c>
      <c r="U31" s="237"/>
      <c r="V31" s="237">
        <v>3.2925476663401732</v>
      </c>
      <c r="W31" s="237">
        <v>1.6952171092913595</v>
      </c>
    </row>
    <row r="32" spans="1:23" s="45" customFormat="1" ht="32" customHeight="1">
      <c r="B32" s="81"/>
    </row>
    <row r="33" spans="2:22">
      <c r="B33" s="85" t="s">
        <v>42</v>
      </c>
    </row>
    <row r="34" spans="2:22">
      <c r="B34" s="179" t="s">
        <v>249</v>
      </c>
      <c r="C34" s="179"/>
      <c r="D34" s="179"/>
      <c r="E34" s="179"/>
      <c r="F34" s="179"/>
      <c r="G34" s="179"/>
      <c r="H34" s="179"/>
      <c r="I34" s="179"/>
      <c r="J34" s="179"/>
      <c r="K34" s="179"/>
      <c r="L34" s="179"/>
      <c r="M34" s="179"/>
      <c r="N34" s="179"/>
      <c r="O34" s="179"/>
      <c r="P34" s="179"/>
      <c r="Q34" s="179"/>
      <c r="R34" s="179"/>
      <c r="S34" s="179"/>
      <c r="T34" s="179"/>
      <c r="U34" s="179"/>
      <c r="V34" s="179"/>
    </row>
  </sheetData>
  <mergeCells count="15">
    <mergeCell ref="B3:K3"/>
    <mergeCell ref="M3:W3"/>
    <mergeCell ref="C4:F4"/>
    <mergeCell ref="H4:K4"/>
    <mergeCell ref="N4:Q4"/>
    <mergeCell ref="S4:W4"/>
    <mergeCell ref="T5:T6"/>
    <mergeCell ref="V5:W5"/>
    <mergeCell ref="B34:V34"/>
    <mergeCell ref="C5:E5"/>
    <mergeCell ref="F5:F6"/>
    <mergeCell ref="I5:I6"/>
    <mergeCell ref="J5:K5"/>
    <mergeCell ref="N5:P5"/>
    <mergeCell ref="Q5:Q6"/>
  </mergeCells>
  <pageMargins left="0.7" right="0.7" top="0.75" bottom="0.75" header="0.3" footer="0.3"/>
  <pageSetup scale="5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10F2-BC55-4438-BFD3-6011B291C34E}">
  <sheetPr>
    <tabColor theme="7"/>
  </sheetPr>
  <dimension ref="C2:U37"/>
  <sheetViews>
    <sheetView showGridLines="0" topLeftCell="A16" zoomScaleNormal="100" workbookViewId="0">
      <selection activeCell="D24" sqref="D24"/>
    </sheetView>
  </sheetViews>
  <sheetFormatPr baseColWidth="10" defaultColWidth="9.1796875" defaultRowHeight="14.5"/>
  <cols>
    <col min="1" max="3" width="9.1796875" style="151"/>
    <col min="4" max="4" width="15.453125" style="151" bestFit="1" customWidth="1"/>
    <col min="5" max="5" width="10.26953125" style="151" customWidth="1"/>
    <col min="6" max="6" width="11.7265625" style="151" customWidth="1"/>
    <col min="7" max="7" width="9.54296875" style="151" customWidth="1"/>
    <col min="8" max="16384" width="9.1796875" style="151"/>
  </cols>
  <sheetData>
    <row r="2" spans="3:21" ht="87">
      <c r="C2" s="173"/>
      <c r="D2" s="174"/>
      <c r="E2" s="175" t="s">
        <v>393</v>
      </c>
      <c r="F2" s="175" t="s">
        <v>394</v>
      </c>
      <c r="G2" s="175" t="s">
        <v>363</v>
      </c>
      <c r="H2" s="175" t="s">
        <v>364</v>
      </c>
      <c r="L2" s="153"/>
      <c r="M2" s="153"/>
    </row>
    <row r="3" spans="3:21">
      <c r="C3" s="174" t="s">
        <v>369</v>
      </c>
      <c r="D3" s="174" t="s">
        <v>18</v>
      </c>
      <c r="E3" s="176">
        <v>0.23907437703979553</v>
      </c>
      <c r="F3" s="176">
        <v>9.1478550269136303</v>
      </c>
      <c r="G3" s="176"/>
      <c r="H3" s="176"/>
      <c r="U3" s="152"/>
    </row>
    <row r="4" spans="3:21">
      <c r="C4" s="174" t="s">
        <v>370</v>
      </c>
      <c r="D4" s="174" t="s">
        <v>14</v>
      </c>
      <c r="E4" s="176">
        <v>0.65471013968229408</v>
      </c>
      <c r="F4" s="176">
        <v>0.45780817642414318</v>
      </c>
      <c r="G4" s="176"/>
      <c r="H4" s="176"/>
      <c r="U4" s="152"/>
    </row>
    <row r="5" spans="3:21">
      <c r="C5" s="174" t="s">
        <v>371</v>
      </c>
      <c r="D5" s="174" t="s">
        <v>12</v>
      </c>
      <c r="E5" s="176">
        <v>1.2110614944023894</v>
      </c>
      <c r="F5" s="176">
        <v>4.9240743913654574</v>
      </c>
      <c r="G5" s="176"/>
      <c r="H5" s="176"/>
      <c r="U5" s="152"/>
    </row>
    <row r="6" spans="3:21">
      <c r="C6" s="174" t="s">
        <v>372</v>
      </c>
      <c r="D6" s="174" t="s">
        <v>15</v>
      </c>
      <c r="E6" s="176">
        <v>1.857994990745192</v>
      </c>
      <c r="F6" s="176">
        <v>1.0563520935692645</v>
      </c>
      <c r="G6" s="176"/>
      <c r="H6" s="176"/>
      <c r="U6" s="152"/>
    </row>
    <row r="7" spans="3:21">
      <c r="C7" s="174" t="s">
        <v>373</v>
      </c>
      <c r="D7" s="174" t="s">
        <v>16</v>
      </c>
      <c r="E7" s="176">
        <v>2.3465350680880586</v>
      </c>
      <c r="F7" s="176">
        <v>0.9072719068178785</v>
      </c>
      <c r="G7" s="176"/>
      <c r="H7" s="176"/>
      <c r="U7" s="152"/>
    </row>
    <row r="8" spans="3:21">
      <c r="C8" s="174" t="s">
        <v>374</v>
      </c>
      <c r="D8" s="174" t="s">
        <v>13</v>
      </c>
      <c r="E8" s="176">
        <v>2.44499374053856</v>
      </c>
      <c r="F8" s="176">
        <v>1.1475236714337085</v>
      </c>
      <c r="G8" s="176"/>
      <c r="H8" s="176"/>
      <c r="U8" s="152"/>
    </row>
    <row r="9" spans="3:21">
      <c r="C9" s="174" t="s">
        <v>375</v>
      </c>
      <c r="D9" s="174" t="s">
        <v>2</v>
      </c>
      <c r="E9" s="176">
        <v>2.6637277798530086</v>
      </c>
      <c r="F9" s="176">
        <v>16.177613741515657</v>
      </c>
      <c r="G9" s="176"/>
      <c r="H9" s="176"/>
      <c r="U9" s="152"/>
    </row>
    <row r="10" spans="3:21">
      <c r="C10" s="174" t="s">
        <v>376</v>
      </c>
      <c r="D10" s="174" t="s">
        <v>9</v>
      </c>
      <c r="E10" s="176">
        <v>2.8456549968053992</v>
      </c>
      <c r="F10" s="176">
        <v>1.9696701252933546</v>
      </c>
      <c r="G10" s="176"/>
      <c r="H10" s="176"/>
      <c r="U10" s="152"/>
    </row>
    <row r="11" spans="3:21">
      <c r="C11" s="174" t="s">
        <v>377</v>
      </c>
      <c r="D11" s="174" t="s">
        <v>6</v>
      </c>
      <c r="E11" s="176">
        <v>3.1136761983892827</v>
      </c>
      <c r="F11" s="176">
        <v>9.7054519712271787</v>
      </c>
      <c r="G11" s="176"/>
      <c r="H11" s="176"/>
      <c r="U11" s="152"/>
    </row>
    <row r="12" spans="3:21">
      <c r="C12" s="174" t="s">
        <v>378</v>
      </c>
      <c r="D12" s="174" t="s">
        <v>28</v>
      </c>
      <c r="E12" s="176">
        <v>3.3641995153395459</v>
      </c>
      <c r="F12" s="176">
        <v>10.630870468472965</v>
      </c>
      <c r="G12" s="176"/>
      <c r="H12" s="176"/>
      <c r="U12" s="152"/>
    </row>
    <row r="13" spans="3:21">
      <c r="C13" s="174" t="s">
        <v>379</v>
      </c>
      <c r="D13" s="174" t="s">
        <v>4</v>
      </c>
      <c r="E13" s="176">
        <v>3.5054154811260818</v>
      </c>
      <c r="F13" s="176">
        <v>33.98978320153708</v>
      </c>
      <c r="G13" s="176"/>
      <c r="H13" s="176"/>
      <c r="U13" s="152"/>
    </row>
    <row r="14" spans="3:21">
      <c r="C14" s="174" t="s">
        <v>380</v>
      </c>
      <c r="D14" s="174" t="s">
        <v>11</v>
      </c>
      <c r="E14" s="176">
        <v>4.0954525155603303</v>
      </c>
      <c r="F14" s="176">
        <v>0.52577281225541095</v>
      </c>
      <c r="G14" s="176"/>
      <c r="H14" s="176"/>
      <c r="U14" s="152"/>
    </row>
    <row r="15" spans="3:21">
      <c r="C15" s="174" t="s">
        <v>381</v>
      </c>
      <c r="D15" s="174" t="s">
        <v>17</v>
      </c>
      <c r="E15" s="176">
        <v>5.3296846845360042</v>
      </c>
      <c r="F15" s="176">
        <v>4.2098287586023693</v>
      </c>
      <c r="G15" s="176"/>
      <c r="H15" s="176"/>
      <c r="U15" s="152"/>
    </row>
    <row r="16" spans="3:21">
      <c r="C16" s="174" t="s">
        <v>382</v>
      </c>
      <c r="D16" s="174" t="s">
        <v>1</v>
      </c>
      <c r="E16" s="176">
        <v>5.6445518946679822</v>
      </c>
      <c r="F16" s="176">
        <v>3.292655271889656</v>
      </c>
      <c r="G16" s="176"/>
      <c r="H16" s="176"/>
      <c r="U16" s="152"/>
    </row>
    <row r="17" spans="3:21">
      <c r="C17" s="174" t="s">
        <v>383</v>
      </c>
      <c r="D17" s="174" t="s">
        <v>7</v>
      </c>
      <c r="E17" s="176">
        <v>6.1639950739120586</v>
      </c>
      <c r="F17" s="176">
        <v>16.882910202441867</v>
      </c>
      <c r="G17" s="176"/>
      <c r="H17" s="176"/>
      <c r="U17" s="152"/>
    </row>
    <row r="18" spans="3:21">
      <c r="C18" s="174" t="s">
        <v>384</v>
      </c>
      <c r="D18" s="174" t="s">
        <v>10</v>
      </c>
      <c r="E18" s="176">
        <v>6.5281010484208366</v>
      </c>
      <c r="F18" s="176">
        <v>5.4006934466247483</v>
      </c>
      <c r="G18" s="176"/>
      <c r="H18" s="176"/>
      <c r="U18" s="152"/>
    </row>
    <row r="19" spans="3:21">
      <c r="C19" s="174" t="s">
        <v>385</v>
      </c>
      <c r="D19" s="174" t="s">
        <v>0</v>
      </c>
      <c r="E19" s="176">
        <v>8.8396643581259351</v>
      </c>
      <c r="F19" s="176">
        <v>1.8339552610219787</v>
      </c>
      <c r="G19" s="176"/>
      <c r="H19" s="176"/>
      <c r="U19" s="152"/>
    </row>
    <row r="20" spans="3:21">
      <c r="C20" s="174" t="s">
        <v>386</v>
      </c>
      <c r="D20" s="174" t="s">
        <v>3</v>
      </c>
      <c r="E20" s="176">
        <v>9.3923899799064596</v>
      </c>
      <c r="F20" s="176">
        <v>31.513940064159829</v>
      </c>
      <c r="G20" s="176"/>
      <c r="H20" s="176"/>
      <c r="U20" s="152"/>
    </row>
    <row r="21" spans="3:21">
      <c r="C21" s="174" t="s">
        <v>387</v>
      </c>
      <c r="D21" s="174" t="s">
        <v>5</v>
      </c>
      <c r="E21" s="176">
        <v>11.330991365634006</v>
      </c>
      <c r="F21" s="176">
        <v>23.9852971711184</v>
      </c>
      <c r="G21" s="176"/>
      <c r="H21" s="176"/>
      <c r="U21" s="152"/>
    </row>
    <row r="22" spans="3:21">
      <c r="C22" s="174" t="s">
        <v>388</v>
      </c>
      <c r="D22" s="174" t="s">
        <v>8</v>
      </c>
      <c r="E22" s="176">
        <v>12.284407153405569</v>
      </c>
      <c r="F22" s="176">
        <v>2.5644894180257225</v>
      </c>
      <c r="G22" s="176"/>
      <c r="H22" s="176"/>
    </row>
    <row r="23" spans="3:21">
      <c r="C23" s="174"/>
      <c r="D23" s="174"/>
      <c r="E23" s="176"/>
      <c r="F23" s="176"/>
      <c r="G23" s="176"/>
      <c r="H23" s="176"/>
    </row>
    <row r="24" spans="3:21">
      <c r="C24" s="174" t="s">
        <v>365</v>
      </c>
      <c r="D24" s="174" t="s">
        <v>365</v>
      </c>
      <c r="E24" s="176"/>
      <c r="F24" s="176"/>
      <c r="G24" s="176">
        <v>1.0338728080108597</v>
      </c>
      <c r="H24" s="176">
        <v>0.1240795404682169</v>
      </c>
    </row>
    <row r="25" spans="3:21" s="154" customFormat="1">
      <c r="C25" s="174"/>
      <c r="D25" s="174"/>
      <c r="E25" s="176"/>
      <c r="F25" s="177"/>
      <c r="G25" s="176"/>
      <c r="H25" s="177"/>
    </row>
    <row r="26" spans="3:21" s="154" customFormat="1">
      <c r="C26" s="174" t="s">
        <v>366</v>
      </c>
      <c r="D26" s="174" t="s">
        <v>366</v>
      </c>
      <c r="E26" s="176"/>
      <c r="F26" s="176"/>
      <c r="G26" s="176">
        <v>3.0963976929401151</v>
      </c>
      <c r="H26" s="176">
        <v>1.9976077492124205</v>
      </c>
    </row>
    <row r="27" spans="3:21" s="154" customFormat="1">
      <c r="C27" s="174"/>
      <c r="D27" s="174"/>
      <c r="E27" s="176"/>
      <c r="F27" s="176"/>
      <c r="G27" s="176"/>
      <c r="H27" s="176"/>
    </row>
    <row r="28" spans="3:21" s="154" customFormat="1">
      <c r="C28" s="174" t="s">
        <v>367</v>
      </c>
      <c r="D28" s="174" t="s">
        <v>367</v>
      </c>
      <c r="E28" s="176"/>
      <c r="F28" s="176"/>
      <c r="G28" s="176">
        <v>5.7839501353604392</v>
      </c>
      <c r="H28" s="176">
        <v>6.3539835368996167</v>
      </c>
    </row>
    <row r="29" spans="3:21" s="154" customFormat="1">
      <c r="C29" s="174"/>
      <c r="D29" s="174"/>
      <c r="E29" s="176"/>
      <c r="F29" s="176"/>
      <c r="G29" s="176"/>
      <c r="H29" s="176"/>
    </row>
    <row r="30" spans="3:21" s="154" customFormat="1">
      <c r="C30" s="178" t="s">
        <v>368</v>
      </c>
      <c r="D30" s="174" t="s">
        <v>368</v>
      </c>
      <c r="E30" s="176"/>
      <c r="F30" s="176"/>
      <c r="G30" s="176">
        <v>8.8516199715504165</v>
      </c>
      <c r="H30" s="176">
        <v>10.906739496605095</v>
      </c>
    </row>
    <row r="31" spans="3:21" s="154" customFormat="1"/>
    <row r="32" spans="3:21" s="154" customFormat="1">
      <c r="C32" s="155" t="s">
        <v>395</v>
      </c>
    </row>
    <row r="33" s="154" customFormat="1"/>
    <row r="34" s="154" customFormat="1"/>
    <row r="35" s="154" customFormat="1"/>
    <row r="36" s="154" customFormat="1"/>
    <row r="37" s="154" customFormat="1"/>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Read me</vt:lpstr>
      <vt:lpstr>Database</vt:lpstr>
      <vt:lpstr>Summary Table</vt:lpstr>
      <vt:lpstr>Figure. Fiscal Measures Summary</vt:lpstr>
      <vt:lpstr>Database!Druckbereich</vt:lpstr>
      <vt:lpstr>'Summary Table'!Druckbereich</vt:lpstr>
      <vt:lpstr>Database!Drucktitel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cp:lastPrinted>2020-06-23T00:40:42Z</cp:lastPrinted>
  <dcterms:created xsi:type="dcterms:W3CDTF">2020-03-26T18:33:17Z</dcterms:created>
  <dcterms:modified xsi:type="dcterms:W3CDTF">2024-04-29T08:18:33Z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{F5DD3E68-0E84-4FB4-99EE-106E86CD4926}</vt:lpwstr>
  </property>
</Properties>
</file>