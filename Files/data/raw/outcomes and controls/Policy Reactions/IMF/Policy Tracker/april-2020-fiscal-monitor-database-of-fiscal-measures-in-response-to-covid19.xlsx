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328" documentId="8_{D1E62777-BB19-47E3-9F83-95D48A111F94}" xr6:coauthVersionLast="47" xr6:coauthVersionMax="47" xr10:uidLastSave="{11DB4BE4-CE93-4625-B276-CE71D3B087B0}"/>
  <bookViews>
    <workbookView xWindow="-30465" yWindow="-21600" windowWidth="26010" windowHeight="20985" activeTab="1" xr2:uid="{540CADBF-B990-484D-B0D4-2DD9AB49C8FE}"/>
  </bookViews>
  <sheets>
    <sheet name="Database" sheetId="1" r:id="rId1"/>
    <sheet name="Summary.Global" sheetId="2" r:id="rId2"/>
  </sheets>
  <definedNames>
    <definedName name="_xlnm._FilterDatabase" localSheetId="0" hidden="1">Database!$A$5:$F$197</definedName>
    <definedName name="_xlnm.Print_Area" localSheetId="0">Database!$C$2:$X$198</definedName>
    <definedName name="_xlnm.Print_Area" localSheetId="1">Summary.Global!$B$1:$V$54</definedName>
    <definedName name="_xlnm.Print_Titles" localSheetId="0">Database!$4:$5</definedName>
    <definedName name="_xlnm.Print_Titles" localSheetId="1">Summary.Global!$1:$6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4" i="2" l="1"/>
  <c r="S13" i="2"/>
  <c r="S14" i="2"/>
  <c r="S15" i="2"/>
  <c r="S16" i="2"/>
  <c r="S17" i="2"/>
  <c r="N12" i="2"/>
  <c r="N13" i="2"/>
  <c r="N14" i="2"/>
  <c r="N15" i="2"/>
  <c r="N16" i="2"/>
  <c r="N17" i="2"/>
  <c r="N18" i="2"/>
  <c r="N19" i="2"/>
  <c r="N20" i="2"/>
  <c r="N21" i="2"/>
  <c r="N22" i="2"/>
  <c r="N23" i="2"/>
  <c r="N24"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12" i="2"/>
  <c r="S11" i="2"/>
  <c r="S10" i="2"/>
  <c r="S12" i="2"/>
  <c r="S18" i="2"/>
  <c r="S19" i="2"/>
  <c r="S20" i="2"/>
  <c r="S21" i="2"/>
  <c r="S22" i="2"/>
  <c r="S23" i="2"/>
  <c r="S24" i="2"/>
  <c r="H10" i="2"/>
  <c r="H11" i="2"/>
  <c r="H9" i="2"/>
  <c r="C13"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12" i="2"/>
  <c r="N11" i="2"/>
  <c r="C11" i="2"/>
  <c r="N10" i="2"/>
  <c r="C10" i="2"/>
  <c r="N9" i="2"/>
  <c r="C9" i="2"/>
  <c r="S9" i="2"/>
  <c r="P8" i="2"/>
</calcChain>
</file>

<file path=xl/sharedStrings.xml><?xml version="1.0" encoding="utf-8"?>
<sst xmlns="http://schemas.openxmlformats.org/spreadsheetml/2006/main" count="1300" uniqueCount="445">
  <si>
    <t>Fiscal Monitor: Database of Country Fiscal Measures in Response to the COVID-19 Pandemic</t>
  </si>
  <si>
    <t>This database summarizes key fiscal measures governments have announced or taken in selected economies in response to the COVID-19 pandemic as of September 11, 2020,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</si>
  <si>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</si>
  <si>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</si>
  <si>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</si>
  <si>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</si>
  <si>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</si>
  <si>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</si>
  <si>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</si>
  <si>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</si>
  <si>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</si>
  <si>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</si>
  <si>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</si>
  <si>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</si>
  <si>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</si>
  <si>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</si>
  <si>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</si>
  <si>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</si>
  <si>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</si>
  <si>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</si>
  <si>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</si>
  <si>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</si>
  <si>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</si>
  <si>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Australia</t>
  </si>
  <si>
    <t>General Government</t>
  </si>
  <si>
    <t>LC bn</t>
  </si>
  <si>
    <r>
      <rPr>
        <b/>
        <sz val="10"/>
        <rFont val="Arial"/>
        <family val="2"/>
      </rPr>
      <t>Additional spending (AUD 9.6 bn):</t>
    </r>
    <r>
      <rPr>
        <sz val="10"/>
        <rFont val="Arial"/>
        <family val="2"/>
      </rPr>
      <t xml:space="preserve">
• Provision of health care to protect  vulnerable groups such as the elderly and those with chronic conditions from the COVID-19 pandemic.
• Funding for large-scale purchases of Personal Protective Equipment and other essential equipment.
• Boosting Australia’s testing capacity and further developing hospital system capacity across the country for the COVID-19 response by funding half of the costs incurred by the states and territories in diagnosing and treating patients with COVID-19.
• Ensuring access to essential health services through expanded telehealth and hospital services.   </t>
    </r>
  </si>
  <si>
    <r>
      <rPr>
        <b/>
        <sz val="10"/>
        <color theme="1"/>
        <rFont val="Arial"/>
        <family val="2"/>
      </rPr>
      <t xml:space="preserve">Additional spending: 
</t>
    </r>
    <r>
      <rPr>
        <sz val="10"/>
        <color theme="1"/>
        <rFont val="Arial"/>
        <family val="2"/>
      </rPr>
      <t xml:space="preserve">At the Commonwealth government level, measures include:
• JobKeeper Payment Program provides wage subsidies to eligible employers to keep Australians in jobs and stay in business.
• Coronavirus Supplement provides top-ups to those who access to JobSeeker Payment (unemployment payment), Youth Allowance, and other federal government  benefits.
• Economic Support Payments provided income support to social security, veterans, and other income support recipients and eligible concession card holders.
•  Boosting Cash Flow for Employers provides cash support to SMEs and not-for-profits.
•  JobTrainer Skills Package provides retraining opportunities and a wages subsidy to help businesses keep apprentices and trainees.
• HomeBuilder program supports jobs and the residential construction market.
• Fast-track infrastructure projects to support local job creation.
At state and local government levels, measures include:
• Discounted utility bills and cash payments to vulnerable households.
• Infrastructure projects, partly financed by the Commonwealth government.
• A new home care package for senior citizens.
</t>
    </r>
    <r>
      <rPr>
        <b/>
        <sz val="10"/>
        <color theme="1"/>
        <rFont val="Arial"/>
        <family val="2"/>
      </rPr>
      <t xml:space="preserve">Forgone revenue: 
</t>
    </r>
    <r>
      <rPr>
        <sz val="10"/>
        <color theme="1"/>
        <rFont val="Arial"/>
        <family val="2"/>
      </rPr>
      <t>At the Commonwealth government level, measures include raising the asset write-off threshold, accelerated depreciation deductions, and COVID-19 Relief and Recovery Fund which provides waiver of fees and charges to affected industries (e.g., aviation industry), regions, and communities.
At state and local government levels, measures include a payroll tax relief for businesses.</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</si>
  <si>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</si>
  <si>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</si>
  <si>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</si>
  <si>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</si>
  <si>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</si>
  <si>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Canada</t>
  </si>
  <si>
    <t>Central Government</t>
  </si>
  <si>
    <r>
      <rPr>
        <b/>
        <sz val="10"/>
        <color theme="1"/>
        <rFont val="Arial"/>
        <family val="2"/>
      </rPr>
      <t>Additional spending (CAD 19.8 bn):</t>
    </r>
    <r>
      <rPr>
        <sz val="10"/>
        <color theme="1"/>
        <rFont val="Arial"/>
        <family val="2"/>
      </rPr>
      <t xml:space="preserve"> Support to the health system including
•</t>
    </r>
    <r>
      <rPr>
        <sz val="10"/>
        <color theme="1"/>
        <rFont val="Arial"/>
        <family val="2"/>
      </rPr>
      <t xml:space="preserve"> Immediate Public Health Response (CAD50 mn); 
• COVID-19 Response Fund (of which, CAD500 mn for Provinces and Territories in 2019-20 and $50 mn from existing resources) (CAD1 bn); 
• Funding for Personal Protective Equipment and Supplies (of which, $200 mn in 2019-20) (CAD2 bn); 
• PPE and Related Equipment for Essential Workers (procurement fund and increased procurement support) (CAD511 mn); 
• Reducing Import Costs to facilitate access to Critical Medical Goods (CAD281 mn); 
• Health and Social Support for Northern Communities (critical priorities, air carriers, food subsidy enhancement) (CAD115 mn); 
• COVID-19 Medical Research and Vaccine Development (over two years) (CAD1.1 bn); 
• Consular Assistance (of which, CAD36 mn in 2019-2020) (CAD100 mn);  
• Virtual Care and Mental Health Tools for Canadians (CAD241 mn); 
• Enhancing Public Health Measures in Indigenous Communities (CAD285 mn);
• Provincial Safe Restart Agreement (CAD14 bn).</t>
    </r>
  </si>
  <si>
    <r>
      <rPr>
        <b/>
        <sz val="10"/>
        <color theme="1"/>
        <rFont val="Arial"/>
        <family val="2"/>
      </rPr>
      <t xml:space="preserve">Additional spending (CAD 249.2 bn): 
</t>
    </r>
    <r>
      <rPr>
        <sz val="10"/>
        <color theme="1"/>
        <rFont val="Arial"/>
        <family val="2"/>
      </rPr>
      <t>• Canada's Work-Sharing program is enhanced to support employers and their employees who experience a downturn due to COVID-19, doubling the length of time can use Work-Share from 38 to 76 weeks.
• Introduced a new Canada Emergency Response Benefit that provides a taxable benefit of CAD2,000 a month until the end of September for workers who must stop working due to COVID-19 and do not have access to paid leave or other income support, with a transition to other benefits for 26 weeks from October. This measure is estimated to cost CAD117 bn. 
• A one-time special payment by early May 2020 through the Goods and Services Tax credit (GSTC), doubling the annual GSTC payment amounts for the 2019-20 benefit year (CAD5.5 bn).
• A subsidy equal to 75 per cent of employee wages until December, retroactive from March 15 (CAD84.4 bn).
• Increased the maximum annual Canada Child Benefit (CCB) payment amounts (CAD2 bn).
• CAD305 mn for a new distinctions-based Indigenous Community Support Fund, CAD157.5 mn to continue to support people experiencing homelessness during the outbreak, and CAD50 mn to women’s shelters and sexual assault centers.
• CAD350 mn to support vulnerable Canadians through charities and non-profit organizations that deliver essential services to those in need.
• The Canada Emergency Student Benefit (CESB) and the Canada Student Service Grant (CSSG) (CAD9 bn): CESB provides support to students and new graduates who are not eligible for the Canada Emergency Response Benefit; and CSSG helps students gain valuable work experience and skills while they help their communities during the COVID-19 pandemic.
• The federal government will waive the one-week waiting period for employment insurance.</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</si>
  <si>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</si>
  <si>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</si>
  <si>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CAD41.3 bn; the Mid-Market Guarantee and Financing Program, CAD20 bn; the Large Employer Emergency Financing Facility, CAD20 bn; and Support for the Agriculture and Agri-Food Sector,  CAD5.2 bn.
</t>
  </si>
  <si>
    <t>n.a.</t>
  </si>
  <si>
    <t>European Union</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</si>
  <si>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</si>
  <si>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 In the Coronavirus Response Investment Initiative Plus (CRII+), the Commission introduced greater flexibility to allow that all non-utilized support from the European Structural and Investment Funds can be mobilized to the fullest.
• On July 21, the European Council agreed on the Next Generation EU recovery fund, which includes €390 bn in grants to EU members to support recovery. The main instrument is the Recovery and Resilience Facility (RRF) that will finance investments and reforms countries submit in fall 2020. </t>
    </r>
  </si>
  <si>
    <t>• A new and temporary EU unemployment reinsurance fund (SURE) will provide up to €100 bn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bn.
• On July 21, the European Council approved the Next Generation EU recovery fund. Part of this is EUR 360 bn in loans available from the Recovery and Resilience Facility (RRF) that EU members can apply for to finance parts of their national recovery and resilience plans.</t>
  </si>
  <si>
    <t>• The EU Council agreed on a new guarantee fund of €25 bn for the European Investment Bank, which is estimated to provide bank financing of around €200 bn to firms, particularly SMEs, across the EU. The guarantee fund comes on top of an earlier support package of up to €40 bn announced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</si>
  <si>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</si>
  <si>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France</t>
  </si>
  <si>
    <r>
      <rPr>
        <b/>
        <sz val="10"/>
        <color theme="1"/>
        <rFont val="Arial"/>
        <family val="2"/>
      </rPr>
      <t xml:space="preserve">Additional spending (€14 bn): 
</t>
    </r>
    <r>
      <rPr>
        <sz val="10"/>
        <color theme="1"/>
        <rFont val="Arial"/>
        <family val="2"/>
      </rPr>
      <t>• Support for streamlining and boosting health insurance (paid sick leave) for the sick or their caregivers, higher spending on health supplies; bonuses for health workers (€8 bn).
• Additional investment and equipment in the health sector announced in the Plan de Relance for 2021 and beyond (€6 bn).</t>
    </r>
  </si>
  <si>
    <r>
      <rPr>
        <b/>
        <sz val="10"/>
        <rFont val="Arial"/>
        <family val="2"/>
      </rPr>
      <t xml:space="preserve">Additional spending (€88.9 bn): </t>
    </r>
    <r>
      <rPr>
        <sz val="10"/>
        <rFont val="Arial"/>
        <family val="2"/>
      </rPr>
      <t xml:space="preserve">Subsidies for wages of workers under the reduced-hour scheme; direct financial support for affected microenterprises, liberal professions, and independent workers; direct transfers for low-income families (expired); extension of expiring unemployment and other benefits; additional transfers for self-employed; additional spending in social programs; subsidies to the auto and aerospace sectors.
</t>
    </r>
    <r>
      <rPr>
        <b/>
        <sz val="10"/>
        <rFont val="Arial"/>
        <family val="2"/>
      </rPr>
      <t xml:space="preserve">Foregone revenue (€13.9 bn): </t>
    </r>
    <r>
      <rPr>
        <sz val="10"/>
        <rFont val="Arial"/>
        <family val="2"/>
      </rPr>
      <t xml:space="preserve">Exoneration of social security contributions for affected firms in tourism sectors; carry back for corporate income taxes; permanent tax cuts (production taxes) announced in the Plan de Relance for 2021 onward. </t>
    </r>
  </si>
  <si>
    <r>
      <rPr>
        <b/>
        <sz val="10"/>
        <rFont val="Arial"/>
        <family val="2"/>
      </rPr>
      <t>Accelerated spending (€23 bn):</t>
    </r>
    <r>
      <rPr>
        <sz val="10"/>
        <rFont val="Arial"/>
        <family val="2"/>
      </rPr>
      <t xml:space="preserve"> accelerated refund of tax credits (e.g. CIT and VAT).
</t>
    </r>
    <r>
      <rPr>
        <b/>
        <sz val="10"/>
        <rFont val="Arial"/>
        <family val="2"/>
      </rPr>
      <t xml:space="preserve">Deferred revenue (€33.5 bn): </t>
    </r>
    <r>
      <rPr>
        <sz val="10"/>
        <rFont val="Arial"/>
        <family val="2"/>
      </rPr>
      <t>Postponement of social security contributions and tax payment for companies from Q2 to 2020H2.</t>
    </r>
  </si>
  <si>
    <t>• The authorities announced potential direct equity support in strategic companies (around €21 bn).</t>
  </si>
  <si>
    <t xml:space="preserve">• State guarantees for liquidity bank loans to companies and credit reinsurance schemes (€315 bn); other guarantees (€12.5 bn).
• The Plan de Relance includes the creation of a €21 bn fund leveraged by public guarantees (€3 bn), to provide quasi-equity support or equity loans to firms. </t>
  </si>
  <si>
    <t>Liquidity support through postponement of social security contributions and tax payment for companies (€33.5 bn).</t>
  </si>
  <si>
    <t>Germany</t>
  </si>
  <si>
    <r>
      <rPr>
        <b/>
        <sz val="10"/>
        <color theme="1"/>
        <rFont val="Arial"/>
        <family val="2"/>
      </rPr>
      <t xml:space="preserve">Additional spending (€23 bn): </t>
    </r>
    <r>
      <rPr>
        <sz val="10"/>
        <color theme="1"/>
        <rFont val="Arial"/>
        <family val="2"/>
      </rPr>
      <t xml:space="preserve">on hospital capacity, medical equipment, research, and information campaigns. </t>
    </r>
  </si>
  <si>
    <r>
      <rPr>
        <b/>
        <sz val="10"/>
        <color theme="1"/>
        <rFont val="Arial"/>
        <family val="2"/>
      </rPr>
      <t xml:space="preserve">Additional spending (€223 bn): </t>
    </r>
    <r>
      <rPr>
        <sz val="10"/>
        <color theme="1"/>
        <rFont val="Arial"/>
        <family val="2"/>
      </rPr>
      <t xml:space="preserve">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</si>
  <si>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</si>
  <si>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</si>
  <si>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€63 bn.</t>
  </si>
  <si>
    <t>The government provides options for deferring tax payments and reducing prepayments; while tax penalties will not be levied until the end of this year.</t>
  </si>
  <si>
    <t>Italy</t>
  </si>
  <si>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</si>
  <si>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(€71.5 bn): </t>
    </r>
    <r>
      <rPr>
        <sz val="10"/>
        <rFont val="Arial"/>
        <family val="2"/>
      </rPr>
      <t xml:space="preserve">including broadening the wage supplementation fund to provide income support to laid-off workers and the self-employed, vouchers for the payment of babysitters (€52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</si>
  <si>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</si>
  <si>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</si>
  <si>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</si>
  <si>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</si>
  <si>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t>Japan</t>
  </si>
  <si>
    <r>
      <rPr>
        <b/>
        <sz val="10"/>
        <color theme="1"/>
        <rFont val="Arial"/>
        <family val="2"/>
      </rPr>
      <t>Additional spending (JPY 5.1 tn):</t>
    </r>
    <r>
      <rPr>
        <sz val="10"/>
        <color theme="1"/>
        <rFont val="Arial"/>
        <family val="2"/>
      </rPr>
      <t xml:space="preserve">
• Production, procurement, and distribution of critical equipment such as masks and ventilators (JPY 0.8 tn).
• Transfers to local governments to be used for their health- and long-term care related measures including cash handouts to medical and long-term care practitioners (JPY 2.4 tn).
• Other health-related measures, e.g., procurement of vaccine, etc. (JPY 1.9 tn).</t>
    </r>
  </si>
  <si>
    <r>
      <rPr>
        <b/>
        <sz val="10"/>
        <color theme="1"/>
        <rFont val="Arial"/>
        <family val="2"/>
      </rPr>
      <t xml:space="preserve">Additional spending (JPY 54.4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On April 7 and 24, May 19 and 26, August 7 and September 8, the Government decided to allocate a part of the COVID-19 reserve fund to the measures amounting (JPY 2.1tn), including replenishment of the cash transfer to affected firms (JPY 0.9 tn) and the emergency loans to affected households (JPY 0.2 tn).
</t>
    </r>
    <r>
      <rPr>
        <b/>
        <sz val="10"/>
        <color theme="1"/>
        <rFont val="Arial"/>
        <family val="2"/>
      </rPr>
      <t xml:space="preserve">
Forgone revenue: </t>
    </r>
    <r>
      <rPr>
        <sz val="10"/>
        <color theme="1"/>
        <rFont val="Arial"/>
        <family val="2"/>
      </rPr>
      <t>Reduction of property tax and expansion of the loss carry-back program.</t>
    </r>
  </si>
  <si>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</si>
  <si>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</si>
  <si>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</si>
  <si>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</si>
  <si>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t>Korea</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</si>
  <si>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</si>
  <si>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</si>
  <si>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</si>
  <si>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</si>
  <si>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</si>
  <si>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t>Tax payment deferral covering a broad range of taxes for small businesses and the self-employed in medical, tourism, performance, hospitality, and other affected sectors. Social security contribution payment deferral for households</t>
  </si>
  <si>
    <t>Spain</t>
  </si>
  <si>
    <r>
      <rPr>
        <b/>
        <sz val="10"/>
        <color theme="1"/>
        <rFont val="Arial"/>
        <family val="2"/>
      </rPr>
      <t>Additional spending (€5.3 bn):</t>
    </r>
    <r>
      <rPr>
        <sz val="10"/>
        <color theme="1"/>
        <rFont val="Arial"/>
        <family val="2"/>
      </rPr>
      <t xml:space="preserve">
• Budget support from the contingency fund to the Ministry of Health (€1.4 bn); advance transfer to the regions for health services (€2.9 bn); other healthcare related spending including research (€1.05 bn).
• An emergency management process for the procurement of all goods and services needed by the public sector to implement any measure to address the pandemic.</t>
    </r>
  </si>
  <si>
    <r>
      <rPr>
        <b/>
        <sz val="10"/>
        <rFont val="Arial"/>
        <family val="2"/>
      </rPr>
      <t xml:space="preserve">Additional spending (€26.8 bn):
</t>
    </r>
    <r>
      <rPr>
        <sz val="10"/>
        <rFont val="Arial"/>
        <family val="2"/>
      </rPr>
      <t xml:space="preserve">• Unemployment benefit for workers registered under the Temporary Employment Adjustment Schemes (ERTE), with no requirement for prior minimum contribution or reduction of accumulated entitlement (€18 bn); 
• An allowance for affected self-employed (€4.8 bn);
• Increased sick pay for infected or quarantined workers (€1.4 bn); 
• Introduction of a new means-tested "minimum vital income"; and new rental assistance programs for certain vulnerable renters;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and extension of the social benefit for energy provision.
• Additional fund to support industrial R&amp;D.
</t>
    </r>
    <r>
      <rPr>
        <b/>
        <sz val="10"/>
        <rFont val="Arial"/>
        <family val="2"/>
      </rPr>
      <t xml:space="preserve">
Forgone revenue (€6.0 bn): 
</t>
    </r>
    <r>
      <rPr>
        <sz val="10"/>
        <rFont val="Arial"/>
        <family val="2"/>
      </rPr>
      <t>• Exemptions of social contributions for affected companies that maintain employment under the ERTE and affected self-employed (€3.2 bn);
• Temporary waiver of VAT on purchases of certain medical material (€1 billion);
• Flexibility in filing income tax and VAT installment payment for SMEs and self-employed (€1 bn);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</si>
  <si>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</si>
  <si>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</si>
  <si>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Additional guarantees of up to €2 bn for exporters through the Spanish Export Insurance Credit Company 
• A line of guarantees to provide financial assistance on housing expenses for vulnerable households (€1.2 bn) 
• Additional loan guarantees for SMEs and self-employed through the Compañía Española de Reafianzamiento (€1 bn) 
• Expansion of the ICO credit lines for the tourism sector (€200 million)
• Guarantees for loan maturity extensions to farmers using the special 2017 drought credit lines.</t>
  </si>
  <si>
    <t>• Additional funding for the Instituto de Crédito Official (ICO) credit lines (€10 bn)</t>
  </si>
  <si>
    <t>United Kingdom</t>
  </si>
  <si>
    <r>
      <rPr>
        <b/>
        <sz val="10"/>
        <color theme="1"/>
        <rFont val="Arial"/>
        <family val="2"/>
      </rPr>
      <t>Additional spending (£31.7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(£0.1 bn):</t>
    </r>
    <r>
      <rPr>
        <sz val="10"/>
        <color theme="1"/>
        <rFont val="Arial"/>
        <family val="2"/>
      </rPr>
      <t xml:space="preserve">
• Waiver of VAT and customs duties on critical medical imports, including ventilators, testing kits, and protective gear for the test, trace, contain and enable program.</t>
    </r>
  </si>
  <si>
    <r>
      <rPr>
        <b/>
        <sz val="10"/>
        <color theme="1"/>
        <rFont val="Arial"/>
        <family val="2"/>
      </rPr>
      <t xml:space="preserve">Additional spending (£140.8 bn):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 £1,000 bonus to firms per employee brought back from furlough and employed until January 2021.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Green Homes Grant (£3bn).
</t>
    </r>
    <r>
      <rPr>
        <b/>
        <sz val="10"/>
        <color theme="1"/>
        <rFont val="Arial"/>
        <family val="2"/>
      </rPr>
      <t xml:space="preserve">
Forgone revenue (£15.8 bn):</t>
    </r>
    <r>
      <rPr>
        <sz val="10"/>
        <color theme="1"/>
        <rFont val="Arial"/>
        <family val="2"/>
      </rPr>
      <t xml:space="preserve"> 
• Property tax (business rate) holiday for firms in affected sectors for 12 months.
• Temporary cut on stamp duty land tax for 10 month.
• VAT rate reduction for hospitality, accommodation, and attractions for 6 months.</t>
    </r>
  </si>
  <si>
    <r>
      <rPr>
        <b/>
        <sz val="10"/>
        <color theme="1"/>
        <rFont val="Arial"/>
        <family val="2"/>
      </rPr>
      <t xml:space="preserve">Accelerated spending: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t>
    </r>
    <r>
      <rPr>
        <sz val="10"/>
        <color theme="1"/>
        <rFont val="Arial"/>
        <family val="2"/>
      </rPr>
      <t>: 
• Deferral of income tax for the self employed and VAT payments; 
• Time to Pay arrangements (tax debt restructuring) for businesses and individuals.</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</si>
  <si>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</si>
  <si>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</si>
  <si>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</si>
  <si>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United States</t>
  </si>
  <si>
    <r>
      <rPr>
        <b/>
        <sz val="10"/>
        <color theme="1"/>
        <rFont val="Arial"/>
        <family val="2"/>
      </rPr>
      <t>Additional spending ($295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</si>
  <si>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($1617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t>
    </r>
    <r>
      <rPr>
        <b/>
        <sz val="10"/>
        <color theme="1"/>
        <rFont val="Arial"/>
        <family val="2"/>
      </rPr>
      <t xml:space="preserve">Forgone revenue ($528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$434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</si>
  <si>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</si>
  <si>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</si>
  <si>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</si>
  <si>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</si>
  <si>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</si>
  <si>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t>Argentina</t>
  </si>
  <si>
    <r>
      <rPr>
        <b/>
        <sz val="10"/>
        <rFont val="Arial"/>
        <family val="2"/>
      </rPr>
      <t>Additional spending (AR $41.7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$16.9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</si>
  <si>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rFont val="Arial"/>
        <family val="2"/>
      </rPr>
      <t>Additional spending (AR $927.1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$71.8 bn)</t>
    </r>
    <r>
      <rPr>
        <sz val="10"/>
        <rFont val="Arial"/>
        <family val="2"/>
      </rPr>
      <t xml:space="preserve">:
• Most affected sectors granted 95% reduction in employers’ contributions to the pension system.
• Reduction in employers' contributions to Social Security. </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</si>
  <si>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</si>
  <si>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</si>
  <si>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</si>
  <si>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t>Brazil</t>
  </si>
  <si>
    <r>
      <rPr>
        <b/>
        <sz val="10"/>
        <color theme="1"/>
        <rFont val="Arial"/>
        <family val="2"/>
      </rPr>
      <t xml:space="preserve">Additional spending (BRL 56.7 bn): </t>
    </r>
    <r>
      <rPr>
        <sz val="10"/>
        <color theme="1"/>
        <rFont val="Arial"/>
        <family val="2"/>
      </rPr>
      <t xml:space="preserve">Federal Government spending (BRL 46.7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</si>
  <si>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504.6 bn):
</t>
    </r>
    <r>
      <rPr>
        <sz val="10"/>
        <color theme="1"/>
        <rFont val="Arial"/>
        <family val="2"/>
      </rPr>
      <t>•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t>
    </r>
    <r>
      <rPr>
        <b/>
        <sz val="10"/>
        <color theme="1"/>
        <rFont val="Arial"/>
        <family val="2"/>
      </rPr>
      <t xml:space="preserve">
Forgone revenue (BRL 14.1 bn): 
</t>
    </r>
    <r>
      <rPr>
        <sz val="10"/>
        <color theme="1"/>
        <rFont val="Arial"/>
        <family val="2"/>
      </rPr>
      <t>• Elimination of the financial transactions tax for 6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</si>
  <si>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175.3 bn)</t>
    </r>
    <r>
      <rPr>
        <sz val="10"/>
        <rFont val="Arial"/>
        <family val="2"/>
      </rPr>
      <t xml:space="preserve">: 
• 4-month deferral of social contributions paid by firms and employers, 3-month deferral of small business taxes, and delayed personal income tax filling. Deferral of taxes paid by the telecommunications sector and of tax debt payment obligations. </t>
    </r>
  </si>
  <si>
    <t>• Direct government loans, including credit lines to SMEs to finance payroll costs (BRL 17 bn), support to fund lending to microbusinesses (BRL 27.9 bn), support to a credit guarantee fund to finance SMEs (BRL 20 bn), and credit support to the tourism sector (BRL 5 bn).</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</si>
  <si>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</si>
  <si>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</si>
  <si>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</si>
  <si>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t>China</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</si>
  <si>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</si>
  <si>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1.5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</si>
  <si>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</si>
  <si>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</si>
  <si>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</si>
  <si>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</si>
  <si>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</si>
  <si>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India</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</si>
  <si>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</si>
  <si>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3049.5 bn):
</t>
    </r>
    <r>
      <rPr>
        <sz val="10"/>
        <rFont val="Arial"/>
        <family val="2"/>
      </rPr>
      <t xml:space="preserve">• On March 26, the central government announced a package that provides insurance coverage for healthcare workers, substantial cash and in-kind (food, cooking gas) transfers, as well as wage and unemployment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157.5 bn).
• On June 30, authorities extended the provision of food rations to vulnerable households (Rs 900 bn).
• On August 20, authorities extended and expanded unemployment benefits for workers who are covered under the Employees State Insurance Corporation (ESIC) scheme. </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</si>
  <si>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</si>
  <si>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(Rs 500 bn)</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</si>
  <si>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</si>
  <si>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t>• Loans to companies in the electricity distribution sector (Rs 900 bn), carried out by Power Finance Crops and Rural Electrification Corps (both SOEs) under state government guarantees.</t>
  </si>
  <si>
    <t>Indonesia</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</si>
  <si>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</si>
  <si>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</si>
  <si>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</si>
  <si>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</si>
  <si>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</si>
  <si>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</si>
  <si>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Mexico</t>
  </si>
  <si>
    <t>Non-financial Public Sector</t>
  </si>
  <si>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</si>
  <si>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</si>
  <si>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</si>
  <si>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</si>
  <si>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t>• Development banks to provide loans, particularly to small- and medium-scale enterprises (SMEs).</t>
  </si>
  <si>
    <t>At the state-level, several state governments have announced support, including deferral of tax payments or tax holidays.</t>
  </si>
  <si>
    <t>Russia</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</si>
  <si>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</si>
  <si>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1.8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474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</si>
  <si>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</si>
  <si>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</si>
  <si>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</si>
  <si>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</si>
  <si>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t>Saudi Arabia</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</si>
  <si>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</si>
  <si>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</si>
  <si>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48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</si>
  <si>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</si>
  <si>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t>South Africa</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</si>
  <si>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</si>
  <si>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210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</si>
  <si>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</si>
  <si>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</si>
  <si>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Programs from the industrial development corporation to support businesses.</t>
  </si>
  <si>
    <t>Turkey</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</si>
  <si>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</si>
  <si>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</si>
  <si>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</si>
  <si>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</si>
  <si>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</si>
  <si>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</si>
  <si>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t>Belgium</t>
  </si>
  <si>
    <r>
      <t xml:space="preserve">Additional spending (€3.3 bn): </t>
    </r>
    <r>
      <rPr>
        <sz val="10"/>
        <color theme="1"/>
        <rFont val="Arial"/>
        <family val="2"/>
      </rPr>
      <t>on medical equipment, tests, administration etc.</t>
    </r>
    <r>
      <rPr>
        <b/>
        <sz val="10"/>
        <color theme="1"/>
        <rFont val="Arial"/>
        <family val="2"/>
      </rPr>
      <t xml:space="preserve">
</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</si>
  <si>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temporary increase in the investment allowance for SMEs and natural persons, and increase in the CIT allowance for restaurant and reception costs. Suspension of penalties for delays or non-performance of suppliers to the public sector.</t>
    </r>
  </si>
  <si>
    <r>
      <rPr>
        <b/>
        <sz val="10"/>
        <color theme="1"/>
        <rFont val="Arial"/>
        <family val="2"/>
      </rPr>
      <t xml:space="preserve">Accelerated spending (€2 bn): 
•  </t>
    </r>
    <r>
      <rPr>
        <sz val="10"/>
        <color theme="1"/>
        <rFont val="Arial"/>
        <family val="2"/>
      </rPr>
      <t>Advance payments to hospitals.</t>
    </r>
    <r>
      <rPr>
        <b/>
        <sz val="10"/>
        <color theme="1"/>
        <rFont val="Arial"/>
        <family val="2"/>
      </rPr>
      <t xml:space="preserve">
Deferred revenue (€14.1 bn): </t>
    </r>
    <r>
      <rPr>
        <sz val="10"/>
        <color theme="1"/>
        <rFont val="Arial"/>
        <family val="2"/>
      </rPr>
      <t xml:space="preserve">
• Deferred payment of tax and social security contributions for affected firms, self-employed, and households, without application of interest charges and penalties, estimated at about 10 bn euros, and exemption of advanced VAT payment in December.</t>
    </r>
  </si>
  <si>
    <r>
      <rPr>
        <b/>
        <sz val="10"/>
        <rFont val="Arial"/>
        <family val="2"/>
      </rPr>
      <t xml:space="preserve">Government loans (0.8bn): 
</t>
    </r>
    <r>
      <rPr>
        <sz val="10"/>
        <rFont val="Arial"/>
        <family val="2"/>
      </rPr>
      <t xml:space="preserve">• Federal loan to Brussels Airlines (still subject to EC approval)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</si>
  <si>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</si>
  <si>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t>Czech Republic</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</si>
  <si>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(CZK 21.1bn).
• Debt relief of hospitals (CZK 6.6bn). 
• Bonus for workers in social services, hospitals, and emergency responders (CZK 16.8bn).
• Other health measures: mobile collection teams, transport disinfection, Smart Quarantine establishment (CZK 0.3bn).</t>
    </r>
  </si>
  <si>
    <r>
      <rPr>
        <b/>
        <sz val="10"/>
        <rFont val="Arial"/>
        <family val="2"/>
      </rPr>
      <t xml:space="preserve">Additional spending: </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(CZK 27.2bn).
• Care Allowance to parents, who cannot work because they need to care for children up to 13 years, of 80% of eligible income (calculated based on a progressive table) for sick leave (CZK 9bn).
• Care Allowance to self-employed persons (CZK 434 per day in March, CZK 500 per day since April), who cannot work because they need to care for children up to 13 years (CZK 3bn)
• The state covers half of business property rents in Q2 (CZK 5bn).
• Programs in support of the sports, culture, tourism, transport and agriculture sectors (CZK 19.6bn).
• Other expenditure (CZK 3bn).
</t>
    </r>
    <r>
      <rPr>
        <b/>
        <sz val="10"/>
        <rFont val="Arial"/>
        <family val="2"/>
      </rPr>
      <t xml:space="preserve">Forgone Revenue: </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13.5bn).
• Loss carryback measure: Taxpayers who report tax losses in 2020 due to the state of emergency, will be able to reduce their tax bases for the tax years 2019 and 2018 by this loss (maximum CZK 30 million) (CZK 29bn).
• Reduced VAT rate to 10% for accommodation, sports and culture services (CZK 1.2bn).
• Reduced road tax rate for vehicles above 3.5t (CZK 1bn).
• Abolition of the real property transfer tax (CZK 10.6bn).
• Lower dividends from Airport Prague (CZK 1.5bn).
• Self-employed receive lump sum of CZK 500 per day during Mar 12 and Jun 8 and have access to sick leave (same regime as that for full-time employees) (CZK 20.2bn).
• Additional lump-sum assistance grant (CZK 500 per day) to micro businesses during Mar 12 and Jun 8. Eligible businesses are limited liability companies with up to two partners and turnover of at least at CZK 180,000 in 2019 (CZK 1.8bn).
• Additional lump-sum assistance grant (CZK 350 per day) to contract workers (not employees) (CZK 2.1bn).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</si>
  <si>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14.6bn) 
• Deferral of the VAT </t>
    </r>
  </si>
  <si>
    <t xml:space="preserve">• The CMZRB provided CZK 1bn through interest-free loans, the rest will be handled through state guarantees on loans of commercial banks (COVID I Programme).rough state guarantees on loans of commercial banks.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</si>
  <si>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7.9bn).</t>
  </si>
  <si>
    <t>Denmark</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</si>
  <si>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</si>
  <si>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rFont val="Arial"/>
        <family val="2"/>
      </rPr>
      <t xml:space="preserve">Additional spending (130.6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 Self-employment compensation scheme - extension to 8/8 (DKK 0.5 bn)
• UI benefits expanded eligibility (DKK 0.4 bn)
• Extension of cultural aid packages to 8/8 (DKK 0.1 bn)
• One-time grants to low-income families (DKK 1.8 bn)
• Increase in corporate deductions for R&amp;D (DKK 1.3 bn)
• Support for tourism sector (DKK 0.8 bn)
• Export package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</si>
  <si>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</si>
  <si>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r>
      <t xml:space="preserve">• Increase the Danish Students’ Loan Scheme (DKK 1.5 billion). 
• Interest free loans based on VAT payments and payroll tax payments (DKK 35 billion). 
• </t>
    </r>
    <r>
      <rPr>
        <sz val="10"/>
        <color theme="1"/>
        <rFont val="Arial"/>
        <family val="1"/>
        <charset val="2"/>
      </rPr>
      <t>Loans and equity to start-ups and high growth enterprises (less than DKK 3.4 billion)</t>
    </r>
    <r>
      <rPr>
        <sz val="10"/>
        <color theme="1"/>
        <rFont val="Arial"/>
        <family val="2"/>
      </rPr>
      <t xml:space="preserve"> State capital injection into Recapitalization Fund (DKK 10 bn)
• State capital injection into Restart Fund (administered by the Growth Fund) (DKK 3 bn)
• Plan to recapitalize Scandinavian Airlines (up to DKK 6 bn)</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</si>
  <si>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t>
  </si>
  <si>
    <t>Another 2 percent of GDP in countercyclical support is expected to come through the stronger automatic stabilizers—including from weaker tax receipts and higher social benefits.</t>
  </si>
  <si>
    <t>Finland</t>
  </si>
  <si>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</si>
  <si>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(€1.0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(€343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</si>
  <si>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(1.5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</si>
  <si>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</si>
  <si>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</si>
  <si>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</si>
  <si>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</si>
  <si>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</si>
  <si>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The Netherlands</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</si>
  <si>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</si>
  <si>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</si>
  <si>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</si>
  <si>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</si>
  <si>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</si>
  <si>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New Zealand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</si>
  <si>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</si>
  <si>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r>
      <t xml:space="preserve">Additional spending: </t>
    </r>
    <r>
      <rPr>
        <sz val="10"/>
        <rFont val="Arial"/>
        <family val="2"/>
      </rPr>
      <t xml:space="preserve"> including wage subsidies available for all employers significantly affected by COVID-19 (NZ $14.8 bn); income relief payment to support people who have lost their job (NZ$570 million); financial support for workers not paid normally during self-isolation (NZ $126 mn); temporary increase in winter energy payment (NZ $480 mn); permanent increase in benefits (NZ$2.4 bn in the next four years); infrastructure investment (NZ$3.8 billion); support package for the aviation sector (NZ$ 600 mn); tourism recover package (NZ$400 million); government housing program (NZ$670mn); and school infrastructure upgrade (NZ$ 214 mn); and transprot projects (NZ$600mn)..
</t>
    </r>
    <r>
      <rPr>
        <b/>
        <sz val="10"/>
        <rFont val="Arial"/>
        <family val="2"/>
      </rPr>
      <t>Forgone revenue</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</si>
  <si>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 $100 thousand loan is granted to small businesses that employ 50 or fewer full time equivalent employees.</t>
  </si>
  <si>
    <t>• A loan guarantee scheme for firms with a turnover of between NZ$250 thousand and NZ$200 million per annum, with the Government carrying 80% of the credit risk. The loans will be limited to NZ$5 million for a maximum of five years and expected to be provided by the banks at competitive, transparent rates.</t>
  </si>
  <si>
    <t>Norway</t>
  </si>
  <si>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</si>
  <si>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</si>
  <si>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Deferred revenue</t>
    </r>
    <r>
      <rPr>
        <sz val="10"/>
        <color theme="1"/>
        <rFont val="Arial"/>
        <family val="2"/>
      </rPr>
      <t>: from various taxes.</t>
    </r>
  </si>
  <si>
    <t xml:space="preserve">• The reinstatement of a government fund that buys bonds issued by Norwegian companies to increase liquidity and access to capital in the Norwegian bond market, with a ceiling of NOK 50 bn. </t>
  </si>
  <si>
    <t xml:space="preserve">• Establish a government guarantee and loan scheme which includes loan guarantees for SMEs (NOK 50 bn) and a scheme for re-insurance of private credit insurance providers (NOK 20 bn). </t>
  </si>
  <si>
    <t>Automatic stabilizers, contingency lines, advance payments and tax deferrals, international aid; Deferral of various tax payments.</t>
  </si>
  <si>
    <t>Singapore</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</si>
  <si>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</si>
  <si>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</si>
  <si>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billion in loan capital was set aside to help businesses facing cash flow challenges with loan obligations and insurance premium payments.</t>
  </si>
  <si>
    <t>Sweden</t>
  </si>
  <si>
    <r>
      <rPr>
        <b/>
        <sz val="10"/>
        <rFont val="Arial"/>
        <family val="2"/>
      </rPr>
      <t>Additional spending:</t>
    </r>
    <r>
      <rPr>
        <sz val="10"/>
        <rFont val="Arial"/>
        <family val="2"/>
      </rPr>
      <t xml:space="preserve"> increased testing and tracing for Covid-19 (SEK 7 bn); funding of extraordinary costs associated with Covid-19 for municipalities and regions (SEK 5 bn) and elderly care boost (SEK 2.2 bn).</t>
    </r>
  </si>
  <si>
    <r>
      <rPr>
        <b/>
        <sz val="10"/>
        <rFont val="Arial"/>
        <family val="2"/>
      </rPr>
      <t xml:space="preserve">Additional spending (SEK 208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</si>
  <si>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</si>
  <si>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</si>
  <si>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</si>
  <si>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Switzerland</t>
  </si>
  <si>
    <r>
      <rPr>
        <b/>
        <sz val="10"/>
        <rFont val="Arial"/>
        <family val="2"/>
      </rPr>
      <t>Additional spending</t>
    </r>
    <r>
      <rPr>
        <sz val="10"/>
        <rFont val="Arial"/>
        <family val="2"/>
      </rPr>
      <t>: Includes army pharmacy (CHF2.264 billion), corona tests (CHF289 million), medication (CHF30 million), health protection (CHF13 million).</t>
    </r>
  </si>
  <si>
    <r>
      <rPr>
        <b/>
        <sz val="10"/>
        <rFont val="Arial"/>
        <family val="2"/>
      </rPr>
      <t xml:space="preserve">Additional spending: </t>
    </r>
    <r>
      <rPr>
        <sz val="10"/>
        <rFont val="Arial"/>
        <family val="2"/>
      </rPr>
      <t>Benefits COVID income replacement directly affected (CHF4 bn) and indirectly affected (CHF 1.3 bn); financing for short term work program and the unemployment fund (CHF 20.2 bn), COVID bridging loan losses (CHF 1 bn); support for flight-related operations (CHF 0.6 bn); development aid incl. contribution to IMF (CHF 0.34 bn); loss cushion for public transport and rail freight (CHF 0.7 bn); and other measures.</t>
    </r>
  </si>
  <si>
    <r>
      <rPr>
        <sz val="10"/>
        <color theme="1"/>
        <rFont val="Symbol"/>
        <family val="1"/>
        <charset val="2"/>
      </rPr>
      <t xml:space="preserve">· </t>
    </r>
    <r>
      <rPr>
        <sz val="10"/>
        <color theme="1"/>
        <rFont val="Arial"/>
        <family val="2"/>
      </rPr>
      <t>Supported the Swiss Federal Railways such that it can take up an additional CHF 550 million from the Confederation in the form of customary interest-bearing loans with a term of up to one year.</t>
    </r>
    <r>
      <rPr>
        <sz val="10"/>
        <color theme="1"/>
        <rFont val="Arial"/>
        <family val="1"/>
        <charset val="2"/>
      </rPr>
      <t xml:space="preserve">
</t>
    </r>
    <r>
      <rPr>
        <sz val="10"/>
        <color theme="1"/>
        <rFont val="Symbol"/>
        <family val="1"/>
        <charset val="2"/>
      </rPr>
      <t>·</t>
    </r>
    <r>
      <rPr>
        <sz val="10"/>
        <color theme="1"/>
        <rFont val="Arial"/>
        <family val="1"/>
        <charset val="2"/>
      </rPr>
      <t xml:space="preserve"> Financial support to air traffic control company Skyguide, CHF400 million</t>
    </r>
  </si>
  <si>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</si>
  <si>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t>Albania</t>
  </si>
  <si>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</si>
  <si>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</si>
  <si>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</si>
  <si>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</si>
  <si>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Bulgaria</t>
  </si>
  <si>
    <r>
      <rPr>
        <b/>
        <sz val="10"/>
        <color theme="1"/>
        <rFont val="Arial"/>
        <family val="2"/>
      </rPr>
      <t>Additional spending</t>
    </r>
    <r>
      <rPr>
        <sz val="10"/>
        <color theme="1"/>
        <rFont val="Arial"/>
        <family val="2"/>
      </rPr>
      <t>:
•Purchase of protection equipment and additional remunerations in the ministries of health, interior and defense (0.5 bn).
• Government allocated: BGN 2.4 mn for coronavirus research;
BGN 24.6 mn for state standards for school and child healthcare and standards in the social sphere (old people care facilities, facilities for people with disabilities, homeless children care institutions); BGN 17.3 mn for subsidies to hospitals; BGN 126.3 mn for 10% increase in medical and dental care payments;
BGN 67 Mn for provision of a net remuneration of BGN 1,000 to the medical specialists involved in the fight against COVID-19 on the first line until the end of 2020 (provided by redirecting funds from European programs)</t>
    </r>
  </si>
  <si>
    <r>
      <rPr>
        <b/>
        <sz val="10"/>
        <rFont val="Arial"/>
        <family val="2"/>
      </rPr>
      <t>Additional spending</t>
    </r>
    <r>
      <rPr>
        <sz val="10"/>
        <rFont val="Arial"/>
        <family val="2"/>
      </rPr>
      <t xml:space="preserve"> (BGN 2.2 bn): 
</t>
    </r>
    <r>
      <rPr>
        <sz val="10"/>
        <rFont val="Symbol"/>
        <family val="1"/>
        <charset val="2"/>
      </rPr>
      <t>·</t>
    </r>
    <r>
      <rPr>
        <sz val="10"/>
        <rFont val="Arial"/>
        <family val="2"/>
      </rPr>
      <t xml:space="preserve"> BGN 1.5 bn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in the cultural field earning less than 1000 leva, for about 1200 people, at a cost of about 2.7 million leva; distributed BGN 610 as an additional bonus to social workers - employees of the Bureau of Labor and the General Labor Inspectorate.
</t>
    </r>
    <r>
      <rPr>
        <sz val="10"/>
        <rFont val="Symbol"/>
        <family val="1"/>
        <charset val="2"/>
      </rPr>
      <t>·</t>
    </r>
    <r>
      <rPr>
        <sz val="10"/>
        <rFont val="Arial"/>
        <family val="2"/>
      </rPr>
      <t xml:space="preserve"> Government approved; one-off cash transfer of BGN 375 to parents, forced to take unpaid leave to care for their children during the state of emergency (means-tested); BGN 92 Mn for 30% increase in administrations that are on the frontline of the pandemic; BGN 318.3 Mn for pension supplement of BGN 50 for all pensioners for 3 months; BGN 122 Mn for payments for personal assistants; BGN 12 Mn for the minimum amount of the unemployment benefit increased as of October 1, 2020; BGN 4 Mn, from the beginning of October it is envisaged to increase the duration of payment of unemployment benefits by 3 months for persons with minimum benefits; BGN 67 Mn for provision of a net remuneration of BGN 1,000 to the medical specialists involved in the fight against COVID-19 on the first line until the end of 2020; BGN 55 Mn for tour operators who use air carriers with a valid operating license to operate charter flights to the Republic of Bulgaria for tourism purposes will be supported by a state subsidy of 35 euros per seat of the maximum passenger capacity of the aircraft for each flight. and several other measures.
</t>
    </r>
    <r>
      <rPr>
        <b/>
        <sz val="10"/>
        <rFont val="Arial"/>
        <family val="2"/>
      </rPr>
      <t xml:space="preserve">Forgone revenue </t>
    </r>
    <r>
      <rPr>
        <sz val="10"/>
        <rFont val="Arial"/>
        <family val="2"/>
      </rPr>
      <t>(BGN 0.131 bn):  
• Reduced VAT rate of 9% for restaurant services, books, baby food, wine, beer, tour operators and tourist trips, gyms and sports facilities until end-2021, leading to estimated annual revenue shortfalls amounting to BGN 131 Mn.</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</si>
  <si>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</si>
  <si>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</si>
  <si>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</si>
  <si>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</si>
  <si>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t>Chile</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</si>
  <si>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</si>
  <si>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</si>
  <si>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</si>
  <si>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</si>
  <si>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</si>
  <si>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Colombia</t>
  </si>
  <si>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0.8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</si>
  <si>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
</t>
    </r>
    <r>
      <rPr>
        <sz val="10"/>
        <color theme="1"/>
        <rFont val="Symbol"/>
        <family val="1"/>
        <charset val="2"/>
      </rPr>
      <t>·</t>
    </r>
    <r>
      <rPr>
        <sz val="10"/>
        <color theme="1"/>
        <rFont val="Arial"/>
        <family val="2"/>
      </rPr>
      <t xml:space="preserve">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</si>
  <si>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</si>
  <si>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</si>
  <si>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2.2 percent of GDP</t>
  </si>
  <si>
    <t>Egypt</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</si>
  <si>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</si>
  <si>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rPr>
        <b/>
        <sz val="10"/>
        <color theme="1"/>
        <rFont val="Arial"/>
        <family val="2"/>
      </rP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Forgone revenue: 
•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</si>
  <si>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</si>
  <si>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</si>
  <si>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</si>
  <si>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Georgia</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</si>
  <si>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</si>
  <si>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Subsidy on utility costs (for electricity and natural gas) for low-level consumers from March to May.
</t>
    </r>
    <r>
      <rPr>
        <sz val="10"/>
        <color theme="1"/>
        <rFont val="Symbol"/>
        <family val="1"/>
        <charset val="2"/>
      </rPr>
      <t>·</t>
    </r>
    <r>
      <rPr>
        <sz val="10"/>
        <color theme="1"/>
        <rFont val="Arial"/>
        <family val="2"/>
      </rPr>
      <t xml:space="preserve">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t>
    </r>
    <r>
      <rPr>
        <sz val="10"/>
        <color theme="1"/>
        <rFont val="Symbol"/>
        <family val="1"/>
        <charset val="2"/>
      </rPr>
      <t>·</t>
    </r>
    <r>
      <rPr>
        <sz val="10"/>
        <color theme="1"/>
        <rFont val="Arial"/>
        <family val="2"/>
      </rPr>
      <t xml:space="preserve"> Support to businesses in the form of a credit guarantee scheme for SMEs, microgrants, support to the agriculture sector and construction sector  including through the acquisition of houses for refugees.
</t>
    </r>
    <r>
      <rPr>
        <b/>
        <sz val="10"/>
        <color theme="1"/>
        <rFont val="Arial"/>
        <family val="2"/>
      </rPr>
      <t xml:space="preserve">
Forgone revenue:
</t>
    </r>
    <r>
      <rPr>
        <sz val="10"/>
        <color theme="1"/>
        <rFont val="Arial"/>
        <family val="2"/>
      </rPr>
      <t>• Income tax relief to businesses who retain workers. Over the course of 6 months: (1) salaries up to 750 GEL will be fully exempt from income tax; and (2) for salaries up to 1,500 GEL, 750 GEL will be exempt from income tax.
• Property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</si>
  <si>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</si>
  <si>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</si>
  <si>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Kazakhstan</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</si>
  <si>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</si>
  <si>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</si>
  <si>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</si>
  <si>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</si>
  <si>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</si>
  <si>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</si>
  <si>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Mauritius</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</si>
  <si>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</si>
  <si>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during March to June to employees who become unemployed on a temporary basis, as well as those employed in informal sectors or self-employed. The schemes were extended to July for employees in the tourism sector only.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</si>
  <si>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</si>
  <si>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t>
  </si>
  <si>
    <t>North Macedonia</t>
  </si>
  <si>
    <r>
      <rPr>
        <b/>
        <sz val="10"/>
        <color theme="1"/>
        <rFont val="Arial"/>
        <family val="2"/>
      </rPr>
      <t>Non-Spending Measures:</t>
    </r>
    <r>
      <rPr>
        <sz val="10"/>
        <color theme="1"/>
        <rFont val="Arial"/>
        <family val="2"/>
      </rPr>
      <t xml:space="preserve">
Abolished the import duty on medical supplies</t>
    </r>
  </si>
  <si>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Lowering the penalty rate, by 50% i.e. to 5% for corporates and to 4% for the households.</t>
    </r>
  </si>
  <si>
    <t>Several interest free or low interest rate loans to SMEs from the MKD development banks channeled through commercial banks</t>
  </si>
  <si>
    <t>Pakistan</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</si>
  <si>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</si>
  <si>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</si>
  <si>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</si>
  <si>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t>
  </si>
  <si>
    <t>Peru</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</si>
  <si>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</si>
  <si>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</si>
  <si>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</si>
  <si>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</si>
  <si>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t>Philippines</t>
  </si>
  <si>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</si>
  <si>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</si>
  <si>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</si>
  <si>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</si>
  <si>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</si>
  <si>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t>Poland</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</si>
  <si>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</si>
  <si>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Additional spending</t>
    </r>
    <r>
      <rPr>
        <sz val="10"/>
        <color theme="1"/>
        <rFont val="Arial"/>
        <family val="2"/>
      </rPr>
      <t xml:space="preserve"> (PLN 128 bn):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</si>
  <si>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</si>
  <si>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 (PLN 100 billion total, of which PLN 40 billion will be recognized below the line).</t>
  </si>
  <si>
    <t xml:space="preserve">• Credit guarantees and micro-loans for entrepreneurs from the Polish Development Fund and BGK state-owned development bank estimated to be 74 bn (3.4 percent of GDP)
</t>
  </si>
  <si>
    <t>“Accelerated EU funds absorption; relaxed state aid rules (in line with EU approval)”</t>
  </si>
  <si>
    <t>Romania</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</si>
  <si>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</si>
  <si>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</si>
  <si>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</si>
  <si>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</si>
  <si>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</si>
  <si>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Serbia</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</si>
  <si>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</si>
  <si>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</si>
  <si>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</si>
  <si>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</si>
  <si>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</si>
  <si>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t>Thailand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</si>
  <si>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</si>
  <si>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b/>
        <sz val="10"/>
        <color theme="1"/>
        <rFont val="Symbol"/>
        <family val="1"/>
        <charset val="2"/>
      </rPr>
      <t>·</t>
    </r>
    <r>
      <rPr>
        <b/>
        <sz val="10"/>
        <color theme="1"/>
        <rFont val="Arial"/>
        <family val="2"/>
      </rPr>
      <t xml:space="preserve"> </t>
    </r>
    <r>
      <rPr>
        <sz val="10"/>
        <color theme="1"/>
        <rFont val="Arial"/>
        <family val="2"/>
      </rPr>
      <t>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Stimulus package to the tourism sector amounting to THB 22.4 billion including subsidies for 5 million domestic trips between July and October, 2020 (40 percent of certain accommodation, event and food costs).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Transfers to elderly, children up to 6-years-old, and holders of state-welfare cards that had previously not received assistance linked to the impact of Covid-19. This program covers about 6.8 million people with approximate cost of THB 20 billion.</t>
    </r>
    <r>
      <rPr>
        <b/>
        <sz val="10"/>
        <color theme="1"/>
        <rFont val="Arial"/>
        <family val="2"/>
      </rPr>
      <t xml:space="preserve">
Forgone revenue:
</t>
    </r>
    <r>
      <rPr>
        <b/>
        <sz val="10"/>
        <color theme="1"/>
        <rFont val="Symbol"/>
        <family val="1"/>
        <charset val="2"/>
      </rPr>
      <t>·</t>
    </r>
    <r>
      <rPr>
        <b/>
        <sz val="10"/>
        <color theme="1"/>
        <rFont val="Arial"/>
        <family val="2"/>
      </rPr>
      <t xml:space="preserve"> </t>
    </r>
    <r>
      <rPr>
        <sz val="10"/>
        <color theme="1"/>
        <rFont val="Arial"/>
        <family val="2"/>
      </rPr>
      <t>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</si>
  <si>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</si>
  <si>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</si>
  <si>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</si>
  <si>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</si>
  <si>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t>Tunisia</t>
  </si>
  <si>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 (TND 0.03 bn).</t>
    </r>
  </si>
  <si>
    <r>
      <t>Additional spending</t>
    </r>
    <r>
      <rPr>
        <sz val="10"/>
        <color theme="1"/>
        <rFont val="Arial"/>
        <family val="2"/>
      </rPr>
      <t xml:space="preserve"> (TND 1.681 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</si>
  <si>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</si>
  <si>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</si>
  <si>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</si>
  <si>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</si>
  <si>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t>United Arab Emirates</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</si>
  <si>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</si>
  <si>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</si>
  <si>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</si>
  <si>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</si>
  <si>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</si>
  <si>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</si>
  <si>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t>Bangladesh</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</si>
  <si>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</si>
  <si>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</si>
  <si>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t>Ethiopia</t>
  </si>
  <si>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</si>
  <si>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</si>
  <si>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</si>
  <si>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t>Ghana</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</si>
  <si>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</si>
  <si>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</si>
  <si>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</si>
  <si>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</si>
  <si>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t>Guinea-Bissau</t>
  </si>
  <si>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</si>
  <si>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Includes CFAF 580 million (US$ 1 million or 0.07 percent of GDP) used to distribute rice and sugar to households. Other transfers to households are planned.</t>
    </r>
  </si>
  <si>
    <t>Loans to banks for on-lending to the cashew sector.</t>
  </si>
  <si>
    <t>Honduras</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</si>
  <si>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</si>
  <si>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</si>
  <si>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</si>
  <si>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</si>
  <si>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</si>
  <si>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t>Kenya</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</si>
  <si>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</si>
  <si>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</si>
  <si>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</si>
  <si>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t>Myanmar</t>
  </si>
  <si>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</si>
  <si>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</si>
  <si>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</si>
  <si>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Nepal</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</si>
  <si>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</si>
  <si>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</si>
  <si>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</si>
  <si>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t>Niger</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</si>
  <si>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</si>
  <si>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</si>
  <si>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</si>
  <si>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</si>
  <si>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t>Nigeria</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</si>
  <si>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</si>
  <si>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</si>
  <si>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t>Senegal</t>
  </si>
  <si>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</si>
  <si>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(295.4 bn):</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</si>
  <si>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</si>
  <si>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</si>
  <si>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Uzbekistan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</si>
  <si>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</si>
  <si>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</si>
  <si>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</si>
  <si>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Vietnam</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</si>
  <si>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</si>
  <si>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</si>
  <si>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</si>
  <si>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</si>
  <si>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</si>
  <si>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</si>
  <si>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</si>
  <si>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Zambia</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</si>
  <si>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</si>
  <si>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</si>
  <si>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</si>
  <si>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Sources: National authorities and IMF staff estimates.</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</si>
  <si>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September 11, 2020,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October 2020 World Economic Outlook projections for 2020 unless otherwise stated. For Argentina, U.S. dollar values use end-August 2020 exchange rate. G20 = Group of Twenty; AE = Advanced Economy; EM = Emerging Market; LIDC = Low Income Developing Country. </t>
  </si>
  <si>
    <t xml:space="preserve">1/ The country list includes European Union as well, but the total global fiscal support does not include measures announced by the European Union because those are financing the measures by member states, which are included individually. </t>
  </si>
  <si>
    <t>Table 1. Summary of Country Fiscal Measures in Response to the COVID-19 Pandemic</t>
  </si>
  <si>
    <t>(USD billion and percent of GDP)</t>
  </si>
  <si>
    <t>USD Billion</t>
  </si>
  <si>
    <t>Percent of GDP</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</si>
  <si>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</si>
  <si>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</si>
  <si>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</si>
  <si>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</si>
  <si>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</si>
  <si>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</si>
  <si>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</si>
  <si>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</si>
  <si>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</si>
  <si>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</si>
  <si>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</si>
  <si>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</si>
  <si>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Austria</t>
  </si>
  <si>
    <t>Czech republic</t>
  </si>
  <si>
    <t>Estonia</t>
  </si>
  <si>
    <t>Greece</t>
  </si>
  <si>
    <t>Iceland</t>
  </si>
  <si>
    <t>Ireland</t>
  </si>
  <si>
    <t>Israel</t>
  </si>
  <si>
    <t>Latvia</t>
  </si>
  <si>
    <t>Lithuania</t>
  </si>
  <si>
    <t>Luxembourg</t>
  </si>
  <si>
    <t>Portugal</t>
  </si>
  <si>
    <t>San Marino</t>
  </si>
  <si>
    <t>Slovak Republic</t>
  </si>
  <si>
    <t>Slovenia</t>
  </si>
  <si>
    <t>Costa Rica</t>
  </si>
  <si>
    <t>Hungary</t>
  </si>
  <si>
    <t>Global</t>
  </si>
  <si>
    <t xml:space="preserve">Note: Estimates as of September 11, 2020. Numbers in U.S. dollar and percent of GDP are based on October 2020 World Economic Outlook unless otherwise stated. For Argentina, U.S. dollar values use end-August 2020 exchange rate. </t>
  </si>
  <si>
    <t xml:space="preserve">The country list includes European Union as well, but the total global fiscal support does not include measures announced by the European Union because those are financing the measures by member states, which are included individually. </t>
  </si>
  <si>
    <t>The global estimate of fiscal support includes above-the-line measures of additional spending and foregone revenue, as well as below the line measures and contingent liabilities from guarantees and quasi-fiscal operations.</t>
  </si>
  <si>
    <t/>
  </si>
  <si>
    <t>Prozente sind berechnet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</si>
</sst>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0"/>
    <numFmt numFmtId="166" formatCode="_(* #,##0_);_(* \(#,##0\);_(* &quot;-&quot;??_);_(@_)"/>
    <numFmt numFmtId="167" formatCode="_(* #,##0.0_);_(* \(#,##0.0\);_(* &quot;-&quot;??_);_(@_)"/>
    <numFmt numFmtId="168" formatCode="0.0000"/>
    <numFmt numFmtId="169" formatCode="0.00000"/>
  </numFmts>
  <fonts count="36">
    <font>
      <sz val="10"/>
      <color theme="1"/>
      <name val="Arial"/>
      <family val="2"/>
    </font>
    <font>
      <sz val="10"/>
      <color theme="1"/>
      <name val="Arial"/>
      <family val="2"/>
    </font>
    <font>
      <sz val="10"/>
      <color rgb="FFFF0000"/>
      <name val="Arial"/>
      <family val="2"/>
    </font>
    <font>
      <b/>
      <sz val="10"/>
      <color theme="1"/>
      <name val="Arial"/>
      <family val="2"/>
    </font>
    <font>
      <u/>
      <sz val="10"/>
      <color theme="10"/>
      <name val="Arial"/>
      <family val="2"/>
    </font>
    <font>
      <b/>
      <sz val="16"/>
      <color rgb="FF7030A0"/>
      <name val="Arial"/>
      <family val="2"/>
    </font>
    <font>
      <b/>
      <sz val="10"/>
      <color rgb="FF7030A0"/>
      <name val="Arial"/>
      <family val="2"/>
    </font>
    <font>
      <sz val="15"/>
      <color theme="1"/>
      <name val="Arial"/>
      <family val="2"/>
    </font>
    <font>
      <sz val="10"/>
      <name val="Arial"/>
      <family val="2"/>
    </font>
    <font>
      <b/>
      <sz val="10"/>
      <name val="Arial"/>
      <family val="2"/>
    </font>
    <font>
      <u/>
      <sz val="10"/>
      <name val="Arial"/>
      <family val="2"/>
    </font>
    <font>
      <strike/>
      <u/>
      <sz val="10"/>
      <name val="Arial"/>
      <family val="2"/>
    </font>
    <font>
      <sz val="10"/>
      <color theme="1"/>
      <name val="Symbol"/>
      <family val="1"/>
      <charset val="2"/>
    </font>
    <font>
      <sz val="10.4"/>
      <color theme="1"/>
      <name val="Arial"/>
      <family val="2"/>
    </font>
    <font>
      <sz val="11"/>
      <name val="Calibri"/>
      <family val="2"/>
      <charset val="238"/>
      <scheme val="minor"/>
    </font>
    <font>
      <sz val="10"/>
      <color theme="1"/>
      <name val="Arial"/>
      <family val="1"/>
      <charset val="2"/>
    </font>
    <font>
      <u/>
      <sz val="10"/>
      <color rgb="FFFF0000"/>
      <name val="Arial"/>
      <family val="2"/>
    </font>
    <font>
      <sz val="10"/>
      <name val="Symbol"/>
      <family val="1"/>
      <charset val="2"/>
    </font>
    <font>
      <b/>
      <sz val="10"/>
      <name val="Symbol"/>
      <family val="1"/>
      <charset val="2"/>
    </font>
    <font>
      <sz val="7"/>
      <color theme="1"/>
      <name val="Arial"/>
      <family val="2"/>
    </font>
    <font>
      <sz val="10"/>
      <color theme="1"/>
      <name val="Arial"/>
      <family val="2"/>
      <charset val="2"/>
    </font>
    <font>
      <b/>
      <sz val="10"/>
      <color theme="1"/>
      <name val="Symbol"/>
      <family val="1"/>
      <charset val="2"/>
    </font>
    <font>
      <sz val="6.6"/>
      <color theme="1"/>
      <name val="Arial"/>
      <family val="2"/>
    </font>
    <font>
      <sz val="8"/>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sz val="10"/>
      <color rgb="FF7030A0"/>
      <name val="Arial"/>
      <family val="2"/>
    </font>
    <font>
      <sz val="10"/>
      <color rgb="FF666666"/>
      <name val="Arial"/>
      <family val="2"/>
    </font>
    <font>
      <sz val="8"/>
      <color rgb="FF666666"/>
      <name val="Arial"/>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theme="1" tint="0.499984740745262"/>
        <bgColor indexed="64"/>
      </patternFill>
    </fill>
  </fills>
  <borders count="5">
    <border>
      <left/>
      <right/>
      <top/>
      <bottom/>
      <diagonal/>
    </border>
    <border>
      <left/>
      <right/>
      <top/>
      <bottom style="thin">
        <color indexed="64"/>
      </bottom>
      <diagonal/>
    </border>
    <border>
      <left/>
      <right/>
      <top style="thin">
        <color indexed="64"/>
      </top>
      <bottom/>
      <diagonal/>
    </border>
    <border>
      <left/>
      <right/>
      <top style="thin">
        <color theme="0" tint="-0.499984740745262"/>
      </top>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24" fillId="0" borderId="0"/>
  </cellStyleXfs>
  <cellXfs count="349">
    <xf numFmtId="0" fontId="0" fillId="0" borderId="0" xfId="0"/>
    <xf numFmtId="0" fontId="0" fillId="2" borderId="0" xfId="0" applyFill="1" applyAlignment="1">
      <alignment wrapText="1"/>
    </xf>
    <xf numFmtId="0" fontId="0" fillId="2" borderId="0" xfId="0" applyFill="1"/>
    <xf numFmtId="0" fontId="5" fillId="2" borderId="1" xfId="0" applyFont="1" applyFill="1" applyBorder="1" applyAlignment="1">
      <alignment horizontal="left" vertical="center"/>
    </xf>
    <xf numFmtId="0" fontId="0" fillId="2" borderId="1" xfId="0" applyFill="1" applyBorder="1" applyAlignment="1">
      <alignment vertical="center"/>
    </xf>
    <xf numFmtId="0" fontId="6" fillId="2" borderId="1" xfId="0" applyFont="1" applyFill="1" applyBorder="1" applyAlignment="1">
      <alignment horizontal="left" vertical="center"/>
    </xf>
    <xf numFmtId="165" fontId="3" fillId="2" borderId="1" xfId="0" applyNumberFormat="1" applyFont="1" applyFill="1" applyBorder="1" applyAlignment="1">
      <alignment horizontal="center" vertical="center"/>
    </xf>
    <xf numFmtId="0" fontId="0" fillId="2" borderId="1" xfId="0" applyFill="1" applyBorder="1"/>
    <xf numFmtId="0" fontId="0" fillId="2" borderId="1" xfId="0" applyFill="1" applyBorder="1" applyAlignment="1">
      <alignment horizontal="left" vertical="center"/>
    </xf>
    <xf numFmtId="165" fontId="1"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0" xfId="0" applyFill="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3" fillId="2" borderId="2" xfId="0" applyNumberFormat="1" applyFont="1" applyFill="1" applyBorder="1" applyAlignment="1">
      <alignment vertical="center" wrapText="1"/>
    </xf>
    <xf numFmtId="165" fontId="3" fillId="2" borderId="2" xfId="1" applyNumberFormat="1" applyFont="1" applyFill="1" applyBorder="1" applyAlignment="1">
      <alignment vertical="center" wrapText="1"/>
    </xf>
    <xf numFmtId="0" fontId="0" fillId="4" borderId="0" xfId="0" applyFill="1" applyAlignment="1">
      <alignment horizontal="left" vertical="center"/>
    </xf>
    <xf numFmtId="0" fontId="0" fillId="4" borderId="0" xfId="0" applyFill="1" applyAlignment="1">
      <alignment horizontal="left" vertical="center" wrapText="1"/>
    </xf>
    <xf numFmtId="0" fontId="0" fillId="2" borderId="1" xfId="0" applyFill="1" applyBorder="1" applyAlignment="1">
      <alignment horizontal="center" vertical="center" wrapText="1"/>
    </xf>
    <xf numFmtId="0" fontId="0" fillId="2" borderId="0" xfId="0" applyFill="1" applyAlignment="1">
      <alignment vertical="center" wrapText="1"/>
    </xf>
    <xf numFmtId="0" fontId="0" fillId="0" borderId="1" xfId="0" applyBorder="1" applyAlignment="1">
      <alignment horizontal="center" vertical="center" textRotation="90" wrapText="1"/>
    </xf>
    <xf numFmtId="0" fontId="0" fillId="2" borderId="1" xfId="0" applyFill="1" applyBorder="1" applyAlignment="1">
      <alignment vertical="center" textRotation="90" wrapText="1"/>
    </xf>
    <xf numFmtId="0" fontId="0" fillId="2" borderId="1" xfId="0" applyFill="1" applyBorder="1" applyAlignment="1">
      <alignment vertical="center" wrapText="1"/>
    </xf>
    <xf numFmtId="0" fontId="0" fillId="0" borderId="1" xfId="0" applyBorder="1" applyAlignment="1">
      <alignment vertical="center" textRotation="90" wrapText="1"/>
    </xf>
    <xf numFmtId="165" fontId="3" fillId="2" borderId="1" xfId="0" applyNumberFormat="1" applyFont="1" applyFill="1" applyBorder="1" applyAlignment="1">
      <alignment horizontal="center" vertical="center" wrapText="1"/>
    </xf>
    <xf numFmtId="165" fontId="0" fillId="2" borderId="1" xfId="0" applyNumberForma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165" fontId="0" fillId="2" borderId="1" xfId="1" applyNumberFormat="1" applyFont="1" applyFill="1" applyBorder="1" applyAlignment="1">
      <alignment horizontal="center" vertical="center" wrapText="1"/>
    </xf>
    <xf numFmtId="0" fontId="0" fillId="2" borderId="1" xfId="0" applyFill="1" applyBorder="1" applyAlignment="1">
      <alignment horizontal="left" vertical="center" textRotation="90" wrapText="1"/>
    </xf>
    <xf numFmtId="0" fontId="0" fillId="2" borderId="1" xfId="0" applyFill="1" applyBorder="1" applyAlignment="1">
      <alignment horizontal="left" vertical="center" wrapText="1"/>
    </xf>
    <xf numFmtId="0" fontId="0" fillId="2" borderId="1" xfId="0" applyFill="1" applyBorder="1" applyAlignment="1">
      <alignment wrapText="1"/>
    </xf>
    <xf numFmtId="0" fontId="0" fillId="2" borderId="0" xfId="0" applyFill="1" applyAlignment="1">
      <alignment horizontal="center" vertical="center"/>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0" fontId="8" fillId="5" borderId="0" xfId="0" applyFont="1" applyFill="1" applyAlignment="1">
      <alignment horizontal="left" vertical="center" wrapText="1"/>
    </xf>
    <xf numFmtId="0" fontId="0" fillId="5" borderId="2" xfId="0" applyFill="1" applyBorder="1" applyAlignment="1">
      <alignment horizontal="left" vertical="center" wrapText="1"/>
    </xf>
    <xf numFmtId="165" fontId="8" fillId="5" borderId="0" xfId="0" applyNumberFormat="1" applyFont="1" applyFill="1" applyAlignment="1">
      <alignment horizontal="left" vertical="center" wrapText="1"/>
    </xf>
    <xf numFmtId="0" fontId="8" fillId="5" borderId="0" xfId="0" applyFont="1" applyFill="1" applyAlignment="1">
      <alignment horizontal="center" vertical="center" wrapText="1"/>
    </xf>
    <xf numFmtId="1" fontId="0" fillId="5" borderId="0" xfId="0" applyNumberFormat="1" applyFill="1" applyAlignment="1">
      <alignment horizontal="center" vertical="center"/>
    </xf>
    <xf numFmtId="1" fontId="1" fillId="5" borderId="0" xfId="1" applyNumberFormat="1" applyFont="1" applyFill="1" applyBorder="1" applyAlignment="1">
      <alignment horizontal="center" vertical="center" wrapText="1"/>
    </xf>
    <xf numFmtId="0" fontId="0" fillId="5" borderId="0" xfId="0" applyFill="1" applyAlignment="1">
      <alignment horizontal="left" vertical="center" wrapText="1"/>
    </xf>
    <xf numFmtId="1" fontId="8" fillId="5" borderId="0" xfId="0" applyNumberFormat="1" applyFont="1" applyFill="1" applyAlignment="1">
      <alignment horizontal="center" vertical="center"/>
    </xf>
    <xf numFmtId="1" fontId="1" fillId="5" borderId="0" xfId="1" applyNumberFormat="1" applyFont="1" applyFill="1" applyBorder="1" applyAlignment="1">
      <alignment horizontal="center" vertical="center"/>
    </xf>
    <xf numFmtId="1" fontId="0" fillId="5" borderId="0" xfId="1" applyNumberFormat="1" applyFont="1" applyFill="1" applyBorder="1" applyAlignment="1">
      <alignment horizontal="center" vertical="center"/>
    </xf>
    <xf numFmtId="0" fontId="0" fillId="5" borderId="1" xfId="0" applyFill="1" applyBorder="1" applyAlignment="1">
      <alignment horizontal="left" vertical="center" textRotation="90"/>
    </xf>
    <xf numFmtId="165" fontId="0" fillId="5" borderId="1" xfId="0" applyNumberFormat="1" applyFill="1" applyBorder="1" applyAlignment="1">
      <alignment horizontal="center" vertical="center"/>
    </xf>
    <xf numFmtId="0" fontId="8" fillId="5" borderId="1" xfId="0" applyFont="1" applyFill="1" applyBorder="1" applyAlignment="1">
      <alignment horizontal="left" vertical="center" wrapText="1"/>
    </xf>
    <xf numFmtId="0" fontId="0" fillId="5" borderId="1" xfId="0" applyFill="1" applyBorder="1" applyAlignment="1">
      <alignment horizontal="left" vertical="center" wrapText="1"/>
    </xf>
    <xf numFmtId="165" fontId="8" fillId="5" borderId="1" xfId="0" applyNumberFormat="1" applyFont="1" applyFill="1" applyBorder="1" applyAlignment="1">
      <alignment horizontal="center" vertical="center"/>
    </xf>
    <xf numFmtId="165" fontId="1" fillId="5" borderId="1"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0" fontId="0" fillId="5" borderId="2" xfId="0" applyFill="1" applyBorder="1" applyAlignment="1">
      <alignment vertical="center" wrapText="1"/>
    </xf>
    <xf numFmtId="1" fontId="0" fillId="5" borderId="2" xfId="0" applyNumberFormat="1" applyFill="1" applyBorder="1" applyAlignment="1">
      <alignment vertical="center" wrapText="1"/>
    </xf>
    <xf numFmtId="165" fontId="1" fillId="5" borderId="2" xfId="1" applyNumberFormat="1" applyFont="1" applyFill="1" applyBorder="1" applyAlignment="1">
      <alignment horizontal="center" vertical="center"/>
    </xf>
    <xf numFmtId="0" fontId="0" fillId="2" borderId="2" xfId="0" applyFill="1" applyBorder="1" applyAlignment="1">
      <alignment vertical="center"/>
    </xf>
    <xf numFmtId="0" fontId="4" fillId="5" borderId="2" xfId="2" applyFill="1" applyBorder="1" applyAlignment="1">
      <alignment horizontal="left" vertical="center" wrapText="1"/>
    </xf>
    <xf numFmtId="0" fontId="0" fillId="5" borderId="0" xfId="0" applyFill="1" applyAlignment="1">
      <alignment vertical="center" wrapText="1"/>
    </xf>
    <xf numFmtId="1" fontId="0" fillId="5" borderId="0" xfId="0" applyNumberFormat="1" applyFill="1" applyAlignment="1">
      <alignment vertical="center" wrapText="1"/>
    </xf>
    <xf numFmtId="165" fontId="1" fillId="5" borderId="0" xfId="1" applyNumberFormat="1" applyFont="1" applyFill="1" applyBorder="1" applyAlignment="1">
      <alignment horizontal="center" vertical="center"/>
    </xf>
    <xf numFmtId="0" fontId="4" fillId="5" borderId="0" xfId="2" applyFill="1" applyBorder="1" applyAlignment="1">
      <alignment horizontal="left" vertical="center" wrapText="1"/>
    </xf>
    <xf numFmtId="165" fontId="0" fillId="5" borderId="1" xfId="0" applyNumberFormat="1" applyFill="1" applyBorder="1" applyAlignment="1">
      <alignment horizontal="right" vertical="center"/>
    </xf>
    <xf numFmtId="0" fontId="4" fillId="5" borderId="1" xfId="2" applyFill="1" applyBorder="1" applyAlignment="1">
      <alignment horizontal="left" vertical="center" wrapText="1"/>
    </xf>
    <xf numFmtId="165" fontId="0" fillId="5" borderId="2" xfId="0" applyNumberFormat="1" applyFill="1" applyBorder="1" applyAlignment="1">
      <alignment horizontal="center" vertical="center"/>
    </xf>
    <xf numFmtId="1" fontId="1" fillId="5" borderId="2" xfId="1" applyNumberFormat="1" applyFont="1" applyFill="1" applyBorder="1" applyAlignment="1">
      <alignment horizontal="center" vertical="center"/>
    </xf>
    <xf numFmtId="0" fontId="8" fillId="5" borderId="2" xfId="0" applyFont="1" applyFill="1" applyBorder="1" applyAlignment="1">
      <alignment horizontal="left" vertical="center" wrapText="1"/>
    </xf>
    <xf numFmtId="0" fontId="0" fillId="5" borderId="2" xfId="0" applyFill="1" applyBorder="1" applyAlignment="1">
      <alignment horizontal="left"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1" xfId="0" applyNumberFormat="1" applyFill="1" applyBorder="1" applyAlignment="1">
      <alignment horizontal="left" vertical="center" wrapText="1"/>
    </xf>
    <xf numFmtId="0" fontId="4" fillId="0" borderId="0" xfId="2" applyAlignment="1">
      <alignment vertical="center"/>
    </xf>
    <xf numFmtId="2" fontId="0" fillId="5" borderId="1" xfId="0" applyNumberFormat="1" applyFill="1" applyBorder="1" applyAlignment="1">
      <alignment horizontal="center" vertical="center"/>
    </xf>
    <xf numFmtId="166" fontId="0" fillId="5" borderId="2" xfId="0" applyNumberFormat="1" applyFill="1" applyBorder="1" applyAlignment="1">
      <alignment horizontal="center" vertical="center"/>
    </xf>
    <xf numFmtId="166" fontId="1" fillId="5" borderId="2" xfId="1" applyNumberFormat="1" applyFill="1" applyBorder="1" applyAlignment="1">
      <alignment horizontal="center" vertical="center"/>
    </xf>
    <xf numFmtId="0" fontId="0" fillId="5" borderId="0" xfId="0" applyFill="1" applyAlignment="1">
      <alignment horizontal="left" vertical="center"/>
    </xf>
    <xf numFmtId="1" fontId="1" fillId="5" borderId="0" xfId="1" applyNumberFormat="1" applyFill="1" applyAlignment="1">
      <alignment horizontal="center" vertical="center"/>
    </xf>
    <xf numFmtId="166" fontId="0" fillId="5" borderId="0" xfId="0" applyNumberFormat="1" applyFill="1" applyAlignment="1">
      <alignment vertical="center"/>
    </xf>
    <xf numFmtId="0" fontId="0" fillId="5" borderId="1" xfId="0" applyFill="1" applyBorder="1" applyAlignment="1">
      <alignment horizontal="left" vertical="center"/>
    </xf>
    <xf numFmtId="165" fontId="1" fillId="5" borderId="1" xfId="1" applyNumberFormat="1" applyFill="1" applyBorder="1" applyAlignment="1">
      <alignment horizontal="center" vertical="center"/>
    </xf>
    <xf numFmtId="167" fontId="0" fillId="5" borderId="0" xfId="0" applyNumberFormat="1" applyFill="1" applyAlignment="1">
      <alignment vertical="center"/>
    </xf>
    <xf numFmtId="166" fontId="8" fillId="5" borderId="2" xfId="1" applyNumberFormat="1" applyFont="1" applyFill="1" applyBorder="1" applyAlignment="1">
      <alignment horizontal="left" vertical="center"/>
    </xf>
    <xf numFmtId="37" fontId="8" fillId="5" borderId="2" xfId="0" applyNumberFormat="1" applyFont="1" applyFill="1" applyBorder="1" applyAlignment="1">
      <alignment horizontal="center" vertical="center"/>
    </xf>
    <xf numFmtId="166" fontId="8" fillId="5" borderId="2" xfId="1"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165" fontId="8"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65" fontId="1" fillId="5" borderId="1" xfId="0" applyNumberFormat="1" applyFont="1" applyFill="1" applyBorder="1" applyAlignment="1">
      <alignment horizontal="center" vertical="center"/>
    </xf>
    <xf numFmtId="167" fontId="0" fillId="5" borderId="1" xfId="0" applyNumberFormat="1" applyFill="1" applyBorder="1" applyAlignment="1">
      <alignment vertical="center"/>
    </xf>
    <xf numFmtId="0" fontId="0" fillId="2" borderId="2" xfId="0" applyFill="1" applyBorder="1" applyAlignment="1">
      <alignment horizontal="left" vertical="center" wrapText="1"/>
    </xf>
    <xf numFmtId="165" fontId="0" fillId="5" borderId="2" xfId="0" applyNumberFormat="1" applyFill="1" applyBorder="1" applyAlignment="1">
      <alignment horizontal="center" vertical="center" wrapText="1"/>
    </xf>
    <xf numFmtId="1" fontId="0" fillId="5" borderId="2" xfId="0" applyNumberFormat="1" applyFill="1" applyBorder="1" applyAlignment="1">
      <alignment horizontal="left" vertical="center" wrapText="1"/>
    </xf>
    <xf numFmtId="165" fontId="1"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 fontId="0" fillId="5" borderId="0" xfId="0" applyNumberFormat="1" applyFill="1" applyAlignment="1">
      <alignment horizontal="left" vertical="center" wrapText="1"/>
    </xf>
    <xf numFmtId="165" fontId="1" fillId="5" borderId="0" xfId="0" applyNumberFormat="1" applyFont="1" applyFill="1" applyAlignment="1">
      <alignment horizontal="center" vertical="center"/>
    </xf>
    <xf numFmtId="165" fontId="0" fillId="5" borderId="1" xfId="0" applyNumberFormat="1" applyFill="1" applyBorder="1" applyAlignment="1">
      <alignment horizontal="center" vertical="center" wrapText="1"/>
    </xf>
    <xf numFmtId="0" fontId="2" fillId="5" borderId="2" xfId="0" applyFont="1" applyFill="1" applyBorder="1" applyAlignment="1">
      <alignment horizontal="left" vertical="center" wrapText="1"/>
    </xf>
    <xf numFmtId="1" fontId="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1" xfId="1" applyNumberFormat="1" applyFont="1" applyFill="1" applyBorder="1" applyAlignment="1">
      <alignment horizontal="center" vertical="center"/>
    </xf>
    <xf numFmtId="1" fontId="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1" fillId="5" borderId="2" xfId="1"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166" fontId="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8" fillId="5" borderId="2" xfId="0" applyNumberFormat="1" applyFont="1" applyFill="1" applyBorder="1" applyAlignment="1">
      <alignment horizontal="center" vertical="center" wrapText="1"/>
    </xf>
    <xf numFmtId="166" fontId="1" fillId="5" borderId="2" xfId="1" applyNumberFormat="1" applyFont="1" applyFill="1" applyBorder="1" applyAlignment="1">
      <alignment horizontal="center" vertical="center" wrapText="1"/>
    </xf>
    <xf numFmtId="3" fontId="2" fillId="5" borderId="2" xfId="0" applyNumberFormat="1" applyFont="1" applyFill="1" applyBorder="1" applyAlignment="1">
      <alignment horizontal="left" vertical="center" wrapText="1"/>
    </xf>
    <xf numFmtId="165" fontId="2" fillId="5" borderId="0" xfId="0" applyNumberFormat="1" applyFont="1" applyFill="1" applyAlignment="1">
      <alignment horizontal="left" vertical="center" wrapText="1"/>
    </xf>
    <xf numFmtId="0" fontId="2" fillId="5" borderId="0" xfId="0" applyFont="1" applyFill="1" applyAlignment="1">
      <alignment horizontal="left" vertical="center" wrapText="1"/>
    </xf>
    <xf numFmtId="165" fontId="2" fillId="5" borderId="1" xfId="0" applyNumberFormat="1" applyFont="1" applyFill="1" applyBorder="1" applyAlignment="1">
      <alignment horizontal="left" vertical="center" wrapText="1"/>
    </xf>
    <xf numFmtId="0" fontId="0" fillId="0" borderId="0" xfId="0" applyAlignment="1">
      <alignment vertical="center" wrapText="1"/>
    </xf>
    <xf numFmtId="165" fontId="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8" fillId="5" borderId="2"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 fontId="14" fillId="5" borderId="2" xfId="0" applyNumberFormat="1" applyFont="1" applyFill="1" applyBorder="1" applyAlignment="1">
      <alignment horizontal="center" vertical="center" wrapText="1"/>
    </xf>
    <xf numFmtId="1" fontId="14" fillId="5" borderId="2" xfId="1" applyNumberFormat="1" applyFont="1" applyFill="1" applyBorder="1" applyAlignment="1">
      <alignment horizontal="center" vertical="center" wrapText="1"/>
    </xf>
    <xf numFmtId="165" fontId="1" fillId="5" borderId="0" xfId="1" applyNumberFormat="1" applyFont="1" applyFill="1" applyBorder="1" applyAlignment="1">
      <alignment horizontal="center" vertical="center" wrapText="1"/>
    </xf>
    <xf numFmtId="0" fontId="16" fillId="0" borderId="0" xfId="2" applyFont="1"/>
    <xf numFmtId="165" fontId="8" fillId="5" borderId="2" xfId="0" applyNumberFormat="1" applyFont="1" applyFill="1" applyBorder="1" applyAlignment="1">
      <alignment horizontal="center" vertical="center"/>
    </xf>
    <xf numFmtId="165" fontId="0" fillId="5" borderId="2" xfId="0" applyNumberFormat="1" applyFill="1" applyBorder="1" applyAlignment="1">
      <alignment horizontal="left" vertical="center" wrapText="1"/>
    </xf>
    <xf numFmtId="1" fontId="8" fillId="5" borderId="2" xfId="0" applyNumberFormat="1" applyFont="1" applyFill="1" applyBorder="1" applyAlignment="1">
      <alignment horizontal="center" vertical="center"/>
    </xf>
    <xf numFmtId="0" fontId="4" fillId="5" borderId="2" xfId="2" applyFill="1" applyBorder="1" applyAlignment="1">
      <alignment vertical="center" wrapText="1"/>
    </xf>
    <xf numFmtId="0" fontId="4" fillId="5" borderId="0" xfId="2" applyFill="1" applyBorder="1" applyAlignment="1">
      <alignment vertical="center" wrapText="1"/>
    </xf>
    <xf numFmtId="0" fontId="4" fillId="5" borderId="1" xfId="2" applyFill="1" applyBorder="1" applyAlignment="1">
      <alignment vertical="center" wrapText="1"/>
    </xf>
    <xf numFmtId="0" fontId="0" fillId="5" borderId="0" xfId="0" applyFill="1" applyAlignment="1">
      <alignment horizontal="left" wrapText="1"/>
    </xf>
    <xf numFmtId="165" fontId="8" fillId="5" borderId="0" xfId="1" applyNumberFormat="1" applyFont="1" applyFill="1" applyBorder="1" applyAlignment="1">
      <alignment horizontal="center"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 fontId="0" fillId="5" borderId="1" xfId="0" applyNumberFormat="1" applyFill="1" applyBorder="1" applyAlignment="1">
      <alignment horizontal="center" vertical="center"/>
    </xf>
    <xf numFmtId="0" fontId="0" fillId="5" borderId="2" xfId="0" applyFill="1" applyBorder="1" applyAlignment="1">
      <alignment vertical="center"/>
    </xf>
    <xf numFmtId="0" fontId="0" fillId="5" borderId="0" xfId="0" applyFill="1" applyAlignment="1">
      <alignment vertical="center"/>
    </xf>
    <xf numFmtId="166" fontId="1" fillId="5" borderId="2" xfId="1" applyNumberFormat="1" applyFont="1" applyFill="1" applyBorder="1" applyAlignment="1">
      <alignment horizontal="left" vertical="center" wrapText="1"/>
    </xf>
    <xf numFmtId="165" fontId="2" fillId="5" borderId="0" xfId="0" applyNumberFormat="1" applyFont="1" applyFill="1" applyAlignment="1">
      <alignment horizontal="center" vertical="center"/>
    </xf>
    <xf numFmtId="0" fontId="0" fillId="5" borderId="1" xfId="0" applyFill="1" applyBorder="1" applyAlignment="1">
      <alignment horizontal="center" vertical="center" wrapText="1"/>
    </xf>
    <xf numFmtId="165" fontId="0" fillId="5" borderId="2" xfId="0" applyNumberFormat="1" applyFill="1" applyBorder="1" applyAlignment="1">
      <alignment vertical="center" wrapText="1"/>
    </xf>
    <xf numFmtId="0" fontId="0" fillId="5" borderId="3"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1" fillId="0" borderId="0" xfId="0" applyFont="1" applyAlignment="1">
      <alignment vertical="center"/>
    </xf>
    <xf numFmtId="0" fontId="4" fillId="0" borderId="0" xfId="2"/>
    <xf numFmtId="165" fontId="0" fillId="5" borderId="2" xfId="1" applyNumberFormat="1" applyFont="1" applyFill="1" applyBorder="1" applyAlignment="1">
      <alignment horizontal="center" vertical="center" wrapText="1"/>
    </xf>
    <xf numFmtId="165" fontId="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1"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1" fillId="2" borderId="0" xfId="1" applyNumberFormat="1" applyFont="1" applyFill="1" applyBorder="1" applyAlignment="1">
      <alignment horizontal="center" vertical="center"/>
    </xf>
    <xf numFmtId="0" fontId="0" fillId="0" borderId="0" xfId="0" applyAlignment="1">
      <alignment horizontal="center" vertical="center"/>
    </xf>
    <xf numFmtId="0" fontId="25" fillId="2" borderId="0" xfId="3" applyFont="1" applyFill="1"/>
    <xf numFmtId="0" fontId="25" fillId="0" borderId="0" xfId="3" applyFont="1"/>
    <xf numFmtId="0" fontId="26" fillId="2" borderId="0" xfId="3" applyFont="1" applyFill="1"/>
    <xf numFmtId="0" fontId="26" fillId="0" borderId="0" xfId="3" applyFont="1"/>
    <xf numFmtId="0" fontId="3" fillId="0" borderId="0" xfId="0" applyFont="1"/>
    <xf numFmtId="0" fontId="29" fillId="2" borderId="2" xfId="0" applyFont="1" applyFill="1" applyBorder="1"/>
    <xf numFmtId="0" fontId="30" fillId="0" borderId="0" xfId="0" applyFont="1"/>
    <xf numFmtId="0" fontId="29" fillId="2" borderId="0" xfId="0" applyFont="1" applyFill="1" applyAlignment="1">
      <alignment horizontal="center"/>
    </xf>
    <xf numFmtId="0" fontId="31" fillId="2" borderId="0" xfId="0" applyFont="1" applyFill="1"/>
    <xf numFmtId="0" fontId="31" fillId="2" borderId="1" xfId="0" applyFont="1" applyFill="1" applyBorder="1"/>
    <xf numFmtId="0" fontId="29" fillId="0" borderId="0" xfId="0" applyFont="1" applyAlignment="1">
      <alignment horizontal="center"/>
    </xf>
    <xf numFmtId="0" fontId="31" fillId="2" borderId="0" xfId="0" applyFont="1" applyFill="1" applyAlignment="1">
      <alignment wrapText="1"/>
    </xf>
    <xf numFmtId="0" fontId="29" fillId="2" borderId="1" xfId="0" applyFont="1" applyFill="1" applyBorder="1"/>
    <xf numFmtId="165" fontId="29" fillId="2" borderId="1" xfId="0" applyNumberFormat="1" applyFont="1" applyFill="1" applyBorder="1" applyAlignment="1">
      <alignment horizontal="center" vertical="center" wrapText="1"/>
    </xf>
    <xf numFmtId="0" fontId="29" fillId="2" borderId="1" xfId="0" applyFont="1" applyFill="1" applyBorder="1" applyAlignment="1">
      <alignment horizontal="center" vertical="center" wrapText="1"/>
    </xf>
    <xf numFmtId="0" fontId="29" fillId="2" borderId="1" xfId="0" applyFont="1" applyFill="1" applyBorder="1" applyAlignment="1">
      <alignment horizontal="left" vertical="center"/>
    </xf>
    <xf numFmtId="0" fontId="29" fillId="2" borderId="1" xfId="0" applyFont="1" applyFill="1" applyBorder="1" applyAlignment="1">
      <alignment vertical="center" wrapText="1"/>
    </xf>
    <xf numFmtId="0" fontId="29" fillId="2" borderId="1" xfId="0" applyFont="1" applyFill="1" applyBorder="1" applyAlignment="1">
      <alignment horizontal="left" vertical="center" wrapText="1"/>
    </xf>
    <xf numFmtId="0" fontId="29" fillId="2" borderId="0" xfId="0" applyFont="1" applyFill="1" applyAlignment="1">
      <alignment horizontal="left" vertical="center"/>
    </xf>
    <xf numFmtId="0" fontId="29" fillId="2" borderId="4" xfId="0" applyFont="1" applyFill="1" applyBorder="1" applyAlignment="1">
      <alignment horizontal="left" vertical="center"/>
    </xf>
    <xf numFmtId="0" fontId="29" fillId="0" borderId="1" xfId="0" applyFont="1" applyBorder="1"/>
    <xf numFmtId="0" fontId="32" fillId="2" borderId="0" xfId="0" applyFont="1" applyFill="1"/>
    <xf numFmtId="0" fontId="30" fillId="2" borderId="0" xfId="0" applyFont="1" applyFill="1"/>
    <xf numFmtId="0" fontId="32" fillId="0" borderId="0" xfId="0" applyFont="1"/>
    <xf numFmtId="0" fontId="30" fillId="2" borderId="0" xfId="0" applyFont="1" applyFill="1" applyAlignment="1">
      <alignment horizontal="left" indent="1"/>
    </xf>
    <xf numFmtId="165" fontId="32" fillId="0" borderId="0" xfId="1" applyNumberFormat="1" applyFont="1" applyFill="1" applyAlignment="1"/>
    <xf numFmtId="165" fontId="30" fillId="0" borderId="0" xfId="1" applyNumberFormat="1" applyFont="1" applyFill="1" applyAlignment="1"/>
    <xf numFmtId="166" fontId="30" fillId="0" borderId="0" xfId="1" applyNumberFormat="1" applyFont="1" applyFill="1" applyAlignment="1"/>
    <xf numFmtId="167" fontId="30" fillId="0" borderId="0" xfId="1" applyNumberFormat="1" applyFont="1" applyFill="1" applyAlignment="1"/>
    <xf numFmtId="2" fontId="0" fillId="0" borderId="0" xfId="0" applyNumberFormat="1"/>
    <xf numFmtId="0" fontId="30" fillId="0" borderId="0" xfId="0" applyFont="1" applyAlignment="1">
      <alignment horizontal="left" indent="1"/>
    </xf>
    <xf numFmtId="165" fontId="32" fillId="2" borderId="0" xfId="1" applyNumberFormat="1" applyFont="1" applyFill="1" applyAlignment="1"/>
    <xf numFmtId="165" fontId="30" fillId="2" borderId="0" xfId="1" applyNumberFormat="1" applyFont="1" applyFill="1" applyAlignment="1"/>
    <xf numFmtId="166" fontId="30" fillId="2" borderId="0" xfId="1" applyNumberFormat="1" applyFont="1" applyFill="1" applyAlignment="1"/>
    <xf numFmtId="167" fontId="30" fillId="2" borderId="0" xfId="1" applyNumberFormat="1" applyFont="1" applyFill="1" applyAlignment="1"/>
    <xf numFmtId="165" fontId="0" fillId="2" borderId="0" xfId="0" applyNumberFormat="1" applyFill="1"/>
    <xf numFmtId="0" fontId="0" fillId="2" borderId="0" xfId="0" applyFill="1" applyAlignment="1">
      <alignment horizontal="left" indent="1"/>
    </xf>
    <xf numFmtId="0" fontId="33" fillId="0" borderId="0" xfId="0" applyFont="1"/>
    <xf numFmtId="0" fontId="0" fillId="0" borderId="0" xfId="0" applyAlignment="1">
      <alignment horizontal="left" indent="1"/>
    </xf>
    <xf numFmtId="0" fontId="2" fillId="0" borderId="0" xfId="0" applyFont="1"/>
    <xf numFmtId="0" fontId="32" fillId="2" borderId="0" xfId="0" applyFont="1" applyFill="1" applyAlignment="1">
      <alignment horizontal="left" indent="1"/>
    </xf>
    <xf numFmtId="0" fontId="32" fillId="0" borderId="0" xfId="0" applyFont="1" applyAlignment="1">
      <alignment horizontal="left" indent="1"/>
    </xf>
    <xf numFmtId="0" fontId="30" fillId="2" borderId="1" xfId="0" applyFont="1" applyFill="1" applyBorder="1"/>
    <xf numFmtId="0" fontId="0" fillId="0" borderId="1" xfId="0" applyBorder="1"/>
    <xf numFmtId="0" fontId="30" fillId="0" borderId="1" xfId="0" applyFont="1" applyBorder="1"/>
    <xf numFmtId="0" fontId="30" fillId="2" borderId="0" xfId="0" applyFont="1" applyFill="1" applyAlignment="1">
      <alignment horizontal="left"/>
    </xf>
    <xf numFmtId="0" fontId="30" fillId="0" borderId="0" xfId="0" applyFont="1" applyAlignment="1">
      <alignment horizontal="left"/>
    </xf>
    <xf numFmtId="166" fontId="0" fillId="2" borderId="0" xfId="0" applyNumberFormat="1" applyFill="1"/>
    <xf numFmtId="2" fontId="0" fillId="2" borderId="1" xfId="0" applyNumberFormat="1" applyFill="1" applyBorder="1"/>
    <xf numFmtId="168" fontId="32" fillId="0" borderId="0" xfId="1" applyNumberFormat="1" applyFont="1" applyFill="1" applyAlignment="1">
      <alignment horizontal="right"/>
    </xf>
    <xf numFmtId="168" fontId="30" fillId="0" borderId="0" xfId="1" applyNumberFormat="1" applyFont="1" applyFill="1" applyAlignment="1"/>
    <xf numFmtId="168" fontId="32" fillId="0" borderId="0" xfId="1" applyNumberFormat="1" applyFont="1" applyFill="1" applyAlignment="1"/>
    <xf numFmtId="168" fontId="0" fillId="0" borderId="0" xfId="0" applyNumberFormat="1"/>
    <xf numFmtId="168" fontId="0" fillId="2" borderId="0" xfId="0" applyNumberFormat="1" applyFill="1"/>
    <xf numFmtId="165" fontId="0" fillId="0" borderId="0" xfId="0" applyNumberFormat="1"/>
    <xf numFmtId="2" fontId="0" fillId="6" borderId="0" xfId="0" applyNumberFormat="1" applyFill="1"/>
    <xf numFmtId="0" fontId="30" fillId="7" borderId="0" xfId="0" applyFont="1" applyFill="1"/>
    <xf numFmtId="0" fontId="30" fillId="7" borderId="0" xfId="0" applyFont="1" applyFill="1" applyAlignment="1">
      <alignment horizontal="left" indent="1"/>
    </xf>
    <xf numFmtId="168" fontId="32" fillId="7" borderId="0" xfId="1" applyNumberFormat="1" applyFont="1" applyFill="1" applyAlignment="1">
      <alignment horizontal="right"/>
    </xf>
    <xf numFmtId="168" fontId="30" fillId="7" borderId="0" xfId="1" applyNumberFormat="1" applyFont="1" applyFill="1" applyAlignment="1"/>
    <xf numFmtId="168" fontId="32" fillId="7" borderId="0" xfId="1" applyNumberFormat="1" applyFont="1" applyFill="1" applyAlignment="1"/>
    <xf numFmtId="168" fontId="0" fillId="7" borderId="0" xfId="0" applyNumberFormat="1" applyFill="1"/>
    <xf numFmtId="0" fontId="0" fillId="7" borderId="0" xfId="0" applyFill="1"/>
    <xf numFmtId="2" fontId="0" fillId="7" borderId="0" xfId="0" applyNumberFormat="1" applyFill="1"/>
    <xf numFmtId="165" fontId="32" fillId="7" borderId="0" xfId="1" applyNumberFormat="1" applyFont="1" applyFill="1" applyAlignment="1"/>
    <xf numFmtId="165" fontId="30" fillId="7" borderId="0" xfId="1" applyNumberFormat="1" applyFont="1" applyFill="1" applyAlignment="1"/>
    <xf numFmtId="166" fontId="30" fillId="7" borderId="0" xfId="1" applyNumberFormat="1" applyFont="1" applyFill="1" applyAlignment="1"/>
    <xf numFmtId="167" fontId="30" fillId="7" borderId="0" xfId="1" applyNumberFormat="1" applyFont="1" applyFill="1" applyAlignment="1"/>
    <xf numFmtId="165" fontId="0" fillId="7" borderId="0" xfId="0" applyNumberFormat="1" applyFill="1"/>
    <xf numFmtId="0" fontId="0" fillId="8" borderId="0" xfId="0" applyFill="1"/>
    <xf numFmtId="0" fontId="0" fillId="8" borderId="0" xfId="0" applyFill="1" applyAlignment="1">
      <alignment horizontal="left" indent="1"/>
    </xf>
    <xf numFmtId="168" fontId="32" fillId="8" borderId="0" xfId="1" applyNumberFormat="1" applyFont="1" applyFill="1" applyAlignment="1">
      <alignment horizontal="right"/>
    </xf>
    <xf numFmtId="168" fontId="30" fillId="8" borderId="0" xfId="1" applyNumberFormat="1" applyFont="1" applyFill="1" applyAlignment="1"/>
    <xf numFmtId="168" fontId="32" fillId="8" borderId="0" xfId="1" applyNumberFormat="1" applyFont="1" applyFill="1" applyAlignment="1"/>
    <xf numFmtId="168" fontId="0" fillId="8" borderId="0" xfId="0" applyNumberFormat="1" applyFill="1"/>
    <xf numFmtId="2" fontId="0" fillId="8" borderId="0" xfId="0" applyNumberFormat="1" applyFill="1"/>
    <xf numFmtId="165" fontId="32" fillId="8" borderId="0" xfId="1" applyNumberFormat="1" applyFont="1" applyFill="1" applyAlignment="1"/>
    <xf numFmtId="165" fontId="30" fillId="8" borderId="0" xfId="1" applyNumberFormat="1" applyFont="1" applyFill="1" applyAlignment="1"/>
    <xf numFmtId="166" fontId="30" fillId="8" borderId="0" xfId="1" applyNumberFormat="1" applyFont="1" applyFill="1" applyAlignment="1"/>
    <xf numFmtId="167" fontId="30" fillId="8" borderId="0" xfId="1" applyNumberFormat="1" applyFont="1" applyFill="1" applyAlignment="1"/>
    <xf numFmtId="165" fontId="0" fillId="8" borderId="0" xfId="0" applyNumberFormat="1" applyFill="1"/>
    <xf numFmtId="0" fontId="30" fillId="8" borderId="0" xfId="0" applyFont="1" applyFill="1" applyAlignment="1">
      <alignment horizontal="left" indent="1"/>
    </xf>
    <xf numFmtId="0" fontId="33" fillId="8" borderId="0" xfId="0" applyFont="1" applyFill="1"/>
    <xf numFmtId="0" fontId="2" fillId="8" borderId="0" xfId="0" applyFont="1" applyFill="1"/>
    <xf numFmtId="0" fontId="34" fillId="0" borderId="0" xfId="0" applyFont="1"/>
    <xf numFmtId="0" fontId="35" fillId="9" borderId="0" xfId="0" applyFont="1" applyFill="1" applyAlignment="1">
      <alignment horizontal="right" vertical="top"/>
    </xf>
    <xf numFmtId="0" fontId="7" fillId="2" borderId="0" xfId="0" applyFont="1" applyFill="1" applyAlignment="1">
      <alignment horizontal="left" vertical="center" wrapText="1"/>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8" fillId="5" borderId="0" xfId="0" applyFont="1" applyFill="1" applyAlignment="1">
      <alignment horizontal="left" vertical="center" wrapText="1"/>
    </xf>
    <xf numFmtId="0" fontId="8" fillId="5" borderId="1" xfId="0" applyFont="1" applyFill="1" applyBorder="1" applyAlignment="1">
      <alignment horizontal="left"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8" fillId="5" borderId="0" xfId="0" applyFont="1" applyFill="1" applyAlignment="1">
      <alignment horizontal="center" vertical="center" wrapText="1"/>
    </xf>
    <xf numFmtId="0" fontId="8" fillId="5" borderId="1" xfId="0" applyFont="1" applyFill="1" applyBorder="1" applyAlignment="1">
      <alignment horizontal="center" vertical="center" wrapText="1"/>
    </xf>
    <xf numFmtId="0" fontId="4" fillId="5" borderId="0" xfId="2" applyFill="1" applyBorder="1" applyAlignment="1">
      <alignment horizontal="left" vertical="center"/>
    </xf>
    <xf numFmtId="0" fontId="4" fillId="5" borderId="1" xfId="2" applyFill="1" applyBorder="1" applyAlignment="1">
      <alignment horizontal="left" vertical="center"/>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0" fontId="0" fillId="2" borderId="0" xfId="0" applyFill="1" applyAlignment="1">
      <alignment horizontal="center" wrapText="1"/>
    </xf>
    <xf numFmtId="0" fontId="0" fillId="2" borderId="0" xfId="0" applyFill="1" applyAlignment="1">
      <alignment horizontal="center"/>
    </xf>
    <xf numFmtId="0" fontId="8" fillId="5" borderId="2" xfId="0" applyFont="1" applyFill="1" applyBorder="1" applyAlignment="1">
      <alignment horizontal="left" vertical="center" wrapText="1"/>
    </xf>
    <xf numFmtId="0" fontId="8" fillId="3" borderId="0" xfId="0" applyFont="1" applyFill="1" applyAlignment="1">
      <alignment horizontal="center" vertical="center" textRotation="90"/>
    </xf>
    <xf numFmtId="0" fontId="8" fillId="3" borderId="1" xfId="0" applyFont="1" applyFill="1" applyBorder="1" applyAlignment="1">
      <alignment horizontal="center" vertical="center" textRotation="90"/>
    </xf>
    <xf numFmtId="0" fontId="0" fillId="5" borderId="0" xfId="0" applyFill="1" applyAlignment="1">
      <alignment horizontal="left" vertical="center"/>
    </xf>
    <xf numFmtId="0" fontId="0" fillId="5" borderId="1" xfId="0" applyFill="1" applyBorder="1" applyAlignment="1">
      <alignment horizontal="left" vertical="center"/>
    </xf>
    <xf numFmtId="0" fontId="4" fillId="5" borderId="2" xfId="2" applyFill="1" applyBorder="1" applyAlignment="1">
      <alignment horizontal="left" vertical="center" wrapText="1"/>
    </xf>
    <xf numFmtId="0" fontId="4" fillId="5" borderId="0" xfId="2" applyFill="1" applyBorder="1" applyAlignment="1">
      <alignment horizontal="left" vertical="center" wrapText="1"/>
    </xf>
    <xf numFmtId="0" fontId="4" fillId="5" borderId="1" xfId="2" applyFill="1" applyBorder="1" applyAlignment="1">
      <alignment horizontal="left" vertical="center" wrapText="1"/>
    </xf>
    <xf numFmtId="0" fontId="8" fillId="5" borderId="0" xfId="0" applyFont="1" applyFill="1" applyAlignment="1">
      <alignment horizontal="center" vertical="center" textRotation="90"/>
    </xf>
    <xf numFmtId="0" fontId="8" fillId="5" borderId="1" xfId="0" applyFont="1" applyFill="1" applyBorder="1" applyAlignment="1">
      <alignment horizontal="center" vertical="center" textRotation="90"/>
    </xf>
    <xf numFmtId="0" fontId="0" fillId="5" borderId="2" xfId="0" quotePrefix="1" applyFill="1" applyBorder="1" applyAlignment="1">
      <alignment horizontal="left" vertical="center" wrapText="1"/>
    </xf>
    <xf numFmtId="0" fontId="8" fillId="3" borderId="2" xfId="0" applyFont="1" applyFill="1" applyBorder="1" applyAlignment="1">
      <alignment horizontal="center" vertical="center" textRotation="90"/>
    </xf>
    <xf numFmtId="0" fontId="0" fillId="5" borderId="2" xfId="0" applyFill="1" applyBorder="1" applyAlignment="1">
      <alignment horizontal="center" vertical="center" textRotation="90"/>
    </xf>
    <xf numFmtId="0" fontId="8" fillId="5" borderId="2" xfId="0" applyFont="1" applyFill="1" applyBorder="1" applyAlignment="1">
      <alignment vertical="center" wrapText="1"/>
    </xf>
    <xf numFmtId="0" fontId="8" fillId="5" borderId="0" xfId="0" applyFont="1" applyFill="1" applyAlignment="1">
      <alignment vertical="center" wrapText="1"/>
    </xf>
    <xf numFmtId="0" fontId="8" fillId="5" borderId="1" xfId="0" applyFont="1" applyFill="1" applyBorder="1" applyAlignment="1">
      <alignment vertical="center" wrapText="1"/>
    </xf>
    <xf numFmtId="0" fontId="4" fillId="2" borderId="2" xfId="2" applyFill="1" applyBorder="1" applyAlignment="1">
      <alignment horizontal="left" vertical="center" wrapText="1"/>
    </xf>
    <xf numFmtId="0" fontId="4" fillId="2" borderId="0" xfId="2" applyFill="1" applyBorder="1" applyAlignment="1">
      <alignment horizontal="left" vertical="center" wrapText="1"/>
    </xf>
    <xf numFmtId="0" fontId="4" fillId="2" borderId="1" xfId="2" applyFill="1" applyBorder="1" applyAlignment="1">
      <alignment horizontal="lef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1" fillId="5" borderId="0" xfId="0" applyFont="1" applyFill="1" applyAlignment="1">
      <alignment horizontal="left" vertical="center" wrapText="1"/>
    </xf>
    <xf numFmtId="0" fontId="1" fillId="5" borderId="1" xfId="0" applyFont="1" applyFill="1" applyBorder="1" applyAlignment="1">
      <alignment horizontal="left" vertical="center" wrapText="1"/>
    </xf>
    <xf numFmtId="0" fontId="10" fillId="5" borderId="2" xfId="2" applyFont="1" applyFill="1" applyBorder="1" applyAlignment="1">
      <alignment horizontal="left" vertical="center" wrapText="1"/>
    </xf>
    <xf numFmtId="0" fontId="11" fillId="5" borderId="0" xfId="2" applyFont="1" applyFill="1" applyAlignment="1">
      <alignment horizontal="left" vertical="center" wrapText="1"/>
    </xf>
    <xf numFmtId="0" fontId="11" fillId="5" borderId="1" xfId="2" applyFont="1" applyFill="1" applyBorder="1" applyAlignment="1">
      <alignment horizontal="left" vertical="center" wrapText="1"/>
    </xf>
    <xf numFmtId="0" fontId="8" fillId="5" borderId="2" xfId="0" quotePrefix="1" applyFont="1" applyFill="1" applyBorder="1" applyAlignment="1">
      <alignment horizontal="left" vertical="center" wrapText="1"/>
    </xf>
    <xf numFmtId="0" fontId="3" fillId="5" borderId="0" xfId="0" applyFont="1" applyFill="1" applyAlignment="1">
      <alignment horizontal="left" vertical="center" wrapText="1"/>
    </xf>
    <xf numFmtId="0" fontId="15" fillId="5" borderId="0" xfId="0" applyFont="1" applyFill="1" applyAlignment="1">
      <alignment horizontal="left" vertical="center" wrapText="1"/>
    </xf>
    <xf numFmtId="0" fontId="15" fillId="5" borderId="1" xfId="0" applyFont="1" applyFill="1" applyBorder="1" applyAlignment="1">
      <alignment horizontal="left" vertical="center" wrapText="1"/>
    </xf>
    <xf numFmtId="0" fontId="9" fillId="5"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3" fillId="5" borderId="1" xfId="0" applyFont="1" applyFill="1" applyBorder="1" applyAlignment="1">
      <alignment horizontal="left"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1" fontId="15" fillId="5" borderId="2" xfId="0" applyNumberFormat="1" applyFont="1" applyFill="1" applyBorder="1" applyAlignment="1">
      <alignment horizontal="left" vertical="center" wrapText="1"/>
    </xf>
    <xf numFmtId="0" fontId="27" fillId="2" borderId="4" xfId="3" applyFont="1" applyFill="1" applyBorder="1" applyAlignment="1">
      <alignment horizontal="center"/>
    </xf>
    <xf numFmtId="0" fontId="28" fillId="2" borderId="4" xfId="3" applyFont="1" applyFill="1" applyBorder="1" applyAlignment="1">
      <alignment horizontal="center"/>
    </xf>
    <xf numFmtId="0" fontId="31" fillId="2" borderId="1" xfId="0" applyFont="1" applyFill="1" applyBorder="1" applyAlignment="1">
      <alignment horizontal="center"/>
    </xf>
    <xf numFmtId="0" fontId="31" fillId="2" borderId="4" xfId="0" applyFont="1" applyFill="1" applyBorder="1" applyAlignment="1">
      <alignment horizontal="center" wrapText="1"/>
    </xf>
    <xf numFmtId="0" fontId="29" fillId="2" borderId="0" xfId="0" applyFont="1" applyFill="1" applyAlignment="1">
      <alignment horizontal="center" wrapText="1"/>
    </xf>
    <xf numFmtId="0" fontId="29" fillId="2" borderId="1" xfId="0" applyFont="1" applyFill="1" applyBorder="1" applyAlignment="1">
      <alignment horizontal="center" wrapText="1"/>
    </xf>
    <xf numFmtId="0" fontId="29" fillId="2" borderId="2"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0" fillId="10" borderId="0" xfId="0" applyFill="1"/>
    <xf numFmtId="0" fontId="27" fillId="10" borderId="4" xfId="3" applyFont="1" applyFill="1" applyBorder="1" applyAlignment="1">
      <alignment horizontal="center"/>
    </xf>
    <xf numFmtId="0" fontId="28" fillId="10" borderId="4" xfId="3" applyFont="1" applyFill="1" applyBorder="1" applyAlignment="1">
      <alignment horizontal="center"/>
    </xf>
    <xf numFmtId="0" fontId="31" fillId="10" borderId="1" xfId="0" applyFont="1" applyFill="1" applyBorder="1"/>
    <xf numFmtId="0" fontId="31" fillId="10" borderId="1" xfId="0" applyFont="1" applyFill="1" applyBorder="1" applyAlignment="1">
      <alignment horizontal="center"/>
    </xf>
    <xf numFmtId="0" fontId="31" fillId="10" borderId="0" xfId="0" applyFont="1" applyFill="1"/>
    <xf numFmtId="0" fontId="31" fillId="10" borderId="4" xfId="0" applyFont="1" applyFill="1" applyBorder="1" applyAlignment="1">
      <alignment horizontal="center" wrapText="1"/>
    </xf>
    <xf numFmtId="0" fontId="29" fillId="10" borderId="2" xfId="0" applyFont="1" applyFill="1" applyBorder="1" applyAlignment="1">
      <alignment horizontal="center" vertical="center" wrapText="1"/>
    </xf>
    <xf numFmtId="0" fontId="31" fillId="10" borderId="0" xfId="0" applyFont="1" applyFill="1" applyAlignment="1">
      <alignment wrapText="1"/>
    </xf>
    <xf numFmtId="0" fontId="29" fillId="10" borderId="0" xfId="0" applyFont="1" applyFill="1" applyAlignment="1">
      <alignment horizontal="center" wrapText="1"/>
    </xf>
    <xf numFmtId="0" fontId="29" fillId="10" borderId="4" xfId="0" applyFont="1" applyFill="1" applyBorder="1" applyAlignment="1">
      <alignment horizontal="left" vertical="center"/>
    </xf>
    <xf numFmtId="165" fontId="29" fillId="10" borderId="1" xfId="0" applyNumberFormat="1" applyFont="1" applyFill="1" applyBorder="1" applyAlignment="1">
      <alignment horizontal="center"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left" vertical="center"/>
    </xf>
    <xf numFmtId="0" fontId="29" fillId="10" borderId="1" xfId="0" applyFont="1" applyFill="1" applyBorder="1" applyAlignment="1">
      <alignment vertical="center" wrapText="1"/>
    </xf>
    <xf numFmtId="0" fontId="29" fillId="10" borderId="1" xfId="0" applyFont="1" applyFill="1" applyBorder="1" applyAlignment="1">
      <alignment horizontal="center" wrapText="1"/>
    </xf>
    <xf numFmtId="0" fontId="29" fillId="10" borderId="1" xfId="0" applyFont="1" applyFill="1" applyBorder="1" applyAlignment="1">
      <alignment horizontal="left" vertical="center" wrapText="1"/>
    </xf>
    <xf numFmtId="168" fontId="0" fillId="10" borderId="0" xfId="0" applyNumberFormat="1" applyFill="1"/>
    <xf numFmtId="168" fontId="32" fillId="10" borderId="0" xfId="1" applyNumberFormat="1" applyFont="1" applyFill="1" applyAlignment="1"/>
    <xf numFmtId="168" fontId="30" fillId="10" borderId="0" xfId="1" applyNumberFormat="1" applyFont="1" applyFill="1" applyAlignment="1"/>
    <xf numFmtId="169" fontId="30" fillId="10" borderId="0" xfId="1" applyNumberFormat="1" applyFont="1" applyFill="1" applyAlignment="1"/>
    <xf numFmtId="168" fontId="30" fillId="10" borderId="0" xfId="1" applyNumberFormat="1" applyFont="1" applyFill="1" applyAlignment="1">
      <alignment horizontal="right"/>
    </xf>
    <xf numFmtId="0" fontId="0" fillId="7" borderId="0" xfId="0" applyFill="1" applyAlignment="1">
      <alignment horizontal="left" indent="1"/>
    </xf>
  </cellXfs>
  <cellStyles count="4">
    <cellStyle name="Komma" xfId="1" builtinId="3"/>
    <cellStyle name="Link" xfId="2" builtinId="8"/>
    <cellStyle name="Normal 2" xfId="3" xr:uid="{3E3014F0-E45E-4E80-A6A8-4E093F376ECE}"/>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A7CB-E7FF-4658-AF77-19B0A42030B0}">
  <sheetPr>
    <tabColor rgb="FFFF0000"/>
    <pageSetUpPr fitToPage="1"/>
  </sheetPr>
  <dimension ref="A2:AE198"/>
  <sheetViews>
    <sheetView view="pageBreakPreview" zoomScale="80" zoomScaleNormal="100" zoomScaleSheetLayoutView="80" workbookViewId="0">
      <pane ySplit="5" topLeftCell="A15" activePane="bottomLeft" state="frozen"/>
      <selection activeCell="K30" sqref="K30:K32"/>
      <selection pane="bottomLeft" activeCell="G16" sqref="G16"/>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64" customWidth="1"/>
    <col min="4" max="4" width="5.81640625" style="33" customWidth="1"/>
    <col min="5" max="5" width="1.453125" style="12" customWidth="1"/>
    <col min="6" max="6" width="4" style="11" bestFit="1" customWidth="1"/>
    <col min="7" max="7" width="10.54296875" style="162" customWidth="1"/>
    <col min="8" max="8" width="7.54296875" style="2" customWidth="1"/>
    <col min="9" max="9" width="31.54296875" style="12" customWidth="1"/>
    <col min="10" max="10" width="8.453125" style="12" customWidth="1"/>
    <col min="11" max="11" width="50.453125" style="11" customWidth="1"/>
    <col min="12" max="12" width="9" style="11" customWidth="1"/>
    <col min="13" max="13" width="36.54296875" style="11" customWidth="1"/>
    <col min="14" max="14" width="1.453125" style="12" customWidth="1"/>
    <col min="15" max="15" width="4" style="11" bestFit="1" customWidth="1"/>
    <col min="16" max="16" width="9.453125" style="12" customWidth="1"/>
    <col min="17" max="17" width="8.453125" style="163" customWidth="1"/>
    <col min="18" max="18" width="32.1796875" style="11" customWidth="1"/>
    <col min="19" max="19" width="1.453125" style="12" customWidth="1"/>
    <col min="20" max="20" width="4" style="11" bestFit="1" customWidth="1"/>
    <col min="21" max="21" width="8.54296875" style="162" bestFit="1" customWidth="1"/>
    <col min="22" max="22" width="37.453125" style="11" customWidth="1"/>
    <col min="23" max="23" width="9" style="11" customWidth="1"/>
    <col min="24" max="24" width="37.1796875" style="11" customWidth="1"/>
    <col min="25" max="25" width="9.54296875" style="11" hidden="1" customWidth="1"/>
    <col min="26" max="26" width="2.54296875" style="12" customWidth="1"/>
    <col min="27" max="27" width="52.453125" style="13" customWidth="1" outlineLevel="1"/>
    <col min="28" max="28" width="31.453125" style="2" customWidth="1" outlineLevel="1"/>
    <col min="29" max="30" width="8.54296875" style="2" customWidth="1" outlineLevel="1"/>
    <col min="31" max="16384" width="8.54296875" style="2"/>
  </cols>
  <sheetData>
    <row r="2" spans="1:28" ht="21.65" customHeight="1">
      <c r="A2" s="1"/>
      <c r="C2" s="3" t="s">
        <v>0</v>
      </c>
      <c r="D2" s="3"/>
      <c r="E2" s="4"/>
      <c r="F2" s="5"/>
      <c r="G2" s="6"/>
      <c r="H2" s="7"/>
      <c r="I2" s="4"/>
      <c r="J2" s="4"/>
      <c r="K2" s="8"/>
      <c r="L2" s="8"/>
      <c r="M2" s="8"/>
      <c r="N2" s="4"/>
      <c r="O2" s="8"/>
      <c r="P2" s="4"/>
      <c r="Q2" s="9"/>
      <c r="R2" s="8"/>
      <c r="S2" s="4"/>
      <c r="T2" s="8"/>
      <c r="U2" s="10"/>
      <c r="V2" s="8"/>
      <c r="W2" s="8"/>
      <c r="X2" s="8"/>
    </row>
    <row r="3" spans="1:28" ht="116.15" customHeight="1" outlineLevel="1">
      <c r="A3" s="1"/>
      <c r="C3" s="251" t="s">
        <v>1</v>
      </c>
      <c r="D3" s="251"/>
      <c r="E3" s="251"/>
      <c r="F3" s="251"/>
      <c r="G3" s="251"/>
      <c r="H3" s="251"/>
      <c r="I3" s="251"/>
      <c r="J3" s="251"/>
      <c r="K3" s="251"/>
      <c r="L3" s="251"/>
      <c r="M3" s="251"/>
      <c r="N3" s="251"/>
      <c r="O3" s="251"/>
      <c r="P3" s="251"/>
      <c r="Q3" s="251"/>
      <c r="R3" s="251"/>
      <c r="S3" s="251"/>
      <c r="T3" s="251"/>
      <c r="U3" s="251"/>
      <c r="V3" s="251"/>
      <c r="W3" s="251"/>
      <c r="X3" s="251"/>
    </row>
    <row r="4" spans="1:28" ht="13" customHeight="1">
      <c r="A4" s="14"/>
      <c r="B4" s="14"/>
      <c r="C4" s="15"/>
      <c r="D4" s="15"/>
      <c r="F4" s="15"/>
      <c r="G4" s="16"/>
      <c r="H4" s="252" t="s">
        <v>2</v>
      </c>
      <c r="I4" s="252"/>
      <c r="J4" s="252"/>
      <c r="K4" s="252"/>
      <c r="L4" s="252"/>
      <c r="M4" s="252"/>
      <c r="O4" s="15"/>
      <c r="P4" s="17"/>
      <c r="Q4" s="253" t="s">
        <v>3</v>
      </c>
      <c r="R4" s="253"/>
      <c r="T4" s="253" t="s">
        <v>4</v>
      </c>
      <c r="U4" s="253"/>
      <c r="V4" s="253"/>
      <c r="W4" s="253"/>
      <c r="X4" s="253"/>
      <c r="Y4" s="18" t="s">
        <v>5</v>
      </c>
      <c r="AA4" s="19"/>
    </row>
    <row r="5" spans="1:28" s="32" customFormat="1" ht="65.150000000000006" customHeight="1">
      <c r="A5" s="20" t="s">
        <v>6</v>
      </c>
      <c r="B5" s="21" t="s">
        <v>7</v>
      </c>
      <c r="C5" s="22" t="s">
        <v>8</v>
      </c>
      <c r="D5" s="23" t="s">
        <v>9</v>
      </c>
      <c r="E5" s="24"/>
      <c r="F5" s="25" t="s">
        <v>10</v>
      </c>
      <c r="G5" s="26" t="s">
        <v>11</v>
      </c>
      <c r="H5" s="27" t="s">
        <v>12</v>
      </c>
      <c r="I5" s="20" t="s">
        <v>13</v>
      </c>
      <c r="J5" s="27" t="s">
        <v>14</v>
      </c>
      <c r="K5" s="20" t="s">
        <v>15</v>
      </c>
      <c r="L5" s="20" t="s">
        <v>14</v>
      </c>
      <c r="M5" s="20" t="s">
        <v>16</v>
      </c>
      <c r="N5" s="24"/>
      <c r="O5" s="25" t="s">
        <v>10</v>
      </c>
      <c r="P5" s="28" t="s">
        <v>17</v>
      </c>
      <c r="Q5" s="29" t="s">
        <v>14</v>
      </c>
      <c r="R5" s="20" t="s">
        <v>18</v>
      </c>
      <c r="S5" s="24"/>
      <c r="T5" s="30" t="s">
        <v>10</v>
      </c>
      <c r="U5" s="29" t="s">
        <v>14</v>
      </c>
      <c r="V5" s="20" t="s">
        <v>19</v>
      </c>
      <c r="W5" s="20" t="s">
        <v>14</v>
      </c>
      <c r="X5" s="20" t="s">
        <v>20</v>
      </c>
      <c r="Y5" s="31" t="s">
        <v>21</v>
      </c>
      <c r="Z5" s="24"/>
      <c r="AA5" s="31"/>
    </row>
    <row r="6" spans="1:28" ht="133.5" customHeight="1">
      <c r="A6" s="254">
        <v>1</v>
      </c>
      <c r="B6" s="254" t="s">
        <v>22</v>
      </c>
      <c r="C6" s="255" t="s">
        <v>23</v>
      </c>
      <c r="D6" s="258" t="s">
        <v>24</v>
      </c>
      <c r="F6" s="34" t="s">
        <v>25</v>
      </c>
      <c r="G6" s="35">
        <v>227.4</v>
      </c>
      <c r="H6" s="36">
        <v>9.6</v>
      </c>
      <c r="I6" s="260" t="s">
        <v>26</v>
      </c>
      <c r="J6" s="35">
        <v>217.8</v>
      </c>
      <c r="K6" s="262" t="s">
        <v>27</v>
      </c>
      <c r="L6" s="39"/>
      <c r="M6" s="265"/>
      <c r="O6" s="34" t="s">
        <v>25</v>
      </c>
      <c r="P6" s="41">
        <v>35</v>
      </c>
      <c r="Q6" s="42">
        <v>15</v>
      </c>
      <c r="R6" s="263" t="s">
        <v>28</v>
      </c>
      <c r="T6" s="34" t="s">
        <v>25</v>
      </c>
      <c r="U6" s="35">
        <v>20</v>
      </c>
      <c r="V6" s="263" t="s">
        <v>29</v>
      </c>
      <c r="W6" s="43"/>
      <c r="X6" s="43"/>
      <c r="Y6" s="263" t="s">
        <v>30</v>
      </c>
      <c r="AA6" s="267"/>
    </row>
    <row r="7" spans="1:28" ht="75" customHeight="1">
      <c r="A7" s="254"/>
      <c r="B7" s="254"/>
      <c r="C7" s="256"/>
      <c r="D7" s="258"/>
      <c r="F7" s="34" t="s">
        <v>31</v>
      </c>
      <c r="G7" s="41">
        <v>156.53523326296911</v>
      </c>
      <c r="H7" s="36">
        <v>6.6083475783839196</v>
      </c>
      <c r="I7" s="260"/>
      <c r="J7" s="41">
        <v>149.92688568458519</v>
      </c>
      <c r="K7" s="263"/>
      <c r="L7" s="37"/>
      <c r="M7" s="265"/>
      <c r="O7" s="34" t="s">
        <v>31</v>
      </c>
      <c r="P7" s="44">
        <v>24.092933879524708</v>
      </c>
      <c r="Q7" s="45">
        <v>10.325543091224874</v>
      </c>
      <c r="R7" s="263"/>
      <c r="T7" s="34" t="s">
        <v>31</v>
      </c>
      <c r="U7" s="46">
        <v>13.767390788299833</v>
      </c>
      <c r="V7" s="263"/>
      <c r="W7" s="43"/>
      <c r="X7" s="43"/>
      <c r="Y7" s="263"/>
      <c r="AA7" s="267"/>
    </row>
    <row r="8" spans="1:28" ht="271" customHeight="1">
      <c r="A8" s="254"/>
      <c r="B8" s="254"/>
      <c r="C8" s="257"/>
      <c r="D8" s="259"/>
      <c r="E8" s="4"/>
      <c r="F8" s="47" t="s">
        <v>32</v>
      </c>
      <c r="G8" s="48">
        <v>11.728228771932544</v>
      </c>
      <c r="H8" s="48">
        <v>0.49512311438237649</v>
      </c>
      <c r="I8" s="261"/>
      <c r="J8" s="48">
        <v>11.233105657550167</v>
      </c>
      <c r="K8" s="264"/>
      <c r="L8" s="49"/>
      <c r="M8" s="266"/>
      <c r="N8" s="4"/>
      <c r="O8" s="47" t="s">
        <v>32</v>
      </c>
      <c r="P8" s="51">
        <v>1.8051363545190811</v>
      </c>
      <c r="Q8" s="52">
        <v>0.77362986622246332</v>
      </c>
      <c r="R8" s="264"/>
      <c r="S8" s="4"/>
      <c r="T8" s="47" t="s">
        <v>32</v>
      </c>
      <c r="U8" s="53">
        <v>1.0315064882966178</v>
      </c>
      <c r="V8" s="264"/>
      <c r="W8" s="50"/>
      <c r="X8" s="50"/>
      <c r="Y8" s="264"/>
      <c r="Z8" s="4"/>
      <c r="AA8" s="268"/>
    </row>
    <row r="9" spans="1:28" ht="160" customHeight="1">
      <c r="A9" s="254">
        <v>1</v>
      </c>
      <c r="B9" s="254" t="s">
        <v>22</v>
      </c>
      <c r="C9" s="255" t="s">
        <v>33</v>
      </c>
      <c r="D9" s="258" t="s">
        <v>34</v>
      </c>
      <c r="E9" s="54"/>
      <c r="F9" s="55" t="s">
        <v>25</v>
      </c>
      <c r="G9" s="56">
        <v>269</v>
      </c>
      <c r="H9" s="56">
        <v>19.8</v>
      </c>
      <c r="I9" s="269" t="s">
        <v>35</v>
      </c>
      <c r="J9" s="56">
        <v>249.2</v>
      </c>
      <c r="K9" s="262" t="s">
        <v>36</v>
      </c>
      <c r="L9" s="56">
        <v>85</v>
      </c>
      <c r="M9" s="262" t="s">
        <v>37</v>
      </c>
      <c r="N9" s="54"/>
      <c r="O9" s="55" t="s">
        <v>25</v>
      </c>
      <c r="P9" s="58">
        <v>91.7</v>
      </c>
      <c r="Q9" s="59">
        <v>5.2</v>
      </c>
      <c r="R9" s="262" t="s">
        <v>38</v>
      </c>
      <c r="S9" s="54"/>
      <c r="T9" s="55" t="s">
        <v>25</v>
      </c>
      <c r="U9" s="56">
        <v>86.5</v>
      </c>
      <c r="V9" s="262" t="s">
        <v>39</v>
      </c>
      <c r="W9" s="38"/>
      <c r="X9" s="38"/>
      <c r="Y9" s="38"/>
      <c r="Z9" s="60"/>
      <c r="AA9" s="61"/>
      <c r="AB9" s="272"/>
    </row>
    <row r="10" spans="1:28" ht="160" customHeight="1">
      <c r="A10" s="254"/>
      <c r="B10" s="254"/>
      <c r="C10" s="256"/>
      <c r="D10" s="258"/>
      <c r="E10" s="11"/>
      <c r="F10" s="34" t="s">
        <v>31</v>
      </c>
      <c r="G10" s="41">
        <v>199.62492503836216</v>
      </c>
      <c r="H10" s="41">
        <v>14.693581842972383</v>
      </c>
      <c r="I10" s="270"/>
      <c r="J10" s="41">
        <v>184.93134319538979</v>
      </c>
      <c r="K10" s="263"/>
      <c r="L10" s="41">
        <v>63.07850791175013</v>
      </c>
      <c r="M10" s="263"/>
      <c r="N10" s="11"/>
      <c r="O10" s="34" t="s">
        <v>31</v>
      </c>
      <c r="P10" s="63">
        <v>68.050578535382201</v>
      </c>
      <c r="Q10" s="64">
        <v>3.8589204840129492</v>
      </c>
      <c r="R10" s="263"/>
      <c r="S10" s="11"/>
      <c r="T10" s="34" t="s">
        <v>31</v>
      </c>
      <c r="U10" s="41">
        <v>64.191658051369245</v>
      </c>
      <c r="V10" s="263"/>
      <c r="W10" s="43"/>
      <c r="X10" s="43"/>
      <c r="Y10" s="43"/>
      <c r="AA10" s="65"/>
      <c r="AB10" s="273"/>
    </row>
    <row r="11" spans="1:28" ht="160" customHeight="1">
      <c r="A11" s="254"/>
      <c r="B11" s="254"/>
      <c r="C11" s="257"/>
      <c r="D11" s="259"/>
      <c r="E11" s="8"/>
      <c r="F11" s="47" t="s">
        <v>32</v>
      </c>
      <c r="G11" s="48">
        <v>12.474499733549816</v>
      </c>
      <c r="H11" s="48">
        <v>0.9181973781571986</v>
      </c>
      <c r="I11" s="271"/>
      <c r="J11" s="48">
        <v>11.556302355392619</v>
      </c>
      <c r="K11" s="264"/>
      <c r="L11" s="48">
        <v>3.9417564213819123</v>
      </c>
      <c r="M11" s="264"/>
      <c r="N11" s="8"/>
      <c r="O11" s="47" t="s">
        <v>32</v>
      </c>
      <c r="P11" s="66">
        <v>4.2524595745967222</v>
      </c>
      <c r="Q11" s="52">
        <v>0.24114274577865819</v>
      </c>
      <c r="R11" s="264"/>
      <c r="S11" s="8"/>
      <c r="T11" s="47" t="s">
        <v>32</v>
      </c>
      <c r="U11" s="48">
        <v>4.0113168288180638</v>
      </c>
      <c r="V11" s="264"/>
      <c r="W11" s="50"/>
      <c r="X11" s="50"/>
      <c r="Y11" s="50"/>
      <c r="Z11" s="4"/>
      <c r="AA11" s="67"/>
      <c r="AB11" s="273"/>
    </row>
    <row r="12" spans="1:28" ht="91.5" customHeight="1">
      <c r="A12" s="254" t="s">
        <v>40</v>
      </c>
      <c r="B12" s="254" t="s">
        <v>40</v>
      </c>
      <c r="C12" s="255" t="s">
        <v>41</v>
      </c>
      <c r="D12" s="258"/>
      <c r="E12" s="54"/>
      <c r="F12" s="34" t="s">
        <v>25</v>
      </c>
      <c r="G12" s="56">
        <v>427.85</v>
      </c>
      <c r="H12" s="68">
        <v>0.05</v>
      </c>
      <c r="I12" s="269" t="s">
        <v>42</v>
      </c>
      <c r="J12" s="56">
        <v>427.8</v>
      </c>
      <c r="K12" s="262" t="s">
        <v>43</v>
      </c>
      <c r="L12" s="38"/>
      <c r="M12" s="38"/>
      <c r="N12" s="54"/>
      <c r="O12" s="34" t="s">
        <v>25</v>
      </c>
      <c r="P12" s="58">
        <v>765</v>
      </c>
      <c r="Q12" s="69">
        <v>700</v>
      </c>
      <c r="R12" s="274" t="s">
        <v>44</v>
      </c>
      <c r="S12" s="54"/>
      <c r="T12" s="34" t="s">
        <v>25</v>
      </c>
      <c r="U12" s="56">
        <v>65</v>
      </c>
      <c r="V12" s="262" t="s">
        <v>45</v>
      </c>
      <c r="W12" s="38"/>
      <c r="X12" s="38"/>
      <c r="Y12" s="262" t="s">
        <v>46</v>
      </c>
      <c r="Z12" s="60"/>
      <c r="AA12" s="71"/>
    </row>
    <row r="13" spans="1:28" ht="115.5" customHeight="1">
      <c r="A13" s="254"/>
      <c r="B13" s="254"/>
      <c r="C13" s="256"/>
      <c r="D13" s="258"/>
      <c r="E13" s="11"/>
      <c r="F13" s="34" t="s">
        <v>31</v>
      </c>
      <c r="G13" s="41">
        <v>489.10160400251823</v>
      </c>
      <c r="H13" s="36">
        <v>5.7158069884599538E-2</v>
      </c>
      <c r="I13" s="270"/>
      <c r="J13" s="41">
        <v>489.04444593263361</v>
      </c>
      <c r="K13" s="263"/>
      <c r="L13" s="43"/>
      <c r="M13" s="43"/>
      <c r="N13" s="11"/>
      <c r="O13" s="34" t="s">
        <v>31</v>
      </c>
      <c r="P13" s="63">
        <v>874.5184692343729</v>
      </c>
      <c r="Q13" s="45">
        <v>800.21297838439352</v>
      </c>
      <c r="R13" s="260"/>
      <c r="S13" s="11"/>
      <c r="T13" s="34" t="s">
        <v>31</v>
      </c>
      <c r="U13" s="41">
        <v>74.305490849979392</v>
      </c>
      <c r="V13" s="263"/>
      <c r="W13" s="43"/>
      <c r="X13" s="43"/>
      <c r="Y13" s="263"/>
      <c r="AA13" s="65"/>
    </row>
    <row r="14" spans="1:28" ht="96" customHeight="1">
      <c r="A14" s="254"/>
      <c r="B14" s="254"/>
      <c r="C14" s="257"/>
      <c r="D14" s="259"/>
      <c r="E14" s="8"/>
      <c r="F14" s="47" t="s">
        <v>32</v>
      </c>
      <c r="G14" s="48">
        <v>3.8475731719881523</v>
      </c>
      <c r="H14" s="48">
        <v>4.496404314582391E-4</v>
      </c>
      <c r="I14" s="271"/>
      <c r="J14" s="48">
        <v>3.8471235315566941</v>
      </c>
      <c r="K14" s="264"/>
      <c r="L14" s="50"/>
      <c r="M14" s="50"/>
      <c r="N14" s="8"/>
      <c r="O14" s="47" t="s">
        <v>32</v>
      </c>
      <c r="P14" s="66">
        <v>6.8794986013110586</v>
      </c>
      <c r="Q14" s="52">
        <v>6.294966040415348</v>
      </c>
      <c r="R14" s="261"/>
      <c r="S14" s="8"/>
      <c r="T14" s="47" t="s">
        <v>32</v>
      </c>
      <c r="U14" s="48">
        <v>0.58453256089571082</v>
      </c>
      <c r="V14" s="264"/>
      <c r="W14" s="50"/>
      <c r="X14" s="50"/>
      <c r="Y14" s="264"/>
      <c r="Z14" s="4"/>
      <c r="AA14" s="67"/>
    </row>
    <row r="15" spans="1:28" ht="213" customHeight="1">
      <c r="A15" s="254">
        <v>1</v>
      </c>
      <c r="B15" s="254" t="s">
        <v>22</v>
      </c>
      <c r="C15" s="256" t="s">
        <v>47</v>
      </c>
      <c r="D15" s="258" t="s">
        <v>24</v>
      </c>
      <c r="E15" s="54"/>
      <c r="F15" s="34" t="s">
        <v>25</v>
      </c>
      <c r="G15" s="56">
        <v>116.80000000000001</v>
      </c>
      <c r="H15" s="56">
        <v>14</v>
      </c>
      <c r="I15" s="262" t="s">
        <v>48</v>
      </c>
      <c r="J15" s="72">
        <v>102.8</v>
      </c>
      <c r="K15" s="274" t="s">
        <v>49</v>
      </c>
      <c r="L15" s="72">
        <v>56.5</v>
      </c>
      <c r="M15" s="274" t="s">
        <v>50</v>
      </c>
      <c r="N15" s="54"/>
      <c r="O15" s="34" t="s">
        <v>25</v>
      </c>
      <c r="P15" s="58">
        <v>351.5</v>
      </c>
      <c r="Q15" s="69">
        <v>21</v>
      </c>
      <c r="R15" s="262" t="s">
        <v>51</v>
      </c>
      <c r="S15" s="54"/>
      <c r="T15" s="34" t="s">
        <v>25</v>
      </c>
      <c r="U15" s="56">
        <v>330.5</v>
      </c>
      <c r="V15" s="262" t="s">
        <v>52</v>
      </c>
      <c r="W15" s="38"/>
      <c r="X15" s="38"/>
      <c r="Y15" s="38" t="s">
        <v>53</v>
      </c>
      <c r="Z15" s="60"/>
      <c r="AA15" s="61"/>
    </row>
    <row r="16" spans="1:28" ht="60" customHeight="1">
      <c r="A16" s="254"/>
      <c r="B16" s="254"/>
      <c r="C16" s="256"/>
      <c r="D16" s="258"/>
      <c r="E16" s="11"/>
      <c r="F16" s="34" t="s">
        <v>31</v>
      </c>
      <c r="G16" s="41">
        <v>133.52125125042392</v>
      </c>
      <c r="H16" s="41">
        <v>16.004259567687797</v>
      </c>
      <c r="I16" s="263"/>
      <c r="J16" s="41">
        <v>117.51699168273612</v>
      </c>
      <c r="K16" s="260"/>
      <c r="L16" s="41">
        <v>64.588618969597178</v>
      </c>
      <c r="M16" s="260"/>
      <c r="N16" s="11"/>
      <c r="O16" s="34" t="s">
        <v>31</v>
      </c>
      <c r="P16" s="63">
        <v>401.82123128873292</v>
      </c>
      <c r="Q16" s="45">
        <v>24.006389351531695</v>
      </c>
      <c r="R16" s="263"/>
      <c r="S16" s="11"/>
      <c r="T16" s="34" t="s">
        <v>31</v>
      </c>
      <c r="U16" s="41">
        <v>377.81484193720121</v>
      </c>
      <c r="V16" s="263"/>
      <c r="W16" s="43"/>
      <c r="X16" s="43"/>
      <c r="Y16" s="43"/>
      <c r="AA16" s="65"/>
    </row>
    <row r="17" spans="1:30" s="7" customFormat="1" ht="60" customHeight="1">
      <c r="A17" s="254"/>
      <c r="B17" s="254"/>
      <c r="C17" s="257"/>
      <c r="D17" s="259"/>
      <c r="E17" s="8"/>
      <c r="F17" s="47" t="s">
        <v>32</v>
      </c>
      <c r="G17" s="48">
        <v>5.2331494236063598</v>
      </c>
      <c r="H17" s="48">
        <v>0.62726106104870749</v>
      </c>
      <c r="I17" s="264"/>
      <c r="J17" s="48">
        <v>4.6058883625576525</v>
      </c>
      <c r="K17" s="261"/>
      <c r="L17" s="48">
        <v>2.5314464249465694</v>
      </c>
      <c r="M17" s="261"/>
      <c r="N17" s="8"/>
      <c r="O17" s="47" t="s">
        <v>32</v>
      </c>
      <c r="P17" s="66">
        <v>15.748733068472905</v>
      </c>
      <c r="Q17" s="52">
        <v>0.94089159157306113</v>
      </c>
      <c r="R17" s="264"/>
      <c r="S17" s="8"/>
      <c r="T17" s="47" t="s">
        <v>32</v>
      </c>
      <c r="U17" s="48">
        <v>14.807841476899844</v>
      </c>
      <c r="V17" s="264"/>
      <c r="W17" s="50"/>
      <c r="X17" s="50"/>
      <c r="Y17" s="50"/>
      <c r="Z17" s="4"/>
      <c r="AA17" s="67"/>
      <c r="AD17" s="2"/>
    </row>
    <row r="18" spans="1:30" s="75" customFormat="1" ht="50.15" customHeight="1">
      <c r="A18" s="254">
        <v>1</v>
      </c>
      <c r="B18" s="254" t="s">
        <v>22</v>
      </c>
      <c r="C18" s="256" t="s">
        <v>54</v>
      </c>
      <c r="D18" s="282" t="s">
        <v>24</v>
      </c>
      <c r="E18" s="54"/>
      <c r="F18" s="55" t="s">
        <v>25</v>
      </c>
      <c r="G18" s="56">
        <v>276</v>
      </c>
      <c r="H18" s="56">
        <v>23</v>
      </c>
      <c r="I18" s="269" t="s">
        <v>55</v>
      </c>
      <c r="J18" s="56">
        <v>253</v>
      </c>
      <c r="K18" s="262" t="s">
        <v>56</v>
      </c>
      <c r="L18" s="73"/>
      <c r="M18" s="262" t="s">
        <v>57</v>
      </c>
      <c r="N18" s="54"/>
      <c r="O18" s="55" t="s">
        <v>25</v>
      </c>
      <c r="P18" s="74">
        <v>1020</v>
      </c>
      <c r="Q18" s="69">
        <v>200</v>
      </c>
      <c r="R18" s="262" t="s">
        <v>58</v>
      </c>
      <c r="S18" s="54"/>
      <c r="T18" s="55" t="s">
        <v>25</v>
      </c>
      <c r="U18" s="56">
        <v>820</v>
      </c>
      <c r="V18" s="262" t="s">
        <v>59</v>
      </c>
      <c r="W18" s="38"/>
      <c r="X18" s="38"/>
      <c r="Y18" s="262" t="s">
        <v>60</v>
      </c>
      <c r="Z18" s="60"/>
      <c r="AA18" s="279"/>
      <c r="AD18" s="2"/>
    </row>
    <row r="19" spans="1:30" ht="50.15" customHeight="1">
      <c r="A19" s="254"/>
      <c r="B19" s="254"/>
      <c r="C19" s="256"/>
      <c r="D19" s="282"/>
      <c r="E19" s="11"/>
      <c r="F19" s="34" t="s">
        <v>31</v>
      </c>
      <c r="G19" s="41">
        <v>315.51254576298942</v>
      </c>
      <c r="H19" s="41">
        <v>26.292712146915786</v>
      </c>
      <c r="I19" s="270"/>
      <c r="J19" s="41">
        <v>289.21983361607363</v>
      </c>
      <c r="K19" s="263"/>
      <c r="L19" s="76"/>
      <c r="M19" s="263"/>
      <c r="N19" s="11"/>
      <c r="O19" s="34" t="s">
        <v>31</v>
      </c>
      <c r="P19" s="77">
        <v>1166.0246256458304</v>
      </c>
      <c r="Q19" s="45">
        <v>228.63227953839814</v>
      </c>
      <c r="R19" s="263"/>
      <c r="S19" s="11"/>
      <c r="T19" s="34" t="s">
        <v>31</v>
      </c>
      <c r="U19" s="41">
        <v>937.39234610743233</v>
      </c>
      <c r="V19" s="263"/>
      <c r="W19" s="43"/>
      <c r="X19" s="43"/>
      <c r="Y19" s="263"/>
      <c r="AA19" s="280"/>
    </row>
    <row r="20" spans="1:30" ht="58.5" customHeight="1">
      <c r="A20" s="254"/>
      <c r="B20" s="254"/>
      <c r="C20" s="257"/>
      <c r="D20" s="283"/>
      <c r="E20" s="8"/>
      <c r="F20" s="47" t="s">
        <v>32</v>
      </c>
      <c r="G20" s="48">
        <v>8.345671799804629</v>
      </c>
      <c r="H20" s="48">
        <v>0.69547264998371916</v>
      </c>
      <c r="I20" s="271"/>
      <c r="J20" s="48">
        <v>7.6501991498209101</v>
      </c>
      <c r="K20" s="264"/>
      <c r="L20" s="78"/>
      <c r="M20" s="264"/>
      <c r="N20" s="8"/>
      <c r="O20" s="47" t="s">
        <v>32</v>
      </c>
      <c r="P20" s="66">
        <v>30.84270012971276</v>
      </c>
      <c r="Q20" s="52">
        <v>6.0475882607279923</v>
      </c>
      <c r="R20" s="264"/>
      <c r="S20" s="8"/>
      <c r="T20" s="47" t="s">
        <v>32</v>
      </c>
      <c r="U20" s="48">
        <v>24.795111868984769</v>
      </c>
      <c r="V20" s="264"/>
      <c r="W20" s="50"/>
      <c r="X20" s="50"/>
      <c r="Y20" s="264"/>
      <c r="Z20" s="4"/>
      <c r="AA20" s="281"/>
    </row>
    <row r="21" spans="1:30" ht="70" customHeight="1">
      <c r="A21" s="254">
        <v>1</v>
      </c>
      <c r="B21" s="254" t="s">
        <v>22</v>
      </c>
      <c r="C21" s="256" t="s">
        <v>61</v>
      </c>
      <c r="D21" s="258" t="s">
        <v>24</v>
      </c>
      <c r="E21" s="54"/>
      <c r="F21" s="34" t="s">
        <v>25</v>
      </c>
      <c r="G21" s="56">
        <v>80</v>
      </c>
      <c r="H21" s="68">
        <v>6.5</v>
      </c>
      <c r="I21" s="269" t="s">
        <v>62</v>
      </c>
      <c r="J21" s="56">
        <v>73.5</v>
      </c>
      <c r="K21" s="274" t="s">
        <v>63</v>
      </c>
      <c r="L21" s="68">
        <v>7</v>
      </c>
      <c r="M21" s="274" t="s">
        <v>64</v>
      </c>
      <c r="N21" s="54"/>
      <c r="O21" s="34" t="s">
        <v>25</v>
      </c>
      <c r="P21" s="56">
        <v>533.25</v>
      </c>
      <c r="Q21" s="59">
        <v>3.25</v>
      </c>
      <c r="R21" s="274" t="s">
        <v>65</v>
      </c>
      <c r="S21" s="54"/>
      <c r="T21" s="34" t="s">
        <v>25</v>
      </c>
      <c r="U21" s="56">
        <v>530</v>
      </c>
      <c r="V21" s="274" t="s">
        <v>66</v>
      </c>
      <c r="W21" s="70"/>
      <c r="X21" s="274"/>
      <c r="Y21" s="262" t="s">
        <v>67</v>
      </c>
      <c r="Z21" s="60"/>
      <c r="AA21" s="61"/>
    </row>
    <row r="22" spans="1:30" ht="70" customHeight="1">
      <c r="A22" s="254"/>
      <c r="B22" s="254"/>
      <c r="C22" s="256"/>
      <c r="D22" s="258"/>
      <c r="E22" s="11"/>
      <c r="F22" s="34" t="s">
        <v>31</v>
      </c>
      <c r="G22" s="41">
        <v>91.452911815358831</v>
      </c>
      <c r="H22" s="36">
        <v>7.4305490849979057</v>
      </c>
      <c r="I22" s="270"/>
      <c r="J22" s="41">
        <v>84.022362730360939</v>
      </c>
      <c r="K22" s="260"/>
      <c r="L22" s="36">
        <v>8.0021297838438983</v>
      </c>
      <c r="M22" s="260"/>
      <c r="N22" s="11"/>
      <c r="O22" s="34" t="s">
        <v>31</v>
      </c>
      <c r="P22" s="41">
        <v>609.59081531925131</v>
      </c>
      <c r="Q22" s="36">
        <v>3.7152745424989528</v>
      </c>
      <c r="R22" s="260"/>
      <c r="S22" s="11"/>
      <c r="T22" s="34" t="s">
        <v>31</v>
      </c>
      <c r="U22" s="41">
        <v>605.87554077675236</v>
      </c>
      <c r="V22" s="260"/>
      <c r="W22" s="41"/>
      <c r="X22" s="260"/>
      <c r="Y22" s="263"/>
      <c r="AA22" s="79"/>
    </row>
    <row r="23" spans="1:30" ht="58.5" customHeight="1">
      <c r="A23" s="254"/>
      <c r="B23" s="254"/>
      <c r="C23" s="257"/>
      <c r="D23" s="259"/>
      <c r="E23" s="8"/>
      <c r="F23" s="47" t="s">
        <v>32</v>
      </c>
      <c r="G23" s="48">
        <v>4.9481563719181452</v>
      </c>
      <c r="H23" s="48">
        <v>0.40203770521834931</v>
      </c>
      <c r="I23" s="271"/>
      <c r="J23" s="48">
        <v>4.5461186666997957</v>
      </c>
      <c r="K23" s="261"/>
      <c r="L23" s="48">
        <v>0.43296368254283774</v>
      </c>
      <c r="M23" s="261"/>
      <c r="N23" s="8"/>
      <c r="O23" s="47" t="s">
        <v>32</v>
      </c>
      <c r="P23" s="48">
        <v>32.982554816566882</v>
      </c>
      <c r="Q23" s="48">
        <v>0.20101885260917465</v>
      </c>
      <c r="R23" s="261"/>
      <c r="S23" s="8"/>
      <c r="T23" s="47" t="s">
        <v>32</v>
      </c>
      <c r="U23" s="48">
        <v>32.781535963957708</v>
      </c>
      <c r="V23" s="261"/>
      <c r="W23" s="80"/>
      <c r="X23" s="261"/>
      <c r="Y23" s="264"/>
      <c r="Z23" s="4"/>
      <c r="AA23" s="67"/>
    </row>
    <row r="24" spans="1:30" ht="152.5" customHeight="1">
      <c r="A24" s="254">
        <v>1</v>
      </c>
      <c r="B24" s="254" t="s">
        <v>22</v>
      </c>
      <c r="C24" s="275" t="s">
        <v>68</v>
      </c>
      <c r="D24" s="258" t="s">
        <v>24</v>
      </c>
      <c r="E24" s="54"/>
      <c r="F24" s="34" t="s">
        <v>25</v>
      </c>
      <c r="G24" s="74">
        <v>59500</v>
      </c>
      <c r="H24" s="74">
        <v>5100</v>
      </c>
      <c r="I24" s="262" t="s">
        <v>69</v>
      </c>
      <c r="J24" s="74">
        <v>54400</v>
      </c>
      <c r="K24" s="262" t="s">
        <v>70</v>
      </c>
      <c r="L24" s="74">
        <v>26000</v>
      </c>
      <c r="M24" s="262" t="s">
        <v>71</v>
      </c>
      <c r="N24" s="54"/>
      <c r="O24" s="55" t="s">
        <v>25</v>
      </c>
      <c r="P24" s="81">
        <v>124700</v>
      </c>
      <c r="Q24" s="82"/>
      <c r="R24" s="284"/>
      <c r="S24" s="54"/>
      <c r="T24" s="55" t="s">
        <v>25</v>
      </c>
      <c r="U24" s="74">
        <v>15700</v>
      </c>
      <c r="V24" s="284" t="s">
        <v>72</v>
      </c>
      <c r="W24" s="82">
        <v>109000</v>
      </c>
      <c r="X24" s="284" t="s">
        <v>73</v>
      </c>
      <c r="Y24" s="262" t="s">
        <v>74</v>
      </c>
      <c r="Z24" s="60"/>
      <c r="AA24" s="71"/>
    </row>
    <row r="25" spans="1:30" ht="119.15" customHeight="1">
      <c r="A25" s="254"/>
      <c r="B25" s="254"/>
      <c r="C25" s="275"/>
      <c r="D25" s="258"/>
      <c r="E25" s="11"/>
      <c r="F25" s="34" t="s">
        <v>31</v>
      </c>
      <c r="G25" s="41">
        <v>555.08784138136377</v>
      </c>
      <c r="H25" s="36">
        <v>47.578957832688324</v>
      </c>
      <c r="I25" s="277"/>
      <c r="J25" s="41">
        <v>507.50888354867544</v>
      </c>
      <c r="K25" s="263"/>
      <c r="L25" s="41">
        <v>242.55939287252869</v>
      </c>
      <c r="M25" s="263"/>
      <c r="N25" s="11"/>
      <c r="O25" s="34" t="s">
        <v>31</v>
      </c>
      <c r="P25" s="41">
        <v>1163.3521650463204</v>
      </c>
      <c r="Q25" s="84"/>
      <c r="R25" s="277"/>
      <c r="S25" s="11"/>
      <c r="T25" s="34" t="s">
        <v>31</v>
      </c>
      <c r="U25" s="41">
        <v>146.46855646533464</v>
      </c>
      <c r="V25" s="277"/>
      <c r="W25" s="85">
        <v>1016.8836085809857</v>
      </c>
      <c r="X25" s="277"/>
      <c r="Y25" s="263"/>
      <c r="AA25" s="65"/>
    </row>
    <row r="26" spans="1:30" s="7" customFormat="1" ht="121" customHeight="1">
      <c r="A26" s="254"/>
      <c r="B26" s="254"/>
      <c r="C26" s="276"/>
      <c r="D26" s="259"/>
      <c r="E26" s="8"/>
      <c r="F26" s="47" t="s">
        <v>32</v>
      </c>
      <c r="G26" s="48">
        <v>11.303916616449396</v>
      </c>
      <c r="H26" s="48">
        <v>0.96890713855280541</v>
      </c>
      <c r="I26" s="278"/>
      <c r="J26" s="48">
        <v>10.335009477896591</v>
      </c>
      <c r="K26" s="264"/>
      <c r="L26" s="48">
        <v>4.9395265887005761</v>
      </c>
      <c r="M26" s="264"/>
      <c r="N26" s="8"/>
      <c r="O26" s="47" t="s">
        <v>32</v>
      </c>
      <c r="P26" s="48">
        <v>23.690729446575457</v>
      </c>
      <c r="Q26" s="87"/>
      <c r="R26" s="278"/>
      <c r="S26" s="8"/>
      <c r="T26" s="47" t="s">
        <v>32</v>
      </c>
      <c r="U26" s="48">
        <v>2.982714132407656</v>
      </c>
      <c r="V26" s="278"/>
      <c r="W26" s="88">
        <v>20.708015314167803</v>
      </c>
      <c r="X26" s="278"/>
      <c r="Y26" s="264"/>
      <c r="Z26" s="4"/>
      <c r="AA26" s="67"/>
      <c r="AD26" s="2"/>
    </row>
    <row r="27" spans="1:30" s="75" customFormat="1" ht="120" customHeight="1">
      <c r="A27" s="254">
        <v>1</v>
      </c>
      <c r="B27" s="254" t="s">
        <v>22</v>
      </c>
      <c r="C27" s="285" t="s">
        <v>75</v>
      </c>
      <c r="D27" s="286" t="s">
        <v>24</v>
      </c>
      <c r="E27" s="54"/>
      <c r="F27" s="55" t="s">
        <v>25</v>
      </c>
      <c r="G27" s="89">
        <v>66300</v>
      </c>
      <c r="H27" s="90">
        <v>5100</v>
      </c>
      <c r="I27" s="287" t="s">
        <v>76</v>
      </c>
      <c r="J27" s="89">
        <v>61200</v>
      </c>
      <c r="K27" s="274" t="s">
        <v>77</v>
      </c>
      <c r="L27" s="89">
        <v>33000</v>
      </c>
      <c r="M27" s="274" t="s">
        <v>78</v>
      </c>
      <c r="N27" s="54"/>
      <c r="O27" s="55" t="s">
        <v>25</v>
      </c>
      <c r="P27" s="91">
        <v>195900</v>
      </c>
      <c r="Q27" s="91"/>
      <c r="R27" s="262"/>
      <c r="S27" s="54"/>
      <c r="T27" s="55" t="s">
        <v>25</v>
      </c>
      <c r="U27" s="92">
        <v>70900</v>
      </c>
      <c r="V27" s="274" t="s">
        <v>79</v>
      </c>
      <c r="W27" s="92">
        <v>125000</v>
      </c>
      <c r="X27" s="262" t="s">
        <v>80</v>
      </c>
      <c r="Y27" s="262" t="s">
        <v>81</v>
      </c>
      <c r="Z27" s="60"/>
      <c r="AA27" s="279"/>
      <c r="AD27" s="2"/>
    </row>
    <row r="28" spans="1:30" ht="136.5" customHeight="1">
      <c r="A28" s="254"/>
      <c r="B28" s="254"/>
      <c r="C28" s="275"/>
      <c r="D28" s="258"/>
      <c r="E28" s="11"/>
      <c r="F28" s="34" t="s">
        <v>31</v>
      </c>
      <c r="G28" s="44">
        <v>55.370457900727892</v>
      </c>
      <c r="H28" s="93">
        <v>4.2592659923636838</v>
      </c>
      <c r="I28" s="288"/>
      <c r="J28" s="41">
        <v>51.111191908364205</v>
      </c>
      <c r="K28" s="260"/>
      <c r="L28" s="41">
        <v>27.559956421176778</v>
      </c>
      <c r="M28" s="260"/>
      <c r="N28" s="11"/>
      <c r="O28" s="34" t="s">
        <v>31</v>
      </c>
      <c r="P28" s="41">
        <v>163.60592311844033</v>
      </c>
      <c r="Q28" s="94"/>
      <c r="R28" s="263"/>
      <c r="S28" s="11"/>
      <c r="T28" s="34" t="s">
        <v>31</v>
      </c>
      <c r="U28" s="44">
        <v>59.212148795801021</v>
      </c>
      <c r="V28" s="260"/>
      <c r="W28" s="85">
        <v>104.39377432263932</v>
      </c>
      <c r="X28" s="263"/>
      <c r="Y28" s="263"/>
      <c r="AA28" s="280"/>
    </row>
    <row r="29" spans="1:30" ht="210" customHeight="1">
      <c r="A29" s="254"/>
      <c r="B29" s="254"/>
      <c r="C29" s="276"/>
      <c r="D29" s="259"/>
      <c r="E29" s="8"/>
      <c r="F29" s="47" t="s">
        <v>32</v>
      </c>
      <c r="G29" s="51">
        <v>3.4894719211716425</v>
      </c>
      <c r="H29" s="51">
        <v>0.26842091701320331</v>
      </c>
      <c r="I29" s="289"/>
      <c r="J29" s="48">
        <v>3.2210510041584395</v>
      </c>
      <c r="K29" s="261"/>
      <c r="L29" s="48">
        <v>1.7368412277324921</v>
      </c>
      <c r="M29" s="261"/>
      <c r="N29" s="8"/>
      <c r="O29" s="47" t="s">
        <v>32</v>
      </c>
      <c r="P29" s="48">
        <v>10.310521106448338</v>
      </c>
      <c r="Q29" s="95"/>
      <c r="R29" s="264"/>
      <c r="S29" s="8"/>
      <c r="T29" s="47" t="s">
        <v>32</v>
      </c>
      <c r="U29" s="51">
        <v>3.7315770620070814</v>
      </c>
      <c r="V29" s="261"/>
      <c r="W29" s="96">
        <v>6.5789440444412568</v>
      </c>
      <c r="X29" s="264"/>
      <c r="Y29" s="264"/>
      <c r="Z29" s="4"/>
      <c r="AA29" s="281"/>
    </row>
    <row r="30" spans="1:30" s="13" customFormat="1" ht="127" customHeight="1">
      <c r="A30" s="254">
        <v>1</v>
      </c>
      <c r="B30" s="254" t="s">
        <v>22</v>
      </c>
      <c r="C30" s="275" t="s">
        <v>82</v>
      </c>
      <c r="D30" s="258" t="s">
        <v>24</v>
      </c>
      <c r="E30" s="97"/>
      <c r="F30" s="55" t="s">
        <v>25</v>
      </c>
      <c r="G30" s="72">
        <v>38.099999999999994</v>
      </c>
      <c r="H30" s="73">
        <v>5.3</v>
      </c>
      <c r="I30" s="269" t="s">
        <v>83</v>
      </c>
      <c r="J30" s="72">
        <v>32.799999999999997</v>
      </c>
      <c r="K30" s="274" t="s">
        <v>84</v>
      </c>
      <c r="L30" s="98"/>
      <c r="M30" s="262" t="s">
        <v>85</v>
      </c>
      <c r="N30" s="97"/>
      <c r="O30" s="34" t="s">
        <v>25</v>
      </c>
      <c r="P30" s="99">
        <v>154.6</v>
      </c>
      <c r="Q30" s="100">
        <v>0.6</v>
      </c>
      <c r="R30" s="262" t="s">
        <v>86</v>
      </c>
      <c r="S30" s="97"/>
      <c r="T30" s="34" t="s">
        <v>25</v>
      </c>
      <c r="U30" s="72">
        <v>144</v>
      </c>
      <c r="V30" s="262" t="s">
        <v>87</v>
      </c>
      <c r="W30" s="72">
        <v>10</v>
      </c>
      <c r="X30" s="262" t="s">
        <v>88</v>
      </c>
      <c r="Y30" s="38"/>
      <c r="Z30" s="97"/>
      <c r="AA30" s="279"/>
      <c r="AD30" s="2"/>
    </row>
    <row r="31" spans="1:30" s="12" customFormat="1" ht="150" customHeight="1">
      <c r="A31" s="254"/>
      <c r="B31" s="254"/>
      <c r="C31" s="275"/>
      <c r="D31" s="258"/>
      <c r="E31" s="13"/>
      <c r="F31" s="34" t="s">
        <v>31</v>
      </c>
      <c r="G31" s="41">
        <v>43.554449252064643</v>
      </c>
      <c r="H31" s="101">
        <v>6.0587554077675225</v>
      </c>
      <c r="I31" s="270"/>
      <c r="J31" s="41">
        <v>37.495693844297122</v>
      </c>
      <c r="K31" s="260"/>
      <c r="L31" s="36"/>
      <c r="M31" s="263"/>
      <c r="N31" s="13"/>
      <c r="O31" s="34" t="s">
        <v>31</v>
      </c>
      <c r="P31" s="102">
        <v>176.73275208318094</v>
      </c>
      <c r="Q31" s="103">
        <v>0.68589683861519124</v>
      </c>
      <c r="R31" s="263"/>
      <c r="S31" s="13"/>
      <c r="T31" s="34" t="s">
        <v>31</v>
      </c>
      <c r="U31" s="41">
        <v>164.6152412676459</v>
      </c>
      <c r="V31" s="263"/>
      <c r="W31" s="41">
        <v>11.431613976919854</v>
      </c>
      <c r="X31" s="263"/>
      <c r="Y31" s="43"/>
      <c r="Z31" s="13"/>
      <c r="AA31" s="280"/>
      <c r="AD31" s="2"/>
    </row>
    <row r="32" spans="1:30" ht="177.65" customHeight="1">
      <c r="A32" s="254"/>
      <c r="B32" s="254"/>
      <c r="C32" s="276"/>
      <c r="D32" s="259"/>
      <c r="E32" s="8"/>
      <c r="F32" s="47" t="s">
        <v>32</v>
      </c>
      <c r="G32" s="48">
        <v>3.4914401780219899</v>
      </c>
      <c r="H32" s="104">
        <v>0.48568590402930578</v>
      </c>
      <c r="I32" s="271"/>
      <c r="J32" s="48">
        <v>3.0057542739926846</v>
      </c>
      <c r="K32" s="261"/>
      <c r="L32" s="48"/>
      <c r="M32" s="264"/>
      <c r="N32" s="8"/>
      <c r="O32" s="47" t="s">
        <v>32</v>
      </c>
      <c r="P32" s="76">
        <v>14.167366181685033</v>
      </c>
      <c r="Q32" s="52">
        <v>5.4983309890110084E-2</v>
      </c>
      <c r="R32" s="264"/>
      <c r="S32" s="8"/>
      <c r="T32" s="47" t="s">
        <v>32</v>
      </c>
      <c r="U32" s="48">
        <v>13.195994373626421</v>
      </c>
      <c r="V32" s="264"/>
      <c r="W32" s="48">
        <v>0.91638849816850154</v>
      </c>
      <c r="X32" s="264"/>
      <c r="Y32" s="50"/>
      <c r="Z32" s="4"/>
      <c r="AA32" s="281"/>
    </row>
    <row r="33" spans="1:30" ht="150" customHeight="1">
      <c r="A33" s="254">
        <v>1</v>
      </c>
      <c r="B33" s="254" t="s">
        <v>22</v>
      </c>
      <c r="C33" s="256" t="s">
        <v>89</v>
      </c>
      <c r="D33" s="258" t="s">
        <v>34</v>
      </c>
      <c r="E33" s="54"/>
      <c r="F33" s="34" t="s">
        <v>25</v>
      </c>
      <c r="G33" s="56">
        <v>188.40000000000003</v>
      </c>
      <c r="H33" s="56">
        <v>31.8</v>
      </c>
      <c r="I33" s="269" t="s">
        <v>90</v>
      </c>
      <c r="J33" s="56">
        <v>156.60000000000002</v>
      </c>
      <c r="K33" s="262" t="s">
        <v>91</v>
      </c>
      <c r="L33" s="59">
        <v>4</v>
      </c>
      <c r="M33" s="262" t="s">
        <v>92</v>
      </c>
      <c r="N33" s="54"/>
      <c r="O33" s="34" t="s">
        <v>25</v>
      </c>
      <c r="P33" s="56">
        <v>341</v>
      </c>
      <c r="Q33" s="59">
        <v>1</v>
      </c>
      <c r="R33" s="274" t="s">
        <v>93</v>
      </c>
      <c r="S33" s="54"/>
      <c r="T33" s="34" t="s">
        <v>25</v>
      </c>
      <c r="U33" s="56">
        <v>340</v>
      </c>
      <c r="V33" s="274" t="s">
        <v>94</v>
      </c>
      <c r="W33" s="105"/>
      <c r="X33" s="262"/>
      <c r="Y33" s="293" t="s">
        <v>95</v>
      </c>
      <c r="Z33" s="60"/>
      <c r="AA33" s="290"/>
    </row>
    <row r="34" spans="1:30" ht="150" customHeight="1">
      <c r="A34" s="254"/>
      <c r="B34" s="254"/>
      <c r="C34" s="256"/>
      <c r="D34" s="258"/>
      <c r="E34" s="11"/>
      <c r="F34" s="34" t="s">
        <v>31</v>
      </c>
      <c r="G34" s="41">
        <v>241.4414266835733</v>
      </c>
      <c r="H34" s="41">
        <v>40.752852274615869</v>
      </c>
      <c r="I34" s="270"/>
      <c r="J34" s="35">
        <v>200.68857440895744</v>
      </c>
      <c r="K34" s="263"/>
      <c r="L34" s="64">
        <v>5.126144940203254</v>
      </c>
      <c r="M34" s="263"/>
      <c r="N34" s="11"/>
      <c r="O34" s="34" t="s">
        <v>31</v>
      </c>
      <c r="P34" s="41">
        <v>437.00385615232739</v>
      </c>
      <c r="Q34" s="64">
        <v>1.2815362350508135</v>
      </c>
      <c r="R34" s="260"/>
      <c r="S34" s="11"/>
      <c r="T34" s="34" t="s">
        <v>31</v>
      </c>
      <c r="U34" s="41">
        <v>435.72231991727654</v>
      </c>
      <c r="V34" s="260"/>
      <c r="W34" s="43"/>
      <c r="X34" s="263"/>
      <c r="Y34" s="294"/>
      <c r="AA34" s="291"/>
    </row>
    <row r="35" spans="1:30" s="7" customFormat="1" ht="150" customHeight="1">
      <c r="A35" s="254"/>
      <c r="B35" s="254"/>
      <c r="C35" s="257"/>
      <c r="D35" s="259"/>
      <c r="E35" s="8"/>
      <c r="F35" s="47" t="s">
        <v>32</v>
      </c>
      <c r="G35" s="48">
        <v>9.1514162839656876</v>
      </c>
      <c r="H35" s="48">
        <v>1.5446658058922975</v>
      </c>
      <c r="I35" s="271"/>
      <c r="J35" s="104">
        <v>7.6067504780733906</v>
      </c>
      <c r="K35" s="264"/>
      <c r="L35" s="104">
        <v>0.19429758564682986</v>
      </c>
      <c r="M35" s="264"/>
      <c r="N35" s="8"/>
      <c r="O35" s="47" t="s">
        <v>32</v>
      </c>
      <c r="P35" s="48">
        <v>16.563869176392245</v>
      </c>
      <c r="Q35" s="52">
        <v>4.8574396411707466E-2</v>
      </c>
      <c r="R35" s="261"/>
      <c r="S35" s="8"/>
      <c r="T35" s="47" t="s">
        <v>32</v>
      </c>
      <c r="U35" s="48">
        <v>16.51529477998054</v>
      </c>
      <c r="V35" s="261"/>
      <c r="W35" s="50"/>
      <c r="X35" s="264"/>
      <c r="Y35" s="295"/>
      <c r="Z35" s="4"/>
      <c r="AA35" s="292"/>
      <c r="AD35" s="2"/>
    </row>
    <row r="36" spans="1:30" s="75" customFormat="1" ht="170.15" customHeight="1">
      <c r="A36" s="254">
        <v>1</v>
      </c>
      <c r="B36" s="254" t="s">
        <v>22</v>
      </c>
      <c r="C36" s="255" t="s">
        <v>96</v>
      </c>
      <c r="D36" s="286" t="s">
        <v>34</v>
      </c>
      <c r="E36" s="54"/>
      <c r="F36" s="55" t="s">
        <v>25</v>
      </c>
      <c r="G36" s="91">
        <v>2449</v>
      </c>
      <c r="H36" s="56">
        <v>304</v>
      </c>
      <c r="I36" s="269" t="s">
        <v>97</v>
      </c>
      <c r="J36" s="91">
        <v>2145</v>
      </c>
      <c r="K36" s="262" t="s">
        <v>98</v>
      </c>
      <c r="L36" s="73">
        <v>18</v>
      </c>
      <c r="M36" s="262" t="s">
        <v>99</v>
      </c>
      <c r="N36" s="54"/>
      <c r="O36" s="55" t="s">
        <v>25</v>
      </c>
      <c r="P36" s="58">
        <v>510</v>
      </c>
      <c r="Q36" s="106">
        <v>56</v>
      </c>
      <c r="R36" s="274" t="s">
        <v>100</v>
      </c>
      <c r="S36" s="54"/>
      <c r="T36" s="55" t="s">
        <v>25</v>
      </c>
      <c r="U36" s="56">
        <v>454</v>
      </c>
      <c r="V36" s="262" t="s">
        <v>101</v>
      </c>
      <c r="W36" s="38"/>
      <c r="X36" s="38"/>
      <c r="Y36" s="262" t="s">
        <v>102</v>
      </c>
      <c r="Z36" s="60"/>
      <c r="AA36" s="71"/>
      <c r="AD36" s="2"/>
    </row>
    <row r="37" spans="1:30" ht="170.15" customHeight="1">
      <c r="A37" s="254"/>
      <c r="B37" s="254"/>
      <c r="C37" s="256"/>
      <c r="D37" s="258"/>
      <c r="E37" s="11"/>
      <c r="F37" s="34" t="s">
        <v>31</v>
      </c>
      <c r="G37" s="77">
        <v>2449</v>
      </c>
      <c r="H37" s="41">
        <v>304</v>
      </c>
      <c r="I37" s="270"/>
      <c r="J37" s="77">
        <v>2145</v>
      </c>
      <c r="K37" s="263"/>
      <c r="L37" s="107">
        <v>18</v>
      </c>
      <c r="M37" s="263"/>
      <c r="N37" s="11"/>
      <c r="O37" s="34" t="s">
        <v>31</v>
      </c>
      <c r="P37" s="63">
        <v>510</v>
      </c>
      <c r="Q37" s="45">
        <v>56</v>
      </c>
      <c r="R37" s="260"/>
      <c r="S37" s="11"/>
      <c r="T37" s="34" t="s">
        <v>31</v>
      </c>
      <c r="U37" s="46">
        <v>454</v>
      </c>
      <c r="V37" s="263"/>
      <c r="W37" s="43"/>
      <c r="X37" s="43"/>
      <c r="Y37" s="263"/>
      <c r="AA37" s="65"/>
    </row>
    <row r="38" spans="1:30" ht="174.65" customHeight="1">
      <c r="A38" s="254"/>
      <c r="B38" s="254"/>
      <c r="C38" s="257"/>
      <c r="D38" s="259"/>
      <c r="E38" s="8"/>
      <c r="F38" s="47" t="s">
        <v>32</v>
      </c>
      <c r="G38" s="48">
        <v>11.769925271607271</v>
      </c>
      <c r="H38" s="48">
        <v>1.4610278818165008</v>
      </c>
      <c r="I38" s="271"/>
      <c r="J38" s="48">
        <v>10.30889738979077</v>
      </c>
      <c r="K38" s="264"/>
      <c r="L38" s="104">
        <v>8.6508229844398071E-2</v>
      </c>
      <c r="M38" s="264"/>
      <c r="N38" s="8"/>
      <c r="O38" s="47" t="s">
        <v>32</v>
      </c>
      <c r="P38" s="66">
        <v>2.4510665122579454</v>
      </c>
      <c r="Q38" s="52">
        <v>0.26913671507146064</v>
      </c>
      <c r="R38" s="261"/>
      <c r="S38" s="8"/>
      <c r="T38" s="47" t="s">
        <v>32</v>
      </c>
      <c r="U38" s="108">
        <v>2.1819297971864846</v>
      </c>
      <c r="V38" s="264"/>
      <c r="W38" s="50"/>
      <c r="X38" s="50"/>
      <c r="Y38" s="264"/>
      <c r="Z38" s="4"/>
      <c r="AA38" s="67"/>
    </row>
    <row r="39" spans="1:30" ht="103" customHeight="1">
      <c r="A39" s="254">
        <v>1</v>
      </c>
      <c r="B39" s="254" t="s">
        <v>103</v>
      </c>
      <c r="C39" s="256" t="s">
        <v>104</v>
      </c>
      <c r="D39" s="258" t="s">
        <v>34</v>
      </c>
      <c r="E39" s="11"/>
      <c r="F39" s="34" t="s">
        <v>25</v>
      </c>
      <c r="G39" s="109">
        <v>1057.5</v>
      </c>
      <c r="H39" s="41">
        <v>58.6</v>
      </c>
      <c r="I39" s="287" t="s">
        <v>105</v>
      </c>
      <c r="J39" s="41">
        <v>998.9</v>
      </c>
      <c r="K39" s="274" t="s">
        <v>106</v>
      </c>
      <c r="L39" s="41">
        <v>10</v>
      </c>
      <c r="M39" s="274" t="s">
        <v>107</v>
      </c>
      <c r="N39" s="11"/>
      <c r="O39" s="34" t="s">
        <v>25</v>
      </c>
      <c r="P39" s="41">
        <v>571.79999999999995</v>
      </c>
      <c r="Q39" s="64"/>
      <c r="R39" s="274"/>
      <c r="S39" s="11"/>
      <c r="T39" s="34" t="s">
        <v>25</v>
      </c>
      <c r="U39" s="44">
        <v>571.79999999999995</v>
      </c>
      <c r="V39" s="274" t="s">
        <v>108</v>
      </c>
      <c r="W39" s="43"/>
      <c r="X39" s="262"/>
      <c r="Y39" s="83"/>
      <c r="AA39" s="83"/>
    </row>
    <row r="40" spans="1:30" ht="120" customHeight="1">
      <c r="A40" s="254"/>
      <c r="B40" s="254"/>
      <c r="C40" s="256"/>
      <c r="D40" s="258"/>
      <c r="E40" s="11"/>
      <c r="F40" s="34" t="s">
        <v>31</v>
      </c>
      <c r="G40" s="35">
        <v>15.008567383472622</v>
      </c>
      <c r="H40" s="36">
        <v>0.83168042427564592</v>
      </c>
      <c r="I40" s="288"/>
      <c r="J40" s="41">
        <v>14.176886959196976</v>
      </c>
      <c r="K40" s="260"/>
      <c r="L40" s="36">
        <v>0.14192498707775528</v>
      </c>
      <c r="M40" s="260"/>
      <c r="N40" s="11"/>
      <c r="O40" s="34" t="s">
        <v>31</v>
      </c>
      <c r="P40" s="36">
        <v>8.1152707611060464</v>
      </c>
      <c r="Q40" s="64"/>
      <c r="R40" s="260"/>
      <c r="S40" s="11"/>
      <c r="T40" s="34" t="s">
        <v>31</v>
      </c>
      <c r="U40" s="36">
        <v>8.1152707611060464</v>
      </c>
      <c r="V40" s="260"/>
      <c r="W40" s="43"/>
      <c r="X40" s="263"/>
      <c r="Y40" s="43" t="s">
        <v>109</v>
      </c>
      <c r="AA40" s="65"/>
    </row>
    <row r="41" spans="1:30" ht="143.15" customHeight="1">
      <c r="A41" s="254"/>
      <c r="B41" s="254"/>
      <c r="C41" s="257"/>
      <c r="D41" s="259"/>
      <c r="E41" s="8"/>
      <c r="F41" s="47" t="s">
        <v>32</v>
      </c>
      <c r="G41" s="48">
        <v>3.9211469831830952</v>
      </c>
      <c r="H41" s="48">
        <v>0.21728530800428306</v>
      </c>
      <c r="I41" s="289"/>
      <c r="J41" s="48">
        <v>3.7038616751788114</v>
      </c>
      <c r="K41" s="261"/>
      <c r="L41" s="48">
        <v>3.7079404096294045E-2</v>
      </c>
      <c r="M41" s="261"/>
      <c r="N41" s="8"/>
      <c r="O41" s="47" t="s">
        <v>32</v>
      </c>
      <c r="P41" s="48">
        <v>2.1202003262260929</v>
      </c>
      <c r="Q41" s="52"/>
      <c r="R41" s="261"/>
      <c r="S41" s="8"/>
      <c r="T41" s="47" t="s">
        <v>32</v>
      </c>
      <c r="U41" s="48">
        <v>2.1202003262260929</v>
      </c>
      <c r="V41" s="261"/>
      <c r="W41" s="50"/>
      <c r="X41" s="264"/>
      <c r="Y41" s="50"/>
      <c r="Z41" s="4"/>
      <c r="AA41" s="67"/>
    </row>
    <row r="42" spans="1:30" ht="140.15" customHeight="1">
      <c r="A42" s="254">
        <v>1</v>
      </c>
      <c r="B42" s="254" t="s">
        <v>103</v>
      </c>
      <c r="C42" s="275" t="s">
        <v>110</v>
      </c>
      <c r="D42" s="258" t="s">
        <v>24</v>
      </c>
      <c r="E42" s="54"/>
      <c r="F42" s="34" t="s">
        <v>25</v>
      </c>
      <c r="G42" s="56">
        <v>584.80000000000007</v>
      </c>
      <c r="H42" s="56">
        <v>63.2</v>
      </c>
      <c r="I42" s="269" t="s">
        <v>111</v>
      </c>
      <c r="J42" s="56">
        <v>521.6</v>
      </c>
      <c r="K42" s="262" t="s">
        <v>112</v>
      </c>
      <c r="L42" s="56">
        <v>201.8</v>
      </c>
      <c r="M42" s="274" t="s">
        <v>113</v>
      </c>
      <c r="N42" s="54"/>
      <c r="O42" s="34" t="s">
        <v>25</v>
      </c>
      <c r="P42" s="56">
        <v>447.69999999999993</v>
      </c>
      <c r="Q42" s="69">
        <v>69.900000000000006</v>
      </c>
      <c r="R42" s="262" t="s">
        <v>114</v>
      </c>
      <c r="S42" s="54"/>
      <c r="T42" s="34" t="s">
        <v>25</v>
      </c>
      <c r="U42" s="56"/>
      <c r="V42" s="262" t="s">
        <v>115</v>
      </c>
      <c r="W42" s="110">
        <v>377.79999999999995</v>
      </c>
      <c r="X42" s="262" t="s">
        <v>116</v>
      </c>
      <c r="Y42" s="262" t="s">
        <v>117</v>
      </c>
      <c r="Z42" s="60"/>
      <c r="AA42" s="71"/>
    </row>
    <row r="43" spans="1:30" ht="140.15" customHeight="1">
      <c r="A43" s="254"/>
      <c r="B43" s="254"/>
      <c r="C43" s="275"/>
      <c r="D43" s="258"/>
      <c r="E43" s="11"/>
      <c r="F43" s="34" t="s">
        <v>31</v>
      </c>
      <c r="G43" s="41">
        <v>112.8579211695947</v>
      </c>
      <c r="H43" s="41">
        <v>12.196683683170972</v>
      </c>
      <c r="I43" s="270"/>
      <c r="J43" s="41">
        <v>100.66123748642373</v>
      </c>
      <c r="K43" s="263"/>
      <c r="L43" s="41">
        <v>38.944474165568074</v>
      </c>
      <c r="M43" s="260"/>
      <c r="N43" s="11"/>
      <c r="O43" s="34" t="s">
        <v>31</v>
      </c>
      <c r="P43" s="41">
        <v>86.399608939171571</v>
      </c>
      <c r="Q43" s="45">
        <v>13.489686541988149</v>
      </c>
      <c r="R43" s="263"/>
      <c r="S43" s="11"/>
      <c r="T43" s="34" t="s">
        <v>31</v>
      </c>
      <c r="U43" s="36"/>
      <c r="V43" s="263"/>
      <c r="W43" s="41">
        <v>72.909922397183422</v>
      </c>
      <c r="X43" s="263"/>
      <c r="Y43" s="263"/>
      <c r="AA43" s="65"/>
    </row>
    <row r="44" spans="1:30" ht="177" customHeight="1">
      <c r="A44" s="254"/>
      <c r="B44" s="254"/>
      <c r="C44" s="276"/>
      <c r="D44" s="259"/>
      <c r="E44" s="11"/>
      <c r="F44" s="34" t="s">
        <v>32</v>
      </c>
      <c r="G44" s="36">
        <v>8.2754567449978076</v>
      </c>
      <c r="H44" s="48">
        <v>0.89433800664134999</v>
      </c>
      <c r="I44" s="271"/>
      <c r="J44" s="48">
        <v>7.3811187383564585</v>
      </c>
      <c r="K44" s="264"/>
      <c r="L44" s="48">
        <v>2.8556552174086143</v>
      </c>
      <c r="M44" s="261"/>
      <c r="N44" s="11"/>
      <c r="O44" s="34" t="s">
        <v>32</v>
      </c>
      <c r="P44" s="36">
        <v>6.335365910970447</v>
      </c>
      <c r="Q44" s="64">
        <v>0.98914915607959453</v>
      </c>
      <c r="R44" s="264"/>
      <c r="S44" s="11"/>
      <c r="T44" s="34" t="s">
        <v>32</v>
      </c>
      <c r="U44" s="36"/>
      <c r="V44" s="264"/>
      <c r="W44" s="48">
        <v>5.3462167548908539</v>
      </c>
      <c r="X44" s="264"/>
      <c r="Y44" s="264"/>
      <c r="AA44" s="65"/>
    </row>
    <row r="45" spans="1:30" s="97" customFormat="1" ht="110.15" customHeight="1">
      <c r="A45" s="254">
        <v>1</v>
      </c>
      <c r="B45" s="254" t="s">
        <v>103</v>
      </c>
      <c r="C45" s="275" t="s">
        <v>118</v>
      </c>
      <c r="D45" s="258" t="s">
        <v>24</v>
      </c>
      <c r="F45" s="55" t="s">
        <v>25</v>
      </c>
      <c r="G45" s="111">
        <v>4758</v>
      </c>
      <c r="H45" s="73">
        <v>147</v>
      </c>
      <c r="I45" s="269" t="s">
        <v>119</v>
      </c>
      <c r="J45" s="111">
        <v>4611</v>
      </c>
      <c r="K45" s="274" t="s">
        <v>120</v>
      </c>
      <c r="L45" s="111">
        <v>1600</v>
      </c>
      <c r="M45" s="274" t="s">
        <v>121</v>
      </c>
      <c r="O45" s="55" t="s">
        <v>25</v>
      </c>
      <c r="P45" s="58">
        <v>1330</v>
      </c>
      <c r="Q45" s="112"/>
      <c r="R45" s="262" t="s">
        <v>122</v>
      </c>
      <c r="T45" s="55" t="s">
        <v>25</v>
      </c>
      <c r="U45" s="72">
        <v>400</v>
      </c>
      <c r="V45" s="262" t="s">
        <v>123</v>
      </c>
      <c r="W45" s="113">
        <v>930</v>
      </c>
      <c r="X45" s="274" t="s">
        <v>124</v>
      </c>
      <c r="Y45" s="262" t="s">
        <v>125</v>
      </c>
      <c r="AA45" s="38"/>
      <c r="AD45" s="2"/>
    </row>
    <row r="46" spans="1:30" ht="129" customHeight="1">
      <c r="A46" s="254"/>
      <c r="B46" s="254"/>
      <c r="C46" s="275"/>
      <c r="D46" s="258"/>
      <c r="E46" s="11"/>
      <c r="F46" s="34" t="s">
        <v>31</v>
      </c>
      <c r="G46" s="41">
        <v>706.6668112823254</v>
      </c>
      <c r="H46" s="41">
        <v>21.832707284258476</v>
      </c>
      <c r="I46" s="270"/>
      <c r="J46" s="41">
        <v>684.83410399806689</v>
      </c>
      <c r="K46" s="260"/>
      <c r="L46" s="41">
        <v>237.63490921641878</v>
      </c>
      <c r="M46" s="260"/>
      <c r="N46" s="11"/>
      <c r="O46" s="34" t="s">
        <v>31</v>
      </c>
      <c r="P46" s="63">
        <v>197.53401828614813</v>
      </c>
      <c r="Q46" s="45"/>
      <c r="R46" s="263"/>
      <c r="S46" s="11"/>
      <c r="T46" s="34" t="s">
        <v>31</v>
      </c>
      <c r="U46" s="41">
        <v>59.408727304104694</v>
      </c>
      <c r="V46" s="263"/>
      <c r="W46" s="35">
        <v>138.12529098204342</v>
      </c>
      <c r="X46" s="260"/>
      <c r="Y46" s="263"/>
      <c r="AA46" s="65"/>
    </row>
    <row r="47" spans="1:30" ht="182.15" customHeight="1">
      <c r="A47" s="254"/>
      <c r="B47" s="254"/>
      <c r="C47" s="276"/>
      <c r="D47" s="259"/>
      <c r="E47" s="8"/>
      <c r="F47" s="47" t="s">
        <v>32</v>
      </c>
      <c r="G47" s="48">
        <v>4.6423570741975517</v>
      </c>
      <c r="H47" s="48">
        <v>0.14342717316247167</v>
      </c>
      <c r="I47" s="271"/>
      <c r="J47" s="48">
        <v>4.4989299010350798</v>
      </c>
      <c r="K47" s="261"/>
      <c r="L47" s="48">
        <v>1.5611120888432288</v>
      </c>
      <c r="M47" s="261"/>
      <c r="N47" s="8"/>
      <c r="O47" s="47" t="s">
        <v>32</v>
      </c>
      <c r="P47" s="66">
        <v>1.2976744238509341</v>
      </c>
      <c r="Q47" s="52"/>
      <c r="R47" s="264"/>
      <c r="S47" s="8"/>
      <c r="T47" s="47" t="s">
        <v>32</v>
      </c>
      <c r="U47" s="48">
        <v>0.39027802221080721</v>
      </c>
      <c r="V47" s="264"/>
      <c r="W47" s="101">
        <v>0.9073964016401268</v>
      </c>
      <c r="X47" s="261"/>
      <c r="Y47" s="263"/>
      <c r="AA47" s="65"/>
    </row>
    <row r="48" spans="1:30" s="97" customFormat="1" ht="61" customHeight="1">
      <c r="A48" s="254">
        <v>1</v>
      </c>
      <c r="B48" s="254" t="s">
        <v>103</v>
      </c>
      <c r="C48" s="256" t="s">
        <v>126</v>
      </c>
      <c r="D48" s="258" t="s">
        <v>34</v>
      </c>
      <c r="F48" s="55" t="s">
        <v>25</v>
      </c>
      <c r="G48" s="111">
        <v>3409.5</v>
      </c>
      <c r="H48" s="73">
        <v>360</v>
      </c>
      <c r="I48" s="262" t="s">
        <v>127</v>
      </c>
      <c r="J48" s="111">
        <v>3049.5</v>
      </c>
      <c r="K48" s="274" t="s">
        <v>128</v>
      </c>
      <c r="L48" s="73">
        <v>680</v>
      </c>
      <c r="M48" s="274" t="s">
        <v>129</v>
      </c>
      <c r="O48" s="55" t="s">
        <v>25</v>
      </c>
      <c r="P48" s="111">
        <v>9931</v>
      </c>
      <c r="Q48" s="73">
        <v>500</v>
      </c>
      <c r="R48" s="262" t="s">
        <v>130</v>
      </c>
      <c r="T48" s="55" t="s">
        <v>25</v>
      </c>
      <c r="U48" s="114">
        <v>8531</v>
      </c>
      <c r="V48" s="274" t="s">
        <v>131</v>
      </c>
      <c r="W48" s="73">
        <v>900</v>
      </c>
      <c r="X48" s="262" t="s">
        <v>132</v>
      </c>
      <c r="Y48" s="38"/>
      <c r="AA48" s="279"/>
      <c r="AD48" s="2"/>
    </row>
    <row r="49" spans="1:30" s="13" customFormat="1" ht="60.65" customHeight="1">
      <c r="A49" s="254"/>
      <c r="B49" s="254"/>
      <c r="C49" s="256"/>
      <c r="D49" s="258"/>
      <c r="F49" s="34" t="s">
        <v>31</v>
      </c>
      <c r="G49" s="41">
        <v>46.391484351519523</v>
      </c>
      <c r="H49" s="36">
        <v>4.8983529451670416</v>
      </c>
      <c r="I49" s="263"/>
      <c r="J49" s="41">
        <v>41.493131406352482</v>
      </c>
      <c r="K49" s="260"/>
      <c r="L49" s="36">
        <v>9.2524444519821891</v>
      </c>
      <c r="M49" s="260"/>
      <c r="O49" s="34" t="s">
        <v>31</v>
      </c>
      <c r="P49" s="45">
        <v>135.12650860681637</v>
      </c>
      <c r="Q49" s="64">
        <v>6.8032679793986688</v>
      </c>
      <c r="R49" s="263"/>
      <c r="T49" s="34" t="s">
        <v>31</v>
      </c>
      <c r="U49" s="45">
        <v>116.07735826450009</v>
      </c>
      <c r="V49" s="260"/>
      <c r="W49" s="45">
        <v>12.245882362917603</v>
      </c>
      <c r="X49" s="263"/>
      <c r="Y49" s="43"/>
      <c r="AA49" s="280"/>
      <c r="AD49" s="2"/>
    </row>
    <row r="50" spans="1:30" ht="113.15" customHeight="1">
      <c r="A50" s="254"/>
      <c r="B50" s="254"/>
      <c r="C50" s="257"/>
      <c r="D50" s="259"/>
      <c r="E50" s="11"/>
      <c r="F50" s="34" t="s">
        <v>32</v>
      </c>
      <c r="G50" s="36">
        <v>1.7893922889405567</v>
      </c>
      <c r="H50" s="51">
        <v>0.18893715325373231</v>
      </c>
      <c r="I50" s="264"/>
      <c r="J50" s="51">
        <v>1.6004551356868242</v>
      </c>
      <c r="K50" s="261"/>
      <c r="L50" s="51">
        <v>0.35688128947927217</v>
      </c>
      <c r="M50" s="261"/>
      <c r="N50" s="11"/>
      <c r="O50" s="34" t="s">
        <v>32</v>
      </c>
      <c r="P50" s="51">
        <v>5.2120413026744883</v>
      </c>
      <c r="Q50" s="51">
        <v>0.26241271285240597</v>
      </c>
      <c r="R50" s="264"/>
      <c r="S50" s="11"/>
      <c r="T50" s="34" t="s">
        <v>32</v>
      </c>
      <c r="U50" s="51">
        <v>4.4772857066877512</v>
      </c>
      <c r="V50" s="261"/>
      <c r="W50" s="51">
        <v>0.47234288313433076</v>
      </c>
      <c r="X50" s="264"/>
      <c r="Y50" s="43"/>
      <c r="AA50" s="281"/>
    </row>
    <row r="51" spans="1:30" s="97" customFormat="1" ht="73.5" customHeight="1">
      <c r="A51" s="254">
        <v>1</v>
      </c>
      <c r="B51" s="254" t="s">
        <v>103</v>
      </c>
      <c r="C51" s="256" t="s">
        <v>133</v>
      </c>
      <c r="D51" s="258" t="s">
        <v>34</v>
      </c>
      <c r="F51" s="55" t="s">
        <v>25</v>
      </c>
      <c r="G51" s="111">
        <v>424500</v>
      </c>
      <c r="H51" s="115">
        <v>76000</v>
      </c>
      <c r="I51" s="262" t="s">
        <v>134</v>
      </c>
      <c r="J51" s="115">
        <v>348500</v>
      </c>
      <c r="K51" s="262" t="s">
        <v>135</v>
      </c>
      <c r="L51" s="70"/>
      <c r="M51" s="274" t="s">
        <v>136</v>
      </c>
      <c r="O51" s="55" t="s">
        <v>25</v>
      </c>
      <c r="P51" s="116">
        <v>185150</v>
      </c>
      <c r="Q51" s="117">
        <v>35150</v>
      </c>
      <c r="R51" s="262" t="s">
        <v>137</v>
      </c>
      <c r="T51" s="55" t="s">
        <v>25</v>
      </c>
      <c r="U51" s="117">
        <v>150000</v>
      </c>
      <c r="V51" s="274" t="s">
        <v>138</v>
      </c>
      <c r="W51" s="118"/>
      <c r="X51" s="70"/>
      <c r="Y51" s="38"/>
      <c r="AA51" s="38"/>
      <c r="AD51" s="2"/>
    </row>
    <row r="52" spans="1:30" s="13" customFormat="1" ht="100" customHeight="1">
      <c r="A52" s="254"/>
      <c r="B52" s="254"/>
      <c r="C52" s="256"/>
      <c r="D52" s="258"/>
      <c r="F52" s="34" t="s">
        <v>31</v>
      </c>
      <c r="G52" s="41">
        <v>29.033085406514491</v>
      </c>
      <c r="H52" s="36">
        <v>5.1979139950414632</v>
      </c>
      <c r="I52" s="263"/>
      <c r="J52" s="44">
        <v>23.835171411473027</v>
      </c>
      <c r="K52" s="263"/>
      <c r="L52" s="37"/>
      <c r="M52" s="260"/>
      <c r="O52" s="34" t="s">
        <v>31</v>
      </c>
      <c r="P52" s="41">
        <v>12.663076002393776</v>
      </c>
      <c r="Q52" s="103">
        <v>2.404035222706677</v>
      </c>
      <c r="R52" s="296"/>
      <c r="T52" s="34" t="s">
        <v>31</v>
      </c>
      <c r="U52" s="94">
        <v>10.259040779687099</v>
      </c>
      <c r="V52" s="260"/>
      <c r="W52" s="119"/>
      <c r="X52" s="120"/>
      <c r="Y52" s="43"/>
      <c r="AA52" s="43"/>
      <c r="AD52" s="2"/>
    </row>
    <row r="53" spans="1:30" s="7" customFormat="1" ht="137.5" customHeight="1">
      <c r="A53" s="254"/>
      <c r="B53" s="254"/>
      <c r="C53" s="257"/>
      <c r="D53" s="259"/>
      <c r="E53" s="8"/>
      <c r="F53" s="47" t="s">
        <v>32</v>
      </c>
      <c r="G53" s="48">
        <v>2.6666010199683683</v>
      </c>
      <c r="H53" s="48">
        <v>0.47741266788597408</v>
      </c>
      <c r="I53" s="264"/>
      <c r="J53" s="51">
        <v>2.1891883520823945</v>
      </c>
      <c r="K53" s="264"/>
      <c r="L53" s="49"/>
      <c r="M53" s="261"/>
      <c r="N53" s="8"/>
      <c r="O53" s="47" t="s">
        <v>32</v>
      </c>
      <c r="P53" s="48">
        <v>1.1630652034090538</v>
      </c>
      <c r="Q53" s="95">
        <v>0.22080335889726302</v>
      </c>
      <c r="R53" s="297"/>
      <c r="S53" s="8"/>
      <c r="T53" s="47" t="s">
        <v>32</v>
      </c>
      <c r="U53" s="95">
        <v>0.94226184451179085</v>
      </c>
      <c r="V53" s="261"/>
      <c r="W53" s="121"/>
      <c r="X53" s="49"/>
      <c r="Y53" s="122" t="s">
        <v>139</v>
      </c>
      <c r="Z53" s="4"/>
      <c r="AA53" s="67"/>
      <c r="AD53" s="2"/>
    </row>
    <row r="54" spans="1:30" s="21" customFormat="1" ht="60" customHeight="1">
      <c r="A54" s="254">
        <v>1</v>
      </c>
      <c r="B54" s="254" t="s">
        <v>103</v>
      </c>
      <c r="C54" s="256" t="s">
        <v>140</v>
      </c>
      <c r="D54" s="258" t="s">
        <v>141</v>
      </c>
      <c r="F54" s="34" t="s">
        <v>25</v>
      </c>
      <c r="G54" s="35">
        <v>147.30000000000001</v>
      </c>
      <c r="H54" s="107">
        <v>40</v>
      </c>
      <c r="I54" s="269" t="s">
        <v>142</v>
      </c>
      <c r="J54" s="35">
        <v>107.3</v>
      </c>
      <c r="K54" s="301" t="s">
        <v>143</v>
      </c>
      <c r="L54" s="35">
        <v>46.4</v>
      </c>
      <c r="M54" s="274" t="s">
        <v>144</v>
      </c>
      <c r="O54" s="34" t="s">
        <v>25</v>
      </c>
      <c r="P54" s="35">
        <v>103</v>
      </c>
      <c r="Q54" s="42">
        <v>38</v>
      </c>
      <c r="R54" s="262" t="s">
        <v>145</v>
      </c>
      <c r="T54" s="34" t="s">
        <v>25</v>
      </c>
      <c r="U54" s="101"/>
      <c r="V54" s="43"/>
      <c r="W54" s="42">
        <v>65</v>
      </c>
      <c r="X54" s="262" t="s">
        <v>146</v>
      </c>
      <c r="Y54" s="262" t="s">
        <v>147</v>
      </c>
      <c r="AA54" s="298"/>
      <c r="AD54" s="2"/>
    </row>
    <row r="55" spans="1:30" s="21" customFormat="1" ht="60" customHeight="1">
      <c r="A55" s="254"/>
      <c r="B55" s="254"/>
      <c r="C55" s="256"/>
      <c r="D55" s="258"/>
      <c r="F55" s="34" t="s">
        <v>31</v>
      </c>
      <c r="G55" s="36">
        <v>6.7455001538198225</v>
      </c>
      <c r="H55" s="36">
        <v>1.8317719358641744</v>
      </c>
      <c r="I55" s="270"/>
      <c r="J55" s="36">
        <v>4.9137282179556481</v>
      </c>
      <c r="K55" s="260"/>
      <c r="L55" s="36">
        <v>2.1248554456024422</v>
      </c>
      <c r="M55" s="260"/>
      <c r="O55" s="34" t="s">
        <v>31</v>
      </c>
      <c r="P55" s="36">
        <v>4.7168127348502491</v>
      </c>
      <c r="Q55" s="36">
        <v>1.7401833390709658</v>
      </c>
      <c r="R55" s="263"/>
      <c r="T55" s="34" t="s">
        <v>31</v>
      </c>
      <c r="U55" s="101"/>
      <c r="V55" s="43"/>
      <c r="W55" s="36">
        <v>2.9766293957792835</v>
      </c>
      <c r="X55" s="263"/>
      <c r="Y55" s="263"/>
      <c r="AA55" s="299"/>
      <c r="AD55" s="2"/>
    </row>
    <row r="56" spans="1:30" s="24" customFormat="1" ht="75" customHeight="1">
      <c r="A56" s="254"/>
      <c r="B56" s="254"/>
      <c r="C56" s="257"/>
      <c r="D56" s="259"/>
      <c r="F56" s="47" t="s">
        <v>32</v>
      </c>
      <c r="G56" s="48">
        <v>0.64837399345332836</v>
      </c>
      <c r="H56" s="48">
        <v>0.17606897310341571</v>
      </c>
      <c r="I56" s="271"/>
      <c r="J56" s="48">
        <v>0.47230502034991256</v>
      </c>
      <c r="K56" s="261"/>
      <c r="L56" s="48">
        <v>0.20424000879996221</v>
      </c>
      <c r="M56" s="261"/>
      <c r="O56" s="47" t="s">
        <v>32</v>
      </c>
      <c r="P56" s="48">
        <v>0.45337760574129543</v>
      </c>
      <c r="Q56" s="48">
        <v>0.16726552444824491</v>
      </c>
      <c r="R56" s="264"/>
      <c r="T56" s="47" t="s">
        <v>32</v>
      </c>
      <c r="U56" s="104"/>
      <c r="V56" s="50"/>
      <c r="W56" s="48">
        <v>0.28611208129305049</v>
      </c>
      <c r="X56" s="264"/>
      <c r="Y56" s="264"/>
      <c r="AA56" s="300"/>
      <c r="AD56" s="2"/>
    </row>
    <row r="57" spans="1:30" s="13" customFormat="1" ht="133.5" customHeight="1">
      <c r="A57" s="254">
        <v>1</v>
      </c>
      <c r="B57" s="254" t="s">
        <v>103</v>
      </c>
      <c r="C57" s="256" t="s">
        <v>148</v>
      </c>
      <c r="D57" s="258" t="s">
        <v>34</v>
      </c>
      <c r="E57" s="97"/>
      <c r="F57" s="34" t="s">
        <v>25</v>
      </c>
      <c r="G57" s="111">
        <v>2499</v>
      </c>
      <c r="H57" s="73">
        <v>232</v>
      </c>
      <c r="I57" s="262" t="s">
        <v>149</v>
      </c>
      <c r="J57" s="111">
        <v>2266</v>
      </c>
      <c r="K57" s="274" t="s">
        <v>150</v>
      </c>
      <c r="L57" s="73">
        <v>432</v>
      </c>
      <c r="M57" s="262" t="s">
        <v>151</v>
      </c>
      <c r="N57" s="97"/>
      <c r="O57" s="34" t="s">
        <v>25</v>
      </c>
      <c r="P57" s="111">
        <v>1070</v>
      </c>
      <c r="Q57" s="42">
        <v>70</v>
      </c>
      <c r="R57" s="262" t="s">
        <v>152</v>
      </c>
      <c r="S57" s="97"/>
      <c r="T57" s="34" t="s">
        <v>25</v>
      </c>
      <c r="U57" s="35">
        <v>500</v>
      </c>
      <c r="V57" s="262" t="s">
        <v>153</v>
      </c>
      <c r="W57" s="113">
        <v>500</v>
      </c>
      <c r="X57" s="274" t="s">
        <v>154</v>
      </c>
      <c r="Y57" s="38"/>
      <c r="Z57" s="97"/>
      <c r="AA57" s="38"/>
      <c r="AD57" s="2"/>
    </row>
    <row r="58" spans="1:30" s="13" customFormat="1" ht="178" customHeight="1">
      <c r="A58" s="254"/>
      <c r="B58" s="254"/>
      <c r="C58" s="256"/>
      <c r="D58" s="258"/>
      <c r="F58" s="34" t="s">
        <v>31</v>
      </c>
      <c r="G58" s="41">
        <v>34.958260620197876</v>
      </c>
      <c r="H58" s="101">
        <v>3.2454247554565456</v>
      </c>
      <c r="I58" s="263"/>
      <c r="J58" s="44">
        <v>31.698846964933328</v>
      </c>
      <c r="K58" s="260"/>
      <c r="L58" s="93">
        <v>6.0432047170570158</v>
      </c>
      <c r="M58" s="263"/>
      <c r="O58" s="34" t="s">
        <v>31</v>
      </c>
      <c r="P58" s="41">
        <v>14.968122794562516</v>
      </c>
      <c r="Q58" s="36">
        <v>0.9792229865601646</v>
      </c>
      <c r="R58" s="263"/>
      <c r="T58" s="34" t="s">
        <v>31</v>
      </c>
      <c r="U58" s="36">
        <v>6.9944499040011756</v>
      </c>
      <c r="V58" s="263"/>
      <c r="W58" s="36">
        <v>6.9944499040011756</v>
      </c>
      <c r="X58" s="260"/>
      <c r="Y58" s="43"/>
      <c r="AA58" s="43"/>
      <c r="AD58" s="2"/>
    </row>
    <row r="59" spans="1:30" ht="214.5" customHeight="1">
      <c r="A59" s="254"/>
      <c r="B59" s="254"/>
      <c r="C59" s="257"/>
      <c r="D59" s="259"/>
      <c r="E59" s="11"/>
      <c r="F59" s="34" t="s">
        <v>32</v>
      </c>
      <c r="G59" s="36">
        <v>2.3877325867408117</v>
      </c>
      <c r="H59" s="123">
        <v>0.22167025215040748</v>
      </c>
      <c r="I59" s="264"/>
      <c r="J59" s="51">
        <v>2.165106859365618</v>
      </c>
      <c r="K59" s="261"/>
      <c r="L59" s="51">
        <v>0.4127652971076553</v>
      </c>
      <c r="M59" s="264"/>
      <c r="N59" s="11"/>
      <c r="O59" s="34" t="s">
        <v>32</v>
      </c>
      <c r="P59" s="48">
        <v>1.0223584905212759</v>
      </c>
      <c r="Q59" s="48">
        <v>6.6883265735036751E-2</v>
      </c>
      <c r="R59" s="264"/>
      <c r="S59" s="11"/>
      <c r="T59" s="34" t="s">
        <v>32</v>
      </c>
      <c r="U59" s="48">
        <v>0.47773761239311957</v>
      </c>
      <c r="V59" s="264"/>
      <c r="W59" s="48">
        <v>0.47773761239311957</v>
      </c>
      <c r="X59" s="261"/>
      <c r="Y59" s="43"/>
      <c r="AA59" s="65"/>
    </row>
    <row r="60" spans="1:30" s="97" customFormat="1" ht="39.65" customHeight="1">
      <c r="A60" s="254">
        <v>1</v>
      </c>
      <c r="B60" s="254" t="s">
        <v>103</v>
      </c>
      <c r="C60" s="256" t="s">
        <v>155</v>
      </c>
      <c r="D60" s="258" t="s">
        <v>24</v>
      </c>
      <c r="F60" s="55" t="s">
        <v>25</v>
      </c>
      <c r="G60" s="72">
        <v>57.6</v>
      </c>
      <c r="H60" s="73">
        <v>47</v>
      </c>
      <c r="I60" s="262" t="s">
        <v>156</v>
      </c>
      <c r="J60" s="98">
        <v>10.6</v>
      </c>
      <c r="K60" s="262" t="s">
        <v>157</v>
      </c>
      <c r="L60" s="73">
        <v>48</v>
      </c>
      <c r="M60" s="262" t="s">
        <v>158</v>
      </c>
      <c r="O60" s="55" t="s">
        <v>25</v>
      </c>
      <c r="P60" s="58">
        <v>22</v>
      </c>
      <c r="Q60" s="112">
        <v>22</v>
      </c>
      <c r="R60" s="262" t="s">
        <v>159</v>
      </c>
      <c r="T60" s="55" t="s">
        <v>25</v>
      </c>
      <c r="U60" s="98"/>
      <c r="V60" s="38"/>
      <c r="W60" s="38"/>
      <c r="X60" s="38"/>
      <c r="Y60" s="38"/>
      <c r="AA60" s="279"/>
      <c r="AD60" s="2"/>
    </row>
    <row r="61" spans="1:30" s="13" customFormat="1" ht="50.15" customHeight="1">
      <c r="A61" s="254"/>
      <c r="B61" s="254"/>
      <c r="C61" s="256"/>
      <c r="D61" s="258"/>
      <c r="F61" s="34" t="s">
        <v>31</v>
      </c>
      <c r="G61" s="41">
        <v>15.360000000000001</v>
      </c>
      <c r="H61" s="41">
        <v>12.533333333333333</v>
      </c>
      <c r="I61" s="263"/>
      <c r="J61" s="36">
        <v>2.8266666666666667</v>
      </c>
      <c r="K61" s="263"/>
      <c r="L61" s="41">
        <v>12.8</v>
      </c>
      <c r="M61" s="263"/>
      <c r="O61" s="34" t="s">
        <v>31</v>
      </c>
      <c r="P61" s="124">
        <v>5.8666666666666663</v>
      </c>
      <c r="Q61" s="64">
        <v>5.8666666666666663</v>
      </c>
      <c r="R61" s="263"/>
      <c r="T61" s="34" t="s">
        <v>31</v>
      </c>
      <c r="U61" s="101"/>
      <c r="V61" s="43"/>
      <c r="W61" s="43"/>
      <c r="X61" s="43"/>
      <c r="Y61" s="43"/>
      <c r="AA61" s="280"/>
      <c r="AD61" s="2"/>
    </row>
    <row r="62" spans="1:30" ht="50.5" customHeight="1">
      <c r="A62" s="254"/>
      <c r="B62" s="254"/>
      <c r="C62" s="257"/>
      <c r="D62" s="259"/>
      <c r="E62" s="8"/>
      <c r="F62" s="47" t="s">
        <v>32</v>
      </c>
      <c r="G62" s="48">
        <v>2.2558482907188355</v>
      </c>
      <c r="H62" s="48">
        <v>1.8407095427740501</v>
      </c>
      <c r="I62" s="264"/>
      <c r="J62" s="48">
        <v>0.41513874794478578</v>
      </c>
      <c r="K62" s="264"/>
      <c r="L62" s="48">
        <v>1.8798735755990299</v>
      </c>
      <c r="M62" s="264"/>
      <c r="N62" s="8"/>
      <c r="O62" s="47" t="s">
        <v>32</v>
      </c>
      <c r="P62" s="66">
        <v>0.8616087221495552</v>
      </c>
      <c r="Q62" s="52">
        <v>0.8616087221495552</v>
      </c>
      <c r="R62" s="264"/>
      <c r="S62" s="8"/>
      <c r="T62" s="47" t="s">
        <v>32</v>
      </c>
      <c r="U62" s="48"/>
      <c r="V62" s="50"/>
      <c r="W62" s="50"/>
      <c r="X62" s="50"/>
      <c r="Y62" s="50"/>
      <c r="Z62" s="4"/>
      <c r="AA62" s="67"/>
    </row>
    <row r="63" spans="1:30" s="13" customFormat="1" ht="96" customHeight="1">
      <c r="A63" s="254">
        <v>1</v>
      </c>
      <c r="B63" s="254" t="s">
        <v>103</v>
      </c>
      <c r="C63" s="256" t="s">
        <v>160</v>
      </c>
      <c r="D63" s="258" t="s">
        <v>24</v>
      </c>
      <c r="E63" s="97"/>
      <c r="F63" s="34" t="s">
        <v>25</v>
      </c>
      <c r="G63" s="72">
        <v>256</v>
      </c>
      <c r="H63" s="72">
        <v>20</v>
      </c>
      <c r="I63" s="262" t="s">
        <v>161</v>
      </c>
      <c r="J63" s="72">
        <v>236</v>
      </c>
      <c r="K63" s="274" t="s">
        <v>162</v>
      </c>
      <c r="L63" s="72">
        <v>44</v>
      </c>
      <c r="M63" s="274" t="s">
        <v>163</v>
      </c>
      <c r="N63" s="97"/>
      <c r="O63" s="34" t="s">
        <v>25</v>
      </c>
      <c r="P63" s="72">
        <v>203</v>
      </c>
      <c r="Q63" s="112"/>
      <c r="R63" s="262"/>
      <c r="S63" s="97"/>
      <c r="T63" s="34" t="s">
        <v>25</v>
      </c>
      <c r="U63" s="72">
        <v>200</v>
      </c>
      <c r="V63" s="274" t="s">
        <v>164</v>
      </c>
      <c r="W63" s="98">
        <v>3</v>
      </c>
      <c r="X63" s="274" t="s">
        <v>165</v>
      </c>
      <c r="Y63" s="38"/>
      <c r="Z63" s="97"/>
      <c r="AA63" s="38"/>
      <c r="AD63" s="2"/>
    </row>
    <row r="64" spans="1:30" s="13" customFormat="1" ht="110.15" customHeight="1">
      <c r="A64" s="254"/>
      <c r="B64" s="254"/>
      <c r="C64" s="256"/>
      <c r="D64" s="258"/>
      <c r="F64" s="34" t="s">
        <v>31</v>
      </c>
      <c r="G64" s="41">
        <v>14.970760233918128</v>
      </c>
      <c r="H64" s="36">
        <v>1.1695906432748537</v>
      </c>
      <c r="I64" s="263"/>
      <c r="J64" s="44">
        <v>13.801169590643275</v>
      </c>
      <c r="K64" s="260"/>
      <c r="L64" s="93">
        <v>2.5730994152046782</v>
      </c>
      <c r="M64" s="260"/>
      <c r="O64" s="34" t="s">
        <v>31</v>
      </c>
      <c r="P64" s="35">
        <v>11.871345029239764</v>
      </c>
      <c r="Q64" s="64"/>
      <c r="R64" s="263"/>
      <c r="T64" s="34" t="s">
        <v>31</v>
      </c>
      <c r="U64" s="35">
        <v>11.695906432748536</v>
      </c>
      <c r="V64" s="260"/>
      <c r="W64" s="101">
        <v>0.17543859649122806</v>
      </c>
      <c r="X64" s="260"/>
      <c r="Y64" s="43"/>
      <c r="AA64" s="43"/>
      <c r="AD64" s="2"/>
    </row>
    <row r="65" spans="1:30" ht="98.5" customHeight="1">
      <c r="A65" s="254"/>
      <c r="B65" s="254"/>
      <c r="C65" s="257"/>
      <c r="D65" s="259"/>
      <c r="E65" s="8"/>
      <c r="F65" s="47" t="s">
        <v>32</v>
      </c>
      <c r="G65" s="48">
        <v>5.297724629200613</v>
      </c>
      <c r="H65" s="48">
        <v>0.41388473665629788</v>
      </c>
      <c r="I65" s="264"/>
      <c r="J65" s="51">
        <v>4.8838398925443158</v>
      </c>
      <c r="K65" s="261"/>
      <c r="L65" s="51">
        <v>0.91054642064385538</v>
      </c>
      <c r="M65" s="261"/>
      <c r="N65" s="8"/>
      <c r="O65" s="47" t="s">
        <v>32</v>
      </c>
      <c r="P65" s="48">
        <v>4.314285963054207</v>
      </c>
      <c r="Q65" s="52"/>
      <c r="R65" s="264"/>
      <c r="S65" s="8"/>
      <c r="T65" s="47" t="s">
        <v>32</v>
      </c>
      <c r="U65" s="48">
        <v>4.1388473665629792</v>
      </c>
      <c r="V65" s="261"/>
      <c r="W65" s="104">
        <v>6.2082710498444695E-2</v>
      </c>
      <c r="X65" s="261"/>
      <c r="Y65" s="50"/>
      <c r="Z65" s="4"/>
      <c r="AA65" s="67"/>
    </row>
    <row r="66" spans="1:30" s="21" customFormat="1" ht="110.15" customHeight="1">
      <c r="A66" s="254">
        <v>1</v>
      </c>
      <c r="B66" s="254" t="s">
        <v>103</v>
      </c>
      <c r="C66" s="256" t="s">
        <v>166</v>
      </c>
      <c r="D66" s="258" t="s">
        <v>141</v>
      </c>
      <c r="E66" s="14"/>
      <c r="F66" s="34" t="s">
        <v>25</v>
      </c>
      <c r="G66" s="72">
        <v>33.9</v>
      </c>
      <c r="H66" s="73">
        <v>13.5</v>
      </c>
      <c r="I66" s="274" t="s">
        <v>167</v>
      </c>
      <c r="J66" s="125">
        <v>20.399999999999999</v>
      </c>
      <c r="K66" s="274" t="s">
        <v>168</v>
      </c>
      <c r="L66" s="125">
        <v>66.5</v>
      </c>
      <c r="M66" s="274" t="s">
        <v>169</v>
      </c>
      <c r="N66" s="14"/>
      <c r="O66" s="34" t="s">
        <v>25</v>
      </c>
      <c r="P66" s="72">
        <v>583.6</v>
      </c>
      <c r="Q66" s="112">
        <v>20</v>
      </c>
      <c r="R66" s="262" t="s">
        <v>170</v>
      </c>
      <c r="S66" s="14"/>
      <c r="T66" s="34" t="s">
        <v>25</v>
      </c>
      <c r="U66" s="72">
        <v>457.7</v>
      </c>
      <c r="V66" s="262" t="s">
        <v>171</v>
      </c>
      <c r="W66" s="72">
        <v>105.9</v>
      </c>
      <c r="X66" s="262" t="s">
        <v>172</v>
      </c>
      <c r="Y66" s="38"/>
      <c r="Z66" s="14"/>
      <c r="AA66" s="38"/>
      <c r="AD66" s="2"/>
    </row>
    <row r="67" spans="1:30" s="21" customFormat="1" ht="110.15" customHeight="1">
      <c r="A67" s="254"/>
      <c r="B67" s="254"/>
      <c r="C67" s="256"/>
      <c r="D67" s="258"/>
      <c r="F67" s="34" t="s">
        <v>31</v>
      </c>
      <c r="G67" s="36">
        <v>4.9034694285941081</v>
      </c>
      <c r="H67" s="101">
        <v>1.9527090644843794</v>
      </c>
      <c r="I67" s="260"/>
      <c r="J67" s="93">
        <v>2.9507603641097289</v>
      </c>
      <c r="K67" s="260"/>
      <c r="L67" s="93">
        <v>9.6189002065341658</v>
      </c>
      <c r="M67" s="260"/>
      <c r="O67" s="34" t="s">
        <v>31</v>
      </c>
      <c r="P67" s="44">
        <v>84.414889632080289</v>
      </c>
      <c r="Q67" s="93">
        <v>2.8929023177546362</v>
      </c>
      <c r="R67" s="263"/>
      <c r="T67" s="34" t="s">
        <v>31</v>
      </c>
      <c r="U67" s="41">
        <v>66.204069541814846</v>
      </c>
      <c r="V67" s="263"/>
      <c r="W67" s="41">
        <v>15.3179177725108</v>
      </c>
      <c r="X67" s="263"/>
      <c r="Y67" s="43"/>
      <c r="AA67" s="43"/>
      <c r="AD67" s="2"/>
    </row>
    <row r="68" spans="1:30" ht="110.15" customHeight="1">
      <c r="A68" s="254"/>
      <c r="B68" s="254"/>
      <c r="C68" s="257"/>
      <c r="D68" s="259"/>
      <c r="E68" s="8"/>
      <c r="F68" s="47" t="s">
        <v>32</v>
      </c>
      <c r="G68" s="48">
        <v>0.75503484764120432</v>
      </c>
      <c r="H68" s="126">
        <v>0.3006775941933999</v>
      </c>
      <c r="I68" s="261"/>
      <c r="J68" s="51">
        <v>0.45435725344780437</v>
      </c>
      <c r="K68" s="261"/>
      <c r="L68" s="51">
        <v>1.4811155565823033</v>
      </c>
      <c r="M68" s="261"/>
      <c r="N68" s="8"/>
      <c r="O68" s="47" t="s">
        <v>32</v>
      </c>
      <c r="P68" s="51">
        <v>12.998181034908757</v>
      </c>
      <c r="Q68" s="51">
        <v>0.4454482876939258</v>
      </c>
      <c r="R68" s="264"/>
      <c r="S68" s="8"/>
      <c r="T68" s="47" t="s">
        <v>32</v>
      </c>
      <c r="U68" s="48">
        <v>10.194084063875493</v>
      </c>
      <c r="V68" s="264"/>
      <c r="W68" s="48">
        <v>2.3586486833393376</v>
      </c>
      <c r="X68" s="264"/>
      <c r="Y68" s="50"/>
      <c r="Z68" s="4"/>
      <c r="AA68" s="67"/>
    </row>
    <row r="69" spans="1:30" ht="66" customHeight="1">
      <c r="A69" s="254">
        <v>0</v>
      </c>
      <c r="B69" s="254" t="s">
        <v>22</v>
      </c>
      <c r="C69" s="256" t="s">
        <v>173</v>
      </c>
      <c r="D69" s="258" t="s">
        <v>24</v>
      </c>
      <c r="F69" s="34" t="s">
        <v>25</v>
      </c>
      <c r="G69" s="41">
        <v>17.399999999999999</v>
      </c>
      <c r="H69" s="36">
        <v>3.3</v>
      </c>
      <c r="I69" s="302" t="s">
        <v>174</v>
      </c>
      <c r="J69" s="41">
        <v>14.1</v>
      </c>
      <c r="K69" s="274" t="s">
        <v>175</v>
      </c>
      <c r="L69" s="41">
        <v>16.100000000000001</v>
      </c>
      <c r="M69" s="262" t="s">
        <v>176</v>
      </c>
      <c r="O69" s="34" t="s">
        <v>25</v>
      </c>
      <c r="P69" s="58">
        <v>53.1</v>
      </c>
      <c r="Q69" s="64">
        <v>1.1000000000000001</v>
      </c>
      <c r="R69" s="274" t="s">
        <v>177</v>
      </c>
      <c r="T69" s="34" t="s">
        <v>25</v>
      </c>
      <c r="U69" s="41">
        <v>52</v>
      </c>
      <c r="V69" s="262" t="s">
        <v>178</v>
      </c>
      <c r="W69" s="83"/>
      <c r="X69" s="83"/>
    </row>
    <row r="70" spans="1:30" ht="99.65" customHeight="1">
      <c r="A70" s="254"/>
      <c r="B70" s="254"/>
      <c r="C70" s="256"/>
      <c r="D70" s="258"/>
      <c r="F70" s="34" t="s">
        <v>31</v>
      </c>
      <c r="G70" s="41">
        <v>19.891008319840545</v>
      </c>
      <c r="H70" s="36">
        <v>3.7724326123835521</v>
      </c>
      <c r="I70" s="263"/>
      <c r="J70" s="41">
        <v>16.118575707456994</v>
      </c>
      <c r="K70" s="260"/>
      <c r="L70" s="41">
        <v>18.404898502840968</v>
      </c>
      <c r="M70" s="263"/>
      <c r="O70" s="34" t="s">
        <v>31</v>
      </c>
      <c r="P70" s="63">
        <v>60.70187021744443</v>
      </c>
      <c r="Q70" s="36">
        <v>1.2574775374611842</v>
      </c>
      <c r="R70" s="260"/>
      <c r="T70" s="34" t="s">
        <v>31</v>
      </c>
      <c r="U70" s="41">
        <v>59.444392679983245</v>
      </c>
      <c r="V70" s="263"/>
      <c r="W70" s="83"/>
      <c r="X70" s="83"/>
    </row>
    <row r="71" spans="1:30" ht="219.65" customHeight="1">
      <c r="A71" s="254"/>
      <c r="B71" s="254"/>
      <c r="C71" s="257"/>
      <c r="D71" s="259"/>
      <c r="F71" s="47" t="s">
        <v>32</v>
      </c>
      <c r="G71" s="48">
        <v>3.9512038194875769</v>
      </c>
      <c r="H71" s="48">
        <v>0.7493662416269542</v>
      </c>
      <c r="I71" s="264"/>
      <c r="J71" s="48">
        <v>3.2018375778606232</v>
      </c>
      <c r="K71" s="261"/>
      <c r="L71" s="48">
        <v>3.6559989364224137</v>
      </c>
      <c r="M71" s="264"/>
      <c r="O71" s="47" t="s">
        <v>32</v>
      </c>
      <c r="P71" s="66">
        <v>12.057984069815536</v>
      </c>
      <c r="Q71" s="48">
        <v>0.24978874720898481</v>
      </c>
      <c r="R71" s="261"/>
      <c r="T71" s="47" t="s">
        <v>32</v>
      </c>
      <c r="U71" s="48">
        <v>11.808195322606551</v>
      </c>
      <c r="V71" s="264"/>
      <c r="W71" s="83"/>
      <c r="X71" s="83"/>
    </row>
    <row r="72" spans="1:30" ht="159.65" customHeight="1">
      <c r="A72" s="254">
        <v>0</v>
      </c>
      <c r="B72" s="254" t="s">
        <v>22</v>
      </c>
      <c r="C72" s="256" t="s">
        <v>179</v>
      </c>
      <c r="D72" s="258" t="s">
        <v>24</v>
      </c>
      <c r="E72" s="60"/>
      <c r="F72" s="34" t="s">
        <v>25</v>
      </c>
      <c r="G72" s="72">
        <v>243.5</v>
      </c>
      <c r="H72" s="127">
        <v>58.3</v>
      </c>
      <c r="I72" s="274" t="s">
        <v>180</v>
      </c>
      <c r="J72" s="128">
        <v>185.2</v>
      </c>
      <c r="K72" s="274" t="s">
        <v>181</v>
      </c>
      <c r="L72" s="128">
        <v>36.6</v>
      </c>
      <c r="M72" s="305" t="s">
        <v>182</v>
      </c>
      <c r="N72" s="14"/>
      <c r="O72" s="34" t="s">
        <v>25</v>
      </c>
      <c r="P72" s="58">
        <v>861</v>
      </c>
      <c r="Q72" s="100">
        <v>1</v>
      </c>
      <c r="R72" s="274" t="s">
        <v>183</v>
      </c>
      <c r="S72" s="14"/>
      <c r="T72" s="34" t="s">
        <v>25</v>
      </c>
      <c r="U72" s="72">
        <v>860</v>
      </c>
      <c r="V72" s="262" t="s">
        <v>184</v>
      </c>
      <c r="W72" s="72"/>
      <c r="X72" s="262"/>
    </row>
    <row r="73" spans="1:30" ht="182.15" customHeight="1">
      <c r="A73" s="254"/>
      <c r="B73" s="254"/>
      <c r="C73" s="256"/>
      <c r="D73" s="258"/>
      <c r="F73" s="34" t="s">
        <v>31</v>
      </c>
      <c r="G73" s="41">
        <v>10.57333900038998</v>
      </c>
      <c r="H73" s="101">
        <v>2.5315222329475802</v>
      </c>
      <c r="I73" s="260"/>
      <c r="J73" s="36">
        <v>8.0418167674423984</v>
      </c>
      <c r="K73" s="260"/>
      <c r="L73" s="36">
        <v>1.5892575253152907</v>
      </c>
      <c r="M73" s="260"/>
      <c r="N73" s="21"/>
      <c r="O73" s="34" t="s">
        <v>31</v>
      </c>
      <c r="P73" s="63">
        <v>37.38663194799085</v>
      </c>
      <c r="Q73" s="129">
        <v>4.3422336757248381E-2</v>
      </c>
      <c r="R73" s="260"/>
      <c r="S73" s="21"/>
      <c r="T73" s="34" t="s">
        <v>31</v>
      </c>
      <c r="U73" s="41">
        <v>37.343209611233604</v>
      </c>
      <c r="V73" s="263"/>
      <c r="W73" s="36"/>
      <c r="X73" s="263"/>
    </row>
    <row r="74" spans="1:30" ht="282" customHeight="1">
      <c r="A74" s="254"/>
      <c r="B74" s="254"/>
      <c r="C74" s="257"/>
      <c r="D74" s="259"/>
      <c r="F74" s="47" t="s">
        <v>32</v>
      </c>
      <c r="G74" s="48">
        <v>4.369599567066393</v>
      </c>
      <c r="H74" s="104">
        <v>1.0461916006569638</v>
      </c>
      <c r="I74" s="261"/>
      <c r="J74" s="48">
        <v>3.3234079664094285</v>
      </c>
      <c r="K74" s="261"/>
      <c r="L74" s="48">
        <v>0.65678580761655025</v>
      </c>
      <c r="M74" s="261"/>
      <c r="N74" s="8"/>
      <c r="O74" s="47" t="s">
        <v>32</v>
      </c>
      <c r="P74" s="66">
        <v>15.450616949668026</v>
      </c>
      <c r="Q74" s="52">
        <v>1.794496742121722E-2</v>
      </c>
      <c r="R74" s="261"/>
      <c r="S74" s="8"/>
      <c r="T74" s="47" t="s">
        <v>32</v>
      </c>
      <c r="U74" s="48">
        <v>15.432671982246809</v>
      </c>
      <c r="V74" s="264"/>
      <c r="W74" s="48"/>
      <c r="X74" s="264"/>
    </row>
    <row r="75" spans="1:30" s="13" customFormat="1" ht="57.65" customHeight="1">
      <c r="A75" s="254">
        <v>0</v>
      </c>
      <c r="B75" s="254" t="s">
        <v>22</v>
      </c>
      <c r="C75" s="256" t="s">
        <v>185</v>
      </c>
      <c r="D75" s="258" t="s">
        <v>24</v>
      </c>
      <c r="E75" s="97"/>
      <c r="F75" s="34" t="s">
        <v>25</v>
      </c>
      <c r="G75" s="101">
        <v>131.4</v>
      </c>
      <c r="H75" s="107">
        <v>0.8</v>
      </c>
      <c r="I75" s="270" t="s">
        <v>186</v>
      </c>
      <c r="J75" s="35">
        <v>130.6</v>
      </c>
      <c r="K75" s="274" t="s">
        <v>187</v>
      </c>
      <c r="L75" s="35">
        <v>175.4</v>
      </c>
      <c r="M75" s="263" t="s">
        <v>188</v>
      </c>
      <c r="O75" s="34" t="s">
        <v>25</v>
      </c>
      <c r="P75" s="58">
        <v>201.20000000000002</v>
      </c>
      <c r="Q75" s="42">
        <v>58.9</v>
      </c>
      <c r="R75" s="263" t="s">
        <v>189</v>
      </c>
      <c r="T75" s="34" t="s">
        <v>25</v>
      </c>
      <c r="U75" s="35">
        <v>142.30000000000001</v>
      </c>
      <c r="V75" s="263" t="s">
        <v>190</v>
      </c>
      <c r="W75" s="43"/>
      <c r="X75" s="43"/>
      <c r="Y75" s="263" t="s">
        <v>191</v>
      </c>
      <c r="AA75" s="130"/>
      <c r="AD75" s="2"/>
    </row>
    <row r="76" spans="1:30" ht="104.15" customHeight="1">
      <c r="A76" s="254"/>
      <c r="B76" s="254"/>
      <c r="C76" s="256"/>
      <c r="D76" s="258"/>
      <c r="E76" s="11"/>
      <c r="F76" s="34" t="s">
        <v>31</v>
      </c>
      <c r="G76" s="41">
        <v>20.044411427789434</v>
      </c>
      <c r="H76" s="123">
        <v>0.12203599042794176</v>
      </c>
      <c r="I76" s="270"/>
      <c r="J76" s="41">
        <v>19.922375437361492</v>
      </c>
      <c r="K76" s="260"/>
      <c r="L76" s="41">
        <v>26.756390901326231</v>
      </c>
      <c r="M76" s="263"/>
      <c r="N76" s="11"/>
      <c r="O76" s="34" t="s">
        <v>31</v>
      </c>
      <c r="P76" s="63">
        <v>30.692051592627351</v>
      </c>
      <c r="Q76" s="64">
        <v>8.9848997952572116</v>
      </c>
      <c r="R76" s="303"/>
      <c r="S76" s="11"/>
      <c r="T76" s="34" t="s">
        <v>31</v>
      </c>
      <c r="U76" s="41">
        <v>21.707151797370141</v>
      </c>
      <c r="V76" s="263"/>
      <c r="W76" s="43"/>
      <c r="X76" s="43"/>
      <c r="Y76" s="263"/>
      <c r="AA76" s="130"/>
    </row>
    <row r="77" spans="1:30" ht="175" customHeight="1">
      <c r="A77" s="254"/>
      <c r="B77" s="254"/>
      <c r="C77" s="257"/>
      <c r="D77" s="259"/>
      <c r="E77" s="11"/>
      <c r="F77" s="34" t="s">
        <v>32</v>
      </c>
      <c r="G77" s="36">
        <v>5.9019042372106707</v>
      </c>
      <c r="H77" s="123">
        <v>3.5932445888649439E-2</v>
      </c>
      <c r="I77" s="271"/>
      <c r="J77" s="48">
        <v>5.8659717913220204</v>
      </c>
      <c r="K77" s="261"/>
      <c r="L77" s="48">
        <v>7.8781887610863892</v>
      </c>
      <c r="M77" s="264"/>
      <c r="N77" s="11"/>
      <c r="O77" s="34" t="s">
        <v>32</v>
      </c>
      <c r="P77" s="66">
        <v>9.037010140995335</v>
      </c>
      <c r="Q77" s="64">
        <v>2.6455263285518149</v>
      </c>
      <c r="R77" s="304"/>
      <c r="S77" s="11"/>
      <c r="T77" s="34" t="s">
        <v>32</v>
      </c>
      <c r="U77" s="36">
        <v>6.3914838124435196</v>
      </c>
      <c r="V77" s="264"/>
      <c r="W77" s="43"/>
      <c r="X77" s="43"/>
      <c r="Y77" s="264"/>
      <c r="AA77" s="130"/>
    </row>
    <row r="78" spans="1:30" s="60" customFormat="1" ht="50.15" customHeight="1">
      <c r="A78" s="254">
        <v>0</v>
      </c>
      <c r="B78" s="254" t="s">
        <v>22</v>
      </c>
      <c r="C78" s="256" t="s">
        <v>192</v>
      </c>
      <c r="D78" s="258" t="s">
        <v>24</v>
      </c>
      <c r="F78" s="55" t="s">
        <v>25</v>
      </c>
      <c r="G78" s="98">
        <v>6</v>
      </c>
      <c r="H78" s="98">
        <v>1.3</v>
      </c>
      <c r="I78" s="262" t="s">
        <v>193</v>
      </c>
      <c r="J78" s="131">
        <v>4.7</v>
      </c>
      <c r="K78" s="262" t="s">
        <v>194</v>
      </c>
      <c r="L78" s="132">
        <v>4.3</v>
      </c>
      <c r="M78" s="269" t="s">
        <v>195</v>
      </c>
      <c r="O78" s="55" t="s">
        <v>25</v>
      </c>
      <c r="P78" s="58">
        <v>16.32</v>
      </c>
      <c r="Q78" s="59">
        <v>2.42</v>
      </c>
      <c r="R78" s="274" t="s">
        <v>196</v>
      </c>
      <c r="T78" s="55" t="s">
        <v>25</v>
      </c>
      <c r="U78" s="133">
        <v>12.9</v>
      </c>
      <c r="V78" s="262" t="s">
        <v>197</v>
      </c>
      <c r="W78" s="98">
        <v>1</v>
      </c>
      <c r="X78" s="262" t="s">
        <v>198</v>
      </c>
      <c r="Y78" s="262" t="s">
        <v>199</v>
      </c>
      <c r="AA78" s="134"/>
      <c r="AD78" s="2"/>
    </row>
    <row r="79" spans="1:30" s="12" customFormat="1" ht="72" customHeight="1">
      <c r="A79" s="254"/>
      <c r="B79" s="254"/>
      <c r="C79" s="256"/>
      <c r="D79" s="258"/>
      <c r="F79" s="34" t="s">
        <v>31</v>
      </c>
      <c r="G79" s="36">
        <v>6.8589683861519131</v>
      </c>
      <c r="H79" s="36">
        <v>1.4861098169995812</v>
      </c>
      <c r="I79" s="303"/>
      <c r="J79" s="36">
        <v>5.3728585691523323</v>
      </c>
      <c r="K79" s="263"/>
      <c r="L79" s="76">
        <v>4.9155940100755373</v>
      </c>
      <c r="M79" s="270"/>
      <c r="O79" s="34" t="s">
        <v>31</v>
      </c>
      <c r="P79" s="63">
        <v>18.656394010333205</v>
      </c>
      <c r="Q79" s="64">
        <v>2.7664505824146048</v>
      </c>
      <c r="R79" s="260"/>
      <c r="T79" s="34" t="s">
        <v>31</v>
      </c>
      <c r="U79" s="41">
        <v>14.746782030226614</v>
      </c>
      <c r="V79" s="263"/>
      <c r="W79" s="101">
        <v>1.1431613976919854</v>
      </c>
      <c r="X79" s="263"/>
      <c r="Y79" s="264"/>
      <c r="AA79" s="135"/>
      <c r="AD79" s="2"/>
    </row>
    <row r="80" spans="1:30" ht="117.65" customHeight="1">
      <c r="A80" s="254"/>
      <c r="B80" s="254"/>
      <c r="C80" s="257"/>
      <c r="D80" s="259"/>
      <c r="E80" s="8"/>
      <c r="F80" s="47" t="s">
        <v>32</v>
      </c>
      <c r="G80" s="48">
        <v>2.5606950130084316</v>
      </c>
      <c r="H80" s="48">
        <v>0.55481725281849348</v>
      </c>
      <c r="I80" s="304"/>
      <c r="J80" s="48">
        <v>2.005877760189938</v>
      </c>
      <c r="K80" s="264"/>
      <c r="L80" s="78">
        <v>1.8351647593227092</v>
      </c>
      <c r="M80" s="271"/>
      <c r="N80" s="8"/>
      <c r="O80" s="47" t="s">
        <v>32</v>
      </c>
      <c r="P80" s="66">
        <v>6.9650904353829333</v>
      </c>
      <c r="Q80" s="52">
        <v>1.032813655246734</v>
      </c>
      <c r="R80" s="261"/>
      <c r="S80" s="8"/>
      <c r="T80" s="47" t="s">
        <v>32</v>
      </c>
      <c r="U80" s="48">
        <v>5.5054942779681273</v>
      </c>
      <c r="V80" s="264"/>
      <c r="W80" s="104">
        <v>0.4267825021680719</v>
      </c>
      <c r="X80" s="264"/>
      <c r="Y80" s="57" t="s">
        <v>200</v>
      </c>
      <c r="Z80" s="4"/>
      <c r="AA80" s="136"/>
    </row>
    <row r="81" spans="1:30" ht="105" customHeight="1">
      <c r="A81" s="254">
        <v>0</v>
      </c>
      <c r="B81" s="254" t="s">
        <v>22</v>
      </c>
      <c r="C81" s="256" t="s">
        <v>201</v>
      </c>
      <c r="D81" s="286" t="s">
        <v>24</v>
      </c>
      <c r="E81" s="14"/>
      <c r="F81" s="55" t="s">
        <v>25</v>
      </c>
      <c r="G81" s="72">
        <v>35.6</v>
      </c>
      <c r="H81" s="36">
        <v>3.7</v>
      </c>
      <c r="I81" s="262" t="s">
        <v>202</v>
      </c>
      <c r="J81" s="72">
        <v>31.900000000000002</v>
      </c>
      <c r="K81" s="262" t="s">
        <v>203</v>
      </c>
      <c r="L81" s="72">
        <v>27</v>
      </c>
      <c r="M81" s="262" t="s">
        <v>204</v>
      </c>
      <c r="N81" s="14"/>
      <c r="O81" s="34" t="s">
        <v>25</v>
      </c>
      <c r="P81" s="72">
        <v>33</v>
      </c>
      <c r="Q81" s="100"/>
      <c r="R81" s="262"/>
      <c r="S81" s="14"/>
      <c r="T81" s="34" t="s">
        <v>25</v>
      </c>
      <c r="U81" s="72">
        <v>33</v>
      </c>
      <c r="V81" s="262" t="s">
        <v>205</v>
      </c>
      <c r="W81" s="38"/>
      <c r="X81" s="38"/>
      <c r="Y81" s="262" t="s">
        <v>206</v>
      </c>
      <c r="Z81" s="14"/>
      <c r="AA81" s="279"/>
    </row>
    <row r="82" spans="1:30" ht="101.5" customHeight="1">
      <c r="A82" s="254"/>
      <c r="B82" s="254"/>
      <c r="C82" s="256"/>
      <c r="D82" s="258"/>
      <c r="E82" s="21"/>
      <c r="F82" s="34" t="s">
        <v>31</v>
      </c>
      <c r="G82" s="41">
        <v>40.696545757834684</v>
      </c>
      <c r="H82" s="36">
        <v>4.2296971714603462</v>
      </c>
      <c r="I82" s="303"/>
      <c r="J82" s="41">
        <v>36.46684858637434</v>
      </c>
      <c r="K82" s="263"/>
      <c r="L82" s="41">
        <v>30.86535773768361</v>
      </c>
      <c r="M82" s="263"/>
      <c r="N82" s="21"/>
      <c r="O82" s="34" t="s">
        <v>31</v>
      </c>
      <c r="P82" s="35">
        <v>37.724326123835517</v>
      </c>
      <c r="Q82" s="129"/>
      <c r="R82" s="263"/>
      <c r="S82" s="21"/>
      <c r="T82" s="34" t="s">
        <v>31</v>
      </c>
      <c r="U82" s="35">
        <v>37.724326123835517</v>
      </c>
      <c r="V82" s="263"/>
      <c r="W82" s="43"/>
      <c r="X82" s="43"/>
      <c r="Y82" s="263"/>
      <c r="Z82" s="21"/>
      <c r="AA82" s="280"/>
    </row>
    <row r="83" spans="1:30" ht="145" customHeight="1">
      <c r="A83" s="254"/>
      <c r="B83" s="254"/>
      <c r="C83" s="257"/>
      <c r="D83" s="259"/>
      <c r="E83" s="8"/>
      <c r="F83" s="47" t="s">
        <v>32</v>
      </c>
      <c r="G83" s="48">
        <v>4.5915307890024515</v>
      </c>
      <c r="H83" s="48">
        <v>0.47720966065474918</v>
      </c>
      <c r="I83" s="304"/>
      <c r="J83" s="48">
        <v>4.1143211283477026</v>
      </c>
      <c r="K83" s="264"/>
      <c r="L83" s="48">
        <v>3.482340766940061</v>
      </c>
      <c r="M83" s="264"/>
      <c r="N83" s="8"/>
      <c r="O83" s="47" t="s">
        <v>32</v>
      </c>
      <c r="P83" s="48">
        <v>4.2561942707045199</v>
      </c>
      <c r="Q83" s="52"/>
      <c r="R83" s="264"/>
      <c r="S83" s="8"/>
      <c r="T83" s="47" t="s">
        <v>32</v>
      </c>
      <c r="U83" s="104">
        <v>4.2561942707045199</v>
      </c>
      <c r="V83" s="264"/>
      <c r="W83" s="50"/>
      <c r="X83" s="50"/>
      <c r="Y83" s="264"/>
      <c r="Z83" s="4"/>
      <c r="AA83" s="281"/>
    </row>
    <row r="84" spans="1:30" ht="130" customHeight="1">
      <c r="A84" s="254">
        <v>0</v>
      </c>
      <c r="B84" s="254" t="s">
        <v>22</v>
      </c>
      <c r="C84" s="256" t="s">
        <v>207</v>
      </c>
      <c r="D84" s="258" t="s">
        <v>34</v>
      </c>
      <c r="E84" s="14"/>
      <c r="F84" s="55" t="s">
        <v>25</v>
      </c>
      <c r="G84" s="41">
        <v>58.5</v>
      </c>
      <c r="H84" s="40">
        <v>0.8</v>
      </c>
      <c r="I84" s="262" t="s">
        <v>208</v>
      </c>
      <c r="J84" s="109">
        <v>57.7</v>
      </c>
      <c r="K84" s="305" t="s">
        <v>209</v>
      </c>
      <c r="L84" s="137"/>
      <c r="M84" s="137"/>
      <c r="N84" s="11"/>
      <c r="O84" s="34" t="s">
        <v>25</v>
      </c>
      <c r="P84" s="72">
        <v>12.35</v>
      </c>
      <c r="Q84" s="138">
        <v>6.1</v>
      </c>
      <c r="R84" s="274" t="s">
        <v>210</v>
      </c>
      <c r="S84" s="11"/>
      <c r="T84" s="34" t="s">
        <v>25</v>
      </c>
      <c r="U84" s="101">
        <v>6.25</v>
      </c>
      <c r="V84" s="274" t="s">
        <v>211</v>
      </c>
      <c r="W84" s="43"/>
      <c r="X84" s="306"/>
      <c r="Y84" s="43"/>
      <c r="AA84" s="65"/>
    </row>
    <row r="85" spans="1:30" ht="131.5" customHeight="1">
      <c r="A85" s="254"/>
      <c r="B85" s="254"/>
      <c r="C85" s="256"/>
      <c r="D85" s="258"/>
      <c r="E85" s="21"/>
      <c r="F85" s="34" t="s">
        <v>31</v>
      </c>
      <c r="G85" s="41">
        <v>37.647910645019202</v>
      </c>
      <c r="H85" s="36">
        <v>0.51484322249598913</v>
      </c>
      <c r="I85" s="303"/>
      <c r="J85" s="41">
        <v>37.133067422523219</v>
      </c>
      <c r="K85" s="260"/>
      <c r="L85" s="137"/>
      <c r="M85" s="137"/>
      <c r="N85" s="11"/>
      <c r="O85" s="34" t="s">
        <v>31</v>
      </c>
      <c r="P85" s="101">
        <v>7.9478922472818319</v>
      </c>
      <c r="Q85" s="36">
        <v>3.9256795715319166</v>
      </c>
      <c r="R85" s="260"/>
      <c r="S85" s="11"/>
      <c r="T85" s="34" t="s">
        <v>31</v>
      </c>
      <c r="U85" s="36">
        <v>4.0222126757499153</v>
      </c>
      <c r="V85" s="260"/>
      <c r="W85" s="43"/>
      <c r="X85" s="307"/>
      <c r="Y85" s="43"/>
      <c r="AA85" s="65"/>
    </row>
    <row r="86" spans="1:30" ht="111.65" customHeight="1">
      <c r="A86" s="254"/>
      <c r="B86" s="254"/>
      <c r="C86" s="257"/>
      <c r="D86" s="259"/>
      <c r="E86" s="8"/>
      <c r="F86" s="47" t="s">
        <v>32</v>
      </c>
      <c r="G86" s="48">
        <v>19.45175078775047</v>
      </c>
      <c r="H86" s="48">
        <v>0.26600684837949368</v>
      </c>
      <c r="I86" s="304"/>
      <c r="J86" s="48">
        <v>19.18574393937098</v>
      </c>
      <c r="K86" s="261"/>
      <c r="L86" s="137"/>
      <c r="M86" s="137"/>
      <c r="N86" s="11"/>
      <c r="O86" s="47" t="s">
        <v>32</v>
      </c>
      <c r="P86" s="48">
        <v>4.1064807218584329</v>
      </c>
      <c r="Q86" s="48">
        <v>2.0283022188936388</v>
      </c>
      <c r="R86" s="261"/>
      <c r="S86" s="11"/>
      <c r="T86" s="47" t="s">
        <v>32</v>
      </c>
      <c r="U86" s="48">
        <v>2.0781785029647941</v>
      </c>
      <c r="V86" s="261"/>
      <c r="W86" s="43"/>
      <c r="X86" s="308"/>
      <c r="Y86" s="43"/>
      <c r="AA86" s="65"/>
    </row>
    <row r="87" spans="1:30" s="21" customFormat="1" ht="93" customHeight="1">
      <c r="A87" s="254">
        <v>0</v>
      </c>
      <c r="B87" s="254" t="s">
        <v>22</v>
      </c>
      <c r="C87" s="256" t="s">
        <v>212</v>
      </c>
      <c r="D87" s="258" t="s">
        <v>34</v>
      </c>
      <c r="E87" s="14"/>
      <c r="F87" s="55" t="s">
        <v>25</v>
      </c>
      <c r="G87" s="72">
        <v>162</v>
      </c>
      <c r="H87" s="73" t="s">
        <v>40</v>
      </c>
      <c r="I87" s="262" t="s">
        <v>213</v>
      </c>
      <c r="J87" s="73" t="s">
        <v>40</v>
      </c>
      <c r="K87" s="262" t="s">
        <v>214</v>
      </c>
      <c r="L87" s="73" t="s">
        <v>40</v>
      </c>
      <c r="M87" s="262" t="s">
        <v>215</v>
      </c>
      <c r="N87" s="14"/>
      <c r="O87" s="34" t="s">
        <v>25</v>
      </c>
      <c r="P87" s="72">
        <v>179.6</v>
      </c>
      <c r="Q87" s="112">
        <v>50</v>
      </c>
      <c r="R87" s="262" t="s">
        <v>216</v>
      </c>
      <c r="S87" s="14"/>
      <c r="T87" s="34" t="s">
        <v>25</v>
      </c>
      <c r="U87" s="72">
        <v>129.6</v>
      </c>
      <c r="V87" s="262" t="s">
        <v>217</v>
      </c>
      <c r="W87" s="38"/>
      <c r="X87" s="38"/>
      <c r="Y87" s="262" t="s">
        <v>218</v>
      </c>
      <c r="Z87" s="14"/>
      <c r="AA87" s="279"/>
      <c r="AD87" s="2"/>
    </row>
    <row r="88" spans="1:30" s="21" customFormat="1" ht="70" customHeight="1">
      <c r="A88" s="254"/>
      <c r="B88" s="254"/>
      <c r="C88" s="256"/>
      <c r="D88" s="258"/>
      <c r="F88" s="34" t="s">
        <v>31</v>
      </c>
      <c r="G88" s="41">
        <v>17.25054151351458</v>
      </c>
      <c r="H88" s="62"/>
      <c r="I88" s="263"/>
      <c r="J88" s="107"/>
      <c r="K88" s="263"/>
      <c r="L88" s="43"/>
      <c r="M88" s="263"/>
      <c r="O88" s="34" t="s">
        <v>31</v>
      </c>
      <c r="P88" s="35">
        <v>19.124674418686535</v>
      </c>
      <c r="Q88" s="103">
        <v>5.3242412078748709</v>
      </c>
      <c r="R88" s="263"/>
      <c r="T88" s="34" t="s">
        <v>31</v>
      </c>
      <c r="U88" s="35">
        <v>13.800433210811665</v>
      </c>
      <c r="V88" s="263"/>
      <c r="W88" s="43"/>
      <c r="X88" s="43"/>
      <c r="Y88" s="263"/>
      <c r="AA88" s="280"/>
      <c r="AD88" s="2"/>
    </row>
    <row r="89" spans="1:30" ht="70" customHeight="1">
      <c r="A89" s="254"/>
      <c r="B89" s="254"/>
      <c r="C89" s="257"/>
      <c r="D89" s="259"/>
      <c r="E89" s="8"/>
      <c r="F89" s="47" t="s">
        <v>32</v>
      </c>
      <c r="G89" s="48">
        <v>5.4346002885034714</v>
      </c>
      <c r="H89" s="140"/>
      <c r="I89" s="264"/>
      <c r="J89" s="104"/>
      <c r="K89" s="264"/>
      <c r="L89" s="50"/>
      <c r="M89" s="264"/>
      <c r="N89" s="8"/>
      <c r="O89" s="47" t="s">
        <v>32</v>
      </c>
      <c r="P89" s="141">
        <v>6.0250259988594044</v>
      </c>
      <c r="Q89" s="95">
        <v>1.6773457680566273</v>
      </c>
      <c r="R89" s="264"/>
      <c r="S89" s="8"/>
      <c r="T89" s="47" t="s">
        <v>32</v>
      </c>
      <c r="U89" s="48">
        <v>4.3476802308027773</v>
      </c>
      <c r="V89" s="264"/>
      <c r="W89" s="50"/>
      <c r="X89" s="50"/>
      <c r="Y89" s="264"/>
      <c r="Z89" s="4"/>
      <c r="AA89" s="281"/>
    </row>
    <row r="90" spans="1:30" s="21" customFormat="1" ht="75" customHeight="1">
      <c r="A90" s="254">
        <v>0</v>
      </c>
      <c r="B90" s="254" t="s">
        <v>22</v>
      </c>
      <c r="C90" s="256" t="s">
        <v>219</v>
      </c>
      <c r="D90" s="258" t="s">
        <v>34</v>
      </c>
      <c r="E90" s="14"/>
      <c r="F90" s="55" t="s">
        <v>25</v>
      </c>
      <c r="G90" s="72">
        <v>75.2</v>
      </c>
      <c r="H90" s="73">
        <v>0.8</v>
      </c>
      <c r="I90" s="262" t="s">
        <v>220</v>
      </c>
      <c r="J90" s="72">
        <v>74.400000000000006</v>
      </c>
      <c r="K90" s="262" t="s">
        <v>221</v>
      </c>
      <c r="L90" s="38"/>
      <c r="M90" s="38"/>
      <c r="N90" s="14"/>
      <c r="O90" s="34" t="s">
        <v>25</v>
      </c>
      <c r="P90" s="72">
        <v>22</v>
      </c>
      <c r="Q90" s="112">
        <v>22</v>
      </c>
      <c r="R90" s="262" t="s">
        <v>222</v>
      </c>
      <c r="S90" s="14"/>
      <c r="T90" s="34" t="s">
        <v>25</v>
      </c>
      <c r="U90" s="98"/>
      <c r="V90" s="262"/>
      <c r="W90" s="38"/>
      <c r="X90" s="38"/>
      <c r="Y90" s="38"/>
      <c r="Z90" s="14"/>
      <c r="AA90" s="38"/>
      <c r="AD90" s="2"/>
    </row>
    <row r="91" spans="1:30" s="13" customFormat="1" ht="75" customHeight="1">
      <c r="A91" s="254"/>
      <c r="B91" s="254"/>
      <c r="C91" s="256"/>
      <c r="D91" s="258"/>
      <c r="E91" s="21"/>
      <c r="F91" s="34" t="s">
        <v>31</v>
      </c>
      <c r="G91" s="41">
        <v>54.271169206301551</v>
      </c>
      <c r="H91" s="36">
        <v>0.57735286389682505</v>
      </c>
      <c r="I91" s="263"/>
      <c r="J91" s="41">
        <v>53.69381634240473</v>
      </c>
      <c r="K91" s="263"/>
      <c r="L91" s="43"/>
      <c r="M91" s="43"/>
      <c r="N91" s="21"/>
      <c r="O91" s="34" t="s">
        <v>31</v>
      </c>
      <c r="P91" s="35">
        <v>15.877203757162688</v>
      </c>
      <c r="Q91" s="45">
        <v>15.877203757162688</v>
      </c>
      <c r="R91" s="263"/>
      <c r="S91" s="21"/>
      <c r="T91" s="34" t="s">
        <v>31</v>
      </c>
      <c r="U91" s="101"/>
      <c r="V91" s="263"/>
      <c r="W91" s="43"/>
      <c r="X91" s="43"/>
      <c r="Y91" s="43"/>
      <c r="Z91" s="21"/>
      <c r="AA91" s="43"/>
      <c r="AD91" s="2"/>
    </row>
    <row r="92" spans="1:30" ht="75" customHeight="1">
      <c r="A92" s="254"/>
      <c r="B92" s="254"/>
      <c r="C92" s="257"/>
      <c r="D92" s="259"/>
      <c r="E92" s="11"/>
      <c r="F92" s="34" t="s">
        <v>32</v>
      </c>
      <c r="G92" s="36">
        <v>16.082687737562885</v>
      </c>
      <c r="H92" s="48">
        <v>0.1710924227400307</v>
      </c>
      <c r="I92" s="264"/>
      <c r="J92" s="48">
        <v>15.911595314822854</v>
      </c>
      <c r="K92" s="264"/>
      <c r="L92" s="43"/>
      <c r="M92" s="43"/>
      <c r="N92" s="11"/>
      <c r="O92" s="34" t="s">
        <v>32</v>
      </c>
      <c r="P92" s="48">
        <v>4.7050416253508436</v>
      </c>
      <c r="Q92" s="64">
        <v>4.7050416253508436</v>
      </c>
      <c r="R92" s="264"/>
      <c r="S92" s="11"/>
      <c r="T92" s="34" t="s">
        <v>32</v>
      </c>
      <c r="U92" s="36"/>
      <c r="V92" s="264"/>
      <c r="W92" s="43"/>
      <c r="X92" s="43"/>
      <c r="Y92" s="43"/>
      <c r="AA92" s="65"/>
    </row>
    <row r="93" spans="1:30" s="60" customFormat="1" ht="70" customHeight="1">
      <c r="A93" s="254">
        <v>0</v>
      </c>
      <c r="B93" s="254" t="s">
        <v>22</v>
      </c>
      <c r="C93" s="256" t="s">
        <v>223</v>
      </c>
      <c r="D93" s="286" t="s">
        <v>34</v>
      </c>
      <c r="F93" s="55" t="s">
        <v>25</v>
      </c>
      <c r="G93" s="72">
        <v>255</v>
      </c>
      <c r="H93" s="73">
        <v>14.2</v>
      </c>
      <c r="I93" s="287" t="s">
        <v>224</v>
      </c>
      <c r="J93" s="56">
        <v>240.8</v>
      </c>
      <c r="K93" s="274" t="s">
        <v>225</v>
      </c>
      <c r="L93" s="73">
        <v>315</v>
      </c>
      <c r="M93" s="309" t="s">
        <v>226</v>
      </c>
      <c r="N93" s="142"/>
      <c r="O93" s="55" t="s">
        <v>25</v>
      </c>
      <c r="P93" s="72">
        <v>261.7</v>
      </c>
      <c r="Q93" s="59">
        <v>11.7</v>
      </c>
      <c r="R93" s="274" t="s">
        <v>227</v>
      </c>
      <c r="S93" s="142"/>
      <c r="T93" s="55" t="s">
        <v>25</v>
      </c>
      <c r="U93" s="56">
        <v>250</v>
      </c>
      <c r="V93" s="274" t="s">
        <v>228</v>
      </c>
      <c r="W93" s="38"/>
      <c r="X93" s="38"/>
      <c r="Y93" s="71"/>
      <c r="AA93" s="38"/>
      <c r="AD93" s="2"/>
    </row>
    <row r="94" spans="1:30" s="21" customFormat="1" ht="70" customHeight="1">
      <c r="A94" s="254"/>
      <c r="B94" s="254"/>
      <c r="C94" s="256"/>
      <c r="D94" s="258"/>
      <c r="E94" s="12"/>
      <c r="F94" s="34" t="s">
        <v>31</v>
      </c>
      <c r="G94" s="41">
        <v>27.744671051654446</v>
      </c>
      <c r="H94" s="36">
        <v>1.5449973683666396</v>
      </c>
      <c r="I94" s="288"/>
      <c r="J94" s="41">
        <v>26.199673683287809</v>
      </c>
      <c r="K94" s="260"/>
      <c r="L94" s="35">
        <v>34.272828946161376</v>
      </c>
      <c r="M94" s="263"/>
      <c r="N94" s="143"/>
      <c r="O94" s="34" t="s">
        <v>31</v>
      </c>
      <c r="P94" s="35">
        <v>28.473648683207717</v>
      </c>
      <c r="Q94" s="36">
        <v>1.272990789428851</v>
      </c>
      <c r="R94" s="260"/>
      <c r="S94" s="143"/>
      <c r="T94" s="34" t="s">
        <v>31</v>
      </c>
      <c r="U94" s="41">
        <v>27.200657893778867</v>
      </c>
      <c r="V94" s="260"/>
      <c r="W94" s="43"/>
      <c r="X94" s="43"/>
      <c r="Y94" s="83"/>
      <c r="Z94" s="12"/>
      <c r="AA94" s="43"/>
      <c r="AD94" s="2"/>
    </row>
    <row r="95" spans="1:30" ht="78" customHeight="1">
      <c r="A95" s="254"/>
      <c r="B95" s="254"/>
      <c r="C95" s="257"/>
      <c r="D95" s="259"/>
      <c r="E95" s="8"/>
      <c r="F95" s="47" t="s">
        <v>32</v>
      </c>
      <c r="G95" s="48">
        <v>5.2441992631763448</v>
      </c>
      <c r="H95" s="48">
        <v>0.29202991975334935</v>
      </c>
      <c r="I95" s="289"/>
      <c r="J95" s="48">
        <v>4.9521693434229954</v>
      </c>
      <c r="K95" s="261"/>
      <c r="L95" s="104">
        <v>6.4781285015707795</v>
      </c>
      <c r="M95" s="264"/>
      <c r="N95" s="86"/>
      <c r="O95" s="47" t="s">
        <v>32</v>
      </c>
      <c r="P95" s="48">
        <v>5.3819880281303893</v>
      </c>
      <c r="Q95" s="48">
        <v>0.24061620148691462</v>
      </c>
      <c r="R95" s="261"/>
      <c r="S95" s="86"/>
      <c r="T95" s="47" t="s">
        <v>32</v>
      </c>
      <c r="U95" s="48">
        <v>5.1413718266434749</v>
      </c>
      <c r="V95" s="261"/>
      <c r="W95" s="50"/>
      <c r="X95" s="50"/>
      <c r="Y95" s="50"/>
      <c r="Z95" s="4"/>
      <c r="AA95" s="67"/>
    </row>
    <row r="96" spans="1:30" ht="54.65" customHeight="1">
      <c r="A96" s="254">
        <v>0</v>
      </c>
      <c r="B96" s="254" t="s">
        <v>22</v>
      </c>
      <c r="C96" s="256" t="s">
        <v>229</v>
      </c>
      <c r="D96" s="286" t="s">
        <v>34</v>
      </c>
      <c r="E96" s="60"/>
      <c r="F96" s="55" t="s">
        <v>25</v>
      </c>
      <c r="G96" s="41">
        <v>31.6</v>
      </c>
      <c r="H96" s="40">
        <v>2.6</v>
      </c>
      <c r="I96" s="274" t="s">
        <v>230</v>
      </c>
      <c r="J96" s="35">
        <v>29</v>
      </c>
      <c r="K96" s="274" t="s">
        <v>231</v>
      </c>
      <c r="L96" s="76"/>
      <c r="M96" s="262"/>
      <c r="N96" s="11"/>
      <c r="O96" s="55" t="s">
        <v>25</v>
      </c>
      <c r="P96" s="72">
        <v>42.325000000000003</v>
      </c>
      <c r="Q96" s="64">
        <v>0.95</v>
      </c>
      <c r="R96" s="310" t="s">
        <v>232</v>
      </c>
      <c r="S96" s="11"/>
      <c r="T96" s="55" t="s">
        <v>25</v>
      </c>
      <c r="U96" s="41">
        <v>41.375</v>
      </c>
      <c r="V96" s="310" t="s">
        <v>233</v>
      </c>
      <c r="W96" s="43"/>
      <c r="X96" s="43"/>
      <c r="Y96" s="43"/>
      <c r="AA96" s="65"/>
    </row>
    <row r="97" spans="1:30" ht="38.5" customHeight="1">
      <c r="A97" s="254"/>
      <c r="B97" s="254"/>
      <c r="C97" s="256"/>
      <c r="D97" s="258"/>
      <c r="F97" s="34" t="s">
        <v>31</v>
      </c>
      <c r="G97" s="41">
        <v>33.755844605203976</v>
      </c>
      <c r="H97" s="36">
        <v>2.7773796194155169</v>
      </c>
      <c r="I97" s="260"/>
      <c r="J97" s="41">
        <v>30.978464985788456</v>
      </c>
      <c r="K97" s="260"/>
      <c r="L97" s="41"/>
      <c r="M97" s="263"/>
      <c r="N97" s="11"/>
      <c r="O97" s="34" t="s">
        <v>31</v>
      </c>
      <c r="P97" s="35">
        <v>45.212535535292979</v>
      </c>
      <c r="Q97" s="36">
        <v>1.014811784017208</v>
      </c>
      <c r="R97" s="263"/>
      <c r="S97" s="11"/>
      <c r="T97" s="34" t="s">
        <v>31</v>
      </c>
      <c r="U97" s="41">
        <v>44.197723751275774</v>
      </c>
      <c r="V97" s="303"/>
      <c r="W97" s="43"/>
      <c r="X97" s="43"/>
      <c r="Y97" s="43"/>
      <c r="AA97" s="65"/>
    </row>
    <row r="98" spans="1:30" ht="47.15" customHeight="1">
      <c r="A98" s="254"/>
      <c r="B98" s="254"/>
      <c r="C98" s="257"/>
      <c r="D98" s="259"/>
      <c r="E98" s="8"/>
      <c r="F98" s="47" t="s">
        <v>32</v>
      </c>
      <c r="G98" s="48">
        <v>4.7686623490702722</v>
      </c>
      <c r="H98" s="48">
        <v>0.39235829454375654</v>
      </c>
      <c r="I98" s="261"/>
      <c r="J98" s="48">
        <v>4.3763040545265159</v>
      </c>
      <c r="K98" s="261"/>
      <c r="L98" s="48"/>
      <c r="M98" s="264"/>
      <c r="N98" s="8"/>
      <c r="O98" s="47" t="s">
        <v>32</v>
      </c>
      <c r="P98" s="48">
        <v>6.3871403140632665</v>
      </c>
      <c r="Q98" s="48">
        <v>0.14336168454483411</v>
      </c>
      <c r="R98" s="264"/>
      <c r="S98" s="8"/>
      <c r="T98" s="47" t="s">
        <v>32</v>
      </c>
      <c r="U98" s="48">
        <v>6.2437786295184328</v>
      </c>
      <c r="V98" s="304"/>
      <c r="W98" s="50"/>
      <c r="X98" s="50"/>
      <c r="Y98" s="43"/>
      <c r="AA98" s="65"/>
    </row>
    <row r="99" spans="1:30" s="21" customFormat="1" ht="102" customHeight="1">
      <c r="A99" s="254">
        <v>0</v>
      </c>
      <c r="B99" s="254" t="s">
        <v>103</v>
      </c>
      <c r="C99" s="256" t="s">
        <v>234</v>
      </c>
      <c r="D99" s="286" t="s">
        <v>24</v>
      </c>
      <c r="F99" s="34" t="s">
        <v>25</v>
      </c>
      <c r="G99" s="35">
        <v>19</v>
      </c>
      <c r="H99" s="73">
        <v>2.5</v>
      </c>
      <c r="I99" s="269" t="s">
        <v>235</v>
      </c>
      <c r="J99" s="35">
        <v>16.5</v>
      </c>
      <c r="K99" s="274" t="s">
        <v>236</v>
      </c>
      <c r="L99" s="43"/>
      <c r="M99" s="262" t="s">
        <v>237</v>
      </c>
      <c r="O99" s="34" t="s">
        <v>25</v>
      </c>
      <c r="P99" s="58">
        <v>26</v>
      </c>
      <c r="Q99" s="129"/>
      <c r="R99" s="43"/>
      <c r="T99" s="34" t="s">
        <v>25</v>
      </c>
      <c r="U99" s="35">
        <v>26</v>
      </c>
      <c r="V99" s="262" t="s">
        <v>238</v>
      </c>
      <c r="W99" s="43"/>
      <c r="X99" s="43"/>
      <c r="Y99" s="43"/>
      <c r="AA99" s="43"/>
      <c r="AD99" s="2"/>
    </row>
    <row r="100" spans="1:30" ht="90" customHeight="1">
      <c r="A100" s="254"/>
      <c r="B100" s="254"/>
      <c r="C100" s="256"/>
      <c r="D100" s="258"/>
      <c r="E100" s="21"/>
      <c r="F100" s="34" t="s">
        <v>31</v>
      </c>
      <c r="G100" s="36">
        <v>0.16982571283673956</v>
      </c>
      <c r="H100" s="36">
        <v>2.234548853114994E-2</v>
      </c>
      <c r="I100" s="270"/>
      <c r="J100" s="36">
        <v>0.1474802243055896</v>
      </c>
      <c r="K100" s="260"/>
      <c r="L100" s="43"/>
      <c r="M100" s="263"/>
      <c r="N100" s="21"/>
      <c r="O100" s="34" t="s">
        <v>31</v>
      </c>
      <c r="P100" s="124">
        <v>0.23239308072395937</v>
      </c>
      <c r="Q100" s="129"/>
      <c r="R100" s="43"/>
      <c r="S100" s="21"/>
      <c r="T100" s="34" t="s">
        <v>31</v>
      </c>
      <c r="U100" s="36">
        <v>0.23239308072395937</v>
      </c>
      <c r="V100" s="263"/>
      <c r="W100" s="43"/>
      <c r="X100" s="43"/>
      <c r="Y100" s="43"/>
      <c r="Z100" s="21"/>
      <c r="AA100" s="43"/>
    </row>
    <row r="101" spans="1:30" ht="90" customHeight="1">
      <c r="A101" s="254"/>
      <c r="B101" s="254"/>
      <c r="C101" s="257"/>
      <c r="D101" s="259"/>
      <c r="E101" s="8"/>
      <c r="F101" s="47" t="s">
        <v>32</v>
      </c>
      <c r="G101" s="48">
        <v>1.2100803562104958</v>
      </c>
      <c r="H101" s="48">
        <v>0.15922109950138105</v>
      </c>
      <c r="I101" s="271"/>
      <c r="J101" s="48">
        <v>1.0508592567091148</v>
      </c>
      <c r="K101" s="261"/>
      <c r="L101" s="50"/>
      <c r="M101" s="264"/>
      <c r="N101" s="8"/>
      <c r="O101" s="47" t="s">
        <v>32</v>
      </c>
      <c r="P101" s="66">
        <v>1.655899434814363</v>
      </c>
      <c r="Q101" s="52"/>
      <c r="R101" s="86"/>
      <c r="S101" s="8"/>
      <c r="T101" s="47" t="s">
        <v>32</v>
      </c>
      <c r="U101" s="48">
        <v>1.655899434814363</v>
      </c>
      <c r="V101" s="264"/>
      <c r="W101" s="50"/>
      <c r="X101" s="50"/>
      <c r="Y101" s="50"/>
      <c r="Z101" s="4"/>
      <c r="AA101" s="67"/>
    </row>
    <row r="102" spans="1:30" ht="130" customHeight="1">
      <c r="A102" s="254">
        <v>0</v>
      </c>
      <c r="B102" s="254" t="s">
        <v>103</v>
      </c>
      <c r="C102" s="256" t="s">
        <v>239</v>
      </c>
      <c r="D102" s="286" t="s">
        <v>24</v>
      </c>
      <c r="E102" s="60"/>
      <c r="F102" s="55" t="s">
        <v>25</v>
      </c>
      <c r="G102" s="98">
        <v>3.105</v>
      </c>
      <c r="H102" s="98">
        <v>0.77400000000000002</v>
      </c>
      <c r="I102" s="262" t="s">
        <v>240</v>
      </c>
      <c r="J102" s="68">
        <v>2.331</v>
      </c>
      <c r="K102" s="274" t="s">
        <v>241</v>
      </c>
      <c r="L102" s="73">
        <v>0.6</v>
      </c>
      <c r="M102" s="262" t="s">
        <v>242</v>
      </c>
      <c r="N102" s="60"/>
      <c r="O102" s="34" t="s">
        <v>25</v>
      </c>
      <c r="P102" s="98">
        <v>4.6295999999999999</v>
      </c>
      <c r="Q102" s="59">
        <v>1.6219999999999999</v>
      </c>
      <c r="R102" s="262" t="s">
        <v>243</v>
      </c>
      <c r="S102" s="60"/>
      <c r="T102" s="34" t="s">
        <v>25</v>
      </c>
      <c r="U102" s="68"/>
      <c r="V102" s="262"/>
      <c r="W102" s="68">
        <v>3.0076000000000005</v>
      </c>
      <c r="X102" s="262" t="s">
        <v>244</v>
      </c>
      <c r="Y102" s="262" t="s">
        <v>245</v>
      </c>
      <c r="Z102" s="60"/>
      <c r="AA102" s="38"/>
    </row>
    <row r="103" spans="1:30" s="11" customFormat="1" ht="130" customHeight="1">
      <c r="A103" s="254"/>
      <c r="B103" s="254"/>
      <c r="C103" s="256"/>
      <c r="D103" s="258"/>
      <c r="E103" s="12"/>
      <c r="F103" s="34" t="s">
        <v>31</v>
      </c>
      <c r="G103" s="36">
        <v>1.8148387844718652</v>
      </c>
      <c r="H103" s="36">
        <v>0.45239459554950839</v>
      </c>
      <c r="I103" s="303"/>
      <c r="J103" s="36">
        <v>1.3624441889223566</v>
      </c>
      <c r="K103" s="260"/>
      <c r="L103" s="36">
        <v>0.35069348492209951</v>
      </c>
      <c r="M103" s="263"/>
      <c r="N103" s="12"/>
      <c r="O103" s="34" t="s">
        <v>31</v>
      </c>
      <c r="P103" s="36">
        <v>2.7059509296589201</v>
      </c>
      <c r="Q103" s="64">
        <v>0.94804138757274237</v>
      </c>
      <c r="R103" s="263"/>
      <c r="S103" s="12"/>
      <c r="T103" s="34" t="s">
        <v>31</v>
      </c>
      <c r="U103" s="36"/>
      <c r="V103" s="263"/>
      <c r="W103" s="36">
        <v>1.7579095420861779</v>
      </c>
      <c r="X103" s="263"/>
      <c r="Y103" s="263"/>
      <c r="Z103" s="12"/>
      <c r="AA103" s="43"/>
      <c r="AD103" s="2"/>
    </row>
    <row r="104" spans="1:30" ht="243.65" customHeight="1">
      <c r="A104" s="254"/>
      <c r="B104" s="254"/>
      <c r="C104" s="257"/>
      <c r="D104" s="259"/>
      <c r="E104" s="8"/>
      <c r="F104" s="47" t="s">
        <v>32</v>
      </c>
      <c r="G104" s="48">
        <v>2.6721462789856441</v>
      </c>
      <c r="H104" s="48">
        <v>0.66610023186308809</v>
      </c>
      <c r="I104" s="304"/>
      <c r="J104" s="48">
        <v>2.0060460471225561</v>
      </c>
      <c r="K104" s="261"/>
      <c r="L104" s="48">
        <v>0.51635676888611481</v>
      </c>
      <c r="M104" s="264"/>
      <c r="N104" s="8"/>
      <c r="O104" s="47" t="s">
        <v>32</v>
      </c>
      <c r="P104" s="48">
        <v>3.9842088287252624</v>
      </c>
      <c r="Q104" s="48">
        <v>1.3958844652221303</v>
      </c>
      <c r="R104" s="264"/>
      <c r="S104" s="8"/>
      <c r="T104" s="47" t="s">
        <v>32</v>
      </c>
      <c r="U104" s="48"/>
      <c r="V104" s="264"/>
      <c r="W104" s="48">
        <v>2.5883243635031321</v>
      </c>
      <c r="X104" s="264"/>
      <c r="Y104" s="264"/>
      <c r="Z104" s="4"/>
      <c r="AA104" s="67"/>
    </row>
    <row r="105" spans="1:30" s="11" customFormat="1" ht="37" customHeight="1">
      <c r="A105" s="254">
        <v>0</v>
      </c>
      <c r="B105" s="254" t="s">
        <v>103</v>
      </c>
      <c r="C105" s="256" t="s">
        <v>246</v>
      </c>
      <c r="D105" s="258" t="s">
        <v>34</v>
      </c>
      <c r="E105" s="54"/>
      <c r="F105" s="55" t="s">
        <v>25</v>
      </c>
      <c r="G105" s="144">
        <v>16500</v>
      </c>
      <c r="H105" s="117">
        <v>1400</v>
      </c>
      <c r="I105" s="287" t="s">
        <v>247</v>
      </c>
      <c r="J105" s="117">
        <v>15100</v>
      </c>
      <c r="K105" s="274" t="s">
        <v>248</v>
      </c>
      <c r="L105" s="117">
        <v>4500</v>
      </c>
      <c r="M105" s="260" t="s">
        <v>249</v>
      </c>
      <c r="N105" s="54"/>
      <c r="O105" s="34" t="s">
        <v>25</v>
      </c>
      <c r="P105" s="117">
        <v>4500</v>
      </c>
      <c r="Q105" s="117"/>
      <c r="R105" s="260"/>
      <c r="S105" s="54"/>
      <c r="T105" s="34" t="s">
        <v>25</v>
      </c>
      <c r="U105" s="117"/>
      <c r="V105" s="260"/>
      <c r="W105" s="56">
        <v>4500</v>
      </c>
      <c r="X105" s="269" t="s">
        <v>250</v>
      </c>
      <c r="Y105" s="262" t="s">
        <v>251</v>
      </c>
      <c r="Z105" s="54"/>
      <c r="AA105" s="279"/>
      <c r="AD105" s="2"/>
    </row>
    <row r="106" spans="1:30" s="21" customFormat="1" ht="42.65" customHeight="1">
      <c r="A106" s="254"/>
      <c r="B106" s="254"/>
      <c r="C106" s="256"/>
      <c r="D106" s="258"/>
      <c r="E106" s="11"/>
      <c r="F106" s="34" t="s">
        <v>31</v>
      </c>
      <c r="G106" s="41">
        <v>20.586692247925814</v>
      </c>
      <c r="H106" s="36">
        <v>1.746749645278554</v>
      </c>
      <c r="I106" s="288"/>
      <c r="J106" s="41">
        <v>18.839942602647263</v>
      </c>
      <c r="K106" s="260"/>
      <c r="L106" s="36">
        <v>5.6145524312524948</v>
      </c>
      <c r="M106" s="260"/>
      <c r="N106" s="11"/>
      <c r="O106" s="34" t="s">
        <v>31</v>
      </c>
      <c r="P106" s="124">
        <v>5.6145524312524948</v>
      </c>
      <c r="Q106" s="36"/>
      <c r="R106" s="260"/>
      <c r="S106" s="11"/>
      <c r="T106" s="34" t="s">
        <v>31</v>
      </c>
      <c r="U106" s="36"/>
      <c r="V106" s="260"/>
      <c r="W106" s="36">
        <v>5.6145524312524948</v>
      </c>
      <c r="X106" s="270"/>
      <c r="Y106" s="263"/>
      <c r="Z106" s="11"/>
      <c r="AA106" s="280"/>
      <c r="AD106" s="2"/>
    </row>
    <row r="107" spans="1:30" ht="43" customHeight="1">
      <c r="A107" s="254"/>
      <c r="B107" s="254"/>
      <c r="C107" s="257"/>
      <c r="D107" s="259"/>
      <c r="E107" s="8"/>
      <c r="F107" s="47" t="s">
        <v>32</v>
      </c>
      <c r="G107" s="48">
        <v>8.3885403027200436</v>
      </c>
      <c r="H107" s="48">
        <v>0.71175493477624618</v>
      </c>
      <c r="I107" s="289"/>
      <c r="J107" s="48">
        <v>7.6767853679437978</v>
      </c>
      <c r="K107" s="261"/>
      <c r="L107" s="104">
        <v>2.2877837189236483</v>
      </c>
      <c r="M107" s="261"/>
      <c r="N107" s="8"/>
      <c r="O107" s="47" t="s">
        <v>32</v>
      </c>
      <c r="P107" s="66">
        <v>2.2877837189236483</v>
      </c>
      <c r="Q107" s="48"/>
      <c r="R107" s="261"/>
      <c r="S107" s="8"/>
      <c r="T107" s="47" t="s">
        <v>32</v>
      </c>
      <c r="U107" s="48"/>
      <c r="V107" s="261"/>
      <c r="W107" s="48">
        <v>2.2877837189236483</v>
      </c>
      <c r="X107" s="271"/>
      <c r="Y107" s="264"/>
      <c r="Z107" s="4"/>
      <c r="AA107" s="281"/>
    </row>
    <row r="108" spans="1:30" s="11" customFormat="1" ht="108.65" customHeight="1">
      <c r="A108" s="254">
        <v>0</v>
      </c>
      <c r="B108" s="254" t="s">
        <v>103</v>
      </c>
      <c r="C108" s="256" t="s">
        <v>252</v>
      </c>
      <c r="D108" s="286" t="s">
        <v>24</v>
      </c>
      <c r="E108" s="54"/>
      <c r="F108" s="55" t="s">
        <v>25</v>
      </c>
      <c r="G108" s="111">
        <v>26836</v>
      </c>
      <c r="H108" s="111">
        <v>9008</v>
      </c>
      <c r="I108" s="269" t="s">
        <v>253</v>
      </c>
      <c r="J108" s="111">
        <v>17828</v>
      </c>
      <c r="K108" s="262" t="s">
        <v>254</v>
      </c>
      <c r="L108" s="73">
        <v>400</v>
      </c>
      <c r="M108" s="262" t="s">
        <v>255</v>
      </c>
      <c r="N108" s="54"/>
      <c r="O108" s="34" t="s">
        <v>25</v>
      </c>
      <c r="P108" s="111">
        <v>26318</v>
      </c>
      <c r="Q108" s="111">
        <v>3503</v>
      </c>
      <c r="R108" s="311" t="s">
        <v>256</v>
      </c>
      <c r="S108" s="54"/>
      <c r="T108" s="34" t="s">
        <v>25</v>
      </c>
      <c r="U108" s="111">
        <v>22815</v>
      </c>
      <c r="V108" s="262" t="s">
        <v>257</v>
      </c>
      <c r="W108" s="71"/>
      <c r="X108" s="71"/>
      <c r="Y108" s="71"/>
      <c r="Z108" s="54"/>
      <c r="AA108" s="38"/>
      <c r="AD108" s="2"/>
    </row>
    <row r="109" spans="1:30" s="11" customFormat="1" ht="109" customHeight="1">
      <c r="A109" s="254"/>
      <c r="B109" s="254"/>
      <c r="C109" s="256"/>
      <c r="D109" s="258"/>
      <c r="F109" s="34" t="s">
        <v>31</v>
      </c>
      <c r="G109" s="36">
        <v>7.0502118032217247</v>
      </c>
      <c r="H109" s="36">
        <v>2.366534055873502</v>
      </c>
      <c r="I109" s="270"/>
      <c r="J109" s="36">
        <v>4.6836777473482227</v>
      </c>
      <c r="K109" s="263"/>
      <c r="L109" s="36">
        <v>0.10508588169953384</v>
      </c>
      <c r="M109" s="263"/>
      <c r="O109" s="34" t="s">
        <v>31</v>
      </c>
      <c r="P109" s="101">
        <v>6.9141255864208286</v>
      </c>
      <c r="Q109" s="64">
        <v>0.92028960898366752</v>
      </c>
      <c r="R109" s="263"/>
      <c r="T109" s="34" t="s">
        <v>31</v>
      </c>
      <c r="U109" s="36">
        <v>5.9938359774371612</v>
      </c>
      <c r="V109" s="263"/>
      <c r="W109" s="83"/>
      <c r="X109" s="83"/>
      <c r="Y109" s="83"/>
      <c r="AA109" s="43"/>
      <c r="AD109" s="2"/>
    </row>
    <row r="110" spans="1:30" ht="97" customHeight="1">
      <c r="A110" s="254"/>
      <c r="B110" s="254"/>
      <c r="C110" s="257"/>
      <c r="D110" s="259"/>
      <c r="E110" s="8"/>
      <c r="F110" s="47" t="s">
        <v>32</v>
      </c>
      <c r="G110" s="48">
        <v>2.6611348681811982</v>
      </c>
      <c r="H110" s="48">
        <v>0.89325916278790563</v>
      </c>
      <c r="I110" s="271"/>
      <c r="J110" s="48">
        <v>1.7678757053932928</v>
      </c>
      <c r="K110" s="264"/>
      <c r="L110" s="48">
        <v>3.9665149324507348E-2</v>
      </c>
      <c r="M110" s="264"/>
      <c r="N110" s="8"/>
      <c r="O110" s="47" t="s">
        <v>32</v>
      </c>
      <c r="P110" s="48">
        <v>2.6097684998059609</v>
      </c>
      <c r="Q110" s="52">
        <v>0.34736754520937313</v>
      </c>
      <c r="R110" s="264"/>
      <c r="S110" s="8"/>
      <c r="T110" s="47" t="s">
        <v>32</v>
      </c>
      <c r="U110" s="48">
        <v>2.262400954596588</v>
      </c>
      <c r="V110" s="264"/>
      <c r="W110" s="50"/>
      <c r="X110" s="50"/>
      <c r="Y110" s="50"/>
      <c r="Z110" s="4"/>
      <c r="AA110" s="67"/>
    </row>
    <row r="111" spans="1:30" s="21" customFormat="1" ht="99.65" customHeight="1">
      <c r="A111" s="254">
        <v>0</v>
      </c>
      <c r="B111" s="254" t="s">
        <v>103</v>
      </c>
      <c r="C111" s="256" t="s">
        <v>258</v>
      </c>
      <c r="D111" s="286" t="s">
        <v>34</v>
      </c>
      <c r="E111" s="14"/>
      <c r="F111" s="55" t="s">
        <v>25</v>
      </c>
      <c r="G111" s="98">
        <v>91.612000000000009</v>
      </c>
      <c r="H111" s="98">
        <v>12.941000000000001</v>
      </c>
      <c r="I111" s="262" t="s">
        <v>259</v>
      </c>
      <c r="J111" s="98">
        <v>78.671000000000006</v>
      </c>
      <c r="K111" s="262" t="s">
        <v>260</v>
      </c>
      <c r="L111" s="38"/>
      <c r="M111" s="262" t="s">
        <v>261</v>
      </c>
      <c r="N111" s="14"/>
      <c r="O111" s="34" t="s">
        <v>25</v>
      </c>
      <c r="P111" s="98">
        <v>7.44</v>
      </c>
      <c r="Q111" s="100">
        <v>7.44</v>
      </c>
      <c r="R111" s="310" t="s">
        <v>262</v>
      </c>
      <c r="S111" s="14"/>
      <c r="T111" s="34" t="s">
        <v>25</v>
      </c>
      <c r="U111" s="98"/>
      <c r="V111" s="262" t="s">
        <v>263</v>
      </c>
      <c r="W111" s="38"/>
      <c r="X111" s="38"/>
      <c r="Y111" s="38"/>
      <c r="Z111" s="14"/>
      <c r="AA111" s="38"/>
      <c r="AD111" s="2"/>
    </row>
    <row r="112" spans="1:30" s="21" customFormat="1" ht="95.15" customHeight="1">
      <c r="A112" s="254"/>
      <c r="B112" s="254"/>
      <c r="C112" s="256"/>
      <c r="D112" s="258"/>
      <c r="F112" s="34" t="s">
        <v>31</v>
      </c>
      <c r="G112" s="36">
        <v>5.6957877830164128</v>
      </c>
      <c r="H112" s="36">
        <v>0.80458007357131589</v>
      </c>
      <c r="I112" s="263"/>
      <c r="J112" s="101">
        <v>4.891207709445097</v>
      </c>
      <c r="K112" s="263"/>
      <c r="L112" s="43"/>
      <c r="M112" s="263"/>
      <c r="O112" s="34" t="s">
        <v>31</v>
      </c>
      <c r="P112" s="101">
        <v>0.46256670638826908</v>
      </c>
      <c r="Q112" s="101">
        <v>0.46256670638826908</v>
      </c>
      <c r="R112" s="303"/>
      <c r="T112" s="34" t="s">
        <v>31</v>
      </c>
      <c r="U112" s="101"/>
      <c r="V112" s="263"/>
      <c r="W112" s="43"/>
      <c r="X112" s="43"/>
      <c r="Y112" s="43"/>
      <c r="AA112" s="43"/>
      <c r="AD112" s="2"/>
    </row>
    <row r="113" spans="1:30" ht="181.5" customHeight="1">
      <c r="A113" s="254"/>
      <c r="B113" s="254"/>
      <c r="C113" s="257"/>
      <c r="D113" s="259"/>
      <c r="E113" s="8"/>
      <c r="F113" s="47" t="s">
        <v>32</v>
      </c>
      <c r="G113" s="48">
        <v>1.5739642532235538</v>
      </c>
      <c r="H113" s="48">
        <v>0.22233628128374025</v>
      </c>
      <c r="I113" s="264"/>
      <c r="J113" s="104">
        <v>1.3516279719398137</v>
      </c>
      <c r="K113" s="264"/>
      <c r="L113" s="50"/>
      <c r="M113" s="264"/>
      <c r="N113" s="8"/>
      <c r="O113" s="47" t="s">
        <v>32</v>
      </c>
      <c r="P113" s="48">
        <v>0.12782489241565778</v>
      </c>
      <c r="Q113" s="48">
        <v>0.12782489241565778</v>
      </c>
      <c r="R113" s="304"/>
      <c r="S113" s="8"/>
      <c r="T113" s="47" t="s">
        <v>32</v>
      </c>
      <c r="U113" s="48"/>
      <c r="V113" s="264"/>
      <c r="W113" s="50"/>
      <c r="X113" s="50"/>
      <c r="Y113" s="50"/>
      <c r="Z113" s="4"/>
      <c r="AA113" s="67"/>
    </row>
    <row r="114" spans="1:30" ht="108" customHeight="1">
      <c r="A114" s="254">
        <v>0</v>
      </c>
      <c r="B114" s="254" t="s">
        <v>103</v>
      </c>
      <c r="C114" s="256" t="s">
        <v>264</v>
      </c>
      <c r="D114" s="258" t="s">
        <v>24</v>
      </c>
      <c r="E114" s="11"/>
      <c r="F114" s="55" t="s">
        <v>25</v>
      </c>
      <c r="G114" s="36">
        <v>2.06</v>
      </c>
      <c r="H114" s="101">
        <v>0.52300000000000002</v>
      </c>
      <c r="I114" s="309" t="s">
        <v>265</v>
      </c>
      <c r="J114" s="101">
        <v>1.5369999999999999</v>
      </c>
      <c r="K114" s="262" t="s">
        <v>266</v>
      </c>
      <c r="L114" s="43"/>
      <c r="M114" s="262" t="s">
        <v>267</v>
      </c>
      <c r="N114" s="11"/>
      <c r="O114" s="34" t="s">
        <v>25</v>
      </c>
      <c r="P114" s="36">
        <v>7.0000000000000007E-2</v>
      </c>
      <c r="Q114" s="36">
        <v>7.0000000000000007E-2</v>
      </c>
      <c r="R114" s="262" t="s">
        <v>268</v>
      </c>
      <c r="S114" s="11"/>
      <c r="T114" s="34" t="s">
        <v>25</v>
      </c>
      <c r="U114" s="145"/>
      <c r="V114" s="306"/>
      <c r="W114" s="43"/>
      <c r="X114" s="43"/>
      <c r="Y114" s="43"/>
      <c r="AA114" s="65"/>
    </row>
    <row r="115" spans="1:30" ht="108" customHeight="1">
      <c r="A115" s="254"/>
      <c r="B115" s="254"/>
      <c r="C115" s="256"/>
      <c r="D115" s="258"/>
      <c r="E115" s="11"/>
      <c r="F115" s="34" t="s">
        <v>31</v>
      </c>
      <c r="G115" s="36">
        <v>0.67372246195775365</v>
      </c>
      <c r="H115" s="36">
        <v>0.17104701339995396</v>
      </c>
      <c r="I115" s="263"/>
      <c r="J115" s="36">
        <v>0.50267544855779966</v>
      </c>
      <c r="K115" s="263"/>
      <c r="L115" s="36"/>
      <c r="M115" s="263"/>
      <c r="N115" s="11"/>
      <c r="O115" s="34" t="s">
        <v>31</v>
      </c>
      <c r="P115" s="101">
        <v>2.4381353628372098E-5</v>
      </c>
      <c r="Q115" s="53">
        <v>2.4381353628372098E-5</v>
      </c>
      <c r="R115" s="263"/>
      <c r="S115" s="11"/>
      <c r="T115" s="34" t="s">
        <v>31</v>
      </c>
      <c r="U115" s="36"/>
      <c r="V115" s="307"/>
      <c r="W115" s="43"/>
      <c r="X115" s="43"/>
      <c r="Y115" s="43"/>
      <c r="AA115" s="65"/>
    </row>
    <row r="116" spans="1:30" ht="108" customHeight="1">
      <c r="A116" s="254"/>
      <c r="B116" s="254"/>
      <c r="C116" s="257"/>
      <c r="D116" s="259"/>
      <c r="E116" s="11"/>
      <c r="F116" s="47" t="s">
        <v>32</v>
      </c>
      <c r="G116" s="48">
        <v>4.1292831866875694</v>
      </c>
      <c r="H116" s="48">
        <v>1.0483568478823295</v>
      </c>
      <c r="I116" s="264"/>
      <c r="J116" s="48">
        <v>3.0809263388052397</v>
      </c>
      <c r="K116" s="264"/>
      <c r="L116" s="48"/>
      <c r="M116" s="264"/>
      <c r="N116" s="11"/>
      <c r="O116" s="47" t="s">
        <v>32</v>
      </c>
      <c r="P116" s="48">
        <v>1.8215652368232442E-4</v>
      </c>
      <c r="Q116" s="108">
        <v>1.8215652368232442E-4</v>
      </c>
      <c r="R116" s="264"/>
      <c r="S116" s="11"/>
      <c r="T116" s="47" t="s">
        <v>32</v>
      </c>
      <c r="U116" s="48"/>
      <c r="V116" s="308"/>
      <c r="W116" s="43"/>
      <c r="X116" s="43"/>
      <c r="Y116" s="43"/>
      <c r="AA116" s="65"/>
    </row>
    <row r="117" spans="1:30" s="13" customFormat="1" ht="84.65" customHeight="1">
      <c r="A117" s="254">
        <v>0</v>
      </c>
      <c r="B117" s="254" t="s">
        <v>103</v>
      </c>
      <c r="C117" s="256" t="s">
        <v>269</v>
      </c>
      <c r="D117" s="258" t="s">
        <v>34</v>
      </c>
      <c r="E117" s="97"/>
      <c r="F117" s="55" t="s">
        <v>25</v>
      </c>
      <c r="G117" s="111">
        <v>1400</v>
      </c>
      <c r="H117" s="73" t="s">
        <v>40</v>
      </c>
      <c r="I117" s="262" t="s">
        <v>270</v>
      </c>
      <c r="J117" s="73" t="s">
        <v>40</v>
      </c>
      <c r="K117" s="262" t="s">
        <v>271</v>
      </c>
      <c r="L117" s="73" t="s">
        <v>40</v>
      </c>
      <c r="M117" s="262" t="s">
        <v>272</v>
      </c>
      <c r="N117" s="97"/>
      <c r="O117" s="55" t="s">
        <v>25</v>
      </c>
      <c r="P117" s="111">
        <v>1900</v>
      </c>
      <c r="Q117" s="111">
        <v>1300</v>
      </c>
      <c r="R117" s="262" t="s">
        <v>273</v>
      </c>
      <c r="S117" s="97"/>
      <c r="T117" s="55" t="s">
        <v>25</v>
      </c>
      <c r="U117" s="72"/>
      <c r="V117" s="262" t="s">
        <v>274</v>
      </c>
      <c r="W117" s="73">
        <v>600</v>
      </c>
      <c r="X117" s="262" t="s">
        <v>275</v>
      </c>
      <c r="Y117" s="38"/>
      <c r="Z117" s="97"/>
      <c r="AA117" s="38"/>
      <c r="AD117" s="2"/>
    </row>
    <row r="118" spans="1:30" s="13" customFormat="1" ht="84.65" customHeight="1">
      <c r="A118" s="254"/>
      <c r="B118" s="254"/>
      <c r="C118" s="256"/>
      <c r="D118" s="258"/>
      <c r="F118" s="34" t="s">
        <v>31</v>
      </c>
      <c r="G118" s="36">
        <v>3.4116108489225021</v>
      </c>
      <c r="H118" s="107"/>
      <c r="I118" s="263"/>
      <c r="J118" s="107"/>
      <c r="K118" s="263"/>
      <c r="L118" s="43"/>
      <c r="M118" s="263"/>
      <c r="O118" s="34" t="s">
        <v>31</v>
      </c>
      <c r="P118" s="124">
        <v>4.6300432949662529</v>
      </c>
      <c r="Q118" s="36">
        <v>3.1679243597137523</v>
      </c>
      <c r="R118" s="263"/>
      <c r="T118" s="34" t="s">
        <v>31</v>
      </c>
      <c r="U118" s="101"/>
      <c r="V118" s="263"/>
      <c r="W118" s="36">
        <v>1.462118935252501</v>
      </c>
      <c r="X118" s="263"/>
      <c r="Y118" s="43"/>
      <c r="AA118" s="43"/>
      <c r="AD118" s="2"/>
    </row>
    <row r="119" spans="1:30" ht="84.65" customHeight="1">
      <c r="A119" s="254"/>
      <c r="B119" s="254"/>
      <c r="C119" s="257"/>
      <c r="D119" s="259"/>
      <c r="E119" s="8"/>
      <c r="F119" s="47" t="s">
        <v>32</v>
      </c>
      <c r="G119" s="48">
        <v>2.0585356055751052</v>
      </c>
      <c r="H119" s="146"/>
      <c r="I119" s="264"/>
      <c r="J119" s="104"/>
      <c r="K119" s="264"/>
      <c r="L119" s="50"/>
      <c r="M119" s="264"/>
      <c r="N119" s="8"/>
      <c r="O119" s="47" t="s">
        <v>32</v>
      </c>
      <c r="P119" s="66">
        <v>2.7937268932805002</v>
      </c>
      <c r="Q119" s="48">
        <v>1.9114973480340265</v>
      </c>
      <c r="R119" s="264"/>
      <c r="S119" s="8"/>
      <c r="T119" s="47" t="s">
        <v>32</v>
      </c>
      <c r="U119" s="48"/>
      <c r="V119" s="264"/>
      <c r="W119" s="48">
        <v>0.88222954524647368</v>
      </c>
      <c r="X119" s="264"/>
      <c r="Y119" s="50"/>
      <c r="Z119" s="4"/>
      <c r="AA119" s="67"/>
    </row>
    <row r="120" spans="1:30" ht="64.5" customHeight="1">
      <c r="A120" s="254">
        <v>0</v>
      </c>
      <c r="B120" s="254" t="s">
        <v>103</v>
      </c>
      <c r="C120" s="256" t="s">
        <v>276</v>
      </c>
      <c r="D120" s="258" t="s">
        <v>24</v>
      </c>
      <c r="E120" s="97"/>
      <c r="F120" s="55" t="s">
        <v>25</v>
      </c>
      <c r="G120" s="98">
        <v>8.0500000000000007</v>
      </c>
      <c r="H120" s="73">
        <v>1.3</v>
      </c>
      <c r="I120" s="262" t="s">
        <v>277</v>
      </c>
      <c r="J120" s="98">
        <v>6.75</v>
      </c>
      <c r="K120" s="262" t="s">
        <v>278</v>
      </c>
      <c r="L120" s="38"/>
      <c r="M120" s="38"/>
      <c r="N120" s="97"/>
      <c r="O120" s="34" t="s">
        <v>25</v>
      </c>
      <c r="P120" s="58">
        <v>144.345</v>
      </c>
      <c r="Q120" s="100">
        <v>4.3449999999999998</v>
      </c>
      <c r="R120" s="262" t="s">
        <v>279</v>
      </c>
      <c r="S120" s="97"/>
      <c r="T120" s="34" t="s">
        <v>25</v>
      </c>
      <c r="U120" s="72"/>
      <c r="V120" s="262"/>
      <c r="W120" s="38">
        <v>140</v>
      </c>
      <c r="X120" s="262" t="s">
        <v>280</v>
      </c>
      <c r="Y120" s="38"/>
      <c r="Z120" s="97"/>
      <c r="AA120" s="38"/>
    </row>
    <row r="121" spans="1:30" ht="63" customHeight="1">
      <c r="A121" s="254"/>
      <c r="B121" s="254"/>
      <c r="C121" s="256"/>
      <c r="D121" s="258"/>
      <c r="E121" s="13"/>
      <c r="F121" s="34" t="s">
        <v>31</v>
      </c>
      <c r="G121" s="36">
        <v>0.20558711161818749</v>
      </c>
      <c r="H121" s="36">
        <v>3.3200403118465061E-2</v>
      </c>
      <c r="I121" s="263"/>
      <c r="J121" s="36">
        <v>0.17238670849972243</v>
      </c>
      <c r="K121" s="263"/>
      <c r="L121" s="43"/>
      <c r="M121" s="43"/>
      <c r="N121" s="13"/>
      <c r="O121" s="34" t="s">
        <v>31</v>
      </c>
      <c r="P121" s="124">
        <v>3.6863939908729533</v>
      </c>
      <c r="Q121" s="64">
        <v>0.11096596273056206</v>
      </c>
      <c r="R121" s="263"/>
      <c r="S121" s="13"/>
      <c r="T121" s="34" t="s">
        <v>31</v>
      </c>
      <c r="U121" s="64"/>
      <c r="V121" s="263"/>
      <c r="W121" s="76">
        <v>3.5754280281423911</v>
      </c>
      <c r="X121" s="263"/>
      <c r="Y121" s="43"/>
      <c r="Z121" s="13"/>
      <c r="AA121" s="43"/>
    </row>
    <row r="122" spans="1:30" ht="81.650000000000006" customHeight="1">
      <c r="A122" s="254"/>
      <c r="B122" s="254"/>
      <c r="C122" s="257"/>
      <c r="D122" s="259"/>
      <c r="E122" s="8"/>
      <c r="F122" s="47" t="s">
        <v>32</v>
      </c>
      <c r="G122" s="48">
        <v>1.81271523892091</v>
      </c>
      <c r="H122" s="48">
        <v>0.29273662243443266</v>
      </c>
      <c r="I122" s="264"/>
      <c r="J122" s="48">
        <v>1.519978616486477</v>
      </c>
      <c r="K122" s="264"/>
      <c r="L122" s="50"/>
      <c r="M122" s="50"/>
      <c r="N122" s="8"/>
      <c r="O122" s="47" t="s">
        <v>32</v>
      </c>
      <c r="P122" s="66">
        <v>32.503898280998598</v>
      </c>
      <c r="Q122" s="52">
        <v>0.97841586498277677</v>
      </c>
      <c r="R122" s="264"/>
      <c r="S122" s="8"/>
      <c r="T122" s="47" t="s">
        <v>32</v>
      </c>
      <c r="U122" s="52"/>
      <c r="V122" s="264"/>
      <c r="W122" s="78">
        <v>31.525482416015819</v>
      </c>
      <c r="X122" s="264"/>
      <c r="Y122" s="50"/>
      <c r="Z122" s="4"/>
      <c r="AA122" s="67"/>
    </row>
    <row r="123" spans="1:30" ht="90" customHeight="1">
      <c r="A123" s="33"/>
      <c r="B123" s="33"/>
      <c r="C123" s="255" t="s">
        <v>281</v>
      </c>
      <c r="D123" s="286" t="s">
        <v>24</v>
      </c>
      <c r="E123" s="21"/>
      <c r="F123" s="34" t="s">
        <v>25</v>
      </c>
      <c r="G123" s="101">
        <v>13.6</v>
      </c>
      <c r="H123" s="73">
        <v>0.4</v>
      </c>
      <c r="I123" s="269" t="s">
        <v>282</v>
      </c>
      <c r="J123" s="35">
        <v>13.2</v>
      </c>
      <c r="K123" s="274" t="s">
        <v>283</v>
      </c>
      <c r="L123" s="43"/>
      <c r="M123" s="262"/>
      <c r="N123" s="21"/>
      <c r="O123" s="34" t="s">
        <v>25</v>
      </c>
      <c r="P123" s="147">
        <v>9.9</v>
      </c>
      <c r="Q123" s="129"/>
      <c r="R123" s="43"/>
      <c r="S123" s="21"/>
      <c r="T123" s="34" t="s">
        <v>25</v>
      </c>
      <c r="U123" s="101"/>
      <c r="V123" s="262"/>
      <c r="W123" s="36">
        <v>9.9</v>
      </c>
      <c r="X123" s="43"/>
      <c r="Y123" s="43"/>
      <c r="AA123" s="65"/>
    </row>
    <row r="124" spans="1:30" ht="61.5" customHeight="1">
      <c r="A124" s="33">
        <v>0</v>
      </c>
      <c r="B124" s="33" t="s">
        <v>103</v>
      </c>
      <c r="C124" s="256"/>
      <c r="D124" s="258"/>
      <c r="E124" s="21"/>
      <c r="F124" s="34" t="s">
        <v>31</v>
      </c>
      <c r="G124" s="36">
        <v>0.25277491720337325</v>
      </c>
      <c r="H124" s="36">
        <v>7.4345563883345079E-3</v>
      </c>
      <c r="I124" s="270"/>
      <c r="J124" s="36">
        <v>0.24534036081503874</v>
      </c>
      <c r="K124" s="260"/>
      <c r="L124" s="43"/>
      <c r="M124" s="263"/>
      <c r="N124" s="21"/>
      <c r="O124" s="34" t="s">
        <v>31</v>
      </c>
      <c r="P124" s="124">
        <v>0.18400527061127905</v>
      </c>
      <c r="Q124" s="129"/>
      <c r="R124" s="43"/>
      <c r="S124" s="21"/>
      <c r="T124" s="34" t="s">
        <v>31</v>
      </c>
      <c r="U124" s="36"/>
      <c r="V124" s="263"/>
      <c r="W124" s="36">
        <v>0.18400527061127905</v>
      </c>
      <c r="X124" s="43" t="s">
        <v>284</v>
      </c>
      <c r="Y124" s="43"/>
      <c r="AA124" s="65"/>
    </row>
    <row r="125" spans="1:30" ht="53.15" customHeight="1">
      <c r="A125" s="33"/>
      <c r="B125" s="33"/>
      <c r="C125" s="257"/>
      <c r="D125" s="259"/>
      <c r="E125" s="8"/>
      <c r="F125" s="47" t="s">
        <v>32</v>
      </c>
      <c r="G125" s="48">
        <v>2.020573940512004</v>
      </c>
      <c r="H125" s="48">
        <v>5.9428645309176589E-2</v>
      </c>
      <c r="I125" s="271"/>
      <c r="J125" s="48">
        <v>1.9611452952028274</v>
      </c>
      <c r="K125" s="261"/>
      <c r="L125" s="50"/>
      <c r="M125" s="264"/>
      <c r="N125" s="8"/>
      <c r="O125" s="47" t="s">
        <v>32</v>
      </c>
      <c r="P125" s="66">
        <v>1.4708589714021205</v>
      </c>
      <c r="Q125" s="52"/>
      <c r="R125" s="86"/>
      <c r="S125" s="8"/>
      <c r="T125" s="47" t="s">
        <v>32</v>
      </c>
      <c r="U125" s="48"/>
      <c r="V125" s="264"/>
      <c r="W125" s="48">
        <v>1.4708589714021205</v>
      </c>
      <c r="X125" s="50"/>
      <c r="Y125" s="43"/>
      <c r="AA125" s="65"/>
    </row>
    <row r="126" spans="1:30" ht="82.5" customHeight="1">
      <c r="A126" s="254">
        <v>0</v>
      </c>
      <c r="B126" s="254" t="s">
        <v>103</v>
      </c>
      <c r="C126" s="256" t="s">
        <v>285</v>
      </c>
      <c r="D126" s="258" t="s">
        <v>34</v>
      </c>
      <c r="E126" s="11"/>
      <c r="F126" s="55" t="s">
        <v>25</v>
      </c>
      <c r="G126" s="41">
        <v>828</v>
      </c>
      <c r="H126" s="41">
        <v>178</v>
      </c>
      <c r="I126" s="262" t="s">
        <v>286</v>
      </c>
      <c r="J126" s="35">
        <v>650</v>
      </c>
      <c r="K126" s="262" t="s">
        <v>287</v>
      </c>
      <c r="L126" s="35">
        <v>480</v>
      </c>
      <c r="M126" s="262" t="s">
        <v>288</v>
      </c>
      <c r="N126" s="11"/>
      <c r="O126" s="55" t="s">
        <v>25</v>
      </c>
      <c r="P126" s="98" t="s">
        <v>40</v>
      </c>
      <c r="Q126" s="64"/>
      <c r="R126" s="43"/>
      <c r="S126" s="11"/>
      <c r="T126" s="55" t="s">
        <v>25</v>
      </c>
      <c r="U126" s="36" t="s">
        <v>40</v>
      </c>
      <c r="V126" s="262" t="s">
        <v>289</v>
      </c>
      <c r="W126" s="43" t="s">
        <v>40</v>
      </c>
      <c r="X126" s="310"/>
      <c r="Y126" s="43"/>
      <c r="AA126" s="65"/>
    </row>
    <row r="127" spans="1:30" ht="96.65" customHeight="1">
      <c r="A127" s="254"/>
      <c r="B127" s="254"/>
      <c r="C127" s="256"/>
      <c r="D127" s="258"/>
      <c r="E127" s="11"/>
      <c r="F127" s="34" t="s">
        <v>31</v>
      </c>
      <c r="G127" s="36">
        <v>5.2148375564455147</v>
      </c>
      <c r="H127" s="36">
        <v>1.1210641123759681</v>
      </c>
      <c r="I127" s="263"/>
      <c r="J127" s="36">
        <v>4.0937734440695461</v>
      </c>
      <c r="K127" s="263"/>
      <c r="L127" s="36">
        <v>3.0230942356205883</v>
      </c>
      <c r="M127" s="263"/>
      <c r="N127" s="11"/>
      <c r="O127" s="34" t="s">
        <v>31</v>
      </c>
      <c r="P127" s="124"/>
      <c r="Q127" s="36"/>
      <c r="R127" s="43"/>
      <c r="S127" s="11"/>
      <c r="T127" s="34" t="s">
        <v>31</v>
      </c>
      <c r="U127" s="36"/>
      <c r="V127" s="263"/>
      <c r="W127" s="43"/>
      <c r="X127" s="303"/>
      <c r="Y127" s="43"/>
      <c r="AA127" s="65"/>
    </row>
    <row r="128" spans="1:30" ht="92.5" customHeight="1">
      <c r="A128" s="254"/>
      <c r="B128" s="254"/>
      <c r="C128" s="257"/>
      <c r="D128" s="259"/>
      <c r="E128" s="11"/>
      <c r="F128" s="47" t="s">
        <v>32</v>
      </c>
      <c r="G128" s="48">
        <v>1.9843417699892416</v>
      </c>
      <c r="H128" s="48">
        <v>0.42658554958705924</v>
      </c>
      <c r="I128" s="264"/>
      <c r="J128" s="48">
        <v>1.5577562204021824</v>
      </c>
      <c r="K128" s="264"/>
      <c r="L128" s="48">
        <v>1.150343055066227</v>
      </c>
      <c r="M128" s="264"/>
      <c r="N128" s="8"/>
      <c r="O128" s="47" t="s">
        <v>32</v>
      </c>
      <c r="P128" s="66"/>
      <c r="Q128" s="48"/>
      <c r="R128" s="50"/>
      <c r="S128" s="8"/>
      <c r="T128" s="47" t="s">
        <v>32</v>
      </c>
      <c r="U128" s="48"/>
      <c r="V128" s="264"/>
      <c r="W128" s="50"/>
      <c r="X128" s="304"/>
      <c r="Y128" s="43"/>
      <c r="AA128" s="65"/>
    </row>
    <row r="129" spans="1:30" ht="42.65" customHeight="1">
      <c r="A129" s="254">
        <v>0</v>
      </c>
      <c r="B129" s="254" t="s">
        <v>103</v>
      </c>
      <c r="C129" s="256" t="s">
        <v>290</v>
      </c>
      <c r="D129" s="258" t="s">
        <v>24</v>
      </c>
      <c r="E129" s="11"/>
      <c r="F129" s="55" t="s">
        <v>25</v>
      </c>
      <c r="G129" s="41">
        <v>45.033000000000001</v>
      </c>
      <c r="H129" s="36">
        <v>3.0329999999999999</v>
      </c>
      <c r="I129" s="262" t="s">
        <v>291</v>
      </c>
      <c r="J129" s="41">
        <v>42</v>
      </c>
      <c r="K129" s="262" t="s">
        <v>292</v>
      </c>
      <c r="L129" s="41">
        <v>13.6</v>
      </c>
      <c r="M129" s="262" t="s">
        <v>293</v>
      </c>
      <c r="N129" s="11"/>
      <c r="O129" s="55" t="s">
        <v>25</v>
      </c>
      <c r="P129" s="58">
        <v>62.8</v>
      </c>
      <c r="Q129" s="36"/>
      <c r="R129" s="43"/>
      <c r="S129" s="11"/>
      <c r="T129" s="55" t="s">
        <v>25</v>
      </c>
      <c r="U129" s="41">
        <v>62.8</v>
      </c>
      <c r="V129" s="262" t="s">
        <v>294</v>
      </c>
      <c r="W129" s="36"/>
      <c r="X129" s="306"/>
      <c r="Y129" s="43"/>
      <c r="AA129" s="65"/>
    </row>
    <row r="130" spans="1:30" ht="37" customHeight="1">
      <c r="A130" s="254"/>
      <c r="B130" s="254"/>
      <c r="C130" s="256"/>
      <c r="D130" s="258"/>
      <c r="E130" s="11"/>
      <c r="F130" s="34" t="s">
        <v>31</v>
      </c>
      <c r="G130" s="41">
        <v>12.851003355934527</v>
      </c>
      <c r="H130" s="36">
        <v>0.86552290938976784</v>
      </c>
      <c r="I130" s="263"/>
      <c r="J130" s="41">
        <v>11.985480446544758</v>
      </c>
      <c r="K130" s="263"/>
      <c r="L130" s="36">
        <v>3.8810127160240167</v>
      </c>
      <c r="M130" s="263"/>
      <c r="N130" s="11"/>
      <c r="O130" s="34" t="s">
        <v>31</v>
      </c>
      <c r="P130" s="63">
        <v>17.921146953405017</v>
      </c>
      <c r="Q130" s="36"/>
      <c r="R130" s="43"/>
      <c r="S130" s="11"/>
      <c r="T130" s="34" t="s">
        <v>31</v>
      </c>
      <c r="U130" s="41">
        <v>17.921146953405017</v>
      </c>
      <c r="V130" s="263"/>
      <c r="W130" s="43"/>
      <c r="X130" s="307"/>
      <c r="Y130" s="43"/>
      <c r="AA130" s="65"/>
    </row>
    <row r="131" spans="1:30" ht="44.5" customHeight="1">
      <c r="A131" s="254"/>
      <c r="B131" s="254"/>
      <c r="C131" s="257"/>
      <c r="D131" s="259"/>
      <c r="E131" s="11"/>
      <c r="F131" s="47" t="s">
        <v>32</v>
      </c>
      <c r="G131" s="48">
        <v>6.5646403845756023</v>
      </c>
      <c r="H131" s="48">
        <v>0.44213253139737091</v>
      </c>
      <c r="I131" s="264"/>
      <c r="J131" s="48">
        <v>6.1225078531782318</v>
      </c>
      <c r="K131" s="264"/>
      <c r="L131" s="48">
        <v>1.982526352457713</v>
      </c>
      <c r="M131" s="264"/>
      <c r="N131" s="8"/>
      <c r="O131" s="47" t="s">
        <v>32</v>
      </c>
      <c r="P131" s="66">
        <v>9.1546069804665002</v>
      </c>
      <c r="Q131" s="48"/>
      <c r="R131" s="50"/>
      <c r="S131" s="8"/>
      <c r="T131" s="47" t="s">
        <v>32</v>
      </c>
      <c r="U131" s="48">
        <v>9.1546069804665002</v>
      </c>
      <c r="V131" s="264"/>
      <c r="W131" s="50"/>
      <c r="X131" s="308"/>
      <c r="Y131" s="43"/>
      <c r="AA131" s="65"/>
    </row>
    <row r="132" spans="1:30" ht="40" customHeight="1">
      <c r="A132" s="254">
        <v>0</v>
      </c>
      <c r="B132" s="254" t="s">
        <v>103</v>
      </c>
      <c r="C132" s="256" t="s">
        <v>295</v>
      </c>
      <c r="D132" s="258" t="s">
        <v>34</v>
      </c>
      <c r="E132" s="11"/>
      <c r="F132" s="55" t="s">
        <v>25</v>
      </c>
      <c r="G132" s="41">
        <v>421.9</v>
      </c>
      <c r="H132" s="41">
        <v>64.099999999999994</v>
      </c>
      <c r="I132" s="262" t="s">
        <v>296</v>
      </c>
      <c r="J132" s="41">
        <v>357.8</v>
      </c>
      <c r="K132" s="262" t="s">
        <v>297</v>
      </c>
      <c r="L132" s="36"/>
      <c r="M132" s="43"/>
      <c r="N132" s="11"/>
      <c r="O132" s="55" t="s">
        <v>25</v>
      </c>
      <c r="P132" s="58">
        <v>193.8</v>
      </c>
      <c r="Q132" s="41">
        <v>72.8</v>
      </c>
      <c r="R132" s="262" t="s">
        <v>298</v>
      </c>
      <c r="S132" s="11"/>
      <c r="T132" s="55" t="s">
        <v>25</v>
      </c>
      <c r="U132" s="41">
        <v>120</v>
      </c>
      <c r="V132" s="262" t="s">
        <v>299</v>
      </c>
      <c r="W132" s="36">
        <v>1</v>
      </c>
      <c r="X132" s="262" t="s">
        <v>300</v>
      </c>
      <c r="Y132" s="43"/>
      <c r="AA132" s="65"/>
    </row>
    <row r="133" spans="1:30" ht="40" customHeight="1">
      <c r="A133" s="254"/>
      <c r="B133" s="254"/>
      <c r="C133" s="256"/>
      <c r="D133" s="258"/>
      <c r="E133" s="11"/>
      <c r="F133" s="34" t="s">
        <v>31</v>
      </c>
      <c r="G133" s="36">
        <v>8.4718875502008029</v>
      </c>
      <c r="H133" s="36">
        <v>1.2871485943775101</v>
      </c>
      <c r="I133" s="263"/>
      <c r="J133" s="36">
        <v>7.1847389558232937</v>
      </c>
      <c r="K133" s="263"/>
      <c r="L133" s="36"/>
      <c r="M133" s="43"/>
      <c r="N133" s="11"/>
      <c r="O133" s="34" t="s">
        <v>31</v>
      </c>
      <c r="P133" s="124">
        <v>3.8915662650602409</v>
      </c>
      <c r="Q133" s="36">
        <v>1.4618473895582329</v>
      </c>
      <c r="R133" s="263"/>
      <c r="S133" s="11"/>
      <c r="T133" s="34" t="s">
        <v>31</v>
      </c>
      <c r="U133" s="36">
        <v>2.4096385542168677</v>
      </c>
      <c r="V133" s="263"/>
      <c r="W133" s="36">
        <v>2.0080321285140562E-2</v>
      </c>
      <c r="X133" s="263"/>
      <c r="Y133" s="43"/>
      <c r="AA133" s="65"/>
    </row>
    <row r="134" spans="1:30" ht="40" customHeight="1">
      <c r="A134" s="254"/>
      <c r="B134" s="254"/>
      <c r="C134" s="257"/>
      <c r="D134" s="259"/>
      <c r="E134" s="11"/>
      <c r="F134" s="47" t="s">
        <v>32</v>
      </c>
      <c r="G134" s="48">
        <v>2.3061439301336746</v>
      </c>
      <c r="H134" s="48">
        <v>0.3503764539501506</v>
      </c>
      <c r="I134" s="264"/>
      <c r="J134" s="48">
        <v>1.9557674761835242</v>
      </c>
      <c r="K134" s="264"/>
      <c r="L134" s="48"/>
      <c r="M134" s="43"/>
      <c r="N134" s="11"/>
      <c r="O134" s="47" t="s">
        <v>32</v>
      </c>
      <c r="P134" s="66">
        <v>1.0593284988383649</v>
      </c>
      <c r="Q134" s="48">
        <v>0.39793144848004625</v>
      </c>
      <c r="R134" s="264"/>
      <c r="S134" s="11"/>
      <c r="T134" s="47" t="s">
        <v>32</v>
      </c>
      <c r="U134" s="48">
        <v>0.65593095903304333</v>
      </c>
      <c r="V134" s="264"/>
      <c r="W134" s="48">
        <v>5.4660913252753606E-3</v>
      </c>
      <c r="X134" s="264"/>
      <c r="Y134" s="43"/>
      <c r="AA134" s="65"/>
    </row>
    <row r="135" spans="1:30" s="13" customFormat="1" ht="60" customHeight="1">
      <c r="A135" s="254">
        <v>0</v>
      </c>
      <c r="B135" s="254" t="s">
        <v>103</v>
      </c>
      <c r="C135" s="256" t="s">
        <v>301</v>
      </c>
      <c r="D135" s="286" t="s">
        <v>24</v>
      </c>
      <c r="E135" s="97"/>
      <c r="F135" s="55" t="s">
        <v>25</v>
      </c>
      <c r="G135" s="72">
        <v>151.69999999999999</v>
      </c>
      <c r="H135" s="98">
        <v>8.5</v>
      </c>
      <c r="I135" s="262" t="s">
        <v>302</v>
      </c>
      <c r="J135" s="72">
        <v>143.19999999999999</v>
      </c>
      <c r="K135" s="262" t="s">
        <v>303</v>
      </c>
      <c r="L135" s="73" t="s">
        <v>40</v>
      </c>
      <c r="M135" s="262" t="s">
        <v>304</v>
      </c>
      <c r="N135" s="97"/>
      <c r="O135" s="34" t="s">
        <v>25</v>
      </c>
      <c r="P135" s="58">
        <v>114</v>
      </c>
      <c r="Q135" s="112">
        <v>40</v>
      </c>
      <c r="R135" s="262" t="s">
        <v>305</v>
      </c>
      <c r="S135" s="97"/>
      <c r="T135" s="148" t="s">
        <v>25</v>
      </c>
      <c r="U135" s="149">
        <v>74</v>
      </c>
      <c r="V135" s="262" t="s">
        <v>306</v>
      </c>
      <c r="W135" s="149"/>
      <c r="X135" s="262"/>
      <c r="Y135" s="150" t="s">
        <v>307</v>
      </c>
      <c r="Z135" s="97"/>
      <c r="AA135" s="151"/>
      <c r="AD135" s="2"/>
    </row>
    <row r="136" spans="1:30" s="13" customFormat="1" ht="60" customHeight="1">
      <c r="A136" s="254"/>
      <c r="B136" s="254"/>
      <c r="C136" s="256"/>
      <c r="D136" s="258"/>
      <c r="F136" s="34" t="s">
        <v>31</v>
      </c>
      <c r="G136" s="41">
        <v>38.720578300885037</v>
      </c>
      <c r="H136" s="36">
        <v>2.169577558058819</v>
      </c>
      <c r="I136" s="263"/>
      <c r="J136" s="41">
        <v>36.551000742826218</v>
      </c>
      <c r="K136" s="263"/>
      <c r="L136" s="43"/>
      <c r="M136" s="263"/>
      <c r="O136" s="34" t="s">
        <v>31</v>
      </c>
      <c r="P136" s="63">
        <v>29.097863719847695</v>
      </c>
      <c r="Q136" s="42">
        <v>10.209776743806207</v>
      </c>
      <c r="R136" s="263"/>
      <c r="T136" s="34" t="s">
        <v>31</v>
      </c>
      <c r="U136" s="46">
        <v>18.888086976041485</v>
      </c>
      <c r="V136" s="263"/>
      <c r="W136" s="41"/>
      <c r="X136" s="263"/>
      <c r="Y136" s="43"/>
      <c r="AA136" s="43"/>
      <c r="AD136" s="2"/>
    </row>
    <row r="137" spans="1:30" ht="81.650000000000006" customHeight="1">
      <c r="A137" s="254"/>
      <c r="B137" s="254"/>
      <c r="C137" s="257"/>
      <c r="D137" s="259"/>
      <c r="E137" s="8"/>
      <c r="F137" s="47" t="s">
        <v>32</v>
      </c>
      <c r="G137" s="48">
        <v>6.6656868929747208</v>
      </c>
      <c r="H137" s="48">
        <v>0.37348937765514251</v>
      </c>
      <c r="I137" s="264"/>
      <c r="J137" s="48">
        <v>6.2921975153195771</v>
      </c>
      <c r="K137" s="264"/>
      <c r="L137" s="50"/>
      <c r="M137" s="264"/>
      <c r="N137" s="8"/>
      <c r="O137" s="47" t="s">
        <v>32</v>
      </c>
      <c r="P137" s="66">
        <v>5.0091516532572058</v>
      </c>
      <c r="Q137" s="52">
        <v>1.757597071318318</v>
      </c>
      <c r="R137" s="264"/>
      <c r="S137" s="8"/>
      <c r="T137" s="47" t="s">
        <v>32</v>
      </c>
      <c r="U137" s="108">
        <v>3.2515545819388878</v>
      </c>
      <c r="V137" s="264"/>
      <c r="W137" s="48"/>
      <c r="X137" s="264"/>
      <c r="Y137" s="50"/>
      <c r="Z137" s="4"/>
      <c r="AA137" s="67"/>
    </row>
    <row r="138" spans="1:30" ht="60" customHeight="1">
      <c r="A138" s="254">
        <v>0</v>
      </c>
      <c r="B138" s="254" t="s">
        <v>103</v>
      </c>
      <c r="C138" s="256" t="s">
        <v>308</v>
      </c>
      <c r="D138" s="286" t="s">
        <v>34</v>
      </c>
      <c r="E138" s="11"/>
      <c r="F138" s="55" t="s">
        <v>25</v>
      </c>
      <c r="G138" s="41">
        <v>22.8</v>
      </c>
      <c r="H138" s="40">
        <v>11.8</v>
      </c>
      <c r="I138" s="262" t="s">
        <v>309</v>
      </c>
      <c r="J138" s="35">
        <v>11</v>
      </c>
      <c r="K138" s="262" t="s">
        <v>310</v>
      </c>
      <c r="L138" s="107"/>
      <c r="M138" s="274" t="s">
        <v>311</v>
      </c>
      <c r="N138" s="11"/>
      <c r="O138" s="34" t="s">
        <v>25</v>
      </c>
      <c r="P138" s="58">
        <v>33.700000000000003</v>
      </c>
      <c r="Q138" s="64">
        <v>1.7</v>
      </c>
      <c r="R138" s="262" t="s">
        <v>312</v>
      </c>
      <c r="S138" s="11"/>
      <c r="T138" s="34" t="s">
        <v>25</v>
      </c>
      <c r="U138" s="46">
        <v>32</v>
      </c>
      <c r="V138" s="310" t="s">
        <v>313</v>
      </c>
      <c r="W138" s="43"/>
      <c r="X138" s="43"/>
      <c r="Y138" s="43"/>
      <c r="AA138" s="65"/>
    </row>
    <row r="139" spans="1:30" ht="80.150000000000006" customHeight="1">
      <c r="A139" s="254"/>
      <c r="B139" s="254"/>
      <c r="C139" s="256"/>
      <c r="D139" s="258"/>
      <c r="E139" s="11"/>
      <c r="F139" s="34" t="s">
        <v>31</v>
      </c>
      <c r="G139" s="36">
        <v>5.3975615107896893</v>
      </c>
      <c r="H139" s="36">
        <v>2.7934748169876467</v>
      </c>
      <c r="I139" s="263"/>
      <c r="J139" s="36">
        <v>2.6040866938020431</v>
      </c>
      <c r="K139" s="263"/>
      <c r="L139" s="36"/>
      <c r="M139" s="260"/>
      <c r="N139" s="11"/>
      <c r="O139" s="34" t="s">
        <v>31</v>
      </c>
      <c r="P139" s="124">
        <v>7.9779746891935321</v>
      </c>
      <c r="Q139" s="36">
        <v>0.40244976176940667</v>
      </c>
      <c r="R139" s="263"/>
      <c r="S139" s="11"/>
      <c r="T139" s="34" t="s">
        <v>31</v>
      </c>
      <c r="U139" s="36">
        <v>7.5755249274241256</v>
      </c>
      <c r="V139" s="263"/>
      <c r="W139" s="43"/>
      <c r="X139" s="43"/>
      <c r="Y139" s="43"/>
      <c r="AA139" s="65"/>
    </row>
    <row r="140" spans="1:30" ht="215.5" customHeight="1">
      <c r="A140" s="254"/>
      <c r="B140" s="254"/>
      <c r="C140" s="257"/>
      <c r="D140" s="259"/>
      <c r="E140" s="11"/>
      <c r="F140" s="47" t="s">
        <v>32</v>
      </c>
      <c r="G140" s="48">
        <v>2.1709754939965809</v>
      </c>
      <c r="H140" s="48">
        <v>1.1235750363666515</v>
      </c>
      <c r="I140" s="264"/>
      <c r="J140" s="48">
        <v>1.0474004576299294</v>
      </c>
      <c r="K140" s="264"/>
      <c r="L140" s="48"/>
      <c r="M140" s="261"/>
      <c r="N140" s="8"/>
      <c r="O140" s="47" t="s">
        <v>32</v>
      </c>
      <c r="P140" s="66">
        <v>3.2088541292844197</v>
      </c>
      <c r="Q140" s="48">
        <v>0.16187097981553453</v>
      </c>
      <c r="R140" s="264"/>
      <c r="S140" s="8"/>
      <c r="T140" s="47" t="s">
        <v>32</v>
      </c>
      <c r="U140" s="48">
        <v>3.0469831494688853</v>
      </c>
      <c r="V140" s="264"/>
      <c r="W140" s="50"/>
      <c r="X140" s="50"/>
      <c r="Y140" s="43"/>
      <c r="AA140" s="65"/>
    </row>
    <row r="141" spans="1:30" ht="62.15" customHeight="1">
      <c r="A141" s="33"/>
      <c r="B141" s="33"/>
      <c r="C141" s="255" t="s">
        <v>314</v>
      </c>
      <c r="D141" s="286" t="s">
        <v>24</v>
      </c>
      <c r="E141" s="21"/>
      <c r="F141" s="34" t="s">
        <v>25</v>
      </c>
      <c r="G141" s="35">
        <v>308</v>
      </c>
      <c r="H141" s="73">
        <v>73</v>
      </c>
      <c r="I141" s="269" t="s">
        <v>315</v>
      </c>
      <c r="J141" s="35">
        <v>235</v>
      </c>
      <c r="K141" s="274" t="s">
        <v>316</v>
      </c>
      <c r="L141" s="35">
        <v>151</v>
      </c>
      <c r="M141" s="262" t="s">
        <v>317</v>
      </c>
      <c r="N141" s="21"/>
      <c r="O141" s="34" t="s">
        <v>25</v>
      </c>
      <c r="P141" s="58">
        <v>76.5</v>
      </c>
      <c r="Q141" s="129"/>
      <c r="R141" s="43"/>
      <c r="S141" s="21"/>
      <c r="T141" s="34" t="s">
        <v>25</v>
      </c>
      <c r="U141" s="35">
        <v>56.5</v>
      </c>
      <c r="V141" s="262" t="s">
        <v>318</v>
      </c>
      <c r="W141" s="41">
        <v>20</v>
      </c>
      <c r="X141" s="262" t="s">
        <v>319</v>
      </c>
      <c r="Y141" s="43"/>
      <c r="AA141" s="65"/>
    </row>
    <row r="142" spans="1:30" ht="71.5" customHeight="1">
      <c r="A142" s="33">
        <v>0</v>
      </c>
      <c r="B142" s="33" t="s">
        <v>103</v>
      </c>
      <c r="C142" s="256"/>
      <c r="D142" s="258"/>
      <c r="E142" s="21"/>
      <c r="F142" s="34" t="s">
        <v>31</v>
      </c>
      <c r="G142" s="36">
        <v>2.9244461804058437</v>
      </c>
      <c r="H142" s="36">
        <v>0.69313172457670968</v>
      </c>
      <c r="I142" s="270"/>
      <c r="J142" s="36">
        <v>2.2313144558291338</v>
      </c>
      <c r="K142" s="260"/>
      <c r="L142" s="36">
        <v>1.4337382248093584</v>
      </c>
      <c r="M142" s="263"/>
      <c r="N142" s="21"/>
      <c r="O142" s="34" t="s">
        <v>31</v>
      </c>
      <c r="P142" s="124">
        <v>0.72636406753586702</v>
      </c>
      <c r="Q142" s="129"/>
      <c r="R142" s="43"/>
      <c r="S142" s="21"/>
      <c r="T142" s="34" t="s">
        <v>31</v>
      </c>
      <c r="U142" s="36">
        <v>0.53646496491211093</v>
      </c>
      <c r="V142" s="263"/>
      <c r="W142" s="36">
        <v>0.18989910262375609</v>
      </c>
      <c r="X142" s="263"/>
      <c r="Y142" s="43"/>
      <c r="AA142" s="65"/>
    </row>
    <row r="143" spans="1:30" ht="55" customHeight="1">
      <c r="A143" s="33"/>
      <c r="B143" s="33"/>
      <c r="C143" s="257"/>
      <c r="D143" s="259"/>
      <c r="E143" s="8"/>
      <c r="F143" s="47" t="s">
        <v>32</v>
      </c>
      <c r="G143" s="48">
        <v>5.6239918201327903</v>
      </c>
      <c r="H143" s="48">
        <v>1.3329591002262784</v>
      </c>
      <c r="I143" s="271"/>
      <c r="J143" s="48">
        <v>4.2910327199065126</v>
      </c>
      <c r="K143" s="261"/>
      <c r="L143" s="48">
        <v>2.7572167689612055</v>
      </c>
      <c r="M143" s="264"/>
      <c r="N143" s="8"/>
      <c r="O143" s="47" t="s">
        <v>32</v>
      </c>
      <c r="P143" s="66">
        <v>1.3968680981823327</v>
      </c>
      <c r="Q143" s="52"/>
      <c r="R143" s="86"/>
      <c r="S143" s="8"/>
      <c r="T143" s="47" t="s">
        <v>32</v>
      </c>
      <c r="U143" s="48">
        <v>1.0316738241477359</v>
      </c>
      <c r="V143" s="264"/>
      <c r="W143" s="48">
        <v>0.36519427403459681</v>
      </c>
      <c r="X143" s="264"/>
      <c r="Y143" s="43"/>
      <c r="AA143" s="65"/>
    </row>
    <row r="144" spans="1:30" ht="133.5" customHeight="1">
      <c r="A144" s="254">
        <v>0</v>
      </c>
      <c r="B144" s="254" t="s">
        <v>103</v>
      </c>
      <c r="C144" s="256" t="s">
        <v>320</v>
      </c>
      <c r="D144" s="258" t="s">
        <v>141</v>
      </c>
      <c r="E144" s="11"/>
      <c r="F144" s="55" t="s">
        <v>25</v>
      </c>
      <c r="G144" s="111">
        <v>1277</v>
      </c>
      <c r="H144" s="36" t="s">
        <v>40</v>
      </c>
      <c r="I144" s="262" t="s">
        <v>321</v>
      </c>
      <c r="J144" s="36" t="s">
        <v>40</v>
      </c>
      <c r="K144" s="309" t="s">
        <v>322</v>
      </c>
      <c r="L144" s="36"/>
      <c r="M144" s="262" t="s">
        <v>323</v>
      </c>
      <c r="N144" s="11"/>
      <c r="O144" s="34" t="s">
        <v>25</v>
      </c>
      <c r="P144" s="58">
        <v>665</v>
      </c>
      <c r="Q144" s="41">
        <v>90</v>
      </c>
      <c r="R144" s="310" t="s">
        <v>324</v>
      </c>
      <c r="S144" s="11"/>
      <c r="T144" s="34" t="s">
        <v>25</v>
      </c>
      <c r="U144" s="41">
        <v>325</v>
      </c>
      <c r="V144" s="262" t="s">
        <v>325</v>
      </c>
      <c r="W144" s="41">
        <v>250</v>
      </c>
      <c r="X144" s="262" t="s">
        <v>326</v>
      </c>
      <c r="Y144" s="43"/>
      <c r="AA144" s="65"/>
    </row>
    <row r="145" spans="1:30" ht="130" customHeight="1">
      <c r="A145" s="254"/>
      <c r="B145" s="254"/>
      <c r="C145" s="256"/>
      <c r="D145" s="258"/>
      <c r="E145" s="11"/>
      <c r="F145" s="34" t="s">
        <v>31</v>
      </c>
      <c r="G145" s="41">
        <v>41.72722110529817</v>
      </c>
      <c r="H145" s="36"/>
      <c r="I145" s="263"/>
      <c r="J145" s="36"/>
      <c r="K145" s="263"/>
      <c r="L145" s="36"/>
      <c r="M145" s="263"/>
      <c r="N145" s="11"/>
      <c r="O145" s="34" t="s">
        <v>31</v>
      </c>
      <c r="P145" s="63">
        <v>21.729523911529586</v>
      </c>
      <c r="Q145" s="36">
        <v>2.9408378226130267</v>
      </c>
      <c r="R145" s="303"/>
      <c r="S145" s="11"/>
      <c r="T145" s="34" t="s">
        <v>31</v>
      </c>
      <c r="U145" s="41">
        <v>10.619692137213708</v>
      </c>
      <c r="V145" s="263"/>
      <c r="W145" s="36">
        <v>8.168993951702852</v>
      </c>
      <c r="X145" s="263"/>
      <c r="Y145" s="43"/>
      <c r="AA145" s="65"/>
    </row>
    <row r="146" spans="1:30" ht="205.5" customHeight="1">
      <c r="A146" s="254"/>
      <c r="B146" s="254"/>
      <c r="C146" s="257"/>
      <c r="D146" s="259"/>
      <c r="E146" s="11"/>
      <c r="F146" s="47" t="s">
        <v>32</v>
      </c>
      <c r="G146" s="48">
        <v>8.1946675052784954</v>
      </c>
      <c r="H146" s="48"/>
      <c r="I146" s="264"/>
      <c r="J146" s="48"/>
      <c r="K146" s="264"/>
      <c r="L146" s="48"/>
      <c r="M146" s="264"/>
      <c r="N146" s="8"/>
      <c r="O146" s="47" t="s">
        <v>32</v>
      </c>
      <c r="P146" s="66">
        <v>4.2673875419030542</v>
      </c>
      <c r="Q146" s="48">
        <v>0.57754117108462377</v>
      </c>
      <c r="R146" s="304"/>
      <c r="S146" s="8"/>
      <c r="T146" s="47" t="s">
        <v>32</v>
      </c>
      <c r="U146" s="48">
        <v>2.0855653400278085</v>
      </c>
      <c r="V146" s="264"/>
      <c r="W146" s="48">
        <v>1.6042810307906219</v>
      </c>
      <c r="X146" s="264"/>
      <c r="Y146" s="43"/>
      <c r="AA146" s="65"/>
    </row>
    <row r="147" spans="1:30" s="13" customFormat="1" ht="79.5" customHeight="1">
      <c r="A147" s="254">
        <v>0</v>
      </c>
      <c r="B147" s="254" t="s">
        <v>103</v>
      </c>
      <c r="C147" s="255" t="s">
        <v>327</v>
      </c>
      <c r="D147" s="286" t="s">
        <v>24</v>
      </c>
      <c r="E147" s="97"/>
      <c r="F147" s="55" t="s">
        <v>25</v>
      </c>
      <c r="G147" s="98">
        <v>2.0409999999999999</v>
      </c>
      <c r="H147" s="98">
        <v>0.33</v>
      </c>
      <c r="I147" s="262" t="s">
        <v>328</v>
      </c>
      <c r="J147" s="98">
        <v>1.7110000000000001</v>
      </c>
      <c r="K147" s="309" t="s">
        <v>329</v>
      </c>
      <c r="L147" s="98">
        <v>0.55500000000000005</v>
      </c>
      <c r="M147" s="262" t="s">
        <v>330</v>
      </c>
      <c r="N147" s="97"/>
      <c r="O147" s="55" t="s">
        <v>25</v>
      </c>
      <c r="P147" s="147">
        <v>0.5</v>
      </c>
      <c r="Q147" s="152">
        <v>0.3</v>
      </c>
      <c r="R147" s="262" t="s">
        <v>331</v>
      </c>
      <c r="S147" s="97"/>
      <c r="T147" s="55" t="s">
        <v>25</v>
      </c>
      <c r="U147" s="98">
        <v>0.2</v>
      </c>
      <c r="V147" s="262" t="s">
        <v>332</v>
      </c>
      <c r="W147" s="38"/>
      <c r="X147" s="38"/>
      <c r="Y147" s="262" t="s">
        <v>333</v>
      </c>
      <c r="Z147" s="97"/>
      <c r="AA147" s="38"/>
      <c r="AD147" s="2"/>
    </row>
    <row r="148" spans="1:30" s="13" customFormat="1" ht="107.5" customHeight="1">
      <c r="A148" s="254"/>
      <c r="B148" s="254"/>
      <c r="C148" s="256"/>
      <c r="D148" s="258"/>
      <c r="F148" s="34" t="s">
        <v>31</v>
      </c>
      <c r="G148" s="36">
        <v>0.72081020281523722</v>
      </c>
      <c r="H148" s="36">
        <v>0.11654452078835291</v>
      </c>
      <c r="I148" s="263"/>
      <c r="J148" s="36">
        <v>0.60426568202688435</v>
      </c>
      <c r="K148" s="263"/>
      <c r="L148" s="36">
        <v>0.196006694053139</v>
      </c>
      <c r="M148" s="263"/>
      <c r="O148" s="34" t="s">
        <v>31</v>
      </c>
      <c r="P148" s="124">
        <v>0.17658260725508018</v>
      </c>
      <c r="Q148" s="53">
        <v>0.1059495643530481</v>
      </c>
      <c r="R148" s="263"/>
      <c r="T148" s="34" t="s">
        <v>31</v>
      </c>
      <c r="U148" s="36">
        <v>7.0633042902032067E-2</v>
      </c>
      <c r="V148" s="263"/>
      <c r="W148" s="43"/>
      <c r="X148" s="43"/>
      <c r="Y148" s="263"/>
      <c r="AA148" s="43"/>
      <c r="AD148" s="2"/>
    </row>
    <row r="149" spans="1:30" ht="79.5" customHeight="1">
      <c r="A149" s="254"/>
      <c r="B149" s="254"/>
      <c r="C149" s="257"/>
      <c r="D149" s="259"/>
      <c r="E149" s="8"/>
      <c r="F149" s="47" t="s">
        <v>32</v>
      </c>
      <c r="G149" s="48">
        <v>1.8375758713605681</v>
      </c>
      <c r="H149" s="48">
        <v>0.2971092785639331</v>
      </c>
      <c r="I149" s="264"/>
      <c r="J149" s="48">
        <v>1.540466592796635</v>
      </c>
      <c r="K149" s="264"/>
      <c r="L149" s="48">
        <v>0.49968378667570573</v>
      </c>
      <c r="M149" s="264"/>
      <c r="N149" s="8"/>
      <c r="O149" s="47" t="s">
        <v>32</v>
      </c>
      <c r="P149" s="66">
        <v>0.45016557358171677</v>
      </c>
      <c r="Q149" s="108">
        <v>0.27009934414903003</v>
      </c>
      <c r="R149" s="264"/>
      <c r="S149" s="8"/>
      <c r="T149" s="47" t="s">
        <v>32</v>
      </c>
      <c r="U149" s="48">
        <v>0.18006622943268674</v>
      </c>
      <c r="V149" s="264"/>
      <c r="W149" s="50"/>
      <c r="X149" s="50"/>
      <c r="Y149" s="264"/>
      <c r="Z149" s="4"/>
      <c r="AA149" s="67"/>
    </row>
    <row r="150" spans="1:30" s="13" customFormat="1" ht="60" customHeight="1">
      <c r="A150" s="254">
        <v>0</v>
      </c>
      <c r="B150" s="254" t="s">
        <v>103</v>
      </c>
      <c r="C150" s="255" t="s">
        <v>334</v>
      </c>
      <c r="D150" s="286" t="s">
        <v>24</v>
      </c>
      <c r="E150" s="97"/>
      <c r="F150" s="55" t="s">
        <v>25</v>
      </c>
      <c r="G150" s="72">
        <v>27</v>
      </c>
      <c r="H150" s="73" t="s">
        <v>40</v>
      </c>
      <c r="I150" s="262" t="s">
        <v>335</v>
      </c>
      <c r="J150" s="68" t="s">
        <v>40</v>
      </c>
      <c r="K150" s="262" t="s">
        <v>336</v>
      </c>
      <c r="L150" s="38"/>
      <c r="M150" s="38"/>
      <c r="N150" s="97"/>
      <c r="O150" s="55" t="s">
        <v>25</v>
      </c>
      <c r="P150" s="152" t="s">
        <v>40</v>
      </c>
      <c r="Q150" s="152" t="s">
        <v>40</v>
      </c>
      <c r="R150" s="262" t="s">
        <v>337</v>
      </c>
      <c r="S150" s="97"/>
      <c r="T150" s="55" t="s">
        <v>25</v>
      </c>
      <c r="U150" s="152" t="s">
        <v>40</v>
      </c>
      <c r="V150" s="262" t="s">
        <v>338</v>
      </c>
      <c r="W150" s="152" t="s">
        <v>40</v>
      </c>
      <c r="X150" s="262" t="s">
        <v>339</v>
      </c>
      <c r="Y150" s="38"/>
      <c r="Z150" s="97"/>
      <c r="AA150" s="61"/>
      <c r="AD150" s="2"/>
    </row>
    <row r="151" spans="1:30" s="13" customFormat="1" ht="60" customHeight="1">
      <c r="A151" s="254"/>
      <c r="B151" s="254"/>
      <c r="C151" s="256"/>
      <c r="D151" s="258"/>
      <c r="F151" s="34" t="s">
        <v>31</v>
      </c>
      <c r="G151" s="36">
        <v>7.3519400953029272</v>
      </c>
      <c r="H151" s="62"/>
      <c r="I151" s="263"/>
      <c r="J151" s="107"/>
      <c r="K151" s="263"/>
      <c r="L151" s="43"/>
      <c r="M151" s="43"/>
      <c r="O151" s="34" t="s">
        <v>31</v>
      </c>
      <c r="P151" s="43"/>
      <c r="Q151" s="129"/>
      <c r="R151" s="263"/>
      <c r="T151" s="34" t="s">
        <v>31</v>
      </c>
      <c r="U151" s="101"/>
      <c r="V151" s="263"/>
      <c r="W151" s="43"/>
      <c r="X151" s="263"/>
      <c r="Y151" s="43"/>
      <c r="AA151" s="65"/>
      <c r="AD151" s="2"/>
    </row>
    <row r="152" spans="1:30" ht="78" customHeight="1">
      <c r="A152" s="254"/>
      <c r="B152" s="254"/>
      <c r="C152" s="257"/>
      <c r="D152" s="259"/>
      <c r="E152" s="8"/>
      <c r="F152" s="47" t="s">
        <v>32</v>
      </c>
      <c r="G152" s="48">
        <v>2.0774105708913888</v>
      </c>
      <c r="H152" s="146"/>
      <c r="I152" s="264"/>
      <c r="J152" s="104"/>
      <c r="K152" s="264"/>
      <c r="L152" s="50"/>
      <c r="M152" s="50"/>
      <c r="N152" s="8"/>
      <c r="O152" s="47" t="s">
        <v>32</v>
      </c>
      <c r="P152" s="86"/>
      <c r="Q152" s="52"/>
      <c r="R152" s="264"/>
      <c r="S152" s="8"/>
      <c r="T152" s="47" t="s">
        <v>32</v>
      </c>
      <c r="U152" s="48"/>
      <c r="V152" s="264"/>
      <c r="W152" s="50"/>
      <c r="X152" s="264"/>
      <c r="Y152" s="50"/>
      <c r="Z152" s="4"/>
      <c r="AA152" s="67"/>
    </row>
    <row r="153" spans="1:30" s="13" customFormat="1" ht="140.5" customHeight="1">
      <c r="A153" s="254">
        <v>0</v>
      </c>
      <c r="B153" s="254" t="s">
        <v>340</v>
      </c>
      <c r="C153" s="255" t="s">
        <v>341</v>
      </c>
      <c r="D153" s="286" t="s">
        <v>34</v>
      </c>
      <c r="E153" s="97"/>
      <c r="F153" s="55" t="s">
        <v>25</v>
      </c>
      <c r="G153" s="72">
        <v>295</v>
      </c>
      <c r="H153" s="72">
        <v>20.2</v>
      </c>
      <c r="I153" s="262" t="s">
        <v>342</v>
      </c>
      <c r="J153" s="72">
        <v>275</v>
      </c>
      <c r="K153" s="262" t="s">
        <v>343</v>
      </c>
      <c r="L153" s="38"/>
      <c r="M153" s="38"/>
      <c r="N153" s="97"/>
      <c r="O153" s="55" t="s">
        <v>25</v>
      </c>
      <c r="P153" s="147"/>
      <c r="Q153" s="112"/>
      <c r="R153" s="262"/>
      <c r="S153" s="97"/>
      <c r="T153" s="55" t="s">
        <v>25</v>
      </c>
      <c r="U153" s="98"/>
      <c r="V153" s="38"/>
      <c r="W153" s="38"/>
      <c r="X153" s="38"/>
      <c r="Y153" s="38"/>
      <c r="Z153" s="97"/>
      <c r="AA153" s="38"/>
      <c r="AD153" s="2"/>
    </row>
    <row r="154" spans="1:30" s="21" customFormat="1" ht="140.5" customHeight="1">
      <c r="A154" s="254"/>
      <c r="B154" s="254"/>
      <c r="C154" s="256"/>
      <c r="D154" s="258"/>
      <c r="E154" s="13"/>
      <c r="F154" s="34" t="s">
        <v>31</v>
      </c>
      <c r="G154" s="36">
        <v>3.3785752015517683</v>
      </c>
      <c r="H154" s="36">
        <v>0.23134650532659565</v>
      </c>
      <c r="I154" s="263"/>
      <c r="J154" s="36">
        <v>3.1495192556838516</v>
      </c>
      <c r="K154" s="263"/>
      <c r="L154" s="43"/>
      <c r="M154" s="43"/>
      <c r="N154" s="13"/>
      <c r="O154" s="34" t="s">
        <v>31</v>
      </c>
      <c r="P154" s="124"/>
      <c r="Q154" s="64"/>
      <c r="R154" s="263"/>
      <c r="S154" s="13"/>
      <c r="T154" s="34" t="s">
        <v>31</v>
      </c>
      <c r="U154" s="101"/>
      <c r="V154" s="43"/>
      <c r="W154" s="43"/>
      <c r="X154" s="43"/>
      <c r="Y154" s="43"/>
      <c r="Z154" s="13"/>
      <c r="AA154" s="43"/>
      <c r="AD154" s="2"/>
    </row>
    <row r="155" spans="1:30" ht="142" customHeight="1">
      <c r="A155" s="254"/>
      <c r="B155" s="254"/>
      <c r="C155" s="257"/>
      <c r="D155" s="259"/>
      <c r="E155" s="8"/>
      <c r="F155" s="47" t="s">
        <v>32</v>
      </c>
      <c r="G155" s="48">
        <v>1.0632207520471118</v>
      </c>
      <c r="H155" s="48">
        <v>7.2803590479158159E-2</v>
      </c>
      <c r="I155" s="264"/>
      <c r="J155" s="48">
        <v>0.99113798919646012</v>
      </c>
      <c r="K155" s="264"/>
      <c r="L155" s="50"/>
      <c r="M155" s="50"/>
      <c r="N155" s="8"/>
      <c r="O155" s="47" t="s">
        <v>32</v>
      </c>
      <c r="P155" s="66"/>
      <c r="Q155" s="52"/>
      <c r="R155" s="264"/>
      <c r="S155" s="8"/>
      <c r="T155" s="47" t="s">
        <v>32</v>
      </c>
      <c r="U155" s="48"/>
      <c r="V155" s="50"/>
      <c r="W155" s="50"/>
      <c r="X155" s="50"/>
      <c r="Y155" s="43"/>
      <c r="AA155" s="65"/>
    </row>
    <row r="156" spans="1:30" ht="50.15" customHeight="1">
      <c r="A156" s="254">
        <v>0</v>
      </c>
      <c r="B156" s="254" t="s">
        <v>340</v>
      </c>
      <c r="C156" s="256" t="s">
        <v>344</v>
      </c>
      <c r="D156" s="258" t="s">
        <v>34</v>
      </c>
      <c r="E156" s="11"/>
      <c r="F156" s="34" t="s">
        <v>25</v>
      </c>
      <c r="G156" s="41">
        <v>51</v>
      </c>
      <c r="H156" s="35">
        <v>16</v>
      </c>
      <c r="I156" s="262" t="s">
        <v>345</v>
      </c>
      <c r="J156" s="35">
        <v>35</v>
      </c>
      <c r="K156" s="262" t="s">
        <v>346</v>
      </c>
      <c r="L156" s="43"/>
      <c r="M156" s="43"/>
      <c r="N156" s="11"/>
      <c r="O156" s="55" t="s">
        <v>25</v>
      </c>
      <c r="P156" s="58">
        <v>21</v>
      </c>
      <c r="Q156" s="45">
        <v>21</v>
      </c>
      <c r="R156" s="262" t="s">
        <v>347</v>
      </c>
      <c r="S156" s="11"/>
      <c r="T156" s="55" t="s">
        <v>25</v>
      </c>
      <c r="U156" s="36"/>
      <c r="V156" s="43"/>
      <c r="W156" s="43"/>
      <c r="X156" s="43"/>
      <c r="Y156" s="43"/>
      <c r="AA156" s="65"/>
    </row>
    <row r="157" spans="1:30" ht="50.15" customHeight="1">
      <c r="A157" s="254"/>
      <c r="B157" s="254"/>
      <c r="C157" s="256"/>
      <c r="D157" s="258"/>
      <c r="E157" s="11"/>
      <c r="F157" s="34" t="s">
        <v>31</v>
      </c>
      <c r="G157" s="36">
        <v>1.4576097661180261</v>
      </c>
      <c r="H157" s="36">
        <v>0.45728933838996894</v>
      </c>
      <c r="I157" s="263"/>
      <c r="J157" s="36">
        <v>1.0003204277280571</v>
      </c>
      <c r="K157" s="263"/>
      <c r="L157" s="36"/>
      <c r="M157" s="43"/>
      <c r="N157" s="11"/>
      <c r="O157" s="34" t="s">
        <v>31</v>
      </c>
      <c r="P157" s="124">
        <v>0.60019225663683429</v>
      </c>
      <c r="Q157" s="64">
        <v>0.60019225663683429</v>
      </c>
      <c r="R157" s="263"/>
      <c r="S157" s="11"/>
      <c r="T157" s="34" t="s">
        <v>31</v>
      </c>
      <c r="U157" s="36"/>
      <c r="V157" s="43"/>
      <c r="W157" s="43"/>
      <c r="X157" s="43"/>
      <c r="Y157" s="43"/>
      <c r="AA157" s="65"/>
    </row>
    <row r="158" spans="1:30" ht="58.5" customHeight="1">
      <c r="A158" s="254"/>
      <c r="B158" s="254"/>
      <c r="C158" s="257"/>
      <c r="D158" s="259"/>
      <c r="E158" s="8"/>
      <c r="F158" s="47" t="s">
        <v>32</v>
      </c>
      <c r="G158" s="48">
        <v>1.5248826081752838</v>
      </c>
      <c r="H158" s="48">
        <v>0.4783945437412655</v>
      </c>
      <c r="I158" s="264"/>
      <c r="J158" s="48">
        <v>1.0464880644340182</v>
      </c>
      <c r="K158" s="264"/>
      <c r="L158" s="48"/>
      <c r="M158" s="50"/>
      <c r="N158" s="8"/>
      <c r="O158" s="47" t="s">
        <v>32</v>
      </c>
      <c r="P158" s="66">
        <v>0.6278928386604109</v>
      </c>
      <c r="Q158" s="52">
        <v>0.6278928386604109</v>
      </c>
      <c r="R158" s="264"/>
      <c r="S158" s="8"/>
      <c r="T158" s="47" t="s">
        <v>32</v>
      </c>
      <c r="U158" s="48"/>
      <c r="V158" s="50"/>
      <c r="W158" s="50"/>
      <c r="X158" s="50"/>
      <c r="Y158" s="43"/>
      <c r="AA158" s="65"/>
    </row>
    <row r="159" spans="1:30" ht="50.15" customHeight="1">
      <c r="A159" s="254">
        <v>0</v>
      </c>
      <c r="B159" s="254" t="s">
        <v>340</v>
      </c>
      <c r="C159" s="256" t="s">
        <v>348</v>
      </c>
      <c r="D159" s="258" t="s">
        <v>34</v>
      </c>
      <c r="E159" s="11"/>
      <c r="F159" s="34" t="s">
        <v>25</v>
      </c>
      <c r="G159" s="36">
        <v>11.2</v>
      </c>
      <c r="H159" s="101">
        <v>0.57199999999999995</v>
      </c>
      <c r="I159" s="262" t="s">
        <v>349</v>
      </c>
      <c r="J159" s="36">
        <v>10.628</v>
      </c>
      <c r="K159" s="262" t="s">
        <v>350</v>
      </c>
      <c r="L159" s="43" t="s">
        <v>40</v>
      </c>
      <c r="M159" s="262" t="s">
        <v>351</v>
      </c>
      <c r="N159" s="11"/>
      <c r="O159" s="55" t="s">
        <v>25</v>
      </c>
      <c r="P159" s="147">
        <v>1.2</v>
      </c>
      <c r="Q159" s="153">
        <v>1.2</v>
      </c>
      <c r="R159" s="274" t="s">
        <v>352</v>
      </c>
      <c r="S159" s="11"/>
      <c r="T159" s="55" t="s">
        <v>25</v>
      </c>
      <c r="U159" s="36"/>
      <c r="V159" s="43"/>
      <c r="W159" s="43"/>
      <c r="X159" s="43"/>
      <c r="Y159" s="43"/>
      <c r="AA159" s="65"/>
    </row>
    <row r="160" spans="1:30" ht="40.5" customHeight="1">
      <c r="A160" s="254"/>
      <c r="B160" s="254"/>
      <c r="C160" s="256"/>
      <c r="D160" s="258"/>
      <c r="E160" s="11"/>
      <c r="F160" s="34" t="s">
        <v>31</v>
      </c>
      <c r="G160" s="36">
        <v>1.9415775419650416</v>
      </c>
      <c r="H160" s="36">
        <v>9.9159138750357478E-2</v>
      </c>
      <c r="I160" s="263"/>
      <c r="J160" s="36">
        <v>1.8424184032146842</v>
      </c>
      <c r="K160" s="263"/>
      <c r="L160" s="36"/>
      <c r="M160" s="263"/>
      <c r="N160" s="11"/>
      <c r="O160" s="34" t="s">
        <v>31</v>
      </c>
      <c r="P160" s="124">
        <v>0.20802616521054018</v>
      </c>
      <c r="Q160" s="36">
        <v>0.20802616521054018</v>
      </c>
      <c r="R160" s="260"/>
      <c r="S160" s="11"/>
      <c r="T160" s="34" t="s">
        <v>31</v>
      </c>
      <c r="U160" s="36"/>
      <c r="V160" s="43"/>
      <c r="W160" s="43"/>
      <c r="X160" s="43"/>
      <c r="Y160" s="43"/>
      <c r="AA160" s="65"/>
    </row>
    <row r="161" spans="1:30" ht="53.15" customHeight="1">
      <c r="A161" s="254"/>
      <c r="B161" s="254"/>
      <c r="C161" s="257"/>
      <c r="D161" s="259"/>
      <c r="E161" s="8"/>
      <c r="F161" s="47" t="s">
        <v>32</v>
      </c>
      <c r="G161" s="48">
        <v>2.8833694498395888</v>
      </c>
      <c r="H161" s="48">
        <v>0.14725779690252186</v>
      </c>
      <c r="I161" s="264"/>
      <c r="J161" s="48">
        <v>2.7361116529370668</v>
      </c>
      <c r="K161" s="264"/>
      <c r="L161" s="48"/>
      <c r="M161" s="264"/>
      <c r="N161" s="8"/>
      <c r="O161" s="47" t="s">
        <v>32</v>
      </c>
      <c r="P161" s="66">
        <v>0.30893244105424167</v>
      </c>
      <c r="Q161" s="48">
        <v>0.30893244105424167</v>
      </c>
      <c r="R161" s="261"/>
      <c r="S161" s="8"/>
      <c r="T161" s="47" t="s">
        <v>32</v>
      </c>
      <c r="U161" s="48"/>
      <c r="V161" s="50"/>
      <c r="W161" s="50"/>
      <c r="X161" s="50"/>
      <c r="Y161" s="43"/>
      <c r="AA161" s="65"/>
    </row>
    <row r="162" spans="1:30" ht="32.5" customHeight="1">
      <c r="A162" s="254">
        <v>0</v>
      </c>
      <c r="B162" s="254" t="s">
        <v>340</v>
      </c>
      <c r="C162" s="255" t="s">
        <v>353</v>
      </c>
      <c r="D162" s="286" t="s">
        <v>34</v>
      </c>
      <c r="E162" s="54"/>
      <c r="F162" s="55" t="s">
        <v>25</v>
      </c>
      <c r="G162" s="56">
        <v>13</v>
      </c>
      <c r="H162" s="125">
        <v>10.7</v>
      </c>
      <c r="I162" s="309" t="s">
        <v>354</v>
      </c>
      <c r="J162" s="68">
        <v>2.2999999999999998</v>
      </c>
      <c r="K162" s="274" t="s">
        <v>355</v>
      </c>
      <c r="L162" s="38"/>
      <c r="M162" s="38"/>
      <c r="N162" s="54"/>
      <c r="O162" s="55" t="s">
        <v>25</v>
      </c>
      <c r="P162" s="58">
        <v>15</v>
      </c>
      <c r="Q162" s="56">
        <v>15</v>
      </c>
      <c r="R162" s="262" t="s">
        <v>356</v>
      </c>
      <c r="S162" s="54"/>
      <c r="T162" s="55" t="s">
        <v>25</v>
      </c>
      <c r="U162" s="68"/>
      <c r="V162" s="38"/>
      <c r="W162" s="38"/>
      <c r="X162" s="38"/>
      <c r="Y162" s="43"/>
      <c r="AA162" s="65"/>
    </row>
    <row r="163" spans="1:30" ht="38.5" customHeight="1">
      <c r="A163" s="254"/>
      <c r="B163" s="254"/>
      <c r="C163" s="256"/>
      <c r="D163" s="258"/>
      <c r="E163" s="11"/>
      <c r="F163" s="34" t="s">
        <v>31</v>
      </c>
      <c r="G163" s="36">
        <v>2.2219680868885587E-2</v>
      </c>
      <c r="H163" s="36">
        <v>1.8288506561313523E-2</v>
      </c>
      <c r="I163" s="302"/>
      <c r="J163" s="36">
        <v>3.931174307572065E-3</v>
      </c>
      <c r="K163" s="263"/>
      <c r="L163" s="36"/>
      <c r="M163" s="43"/>
      <c r="N163" s="11"/>
      <c r="O163" s="34" t="s">
        <v>31</v>
      </c>
      <c r="P163" s="124">
        <v>2.5638093310252602E-2</v>
      </c>
      <c r="Q163" s="36">
        <v>2.5638093310252602E-2</v>
      </c>
      <c r="R163" s="263"/>
      <c r="S163" s="11"/>
      <c r="T163" s="34" t="s">
        <v>31</v>
      </c>
      <c r="U163" s="36"/>
      <c r="V163" s="43"/>
      <c r="W163" s="43"/>
      <c r="X163" s="43"/>
      <c r="Y163" s="43"/>
      <c r="AA163" s="65"/>
    </row>
    <row r="164" spans="1:30" ht="40" customHeight="1">
      <c r="A164" s="254"/>
      <c r="B164" s="254"/>
      <c r="C164" s="257"/>
      <c r="D164" s="259"/>
      <c r="E164" s="8"/>
      <c r="F164" s="47" t="s">
        <v>32</v>
      </c>
      <c r="G164" s="48">
        <v>1.5964623254464037</v>
      </c>
      <c r="H164" s="48">
        <v>1.3140112986366552</v>
      </c>
      <c r="I164" s="312"/>
      <c r="J164" s="48">
        <v>0.28245102680974837</v>
      </c>
      <c r="K164" s="264"/>
      <c r="L164" s="48"/>
      <c r="M164" s="50"/>
      <c r="N164" s="8"/>
      <c r="O164" s="47" t="s">
        <v>32</v>
      </c>
      <c r="P164" s="66">
        <v>1.8420719139766197</v>
      </c>
      <c r="Q164" s="48">
        <v>1.8420719139766197</v>
      </c>
      <c r="R164" s="264"/>
      <c r="S164" s="8"/>
      <c r="T164" s="47" t="s">
        <v>32</v>
      </c>
      <c r="U164" s="48"/>
      <c r="V164" s="50"/>
      <c r="W164" s="50"/>
      <c r="X164" s="50"/>
      <c r="Y164" s="43"/>
      <c r="AA164" s="65"/>
    </row>
    <row r="165" spans="1:30" s="97" customFormat="1" ht="36" customHeight="1">
      <c r="A165" s="254">
        <v>0</v>
      </c>
      <c r="B165" s="254" t="s">
        <v>340</v>
      </c>
      <c r="C165" s="255" t="s">
        <v>357</v>
      </c>
      <c r="D165" s="286" t="s">
        <v>34</v>
      </c>
      <c r="E165" s="154"/>
      <c r="F165" s="55" t="s">
        <v>25</v>
      </c>
      <c r="G165" s="72">
        <v>13.6</v>
      </c>
      <c r="H165" s="73">
        <v>5.6</v>
      </c>
      <c r="I165" s="269" t="s">
        <v>358</v>
      </c>
      <c r="J165" s="98">
        <v>8</v>
      </c>
      <c r="K165" s="262" t="s">
        <v>359</v>
      </c>
      <c r="L165" s="38"/>
      <c r="M165" s="262" t="s">
        <v>360</v>
      </c>
      <c r="N165" s="154"/>
      <c r="O165" s="55" t="s">
        <v>25</v>
      </c>
      <c r="P165" s="58">
        <v>12.475</v>
      </c>
      <c r="Q165" s="100"/>
      <c r="R165" s="38"/>
      <c r="S165" s="154"/>
      <c r="T165" s="55" t="s">
        <v>25</v>
      </c>
      <c r="U165" s="98">
        <v>6.875</v>
      </c>
      <c r="V165" s="262" t="s">
        <v>361</v>
      </c>
      <c r="W165" s="73">
        <v>5.6</v>
      </c>
      <c r="X165" s="262" t="s">
        <v>362</v>
      </c>
      <c r="Y165" s="38"/>
      <c r="Z165" s="14"/>
      <c r="AA165" s="38"/>
      <c r="AD165" s="2"/>
    </row>
    <row r="166" spans="1:30" ht="40" customHeight="1">
      <c r="A166" s="254"/>
      <c r="B166" s="254"/>
      <c r="C166" s="256"/>
      <c r="D166" s="258"/>
      <c r="E166" s="11"/>
      <c r="F166" s="34" t="s">
        <v>31</v>
      </c>
      <c r="G166" s="36">
        <v>0.54491588362042265</v>
      </c>
      <c r="H166" s="36">
        <v>0.22437712854958577</v>
      </c>
      <c r="I166" s="270"/>
      <c r="J166" s="36">
        <v>0.32053875507083684</v>
      </c>
      <c r="K166" s="263"/>
      <c r="L166" s="43"/>
      <c r="M166" s="263"/>
      <c r="N166" s="11"/>
      <c r="O166" s="34" t="s">
        <v>31</v>
      </c>
      <c r="P166" s="124">
        <v>0.49984012118858623</v>
      </c>
      <c r="Q166" s="64"/>
      <c r="R166" s="43"/>
      <c r="S166" s="11"/>
      <c r="T166" s="34" t="s">
        <v>31</v>
      </c>
      <c r="U166" s="36">
        <v>0.27546299263900043</v>
      </c>
      <c r="V166" s="263"/>
      <c r="W166" s="36">
        <v>0.22437712854958577</v>
      </c>
      <c r="X166" s="263"/>
      <c r="Y166" s="43"/>
      <c r="AA166" s="65"/>
    </row>
    <row r="167" spans="1:30" ht="40" customHeight="1">
      <c r="A167" s="254"/>
      <c r="B167" s="254"/>
      <c r="C167" s="257"/>
      <c r="D167" s="259"/>
      <c r="E167" s="8"/>
      <c r="F167" s="47" t="s">
        <v>32</v>
      </c>
      <c r="G167" s="48">
        <v>2.2719587745556735</v>
      </c>
      <c r="H167" s="48">
        <v>0.93551243658174776</v>
      </c>
      <c r="I167" s="271"/>
      <c r="J167" s="48">
        <v>1.3364463379739255</v>
      </c>
      <c r="K167" s="264"/>
      <c r="L167" s="50"/>
      <c r="M167" s="264"/>
      <c r="N167" s="8"/>
      <c r="O167" s="47" t="s">
        <v>32</v>
      </c>
      <c r="P167" s="66">
        <v>2.0840210082780901</v>
      </c>
      <c r="Q167" s="52"/>
      <c r="R167" s="50"/>
      <c r="S167" s="8"/>
      <c r="T167" s="47" t="s">
        <v>32</v>
      </c>
      <c r="U167" s="48">
        <v>1.1485085716963424</v>
      </c>
      <c r="V167" s="264"/>
      <c r="W167" s="48">
        <v>0.93551243658174776</v>
      </c>
      <c r="X167" s="264"/>
      <c r="Y167" s="50"/>
      <c r="Z167" s="4"/>
      <c r="AA167" s="67"/>
    </row>
    <row r="168" spans="1:30" ht="61" customHeight="1">
      <c r="A168" s="254">
        <v>0</v>
      </c>
      <c r="B168" s="254" t="s">
        <v>340</v>
      </c>
      <c r="C168" s="256" t="s">
        <v>363</v>
      </c>
      <c r="D168" s="258" t="s">
        <v>34</v>
      </c>
      <c r="E168" s="11"/>
      <c r="F168" s="55" t="s">
        <v>25</v>
      </c>
      <c r="G168" s="41">
        <v>249.6</v>
      </c>
      <c r="H168" s="36">
        <v>7.6</v>
      </c>
      <c r="I168" s="262" t="s">
        <v>364</v>
      </c>
      <c r="J168" s="35">
        <v>242</v>
      </c>
      <c r="K168" s="262" t="s">
        <v>365</v>
      </c>
      <c r="L168" s="107">
        <v>33</v>
      </c>
      <c r="M168" s="262" t="s">
        <v>366</v>
      </c>
      <c r="N168" s="11"/>
      <c r="O168" s="55" t="s">
        <v>25</v>
      </c>
      <c r="P168" s="147"/>
      <c r="Q168" s="53"/>
      <c r="R168" s="43"/>
      <c r="S168" s="11"/>
      <c r="T168" s="55" t="s">
        <v>25</v>
      </c>
      <c r="U168" s="36"/>
      <c r="V168" s="43"/>
      <c r="W168" s="43"/>
      <c r="X168" s="43"/>
      <c r="Y168" s="43"/>
      <c r="AA168" s="65"/>
    </row>
    <row r="169" spans="1:30" ht="88" customHeight="1">
      <c r="A169" s="254"/>
      <c r="B169" s="254"/>
      <c r="C169" s="256"/>
      <c r="D169" s="258"/>
      <c r="E169" s="11"/>
      <c r="F169" s="34" t="s">
        <v>31</v>
      </c>
      <c r="G169" s="36">
        <v>2.3689453370216946</v>
      </c>
      <c r="H169" s="36">
        <v>7.2131348402904166E-2</v>
      </c>
      <c r="I169" s="263"/>
      <c r="J169" s="36">
        <v>2.2968139886187906</v>
      </c>
      <c r="K169" s="263"/>
      <c r="L169" s="36">
        <v>0.31320190753892596</v>
      </c>
      <c r="M169" s="263"/>
      <c r="N169" s="11"/>
      <c r="O169" s="34" t="s">
        <v>31</v>
      </c>
      <c r="P169" s="124"/>
      <c r="Q169" s="36"/>
      <c r="R169" s="43"/>
      <c r="S169" s="11"/>
      <c r="T169" s="34" t="s">
        <v>31</v>
      </c>
      <c r="U169" s="36"/>
      <c r="V169" s="43"/>
      <c r="W169" s="43"/>
      <c r="X169" s="43"/>
      <c r="Y169" s="43"/>
      <c r="AA169" s="65"/>
    </row>
    <row r="170" spans="1:30" ht="61" customHeight="1">
      <c r="A170" s="254"/>
      <c r="B170" s="254"/>
      <c r="C170" s="257"/>
      <c r="D170" s="259"/>
      <c r="E170" s="8"/>
      <c r="F170" s="47" t="s">
        <v>32</v>
      </c>
      <c r="G170" s="48">
        <v>2.344373896638253</v>
      </c>
      <c r="H170" s="48">
        <v>7.1383179545075018E-2</v>
      </c>
      <c r="I170" s="264"/>
      <c r="J170" s="48">
        <v>2.2729907170931782</v>
      </c>
      <c r="K170" s="264"/>
      <c r="L170" s="48">
        <v>0.30995327960361524</v>
      </c>
      <c r="M170" s="264"/>
      <c r="N170" s="11"/>
      <c r="O170" s="47" t="s">
        <v>32</v>
      </c>
      <c r="P170" s="66"/>
      <c r="Q170" s="48"/>
      <c r="R170" s="50"/>
      <c r="S170" s="8"/>
      <c r="T170" s="47" t="s">
        <v>32</v>
      </c>
      <c r="U170" s="48"/>
      <c r="V170" s="50"/>
      <c r="W170" s="50"/>
      <c r="X170" s="50"/>
      <c r="Y170" s="43"/>
      <c r="AA170" s="65"/>
    </row>
    <row r="171" spans="1:30" ht="61" customHeight="1">
      <c r="A171" s="254">
        <v>0</v>
      </c>
      <c r="B171" s="254" t="s">
        <v>340</v>
      </c>
      <c r="C171" s="255" t="s">
        <v>367</v>
      </c>
      <c r="D171" s="286" t="s">
        <v>141</v>
      </c>
      <c r="E171" s="11"/>
      <c r="F171" s="55" t="s">
        <v>25</v>
      </c>
      <c r="G171" s="41">
        <v>908.08500000000004</v>
      </c>
      <c r="H171" s="41">
        <v>267.90300000000002</v>
      </c>
      <c r="I171" s="310" t="s">
        <v>368</v>
      </c>
      <c r="J171" s="41">
        <v>640.18200000000002</v>
      </c>
      <c r="K171" s="262" t="s">
        <v>369</v>
      </c>
      <c r="L171" s="36"/>
      <c r="M171" s="43"/>
      <c r="N171" s="11"/>
      <c r="O171" s="55" t="s">
        <v>25</v>
      </c>
      <c r="P171" s="155">
        <v>1000</v>
      </c>
      <c r="Q171" s="41">
        <v>1000</v>
      </c>
      <c r="R171" s="262" t="s">
        <v>370</v>
      </c>
      <c r="S171" s="11"/>
      <c r="T171" s="55" t="s">
        <v>25</v>
      </c>
      <c r="U171" s="36"/>
      <c r="V171" s="43"/>
      <c r="W171" s="43"/>
      <c r="X171" s="43"/>
      <c r="Y171" s="43"/>
      <c r="AA171" s="65"/>
    </row>
    <row r="172" spans="1:30" ht="79" customHeight="1">
      <c r="A172" s="254"/>
      <c r="B172" s="254"/>
      <c r="C172" s="256"/>
      <c r="D172" s="258"/>
      <c r="E172" s="11"/>
      <c r="F172" s="34" t="s">
        <v>31</v>
      </c>
      <c r="G172" s="36">
        <v>0.56508105412205178</v>
      </c>
      <c r="H172" s="36">
        <v>0.1667100652939538</v>
      </c>
      <c r="I172" s="263"/>
      <c r="J172" s="36">
        <v>0.39837098882809796</v>
      </c>
      <c r="K172" s="263"/>
      <c r="L172" s="36"/>
      <c r="M172" s="43"/>
      <c r="N172" s="11"/>
      <c r="O172" s="34" t="s">
        <v>31</v>
      </c>
      <c r="P172" s="156">
        <v>0.62227770982017294</v>
      </c>
      <c r="Q172" s="36">
        <v>0.62227770982017294</v>
      </c>
      <c r="R172" s="263"/>
      <c r="S172" s="11"/>
      <c r="T172" s="34" t="s">
        <v>31</v>
      </c>
      <c r="U172" s="36"/>
      <c r="V172" s="43"/>
      <c r="W172" s="43"/>
      <c r="X172" s="43"/>
      <c r="Y172" s="43"/>
      <c r="AA172" s="65"/>
    </row>
    <row r="173" spans="1:30" ht="96" customHeight="1">
      <c r="A173" s="254"/>
      <c r="B173" s="254"/>
      <c r="C173" s="257"/>
      <c r="D173" s="259"/>
      <c r="E173" s="8"/>
      <c r="F173" s="47" t="s">
        <v>32</v>
      </c>
      <c r="G173" s="48">
        <v>0.79712479970835837</v>
      </c>
      <c r="H173" s="48">
        <v>0.2351675506326702</v>
      </c>
      <c r="I173" s="264"/>
      <c r="J173" s="48">
        <v>0.56195724907568811</v>
      </c>
      <c r="K173" s="264"/>
      <c r="L173" s="48"/>
      <c r="M173" s="50"/>
      <c r="N173" s="8"/>
      <c r="O173" s="47" t="s">
        <v>32</v>
      </c>
      <c r="P173" s="66">
        <v>0.8778085748672847</v>
      </c>
      <c r="Q173" s="48">
        <v>0.8778085748672847</v>
      </c>
      <c r="R173" s="264"/>
      <c r="S173" s="8"/>
      <c r="T173" s="47" t="s">
        <v>32</v>
      </c>
      <c r="U173" s="48"/>
      <c r="V173" s="50"/>
      <c r="W173" s="50"/>
      <c r="X173" s="50"/>
      <c r="Y173" s="43"/>
      <c r="AA173" s="65"/>
    </row>
    <row r="174" spans="1:30" ht="115.5" customHeight="1">
      <c r="A174" s="254">
        <v>0</v>
      </c>
      <c r="B174" s="254" t="s">
        <v>340</v>
      </c>
      <c r="C174" s="255" t="s">
        <v>371</v>
      </c>
      <c r="D174" s="286" t="s">
        <v>24</v>
      </c>
      <c r="E174" s="54"/>
      <c r="F174" s="55" t="s">
        <v>25</v>
      </c>
      <c r="G174" s="56">
        <v>67.5</v>
      </c>
      <c r="H174" s="56">
        <v>49.6</v>
      </c>
      <c r="I174" s="313" t="s">
        <v>372</v>
      </c>
      <c r="J174" s="56">
        <v>17.899999999999999</v>
      </c>
      <c r="K174" s="262" t="s">
        <v>373</v>
      </c>
      <c r="L174" s="68"/>
      <c r="M174" s="38"/>
      <c r="N174" s="54"/>
      <c r="O174" s="55" t="s">
        <v>25</v>
      </c>
      <c r="P174" s="155">
        <v>50.5</v>
      </c>
      <c r="Q174" s="56">
        <v>50.5</v>
      </c>
      <c r="R174" s="262" t="s">
        <v>374</v>
      </c>
      <c r="S174" s="54"/>
      <c r="T174" s="55" t="s">
        <v>25</v>
      </c>
      <c r="U174" s="68"/>
      <c r="V174" s="38"/>
      <c r="W174" s="38"/>
      <c r="X174" s="38"/>
      <c r="Y174" s="43"/>
      <c r="AA174" s="65"/>
    </row>
    <row r="175" spans="1:30" ht="87.65" customHeight="1">
      <c r="A175" s="254"/>
      <c r="B175" s="254"/>
      <c r="C175" s="256"/>
      <c r="D175" s="258"/>
      <c r="E175" s="11"/>
      <c r="F175" s="34" t="s">
        <v>31</v>
      </c>
      <c r="G175" s="36">
        <v>0.58887041808961993</v>
      </c>
      <c r="H175" s="36">
        <v>0.43271070721844668</v>
      </c>
      <c r="I175" s="314"/>
      <c r="J175" s="36">
        <v>0.15615971087117328</v>
      </c>
      <c r="K175" s="263"/>
      <c r="L175" s="36"/>
      <c r="M175" s="43"/>
      <c r="N175" s="11"/>
      <c r="O175" s="34" t="s">
        <v>31</v>
      </c>
      <c r="P175" s="156">
        <v>0.44056231279297492</v>
      </c>
      <c r="Q175" s="36">
        <v>0.44056231279297492</v>
      </c>
      <c r="R175" s="263"/>
      <c r="S175" s="11"/>
      <c r="T175" s="34" t="s">
        <v>31</v>
      </c>
      <c r="U175" s="36"/>
      <c r="V175" s="43"/>
      <c r="W175" s="43"/>
      <c r="X175" s="43"/>
      <c r="Y175" s="43"/>
      <c r="AA175" s="65"/>
    </row>
    <row r="176" spans="1:30" ht="87.65" customHeight="1">
      <c r="A176" s="254"/>
      <c r="B176" s="254"/>
      <c r="C176" s="257"/>
      <c r="D176" s="259"/>
      <c r="E176" s="8"/>
      <c r="F176" s="47" t="s">
        <v>32</v>
      </c>
      <c r="G176" s="48">
        <v>1.8311737233930707</v>
      </c>
      <c r="H176" s="48">
        <v>1.345573580448834</v>
      </c>
      <c r="I176" s="315"/>
      <c r="J176" s="48">
        <v>0.48560014294423642</v>
      </c>
      <c r="K176" s="264"/>
      <c r="L176" s="48"/>
      <c r="M176" s="50"/>
      <c r="N176" s="8"/>
      <c r="O176" s="47" t="s">
        <v>32</v>
      </c>
      <c r="P176" s="66">
        <v>1.369989230094075</v>
      </c>
      <c r="Q176" s="48">
        <v>1.369989230094075</v>
      </c>
      <c r="R176" s="264"/>
      <c r="S176" s="8"/>
      <c r="T176" s="47" t="s">
        <v>32</v>
      </c>
      <c r="U176" s="48"/>
      <c r="V176" s="50"/>
      <c r="W176" s="50"/>
      <c r="X176" s="50"/>
      <c r="Y176" s="43"/>
      <c r="AA176" s="65"/>
    </row>
    <row r="177" spans="1:31" ht="102" customHeight="1">
      <c r="A177" s="254">
        <v>0</v>
      </c>
      <c r="B177" s="254" t="s">
        <v>340</v>
      </c>
      <c r="C177" s="255" t="s">
        <v>375</v>
      </c>
      <c r="D177" s="286" t="s">
        <v>34</v>
      </c>
      <c r="E177" s="54"/>
      <c r="F177" s="55" t="s">
        <v>25</v>
      </c>
      <c r="G177" s="56">
        <v>58.49</v>
      </c>
      <c r="H177" s="56">
        <v>25.75</v>
      </c>
      <c r="I177" s="316" t="s">
        <v>376</v>
      </c>
      <c r="J177" s="56">
        <v>32.74</v>
      </c>
      <c r="K177" s="311" t="s">
        <v>377</v>
      </c>
      <c r="L177" s="68"/>
      <c r="M177" s="38"/>
      <c r="N177" s="54"/>
      <c r="O177" s="55" t="s">
        <v>25</v>
      </c>
      <c r="P177" s="157">
        <v>100</v>
      </c>
      <c r="Q177" s="56">
        <v>50</v>
      </c>
      <c r="R177" s="262" t="s">
        <v>378</v>
      </c>
      <c r="S177" s="54"/>
      <c r="T177" s="55" t="s">
        <v>25</v>
      </c>
      <c r="U177" s="56">
        <v>50</v>
      </c>
      <c r="V177" s="262" t="s">
        <v>379</v>
      </c>
      <c r="W177" s="38"/>
      <c r="X177" s="38"/>
      <c r="Y177" s="43"/>
      <c r="AA177" s="65"/>
    </row>
    <row r="178" spans="1:31" ht="64.5" customHeight="1">
      <c r="A178" s="254"/>
      <c r="B178" s="254"/>
      <c r="C178" s="256"/>
      <c r="D178" s="258"/>
      <c r="E178" s="11"/>
      <c r="F178" s="34" t="s">
        <v>31</v>
      </c>
      <c r="G178" s="36">
        <v>9.7444581680680042E-2</v>
      </c>
      <c r="H178" s="36">
        <v>4.289960639900002E-2</v>
      </c>
      <c r="I178" s="314"/>
      <c r="J178" s="36">
        <v>5.4544975281680022E-2</v>
      </c>
      <c r="K178" s="263"/>
      <c r="L178" s="36"/>
      <c r="M178" s="43"/>
      <c r="N178" s="11"/>
      <c r="O178" s="34" t="s">
        <v>31</v>
      </c>
      <c r="P178" s="156">
        <v>0.16660041320000007</v>
      </c>
      <c r="Q178" s="36">
        <v>8.3300206600000037E-2</v>
      </c>
      <c r="R178" s="263"/>
      <c r="S178" s="11"/>
      <c r="T178" s="34" t="s">
        <v>31</v>
      </c>
      <c r="U178" s="36">
        <v>8.3300206600000037E-2</v>
      </c>
      <c r="V178" s="263"/>
      <c r="W178" s="43"/>
      <c r="X178" s="43"/>
      <c r="Y178" s="43"/>
      <c r="AA178" s="65"/>
    </row>
    <row r="179" spans="1:31" ht="96" customHeight="1">
      <c r="A179" s="254"/>
      <c r="B179" s="254"/>
      <c r="C179" s="257"/>
      <c r="D179" s="259"/>
      <c r="E179" s="8"/>
      <c r="F179" s="47" t="s">
        <v>32</v>
      </c>
      <c r="G179" s="48">
        <v>0.75126848355144216</v>
      </c>
      <c r="H179" s="48">
        <v>0.33074309200631963</v>
      </c>
      <c r="I179" s="315"/>
      <c r="J179" s="48">
        <v>0.42052539154512253</v>
      </c>
      <c r="K179" s="264"/>
      <c r="L179" s="48"/>
      <c r="M179" s="50"/>
      <c r="N179" s="8"/>
      <c r="O179" s="47" t="s">
        <v>32</v>
      </c>
      <c r="P179" s="66">
        <v>1.284439192257552</v>
      </c>
      <c r="Q179" s="48">
        <v>0.64221959612877599</v>
      </c>
      <c r="R179" s="264"/>
      <c r="S179" s="8"/>
      <c r="T179" s="47" t="s">
        <v>32</v>
      </c>
      <c r="U179" s="48">
        <v>0.64221959612877599</v>
      </c>
      <c r="V179" s="264"/>
      <c r="W179" s="50"/>
      <c r="X179" s="50"/>
      <c r="Y179" s="43"/>
      <c r="AA179" s="65"/>
    </row>
    <row r="180" spans="1:31" s="13" customFormat="1" ht="56.15" customHeight="1">
      <c r="A180" s="254">
        <v>0</v>
      </c>
      <c r="B180" s="254" t="s">
        <v>340</v>
      </c>
      <c r="C180" s="256" t="s">
        <v>380</v>
      </c>
      <c r="D180" s="286" t="s">
        <v>24</v>
      </c>
      <c r="F180" s="34" t="s">
        <v>25</v>
      </c>
      <c r="G180" s="111">
        <v>2300</v>
      </c>
      <c r="H180" s="107">
        <v>500</v>
      </c>
      <c r="I180" s="263" t="s">
        <v>381</v>
      </c>
      <c r="J180" s="111">
        <v>1800</v>
      </c>
      <c r="K180" s="263" t="s">
        <v>382</v>
      </c>
      <c r="L180" s="43"/>
      <c r="M180" s="43"/>
      <c r="O180" s="34" t="s">
        <v>25</v>
      </c>
      <c r="P180" s="43"/>
      <c r="Q180" s="129"/>
      <c r="R180" s="43"/>
      <c r="T180" s="34" t="s">
        <v>25</v>
      </c>
      <c r="U180" s="101"/>
      <c r="V180" s="43"/>
      <c r="W180" s="43"/>
      <c r="X180" s="43"/>
      <c r="Y180" s="38"/>
      <c r="Z180" s="97"/>
      <c r="AA180" s="38"/>
      <c r="AD180" s="2"/>
      <c r="AE180" s="2"/>
    </row>
    <row r="181" spans="1:31" s="21" customFormat="1" ht="70" customHeight="1">
      <c r="A181" s="254"/>
      <c r="B181" s="254"/>
      <c r="C181" s="256"/>
      <c r="D181" s="258"/>
      <c r="E181" s="13"/>
      <c r="F181" s="34" t="s">
        <v>31</v>
      </c>
      <c r="G181" s="101">
        <v>6.5620542082738949</v>
      </c>
      <c r="H181" s="36">
        <v>1.4265335235378032</v>
      </c>
      <c r="I181" s="263"/>
      <c r="J181" s="101">
        <v>5.1355206847360915</v>
      </c>
      <c r="K181" s="263"/>
      <c r="L181" s="43"/>
      <c r="M181" s="43"/>
      <c r="N181" s="13"/>
      <c r="O181" s="34" t="s">
        <v>31</v>
      </c>
      <c r="P181" s="43"/>
      <c r="Q181" s="129"/>
      <c r="R181" s="43"/>
      <c r="S181" s="13"/>
      <c r="T181" s="34" t="s">
        <v>31</v>
      </c>
      <c r="U181" s="101"/>
      <c r="V181" s="43"/>
      <c r="W181" s="43"/>
      <c r="X181" s="43"/>
      <c r="Y181" s="43"/>
      <c r="Z181" s="13"/>
      <c r="AA181" s="43"/>
      <c r="AD181" s="2"/>
      <c r="AE181" s="2"/>
    </row>
    <row r="182" spans="1:31" ht="68.5" customHeight="1">
      <c r="A182" s="254"/>
      <c r="B182" s="254"/>
      <c r="C182" s="257"/>
      <c r="D182" s="259"/>
      <c r="E182" s="8"/>
      <c r="F182" s="47" t="s">
        <v>32</v>
      </c>
      <c r="G182" s="48">
        <v>1.4813552269674075</v>
      </c>
      <c r="H182" s="48">
        <v>0.32203374499291465</v>
      </c>
      <c r="I182" s="264"/>
      <c r="J182" s="48">
        <v>1.159321481974493</v>
      </c>
      <c r="K182" s="264"/>
      <c r="L182" s="50"/>
      <c r="M182" s="50"/>
      <c r="N182" s="8"/>
      <c r="O182" s="47" t="s">
        <v>32</v>
      </c>
      <c r="P182" s="86"/>
      <c r="Q182" s="52"/>
      <c r="R182" s="86"/>
      <c r="S182" s="8"/>
      <c r="T182" s="47" t="s">
        <v>32</v>
      </c>
      <c r="U182" s="48"/>
      <c r="V182" s="50"/>
      <c r="W182" s="50"/>
      <c r="X182" s="50"/>
      <c r="Y182" s="50"/>
      <c r="Z182" s="4"/>
      <c r="AA182" s="67"/>
    </row>
    <row r="183" spans="1:31" ht="60.65" customHeight="1">
      <c r="A183" s="254">
        <v>0</v>
      </c>
      <c r="B183" s="254" t="s">
        <v>340</v>
      </c>
      <c r="C183" s="256" t="s">
        <v>383</v>
      </c>
      <c r="D183" s="258" t="s">
        <v>34</v>
      </c>
      <c r="E183" s="14"/>
      <c r="F183" s="55" t="s">
        <v>25</v>
      </c>
      <c r="G183" s="72">
        <v>414.4</v>
      </c>
      <c r="H183" s="72">
        <v>79</v>
      </c>
      <c r="I183" s="262" t="s">
        <v>384</v>
      </c>
      <c r="J183" s="73">
        <v>335.4</v>
      </c>
      <c r="K183" s="263" t="s">
        <v>385</v>
      </c>
      <c r="L183" s="73">
        <v>15</v>
      </c>
      <c r="M183" s="262" t="s">
        <v>386</v>
      </c>
      <c r="N183" s="14"/>
      <c r="O183" s="34" t="s">
        <v>25</v>
      </c>
      <c r="P183" s="72">
        <v>70</v>
      </c>
      <c r="Q183" s="117"/>
      <c r="R183" s="274"/>
      <c r="S183" s="14"/>
      <c r="T183" s="34" t="s">
        <v>25</v>
      </c>
      <c r="U183" s="72">
        <v>70</v>
      </c>
      <c r="V183" s="262" t="s">
        <v>387</v>
      </c>
      <c r="W183" s="38"/>
      <c r="X183" s="38"/>
      <c r="Y183" s="38"/>
      <c r="Z183" s="14"/>
      <c r="AA183" s="38"/>
    </row>
    <row r="184" spans="1:31" ht="60.65" customHeight="1">
      <c r="A184" s="254"/>
      <c r="B184" s="254"/>
      <c r="C184" s="256"/>
      <c r="D184" s="258"/>
      <c r="E184" s="21"/>
      <c r="F184" s="34" t="s">
        <v>31</v>
      </c>
      <c r="G184" s="36">
        <v>0.7221907582411049</v>
      </c>
      <c r="H184" s="36">
        <v>0.13767632698129173</v>
      </c>
      <c r="I184" s="263"/>
      <c r="J184" s="36">
        <v>0.58451443125981317</v>
      </c>
      <c r="K184" s="263"/>
      <c r="L184" s="36">
        <v>2.6141074743283237E-2</v>
      </c>
      <c r="M184" s="263"/>
      <c r="N184" s="21"/>
      <c r="O184" s="34" t="s">
        <v>31</v>
      </c>
      <c r="P184" s="64">
        <v>0.12199168213532177</v>
      </c>
      <c r="Q184" s="64"/>
      <c r="R184" s="260"/>
      <c r="S184" s="21"/>
      <c r="T184" s="34" t="s">
        <v>31</v>
      </c>
      <c r="U184" s="36">
        <v>0.12199168213532177</v>
      </c>
      <c r="V184" s="263"/>
      <c r="W184" s="43"/>
      <c r="X184" s="43"/>
      <c r="Y184" s="43"/>
      <c r="Z184" s="21"/>
      <c r="AA184" s="43"/>
    </row>
    <row r="185" spans="1:31" ht="60.65" customHeight="1">
      <c r="A185" s="254"/>
      <c r="B185" s="254"/>
      <c r="C185" s="257"/>
      <c r="D185" s="259"/>
      <c r="E185" s="8"/>
      <c r="F185" s="47" t="s">
        <v>32</v>
      </c>
      <c r="G185" s="48">
        <v>2.9586486978348359</v>
      </c>
      <c r="H185" s="48">
        <v>0.56402810600615849</v>
      </c>
      <c r="I185" s="264"/>
      <c r="J185" s="48">
        <v>2.3946205918286778</v>
      </c>
      <c r="K185" s="264"/>
      <c r="L185" s="48">
        <v>0.10709394417838451</v>
      </c>
      <c r="M185" s="264"/>
      <c r="N185" s="8"/>
      <c r="O185" s="47" t="s">
        <v>32</v>
      </c>
      <c r="P185" s="52">
        <v>0.49977173949912773</v>
      </c>
      <c r="Q185" s="52"/>
      <c r="R185" s="261"/>
      <c r="S185" s="8"/>
      <c r="T185" s="47" t="s">
        <v>32</v>
      </c>
      <c r="U185" s="48">
        <v>0.49977173949912773</v>
      </c>
      <c r="V185" s="264"/>
      <c r="W185" s="50"/>
      <c r="X185" s="50"/>
      <c r="Y185" s="50"/>
      <c r="Z185" s="4"/>
      <c r="AA185" s="67"/>
    </row>
    <row r="186" spans="1:31" ht="174" customHeight="1">
      <c r="A186" s="254">
        <v>0</v>
      </c>
      <c r="B186" s="254" t="s">
        <v>340</v>
      </c>
      <c r="C186" s="255" t="s">
        <v>388</v>
      </c>
      <c r="D186" s="286" t="s">
        <v>24</v>
      </c>
      <c r="E186" s="11"/>
      <c r="F186" s="55" t="s">
        <v>25</v>
      </c>
      <c r="G186" s="111">
        <v>22200</v>
      </c>
      <c r="H186" s="111">
        <v>4500</v>
      </c>
      <c r="I186" s="262" t="s">
        <v>389</v>
      </c>
      <c r="J186" s="111">
        <v>17700</v>
      </c>
      <c r="K186" s="262" t="s">
        <v>390</v>
      </c>
      <c r="L186" s="36"/>
      <c r="M186" s="43"/>
      <c r="N186" s="11"/>
      <c r="O186" s="55" t="s">
        <v>25</v>
      </c>
      <c r="P186" s="111">
        <v>14575</v>
      </c>
      <c r="Q186" s="111">
        <v>14575</v>
      </c>
      <c r="R186" s="274" t="s">
        <v>391</v>
      </c>
      <c r="S186" s="11"/>
      <c r="T186" s="55" t="s">
        <v>25</v>
      </c>
      <c r="U186" s="36"/>
      <c r="V186" s="43"/>
      <c r="W186" s="43"/>
      <c r="X186" s="43"/>
      <c r="Y186" s="43"/>
      <c r="AA186" s="65"/>
    </row>
    <row r="187" spans="1:31" ht="139.5" customHeight="1">
      <c r="A187" s="254"/>
      <c r="B187" s="254"/>
      <c r="C187" s="256"/>
      <c r="D187" s="258"/>
      <c r="E187" s="11"/>
      <c r="F187" s="34" t="s">
        <v>31</v>
      </c>
      <c r="G187" s="36">
        <v>2.2181608289682098</v>
      </c>
      <c r="H187" s="36">
        <v>0.44962719506112364</v>
      </c>
      <c r="I187" s="263"/>
      <c r="J187" s="36">
        <v>1.7685336339070863</v>
      </c>
      <c r="K187" s="263"/>
      <c r="L187" s="36"/>
      <c r="M187" s="43"/>
      <c r="N187" s="11"/>
      <c r="O187" s="34" t="s">
        <v>31</v>
      </c>
      <c r="P187" s="64">
        <v>1.4562925262257504</v>
      </c>
      <c r="Q187" s="36">
        <v>1.4562925262257504</v>
      </c>
      <c r="R187" s="260"/>
      <c r="S187" s="11"/>
      <c r="T187" s="34" t="s">
        <v>31</v>
      </c>
      <c r="U187" s="36"/>
      <c r="V187" s="43"/>
      <c r="W187" s="43"/>
      <c r="X187" s="43"/>
      <c r="Y187" s="43"/>
      <c r="AA187" s="65"/>
    </row>
    <row r="188" spans="1:31" ht="128.15" customHeight="1">
      <c r="A188" s="254"/>
      <c r="B188" s="254"/>
      <c r="C188" s="257"/>
      <c r="D188" s="259"/>
      <c r="E188" s="11"/>
      <c r="F188" s="47" t="s">
        <v>32</v>
      </c>
      <c r="G188" s="36">
        <v>3.711095676381059</v>
      </c>
      <c r="H188" s="36">
        <v>0.75224912359075535</v>
      </c>
      <c r="I188" s="264"/>
      <c r="J188" s="36">
        <v>2.9588465527903041</v>
      </c>
      <c r="K188" s="264"/>
      <c r="L188" s="36"/>
      <c r="M188" s="43"/>
      <c r="N188" s="11"/>
      <c r="O188" s="47" t="s">
        <v>32</v>
      </c>
      <c r="P188" s="64">
        <v>2.4364513280745017</v>
      </c>
      <c r="Q188" s="36">
        <v>2.4364513280745017</v>
      </c>
      <c r="R188" s="261"/>
      <c r="S188" s="11"/>
      <c r="T188" s="47" t="s">
        <v>32</v>
      </c>
      <c r="U188" s="36"/>
      <c r="V188" s="43"/>
      <c r="W188" s="43"/>
      <c r="X188" s="43"/>
      <c r="Y188" s="43"/>
      <c r="AA188" s="65"/>
    </row>
    <row r="189" spans="1:31" ht="98.15" customHeight="1">
      <c r="A189" s="254">
        <v>0</v>
      </c>
      <c r="B189" s="254" t="s">
        <v>340</v>
      </c>
      <c r="C189" s="256" t="s">
        <v>392</v>
      </c>
      <c r="D189" s="258" t="s">
        <v>393</v>
      </c>
      <c r="E189" s="14"/>
      <c r="F189" s="55" t="s">
        <v>25</v>
      </c>
      <c r="G189" s="111">
        <v>98500</v>
      </c>
      <c r="H189" s="111">
        <v>16200</v>
      </c>
      <c r="I189" s="269" t="s">
        <v>394</v>
      </c>
      <c r="J189" s="158">
        <v>82300</v>
      </c>
      <c r="K189" s="262" t="s">
        <v>395</v>
      </c>
      <c r="L189" s="111">
        <v>180000</v>
      </c>
      <c r="M189" s="305" t="s">
        <v>396</v>
      </c>
      <c r="N189" s="14"/>
      <c r="O189" s="34" t="s">
        <v>25</v>
      </c>
      <c r="P189" s="111">
        <v>37500</v>
      </c>
      <c r="Q189" s="111">
        <v>9500</v>
      </c>
      <c r="R189" s="262" t="s">
        <v>397</v>
      </c>
      <c r="S189" s="14"/>
      <c r="T189" s="34" t="s">
        <v>25</v>
      </c>
      <c r="U189" s="98"/>
      <c r="V189" s="38"/>
      <c r="W189" s="111">
        <v>28000</v>
      </c>
      <c r="X189" s="262" t="s">
        <v>398</v>
      </c>
      <c r="Y189" s="262" t="s">
        <v>399</v>
      </c>
      <c r="Z189" s="14"/>
      <c r="AA189" s="38"/>
    </row>
    <row r="190" spans="1:31" ht="111.65" customHeight="1">
      <c r="A190" s="254"/>
      <c r="B190" s="254"/>
      <c r="C190" s="256"/>
      <c r="D190" s="258"/>
      <c r="E190" s="11"/>
      <c r="F190" s="34" t="s">
        <v>31</v>
      </c>
      <c r="G190" s="36">
        <v>4.2082966722486956</v>
      </c>
      <c r="H190" s="36">
        <v>0.69212595015663836</v>
      </c>
      <c r="I190" s="270"/>
      <c r="J190" s="36">
        <v>3.5161707220920575</v>
      </c>
      <c r="K190" s="263"/>
      <c r="L190" s="36">
        <v>7.6902883350737588</v>
      </c>
      <c r="M190" s="307"/>
      <c r="N190" s="11"/>
      <c r="O190" s="34" t="s">
        <v>31</v>
      </c>
      <c r="P190" s="159">
        <v>1.6021434031403665</v>
      </c>
      <c r="Q190" s="159">
        <v>0.40587632879555952</v>
      </c>
      <c r="R190" s="263"/>
      <c r="S190" s="11"/>
      <c r="T190" s="34" t="s">
        <v>31</v>
      </c>
      <c r="U190" s="36"/>
      <c r="V190" s="43"/>
      <c r="W190" s="159">
        <v>1.1962670743448069</v>
      </c>
      <c r="X190" s="263"/>
      <c r="Y190" s="263"/>
      <c r="AA190" s="65"/>
    </row>
    <row r="191" spans="1:31" ht="97.5" customHeight="1">
      <c r="A191" s="254"/>
      <c r="B191" s="254"/>
      <c r="C191" s="257"/>
      <c r="D191" s="259"/>
      <c r="E191" s="8"/>
      <c r="F191" s="47" t="s">
        <v>32</v>
      </c>
      <c r="G191" s="48">
        <v>1.2355482256395489</v>
      </c>
      <c r="H191" s="48">
        <v>0.20320691629807808</v>
      </c>
      <c r="I191" s="271"/>
      <c r="J191" s="48">
        <v>1.0323413093414708</v>
      </c>
      <c r="K191" s="264"/>
      <c r="L191" s="48">
        <v>2.2578546255342014</v>
      </c>
      <c r="M191" s="308"/>
      <c r="N191" s="8"/>
      <c r="O191" s="47" t="s">
        <v>32</v>
      </c>
      <c r="P191" s="160">
        <v>0.47038638031962526</v>
      </c>
      <c r="Q191" s="160">
        <v>0.11916454968097173</v>
      </c>
      <c r="R191" s="264"/>
      <c r="S191" s="8"/>
      <c r="T191" s="47" t="s">
        <v>32</v>
      </c>
      <c r="U191" s="48"/>
      <c r="V191" s="50"/>
      <c r="W191" s="160">
        <v>0.35122183063865353</v>
      </c>
      <c r="X191" s="264"/>
      <c r="Y191" s="264"/>
      <c r="Z191" s="4"/>
      <c r="AA191" s="67"/>
    </row>
    <row r="192" spans="1:31" ht="58.5" customHeight="1">
      <c r="A192" s="254">
        <v>0</v>
      </c>
      <c r="B192" s="254" t="s">
        <v>340</v>
      </c>
      <c r="C192" s="255" t="s">
        <v>400</v>
      </c>
      <c r="D192" s="286" t="s">
        <v>34</v>
      </c>
      <c r="E192" s="54"/>
      <c r="F192" s="55" t="s">
        <v>25</v>
      </c>
      <c r="G192" s="68">
        <v>7.1</v>
      </c>
      <c r="H192" s="68">
        <v>1</v>
      </c>
      <c r="I192" s="262" t="s">
        <v>401</v>
      </c>
      <c r="J192" s="68">
        <v>6.1</v>
      </c>
      <c r="K192" s="262" t="s">
        <v>402</v>
      </c>
      <c r="L192" s="68"/>
      <c r="M192" s="105"/>
      <c r="N192" s="54"/>
      <c r="O192" s="55" t="s">
        <v>25</v>
      </c>
      <c r="P192" s="161">
        <v>0.9</v>
      </c>
      <c r="Q192" s="161">
        <v>0.9</v>
      </c>
      <c r="R192" s="262" t="s">
        <v>403</v>
      </c>
      <c r="S192" s="54"/>
      <c r="T192" s="55" t="s">
        <v>25</v>
      </c>
      <c r="U192" s="68"/>
      <c r="V192" s="38"/>
      <c r="W192" s="161"/>
      <c r="X192" s="38"/>
      <c r="Y192" s="43"/>
      <c r="AA192" s="65"/>
    </row>
    <row r="193" spans="1:27" ht="82" customHeight="1">
      <c r="A193" s="254"/>
      <c r="B193" s="254"/>
      <c r="C193" s="256"/>
      <c r="D193" s="258"/>
      <c r="E193" s="11"/>
      <c r="F193" s="34" t="s">
        <v>31</v>
      </c>
      <c r="G193" s="36">
        <v>0.39701731992953948</v>
      </c>
      <c r="H193" s="36">
        <v>5.5917932384442183E-2</v>
      </c>
      <c r="I193" s="263"/>
      <c r="J193" s="36">
        <v>0.34109938754509728</v>
      </c>
      <c r="K193" s="263"/>
      <c r="L193" s="36"/>
      <c r="M193" s="120"/>
      <c r="N193" s="11"/>
      <c r="O193" s="34" t="s">
        <v>31</v>
      </c>
      <c r="P193" s="159">
        <v>5.032613914599797E-2</v>
      </c>
      <c r="Q193" s="36">
        <v>5.032613914599797E-2</v>
      </c>
      <c r="R193" s="263"/>
      <c r="S193" s="11"/>
      <c r="T193" s="34" t="s">
        <v>31</v>
      </c>
      <c r="U193" s="36"/>
      <c r="V193" s="43"/>
      <c r="W193" s="159"/>
      <c r="X193" s="43"/>
      <c r="Y193" s="43"/>
      <c r="AA193" s="65"/>
    </row>
    <row r="194" spans="1:27" ht="47.5" customHeight="1">
      <c r="A194" s="254"/>
      <c r="B194" s="254"/>
      <c r="C194" s="257"/>
      <c r="D194" s="259"/>
      <c r="E194" s="8"/>
      <c r="F194" s="47" t="s">
        <v>32</v>
      </c>
      <c r="G194" s="48">
        <v>2.0995999624452013</v>
      </c>
      <c r="H194" s="48">
        <v>0.29571830456974668</v>
      </c>
      <c r="I194" s="264"/>
      <c r="J194" s="48">
        <v>1.8038816578754544</v>
      </c>
      <c r="K194" s="264"/>
      <c r="L194" s="48"/>
      <c r="M194" s="139"/>
      <c r="N194" s="8"/>
      <c r="O194" s="47" t="s">
        <v>32</v>
      </c>
      <c r="P194" s="160">
        <v>0.26614647411277198</v>
      </c>
      <c r="Q194" s="48">
        <v>0.26614647411277198</v>
      </c>
      <c r="R194" s="264"/>
      <c r="S194" s="8"/>
      <c r="T194" s="47" t="s">
        <v>32</v>
      </c>
      <c r="U194" s="48"/>
      <c r="V194" s="50"/>
      <c r="W194" s="160"/>
      <c r="X194" s="50"/>
      <c r="Y194" s="43"/>
      <c r="AA194" s="65"/>
    </row>
    <row r="195" spans="1:27">
      <c r="C195" s="11" t="s">
        <v>404</v>
      </c>
    </row>
    <row r="196" spans="1:27" ht="38.5" customHeight="1">
      <c r="C196" s="294" t="s">
        <v>405</v>
      </c>
      <c r="D196" s="294"/>
      <c r="E196" s="294"/>
      <c r="F196" s="294"/>
      <c r="G196" s="294"/>
      <c r="H196" s="294"/>
      <c r="I196" s="294"/>
      <c r="J196" s="294"/>
      <c r="K196" s="294"/>
      <c r="L196" s="294"/>
      <c r="M196" s="294"/>
      <c r="N196" s="294"/>
      <c r="O196" s="294"/>
      <c r="P196" s="294"/>
      <c r="Q196" s="294"/>
      <c r="R196" s="294"/>
      <c r="S196" s="294"/>
      <c r="T196" s="294"/>
      <c r="U196" s="294"/>
      <c r="V196" s="294"/>
      <c r="W196" s="294"/>
      <c r="X196" s="294"/>
    </row>
    <row r="197" spans="1:27" ht="169.5" customHeight="1">
      <c r="C197" s="11" t="s">
        <v>406</v>
      </c>
    </row>
    <row r="198" spans="1:27">
      <c r="C198" s="33"/>
    </row>
  </sheetData>
  <autoFilter ref="A5:F197" xr:uid="{70D8D969-D19A-4A37-9D57-5E4D8D57F6B2}"/>
  <mergeCells count="592">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A132:A134"/>
    <mergeCell ref="B132:B134"/>
    <mergeCell ref="C132:C134"/>
    <mergeCell ref="D132:D134"/>
    <mergeCell ref="I132:I134"/>
    <mergeCell ref="K132:K134"/>
    <mergeCell ref="R132:R134"/>
    <mergeCell ref="V132:V134"/>
    <mergeCell ref="X132:X134"/>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X120:X122"/>
    <mergeCell ref="C123:C125"/>
    <mergeCell ref="D123:D125"/>
    <mergeCell ref="I123:I125"/>
    <mergeCell ref="K123:K125"/>
    <mergeCell ref="M123:M125"/>
    <mergeCell ref="V123:V125"/>
    <mergeCell ref="V117:V119"/>
    <mergeCell ref="X117:X119"/>
    <mergeCell ref="R120:R122"/>
    <mergeCell ref="V120:V122"/>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A120:A122"/>
    <mergeCell ref="B120:B122"/>
    <mergeCell ref="C120:C122"/>
    <mergeCell ref="D120:D122"/>
    <mergeCell ref="I120:I122"/>
    <mergeCell ref="K120:K122"/>
    <mergeCell ref="A111:A113"/>
    <mergeCell ref="B111:B113"/>
    <mergeCell ref="C111:C113"/>
    <mergeCell ref="D111:D113"/>
    <mergeCell ref="I111:I113"/>
    <mergeCell ref="K111:K113"/>
    <mergeCell ref="M111:M113"/>
    <mergeCell ref="R111:R113"/>
    <mergeCell ref="V111:V113"/>
    <mergeCell ref="AA105:AA107"/>
    <mergeCell ref="A108:A110"/>
    <mergeCell ref="B108:B110"/>
    <mergeCell ref="C108:C110"/>
    <mergeCell ref="D108:D110"/>
    <mergeCell ref="I108:I110"/>
    <mergeCell ref="K108:K110"/>
    <mergeCell ref="M108:M110"/>
    <mergeCell ref="R108:R110"/>
    <mergeCell ref="V108:V110"/>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A96:A98"/>
    <mergeCell ref="B96:B98"/>
    <mergeCell ref="C96:C98"/>
    <mergeCell ref="D96:D98"/>
    <mergeCell ref="I96:I98"/>
    <mergeCell ref="K96:K98"/>
    <mergeCell ref="M96:M98"/>
    <mergeCell ref="R96:R98"/>
    <mergeCell ref="V96:V98"/>
    <mergeCell ref="A93:A95"/>
    <mergeCell ref="B93:B95"/>
    <mergeCell ref="C93:C95"/>
    <mergeCell ref="D93:D95"/>
    <mergeCell ref="I93:I95"/>
    <mergeCell ref="K93:K95"/>
    <mergeCell ref="M93:M95"/>
    <mergeCell ref="R93:R95"/>
    <mergeCell ref="V93:V95"/>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A69:A71"/>
    <mergeCell ref="B69:B71"/>
    <mergeCell ref="C69:C71"/>
    <mergeCell ref="D69:D71"/>
    <mergeCell ref="I69:I71"/>
    <mergeCell ref="K69:K71"/>
    <mergeCell ref="M69:M71"/>
    <mergeCell ref="R69:R71"/>
    <mergeCell ref="V69:V7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0:A62"/>
    <mergeCell ref="B60:B62"/>
    <mergeCell ref="C60:C62"/>
    <mergeCell ref="D60:D62"/>
    <mergeCell ref="I60:I62"/>
    <mergeCell ref="K60:K62"/>
    <mergeCell ref="M60:M62"/>
    <mergeCell ref="R60:R62"/>
    <mergeCell ref="AA60:AA61"/>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M27:M29"/>
    <mergeCell ref="R27:R29"/>
    <mergeCell ref="V27:V29"/>
    <mergeCell ref="X27:X29"/>
    <mergeCell ref="Y27:Y29"/>
    <mergeCell ref="AA27:AA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B9:AB11"/>
    <mergeCell ref="A12:A14"/>
    <mergeCell ref="B12:B14"/>
    <mergeCell ref="C12:C14"/>
    <mergeCell ref="D12:D14"/>
    <mergeCell ref="I12:I14"/>
    <mergeCell ref="K12:K14"/>
    <mergeCell ref="R12:R14"/>
    <mergeCell ref="V12:V14"/>
    <mergeCell ref="Y12:Y14"/>
    <mergeCell ref="Y6:Y8"/>
    <mergeCell ref="AA6:AA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pageMargins left="0.7" right="0.7" top="0.75" bottom="0.75" header="0.3" footer="0.3"/>
  <pageSetup scale="38" fitToHeight="0" orientation="landscape" r:id="rId1"/>
  <rowBreaks count="17" manualBreakCount="17">
    <brk id="11" min="2" max="23" man="1"/>
    <brk id="26" min="2" max="23" man="1"/>
    <brk id="32" min="2" max="23" man="1"/>
    <brk id="38" min="2" max="23" man="1"/>
    <brk id="47" min="2" max="23" man="1"/>
    <brk id="56" min="2" max="23" man="1"/>
    <brk id="65" min="2" max="23" man="1"/>
    <brk id="71" min="2" max="23" man="1"/>
    <brk id="80" min="2" max="23" man="1"/>
    <brk id="92" min="2" max="23" man="1"/>
    <brk id="104" min="2" max="23" man="1"/>
    <brk id="116" min="2" max="23" man="1"/>
    <brk id="134" min="2" max="23" man="1"/>
    <brk id="146" min="2" max="23" man="1"/>
    <brk id="161" min="2" max="23" man="1"/>
    <brk id="179" min="2" max="23" man="1"/>
    <brk id="191" min="2" max="23" man="1"/>
  </rowBreaks>
  <colBreaks count="1" manualBreakCount="1">
    <brk id="2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8B69-0F30-40B9-816B-310E77E23042}">
  <sheetPr>
    <tabColor rgb="FFFF0000"/>
    <pageSetUpPr fitToPage="1"/>
  </sheetPr>
  <dimension ref="A1:AY81"/>
  <sheetViews>
    <sheetView showGridLines="0" tabSelected="1" zoomScaleNormal="100" zoomScaleSheetLayoutView="100" workbookViewId="0">
      <pane xSplit="2" ySplit="7" topLeftCell="C8" activePane="bottomRight" state="frozen"/>
      <selection activeCell="K30" sqref="K30:K32"/>
      <selection pane="topRight" activeCell="K30" sqref="K30:K32"/>
      <selection pane="bottomLeft" activeCell="K30" sqref="K30:K32"/>
      <selection pane="bottomRight" activeCell="D33" sqref="D33"/>
    </sheetView>
  </sheetViews>
  <sheetFormatPr baseColWidth="10" defaultColWidth="9.1796875" defaultRowHeight="12.5"/>
  <cols>
    <col min="1" max="1" width="3.453125" customWidth="1"/>
    <col min="2" max="2" width="26.54296875" style="2" customWidth="1"/>
    <col min="3" max="3" width="11.1796875" style="2" customWidth="1"/>
    <col min="4" max="4" width="20" style="2" customWidth="1"/>
    <col min="5" max="5" width="9" style="2" bestFit="1" customWidth="1"/>
    <col min="6" max="6" width="25.1796875" style="2" customWidth="1"/>
    <col min="7" max="7" width="2.1796875" style="2" customWidth="1"/>
    <col min="8" max="8" width="12.54296875" style="2" customWidth="1"/>
    <col min="9" max="9" width="18.81640625" style="2" customWidth="1"/>
    <col min="10" max="10" width="9.26953125" style="2" customWidth="1"/>
    <col min="11" max="11" width="9" style="2" bestFit="1" customWidth="1"/>
    <col min="12" max="12" width="2.1796875" style="2" customWidth="1"/>
    <col min="13" max="13" width="1.26953125" style="2" customWidth="1"/>
    <col min="14" max="14" width="10.1796875" style="2" customWidth="1"/>
    <col min="15" max="15" width="5.81640625" style="2" customWidth="1"/>
    <col min="16" max="16" width="7.90625" style="2" bestFit="1" customWidth="1"/>
    <col min="17" max="17" width="9.81640625" style="2" customWidth="1"/>
    <col min="18" max="18" width="1.81640625" style="2" customWidth="1"/>
    <col min="19" max="19" width="10.453125" style="2" customWidth="1"/>
    <col min="20" max="20" width="18.81640625" style="2" customWidth="1"/>
    <col min="21" max="21" width="8.81640625" style="2" customWidth="1"/>
    <col min="22" max="22" width="10.7265625" style="2" customWidth="1"/>
    <col min="23" max="23" width="1.54296875" customWidth="1"/>
    <col min="25" max="25" width="11.453125" bestFit="1" customWidth="1"/>
    <col min="27" max="27" width="26.54296875" customWidth="1"/>
  </cols>
  <sheetData>
    <row r="1" spans="1:51" ht="15.75" customHeight="1">
      <c r="B1" s="165" t="s">
        <v>407</v>
      </c>
      <c r="AA1" s="166"/>
    </row>
    <row r="2" spans="1:51" ht="15.75" customHeight="1">
      <c r="B2" s="167" t="s">
        <v>408</v>
      </c>
      <c r="M2" s="325"/>
      <c r="N2" s="325"/>
      <c r="O2" s="325"/>
      <c r="P2" s="325"/>
      <c r="Q2" s="325"/>
      <c r="R2" s="325"/>
      <c r="S2" s="325"/>
      <c r="T2" s="325"/>
      <c r="U2" s="325"/>
      <c r="V2" s="325"/>
      <c r="AA2" s="168"/>
      <c r="AC2" s="169"/>
    </row>
    <row r="3" spans="1:51" ht="15.75" customHeight="1">
      <c r="B3" s="317" t="s">
        <v>409</v>
      </c>
      <c r="C3" s="318"/>
      <c r="D3" s="318"/>
      <c r="E3" s="318"/>
      <c r="F3" s="318"/>
      <c r="G3" s="318"/>
      <c r="H3" s="318"/>
      <c r="I3" s="318"/>
      <c r="J3" s="318"/>
      <c r="K3" s="318"/>
      <c r="L3" s="170"/>
      <c r="M3" s="326" t="s">
        <v>410</v>
      </c>
      <c r="N3" s="327"/>
      <c r="O3" s="327"/>
      <c r="P3" s="327"/>
      <c r="Q3" s="327"/>
      <c r="R3" s="327"/>
      <c r="S3" s="327"/>
      <c r="T3" s="327"/>
      <c r="U3" s="327"/>
      <c r="V3" s="327"/>
      <c r="AC3" s="317"/>
      <c r="AD3" s="318"/>
      <c r="AE3" s="318"/>
      <c r="AF3" s="318"/>
      <c r="AG3" s="318"/>
      <c r="AH3" s="318"/>
      <c r="AI3" s="318"/>
      <c r="AJ3" s="318"/>
      <c r="AK3" s="318"/>
      <c r="AL3" s="318"/>
      <c r="AM3" s="318"/>
      <c r="AN3" s="170"/>
      <c r="AO3" s="317"/>
      <c r="AP3" s="318"/>
      <c r="AQ3" s="318"/>
      <c r="AR3" s="318"/>
      <c r="AS3" s="318"/>
      <c r="AT3" s="318"/>
      <c r="AU3" s="318"/>
      <c r="AV3" s="318"/>
      <c r="AW3" s="318"/>
      <c r="AX3" s="318"/>
      <c r="AY3" s="318"/>
    </row>
    <row r="4" spans="1:51" ht="11.15" customHeight="1">
      <c r="A4" s="171"/>
      <c r="B4" s="172"/>
      <c r="C4" s="319" t="s">
        <v>411</v>
      </c>
      <c r="D4" s="319"/>
      <c r="E4" s="319"/>
      <c r="F4" s="319"/>
      <c r="G4" s="173"/>
      <c r="H4" s="320" t="s">
        <v>412</v>
      </c>
      <c r="I4" s="320"/>
      <c r="J4" s="320"/>
      <c r="K4" s="320"/>
      <c r="L4" s="173"/>
      <c r="M4" s="328"/>
      <c r="N4" s="329" t="s">
        <v>411</v>
      </c>
      <c r="O4" s="329"/>
      <c r="P4" s="329"/>
      <c r="Q4" s="329"/>
      <c r="R4" s="330"/>
      <c r="S4" s="331" t="s">
        <v>412</v>
      </c>
      <c r="T4" s="331"/>
      <c r="U4" s="331"/>
      <c r="V4" s="331"/>
      <c r="AA4" s="175"/>
      <c r="AC4" s="172"/>
      <c r="AD4" s="319"/>
      <c r="AE4" s="319"/>
      <c r="AF4" s="319"/>
      <c r="AG4" s="319"/>
      <c r="AH4" s="173"/>
      <c r="AI4" s="320"/>
      <c r="AJ4" s="320"/>
      <c r="AK4" s="320"/>
      <c r="AL4" s="320"/>
      <c r="AM4" s="320"/>
      <c r="AN4" s="173"/>
      <c r="AO4" s="174"/>
      <c r="AP4" s="319"/>
      <c r="AQ4" s="319"/>
      <c r="AR4" s="319"/>
      <c r="AS4" s="319"/>
      <c r="AT4" s="173"/>
      <c r="AU4" s="320"/>
      <c r="AV4" s="320"/>
      <c r="AW4" s="320"/>
      <c r="AX4" s="320"/>
      <c r="AY4" s="320"/>
    </row>
    <row r="5" spans="1:51" ht="27" customHeight="1">
      <c r="A5" s="171"/>
      <c r="B5" s="172"/>
      <c r="C5" s="320" t="s">
        <v>413</v>
      </c>
      <c r="D5" s="320"/>
      <c r="E5" s="320"/>
      <c r="F5" s="323" t="s">
        <v>414</v>
      </c>
      <c r="G5" s="173"/>
      <c r="H5" s="176"/>
      <c r="I5" s="321" t="s">
        <v>415</v>
      </c>
      <c r="J5" s="319" t="s">
        <v>416</v>
      </c>
      <c r="K5" s="319"/>
      <c r="L5" s="173"/>
      <c r="M5" s="328"/>
      <c r="N5" s="331" t="s">
        <v>413</v>
      </c>
      <c r="O5" s="331"/>
      <c r="P5" s="331"/>
      <c r="Q5" s="332" t="s">
        <v>414</v>
      </c>
      <c r="R5" s="330"/>
      <c r="S5" s="333"/>
      <c r="T5" s="334" t="s">
        <v>415</v>
      </c>
      <c r="U5" s="329" t="s">
        <v>416</v>
      </c>
      <c r="V5" s="329"/>
      <c r="X5" s="220" t="s">
        <v>444</v>
      </c>
      <c r="AA5" s="175"/>
      <c r="AC5" s="172"/>
      <c r="AD5" s="320"/>
      <c r="AE5" s="320"/>
      <c r="AF5" s="320"/>
      <c r="AG5" s="323"/>
      <c r="AH5" s="173"/>
      <c r="AI5" s="176"/>
      <c r="AJ5" s="321"/>
      <c r="AK5" s="176"/>
      <c r="AL5" s="319"/>
      <c r="AM5" s="319"/>
      <c r="AN5" s="173"/>
      <c r="AO5" s="174"/>
      <c r="AP5" s="320"/>
      <c r="AQ5" s="320"/>
      <c r="AR5" s="320"/>
      <c r="AS5" s="323"/>
      <c r="AT5" s="173"/>
      <c r="AU5" s="176"/>
      <c r="AV5" s="321"/>
      <c r="AW5" s="176"/>
      <c r="AX5" s="319"/>
      <c r="AY5" s="319"/>
    </row>
    <row r="6" spans="1:51" ht="29.5" customHeight="1">
      <c r="A6" s="171"/>
      <c r="B6" s="177"/>
      <c r="C6" s="178" t="s">
        <v>417</v>
      </c>
      <c r="D6" s="179" t="s">
        <v>418</v>
      </c>
      <c r="E6" s="179" t="s">
        <v>419</v>
      </c>
      <c r="F6" s="324"/>
      <c r="G6" s="180"/>
      <c r="H6" s="181" t="s">
        <v>417</v>
      </c>
      <c r="I6" s="322"/>
      <c r="J6" s="182" t="s">
        <v>420</v>
      </c>
      <c r="K6" s="182" t="s">
        <v>421</v>
      </c>
      <c r="L6" s="183"/>
      <c r="M6" s="335"/>
      <c r="N6" s="336" t="s">
        <v>417</v>
      </c>
      <c r="O6" s="337" t="s">
        <v>418</v>
      </c>
      <c r="P6" s="337" t="s">
        <v>419</v>
      </c>
      <c r="Q6" s="338"/>
      <c r="R6" s="339"/>
      <c r="S6" s="340" t="s">
        <v>417</v>
      </c>
      <c r="T6" s="341"/>
      <c r="U6" s="342" t="s">
        <v>420</v>
      </c>
      <c r="V6" s="337" t="s">
        <v>421</v>
      </c>
      <c r="AA6" s="185"/>
      <c r="AC6" s="177"/>
      <c r="AD6" s="178"/>
      <c r="AE6" s="179"/>
      <c r="AF6" s="179"/>
      <c r="AG6" s="324"/>
      <c r="AH6" s="180"/>
      <c r="AI6" s="181"/>
      <c r="AJ6" s="322"/>
      <c r="AK6" s="182"/>
      <c r="AL6" s="182"/>
      <c r="AM6" s="182"/>
      <c r="AN6" s="183"/>
      <c r="AO6" s="184"/>
      <c r="AP6" s="178"/>
      <c r="AQ6" s="179"/>
      <c r="AR6" s="179"/>
      <c r="AS6" s="324"/>
      <c r="AT6" s="180"/>
      <c r="AU6" s="181"/>
      <c r="AV6" s="322"/>
      <c r="AW6" s="182"/>
      <c r="AX6" s="182"/>
      <c r="AY6" s="179"/>
    </row>
    <row r="7" spans="1:51">
      <c r="A7" s="171"/>
      <c r="B7" s="186" t="s">
        <v>422</v>
      </c>
      <c r="C7" s="187"/>
      <c r="D7" s="187"/>
      <c r="E7" s="187"/>
      <c r="F7" s="187"/>
      <c r="G7" s="187"/>
      <c r="H7" s="187"/>
      <c r="I7" s="187"/>
      <c r="J7" s="187"/>
      <c r="K7" s="187"/>
      <c r="M7" s="325"/>
      <c r="N7" s="325"/>
      <c r="O7" s="325"/>
      <c r="P7" s="325"/>
      <c r="Q7" s="325"/>
      <c r="R7" s="325"/>
      <c r="S7" s="325"/>
      <c r="T7" s="325"/>
      <c r="U7" s="325"/>
      <c r="V7" s="325"/>
      <c r="AA7" s="188"/>
      <c r="AC7" s="186"/>
      <c r="AD7" s="187"/>
      <c r="AE7" s="187"/>
      <c r="AF7" s="187"/>
      <c r="AG7" s="187"/>
      <c r="AH7" s="187"/>
      <c r="AI7" s="187"/>
      <c r="AJ7" s="187"/>
      <c r="AK7" s="187"/>
      <c r="AL7" s="187"/>
      <c r="AM7" s="187"/>
      <c r="AN7" s="2"/>
      <c r="AO7" s="2"/>
      <c r="AP7" s="2"/>
      <c r="AQ7" s="2"/>
      <c r="AR7" s="2"/>
      <c r="AS7" s="2"/>
      <c r="AT7" s="2"/>
      <c r="AU7" s="2"/>
      <c r="AV7" s="2"/>
      <c r="AW7" s="2"/>
      <c r="AX7" s="2"/>
      <c r="AY7" s="2"/>
    </row>
    <row r="8" spans="1:51" s="227" customFormat="1">
      <c r="A8" s="221"/>
      <c r="B8" s="222" t="s">
        <v>23</v>
      </c>
      <c r="C8" s="223">
        <v>130</v>
      </c>
      <c r="D8" s="224">
        <v>2.1167514999999999</v>
      </c>
      <c r="E8" s="224">
        <v>127.88831999999999</v>
      </c>
      <c r="F8" s="224" t="s">
        <v>443</v>
      </c>
      <c r="G8" s="224"/>
      <c r="H8" s="225">
        <v>24.092933879524701</v>
      </c>
      <c r="I8" s="224">
        <v>10.325543091224874</v>
      </c>
      <c r="J8" s="224">
        <v>13.767390788299833</v>
      </c>
      <c r="K8" s="224" t="s">
        <v>443</v>
      </c>
      <c r="L8" s="226"/>
      <c r="M8" s="343"/>
      <c r="N8" s="344">
        <v>10.6</v>
      </c>
      <c r="O8" s="345">
        <v>0.30159999999999998</v>
      </c>
      <c r="P8" s="345">
        <f>N8-O8</f>
        <v>10.298399999999999</v>
      </c>
      <c r="Q8" s="345">
        <v>0</v>
      </c>
      <c r="R8" s="345"/>
      <c r="S8" s="344">
        <v>1.8051363545190811</v>
      </c>
      <c r="T8" s="345">
        <v>0.77362986622246332</v>
      </c>
      <c r="U8" s="345">
        <v>1.0315064882966178</v>
      </c>
      <c r="V8" s="345" t="s">
        <v>443</v>
      </c>
      <c r="X8" s="228">
        <v>0.8</v>
      </c>
      <c r="Y8" s="227">
        <v>1.1000000000000001</v>
      </c>
      <c r="AA8" s="222"/>
      <c r="AC8" s="222"/>
      <c r="AD8" s="229"/>
      <c r="AE8" s="230"/>
      <c r="AF8" s="230"/>
      <c r="AG8" s="230"/>
      <c r="AH8" s="231"/>
      <c r="AI8" s="229"/>
      <c r="AJ8" s="230"/>
      <c r="AK8" s="232"/>
      <c r="AL8" s="230"/>
      <c r="AM8" s="230"/>
      <c r="AN8" s="233"/>
      <c r="AO8" s="233"/>
      <c r="AP8" s="229"/>
      <c r="AQ8" s="230"/>
      <c r="AR8" s="230"/>
      <c r="AS8" s="230"/>
      <c r="AT8" s="231"/>
      <c r="AU8" s="229"/>
      <c r="AV8" s="230"/>
      <c r="AW8" s="232"/>
      <c r="AX8" s="230"/>
      <c r="AY8" s="230"/>
    </row>
    <row r="9" spans="1:51" s="227" customFormat="1">
      <c r="A9" s="221"/>
      <c r="B9" s="222" t="s">
        <v>33</v>
      </c>
      <c r="C9" s="223">
        <f>D9+E9</f>
        <v>81</v>
      </c>
      <c r="D9" s="224">
        <v>2.4</v>
      </c>
      <c r="E9" s="224">
        <v>78.599999999999994</v>
      </c>
      <c r="F9" s="224">
        <v>63.75</v>
      </c>
      <c r="G9" s="224"/>
      <c r="H9" s="225">
        <f t="shared" ref="H9:H46" si="0">I9+J9</f>
        <v>51.7</v>
      </c>
      <c r="I9" s="224">
        <v>3.7</v>
      </c>
      <c r="J9" s="224">
        <v>48</v>
      </c>
      <c r="K9" s="224" t="s">
        <v>443</v>
      </c>
      <c r="L9" s="226"/>
      <c r="M9" s="343"/>
      <c r="N9" s="344">
        <f>O9+P9</f>
        <v>5.1999943019999995</v>
      </c>
      <c r="O9" s="345">
        <v>0.154074302</v>
      </c>
      <c r="P9" s="345">
        <v>5.0459199999999997</v>
      </c>
      <c r="Q9" s="345">
        <v>4.0925925999999997</v>
      </c>
      <c r="R9" s="345"/>
      <c r="S9" s="344">
        <f>T9+U9</f>
        <v>3.31901</v>
      </c>
      <c r="T9" s="346">
        <v>0.23752999999999999</v>
      </c>
      <c r="U9" s="346">
        <v>3.08148</v>
      </c>
      <c r="V9" s="345" t="s">
        <v>443</v>
      </c>
      <c r="X9" s="227">
        <v>0.2</v>
      </c>
      <c r="Y9" s="227">
        <v>3.1</v>
      </c>
      <c r="AA9" s="222"/>
      <c r="AC9" s="222"/>
      <c r="AD9" s="229"/>
      <c r="AE9" s="230"/>
      <c r="AF9" s="230"/>
      <c r="AG9" s="230"/>
      <c r="AH9" s="231"/>
      <c r="AI9" s="229"/>
      <c r="AJ9" s="230"/>
      <c r="AK9" s="232"/>
      <c r="AL9" s="230"/>
      <c r="AM9" s="230"/>
      <c r="AN9" s="233"/>
      <c r="AO9" s="233"/>
      <c r="AP9" s="229"/>
      <c r="AQ9" s="230"/>
      <c r="AR9" s="230"/>
      <c r="AS9" s="230"/>
      <c r="AT9" s="231"/>
      <c r="AU9" s="229"/>
      <c r="AV9" s="230"/>
      <c r="AW9" s="232"/>
      <c r="AX9" s="230"/>
      <c r="AY9" s="230"/>
    </row>
    <row r="10" spans="1:51" s="227" customFormat="1">
      <c r="A10" s="221"/>
      <c r="B10" s="222" t="s">
        <v>47</v>
      </c>
      <c r="C10" s="223">
        <f>D10+E10</f>
        <v>17.999999996</v>
      </c>
      <c r="D10" s="224">
        <v>5.8235294160000004</v>
      </c>
      <c r="E10" s="224">
        <v>12.17647058</v>
      </c>
      <c r="F10" s="224">
        <v>51.35294116</v>
      </c>
      <c r="G10" s="224"/>
      <c r="H10" s="225">
        <f t="shared" si="0"/>
        <v>348</v>
      </c>
      <c r="I10" s="224">
        <v>0</v>
      </c>
      <c r="J10" s="224">
        <v>348</v>
      </c>
      <c r="K10" s="224" t="s">
        <v>443</v>
      </c>
      <c r="L10" s="226"/>
      <c r="M10" s="343"/>
      <c r="N10" s="344">
        <f>O10+P10</f>
        <v>0.69999999899999998</v>
      </c>
      <c r="O10" s="345">
        <v>0.213888889</v>
      </c>
      <c r="P10" s="325">
        <v>0.48611111000000001</v>
      </c>
      <c r="Q10" s="325">
        <v>1.9970588</v>
      </c>
      <c r="R10" s="345"/>
      <c r="S10" s="344">
        <f>T10+U10</f>
        <v>13.533329999999999</v>
      </c>
      <c r="T10" s="345">
        <v>0</v>
      </c>
      <c r="U10" s="345">
        <v>13.533329999999999</v>
      </c>
      <c r="V10" s="345" t="s">
        <v>443</v>
      </c>
      <c r="X10" s="228">
        <v>0</v>
      </c>
      <c r="Y10" s="227">
        <v>13.9</v>
      </c>
      <c r="AA10" s="222"/>
      <c r="AC10" s="222"/>
      <c r="AD10" s="229"/>
      <c r="AE10" s="230"/>
      <c r="AF10" s="230"/>
      <c r="AG10" s="230"/>
      <c r="AH10" s="231"/>
      <c r="AI10" s="229"/>
      <c r="AJ10" s="230"/>
      <c r="AK10" s="232"/>
      <c r="AL10" s="230"/>
      <c r="AM10" s="230"/>
      <c r="AN10" s="233"/>
      <c r="AO10" s="233"/>
      <c r="AP10" s="229"/>
      <c r="AQ10" s="230"/>
      <c r="AR10" s="230"/>
      <c r="AS10" s="230"/>
      <c r="AT10" s="231"/>
      <c r="AU10" s="229"/>
      <c r="AV10" s="230"/>
      <c r="AW10" s="232"/>
      <c r="AX10" s="230"/>
      <c r="AY10" s="230"/>
    </row>
    <row r="11" spans="1:51" s="227" customFormat="1">
      <c r="A11" s="221"/>
      <c r="B11" s="222" t="s">
        <v>54</v>
      </c>
      <c r="C11" s="223">
        <f>D11+E11</f>
        <v>17.999999996</v>
      </c>
      <c r="D11" s="224">
        <v>5.8235294160000004</v>
      </c>
      <c r="E11" s="224">
        <v>12.17647058</v>
      </c>
      <c r="F11" s="224">
        <v>51.35294116</v>
      </c>
      <c r="G11" s="224"/>
      <c r="H11" s="225">
        <f t="shared" si="0"/>
        <v>1072</v>
      </c>
      <c r="I11" s="224">
        <v>223</v>
      </c>
      <c r="J11" s="224">
        <v>849</v>
      </c>
      <c r="K11" s="224" t="s">
        <v>443</v>
      </c>
      <c r="L11" s="226"/>
      <c r="M11" s="343"/>
      <c r="N11" s="344">
        <f>O11+P11</f>
        <v>4.3999950000000005</v>
      </c>
      <c r="O11" s="345">
        <v>0.344615</v>
      </c>
      <c r="P11" s="345">
        <v>4.0553800000000004</v>
      </c>
      <c r="Q11" s="345">
        <v>0</v>
      </c>
      <c r="R11" s="345"/>
      <c r="S11" s="344">
        <f>T11+U11</f>
        <v>29.664346999999999</v>
      </c>
      <c r="T11" s="345">
        <v>6.1701069999999998</v>
      </c>
      <c r="U11" s="345">
        <v>23.494240000000001</v>
      </c>
      <c r="V11" s="345" t="s">
        <v>443</v>
      </c>
      <c r="X11" s="228">
        <v>6.2</v>
      </c>
      <c r="Y11" s="227">
        <v>23.4</v>
      </c>
      <c r="AA11" s="222"/>
      <c r="AC11" s="222"/>
      <c r="AD11" s="229"/>
      <c r="AE11" s="230"/>
      <c r="AF11" s="230"/>
      <c r="AG11" s="230"/>
      <c r="AH11" s="231"/>
      <c r="AI11" s="229"/>
      <c r="AJ11" s="230"/>
      <c r="AK11" s="232"/>
      <c r="AL11" s="230"/>
      <c r="AM11" s="230"/>
      <c r="AN11" s="233"/>
      <c r="AO11" s="233"/>
      <c r="AP11" s="229"/>
      <c r="AQ11" s="230"/>
      <c r="AR11" s="230"/>
      <c r="AS11" s="230"/>
      <c r="AT11" s="231"/>
      <c r="AU11" s="229"/>
      <c r="AV11" s="230"/>
      <c r="AW11" s="232"/>
      <c r="AX11" s="230"/>
      <c r="AY11" s="230"/>
    </row>
    <row r="12" spans="1:51" s="227" customFormat="1">
      <c r="A12" s="221"/>
      <c r="B12" s="222" t="s">
        <v>61</v>
      </c>
      <c r="C12" s="223">
        <f>D12+E12</f>
        <v>22</v>
      </c>
      <c r="D12" s="224">
        <v>3.63</v>
      </c>
      <c r="E12" s="224">
        <v>18.37</v>
      </c>
      <c r="F12" s="224">
        <v>0</v>
      </c>
      <c r="G12" s="224"/>
      <c r="H12" s="225">
        <f t="shared" si="0"/>
        <v>591</v>
      </c>
      <c r="I12" s="224">
        <v>0</v>
      </c>
      <c r="J12" s="224">
        <v>591</v>
      </c>
      <c r="K12" s="224" t="s">
        <v>443</v>
      </c>
      <c r="L12" s="226"/>
      <c r="M12" s="343"/>
      <c r="N12" s="344">
        <f t="shared" ref="N12:N24" si="1">O12+P12</f>
        <v>1.2</v>
      </c>
      <c r="O12" s="345">
        <v>0.19800000000000001</v>
      </c>
      <c r="P12" s="345">
        <v>1.002</v>
      </c>
      <c r="Q12" s="345">
        <v>0</v>
      </c>
      <c r="R12" s="345"/>
      <c r="S12" s="344">
        <f>T12+U12</f>
        <v>32.236359999999998</v>
      </c>
      <c r="T12" s="345">
        <v>0</v>
      </c>
      <c r="U12" s="345">
        <v>32.236359999999998</v>
      </c>
      <c r="V12" s="345"/>
      <c r="X12" s="228">
        <v>0</v>
      </c>
      <c r="Y12" s="227">
        <v>32.4</v>
      </c>
      <c r="AA12" s="222"/>
      <c r="AC12" s="222"/>
      <c r="AD12" s="229"/>
      <c r="AE12" s="230"/>
      <c r="AF12" s="230"/>
      <c r="AG12" s="230"/>
      <c r="AH12" s="231"/>
      <c r="AI12" s="229"/>
      <c r="AJ12" s="230"/>
      <c r="AK12" s="232"/>
      <c r="AL12" s="230"/>
      <c r="AM12" s="230"/>
      <c r="AN12" s="233"/>
      <c r="AO12" s="233"/>
      <c r="AP12" s="229"/>
      <c r="AQ12" s="230"/>
      <c r="AR12" s="230"/>
      <c r="AS12" s="230"/>
      <c r="AT12" s="231"/>
      <c r="AU12" s="229"/>
      <c r="AV12" s="230"/>
      <c r="AW12" s="232"/>
      <c r="AX12" s="230"/>
      <c r="AY12" s="230"/>
    </row>
    <row r="13" spans="1:51" s="227" customFormat="1">
      <c r="A13" s="221"/>
      <c r="B13" s="222" t="s">
        <v>68</v>
      </c>
      <c r="C13" s="223">
        <f t="shared" ref="C13:C46" si="2">D13+E13</f>
        <v>497.00000060000002</v>
      </c>
      <c r="D13" s="224">
        <v>12.1905666</v>
      </c>
      <c r="E13" s="224">
        <v>484.80943400000001</v>
      </c>
      <c r="F13" s="224">
        <v>0</v>
      </c>
      <c r="G13" s="224"/>
      <c r="H13" s="225">
        <f t="shared" si="0"/>
        <v>518</v>
      </c>
      <c r="I13" s="224">
        <v>499</v>
      </c>
      <c r="J13" s="224">
        <v>19</v>
      </c>
      <c r="K13" s="224"/>
      <c r="L13" s="226"/>
      <c r="M13" s="343"/>
      <c r="N13" s="344">
        <f t="shared" si="1"/>
        <v>10.000003000000001</v>
      </c>
      <c r="O13" s="345">
        <v>0.245283</v>
      </c>
      <c r="P13" s="345">
        <v>9.7547200000000007</v>
      </c>
      <c r="Q13" s="345">
        <v>0</v>
      </c>
      <c r="R13" s="345"/>
      <c r="S13" s="344">
        <f>T13+U13</f>
        <v>10.42253</v>
      </c>
      <c r="T13" s="345">
        <v>10.040240000000001</v>
      </c>
      <c r="U13" s="347">
        <v>0.38229000000000002</v>
      </c>
      <c r="V13" s="345"/>
      <c r="X13" s="228">
        <v>10.1</v>
      </c>
      <c r="Y13" s="227">
        <v>0.4</v>
      </c>
      <c r="AA13" s="222"/>
      <c r="AC13" s="222"/>
      <c r="AD13" s="229"/>
      <c r="AE13" s="230"/>
      <c r="AF13" s="230"/>
      <c r="AG13" s="230"/>
      <c r="AH13" s="231"/>
      <c r="AI13" s="229"/>
      <c r="AJ13" s="230"/>
      <c r="AK13" s="232"/>
      <c r="AL13" s="230"/>
      <c r="AM13" s="230"/>
      <c r="AN13" s="233"/>
      <c r="AO13" s="233"/>
      <c r="AP13" s="229"/>
      <c r="AQ13" s="230"/>
      <c r="AR13" s="230"/>
      <c r="AS13" s="230"/>
      <c r="AT13" s="231"/>
      <c r="AU13" s="229"/>
      <c r="AV13" s="230"/>
      <c r="AW13" s="232"/>
      <c r="AX13" s="230"/>
      <c r="AY13" s="230"/>
    </row>
    <row r="14" spans="1:51" s="227" customFormat="1">
      <c r="A14" s="221"/>
      <c r="B14" s="222" t="s">
        <v>75</v>
      </c>
      <c r="C14" s="223">
        <f>D14+E14</f>
        <v>24</v>
      </c>
      <c r="D14" s="224">
        <v>2.5</v>
      </c>
      <c r="E14" s="224">
        <v>21.5</v>
      </c>
      <c r="F14" s="224">
        <v>14</v>
      </c>
      <c r="G14" s="224"/>
      <c r="H14" s="225">
        <f t="shared" si="0"/>
        <v>215</v>
      </c>
      <c r="I14" s="224">
        <v>101</v>
      </c>
      <c r="J14" s="224">
        <v>114</v>
      </c>
      <c r="K14" s="224"/>
      <c r="L14" s="226"/>
      <c r="M14" s="343"/>
      <c r="N14" s="344">
        <f t="shared" si="1"/>
        <v>1.1914260000000001</v>
      </c>
      <c r="O14" s="345">
        <v>0.33428600000000003</v>
      </c>
      <c r="P14" s="345">
        <v>0.85714000000000001</v>
      </c>
      <c r="Q14" s="345"/>
      <c r="R14" s="345"/>
      <c r="S14" s="344">
        <f t="shared" ref="S14:S17" si="3">T14+U14</f>
        <v>6.3125</v>
      </c>
      <c r="T14" s="345">
        <v>6.3125</v>
      </c>
      <c r="U14" s="345">
        <v>0</v>
      </c>
      <c r="V14" s="345">
        <v>0</v>
      </c>
      <c r="X14" s="228">
        <v>6.4</v>
      </c>
      <c r="Y14" s="227">
        <v>0</v>
      </c>
      <c r="AA14" s="222"/>
      <c r="AC14" s="222"/>
      <c r="AD14" s="229"/>
      <c r="AE14" s="230"/>
      <c r="AF14" s="230"/>
      <c r="AG14" s="230"/>
      <c r="AH14" s="231"/>
      <c r="AI14" s="229"/>
      <c r="AJ14" s="230"/>
      <c r="AK14" s="232"/>
      <c r="AL14" s="230"/>
      <c r="AM14" s="230"/>
      <c r="AN14" s="233"/>
      <c r="AO14" s="233"/>
      <c r="AP14" s="229"/>
      <c r="AQ14" s="230"/>
      <c r="AR14" s="230"/>
      <c r="AS14" s="230"/>
      <c r="AT14" s="231"/>
      <c r="AU14" s="229"/>
      <c r="AV14" s="230"/>
      <c r="AW14" s="232"/>
      <c r="AX14" s="230"/>
      <c r="AY14" s="230"/>
    </row>
    <row r="15" spans="1:51" s="227" customFormat="1">
      <c r="A15" s="221"/>
      <c r="B15" s="222" t="s">
        <v>82</v>
      </c>
      <c r="C15" s="223">
        <f t="shared" si="2"/>
        <v>14.892857139</v>
      </c>
      <c r="D15" s="224">
        <v>4.1785714289999998</v>
      </c>
      <c r="E15" s="224">
        <v>10.71428571</v>
      </c>
      <c r="F15" s="224" t="s">
        <v>443</v>
      </c>
      <c r="G15" s="224"/>
      <c r="H15" s="225">
        <f t="shared" si="0"/>
        <v>175.6152412676459</v>
      </c>
      <c r="I15" s="224">
        <v>11</v>
      </c>
      <c r="J15" s="224">
        <v>164.6152412676459</v>
      </c>
      <c r="K15" s="224">
        <v>11.431613976919854</v>
      </c>
      <c r="L15" s="226"/>
      <c r="M15" s="343"/>
      <c r="N15" s="344">
        <f t="shared" si="1"/>
        <v>3.4914401780219904</v>
      </c>
      <c r="O15" s="345">
        <v>0.48568590402930578</v>
      </c>
      <c r="P15" s="345">
        <v>3.0057542739926846</v>
      </c>
      <c r="Q15" s="345" t="s">
        <v>443</v>
      </c>
      <c r="R15" s="345"/>
      <c r="S15" s="344">
        <f t="shared" si="3"/>
        <v>10</v>
      </c>
      <c r="T15" s="345">
        <v>0.88</v>
      </c>
      <c r="U15" s="345">
        <v>9.1199999999999992</v>
      </c>
      <c r="V15" s="345"/>
      <c r="X15" s="228">
        <v>0.9</v>
      </c>
      <c r="Y15" s="224">
        <v>8.9</v>
      </c>
      <c r="AA15" s="222"/>
      <c r="AC15" s="222"/>
      <c r="AD15" s="229"/>
      <c r="AE15" s="230"/>
      <c r="AF15" s="230"/>
      <c r="AG15" s="230"/>
      <c r="AH15" s="231"/>
      <c r="AI15" s="229"/>
      <c r="AJ15" s="230"/>
      <c r="AK15" s="232"/>
      <c r="AL15" s="230"/>
      <c r="AM15" s="230"/>
      <c r="AN15" s="233"/>
      <c r="AO15" s="233"/>
      <c r="AP15" s="229"/>
      <c r="AQ15" s="230"/>
      <c r="AR15" s="230"/>
      <c r="AS15" s="230"/>
      <c r="AT15" s="231"/>
      <c r="AU15" s="229"/>
      <c r="AV15" s="230"/>
      <c r="AW15" s="232"/>
      <c r="AX15" s="230"/>
      <c r="AY15" s="230"/>
    </row>
    <row r="16" spans="1:51">
      <c r="A16" s="171"/>
      <c r="B16" s="195" t="s">
        <v>89</v>
      </c>
      <c r="C16" s="214">
        <f t="shared" si="2"/>
        <v>241.4414266835733</v>
      </c>
      <c r="D16" s="215">
        <v>40.752852274615869</v>
      </c>
      <c r="E16" s="215">
        <v>200.68857440895744</v>
      </c>
      <c r="F16" s="215">
        <v>5.126144940203254</v>
      </c>
      <c r="G16" s="215"/>
      <c r="H16" s="216">
        <f t="shared" si="0"/>
        <v>437.00385615232733</v>
      </c>
      <c r="I16" s="215">
        <v>1.2815362350508135</v>
      </c>
      <c r="J16" s="215">
        <v>435.72231991727654</v>
      </c>
      <c r="K16" s="215" t="s">
        <v>443</v>
      </c>
      <c r="L16" s="217"/>
      <c r="M16" s="343"/>
      <c r="N16" s="344">
        <f t="shared" si="1"/>
        <v>9.1514162839656876</v>
      </c>
      <c r="O16" s="345">
        <v>1.5446658058922975</v>
      </c>
      <c r="P16" s="345">
        <v>7.6067504780733906</v>
      </c>
      <c r="Q16" s="345">
        <v>0.19429758564682986</v>
      </c>
      <c r="R16" s="345"/>
      <c r="S16" s="344">
        <f t="shared" si="3"/>
        <v>16.563869176392249</v>
      </c>
      <c r="T16" s="345">
        <v>4.8574396411707466E-2</v>
      </c>
      <c r="U16" s="345">
        <v>16.51529477998054</v>
      </c>
      <c r="V16" s="345" t="s">
        <v>443</v>
      </c>
      <c r="X16" s="194"/>
      <c r="AA16" s="195"/>
      <c r="AC16" s="195"/>
      <c r="AD16" s="190"/>
      <c r="AE16" s="191"/>
      <c r="AF16" s="191"/>
      <c r="AG16" s="191"/>
      <c r="AH16" s="192"/>
      <c r="AI16" s="190"/>
      <c r="AJ16" s="191"/>
      <c r="AK16" s="193"/>
      <c r="AL16" s="191"/>
      <c r="AM16" s="191"/>
      <c r="AN16" s="219"/>
      <c r="AO16" s="219"/>
      <c r="AP16" s="190"/>
      <c r="AQ16" s="191"/>
      <c r="AR16" s="191"/>
      <c r="AS16" s="191"/>
      <c r="AT16" s="192"/>
      <c r="AU16" s="190"/>
      <c r="AV16" s="191"/>
      <c r="AW16" s="193"/>
      <c r="AX16" s="191"/>
      <c r="AY16" s="191"/>
    </row>
    <row r="17" spans="1:51">
      <c r="A17" s="171"/>
      <c r="B17" s="189" t="s">
        <v>96</v>
      </c>
      <c r="C17" s="214">
        <f t="shared" si="2"/>
        <v>2449</v>
      </c>
      <c r="D17" s="215">
        <v>304</v>
      </c>
      <c r="E17" s="215">
        <v>2145</v>
      </c>
      <c r="F17" s="215">
        <v>18</v>
      </c>
      <c r="G17" s="215"/>
      <c r="H17" s="216">
        <f t="shared" si="0"/>
        <v>510</v>
      </c>
      <c r="I17" s="215">
        <v>56</v>
      </c>
      <c r="J17" s="215">
        <v>454</v>
      </c>
      <c r="K17" s="215" t="s">
        <v>443</v>
      </c>
      <c r="L17" s="217"/>
      <c r="M17" s="343"/>
      <c r="N17" s="344">
        <f t="shared" si="1"/>
        <v>11.769925271607271</v>
      </c>
      <c r="O17" s="345">
        <v>1.4610278818165008</v>
      </c>
      <c r="P17" s="345">
        <v>10.30889738979077</v>
      </c>
      <c r="Q17" s="345">
        <v>8.6508229844398071E-2</v>
      </c>
      <c r="R17" s="345"/>
      <c r="S17" s="344">
        <f t="shared" si="3"/>
        <v>2.4510665122579454</v>
      </c>
      <c r="T17" s="345">
        <v>0.26913671507146064</v>
      </c>
      <c r="U17" s="345">
        <v>2.1819297971864846</v>
      </c>
      <c r="V17" s="345" t="s">
        <v>443</v>
      </c>
      <c r="X17" s="194"/>
      <c r="AA17" s="195"/>
      <c r="AC17" s="189"/>
      <c r="AD17" s="196"/>
      <c r="AE17" s="197"/>
      <c r="AF17" s="197"/>
      <c r="AG17" s="197"/>
      <c r="AH17" s="198"/>
      <c r="AI17" s="196"/>
      <c r="AJ17" s="197"/>
      <c r="AK17" s="199"/>
      <c r="AL17" s="197"/>
      <c r="AM17" s="197"/>
      <c r="AN17" s="200"/>
      <c r="AO17" s="200"/>
      <c r="AP17" s="196"/>
      <c r="AQ17" s="197"/>
      <c r="AR17" s="197"/>
      <c r="AS17" s="197"/>
      <c r="AT17" s="198"/>
      <c r="AU17" s="196"/>
      <c r="AV17" s="197"/>
      <c r="AW17" s="199"/>
      <c r="AX17" s="197"/>
      <c r="AY17" s="197"/>
    </row>
    <row r="18" spans="1:51">
      <c r="B18" s="189" t="s">
        <v>140</v>
      </c>
      <c r="C18" s="214">
        <f t="shared" si="2"/>
        <v>6.7455001538198225</v>
      </c>
      <c r="D18" s="215">
        <v>1.8317719358641744</v>
      </c>
      <c r="E18" s="215">
        <v>4.9137282179556481</v>
      </c>
      <c r="F18" s="215">
        <v>2.1248554456024422</v>
      </c>
      <c r="G18" s="215"/>
      <c r="H18" s="216">
        <f t="shared" si="0"/>
        <v>1.7401833390709658</v>
      </c>
      <c r="I18" s="215">
        <v>1.7401833390709658</v>
      </c>
      <c r="J18" s="215">
        <v>0</v>
      </c>
      <c r="K18" s="215">
        <v>2.9766293957792835</v>
      </c>
      <c r="L18" s="217"/>
      <c r="M18" s="343"/>
      <c r="N18" s="344">
        <f t="shared" si="1"/>
        <v>0.64837399345332825</v>
      </c>
      <c r="O18" s="345">
        <v>0.17606897310341571</v>
      </c>
      <c r="P18" s="345">
        <v>0.47230502034991256</v>
      </c>
      <c r="Q18" s="345">
        <v>0.20424000879996221</v>
      </c>
      <c r="R18" s="345"/>
      <c r="S18" s="344" t="e">
        <f t="shared" ref="S18:S24" si="4">T18+U18</f>
        <v>#VALUE!</v>
      </c>
      <c r="T18" s="345">
        <v>0.16726552444824491</v>
      </c>
      <c r="U18" s="345" t="s">
        <v>443</v>
      </c>
      <c r="V18" s="345">
        <v>0.28611208129305049</v>
      </c>
      <c r="X18" s="194"/>
      <c r="AA18" s="195"/>
      <c r="AC18" s="189"/>
      <c r="AD18" s="196"/>
      <c r="AE18" s="197"/>
      <c r="AF18" s="197"/>
      <c r="AG18" s="197"/>
      <c r="AH18" s="198"/>
      <c r="AI18" s="196"/>
      <c r="AJ18" s="197"/>
      <c r="AK18" s="199"/>
      <c r="AL18" s="197"/>
      <c r="AM18" s="197"/>
      <c r="AN18" s="200"/>
      <c r="AO18" s="200"/>
      <c r="AP18" s="196"/>
      <c r="AQ18" s="197"/>
      <c r="AR18" s="197"/>
      <c r="AS18" s="197"/>
      <c r="AT18" s="198"/>
      <c r="AU18" s="196"/>
      <c r="AV18" s="197"/>
      <c r="AW18" s="199"/>
      <c r="AX18" s="197"/>
      <c r="AY18" s="197"/>
    </row>
    <row r="19" spans="1:51">
      <c r="B19" s="189" t="s">
        <v>166</v>
      </c>
      <c r="C19" s="214">
        <f t="shared" si="2"/>
        <v>4.9034694285941081</v>
      </c>
      <c r="D19" s="215">
        <v>1.9527090644843794</v>
      </c>
      <c r="E19" s="215">
        <v>2.9507603641097289</v>
      </c>
      <c r="F19" s="215">
        <v>9.6189002065341658</v>
      </c>
      <c r="G19" s="215"/>
      <c r="H19" s="216">
        <f t="shared" si="0"/>
        <v>69.096971859569479</v>
      </c>
      <c r="I19" s="215">
        <v>2.8929023177546362</v>
      </c>
      <c r="J19" s="215">
        <v>66.204069541814846</v>
      </c>
      <c r="K19" s="215">
        <v>15.3179177725108</v>
      </c>
      <c r="L19" s="217"/>
      <c r="M19" s="343"/>
      <c r="N19" s="344">
        <f t="shared" si="1"/>
        <v>0.75503484764120432</v>
      </c>
      <c r="O19" s="345">
        <v>0.3006775941933999</v>
      </c>
      <c r="P19" s="345">
        <v>0.45435725344780437</v>
      </c>
      <c r="Q19" s="345">
        <v>1.4811155565823033</v>
      </c>
      <c r="R19" s="345"/>
      <c r="S19" s="344">
        <f t="shared" si="4"/>
        <v>10.63953235156942</v>
      </c>
      <c r="T19" s="345">
        <v>0.4454482876939258</v>
      </c>
      <c r="U19" s="345">
        <v>10.194084063875493</v>
      </c>
      <c r="V19" s="345">
        <v>2.3586486833393376</v>
      </c>
      <c r="X19" s="194"/>
      <c r="AA19" s="195"/>
      <c r="AC19" s="189"/>
      <c r="AD19" s="196"/>
      <c r="AE19" s="197"/>
      <c r="AF19" s="197"/>
      <c r="AG19" s="197"/>
      <c r="AH19" s="198"/>
      <c r="AI19" s="196"/>
      <c r="AJ19" s="197"/>
      <c r="AK19" s="199"/>
      <c r="AL19" s="197"/>
      <c r="AM19" s="197"/>
      <c r="AN19" s="200"/>
      <c r="AO19" s="200"/>
      <c r="AP19" s="196"/>
      <c r="AQ19" s="197"/>
      <c r="AR19" s="197"/>
      <c r="AS19" s="197"/>
      <c r="AT19" s="198"/>
      <c r="AU19" s="196"/>
      <c r="AV19" s="197"/>
      <c r="AW19" s="199"/>
      <c r="AX19" s="197"/>
      <c r="AY19" s="197"/>
    </row>
    <row r="20" spans="1:51" s="227" customFormat="1">
      <c r="B20" s="348" t="s">
        <v>423</v>
      </c>
      <c r="C20" s="223">
        <f t="shared" si="2"/>
        <v>31.764700000000001</v>
      </c>
      <c r="D20" s="224">
        <v>0</v>
      </c>
      <c r="E20" s="224">
        <v>31.764700000000001</v>
      </c>
      <c r="F20" s="224" t="s">
        <v>443</v>
      </c>
      <c r="G20" s="224"/>
      <c r="H20" s="225">
        <f t="shared" si="0"/>
        <v>0</v>
      </c>
      <c r="I20" s="224">
        <v>0</v>
      </c>
      <c r="J20" s="224">
        <v>0</v>
      </c>
      <c r="K20" s="224" t="s">
        <v>443</v>
      </c>
      <c r="L20" s="226"/>
      <c r="M20" s="226"/>
      <c r="N20" s="225">
        <f t="shared" si="1"/>
        <v>8.4503702123949669</v>
      </c>
      <c r="O20" s="224">
        <v>0.47533332444721699</v>
      </c>
      <c r="P20" s="224">
        <v>7.9750368879477502</v>
      </c>
      <c r="Q20" s="224" t="s">
        <v>443</v>
      </c>
      <c r="R20" s="224"/>
      <c r="S20" s="225" t="e">
        <f t="shared" si="4"/>
        <v>#VALUE!</v>
      </c>
      <c r="T20" s="224" t="s">
        <v>443</v>
      </c>
      <c r="U20" s="224">
        <v>2.3766666222360846</v>
      </c>
      <c r="V20" s="224" t="s">
        <v>443</v>
      </c>
      <c r="X20" s="228"/>
      <c r="AA20" s="348"/>
      <c r="AC20" s="348"/>
      <c r="AD20" s="229"/>
      <c r="AE20" s="230"/>
      <c r="AF20" s="230"/>
      <c r="AG20" s="230"/>
      <c r="AH20" s="231"/>
      <c r="AI20" s="229"/>
      <c r="AJ20" s="230"/>
      <c r="AK20" s="232"/>
      <c r="AL20" s="230"/>
      <c r="AM20" s="230"/>
      <c r="AN20" s="233"/>
      <c r="AO20" s="233"/>
      <c r="AP20" s="229"/>
      <c r="AQ20" s="230"/>
      <c r="AR20" s="230"/>
      <c r="AS20" s="230"/>
      <c r="AT20" s="231"/>
      <c r="AU20" s="229"/>
      <c r="AV20" s="230"/>
      <c r="AW20" s="232"/>
      <c r="AX20" s="230"/>
      <c r="AY20" s="230"/>
    </row>
    <row r="21" spans="1:51" s="234" customFormat="1">
      <c r="B21" s="246" t="s">
        <v>173</v>
      </c>
      <c r="C21" s="236">
        <f t="shared" si="2"/>
        <v>19.891008319840545</v>
      </c>
      <c r="D21" s="237">
        <v>3.7724326123835521</v>
      </c>
      <c r="E21" s="237">
        <v>16.118575707456994</v>
      </c>
      <c r="F21" s="237">
        <v>18.404898502840968</v>
      </c>
      <c r="G21" s="237"/>
      <c r="H21" s="238">
        <f t="shared" si="0"/>
        <v>60.70187021744443</v>
      </c>
      <c r="I21" s="237">
        <v>1.2574775374611842</v>
      </c>
      <c r="J21" s="237">
        <v>59.444392679983245</v>
      </c>
      <c r="K21" s="237" t="s">
        <v>443</v>
      </c>
      <c r="L21" s="239"/>
      <c r="M21" s="343"/>
      <c r="N21" s="344">
        <f t="shared" si="1"/>
        <v>3.9512038194875774</v>
      </c>
      <c r="O21" s="345">
        <v>0.7493662416269542</v>
      </c>
      <c r="P21" s="345">
        <v>3.2018375778606232</v>
      </c>
      <c r="Q21" s="345">
        <v>3.6559989364224137</v>
      </c>
      <c r="R21" s="345"/>
      <c r="S21" s="344">
        <f t="shared" si="4"/>
        <v>12.057984069815536</v>
      </c>
      <c r="T21" s="345">
        <v>0.24978874720898481</v>
      </c>
      <c r="U21" s="345">
        <v>11.808195322606551</v>
      </c>
      <c r="V21" s="345" t="s">
        <v>443</v>
      </c>
      <c r="X21" s="240"/>
      <c r="AA21" s="246"/>
      <c r="AC21" s="246"/>
      <c r="AD21" s="241"/>
      <c r="AE21" s="242"/>
      <c r="AF21" s="242"/>
      <c r="AG21" s="242"/>
      <c r="AH21" s="243"/>
      <c r="AI21" s="241"/>
      <c r="AJ21" s="242"/>
      <c r="AK21" s="244"/>
      <c r="AL21" s="242"/>
      <c r="AM21" s="242"/>
      <c r="AN21" s="245"/>
      <c r="AO21" s="245"/>
      <c r="AP21" s="241"/>
      <c r="AQ21" s="242"/>
      <c r="AR21" s="242"/>
      <c r="AS21" s="242"/>
      <c r="AT21" s="243"/>
      <c r="AU21" s="241"/>
      <c r="AV21" s="242"/>
      <c r="AW21" s="244"/>
      <c r="AX21" s="242"/>
      <c r="AY21" s="242"/>
    </row>
    <row r="22" spans="1:51" s="234" customFormat="1">
      <c r="B22" s="235" t="s">
        <v>424</v>
      </c>
      <c r="C22" s="236">
        <f t="shared" si="2"/>
        <v>10.573339000389979</v>
      </c>
      <c r="D22" s="237">
        <v>2.5315222329475802</v>
      </c>
      <c r="E22" s="237">
        <v>8.0418167674423984</v>
      </c>
      <c r="F22" s="237">
        <v>1.5892575253152907</v>
      </c>
      <c r="G22" s="237"/>
      <c r="H22" s="238">
        <f t="shared" si="0"/>
        <v>37.38663194799085</v>
      </c>
      <c r="I22" s="237">
        <v>4.3422336757248381E-2</v>
      </c>
      <c r="J22" s="237">
        <v>37.343209611233604</v>
      </c>
      <c r="K22" s="237" t="s">
        <v>443</v>
      </c>
      <c r="L22" s="239"/>
      <c r="M22" s="343"/>
      <c r="N22" s="344">
        <f t="shared" si="1"/>
        <v>4.3695995670663921</v>
      </c>
      <c r="O22" s="345">
        <v>1.0461916006569638</v>
      </c>
      <c r="P22" s="345">
        <v>3.3234079664094285</v>
      </c>
      <c r="Q22" s="345">
        <v>0.65678580761655025</v>
      </c>
      <c r="R22" s="345"/>
      <c r="S22" s="344">
        <f t="shared" si="4"/>
        <v>15.450616949668026</v>
      </c>
      <c r="T22" s="345">
        <v>1.794496742121722E-2</v>
      </c>
      <c r="U22" s="345">
        <v>15.432671982246809</v>
      </c>
      <c r="V22" s="345" t="s">
        <v>443</v>
      </c>
      <c r="X22" s="240"/>
      <c r="Z22" s="247"/>
      <c r="AA22" s="235"/>
      <c r="AC22" s="235"/>
      <c r="AD22" s="241"/>
      <c r="AE22" s="242"/>
      <c r="AF22" s="242"/>
      <c r="AG22" s="242"/>
      <c r="AH22" s="243"/>
      <c r="AI22" s="241"/>
      <c r="AJ22" s="242"/>
      <c r="AK22" s="244"/>
      <c r="AL22" s="242"/>
      <c r="AM22" s="242"/>
      <c r="AN22" s="245"/>
      <c r="AO22" s="245"/>
      <c r="AP22" s="241"/>
      <c r="AQ22" s="242"/>
      <c r="AR22" s="242"/>
      <c r="AS22" s="242"/>
      <c r="AT22" s="243"/>
      <c r="AU22" s="241"/>
      <c r="AV22" s="242"/>
      <c r="AW22" s="244"/>
      <c r="AX22" s="242"/>
      <c r="AY22" s="242"/>
    </row>
    <row r="23" spans="1:51">
      <c r="B23" s="201" t="s">
        <v>185</v>
      </c>
      <c r="C23" s="214">
        <f t="shared" si="2"/>
        <v>20.044411427789434</v>
      </c>
      <c r="D23" s="215">
        <v>0.12203599042794176</v>
      </c>
      <c r="E23" s="215">
        <v>19.922375437361492</v>
      </c>
      <c r="F23" s="215">
        <v>26.756390901326231</v>
      </c>
      <c r="G23" s="215"/>
      <c r="H23" s="216">
        <f t="shared" si="0"/>
        <v>30.692051592627351</v>
      </c>
      <c r="I23" s="215">
        <v>8.9848997952572116</v>
      </c>
      <c r="J23" s="215">
        <v>21.707151797370141</v>
      </c>
      <c r="K23" s="215" t="s">
        <v>443</v>
      </c>
      <c r="L23" s="217"/>
      <c r="M23" s="343"/>
      <c r="N23" s="344">
        <f t="shared" si="1"/>
        <v>5.9019042372106698</v>
      </c>
      <c r="O23" s="345">
        <v>3.5932445888649439E-2</v>
      </c>
      <c r="P23" s="345">
        <v>5.8659717913220204</v>
      </c>
      <c r="Q23" s="345">
        <v>7.8781887610863892</v>
      </c>
      <c r="R23" s="345"/>
      <c r="S23" s="344">
        <f t="shared" si="4"/>
        <v>9.037010140995335</v>
      </c>
      <c r="T23" s="345">
        <v>2.6455263285518149</v>
      </c>
      <c r="U23" s="345">
        <v>6.3914838124435196</v>
      </c>
      <c r="V23" s="345" t="s">
        <v>443</v>
      </c>
      <c r="X23" s="194"/>
      <c r="AA23" s="203"/>
      <c r="AC23" s="201"/>
      <c r="AD23" s="196"/>
      <c r="AE23" s="197"/>
      <c r="AF23" s="197"/>
      <c r="AG23" s="197"/>
      <c r="AH23" s="198"/>
      <c r="AI23" s="196"/>
      <c r="AJ23" s="197"/>
      <c r="AK23" s="199"/>
      <c r="AL23" s="197"/>
      <c r="AM23" s="197"/>
      <c r="AN23" s="200"/>
      <c r="AO23" s="200"/>
      <c r="AP23" s="196"/>
      <c r="AQ23" s="197"/>
      <c r="AR23" s="197"/>
      <c r="AS23" s="197"/>
      <c r="AT23" s="198"/>
      <c r="AU23" s="196"/>
      <c r="AV23" s="197"/>
      <c r="AW23" s="199"/>
      <c r="AX23" s="197"/>
      <c r="AY23" s="197"/>
    </row>
    <row r="24" spans="1:51" s="234" customFormat="1">
      <c r="B24" s="235" t="s">
        <v>425</v>
      </c>
      <c r="C24" s="236">
        <f t="shared" si="2"/>
        <v>1.0745717138304665</v>
      </c>
      <c r="D24" s="237">
        <v>0.2629271214691567</v>
      </c>
      <c r="E24" s="237">
        <v>0.8116445923613097</v>
      </c>
      <c r="F24" s="237" t="s">
        <v>443</v>
      </c>
      <c r="G24" s="237"/>
      <c r="H24" s="238">
        <f t="shared" si="0"/>
        <v>1.3260672213227032</v>
      </c>
      <c r="I24" s="237">
        <v>0.98311880201510748</v>
      </c>
      <c r="J24" s="237">
        <v>0.34294841930759562</v>
      </c>
      <c r="K24" s="237" t="s">
        <v>443</v>
      </c>
      <c r="L24" s="239"/>
      <c r="M24" s="343"/>
      <c r="N24" s="344">
        <f t="shared" si="1"/>
        <v>3.5269158970705314</v>
      </c>
      <c r="O24" s="345">
        <v>0.86296878332576843</v>
      </c>
      <c r="P24" s="345">
        <v>2.6639471137447632</v>
      </c>
      <c r="Q24" s="345" t="s">
        <v>443</v>
      </c>
      <c r="R24" s="345"/>
      <c r="S24" s="344">
        <f t="shared" si="4"/>
        <v>4.3523642985125708</v>
      </c>
      <c r="T24" s="345">
        <v>3.2267528420006992</v>
      </c>
      <c r="U24" s="345">
        <v>1.1256114565118718</v>
      </c>
      <c r="V24" s="345" t="s">
        <v>443</v>
      </c>
      <c r="X24" s="240"/>
      <c r="AA24" s="235"/>
      <c r="AC24" s="235"/>
      <c r="AD24" s="241"/>
      <c r="AE24" s="242"/>
      <c r="AF24" s="242"/>
      <c r="AG24" s="242"/>
      <c r="AH24" s="243"/>
      <c r="AI24" s="241"/>
      <c r="AJ24" s="242"/>
      <c r="AK24" s="244"/>
      <c r="AL24" s="242"/>
      <c r="AM24" s="242"/>
      <c r="AN24" s="245"/>
      <c r="AO24" s="245"/>
      <c r="AP24" s="241"/>
      <c r="AQ24" s="242"/>
      <c r="AR24" s="242"/>
      <c r="AS24" s="242"/>
      <c r="AT24" s="243"/>
      <c r="AU24" s="241"/>
      <c r="AV24" s="242"/>
      <c r="AW24" s="244"/>
      <c r="AX24" s="242"/>
      <c r="AY24" s="242"/>
    </row>
    <row r="25" spans="1:51">
      <c r="B25" s="201" t="s">
        <v>192</v>
      </c>
      <c r="C25" s="214">
        <f t="shared" si="2"/>
        <v>6.8589683861519131</v>
      </c>
      <c r="D25" s="215">
        <v>1.4861098169995812</v>
      </c>
      <c r="E25" s="215">
        <v>5.3728585691523323</v>
      </c>
      <c r="F25" s="215">
        <v>4.9155940100755373</v>
      </c>
      <c r="G25" s="215"/>
      <c r="H25" s="216">
        <f t="shared" si="0"/>
        <v>17.513232612641218</v>
      </c>
      <c r="I25" s="215">
        <v>2.7664505824146048</v>
      </c>
      <c r="J25" s="215">
        <v>14.746782030226614</v>
      </c>
      <c r="K25" s="215">
        <v>1.1431613976919854</v>
      </c>
      <c r="L25" s="217"/>
      <c r="M25" s="343"/>
      <c r="N25" s="344">
        <v>2.5606950130084316</v>
      </c>
      <c r="O25" s="345">
        <v>0.55481725281849348</v>
      </c>
      <c r="P25" s="345">
        <v>2.005877760189938</v>
      </c>
      <c r="Q25" s="345">
        <v>1.8351647593227092</v>
      </c>
      <c r="R25" s="345"/>
      <c r="S25" s="344">
        <v>6.9650904353829333</v>
      </c>
      <c r="T25" s="345">
        <v>1.032813655246734</v>
      </c>
      <c r="U25" s="345">
        <v>5.5054942779681273</v>
      </c>
      <c r="V25" s="345">
        <v>0.4267825021680719</v>
      </c>
      <c r="X25" s="194"/>
      <c r="AA25" s="203"/>
      <c r="AC25" s="201"/>
      <c r="AD25" s="196"/>
      <c r="AE25" s="197"/>
      <c r="AF25" s="197"/>
      <c r="AG25" s="197"/>
      <c r="AH25" s="198"/>
      <c r="AI25" s="196"/>
      <c r="AJ25" s="197"/>
      <c r="AK25" s="199"/>
      <c r="AL25" s="197"/>
      <c r="AM25" s="197"/>
      <c r="AN25" s="200"/>
      <c r="AO25" s="200"/>
      <c r="AP25" s="196"/>
      <c r="AQ25" s="197"/>
      <c r="AR25" s="197"/>
      <c r="AS25" s="197"/>
      <c r="AT25" s="198"/>
      <c r="AU25" s="196"/>
      <c r="AV25" s="197"/>
      <c r="AW25" s="199"/>
      <c r="AX25" s="197"/>
      <c r="AY25" s="197"/>
    </row>
    <row r="26" spans="1:51" s="234" customFormat="1">
      <c r="B26" s="235" t="s">
        <v>426</v>
      </c>
      <c r="C26" s="236">
        <f t="shared" si="2"/>
        <v>13.260672213227091</v>
      </c>
      <c r="D26" s="237">
        <v>0.34294841930759717</v>
      </c>
      <c r="E26" s="237">
        <v>12.917723793919494</v>
      </c>
      <c r="F26" s="237">
        <v>1.3717936772303887</v>
      </c>
      <c r="G26" s="237"/>
      <c r="H26" s="238" t="e">
        <f t="shared" si="0"/>
        <v>#VALUE!</v>
      </c>
      <c r="I26" s="237" t="s">
        <v>443</v>
      </c>
      <c r="J26" s="237">
        <v>2.9722196339991758</v>
      </c>
      <c r="K26" s="237" t="s">
        <v>443</v>
      </c>
      <c r="L26" s="239"/>
      <c r="M26" s="343"/>
      <c r="N26" s="344">
        <v>6.8221642065212196</v>
      </c>
      <c r="O26" s="345">
        <v>0.17643528120313501</v>
      </c>
      <c r="P26" s="345">
        <v>6.6457289253180853</v>
      </c>
      <c r="Q26" s="345">
        <v>0.70574112481254003</v>
      </c>
      <c r="R26" s="345"/>
      <c r="S26" s="344">
        <v>1.5291057704271702</v>
      </c>
      <c r="T26" s="345" t="s">
        <v>443</v>
      </c>
      <c r="U26" s="345">
        <v>1.5291057704271702</v>
      </c>
      <c r="V26" s="345" t="s">
        <v>443</v>
      </c>
      <c r="X26" s="240"/>
      <c r="Z26" s="247"/>
      <c r="AA26" s="235"/>
      <c r="AC26" s="235"/>
      <c r="AD26" s="241"/>
      <c r="AE26" s="242"/>
      <c r="AF26" s="242"/>
      <c r="AG26" s="242"/>
      <c r="AH26" s="243"/>
      <c r="AI26" s="241"/>
      <c r="AJ26" s="242"/>
      <c r="AK26" s="244"/>
      <c r="AL26" s="242"/>
      <c r="AM26" s="242"/>
      <c r="AN26" s="245"/>
      <c r="AO26" s="245"/>
      <c r="AP26" s="241"/>
      <c r="AQ26" s="242"/>
      <c r="AR26" s="242"/>
      <c r="AS26" s="242"/>
      <c r="AT26" s="243"/>
      <c r="AU26" s="241"/>
      <c r="AV26" s="242"/>
      <c r="AW26" s="244"/>
      <c r="AX26" s="242"/>
      <c r="AY26" s="242"/>
    </row>
    <row r="27" spans="1:51" s="234" customFormat="1">
      <c r="B27" s="235" t="s">
        <v>427</v>
      </c>
      <c r="C27" s="236">
        <f t="shared" si="2"/>
        <v>0.88253820443329634</v>
      </c>
      <c r="D27" s="237">
        <v>2.1328006607137996E-2</v>
      </c>
      <c r="E27" s="237">
        <v>0.86121019782615837</v>
      </c>
      <c r="F27" s="237">
        <v>0</v>
      </c>
      <c r="G27" s="237"/>
      <c r="H27" s="238">
        <f t="shared" si="0"/>
        <v>0.91931062961801713</v>
      </c>
      <c r="I27" s="237">
        <v>0</v>
      </c>
      <c r="J27" s="237">
        <v>0.91931062961801713</v>
      </c>
      <c r="K27" s="237">
        <v>0</v>
      </c>
      <c r="L27" s="239"/>
      <c r="M27" s="343"/>
      <c r="N27" s="344">
        <v>4.242040339089348</v>
      </c>
      <c r="O27" s="345">
        <v>0.10251597486132591</v>
      </c>
      <c r="P27" s="345">
        <v>4.1395243642280217</v>
      </c>
      <c r="Q27" s="345">
        <v>0</v>
      </c>
      <c r="R27" s="345"/>
      <c r="S27" s="344">
        <v>4.4187920198847372</v>
      </c>
      <c r="T27" s="345">
        <v>0</v>
      </c>
      <c r="U27" s="345">
        <v>4.4187920198847372</v>
      </c>
      <c r="V27" s="345">
        <v>0</v>
      </c>
      <c r="X27" s="240"/>
      <c r="AA27" s="235"/>
      <c r="AC27" s="235"/>
      <c r="AD27" s="241"/>
      <c r="AE27" s="242"/>
      <c r="AF27" s="242"/>
      <c r="AG27" s="242"/>
      <c r="AH27" s="243"/>
      <c r="AI27" s="241"/>
      <c r="AJ27" s="242"/>
      <c r="AK27" s="244"/>
      <c r="AL27" s="242"/>
      <c r="AM27" s="242"/>
      <c r="AN27" s="245"/>
      <c r="AO27" s="245"/>
      <c r="AP27" s="241"/>
      <c r="AQ27" s="242"/>
      <c r="AR27" s="242"/>
      <c r="AS27" s="242"/>
      <c r="AT27" s="243"/>
      <c r="AU27" s="241"/>
      <c r="AV27" s="242"/>
      <c r="AW27" s="244"/>
      <c r="AX27" s="242"/>
      <c r="AY27" s="242"/>
    </row>
    <row r="28" spans="1:51" s="234" customFormat="1">
      <c r="B28" s="235" t="s">
        <v>428</v>
      </c>
      <c r="C28" s="236">
        <f t="shared" si="2"/>
        <v>23.434808652685703</v>
      </c>
      <c r="D28" s="237">
        <v>2.2863227953839709</v>
      </c>
      <c r="E28" s="237">
        <v>21.148485857301733</v>
      </c>
      <c r="F28" s="237">
        <v>2.8579034942299635</v>
      </c>
      <c r="G28" s="237"/>
      <c r="H28" s="238">
        <f t="shared" si="0"/>
        <v>6.8589683861519131</v>
      </c>
      <c r="I28" s="237">
        <v>4.5726455907679417</v>
      </c>
      <c r="J28" s="237">
        <v>2.2863227953839709</v>
      </c>
      <c r="K28" s="237" t="s">
        <v>443</v>
      </c>
      <c r="L28" s="239"/>
      <c r="M28" s="343"/>
      <c r="N28" s="344">
        <v>5.8724439411504186</v>
      </c>
      <c r="O28" s="345">
        <v>0.57292136011223593</v>
      </c>
      <c r="P28" s="345">
        <v>5.2995225810381834</v>
      </c>
      <c r="Q28" s="345">
        <v>0.71615170014029494</v>
      </c>
      <c r="R28" s="345"/>
      <c r="S28" s="344">
        <v>1.7187640803367077</v>
      </c>
      <c r="T28" s="345">
        <v>1.1458427202244719</v>
      </c>
      <c r="U28" s="345">
        <v>0.57292136011223593</v>
      </c>
      <c r="V28" s="345" t="s">
        <v>443</v>
      </c>
      <c r="X28" s="240"/>
      <c r="AA28" s="235"/>
      <c r="AC28" s="235"/>
      <c r="AD28" s="241"/>
      <c r="AE28" s="242"/>
      <c r="AF28" s="242"/>
      <c r="AG28" s="242"/>
      <c r="AH28" s="243"/>
      <c r="AI28" s="241"/>
      <c r="AJ28" s="242"/>
      <c r="AK28" s="244"/>
      <c r="AL28" s="242"/>
      <c r="AM28" s="242"/>
      <c r="AN28" s="245"/>
      <c r="AO28" s="245"/>
      <c r="AP28" s="241"/>
      <c r="AQ28" s="242"/>
      <c r="AR28" s="242"/>
      <c r="AS28" s="242"/>
      <c r="AT28" s="243"/>
      <c r="AU28" s="241"/>
      <c r="AV28" s="242"/>
      <c r="AW28" s="244"/>
      <c r="AX28" s="242"/>
      <c r="AY28" s="242"/>
    </row>
    <row r="29" spans="1:51" s="234" customFormat="1">
      <c r="B29" s="235" t="s">
        <v>429</v>
      </c>
      <c r="C29" s="236">
        <f t="shared" si="2"/>
        <v>25.918306382883841</v>
      </c>
      <c r="D29" s="237">
        <v>4.0163261841927023</v>
      </c>
      <c r="E29" s="237">
        <v>21.901980198691138</v>
      </c>
      <c r="F29" s="237">
        <v>2.0803991745458603</v>
      </c>
      <c r="G29" s="237"/>
      <c r="H29" s="238">
        <f t="shared" si="0"/>
        <v>11.153251130204193</v>
      </c>
      <c r="I29" s="237">
        <v>0.9535162883335192</v>
      </c>
      <c r="J29" s="237">
        <v>10.199734841870674</v>
      </c>
      <c r="K29" s="237" t="s">
        <v>443</v>
      </c>
      <c r="L29" s="239"/>
      <c r="M29" s="343"/>
      <c r="N29" s="344">
        <v>6.7596770519250535</v>
      </c>
      <c r="O29" s="345">
        <v>1.0474861875335366</v>
      </c>
      <c r="P29" s="345">
        <v>5.7121908643915171</v>
      </c>
      <c r="Q29" s="345">
        <v>0.54258277339866656</v>
      </c>
      <c r="R29" s="345"/>
      <c r="S29" s="344">
        <v>2.9088465351650732</v>
      </c>
      <c r="T29" s="345">
        <v>0.24868377114105547</v>
      </c>
      <c r="U29" s="345">
        <v>2.6601627640240175</v>
      </c>
      <c r="V29" s="345" t="s">
        <v>443</v>
      </c>
      <c r="X29" s="240"/>
      <c r="AA29" s="235"/>
      <c r="AC29" s="235"/>
      <c r="AD29" s="241"/>
      <c r="AE29" s="242"/>
      <c r="AF29" s="242"/>
      <c r="AG29" s="242"/>
      <c r="AH29" s="243"/>
      <c r="AI29" s="241"/>
      <c r="AJ29" s="242"/>
      <c r="AK29" s="244"/>
      <c r="AL29" s="242"/>
      <c r="AM29" s="242"/>
      <c r="AN29" s="245"/>
      <c r="AO29" s="245"/>
      <c r="AP29" s="241"/>
      <c r="AQ29" s="242"/>
      <c r="AR29" s="242"/>
      <c r="AS29" s="242"/>
      <c r="AT29" s="243"/>
      <c r="AU29" s="241"/>
      <c r="AV29" s="242"/>
      <c r="AW29" s="244"/>
      <c r="AX29" s="242"/>
      <c r="AY29" s="242"/>
    </row>
    <row r="30" spans="1:51" s="234" customFormat="1">
      <c r="B30" s="235" t="s">
        <v>430</v>
      </c>
      <c r="C30" s="236">
        <f t="shared" si="2"/>
        <v>2.6412118346100706</v>
      </c>
      <c r="D30" s="237">
        <v>0.2311060355223796</v>
      </c>
      <c r="E30" s="237">
        <v>2.4101057990876908</v>
      </c>
      <c r="F30" s="237" t="s">
        <v>443</v>
      </c>
      <c r="G30" s="237"/>
      <c r="H30" s="238">
        <f t="shared" si="0"/>
        <v>1.0485610983298868</v>
      </c>
      <c r="I30" s="237">
        <v>0.2311060355223796</v>
      </c>
      <c r="J30" s="237">
        <v>0.81745506280750724</v>
      </c>
      <c r="K30" s="237">
        <v>0</v>
      </c>
      <c r="L30" s="239"/>
      <c r="M30" s="343"/>
      <c r="N30" s="344">
        <v>7.9999999999960121</v>
      </c>
      <c r="O30" s="345">
        <v>0.69999999998147278</v>
      </c>
      <c r="P30" s="345">
        <v>7.3000000000145393</v>
      </c>
      <c r="Q30" s="345">
        <v>0</v>
      </c>
      <c r="R30" s="345"/>
      <c r="S30" s="344">
        <v>3.175999999985712</v>
      </c>
      <c r="T30" s="345">
        <v>0.7</v>
      </c>
      <c r="U30" s="345">
        <v>2.4759999999857119</v>
      </c>
      <c r="V30" s="345">
        <v>0</v>
      </c>
      <c r="X30" s="240"/>
      <c r="Z30" s="247"/>
      <c r="AA30" s="235"/>
      <c r="AC30" s="235"/>
      <c r="AD30" s="241"/>
      <c r="AE30" s="242"/>
      <c r="AF30" s="242"/>
      <c r="AG30" s="242"/>
      <c r="AH30" s="243"/>
      <c r="AI30" s="241"/>
      <c r="AJ30" s="242"/>
      <c r="AK30" s="244"/>
      <c r="AL30" s="242"/>
      <c r="AM30" s="242"/>
      <c r="AN30" s="245"/>
      <c r="AO30" s="245"/>
      <c r="AP30" s="241"/>
      <c r="AQ30" s="242"/>
      <c r="AR30" s="242"/>
      <c r="AS30" s="242"/>
      <c r="AT30" s="243"/>
      <c r="AU30" s="241"/>
      <c r="AV30" s="242"/>
      <c r="AW30" s="244"/>
      <c r="AX30" s="242"/>
      <c r="AY30" s="242"/>
    </row>
    <row r="31" spans="1:51" s="234" customFormat="1">
      <c r="B31" s="235" t="s">
        <v>431</v>
      </c>
      <c r="C31" s="236">
        <f t="shared" si="2"/>
        <v>2.5949763727608071</v>
      </c>
      <c r="D31" s="237">
        <v>0.57158069884599272</v>
      </c>
      <c r="E31" s="237">
        <v>2.0233956739148145</v>
      </c>
      <c r="F31" s="237">
        <v>2.503523460945448</v>
      </c>
      <c r="G31" s="237"/>
      <c r="H31" s="238">
        <f t="shared" si="0"/>
        <v>1.9662376040302147</v>
      </c>
      <c r="I31" s="237">
        <v>0.36581164726143534</v>
      </c>
      <c r="J31" s="237">
        <v>1.6004259567687795</v>
      </c>
      <c r="K31" s="237" t="s">
        <v>443</v>
      </c>
      <c r="L31" s="239"/>
      <c r="M31" s="343"/>
      <c r="N31" s="344">
        <v>4.7126150836254874</v>
      </c>
      <c r="O31" s="345">
        <v>1.0380209435298431</v>
      </c>
      <c r="P31" s="345">
        <v>3.6745941400956448</v>
      </c>
      <c r="Q31" s="345">
        <v>4.5465317326607124</v>
      </c>
      <c r="R31" s="345"/>
      <c r="S31" s="344">
        <v>3.5707920457426598</v>
      </c>
      <c r="T31" s="345">
        <v>0.66433340385909956</v>
      </c>
      <c r="U31" s="345">
        <v>2.9064586418835603</v>
      </c>
      <c r="V31" s="345" t="s">
        <v>443</v>
      </c>
      <c r="X31" s="240"/>
      <c r="AA31" s="235"/>
      <c r="AC31" s="235"/>
      <c r="AD31" s="241"/>
      <c r="AE31" s="242"/>
      <c r="AF31" s="242"/>
      <c r="AG31" s="242"/>
      <c r="AH31" s="243"/>
      <c r="AI31" s="241"/>
      <c r="AJ31" s="242"/>
      <c r="AK31" s="244"/>
      <c r="AL31" s="242"/>
      <c r="AM31" s="242"/>
      <c r="AN31" s="245"/>
      <c r="AO31" s="245"/>
      <c r="AP31" s="241"/>
      <c r="AQ31" s="242"/>
      <c r="AR31" s="242"/>
      <c r="AS31" s="242"/>
      <c r="AT31" s="243"/>
      <c r="AU31" s="241"/>
      <c r="AV31" s="242"/>
      <c r="AW31" s="244"/>
      <c r="AX31" s="242"/>
      <c r="AY31" s="242"/>
    </row>
    <row r="32" spans="1:51" s="234" customFormat="1">
      <c r="B32" s="235" t="s">
        <v>432</v>
      </c>
      <c r="C32" s="236">
        <f t="shared" si="2"/>
        <v>3.5438003328451551</v>
      </c>
      <c r="D32" s="237">
        <v>0.2286322795383971</v>
      </c>
      <c r="E32" s="237">
        <v>3.315168053306758</v>
      </c>
      <c r="F32" s="237">
        <v>5.2145883075488326</v>
      </c>
      <c r="G32" s="237"/>
      <c r="H32" s="238" t="e">
        <f t="shared" si="0"/>
        <v>#VALUE!</v>
      </c>
      <c r="I32" s="237" t="s">
        <v>443</v>
      </c>
      <c r="J32" s="237">
        <v>2.8579034942299635</v>
      </c>
      <c r="K32" s="237">
        <v>1.2574775374611842</v>
      </c>
      <c r="L32" s="239"/>
      <c r="M32" s="343"/>
      <c r="N32" s="344">
        <v>5.1649106201987474</v>
      </c>
      <c r="O32" s="345">
        <v>0.33322004001282246</v>
      </c>
      <c r="P32" s="345">
        <v>4.8316905801859251</v>
      </c>
      <c r="Q32" s="345">
        <v>7.6</v>
      </c>
      <c r="R32" s="345"/>
      <c r="S32" s="344">
        <v>5.997960720230803</v>
      </c>
      <c r="T32" s="345" t="s">
        <v>443</v>
      </c>
      <c r="U32" s="345">
        <v>4.1652505001602798</v>
      </c>
      <c r="V32" s="345">
        <v>1.8327102200705234</v>
      </c>
      <c r="X32" s="240"/>
      <c r="AA32" s="235"/>
      <c r="AC32" s="235"/>
      <c r="AD32" s="241"/>
      <c r="AE32" s="242"/>
      <c r="AF32" s="242"/>
      <c r="AG32" s="242"/>
      <c r="AH32" s="243"/>
      <c r="AI32" s="241"/>
      <c r="AJ32" s="242"/>
      <c r="AK32" s="244"/>
      <c r="AL32" s="242"/>
      <c r="AM32" s="242"/>
      <c r="AN32" s="245"/>
      <c r="AO32" s="245"/>
      <c r="AP32" s="241"/>
      <c r="AQ32" s="242"/>
      <c r="AR32" s="242"/>
      <c r="AS32" s="242"/>
      <c r="AT32" s="243"/>
      <c r="AU32" s="241"/>
      <c r="AV32" s="242"/>
      <c r="AW32" s="244"/>
      <c r="AX32" s="242"/>
      <c r="AY32" s="242"/>
    </row>
    <row r="33" spans="2:51">
      <c r="B33" s="201" t="s">
        <v>201</v>
      </c>
      <c r="C33" s="214">
        <f t="shared" si="2"/>
        <v>40.696545757834684</v>
      </c>
      <c r="D33" s="215">
        <v>4.2296971714603462</v>
      </c>
      <c r="E33" s="215">
        <v>36.46684858637434</v>
      </c>
      <c r="F33" s="215">
        <v>30.86535773768361</v>
      </c>
      <c r="G33" s="215"/>
      <c r="H33" s="216" t="e">
        <f t="shared" si="0"/>
        <v>#VALUE!</v>
      </c>
      <c r="I33" s="215" t="s">
        <v>443</v>
      </c>
      <c r="J33" s="215">
        <v>37.724326123835517</v>
      </c>
      <c r="K33" s="215" t="s">
        <v>443</v>
      </c>
      <c r="L33" s="217"/>
      <c r="M33" s="343"/>
      <c r="N33" s="344">
        <v>4.5915307890024515</v>
      </c>
      <c r="O33" s="345">
        <v>0.47720966065474918</v>
      </c>
      <c r="P33" s="345">
        <v>4.1143211283477026</v>
      </c>
      <c r="Q33" s="345">
        <v>3.482340766940061</v>
      </c>
      <c r="R33" s="345"/>
      <c r="S33" s="344">
        <v>4.2561942707045199</v>
      </c>
      <c r="T33" s="345" t="s">
        <v>443</v>
      </c>
      <c r="U33" s="345">
        <v>4.2561942707045199</v>
      </c>
      <c r="V33" s="345" t="s">
        <v>443</v>
      </c>
      <c r="X33" s="194"/>
      <c r="AA33" s="203"/>
      <c r="AC33" s="201"/>
      <c r="AD33" s="196"/>
      <c r="AE33" s="197"/>
      <c r="AF33" s="197"/>
      <c r="AG33" s="197"/>
      <c r="AH33" s="198"/>
      <c r="AI33" s="196"/>
      <c r="AJ33" s="197"/>
      <c r="AK33" s="199"/>
      <c r="AL33" s="197"/>
      <c r="AM33" s="197"/>
      <c r="AN33" s="200"/>
      <c r="AO33" s="200"/>
      <c r="AP33" s="196"/>
      <c r="AQ33" s="197"/>
      <c r="AR33" s="197"/>
      <c r="AS33" s="197"/>
      <c r="AT33" s="198"/>
      <c r="AU33" s="196"/>
      <c r="AV33" s="197"/>
      <c r="AW33" s="199"/>
      <c r="AX33" s="197"/>
      <c r="AY33" s="197"/>
    </row>
    <row r="34" spans="2:51" s="234" customFormat="1">
      <c r="B34" s="235" t="s">
        <v>207</v>
      </c>
      <c r="C34" s="236">
        <f t="shared" si="2"/>
        <v>37.647910645019209</v>
      </c>
      <c r="D34" s="237">
        <v>0.51484322249598913</v>
      </c>
      <c r="E34" s="237">
        <v>37.133067422523219</v>
      </c>
      <c r="F34" s="237" t="s">
        <v>443</v>
      </c>
      <c r="G34" s="237"/>
      <c r="H34" s="238">
        <f t="shared" si="0"/>
        <v>7.9478922472818319</v>
      </c>
      <c r="I34" s="237">
        <v>3.9256795715319166</v>
      </c>
      <c r="J34" s="237">
        <v>4.0222126757499153</v>
      </c>
      <c r="K34" s="237" t="s">
        <v>443</v>
      </c>
      <c r="L34" s="239"/>
      <c r="M34" s="343"/>
      <c r="N34" s="344">
        <v>19.45175078775047</v>
      </c>
      <c r="O34" s="345">
        <v>0.26600684837949368</v>
      </c>
      <c r="P34" s="345">
        <v>19.18574393937098</v>
      </c>
      <c r="Q34" s="345" t="s">
        <v>443</v>
      </c>
      <c r="R34" s="345"/>
      <c r="S34" s="344">
        <v>4.1064807218584329</v>
      </c>
      <c r="T34" s="345">
        <v>2.0283022188936388</v>
      </c>
      <c r="U34" s="345">
        <v>2.0781785029647941</v>
      </c>
      <c r="V34" s="345" t="s">
        <v>443</v>
      </c>
      <c r="X34" s="240"/>
      <c r="AA34" s="235"/>
      <c r="AC34" s="235"/>
      <c r="AD34" s="241"/>
      <c r="AE34" s="242"/>
      <c r="AF34" s="242"/>
      <c r="AG34" s="242"/>
      <c r="AH34" s="243"/>
      <c r="AI34" s="241"/>
      <c r="AJ34" s="242"/>
      <c r="AK34" s="244"/>
      <c r="AL34" s="242"/>
      <c r="AM34" s="242"/>
      <c r="AN34" s="245"/>
      <c r="AO34" s="245"/>
      <c r="AP34" s="241"/>
      <c r="AQ34" s="242"/>
      <c r="AR34" s="242"/>
      <c r="AS34" s="242"/>
      <c r="AT34" s="243"/>
      <c r="AU34" s="241"/>
      <c r="AV34" s="242"/>
      <c r="AW34" s="244"/>
      <c r="AX34" s="242"/>
      <c r="AY34" s="242"/>
    </row>
    <row r="35" spans="2:51">
      <c r="B35" s="201" t="s">
        <v>212</v>
      </c>
      <c r="C35" s="214" t="e">
        <f t="shared" si="2"/>
        <v>#VALUE!</v>
      </c>
      <c r="D35" s="215" t="s">
        <v>443</v>
      </c>
      <c r="E35" s="215" t="s">
        <v>443</v>
      </c>
      <c r="F35" s="215" t="s">
        <v>443</v>
      </c>
      <c r="G35" s="215"/>
      <c r="H35" s="216">
        <f t="shared" si="0"/>
        <v>19.124674418686535</v>
      </c>
      <c r="I35" s="215">
        <v>5.3242412078748709</v>
      </c>
      <c r="J35" s="215">
        <v>13.800433210811665</v>
      </c>
      <c r="K35" s="215" t="s">
        <v>443</v>
      </c>
      <c r="L35" s="217"/>
      <c r="M35" s="343"/>
      <c r="N35" s="344">
        <v>5.4346002885034714</v>
      </c>
      <c r="O35" s="345" t="s">
        <v>443</v>
      </c>
      <c r="P35" s="345" t="s">
        <v>443</v>
      </c>
      <c r="Q35" s="345" t="s">
        <v>443</v>
      </c>
      <c r="R35" s="345"/>
      <c r="S35" s="344">
        <v>6.0250259988594044</v>
      </c>
      <c r="T35" s="345">
        <v>1.6773457680566273</v>
      </c>
      <c r="U35" s="345">
        <v>4.3476802308027773</v>
      </c>
      <c r="V35" s="345" t="s">
        <v>443</v>
      </c>
      <c r="X35" s="194"/>
      <c r="Z35" s="204"/>
      <c r="AA35" s="203"/>
      <c r="AC35" s="201"/>
      <c r="AD35" s="196"/>
      <c r="AE35" s="197"/>
      <c r="AF35" s="197"/>
      <c r="AG35" s="197"/>
      <c r="AH35" s="198"/>
      <c r="AI35" s="196"/>
      <c r="AJ35" s="197"/>
      <c r="AK35" s="199"/>
      <c r="AL35" s="197"/>
      <c r="AM35" s="197"/>
      <c r="AN35" s="200"/>
      <c r="AO35" s="200"/>
      <c r="AP35" s="196"/>
      <c r="AQ35" s="197"/>
      <c r="AR35" s="197"/>
      <c r="AS35" s="197"/>
      <c r="AT35" s="198"/>
      <c r="AU35" s="196"/>
      <c r="AV35" s="197"/>
      <c r="AW35" s="199"/>
      <c r="AX35" s="197"/>
      <c r="AY35" s="197"/>
    </row>
    <row r="36" spans="2:51" s="234" customFormat="1">
      <c r="B36" s="235" t="s">
        <v>433</v>
      </c>
      <c r="C36" s="236">
        <f t="shared" si="2"/>
        <v>7.2019168054595077</v>
      </c>
      <c r="D36" s="237">
        <v>1.8290582363071768</v>
      </c>
      <c r="E36" s="237">
        <v>5.3728585691523305</v>
      </c>
      <c r="F36" s="237">
        <v>9.0309750417666859</v>
      </c>
      <c r="G36" s="237"/>
      <c r="H36" s="238" t="e">
        <f t="shared" si="0"/>
        <v>#VALUE!</v>
      </c>
      <c r="I36" s="237" t="s">
        <v>443</v>
      </c>
      <c r="J36" s="237">
        <v>14.861098169995811</v>
      </c>
      <c r="K36" s="237" t="s">
        <v>443</v>
      </c>
      <c r="L36" s="239"/>
      <c r="M36" s="343"/>
      <c r="N36" s="344">
        <v>3.2482625493379746</v>
      </c>
      <c r="O36" s="345">
        <v>0.82495556808583492</v>
      </c>
      <c r="P36" s="345">
        <v>2.4233069812521397</v>
      </c>
      <c r="Q36" s="345">
        <v>4.07321811742381</v>
      </c>
      <c r="R36" s="345"/>
      <c r="S36" s="344">
        <v>6.7027639906974095</v>
      </c>
      <c r="T36" s="345" t="s">
        <v>443</v>
      </c>
      <c r="U36" s="345">
        <v>6.7027639906974095</v>
      </c>
      <c r="V36" s="345" t="s">
        <v>443</v>
      </c>
      <c r="X36" s="240"/>
      <c r="Z36" s="248"/>
      <c r="AA36" s="235"/>
      <c r="AC36" s="235"/>
      <c r="AD36" s="241"/>
      <c r="AE36" s="242"/>
      <c r="AF36" s="242"/>
      <c r="AG36" s="242"/>
      <c r="AH36" s="243"/>
      <c r="AI36" s="241"/>
      <c r="AJ36" s="242"/>
      <c r="AK36" s="244"/>
      <c r="AL36" s="242"/>
      <c r="AM36" s="242"/>
      <c r="AN36" s="245"/>
      <c r="AO36" s="245"/>
      <c r="AP36" s="241"/>
      <c r="AQ36" s="242"/>
      <c r="AR36" s="242"/>
      <c r="AS36" s="242"/>
      <c r="AT36" s="243"/>
      <c r="AU36" s="241"/>
      <c r="AV36" s="242"/>
      <c r="AW36" s="244"/>
      <c r="AX36" s="242"/>
      <c r="AY36" s="242"/>
    </row>
    <row r="37" spans="2:51" s="234" customFormat="1" hidden="1">
      <c r="B37" s="235" t="s">
        <v>434</v>
      </c>
      <c r="C37" s="236" t="e">
        <f t="shared" si="2"/>
        <v>#VALUE!</v>
      </c>
      <c r="D37" s="237" t="s">
        <v>443</v>
      </c>
      <c r="E37" s="237" t="s">
        <v>443</v>
      </c>
      <c r="F37" s="237" t="s">
        <v>443</v>
      </c>
      <c r="G37" s="237"/>
      <c r="H37" s="238" t="e">
        <f t="shared" si="0"/>
        <v>#VALUE!</v>
      </c>
      <c r="I37" s="237" t="s">
        <v>443</v>
      </c>
      <c r="J37" s="237" t="s">
        <v>443</v>
      </c>
      <c r="K37" s="237" t="s">
        <v>443</v>
      </c>
      <c r="L37" s="239"/>
      <c r="M37" s="343"/>
      <c r="N37" s="344" t="s">
        <v>443</v>
      </c>
      <c r="O37" s="345" t="s">
        <v>443</v>
      </c>
      <c r="P37" s="345" t="s">
        <v>443</v>
      </c>
      <c r="Q37" s="345" t="s">
        <v>443</v>
      </c>
      <c r="R37" s="345"/>
      <c r="S37" s="344" t="s">
        <v>443</v>
      </c>
      <c r="T37" s="345" t="s">
        <v>443</v>
      </c>
      <c r="U37" s="345" t="s">
        <v>443</v>
      </c>
      <c r="V37" s="345" t="s">
        <v>443</v>
      </c>
      <c r="X37" s="240"/>
      <c r="AA37" s="235"/>
      <c r="AC37" s="235"/>
      <c r="AD37" s="241"/>
      <c r="AE37" s="242"/>
      <c r="AF37" s="242"/>
      <c r="AG37" s="242"/>
      <c r="AH37" s="243"/>
      <c r="AI37" s="241"/>
      <c r="AJ37" s="242"/>
      <c r="AK37" s="244"/>
      <c r="AL37" s="242"/>
      <c r="AM37" s="242"/>
      <c r="AN37" s="245"/>
      <c r="AO37" s="245"/>
      <c r="AP37" s="241"/>
      <c r="AQ37" s="242"/>
      <c r="AR37" s="242"/>
      <c r="AS37" s="242"/>
      <c r="AT37" s="243"/>
      <c r="AU37" s="241"/>
      <c r="AV37" s="242"/>
      <c r="AW37" s="244"/>
      <c r="AX37" s="242"/>
      <c r="AY37" s="242"/>
    </row>
    <row r="38" spans="2:51" s="234" customFormat="1">
      <c r="B38" s="235" t="s">
        <v>435</v>
      </c>
      <c r="C38" s="236">
        <f t="shared" si="2"/>
        <v>2.5149550749223684</v>
      </c>
      <c r="D38" s="237">
        <v>0.18290582363071767</v>
      </c>
      <c r="E38" s="237">
        <v>2.3320492512916506</v>
      </c>
      <c r="F38" s="237">
        <v>1.4060885191611421</v>
      </c>
      <c r="G38" s="237"/>
      <c r="H38" s="238">
        <f t="shared" si="0"/>
        <v>4.5840772047448617</v>
      </c>
      <c r="I38" s="237">
        <v>0</v>
      </c>
      <c r="J38" s="237">
        <v>4.5840772047448617</v>
      </c>
      <c r="K38" s="237" t="s">
        <v>443</v>
      </c>
      <c r="L38" s="239"/>
      <c r="M38" s="343"/>
      <c r="N38" s="344">
        <v>2.4682555924452281</v>
      </c>
      <c r="O38" s="345">
        <v>0.17950949763238022</v>
      </c>
      <c r="P38" s="345">
        <v>2.288746094812848</v>
      </c>
      <c r="Q38" s="345">
        <v>1.3799792630489229</v>
      </c>
      <c r="R38" s="345"/>
      <c r="S38" s="344">
        <v>4.4989567844115284</v>
      </c>
      <c r="T38" s="345">
        <v>0</v>
      </c>
      <c r="U38" s="345">
        <v>4.4989567844115284</v>
      </c>
      <c r="V38" s="345" t="s">
        <v>443</v>
      </c>
      <c r="X38" s="240"/>
      <c r="AA38" s="235"/>
      <c r="AC38" s="235"/>
      <c r="AD38" s="241"/>
      <c r="AE38" s="242"/>
      <c r="AF38" s="242"/>
      <c r="AG38" s="242"/>
      <c r="AH38" s="243"/>
      <c r="AI38" s="241"/>
      <c r="AJ38" s="242"/>
      <c r="AK38" s="244"/>
      <c r="AL38" s="242"/>
      <c r="AM38" s="242"/>
      <c r="AN38" s="245"/>
      <c r="AO38" s="245"/>
      <c r="AP38" s="241"/>
      <c r="AQ38" s="242"/>
      <c r="AR38" s="242"/>
      <c r="AS38" s="242"/>
      <c r="AT38" s="243"/>
      <c r="AU38" s="241"/>
      <c r="AV38" s="242"/>
      <c r="AW38" s="244"/>
      <c r="AX38" s="242"/>
      <c r="AY38" s="242"/>
    </row>
    <row r="39" spans="2:51" s="234" customFormat="1">
      <c r="B39" s="235" t="s">
        <v>436</v>
      </c>
      <c r="C39" s="236">
        <f t="shared" si="2"/>
        <v>4.1153810316911672</v>
      </c>
      <c r="D39" s="237">
        <v>0.11431613976919908</v>
      </c>
      <c r="E39" s="237">
        <v>4.0010648919219678</v>
      </c>
      <c r="F39" s="237" t="s">
        <v>443</v>
      </c>
      <c r="G39" s="237"/>
      <c r="H39" s="238">
        <f t="shared" si="0"/>
        <v>3.3151680533067727</v>
      </c>
      <c r="I39" s="237">
        <v>0.68589683861519435</v>
      </c>
      <c r="J39" s="237">
        <v>2.6292712146915784</v>
      </c>
      <c r="K39" s="237">
        <v>0.11431613976919908</v>
      </c>
      <c r="L39" s="239"/>
      <c r="M39" s="343"/>
      <c r="N39" s="344">
        <v>7.9445147913899223</v>
      </c>
      <c r="O39" s="345">
        <v>0.22068096642749788</v>
      </c>
      <c r="P39" s="345">
        <v>7.7238338249624254</v>
      </c>
      <c r="Q39" s="345" t="s">
        <v>443</v>
      </c>
      <c r="R39" s="345"/>
      <c r="S39" s="344">
        <v>6.6204289928249347</v>
      </c>
      <c r="T39" s="345">
        <v>1.324085798564987</v>
      </c>
      <c r="U39" s="345">
        <v>5.0756622278324501</v>
      </c>
      <c r="V39" s="345">
        <v>0.22068096642749788</v>
      </c>
      <c r="X39" s="240"/>
      <c r="AA39" s="235"/>
      <c r="AC39" s="235"/>
      <c r="AD39" s="241"/>
      <c r="AE39" s="242"/>
      <c r="AF39" s="242"/>
      <c r="AG39" s="242"/>
      <c r="AH39" s="243"/>
      <c r="AI39" s="241"/>
      <c r="AJ39" s="242"/>
      <c r="AK39" s="244"/>
      <c r="AL39" s="242"/>
      <c r="AM39" s="242"/>
      <c r="AN39" s="245"/>
      <c r="AO39" s="245"/>
      <c r="AP39" s="241"/>
      <c r="AQ39" s="242"/>
      <c r="AR39" s="242"/>
      <c r="AS39" s="242"/>
      <c r="AT39" s="243"/>
      <c r="AU39" s="241"/>
      <c r="AV39" s="242"/>
      <c r="AW39" s="244"/>
      <c r="AX39" s="242"/>
      <c r="AY39" s="242"/>
    </row>
    <row r="40" spans="2:51">
      <c r="B40" s="201" t="s">
        <v>223</v>
      </c>
      <c r="C40" s="214">
        <f t="shared" si="2"/>
        <v>27.74467105165445</v>
      </c>
      <c r="D40" s="215">
        <v>1.5449973683666396</v>
      </c>
      <c r="E40" s="215">
        <v>26.199673683287809</v>
      </c>
      <c r="F40" s="215">
        <v>34.272828946161376</v>
      </c>
      <c r="G40" s="215"/>
      <c r="H40" s="216">
        <f t="shared" si="0"/>
        <v>28.473648683207717</v>
      </c>
      <c r="I40" s="215">
        <v>1.272990789428851</v>
      </c>
      <c r="J40" s="215">
        <v>27.200657893778867</v>
      </c>
      <c r="K40" s="215" t="s">
        <v>443</v>
      </c>
      <c r="L40" s="217"/>
      <c r="M40" s="343"/>
      <c r="N40" s="344">
        <v>5.2441992631763448</v>
      </c>
      <c r="O40" s="345">
        <v>0.29202991975334935</v>
      </c>
      <c r="P40" s="345">
        <v>4.9521693434229954</v>
      </c>
      <c r="Q40" s="345">
        <v>6.4781285015707795</v>
      </c>
      <c r="R40" s="345"/>
      <c r="S40" s="344">
        <v>5.3819880281303893</v>
      </c>
      <c r="T40" s="345">
        <v>0.24061620148691462</v>
      </c>
      <c r="U40" s="345">
        <v>5.1413718266434749</v>
      </c>
      <c r="V40" s="345" t="s">
        <v>443</v>
      </c>
      <c r="X40" s="194"/>
      <c r="AA40" s="203"/>
      <c r="AC40" s="201"/>
      <c r="AD40" s="196"/>
      <c r="AE40" s="197"/>
      <c r="AF40" s="197"/>
      <c r="AG40" s="197"/>
      <c r="AH40" s="198"/>
      <c r="AI40" s="196"/>
      <c r="AJ40" s="197"/>
      <c r="AK40" s="199"/>
      <c r="AL40" s="197"/>
      <c r="AM40" s="197"/>
      <c r="AN40" s="200"/>
      <c r="AO40" s="200"/>
      <c r="AP40" s="196"/>
      <c r="AQ40" s="197"/>
      <c r="AR40" s="197"/>
      <c r="AS40" s="197"/>
      <c r="AT40" s="198"/>
      <c r="AU40" s="196"/>
      <c r="AV40" s="197"/>
      <c r="AW40" s="199"/>
      <c r="AX40" s="197"/>
      <c r="AY40" s="197"/>
    </row>
    <row r="41" spans="2:51" s="234" customFormat="1">
      <c r="B41" s="235" t="s">
        <v>229</v>
      </c>
      <c r="C41" s="236">
        <f t="shared" si="2"/>
        <v>33.755844605203976</v>
      </c>
      <c r="D41" s="237">
        <v>2.7773796194155169</v>
      </c>
      <c r="E41" s="237">
        <v>30.978464985788456</v>
      </c>
      <c r="F41" s="237" t="s">
        <v>443</v>
      </c>
      <c r="G41" s="237"/>
      <c r="H41" s="238">
        <f t="shared" si="0"/>
        <v>45.212535535292979</v>
      </c>
      <c r="I41" s="237">
        <v>1.014811784017208</v>
      </c>
      <c r="J41" s="237">
        <v>44.197723751275774</v>
      </c>
      <c r="K41" s="237" t="s">
        <v>443</v>
      </c>
      <c r="L41" s="239"/>
      <c r="M41" s="343"/>
      <c r="N41" s="344">
        <v>4.7686623490702722</v>
      </c>
      <c r="O41" s="345">
        <v>0.39235829454375654</v>
      </c>
      <c r="P41" s="345">
        <v>4.3763040545265159</v>
      </c>
      <c r="Q41" s="345" t="s">
        <v>443</v>
      </c>
      <c r="R41" s="345"/>
      <c r="S41" s="344">
        <v>6.3871403140632665</v>
      </c>
      <c r="T41" s="345">
        <v>0.14336168454483411</v>
      </c>
      <c r="U41" s="345">
        <v>6.2437786295184328</v>
      </c>
      <c r="V41" s="345" t="s">
        <v>443</v>
      </c>
      <c r="X41" s="240"/>
      <c r="AA41" s="235"/>
      <c r="AC41" s="235"/>
      <c r="AD41" s="241"/>
      <c r="AE41" s="242"/>
      <c r="AF41" s="242"/>
      <c r="AG41" s="242"/>
      <c r="AH41" s="243"/>
      <c r="AI41" s="241"/>
      <c r="AJ41" s="242"/>
      <c r="AK41" s="244"/>
      <c r="AL41" s="242"/>
      <c r="AM41" s="242"/>
      <c r="AN41" s="245"/>
      <c r="AO41" s="245"/>
      <c r="AP41" s="241"/>
      <c r="AQ41" s="242"/>
      <c r="AR41" s="242"/>
      <c r="AS41" s="242"/>
      <c r="AT41" s="243"/>
      <c r="AU41" s="241"/>
      <c r="AV41" s="242"/>
      <c r="AW41" s="244"/>
      <c r="AX41" s="242"/>
      <c r="AY41" s="242"/>
    </row>
    <row r="42" spans="2:51">
      <c r="B42" s="189" t="s">
        <v>246</v>
      </c>
      <c r="C42" s="214">
        <f t="shared" si="2"/>
        <v>20.586692247925818</v>
      </c>
      <c r="D42" s="215">
        <v>1.746749645278554</v>
      </c>
      <c r="E42" s="215">
        <v>18.839942602647263</v>
      </c>
      <c r="F42" s="215">
        <v>5.6145524312524948</v>
      </c>
      <c r="G42" s="215"/>
      <c r="H42" s="216" t="e">
        <f t="shared" si="0"/>
        <v>#VALUE!</v>
      </c>
      <c r="I42" s="215" t="s">
        <v>443</v>
      </c>
      <c r="J42" s="215" t="s">
        <v>443</v>
      </c>
      <c r="K42" s="215">
        <v>5.6145524312524948</v>
      </c>
      <c r="L42" s="217"/>
      <c r="M42" s="343"/>
      <c r="N42" s="344">
        <v>8.3885403027200436</v>
      </c>
      <c r="O42" s="345">
        <v>0.71175493477624618</v>
      </c>
      <c r="P42" s="345">
        <v>7.6767853679437978</v>
      </c>
      <c r="Q42" s="345">
        <v>2.2877837189236483</v>
      </c>
      <c r="R42" s="345"/>
      <c r="S42" s="344">
        <v>2.2877837189236483</v>
      </c>
      <c r="T42" s="345" t="s">
        <v>443</v>
      </c>
      <c r="U42" s="345" t="s">
        <v>443</v>
      </c>
      <c r="V42" s="345">
        <v>2.2877837189236483</v>
      </c>
      <c r="X42" s="194"/>
      <c r="AA42" s="195"/>
      <c r="AD42" s="196"/>
      <c r="AE42" s="197"/>
      <c r="AF42" s="197"/>
      <c r="AG42" s="197"/>
      <c r="AH42" s="198"/>
      <c r="AI42" s="196"/>
      <c r="AJ42" s="197"/>
      <c r="AK42" s="199"/>
      <c r="AL42" s="197"/>
      <c r="AM42" s="197"/>
      <c r="AN42" s="200"/>
      <c r="AO42" s="200"/>
      <c r="AP42" s="196"/>
      <c r="AQ42" s="197"/>
      <c r="AR42" s="197"/>
      <c r="AS42" s="197"/>
      <c r="AT42" s="198"/>
      <c r="AU42" s="196"/>
      <c r="AV42" s="197"/>
      <c r="AW42" s="199"/>
      <c r="AX42" s="197"/>
      <c r="AY42" s="197"/>
    </row>
    <row r="43" spans="2:51">
      <c r="B43" s="189" t="s">
        <v>252</v>
      </c>
      <c r="C43" s="214">
        <f t="shared" si="2"/>
        <v>7.0502118032217247</v>
      </c>
      <c r="D43" s="215">
        <v>2.366534055873502</v>
      </c>
      <c r="E43" s="215">
        <v>4.6836777473482227</v>
      </c>
      <c r="F43" s="215">
        <v>0.10508588169953384</v>
      </c>
      <c r="G43" s="215"/>
      <c r="H43" s="216">
        <f t="shared" si="0"/>
        <v>6.9141255864208286</v>
      </c>
      <c r="I43" s="215">
        <v>0.92028960898366752</v>
      </c>
      <c r="J43" s="215">
        <v>5.9938359774371612</v>
      </c>
      <c r="K43" s="215" t="s">
        <v>443</v>
      </c>
      <c r="L43" s="217"/>
      <c r="M43" s="343"/>
      <c r="N43" s="344">
        <v>2.6611348681811982</v>
      </c>
      <c r="O43" s="345">
        <v>0.89325916278790563</v>
      </c>
      <c r="P43" s="345">
        <v>1.7678757053932928</v>
      </c>
      <c r="Q43" s="345">
        <v>3.9665149324507348E-2</v>
      </c>
      <c r="R43" s="345"/>
      <c r="S43" s="344">
        <v>2.6097684998059609</v>
      </c>
      <c r="T43" s="345">
        <v>0.34736754520937313</v>
      </c>
      <c r="U43" s="345">
        <v>2.262400954596588</v>
      </c>
      <c r="V43" s="345" t="s">
        <v>443</v>
      </c>
      <c r="X43" s="194"/>
      <c r="AA43" s="195"/>
      <c r="AD43" s="196"/>
      <c r="AE43" s="197"/>
      <c r="AF43" s="197"/>
      <c r="AG43" s="197"/>
      <c r="AH43" s="198"/>
      <c r="AI43" s="196"/>
      <c r="AJ43" s="197"/>
      <c r="AK43" s="199"/>
      <c r="AL43" s="197"/>
      <c r="AM43" s="197"/>
      <c r="AN43" s="200"/>
      <c r="AO43" s="200"/>
      <c r="AP43" s="196"/>
      <c r="AQ43" s="197"/>
      <c r="AR43" s="197"/>
      <c r="AS43" s="197"/>
      <c r="AT43" s="198"/>
      <c r="AU43" s="196"/>
      <c r="AV43" s="197"/>
      <c r="AW43" s="199"/>
      <c r="AX43" s="197"/>
      <c r="AY43" s="197"/>
    </row>
    <row r="44" spans="2:51" s="234" customFormat="1">
      <c r="B44" s="246" t="s">
        <v>437</v>
      </c>
      <c r="C44" s="236">
        <f t="shared" si="2"/>
        <v>0.85162638443699334</v>
      </c>
      <c r="D44" s="237">
        <v>0.19652916563930617</v>
      </c>
      <c r="E44" s="237">
        <v>0.65509721879768712</v>
      </c>
      <c r="F44" s="237">
        <v>0.40684985167435311</v>
      </c>
      <c r="G44" s="237"/>
      <c r="H44" s="238" t="e">
        <f t="shared" si="0"/>
        <v>#VALUE!</v>
      </c>
      <c r="I44" s="237" t="s">
        <v>443</v>
      </c>
      <c r="J44" s="237" t="s">
        <v>443</v>
      </c>
      <c r="K44" s="237" t="s">
        <v>443</v>
      </c>
      <c r="L44" s="239"/>
      <c r="M44" s="343"/>
      <c r="N44" s="344">
        <v>1.4278221702517546</v>
      </c>
      <c r="O44" s="345">
        <v>0.32949742390425107</v>
      </c>
      <c r="P44" s="345">
        <v>1.0983247463475037</v>
      </c>
      <c r="Q44" s="345">
        <v>0.68211747404739698</v>
      </c>
      <c r="R44" s="345"/>
      <c r="S44" s="344" t="s">
        <v>443</v>
      </c>
      <c r="T44" s="345" t="s">
        <v>443</v>
      </c>
      <c r="U44" s="345" t="s">
        <v>443</v>
      </c>
      <c r="V44" s="345" t="s">
        <v>443</v>
      </c>
      <c r="X44" s="240"/>
      <c r="AA44" s="246"/>
      <c r="AD44" s="241"/>
      <c r="AE44" s="242"/>
      <c r="AF44" s="242"/>
      <c r="AG44" s="242"/>
      <c r="AH44" s="243"/>
      <c r="AI44" s="241"/>
      <c r="AJ44" s="242"/>
      <c r="AK44" s="244"/>
      <c r="AL44" s="242"/>
      <c r="AM44" s="242"/>
      <c r="AN44" s="245"/>
      <c r="AO44" s="245"/>
      <c r="AP44" s="241"/>
      <c r="AQ44" s="242"/>
      <c r="AR44" s="242"/>
      <c r="AS44" s="242"/>
      <c r="AT44" s="243"/>
      <c r="AU44" s="241"/>
      <c r="AV44" s="242"/>
      <c r="AW44" s="244"/>
      <c r="AX44" s="242"/>
      <c r="AY44" s="242"/>
    </row>
    <row r="45" spans="2:51" s="234" customFormat="1">
      <c r="B45" s="246" t="s">
        <v>438</v>
      </c>
      <c r="C45" s="236">
        <f t="shared" si="2"/>
        <v>6.1891640315932381</v>
      </c>
      <c r="D45" s="237">
        <v>1.7694150329493317</v>
      </c>
      <c r="E45" s="237">
        <v>4.4197489986439065</v>
      </c>
      <c r="F45" s="237" t="s">
        <v>443</v>
      </c>
      <c r="G45" s="237"/>
      <c r="H45" s="238" t="e">
        <f t="shared" si="0"/>
        <v>#VALUE!</v>
      </c>
      <c r="I45" s="237" t="s">
        <v>443</v>
      </c>
      <c r="J45" s="237">
        <v>6.6270225953158493</v>
      </c>
      <c r="K45" s="237" t="s">
        <v>443</v>
      </c>
      <c r="L45" s="239"/>
      <c r="M45" s="343"/>
      <c r="N45" s="344">
        <v>4.1277955271565494</v>
      </c>
      <c r="O45" s="345">
        <v>1.180092080515055</v>
      </c>
      <c r="P45" s="345">
        <v>2.9477034466414942</v>
      </c>
      <c r="Q45" s="345" t="s">
        <v>443</v>
      </c>
      <c r="R45" s="345"/>
      <c r="S45" s="344">
        <v>4.4198205262736145</v>
      </c>
      <c r="T45" s="345" t="s">
        <v>443</v>
      </c>
      <c r="U45" s="345">
        <v>4.4198205262736145</v>
      </c>
      <c r="V45" s="345" t="s">
        <v>443</v>
      </c>
      <c r="X45" s="240"/>
      <c r="AA45" s="246"/>
      <c r="AD45" s="241"/>
      <c r="AE45" s="242"/>
      <c r="AF45" s="242"/>
      <c r="AG45" s="242"/>
      <c r="AH45" s="243"/>
      <c r="AI45" s="241"/>
      <c r="AJ45" s="242"/>
      <c r="AK45" s="244"/>
      <c r="AL45" s="242"/>
      <c r="AM45" s="242"/>
      <c r="AN45" s="245"/>
      <c r="AO45" s="245"/>
      <c r="AP45" s="241"/>
      <c r="AQ45" s="242"/>
      <c r="AR45" s="242"/>
      <c r="AS45" s="242"/>
      <c r="AT45" s="243"/>
      <c r="AU45" s="241"/>
      <c r="AV45" s="242"/>
      <c r="AW45" s="244"/>
      <c r="AX45" s="242"/>
      <c r="AY45" s="242"/>
    </row>
    <row r="46" spans="2:51">
      <c r="B46" s="189" t="s">
        <v>301</v>
      </c>
      <c r="C46" s="214">
        <f t="shared" si="2"/>
        <v>38.720578300885037</v>
      </c>
      <c r="D46" s="215">
        <v>2.169577558058819</v>
      </c>
      <c r="E46" s="215">
        <v>36.551000742826218</v>
      </c>
      <c r="F46" s="215" t="s">
        <v>443</v>
      </c>
      <c r="G46" s="215"/>
      <c r="H46" s="216">
        <f t="shared" si="0"/>
        <v>29.097863719847695</v>
      </c>
      <c r="I46" s="215">
        <v>10.209776743806207</v>
      </c>
      <c r="J46" s="215">
        <v>18.888086976041485</v>
      </c>
      <c r="K46" s="215" t="s">
        <v>443</v>
      </c>
      <c r="L46" s="217"/>
      <c r="M46" s="343"/>
      <c r="N46" s="344">
        <v>6.6656868929747208</v>
      </c>
      <c r="O46" s="345">
        <v>0.37348937765514251</v>
      </c>
      <c r="P46" s="345">
        <v>6.2921975153195771</v>
      </c>
      <c r="Q46" s="345" t="s">
        <v>443</v>
      </c>
      <c r="R46" s="345"/>
      <c r="S46" s="344">
        <v>5.0091516532572058</v>
      </c>
      <c r="T46" s="345">
        <v>1.757597071318318</v>
      </c>
      <c r="U46" s="345">
        <v>3.2515545819388878</v>
      </c>
      <c r="V46" s="345" t="s">
        <v>443</v>
      </c>
      <c r="X46" s="194"/>
      <c r="Z46" s="202"/>
      <c r="AA46" s="195"/>
      <c r="AD46" s="196"/>
      <c r="AE46" s="197"/>
      <c r="AF46" s="197"/>
      <c r="AG46" s="197"/>
      <c r="AH46" s="198"/>
      <c r="AI46" s="196"/>
      <c r="AJ46" s="197"/>
      <c r="AK46" s="199"/>
      <c r="AL46" s="197"/>
      <c r="AM46" s="197"/>
      <c r="AN46" s="200"/>
      <c r="AO46" s="200"/>
      <c r="AP46" s="196"/>
      <c r="AQ46" s="197"/>
      <c r="AR46" s="197"/>
      <c r="AS46" s="197"/>
      <c r="AT46" s="198"/>
      <c r="AU46" s="196"/>
      <c r="AV46" s="197"/>
      <c r="AW46" s="199"/>
      <c r="AX46" s="197"/>
      <c r="AY46" s="197"/>
    </row>
    <row r="47" spans="2:51">
      <c r="B47" s="189"/>
      <c r="C47" s="214"/>
      <c r="D47" s="215"/>
      <c r="E47" s="215"/>
      <c r="F47" s="215"/>
      <c r="G47" s="215"/>
      <c r="H47" s="216"/>
      <c r="I47" s="215"/>
      <c r="J47" s="215"/>
      <c r="K47" s="215"/>
      <c r="L47" s="217"/>
      <c r="M47" s="343"/>
      <c r="N47" s="344"/>
      <c r="O47" s="345"/>
      <c r="P47" s="345"/>
      <c r="Q47" s="345"/>
      <c r="R47" s="345"/>
      <c r="S47" s="344"/>
      <c r="T47" s="345"/>
      <c r="U47" s="345"/>
      <c r="V47" s="345"/>
      <c r="AA47" s="195"/>
    </row>
    <row r="48" spans="2:51">
      <c r="B48" s="205" t="s">
        <v>439</v>
      </c>
      <c r="C48" s="214">
        <v>5953.0661470313789</v>
      </c>
      <c r="D48" s="215">
        <v>613.11756293202905</v>
      </c>
      <c r="E48" s="215">
        <v>5264.5260083872981</v>
      </c>
      <c r="F48" s="215">
        <v>951.88951962678425</v>
      </c>
      <c r="G48" s="215"/>
      <c r="H48" s="216">
        <v>5791.0745228934838</v>
      </c>
      <c r="I48" s="215">
        <v>439.24412092950689</v>
      </c>
      <c r="J48" s="215">
        <v>3943.5706704293748</v>
      </c>
      <c r="K48" s="215">
        <v>1408.259731534602</v>
      </c>
      <c r="L48" s="217"/>
      <c r="M48" s="343"/>
      <c r="N48" s="344">
        <v>5.8746947162012688</v>
      </c>
      <c r="O48" s="345">
        <v>0.61034938316813336</v>
      </c>
      <c r="P48" s="345">
        <v>5.1410560442710729</v>
      </c>
      <c r="Q48" s="345">
        <v>1.0256417643223663</v>
      </c>
      <c r="R48" s="345"/>
      <c r="S48" s="344">
        <v>5.9590767886062075</v>
      </c>
      <c r="T48" s="345">
        <v>0.46639955164757585</v>
      </c>
      <c r="U48" s="345">
        <v>4.0780668266255988</v>
      </c>
      <c r="V48" s="345">
        <v>1.4146104103330335</v>
      </c>
      <c r="AA48" s="206"/>
    </row>
    <row r="49" spans="2:27">
      <c r="C49" s="218"/>
      <c r="D49" s="218"/>
      <c r="E49" s="218"/>
      <c r="F49" s="218"/>
      <c r="G49" s="218"/>
      <c r="H49" s="218"/>
      <c r="I49" s="218"/>
      <c r="J49" s="218"/>
      <c r="K49" s="218"/>
      <c r="L49" s="218"/>
      <c r="M49" s="218"/>
      <c r="N49" s="218"/>
      <c r="O49" s="218"/>
      <c r="P49" s="218"/>
      <c r="Q49" s="218"/>
      <c r="R49" s="218"/>
      <c r="S49" s="218"/>
      <c r="T49" s="218"/>
      <c r="U49" s="218"/>
      <c r="V49" s="218"/>
    </row>
    <row r="50" spans="2:27" s="208" customFormat="1" ht="3.65" customHeight="1">
      <c r="B50" s="207"/>
      <c r="C50" s="213"/>
      <c r="D50" s="213"/>
      <c r="E50" s="213"/>
      <c r="F50" s="213"/>
      <c r="G50" s="213"/>
      <c r="H50" s="213"/>
      <c r="I50" s="213"/>
      <c r="J50" s="213"/>
      <c r="K50" s="213"/>
      <c r="L50" s="213"/>
      <c r="M50" s="213"/>
      <c r="N50" s="213"/>
      <c r="O50" s="213"/>
      <c r="P50" s="213"/>
      <c r="Q50" s="213"/>
      <c r="R50" s="213"/>
      <c r="S50" s="213"/>
      <c r="T50" s="213"/>
      <c r="U50" s="213"/>
      <c r="V50" s="7"/>
      <c r="AA50" s="209"/>
    </row>
    <row r="51" spans="2:27">
      <c r="B51" s="210" t="s">
        <v>404</v>
      </c>
      <c r="AA51" s="211"/>
    </row>
    <row r="52" spans="2:27" ht="27.65" customHeight="1">
      <c r="B52" s="294" t="s">
        <v>440</v>
      </c>
      <c r="C52" s="294"/>
      <c r="D52" s="294"/>
      <c r="E52" s="294"/>
      <c r="F52" s="294"/>
      <c r="G52" s="294"/>
      <c r="H52" s="294"/>
      <c r="I52" s="294"/>
      <c r="J52" s="294"/>
      <c r="K52" s="294"/>
      <c r="L52" s="294"/>
      <c r="M52" s="294"/>
      <c r="N52" s="294"/>
      <c r="O52" s="294"/>
      <c r="P52" s="294"/>
      <c r="Q52" s="294"/>
      <c r="R52" s="294"/>
      <c r="S52" s="294"/>
      <c r="T52" s="294"/>
      <c r="U52" s="294"/>
    </row>
    <row r="53" spans="2:27">
      <c r="B53" s="2" t="s">
        <v>441</v>
      </c>
    </row>
    <row r="54" spans="2:27">
      <c r="B54" s="2" t="s">
        <v>442</v>
      </c>
    </row>
    <row r="56" spans="2:27">
      <c r="C56" s="212"/>
      <c r="D56" s="212"/>
      <c r="E56" s="212"/>
      <c r="F56" s="212"/>
      <c r="G56" s="212"/>
      <c r="H56" s="212"/>
      <c r="I56" s="212"/>
      <c r="J56" s="212"/>
      <c r="K56" s="212"/>
    </row>
    <row r="78" spans="4:4">
      <c r="D78" s="250"/>
    </row>
    <row r="81" spans="4:4">
      <c r="D81" s="249"/>
    </row>
  </sheetData>
  <mergeCells count="29">
    <mergeCell ref="B52:U52"/>
    <mergeCell ref="AD5:AF5"/>
    <mergeCell ref="AG5:AG6"/>
    <mergeCell ref="AJ5:AJ6"/>
    <mergeCell ref="AL5:AM5"/>
    <mergeCell ref="Q5:Q6"/>
    <mergeCell ref="T5:T6"/>
    <mergeCell ref="U5:V5"/>
    <mergeCell ref="AV5:AV6"/>
    <mergeCell ref="AX5:AY5"/>
    <mergeCell ref="AP5:AR5"/>
    <mergeCell ref="AS5:AS6"/>
    <mergeCell ref="C5:E5"/>
    <mergeCell ref="F5:F6"/>
    <mergeCell ref="I5:I6"/>
    <mergeCell ref="J5:K5"/>
    <mergeCell ref="N5:P5"/>
    <mergeCell ref="B3:K3"/>
    <mergeCell ref="M3:V3"/>
    <mergeCell ref="AC3:AM3"/>
    <mergeCell ref="AO3:AY3"/>
    <mergeCell ref="C4:F4"/>
    <mergeCell ref="H4:K4"/>
    <mergeCell ref="N4:Q4"/>
    <mergeCell ref="S4:V4"/>
    <mergeCell ref="AD4:AG4"/>
    <mergeCell ref="AI4:AM4"/>
    <mergeCell ref="AP4:AS4"/>
    <mergeCell ref="AU4:AY4"/>
  </mergeCells>
  <pageMargins left="0.7" right="0.7" top="0.75" bottom="0.75" header="0.3" footer="0.3"/>
  <pageSetup scale="6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4</vt:i4>
      </vt:variant>
    </vt:vector>
  </HeadingPairs>
  <TitlesOfParts>
    <vt:vector size="6" baseType="lpstr">
      <vt:lpstr>Database</vt:lpstr>
      <vt:lpstr>Summary.Global</vt:lpstr>
      <vt:lpstr>Database!Druckbereich</vt:lpstr>
      <vt:lpstr>Summary.Global!Druckbereich</vt:lpstr>
      <vt:lpstr>Database!Drucktitel</vt:lpstr>
      <vt:lpstr>Summary.Global!Drucktitel</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dcterms:created xsi:type="dcterms:W3CDTF">2020-10-09T01:41:58Z</dcterms:created>
  <dcterms:modified xsi:type="dcterms:W3CDTF">2024-04-29T07:56:00Z</dcterms:modified>
</cp:coreProperties>
</file>