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Policy Reactions/IMF/Policy Tracker/"/>
    </mc:Choice>
  </mc:AlternateContent>
  <xr:revisionPtr revIDLastSave="60" documentId="13_ncr:1_{E0DCB966-5E38-4161-98A4-E9348E3C2DCE}" xr6:coauthVersionLast="47" xr6:coauthVersionMax="47" xr10:uidLastSave="{C34DCDEF-F873-47FC-8987-16E7A3B43849}"/>
  <bookViews>
    <workbookView xWindow="12270" yWindow="-18110" windowWidth="29020" windowHeight="17500" firstSheet="1" activeTab="1" xr2:uid="{F63FA2F4-72A2-42CD-8675-46C63D8073D0}"/>
  </bookViews>
  <sheets>
    <sheet name="Table for SF_for publication" sheetId="5" state="hidden" r:id="rId1"/>
    <sheet name="Abweichungen" sheetId="45" r:id="rId2"/>
    <sheet name="Database" sheetId="8" r:id="rId3"/>
    <sheet name="Sheet1" sheetId="11" state="hidden" r:id="rId4"/>
    <sheet name="Database.Jun12" sheetId="24" state="hidden" r:id="rId5"/>
    <sheet name="Database.With SEE" sheetId="31" state="hidden" r:id="rId6"/>
    <sheet name="country list" sheetId="23" state="hidden" r:id="rId7"/>
    <sheet name="Summary.Global" sheetId="44" r:id="rId8"/>
    <sheet name="Figure" sheetId="40" r:id="rId9"/>
    <sheet name="Database.Jan 12 to SEC" sheetId="38" state="hidden" r:id="rId10"/>
    <sheet name="Summary.Global. Jan12 to SEC" sheetId="39" state="hidden" r:id="rId11"/>
    <sheet name="SEE - Bryn" sheetId="27" state="hidden" r:id="rId12"/>
    <sheet name="Summary.DeptComments" sheetId="32" state="hidden" r:id="rId13"/>
    <sheet name="Summary.Global.ToMgt" sheetId="28" state="hidden" r:id="rId14"/>
    <sheet name="Summary Table" sheetId="21" state="hidden" r:id="rId15"/>
    <sheet name="Summary.Global_Sep1" sheetId="33" state="hidden" r:id="rId16"/>
    <sheet name="Sheet3" sheetId="30" state="hidden" r:id="rId17"/>
    <sheet name="RES_G20Type" sheetId="19" state="hidden" r:id="rId18"/>
    <sheet name="RES_Notes" sheetId="20" state="hidden" r:id="rId19"/>
    <sheet name="SF Table_May1" sheetId="16" state="hidden" r:id="rId20"/>
    <sheet name="US measures" sheetId="14" state="hidden" r:id="rId21"/>
    <sheet name="USD_Billion" sheetId="12" state="hidden" r:id="rId22"/>
    <sheet name="PctGDP" sheetId="13" state="hidden" r:id="rId23"/>
    <sheet name="SF Table _FM Apr 8" sheetId="10" state="hidden" r:id="rId24"/>
    <sheet name="WKG" sheetId="9" state="hidden" r:id="rId25"/>
  </sheets>
  <definedNames>
    <definedName name="_xlnm._FilterDatabase" localSheetId="2" hidden="1">Database!$A$5:$F$203</definedName>
    <definedName name="_xlnm._FilterDatabase" localSheetId="9" hidden="1">'Database.Jan 12 to SEC'!$A$5:$F$197</definedName>
    <definedName name="_xlnm._FilterDatabase" localSheetId="4" hidden="1">Database.Jun12!$A$5:$F$5</definedName>
    <definedName name="_xlnm._FilterDatabase" localSheetId="5" hidden="1">'Database.With SEE'!$A$5:$F$206</definedName>
    <definedName name="_xlnm._FilterDatabase" localSheetId="16" hidden="1">Sheet3!$A$5:$A$199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Database!$C$2:$X$204</definedName>
    <definedName name="_xlnm.Print_Area" localSheetId="9">'Database.Jan 12 to SEC'!$C$2:$X$198</definedName>
    <definedName name="_xlnm.Print_Area" localSheetId="4">Database.Jun12!$C$2:$X$176</definedName>
    <definedName name="_xlnm.Print_Area" localSheetId="5">'Database.With SEE'!$C$2:$X$209</definedName>
    <definedName name="_xlnm.Print_Area" localSheetId="11">'SEE - Bryn'!$C$3:$U$16</definedName>
    <definedName name="_xlnm.Print_Area" localSheetId="23">'SF Table _FM Apr 8'!$A$3:$V$150</definedName>
    <definedName name="_xlnm.Print_Area" localSheetId="19">'SF Table_May1'!$A$3:$V$150</definedName>
    <definedName name="_xlnm.Print_Area" localSheetId="14">'Summary Table'!$B$1:$X$80</definedName>
    <definedName name="_xlnm.Print_Area" localSheetId="12">Summary.DeptComments!$B$1:$X$210</definedName>
    <definedName name="_xlnm.Print_Area" localSheetId="7">Summary.Global!$B$2:$V$46</definedName>
    <definedName name="_xlnm.Print_Area" localSheetId="10">'Summary.Global. Jan12 to SEC'!$B$1:$X$212</definedName>
    <definedName name="_xlnm.Print_Area" localSheetId="13">'Summary.Global.ToMgt'!$B$1:$X$210</definedName>
    <definedName name="_xlnm.Print_Area" localSheetId="15">Summary.Global_Sep1!$B$1:$X$210</definedName>
    <definedName name="_xlnm.Print_Area" localSheetId="0">'Table for SF_for publication'!$A$3:$R$149</definedName>
    <definedName name="_xlnm.Print_Titles" localSheetId="2">Database!$4:$5</definedName>
    <definedName name="_xlnm.Print_Titles" localSheetId="9">'Database.Jan 12 to SEC'!$4:$5</definedName>
    <definedName name="_xlnm.Print_Titles" localSheetId="4">Database.Jun12!$4:$5</definedName>
    <definedName name="_xlnm.Print_Titles" localSheetId="5">'Database.With SEE'!$4:$5</definedName>
    <definedName name="_xlnm.Print_Titles" localSheetId="11">'SEE - Bryn'!$3:$4</definedName>
    <definedName name="_xlnm.Print_Titles" localSheetId="23">'SF Table _FM Apr 8'!$7:$8</definedName>
    <definedName name="_xlnm.Print_Titles" localSheetId="19">'SF Table_May1'!$7:$8</definedName>
    <definedName name="_xlnm.Print_Titles" localSheetId="12">Summary.DeptComments!$1:$6</definedName>
    <definedName name="_xlnm.Print_Titles" localSheetId="7">Summary.Global!$2:$7</definedName>
    <definedName name="_xlnm.Print_Titles" localSheetId="10">'Summary.Global. Jan12 to SEC'!$1:$6</definedName>
    <definedName name="_xlnm.Print_Titles" localSheetId="13">'Summary.Global.ToMgt'!$1:$6</definedName>
    <definedName name="_xlnm.Print_Titles" localSheetId="15">Summary.Global_Sep1!$1:$6</definedName>
    <definedName name="_xlnm.Print_Titles" localSheetId="0">'Table for SF_for publication'!$7:$8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1" i="45" l="1"/>
  <c r="Q21" i="44"/>
  <c r="S21" i="44"/>
  <c r="S29" i="44" l="1"/>
  <c r="B32" i="45"/>
  <c r="E38" i="45"/>
  <c r="E20" i="45" l="1"/>
  <c r="E21" i="45"/>
  <c r="E26" i="45"/>
  <c r="E29" i="45"/>
  <c r="E32" i="45"/>
  <c r="E33" i="45"/>
  <c r="E34" i="45"/>
  <c r="E35" i="45"/>
  <c r="E40" i="45"/>
  <c r="E41" i="45"/>
  <c r="E42" i="45"/>
  <c r="E43" i="45"/>
  <c r="E46" i="45"/>
  <c r="E10" i="45"/>
  <c r="E14" i="45"/>
  <c r="E15" i="45"/>
  <c r="E9" i="45"/>
  <c r="C11" i="45" l="1"/>
  <c r="C12" i="45"/>
  <c r="C16" i="45"/>
  <c r="C22" i="45"/>
  <c r="C23" i="45"/>
  <c r="E23" i="45" s="1"/>
  <c r="C36" i="45"/>
  <c r="E36" i="45" s="1"/>
  <c r="C39" i="45"/>
  <c r="D42" i="45"/>
  <c r="C45" i="45"/>
  <c r="E45" i="45" s="1"/>
  <c r="B11" i="45"/>
  <c r="B12" i="45"/>
  <c r="B13" i="45"/>
  <c r="E13" i="45" s="1"/>
  <c r="B16" i="45"/>
  <c r="B17" i="45"/>
  <c r="B18" i="45"/>
  <c r="B22" i="45"/>
  <c r="B24" i="45"/>
  <c r="B25" i="45"/>
  <c r="E25" i="45" s="1"/>
  <c r="B27" i="45"/>
  <c r="E27" i="45" s="1"/>
  <c r="B28" i="45"/>
  <c r="E28" i="45" s="1"/>
  <c r="B30" i="45"/>
  <c r="E30" i="45" s="1"/>
  <c r="B31" i="45"/>
  <c r="E31" i="45" s="1"/>
  <c r="B37" i="45"/>
  <c r="E37" i="45" s="1"/>
  <c r="B39" i="45"/>
  <c r="B44" i="45"/>
  <c r="B45" i="45"/>
  <c r="A10" i="45"/>
  <c r="A11" i="45"/>
  <c r="A12" i="45"/>
  <c r="A13" i="45"/>
  <c r="A14" i="45"/>
  <c r="A15" i="45"/>
  <c r="A16" i="45"/>
  <c r="A17" i="45"/>
  <c r="A18" i="45"/>
  <c r="A19" i="45"/>
  <c r="A20" i="45"/>
  <c r="A21" i="45"/>
  <c r="A22" i="45"/>
  <c r="A23" i="45"/>
  <c r="A24" i="45"/>
  <c r="A25" i="45"/>
  <c r="A26" i="45"/>
  <c r="A27" i="45"/>
  <c r="A28" i="45"/>
  <c r="A29" i="45"/>
  <c r="A30" i="45"/>
  <c r="A31" i="45"/>
  <c r="A32" i="45"/>
  <c r="A33" i="45"/>
  <c r="A34" i="45"/>
  <c r="A35" i="45"/>
  <c r="A36" i="45"/>
  <c r="A37" i="45"/>
  <c r="A38" i="45"/>
  <c r="A39" i="45"/>
  <c r="A40" i="45"/>
  <c r="A41" i="45"/>
  <c r="A42" i="45"/>
  <c r="A43" i="45"/>
  <c r="A44" i="45"/>
  <c r="A45" i="45"/>
  <c r="A46" i="45"/>
  <c r="A9" i="45"/>
  <c r="Q13" i="44"/>
  <c r="Q11" i="44"/>
  <c r="S3" i="44"/>
  <c r="Q10" i="44"/>
  <c r="Q12" i="44"/>
  <c r="Q14" i="44"/>
  <c r="Q15" i="44"/>
  <c r="Q16" i="44"/>
  <c r="Q17" i="44"/>
  <c r="Q18" i="44"/>
  <c r="Q19" i="44"/>
  <c r="E19" i="45" s="1"/>
  <c r="Q20" i="44"/>
  <c r="Q22" i="44"/>
  <c r="Q23" i="44"/>
  <c r="Q24" i="44"/>
  <c r="Q25" i="44"/>
  <c r="Q26" i="44"/>
  <c r="Q27" i="44"/>
  <c r="Q28" i="44"/>
  <c r="Q29" i="44"/>
  <c r="Q30" i="44"/>
  <c r="Q31" i="44"/>
  <c r="Q32" i="44"/>
  <c r="Q33" i="44"/>
  <c r="Q34" i="44"/>
  <c r="Q35" i="44"/>
  <c r="Q36" i="44"/>
  <c r="Q37" i="44"/>
  <c r="Q38" i="44"/>
  <c r="Q39" i="44"/>
  <c r="Q40" i="44"/>
  <c r="Q41" i="44"/>
  <c r="Q42" i="44"/>
  <c r="Q43" i="44"/>
  <c r="Q44" i="44"/>
  <c r="Q45" i="44"/>
  <c r="Q46" i="44"/>
  <c r="Q9" i="44"/>
  <c r="S10" i="44"/>
  <c r="S11" i="44"/>
  <c r="S12" i="44"/>
  <c r="S13" i="44"/>
  <c r="S14" i="44"/>
  <c r="S15" i="44"/>
  <c r="S16" i="44"/>
  <c r="S17" i="44"/>
  <c r="S18" i="44"/>
  <c r="S19" i="44"/>
  <c r="S20" i="44"/>
  <c r="S22" i="44"/>
  <c r="S23" i="44"/>
  <c r="S24" i="44"/>
  <c r="S25" i="44"/>
  <c r="S26" i="44"/>
  <c r="S27" i="44"/>
  <c r="S28" i="44"/>
  <c r="S30" i="44"/>
  <c r="S31" i="44"/>
  <c r="S32" i="44"/>
  <c r="S33" i="44"/>
  <c r="S34" i="44"/>
  <c r="S35" i="44"/>
  <c r="S36" i="44"/>
  <c r="S37" i="44"/>
  <c r="S38" i="44"/>
  <c r="S39" i="44"/>
  <c r="S40" i="44"/>
  <c r="S41" i="44"/>
  <c r="S42" i="44"/>
  <c r="S43" i="44"/>
  <c r="S44" i="44"/>
  <c r="S45" i="44"/>
  <c r="S46" i="44"/>
  <c r="S9" i="44"/>
  <c r="E39" i="45" l="1"/>
  <c r="D30" i="45"/>
  <c r="D18" i="45"/>
  <c r="E18" i="45"/>
  <c r="E22" i="45"/>
  <c r="D24" i="45"/>
  <c r="E24" i="45"/>
  <c r="D17" i="45"/>
  <c r="E17" i="45"/>
  <c r="E16" i="45"/>
  <c r="E44" i="45"/>
  <c r="D44" i="45"/>
  <c r="E12" i="45"/>
  <c r="E11" i="45"/>
  <c r="D39" i="45"/>
  <c r="D27" i="45"/>
  <c r="D26" i="45"/>
  <c r="D14" i="45"/>
  <c r="D38" i="45"/>
  <c r="D43" i="45"/>
  <c r="D31" i="45"/>
  <c r="D37" i="45"/>
  <c r="D12" i="45"/>
  <c r="D11" i="45"/>
  <c r="D35" i="45"/>
  <c r="D10" i="45"/>
  <c r="D46" i="45"/>
  <c r="D34" i="45"/>
  <c r="D45" i="45"/>
  <c r="D20" i="45"/>
  <c r="D32" i="45"/>
  <c r="D16" i="45"/>
  <c r="D13" i="45"/>
  <c r="D25" i="45"/>
  <c r="D36" i="45"/>
  <c r="D23" i="45"/>
  <c r="D9" i="45"/>
  <c r="D22" i="45"/>
  <c r="D21" i="45"/>
  <c r="D33" i="45"/>
  <c r="D19" i="45"/>
  <c r="D41" i="45"/>
  <c r="D29" i="45"/>
  <c r="D40" i="45"/>
  <c r="D28" i="45"/>
  <c r="D15" i="45"/>
  <c r="AD38" i="8"/>
  <c r="AD37" i="8"/>
  <c r="AD36" i="8"/>
  <c r="AD20" i="8"/>
  <c r="AD19" i="8"/>
  <c r="AD18" i="8"/>
  <c r="AD17" i="8"/>
  <c r="AD16" i="8"/>
  <c r="AD15" i="8"/>
  <c r="AD14" i="8"/>
  <c r="AD13" i="8"/>
  <c r="AD12" i="8"/>
  <c r="AD11" i="8"/>
  <c r="AD10" i="8"/>
  <c r="AD9" i="8"/>
  <c r="AD65" i="8"/>
  <c r="AD64" i="8"/>
  <c r="AD63" i="8"/>
  <c r="AD62" i="8"/>
  <c r="AD61" i="8"/>
  <c r="AD60" i="8"/>
  <c r="AD59" i="8"/>
  <c r="AD58" i="8"/>
  <c r="AD57" i="8"/>
  <c r="AD41" i="8"/>
  <c r="AD40" i="8"/>
  <c r="AD39" i="8"/>
  <c r="AD164" i="8" l="1"/>
  <c r="AD163" i="8"/>
  <c r="AD162" i="8"/>
  <c r="AD122" i="8"/>
  <c r="AD121" i="8"/>
  <c r="AD120" i="8"/>
  <c r="E24" i="12" l="1"/>
  <c r="D40" i="9"/>
  <c r="P25" i="9"/>
  <c r="P18" i="9"/>
  <c r="P8" i="9"/>
  <c r="F8" i="12"/>
  <c r="D11" i="12"/>
  <c r="L47" i="31"/>
  <c r="H50" i="38"/>
  <c r="P23" i="39" s="1"/>
  <c r="Q62" i="31"/>
  <c r="P62" i="31" s="1"/>
  <c r="G68" i="31"/>
  <c r="L80" i="31"/>
  <c r="H83" i="38"/>
  <c r="P48" i="39" s="1"/>
  <c r="J92" i="38"/>
  <c r="Q53" i="39" s="1"/>
  <c r="U32" i="38"/>
  <c r="W16" i="39" s="1"/>
  <c r="G101" i="38"/>
  <c r="O60" i="39" s="1"/>
  <c r="Q107" i="31"/>
  <c r="Q116" i="38"/>
  <c r="H134" i="24"/>
  <c r="U149" i="38"/>
  <c r="W137" i="39" s="1"/>
  <c r="G152" i="38"/>
  <c r="H155" i="38"/>
  <c r="P146" i="39" s="1"/>
  <c r="L170" i="24"/>
  <c r="Q74" i="24"/>
  <c r="G158" i="38"/>
  <c r="O161" i="39" s="1"/>
  <c r="Q170" i="31"/>
  <c r="P170" i="31" s="1"/>
  <c r="U86" i="31"/>
  <c r="J134" i="38"/>
  <c r="Q123" i="39" s="1"/>
  <c r="U155" i="31"/>
  <c r="J125" i="31"/>
  <c r="H131" i="31"/>
  <c r="H182" i="31"/>
  <c r="Q185" i="31"/>
  <c r="P185" i="31" s="1"/>
  <c r="H179" i="38"/>
  <c r="P183" i="39" s="1"/>
  <c r="H188" i="38"/>
  <c r="P199" i="39" s="1"/>
  <c r="L26" i="38"/>
  <c r="R14" i="39" s="1"/>
  <c r="U8" i="38"/>
  <c r="W8" i="39" s="1"/>
  <c r="Q70" i="38"/>
  <c r="I32" i="39" s="1"/>
  <c r="AD92" i="8"/>
  <c r="AD91" i="8"/>
  <c r="AD90" i="8"/>
  <c r="J214" i="39"/>
  <c r="G214" i="39"/>
  <c r="O113" i="39"/>
  <c r="C113" i="39"/>
  <c r="AD194" i="38"/>
  <c r="AD193" i="38"/>
  <c r="AD192" i="38"/>
  <c r="P192" i="38"/>
  <c r="AD191" i="38"/>
  <c r="AD190" i="38"/>
  <c r="AD189" i="38"/>
  <c r="P189" i="38"/>
  <c r="G189" i="38"/>
  <c r="G191" i="38" s="1"/>
  <c r="O200" i="39" s="1"/>
  <c r="AD188" i="38"/>
  <c r="AD187" i="38"/>
  <c r="AD186" i="38"/>
  <c r="P186" i="38"/>
  <c r="J186" i="38"/>
  <c r="AD185" i="38"/>
  <c r="AD184" i="38"/>
  <c r="AD183" i="38"/>
  <c r="P183" i="38"/>
  <c r="G183" i="38"/>
  <c r="AD182" i="38"/>
  <c r="AD181" i="38"/>
  <c r="AD180" i="38"/>
  <c r="J180" i="38"/>
  <c r="AD179" i="38"/>
  <c r="AD178" i="38"/>
  <c r="AD177" i="38"/>
  <c r="P177" i="38"/>
  <c r="J177" i="38"/>
  <c r="AD176" i="38"/>
  <c r="AD175" i="38"/>
  <c r="AD174" i="38"/>
  <c r="P174" i="38"/>
  <c r="AD173" i="38"/>
  <c r="AD172" i="38"/>
  <c r="AD171" i="38"/>
  <c r="P171" i="38"/>
  <c r="J171" i="38"/>
  <c r="AD170" i="38"/>
  <c r="AD169" i="38"/>
  <c r="AD168" i="38"/>
  <c r="J168" i="38"/>
  <c r="J170" i="38" s="1"/>
  <c r="Q168" i="39" s="1"/>
  <c r="AD167" i="38"/>
  <c r="AD166" i="38"/>
  <c r="AD165" i="38"/>
  <c r="P165" i="38"/>
  <c r="G165" i="38"/>
  <c r="G166" i="38" s="1"/>
  <c r="C167" i="39" s="1"/>
  <c r="AD164" i="38"/>
  <c r="AD163" i="38"/>
  <c r="AD162" i="38"/>
  <c r="P162" i="38"/>
  <c r="G162" i="38"/>
  <c r="AD161" i="38"/>
  <c r="AD160" i="38"/>
  <c r="AD159" i="38"/>
  <c r="P159" i="38"/>
  <c r="H159" i="38"/>
  <c r="J159" i="38" s="1"/>
  <c r="J161" i="38" s="1"/>
  <c r="Q163" i="39" s="1"/>
  <c r="AD158" i="38"/>
  <c r="AD157" i="38"/>
  <c r="AD156" i="38"/>
  <c r="P156" i="38"/>
  <c r="AD155" i="38"/>
  <c r="AD154" i="38"/>
  <c r="AD153" i="38"/>
  <c r="G153" i="38"/>
  <c r="AD152" i="38"/>
  <c r="AD151" i="38"/>
  <c r="AD150" i="38"/>
  <c r="AD149" i="38"/>
  <c r="AD148" i="38"/>
  <c r="AD147" i="38"/>
  <c r="P147" i="38"/>
  <c r="L147" i="38"/>
  <c r="J147" i="38"/>
  <c r="AD146" i="38"/>
  <c r="AD145" i="38"/>
  <c r="AD144" i="38"/>
  <c r="P144" i="38"/>
  <c r="AD143" i="38"/>
  <c r="AD142" i="38"/>
  <c r="AD141" i="38"/>
  <c r="P141" i="38"/>
  <c r="J141" i="38"/>
  <c r="J142" i="38" s="1"/>
  <c r="E128" i="39" s="1"/>
  <c r="AD140" i="38"/>
  <c r="AD139" i="38"/>
  <c r="AD138" i="38"/>
  <c r="P138" i="38"/>
  <c r="G138" i="38"/>
  <c r="AD137" i="38"/>
  <c r="AD136" i="38"/>
  <c r="AD135" i="38"/>
  <c r="U135" i="38"/>
  <c r="P135" i="38" s="1"/>
  <c r="G135" i="38"/>
  <c r="G136" i="38" s="1"/>
  <c r="C124" i="39" s="1"/>
  <c r="AD134" i="38"/>
  <c r="AD133" i="38"/>
  <c r="AD132" i="38"/>
  <c r="P132" i="38"/>
  <c r="G132" i="38"/>
  <c r="AD131" i="38"/>
  <c r="AD130" i="38"/>
  <c r="AD129" i="38"/>
  <c r="P129" i="38"/>
  <c r="G129" i="38"/>
  <c r="G131" i="38" s="1"/>
  <c r="O122" i="39" s="1"/>
  <c r="AD128" i="38"/>
  <c r="AD127" i="38"/>
  <c r="AD126" i="38"/>
  <c r="J126" i="38"/>
  <c r="G126" i="38" s="1"/>
  <c r="G127" i="38" s="1"/>
  <c r="C118" i="39" s="1"/>
  <c r="AD125" i="38"/>
  <c r="AD124" i="38"/>
  <c r="AD123" i="38"/>
  <c r="P123" i="38"/>
  <c r="G123" i="38"/>
  <c r="G124" i="38" s="1"/>
  <c r="C116" i="39" s="1"/>
  <c r="AD122" i="38"/>
  <c r="AD121" i="38"/>
  <c r="AD120" i="38"/>
  <c r="Q120" i="38"/>
  <c r="P120" i="38" s="1"/>
  <c r="G120" i="38"/>
  <c r="G121" i="38" s="1"/>
  <c r="C108" i="39" s="1"/>
  <c r="AD119" i="38"/>
  <c r="AD118" i="38"/>
  <c r="AD117" i="38"/>
  <c r="P117" i="38"/>
  <c r="AD116" i="38"/>
  <c r="AD115" i="38"/>
  <c r="AD114" i="38"/>
  <c r="P114" i="38"/>
  <c r="H114" i="38"/>
  <c r="G114" i="38"/>
  <c r="J114" i="38" s="1"/>
  <c r="AD113" i="38"/>
  <c r="AD112" i="38"/>
  <c r="AD111" i="38"/>
  <c r="P111" i="38"/>
  <c r="J111" i="38"/>
  <c r="AD110" i="38"/>
  <c r="AD109" i="38"/>
  <c r="AD108" i="38"/>
  <c r="P108" i="38"/>
  <c r="J108" i="38"/>
  <c r="AD107" i="38"/>
  <c r="AD106" i="38"/>
  <c r="AD105" i="38"/>
  <c r="P105" i="38"/>
  <c r="G105" i="38"/>
  <c r="AD104" i="38"/>
  <c r="AD103" i="38"/>
  <c r="AD102" i="38"/>
  <c r="W102" i="38"/>
  <c r="Q102" i="38"/>
  <c r="G102" i="38"/>
  <c r="AD101" i="38"/>
  <c r="AD100" i="38"/>
  <c r="AD99" i="38"/>
  <c r="P99" i="38"/>
  <c r="J99" i="38"/>
  <c r="J101" i="38" s="1"/>
  <c r="Q60" i="39" s="1"/>
  <c r="AD98" i="38"/>
  <c r="AD97" i="38"/>
  <c r="AD96" i="38"/>
  <c r="P96" i="38"/>
  <c r="G96" i="38"/>
  <c r="G97" i="38" s="1"/>
  <c r="C57" i="39" s="1"/>
  <c r="AD95" i="38"/>
  <c r="AD94" i="38"/>
  <c r="AD93" i="38"/>
  <c r="P93" i="38"/>
  <c r="G93" i="38"/>
  <c r="AD92" i="38"/>
  <c r="AD91" i="38"/>
  <c r="AD90" i="38"/>
  <c r="P90" i="38"/>
  <c r="G90" i="38"/>
  <c r="AD89" i="38"/>
  <c r="U89" i="38"/>
  <c r="Q89" i="38"/>
  <c r="U50" i="39" s="1"/>
  <c r="G89" i="38"/>
  <c r="AD88" i="38"/>
  <c r="AD87" i="38"/>
  <c r="P87" i="38"/>
  <c r="J87" i="38"/>
  <c r="AD86" i="38"/>
  <c r="AD85" i="38"/>
  <c r="AD84" i="38"/>
  <c r="P84" i="38"/>
  <c r="G84" i="38"/>
  <c r="G85" i="38" s="1"/>
  <c r="C49" i="39" s="1"/>
  <c r="AD83" i="38"/>
  <c r="AD82" i="38"/>
  <c r="AD81" i="38"/>
  <c r="P81" i="38"/>
  <c r="J81" i="38"/>
  <c r="AD80" i="38"/>
  <c r="AD79" i="38"/>
  <c r="AD78" i="38"/>
  <c r="Q78" i="38"/>
  <c r="J78" i="38"/>
  <c r="G78" i="38" s="1"/>
  <c r="AD77" i="38"/>
  <c r="AD76" i="38"/>
  <c r="AD75" i="38"/>
  <c r="P75" i="38"/>
  <c r="G75" i="38"/>
  <c r="AD74" i="38"/>
  <c r="AD73" i="38"/>
  <c r="AD72" i="38"/>
  <c r="P72" i="38"/>
  <c r="G72" i="38"/>
  <c r="AD71" i="38"/>
  <c r="AD70" i="38"/>
  <c r="AD69" i="38"/>
  <c r="P69" i="38"/>
  <c r="G69" i="38"/>
  <c r="G71" i="38" s="1"/>
  <c r="O32" i="39" s="1"/>
  <c r="AD68" i="38"/>
  <c r="AD67" i="38"/>
  <c r="AD66" i="38"/>
  <c r="P66" i="38"/>
  <c r="J66" i="38"/>
  <c r="AD65" i="38"/>
  <c r="AD64" i="38"/>
  <c r="AD63" i="38"/>
  <c r="P63" i="38"/>
  <c r="J63" i="38"/>
  <c r="G63" i="38"/>
  <c r="G64" i="38" s="1"/>
  <c r="C28" i="39" s="1"/>
  <c r="AD62" i="38"/>
  <c r="AD61" i="38"/>
  <c r="AD60" i="38"/>
  <c r="P60" i="38"/>
  <c r="G60" i="38"/>
  <c r="AD59" i="38"/>
  <c r="AD58" i="38"/>
  <c r="AD57" i="38"/>
  <c r="P57" i="38"/>
  <c r="G57" i="38"/>
  <c r="AD56" i="38"/>
  <c r="AD55" i="38"/>
  <c r="AD54" i="38"/>
  <c r="Q54" i="38"/>
  <c r="Q55" i="38" s="1"/>
  <c r="I25" i="39" s="1"/>
  <c r="G54" i="38"/>
  <c r="AD53" i="38"/>
  <c r="AD52" i="38"/>
  <c r="AD51" i="38"/>
  <c r="P51" i="38"/>
  <c r="J51" i="38"/>
  <c r="G51" i="38" s="1"/>
  <c r="AD50" i="38"/>
  <c r="AD49" i="38"/>
  <c r="AD48" i="38"/>
  <c r="P48" i="38"/>
  <c r="L48" i="38"/>
  <c r="G48" i="38"/>
  <c r="G50" i="38" s="1"/>
  <c r="O23" i="39" s="1"/>
  <c r="AD47" i="38"/>
  <c r="AD46" i="38"/>
  <c r="AD45" i="38"/>
  <c r="P45" i="38"/>
  <c r="J45" i="38"/>
  <c r="G45" i="38" s="1"/>
  <c r="G46" i="38" s="1"/>
  <c r="C22" i="39" s="1"/>
  <c r="AD44" i="38"/>
  <c r="AD43" i="38"/>
  <c r="AD42" i="38"/>
  <c r="W42" i="38"/>
  <c r="W44" i="38" s="1"/>
  <c r="X21" i="39" s="1"/>
  <c r="Q42" i="38"/>
  <c r="Q44" i="38" s="1"/>
  <c r="U21" i="39" s="1"/>
  <c r="L42" i="38"/>
  <c r="J42" i="38"/>
  <c r="H42" i="38"/>
  <c r="AD41" i="38"/>
  <c r="AD40" i="38"/>
  <c r="AD39" i="38"/>
  <c r="P39" i="38"/>
  <c r="J39" i="38"/>
  <c r="G39" i="38" s="1"/>
  <c r="H39" i="38"/>
  <c r="AD38" i="38"/>
  <c r="AD37" i="38"/>
  <c r="AD36" i="38"/>
  <c r="P36" i="38"/>
  <c r="J36" i="38"/>
  <c r="H36" i="38"/>
  <c r="AD35" i="38"/>
  <c r="AD34" i="38"/>
  <c r="AD33" i="38"/>
  <c r="P33" i="38"/>
  <c r="J33" i="38"/>
  <c r="G33" i="38" s="1"/>
  <c r="AD32" i="38"/>
  <c r="AD31" i="38"/>
  <c r="AD30" i="38"/>
  <c r="AB30" i="38"/>
  <c r="P30" i="38"/>
  <c r="J30" i="38"/>
  <c r="G30" i="38" s="1"/>
  <c r="G31" i="38" s="1"/>
  <c r="C16" i="39" s="1"/>
  <c r="AD29" i="38"/>
  <c r="AD28" i="38"/>
  <c r="AD27" i="38"/>
  <c r="P27" i="38"/>
  <c r="P28" i="38" s="1"/>
  <c r="H15" i="39" s="1"/>
  <c r="L27" i="38"/>
  <c r="L29" i="38" s="1"/>
  <c r="R15" i="39" s="1"/>
  <c r="J27" i="38"/>
  <c r="G27" i="38"/>
  <c r="AD26" i="38"/>
  <c r="AD25" i="38"/>
  <c r="AD24" i="38"/>
  <c r="P24" i="38"/>
  <c r="G24" i="38"/>
  <c r="AD23" i="38"/>
  <c r="AD22" i="38"/>
  <c r="AD21" i="38"/>
  <c r="P21" i="38"/>
  <c r="J21" i="38"/>
  <c r="H21" i="38"/>
  <c r="AD20" i="38"/>
  <c r="AD19" i="38"/>
  <c r="AD18" i="38"/>
  <c r="U18" i="38"/>
  <c r="P18" i="38"/>
  <c r="J18" i="38"/>
  <c r="J19" i="38" s="1"/>
  <c r="E12" i="39" s="1"/>
  <c r="AD17" i="38"/>
  <c r="AD16" i="38"/>
  <c r="AD15" i="38"/>
  <c r="P15" i="38"/>
  <c r="L15" i="38"/>
  <c r="J15" i="38"/>
  <c r="G15" i="38"/>
  <c r="AD14" i="38"/>
  <c r="AD13" i="38"/>
  <c r="AD12" i="38"/>
  <c r="P12" i="38"/>
  <c r="AD11" i="38"/>
  <c r="AD10" i="38"/>
  <c r="AD9" i="38"/>
  <c r="P9" i="38"/>
  <c r="G9" i="38"/>
  <c r="AD8" i="38"/>
  <c r="AD7" i="38"/>
  <c r="AD6" i="38"/>
  <c r="P6" i="38"/>
  <c r="J6" i="38"/>
  <c r="F8" i="39"/>
  <c r="L8" i="39"/>
  <c r="R8" i="39"/>
  <c r="X8" i="39"/>
  <c r="L9" i="39"/>
  <c r="X9" i="39"/>
  <c r="F10" i="39"/>
  <c r="L10" i="39"/>
  <c r="R10" i="39"/>
  <c r="X10" i="39"/>
  <c r="C19" i="39"/>
  <c r="H19" i="39"/>
  <c r="O19" i="39"/>
  <c r="T19" i="39"/>
  <c r="P102" i="38"/>
  <c r="I14" i="39"/>
  <c r="U14" i="39"/>
  <c r="I15" i="39"/>
  <c r="U15" i="39"/>
  <c r="D19" i="39"/>
  <c r="I19" i="39"/>
  <c r="P19" i="39"/>
  <c r="U19" i="39"/>
  <c r="U188" i="39"/>
  <c r="I188" i="39"/>
  <c r="X199" i="39"/>
  <c r="R199" i="39"/>
  <c r="L199" i="39"/>
  <c r="F199" i="39"/>
  <c r="W200" i="39"/>
  <c r="K200" i="39"/>
  <c r="W199" i="39"/>
  <c r="K199" i="39"/>
  <c r="U184" i="39"/>
  <c r="I184" i="39"/>
  <c r="U168" i="39"/>
  <c r="I168" i="39"/>
  <c r="U167" i="39"/>
  <c r="I167" i="39"/>
  <c r="X188" i="39"/>
  <c r="T184" i="39"/>
  <c r="H184" i="39"/>
  <c r="T168" i="39"/>
  <c r="H168" i="39"/>
  <c r="X184" i="39"/>
  <c r="R184" i="39"/>
  <c r="L184" i="39"/>
  <c r="F184" i="39"/>
  <c r="X183" i="39"/>
  <c r="R183" i="39"/>
  <c r="L183" i="39"/>
  <c r="F183" i="39"/>
  <c r="X181" i="39"/>
  <c r="R181" i="39"/>
  <c r="L181" i="39"/>
  <c r="F181" i="39"/>
  <c r="X180" i="39"/>
  <c r="R180" i="39"/>
  <c r="L180" i="39"/>
  <c r="F180" i="39"/>
  <c r="X168" i="39"/>
  <c r="L168" i="39"/>
  <c r="R167" i="39"/>
  <c r="F167" i="39"/>
  <c r="X165" i="39"/>
  <c r="R165" i="39"/>
  <c r="L165" i="39"/>
  <c r="F165" i="39"/>
  <c r="X163" i="39"/>
  <c r="R163" i="39"/>
  <c r="L163" i="39"/>
  <c r="F163" i="39"/>
  <c r="X161" i="39"/>
  <c r="R161" i="39"/>
  <c r="L161" i="39"/>
  <c r="F161" i="39"/>
  <c r="L188" i="39"/>
  <c r="W184" i="39"/>
  <c r="K184" i="39"/>
  <c r="W181" i="39"/>
  <c r="K181" i="39"/>
  <c r="W180" i="39"/>
  <c r="K180" i="39"/>
  <c r="W168" i="39"/>
  <c r="K168" i="39"/>
  <c r="W165" i="39"/>
  <c r="K165" i="39"/>
  <c r="W163" i="39"/>
  <c r="K163" i="39"/>
  <c r="W161" i="39"/>
  <c r="K161" i="39"/>
  <c r="T146" i="39"/>
  <c r="H146" i="39"/>
  <c r="W144" i="39"/>
  <c r="Q144" i="39"/>
  <c r="K144" i="39"/>
  <c r="E144" i="39"/>
  <c r="T141" i="39"/>
  <c r="H141" i="39"/>
  <c r="X146" i="39"/>
  <c r="R146" i="39"/>
  <c r="L146" i="39"/>
  <c r="F146" i="39"/>
  <c r="U144" i="39"/>
  <c r="P144" i="39"/>
  <c r="I144" i="39"/>
  <c r="X141" i="39"/>
  <c r="R141" i="39"/>
  <c r="L141" i="39"/>
  <c r="F141" i="39"/>
  <c r="X137" i="39"/>
  <c r="L137" i="39"/>
  <c r="R134" i="39"/>
  <c r="F134" i="39"/>
  <c r="U128" i="39"/>
  <c r="I128" i="39"/>
  <c r="W146" i="39"/>
  <c r="K146" i="39"/>
  <c r="T144" i="39"/>
  <c r="O144" i="39"/>
  <c r="H144" i="39"/>
  <c r="W141" i="39"/>
  <c r="Q141" i="39"/>
  <c r="K141" i="39"/>
  <c r="E141" i="39"/>
  <c r="Q134" i="39"/>
  <c r="E134" i="39"/>
  <c r="U146" i="39"/>
  <c r="I146" i="39"/>
  <c r="X144" i="39"/>
  <c r="R144" i="39"/>
  <c r="L144" i="39"/>
  <c r="F144" i="39"/>
  <c r="U141" i="39"/>
  <c r="P141" i="39"/>
  <c r="I141" i="39"/>
  <c r="D141" i="39"/>
  <c r="P134" i="39"/>
  <c r="D134" i="39"/>
  <c r="X126" i="39"/>
  <c r="X124" i="39"/>
  <c r="R124" i="39"/>
  <c r="L124" i="39"/>
  <c r="F124" i="39"/>
  <c r="X123" i="39"/>
  <c r="R123" i="39"/>
  <c r="L123" i="39"/>
  <c r="F123" i="39"/>
  <c r="X122" i="39"/>
  <c r="L122" i="39"/>
  <c r="X118" i="39"/>
  <c r="L118" i="39"/>
  <c r="R116" i="39"/>
  <c r="F116" i="39"/>
  <c r="W108" i="39"/>
  <c r="K108" i="39"/>
  <c r="W101" i="39"/>
  <c r="Q101" i="39"/>
  <c r="K101" i="39"/>
  <c r="E101" i="39"/>
  <c r="F126" i="39"/>
  <c r="W118" i="39"/>
  <c r="K118" i="39"/>
  <c r="W116" i="39"/>
  <c r="K116" i="39"/>
  <c r="L126" i="39"/>
  <c r="U122" i="39"/>
  <c r="I122" i="39"/>
  <c r="U118" i="39"/>
  <c r="I118" i="39"/>
  <c r="U116" i="39"/>
  <c r="I116" i="39"/>
  <c r="R126" i="39"/>
  <c r="T118" i="39"/>
  <c r="H118" i="39"/>
  <c r="R108" i="39"/>
  <c r="F108" i="39"/>
  <c r="X92" i="39"/>
  <c r="R92" i="39"/>
  <c r="L92" i="39"/>
  <c r="F92" i="39"/>
  <c r="X86" i="39"/>
  <c r="R86" i="39"/>
  <c r="L86" i="39"/>
  <c r="F86" i="39"/>
  <c r="X80" i="39"/>
  <c r="L80" i="39"/>
  <c r="R101" i="39"/>
  <c r="F101" i="39"/>
  <c r="W92" i="39"/>
  <c r="K92" i="39"/>
  <c r="W86" i="39"/>
  <c r="K86" i="39"/>
  <c r="W79" i="39"/>
  <c r="K79" i="39"/>
  <c r="W77" i="39"/>
  <c r="K77" i="39"/>
  <c r="P101" i="39"/>
  <c r="D101" i="39"/>
  <c r="U79" i="39"/>
  <c r="I79" i="39"/>
  <c r="X60" i="39"/>
  <c r="R60" i="39"/>
  <c r="L60" i="39"/>
  <c r="F60" i="39"/>
  <c r="U59" i="39"/>
  <c r="P59" i="39"/>
  <c r="I59" i="39"/>
  <c r="W53" i="39"/>
  <c r="K53" i="39"/>
  <c r="W50" i="39"/>
  <c r="T30" i="39"/>
  <c r="O30" i="39"/>
  <c r="H30" i="39"/>
  <c r="T59" i="39"/>
  <c r="O59" i="39"/>
  <c r="U51" i="39"/>
  <c r="I51" i="39"/>
  <c r="U48" i="39"/>
  <c r="I48" i="39"/>
  <c r="X30" i="39"/>
  <c r="R30" i="39"/>
  <c r="L30" i="39"/>
  <c r="X27" i="39"/>
  <c r="L27" i="39"/>
  <c r="X24" i="39"/>
  <c r="R24" i="39"/>
  <c r="L24" i="39"/>
  <c r="F24" i="39"/>
  <c r="X20" i="39"/>
  <c r="L20" i="39"/>
  <c r="U60" i="39"/>
  <c r="I60" i="39"/>
  <c r="X59" i="39"/>
  <c r="R59" i="39"/>
  <c r="L59" i="39"/>
  <c r="O50" i="39"/>
  <c r="X35" i="39"/>
  <c r="L35" i="39"/>
  <c r="X34" i="39"/>
  <c r="L34" i="39"/>
  <c r="X32" i="39"/>
  <c r="L32" i="39"/>
  <c r="W30" i="39"/>
  <c r="Q30" i="39"/>
  <c r="K30" i="39"/>
  <c r="W27" i="39"/>
  <c r="K27" i="39"/>
  <c r="W21" i="39"/>
  <c r="K21" i="39"/>
  <c r="W59" i="39"/>
  <c r="Q59" i="39"/>
  <c r="K59" i="39"/>
  <c r="X57" i="39"/>
  <c r="R57" i="39"/>
  <c r="L57" i="39"/>
  <c r="F57" i="39"/>
  <c r="X56" i="39"/>
  <c r="L56" i="39"/>
  <c r="X53" i="39"/>
  <c r="R53" i="39"/>
  <c r="L53" i="39"/>
  <c r="F53" i="39"/>
  <c r="X50" i="39"/>
  <c r="R50" i="39"/>
  <c r="L50" i="39"/>
  <c r="F50" i="39"/>
  <c r="X49" i="39"/>
  <c r="R49" i="39"/>
  <c r="L49" i="39"/>
  <c r="F49" i="39"/>
  <c r="X48" i="39"/>
  <c r="L48" i="39"/>
  <c r="U30" i="39"/>
  <c r="P30" i="39"/>
  <c r="I30" i="39"/>
  <c r="U28" i="39"/>
  <c r="I28" i="39"/>
  <c r="U22" i="39"/>
  <c r="I22" i="39"/>
  <c r="G6" i="38"/>
  <c r="P78" i="38"/>
  <c r="G168" i="38"/>
  <c r="E19" i="39"/>
  <c r="K19" i="39"/>
  <c r="Q19" i="39"/>
  <c r="W19" i="39"/>
  <c r="I20" i="39"/>
  <c r="U20" i="39"/>
  <c r="G171" i="38"/>
  <c r="G172" i="38" s="1"/>
  <c r="C180" i="39" s="1"/>
  <c r="L11" i="39"/>
  <c r="X11" i="39"/>
  <c r="F12" i="39"/>
  <c r="L12" i="39"/>
  <c r="R12" i="39"/>
  <c r="X12" i="39"/>
  <c r="L13" i="39"/>
  <c r="X13" i="39"/>
  <c r="L17" i="39"/>
  <c r="X17" i="39"/>
  <c r="L18" i="39"/>
  <c r="X18" i="39"/>
  <c r="F19" i="39"/>
  <c r="L19" i="39"/>
  <c r="R19" i="39"/>
  <c r="X19" i="39"/>
  <c r="G13" i="24"/>
  <c r="T204" i="33"/>
  <c r="H204" i="33"/>
  <c r="T109" i="32"/>
  <c r="O109" i="32"/>
  <c r="H109" i="32"/>
  <c r="C109" i="32"/>
  <c r="E98" i="32"/>
  <c r="E131" i="32"/>
  <c r="Q131" i="32"/>
  <c r="O169" i="32"/>
  <c r="Q192" i="32"/>
  <c r="O196" i="32"/>
  <c r="C196" i="32"/>
  <c r="AD147" i="8"/>
  <c r="AD203" i="31"/>
  <c r="AD202" i="31"/>
  <c r="AD201" i="31"/>
  <c r="P201" i="31"/>
  <c r="AD200" i="31"/>
  <c r="AD199" i="31"/>
  <c r="AD198" i="31"/>
  <c r="P198" i="31"/>
  <c r="G198" i="31"/>
  <c r="J198" i="31" s="1"/>
  <c r="J199" i="31" s="1"/>
  <c r="AD197" i="31"/>
  <c r="AD196" i="31"/>
  <c r="AD195" i="31"/>
  <c r="P195" i="31"/>
  <c r="J195" i="31"/>
  <c r="AD194" i="31"/>
  <c r="AD193" i="31"/>
  <c r="AD192" i="31"/>
  <c r="P192" i="31"/>
  <c r="J192" i="31"/>
  <c r="G192" i="31" s="1"/>
  <c r="G193" i="31" s="1"/>
  <c r="AD191" i="31"/>
  <c r="AD190" i="31"/>
  <c r="AD189" i="31"/>
  <c r="J189" i="31"/>
  <c r="J190" i="31" s="1"/>
  <c r="AD188" i="31"/>
  <c r="AD187" i="31"/>
  <c r="AD186" i="31"/>
  <c r="P186" i="31"/>
  <c r="J186" i="31"/>
  <c r="J187" i="31" s="1"/>
  <c r="AD185" i="31"/>
  <c r="AD184" i="31"/>
  <c r="AD183" i="31"/>
  <c r="P183" i="31"/>
  <c r="J183" i="31"/>
  <c r="AD182" i="31"/>
  <c r="AD181" i="31"/>
  <c r="AD180" i="31"/>
  <c r="P180" i="31"/>
  <c r="AD179" i="31"/>
  <c r="AD178" i="31"/>
  <c r="AD177" i="31"/>
  <c r="J177" i="31"/>
  <c r="J178" i="31" s="1"/>
  <c r="G177" i="31"/>
  <c r="AD176" i="31"/>
  <c r="AD175" i="31"/>
  <c r="AD174" i="31"/>
  <c r="P174" i="31"/>
  <c r="G174" i="31"/>
  <c r="G175" i="31" s="1"/>
  <c r="AD173" i="31"/>
  <c r="AD172" i="31"/>
  <c r="AD171" i="31"/>
  <c r="AD170" i="31"/>
  <c r="AD169" i="31"/>
  <c r="AD168" i="31"/>
  <c r="P168" i="31"/>
  <c r="H168" i="31"/>
  <c r="H169" i="31" s="1"/>
  <c r="AD167" i="31"/>
  <c r="AD166" i="31"/>
  <c r="AD165" i="31"/>
  <c r="P165" i="31"/>
  <c r="G165" i="31"/>
  <c r="AD164" i="31"/>
  <c r="AD163" i="31"/>
  <c r="AD162" i="31"/>
  <c r="AD161" i="31"/>
  <c r="AD160" i="31"/>
  <c r="AD159" i="31"/>
  <c r="AD158" i="31"/>
  <c r="AD157" i="31"/>
  <c r="AD156" i="31"/>
  <c r="Q156" i="31"/>
  <c r="P156" i="31" s="1"/>
  <c r="L156" i="31"/>
  <c r="L157" i="31" s="1"/>
  <c r="J156" i="31"/>
  <c r="G156" i="31" s="1"/>
  <c r="G157" i="31" s="1"/>
  <c r="AD155" i="31"/>
  <c r="AD154" i="31"/>
  <c r="AD153" i="31"/>
  <c r="P153" i="31"/>
  <c r="AD152" i="31"/>
  <c r="AD151" i="31"/>
  <c r="AD150" i="31"/>
  <c r="P150" i="31"/>
  <c r="AD149" i="31"/>
  <c r="AD148" i="31"/>
  <c r="AD147" i="31"/>
  <c r="P147" i="31"/>
  <c r="J147" i="31"/>
  <c r="AD146" i="31"/>
  <c r="AD145" i="31"/>
  <c r="AD144" i="31"/>
  <c r="W144" i="31"/>
  <c r="U144" i="31"/>
  <c r="J144" i="31"/>
  <c r="G144" i="31" s="1"/>
  <c r="G145" i="31" s="1"/>
  <c r="AD143" i="31"/>
  <c r="AD142" i="31"/>
  <c r="AD141" i="31"/>
  <c r="Q141" i="31"/>
  <c r="P141" i="31"/>
  <c r="J141" i="31"/>
  <c r="AD140" i="31"/>
  <c r="AD139" i="31"/>
  <c r="AD138" i="31"/>
  <c r="P138" i="31"/>
  <c r="H138" i="31"/>
  <c r="H140" i="31" s="1"/>
  <c r="AD137" i="31"/>
  <c r="AD136" i="31"/>
  <c r="AD135" i="31"/>
  <c r="J135" i="31"/>
  <c r="G135" i="31" s="1"/>
  <c r="G136" i="31" s="1"/>
  <c r="AD134" i="31"/>
  <c r="AD133" i="31"/>
  <c r="AD132" i="31"/>
  <c r="P132" i="31"/>
  <c r="G132" i="31"/>
  <c r="G134" i="31" s="1"/>
  <c r="AD131" i="31"/>
  <c r="AD130" i="31"/>
  <c r="AD129" i="31"/>
  <c r="P129" i="31"/>
  <c r="G129" i="31"/>
  <c r="AD128" i="31"/>
  <c r="AD127" i="31"/>
  <c r="AD126" i="31"/>
  <c r="Q126" i="31"/>
  <c r="P126" i="31"/>
  <c r="G126" i="31"/>
  <c r="AD125" i="31"/>
  <c r="AD124" i="31"/>
  <c r="AD123" i="31"/>
  <c r="P123" i="31"/>
  <c r="G123" i="31"/>
  <c r="G125" i="31" s="1"/>
  <c r="AD122" i="31"/>
  <c r="AD121" i="31"/>
  <c r="AD120" i="31"/>
  <c r="P120" i="31"/>
  <c r="AD119" i="31"/>
  <c r="AD118" i="31"/>
  <c r="AD117" i="31"/>
  <c r="P117" i="31"/>
  <c r="J117" i="31"/>
  <c r="J118" i="31" s="1"/>
  <c r="AD116" i="31"/>
  <c r="AD115" i="31"/>
  <c r="AD114" i="31"/>
  <c r="P114" i="31"/>
  <c r="J114" i="31"/>
  <c r="J115" i="31" s="1"/>
  <c r="AD113" i="31"/>
  <c r="AD112" i="31"/>
  <c r="AD111" i="31"/>
  <c r="P111" i="31"/>
  <c r="AD110" i="31"/>
  <c r="AD109" i="31"/>
  <c r="AD108" i="31"/>
  <c r="P108" i="31"/>
  <c r="J108" i="31"/>
  <c r="J110" i="31" s="1"/>
  <c r="AD107" i="31"/>
  <c r="AD106" i="31"/>
  <c r="AD105" i="31"/>
  <c r="W105" i="31"/>
  <c r="Q105" i="31"/>
  <c r="G105" i="31"/>
  <c r="AD104" i="31"/>
  <c r="AD103" i="31"/>
  <c r="AD102" i="31"/>
  <c r="P102" i="31"/>
  <c r="AD101" i="31"/>
  <c r="AD100" i="31"/>
  <c r="AD99" i="31"/>
  <c r="P99" i="31"/>
  <c r="AD98" i="31"/>
  <c r="AD97" i="31"/>
  <c r="AD96" i="31"/>
  <c r="P96" i="31"/>
  <c r="G96" i="31"/>
  <c r="G97" i="31" s="1"/>
  <c r="AD95" i="31"/>
  <c r="AD94" i="31"/>
  <c r="AD93" i="31"/>
  <c r="P93" i="31"/>
  <c r="J93" i="31"/>
  <c r="AD92" i="31"/>
  <c r="AD91" i="31"/>
  <c r="AD90" i="31"/>
  <c r="P90" i="31"/>
  <c r="G90" i="31"/>
  <c r="G92" i="31" s="1"/>
  <c r="AD89" i="31"/>
  <c r="U89" i="31"/>
  <c r="Q89" i="31"/>
  <c r="G89" i="31"/>
  <c r="AD88" i="31"/>
  <c r="AD87" i="31"/>
  <c r="P87" i="31"/>
  <c r="AD86" i="31"/>
  <c r="AD85" i="31"/>
  <c r="AD84" i="31"/>
  <c r="P84" i="31"/>
  <c r="J84" i="31"/>
  <c r="J85" i="31" s="1"/>
  <c r="AD83" i="31"/>
  <c r="AD82" i="31"/>
  <c r="AD81" i="31"/>
  <c r="P81" i="31"/>
  <c r="P82" i="31" s="1"/>
  <c r="G81" i="31"/>
  <c r="AD80" i="31"/>
  <c r="AD79" i="31"/>
  <c r="AD78" i="31"/>
  <c r="Q78" i="31"/>
  <c r="P78" i="31" s="1"/>
  <c r="G78" i="31"/>
  <c r="AD77" i="31"/>
  <c r="AD76" i="31"/>
  <c r="AD75" i="31"/>
  <c r="P75" i="31"/>
  <c r="J75" i="31"/>
  <c r="J76" i="31" s="1"/>
  <c r="AD74" i="31"/>
  <c r="AD73" i="31"/>
  <c r="AD72" i="31"/>
  <c r="P72" i="31"/>
  <c r="G72" i="31"/>
  <c r="G73" i="31" s="1"/>
  <c r="AD71" i="31"/>
  <c r="AD70" i="31"/>
  <c r="AD69" i="31"/>
  <c r="P69" i="31"/>
  <c r="G69" i="31"/>
  <c r="G70" i="31" s="1"/>
  <c r="AD68" i="31"/>
  <c r="AD67" i="31"/>
  <c r="AD66" i="31"/>
  <c r="P66" i="31"/>
  <c r="J66" i="31"/>
  <c r="AD65" i="31"/>
  <c r="AD64" i="31"/>
  <c r="AD63" i="31"/>
  <c r="P63" i="31"/>
  <c r="G63" i="31"/>
  <c r="G65" i="31" s="1"/>
  <c r="AD62" i="31"/>
  <c r="AD61" i="31"/>
  <c r="AD60" i="31"/>
  <c r="P60" i="31"/>
  <c r="G60" i="31"/>
  <c r="AD59" i="31"/>
  <c r="AD58" i="31"/>
  <c r="AD57" i="31"/>
  <c r="P57" i="31"/>
  <c r="P58" i="31" s="1"/>
  <c r="J57" i="31"/>
  <c r="J58" i="31" s="1"/>
  <c r="AD56" i="31"/>
  <c r="AD55" i="31"/>
  <c r="AD54" i="31"/>
  <c r="P54" i="31"/>
  <c r="P55" i="31" s="1"/>
  <c r="G54" i="31"/>
  <c r="AD53" i="31"/>
  <c r="AD52" i="31"/>
  <c r="AD51" i="31"/>
  <c r="J51" i="31"/>
  <c r="J53" i="31" s="1"/>
  <c r="AD50" i="31"/>
  <c r="AD49" i="31"/>
  <c r="AD48" i="31"/>
  <c r="P48" i="31"/>
  <c r="AD47" i="31"/>
  <c r="AD46" i="31"/>
  <c r="AD45" i="31"/>
  <c r="P45" i="31"/>
  <c r="G45" i="31"/>
  <c r="G46" i="31" s="1"/>
  <c r="AD44" i="31"/>
  <c r="AD43" i="31"/>
  <c r="AD42" i="31"/>
  <c r="P42" i="31"/>
  <c r="P43" i="31" s="1"/>
  <c r="J42" i="31"/>
  <c r="J43" i="31" s="1"/>
  <c r="H42" i="31"/>
  <c r="H43" i="31" s="1"/>
  <c r="AD41" i="31"/>
  <c r="AD40" i="31"/>
  <c r="AD39" i="31"/>
  <c r="P39" i="31"/>
  <c r="P40" i="31" s="1"/>
  <c r="J39" i="31"/>
  <c r="G39" i="31" s="1"/>
  <c r="G40" i="31" s="1"/>
  <c r="AD38" i="31"/>
  <c r="AD37" i="31"/>
  <c r="AD36" i="31"/>
  <c r="P36" i="31"/>
  <c r="J36" i="31"/>
  <c r="G36" i="31" s="1"/>
  <c r="G37" i="31" s="1"/>
  <c r="AD35" i="31"/>
  <c r="AD34" i="31"/>
  <c r="AD33" i="31"/>
  <c r="P33" i="31"/>
  <c r="P34" i="31" s="1"/>
  <c r="J33" i="31"/>
  <c r="G33" i="31" s="1"/>
  <c r="G34" i="31" s="1"/>
  <c r="H33" i="31"/>
  <c r="AD32" i="31"/>
  <c r="AD31" i="31"/>
  <c r="AD30" i="31"/>
  <c r="AB30" i="31"/>
  <c r="P30" i="31"/>
  <c r="AD29" i="31"/>
  <c r="AD28" i="31"/>
  <c r="AD27" i="31"/>
  <c r="P27" i="31"/>
  <c r="G27" i="31"/>
  <c r="AD26" i="31"/>
  <c r="AD25" i="31"/>
  <c r="AD24" i="31"/>
  <c r="P24" i="31"/>
  <c r="G24" i="31"/>
  <c r="AD23" i="31"/>
  <c r="AD22" i="31"/>
  <c r="AD21" i="31"/>
  <c r="P21" i="31"/>
  <c r="P22" i="31" s="1"/>
  <c r="AD20" i="31"/>
  <c r="AD19" i="31"/>
  <c r="AD18" i="31"/>
  <c r="P18" i="31"/>
  <c r="G18" i="31"/>
  <c r="G19" i="31" s="1"/>
  <c r="AD17" i="31"/>
  <c r="AD16" i="31"/>
  <c r="AD15" i="31"/>
  <c r="P15" i="31"/>
  <c r="L15" i="31"/>
  <c r="J15" i="31"/>
  <c r="G15" i="31" s="1"/>
  <c r="G16" i="31" s="1"/>
  <c r="AD14" i="31"/>
  <c r="AD13" i="31"/>
  <c r="AD12" i="31"/>
  <c r="P12" i="31"/>
  <c r="AD11" i="31"/>
  <c r="AD10" i="31"/>
  <c r="AD9" i="31"/>
  <c r="P9" i="31"/>
  <c r="AD8" i="31"/>
  <c r="AD7" i="31"/>
  <c r="AD6" i="31"/>
  <c r="P6" i="31"/>
  <c r="G6" i="31"/>
  <c r="P105" i="31"/>
  <c r="AD180" i="8"/>
  <c r="AD181" i="8"/>
  <c r="AD182" i="8"/>
  <c r="AD183" i="8"/>
  <c r="AD184" i="8"/>
  <c r="AD185" i="8"/>
  <c r="AD186" i="8"/>
  <c r="AD187" i="8"/>
  <c r="AD188" i="8"/>
  <c r="AD189" i="8"/>
  <c r="AD190" i="8"/>
  <c r="AD191" i="8"/>
  <c r="AD192" i="8"/>
  <c r="AD193" i="8"/>
  <c r="AD194" i="8"/>
  <c r="AD195" i="8"/>
  <c r="AD196" i="8"/>
  <c r="AD197" i="8"/>
  <c r="AD198" i="8"/>
  <c r="AD199" i="8"/>
  <c r="AD200" i="8"/>
  <c r="AD150" i="8"/>
  <c r="AD151" i="8"/>
  <c r="AD152" i="8"/>
  <c r="AD131" i="8"/>
  <c r="AD130" i="8"/>
  <c r="AD129" i="8"/>
  <c r="AD149" i="8"/>
  <c r="AD148" i="8"/>
  <c r="AD107" i="8"/>
  <c r="AD106" i="8"/>
  <c r="AD105" i="8"/>
  <c r="W124" i="38"/>
  <c r="P124" i="38" s="1"/>
  <c r="H116" i="39" s="1"/>
  <c r="Q172" i="38"/>
  <c r="I180" i="39" s="1"/>
  <c r="J175" i="38"/>
  <c r="E181" i="39" s="1"/>
  <c r="G187" i="38"/>
  <c r="C199" i="39" s="1"/>
  <c r="H193" i="38"/>
  <c r="U73" i="38"/>
  <c r="K34" i="39" s="1"/>
  <c r="G157" i="38"/>
  <c r="H160" i="38"/>
  <c r="D163" i="39" s="1"/>
  <c r="H163" i="38"/>
  <c r="D165" i="39" s="1"/>
  <c r="H169" i="38"/>
  <c r="D168" i="39" s="1"/>
  <c r="H130" i="38"/>
  <c r="D122" i="39" s="1"/>
  <c r="U133" i="38"/>
  <c r="K123" i="39" s="1"/>
  <c r="H139" i="38"/>
  <c r="D126" i="39" s="1"/>
  <c r="W145" i="38"/>
  <c r="L134" i="39" s="1"/>
  <c r="H184" i="38"/>
  <c r="D188" i="39" s="1"/>
  <c r="W190" i="38"/>
  <c r="L200" i="39" s="1"/>
  <c r="G181" i="38"/>
  <c r="C184" i="39" s="1"/>
  <c r="H166" i="38"/>
  <c r="D167" i="39" s="1"/>
  <c r="H154" i="38"/>
  <c r="D146" i="39" s="1"/>
  <c r="G151" i="38"/>
  <c r="C141" i="39" s="1"/>
  <c r="H148" i="38"/>
  <c r="D137" i="39" s="1"/>
  <c r="Q112" i="38"/>
  <c r="I86" i="39" s="1"/>
  <c r="H106" i="38"/>
  <c r="D79" i="39" s="1"/>
  <c r="H109" i="38"/>
  <c r="D80" i="39" s="1"/>
  <c r="H103" i="38"/>
  <c r="D77" i="39" s="1"/>
  <c r="U100" i="38"/>
  <c r="P100" i="38" s="1"/>
  <c r="H60" i="39" s="1"/>
  <c r="Q94" i="38"/>
  <c r="I56" i="39" s="1"/>
  <c r="G91" i="38"/>
  <c r="C53" i="39" s="1"/>
  <c r="J88" i="38"/>
  <c r="E50" i="39" s="1"/>
  <c r="L82" i="38"/>
  <c r="F48" i="39" s="1"/>
  <c r="W79" i="38"/>
  <c r="L37" i="39" s="1"/>
  <c r="H76" i="38"/>
  <c r="D35" i="39" s="1"/>
  <c r="U67" i="38"/>
  <c r="K29" i="39" s="1"/>
  <c r="U64" i="38"/>
  <c r="K28" i="39" s="1"/>
  <c r="L61" i="38"/>
  <c r="F27" i="39" s="1"/>
  <c r="W58" i="38"/>
  <c r="L26" i="39" s="1"/>
  <c r="Q52" i="38"/>
  <c r="I24" i="39" s="1"/>
  <c r="H46" i="38"/>
  <c r="D22" i="39" s="1"/>
  <c r="L43" i="38"/>
  <c r="F21" i="39" s="1"/>
  <c r="L40" i="38"/>
  <c r="F20" i="39" s="1"/>
  <c r="H13" i="38"/>
  <c r="D10" i="39" s="1"/>
  <c r="G13" i="31"/>
  <c r="L37" i="38"/>
  <c r="F18" i="39" s="1"/>
  <c r="L34" i="38"/>
  <c r="F17" i="39" s="1"/>
  <c r="L25" i="38"/>
  <c r="F14" i="39" s="1"/>
  <c r="J16" i="38"/>
  <c r="E11" i="39" s="1"/>
  <c r="U10" i="38"/>
  <c r="K9" i="39" s="1"/>
  <c r="O141" i="39"/>
  <c r="L110" i="38"/>
  <c r="R80" i="39" s="1"/>
  <c r="H58" i="38"/>
  <c r="D26" i="39" s="1"/>
  <c r="U58" i="38"/>
  <c r="K26" i="39" s="1"/>
  <c r="H121" i="38"/>
  <c r="D108" i="39" s="1"/>
  <c r="L11" i="38"/>
  <c r="R9" i="39" s="1"/>
  <c r="J14" i="38"/>
  <c r="Q10" i="39" s="1"/>
  <c r="W50" i="38"/>
  <c r="X23" i="39" s="1"/>
  <c r="L50" i="38"/>
  <c r="R23" i="39" s="1"/>
  <c r="Q62" i="38"/>
  <c r="P62" i="38" s="1"/>
  <c r="T27" i="39" s="1"/>
  <c r="G104" i="38"/>
  <c r="O77" i="39" s="1"/>
  <c r="L191" i="38"/>
  <c r="R200" i="39" s="1"/>
  <c r="Q86" i="38"/>
  <c r="U49" i="39" s="1"/>
  <c r="Q179" i="38"/>
  <c r="U55" i="38"/>
  <c r="K25" i="39" s="1"/>
  <c r="L67" i="38"/>
  <c r="F29" i="39" s="1"/>
  <c r="L94" i="38"/>
  <c r="F56" i="39" s="1"/>
  <c r="G118" i="38"/>
  <c r="C101" i="39" s="1"/>
  <c r="U22" i="38"/>
  <c r="K13" i="39" s="1"/>
  <c r="U85" i="38"/>
  <c r="H128" i="38"/>
  <c r="P118" i="39" s="1"/>
  <c r="U76" i="38"/>
  <c r="K35" i="39" s="1"/>
  <c r="H112" i="38"/>
  <c r="D86" i="39" s="1"/>
  <c r="H181" i="38"/>
  <c r="D184" i="39" s="1"/>
  <c r="L169" i="38"/>
  <c r="F168" i="39" s="1"/>
  <c r="J169" i="38"/>
  <c r="E168" i="39" s="1"/>
  <c r="J20" i="38"/>
  <c r="Q12" i="39" s="1"/>
  <c r="J83" i="38"/>
  <c r="Q48" i="39" s="1"/>
  <c r="H107" i="38"/>
  <c r="P79" i="39" s="1"/>
  <c r="J71" i="38"/>
  <c r="Q32" i="39" s="1"/>
  <c r="Q71" i="38"/>
  <c r="U32" i="39" s="1"/>
  <c r="U71" i="38"/>
  <c r="W32" i="39" s="1"/>
  <c r="L71" i="38"/>
  <c r="R32" i="39" s="1"/>
  <c r="H71" i="38"/>
  <c r="P32" i="39" s="1"/>
  <c r="G164" i="38"/>
  <c r="O165" i="39" s="1"/>
  <c r="Q164" i="38"/>
  <c r="H164" i="38"/>
  <c r="P165" i="39" s="1"/>
  <c r="J164" i="38"/>
  <c r="Q165" i="39" s="1"/>
  <c r="L131" i="38"/>
  <c r="R122" i="39" s="1"/>
  <c r="U131" i="38"/>
  <c r="H131" i="38"/>
  <c r="P122" i="39" s="1"/>
  <c r="J131" i="38"/>
  <c r="Q122" i="39" s="1"/>
  <c r="Q98" i="38"/>
  <c r="U57" i="39" s="1"/>
  <c r="H98" i="38"/>
  <c r="P57" i="39" s="1"/>
  <c r="U98" i="38"/>
  <c r="J98" i="38"/>
  <c r="Q57" i="39" s="1"/>
  <c r="G98" i="38"/>
  <c r="O57" i="39" s="1"/>
  <c r="H176" i="38"/>
  <c r="P181" i="39" s="1"/>
  <c r="U70" i="38"/>
  <c r="K32" i="39" s="1"/>
  <c r="G193" i="38"/>
  <c r="Q178" i="38"/>
  <c r="J17" i="38"/>
  <c r="Q11" i="39" s="1"/>
  <c r="H32" i="38"/>
  <c r="P16" i="39" s="1"/>
  <c r="J74" i="38"/>
  <c r="Q34" i="39" s="1"/>
  <c r="U46" i="38"/>
  <c r="K22" i="39" s="1"/>
  <c r="H100" i="38"/>
  <c r="D60" i="39" s="1"/>
  <c r="Q34" i="38"/>
  <c r="I17" i="39" s="1"/>
  <c r="J133" i="38"/>
  <c r="E123" i="39" s="1"/>
  <c r="Q133" i="38"/>
  <c r="G133" i="38"/>
  <c r="C123" i="39" s="1"/>
  <c r="H157" i="38"/>
  <c r="D161" i="39" s="1"/>
  <c r="C161" i="39"/>
  <c r="P8" i="38"/>
  <c r="T8" i="39" s="1"/>
  <c r="L38" i="38"/>
  <c r="R18" i="39" s="1"/>
  <c r="H38" i="38"/>
  <c r="P18" i="39" s="1"/>
  <c r="W47" i="38"/>
  <c r="X22" i="39" s="1"/>
  <c r="L59" i="38"/>
  <c r="R26" i="39" s="1"/>
  <c r="H89" i="38"/>
  <c r="P50" i="39" s="1"/>
  <c r="J89" i="38"/>
  <c r="Q50" i="39" s="1"/>
  <c r="Q113" i="38"/>
  <c r="P113" i="38" s="1"/>
  <c r="T86" i="39" s="1"/>
  <c r="H113" i="38"/>
  <c r="P86" i="39" s="1"/>
  <c r="G182" i="38"/>
  <c r="O184" i="39" s="1"/>
  <c r="J122" i="38"/>
  <c r="Q108" i="39" s="1"/>
  <c r="G122" i="38"/>
  <c r="O108" i="39" s="1"/>
  <c r="H158" i="38"/>
  <c r="P161" i="39" s="1"/>
  <c r="H134" i="38"/>
  <c r="P123" i="39" s="1"/>
  <c r="H173" i="38"/>
  <c r="P180" i="39" s="1"/>
  <c r="H7" i="38"/>
  <c r="D8" i="39" s="1"/>
  <c r="P7" i="38"/>
  <c r="H31" i="38"/>
  <c r="D16" i="39" s="1"/>
  <c r="L31" i="38"/>
  <c r="F16" i="39" s="1"/>
  <c r="U109" i="38"/>
  <c r="K80" i="39" s="1"/>
  <c r="Q109" i="38"/>
  <c r="I80" i="39" s="1"/>
  <c r="G109" i="38"/>
  <c r="C80" i="39" s="1"/>
  <c r="J166" i="38"/>
  <c r="E167" i="39" s="1"/>
  <c r="U25" i="38"/>
  <c r="K14" i="39" s="1"/>
  <c r="L10" i="38"/>
  <c r="F9" i="39" s="1"/>
  <c r="J10" i="38"/>
  <c r="E9" i="39" s="1"/>
  <c r="Q145" i="38"/>
  <c r="H127" i="38"/>
  <c r="D118" i="39" s="1"/>
  <c r="Q160" i="38"/>
  <c r="I163" i="39" s="1"/>
  <c r="J124" i="38"/>
  <c r="E116" i="39" s="1"/>
  <c r="D3" i="9"/>
  <c r="P34" i="9"/>
  <c r="G160" i="31"/>
  <c r="U40" i="31"/>
  <c r="L40" i="31"/>
  <c r="H40" i="31"/>
  <c r="G101" i="31"/>
  <c r="U82" i="31"/>
  <c r="L82" i="31"/>
  <c r="J82" i="31"/>
  <c r="H82" i="31"/>
  <c r="G82" i="31"/>
  <c r="H58" i="31"/>
  <c r="G58" i="31"/>
  <c r="L58" i="31"/>
  <c r="W58" i="31"/>
  <c r="U58" i="31"/>
  <c r="Q58" i="31"/>
  <c r="U19" i="31"/>
  <c r="Q19" i="31"/>
  <c r="J19" i="31"/>
  <c r="H19" i="31"/>
  <c r="Q181" i="31"/>
  <c r="P181" i="31" s="1"/>
  <c r="J181" i="31"/>
  <c r="H181" i="31"/>
  <c r="G181" i="31"/>
  <c r="G77" i="31"/>
  <c r="J167" i="31"/>
  <c r="G182" i="31"/>
  <c r="L112" i="31"/>
  <c r="J112" i="31"/>
  <c r="H112" i="31"/>
  <c r="G112" i="31"/>
  <c r="Q112" i="31"/>
  <c r="P112" i="31" s="1"/>
  <c r="J73" i="31"/>
  <c r="H73" i="31"/>
  <c r="U73" i="31"/>
  <c r="Q73" i="31"/>
  <c r="H50" i="31"/>
  <c r="W50" i="31"/>
  <c r="L50" i="31"/>
  <c r="J29" i="31"/>
  <c r="G29" i="31"/>
  <c r="G88" i="31"/>
  <c r="U88" i="31"/>
  <c r="Q88" i="31"/>
  <c r="H115" i="31"/>
  <c r="G115" i="31"/>
  <c r="U115" i="31"/>
  <c r="P115" i="31" s="1"/>
  <c r="Q127" i="31"/>
  <c r="P127" i="31" s="1"/>
  <c r="J127" i="31"/>
  <c r="H127" i="31"/>
  <c r="G127" i="31"/>
  <c r="L178" i="31"/>
  <c r="H178" i="31"/>
  <c r="G178" i="31"/>
  <c r="L83" i="31"/>
  <c r="G110" i="31"/>
  <c r="G161" i="31"/>
  <c r="J173" i="31"/>
  <c r="H173" i="31"/>
  <c r="G173" i="31"/>
  <c r="J98" i="31"/>
  <c r="H98" i="31"/>
  <c r="U98" i="31"/>
  <c r="Q98" i="31"/>
  <c r="G98" i="31"/>
  <c r="Q61" i="31"/>
  <c r="P61" i="31" s="1"/>
  <c r="L61" i="31"/>
  <c r="J61" i="31"/>
  <c r="H61" i="31"/>
  <c r="Q91" i="31"/>
  <c r="P91" i="31" s="1"/>
  <c r="J91" i="31"/>
  <c r="H91" i="31"/>
  <c r="J163" i="31"/>
  <c r="H163" i="31"/>
  <c r="G163" i="31"/>
  <c r="U193" i="31"/>
  <c r="P193" i="31" s="1"/>
  <c r="L193" i="31"/>
  <c r="H193" i="31"/>
  <c r="J193" i="31"/>
  <c r="U16" i="31"/>
  <c r="Q16" i="31"/>
  <c r="H16" i="31"/>
  <c r="L16" i="31"/>
  <c r="U97" i="31"/>
  <c r="Q97" i="31"/>
  <c r="J97" i="31"/>
  <c r="H97" i="31"/>
  <c r="H172" i="31"/>
  <c r="J172" i="31"/>
  <c r="G172" i="31"/>
  <c r="J124" i="31"/>
  <c r="H124" i="31"/>
  <c r="U124" i="31"/>
  <c r="P124" i="31" s="1"/>
  <c r="U52" i="31"/>
  <c r="Q52" i="31"/>
  <c r="P52" i="31"/>
  <c r="H52" i="31"/>
  <c r="J52" i="31"/>
  <c r="L136" i="31"/>
  <c r="H136" i="31"/>
  <c r="J136" i="31"/>
  <c r="U133" i="31"/>
  <c r="P133" i="31" s="1"/>
  <c r="J133" i="31"/>
  <c r="H200" i="31"/>
  <c r="H109" i="31"/>
  <c r="G109" i="31"/>
  <c r="W109" i="31"/>
  <c r="P109" i="31" s="1"/>
  <c r="L109" i="31"/>
  <c r="J109" i="31"/>
  <c r="L38" i="31"/>
  <c r="H128" i="31"/>
  <c r="G128" i="31"/>
  <c r="W64" i="31"/>
  <c r="U64" i="31"/>
  <c r="P64" i="31" s="1"/>
  <c r="L64" i="31"/>
  <c r="J64" i="31"/>
  <c r="H64" i="31"/>
  <c r="W175" i="31"/>
  <c r="U175" i="31"/>
  <c r="J175" i="31"/>
  <c r="H175" i="31"/>
  <c r="G10" i="31"/>
  <c r="U10" i="31"/>
  <c r="Q10" i="31"/>
  <c r="J10" i="31"/>
  <c r="L10" i="31"/>
  <c r="H10" i="31"/>
  <c r="J143" i="31"/>
  <c r="Q143" i="31"/>
  <c r="H107" i="31"/>
  <c r="H59" i="31"/>
  <c r="H116" i="31"/>
  <c r="J179" i="31"/>
  <c r="Q7" i="31"/>
  <c r="P7" i="31"/>
  <c r="J7" i="31"/>
  <c r="G7" i="31"/>
  <c r="Q169" i="31"/>
  <c r="P169" i="31" s="1"/>
  <c r="G169" i="31"/>
  <c r="H11" i="31"/>
  <c r="L62" i="31"/>
  <c r="H188" i="31"/>
  <c r="J104" i="31"/>
  <c r="H104" i="31"/>
  <c r="W43" i="31"/>
  <c r="Q43" i="31"/>
  <c r="L43" i="31"/>
  <c r="W67" i="31"/>
  <c r="U67" i="31"/>
  <c r="P67" i="31"/>
  <c r="Q67" i="31"/>
  <c r="L67" i="31"/>
  <c r="H67" i="31"/>
  <c r="G67" i="31"/>
  <c r="J67" i="31"/>
  <c r="U94" i="31"/>
  <c r="P94" i="31" s="1"/>
  <c r="L94" i="31"/>
  <c r="H94" i="31"/>
  <c r="G94" i="31"/>
  <c r="J94" i="31"/>
  <c r="W121" i="31"/>
  <c r="Q121" i="31"/>
  <c r="G121" i="31"/>
  <c r="Q37" i="31"/>
  <c r="L37" i="31"/>
  <c r="H37" i="31"/>
  <c r="U37" i="31"/>
  <c r="H148" i="31"/>
  <c r="G148" i="31"/>
  <c r="U148" i="31"/>
  <c r="Q148" i="31"/>
  <c r="J148" i="31"/>
  <c r="H118" i="31"/>
  <c r="G118" i="31"/>
  <c r="J130" i="31"/>
  <c r="H130" i="31"/>
  <c r="U130" i="31"/>
  <c r="P130" i="31" s="1"/>
  <c r="G130" i="31"/>
  <c r="W47" i="31"/>
  <c r="G191" i="31"/>
  <c r="U157" i="31"/>
  <c r="H157" i="31"/>
  <c r="Q157" i="31"/>
  <c r="J157" i="31"/>
  <c r="H80" i="31"/>
  <c r="U125" i="31"/>
  <c r="P125" i="31" s="1"/>
  <c r="W55" i="31"/>
  <c r="Q55" i="31"/>
  <c r="L55" i="31"/>
  <c r="J55" i="31"/>
  <c r="H55" i="31"/>
  <c r="G55" i="31"/>
  <c r="U22" i="31"/>
  <c r="Q22" i="31"/>
  <c r="L22" i="31"/>
  <c r="J22" i="31"/>
  <c r="H22" i="31"/>
  <c r="G22" i="31"/>
  <c r="G184" i="31"/>
  <c r="Q184" i="31"/>
  <c r="P184" i="31" s="1"/>
  <c r="H184" i="31"/>
  <c r="J184" i="31"/>
  <c r="U151" i="31"/>
  <c r="P151" i="31" s="1"/>
  <c r="J151" i="31"/>
  <c r="H151" i="31"/>
  <c r="G151" i="31"/>
  <c r="J158" i="31"/>
  <c r="Q8" i="31"/>
  <c r="G8" i="31"/>
  <c r="H31" i="31"/>
  <c r="G31" i="31"/>
  <c r="W31" i="31"/>
  <c r="U31" i="31"/>
  <c r="Q31" i="31"/>
  <c r="J31" i="31"/>
  <c r="U13" i="31"/>
  <c r="Q13" i="31"/>
  <c r="J13" i="31"/>
  <c r="H13" i="31"/>
  <c r="W154" i="31"/>
  <c r="U154" i="31"/>
  <c r="Q154" i="31"/>
  <c r="G154" i="31"/>
  <c r="L17" i="31"/>
  <c r="W65" i="31"/>
  <c r="U65" i="31"/>
  <c r="H65" i="31"/>
  <c r="U74" i="31"/>
  <c r="L46" i="31"/>
  <c r="J46" i="31"/>
  <c r="H46" i="31"/>
  <c r="W46" i="31"/>
  <c r="U46" i="31"/>
  <c r="L76" i="31"/>
  <c r="G76" i="31"/>
  <c r="H76" i="31"/>
  <c r="U76" i="31"/>
  <c r="Q76" i="31"/>
  <c r="J100" i="31"/>
  <c r="H100" i="31"/>
  <c r="G100" i="31"/>
  <c r="U100" i="31"/>
  <c r="P100" i="31" s="1"/>
  <c r="H190" i="31"/>
  <c r="G190" i="31"/>
  <c r="U34" i="31"/>
  <c r="Q34" i="31"/>
  <c r="L34" i="31"/>
  <c r="H34" i="31"/>
  <c r="H142" i="31"/>
  <c r="G142" i="31"/>
  <c r="U142" i="31"/>
  <c r="W142" i="31"/>
  <c r="J142" i="31"/>
  <c r="Q142" i="31"/>
  <c r="J166" i="31"/>
  <c r="H166" i="31"/>
  <c r="G166" i="31"/>
  <c r="Q166" i="31"/>
  <c r="P166" i="31" s="1"/>
  <c r="Q85" i="31"/>
  <c r="U85" i="31"/>
  <c r="H85" i="31"/>
  <c r="G85" i="31"/>
  <c r="Q196" i="31"/>
  <c r="P196" i="31" s="1"/>
  <c r="J196" i="31"/>
  <c r="H196" i="31"/>
  <c r="G196" i="31"/>
  <c r="Q20" i="31"/>
  <c r="U20" i="31"/>
  <c r="G20" i="31"/>
  <c r="W44" i="31"/>
  <c r="L71" i="31"/>
  <c r="J71" i="31"/>
  <c r="H71" i="31"/>
  <c r="U71" i="31"/>
  <c r="P71" i="31" s="1"/>
  <c r="J140" i="31"/>
  <c r="G140" i="31"/>
  <c r="U140" i="31"/>
  <c r="P140" i="31" s="1"/>
  <c r="L140" i="31"/>
  <c r="H197" i="31"/>
  <c r="G152" i="31"/>
  <c r="H49" i="31"/>
  <c r="G49" i="31"/>
  <c r="W49" i="31"/>
  <c r="U49" i="31"/>
  <c r="Q49" i="31"/>
  <c r="L49" i="31"/>
  <c r="J49" i="31"/>
  <c r="P49" i="31"/>
  <c r="J79" i="31"/>
  <c r="H79" i="31"/>
  <c r="W79" i="31"/>
  <c r="U79" i="31"/>
  <c r="L79" i="31"/>
  <c r="G79" i="31"/>
  <c r="Q79" i="31"/>
  <c r="L106" i="31"/>
  <c r="J106" i="31"/>
  <c r="H106" i="31"/>
  <c r="Q106" i="31"/>
  <c r="G106" i="31"/>
  <c r="W106" i="31"/>
  <c r="W145" i="31"/>
  <c r="H145" i="31"/>
  <c r="U145" i="31"/>
  <c r="H199" i="31"/>
  <c r="Q199" i="31"/>
  <c r="W199" i="31"/>
  <c r="L199" i="31"/>
  <c r="P199" i="31"/>
  <c r="H28" i="31"/>
  <c r="W28" i="31"/>
  <c r="U28" i="31"/>
  <c r="L28" i="31"/>
  <c r="J28" i="31"/>
  <c r="G28" i="31"/>
  <c r="P28" i="31"/>
  <c r="G139" i="31"/>
  <c r="U139" i="31"/>
  <c r="P139" i="31" s="1"/>
  <c r="L139" i="31"/>
  <c r="J139" i="31"/>
  <c r="H139" i="31"/>
  <c r="J70" i="31"/>
  <c r="H70" i="31"/>
  <c r="U70" i="31"/>
  <c r="P70" i="31" s="1"/>
  <c r="L70" i="31"/>
  <c r="H202" i="31"/>
  <c r="Q202" i="31"/>
  <c r="P202" i="31" s="1"/>
  <c r="J202" i="31"/>
  <c r="G202" i="31"/>
  <c r="H187" i="31"/>
  <c r="G187" i="31"/>
  <c r="U187" i="31"/>
  <c r="Q187" i="31"/>
  <c r="P187" i="31" s="1"/>
  <c r="U103" i="31"/>
  <c r="P103" i="31" s="1"/>
  <c r="H103" i="31"/>
  <c r="J103" i="31"/>
  <c r="G103" i="31"/>
  <c r="W57" i="39"/>
  <c r="K60" i="39"/>
  <c r="N32" i="27"/>
  <c r="AD173" i="24"/>
  <c r="AD172" i="24"/>
  <c r="AD171" i="24"/>
  <c r="AD170" i="24"/>
  <c r="AD169" i="24"/>
  <c r="AD168" i="24"/>
  <c r="P168" i="24"/>
  <c r="G168" i="24"/>
  <c r="G169" i="24" s="1"/>
  <c r="AD167" i="24"/>
  <c r="AD166" i="24"/>
  <c r="AD165" i="24"/>
  <c r="J165" i="24"/>
  <c r="J166" i="24" s="1"/>
  <c r="AD164" i="24"/>
  <c r="AD163" i="24"/>
  <c r="AD162" i="24"/>
  <c r="J162" i="24"/>
  <c r="J163" i="24" s="1"/>
  <c r="G162" i="24"/>
  <c r="G163" i="24" s="1"/>
  <c r="AD161" i="24"/>
  <c r="AD160" i="24"/>
  <c r="AD159" i="24"/>
  <c r="P159" i="24"/>
  <c r="G159" i="24"/>
  <c r="AD158" i="24"/>
  <c r="AD157" i="24"/>
  <c r="AD156" i="24"/>
  <c r="P156" i="24"/>
  <c r="AD155" i="24"/>
  <c r="AD154" i="24"/>
  <c r="AD153" i="24"/>
  <c r="P153" i="24"/>
  <c r="H153" i="24"/>
  <c r="J153" i="24" s="1"/>
  <c r="AD152" i="24"/>
  <c r="AD151" i="24"/>
  <c r="AD150" i="24"/>
  <c r="P150" i="24"/>
  <c r="G150" i="24"/>
  <c r="G151" i="24" s="1"/>
  <c r="AD149" i="24"/>
  <c r="AD148" i="24"/>
  <c r="AD147" i="24"/>
  <c r="AD146" i="24"/>
  <c r="AD145" i="24"/>
  <c r="AD144" i="24"/>
  <c r="AD143" i="24"/>
  <c r="AD142" i="24"/>
  <c r="AD141" i="24"/>
  <c r="Q141" i="24"/>
  <c r="Q142" i="24" s="1"/>
  <c r="L141" i="24"/>
  <c r="J141" i="24"/>
  <c r="G141" i="24" s="1"/>
  <c r="G142" i="24" s="1"/>
  <c r="AD140" i="24"/>
  <c r="AD139" i="24"/>
  <c r="AD138" i="24"/>
  <c r="P138" i="24"/>
  <c r="AD137" i="24"/>
  <c r="AD136" i="24"/>
  <c r="AD135" i="24"/>
  <c r="P135" i="24"/>
  <c r="J135" i="24"/>
  <c r="J137" i="24" s="1"/>
  <c r="AD134" i="24"/>
  <c r="AD133" i="24"/>
  <c r="AD132" i="24"/>
  <c r="W132" i="24"/>
  <c r="W133" i="24" s="1"/>
  <c r="U132" i="24"/>
  <c r="U133" i="24" s="1"/>
  <c r="J132" i="24"/>
  <c r="G132" i="24"/>
  <c r="G133" i="24" s="1"/>
  <c r="AD131" i="24"/>
  <c r="AD130" i="24"/>
  <c r="AD129" i="24"/>
  <c r="Q129" i="24"/>
  <c r="P129" i="24"/>
  <c r="J129" i="24"/>
  <c r="J131" i="24" s="1"/>
  <c r="AD128" i="24"/>
  <c r="AD127" i="24"/>
  <c r="AD126" i="24"/>
  <c r="P126" i="24"/>
  <c r="H126" i="24"/>
  <c r="J126" i="24"/>
  <c r="J127" i="24" s="1"/>
  <c r="AD125" i="24"/>
  <c r="AD124" i="24"/>
  <c r="AD123" i="24"/>
  <c r="J123" i="24"/>
  <c r="AD122" i="24"/>
  <c r="AD121" i="24"/>
  <c r="AD120" i="24"/>
  <c r="Q120" i="24"/>
  <c r="P120" i="24" s="1"/>
  <c r="G120" i="24"/>
  <c r="G121" i="24" s="1"/>
  <c r="AD119" i="24"/>
  <c r="AD118" i="24"/>
  <c r="AD117" i="24"/>
  <c r="P117" i="24"/>
  <c r="AD116" i="24"/>
  <c r="AD115" i="24"/>
  <c r="AD114" i="24"/>
  <c r="P114" i="24"/>
  <c r="J114" i="24"/>
  <c r="J115" i="24" s="1"/>
  <c r="AD113" i="24"/>
  <c r="AD112" i="24"/>
  <c r="AD111" i="24"/>
  <c r="P111" i="24"/>
  <c r="J111" i="24"/>
  <c r="J113" i="24" s="1"/>
  <c r="AD110" i="24"/>
  <c r="AD109" i="24"/>
  <c r="AD108" i="24"/>
  <c r="P108" i="24"/>
  <c r="G108" i="24"/>
  <c r="G110" i="24" s="1"/>
  <c r="AD107" i="24"/>
  <c r="AD106" i="24"/>
  <c r="AD105" i="24"/>
  <c r="P105" i="24"/>
  <c r="J105" i="24"/>
  <c r="J106" i="24" s="1"/>
  <c r="AD104" i="24"/>
  <c r="AD103" i="24"/>
  <c r="AD102" i="24"/>
  <c r="W102" i="24"/>
  <c r="Q102" i="24"/>
  <c r="G102" i="24"/>
  <c r="G103" i="24" s="1"/>
  <c r="AD101" i="24"/>
  <c r="AD100" i="24"/>
  <c r="AD99" i="24"/>
  <c r="P99" i="24"/>
  <c r="AD98" i="24"/>
  <c r="AD97" i="24"/>
  <c r="AD96" i="24"/>
  <c r="P96" i="24"/>
  <c r="G96" i="24"/>
  <c r="G97" i="24" s="1"/>
  <c r="AD95" i="24"/>
  <c r="AD94" i="24"/>
  <c r="AD93" i="24"/>
  <c r="P93" i="24"/>
  <c r="L93" i="24"/>
  <c r="L94" i="24" s="1"/>
  <c r="AD92" i="24"/>
  <c r="AD91" i="24"/>
  <c r="AD90" i="24"/>
  <c r="P90" i="24"/>
  <c r="G90" i="24"/>
  <c r="G92" i="24" s="1"/>
  <c r="AD89" i="24"/>
  <c r="U89" i="24"/>
  <c r="Q89" i="24"/>
  <c r="G89" i="24"/>
  <c r="AD88" i="24"/>
  <c r="AD87" i="24"/>
  <c r="P87" i="24"/>
  <c r="AD86" i="24"/>
  <c r="AD85" i="24"/>
  <c r="AD84" i="24"/>
  <c r="P84" i="24"/>
  <c r="J84" i="24"/>
  <c r="J85" i="24" s="1"/>
  <c r="AD83" i="24"/>
  <c r="AD82" i="24"/>
  <c r="AD81" i="24"/>
  <c r="P81" i="24"/>
  <c r="P82" i="24" s="1"/>
  <c r="G81" i="24"/>
  <c r="AD80" i="24"/>
  <c r="AD79" i="24"/>
  <c r="AD78" i="24"/>
  <c r="Q78" i="24"/>
  <c r="Q80" i="24" s="1"/>
  <c r="G78" i="24"/>
  <c r="G80" i="24" s="1"/>
  <c r="AD77" i="24"/>
  <c r="AD76" i="24"/>
  <c r="AD75" i="24"/>
  <c r="Q75" i="24"/>
  <c r="P75" i="24" s="1"/>
  <c r="L75" i="24"/>
  <c r="L76" i="24" s="1"/>
  <c r="AD74" i="24"/>
  <c r="AD73" i="24"/>
  <c r="AD72" i="24"/>
  <c r="P72" i="24"/>
  <c r="G72" i="24"/>
  <c r="G74" i="24" s="1"/>
  <c r="AD71" i="24"/>
  <c r="AD70" i="24"/>
  <c r="AD69" i="24"/>
  <c r="P69" i="24"/>
  <c r="AD68" i="24"/>
  <c r="AD67" i="24"/>
  <c r="AD66" i="24"/>
  <c r="P66" i="24"/>
  <c r="G66" i="24"/>
  <c r="G67" i="24" s="1"/>
  <c r="AD65" i="24"/>
  <c r="AD64" i="24"/>
  <c r="AD63" i="24"/>
  <c r="P63" i="24"/>
  <c r="G63" i="24"/>
  <c r="G64" i="24" s="1"/>
  <c r="AD62" i="24"/>
  <c r="AD61" i="24"/>
  <c r="AD60" i="24"/>
  <c r="P60" i="24"/>
  <c r="AD59" i="24"/>
  <c r="AD58" i="24"/>
  <c r="AD57" i="24"/>
  <c r="P57" i="24"/>
  <c r="P58" i="24" s="1"/>
  <c r="AD56" i="24"/>
  <c r="AD55" i="24"/>
  <c r="AD54" i="24"/>
  <c r="P54" i="24"/>
  <c r="P56" i="24" s="1"/>
  <c r="G54" i="24"/>
  <c r="G55" i="24" s="1"/>
  <c r="AD53" i="24"/>
  <c r="AD52" i="24"/>
  <c r="AD51" i="24"/>
  <c r="J51" i="24"/>
  <c r="J53" i="24" s="1"/>
  <c r="AD50" i="24"/>
  <c r="AD49" i="24"/>
  <c r="AD48" i="24"/>
  <c r="P48" i="24"/>
  <c r="J48" i="24"/>
  <c r="J49" i="24" s="1"/>
  <c r="AD47" i="24"/>
  <c r="AD46" i="24"/>
  <c r="AD45" i="24"/>
  <c r="Q45" i="24"/>
  <c r="P45" i="24" s="1"/>
  <c r="G45" i="24"/>
  <c r="G46" i="24" s="1"/>
  <c r="AD44" i="24"/>
  <c r="AD43" i="24"/>
  <c r="AD42" i="24"/>
  <c r="P42" i="24"/>
  <c r="P43" i="24" s="1"/>
  <c r="J42" i="24"/>
  <c r="J44" i="24" s="1"/>
  <c r="H42" i="24"/>
  <c r="AD41" i="24"/>
  <c r="AD40" i="24"/>
  <c r="U40" i="24"/>
  <c r="L40" i="24"/>
  <c r="H40" i="24"/>
  <c r="AD39" i="24"/>
  <c r="P39" i="24"/>
  <c r="P40" i="24" s="1"/>
  <c r="G39" i="24"/>
  <c r="G40" i="24" s="1"/>
  <c r="AD38" i="24"/>
  <c r="AD37" i="24"/>
  <c r="AD36" i="24"/>
  <c r="P36" i="24"/>
  <c r="J36" i="24"/>
  <c r="J37" i="24" s="1"/>
  <c r="AD35" i="24"/>
  <c r="AD34" i="24"/>
  <c r="AD33" i="24"/>
  <c r="P33" i="24"/>
  <c r="P34" i="24" s="1"/>
  <c r="J33" i="24"/>
  <c r="AD32" i="24"/>
  <c r="AD31" i="24"/>
  <c r="AD30" i="24"/>
  <c r="AB30" i="24"/>
  <c r="P30" i="24"/>
  <c r="AD29" i="24"/>
  <c r="AD28" i="24"/>
  <c r="AD27" i="24"/>
  <c r="P27" i="24"/>
  <c r="G27" i="24"/>
  <c r="AD26" i="24"/>
  <c r="AD25" i="24"/>
  <c r="AD24" i="24"/>
  <c r="P24" i="24"/>
  <c r="G24" i="24"/>
  <c r="AD23" i="24"/>
  <c r="AD22" i="24"/>
  <c r="AD21" i="24"/>
  <c r="P21" i="24"/>
  <c r="AD20" i="24"/>
  <c r="AD19" i="24"/>
  <c r="AD18" i="24"/>
  <c r="P18" i="24"/>
  <c r="G18" i="24"/>
  <c r="G20" i="24" s="1"/>
  <c r="AD17" i="24"/>
  <c r="AD16" i="24"/>
  <c r="AD15" i="24"/>
  <c r="P15" i="24"/>
  <c r="AD14" i="24"/>
  <c r="AD13" i="24"/>
  <c r="AD12" i="24"/>
  <c r="P12" i="24"/>
  <c r="AD11" i="24"/>
  <c r="AD10" i="24"/>
  <c r="AD9" i="24"/>
  <c r="P9" i="24"/>
  <c r="G9" i="24"/>
  <c r="G10" i="24" s="1"/>
  <c r="AD8" i="24"/>
  <c r="AD7" i="24"/>
  <c r="AD6" i="24"/>
  <c r="P6" i="24"/>
  <c r="P102" i="24"/>
  <c r="G123" i="24"/>
  <c r="G124" i="24" s="1"/>
  <c r="E24" i="19"/>
  <c r="C24" i="19"/>
  <c r="K23" i="19"/>
  <c r="K22" i="19"/>
  <c r="K21" i="19"/>
  <c r="E20" i="19"/>
  <c r="K19" i="19"/>
  <c r="H19" i="19"/>
  <c r="E19" i="19"/>
  <c r="D19" i="19"/>
  <c r="K18" i="19"/>
  <c r="K17" i="19"/>
  <c r="K16" i="19"/>
  <c r="J16" i="19"/>
  <c r="I16" i="19"/>
  <c r="H16" i="19"/>
  <c r="E16" i="19"/>
  <c r="C16" i="19"/>
  <c r="K15" i="19"/>
  <c r="I15" i="19"/>
  <c r="C15" i="19"/>
  <c r="K14" i="19"/>
  <c r="C14" i="19"/>
  <c r="K13" i="19"/>
  <c r="K12" i="19"/>
  <c r="H12" i="19"/>
  <c r="E12" i="19"/>
  <c r="K11" i="19"/>
  <c r="I11" i="19"/>
  <c r="H11" i="19"/>
  <c r="K10" i="19"/>
  <c r="H10" i="19"/>
  <c r="K9" i="19"/>
  <c r="K8" i="19"/>
  <c r="H7" i="19"/>
  <c r="K6" i="19"/>
  <c r="E6" i="19"/>
  <c r="D6" i="19"/>
  <c r="C6" i="19"/>
  <c r="K4" i="19"/>
  <c r="AD179" i="8"/>
  <c r="AD178" i="8"/>
  <c r="AD177" i="8"/>
  <c r="AD176" i="8"/>
  <c r="AD175" i="8"/>
  <c r="AD174" i="8"/>
  <c r="AD173" i="8"/>
  <c r="AD172" i="8"/>
  <c r="AD171" i="8"/>
  <c r="AD170" i="8"/>
  <c r="AD169" i="8"/>
  <c r="AD168" i="8"/>
  <c r="AD167" i="8"/>
  <c r="AD166" i="8"/>
  <c r="AD165" i="8"/>
  <c r="AD161" i="8"/>
  <c r="AD160" i="8"/>
  <c r="AD159" i="8"/>
  <c r="AD158" i="8"/>
  <c r="AD157" i="8"/>
  <c r="AD156" i="8"/>
  <c r="AD155" i="8"/>
  <c r="AD154" i="8"/>
  <c r="AD153" i="8"/>
  <c r="AD146" i="8"/>
  <c r="AD145" i="8"/>
  <c r="AD144" i="8"/>
  <c r="AD143" i="8"/>
  <c r="AD142" i="8"/>
  <c r="AD141" i="8"/>
  <c r="AD140" i="8"/>
  <c r="AD139" i="8"/>
  <c r="AD138" i="8"/>
  <c r="AD137" i="8"/>
  <c r="AD136" i="8"/>
  <c r="AD135" i="8"/>
  <c r="AD134" i="8"/>
  <c r="AD133" i="8"/>
  <c r="AD132" i="8"/>
  <c r="AD128" i="8"/>
  <c r="AD127" i="8"/>
  <c r="AD126" i="8"/>
  <c r="AD125" i="8"/>
  <c r="AD124" i="8"/>
  <c r="AD123" i="8"/>
  <c r="AD119" i="8"/>
  <c r="AD118" i="8"/>
  <c r="AD117" i="8"/>
  <c r="AD116" i="8"/>
  <c r="AD115" i="8"/>
  <c r="AD114" i="8"/>
  <c r="AD113" i="8"/>
  <c r="AD112" i="8"/>
  <c r="AD111" i="8"/>
  <c r="AD110" i="8"/>
  <c r="AD109" i="8"/>
  <c r="AD108" i="8"/>
  <c r="AD104" i="8"/>
  <c r="AD103" i="8"/>
  <c r="AD102" i="8"/>
  <c r="AD101" i="8"/>
  <c r="AD100" i="8"/>
  <c r="AD99" i="8"/>
  <c r="AD98" i="8"/>
  <c r="AD97" i="8"/>
  <c r="AD96" i="8"/>
  <c r="AD95" i="8"/>
  <c r="AD94" i="8"/>
  <c r="AD93" i="8"/>
  <c r="AD88" i="8"/>
  <c r="AD87" i="8"/>
  <c r="AD86" i="8"/>
  <c r="AD85" i="8"/>
  <c r="AD84" i="8"/>
  <c r="AD83" i="8"/>
  <c r="AD82" i="8"/>
  <c r="AD81" i="8"/>
  <c r="AD80" i="8"/>
  <c r="AD79" i="8"/>
  <c r="AD78" i="8"/>
  <c r="AD77" i="8"/>
  <c r="AD76" i="8"/>
  <c r="AD75" i="8"/>
  <c r="AD74" i="8"/>
  <c r="AD73" i="8"/>
  <c r="AD72" i="8"/>
  <c r="AD71" i="8"/>
  <c r="AD70" i="8"/>
  <c r="AD69" i="8"/>
  <c r="AD68" i="8"/>
  <c r="AD67" i="8"/>
  <c r="AD66" i="8"/>
  <c r="AD56" i="8"/>
  <c r="AD55" i="8"/>
  <c r="AD54" i="8"/>
  <c r="AD53" i="8"/>
  <c r="AD52" i="8"/>
  <c r="AD51" i="8"/>
  <c r="AD50" i="8"/>
  <c r="AD49" i="8"/>
  <c r="AD48" i="8"/>
  <c r="AD47" i="8"/>
  <c r="AD46" i="8"/>
  <c r="AD45" i="8"/>
  <c r="AD44" i="8"/>
  <c r="AD43" i="8"/>
  <c r="AD42" i="8"/>
  <c r="AD35" i="8"/>
  <c r="AD34" i="8"/>
  <c r="AD33" i="8"/>
  <c r="AD32" i="8"/>
  <c r="AD31" i="8"/>
  <c r="AD30" i="8"/>
  <c r="AD29" i="8"/>
  <c r="AD28" i="8"/>
  <c r="AD27" i="8"/>
  <c r="AD26" i="8"/>
  <c r="AD25" i="8"/>
  <c r="AD24" i="8"/>
  <c r="AD23" i="8"/>
  <c r="AD22" i="8"/>
  <c r="AD21" i="8"/>
  <c r="AD8" i="8"/>
  <c r="AD7" i="8"/>
  <c r="AD6" i="8"/>
  <c r="H98" i="24"/>
  <c r="U98" i="24"/>
  <c r="P98" i="24" s="1"/>
  <c r="J98" i="24"/>
  <c r="U97" i="24"/>
  <c r="P97" i="24" s="1"/>
  <c r="J97" i="24"/>
  <c r="H97" i="24"/>
  <c r="G145" i="24"/>
  <c r="G146" i="24"/>
  <c r="L61" i="24"/>
  <c r="J61" i="24"/>
  <c r="H61" i="24"/>
  <c r="G61" i="24"/>
  <c r="Q61" i="24"/>
  <c r="P61" i="24" s="1"/>
  <c r="J122" i="24"/>
  <c r="H122" i="24"/>
  <c r="U71" i="24"/>
  <c r="P71" i="24" s="1"/>
  <c r="L71" i="24"/>
  <c r="J71" i="24"/>
  <c r="H71" i="24"/>
  <c r="G71" i="24"/>
  <c r="U64" i="24"/>
  <c r="P64" i="24" s="1"/>
  <c r="L64" i="24"/>
  <c r="J64" i="24"/>
  <c r="H64" i="24"/>
  <c r="W64" i="24"/>
  <c r="H154" i="24"/>
  <c r="G154" i="24"/>
  <c r="Q154" i="24"/>
  <c r="P154" i="24" s="1"/>
  <c r="J149" i="24"/>
  <c r="H169" i="24"/>
  <c r="U169" i="24"/>
  <c r="P169" i="24" s="1"/>
  <c r="L169" i="24"/>
  <c r="J169" i="24"/>
  <c r="H23" i="24"/>
  <c r="H113" i="24"/>
  <c r="Q10" i="24"/>
  <c r="U10" i="24"/>
  <c r="L10" i="24"/>
  <c r="H10" i="24"/>
  <c r="J10" i="24"/>
  <c r="H160" i="24"/>
  <c r="G160" i="24"/>
  <c r="W160" i="24"/>
  <c r="U160" i="24"/>
  <c r="J160" i="24"/>
  <c r="H20" i="24"/>
  <c r="J20" i="24"/>
  <c r="U20" i="24"/>
  <c r="Q20" i="24"/>
  <c r="J83" i="24"/>
  <c r="U83" i="24"/>
  <c r="G83" i="24"/>
  <c r="L125" i="24"/>
  <c r="H125" i="24"/>
  <c r="U16" i="24"/>
  <c r="Q16" i="24"/>
  <c r="H16" i="24"/>
  <c r="L16" i="24"/>
  <c r="J16" i="24"/>
  <c r="G16" i="24"/>
  <c r="H43" i="24"/>
  <c r="W43" i="24"/>
  <c r="Q43" i="24"/>
  <c r="J43" i="24"/>
  <c r="L43" i="24"/>
  <c r="Q67" i="24"/>
  <c r="P67" i="24"/>
  <c r="L67" i="24"/>
  <c r="J67" i="24"/>
  <c r="W67" i="24"/>
  <c r="U67" i="24"/>
  <c r="U94" i="24"/>
  <c r="P94" i="24" s="1"/>
  <c r="J94" i="24"/>
  <c r="H94" i="24"/>
  <c r="G94" i="24"/>
  <c r="Q118" i="24"/>
  <c r="G118" i="24"/>
  <c r="W118" i="24"/>
  <c r="U136" i="24"/>
  <c r="Q136" i="24"/>
  <c r="H136" i="24"/>
  <c r="G136" i="24"/>
  <c r="H115" i="24"/>
  <c r="G115" i="24"/>
  <c r="Q157" i="24"/>
  <c r="P157" i="24" s="1"/>
  <c r="J157" i="24"/>
  <c r="H157" i="24"/>
  <c r="G157" i="24"/>
  <c r="Q31" i="24"/>
  <c r="H31" i="24"/>
  <c r="J31" i="24"/>
  <c r="G31" i="24"/>
  <c r="U31" i="24"/>
  <c r="W31" i="24"/>
  <c r="G17" i="24"/>
  <c r="Q17" i="24"/>
  <c r="J17" i="24"/>
  <c r="U53" i="24"/>
  <c r="P53" i="24"/>
  <c r="Q53" i="24"/>
  <c r="H53" i="24"/>
  <c r="U143" i="24"/>
  <c r="Q86" i="24"/>
  <c r="U19" i="24"/>
  <c r="Q19" i="24"/>
  <c r="J19" i="24"/>
  <c r="H19" i="24"/>
  <c r="J46" i="24"/>
  <c r="H46" i="24"/>
  <c r="U46" i="24"/>
  <c r="L46" i="24"/>
  <c r="U76" i="24"/>
  <c r="J76" i="24"/>
  <c r="H76" i="24"/>
  <c r="G76" i="24"/>
  <c r="J100" i="24"/>
  <c r="H100" i="24"/>
  <c r="G100" i="24"/>
  <c r="U100" i="24"/>
  <c r="P100" i="24" s="1"/>
  <c r="H166" i="24"/>
  <c r="G166" i="24"/>
  <c r="W130" i="24"/>
  <c r="U130" i="24"/>
  <c r="Q130" i="24"/>
  <c r="H130" i="24"/>
  <c r="G130" i="24"/>
  <c r="Q151" i="24"/>
  <c r="P151" i="24" s="1"/>
  <c r="J151" i="24"/>
  <c r="H151" i="24"/>
  <c r="W131" i="24"/>
  <c r="Q131" i="24"/>
  <c r="U37" i="24"/>
  <c r="Q37" i="24"/>
  <c r="H37" i="24"/>
  <c r="G37" i="24"/>
  <c r="G148" i="24"/>
  <c r="J148" i="24"/>
  <c r="H148" i="24"/>
  <c r="L59" i="24"/>
  <c r="W59" i="24"/>
  <c r="U13" i="24"/>
  <c r="Q13" i="24"/>
  <c r="J13" i="24"/>
  <c r="H13" i="24"/>
  <c r="Q73" i="24"/>
  <c r="J73" i="24"/>
  <c r="H73" i="24"/>
  <c r="U73" i="24"/>
  <c r="Q14" i="24"/>
  <c r="Q11" i="24"/>
  <c r="L50" i="24"/>
  <c r="H50" i="24"/>
  <c r="W50" i="24"/>
  <c r="U50" i="24"/>
  <c r="W173" i="24"/>
  <c r="H173" i="24"/>
  <c r="L104" i="24"/>
  <c r="W104" i="24"/>
  <c r="U80" i="24"/>
  <c r="J80" i="24"/>
  <c r="G22" i="24"/>
  <c r="U22" i="24"/>
  <c r="Q22" i="24"/>
  <c r="P22" i="24"/>
  <c r="H22" i="24"/>
  <c r="L22" i="24"/>
  <c r="J22" i="24"/>
  <c r="P49" i="24"/>
  <c r="L49" i="24"/>
  <c r="H49" i="24"/>
  <c r="G49" i="24"/>
  <c r="W49" i="24"/>
  <c r="U49" i="24"/>
  <c r="Q49" i="24"/>
  <c r="W79" i="24"/>
  <c r="U79" i="24"/>
  <c r="L79" i="24"/>
  <c r="J79" i="24"/>
  <c r="H79" i="24"/>
  <c r="L103" i="24"/>
  <c r="J103" i="24"/>
  <c r="H103" i="24"/>
  <c r="Q103" i="24"/>
  <c r="W103" i="24"/>
  <c r="J133" i="24"/>
  <c r="H133" i="24"/>
  <c r="W172" i="24"/>
  <c r="P172" i="24"/>
  <c r="L172" i="24"/>
  <c r="J172" i="24"/>
  <c r="H172" i="24"/>
  <c r="G172" i="24"/>
  <c r="L127" i="24"/>
  <c r="H127" i="24"/>
  <c r="G127" i="24"/>
  <c r="U127" i="24"/>
  <c r="P127" i="24" s="1"/>
  <c r="J70" i="24"/>
  <c r="H70" i="24"/>
  <c r="G70" i="24"/>
  <c r="U70" i="24"/>
  <c r="P70" i="24" s="1"/>
  <c r="L70" i="24"/>
  <c r="L62" i="24"/>
  <c r="H62" i="24"/>
  <c r="J152" i="24"/>
  <c r="Q152" i="24"/>
  <c r="P152" i="24" s="1"/>
  <c r="H91" i="24"/>
  <c r="G91" i="24"/>
  <c r="Q91" i="24"/>
  <c r="P91" i="24" s="1"/>
  <c r="J91" i="24"/>
  <c r="U128" i="24"/>
  <c r="P128" i="24" s="1"/>
  <c r="L128" i="24"/>
  <c r="G128" i="24"/>
  <c r="H128" i="24"/>
  <c r="G107" i="24"/>
  <c r="U107" i="24"/>
  <c r="Q107" i="24"/>
  <c r="L107" i="24"/>
  <c r="H107" i="24"/>
  <c r="J107" i="24"/>
  <c r="Q38" i="24"/>
  <c r="G38" i="24"/>
  <c r="P41" i="24"/>
  <c r="H47" i="24"/>
  <c r="G167" i="24"/>
  <c r="U101" i="24"/>
  <c r="P101" i="24" s="1"/>
  <c r="H101" i="24"/>
  <c r="U74" i="24"/>
  <c r="J74" i="24"/>
  <c r="H158" i="24"/>
  <c r="G158" i="24"/>
  <c r="Q158" i="24"/>
  <c r="P158" i="24" s="1"/>
  <c r="J158" i="24"/>
  <c r="P52" i="24"/>
  <c r="H52" i="24"/>
  <c r="Q52" i="24"/>
  <c r="U52" i="24"/>
  <c r="J52" i="24"/>
  <c r="Q109" i="24"/>
  <c r="P109" i="24" s="1"/>
  <c r="L109" i="24"/>
  <c r="J109" i="24"/>
  <c r="H109" i="24"/>
  <c r="H142" i="24"/>
  <c r="U142" i="24"/>
  <c r="L142" i="24"/>
  <c r="L124" i="24"/>
  <c r="H124" i="24"/>
  <c r="J124" i="24"/>
  <c r="U28" i="24"/>
  <c r="L28" i="24"/>
  <c r="J28" i="24"/>
  <c r="H28" i="24"/>
  <c r="W28" i="24"/>
  <c r="G28" i="24"/>
  <c r="P28" i="24"/>
  <c r="W55" i="24"/>
  <c r="Q55" i="24"/>
  <c r="L55" i="24"/>
  <c r="J55" i="24"/>
  <c r="H55" i="24"/>
  <c r="U82" i="24"/>
  <c r="L82" i="24"/>
  <c r="J82" i="24"/>
  <c r="H82" i="24"/>
  <c r="G82" i="24"/>
  <c r="U106" i="24"/>
  <c r="Q106" i="24"/>
  <c r="L106" i="24"/>
  <c r="H106" i="24"/>
  <c r="G106" i="24"/>
  <c r="H85" i="24"/>
  <c r="G85" i="24"/>
  <c r="U85" i="24"/>
  <c r="Q85" i="24"/>
  <c r="W139" i="24"/>
  <c r="U139" i="24"/>
  <c r="Q139" i="24"/>
  <c r="G139" i="24"/>
  <c r="J68" i="24"/>
  <c r="Q44" i="24"/>
  <c r="G155" i="24"/>
  <c r="W29" i="24"/>
  <c r="L29" i="24"/>
  <c r="H29" i="24"/>
  <c r="P29" i="24"/>
  <c r="W65" i="24"/>
  <c r="U65" i="24"/>
  <c r="L65" i="24"/>
  <c r="J65" i="24"/>
  <c r="H65" i="24"/>
  <c r="H77" i="24"/>
  <c r="U32" i="24"/>
  <c r="J32" i="24"/>
  <c r="H32" i="24"/>
  <c r="G32" i="24"/>
  <c r="Q34" i="24"/>
  <c r="H34" i="24"/>
  <c r="G34" i="24"/>
  <c r="U34" i="24"/>
  <c r="U58" i="24"/>
  <c r="Q58" i="24"/>
  <c r="L58" i="24"/>
  <c r="J58" i="24"/>
  <c r="H58" i="24"/>
  <c r="W58" i="24"/>
  <c r="G58" i="24"/>
  <c r="U88" i="24"/>
  <c r="Q88" i="24"/>
  <c r="G88" i="24"/>
  <c r="G112" i="24"/>
  <c r="U112" i="24"/>
  <c r="P112" i="24" s="1"/>
  <c r="H112" i="24"/>
  <c r="J121" i="24"/>
  <c r="H121" i="24"/>
  <c r="L163" i="24"/>
  <c r="H163" i="24"/>
  <c r="Q7" i="24"/>
  <c r="G7" i="24"/>
  <c r="J7" i="24"/>
  <c r="P7" i="24"/>
  <c r="Q8" i="24"/>
  <c r="J8" i="24"/>
  <c r="P8" i="24"/>
  <c r="L34" i="9"/>
  <c r="G141" i="16"/>
  <c r="D141" i="16"/>
  <c r="D143" i="16" s="1"/>
  <c r="N121" i="16"/>
  <c r="G121" i="16"/>
  <c r="G115" i="16"/>
  <c r="D111" i="16"/>
  <c r="G109" i="16"/>
  <c r="D100" i="16"/>
  <c r="D101" i="16" s="1"/>
  <c r="G97" i="16"/>
  <c r="R88" i="16"/>
  <c r="N88" i="16"/>
  <c r="D88" i="16"/>
  <c r="G80" i="16"/>
  <c r="D80" i="16"/>
  <c r="D81" i="16" s="1"/>
  <c r="M72" i="16"/>
  <c r="M69" i="16"/>
  <c r="M63" i="16"/>
  <c r="D63" i="16"/>
  <c r="D64" i="16" s="1"/>
  <c r="M60" i="16"/>
  <c r="M57" i="16"/>
  <c r="Y48" i="16"/>
  <c r="N48" i="16"/>
  <c r="Y45" i="16"/>
  <c r="M45" i="16"/>
  <c r="M40" i="16"/>
  <c r="M41" i="16" s="1"/>
  <c r="G40" i="16"/>
  <c r="M37" i="16"/>
  <c r="Z34" i="16"/>
  <c r="M34" i="16"/>
  <c r="N31" i="16"/>
  <c r="M31" i="16" s="1"/>
  <c r="M28" i="16"/>
  <c r="G28" i="16"/>
  <c r="D28" i="16"/>
  <c r="M25" i="16"/>
  <c r="R22" i="16"/>
  <c r="M22" i="16" s="1"/>
  <c r="G22" i="16"/>
  <c r="M19" i="16"/>
  <c r="M16" i="16"/>
  <c r="M13" i="16"/>
  <c r="D13" i="16"/>
  <c r="D14" i="16" s="1"/>
  <c r="M10" i="16"/>
  <c r="G10" i="16"/>
  <c r="AD44" i="13"/>
  <c r="AC44" i="13"/>
  <c r="AB44" i="13"/>
  <c r="AA44" i="13"/>
  <c r="R44" i="13"/>
  <c r="Q44" i="13"/>
  <c r="P44" i="13"/>
  <c r="O44" i="13"/>
  <c r="AD43" i="13"/>
  <c r="AC43" i="13"/>
  <c r="AB43" i="13"/>
  <c r="AA43" i="13"/>
  <c r="R43" i="13"/>
  <c r="Q43" i="13"/>
  <c r="P43" i="13"/>
  <c r="O43" i="13"/>
  <c r="AD42" i="13"/>
  <c r="AC42" i="13"/>
  <c r="AB42" i="13"/>
  <c r="AA42" i="13"/>
  <c r="R42" i="13"/>
  <c r="Q42" i="13"/>
  <c r="P42" i="13"/>
  <c r="O42" i="13"/>
  <c r="AD41" i="13"/>
  <c r="AC41" i="13"/>
  <c r="AB41" i="13"/>
  <c r="AA41" i="13"/>
  <c r="R41" i="13"/>
  <c r="Q41" i="13"/>
  <c r="P41" i="13"/>
  <c r="O41" i="13"/>
  <c r="AD40" i="13"/>
  <c r="AC40" i="13"/>
  <c r="AB40" i="13"/>
  <c r="AA40" i="13"/>
  <c r="R40" i="13"/>
  <c r="Q40" i="13"/>
  <c r="P40" i="13"/>
  <c r="O40" i="13"/>
  <c r="AD39" i="13"/>
  <c r="AC39" i="13"/>
  <c r="AB39" i="13"/>
  <c r="AA39" i="13"/>
  <c r="R39" i="13"/>
  <c r="Q39" i="13"/>
  <c r="P39" i="13"/>
  <c r="O39" i="13"/>
  <c r="AD38" i="13"/>
  <c r="AC38" i="13"/>
  <c r="AB38" i="13"/>
  <c r="AA38" i="13"/>
  <c r="R38" i="13"/>
  <c r="Q38" i="13"/>
  <c r="P38" i="13"/>
  <c r="O38" i="13"/>
  <c r="AD37" i="13"/>
  <c r="AC37" i="13"/>
  <c r="AB37" i="13"/>
  <c r="AA37" i="13"/>
  <c r="R37" i="13"/>
  <c r="Q37" i="13"/>
  <c r="P37" i="13"/>
  <c r="O37" i="13"/>
  <c r="AD36" i="13"/>
  <c r="AC36" i="13"/>
  <c r="AB36" i="13"/>
  <c r="AA36" i="13"/>
  <c r="R36" i="13"/>
  <c r="Q36" i="13"/>
  <c r="P36" i="13"/>
  <c r="O36" i="13"/>
  <c r="AD35" i="13"/>
  <c r="AC35" i="13"/>
  <c r="AB35" i="13"/>
  <c r="AA35" i="13"/>
  <c r="R35" i="13"/>
  <c r="Q35" i="13"/>
  <c r="P35" i="13"/>
  <c r="O35" i="13"/>
  <c r="AD34" i="13"/>
  <c r="AC34" i="13"/>
  <c r="AB34" i="13"/>
  <c r="AA34" i="13"/>
  <c r="R34" i="13"/>
  <c r="Q34" i="13"/>
  <c r="P34" i="13"/>
  <c r="O34" i="13"/>
  <c r="AD33" i="13"/>
  <c r="AC33" i="13"/>
  <c r="AB33" i="13"/>
  <c r="AA33" i="13"/>
  <c r="R33" i="13"/>
  <c r="Q33" i="13"/>
  <c r="P33" i="13"/>
  <c r="O33" i="13"/>
  <c r="AD32" i="13"/>
  <c r="AC32" i="13"/>
  <c r="AB32" i="13"/>
  <c r="AA32" i="13"/>
  <c r="R32" i="13"/>
  <c r="Q32" i="13"/>
  <c r="P32" i="13"/>
  <c r="O32" i="13"/>
  <c r="AD31" i="13"/>
  <c r="AC31" i="13"/>
  <c r="AB31" i="13"/>
  <c r="AA31" i="13"/>
  <c r="R31" i="13"/>
  <c r="Q31" i="13"/>
  <c r="P31" i="13"/>
  <c r="O31" i="13"/>
  <c r="AD30" i="13"/>
  <c r="AC30" i="13"/>
  <c r="AB30" i="13"/>
  <c r="AA30" i="13"/>
  <c r="R30" i="13"/>
  <c r="Q30" i="13"/>
  <c r="P30" i="13"/>
  <c r="O30" i="13"/>
  <c r="AD29" i="13"/>
  <c r="AC29" i="13"/>
  <c r="AB29" i="13"/>
  <c r="AA29" i="13"/>
  <c r="R29" i="13"/>
  <c r="Q29" i="13"/>
  <c r="P29" i="13"/>
  <c r="O29" i="13"/>
  <c r="AD28" i="13"/>
  <c r="AC28" i="13"/>
  <c r="AB28" i="13"/>
  <c r="AA28" i="13"/>
  <c r="R28" i="13"/>
  <c r="Q28" i="13"/>
  <c r="P28" i="13"/>
  <c r="O28" i="13"/>
  <c r="AD27" i="13"/>
  <c r="AC27" i="13"/>
  <c r="AB27" i="13"/>
  <c r="AA27" i="13"/>
  <c r="R27" i="13"/>
  <c r="Q27" i="13"/>
  <c r="P27" i="13"/>
  <c r="O27" i="13"/>
  <c r="AD26" i="13"/>
  <c r="AC26" i="13"/>
  <c r="AB26" i="13"/>
  <c r="AA26" i="13"/>
  <c r="R26" i="13"/>
  <c r="Q26" i="13"/>
  <c r="P26" i="13"/>
  <c r="O26" i="13"/>
  <c r="AD25" i="13"/>
  <c r="AC25" i="13"/>
  <c r="AB25" i="13"/>
  <c r="AA25" i="13"/>
  <c r="R25" i="13"/>
  <c r="Q25" i="13"/>
  <c r="P25" i="13"/>
  <c r="O25" i="13"/>
  <c r="AD24" i="13"/>
  <c r="AC24" i="13"/>
  <c r="AA24" i="13"/>
  <c r="R24" i="13"/>
  <c r="Q24" i="13"/>
  <c r="O24" i="13"/>
  <c r="AD22" i="13"/>
  <c r="AC22" i="13"/>
  <c r="AB22" i="13"/>
  <c r="AA22" i="13"/>
  <c r="R22" i="13"/>
  <c r="Q22" i="13"/>
  <c r="P22" i="13"/>
  <c r="O22" i="13"/>
  <c r="AD21" i="13"/>
  <c r="AC21" i="13"/>
  <c r="AB21" i="13"/>
  <c r="AA21" i="13"/>
  <c r="R21" i="13"/>
  <c r="Q21" i="13"/>
  <c r="P21" i="13"/>
  <c r="O21" i="13"/>
  <c r="AD20" i="13"/>
  <c r="AC20" i="13"/>
  <c r="AB20" i="13"/>
  <c r="AA20" i="13"/>
  <c r="R20" i="13"/>
  <c r="Q20" i="13"/>
  <c r="P20" i="13"/>
  <c r="O20" i="13"/>
  <c r="AD19" i="13"/>
  <c r="AC19" i="13"/>
  <c r="AB19" i="13"/>
  <c r="AA19" i="13"/>
  <c r="R19" i="13"/>
  <c r="Q19" i="13"/>
  <c r="P19" i="13"/>
  <c r="O19" i="13"/>
  <c r="AD18" i="13"/>
  <c r="AC18" i="13"/>
  <c r="AB18" i="13"/>
  <c r="AA18" i="13"/>
  <c r="R18" i="13"/>
  <c r="Q18" i="13"/>
  <c r="P18" i="13"/>
  <c r="O18" i="13"/>
  <c r="AD17" i="13"/>
  <c r="AC17" i="13"/>
  <c r="AB17" i="13"/>
  <c r="AA17" i="13"/>
  <c r="R17" i="13"/>
  <c r="Q17" i="13"/>
  <c r="P17" i="13"/>
  <c r="O17" i="13"/>
  <c r="AD16" i="13"/>
  <c r="AC16" i="13"/>
  <c r="AB16" i="13"/>
  <c r="AA16" i="13"/>
  <c r="R16" i="13"/>
  <c r="Q16" i="13"/>
  <c r="P16" i="13"/>
  <c r="O16" i="13"/>
  <c r="AD15" i="13"/>
  <c r="AC15" i="13"/>
  <c r="AB15" i="13"/>
  <c r="AA15" i="13"/>
  <c r="R15" i="13"/>
  <c r="Q15" i="13"/>
  <c r="P15" i="13"/>
  <c r="O15" i="13"/>
  <c r="AD14" i="13"/>
  <c r="AC14" i="13"/>
  <c r="AB14" i="13"/>
  <c r="AA14" i="13"/>
  <c r="R14" i="13"/>
  <c r="Q14" i="13"/>
  <c r="P14" i="13"/>
  <c r="O14" i="13"/>
  <c r="AD13" i="13"/>
  <c r="AC13" i="13"/>
  <c r="AB13" i="13"/>
  <c r="AA13" i="13"/>
  <c r="R13" i="13"/>
  <c r="Q13" i="13"/>
  <c r="P13" i="13"/>
  <c r="O13" i="13"/>
  <c r="AD12" i="13"/>
  <c r="AC12" i="13"/>
  <c r="AB12" i="13"/>
  <c r="AA12" i="13"/>
  <c r="R12" i="13"/>
  <c r="Q12" i="13"/>
  <c r="P12" i="13"/>
  <c r="O12" i="13"/>
  <c r="AD11" i="13"/>
  <c r="AC11" i="13"/>
  <c r="AB11" i="13"/>
  <c r="AA11" i="13"/>
  <c r="R11" i="13"/>
  <c r="Q11" i="13"/>
  <c r="P11" i="13"/>
  <c r="O11" i="13"/>
  <c r="AD9" i="13"/>
  <c r="AC9" i="13"/>
  <c r="AB9" i="13"/>
  <c r="AA9" i="13"/>
  <c r="R9" i="13"/>
  <c r="Q9" i="13"/>
  <c r="P9" i="13"/>
  <c r="O9" i="13"/>
  <c r="AD8" i="13"/>
  <c r="AC8" i="13"/>
  <c r="AB8" i="13"/>
  <c r="AA8" i="13"/>
  <c r="R8" i="13"/>
  <c r="Q8" i="13"/>
  <c r="P8" i="13"/>
  <c r="O8" i="13"/>
  <c r="AD7" i="13"/>
  <c r="AC7" i="13"/>
  <c r="AB7" i="13"/>
  <c r="AA7" i="13"/>
  <c r="R7" i="13"/>
  <c r="Q7" i="13"/>
  <c r="P7" i="13"/>
  <c r="O7" i="13"/>
  <c r="AD6" i="13"/>
  <c r="AC6" i="13"/>
  <c r="AB6" i="13"/>
  <c r="AA6" i="13"/>
  <c r="R6" i="13"/>
  <c r="Q6" i="13"/>
  <c r="P6" i="13"/>
  <c r="O6" i="13"/>
  <c r="AD5" i="13"/>
  <c r="AC5" i="13"/>
  <c r="AB5" i="13"/>
  <c r="AA5" i="13"/>
  <c r="R5" i="13"/>
  <c r="Q5" i="13"/>
  <c r="P5" i="13"/>
  <c r="O5" i="13"/>
  <c r="AD4" i="13"/>
  <c r="AC4" i="13"/>
  <c r="AB4" i="13"/>
  <c r="AA4" i="13"/>
  <c r="R4" i="13"/>
  <c r="Q4" i="13"/>
  <c r="P4" i="13"/>
  <c r="O4" i="13"/>
  <c r="AD3" i="13"/>
  <c r="AC3" i="13"/>
  <c r="AB3" i="13"/>
  <c r="AA3" i="13"/>
  <c r="R3" i="13"/>
  <c r="Q3" i="13"/>
  <c r="P3" i="13"/>
  <c r="O3" i="13"/>
  <c r="AJ44" i="12"/>
  <c r="AI44" i="12"/>
  <c r="AH44" i="12"/>
  <c r="AG44" i="12"/>
  <c r="AJ43" i="12"/>
  <c r="AI43" i="12"/>
  <c r="AH43" i="12"/>
  <c r="AG43" i="12"/>
  <c r="AJ42" i="12"/>
  <c r="AI42" i="12"/>
  <c r="AH42" i="12"/>
  <c r="V41" i="12"/>
  <c r="AJ41" i="12"/>
  <c r="AI41" i="12"/>
  <c r="AH41" i="12"/>
  <c r="AJ40" i="12"/>
  <c r="AI40" i="12"/>
  <c r="AG40" i="12"/>
  <c r="AJ39" i="12"/>
  <c r="AI39" i="12"/>
  <c r="AJ37" i="12"/>
  <c r="AI37" i="12"/>
  <c r="AH37" i="12"/>
  <c r="AJ36" i="12"/>
  <c r="AJ35" i="12"/>
  <c r="AI35" i="12"/>
  <c r="AH35" i="12"/>
  <c r="AJ34" i="12"/>
  <c r="AH34" i="12"/>
  <c r="AJ33" i="12"/>
  <c r="AI33" i="12"/>
  <c r="AH33" i="12"/>
  <c r="AJ32" i="12"/>
  <c r="AI32" i="12"/>
  <c r="AH32" i="12"/>
  <c r="AG32" i="12"/>
  <c r="AI31" i="12"/>
  <c r="AJ30" i="12"/>
  <c r="AI30" i="12"/>
  <c r="AH30" i="12"/>
  <c r="AJ29" i="12"/>
  <c r="AI29" i="12"/>
  <c r="AH29" i="12"/>
  <c r="AG29" i="12"/>
  <c r="AJ28" i="12"/>
  <c r="AI28" i="12"/>
  <c r="AH28" i="12"/>
  <c r="AG28" i="12"/>
  <c r="AJ27" i="12"/>
  <c r="AJ26" i="12"/>
  <c r="AI26" i="12"/>
  <c r="AH26" i="12"/>
  <c r="AG26" i="12"/>
  <c r="AI25" i="12"/>
  <c r="AH25" i="12"/>
  <c r="AG25" i="12"/>
  <c r="AJ24" i="12"/>
  <c r="AI24" i="12"/>
  <c r="AJ22" i="12"/>
  <c r="AI22" i="12"/>
  <c r="AH22" i="12"/>
  <c r="AG22" i="12"/>
  <c r="X22" i="12"/>
  <c r="W22" i="12"/>
  <c r="V22" i="12"/>
  <c r="U22" i="12"/>
  <c r="AJ21" i="12"/>
  <c r="AI21" i="12"/>
  <c r="AH21" i="12"/>
  <c r="AG21" i="12"/>
  <c r="X21" i="12"/>
  <c r="W21" i="12"/>
  <c r="V21" i="12"/>
  <c r="U21" i="12"/>
  <c r="AJ20" i="12"/>
  <c r="AI20" i="12"/>
  <c r="AH20" i="12"/>
  <c r="AG20" i="12"/>
  <c r="X20" i="12"/>
  <c r="W20" i="12"/>
  <c r="V20" i="12"/>
  <c r="U20" i="12"/>
  <c r="AJ19" i="12"/>
  <c r="AI19" i="12"/>
  <c r="AH19" i="12"/>
  <c r="AG19" i="12"/>
  <c r="X19" i="12"/>
  <c r="W19" i="12"/>
  <c r="V19" i="12"/>
  <c r="U19" i="12"/>
  <c r="AJ18" i="12"/>
  <c r="AI18" i="12"/>
  <c r="AH18" i="12"/>
  <c r="AG18" i="12"/>
  <c r="X18" i="12"/>
  <c r="W18" i="12"/>
  <c r="V18" i="12"/>
  <c r="U18" i="12"/>
  <c r="AJ17" i="12"/>
  <c r="AI17" i="12"/>
  <c r="AH17" i="12"/>
  <c r="AG17" i="12"/>
  <c r="X17" i="12"/>
  <c r="W17" i="12"/>
  <c r="V17" i="12"/>
  <c r="U17" i="12"/>
  <c r="AJ16" i="12"/>
  <c r="AI16" i="12"/>
  <c r="AH16" i="12"/>
  <c r="AG16" i="12"/>
  <c r="X16" i="12"/>
  <c r="W16" i="12"/>
  <c r="V16" i="12"/>
  <c r="U16" i="12"/>
  <c r="AJ15" i="12"/>
  <c r="AI15" i="12"/>
  <c r="AH15" i="12"/>
  <c r="AG15" i="12"/>
  <c r="X15" i="12"/>
  <c r="W15" i="12"/>
  <c r="V15" i="12"/>
  <c r="U15" i="12"/>
  <c r="AJ14" i="12"/>
  <c r="AI14" i="12"/>
  <c r="AH14" i="12"/>
  <c r="AG14" i="12"/>
  <c r="X14" i="12"/>
  <c r="W14" i="12"/>
  <c r="V14" i="12"/>
  <c r="U14" i="12"/>
  <c r="AJ13" i="12"/>
  <c r="AI13" i="12"/>
  <c r="AH13" i="12"/>
  <c r="AG13" i="12"/>
  <c r="X13" i="12"/>
  <c r="W13" i="12"/>
  <c r="V13" i="12"/>
  <c r="U13" i="12"/>
  <c r="AJ12" i="12"/>
  <c r="AI12" i="12"/>
  <c r="AH12" i="12"/>
  <c r="AG12" i="12"/>
  <c r="X12" i="12"/>
  <c r="W12" i="12"/>
  <c r="V12" i="12"/>
  <c r="U12" i="12"/>
  <c r="AJ11" i="12"/>
  <c r="AI11" i="12"/>
  <c r="AH11" i="12"/>
  <c r="AG11" i="12"/>
  <c r="X11" i="12"/>
  <c r="W11" i="12"/>
  <c r="V11" i="12"/>
  <c r="U11" i="12"/>
  <c r="AJ9" i="12"/>
  <c r="AI9" i="12"/>
  <c r="AH9" i="12"/>
  <c r="AG9" i="12"/>
  <c r="X9" i="12"/>
  <c r="W9" i="12"/>
  <c r="V9" i="12"/>
  <c r="U9" i="12"/>
  <c r="AJ8" i="12"/>
  <c r="AI8" i="12"/>
  <c r="AH8" i="12"/>
  <c r="AG8" i="12"/>
  <c r="X8" i="12"/>
  <c r="W8" i="12"/>
  <c r="V8" i="12"/>
  <c r="U8" i="12"/>
  <c r="AJ7" i="12"/>
  <c r="AI7" i="12"/>
  <c r="AH7" i="12"/>
  <c r="AG7" i="12"/>
  <c r="X7" i="12"/>
  <c r="W7" i="12"/>
  <c r="V7" i="12"/>
  <c r="U7" i="12"/>
  <c r="AJ6" i="12"/>
  <c r="AI6" i="12"/>
  <c r="AH6" i="12"/>
  <c r="AG6" i="12"/>
  <c r="X6" i="12"/>
  <c r="W6" i="12"/>
  <c r="V6" i="12"/>
  <c r="U6" i="12"/>
  <c r="AJ5" i="12"/>
  <c r="AI5" i="12"/>
  <c r="AH5" i="12"/>
  <c r="AG5" i="12"/>
  <c r="X5" i="12"/>
  <c r="W5" i="12"/>
  <c r="V5" i="12"/>
  <c r="U5" i="12"/>
  <c r="AJ4" i="12"/>
  <c r="AI4" i="12"/>
  <c r="AH4" i="12"/>
  <c r="AG4" i="12"/>
  <c r="X4" i="12"/>
  <c r="W4" i="12"/>
  <c r="V4" i="12"/>
  <c r="U4" i="12"/>
  <c r="AJ3" i="12"/>
  <c r="AI3" i="12"/>
  <c r="AH3" i="12"/>
  <c r="AG3" i="12"/>
  <c r="X3" i="12"/>
  <c r="W3" i="12"/>
  <c r="V3" i="12"/>
  <c r="U3" i="12"/>
  <c r="AH39" i="12"/>
  <c r="AG39" i="12"/>
  <c r="H4" i="11"/>
  <c r="G141" i="10"/>
  <c r="D141" i="10"/>
  <c r="D142" i="10" s="1"/>
  <c r="N121" i="10"/>
  <c r="G121" i="10"/>
  <c r="G115" i="10"/>
  <c r="G109" i="10"/>
  <c r="D100" i="10"/>
  <c r="D101" i="10" s="1"/>
  <c r="G97" i="10"/>
  <c r="R88" i="10"/>
  <c r="N88" i="10"/>
  <c r="D88" i="10"/>
  <c r="G80" i="10"/>
  <c r="D80" i="10"/>
  <c r="D81" i="10" s="1"/>
  <c r="Y48" i="10"/>
  <c r="N48" i="10"/>
  <c r="Y45" i="10"/>
  <c r="G40" i="10"/>
  <c r="Z34" i="10"/>
  <c r="G28" i="10"/>
  <c r="R22" i="10"/>
  <c r="R24" i="10" s="1"/>
  <c r="G22" i="10"/>
  <c r="M19" i="10"/>
  <c r="D19" i="10"/>
  <c r="D21" i="10" s="1"/>
  <c r="E13" i="10"/>
  <c r="D13" i="10"/>
  <c r="D14" i="10" s="1"/>
  <c r="G10" i="10"/>
  <c r="X1" i="9"/>
  <c r="P45" i="9"/>
  <c r="P40" i="9"/>
  <c r="P37" i="9"/>
  <c r="P36" i="9"/>
  <c r="P33" i="9"/>
  <c r="P29" i="9"/>
  <c r="P21" i="9"/>
  <c r="L44" i="9"/>
  <c r="L42" i="9"/>
  <c r="L40" i="9"/>
  <c r="L31" i="9"/>
  <c r="L27" i="9"/>
  <c r="L14" i="9"/>
  <c r="D34" i="9"/>
  <c r="AB30" i="8"/>
  <c r="K19" i="5"/>
  <c r="U45" i="5"/>
  <c r="D19" i="5"/>
  <c r="D80" i="5"/>
  <c r="D82" i="5" s="1"/>
  <c r="V34" i="5"/>
  <c r="P22" i="5"/>
  <c r="P24" i="5" s="1"/>
  <c r="D141" i="5"/>
  <c r="P88" i="5"/>
  <c r="L88" i="5"/>
  <c r="D88" i="5"/>
  <c r="D111" i="5"/>
  <c r="G115" i="5"/>
  <c r="D100" i="5"/>
  <c r="D101" i="5" s="1"/>
  <c r="G28" i="5"/>
  <c r="G22" i="5"/>
  <c r="G40" i="5"/>
  <c r="E13" i="5"/>
  <c r="D13" i="5"/>
  <c r="D14" i="5" s="1"/>
  <c r="G10" i="5"/>
  <c r="G141" i="5"/>
  <c r="L121" i="5"/>
  <c r="G121" i="5"/>
  <c r="G109" i="5"/>
  <c r="G97" i="5"/>
  <c r="G34" i="5"/>
  <c r="G80" i="5"/>
  <c r="P35" i="9"/>
  <c r="N116" i="16"/>
  <c r="D116" i="16"/>
  <c r="N116" i="10"/>
  <c r="D116" i="10"/>
  <c r="D55" i="16"/>
  <c r="D55" i="10"/>
  <c r="D55" i="5"/>
  <c r="R98" i="16"/>
  <c r="D98" i="16"/>
  <c r="D98" i="10"/>
  <c r="R98" i="10"/>
  <c r="D125" i="5"/>
  <c r="D125" i="16"/>
  <c r="D125" i="10"/>
  <c r="N64" i="16"/>
  <c r="E64" i="16"/>
  <c r="N64" i="10"/>
  <c r="D64" i="10"/>
  <c r="N61" i="16"/>
  <c r="D61" i="16"/>
  <c r="N61" i="10"/>
  <c r="D61" i="10"/>
  <c r="N14" i="16"/>
  <c r="E14" i="16"/>
  <c r="R14" i="16"/>
  <c r="R14" i="10"/>
  <c r="N14" i="10"/>
  <c r="E26" i="16"/>
  <c r="D26" i="16"/>
  <c r="R26" i="16"/>
  <c r="R26" i="10"/>
  <c r="D26" i="10"/>
  <c r="R38" i="16"/>
  <c r="E38" i="16"/>
  <c r="D38" i="16"/>
  <c r="M38" i="16"/>
  <c r="N38" i="10"/>
  <c r="D38" i="10"/>
  <c r="N62" i="10"/>
  <c r="D73" i="16"/>
  <c r="R73" i="16"/>
  <c r="R73" i="10"/>
  <c r="D73" i="10"/>
  <c r="N90" i="16"/>
  <c r="D90" i="16"/>
  <c r="N90" i="10"/>
  <c r="D90" i="10"/>
  <c r="R123" i="16"/>
  <c r="N123" i="16"/>
  <c r="R123" i="10"/>
  <c r="D123" i="10"/>
  <c r="N11" i="16"/>
  <c r="E11" i="16"/>
  <c r="D11" i="16"/>
  <c r="M11" i="16"/>
  <c r="N11" i="10"/>
  <c r="M11" i="10"/>
  <c r="D11" i="10"/>
  <c r="D11" i="5"/>
  <c r="K11" i="5"/>
  <c r="E23" i="16"/>
  <c r="I23" i="16"/>
  <c r="N23" i="16"/>
  <c r="D23" i="16"/>
  <c r="I15" i="11"/>
  <c r="I14" i="11"/>
  <c r="I13" i="11"/>
  <c r="N23" i="10"/>
  <c r="D23" i="10"/>
  <c r="R23" i="10"/>
  <c r="E32" i="16"/>
  <c r="R32" i="16"/>
  <c r="D32" i="16"/>
  <c r="D32" i="10"/>
  <c r="N32" i="10"/>
  <c r="P17" i="5"/>
  <c r="N17" i="16"/>
  <c r="M17" i="16" s="1"/>
  <c r="R17" i="16"/>
  <c r="R17" i="10"/>
  <c r="D59" i="16"/>
  <c r="N59" i="16"/>
  <c r="D59" i="10"/>
  <c r="R59" i="10"/>
  <c r="L70" i="5"/>
  <c r="R70" i="16"/>
  <c r="N70" i="16"/>
  <c r="M70" i="16" s="1"/>
  <c r="N70" i="10"/>
  <c r="N81" i="16"/>
  <c r="R81" i="16"/>
  <c r="R81" i="10"/>
  <c r="N81" i="10"/>
  <c r="R87" i="16"/>
  <c r="N87" i="16"/>
  <c r="D87" i="16"/>
  <c r="N87" i="10"/>
  <c r="D87" i="10"/>
  <c r="R87" i="10"/>
  <c r="E36" i="16"/>
  <c r="D36" i="16"/>
  <c r="N36" i="16"/>
  <c r="R36" i="10"/>
  <c r="D36" i="10"/>
  <c r="N36" i="10"/>
  <c r="N102" i="10"/>
  <c r="D110" i="16"/>
  <c r="D110" i="10"/>
  <c r="R120" i="10"/>
  <c r="R122" i="16"/>
  <c r="D122" i="16"/>
  <c r="N122" i="16"/>
  <c r="R122" i="10"/>
  <c r="D122" i="10"/>
  <c r="N122" i="10"/>
  <c r="N131" i="16"/>
  <c r="D133" i="5"/>
  <c r="D133" i="16"/>
  <c r="D133" i="10"/>
  <c r="D142" i="5"/>
  <c r="N15" i="16"/>
  <c r="N15" i="10"/>
  <c r="D20" i="16"/>
  <c r="R20" i="16"/>
  <c r="M20" i="16" s="1"/>
  <c r="E20" i="16"/>
  <c r="I4" i="11"/>
  <c r="R20" i="10"/>
  <c r="M20" i="10" s="1"/>
  <c r="E27" i="16"/>
  <c r="D27" i="10"/>
  <c r="D29" i="16"/>
  <c r="R29" i="16"/>
  <c r="N29" i="16"/>
  <c r="I29" i="16"/>
  <c r="E29" i="16"/>
  <c r="D29" i="10"/>
  <c r="R29" i="10"/>
  <c r="N29" i="10"/>
  <c r="P29" i="5"/>
  <c r="L29" i="5"/>
  <c r="D41" i="16"/>
  <c r="R41" i="16"/>
  <c r="N41" i="16"/>
  <c r="E41" i="16"/>
  <c r="R41" i="10"/>
  <c r="N41" i="10"/>
  <c r="D41" i="10"/>
  <c r="D47" i="16"/>
  <c r="D47" i="10"/>
  <c r="D49" i="5"/>
  <c r="R49" i="16"/>
  <c r="M49" i="16"/>
  <c r="E49" i="16"/>
  <c r="D49" i="16"/>
  <c r="N49" i="16"/>
  <c r="Y49" i="16" s="1"/>
  <c r="R49" i="10"/>
  <c r="N49" i="10"/>
  <c r="Y49" i="10" s="1"/>
  <c r="D49" i="10"/>
  <c r="D56" i="16"/>
  <c r="D56" i="10"/>
  <c r="N58" i="16"/>
  <c r="D58" i="16"/>
  <c r="E58" i="16"/>
  <c r="R58" i="10"/>
  <c r="D58" i="10"/>
  <c r="N65" i="10"/>
  <c r="N67" i="16"/>
  <c r="M67" i="16"/>
  <c r="N67" i="10"/>
  <c r="R74" i="10"/>
  <c r="D78" i="16"/>
  <c r="R78" i="16"/>
  <c r="D78" i="10"/>
  <c r="R78" i="10"/>
  <c r="D84" i="5"/>
  <c r="D84" i="16"/>
  <c r="D84" i="10"/>
  <c r="D91" i="10"/>
  <c r="L35" i="5"/>
  <c r="N35" i="16"/>
  <c r="E35" i="16"/>
  <c r="D35" i="16"/>
  <c r="R35" i="16"/>
  <c r="G35" i="16"/>
  <c r="N35" i="10"/>
  <c r="D35" i="10"/>
  <c r="R35" i="10"/>
  <c r="D99" i="16"/>
  <c r="R99" i="10"/>
  <c r="N101" i="16"/>
  <c r="N101" i="10"/>
  <c r="N105" i="16"/>
  <c r="D105" i="16"/>
  <c r="N105" i="10"/>
  <c r="D105" i="10"/>
  <c r="N117" i="16"/>
  <c r="D117" i="16"/>
  <c r="N117" i="10"/>
  <c r="D117" i="10"/>
  <c r="D139" i="16"/>
  <c r="D139" i="10"/>
  <c r="N12" i="16"/>
  <c r="D12" i="16"/>
  <c r="R12" i="16"/>
  <c r="M12" i="16"/>
  <c r="M12" i="10"/>
  <c r="N12" i="10"/>
  <c r="D12" i="10"/>
  <c r="K12" i="5"/>
  <c r="I24" i="16"/>
  <c r="D24" i="16"/>
  <c r="N24" i="16"/>
  <c r="E24" i="16"/>
  <c r="N24" i="10"/>
  <c r="D24" i="10"/>
  <c r="R33" i="16"/>
  <c r="D33" i="16"/>
  <c r="N33" i="10"/>
  <c r="D33" i="10"/>
  <c r="R18" i="16"/>
  <c r="N18" i="16"/>
  <c r="M18" i="16" s="1"/>
  <c r="D18" i="16"/>
  <c r="R18" i="10"/>
  <c r="D18" i="10"/>
  <c r="D53" i="10"/>
  <c r="L71" i="5"/>
  <c r="R71" i="16"/>
  <c r="D71" i="16"/>
  <c r="N71" i="16"/>
  <c r="N71" i="10"/>
  <c r="R82" i="16"/>
  <c r="N82" i="16"/>
  <c r="R82" i="10"/>
  <c r="N82" i="10"/>
  <c r="N104" i="16"/>
  <c r="D104" i="16"/>
  <c r="D104" i="10"/>
  <c r="N104" i="10"/>
  <c r="D17" i="16"/>
  <c r="D17" i="10"/>
  <c r="D113" i="5"/>
  <c r="N113" i="16"/>
  <c r="D113" i="16"/>
  <c r="D113" i="10"/>
  <c r="N113" i="10"/>
  <c r="D21" i="16"/>
  <c r="R21" i="16"/>
  <c r="M21" i="16" s="1"/>
  <c r="E21" i="16"/>
  <c r="R30" i="16"/>
  <c r="N30" i="10"/>
  <c r="E42" i="16"/>
  <c r="N42" i="16"/>
  <c r="R42" i="10"/>
  <c r="D42" i="10"/>
  <c r="R50" i="16"/>
  <c r="N50" i="16"/>
  <c r="R50" i="10"/>
  <c r="D52" i="5"/>
  <c r="D52" i="16"/>
  <c r="D52" i="10"/>
  <c r="D68" i="16"/>
  <c r="N68" i="16"/>
  <c r="N68" i="10"/>
  <c r="D79" i="16"/>
  <c r="D85" i="5"/>
  <c r="D85" i="10"/>
  <c r="R93" i="16"/>
  <c r="D93" i="16"/>
  <c r="R93" i="10"/>
  <c r="D93" i="10"/>
  <c r="L107" i="5"/>
  <c r="N107" i="16"/>
  <c r="N107" i="10"/>
  <c r="R119" i="16"/>
  <c r="D119" i="16"/>
  <c r="R119" i="10"/>
  <c r="D119" i="10"/>
  <c r="D126" i="5"/>
  <c r="D126" i="16"/>
  <c r="D126" i="10"/>
  <c r="N130" i="16"/>
  <c r="D130" i="16"/>
  <c r="D130" i="10"/>
  <c r="N130" i="10"/>
  <c r="D114" i="16"/>
  <c r="N114" i="10"/>
  <c r="P47" i="5"/>
  <c r="D131" i="5"/>
  <c r="L12" i="5"/>
  <c r="L24" i="5"/>
  <c r="D24" i="5"/>
  <c r="L33" i="5"/>
  <c r="D123" i="5"/>
  <c r="P123" i="5"/>
  <c r="P59" i="5"/>
  <c r="D59" i="5"/>
  <c r="L68" i="5"/>
  <c r="P27" i="5"/>
  <c r="D58" i="5"/>
  <c r="P58" i="5"/>
  <c r="D74" i="5"/>
  <c r="P99" i="5"/>
  <c r="L105" i="5"/>
  <c r="D105" i="5"/>
  <c r="D117" i="5"/>
  <c r="L117" i="5"/>
  <c r="P21" i="5"/>
  <c r="K21" i="5" s="1"/>
  <c r="D30" i="5"/>
  <c r="L36" i="5"/>
  <c r="D36" i="5"/>
  <c r="L15" i="5"/>
  <c r="D42" i="5"/>
  <c r="D50" i="5"/>
  <c r="P18" i="5"/>
  <c r="D18" i="5"/>
  <c r="L62" i="5"/>
  <c r="P82" i="5"/>
  <c r="L123" i="5"/>
  <c r="L116" i="5"/>
  <c r="D116" i="5"/>
  <c r="L11" i="5"/>
  <c r="P14" i="5"/>
  <c r="L14" i="5"/>
  <c r="D20" i="5"/>
  <c r="P20" i="5"/>
  <c r="K20" i="5" s="1"/>
  <c r="L23" i="5"/>
  <c r="D23" i="5"/>
  <c r="P26" i="5"/>
  <c r="D26" i="5"/>
  <c r="D29" i="5"/>
  <c r="L32" i="5"/>
  <c r="D32" i="5"/>
  <c r="D38" i="5"/>
  <c r="L38" i="5"/>
  <c r="L41" i="5"/>
  <c r="D41" i="5"/>
  <c r="L49" i="5"/>
  <c r="P49" i="5"/>
  <c r="L61" i="5"/>
  <c r="D61" i="5"/>
  <c r="D64" i="5"/>
  <c r="L64" i="5"/>
  <c r="L67" i="5"/>
  <c r="P73" i="5"/>
  <c r="D73" i="5"/>
  <c r="P78" i="5"/>
  <c r="D78" i="5"/>
  <c r="P81" i="5"/>
  <c r="L81" i="5"/>
  <c r="L87" i="5"/>
  <c r="D87" i="5"/>
  <c r="P87" i="5"/>
  <c r="D90" i="5"/>
  <c r="L90" i="5"/>
  <c r="P35" i="5"/>
  <c r="D35" i="5"/>
  <c r="P93" i="5"/>
  <c r="D93" i="5"/>
  <c r="P98" i="5"/>
  <c r="D98" i="5"/>
  <c r="L101" i="5"/>
  <c r="L104" i="5"/>
  <c r="D104" i="5"/>
  <c r="D110" i="5"/>
  <c r="P119" i="5"/>
  <c r="D119" i="5"/>
  <c r="P122" i="5"/>
  <c r="D122" i="5"/>
  <c r="L130" i="5"/>
  <c r="D130" i="5"/>
  <c r="L113" i="5"/>
  <c r="D139" i="5"/>
  <c r="L122" i="5"/>
  <c r="D17" i="5"/>
  <c r="L32" i="9"/>
  <c r="L41" i="9"/>
  <c r="L10" i="9"/>
  <c r="E12" i="12"/>
  <c r="L9" i="9"/>
  <c r="E7" i="12"/>
  <c r="L16" i="9"/>
  <c r="L21" i="9"/>
  <c r="E20" i="12"/>
  <c r="P15" i="9"/>
  <c r="F14" i="12"/>
  <c r="L22" i="9"/>
  <c r="E21" i="12"/>
  <c r="C169" i="32"/>
  <c r="T205" i="39"/>
  <c r="Q143" i="24" l="1"/>
  <c r="G74" i="31"/>
  <c r="P89" i="31"/>
  <c r="P144" i="31"/>
  <c r="P54" i="38"/>
  <c r="P56" i="38" s="1"/>
  <c r="T25" i="39" s="1"/>
  <c r="G21" i="38"/>
  <c r="G22" i="38" s="1"/>
  <c r="C13" i="39" s="1"/>
  <c r="G73" i="24"/>
  <c r="P141" i="24"/>
  <c r="G124" i="31"/>
  <c r="U7" i="24"/>
  <c r="G51" i="24"/>
  <c r="G53" i="24" s="1"/>
  <c r="P89" i="24"/>
  <c r="G199" i="31"/>
  <c r="J44" i="31"/>
  <c r="P23" i="5"/>
  <c r="D20" i="10"/>
  <c r="D142" i="16"/>
  <c r="J130" i="24"/>
  <c r="Q46" i="24"/>
  <c r="G122" i="24"/>
  <c r="G51" i="31"/>
  <c r="G52" i="31" s="1"/>
  <c r="M23" i="16"/>
  <c r="M24" i="16"/>
  <c r="R24" i="16"/>
  <c r="J112" i="24"/>
  <c r="G65" i="24"/>
  <c r="J128" i="24"/>
  <c r="J143" i="24"/>
  <c r="P78" i="24"/>
  <c r="G42" i="24"/>
  <c r="G43" i="24" s="1"/>
  <c r="G91" i="31"/>
  <c r="D82" i="10"/>
  <c r="R23" i="16"/>
  <c r="Q121" i="24"/>
  <c r="P121" i="24" s="1"/>
  <c r="Q79" i="24"/>
  <c r="P71" i="38"/>
  <c r="T32" i="39" s="1"/>
  <c r="J37" i="31"/>
  <c r="G133" i="31"/>
  <c r="J142" i="24"/>
  <c r="G11" i="24"/>
  <c r="J145" i="31"/>
  <c r="J16" i="31"/>
  <c r="G36" i="38"/>
  <c r="G42" i="38"/>
  <c r="G44" i="38" s="1"/>
  <c r="O21" i="39" s="1"/>
  <c r="J155" i="24"/>
  <c r="J154" i="24"/>
  <c r="P133" i="24"/>
  <c r="D81" i="5"/>
  <c r="N32" i="16"/>
  <c r="G44" i="24"/>
  <c r="G79" i="24"/>
  <c r="Q76" i="24"/>
  <c r="G19" i="24"/>
  <c r="J136" i="24"/>
  <c r="P136" i="24"/>
  <c r="G98" i="24"/>
  <c r="P132" i="24"/>
  <c r="G71" i="31"/>
  <c r="H170" i="31"/>
  <c r="H43" i="38"/>
  <c r="D21" i="39" s="1"/>
  <c r="J168" i="31"/>
  <c r="J169" i="31" s="1"/>
  <c r="J137" i="31"/>
  <c r="J167" i="24"/>
  <c r="H155" i="24"/>
  <c r="P55" i="24"/>
  <c r="G109" i="24"/>
  <c r="G173" i="38"/>
  <c r="O180" i="39" s="1"/>
  <c r="G42" i="31"/>
  <c r="G43" i="31" s="1"/>
  <c r="P42" i="38"/>
  <c r="P44" i="38" s="1"/>
  <c r="T21" i="39" s="1"/>
  <c r="P89" i="38"/>
  <c r="T50" i="39" s="1"/>
  <c r="N33" i="16"/>
  <c r="G52" i="24"/>
  <c r="V40" i="12"/>
  <c r="P24" i="13"/>
  <c r="AG36" i="12"/>
  <c r="AG35" i="12"/>
  <c r="X44" i="12"/>
  <c r="W64" i="38"/>
  <c r="Q85" i="38"/>
  <c r="I49" i="39" s="1"/>
  <c r="Q22" i="38"/>
  <c r="I13" i="39" s="1"/>
  <c r="P82" i="38"/>
  <c r="H48" i="39" s="1"/>
  <c r="Q67" i="38"/>
  <c r="I29" i="39" s="1"/>
  <c r="W55" i="38"/>
  <c r="L25" i="39" s="1"/>
  <c r="P40" i="38"/>
  <c r="H20" i="39" s="1"/>
  <c r="W166" i="38"/>
  <c r="L167" i="39" s="1"/>
  <c r="U52" i="38"/>
  <c r="K24" i="39" s="1"/>
  <c r="J37" i="38"/>
  <c r="E18" i="39" s="1"/>
  <c r="P55" i="38"/>
  <c r="H25" i="39" s="1"/>
  <c r="P143" i="24"/>
  <c r="Q76" i="38"/>
  <c r="P76" i="38" s="1"/>
  <c r="H35" i="39" s="1"/>
  <c r="H88" i="38"/>
  <c r="D50" i="39" s="1"/>
  <c r="Q17" i="31"/>
  <c r="D4" i="12"/>
  <c r="J14" i="31"/>
  <c r="Q11" i="31"/>
  <c r="Q38" i="38"/>
  <c r="U18" i="39" s="1"/>
  <c r="H20" i="38"/>
  <c r="P12" i="39" s="1"/>
  <c r="W34" i="12"/>
  <c r="V39" i="12"/>
  <c r="U38" i="12"/>
  <c r="X37" i="12"/>
  <c r="X35" i="12"/>
  <c r="U31" i="12"/>
  <c r="U37" i="12"/>
  <c r="V31" i="12"/>
  <c r="V32" i="12"/>
  <c r="AG30" i="12"/>
  <c r="AJ25" i="12"/>
  <c r="AJ31" i="12"/>
  <c r="AG42" i="12"/>
  <c r="AI38" i="12"/>
  <c r="AB24" i="13"/>
  <c r="P116" i="38"/>
  <c r="T92" i="39" s="1"/>
  <c r="U92" i="39"/>
  <c r="L82" i="5"/>
  <c r="P50" i="5"/>
  <c r="P36" i="5"/>
  <c r="D21" i="5"/>
  <c r="P74" i="5"/>
  <c r="D27" i="5"/>
  <c r="D33" i="5"/>
  <c r="D12" i="5"/>
  <c r="M68" i="16"/>
  <c r="D50" i="10"/>
  <c r="M50" i="16"/>
  <c r="M42" i="16"/>
  <c r="R42" i="16"/>
  <c r="R21" i="10"/>
  <c r="M21" i="10" s="1"/>
  <c r="D82" i="16"/>
  <c r="M71" i="16"/>
  <c r="E33" i="16"/>
  <c r="P12" i="5"/>
  <c r="R12" i="10"/>
  <c r="E12" i="16"/>
  <c r="D99" i="10"/>
  <c r="M35" i="16"/>
  <c r="D74" i="16"/>
  <c r="D56" i="5"/>
  <c r="R36" i="16"/>
  <c r="M36" i="16" s="1"/>
  <c r="D70" i="16"/>
  <c r="N123" i="10"/>
  <c r="D123" i="16"/>
  <c r="N62" i="16"/>
  <c r="Q21" i="28"/>
  <c r="G8" i="24"/>
  <c r="U8" i="24"/>
  <c r="H7" i="24"/>
  <c r="W32" i="24"/>
  <c r="Q32" i="24"/>
  <c r="J29" i="24"/>
  <c r="Q155" i="24"/>
  <c r="P155" i="24" s="1"/>
  <c r="W44" i="24"/>
  <c r="L44" i="24"/>
  <c r="G68" i="24"/>
  <c r="P85" i="24"/>
  <c r="P106" i="24"/>
  <c r="H74" i="24"/>
  <c r="G101" i="24"/>
  <c r="Q116" i="24"/>
  <c r="P116" i="24" s="1"/>
  <c r="H167" i="24"/>
  <c r="J38" i="24"/>
  <c r="U38" i="24"/>
  <c r="P38" i="24" s="1"/>
  <c r="H152" i="24"/>
  <c r="J62" i="24"/>
  <c r="H164" i="24"/>
  <c r="L80" i="24"/>
  <c r="P50" i="24"/>
  <c r="G50" i="24"/>
  <c r="H131" i="24"/>
  <c r="G131" i="24"/>
  <c r="H143" i="24"/>
  <c r="H17" i="24"/>
  <c r="P31" i="24"/>
  <c r="J125" i="24"/>
  <c r="L83" i="24"/>
  <c r="G113" i="24"/>
  <c r="U23" i="24"/>
  <c r="P112" i="38"/>
  <c r="H86" i="39" s="1"/>
  <c r="P160" i="38"/>
  <c r="H163" i="39" s="1"/>
  <c r="P44" i="31"/>
  <c r="H74" i="31"/>
  <c r="G17" i="31"/>
  <c r="P8" i="31"/>
  <c r="G80" i="31"/>
  <c r="J191" i="31"/>
  <c r="G62" i="31"/>
  <c r="H7" i="31"/>
  <c r="U116" i="31"/>
  <c r="P116" i="31" s="1"/>
  <c r="Q38" i="31"/>
  <c r="J83" i="31"/>
  <c r="J50" i="31"/>
  <c r="G50" i="31"/>
  <c r="J182" i="31"/>
  <c r="G170" i="31"/>
  <c r="U101" i="31"/>
  <c r="P101" i="31" s="1"/>
  <c r="H124" i="38"/>
  <c r="D116" i="39" s="1"/>
  <c r="G10" i="38"/>
  <c r="C9" i="39" s="1"/>
  <c r="G25" i="38"/>
  <c r="C14" i="39" s="1"/>
  <c r="Q31" i="38"/>
  <c r="Q7" i="38"/>
  <c r="I8" i="39" s="1"/>
  <c r="J173" i="38"/>
  <c r="Q180" i="39" s="1"/>
  <c r="G113" i="38"/>
  <c r="O86" i="39" s="1"/>
  <c r="J38" i="38"/>
  <c r="Q18" i="39" s="1"/>
  <c r="G8" i="38"/>
  <c r="O8" i="39" s="1"/>
  <c r="H172" i="38"/>
  <c r="D180" i="39" s="1"/>
  <c r="J157" i="38"/>
  <c r="E161" i="39" s="1"/>
  <c r="J100" i="38"/>
  <c r="E60" i="39" s="1"/>
  <c r="W46" i="38"/>
  <c r="L22" i="39" s="1"/>
  <c r="J149" i="38"/>
  <c r="Q137" i="39" s="1"/>
  <c r="H17" i="38"/>
  <c r="P11" i="39" s="1"/>
  <c r="H70" i="38"/>
  <c r="D32" i="39" s="1"/>
  <c r="G169" i="38"/>
  <c r="C168" i="39" s="1"/>
  <c r="J181" i="38"/>
  <c r="E184" i="39" s="1"/>
  <c r="G112" i="38"/>
  <c r="C86" i="39" s="1"/>
  <c r="L76" i="38"/>
  <c r="F35" i="39" s="1"/>
  <c r="W80" i="38"/>
  <c r="X37" i="39" s="1"/>
  <c r="U50" i="38"/>
  <c r="W23" i="39" s="1"/>
  <c r="Q121" i="38"/>
  <c r="I108" i="39" s="1"/>
  <c r="G58" i="38"/>
  <c r="C26" i="39" s="1"/>
  <c r="Q58" i="38"/>
  <c r="I26" i="39" s="1"/>
  <c r="P29" i="38"/>
  <c r="T15" i="39" s="1"/>
  <c r="D62" i="5"/>
  <c r="L50" i="5"/>
  <c r="L42" i="5"/>
  <c r="D99" i="5"/>
  <c r="D85" i="16"/>
  <c r="N50" i="10"/>
  <c r="D50" i="16"/>
  <c r="N42" i="10"/>
  <c r="D42" i="16"/>
  <c r="R99" i="16"/>
  <c r="D74" i="10"/>
  <c r="R27" i="16"/>
  <c r="D62" i="10"/>
  <c r="D111" i="10"/>
  <c r="H8" i="24"/>
  <c r="G29" i="24"/>
  <c r="U29" i="24"/>
  <c r="P44" i="24"/>
  <c r="H44" i="24"/>
  <c r="J101" i="24"/>
  <c r="H38" i="24"/>
  <c r="G152" i="24"/>
  <c r="G62" i="24"/>
  <c r="Q62" i="24"/>
  <c r="P62" i="24" s="1"/>
  <c r="H80" i="24"/>
  <c r="W80" i="24"/>
  <c r="P80" i="24" s="1"/>
  <c r="Q50" i="24"/>
  <c r="J50" i="24"/>
  <c r="U131" i="24"/>
  <c r="G143" i="24"/>
  <c r="L143" i="24"/>
  <c r="L17" i="24"/>
  <c r="U17" i="24"/>
  <c r="P17" i="24" s="1"/>
  <c r="G125" i="24"/>
  <c r="P83" i="24"/>
  <c r="H83" i="24"/>
  <c r="Q56" i="24"/>
  <c r="P160" i="24"/>
  <c r="U113" i="24"/>
  <c r="P113" i="24" s="1"/>
  <c r="P172" i="38"/>
  <c r="H180" i="39" s="1"/>
  <c r="W32" i="31"/>
  <c r="U8" i="31"/>
  <c r="G116" i="31"/>
  <c r="H143" i="31"/>
  <c r="G38" i="31"/>
  <c r="P29" i="31"/>
  <c r="Q50" i="31"/>
  <c r="J170" i="31"/>
  <c r="P8" i="32"/>
  <c r="U145" i="38"/>
  <c r="K134" i="39" s="1"/>
  <c r="H10" i="38"/>
  <c r="D9" i="39" s="1"/>
  <c r="W25" i="38"/>
  <c r="L14" i="39" s="1"/>
  <c r="L148" i="38"/>
  <c r="F137" i="39" s="1"/>
  <c r="G7" i="38"/>
  <c r="C8" i="39" s="1"/>
  <c r="J7" i="38"/>
  <c r="E8" i="39" s="1"/>
  <c r="Q157" i="38"/>
  <c r="P157" i="38" s="1"/>
  <c r="H161" i="39" s="1"/>
  <c r="H133" i="38"/>
  <c r="D123" i="39" s="1"/>
  <c r="G100" i="38"/>
  <c r="C60" i="39" s="1"/>
  <c r="J46" i="38"/>
  <c r="E22" i="39" s="1"/>
  <c r="J112" i="38"/>
  <c r="E86" i="39" s="1"/>
  <c r="P50" i="38"/>
  <c r="T23" i="39" s="1"/>
  <c r="W121" i="38"/>
  <c r="L108" i="39" s="1"/>
  <c r="L58" i="38"/>
  <c r="F26" i="39" s="1"/>
  <c r="G161" i="38"/>
  <c r="O163" i="39" s="1"/>
  <c r="AG27" i="12"/>
  <c r="AH27" i="12"/>
  <c r="AG37" i="12"/>
  <c r="W28" i="12"/>
  <c r="V36" i="12"/>
  <c r="AI34" i="12"/>
  <c r="X28" i="12"/>
  <c r="W43" i="12"/>
  <c r="V42" i="12"/>
  <c r="U41" i="12"/>
  <c r="AH36" i="12"/>
  <c r="W42" i="12"/>
  <c r="AI36" i="12"/>
  <c r="AG31" i="12"/>
  <c r="AG41" i="12"/>
  <c r="V44" i="12"/>
  <c r="V24" i="12"/>
  <c r="AG33" i="12"/>
  <c r="X36" i="12"/>
  <c r="T204" i="28"/>
  <c r="AG24" i="12"/>
  <c r="AH31" i="12"/>
  <c r="H204" i="28"/>
  <c r="H204" i="32"/>
  <c r="V30" i="12"/>
  <c r="T204" i="32"/>
  <c r="W27" i="12"/>
  <c r="U36" i="12"/>
  <c r="AH40" i="12"/>
  <c r="U24" i="12"/>
  <c r="AH38" i="12"/>
  <c r="U33" i="12"/>
  <c r="AG34" i="12"/>
  <c r="U42" i="12"/>
  <c r="X25" i="12"/>
  <c r="X26" i="12"/>
  <c r="X34" i="12"/>
  <c r="W36" i="12"/>
  <c r="V37" i="12"/>
  <c r="U39" i="12"/>
  <c r="X40" i="12"/>
  <c r="W41" i="12"/>
  <c r="AJ38" i="12"/>
  <c r="X38" i="12"/>
  <c r="AG38" i="12"/>
  <c r="AH24" i="12"/>
  <c r="U25" i="12"/>
  <c r="U26" i="12"/>
  <c r="X27" i="12"/>
  <c r="X29" i="12"/>
  <c r="W30" i="12"/>
  <c r="W31" i="12"/>
  <c r="W32" i="12"/>
  <c r="V33" i="12"/>
  <c r="U34" i="12"/>
  <c r="U35" i="12"/>
  <c r="X39" i="12"/>
  <c r="W40" i="12"/>
  <c r="U43" i="12"/>
  <c r="U44" i="12"/>
  <c r="V25" i="12"/>
  <c r="V26" i="12"/>
  <c r="U28" i="12"/>
  <c r="U29" i="12"/>
  <c r="X30" i="12"/>
  <c r="X31" i="12"/>
  <c r="X32" i="12"/>
  <c r="W39" i="12"/>
  <c r="X42" i="12"/>
  <c r="X43" i="12"/>
  <c r="W24" i="12"/>
  <c r="AI27" i="12"/>
  <c r="V27" i="12"/>
  <c r="V28" i="12"/>
  <c r="V29" i="12"/>
  <c r="U30" i="12"/>
  <c r="U32" i="12"/>
  <c r="X33" i="12"/>
  <c r="V35" i="12"/>
  <c r="W37" i="12"/>
  <c r="V38" i="12"/>
  <c r="W44" i="12"/>
  <c r="X24" i="12"/>
  <c r="W25" i="12"/>
  <c r="W26" i="12"/>
  <c r="U27" i="12"/>
  <c r="W29" i="12"/>
  <c r="W33" i="12"/>
  <c r="V34" i="12"/>
  <c r="W35" i="12"/>
  <c r="W38" i="12"/>
  <c r="U40" i="12"/>
  <c r="X41" i="12"/>
  <c r="V43" i="12"/>
  <c r="P13" i="31"/>
  <c r="U7" i="31"/>
  <c r="P139" i="24"/>
  <c r="P46" i="24"/>
  <c r="P37" i="24"/>
  <c r="P10" i="24"/>
  <c r="J40" i="24"/>
  <c r="P85" i="31"/>
  <c r="P37" i="31"/>
  <c r="P142" i="24"/>
  <c r="P13" i="24"/>
  <c r="Q35" i="38"/>
  <c r="U17" i="39" s="1"/>
  <c r="Q35" i="31"/>
  <c r="E39" i="16"/>
  <c r="G35" i="31"/>
  <c r="H35" i="24"/>
  <c r="N39" i="10"/>
  <c r="P107" i="24"/>
  <c r="P103" i="24"/>
  <c r="P142" i="31"/>
  <c r="P11" i="5"/>
  <c r="R11" i="10"/>
  <c r="P88" i="24"/>
  <c r="P65" i="24"/>
  <c r="P58" i="38"/>
  <c r="H26" i="39" s="1"/>
  <c r="H40" i="38"/>
  <c r="D20" i="39" s="1"/>
  <c r="P76" i="24"/>
  <c r="P79" i="31"/>
  <c r="P121" i="31"/>
  <c r="P19" i="31"/>
  <c r="J62" i="38"/>
  <c r="Q27" i="39" s="1"/>
  <c r="P27" i="33"/>
  <c r="G64" i="31"/>
  <c r="P10" i="9"/>
  <c r="R11" i="16"/>
  <c r="G59" i="38"/>
  <c r="O26" i="39" s="1"/>
  <c r="G61" i="31"/>
  <c r="P26" i="31"/>
  <c r="I7" i="11"/>
  <c r="I11" i="11" s="1"/>
  <c r="I17" i="11" s="1"/>
  <c r="P25" i="31"/>
  <c r="P26" i="24"/>
  <c r="P25" i="24"/>
  <c r="H194" i="38"/>
  <c r="Q203" i="31"/>
  <c r="P203" i="31" s="1"/>
  <c r="H203" i="31"/>
  <c r="T77" i="21"/>
  <c r="J95" i="38"/>
  <c r="Q56" i="39" s="1"/>
  <c r="G95" i="31"/>
  <c r="D94" i="16"/>
  <c r="L95" i="38"/>
  <c r="R56" i="39" s="1"/>
  <c r="U95" i="31"/>
  <c r="P95" i="31" s="1"/>
  <c r="G95" i="24"/>
  <c r="P94" i="5"/>
  <c r="L95" i="24"/>
  <c r="R94" i="10"/>
  <c r="J95" i="31"/>
  <c r="J95" i="24"/>
  <c r="D94" i="10"/>
  <c r="H95" i="24"/>
  <c r="R94" i="16"/>
  <c r="H95" i="31"/>
  <c r="U95" i="24"/>
  <c r="P95" i="24" s="1"/>
  <c r="D94" i="5"/>
  <c r="G161" i="24"/>
  <c r="D134" i="10"/>
  <c r="J161" i="24"/>
  <c r="D134" i="16"/>
  <c r="H116" i="38"/>
  <c r="P92" i="39" s="1"/>
  <c r="J116" i="24"/>
  <c r="D91" i="5"/>
  <c r="D102" i="5"/>
  <c r="R30" i="10"/>
  <c r="D53" i="16"/>
  <c r="R15" i="10"/>
  <c r="D131" i="10"/>
  <c r="D102" i="16"/>
  <c r="D15" i="5"/>
  <c r="L65" i="5"/>
  <c r="D39" i="5"/>
  <c r="D30" i="16"/>
  <c r="D91" i="16"/>
  <c r="D67" i="16"/>
  <c r="N65" i="16"/>
  <c r="N131" i="10"/>
  <c r="D140" i="16"/>
  <c r="P199" i="28"/>
  <c r="Q47" i="24"/>
  <c r="P15" i="5"/>
  <c r="L131" i="5"/>
  <c r="R79" i="10"/>
  <c r="D30" i="10"/>
  <c r="E30" i="16"/>
  <c r="D53" i="5"/>
  <c r="N91" i="16"/>
  <c r="D65" i="10"/>
  <c r="E65" i="16"/>
  <c r="D39" i="10"/>
  <c r="R39" i="16"/>
  <c r="D15" i="10"/>
  <c r="E15" i="16"/>
  <c r="D131" i="16"/>
  <c r="D120" i="10"/>
  <c r="D102" i="10"/>
  <c r="D143" i="10"/>
  <c r="W58" i="21"/>
  <c r="G77" i="24"/>
  <c r="G35" i="24"/>
  <c r="G47" i="24"/>
  <c r="U47" i="24"/>
  <c r="Q104" i="24"/>
  <c r="P104" i="24" s="1"/>
  <c r="J104" i="24"/>
  <c r="G173" i="24"/>
  <c r="P173" i="24"/>
  <c r="H11" i="24"/>
  <c r="U11" i="24"/>
  <c r="J14" i="24"/>
  <c r="P59" i="24"/>
  <c r="J59" i="24"/>
  <c r="P19" i="24"/>
  <c r="H86" i="24"/>
  <c r="P118" i="24"/>
  <c r="G149" i="24"/>
  <c r="Q92" i="24"/>
  <c r="P92" i="24" s="1"/>
  <c r="P145" i="31"/>
  <c r="P106" i="31"/>
  <c r="G197" i="31"/>
  <c r="P31" i="31"/>
  <c r="J164" i="31"/>
  <c r="Q14" i="31"/>
  <c r="G11" i="31"/>
  <c r="W59" i="31"/>
  <c r="G107" i="31"/>
  <c r="P200" i="31"/>
  <c r="P16" i="31"/>
  <c r="J131" i="31"/>
  <c r="L35" i="31"/>
  <c r="U77" i="31"/>
  <c r="U52" i="33"/>
  <c r="G73" i="38"/>
  <c r="C34" i="39" s="1"/>
  <c r="J59" i="38"/>
  <c r="Q26" i="39" s="1"/>
  <c r="G47" i="38"/>
  <c r="O22" i="39" s="1"/>
  <c r="J97" i="38"/>
  <c r="E57" i="39" s="1"/>
  <c r="G61" i="38"/>
  <c r="C27" i="39" s="1"/>
  <c r="H86" i="38"/>
  <c r="P49" i="39" s="1"/>
  <c r="J191" i="38"/>
  <c r="Q200" i="39" s="1"/>
  <c r="Q137" i="38"/>
  <c r="U124" i="39" s="1"/>
  <c r="Q11" i="38"/>
  <c r="U9" i="39" s="1"/>
  <c r="Q50" i="38"/>
  <c r="U23" i="39" s="1"/>
  <c r="P23" i="28"/>
  <c r="P11" i="24"/>
  <c r="D65" i="5"/>
  <c r="D140" i="5"/>
  <c r="N30" i="16"/>
  <c r="M30" i="16" s="1"/>
  <c r="N91" i="10"/>
  <c r="D65" i="16"/>
  <c r="M39" i="16"/>
  <c r="R15" i="16"/>
  <c r="M15" i="16" s="1"/>
  <c r="D143" i="5"/>
  <c r="G137" i="24"/>
  <c r="Q35" i="24"/>
  <c r="L47" i="24"/>
  <c r="G104" i="24"/>
  <c r="U134" i="24"/>
  <c r="J173" i="24"/>
  <c r="J11" i="24"/>
  <c r="H14" i="24"/>
  <c r="U14" i="24"/>
  <c r="P14" i="24" s="1"/>
  <c r="G59" i="24"/>
  <c r="Q59" i="24"/>
  <c r="Q115" i="24"/>
  <c r="P115" i="24" s="1"/>
  <c r="J86" i="24"/>
  <c r="U86" i="24"/>
  <c r="H92" i="24"/>
  <c r="U86" i="39"/>
  <c r="P46" i="31"/>
  <c r="U149" i="31"/>
  <c r="G47" i="31"/>
  <c r="Q86" i="31"/>
  <c r="P86" i="31" s="1"/>
  <c r="H92" i="31"/>
  <c r="J11" i="31"/>
  <c r="P59" i="31"/>
  <c r="L200" i="31"/>
  <c r="P35" i="31"/>
  <c r="W17" i="32"/>
  <c r="U48" i="33"/>
  <c r="H59" i="38"/>
  <c r="P26" i="39" s="1"/>
  <c r="J47" i="38"/>
  <c r="Q22" i="39" s="1"/>
  <c r="G130" i="38"/>
  <c r="C122" i="39" s="1"/>
  <c r="Q79" i="38"/>
  <c r="Q188" i="38"/>
  <c r="G35" i="38"/>
  <c r="O17" i="39" s="1"/>
  <c r="P191" i="38"/>
  <c r="T200" i="39" s="1"/>
  <c r="H104" i="38"/>
  <c r="P77" i="39" s="1"/>
  <c r="J26" i="38"/>
  <c r="Q14" i="39" s="1"/>
  <c r="F46" i="21"/>
  <c r="L39" i="5"/>
  <c r="L30" i="5"/>
  <c r="L91" i="5"/>
  <c r="L102" i="5"/>
  <c r="P30" i="5"/>
  <c r="I30" i="16"/>
  <c r="D39" i="16"/>
  <c r="D15" i="16"/>
  <c r="N102" i="16"/>
  <c r="P35" i="24"/>
  <c r="U35" i="24"/>
  <c r="J47" i="24"/>
  <c r="P79" i="24"/>
  <c r="H104" i="24"/>
  <c r="L173" i="24"/>
  <c r="L11" i="24"/>
  <c r="G14" i="24"/>
  <c r="H59" i="24"/>
  <c r="U59" i="24"/>
  <c r="G86" i="24"/>
  <c r="P16" i="24"/>
  <c r="J197" i="31"/>
  <c r="Q92" i="31"/>
  <c r="P92" i="31" s="1"/>
  <c r="J59" i="31"/>
  <c r="P175" i="31"/>
  <c r="P97" i="31"/>
  <c r="H35" i="31"/>
  <c r="P88" i="31"/>
  <c r="P17" i="21"/>
  <c r="P38" i="21"/>
  <c r="J184" i="38"/>
  <c r="E188" i="39" s="1"/>
  <c r="U79" i="38"/>
  <c r="K37" i="39" s="1"/>
  <c r="L35" i="38"/>
  <c r="R17" i="39" s="1"/>
  <c r="G142" i="38"/>
  <c r="C128" i="39" s="1"/>
  <c r="L127" i="32"/>
  <c r="L11" i="9"/>
  <c r="F6" i="12"/>
  <c r="E36" i="21"/>
  <c r="Q167" i="33"/>
  <c r="T32" i="28"/>
  <c r="O11" i="33"/>
  <c r="W28" i="28"/>
  <c r="X15" i="33"/>
  <c r="W49" i="32"/>
  <c r="O8" i="32"/>
  <c r="T17" i="28"/>
  <c r="E8" i="21"/>
  <c r="P8" i="33"/>
  <c r="P12" i="9"/>
  <c r="C11" i="12"/>
  <c r="D8" i="28"/>
  <c r="U49" i="28"/>
  <c r="Q15" i="21"/>
  <c r="P21" i="28"/>
  <c r="I27" i="21"/>
  <c r="W34" i="33"/>
  <c r="D56" i="21"/>
  <c r="E17" i="12"/>
  <c r="I22" i="21"/>
  <c r="P9" i="33"/>
  <c r="O10" i="21"/>
  <c r="T23" i="21"/>
  <c r="Q44" i="21"/>
  <c r="W55" i="21"/>
  <c r="L8" i="28"/>
  <c r="K13" i="21"/>
  <c r="O49" i="28"/>
  <c r="W85" i="33"/>
  <c r="I27" i="32"/>
  <c r="D61" i="21"/>
  <c r="C79" i="32"/>
  <c r="T17" i="21"/>
  <c r="D11" i="28"/>
  <c r="K17" i="32"/>
  <c r="X9" i="21"/>
  <c r="C140" i="28"/>
  <c r="K15" i="21"/>
  <c r="K85" i="32"/>
  <c r="Q57" i="28"/>
  <c r="U8" i="32"/>
  <c r="U136" i="28"/>
  <c r="W37" i="21"/>
  <c r="E15" i="21"/>
  <c r="P45" i="21"/>
  <c r="X21" i="21"/>
  <c r="X122" i="32"/>
  <c r="H8" i="32"/>
  <c r="L8" i="32"/>
  <c r="X8" i="28"/>
  <c r="U40" i="21"/>
  <c r="K133" i="32"/>
  <c r="Q164" i="33"/>
  <c r="I24" i="33"/>
  <c r="R17" i="28"/>
  <c r="T23" i="28"/>
  <c r="U67" i="21"/>
  <c r="Q67" i="21"/>
  <c r="T25" i="21"/>
  <c r="Q64" i="21"/>
  <c r="P44" i="21"/>
  <c r="Q36" i="21"/>
  <c r="U49" i="33"/>
  <c r="E8" i="28"/>
  <c r="P9" i="32"/>
  <c r="O18" i="33"/>
  <c r="P11" i="21"/>
  <c r="U8" i="21"/>
  <c r="O8" i="21"/>
  <c r="E12" i="32"/>
  <c r="F8" i="21"/>
  <c r="Q145" i="32"/>
  <c r="X22" i="32"/>
  <c r="X21" i="32"/>
  <c r="R18" i="28"/>
  <c r="W26" i="28"/>
  <c r="T26" i="28"/>
  <c r="I16" i="21"/>
  <c r="D29" i="21"/>
  <c r="K60" i="21"/>
  <c r="Q55" i="21"/>
  <c r="Q16" i="21"/>
  <c r="P34" i="21"/>
  <c r="P31" i="21"/>
  <c r="Q48" i="28"/>
  <c r="U49" i="32"/>
  <c r="E8" i="33"/>
  <c r="K13" i="28"/>
  <c r="D11" i="33"/>
  <c r="F55" i="28"/>
  <c r="C62" i="21"/>
  <c r="U8" i="28"/>
  <c r="K17" i="21"/>
  <c r="E12" i="21"/>
  <c r="X8" i="21"/>
  <c r="E59" i="32"/>
  <c r="P37" i="28"/>
  <c r="E15" i="28"/>
  <c r="F55" i="21"/>
  <c r="R34" i="21"/>
  <c r="Q22" i="21"/>
  <c r="W45" i="21"/>
  <c r="W26" i="21"/>
  <c r="L68" i="21"/>
  <c r="Q21" i="21"/>
  <c r="Q48" i="33"/>
  <c r="W49" i="28"/>
  <c r="U37" i="21"/>
  <c r="E8" i="32"/>
  <c r="K85" i="28"/>
  <c r="K13" i="33"/>
  <c r="F55" i="33"/>
  <c r="D11" i="32"/>
  <c r="C8" i="21"/>
  <c r="P9" i="21"/>
  <c r="E12" i="33"/>
  <c r="E12" i="28"/>
  <c r="X9" i="28"/>
  <c r="R8" i="21"/>
  <c r="X122" i="28"/>
  <c r="C79" i="28"/>
  <c r="F79" i="28"/>
  <c r="Q15" i="28"/>
  <c r="X56" i="21"/>
  <c r="L56" i="21"/>
  <c r="W56" i="21"/>
  <c r="C46" i="21"/>
  <c r="P23" i="21"/>
  <c r="T26" i="21"/>
  <c r="Q56" i="21"/>
  <c r="Q48" i="32"/>
  <c r="W85" i="28"/>
  <c r="W49" i="33"/>
  <c r="K85" i="33"/>
  <c r="I27" i="33"/>
  <c r="K13" i="32"/>
  <c r="F55" i="32"/>
  <c r="O8" i="33"/>
  <c r="F39" i="21"/>
  <c r="P8" i="28"/>
  <c r="O8" i="28"/>
  <c r="F8" i="33"/>
  <c r="F8" i="28"/>
  <c r="L9" i="21"/>
  <c r="R19" i="21"/>
  <c r="D136" i="28"/>
  <c r="I125" i="32"/>
  <c r="F9" i="32"/>
  <c r="E74" i="21"/>
  <c r="I24" i="21"/>
  <c r="E42" i="21"/>
  <c r="X28" i="21"/>
  <c r="Q54" i="21"/>
  <c r="D10" i="21"/>
  <c r="P47" i="21"/>
  <c r="P39" i="21"/>
  <c r="O47" i="21"/>
  <c r="W85" i="32"/>
  <c r="O49" i="33"/>
  <c r="O37" i="21"/>
  <c r="T17" i="33"/>
  <c r="C140" i="33"/>
  <c r="U10" i="28"/>
  <c r="K17" i="28"/>
  <c r="D8" i="33"/>
  <c r="I27" i="28"/>
  <c r="K15" i="28"/>
  <c r="U61" i="21"/>
  <c r="T17" i="32"/>
  <c r="U8" i="33"/>
  <c r="K17" i="33"/>
  <c r="D8" i="21"/>
  <c r="D11" i="21"/>
  <c r="K33" i="21"/>
  <c r="X57" i="21"/>
  <c r="F8" i="32"/>
  <c r="R8" i="28"/>
  <c r="L8" i="21"/>
  <c r="Q30" i="21"/>
  <c r="X76" i="28"/>
  <c r="D122" i="28"/>
  <c r="X16" i="28"/>
  <c r="R37" i="28"/>
  <c r="R23" i="28"/>
  <c r="F9" i="21"/>
  <c r="R9" i="28"/>
  <c r="I24" i="28"/>
  <c r="O67" i="21"/>
  <c r="I58" i="21"/>
  <c r="Q65" i="21"/>
  <c r="Q45" i="21"/>
  <c r="K45" i="21"/>
  <c r="W47" i="21"/>
  <c r="O49" i="32"/>
  <c r="K47" i="21"/>
  <c r="K35" i="28"/>
  <c r="C140" i="32"/>
  <c r="D8" i="32"/>
  <c r="P9" i="28"/>
  <c r="U22" i="21"/>
  <c r="R45" i="21"/>
  <c r="O30" i="32"/>
  <c r="L9" i="28"/>
  <c r="R37" i="21"/>
  <c r="L67" i="21"/>
  <c r="R9" i="32"/>
  <c r="D122" i="32"/>
  <c r="C162" i="28"/>
  <c r="L57" i="21"/>
  <c r="F9" i="28"/>
  <c r="P15" i="28"/>
  <c r="O25" i="28"/>
  <c r="Q18" i="33"/>
  <c r="T13" i="32"/>
  <c r="T15" i="32"/>
  <c r="P21" i="32"/>
  <c r="O24" i="28"/>
  <c r="Q12" i="33"/>
  <c r="Q85" i="28"/>
  <c r="W15" i="33"/>
  <c r="O32" i="21"/>
  <c r="Q51" i="21"/>
  <c r="Q24" i="32"/>
  <c r="U24" i="32"/>
  <c r="R21" i="21"/>
  <c r="W11" i="32"/>
  <c r="W28" i="32"/>
  <c r="Q199" i="28"/>
  <c r="Q34" i="28"/>
  <c r="O15" i="32"/>
  <c r="U18" i="21"/>
  <c r="O28" i="28"/>
  <c r="P32" i="21"/>
  <c r="H27" i="28"/>
  <c r="W12" i="32"/>
  <c r="W18" i="21"/>
  <c r="X91" i="28"/>
  <c r="X49" i="28"/>
  <c r="O58" i="28"/>
  <c r="X20" i="28"/>
  <c r="X10" i="28"/>
  <c r="W27" i="28"/>
  <c r="L58" i="28"/>
  <c r="U20" i="28"/>
  <c r="R10" i="28"/>
  <c r="H19" i="28"/>
  <c r="Q58" i="28"/>
  <c r="L20" i="28"/>
  <c r="P14" i="28"/>
  <c r="U15" i="21"/>
  <c r="U62" i="21"/>
  <c r="F57" i="21"/>
  <c r="U31" i="21"/>
  <c r="X54" i="21"/>
  <c r="P37" i="21"/>
  <c r="W65" i="21"/>
  <c r="L58" i="21"/>
  <c r="R48" i="21"/>
  <c r="I28" i="21"/>
  <c r="K62" i="21"/>
  <c r="R36" i="21"/>
  <c r="W44" i="21"/>
  <c r="L47" i="21"/>
  <c r="Q62" i="21"/>
  <c r="R47" i="21"/>
  <c r="X48" i="21"/>
  <c r="I42" i="21"/>
  <c r="X66" i="21"/>
  <c r="L62" i="21"/>
  <c r="T14" i="21"/>
  <c r="W100" i="28"/>
  <c r="L55" i="28"/>
  <c r="X30" i="28"/>
  <c r="X19" i="28"/>
  <c r="F24" i="28"/>
  <c r="W30" i="28"/>
  <c r="W19" i="28"/>
  <c r="C19" i="28"/>
  <c r="K58" i="28"/>
  <c r="U19" i="28"/>
  <c r="I14" i="28"/>
  <c r="X20" i="21"/>
  <c r="R65" i="21"/>
  <c r="F58" i="21"/>
  <c r="X35" i="21"/>
  <c r="T62" i="21"/>
  <c r="W38" i="21"/>
  <c r="L10" i="21"/>
  <c r="F40" i="21"/>
  <c r="W51" i="21"/>
  <c r="I54" i="21"/>
  <c r="X18" i="21"/>
  <c r="X64" i="21"/>
  <c r="X61" i="21"/>
  <c r="K54" i="21"/>
  <c r="K66" i="21"/>
  <c r="T54" i="21"/>
  <c r="L54" i="21"/>
  <c r="L31" i="21"/>
  <c r="F12" i="21"/>
  <c r="U117" i="28"/>
  <c r="X57" i="28"/>
  <c r="R30" i="28"/>
  <c r="R19" i="28"/>
  <c r="I20" i="28"/>
  <c r="Q30" i="28"/>
  <c r="Q19" i="28"/>
  <c r="X12" i="28"/>
  <c r="L17" i="28"/>
  <c r="U30" i="28"/>
  <c r="P19" i="28"/>
  <c r="X11" i="28"/>
  <c r="W27" i="21"/>
  <c r="F60" i="21"/>
  <c r="W64" i="21"/>
  <c r="K51" i="21"/>
  <c r="U42" i="21"/>
  <c r="L18" i="21"/>
  <c r="X10" i="21"/>
  <c r="R56" i="21"/>
  <c r="L61" i="21"/>
  <c r="X46" i="21"/>
  <c r="L38" i="21"/>
  <c r="R64" i="21"/>
  <c r="H62" i="21"/>
  <c r="X13" i="21"/>
  <c r="R12" i="21"/>
  <c r="R57" i="21"/>
  <c r="I62" i="21"/>
  <c r="L48" i="21"/>
  <c r="X31" i="21"/>
  <c r="H117" i="28"/>
  <c r="T140" i="28"/>
  <c r="U57" i="28"/>
  <c r="L167" i="28"/>
  <c r="R122" i="28"/>
  <c r="O143" i="28"/>
  <c r="L30" i="28"/>
  <c r="L19" i="28"/>
  <c r="L11" i="28"/>
  <c r="K30" i="28"/>
  <c r="K19" i="28"/>
  <c r="I15" i="28"/>
  <c r="P30" i="28"/>
  <c r="I19" i="28"/>
  <c r="U58" i="28"/>
  <c r="X36" i="21"/>
  <c r="L17" i="21"/>
  <c r="R40" i="21"/>
  <c r="L32" i="21"/>
  <c r="F37" i="21"/>
  <c r="X47" i="21"/>
  <c r="L27" i="21"/>
  <c r="U28" i="21"/>
  <c r="R60" i="21"/>
  <c r="L64" i="21"/>
  <c r="R62" i="21"/>
  <c r="R66" i="21"/>
  <c r="I57" i="32"/>
  <c r="K143" i="33"/>
  <c r="H30" i="33"/>
  <c r="T117" i="33"/>
  <c r="L125" i="32"/>
  <c r="X125" i="32"/>
  <c r="E143" i="32"/>
  <c r="E133" i="32"/>
  <c r="T143" i="32"/>
  <c r="D180" i="32"/>
  <c r="I115" i="28"/>
  <c r="L198" i="28"/>
  <c r="U127" i="28"/>
  <c r="H73" i="21"/>
  <c r="W76" i="21"/>
  <c r="Q198" i="28"/>
  <c r="E43" i="21"/>
  <c r="C50" i="21"/>
  <c r="W50" i="21"/>
  <c r="I53" i="21"/>
  <c r="H167" i="28"/>
  <c r="L91" i="28"/>
  <c r="F48" i="28"/>
  <c r="X32" i="28"/>
  <c r="K100" i="28"/>
  <c r="R145" i="28"/>
  <c r="H183" i="28"/>
  <c r="R91" i="28"/>
  <c r="X52" i="28"/>
  <c r="W160" i="28"/>
  <c r="I183" i="28"/>
  <c r="T117" i="28"/>
  <c r="L35" i="28"/>
  <c r="U145" i="28"/>
  <c r="X167" i="28"/>
  <c r="X136" i="28"/>
  <c r="T143" i="28"/>
  <c r="Q143" i="28"/>
  <c r="W52" i="33"/>
  <c r="F123" i="33"/>
  <c r="R19" i="33"/>
  <c r="L19" i="33"/>
  <c r="X117" i="32"/>
  <c r="T30" i="32"/>
  <c r="F123" i="32"/>
  <c r="U58" i="32"/>
  <c r="R19" i="32"/>
  <c r="U180" i="32"/>
  <c r="R115" i="28"/>
  <c r="H180" i="28"/>
  <c r="R182" i="28"/>
  <c r="W70" i="21"/>
  <c r="K70" i="21"/>
  <c r="U50" i="21"/>
  <c r="H43" i="21"/>
  <c r="T50" i="21"/>
  <c r="F52" i="21"/>
  <c r="I59" i="21"/>
  <c r="T167" i="28"/>
  <c r="K117" i="28"/>
  <c r="F52" i="28"/>
  <c r="L48" i="28"/>
  <c r="L121" i="28"/>
  <c r="X145" i="28"/>
  <c r="R183" i="28"/>
  <c r="K107" i="28"/>
  <c r="F133" i="28"/>
  <c r="Q49" i="28"/>
  <c r="R162" i="28"/>
  <c r="R85" i="28"/>
  <c r="X48" i="28"/>
  <c r="X143" i="28"/>
  <c r="T58" i="28"/>
  <c r="U22" i="28"/>
  <c r="L12" i="28"/>
  <c r="O30" i="28"/>
  <c r="R58" i="28"/>
  <c r="I22" i="28"/>
  <c r="F12" i="28"/>
  <c r="O19" i="28"/>
  <c r="W58" i="28"/>
  <c r="W21" i="28"/>
  <c r="U14" i="28"/>
  <c r="P60" i="21"/>
  <c r="F38" i="21"/>
  <c r="D62" i="21"/>
  <c r="X37" i="21"/>
  <c r="X32" i="21"/>
  <c r="W62" i="21"/>
  <c r="H54" i="21"/>
  <c r="X42" i="21"/>
  <c r="I20" i="21"/>
  <c r="L37" i="21"/>
  <c r="U20" i="21"/>
  <c r="L40" i="21"/>
  <c r="D60" i="21"/>
  <c r="U14" i="21"/>
  <c r="R179" i="33"/>
  <c r="O180" i="32"/>
  <c r="R52" i="21"/>
  <c r="R160" i="28"/>
  <c r="I187" i="28"/>
  <c r="K199" i="28"/>
  <c r="W143" i="28"/>
  <c r="L143" i="28"/>
  <c r="X58" i="28"/>
  <c r="X27" i="28"/>
  <c r="U54" i="21"/>
  <c r="X27" i="21"/>
  <c r="Q37" i="21"/>
  <c r="I15" i="21"/>
  <c r="L20" i="21"/>
  <c r="K44" i="21"/>
  <c r="P62" i="21"/>
  <c r="F64" i="21"/>
  <c r="X58" i="21"/>
  <c r="O41" i="21"/>
  <c r="U68" i="21"/>
  <c r="C19" i="21"/>
  <c r="T69" i="21"/>
  <c r="H30" i="21"/>
  <c r="W63" i="21"/>
  <c r="R30" i="21"/>
  <c r="P63" i="21"/>
  <c r="U41" i="21"/>
  <c r="P56" i="28"/>
  <c r="P40" i="21"/>
  <c r="L122" i="32"/>
  <c r="F26" i="33"/>
  <c r="L123" i="33"/>
  <c r="O164" i="28"/>
  <c r="D10" i="33"/>
  <c r="R11" i="32"/>
  <c r="K183" i="33"/>
  <c r="F115" i="28"/>
  <c r="R53" i="21"/>
  <c r="X183" i="28"/>
  <c r="F122" i="28"/>
  <c r="H140" i="28"/>
  <c r="E143" i="28"/>
  <c r="I28" i="28"/>
  <c r="P58" i="28"/>
  <c r="L24" i="28"/>
  <c r="R38" i="21"/>
  <c r="I14" i="21"/>
  <c r="R51" i="21"/>
  <c r="X38" i="21"/>
  <c r="K49" i="21"/>
  <c r="L35" i="21"/>
  <c r="L66" i="21"/>
  <c r="W66" i="21"/>
  <c r="X12" i="21"/>
  <c r="W41" i="21"/>
  <c r="K30" i="21"/>
  <c r="D19" i="21"/>
  <c r="L30" i="21"/>
  <c r="H69" i="21"/>
  <c r="U69" i="21"/>
  <c r="R63" i="21"/>
  <c r="X63" i="21"/>
  <c r="Q63" i="21"/>
  <c r="P56" i="33"/>
  <c r="W40" i="21"/>
  <c r="W78" i="28"/>
  <c r="R18" i="32"/>
  <c r="K133" i="28"/>
  <c r="L123" i="32"/>
  <c r="O164" i="32"/>
  <c r="D10" i="32"/>
  <c r="P28" i="33"/>
  <c r="I16" i="33"/>
  <c r="Q122" i="33"/>
  <c r="K180" i="33"/>
  <c r="R75" i="21"/>
  <c r="Q50" i="21"/>
  <c r="L117" i="28"/>
  <c r="R123" i="28"/>
  <c r="L34" i="28"/>
  <c r="U28" i="28"/>
  <c r="K27" i="28"/>
  <c r="K21" i="28"/>
  <c r="D19" i="28"/>
  <c r="R42" i="21"/>
  <c r="L42" i="21"/>
  <c r="X55" i="21"/>
  <c r="X62" i="21"/>
  <c r="F51" i="21"/>
  <c r="K65" i="21"/>
  <c r="L13" i="21"/>
  <c r="F10" i="21"/>
  <c r="L33" i="21"/>
  <c r="T19" i="21"/>
  <c r="I41" i="21"/>
  <c r="I30" i="21"/>
  <c r="K41" i="21"/>
  <c r="O19" i="21"/>
  <c r="H19" i="21"/>
  <c r="R68" i="21"/>
  <c r="W67" i="21"/>
  <c r="X67" i="21"/>
  <c r="P56" i="32"/>
  <c r="Q22" i="32"/>
  <c r="K133" i="33"/>
  <c r="X123" i="33"/>
  <c r="F79" i="33"/>
  <c r="P55" i="28"/>
  <c r="W121" i="32"/>
  <c r="P117" i="33"/>
  <c r="Q122" i="32"/>
  <c r="K30" i="32"/>
  <c r="Q180" i="28"/>
  <c r="F183" i="28"/>
  <c r="L57" i="28"/>
  <c r="R48" i="28"/>
  <c r="K143" i="28"/>
  <c r="L27" i="28"/>
  <c r="L10" i="28"/>
  <c r="R24" i="28"/>
  <c r="T19" i="28"/>
  <c r="X17" i="28"/>
  <c r="W49" i="21"/>
  <c r="L55" i="21"/>
  <c r="Q60" i="21"/>
  <c r="X65" i="21"/>
  <c r="E60" i="21"/>
  <c r="X17" i="21"/>
  <c r="K21" i="21"/>
  <c r="F65" i="21"/>
  <c r="F56" i="21"/>
  <c r="U30" i="21"/>
  <c r="H63" i="21"/>
  <c r="U19" i="21"/>
  <c r="I63" i="21"/>
  <c r="W19" i="21"/>
  <c r="L41" i="21"/>
  <c r="L19" i="21"/>
  <c r="W69" i="21"/>
  <c r="K19" i="21"/>
  <c r="O56" i="28"/>
  <c r="L198" i="32"/>
  <c r="K71" i="21"/>
  <c r="F123" i="28"/>
  <c r="I59" i="28"/>
  <c r="F49" i="28"/>
  <c r="R143" i="28"/>
  <c r="X24" i="28"/>
  <c r="F143" i="28"/>
  <c r="E19" i="28"/>
  <c r="T14" i="28"/>
  <c r="U15" i="28"/>
  <c r="F36" i="21"/>
  <c r="I35" i="21"/>
  <c r="L11" i="21"/>
  <c r="X11" i="21"/>
  <c r="F47" i="21"/>
  <c r="X24" i="21"/>
  <c r="L36" i="21"/>
  <c r="W54" i="21"/>
  <c r="P41" i="21"/>
  <c r="I69" i="21"/>
  <c r="O30" i="21"/>
  <c r="K69" i="21"/>
  <c r="P30" i="21"/>
  <c r="K63" i="21"/>
  <c r="P19" i="21"/>
  <c r="I19" i="21"/>
  <c r="I68" i="21"/>
  <c r="K78" i="28"/>
  <c r="C79" i="33"/>
  <c r="F121" i="33"/>
  <c r="D136" i="33"/>
  <c r="W26" i="33"/>
  <c r="X28" i="33"/>
  <c r="E59" i="28"/>
  <c r="P55" i="32"/>
  <c r="X122" i="33"/>
  <c r="I125" i="33"/>
  <c r="D122" i="33"/>
  <c r="E187" i="33"/>
  <c r="U26" i="33"/>
  <c r="R28" i="32"/>
  <c r="I24" i="32"/>
  <c r="E15" i="32"/>
  <c r="L85" i="32"/>
  <c r="F179" i="28"/>
  <c r="W52" i="28"/>
  <c r="L162" i="28"/>
  <c r="K160" i="28"/>
  <c r="P143" i="28"/>
  <c r="F19" i="28"/>
  <c r="I58" i="28"/>
  <c r="L18" i="28"/>
  <c r="F10" i="28"/>
  <c r="T30" i="28"/>
  <c r="K27" i="21"/>
  <c r="F66" i="21"/>
  <c r="L39" i="21"/>
  <c r="F24" i="21"/>
  <c r="R24" i="21"/>
  <c r="F62" i="21"/>
  <c r="U35" i="21"/>
  <c r="L65" i="21"/>
  <c r="X41" i="21"/>
  <c r="E19" i="21"/>
  <c r="W30" i="21"/>
  <c r="F19" i="21"/>
  <c r="X30" i="21"/>
  <c r="K67" i="21"/>
  <c r="X19" i="21"/>
  <c r="L63" i="21"/>
  <c r="Q76" i="28"/>
  <c r="O162" i="33"/>
  <c r="F121" i="32"/>
  <c r="D136" i="32"/>
  <c r="W26" i="32"/>
  <c r="E59" i="33"/>
  <c r="P32" i="28"/>
  <c r="U55" i="32"/>
  <c r="W162" i="32"/>
  <c r="P43" i="21"/>
  <c r="P133" i="28"/>
  <c r="T183" i="28"/>
  <c r="U183" i="28"/>
  <c r="X13" i="28"/>
  <c r="I143" i="28"/>
  <c r="I30" i="28"/>
  <c r="R12" i="28"/>
  <c r="I64" i="21"/>
  <c r="W21" i="21"/>
  <c r="X33" i="21"/>
  <c r="U64" i="21"/>
  <c r="L12" i="21"/>
  <c r="L24" i="21"/>
  <c r="X45" i="21"/>
  <c r="F48" i="21"/>
  <c r="X40" i="21"/>
  <c r="T30" i="21"/>
  <c r="R67" i="21"/>
  <c r="F67" i="21"/>
  <c r="U63" i="21"/>
  <c r="X69" i="21"/>
  <c r="O63" i="21"/>
  <c r="F63" i="21"/>
  <c r="T41" i="21"/>
  <c r="Q19" i="21"/>
  <c r="W56" i="28"/>
  <c r="P76" i="28"/>
  <c r="K187" i="33"/>
  <c r="L122" i="33"/>
  <c r="L123" i="28"/>
  <c r="W122" i="32"/>
  <c r="D10" i="28"/>
  <c r="R11" i="33"/>
  <c r="W48" i="32"/>
  <c r="O167" i="32"/>
  <c r="I162" i="33"/>
  <c r="P107" i="28"/>
  <c r="D29" i="32"/>
  <c r="R17" i="21"/>
  <c r="C8" i="28"/>
  <c r="C8" i="33"/>
  <c r="P21" i="21"/>
  <c r="P22" i="28"/>
  <c r="R11" i="28"/>
  <c r="R57" i="28"/>
  <c r="I48" i="21"/>
  <c r="Q15" i="32"/>
  <c r="C162" i="32"/>
  <c r="E187" i="32"/>
  <c r="Q122" i="28"/>
  <c r="P32" i="33"/>
  <c r="Q117" i="32"/>
  <c r="L69" i="21"/>
  <c r="L13" i="28"/>
  <c r="R11" i="21"/>
  <c r="W36" i="21"/>
  <c r="P183" i="28"/>
  <c r="E15" i="33"/>
  <c r="C162" i="33"/>
  <c r="Q164" i="32"/>
  <c r="O160" i="28"/>
  <c r="P55" i="33"/>
  <c r="R13" i="28"/>
  <c r="R41" i="21"/>
  <c r="K38" i="21"/>
  <c r="F42" i="21"/>
  <c r="U143" i="28"/>
  <c r="R26" i="32"/>
  <c r="F68" i="21"/>
  <c r="L46" i="21"/>
  <c r="X160" i="28"/>
  <c r="C20" i="12"/>
  <c r="I46" i="21"/>
  <c r="C66" i="21"/>
  <c r="W48" i="28"/>
  <c r="E187" i="28"/>
  <c r="R17" i="32"/>
  <c r="D29" i="33"/>
  <c r="L166" i="32"/>
  <c r="Q164" i="28"/>
  <c r="I125" i="28"/>
  <c r="F79" i="32"/>
  <c r="L122" i="28"/>
  <c r="X26" i="32"/>
  <c r="X16" i="32"/>
  <c r="Q41" i="21"/>
  <c r="E62" i="21"/>
  <c r="R10" i="21"/>
  <c r="F164" i="28"/>
  <c r="W16" i="32"/>
  <c r="U65" i="21"/>
  <c r="F121" i="28"/>
  <c r="R17" i="33"/>
  <c r="D29" i="28"/>
  <c r="L166" i="33"/>
  <c r="I162" i="32"/>
  <c r="I16" i="32"/>
  <c r="W122" i="28"/>
  <c r="R27" i="32"/>
  <c r="E63" i="21"/>
  <c r="X39" i="21"/>
  <c r="K46" i="21"/>
  <c r="H30" i="28"/>
  <c r="X55" i="28"/>
  <c r="I16" i="28"/>
  <c r="I66" i="21"/>
  <c r="X28" i="28"/>
  <c r="R27" i="21"/>
  <c r="X123" i="28"/>
  <c r="R37" i="32"/>
  <c r="L166" i="28"/>
  <c r="I162" i="28"/>
  <c r="W48" i="33"/>
  <c r="X123" i="32"/>
  <c r="T63" i="21"/>
  <c r="H143" i="28"/>
  <c r="X18" i="28"/>
  <c r="L53" i="21"/>
  <c r="P22" i="21"/>
  <c r="Q136" i="32"/>
  <c r="T26" i="32"/>
  <c r="R167" i="32"/>
  <c r="O32" i="32"/>
  <c r="Q145" i="28"/>
  <c r="Q27" i="28"/>
  <c r="R29" i="21"/>
  <c r="W121" i="28"/>
  <c r="O167" i="33"/>
  <c r="U91" i="32"/>
  <c r="R78" i="28"/>
  <c r="P67" i="21"/>
  <c r="O125" i="28"/>
  <c r="Q59" i="32"/>
  <c r="T35" i="21"/>
  <c r="P28" i="32"/>
  <c r="P29" i="33"/>
  <c r="O122" i="32"/>
  <c r="P85" i="28"/>
  <c r="Q37" i="33"/>
  <c r="Q74" i="21"/>
  <c r="P10" i="21"/>
  <c r="W23" i="21"/>
  <c r="R57" i="32"/>
  <c r="R28" i="33"/>
  <c r="R15" i="21"/>
  <c r="X22" i="33"/>
  <c r="R121" i="32"/>
  <c r="I79" i="33"/>
  <c r="Q79" i="33"/>
  <c r="P37" i="32"/>
  <c r="F59" i="28"/>
  <c r="L164" i="28"/>
  <c r="I117" i="28"/>
  <c r="X117" i="28"/>
  <c r="X187" i="28"/>
  <c r="K162" i="28"/>
  <c r="P140" i="28"/>
  <c r="R56" i="28"/>
  <c r="I57" i="28"/>
  <c r="F125" i="28"/>
  <c r="L183" i="28"/>
  <c r="D52" i="21"/>
  <c r="Q52" i="21"/>
  <c r="U53" i="21"/>
  <c r="X43" i="21"/>
  <c r="W43" i="21"/>
  <c r="K179" i="28"/>
  <c r="L77" i="21"/>
  <c r="L71" i="21"/>
  <c r="L74" i="21"/>
  <c r="P179" i="32"/>
  <c r="H143" i="32"/>
  <c r="F145" i="32"/>
  <c r="K58" i="32"/>
  <c r="W198" i="32"/>
  <c r="U30" i="32"/>
  <c r="K100" i="33"/>
  <c r="L58" i="33"/>
  <c r="R180" i="33"/>
  <c r="U14" i="32"/>
  <c r="W167" i="28"/>
  <c r="F160" i="28"/>
  <c r="X34" i="28"/>
  <c r="X85" i="28"/>
  <c r="U167" i="28"/>
  <c r="R52" i="28"/>
  <c r="X79" i="28"/>
  <c r="X140" i="28"/>
  <c r="U32" i="28"/>
  <c r="U85" i="28"/>
  <c r="W162" i="28"/>
  <c r="K52" i="21"/>
  <c r="F53" i="21"/>
  <c r="R43" i="21"/>
  <c r="L59" i="21"/>
  <c r="L72" i="21"/>
  <c r="K77" i="21"/>
  <c r="X198" i="28"/>
  <c r="L127" i="28"/>
  <c r="O180" i="28"/>
  <c r="T180" i="32"/>
  <c r="O180" i="33"/>
  <c r="L145" i="32"/>
  <c r="H30" i="32"/>
  <c r="W143" i="32"/>
  <c r="U143" i="32"/>
  <c r="U140" i="32"/>
  <c r="L160" i="33"/>
  <c r="T30" i="33"/>
  <c r="L164" i="33"/>
  <c r="X13" i="32"/>
  <c r="U166" i="28"/>
  <c r="U56" i="28"/>
  <c r="L140" i="28"/>
  <c r="F91" i="28"/>
  <c r="K167" i="28"/>
  <c r="I145" i="28"/>
  <c r="R140" i="28"/>
  <c r="L79" i="28"/>
  <c r="I166" i="28"/>
  <c r="R49" i="28"/>
  <c r="X59" i="28"/>
  <c r="K140" i="28"/>
  <c r="Q140" i="28"/>
  <c r="F85" i="28"/>
  <c r="W145" i="28"/>
  <c r="X53" i="21"/>
  <c r="H50" i="21"/>
  <c r="R50" i="21"/>
  <c r="F50" i="21"/>
  <c r="F73" i="21"/>
  <c r="R72" i="21"/>
  <c r="X74" i="21"/>
  <c r="F71" i="21"/>
  <c r="F180" i="28"/>
  <c r="P180" i="33"/>
  <c r="U180" i="33"/>
  <c r="X19" i="32"/>
  <c r="R133" i="32"/>
  <c r="W160" i="32"/>
  <c r="R180" i="32"/>
  <c r="L143" i="32"/>
  <c r="W162" i="33"/>
  <c r="U117" i="33"/>
  <c r="X34" i="32"/>
  <c r="X164" i="28"/>
  <c r="F56" i="28"/>
  <c r="F140" i="28"/>
  <c r="L85" i="28"/>
  <c r="R166" i="28"/>
  <c r="L49" i="28"/>
  <c r="E140" i="28"/>
  <c r="R59" i="28"/>
  <c r="K164" i="28"/>
  <c r="X35" i="28"/>
  <c r="L187" i="28"/>
  <c r="R133" i="28"/>
  <c r="Q133" i="28"/>
  <c r="K79" i="28"/>
  <c r="L145" i="28"/>
  <c r="D50" i="21"/>
  <c r="T52" i="21"/>
  <c r="C43" i="21"/>
  <c r="K43" i="21"/>
  <c r="Q71" i="21"/>
  <c r="I180" i="28"/>
  <c r="T71" i="21"/>
  <c r="L73" i="21"/>
  <c r="I127" i="28"/>
  <c r="I180" i="33"/>
  <c r="I140" i="32"/>
  <c r="F19" i="32"/>
  <c r="X183" i="32"/>
  <c r="F164" i="32"/>
  <c r="X187" i="32"/>
  <c r="X164" i="32"/>
  <c r="L180" i="33"/>
  <c r="X145" i="33"/>
  <c r="L35" i="32"/>
  <c r="R164" i="28"/>
  <c r="L52" i="28"/>
  <c r="L136" i="28"/>
  <c r="U59" i="28"/>
  <c r="W164" i="28"/>
  <c r="U140" i="28"/>
  <c r="X121" i="28"/>
  <c r="W199" i="28"/>
  <c r="X162" i="28"/>
  <c r="L32" i="28"/>
  <c r="K183" i="28"/>
  <c r="E133" i="28"/>
  <c r="D133" i="28"/>
  <c r="L59" i="28"/>
  <c r="F145" i="28"/>
  <c r="P52" i="21"/>
  <c r="U52" i="21"/>
  <c r="L52" i="21"/>
  <c r="U43" i="21"/>
  <c r="U74" i="21"/>
  <c r="R180" i="28"/>
  <c r="X71" i="21"/>
  <c r="H71" i="21"/>
  <c r="U73" i="21"/>
  <c r="Q180" i="32"/>
  <c r="L19" i="32"/>
  <c r="L30" i="32"/>
  <c r="U19" i="32"/>
  <c r="L179" i="32"/>
  <c r="I19" i="32"/>
  <c r="Q30" i="33"/>
  <c r="F183" i="33"/>
  <c r="K162" i="33"/>
  <c r="O22" i="33"/>
  <c r="O22" i="21"/>
  <c r="O22" i="28"/>
  <c r="O22" i="32"/>
  <c r="T21" i="32"/>
  <c r="T21" i="28"/>
  <c r="U160" i="33"/>
  <c r="Q78" i="32"/>
  <c r="X121" i="32"/>
  <c r="X91" i="32"/>
  <c r="W19" i="32"/>
  <c r="W199" i="32"/>
  <c r="K164" i="32"/>
  <c r="E140" i="32"/>
  <c r="W183" i="32"/>
  <c r="F180" i="32"/>
  <c r="L162" i="32"/>
  <c r="T140" i="32"/>
  <c r="W117" i="32"/>
  <c r="P30" i="32"/>
  <c r="X162" i="32"/>
  <c r="P58" i="32"/>
  <c r="I58" i="32"/>
  <c r="F162" i="32"/>
  <c r="L20" i="33"/>
  <c r="X11" i="32"/>
  <c r="R56" i="32"/>
  <c r="K27" i="32"/>
  <c r="F10" i="32"/>
  <c r="L57" i="32"/>
  <c r="X27" i="32"/>
  <c r="X10" i="32"/>
  <c r="W52" i="32"/>
  <c r="I20" i="32"/>
  <c r="T14" i="33"/>
  <c r="F180" i="33"/>
  <c r="L162" i="33"/>
  <c r="T140" i="33"/>
  <c r="K117" i="33"/>
  <c r="P30" i="33"/>
  <c r="R30" i="33"/>
  <c r="R162" i="33"/>
  <c r="U115" i="33"/>
  <c r="R198" i="33"/>
  <c r="K179" i="33"/>
  <c r="P140" i="32"/>
  <c r="L117" i="32"/>
  <c r="X58" i="32"/>
  <c r="K19" i="32"/>
  <c r="R183" i="32"/>
  <c r="X145" i="32"/>
  <c r="R122" i="32"/>
  <c r="F198" i="32"/>
  <c r="W167" i="32"/>
  <c r="F160" i="32"/>
  <c r="F140" i="32"/>
  <c r="R115" i="32"/>
  <c r="D19" i="32"/>
  <c r="I143" i="32"/>
  <c r="H19" i="32"/>
  <c r="O19" i="32"/>
  <c r="W140" i="32"/>
  <c r="X30" i="32"/>
  <c r="Q140" i="32"/>
  <c r="R123" i="32"/>
  <c r="T117" i="32"/>
  <c r="X115" i="33"/>
  <c r="C180" i="32"/>
  <c r="L115" i="32"/>
  <c r="T180" i="33"/>
  <c r="K73" i="21"/>
  <c r="I77" i="21"/>
  <c r="U180" i="28"/>
  <c r="X72" i="21"/>
  <c r="R198" i="28"/>
  <c r="D127" i="28"/>
  <c r="W71" i="21"/>
  <c r="W75" i="21"/>
  <c r="W73" i="21"/>
  <c r="K75" i="21"/>
  <c r="F70" i="21"/>
  <c r="W77" i="21"/>
  <c r="I50" i="21"/>
  <c r="X167" i="33"/>
  <c r="X117" i="33"/>
  <c r="L198" i="33"/>
  <c r="F179" i="33"/>
  <c r="F145" i="33"/>
  <c r="Q133" i="33"/>
  <c r="F107" i="33"/>
  <c r="U145" i="33"/>
  <c r="X198" i="32"/>
  <c r="R179" i="32"/>
  <c r="K160" i="32"/>
  <c r="H140" i="32"/>
  <c r="U115" i="32"/>
  <c r="R58" i="32"/>
  <c r="E19" i="32"/>
  <c r="L182" i="32"/>
  <c r="R145" i="32"/>
  <c r="I117" i="32"/>
  <c r="I187" i="32"/>
  <c r="K167" i="32"/>
  <c r="I145" i="32"/>
  <c r="L136" i="32"/>
  <c r="F91" i="32"/>
  <c r="R198" i="32"/>
  <c r="R140" i="32"/>
  <c r="U187" i="32"/>
  <c r="K199" i="32"/>
  <c r="Q133" i="32"/>
  <c r="L180" i="32"/>
  <c r="D133" i="32"/>
  <c r="F85" i="32"/>
  <c r="F107" i="32"/>
  <c r="C180" i="33"/>
  <c r="I180" i="32"/>
  <c r="H180" i="32"/>
  <c r="I187" i="33"/>
  <c r="K167" i="33"/>
  <c r="I145" i="33"/>
  <c r="L136" i="33"/>
  <c r="L85" i="33"/>
  <c r="P19" i="33"/>
  <c r="K198" i="33"/>
  <c r="L143" i="33"/>
  <c r="R58" i="33"/>
  <c r="R183" i="33"/>
  <c r="I166" i="33"/>
  <c r="P143" i="33"/>
  <c r="X125" i="33"/>
  <c r="U58" i="33"/>
  <c r="H19" i="33"/>
  <c r="X164" i="33"/>
  <c r="L117" i="33"/>
  <c r="U187" i="33"/>
  <c r="T167" i="33"/>
  <c r="T143" i="33"/>
  <c r="D133" i="33"/>
  <c r="L91" i="33"/>
  <c r="F143" i="33"/>
  <c r="K198" i="32"/>
  <c r="X167" i="32"/>
  <c r="U145" i="32"/>
  <c r="X136" i="32"/>
  <c r="F115" i="32"/>
  <c r="L58" i="32"/>
  <c r="P133" i="32"/>
  <c r="R107" i="32"/>
  <c r="W30" i="32"/>
  <c r="I30" i="32"/>
  <c r="K179" i="32"/>
  <c r="P143" i="32"/>
  <c r="T19" i="32"/>
  <c r="I183" i="32"/>
  <c r="W164" i="32"/>
  <c r="Q143" i="32"/>
  <c r="I127" i="32"/>
  <c r="W58" i="32"/>
  <c r="H183" i="32"/>
  <c r="L121" i="32"/>
  <c r="U117" i="32"/>
  <c r="F183" i="32"/>
  <c r="I115" i="32"/>
  <c r="H117" i="32"/>
  <c r="L91" i="32"/>
  <c r="F182" i="32"/>
  <c r="D140" i="32"/>
  <c r="P180" i="32"/>
  <c r="X115" i="32"/>
  <c r="E180" i="33"/>
  <c r="L115" i="28"/>
  <c r="U71" i="21"/>
  <c r="F182" i="28"/>
  <c r="I74" i="21"/>
  <c r="I71" i="21"/>
  <c r="P180" i="28"/>
  <c r="T73" i="21"/>
  <c r="F198" i="28"/>
  <c r="P71" i="21"/>
  <c r="X180" i="28"/>
  <c r="R73" i="21"/>
  <c r="U127" i="32"/>
  <c r="W100" i="32"/>
  <c r="Q30" i="32"/>
  <c r="P19" i="32"/>
  <c r="I167" i="32"/>
  <c r="X140" i="32"/>
  <c r="C19" i="32"/>
  <c r="R182" i="32"/>
  <c r="L164" i="32"/>
  <c r="K143" i="32"/>
  <c r="F125" i="32"/>
  <c r="Q58" i="32"/>
  <c r="X179" i="32"/>
  <c r="K107" i="32"/>
  <c r="R91" i="32"/>
  <c r="W179" i="32"/>
  <c r="T58" i="32"/>
  <c r="R30" i="32"/>
  <c r="O58" i="32"/>
  <c r="T167" i="32"/>
  <c r="L115" i="33"/>
  <c r="H180" i="33"/>
  <c r="U115" i="28"/>
  <c r="F77" i="21"/>
  <c r="E180" i="28"/>
  <c r="F72" i="21"/>
  <c r="R77" i="21"/>
  <c r="C180" i="28"/>
  <c r="E71" i="21"/>
  <c r="D180" i="28"/>
  <c r="X77" i="21"/>
  <c r="L182" i="28"/>
  <c r="D71" i="21"/>
  <c r="W198" i="28"/>
  <c r="F75" i="21"/>
  <c r="O45" i="21"/>
  <c r="U160" i="28"/>
  <c r="Q78" i="33"/>
  <c r="O64" i="21"/>
  <c r="W16" i="21"/>
  <c r="Q11" i="21"/>
  <c r="P27" i="21"/>
  <c r="U24" i="33"/>
  <c r="O183" i="33"/>
  <c r="R117" i="32"/>
  <c r="E19" i="33"/>
  <c r="R182" i="33"/>
  <c r="X59" i="32"/>
  <c r="U14" i="33"/>
  <c r="U24" i="21"/>
  <c r="W16" i="28"/>
  <c r="O13" i="21"/>
  <c r="Q12" i="32"/>
  <c r="T16" i="32"/>
  <c r="O35" i="21"/>
  <c r="U12" i="33"/>
  <c r="P28" i="21"/>
  <c r="P24" i="28"/>
  <c r="R27" i="28"/>
  <c r="R117" i="28"/>
  <c r="R117" i="33"/>
  <c r="Q22" i="33"/>
  <c r="W140" i="28"/>
  <c r="W117" i="28"/>
  <c r="K76" i="28"/>
  <c r="F166" i="28"/>
  <c r="C52" i="21"/>
  <c r="K50" i="21"/>
  <c r="T43" i="21"/>
  <c r="U59" i="21"/>
  <c r="L43" i="21"/>
  <c r="I43" i="21"/>
  <c r="P50" i="21"/>
  <c r="D75" i="21"/>
  <c r="L180" i="28"/>
  <c r="T180" i="28"/>
  <c r="P70" i="21"/>
  <c r="L70" i="21"/>
  <c r="R179" i="28"/>
  <c r="X70" i="21"/>
  <c r="R71" i="21"/>
  <c r="X115" i="28"/>
  <c r="D180" i="33"/>
  <c r="H167" i="32"/>
  <c r="W107" i="32"/>
  <c r="F122" i="32"/>
  <c r="X85" i="32"/>
  <c r="K117" i="32"/>
  <c r="R166" i="32"/>
  <c r="K140" i="32"/>
  <c r="Q19" i="32"/>
  <c r="R162" i="32"/>
  <c r="I115" i="33"/>
  <c r="Q19" i="33"/>
  <c r="K107" i="33"/>
  <c r="U127" i="33"/>
  <c r="R12" i="32"/>
  <c r="R48" i="33"/>
  <c r="T160" i="33"/>
  <c r="X26" i="21"/>
  <c r="R26" i="28"/>
  <c r="R54" i="21"/>
  <c r="O73" i="21"/>
  <c r="I79" i="32"/>
  <c r="W23" i="33"/>
  <c r="Q117" i="33"/>
  <c r="W57" i="28"/>
  <c r="I140" i="28"/>
  <c r="W107" i="28"/>
  <c r="U187" i="28"/>
  <c r="F162" i="28"/>
  <c r="H52" i="21"/>
  <c r="E50" i="21"/>
  <c r="O50" i="21"/>
  <c r="W52" i="21"/>
  <c r="Q43" i="21"/>
  <c r="X50" i="21"/>
  <c r="O43" i="21"/>
  <c r="O71" i="21"/>
  <c r="C71" i="21"/>
  <c r="W179" i="28"/>
  <c r="W180" i="28"/>
  <c r="K198" i="28"/>
  <c r="I73" i="21"/>
  <c r="K180" i="28"/>
  <c r="X75" i="21"/>
  <c r="Q198" i="33"/>
  <c r="O143" i="32"/>
  <c r="L160" i="32"/>
  <c r="F166" i="32"/>
  <c r="R160" i="32"/>
  <c r="F133" i="32"/>
  <c r="W180" i="32"/>
  <c r="K162" i="32"/>
  <c r="R85" i="32"/>
  <c r="X180" i="32"/>
  <c r="I140" i="33"/>
  <c r="X136" i="33"/>
  <c r="E140" i="33"/>
  <c r="T58" i="33"/>
  <c r="L59" i="32"/>
  <c r="U21" i="33"/>
  <c r="P55" i="21"/>
  <c r="Q11" i="28"/>
  <c r="U16" i="32"/>
  <c r="T23" i="33"/>
  <c r="X125" i="28"/>
  <c r="L125" i="28"/>
  <c r="W76" i="28"/>
  <c r="I167" i="28"/>
  <c r="X56" i="28"/>
  <c r="R107" i="28"/>
  <c r="K52" i="28"/>
  <c r="L56" i="28"/>
  <c r="D140" i="28"/>
  <c r="F107" i="28"/>
  <c r="W183" i="28"/>
  <c r="L160" i="28"/>
  <c r="I52" i="21"/>
  <c r="O52" i="21"/>
  <c r="E52" i="21"/>
  <c r="X52" i="21"/>
  <c r="D43" i="21"/>
  <c r="L50" i="21"/>
  <c r="F43" i="21"/>
  <c r="K76" i="21"/>
  <c r="X73" i="21"/>
  <c r="P179" i="28"/>
  <c r="X182" i="28"/>
  <c r="X179" i="28"/>
  <c r="L75" i="21"/>
  <c r="L179" i="28"/>
  <c r="R70" i="21"/>
  <c r="E180" i="32"/>
  <c r="Q180" i="33"/>
  <c r="W145" i="32"/>
  <c r="F179" i="32"/>
  <c r="L183" i="32"/>
  <c r="U167" i="32"/>
  <c r="L140" i="32"/>
  <c r="T183" i="32"/>
  <c r="I166" i="32"/>
  <c r="K100" i="32"/>
  <c r="K183" i="32"/>
  <c r="W140" i="33"/>
  <c r="R143" i="33"/>
  <c r="R140" i="33"/>
  <c r="K58" i="33"/>
  <c r="F24" i="32"/>
  <c r="W61" i="21"/>
  <c r="R143" i="32"/>
  <c r="U166" i="32"/>
  <c r="U183" i="32"/>
  <c r="F115" i="33"/>
  <c r="L30" i="33"/>
  <c r="F122" i="33"/>
  <c r="H143" i="33"/>
  <c r="F166" i="33"/>
  <c r="L183" i="33"/>
  <c r="R85" i="33"/>
  <c r="X160" i="33"/>
  <c r="X30" i="33"/>
  <c r="I58" i="33"/>
  <c r="L121" i="33"/>
  <c r="X140" i="33"/>
  <c r="X162" i="33"/>
  <c r="L182" i="33"/>
  <c r="W19" i="33"/>
  <c r="H140" i="33"/>
  <c r="X180" i="33"/>
  <c r="D19" i="33"/>
  <c r="Q58" i="33"/>
  <c r="I127" i="33"/>
  <c r="Q143" i="33"/>
  <c r="W164" i="33"/>
  <c r="I183" i="33"/>
  <c r="X78" i="33"/>
  <c r="W27" i="32"/>
  <c r="F59" i="32"/>
  <c r="U15" i="32"/>
  <c r="L48" i="32"/>
  <c r="K78" i="32"/>
  <c r="I14" i="32"/>
  <c r="R48" i="32"/>
  <c r="K76" i="32"/>
  <c r="X18" i="32"/>
  <c r="F56" i="33"/>
  <c r="L9" i="33"/>
  <c r="X143" i="32"/>
  <c r="L167" i="32"/>
  <c r="L187" i="32"/>
  <c r="P133" i="33"/>
  <c r="F85" i="33"/>
  <c r="R123" i="33"/>
  <c r="O143" i="33"/>
  <c r="H167" i="33"/>
  <c r="W183" i="33"/>
  <c r="W100" i="33"/>
  <c r="R164" i="33"/>
  <c r="C19" i="33"/>
  <c r="P58" i="33"/>
  <c r="R122" i="33"/>
  <c r="I143" i="33"/>
  <c r="K164" i="33"/>
  <c r="H183" i="33"/>
  <c r="K30" i="33"/>
  <c r="U140" i="33"/>
  <c r="U183" i="33"/>
  <c r="I19" i="33"/>
  <c r="W58" i="33"/>
  <c r="F133" i="33"/>
  <c r="W143" i="33"/>
  <c r="R166" i="33"/>
  <c r="T183" i="33"/>
  <c r="U55" i="33"/>
  <c r="L34" i="32"/>
  <c r="U59" i="32"/>
  <c r="X17" i="32"/>
  <c r="Q49" i="32"/>
  <c r="L79" i="32"/>
  <c r="L18" i="32"/>
  <c r="F49" i="32"/>
  <c r="F12" i="32"/>
  <c r="X35" i="32"/>
  <c r="U22" i="33"/>
  <c r="X79" i="32"/>
  <c r="F48" i="32"/>
  <c r="K79" i="32"/>
  <c r="L20" i="32"/>
  <c r="K52" i="32"/>
  <c r="L9" i="32"/>
  <c r="U20" i="32"/>
  <c r="R49" i="32"/>
  <c r="X48" i="32"/>
  <c r="U28" i="33"/>
  <c r="O19" i="33"/>
  <c r="X85" i="33"/>
  <c r="E133" i="33"/>
  <c r="U143" i="33"/>
  <c r="I167" i="33"/>
  <c r="X183" i="33"/>
  <c r="X91" i="33"/>
  <c r="X143" i="33"/>
  <c r="F19" i="33"/>
  <c r="U19" i="33"/>
  <c r="F91" i="33"/>
  <c r="F140" i="33"/>
  <c r="F160" i="33"/>
  <c r="W167" i="33"/>
  <c r="F198" i="33"/>
  <c r="X79" i="33"/>
  <c r="L13" i="32"/>
  <c r="P49" i="32"/>
  <c r="R10" i="32"/>
  <c r="W21" i="32"/>
  <c r="X52" i="32"/>
  <c r="I15" i="32"/>
  <c r="I22" i="32"/>
  <c r="L52" i="32"/>
  <c r="X8" i="32"/>
  <c r="R59" i="32"/>
  <c r="I20" i="33"/>
  <c r="X160" i="32"/>
  <c r="K180" i="32"/>
  <c r="K19" i="33"/>
  <c r="L167" i="33"/>
  <c r="W107" i="33"/>
  <c r="D140" i="33"/>
  <c r="L145" i="33"/>
  <c r="W179" i="33"/>
  <c r="K199" i="33"/>
  <c r="L125" i="33"/>
  <c r="X182" i="33"/>
  <c r="T19" i="33"/>
  <c r="R91" i="33"/>
  <c r="R133" i="33"/>
  <c r="R145" i="33"/>
  <c r="U167" i="33"/>
  <c r="X187" i="33"/>
  <c r="R107" i="33"/>
  <c r="K160" i="33"/>
  <c r="X19" i="33"/>
  <c r="I30" i="33"/>
  <c r="R115" i="33"/>
  <c r="L140" i="33"/>
  <c r="W160" i="33"/>
  <c r="L179" i="33"/>
  <c r="W198" i="33"/>
  <c r="T14" i="32"/>
  <c r="L17" i="32"/>
  <c r="F52" i="32"/>
  <c r="X9" i="32"/>
  <c r="L24" i="32"/>
  <c r="L56" i="32"/>
  <c r="R8" i="32"/>
  <c r="R24" i="32"/>
  <c r="L55" i="32"/>
  <c r="L10" i="32"/>
  <c r="W76" i="32"/>
  <c r="L8" i="33"/>
  <c r="K76" i="33"/>
  <c r="F143" i="32"/>
  <c r="R164" i="32"/>
  <c r="X182" i="32"/>
  <c r="X58" i="33"/>
  <c r="L187" i="33"/>
  <c r="H117" i="33"/>
  <c r="Q140" i="33"/>
  <c r="F162" i="33"/>
  <c r="F182" i="33"/>
  <c r="W30" i="33"/>
  <c r="P140" i="33"/>
  <c r="X198" i="33"/>
  <c r="O30" i="33"/>
  <c r="I117" i="33"/>
  <c r="K140" i="33"/>
  <c r="R160" i="33"/>
  <c r="X179" i="33"/>
  <c r="W199" i="33"/>
  <c r="X121" i="33"/>
  <c r="U166" i="33"/>
  <c r="O58" i="33"/>
  <c r="U30" i="33"/>
  <c r="W117" i="33"/>
  <c r="E143" i="33"/>
  <c r="F164" i="33"/>
  <c r="W180" i="33"/>
  <c r="K21" i="32"/>
  <c r="F56" i="32"/>
  <c r="L12" i="32"/>
  <c r="L32" i="32"/>
  <c r="I59" i="32"/>
  <c r="L11" i="32"/>
  <c r="I28" i="32"/>
  <c r="U57" i="32"/>
  <c r="X12" i="32"/>
  <c r="I15" i="33"/>
  <c r="X52" i="33"/>
  <c r="O117" i="33"/>
  <c r="O54" i="21"/>
  <c r="O117" i="28"/>
  <c r="U55" i="21"/>
  <c r="U121" i="28"/>
  <c r="O21" i="28"/>
  <c r="W136" i="28"/>
  <c r="P13" i="28"/>
  <c r="P16" i="32"/>
  <c r="O31" i="21"/>
  <c r="R22" i="21"/>
  <c r="L27" i="32"/>
  <c r="X55" i="32"/>
  <c r="X35" i="33"/>
  <c r="L34" i="33"/>
  <c r="X8" i="33"/>
  <c r="W76" i="33"/>
  <c r="X13" i="33"/>
  <c r="X34" i="33"/>
  <c r="K78" i="33"/>
  <c r="X49" i="33"/>
  <c r="U20" i="33"/>
  <c r="O23" i="28"/>
  <c r="O107" i="28"/>
  <c r="Q57" i="33"/>
  <c r="W35" i="21"/>
  <c r="R69" i="21"/>
  <c r="Q10" i="28"/>
  <c r="U28" i="32"/>
  <c r="X56" i="32"/>
  <c r="X55" i="33"/>
  <c r="F48" i="33"/>
  <c r="X12" i="33"/>
  <c r="R10" i="33"/>
  <c r="U15" i="33"/>
  <c r="L48" i="33"/>
  <c r="L79" i="33"/>
  <c r="X57" i="33"/>
  <c r="I28" i="33"/>
  <c r="P18" i="32"/>
  <c r="U34" i="21"/>
  <c r="I91" i="33"/>
  <c r="X32" i="32"/>
  <c r="X57" i="32"/>
  <c r="R59" i="33"/>
  <c r="F52" i="33"/>
  <c r="X18" i="33"/>
  <c r="L13" i="33"/>
  <c r="X17" i="33"/>
  <c r="K52" i="33"/>
  <c r="X11" i="33"/>
  <c r="W78" i="33"/>
  <c r="L35" i="33"/>
  <c r="I91" i="28"/>
  <c r="W57" i="32"/>
  <c r="W21" i="33"/>
  <c r="L56" i="33"/>
  <c r="X20" i="33"/>
  <c r="F12" i="33"/>
  <c r="R49" i="33"/>
  <c r="Q49" i="33"/>
  <c r="X20" i="32"/>
  <c r="L49" i="32"/>
  <c r="W78" i="32"/>
  <c r="K21" i="33"/>
  <c r="I57" i="33"/>
  <c r="X48" i="33"/>
  <c r="X9" i="33"/>
  <c r="L24" i="33"/>
  <c r="L57" i="33"/>
  <c r="X24" i="33"/>
  <c r="L11" i="33"/>
  <c r="U57" i="33"/>
  <c r="P16" i="21"/>
  <c r="O26" i="33"/>
  <c r="O10" i="28"/>
  <c r="W34" i="28"/>
  <c r="W32" i="32"/>
  <c r="U22" i="32"/>
  <c r="X49" i="32"/>
  <c r="L10" i="33"/>
  <c r="F24" i="33"/>
  <c r="F59" i="33"/>
  <c r="R52" i="33"/>
  <c r="X10" i="33"/>
  <c r="X27" i="33"/>
  <c r="I59" i="33"/>
  <c r="X32" i="33"/>
  <c r="R12" i="33"/>
  <c r="L59" i="33"/>
  <c r="P16" i="28"/>
  <c r="O27" i="33"/>
  <c r="Q34" i="33"/>
  <c r="Q35" i="21"/>
  <c r="R22" i="28"/>
  <c r="R22" i="33"/>
  <c r="W122" i="33"/>
  <c r="X24" i="32"/>
  <c r="R52" i="32"/>
  <c r="L27" i="33"/>
  <c r="W27" i="33"/>
  <c r="U59" i="33"/>
  <c r="X56" i="33"/>
  <c r="L12" i="33"/>
  <c r="L32" i="33"/>
  <c r="X59" i="33"/>
  <c r="L49" i="33"/>
  <c r="I14" i="33"/>
  <c r="O56" i="33"/>
  <c r="U37" i="33"/>
  <c r="T76" i="21"/>
  <c r="T199" i="33"/>
  <c r="O199" i="33"/>
  <c r="O76" i="21"/>
  <c r="O199" i="28"/>
  <c r="T23" i="32"/>
  <c r="O14" i="21"/>
  <c r="O14" i="33"/>
  <c r="U72" i="21"/>
  <c r="L18" i="33"/>
  <c r="F49" i="33"/>
  <c r="L17" i="33"/>
  <c r="I22" i="33"/>
  <c r="L52" i="33"/>
  <c r="U199" i="33"/>
  <c r="R8" i="33"/>
  <c r="R24" i="33"/>
  <c r="L55" i="33"/>
  <c r="H77" i="21"/>
  <c r="F10" i="33"/>
  <c r="K27" i="33"/>
  <c r="R56" i="33"/>
  <c r="O77" i="21"/>
  <c r="D198" i="32"/>
  <c r="Q198" i="32"/>
  <c r="Q85" i="32"/>
  <c r="P18" i="21"/>
  <c r="W18" i="28"/>
  <c r="P18" i="28"/>
  <c r="O107" i="32"/>
  <c r="W59" i="28"/>
  <c r="W18" i="32"/>
  <c r="O57" i="28"/>
  <c r="O27" i="21"/>
  <c r="U21" i="21"/>
  <c r="Q76" i="21"/>
  <c r="C27" i="32"/>
  <c r="Q85" i="33"/>
  <c r="U21" i="28"/>
  <c r="U21" i="32"/>
  <c r="O136" i="32"/>
  <c r="O107" i="33"/>
  <c r="O25" i="32"/>
  <c r="U37" i="28"/>
  <c r="W18" i="33"/>
  <c r="O27" i="32"/>
  <c r="M29" i="16"/>
  <c r="Q57" i="32"/>
  <c r="P183" i="33"/>
  <c r="Q32" i="33"/>
  <c r="P122" i="28"/>
  <c r="P122" i="33"/>
  <c r="Q162" i="28"/>
  <c r="P78" i="33"/>
  <c r="Q16" i="32"/>
  <c r="T57" i="28"/>
  <c r="T57" i="33"/>
  <c r="P32" i="24"/>
  <c r="P28" i="28"/>
  <c r="R27" i="33"/>
  <c r="O55" i="21"/>
  <c r="O51" i="21"/>
  <c r="O26" i="21"/>
  <c r="O27" i="28"/>
  <c r="U12" i="28"/>
  <c r="Q199" i="33"/>
  <c r="W10" i="28"/>
  <c r="U37" i="32"/>
  <c r="P18" i="33"/>
  <c r="O57" i="33"/>
  <c r="M14" i="16"/>
  <c r="O122" i="28"/>
  <c r="O56" i="21"/>
  <c r="O122" i="33"/>
  <c r="Q28" i="28"/>
  <c r="P23" i="32"/>
  <c r="Q61" i="21"/>
  <c r="Q136" i="33"/>
  <c r="R15" i="33"/>
  <c r="R15" i="28"/>
  <c r="X22" i="21"/>
  <c r="X22" i="28"/>
  <c r="P109" i="38"/>
  <c r="H80" i="39" s="1"/>
  <c r="P65" i="31"/>
  <c r="H16" i="38"/>
  <c r="D11" i="39" s="1"/>
  <c r="L16" i="38"/>
  <c r="F11" i="39" s="1"/>
  <c r="G28" i="38"/>
  <c r="C15" i="39" s="1"/>
  <c r="U28" i="38"/>
  <c r="K15" i="39" s="1"/>
  <c r="U49" i="38"/>
  <c r="K23" i="39" s="1"/>
  <c r="L49" i="38"/>
  <c r="F23" i="39" s="1"/>
  <c r="Q190" i="38"/>
  <c r="I200" i="39" s="1"/>
  <c r="L190" i="38"/>
  <c r="F200" i="39" s="1"/>
  <c r="P190" i="38"/>
  <c r="H200" i="39" s="1"/>
  <c r="J107" i="38"/>
  <c r="Q79" i="39" s="1"/>
  <c r="U78" i="32"/>
  <c r="G107" i="38"/>
  <c r="O79" i="39" s="1"/>
  <c r="W65" i="38"/>
  <c r="X28" i="39" s="1"/>
  <c r="J65" i="38"/>
  <c r="Q28" i="39" s="1"/>
  <c r="G65" i="38"/>
  <c r="O28" i="39" s="1"/>
  <c r="G53" i="38"/>
  <c r="O24" i="39" s="1"/>
  <c r="P53" i="38"/>
  <c r="T24" i="39" s="1"/>
  <c r="R18" i="33"/>
  <c r="H20" i="31"/>
  <c r="J65" i="31"/>
  <c r="H125" i="31"/>
  <c r="P157" i="31"/>
  <c r="J188" i="31"/>
  <c r="P10" i="31"/>
  <c r="H110" i="31"/>
  <c r="J40" i="31"/>
  <c r="J13" i="38"/>
  <c r="E10" i="39" s="1"/>
  <c r="U130" i="38"/>
  <c r="Q103" i="38"/>
  <c r="I77" i="39" s="1"/>
  <c r="W107" i="38"/>
  <c r="Q20" i="38"/>
  <c r="U12" i="39" s="1"/>
  <c r="U65" i="38"/>
  <c r="W28" i="39" s="1"/>
  <c r="P22" i="38"/>
  <c r="H13" i="39" s="1"/>
  <c r="J22" i="38"/>
  <c r="E13" i="39" s="1"/>
  <c r="L22" i="38"/>
  <c r="F13" i="39" s="1"/>
  <c r="H22" i="38"/>
  <c r="D13" i="39" s="1"/>
  <c r="Q37" i="38"/>
  <c r="I18" i="39" s="1"/>
  <c r="G37" i="38"/>
  <c r="C18" i="39" s="1"/>
  <c r="U37" i="38"/>
  <c r="K18" i="39" s="1"/>
  <c r="J43" i="38"/>
  <c r="E21" i="39" s="1"/>
  <c r="W43" i="38"/>
  <c r="L21" i="39" s="1"/>
  <c r="H55" i="38"/>
  <c r="D25" i="39" s="1"/>
  <c r="J55" i="38"/>
  <c r="E25" i="39" s="1"/>
  <c r="L55" i="38"/>
  <c r="F25" i="39" s="1"/>
  <c r="G55" i="38"/>
  <c r="C25" i="39" s="1"/>
  <c r="G67" i="38"/>
  <c r="C29" i="39" s="1"/>
  <c r="P67" i="38"/>
  <c r="H29" i="39" s="1"/>
  <c r="J67" i="38"/>
  <c r="E29" i="39" s="1"/>
  <c r="H67" i="38"/>
  <c r="D29" i="39" s="1"/>
  <c r="J82" i="38"/>
  <c r="E48" i="39" s="1"/>
  <c r="G82" i="38"/>
  <c r="C48" i="39" s="1"/>
  <c r="H82" i="38"/>
  <c r="D48" i="39" s="1"/>
  <c r="U94" i="38"/>
  <c r="K56" i="39" s="1"/>
  <c r="H94" i="38"/>
  <c r="D56" i="39" s="1"/>
  <c r="G94" i="38"/>
  <c r="C56" i="39" s="1"/>
  <c r="L106" i="38"/>
  <c r="F79" i="39" s="1"/>
  <c r="W106" i="38"/>
  <c r="G106" i="38"/>
  <c r="C79" i="39" s="1"/>
  <c r="Q118" i="38"/>
  <c r="W118" i="38"/>
  <c r="L101" i="39" s="1"/>
  <c r="J139" i="38"/>
  <c r="E126" i="39" s="1"/>
  <c r="U139" i="38"/>
  <c r="K126" i="39" s="1"/>
  <c r="G139" i="38"/>
  <c r="C126" i="39" s="1"/>
  <c r="H85" i="38"/>
  <c r="D49" i="39" s="1"/>
  <c r="J85" i="38"/>
  <c r="E49" i="39" s="1"/>
  <c r="H115" i="38"/>
  <c r="D92" i="39" s="1"/>
  <c r="J115" i="38"/>
  <c r="E92" i="39" s="1"/>
  <c r="J193" i="38"/>
  <c r="Q193" i="38"/>
  <c r="P193" i="38" s="1"/>
  <c r="H178" i="38"/>
  <c r="D183" i="39" s="1"/>
  <c r="J178" i="38"/>
  <c r="E183" i="39" s="1"/>
  <c r="U178" i="38"/>
  <c r="K183" i="39" s="1"/>
  <c r="R18" i="21"/>
  <c r="I91" i="32"/>
  <c r="W57" i="33"/>
  <c r="Q145" i="33"/>
  <c r="P73" i="24"/>
  <c r="P20" i="24"/>
  <c r="X78" i="32"/>
  <c r="J20" i="31"/>
  <c r="J34" i="31"/>
  <c r="P76" i="31"/>
  <c r="L65" i="31"/>
  <c r="G188" i="31"/>
  <c r="L110" i="31"/>
  <c r="G53" i="31"/>
  <c r="L73" i="38"/>
  <c r="F34" i="39" s="1"/>
  <c r="U53" i="38"/>
  <c r="W24" i="39" s="1"/>
  <c r="G178" i="38"/>
  <c r="C183" i="39" s="1"/>
  <c r="J28" i="38"/>
  <c r="E15" i="39" s="1"/>
  <c r="J91" i="38"/>
  <c r="E53" i="39" s="1"/>
  <c r="G115" i="38"/>
  <c r="C92" i="39" s="1"/>
  <c r="Q139" i="38"/>
  <c r="H37" i="38"/>
  <c r="D18" i="39" s="1"/>
  <c r="J106" i="38"/>
  <c r="E79" i="39" s="1"/>
  <c r="J94" i="38"/>
  <c r="E56" i="39" s="1"/>
  <c r="U82" i="38"/>
  <c r="K48" i="39" s="1"/>
  <c r="W67" i="38"/>
  <c r="L29" i="39" s="1"/>
  <c r="Q43" i="38"/>
  <c r="I21" i="39" s="1"/>
  <c r="P27" i="9"/>
  <c r="H17" i="32"/>
  <c r="P49" i="28"/>
  <c r="L116" i="39"/>
  <c r="D59" i="21"/>
  <c r="D127" i="32"/>
  <c r="D127" i="33"/>
  <c r="O121" i="28"/>
  <c r="T37" i="33"/>
  <c r="O21" i="21"/>
  <c r="P13" i="21"/>
  <c r="P15" i="21"/>
  <c r="W28" i="21"/>
  <c r="O21" i="33"/>
  <c r="T21" i="33"/>
  <c r="Q199" i="32"/>
  <c r="W37" i="32"/>
  <c r="P16" i="33"/>
  <c r="U18" i="28"/>
  <c r="P13" i="33"/>
  <c r="P24" i="21"/>
  <c r="Q34" i="21"/>
  <c r="P56" i="21"/>
  <c r="T199" i="28"/>
  <c r="U16" i="28"/>
  <c r="T199" i="32"/>
  <c r="Q32" i="28"/>
  <c r="R23" i="32"/>
  <c r="Q37" i="28"/>
  <c r="P78" i="28"/>
  <c r="O85" i="32"/>
  <c r="R13" i="32"/>
  <c r="P24" i="32"/>
  <c r="Q162" i="32"/>
  <c r="W56" i="32"/>
  <c r="U32" i="32"/>
  <c r="U32" i="33"/>
  <c r="W37" i="28"/>
  <c r="Q11" i="32"/>
  <c r="R23" i="33"/>
  <c r="P121" i="28"/>
  <c r="O85" i="33"/>
  <c r="R78" i="33"/>
  <c r="P24" i="33"/>
  <c r="U199" i="32"/>
  <c r="U121" i="32"/>
  <c r="W56" i="33"/>
  <c r="T18" i="28"/>
  <c r="O34" i="21"/>
  <c r="W28" i="33"/>
  <c r="O57" i="32"/>
  <c r="W16" i="33"/>
  <c r="X15" i="28"/>
  <c r="Q31" i="21"/>
  <c r="U16" i="21"/>
  <c r="R26" i="21"/>
  <c r="P27" i="28"/>
  <c r="Q16" i="28"/>
  <c r="R23" i="21"/>
  <c r="X21" i="28"/>
  <c r="P73" i="21"/>
  <c r="Q11" i="33"/>
  <c r="X21" i="33"/>
  <c r="Q32" i="32"/>
  <c r="P164" i="28"/>
  <c r="Q37" i="32"/>
  <c r="X28" i="32"/>
  <c r="U23" i="32"/>
  <c r="P78" i="32"/>
  <c r="P183" i="32"/>
  <c r="O85" i="28"/>
  <c r="Q16" i="33"/>
  <c r="U121" i="33"/>
  <c r="Q12" i="28"/>
  <c r="P34" i="32"/>
  <c r="T29" i="21"/>
  <c r="Q10" i="21"/>
  <c r="O69" i="21"/>
  <c r="R55" i="21"/>
  <c r="U26" i="28"/>
  <c r="T25" i="28"/>
  <c r="T29" i="28"/>
  <c r="R29" i="28"/>
  <c r="U23" i="21"/>
  <c r="P57" i="32"/>
  <c r="Q59" i="28"/>
  <c r="P117" i="28"/>
  <c r="R29" i="32"/>
  <c r="P22" i="32"/>
  <c r="R32" i="32"/>
  <c r="P154" i="31"/>
  <c r="O121" i="33"/>
  <c r="U26" i="21"/>
  <c r="Q42" i="21"/>
  <c r="P54" i="21"/>
  <c r="P35" i="21"/>
  <c r="R28" i="28"/>
  <c r="R32" i="28"/>
  <c r="R121" i="28"/>
  <c r="P57" i="33"/>
  <c r="O160" i="32"/>
  <c r="R32" i="33"/>
  <c r="Q10" i="32"/>
  <c r="P130" i="24"/>
  <c r="P148" i="31"/>
  <c r="P73" i="31"/>
  <c r="O34" i="33"/>
  <c r="P64" i="21"/>
  <c r="O65" i="21"/>
  <c r="R31" i="21"/>
  <c r="R28" i="21"/>
  <c r="U26" i="32"/>
  <c r="O160" i="33"/>
  <c r="P117" i="32"/>
  <c r="Q10" i="33"/>
  <c r="P74" i="24"/>
  <c r="P131" i="24"/>
  <c r="P86" i="24"/>
  <c r="O12" i="33"/>
  <c r="O28" i="33"/>
  <c r="O28" i="21"/>
  <c r="O28" i="32"/>
  <c r="W22" i="28"/>
  <c r="O12" i="32"/>
  <c r="W22" i="21"/>
  <c r="W22" i="32"/>
  <c r="O12" i="28"/>
  <c r="O12" i="21"/>
  <c r="O59" i="32"/>
  <c r="O42" i="21"/>
  <c r="O59" i="33"/>
  <c r="O59" i="28"/>
  <c r="W29" i="33"/>
  <c r="W29" i="28"/>
  <c r="W29" i="32"/>
  <c r="W29" i="21"/>
  <c r="P26" i="28"/>
  <c r="P26" i="32"/>
  <c r="P26" i="21"/>
  <c r="W13" i="33"/>
  <c r="D22" i="9"/>
  <c r="U136" i="33"/>
  <c r="U136" i="32"/>
  <c r="P199" i="32"/>
  <c r="U34" i="33"/>
  <c r="U34" i="28"/>
  <c r="U34" i="32"/>
  <c r="U32" i="21"/>
  <c r="Q14" i="32"/>
  <c r="Q14" i="33"/>
  <c r="Q14" i="21"/>
  <c r="Q14" i="28"/>
  <c r="I8" i="32"/>
  <c r="I8" i="21"/>
  <c r="L3" i="9"/>
  <c r="E11" i="12"/>
  <c r="I8" i="33"/>
  <c r="I8" i="28"/>
  <c r="Q56" i="28"/>
  <c r="Q56" i="33"/>
  <c r="Q56" i="32"/>
  <c r="Q40" i="21"/>
  <c r="Q55" i="32"/>
  <c r="Q55" i="28"/>
  <c r="Q55" i="33"/>
  <c r="Q39" i="21"/>
  <c r="W17" i="33"/>
  <c r="W17" i="21"/>
  <c r="W17" i="28"/>
  <c r="P188" i="38"/>
  <c r="T199" i="39" s="1"/>
  <c r="U199" i="39"/>
  <c r="U27" i="21"/>
  <c r="U27" i="28"/>
  <c r="U27" i="33"/>
  <c r="O18" i="32"/>
  <c r="O18" i="28"/>
  <c r="O11" i="32"/>
  <c r="O11" i="28"/>
  <c r="O11" i="21"/>
  <c r="P11" i="33"/>
  <c r="P11" i="28"/>
  <c r="P11" i="32"/>
  <c r="T24" i="33"/>
  <c r="T24" i="21"/>
  <c r="T24" i="28"/>
  <c r="Q12" i="21"/>
  <c r="H27" i="33"/>
  <c r="H27" i="32"/>
  <c r="H27" i="21"/>
  <c r="T59" i="28"/>
  <c r="T42" i="21"/>
  <c r="O18" i="21"/>
  <c r="O140" i="28"/>
  <c r="O140" i="33"/>
  <c r="O62" i="21"/>
  <c r="O140" i="32"/>
  <c r="U10" i="33"/>
  <c r="U10" i="32"/>
  <c r="U10" i="21"/>
  <c r="O15" i="28"/>
  <c r="O15" i="33"/>
  <c r="O15" i="21"/>
  <c r="W15" i="28"/>
  <c r="W15" i="21"/>
  <c r="W15" i="32"/>
  <c r="U107" i="33"/>
  <c r="U51" i="21"/>
  <c r="U107" i="32"/>
  <c r="U107" i="28"/>
  <c r="H162" i="32"/>
  <c r="H162" i="28"/>
  <c r="H162" i="33"/>
  <c r="H66" i="21"/>
  <c r="O10" i="32"/>
  <c r="O10" i="33"/>
  <c r="W12" i="33"/>
  <c r="W12" i="28"/>
  <c r="W12" i="21"/>
  <c r="O13" i="32"/>
  <c r="O13" i="28"/>
  <c r="O13" i="33"/>
  <c r="Q25" i="28"/>
  <c r="Q25" i="21"/>
  <c r="Q25" i="33"/>
  <c r="Q25" i="32"/>
  <c r="U162" i="33"/>
  <c r="U162" i="28"/>
  <c r="U66" i="21"/>
  <c r="U162" i="32"/>
  <c r="X199" i="33"/>
  <c r="X199" i="32"/>
  <c r="X199" i="28"/>
  <c r="X76" i="21"/>
  <c r="U122" i="33"/>
  <c r="U56" i="21"/>
  <c r="U122" i="28"/>
  <c r="U122" i="32"/>
  <c r="O21" i="32"/>
  <c r="U18" i="33"/>
  <c r="U18" i="32"/>
  <c r="W11" i="28"/>
  <c r="W11" i="21"/>
  <c r="W11" i="33"/>
  <c r="W59" i="33"/>
  <c r="W42" i="21"/>
  <c r="W59" i="32"/>
  <c r="C27" i="28"/>
  <c r="C27" i="21"/>
  <c r="D21" i="9"/>
  <c r="C27" i="33"/>
  <c r="O26" i="32"/>
  <c r="O26" i="28"/>
  <c r="O23" i="21"/>
  <c r="O24" i="33"/>
  <c r="O24" i="32"/>
  <c r="O24" i="21"/>
  <c r="O25" i="33"/>
  <c r="O25" i="21"/>
  <c r="U11" i="32"/>
  <c r="T32" i="32"/>
  <c r="Q69" i="21"/>
  <c r="P42" i="21"/>
  <c r="Q29" i="21"/>
  <c r="Q29" i="33"/>
  <c r="Q29" i="32"/>
  <c r="Q29" i="28"/>
  <c r="P107" i="33"/>
  <c r="P107" i="32"/>
  <c r="P51" i="21"/>
  <c r="P136" i="33"/>
  <c r="P136" i="28"/>
  <c r="P136" i="32"/>
  <c r="P61" i="21"/>
  <c r="Q20" i="33"/>
  <c r="Q20" i="21"/>
  <c r="Q20" i="32"/>
  <c r="Q20" i="28"/>
  <c r="X37" i="32"/>
  <c r="X34" i="21"/>
  <c r="X37" i="33"/>
  <c r="X23" i="32"/>
  <c r="X23" i="33"/>
  <c r="X23" i="21"/>
  <c r="X23" i="28"/>
  <c r="Q187" i="33"/>
  <c r="Q187" i="28"/>
  <c r="Q187" i="32"/>
  <c r="Q26" i="32"/>
  <c r="Q26" i="33"/>
  <c r="Q26" i="28"/>
  <c r="Q26" i="21"/>
  <c r="P10" i="28"/>
  <c r="Q27" i="33"/>
  <c r="Q27" i="21"/>
  <c r="Q27" i="32"/>
  <c r="F199" i="33"/>
  <c r="F199" i="28"/>
  <c r="F76" i="21"/>
  <c r="F199" i="32"/>
  <c r="D25" i="28"/>
  <c r="D25" i="33"/>
  <c r="D25" i="21"/>
  <c r="D25" i="32"/>
  <c r="O125" i="33"/>
  <c r="O162" i="28"/>
  <c r="W125" i="28"/>
  <c r="W125" i="32"/>
  <c r="Q28" i="33"/>
  <c r="Q28" i="32"/>
  <c r="Q28" i="21"/>
  <c r="Q23" i="33"/>
  <c r="Q23" i="32"/>
  <c r="Q23" i="28"/>
  <c r="Q23" i="21"/>
  <c r="Q79" i="28"/>
  <c r="Q79" i="32"/>
  <c r="R136" i="32"/>
  <c r="R136" i="33"/>
  <c r="R136" i="28"/>
  <c r="R61" i="21"/>
  <c r="Q35" i="28"/>
  <c r="Q33" i="21"/>
  <c r="Q35" i="32"/>
  <c r="P57" i="28"/>
  <c r="O100" i="33"/>
  <c r="O100" i="28"/>
  <c r="O100" i="32"/>
  <c r="W24" i="32"/>
  <c r="W24" i="28"/>
  <c r="W24" i="21"/>
  <c r="R21" i="32"/>
  <c r="R21" i="28"/>
  <c r="P29" i="28"/>
  <c r="P29" i="32"/>
  <c r="P29" i="21"/>
  <c r="U91" i="33"/>
  <c r="U91" i="28"/>
  <c r="W25" i="32"/>
  <c r="W25" i="33"/>
  <c r="W143" i="38"/>
  <c r="X128" i="39" s="1"/>
  <c r="U143" i="38"/>
  <c r="G143" i="38"/>
  <c r="O128" i="39" s="1"/>
  <c r="J143" i="38"/>
  <c r="Q128" i="39" s="1"/>
  <c r="H152" i="31"/>
  <c r="J152" i="31"/>
  <c r="R127" i="32"/>
  <c r="H143" i="38"/>
  <c r="P128" i="39" s="1"/>
  <c r="L143" i="38"/>
  <c r="R128" i="39" s="1"/>
  <c r="U140" i="38"/>
  <c r="W126" i="39" s="1"/>
  <c r="Q140" i="38"/>
  <c r="G149" i="31"/>
  <c r="J140" i="38"/>
  <c r="Q126" i="39" s="1"/>
  <c r="Q149" i="31"/>
  <c r="J149" i="31"/>
  <c r="R125" i="32"/>
  <c r="H140" i="38"/>
  <c r="P126" i="39" s="1"/>
  <c r="H149" i="31"/>
  <c r="G140" i="38"/>
  <c r="O126" i="39" s="1"/>
  <c r="H137" i="24"/>
  <c r="U137" i="24"/>
  <c r="Q137" i="24"/>
  <c r="J185" i="38"/>
  <c r="Q188" i="39" s="1"/>
  <c r="G185" i="38"/>
  <c r="O188" i="39" s="1"/>
  <c r="U185" i="38"/>
  <c r="H185" i="38"/>
  <c r="P188" i="39" s="1"/>
  <c r="G194" i="31"/>
  <c r="L185" i="38"/>
  <c r="R188" i="39" s="1"/>
  <c r="L194" i="31"/>
  <c r="H194" i="31"/>
  <c r="U194" i="31"/>
  <c r="P194" i="31" s="1"/>
  <c r="J194" i="31"/>
  <c r="J170" i="24"/>
  <c r="H170" i="24"/>
  <c r="U170" i="24"/>
  <c r="P170" i="24" s="1"/>
  <c r="G170" i="24"/>
  <c r="G137" i="38"/>
  <c r="O124" i="39" s="1"/>
  <c r="H137" i="38"/>
  <c r="P124" i="39" s="1"/>
  <c r="U137" i="38"/>
  <c r="W124" i="39" s="1"/>
  <c r="J137" i="38"/>
  <c r="Q124" i="39" s="1"/>
  <c r="W146" i="31"/>
  <c r="J146" i="31"/>
  <c r="G146" i="31"/>
  <c r="H146" i="31"/>
  <c r="G134" i="24"/>
  <c r="U146" i="31"/>
  <c r="W134" i="24"/>
  <c r="P134" i="24" s="1"/>
  <c r="J134" i="24"/>
  <c r="R120" i="16"/>
  <c r="U88" i="38"/>
  <c r="K50" i="39" s="1"/>
  <c r="Q88" i="38"/>
  <c r="G88" i="38"/>
  <c r="C50" i="39" s="1"/>
  <c r="L41" i="38"/>
  <c r="R20" i="39" s="1"/>
  <c r="G41" i="38"/>
  <c r="O20" i="39" s="1"/>
  <c r="L41" i="31"/>
  <c r="J41" i="31"/>
  <c r="U41" i="38"/>
  <c r="W20" i="39" s="1"/>
  <c r="H41" i="31"/>
  <c r="G41" i="31"/>
  <c r="J41" i="38"/>
  <c r="Q20" i="39" s="1"/>
  <c r="U41" i="31"/>
  <c r="P41" i="38"/>
  <c r="T20" i="39" s="1"/>
  <c r="P41" i="31"/>
  <c r="H41" i="38"/>
  <c r="P20" i="39" s="1"/>
  <c r="U41" i="24"/>
  <c r="J41" i="24"/>
  <c r="H41" i="24"/>
  <c r="R47" i="10"/>
  <c r="L77" i="38"/>
  <c r="R35" i="39" s="1"/>
  <c r="L77" i="31"/>
  <c r="J77" i="31"/>
  <c r="U77" i="38"/>
  <c r="W35" i="39" s="1"/>
  <c r="G77" i="38"/>
  <c r="O35" i="39" s="1"/>
  <c r="H77" i="31"/>
  <c r="H77" i="38"/>
  <c r="P35" i="39" s="1"/>
  <c r="J77" i="38"/>
  <c r="Q35" i="39" s="1"/>
  <c r="Q77" i="31"/>
  <c r="P77" i="31" s="1"/>
  <c r="L77" i="24"/>
  <c r="Q77" i="24"/>
  <c r="Q77" i="38"/>
  <c r="U77" i="24"/>
  <c r="J77" i="24"/>
  <c r="G146" i="38"/>
  <c r="O134" i="39" s="1"/>
  <c r="G155" i="31"/>
  <c r="Q146" i="38"/>
  <c r="W155" i="31"/>
  <c r="U146" i="38"/>
  <c r="W134" i="39" s="1"/>
  <c r="Q155" i="31"/>
  <c r="W146" i="38"/>
  <c r="X134" i="39" s="1"/>
  <c r="W140" i="24"/>
  <c r="Q140" i="24"/>
  <c r="G140" i="24"/>
  <c r="G119" i="38"/>
  <c r="O101" i="39" s="1"/>
  <c r="Q119" i="38"/>
  <c r="Q122" i="31"/>
  <c r="G122" i="31"/>
  <c r="W119" i="38"/>
  <c r="X101" i="39" s="1"/>
  <c r="W122" i="31"/>
  <c r="W119" i="24"/>
  <c r="Q119" i="24"/>
  <c r="G119" i="24"/>
  <c r="J110" i="38"/>
  <c r="Q80" i="39" s="1"/>
  <c r="G110" i="38"/>
  <c r="O80" i="39" s="1"/>
  <c r="H110" i="38"/>
  <c r="P80" i="39" s="1"/>
  <c r="L113" i="31"/>
  <c r="Q113" i="31"/>
  <c r="P113" i="31" s="1"/>
  <c r="J113" i="31"/>
  <c r="Q110" i="38"/>
  <c r="U110" i="38"/>
  <c r="W80" i="39" s="1"/>
  <c r="G113" i="31"/>
  <c r="H113" i="31"/>
  <c r="H110" i="24"/>
  <c r="L110" i="24"/>
  <c r="O79" i="33"/>
  <c r="J110" i="24"/>
  <c r="L108" i="5"/>
  <c r="Q47" i="21"/>
  <c r="W34" i="21"/>
  <c r="T21" i="21"/>
  <c r="W37" i="33"/>
  <c r="O199" i="32"/>
  <c r="P13" i="32"/>
  <c r="D114" i="5"/>
  <c r="P79" i="5"/>
  <c r="P120" i="5"/>
  <c r="N114" i="16"/>
  <c r="W35" i="32"/>
  <c r="R79" i="16"/>
  <c r="D47" i="5"/>
  <c r="R47" i="16"/>
  <c r="D120" i="16"/>
  <c r="N108" i="10"/>
  <c r="T13" i="33"/>
  <c r="T160" i="32"/>
  <c r="O58" i="21"/>
  <c r="O66" i="21"/>
  <c r="Q24" i="21"/>
  <c r="Q24" i="33"/>
  <c r="W125" i="33"/>
  <c r="R167" i="28"/>
  <c r="R167" i="33"/>
  <c r="O32" i="28"/>
  <c r="O32" i="33"/>
  <c r="P160" i="32"/>
  <c r="P160" i="28"/>
  <c r="P160" i="33"/>
  <c r="P65" i="21"/>
  <c r="Q160" i="33"/>
  <c r="Q160" i="28"/>
  <c r="Q160" i="32"/>
  <c r="P122" i="32"/>
  <c r="Q66" i="21"/>
  <c r="O78" i="32"/>
  <c r="O78" i="28"/>
  <c r="O78" i="33"/>
  <c r="J34" i="24"/>
  <c r="P162" i="32"/>
  <c r="P162" i="33"/>
  <c r="P162" i="28"/>
  <c r="P66" i="21"/>
  <c r="R29" i="33"/>
  <c r="G41" i="24"/>
  <c r="W25" i="21"/>
  <c r="U27" i="39"/>
  <c r="U152" i="31"/>
  <c r="P152" i="31" s="1"/>
  <c r="Q115" i="32"/>
  <c r="Q53" i="21"/>
  <c r="Q115" i="33"/>
  <c r="Q115" i="28"/>
  <c r="X76" i="33"/>
  <c r="X76" i="32"/>
  <c r="X44" i="21"/>
  <c r="L28" i="39"/>
  <c r="Q23" i="38"/>
  <c r="U13" i="39" s="1"/>
  <c r="P23" i="38"/>
  <c r="T13" i="39" s="1"/>
  <c r="U23" i="38"/>
  <c r="W13" i="39" s="1"/>
  <c r="G23" i="38"/>
  <c r="O13" i="39" s="1"/>
  <c r="Q23" i="31"/>
  <c r="H23" i="31"/>
  <c r="P23" i="31"/>
  <c r="G23" i="31"/>
  <c r="G23" i="24"/>
  <c r="L23" i="24"/>
  <c r="L23" i="38"/>
  <c r="R13" i="39" s="1"/>
  <c r="J23" i="38"/>
  <c r="Q13" i="39" s="1"/>
  <c r="U23" i="31"/>
  <c r="H23" i="38"/>
  <c r="P13" i="39" s="1"/>
  <c r="L23" i="31"/>
  <c r="J23" i="31"/>
  <c r="P23" i="24"/>
  <c r="Q23" i="24"/>
  <c r="J23" i="24"/>
  <c r="D27" i="16"/>
  <c r="R27" i="10"/>
  <c r="H170" i="38"/>
  <c r="P168" i="39" s="1"/>
  <c r="G170" i="38"/>
  <c r="O168" i="39" s="1"/>
  <c r="L179" i="31"/>
  <c r="H179" i="31"/>
  <c r="G179" i="31"/>
  <c r="L170" i="38"/>
  <c r="R168" i="39" s="1"/>
  <c r="G164" i="24"/>
  <c r="L164" i="24"/>
  <c r="J164" i="24"/>
  <c r="H56" i="38"/>
  <c r="P25" i="39" s="1"/>
  <c r="Q56" i="38"/>
  <c r="U25" i="39" s="1"/>
  <c r="L56" i="31"/>
  <c r="U56" i="38"/>
  <c r="W25" i="39" s="1"/>
  <c r="W56" i="38"/>
  <c r="X25" i="39" s="1"/>
  <c r="W56" i="31"/>
  <c r="J56" i="31"/>
  <c r="W56" i="24"/>
  <c r="H56" i="24"/>
  <c r="J56" i="38"/>
  <c r="Q25" i="39" s="1"/>
  <c r="L56" i="38"/>
  <c r="R25" i="39" s="1"/>
  <c r="H56" i="31"/>
  <c r="P56" i="31"/>
  <c r="G56" i="31"/>
  <c r="L56" i="24"/>
  <c r="P25" i="33"/>
  <c r="Q56" i="31"/>
  <c r="J56" i="24"/>
  <c r="G56" i="38"/>
  <c r="O25" i="39" s="1"/>
  <c r="G56" i="24"/>
  <c r="D62" i="16"/>
  <c r="F26" i="32"/>
  <c r="F26" i="21"/>
  <c r="F26" i="28"/>
  <c r="K182" i="33"/>
  <c r="K182" i="28"/>
  <c r="K182" i="32"/>
  <c r="K72" i="21"/>
  <c r="J68" i="38"/>
  <c r="Q29" i="39" s="1"/>
  <c r="G68" i="38"/>
  <c r="O29" i="39" s="1"/>
  <c r="H68" i="38"/>
  <c r="P29" i="39" s="1"/>
  <c r="P68" i="38"/>
  <c r="T29" i="39" s="1"/>
  <c r="W68" i="38"/>
  <c r="X29" i="39" s="1"/>
  <c r="P68" i="31"/>
  <c r="W68" i="31"/>
  <c r="U68" i="38"/>
  <c r="W29" i="39" s="1"/>
  <c r="L68" i="31"/>
  <c r="J68" i="31"/>
  <c r="Q68" i="38"/>
  <c r="U29" i="39" s="1"/>
  <c r="U68" i="31"/>
  <c r="Q68" i="31"/>
  <c r="L68" i="38"/>
  <c r="R29" i="39" s="1"/>
  <c r="H68" i="31"/>
  <c r="L68" i="24"/>
  <c r="U68" i="24"/>
  <c r="Q68" i="24"/>
  <c r="W68" i="24"/>
  <c r="P68" i="24"/>
  <c r="R74" i="16"/>
  <c r="G116" i="38"/>
  <c r="O92" i="39" s="1"/>
  <c r="J119" i="31"/>
  <c r="J116" i="38"/>
  <c r="Q92" i="39" s="1"/>
  <c r="H119" i="31"/>
  <c r="G119" i="31"/>
  <c r="H116" i="24"/>
  <c r="G116" i="24"/>
  <c r="W167" i="38"/>
  <c r="X167" i="39" s="1"/>
  <c r="U176" i="31"/>
  <c r="U167" i="38"/>
  <c r="J176" i="31"/>
  <c r="H167" i="38"/>
  <c r="P167" i="39" s="1"/>
  <c r="G176" i="31"/>
  <c r="J167" i="38"/>
  <c r="Q167" i="39" s="1"/>
  <c r="H176" i="31"/>
  <c r="G167" i="38"/>
  <c r="O167" i="39" s="1"/>
  <c r="W176" i="31"/>
  <c r="H161" i="24"/>
  <c r="W161" i="24"/>
  <c r="U161" i="24"/>
  <c r="D134" i="5"/>
  <c r="L114" i="5"/>
  <c r="D79" i="5"/>
  <c r="D120" i="5"/>
  <c r="D114" i="10"/>
  <c r="D79" i="10"/>
  <c r="O20" i="33"/>
  <c r="N108" i="16"/>
  <c r="D140" i="10"/>
  <c r="W32" i="21"/>
  <c r="Q46" i="21"/>
  <c r="O49" i="21"/>
  <c r="U48" i="21"/>
  <c r="Q24" i="28"/>
  <c r="R21" i="33"/>
  <c r="W24" i="33"/>
  <c r="O125" i="32"/>
  <c r="W32" i="28"/>
  <c r="W32" i="33"/>
  <c r="W31" i="21"/>
  <c r="P164" i="33"/>
  <c r="P164" i="32"/>
  <c r="O167" i="28"/>
  <c r="T29" i="33"/>
  <c r="T29" i="32"/>
  <c r="Q107" i="33"/>
  <c r="Q107" i="28"/>
  <c r="Q107" i="32"/>
  <c r="T25" i="33"/>
  <c r="T25" i="32"/>
  <c r="P187" i="33"/>
  <c r="X26" i="33"/>
  <c r="X26" i="28"/>
  <c r="Q21" i="33"/>
  <c r="R13" i="33"/>
  <c r="R13" i="21"/>
  <c r="X16" i="33"/>
  <c r="X16" i="21"/>
  <c r="R37" i="33"/>
  <c r="W23" i="28"/>
  <c r="W23" i="32"/>
  <c r="R35" i="28"/>
  <c r="R57" i="33"/>
  <c r="R35" i="21"/>
  <c r="U140" i="24"/>
  <c r="L41" i="24"/>
  <c r="R78" i="32"/>
  <c r="Q110" i="24"/>
  <c r="P110" i="24" s="1"/>
  <c r="W25" i="28"/>
  <c r="R9" i="33"/>
  <c r="R9" i="21"/>
  <c r="I134" i="39"/>
  <c r="I123" i="39"/>
  <c r="P133" i="38"/>
  <c r="H123" i="39" s="1"/>
  <c r="I37" i="39"/>
  <c r="O183" i="28"/>
  <c r="Q15" i="33"/>
  <c r="O183" i="32"/>
  <c r="R22" i="32"/>
  <c r="Q121" i="28"/>
  <c r="P145" i="28"/>
  <c r="Q78" i="28"/>
  <c r="U160" i="32"/>
  <c r="R121" i="33"/>
  <c r="I79" i="28"/>
  <c r="P27" i="32"/>
  <c r="R26" i="33"/>
  <c r="W121" i="33"/>
  <c r="U23" i="28"/>
  <c r="O179" i="33"/>
  <c r="O179" i="28"/>
  <c r="O70" i="21"/>
  <c r="U182" i="33"/>
  <c r="U182" i="28"/>
  <c r="U182" i="32"/>
  <c r="U76" i="21"/>
  <c r="U199" i="28"/>
  <c r="U164" i="33"/>
  <c r="U164" i="28"/>
  <c r="U164" i="32"/>
  <c r="X14" i="33"/>
  <c r="X14" i="32"/>
  <c r="X14" i="21"/>
  <c r="X14" i="28"/>
  <c r="I16" i="39"/>
  <c r="P64" i="38"/>
  <c r="H28" i="39" s="1"/>
  <c r="U7" i="38"/>
  <c r="K8" i="39" s="1"/>
  <c r="H8" i="39"/>
  <c r="Q117" i="28"/>
  <c r="O117" i="32"/>
  <c r="Q59" i="33"/>
  <c r="P22" i="33"/>
  <c r="Q136" i="28"/>
  <c r="P37" i="33"/>
  <c r="T26" i="33"/>
  <c r="P21" i="33"/>
  <c r="P32" i="32"/>
  <c r="U24" i="28"/>
  <c r="T57" i="32"/>
  <c r="R15" i="32"/>
  <c r="P46" i="38"/>
  <c r="H22" i="39" s="1"/>
  <c r="P131" i="38"/>
  <c r="T122" i="39" s="1"/>
  <c r="W122" i="39"/>
  <c r="I35" i="39"/>
  <c r="U183" i="39"/>
  <c r="F9" i="33"/>
  <c r="K35" i="33"/>
  <c r="Q75" i="21"/>
  <c r="P179" i="33"/>
  <c r="U53" i="31"/>
  <c r="I183" i="39"/>
  <c r="P70" i="38"/>
  <c r="H32" i="39" s="1"/>
  <c r="W29" i="38"/>
  <c r="X15" i="39" s="1"/>
  <c r="J29" i="38"/>
  <c r="Q15" i="39" s="1"/>
  <c r="W29" i="31"/>
  <c r="G29" i="38"/>
  <c r="O15" i="39" s="1"/>
  <c r="L29" i="31"/>
  <c r="U29" i="31"/>
  <c r="U29" i="38"/>
  <c r="W15" i="39" s="1"/>
  <c r="H29" i="38"/>
  <c r="P15" i="39" s="1"/>
  <c r="H29" i="31"/>
  <c r="P76" i="32"/>
  <c r="P76" i="33"/>
  <c r="P14" i="32"/>
  <c r="P14" i="21"/>
  <c r="U165" i="39"/>
  <c r="P164" i="38"/>
  <c r="T165" i="39" s="1"/>
  <c r="U17" i="38"/>
  <c r="W11" i="39" s="1"/>
  <c r="G17" i="38"/>
  <c r="O11" i="39" s="1"/>
  <c r="H17" i="31"/>
  <c r="L17" i="38"/>
  <c r="R11" i="39" s="1"/>
  <c r="J17" i="31"/>
  <c r="Q17" i="38"/>
  <c r="U17" i="31"/>
  <c r="J125" i="38"/>
  <c r="Q116" i="39" s="1"/>
  <c r="H125" i="38"/>
  <c r="P116" i="39" s="1"/>
  <c r="J134" i="31"/>
  <c r="W125" i="38"/>
  <c r="U134" i="31"/>
  <c r="P134" i="31" s="1"/>
  <c r="G125" i="38"/>
  <c r="O116" i="39" s="1"/>
  <c r="J128" i="38"/>
  <c r="Q118" i="39" s="1"/>
  <c r="L137" i="31"/>
  <c r="L128" i="38"/>
  <c r="R118" i="39" s="1"/>
  <c r="G128" i="38"/>
  <c r="O118" i="39" s="1"/>
  <c r="H137" i="31"/>
  <c r="G137" i="31"/>
  <c r="U74" i="38"/>
  <c r="W34" i="39" s="1"/>
  <c r="Q74" i="31"/>
  <c r="P74" i="31" s="1"/>
  <c r="H74" i="38"/>
  <c r="P34" i="39" s="1"/>
  <c r="Q74" i="38"/>
  <c r="G74" i="38"/>
  <c r="O34" i="39" s="1"/>
  <c r="J74" i="31"/>
  <c r="L74" i="38"/>
  <c r="R34" i="39" s="1"/>
  <c r="G149" i="38"/>
  <c r="O137" i="39" s="1"/>
  <c r="H158" i="31"/>
  <c r="L158" i="31"/>
  <c r="L149" i="38"/>
  <c r="R137" i="39" s="1"/>
  <c r="H149" i="38"/>
  <c r="P137" i="39" s="1"/>
  <c r="Q158" i="31"/>
  <c r="G158" i="31"/>
  <c r="Q149" i="38"/>
  <c r="U158" i="31"/>
  <c r="L32" i="38"/>
  <c r="R16" i="39" s="1"/>
  <c r="J32" i="31"/>
  <c r="U32" i="31"/>
  <c r="Q32" i="38"/>
  <c r="J32" i="38"/>
  <c r="Q16" i="39" s="1"/>
  <c r="H32" i="31"/>
  <c r="Q32" i="31"/>
  <c r="P32" i="31" s="1"/>
  <c r="W32" i="38"/>
  <c r="X16" i="39" s="1"/>
  <c r="G32" i="38"/>
  <c r="O16" i="39" s="1"/>
  <c r="G32" i="31"/>
  <c r="U80" i="38"/>
  <c r="W37" i="39" s="1"/>
  <c r="L80" i="38"/>
  <c r="R37" i="39" s="1"/>
  <c r="G80" i="38"/>
  <c r="O37" i="39" s="1"/>
  <c r="J80" i="38"/>
  <c r="Q37" i="39" s="1"/>
  <c r="W80" i="31"/>
  <c r="Q80" i="31"/>
  <c r="Q80" i="38"/>
  <c r="U80" i="31"/>
  <c r="H80" i="38"/>
  <c r="P37" i="39" s="1"/>
  <c r="J80" i="31"/>
  <c r="D198" i="33"/>
  <c r="D198" i="28"/>
  <c r="Q53" i="38"/>
  <c r="U24" i="39" s="1"/>
  <c r="H53" i="38"/>
  <c r="P24" i="39" s="1"/>
  <c r="J53" i="38"/>
  <c r="Q24" i="39" s="1"/>
  <c r="P53" i="31"/>
  <c r="H53" i="31"/>
  <c r="Q53" i="31"/>
  <c r="G83" i="38"/>
  <c r="O48" i="39" s="1"/>
  <c r="U83" i="38"/>
  <c r="W48" i="39" s="1"/>
  <c r="P83" i="38"/>
  <c r="T48" i="39" s="1"/>
  <c r="L83" i="38"/>
  <c r="R48" i="39" s="1"/>
  <c r="H83" i="31"/>
  <c r="P83" i="31"/>
  <c r="U83" i="31"/>
  <c r="G83" i="31"/>
  <c r="Q115" i="38"/>
  <c r="Q118" i="31"/>
  <c r="P118" i="31" s="1"/>
  <c r="O14" i="32"/>
  <c r="O14" i="28"/>
  <c r="P20" i="31"/>
  <c r="P98" i="31"/>
  <c r="C8" i="32"/>
  <c r="U47" i="21"/>
  <c r="O56" i="32"/>
  <c r="O40" i="21"/>
  <c r="U56" i="32"/>
  <c r="U55" i="28"/>
  <c r="G145" i="38"/>
  <c r="C134" i="39" s="1"/>
  <c r="U166" i="38"/>
  <c r="G52" i="38"/>
  <c r="C24" i="39" s="1"/>
  <c r="J172" i="38"/>
  <c r="E180" i="39" s="1"/>
  <c r="K49" i="39"/>
  <c r="P85" i="38"/>
  <c r="H49" i="39" s="1"/>
  <c r="U16" i="38"/>
  <c r="K11" i="39" s="1"/>
  <c r="G16" i="38"/>
  <c r="C11" i="39" s="1"/>
  <c r="Q16" i="38"/>
  <c r="H28" i="38"/>
  <c r="D15" i="39" s="1"/>
  <c r="W28" i="38"/>
  <c r="L15" i="39" s="1"/>
  <c r="L28" i="38"/>
  <c r="F15" i="39" s="1"/>
  <c r="Q13" i="38"/>
  <c r="G13" i="38"/>
  <c r="C10" i="39" s="1"/>
  <c r="U13" i="38"/>
  <c r="K10" i="39" s="1"/>
  <c r="J49" i="38"/>
  <c r="E23" i="39" s="1"/>
  <c r="H49" i="38"/>
  <c r="D23" i="39" s="1"/>
  <c r="Q49" i="38"/>
  <c r="I23" i="39" s="1"/>
  <c r="P49" i="38"/>
  <c r="H23" i="39" s="1"/>
  <c r="G49" i="38"/>
  <c r="C23" i="39" s="1"/>
  <c r="W49" i="38"/>
  <c r="L23" i="39" s="1"/>
  <c r="Q61" i="38"/>
  <c r="J61" i="38"/>
  <c r="E27" i="39" s="1"/>
  <c r="H61" i="38"/>
  <c r="D27" i="39" s="1"/>
  <c r="G79" i="38"/>
  <c r="C37" i="39" s="1"/>
  <c r="L79" i="38"/>
  <c r="F37" i="39" s="1"/>
  <c r="J79" i="38"/>
  <c r="E37" i="39" s="1"/>
  <c r="H79" i="38"/>
  <c r="D37" i="39" s="1"/>
  <c r="Q91" i="38"/>
  <c r="H91" i="38"/>
  <c r="D53" i="39" s="1"/>
  <c r="W103" i="38"/>
  <c r="L103" i="38"/>
  <c r="F77" i="39" s="1"/>
  <c r="J103" i="38"/>
  <c r="E77" i="39" s="1"/>
  <c r="G103" i="38"/>
  <c r="C77" i="39" s="1"/>
  <c r="H136" i="38"/>
  <c r="D124" i="39" s="1"/>
  <c r="J136" i="38"/>
  <c r="E124" i="39" s="1"/>
  <c r="U136" i="38"/>
  <c r="K124" i="39" s="1"/>
  <c r="Q136" i="38"/>
  <c r="J154" i="38"/>
  <c r="E146" i="39" s="1"/>
  <c r="G154" i="38"/>
  <c r="C146" i="39" s="1"/>
  <c r="H190" i="38"/>
  <c r="D200" i="39" s="1"/>
  <c r="G190" i="38"/>
  <c r="C200" i="39" s="1"/>
  <c r="J190" i="38"/>
  <c r="E200" i="39" s="1"/>
  <c r="U184" i="38"/>
  <c r="L184" i="38"/>
  <c r="F188" i="39" s="1"/>
  <c r="G184" i="38"/>
  <c r="C188" i="39" s="1"/>
  <c r="J130" i="38"/>
  <c r="E122" i="39" s="1"/>
  <c r="L130" i="38"/>
  <c r="F122" i="39" s="1"/>
  <c r="J163" i="38"/>
  <c r="E165" i="39" s="1"/>
  <c r="Q163" i="38"/>
  <c r="G163" i="38"/>
  <c r="C165" i="39" s="1"/>
  <c r="Q73" i="38"/>
  <c r="J73" i="38"/>
  <c r="E34" i="39" s="1"/>
  <c r="H73" i="38"/>
  <c r="D34" i="39" s="1"/>
  <c r="J187" i="38"/>
  <c r="E199" i="39" s="1"/>
  <c r="Q187" i="38"/>
  <c r="H187" i="38"/>
  <c r="D199" i="39" s="1"/>
  <c r="H175" i="38"/>
  <c r="D181" i="39" s="1"/>
  <c r="Q175" i="38"/>
  <c r="G175" i="38"/>
  <c r="C181" i="39" s="1"/>
  <c r="H142" i="38"/>
  <c r="D128" i="39" s="1"/>
  <c r="W142" i="38"/>
  <c r="L128" i="39" s="1"/>
  <c r="U142" i="38"/>
  <c r="L142" i="38"/>
  <c r="F128" i="39" s="1"/>
  <c r="U97" i="38"/>
  <c r="K57" i="39" s="1"/>
  <c r="Q97" i="38"/>
  <c r="H97" i="38"/>
  <c r="D57" i="39" s="1"/>
  <c r="J70" i="38"/>
  <c r="E32" i="39" s="1"/>
  <c r="L70" i="38"/>
  <c r="F32" i="39" s="1"/>
  <c r="G70" i="38"/>
  <c r="C32" i="39" s="1"/>
  <c r="H14" i="38"/>
  <c r="P10" i="39" s="1"/>
  <c r="Q14" i="38"/>
  <c r="G14" i="38"/>
  <c r="O10" i="39" s="1"/>
  <c r="G14" i="31"/>
  <c r="H14" i="31"/>
  <c r="U14" i="38"/>
  <c r="W10" i="39" s="1"/>
  <c r="U14" i="31"/>
  <c r="P14" i="31" s="1"/>
  <c r="H26" i="38"/>
  <c r="P14" i="39" s="1"/>
  <c r="U26" i="38"/>
  <c r="W14" i="39" s="1"/>
  <c r="P26" i="38"/>
  <c r="T14" i="39" s="1"/>
  <c r="W26" i="38"/>
  <c r="X14" i="39" s="1"/>
  <c r="G26" i="38"/>
  <c r="O14" i="39" s="1"/>
  <c r="R14" i="33"/>
  <c r="G11" i="38"/>
  <c r="O9" i="39" s="1"/>
  <c r="U11" i="38"/>
  <c r="J11" i="38"/>
  <c r="Q9" i="39" s="1"/>
  <c r="U11" i="31"/>
  <c r="H11" i="38"/>
  <c r="P9" i="39" s="1"/>
  <c r="L11" i="31"/>
  <c r="J188" i="38"/>
  <c r="Q199" i="39" s="1"/>
  <c r="G188" i="38"/>
  <c r="O199" i="39" s="1"/>
  <c r="Q197" i="31"/>
  <c r="P197" i="31" s="1"/>
  <c r="G176" i="38"/>
  <c r="O181" i="39" s="1"/>
  <c r="Q176" i="38"/>
  <c r="P176" i="38" s="1"/>
  <c r="T181" i="39" s="1"/>
  <c r="H185" i="31"/>
  <c r="J185" i="31"/>
  <c r="J176" i="38"/>
  <c r="Q181" i="39" s="1"/>
  <c r="G185" i="31"/>
  <c r="G131" i="31"/>
  <c r="U131" i="31"/>
  <c r="P131" i="31" s="1"/>
  <c r="J86" i="38"/>
  <c r="Q49" i="39" s="1"/>
  <c r="G86" i="38"/>
  <c r="O49" i="39" s="1"/>
  <c r="H86" i="31"/>
  <c r="U86" i="38"/>
  <c r="G86" i="31"/>
  <c r="J86" i="31"/>
  <c r="Q191" i="38"/>
  <c r="U200" i="39" s="1"/>
  <c r="W200" i="31"/>
  <c r="J200" i="31"/>
  <c r="W191" i="38"/>
  <c r="X200" i="39" s="1"/>
  <c r="H191" i="38"/>
  <c r="P200" i="39" s="1"/>
  <c r="Q200" i="31"/>
  <c r="G200" i="31"/>
  <c r="J155" i="38"/>
  <c r="Q146" i="39" s="1"/>
  <c r="H164" i="31"/>
  <c r="G155" i="38"/>
  <c r="O146" i="39" s="1"/>
  <c r="G164" i="31"/>
  <c r="H149" i="24"/>
  <c r="L104" i="38"/>
  <c r="R77" i="39" s="1"/>
  <c r="Q104" i="38"/>
  <c r="L107" i="31"/>
  <c r="W107" i="31"/>
  <c r="P107" i="31" s="1"/>
  <c r="J104" i="38"/>
  <c r="Q77" i="39" s="1"/>
  <c r="W104" i="38"/>
  <c r="X77" i="39" s="1"/>
  <c r="J107" i="31"/>
  <c r="G92" i="38"/>
  <c r="O53" i="39" s="1"/>
  <c r="Q92" i="38"/>
  <c r="H92" i="38"/>
  <c r="P53" i="39" s="1"/>
  <c r="J92" i="31"/>
  <c r="J92" i="24"/>
  <c r="Q59" i="38"/>
  <c r="U26" i="39" s="1"/>
  <c r="W59" i="38"/>
  <c r="X26" i="39" s="1"/>
  <c r="P59" i="38"/>
  <c r="T26" i="39" s="1"/>
  <c r="U59" i="38"/>
  <c r="W26" i="39" s="1"/>
  <c r="L59" i="31"/>
  <c r="U59" i="31"/>
  <c r="G59" i="31"/>
  <c r="Q59" i="31"/>
  <c r="H47" i="38"/>
  <c r="P22" i="39" s="1"/>
  <c r="L47" i="38"/>
  <c r="R22" i="39" s="1"/>
  <c r="H47" i="31"/>
  <c r="U47" i="31"/>
  <c r="P47" i="31" s="1"/>
  <c r="U47" i="38"/>
  <c r="J47" i="31"/>
  <c r="D183" i="33"/>
  <c r="J194" i="38"/>
  <c r="G194" i="38"/>
  <c r="G203" i="31"/>
  <c r="Q77" i="21"/>
  <c r="Q194" i="38"/>
  <c r="P194" i="38" s="1"/>
  <c r="J203" i="31"/>
  <c r="P77" i="21"/>
  <c r="U179" i="38"/>
  <c r="W183" i="39" s="1"/>
  <c r="J179" i="38"/>
  <c r="Q183" i="39" s="1"/>
  <c r="G179" i="38"/>
  <c r="O183" i="39" s="1"/>
  <c r="U188" i="31"/>
  <c r="Q188" i="31"/>
  <c r="U104" i="31"/>
  <c r="P104" i="31" s="1"/>
  <c r="G104" i="31"/>
  <c r="G95" i="38"/>
  <c r="O56" i="39" s="1"/>
  <c r="H95" i="38"/>
  <c r="P56" i="39" s="1"/>
  <c r="U95" i="38"/>
  <c r="W56" i="39" s="1"/>
  <c r="Q95" i="38"/>
  <c r="L95" i="31"/>
  <c r="H19" i="38"/>
  <c r="D12" i="39" s="1"/>
  <c r="Q19" i="38"/>
  <c r="U19" i="38"/>
  <c r="K12" i="39" s="1"/>
  <c r="G19" i="38"/>
  <c r="C12" i="39" s="1"/>
  <c r="H34" i="38"/>
  <c r="D17" i="39" s="1"/>
  <c r="U34" i="38"/>
  <c r="K17" i="39" s="1"/>
  <c r="G34" i="38"/>
  <c r="P34" i="38"/>
  <c r="H17" i="39" s="1"/>
  <c r="U40" i="38"/>
  <c r="K20" i="39" s="1"/>
  <c r="G40" i="38"/>
  <c r="H52" i="38"/>
  <c r="D24" i="39" s="1"/>
  <c r="P52" i="38"/>
  <c r="H24" i="39" s="1"/>
  <c r="J52" i="38"/>
  <c r="E24" i="39" s="1"/>
  <c r="H64" i="38"/>
  <c r="D28" i="39" s="1"/>
  <c r="L64" i="38"/>
  <c r="F28" i="39" s="1"/>
  <c r="J64" i="38"/>
  <c r="E28" i="39" s="1"/>
  <c r="U31" i="38"/>
  <c r="K16" i="39" s="1"/>
  <c r="W31" i="38"/>
  <c r="L16" i="39" s="1"/>
  <c r="J31" i="38"/>
  <c r="E16" i="39" s="1"/>
  <c r="L109" i="38"/>
  <c r="F80" i="39" s="1"/>
  <c r="J109" i="38"/>
  <c r="E80" i="39" s="1"/>
  <c r="U148" i="38"/>
  <c r="K137" i="39" s="1"/>
  <c r="Q148" i="38"/>
  <c r="G148" i="38"/>
  <c r="C137" i="39" s="1"/>
  <c r="J148" i="38"/>
  <c r="E137" i="39" s="1"/>
  <c r="L127" i="38"/>
  <c r="F118" i="39" s="1"/>
  <c r="J127" i="38"/>
  <c r="E118" i="39" s="1"/>
  <c r="G160" i="38"/>
  <c r="C163" i="39" s="1"/>
  <c r="J160" i="38"/>
  <c r="E163" i="39" s="1"/>
  <c r="C145" i="28"/>
  <c r="U38" i="38"/>
  <c r="H38" i="31"/>
  <c r="G38" i="38"/>
  <c r="O18" i="39" s="1"/>
  <c r="U38" i="31"/>
  <c r="P38" i="31" s="1"/>
  <c r="J38" i="31"/>
  <c r="Q182" i="31"/>
  <c r="P182" i="31" s="1"/>
  <c r="U179" i="33"/>
  <c r="Q173" i="38"/>
  <c r="Q134" i="38"/>
  <c r="U134" i="38"/>
  <c r="W123" i="39" s="1"/>
  <c r="G143" i="31"/>
  <c r="G134" i="38"/>
  <c r="O123" i="39" s="1"/>
  <c r="U143" i="31"/>
  <c r="W143" i="31"/>
  <c r="J158" i="38"/>
  <c r="Q161" i="39" s="1"/>
  <c r="H167" i="31"/>
  <c r="Q158" i="38"/>
  <c r="Q167" i="31"/>
  <c r="P167" i="31" s="1"/>
  <c r="G167" i="31"/>
  <c r="W122" i="38"/>
  <c r="X108" i="39" s="1"/>
  <c r="Q122" i="38"/>
  <c r="J128" i="31"/>
  <c r="H122" i="38"/>
  <c r="P108" i="39" s="1"/>
  <c r="X107" i="33"/>
  <c r="Q128" i="31"/>
  <c r="P128" i="31" s="1"/>
  <c r="Q122" i="24"/>
  <c r="P122" i="24" s="1"/>
  <c r="H182" i="38"/>
  <c r="P184" i="39" s="1"/>
  <c r="J182" i="38"/>
  <c r="Q184" i="39" s="1"/>
  <c r="H191" i="31"/>
  <c r="Q119" i="31"/>
  <c r="P119" i="31" s="1"/>
  <c r="J113" i="38"/>
  <c r="Q86" i="39" s="1"/>
  <c r="J116" i="31"/>
  <c r="H101" i="38"/>
  <c r="P60" i="39" s="1"/>
  <c r="J101" i="31"/>
  <c r="U101" i="38"/>
  <c r="H101" i="31"/>
  <c r="L44" i="38"/>
  <c r="R21" i="39" s="1"/>
  <c r="Q44" i="31"/>
  <c r="H44" i="31"/>
  <c r="J44" i="38"/>
  <c r="Q21" i="39" s="1"/>
  <c r="H44" i="38"/>
  <c r="P21" i="39" s="1"/>
  <c r="L44" i="31"/>
  <c r="G44" i="31"/>
  <c r="C77" i="21"/>
  <c r="D77" i="21"/>
  <c r="Q8" i="38"/>
  <c r="U8" i="39" s="1"/>
  <c r="H8" i="38"/>
  <c r="P8" i="39" s="1"/>
  <c r="J8" i="38"/>
  <c r="Q8" i="39" s="1"/>
  <c r="J8" i="31"/>
  <c r="H8" i="31"/>
  <c r="F125" i="33"/>
  <c r="E77" i="21"/>
  <c r="X78" i="28"/>
  <c r="P49" i="33"/>
  <c r="K79" i="33"/>
  <c r="J62" i="31"/>
  <c r="H62" i="31"/>
  <c r="W110" i="31"/>
  <c r="P110" i="31" s="1"/>
  <c r="U35" i="31"/>
  <c r="P50" i="31"/>
  <c r="U50" i="31"/>
  <c r="Q10" i="38"/>
  <c r="P25" i="38"/>
  <c r="H14" i="39" s="1"/>
  <c r="J25" i="38"/>
  <c r="E14" i="39" s="1"/>
  <c r="H25" i="38"/>
  <c r="D14" i="39" s="1"/>
  <c r="L46" i="38"/>
  <c r="F22" i="39" s="1"/>
  <c r="L107" i="38"/>
  <c r="R79" i="39" s="1"/>
  <c r="L62" i="38"/>
  <c r="R27" i="39" s="1"/>
  <c r="J50" i="38"/>
  <c r="Q23" i="39" s="1"/>
  <c r="J121" i="38"/>
  <c r="E108" i="39" s="1"/>
  <c r="J58" i="38"/>
  <c r="E26" i="39" s="1"/>
  <c r="G20" i="38"/>
  <c r="O12" i="39" s="1"/>
  <c r="U20" i="38"/>
  <c r="W12" i="39" s="1"/>
  <c r="H65" i="38"/>
  <c r="P28" i="39" s="1"/>
  <c r="L65" i="38"/>
  <c r="R28" i="39" s="1"/>
  <c r="G76" i="38"/>
  <c r="C35" i="39" s="1"/>
  <c r="J76" i="38"/>
  <c r="E35" i="39" s="1"/>
  <c r="H161" i="38"/>
  <c r="P163" i="39" s="1"/>
  <c r="Q161" i="38"/>
  <c r="G62" i="38"/>
  <c r="O27" i="39" s="1"/>
  <c r="H62" i="38"/>
  <c r="P27" i="39" s="1"/>
  <c r="U35" i="38"/>
  <c r="W17" i="39" s="1"/>
  <c r="H35" i="38"/>
  <c r="P35" i="38"/>
  <c r="T17" i="39" s="1"/>
  <c r="C9" i="28"/>
  <c r="C37" i="33"/>
  <c r="P98" i="38"/>
  <c r="T57" i="39" s="1"/>
  <c r="P12" i="33"/>
  <c r="X15" i="32"/>
  <c r="X15" i="21"/>
  <c r="Q34" i="32"/>
  <c r="Q32" i="21"/>
  <c r="T85" i="28"/>
  <c r="T47" i="21"/>
  <c r="T85" i="33"/>
  <c r="C21" i="12"/>
  <c r="C28" i="21"/>
  <c r="W13" i="28"/>
  <c r="C28" i="32"/>
  <c r="O136" i="33"/>
  <c r="P26" i="33"/>
  <c r="P15" i="33"/>
  <c r="P15" i="32"/>
  <c r="O23" i="33"/>
  <c r="W136" i="33"/>
  <c r="W136" i="32"/>
  <c r="U11" i="28"/>
  <c r="U11" i="33"/>
  <c r="U11" i="21"/>
  <c r="O34" i="28"/>
  <c r="P34" i="33"/>
  <c r="P34" i="28"/>
  <c r="T24" i="32"/>
  <c r="T59" i="32"/>
  <c r="C28" i="33"/>
  <c r="O136" i="28"/>
  <c r="W10" i="32"/>
  <c r="P12" i="32"/>
  <c r="O23" i="32"/>
  <c r="U27" i="32"/>
  <c r="W22" i="33"/>
  <c r="T13" i="28"/>
  <c r="T13" i="21"/>
  <c r="O34" i="32"/>
  <c r="T85" i="32"/>
  <c r="O121" i="32"/>
  <c r="T59" i="33"/>
  <c r="W10" i="21"/>
  <c r="O61" i="21"/>
  <c r="W13" i="21"/>
  <c r="P12" i="21"/>
  <c r="U12" i="21"/>
  <c r="P12" i="28"/>
  <c r="C28" i="28"/>
  <c r="W10" i="33"/>
  <c r="W13" i="32"/>
  <c r="U12" i="32"/>
  <c r="Q18" i="32"/>
  <c r="Q18" i="21"/>
  <c r="Q18" i="28"/>
  <c r="W34" i="32"/>
  <c r="P59" i="32"/>
  <c r="O145" i="28"/>
  <c r="T15" i="21"/>
  <c r="T15" i="28"/>
  <c r="T15" i="33"/>
  <c r="O164" i="33"/>
  <c r="Q121" i="32"/>
  <c r="P121" i="32"/>
  <c r="P145" i="32"/>
  <c r="X37" i="28"/>
  <c r="P10" i="32"/>
  <c r="Q35" i="33"/>
  <c r="P85" i="32"/>
  <c r="P59" i="33"/>
  <c r="Q162" i="33"/>
  <c r="Q121" i="33"/>
  <c r="P121" i="33"/>
  <c r="P145" i="33"/>
  <c r="P10" i="33"/>
  <c r="P85" i="33"/>
  <c r="P59" i="28"/>
  <c r="O162" i="32"/>
  <c r="U16" i="33"/>
  <c r="O179" i="32"/>
  <c r="U85" i="33"/>
  <c r="W145" i="33"/>
  <c r="P14" i="33"/>
  <c r="U85" i="32"/>
  <c r="U56" i="33"/>
  <c r="Q76" i="32"/>
  <c r="Q76" i="33"/>
  <c r="K35" i="32"/>
  <c r="C33" i="21"/>
  <c r="C35" i="28"/>
  <c r="C35" i="33"/>
  <c r="C35" i="32"/>
  <c r="D25" i="9"/>
  <c r="Q183" i="33"/>
  <c r="Q183" i="32"/>
  <c r="Q73" i="21"/>
  <c r="Q183" i="28"/>
  <c r="O37" i="32"/>
  <c r="O37" i="33"/>
  <c r="O37" i="28"/>
  <c r="O145" i="32"/>
  <c r="O145" i="33"/>
  <c r="G43" i="38" l="1"/>
  <c r="C21" i="39" s="1"/>
  <c r="P17" i="31"/>
  <c r="P149" i="31"/>
  <c r="P43" i="38"/>
  <c r="H21" i="39" s="1"/>
  <c r="I161" i="39"/>
  <c r="P47" i="24"/>
  <c r="P121" i="38"/>
  <c r="H108" i="39" s="1"/>
  <c r="J35" i="31"/>
  <c r="P11" i="31"/>
  <c r="P79" i="38"/>
  <c r="H37" i="39" s="1"/>
  <c r="P145" i="38"/>
  <c r="H134" i="39" s="1"/>
  <c r="U38" i="21"/>
  <c r="T11" i="28"/>
  <c r="P65" i="38"/>
  <c r="T28" i="39" s="1"/>
  <c r="U39" i="21"/>
  <c r="T65" i="21"/>
  <c r="P37" i="38"/>
  <c r="H18" i="39" s="1"/>
  <c r="U23" i="33"/>
  <c r="Q21" i="32"/>
  <c r="P8" i="21"/>
  <c r="L127" i="33"/>
  <c r="U77" i="21"/>
  <c r="P198" i="28"/>
  <c r="P198" i="33"/>
  <c r="P52" i="32"/>
  <c r="K187" i="32"/>
  <c r="P52" i="28"/>
  <c r="Q22" i="28"/>
  <c r="K15" i="32"/>
  <c r="U52" i="28"/>
  <c r="J35" i="24"/>
  <c r="K187" i="28"/>
  <c r="K74" i="21"/>
  <c r="P52" i="33"/>
  <c r="U52" i="32"/>
  <c r="P23" i="33"/>
  <c r="K15" i="33"/>
  <c r="P198" i="32"/>
  <c r="P75" i="21"/>
  <c r="P76" i="21"/>
  <c r="P199" i="33"/>
  <c r="P94" i="38"/>
  <c r="H56" i="39" s="1"/>
  <c r="T160" i="28"/>
  <c r="P17" i="33"/>
  <c r="P17" i="28"/>
  <c r="P17" i="32"/>
  <c r="U36" i="21"/>
  <c r="U48" i="32"/>
  <c r="U48" i="28"/>
  <c r="P178" i="38"/>
  <c r="H183" i="39" s="1"/>
  <c r="U181" i="39"/>
  <c r="P143" i="31"/>
  <c r="P44" i="9"/>
  <c r="T122" i="28"/>
  <c r="E182" i="33"/>
  <c r="H8" i="21"/>
  <c r="Q52" i="28"/>
  <c r="H46" i="21"/>
  <c r="H79" i="28"/>
  <c r="H79" i="32"/>
  <c r="H79" i="33"/>
  <c r="T32" i="33"/>
  <c r="T31" i="21"/>
  <c r="W182" i="33"/>
  <c r="T182" i="32"/>
  <c r="T8" i="21"/>
  <c r="T8" i="33"/>
  <c r="T8" i="28"/>
  <c r="T8" i="32"/>
  <c r="E48" i="32"/>
  <c r="E48" i="28"/>
  <c r="H17" i="21"/>
  <c r="E48" i="33"/>
  <c r="Q167" i="32"/>
  <c r="Q167" i="28"/>
  <c r="F13" i="33"/>
  <c r="R127" i="33"/>
  <c r="F13" i="28"/>
  <c r="F13" i="21"/>
  <c r="H8" i="28"/>
  <c r="K57" i="33"/>
  <c r="K57" i="32"/>
  <c r="T122" i="32"/>
  <c r="T122" i="33"/>
  <c r="T56" i="21"/>
  <c r="T121" i="32"/>
  <c r="K35" i="21"/>
  <c r="K57" i="28"/>
  <c r="E182" i="32"/>
  <c r="C51" i="21"/>
  <c r="Q52" i="32"/>
  <c r="R35" i="32"/>
  <c r="R125" i="33"/>
  <c r="U78" i="33"/>
  <c r="F13" i="32"/>
  <c r="H8" i="33"/>
  <c r="C9" i="21"/>
  <c r="C9" i="33"/>
  <c r="H17" i="33"/>
  <c r="C107" i="32"/>
  <c r="H17" i="28"/>
  <c r="C32" i="32"/>
  <c r="T16" i="21"/>
  <c r="C64" i="21"/>
  <c r="T121" i="28"/>
  <c r="C37" i="28"/>
  <c r="Q52" i="33"/>
  <c r="U198" i="33"/>
  <c r="T18" i="33"/>
  <c r="D37" i="9"/>
  <c r="C107" i="33"/>
  <c r="C107" i="28"/>
  <c r="R35" i="33"/>
  <c r="T16" i="28"/>
  <c r="T16" i="33"/>
  <c r="C145" i="32"/>
  <c r="C57" i="28"/>
  <c r="C57" i="33"/>
  <c r="C57" i="32"/>
  <c r="D27" i="9"/>
  <c r="C35" i="21"/>
  <c r="C32" i="33"/>
  <c r="C31" i="21"/>
  <c r="C32" i="28"/>
  <c r="T121" i="33"/>
  <c r="T55" i="21"/>
  <c r="T18" i="21"/>
  <c r="U179" i="32"/>
  <c r="F16" i="28"/>
  <c r="O20" i="32"/>
  <c r="F16" i="21"/>
  <c r="T18" i="32"/>
  <c r="C167" i="33"/>
  <c r="C167" i="32"/>
  <c r="C69" i="21"/>
  <c r="C167" i="28"/>
  <c r="T37" i="28"/>
  <c r="T37" i="32"/>
  <c r="T34" i="21"/>
  <c r="D26" i="9"/>
  <c r="C52" i="33"/>
  <c r="D29" i="9"/>
  <c r="C38" i="21"/>
  <c r="C52" i="28"/>
  <c r="C52" i="32"/>
  <c r="C136" i="32"/>
  <c r="D39" i="9"/>
  <c r="C136" i="28"/>
  <c r="C136" i="33"/>
  <c r="C61" i="21"/>
  <c r="E136" i="33"/>
  <c r="E136" i="32"/>
  <c r="E136" i="28"/>
  <c r="E61" i="21"/>
  <c r="D13" i="33"/>
  <c r="D13" i="32"/>
  <c r="D6" i="12"/>
  <c r="D13" i="28"/>
  <c r="D13" i="21"/>
  <c r="I126" i="39"/>
  <c r="P139" i="38"/>
  <c r="H126" i="39" s="1"/>
  <c r="L15" i="9"/>
  <c r="I21" i="28"/>
  <c r="I21" i="21"/>
  <c r="I21" i="33"/>
  <c r="E14" i="12"/>
  <c r="I21" i="32"/>
  <c r="U45" i="21"/>
  <c r="U78" i="28"/>
  <c r="C37" i="32"/>
  <c r="C34" i="21"/>
  <c r="F16" i="32"/>
  <c r="F16" i="33"/>
  <c r="C125" i="28"/>
  <c r="C125" i="33"/>
  <c r="C58" i="21"/>
  <c r="C125" i="32"/>
  <c r="C29" i="21"/>
  <c r="D23" i="9"/>
  <c r="C29" i="33"/>
  <c r="C22" i="12"/>
  <c r="C29" i="32"/>
  <c r="C29" i="28"/>
  <c r="P118" i="38"/>
  <c r="H101" i="39" s="1"/>
  <c r="I101" i="39"/>
  <c r="P130" i="38"/>
  <c r="H122" i="39" s="1"/>
  <c r="K122" i="39"/>
  <c r="L21" i="33"/>
  <c r="L21" i="21"/>
  <c r="L21" i="32"/>
  <c r="L21" i="28"/>
  <c r="C11" i="32"/>
  <c r="D6" i="9"/>
  <c r="C11" i="28"/>
  <c r="C11" i="21"/>
  <c r="C11" i="33"/>
  <c r="C4" i="12"/>
  <c r="P119" i="24"/>
  <c r="P137" i="38"/>
  <c r="T124" i="39" s="1"/>
  <c r="E72" i="21"/>
  <c r="E182" i="28"/>
  <c r="L79" i="39"/>
  <c r="P106" i="38"/>
  <c r="H79" i="39" s="1"/>
  <c r="P107" i="38"/>
  <c r="T79" i="39" s="1"/>
  <c r="X79" i="39"/>
  <c r="W182" i="32"/>
  <c r="W182" i="28"/>
  <c r="W72" i="21"/>
  <c r="H21" i="32"/>
  <c r="H21" i="28"/>
  <c r="H21" i="21"/>
  <c r="H21" i="33"/>
  <c r="T35" i="28"/>
  <c r="T37" i="21"/>
  <c r="T49" i="33"/>
  <c r="T49" i="28"/>
  <c r="T49" i="32"/>
  <c r="P179" i="38"/>
  <c r="T183" i="39" s="1"/>
  <c r="K16" i="32"/>
  <c r="K16" i="21"/>
  <c r="F24" i="12"/>
  <c r="K16" i="28"/>
  <c r="P11" i="9"/>
  <c r="K16" i="33"/>
  <c r="K136" i="33"/>
  <c r="K136" i="32"/>
  <c r="K61" i="21"/>
  <c r="P39" i="9"/>
  <c r="K136" i="28"/>
  <c r="K166" i="28"/>
  <c r="K166" i="32"/>
  <c r="K68" i="21"/>
  <c r="K166" i="33"/>
  <c r="P42" i="9"/>
  <c r="I48" i="32"/>
  <c r="I48" i="28"/>
  <c r="I36" i="21"/>
  <c r="I48" i="33"/>
  <c r="D125" i="28"/>
  <c r="D58" i="21"/>
  <c r="D125" i="33"/>
  <c r="D125" i="32"/>
  <c r="F127" i="32"/>
  <c r="F127" i="33"/>
  <c r="F127" i="28"/>
  <c r="F59" i="21"/>
  <c r="D35" i="32"/>
  <c r="D35" i="28"/>
  <c r="D35" i="33"/>
  <c r="D33" i="21"/>
  <c r="K24" i="28"/>
  <c r="K24" i="21"/>
  <c r="K24" i="33"/>
  <c r="K24" i="32"/>
  <c r="F28" i="33"/>
  <c r="F28" i="32"/>
  <c r="F28" i="21"/>
  <c r="F28" i="28"/>
  <c r="K11" i="21"/>
  <c r="P6" i="9"/>
  <c r="K11" i="33"/>
  <c r="K11" i="32"/>
  <c r="F4" i="12"/>
  <c r="K11" i="28"/>
  <c r="F15" i="32"/>
  <c r="F15" i="21"/>
  <c r="F15" i="28"/>
  <c r="F15" i="33"/>
  <c r="U163" i="39"/>
  <c r="P161" i="38"/>
  <c r="T163" i="39" s="1"/>
  <c r="L133" i="28"/>
  <c r="L133" i="33"/>
  <c r="L133" i="32"/>
  <c r="L60" i="21"/>
  <c r="E21" i="33"/>
  <c r="E21" i="32"/>
  <c r="E21" i="21"/>
  <c r="E21" i="28"/>
  <c r="E29" i="28"/>
  <c r="E29" i="21"/>
  <c r="E29" i="33"/>
  <c r="E29" i="32"/>
  <c r="C76" i="32"/>
  <c r="C76" i="33"/>
  <c r="C76" i="28"/>
  <c r="C44" i="21"/>
  <c r="D76" i="33"/>
  <c r="D76" i="32"/>
  <c r="D76" i="28"/>
  <c r="D44" i="21"/>
  <c r="F25" i="32"/>
  <c r="F25" i="28"/>
  <c r="F25" i="33"/>
  <c r="F25" i="21"/>
  <c r="D55" i="28"/>
  <c r="D55" i="32"/>
  <c r="D55" i="33"/>
  <c r="D39" i="21"/>
  <c r="C164" i="33"/>
  <c r="C164" i="28"/>
  <c r="C67" i="21"/>
  <c r="C164" i="32"/>
  <c r="K121" i="33"/>
  <c r="K121" i="32"/>
  <c r="K121" i="28"/>
  <c r="K55" i="21"/>
  <c r="K26" i="28"/>
  <c r="K26" i="33"/>
  <c r="K26" i="32"/>
  <c r="P20" i="9"/>
  <c r="K26" i="21"/>
  <c r="U180" i="39"/>
  <c r="P173" i="38"/>
  <c r="T180" i="39" s="1"/>
  <c r="I107" i="28"/>
  <c r="I107" i="33"/>
  <c r="L37" i="9"/>
  <c r="I107" i="32"/>
  <c r="I51" i="21"/>
  <c r="E199" i="32"/>
  <c r="E199" i="28"/>
  <c r="E76" i="21"/>
  <c r="E199" i="33"/>
  <c r="K115" i="32"/>
  <c r="K115" i="33"/>
  <c r="K53" i="21"/>
  <c r="K115" i="28"/>
  <c r="F23" i="33"/>
  <c r="F23" i="21"/>
  <c r="F23" i="32"/>
  <c r="F23" i="28"/>
  <c r="E27" i="32"/>
  <c r="E27" i="28"/>
  <c r="E27" i="33"/>
  <c r="E27" i="21"/>
  <c r="O52" i="28"/>
  <c r="O52" i="32"/>
  <c r="O38" i="21"/>
  <c r="O52" i="33"/>
  <c r="T145" i="33"/>
  <c r="T145" i="28"/>
  <c r="T64" i="21"/>
  <c r="T145" i="32"/>
  <c r="W49" i="39"/>
  <c r="P86" i="38"/>
  <c r="T49" i="39" s="1"/>
  <c r="W9" i="33"/>
  <c r="W9" i="28"/>
  <c r="W9" i="32"/>
  <c r="W9" i="21"/>
  <c r="Q9" i="33"/>
  <c r="Q9" i="32"/>
  <c r="Q9" i="28"/>
  <c r="Q9" i="21"/>
  <c r="U10" i="39"/>
  <c r="P14" i="38"/>
  <c r="T10" i="39" s="1"/>
  <c r="F32" i="33"/>
  <c r="F32" i="28"/>
  <c r="F32" i="32"/>
  <c r="F31" i="21"/>
  <c r="I32" i="33"/>
  <c r="I32" i="28"/>
  <c r="I31" i="21"/>
  <c r="I32" i="32"/>
  <c r="C56" i="33"/>
  <c r="C40" i="21"/>
  <c r="C56" i="28"/>
  <c r="C56" i="32"/>
  <c r="I56" i="33"/>
  <c r="I56" i="28"/>
  <c r="I56" i="32"/>
  <c r="I40" i="21"/>
  <c r="K9" i="33"/>
  <c r="K9" i="32"/>
  <c r="F3" i="12"/>
  <c r="K9" i="21"/>
  <c r="K9" i="28"/>
  <c r="P4" i="9"/>
  <c r="P80" i="38"/>
  <c r="T37" i="39" s="1"/>
  <c r="U37" i="39"/>
  <c r="R16" i="33"/>
  <c r="R16" i="32"/>
  <c r="R16" i="28"/>
  <c r="R16" i="21"/>
  <c r="E37" i="32"/>
  <c r="E34" i="21"/>
  <c r="E37" i="28"/>
  <c r="E37" i="33"/>
  <c r="K37" i="28"/>
  <c r="P26" i="9"/>
  <c r="K37" i="33"/>
  <c r="K34" i="21"/>
  <c r="K37" i="32"/>
  <c r="C123" i="33"/>
  <c r="C123" i="32"/>
  <c r="C123" i="28"/>
  <c r="D38" i="9"/>
  <c r="C57" i="21"/>
  <c r="Q125" i="28"/>
  <c r="Q125" i="33"/>
  <c r="Q125" i="32"/>
  <c r="Q58" i="21"/>
  <c r="O20" i="28"/>
  <c r="D49" i="32"/>
  <c r="D49" i="28"/>
  <c r="D37" i="21"/>
  <c r="D49" i="33"/>
  <c r="L22" i="32"/>
  <c r="L22" i="33"/>
  <c r="L22" i="21"/>
  <c r="L22" i="28"/>
  <c r="P166" i="32"/>
  <c r="P166" i="28"/>
  <c r="P68" i="21"/>
  <c r="P166" i="33"/>
  <c r="X29" i="28"/>
  <c r="X29" i="33"/>
  <c r="X29" i="21"/>
  <c r="X29" i="32"/>
  <c r="D78" i="28"/>
  <c r="D78" i="33"/>
  <c r="D78" i="32"/>
  <c r="D45" i="21"/>
  <c r="D100" i="33"/>
  <c r="D100" i="32"/>
  <c r="D49" i="21"/>
  <c r="D100" i="28"/>
  <c r="L100" i="33"/>
  <c r="L100" i="28"/>
  <c r="L100" i="32"/>
  <c r="L49" i="21"/>
  <c r="K20" i="33"/>
  <c r="K20" i="32"/>
  <c r="P14" i="9"/>
  <c r="F13" i="12"/>
  <c r="K20" i="28"/>
  <c r="K20" i="21"/>
  <c r="D9" i="12"/>
  <c r="D18" i="21"/>
  <c r="D18" i="33"/>
  <c r="D18" i="28"/>
  <c r="D18" i="32"/>
  <c r="F18" i="32"/>
  <c r="F18" i="21"/>
  <c r="F18" i="28"/>
  <c r="F18" i="33"/>
  <c r="P167" i="28"/>
  <c r="P167" i="32"/>
  <c r="P167" i="33"/>
  <c r="P69" i="21"/>
  <c r="Q100" i="28"/>
  <c r="Q49" i="21"/>
  <c r="Q100" i="32"/>
  <c r="Q100" i="33"/>
  <c r="R79" i="33"/>
  <c r="R79" i="32"/>
  <c r="R46" i="21"/>
  <c r="R79" i="28"/>
  <c r="O46" i="21"/>
  <c r="O79" i="28"/>
  <c r="O79" i="32"/>
  <c r="W79" i="32"/>
  <c r="W46" i="21"/>
  <c r="W79" i="33"/>
  <c r="W79" i="28"/>
  <c r="W133" i="33"/>
  <c r="W133" i="32"/>
  <c r="W133" i="28"/>
  <c r="W60" i="21"/>
  <c r="P123" i="32"/>
  <c r="P123" i="28"/>
  <c r="P123" i="33"/>
  <c r="P57" i="21"/>
  <c r="R187" i="32"/>
  <c r="R187" i="28"/>
  <c r="R74" i="21"/>
  <c r="R187" i="33"/>
  <c r="P125" i="33"/>
  <c r="P125" i="32"/>
  <c r="P58" i="21"/>
  <c r="R127" i="28"/>
  <c r="R59" i="21"/>
  <c r="W127" i="33"/>
  <c r="W127" i="32"/>
  <c r="W127" i="28"/>
  <c r="W59" i="21"/>
  <c r="T22" i="32"/>
  <c r="T22" i="21"/>
  <c r="T22" i="28"/>
  <c r="T22" i="33"/>
  <c r="C9" i="32"/>
  <c r="D73" i="21"/>
  <c r="W35" i="33"/>
  <c r="W33" i="21"/>
  <c r="P125" i="28"/>
  <c r="L16" i="33"/>
  <c r="L16" i="28"/>
  <c r="L16" i="32"/>
  <c r="L16" i="21"/>
  <c r="E16" i="28"/>
  <c r="E16" i="21"/>
  <c r="E16" i="32"/>
  <c r="E16" i="33"/>
  <c r="F61" i="21"/>
  <c r="F136" i="28"/>
  <c r="F136" i="33"/>
  <c r="F136" i="32"/>
  <c r="C59" i="21"/>
  <c r="C127" i="32"/>
  <c r="C127" i="33"/>
  <c r="D32" i="9"/>
  <c r="C127" i="28"/>
  <c r="H15" i="28"/>
  <c r="H15" i="21"/>
  <c r="H15" i="33"/>
  <c r="H15" i="32"/>
  <c r="F21" i="12"/>
  <c r="K28" i="33"/>
  <c r="K28" i="21"/>
  <c r="P22" i="9"/>
  <c r="K28" i="28"/>
  <c r="K28" i="32"/>
  <c r="P17" i="39"/>
  <c r="J35" i="38"/>
  <c r="Q17" i="39" s="1"/>
  <c r="C91" i="33"/>
  <c r="C91" i="32"/>
  <c r="C91" i="28"/>
  <c r="C48" i="21"/>
  <c r="C48" i="32"/>
  <c r="C36" i="21"/>
  <c r="C48" i="28"/>
  <c r="C48" i="33"/>
  <c r="K125" i="32"/>
  <c r="K125" i="33"/>
  <c r="K58" i="21"/>
  <c r="K125" i="28"/>
  <c r="E198" i="32"/>
  <c r="E75" i="21"/>
  <c r="E198" i="33"/>
  <c r="E198" i="28"/>
  <c r="E35" i="32"/>
  <c r="E35" i="28"/>
  <c r="E35" i="33"/>
  <c r="E33" i="21"/>
  <c r="C24" i="32"/>
  <c r="D18" i="9"/>
  <c r="C17" i="12"/>
  <c r="C24" i="33"/>
  <c r="C24" i="28"/>
  <c r="C24" i="21"/>
  <c r="E28" i="33"/>
  <c r="E28" i="21"/>
  <c r="E28" i="28"/>
  <c r="E28" i="32"/>
  <c r="I11" i="21"/>
  <c r="L6" i="9"/>
  <c r="I11" i="28"/>
  <c r="I11" i="33"/>
  <c r="I11" i="32"/>
  <c r="C15" i="33"/>
  <c r="C15" i="32"/>
  <c r="C15" i="28"/>
  <c r="C15" i="21"/>
  <c r="D10" i="9"/>
  <c r="C12" i="12"/>
  <c r="I29" i="33"/>
  <c r="I29" i="28"/>
  <c r="I29" i="32"/>
  <c r="I29" i="21"/>
  <c r="L23" i="9"/>
  <c r="D21" i="33"/>
  <c r="D21" i="21"/>
  <c r="D21" i="32"/>
  <c r="D21" i="28"/>
  <c r="D14" i="12"/>
  <c r="D162" i="28"/>
  <c r="D66" i="21"/>
  <c r="D162" i="33"/>
  <c r="D162" i="32"/>
  <c r="K29" i="28"/>
  <c r="P23" i="9"/>
  <c r="K29" i="33"/>
  <c r="K29" i="32"/>
  <c r="E22" i="12"/>
  <c r="K29" i="21"/>
  <c r="P10" i="38"/>
  <c r="H9" i="39" s="1"/>
  <c r="I9" i="39"/>
  <c r="D199" i="32"/>
  <c r="D199" i="33"/>
  <c r="D199" i="28"/>
  <c r="D76" i="21"/>
  <c r="L76" i="32"/>
  <c r="L76" i="33"/>
  <c r="L44" i="21"/>
  <c r="L76" i="28"/>
  <c r="I76" i="33"/>
  <c r="I76" i="32"/>
  <c r="I76" i="28"/>
  <c r="I44" i="21"/>
  <c r="H25" i="21"/>
  <c r="H25" i="28"/>
  <c r="H25" i="32"/>
  <c r="H25" i="33"/>
  <c r="E25" i="33"/>
  <c r="E25" i="28"/>
  <c r="E25" i="32"/>
  <c r="E25" i="21"/>
  <c r="C17" i="32"/>
  <c r="C17" i="28"/>
  <c r="D12" i="9"/>
  <c r="C17" i="21"/>
  <c r="C17" i="33"/>
  <c r="C8" i="12"/>
  <c r="E57" i="33"/>
  <c r="E57" i="32"/>
  <c r="E35" i="21"/>
  <c r="E57" i="28"/>
  <c r="K55" i="32"/>
  <c r="K39" i="21"/>
  <c r="K55" i="28"/>
  <c r="K55" i="33"/>
  <c r="P30" i="9"/>
  <c r="E164" i="32"/>
  <c r="E164" i="28"/>
  <c r="E67" i="21"/>
  <c r="E164" i="33"/>
  <c r="I121" i="32"/>
  <c r="I121" i="28"/>
  <c r="I55" i="21"/>
  <c r="I121" i="33"/>
  <c r="D182" i="28"/>
  <c r="D182" i="32"/>
  <c r="D182" i="33"/>
  <c r="D72" i="21"/>
  <c r="D26" i="28"/>
  <c r="D19" i="12"/>
  <c r="D26" i="32"/>
  <c r="D26" i="21"/>
  <c r="D26" i="33"/>
  <c r="H26" i="32"/>
  <c r="H26" i="28"/>
  <c r="H26" i="33"/>
  <c r="H26" i="21"/>
  <c r="H13" i="28"/>
  <c r="H13" i="32"/>
  <c r="H13" i="21"/>
  <c r="H13" i="33"/>
  <c r="W48" i="21"/>
  <c r="W91" i="33"/>
  <c r="W91" i="28"/>
  <c r="W91" i="32"/>
  <c r="U179" i="28"/>
  <c r="U70" i="21"/>
  <c r="H199" i="33"/>
  <c r="H76" i="21"/>
  <c r="H199" i="32"/>
  <c r="H199" i="28"/>
  <c r="L199" i="33"/>
  <c r="L199" i="28"/>
  <c r="L199" i="32"/>
  <c r="L76" i="21"/>
  <c r="E115" i="33"/>
  <c r="E115" i="28"/>
  <c r="E53" i="21"/>
  <c r="E115" i="32"/>
  <c r="O55" i="28"/>
  <c r="O55" i="33"/>
  <c r="O55" i="32"/>
  <c r="O39" i="21"/>
  <c r="P188" i="31"/>
  <c r="E85" i="33"/>
  <c r="E85" i="32"/>
  <c r="E47" i="21"/>
  <c r="E85" i="28"/>
  <c r="D107" i="32"/>
  <c r="D51" i="21"/>
  <c r="D107" i="33"/>
  <c r="D107" i="28"/>
  <c r="I160" i="32"/>
  <c r="I160" i="28"/>
  <c r="I160" i="33"/>
  <c r="I65" i="21"/>
  <c r="C122" i="33"/>
  <c r="C122" i="28"/>
  <c r="C56" i="21"/>
  <c r="C122" i="32"/>
  <c r="E179" i="32"/>
  <c r="E179" i="28"/>
  <c r="E179" i="33"/>
  <c r="E70" i="21"/>
  <c r="L23" i="32"/>
  <c r="L23" i="28"/>
  <c r="L23" i="33"/>
  <c r="L23" i="21"/>
  <c r="K23" i="33"/>
  <c r="K23" i="32"/>
  <c r="K23" i="21"/>
  <c r="K23" i="28"/>
  <c r="P17" i="9"/>
  <c r="D27" i="33"/>
  <c r="D27" i="28"/>
  <c r="D27" i="21"/>
  <c r="D27" i="32"/>
  <c r="K14" i="32"/>
  <c r="K14" i="21"/>
  <c r="K14" i="28"/>
  <c r="F7" i="12"/>
  <c r="K14" i="33"/>
  <c r="P9" i="9"/>
  <c r="E10" i="32"/>
  <c r="E10" i="21"/>
  <c r="E10" i="28"/>
  <c r="E10" i="33"/>
  <c r="P47" i="38"/>
  <c r="T22" i="39" s="1"/>
  <c r="W22" i="39"/>
  <c r="U76" i="32"/>
  <c r="U76" i="33"/>
  <c r="U76" i="28"/>
  <c r="U44" i="21"/>
  <c r="U77" i="39"/>
  <c r="P104" i="38"/>
  <c r="T77" i="39" s="1"/>
  <c r="O198" i="33"/>
  <c r="O198" i="32"/>
  <c r="O75" i="21"/>
  <c r="O198" i="28"/>
  <c r="I165" i="39"/>
  <c r="P163" i="38"/>
  <c r="H165" i="39" s="1"/>
  <c r="I124" i="39"/>
  <c r="P136" i="38"/>
  <c r="H124" i="39" s="1"/>
  <c r="I27" i="39"/>
  <c r="P61" i="38"/>
  <c r="H27" i="39" s="1"/>
  <c r="K167" i="39"/>
  <c r="P166" i="38"/>
  <c r="H167" i="39" s="1"/>
  <c r="E32" i="28"/>
  <c r="E31" i="21"/>
  <c r="E32" i="32"/>
  <c r="E32" i="33"/>
  <c r="E56" i="33"/>
  <c r="E56" i="28"/>
  <c r="E56" i="32"/>
  <c r="E40" i="21"/>
  <c r="E9" i="28"/>
  <c r="E9" i="33"/>
  <c r="E9" i="32"/>
  <c r="E9" i="21"/>
  <c r="D52" i="32"/>
  <c r="D38" i="21"/>
  <c r="D52" i="28"/>
  <c r="D52" i="33"/>
  <c r="D145" i="32"/>
  <c r="D145" i="28"/>
  <c r="D145" i="33"/>
  <c r="D64" i="21"/>
  <c r="P80" i="31"/>
  <c r="O16" i="32"/>
  <c r="O16" i="28"/>
  <c r="O16" i="33"/>
  <c r="O16" i="21"/>
  <c r="X116" i="39"/>
  <c r="P125" i="38"/>
  <c r="T116" i="39" s="1"/>
  <c r="F34" i="21"/>
  <c r="F37" i="28"/>
  <c r="F37" i="33"/>
  <c r="F37" i="32"/>
  <c r="D123" i="33"/>
  <c r="D123" i="28"/>
  <c r="D57" i="21"/>
  <c r="D123" i="32"/>
  <c r="K8" i="28"/>
  <c r="K8" i="32"/>
  <c r="U35" i="28"/>
  <c r="U33" i="21"/>
  <c r="U35" i="33"/>
  <c r="U35" i="32"/>
  <c r="C22" i="28"/>
  <c r="C22" i="21"/>
  <c r="C15" i="12"/>
  <c r="D16" i="9"/>
  <c r="C22" i="33"/>
  <c r="C22" i="32"/>
  <c r="K22" i="33"/>
  <c r="K22" i="28"/>
  <c r="K22" i="32"/>
  <c r="P16" i="9"/>
  <c r="K22" i="21"/>
  <c r="P161" i="24"/>
  <c r="P167" i="38"/>
  <c r="T167" i="39" s="1"/>
  <c r="W167" i="39"/>
  <c r="Q91" i="33"/>
  <c r="Q91" i="28"/>
  <c r="Q48" i="21"/>
  <c r="Q91" i="32"/>
  <c r="L78" i="33"/>
  <c r="L45" i="21"/>
  <c r="L78" i="28"/>
  <c r="L78" i="32"/>
  <c r="F100" i="33"/>
  <c r="F100" i="28"/>
  <c r="F49" i="21"/>
  <c r="F100" i="32"/>
  <c r="E100" i="32"/>
  <c r="E100" i="33"/>
  <c r="E100" i="28"/>
  <c r="E49" i="21"/>
  <c r="C20" i="33"/>
  <c r="C20" i="21"/>
  <c r="C20" i="28"/>
  <c r="C13" i="12"/>
  <c r="D14" i="9"/>
  <c r="C20" i="32"/>
  <c r="E18" i="28"/>
  <c r="E18" i="33"/>
  <c r="E18" i="21"/>
  <c r="E18" i="32"/>
  <c r="I18" i="28"/>
  <c r="I18" i="21"/>
  <c r="E9" i="12"/>
  <c r="I18" i="33"/>
  <c r="L13" i="9"/>
  <c r="I18" i="32"/>
  <c r="P25" i="21"/>
  <c r="P25" i="32"/>
  <c r="P25" i="28"/>
  <c r="U13" i="28"/>
  <c r="U13" i="21"/>
  <c r="U13" i="32"/>
  <c r="U13" i="33"/>
  <c r="U125" i="33"/>
  <c r="U125" i="32"/>
  <c r="U125" i="28"/>
  <c r="U58" i="21"/>
  <c r="Q123" i="32"/>
  <c r="Q57" i="21"/>
  <c r="Q123" i="28"/>
  <c r="Q123" i="33"/>
  <c r="I34" i="32"/>
  <c r="I34" i="33"/>
  <c r="I32" i="21"/>
  <c r="I34" i="28"/>
  <c r="D34" i="28"/>
  <c r="D34" i="33"/>
  <c r="D34" i="32"/>
  <c r="D32" i="21"/>
  <c r="U100" i="33"/>
  <c r="U100" i="32"/>
  <c r="U100" i="28"/>
  <c r="U49" i="21"/>
  <c r="P140" i="24"/>
  <c r="U134" i="39"/>
  <c r="P146" i="38"/>
  <c r="T134" i="39" s="1"/>
  <c r="P77" i="24"/>
  <c r="R20" i="32"/>
  <c r="R20" i="28"/>
  <c r="R20" i="21"/>
  <c r="R20" i="33"/>
  <c r="P20" i="32"/>
  <c r="P20" i="28"/>
  <c r="P20" i="33"/>
  <c r="P20" i="21"/>
  <c r="I49" i="28"/>
  <c r="L28" i="9"/>
  <c r="I49" i="33"/>
  <c r="I37" i="21"/>
  <c r="I49" i="32"/>
  <c r="W123" i="32"/>
  <c r="W123" i="33"/>
  <c r="W57" i="21"/>
  <c r="W123" i="28"/>
  <c r="R125" i="28"/>
  <c r="R58" i="21"/>
  <c r="Q127" i="32"/>
  <c r="Q127" i="33"/>
  <c r="Q127" i="28"/>
  <c r="Q59" i="21"/>
  <c r="T162" i="32"/>
  <c r="T66" i="21"/>
  <c r="T162" i="33"/>
  <c r="T162" i="28"/>
  <c r="T136" i="28"/>
  <c r="T136" i="33"/>
  <c r="T61" i="21"/>
  <c r="T136" i="32"/>
  <c r="T20" i="33"/>
  <c r="T20" i="28"/>
  <c r="T20" i="32"/>
  <c r="T20" i="21"/>
  <c r="T91" i="33"/>
  <c r="T91" i="32"/>
  <c r="T48" i="21"/>
  <c r="T91" i="28"/>
  <c r="K34" i="32"/>
  <c r="K34" i="33"/>
  <c r="K32" i="21"/>
  <c r="K34" i="28"/>
  <c r="U101" i="39"/>
  <c r="P119" i="38"/>
  <c r="T101" i="39" s="1"/>
  <c r="O35" i="28"/>
  <c r="O35" i="33"/>
  <c r="O35" i="32"/>
  <c r="O33" i="21"/>
  <c r="U35" i="39"/>
  <c r="P77" i="38"/>
  <c r="T35" i="39" s="1"/>
  <c r="P143" i="38"/>
  <c r="T128" i="39" s="1"/>
  <c r="W128" i="39"/>
  <c r="C145" i="33"/>
  <c r="C3" i="12"/>
  <c r="D4" i="9"/>
  <c r="D41" i="9"/>
  <c r="D24" i="12"/>
  <c r="D16" i="32"/>
  <c r="D16" i="21"/>
  <c r="D16" i="28"/>
  <c r="D16" i="33"/>
  <c r="E79" i="28"/>
  <c r="E79" i="33"/>
  <c r="E46" i="21"/>
  <c r="E79" i="32"/>
  <c r="I136" i="32"/>
  <c r="L39" i="9"/>
  <c r="I136" i="28"/>
  <c r="I136" i="33"/>
  <c r="I61" i="21"/>
  <c r="C187" i="33"/>
  <c r="C187" i="28"/>
  <c r="C74" i="21"/>
  <c r="C187" i="32"/>
  <c r="D44" i="9"/>
  <c r="D15" i="32"/>
  <c r="D15" i="28"/>
  <c r="D15" i="21"/>
  <c r="D12" i="12"/>
  <c r="D15" i="33"/>
  <c r="D12" i="33"/>
  <c r="D12" i="21"/>
  <c r="D12" i="32"/>
  <c r="D12" i="28"/>
  <c r="D5" i="12"/>
  <c r="E91" i="33"/>
  <c r="E91" i="32"/>
  <c r="E48" i="21"/>
  <c r="E91" i="28"/>
  <c r="K48" i="28"/>
  <c r="K48" i="33"/>
  <c r="K36" i="21"/>
  <c r="K48" i="32"/>
  <c r="K127" i="28"/>
  <c r="K59" i="21"/>
  <c r="K127" i="33"/>
  <c r="K127" i="32"/>
  <c r="P32" i="9"/>
  <c r="I198" i="28"/>
  <c r="I198" i="33"/>
  <c r="I75" i="21"/>
  <c r="I198" i="32"/>
  <c r="I35" i="28"/>
  <c r="I35" i="33"/>
  <c r="I33" i="21"/>
  <c r="L25" i="9"/>
  <c r="I35" i="32"/>
  <c r="E24" i="33"/>
  <c r="E24" i="28"/>
  <c r="E24" i="32"/>
  <c r="E24" i="21"/>
  <c r="D28" i="28"/>
  <c r="D28" i="32"/>
  <c r="D28" i="21"/>
  <c r="D28" i="33"/>
  <c r="E11" i="28"/>
  <c r="E11" i="21"/>
  <c r="E11" i="33"/>
  <c r="E11" i="32"/>
  <c r="C133" i="28"/>
  <c r="C133" i="33"/>
  <c r="C133" i="32"/>
  <c r="C60" i="21"/>
  <c r="F21" i="33"/>
  <c r="F21" i="21"/>
  <c r="F21" i="28"/>
  <c r="F21" i="32"/>
  <c r="E162" i="28"/>
  <c r="E162" i="33"/>
  <c r="E162" i="32"/>
  <c r="E66" i="21"/>
  <c r="F29" i="32"/>
  <c r="F29" i="21"/>
  <c r="F29" i="33"/>
  <c r="F29" i="28"/>
  <c r="U17" i="33"/>
  <c r="U17" i="32"/>
  <c r="U17" i="21"/>
  <c r="U17" i="28"/>
  <c r="C85" i="28"/>
  <c r="C47" i="21"/>
  <c r="C85" i="33"/>
  <c r="C85" i="32"/>
  <c r="D35" i="9"/>
  <c r="F76" i="33"/>
  <c r="F76" i="32"/>
  <c r="F44" i="21"/>
  <c r="F76" i="28"/>
  <c r="D167" i="32"/>
  <c r="D167" i="28"/>
  <c r="D69" i="21"/>
  <c r="D167" i="33"/>
  <c r="I25" i="28"/>
  <c r="I25" i="33"/>
  <c r="I25" i="21"/>
  <c r="I25" i="32"/>
  <c r="E18" i="12"/>
  <c r="L19" i="9"/>
  <c r="K25" i="32"/>
  <c r="K25" i="28"/>
  <c r="K25" i="33"/>
  <c r="K25" i="21"/>
  <c r="P19" i="9"/>
  <c r="I17" i="33"/>
  <c r="I17" i="21"/>
  <c r="I17" i="28"/>
  <c r="L12" i="9"/>
  <c r="I17" i="32"/>
  <c r="E8" i="12"/>
  <c r="Q8" i="32"/>
  <c r="Q8" i="21"/>
  <c r="Q8" i="28"/>
  <c r="Q8" i="33"/>
  <c r="D57" i="28"/>
  <c r="D57" i="33"/>
  <c r="D57" i="32"/>
  <c r="D35" i="21"/>
  <c r="C55" i="32"/>
  <c r="C55" i="28"/>
  <c r="C55" i="33"/>
  <c r="C39" i="21"/>
  <c r="D30" i="9"/>
  <c r="D164" i="32"/>
  <c r="D67" i="21"/>
  <c r="D164" i="28"/>
  <c r="D164" i="33"/>
  <c r="C121" i="33"/>
  <c r="C121" i="28"/>
  <c r="C55" i="21"/>
  <c r="C121" i="32"/>
  <c r="E121" i="28"/>
  <c r="E121" i="32"/>
  <c r="E121" i="33"/>
  <c r="E55" i="21"/>
  <c r="E26" i="28"/>
  <c r="E26" i="33"/>
  <c r="E26" i="32"/>
  <c r="E26" i="21"/>
  <c r="E13" i="33"/>
  <c r="E13" i="32"/>
  <c r="E13" i="28"/>
  <c r="E13" i="21"/>
  <c r="P122" i="38"/>
  <c r="T108" i="39" s="1"/>
  <c r="U108" i="39"/>
  <c r="P158" i="38"/>
  <c r="T161" i="39" s="1"/>
  <c r="U161" i="39"/>
  <c r="U123" i="39"/>
  <c r="P134" i="38"/>
  <c r="T123" i="39" s="1"/>
  <c r="P148" i="38"/>
  <c r="H137" i="39" s="1"/>
  <c r="I137" i="39"/>
  <c r="J34" i="38"/>
  <c r="E17" i="39" s="1"/>
  <c r="C17" i="39"/>
  <c r="E107" i="32"/>
  <c r="E107" i="33"/>
  <c r="E51" i="21"/>
  <c r="E107" i="28"/>
  <c r="C76" i="21"/>
  <c r="D45" i="9"/>
  <c r="C199" i="33"/>
  <c r="C199" i="32"/>
  <c r="C199" i="28"/>
  <c r="D117" i="32"/>
  <c r="D117" i="28"/>
  <c r="D54" i="21"/>
  <c r="D117" i="33"/>
  <c r="C115" i="33"/>
  <c r="C115" i="28"/>
  <c r="C53" i="21"/>
  <c r="C115" i="32"/>
  <c r="W55" i="33"/>
  <c r="W55" i="32"/>
  <c r="W39" i="21"/>
  <c r="W55" i="28"/>
  <c r="R55" i="33"/>
  <c r="R55" i="32"/>
  <c r="R55" i="28"/>
  <c r="R39" i="21"/>
  <c r="P182" i="33"/>
  <c r="P182" i="32"/>
  <c r="P72" i="21"/>
  <c r="P182" i="28"/>
  <c r="K59" i="32"/>
  <c r="K59" i="28"/>
  <c r="P31" i="9"/>
  <c r="K59" i="33"/>
  <c r="K42" i="21"/>
  <c r="D85" i="28"/>
  <c r="D47" i="21"/>
  <c r="D85" i="32"/>
  <c r="D85" i="33"/>
  <c r="L107" i="32"/>
  <c r="L107" i="28"/>
  <c r="L107" i="33"/>
  <c r="L51" i="21"/>
  <c r="E160" i="28"/>
  <c r="E160" i="33"/>
  <c r="E160" i="32"/>
  <c r="E65" i="21"/>
  <c r="K122" i="32"/>
  <c r="K56" i="21"/>
  <c r="K122" i="33"/>
  <c r="K122" i="28"/>
  <c r="D179" i="33"/>
  <c r="D179" i="28"/>
  <c r="D70" i="21"/>
  <c r="D179" i="32"/>
  <c r="H23" i="28"/>
  <c r="H23" i="33"/>
  <c r="H23" i="32"/>
  <c r="H23" i="21"/>
  <c r="E23" i="28"/>
  <c r="E23" i="21"/>
  <c r="E23" i="33"/>
  <c r="E23" i="32"/>
  <c r="L14" i="33"/>
  <c r="L14" i="28"/>
  <c r="L14" i="21"/>
  <c r="L14" i="32"/>
  <c r="C14" i="33"/>
  <c r="C14" i="32"/>
  <c r="C14" i="21"/>
  <c r="C14" i="28"/>
  <c r="D9" i="9"/>
  <c r="C7" i="12"/>
  <c r="K10" i="33"/>
  <c r="K10" i="32"/>
  <c r="P5" i="9"/>
  <c r="K10" i="28"/>
  <c r="K10" i="21"/>
  <c r="Q38" i="21"/>
  <c r="R76" i="32"/>
  <c r="R76" i="33"/>
  <c r="R44" i="21"/>
  <c r="R76" i="28"/>
  <c r="O76" i="33"/>
  <c r="O76" i="32"/>
  <c r="O44" i="21"/>
  <c r="O76" i="28"/>
  <c r="P48" i="32"/>
  <c r="P48" i="28"/>
  <c r="P48" i="33"/>
  <c r="P36" i="21"/>
  <c r="U75" i="21"/>
  <c r="U198" i="28"/>
  <c r="U198" i="32"/>
  <c r="W9" i="39"/>
  <c r="P11" i="38"/>
  <c r="T9" i="39" s="1"/>
  <c r="W14" i="33"/>
  <c r="W14" i="32"/>
  <c r="W14" i="28"/>
  <c r="W14" i="21"/>
  <c r="I57" i="39"/>
  <c r="P97" i="38"/>
  <c r="H57" i="39" s="1"/>
  <c r="P91" i="38"/>
  <c r="H53" i="39" s="1"/>
  <c r="I53" i="39"/>
  <c r="P13" i="38"/>
  <c r="H10" i="39" s="1"/>
  <c r="I10" i="39"/>
  <c r="I11" i="39"/>
  <c r="P16" i="38"/>
  <c r="H11" i="39" s="1"/>
  <c r="K48" i="21"/>
  <c r="K91" i="32"/>
  <c r="K91" i="33"/>
  <c r="K91" i="28"/>
  <c r="D32" i="28"/>
  <c r="D32" i="33"/>
  <c r="D32" i="32"/>
  <c r="D31" i="21"/>
  <c r="D56" i="33"/>
  <c r="D56" i="32"/>
  <c r="D40" i="21"/>
  <c r="D56" i="28"/>
  <c r="I9" i="32"/>
  <c r="I9" i="21"/>
  <c r="I9" i="28"/>
  <c r="L4" i="9"/>
  <c r="I9" i="33"/>
  <c r="E3" i="12"/>
  <c r="H145" i="33"/>
  <c r="H145" i="32"/>
  <c r="H145" i="28"/>
  <c r="H64" i="21"/>
  <c r="P32" i="38"/>
  <c r="T16" i="39" s="1"/>
  <c r="U16" i="39"/>
  <c r="P158" i="31"/>
  <c r="R32" i="21"/>
  <c r="R34" i="33"/>
  <c r="R34" i="28"/>
  <c r="R34" i="32"/>
  <c r="W115" i="32"/>
  <c r="W115" i="28"/>
  <c r="W53" i="21"/>
  <c r="W115" i="33"/>
  <c r="I37" i="33"/>
  <c r="L26" i="9"/>
  <c r="I37" i="32"/>
  <c r="I34" i="21"/>
  <c r="I37" i="28"/>
  <c r="I123" i="33"/>
  <c r="I57" i="21"/>
  <c r="I123" i="28"/>
  <c r="L38" i="9"/>
  <c r="I123" i="32"/>
  <c r="P20" i="38"/>
  <c r="T12" i="39" s="1"/>
  <c r="T164" i="32"/>
  <c r="T164" i="28"/>
  <c r="T164" i="33"/>
  <c r="T67" i="21"/>
  <c r="R33" i="21"/>
  <c r="D22" i="32"/>
  <c r="D22" i="33"/>
  <c r="D22" i="28"/>
  <c r="D22" i="21"/>
  <c r="E22" i="33"/>
  <c r="E22" i="28"/>
  <c r="E22" i="21"/>
  <c r="E22" i="32"/>
  <c r="W166" i="33"/>
  <c r="W166" i="32"/>
  <c r="W68" i="21"/>
  <c r="W166" i="28"/>
  <c r="P176" i="31"/>
  <c r="P91" i="32"/>
  <c r="P91" i="28"/>
  <c r="P48" i="21"/>
  <c r="P91" i="33"/>
  <c r="O29" i="28"/>
  <c r="O29" i="21"/>
  <c r="O29" i="33"/>
  <c r="O29" i="32"/>
  <c r="U29" i="21"/>
  <c r="U29" i="33"/>
  <c r="U29" i="28"/>
  <c r="U29" i="32"/>
  <c r="I78" i="33"/>
  <c r="I78" i="32"/>
  <c r="I45" i="21"/>
  <c r="L33" i="9"/>
  <c r="I78" i="28"/>
  <c r="E78" i="32"/>
  <c r="E78" i="28"/>
  <c r="E78" i="33"/>
  <c r="E45" i="21"/>
  <c r="I100" i="32"/>
  <c r="I49" i="21"/>
  <c r="L36" i="9"/>
  <c r="I100" i="28"/>
  <c r="I100" i="33"/>
  <c r="D20" i="33"/>
  <c r="D20" i="21"/>
  <c r="D20" i="32"/>
  <c r="D20" i="28"/>
  <c r="K18" i="33"/>
  <c r="F9" i="12"/>
  <c r="K18" i="32"/>
  <c r="K18" i="21"/>
  <c r="P13" i="9"/>
  <c r="K18" i="28"/>
  <c r="U25" i="28"/>
  <c r="U25" i="33"/>
  <c r="U25" i="21"/>
  <c r="U25" i="32"/>
  <c r="R25" i="32"/>
  <c r="R25" i="33"/>
  <c r="R25" i="28"/>
  <c r="R25" i="21"/>
  <c r="Q13" i="33"/>
  <c r="Q13" i="32"/>
  <c r="Q13" i="28"/>
  <c r="Q13" i="21"/>
  <c r="C34" i="32"/>
  <c r="C34" i="33"/>
  <c r="C32" i="21"/>
  <c r="C34" i="28"/>
  <c r="F34" i="33"/>
  <c r="F34" i="32"/>
  <c r="F32" i="21"/>
  <c r="F34" i="28"/>
  <c r="U79" i="33"/>
  <c r="U79" i="28"/>
  <c r="U46" i="21"/>
  <c r="U79" i="32"/>
  <c r="P100" i="28"/>
  <c r="P100" i="33"/>
  <c r="P100" i="32"/>
  <c r="P49" i="21"/>
  <c r="R100" i="33"/>
  <c r="R100" i="32"/>
  <c r="R100" i="28"/>
  <c r="R49" i="21"/>
  <c r="O133" i="28"/>
  <c r="O133" i="33"/>
  <c r="O133" i="32"/>
  <c r="O60" i="21"/>
  <c r="P155" i="31"/>
  <c r="P35" i="33"/>
  <c r="P35" i="32"/>
  <c r="P35" i="28"/>
  <c r="P33" i="21"/>
  <c r="I50" i="39"/>
  <c r="P88" i="38"/>
  <c r="H50" i="39" s="1"/>
  <c r="P146" i="31"/>
  <c r="U123" i="32"/>
  <c r="U123" i="28"/>
  <c r="U57" i="21"/>
  <c r="U123" i="33"/>
  <c r="W187" i="33"/>
  <c r="W187" i="32"/>
  <c r="W187" i="28"/>
  <c r="W74" i="21"/>
  <c r="P137" i="24"/>
  <c r="P140" i="38"/>
  <c r="T126" i="39" s="1"/>
  <c r="U126" i="39"/>
  <c r="O127" i="32"/>
  <c r="O127" i="28"/>
  <c r="O127" i="33"/>
  <c r="O59" i="21"/>
  <c r="T27" i="21"/>
  <c r="T27" i="33"/>
  <c r="T27" i="28"/>
  <c r="T27" i="32"/>
  <c r="D68" i="21"/>
  <c r="D166" i="28"/>
  <c r="D166" i="32"/>
  <c r="D166" i="33"/>
  <c r="D24" i="32"/>
  <c r="D17" i="12"/>
  <c r="D24" i="21"/>
  <c r="D24" i="28"/>
  <c r="D24" i="33"/>
  <c r="F11" i="33"/>
  <c r="F11" i="32"/>
  <c r="F11" i="21"/>
  <c r="F11" i="28"/>
  <c r="D187" i="32"/>
  <c r="D74" i="21"/>
  <c r="D187" i="28"/>
  <c r="D187" i="33"/>
  <c r="C12" i="33"/>
  <c r="D7" i="9"/>
  <c r="C12" i="21"/>
  <c r="C5" i="12"/>
  <c r="C12" i="32"/>
  <c r="C12" i="28"/>
  <c r="E55" i="33"/>
  <c r="E55" i="32"/>
  <c r="E55" i="28"/>
  <c r="E39" i="21"/>
  <c r="I26" i="28"/>
  <c r="I26" i="21"/>
  <c r="I26" i="33"/>
  <c r="I26" i="32"/>
  <c r="L20" i="9"/>
  <c r="E167" i="32"/>
  <c r="E167" i="28"/>
  <c r="E167" i="33"/>
  <c r="E69" i="21"/>
  <c r="F17" i="33"/>
  <c r="F17" i="28"/>
  <c r="F17" i="32"/>
  <c r="F17" i="21"/>
  <c r="W8" i="33"/>
  <c r="W8" i="32"/>
  <c r="W8" i="21"/>
  <c r="W8" i="28"/>
  <c r="F57" i="32"/>
  <c r="F57" i="28"/>
  <c r="F57" i="33"/>
  <c r="F35" i="21"/>
  <c r="I182" i="28"/>
  <c r="I72" i="21"/>
  <c r="I182" i="33"/>
  <c r="I182" i="32"/>
  <c r="C26" i="21"/>
  <c r="C26" i="28"/>
  <c r="D20" i="9"/>
  <c r="C26" i="32"/>
  <c r="C26" i="33"/>
  <c r="C19" i="12"/>
  <c r="I13" i="32"/>
  <c r="I13" i="28"/>
  <c r="I13" i="33"/>
  <c r="I13" i="21"/>
  <c r="L8" i="9"/>
  <c r="C59" i="33"/>
  <c r="C59" i="32"/>
  <c r="C42" i="21"/>
  <c r="C59" i="28"/>
  <c r="D31" i="9"/>
  <c r="E117" i="32"/>
  <c r="E117" i="33"/>
  <c r="E54" i="21"/>
  <c r="E117" i="28"/>
  <c r="O182" i="33"/>
  <c r="O72" i="21"/>
  <c r="O182" i="32"/>
  <c r="O182" i="28"/>
  <c r="I85" i="28"/>
  <c r="I85" i="33"/>
  <c r="I47" i="21"/>
  <c r="I85" i="32"/>
  <c r="L35" i="9"/>
  <c r="D160" i="28"/>
  <c r="D160" i="33"/>
  <c r="D65" i="21"/>
  <c r="D160" i="32"/>
  <c r="I122" i="32"/>
  <c r="I122" i="28"/>
  <c r="I122" i="33"/>
  <c r="I56" i="21"/>
  <c r="I70" i="21"/>
  <c r="I179" i="33"/>
  <c r="I179" i="28"/>
  <c r="I179" i="32"/>
  <c r="C23" i="32"/>
  <c r="C23" i="21"/>
  <c r="C23" i="28"/>
  <c r="D17" i="9"/>
  <c r="C23" i="33"/>
  <c r="C16" i="12"/>
  <c r="E14" i="33"/>
  <c r="E14" i="32"/>
  <c r="E14" i="28"/>
  <c r="E14" i="21"/>
  <c r="D5" i="9"/>
  <c r="C10" i="32"/>
  <c r="C10" i="28"/>
  <c r="C10" i="21"/>
  <c r="C10" i="33"/>
  <c r="R14" i="32"/>
  <c r="R14" i="21"/>
  <c r="R14" i="28"/>
  <c r="K128" i="39"/>
  <c r="P142" i="38"/>
  <c r="H128" i="39" s="1"/>
  <c r="I181" i="39"/>
  <c r="P175" i="38"/>
  <c r="H181" i="39" s="1"/>
  <c r="L77" i="39"/>
  <c r="P103" i="38"/>
  <c r="H77" i="39" s="1"/>
  <c r="I52" i="32"/>
  <c r="I38" i="21"/>
  <c r="L29" i="9"/>
  <c r="I52" i="28"/>
  <c r="I52" i="33"/>
  <c r="K145" i="33"/>
  <c r="K145" i="28"/>
  <c r="P41" i="9"/>
  <c r="K64" i="21"/>
  <c r="K145" i="32"/>
  <c r="P149" i="38"/>
  <c r="T137" i="39" s="1"/>
  <c r="U137" i="39"/>
  <c r="P115" i="33"/>
  <c r="P115" i="28"/>
  <c r="P53" i="21"/>
  <c r="P115" i="32"/>
  <c r="D183" i="28"/>
  <c r="D183" i="32"/>
  <c r="O20" i="21"/>
  <c r="C16" i="28"/>
  <c r="C16" i="33"/>
  <c r="C16" i="32"/>
  <c r="D11" i="9"/>
  <c r="C24" i="12"/>
  <c r="C16" i="21"/>
  <c r="D79" i="33"/>
  <c r="D79" i="28"/>
  <c r="D46" i="21"/>
  <c r="D79" i="32"/>
  <c r="D91" i="28"/>
  <c r="D91" i="33"/>
  <c r="D48" i="21"/>
  <c r="D91" i="32"/>
  <c r="I12" i="21"/>
  <c r="E5" i="12"/>
  <c r="I12" i="28"/>
  <c r="I12" i="32"/>
  <c r="L7" i="9"/>
  <c r="I12" i="33"/>
  <c r="K12" i="33"/>
  <c r="K12" i="21"/>
  <c r="F5" i="12"/>
  <c r="K12" i="32"/>
  <c r="P7" i="9"/>
  <c r="K12" i="28"/>
  <c r="F187" i="33"/>
  <c r="F187" i="32"/>
  <c r="F187" i="28"/>
  <c r="F74" i="21"/>
  <c r="D48" i="28"/>
  <c r="D48" i="33"/>
  <c r="D48" i="32"/>
  <c r="D36" i="21"/>
  <c r="E125" i="33"/>
  <c r="E125" i="32"/>
  <c r="E58" i="21"/>
  <c r="E125" i="28"/>
  <c r="E127" i="32"/>
  <c r="E127" i="28"/>
  <c r="E127" i="33"/>
  <c r="E59" i="21"/>
  <c r="C198" i="32"/>
  <c r="C198" i="28"/>
  <c r="C198" i="33"/>
  <c r="C75" i="21"/>
  <c r="F35" i="33"/>
  <c r="F33" i="21"/>
  <c r="F35" i="32"/>
  <c r="F35" i="28"/>
  <c r="H24" i="28"/>
  <c r="H24" i="33"/>
  <c r="H24" i="32"/>
  <c r="H24" i="21"/>
  <c r="L28" i="33"/>
  <c r="L28" i="28"/>
  <c r="L28" i="21"/>
  <c r="L28" i="32"/>
  <c r="L15" i="28"/>
  <c r="L15" i="21"/>
  <c r="L15" i="33"/>
  <c r="L15" i="32"/>
  <c r="I133" i="33"/>
  <c r="I60" i="21"/>
  <c r="I133" i="28"/>
  <c r="I133" i="32"/>
  <c r="C21" i="28"/>
  <c r="C21" i="33"/>
  <c r="C14" i="12"/>
  <c r="D15" i="9"/>
  <c r="C21" i="32"/>
  <c r="C21" i="21"/>
  <c r="H29" i="32"/>
  <c r="H29" i="21"/>
  <c r="H29" i="28"/>
  <c r="H29" i="33"/>
  <c r="L29" i="28"/>
  <c r="L29" i="21"/>
  <c r="L29" i="33"/>
  <c r="L29" i="32"/>
  <c r="O17" i="21"/>
  <c r="O17" i="33"/>
  <c r="O17" i="32"/>
  <c r="O17" i="28"/>
  <c r="C117" i="28"/>
  <c r="C117" i="32"/>
  <c r="C54" i="21"/>
  <c r="C117" i="33"/>
  <c r="C25" i="33"/>
  <c r="C25" i="21"/>
  <c r="C18" i="12"/>
  <c r="C25" i="32"/>
  <c r="C25" i="28"/>
  <c r="D19" i="9"/>
  <c r="E76" i="32"/>
  <c r="E76" i="33"/>
  <c r="E76" i="28"/>
  <c r="E44" i="21"/>
  <c r="F167" i="33"/>
  <c r="F167" i="32"/>
  <c r="F69" i="21"/>
  <c r="F167" i="28"/>
  <c r="L25" i="33"/>
  <c r="L25" i="28"/>
  <c r="L25" i="32"/>
  <c r="L25" i="21"/>
  <c r="D17" i="33"/>
  <c r="D17" i="21"/>
  <c r="D8" i="12"/>
  <c r="D17" i="32"/>
  <c r="D17" i="28"/>
  <c r="H57" i="28"/>
  <c r="H57" i="33"/>
  <c r="H57" i="32"/>
  <c r="H35" i="21"/>
  <c r="I55" i="32"/>
  <c r="I39" i="21"/>
  <c r="I55" i="28"/>
  <c r="I55" i="33"/>
  <c r="L30" i="9"/>
  <c r="I164" i="33"/>
  <c r="I164" i="32"/>
  <c r="I67" i="21"/>
  <c r="I164" i="28"/>
  <c r="D121" i="28"/>
  <c r="D55" i="21"/>
  <c r="D121" i="33"/>
  <c r="D121" i="32"/>
  <c r="C182" i="32"/>
  <c r="C182" i="28"/>
  <c r="C182" i="33"/>
  <c r="C72" i="21"/>
  <c r="L26" i="33"/>
  <c r="L26" i="21"/>
  <c r="L26" i="28"/>
  <c r="L26" i="32"/>
  <c r="C13" i="32"/>
  <c r="D8" i="9"/>
  <c r="C6" i="12"/>
  <c r="C13" i="33"/>
  <c r="C13" i="21"/>
  <c r="C13" i="28"/>
  <c r="P101" i="38"/>
  <c r="T60" i="39" s="1"/>
  <c r="W60" i="39"/>
  <c r="X107" i="32"/>
  <c r="X51" i="21"/>
  <c r="X107" i="28"/>
  <c r="Q179" i="32"/>
  <c r="Q179" i="28"/>
  <c r="Q70" i="21"/>
  <c r="Q179" i="33"/>
  <c r="W18" i="39"/>
  <c r="P38" i="38"/>
  <c r="T18" i="39" s="1"/>
  <c r="C20" i="39"/>
  <c r="J40" i="38"/>
  <c r="E20" i="39" s="1"/>
  <c r="P19" i="38"/>
  <c r="H12" i="39" s="1"/>
  <c r="I12" i="39"/>
  <c r="F14" i="33"/>
  <c r="F14" i="32"/>
  <c r="F14" i="28"/>
  <c r="F14" i="21"/>
  <c r="I199" i="32"/>
  <c r="I76" i="21"/>
  <c r="I199" i="28"/>
  <c r="I199" i="33"/>
  <c r="L45" i="9"/>
  <c r="F117" i="32"/>
  <c r="F117" i="33"/>
  <c r="F54" i="21"/>
  <c r="F117" i="28"/>
  <c r="D115" i="28"/>
  <c r="D115" i="33"/>
  <c r="D115" i="32"/>
  <c r="D53" i="21"/>
  <c r="P95" i="38"/>
  <c r="T56" i="39" s="1"/>
  <c r="U56" i="39"/>
  <c r="Q182" i="32"/>
  <c r="Q182" i="33"/>
  <c r="Q72" i="21"/>
  <c r="Q182" i="28"/>
  <c r="D59" i="32"/>
  <c r="D59" i="33"/>
  <c r="D42" i="21"/>
  <c r="D59" i="28"/>
  <c r="C183" i="32"/>
  <c r="C73" i="21"/>
  <c r="C183" i="33"/>
  <c r="C183" i="28"/>
  <c r="C160" i="32"/>
  <c r="C160" i="28"/>
  <c r="C160" i="33"/>
  <c r="C65" i="21"/>
  <c r="E122" i="33"/>
  <c r="E122" i="32"/>
  <c r="E56" i="21"/>
  <c r="E122" i="28"/>
  <c r="C70" i="21"/>
  <c r="C179" i="32"/>
  <c r="C179" i="28"/>
  <c r="C179" i="33"/>
  <c r="I23" i="32"/>
  <c r="L17" i="9"/>
  <c r="I23" i="21"/>
  <c r="I23" i="33"/>
  <c r="I23" i="28"/>
  <c r="D23" i="28"/>
  <c r="D23" i="33"/>
  <c r="D23" i="21"/>
  <c r="D23" i="32"/>
  <c r="F27" i="33"/>
  <c r="F27" i="21"/>
  <c r="F27" i="28"/>
  <c r="F27" i="32"/>
  <c r="D14" i="32"/>
  <c r="D14" i="28"/>
  <c r="D14" i="21"/>
  <c r="D14" i="33"/>
  <c r="D7" i="12"/>
  <c r="H14" i="32"/>
  <c r="H14" i="33"/>
  <c r="H14" i="28"/>
  <c r="H14" i="21"/>
  <c r="I10" i="33"/>
  <c r="I10" i="21"/>
  <c r="I10" i="32"/>
  <c r="L5" i="9"/>
  <c r="I10" i="28"/>
  <c r="P92" i="38"/>
  <c r="T53" i="39" s="1"/>
  <c r="U53" i="39"/>
  <c r="R199" i="32"/>
  <c r="R76" i="21"/>
  <c r="R199" i="28"/>
  <c r="R199" i="33"/>
  <c r="O48" i="28"/>
  <c r="O48" i="33"/>
  <c r="O36" i="21"/>
  <c r="O48" i="32"/>
  <c r="O9" i="21"/>
  <c r="O9" i="33"/>
  <c r="O9" i="32"/>
  <c r="O9" i="28"/>
  <c r="U9" i="32"/>
  <c r="U9" i="21"/>
  <c r="U9" i="28"/>
  <c r="U9" i="33"/>
  <c r="I199" i="39"/>
  <c r="P187" i="38"/>
  <c r="H199" i="39" s="1"/>
  <c r="P73" i="38"/>
  <c r="H34" i="39" s="1"/>
  <c r="I34" i="39"/>
  <c r="K188" i="39"/>
  <c r="P184" i="38"/>
  <c r="H188" i="39" s="1"/>
  <c r="I92" i="39"/>
  <c r="P115" i="38"/>
  <c r="H92" i="39" s="1"/>
  <c r="K32" i="32"/>
  <c r="K31" i="21"/>
  <c r="K32" i="33"/>
  <c r="K32" i="28"/>
  <c r="K56" i="33"/>
  <c r="K56" i="32"/>
  <c r="K40" i="21"/>
  <c r="K56" i="28"/>
  <c r="D9" i="28"/>
  <c r="D9" i="33"/>
  <c r="D9" i="21"/>
  <c r="D3" i="12"/>
  <c r="D9" i="32"/>
  <c r="E52" i="32"/>
  <c r="E52" i="33"/>
  <c r="E38" i="21"/>
  <c r="E52" i="28"/>
  <c r="E145" i="32"/>
  <c r="E145" i="33"/>
  <c r="E64" i="21"/>
  <c r="E145" i="28"/>
  <c r="P74" i="38"/>
  <c r="T34" i="39" s="1"/>
  <c r="U34" i="39"/>
  <c r="O115" i="33"/>
  <c r="O115" i="28"/>
  <c r="O53" i="21"/>
  <c r="O115" i="32"/>
  <c r="P17" i="38"/>
  <c r="T11" i="39" s="1"/>
  <c r="U11" i="39"/>
  <c r="K123" i="28"/>
  <c r="K123" i="33"/>
  <c r="P38" i="9"/>
  <c r="K57" i="21"/>
  <c r="K123" i="32"/>
  <c r="D37" i="28"/>
  <c r="D34" i="21"/>
  <c r="D37" i="32"/>
  <c r="D37" i="33"/>
  <c r="L37" i="28"/>
  <c r="L34" i="21"/>
  <c r="L37" i="33"/>
  <c r="L37" i="32"/>
  <c r="E123" i="32"/>
  <c r="E123" i="28"/>
  <c r="E123" i="33"/>
  <c r="E57" i="21"/>
  <c r="P31" i="38"/>
  <c r="H16" i="39" s="1"/>
  <c r="P187" i="32"/>
  <c r="P74" i="21"/>
  <c r="P187" i="28"/>
  <c r="O123" i="28"/>
  <c r="O123" i="33"/>
  <c r="O57" i="21"/>
  <c r="O123" i="32"/>
  <c r="E49" i="33"/>
  <c r="E37" i="21"/>
  <c r="E49" i="32"/>
  <c r="E49" i="28"/>
  <c r="F22" i="32"/>
  <c r="F22" i="21"/>
  <c r="F22" i="28"/>
  <c r="F22" i="33"/>
  <c r="X166" i="28"/>
  <c r="X166" i="33"/>
  <c r="X166" i="32"/>
  <c r="X68" i="21"/>
  <c r="O91" i="33"/>
  <c r="O91" i="32"/>
  <c r="O48" i="21"/>
  <c r="O91" i="28"/>
  <c r="C78" i="33"/>
  <c r="C78" i="32"/>
  <c r="C78" i="28"/>
  <c r="D33" i="9"/>
  <c r="C45" i="21"/>
  <c r="F78" i="33"/>
  <c r="F78" i="32"/>
  <c r="F78" i="28"/>
  <c r="F45" i="21"/>
  <c r="C100" i="32"/>
  <c r="C100" i="28"/>
  <c r="C100" i="33"/>
  <c r="C49" i="21"/>
  <c r="D36" i="9"/>
  <c r="H20" i="33"/>
  <c r="H20" i="28"/>
  <c r="H20" i="32"/>
  <c r="H20" i="21"/>
  <c r="F20" i="32"/>
  <c r="F20" i="33"/>
  <c r="F20" i="21"/>
  <c r="F20" i="28"/>
  <c r="C18" i="28"/>
  <c r="C18" i="21"/>
  <c r="C18" i="33"/>
  <c r="D13" i="9"/>
  <c r="C18" i="32"/>
  <c r="C9" i="12"/>
  <c r="X25" i="32"/>
  <c r="X25" i="33"/>
  <c r="X25" i="28"/>
  <c r="X25" i="21"/>
  <c r="U133" i="32"/>
  <c r="U133" i="33"/>
  <c r="U133" i="28"/>
  <c r="U60" i="21"/>
  <c r="W35" i="28"/>
  <c r="E34" i="33"/>
  <c r="E34" i="28"/>
  <c r="E32" i="21"/>
  <c r="E34" i="32"/>
  <c r="P79" i="32"/>
  <c r="P79" i="33"/>
  <c r="P79" i="28"/>
  <c r="P46" i="21"/>
  <c r="U80" i="39"/>
  <c r="P110" i="38"/>
  <c r="T80" i="39" s="1"/>
  <c r="X100" i="32"/>
  <c r="X100" i="28"/>
  <c r="X100" i="33"/>
  <c r="X49" i="21"/>
  <c r="P122" i="31"/>
  <c r="X133" i="28"/>
  <c r="X133" i="33"/>
  <c r="X60" i="21"/>
  <c r="X133" i="32"/>
  <c r="W20" i="33"/>
  <c r="W20" i="32"/>
  <c r="W20" i="21"/>
  <c r="W20" i="28"/>
  <c r="C49" i="33"/>
  <c r="D28" i="9"/>
  <c r="C49" i="32"/>
  <c r="C49" i="28"/>
  <c r="C37" i="21"/>
  <c r="K49" i="28"/>
  <c r="K49" i="33"/>
  <c r="K49" i="32"/>
  <c r="K37" i="21"/>
  <c r="P28" i="9"/>
  <c r="O187" i="33"/>
  <c r="O74" i="21"/>
  <c r="O187" i="32"/>
  <c r="O187" i="28"/>
  <c r="W188" i="39"/>
  <c r="P185" i="38"/>
  <c r="T188" i="39" s="1"/>
  <c r="P127" i="33"/>
  <c r="P59" i="21"/>
  <c r="P127" i="28"/>
  <c r="P127" i="32"/>
  <c r="X127" i="33"/>
  <c r="X127" i="32"/>
  <c r="X127" i="28"/>
  <c r="X59" i="21"/>
  <c r="T11" i="32"/>
  <c r="T11" i="21"/>
  <c r="T11" i="33"/>
  <c r="T52" i="28"/>
  <c r="T38" i="21"/>
  <c r="T52" i="33"/>
  <c r="T52" i="32"/>
  <c r="T48" i="32"/>
  <c r="T48" i="28"/>
  <c r="T48" i="33"/>
  <c r="T36" i="21"/>
  <c r="T28" i="33"/>
  <c r="T28" i="32"/>
  <c r="T28" i="21"/>
  <c r="T28" i="28"/>
  <c r="T10" i="28"/>
  <c r="T10" i="21"/>
  <c r="T10" i="33"/>
  <c r="T10" i="32"/>
  <c r="Q17" i="33"/>
  <c r="Q17" i="32"/>
  <c r="Q17" i="21"/>
  <c r="Q17" i="28"/>
  <c r="T127" i="33"/>
  <c r="T127" i="28"/>
  <c r="T127" i="32"/>
  <c r="T59" i="21"/>
  <c r="T56" i="33"/>
  <c r="T40" i="21"/>
  <c r="T56" i="28"/>
  <c r="T56" i="32"/>
  <c r="T179" i="32"/>
  <c r="T70" i="21"/>
  <c r="T179" i="28"/>
  <c r="T179" i="33"/>
  <c r="T34" i="33"/>
  <c r="T32" i="21"/>
  <c r="T34" i="32"/>
  <c r="T34" i="28"/>
  <c r="T12" i="32"/>
  <c r="T12" i="28"/>
  <c r="T12" i="33"/>
  <c r="T12" i="21"/>
  <c r="T198" i="33"/>
  <c r="T198" i="28"/>
  <c r="T75" i="21"/>
  <c r="T198" i="32"/>
  <c r="T35" i="33"/>
  <c r="T33" i="21"/>
  <c r="E183" i="28"/>
  <c r="E183" i="33"/>
  <c r="E73" i="21"/>
  <c r="E183" i="32"/>
  <c r="H74" i="21" l="1"/>
  <c r="H187" i="33"/>
  <c r="H187" i="32"/>
  <c r="H187" i="28"/>
  <c r="F11" i="12"/>
  <c r="K8" i="21"/>
  <c r="K8" i="33"/>
  <c r="P3" i="9"/>
  <c r="P1" i="9" s="1"/>
  <c r="T182" i="28"/>
  <c r="T72" i="21"/>
  <c r="T182" i="33"/>
  <c r="T35" i="32"/>
  <c r="T45" i="21"/>
  <c r="T78" i="33"/>
  <c r="T78" i="28"/>
  <c r="T78" i="32"/>
  <c r="I205" i="32"/>
  <c r="L1" i="9"/>
  <c r="K205" i="32"/>
  <c r="D1" i="9"/>
  <c r="F204" i="33"/>
  <c r="H123" i="32"/>
  <c r="H123" i="33"/>
  <c r="H57" i="21"/>
  <c r="H123" i="28"/>
  <c r="H37" i="32"/>
  <c r="H37" i="33"/>
  <c r="H34" i="21"/>
  <c r="H37" i="28"/>
  <c r="T53" i="21"/>
  <c r="T115" i="28"/>
  <c r="T115" i="32"/>
  <c r="T115" i="33"/>
  <c r="H35" i="28"/>
  <c r="H33" i="21"/>
  <c r="H35" i="33"/>
  <c r="H35" i="32"/>
  <c r="H49" i="28"/>
  <c r="H49" i="32"/>
  <c r="H37" i="21"/>
  <c r="H49" i="33"/>
  <c r="H121" i="28"/>
  <c r="H121" i="32"/>
  <c r="H121" i="33"/>
  <c r="H55" i="21"/>
  <c r="E17" i="28"/>
  <c r="E17" i="21"/>
  <c r="E17" i="33"/>
  <c r="E17" i="32"/>
  <c r="H28" i="32"/>
  <c r="H28" i="33"/>
  <c r="H28" i="28"/>
  <c r="H28" i="21"/>
  <c r="H56" i="33"/>
  <c r="H40" i="21"/>
  <c r="H56" i="28"/>
  <c r="H56" i="32"/>
  <c r="H16" i="33"/>
  <c r="H16" i="21"/>
  <c r="H16" i="28"/>
  <c r="H16" i="32"/>
  <c r="T107" i="33"/>
  <c r="T51" i="21"/>
  <c r="T107" i="32"/>
  <c r="T107" i="28"/>
  <c r="H59" i="33"/>
  <c r="H59" i="32"/>
  <c r="H42" i="21"/>
  <c r="H59" i="28"/>
  <c r="T55" i="32"/>
  <c r="T39" i="21"/>
  <c r="T55" i="28"/>
  <c r="T55" i="33"/>
  <c r="H127" i="32"/>
  <c r="H127" i="33"/>
  <c r="H127" i="28"/>
  <c r="H59" i="21"/>
  <c r="T100" i="32"/>
  <c r="T100" i="28"/>
  <c r="T49" i="21"/>
  <c r="T100" i="33"/>
  <c r="H18" i="28"/>
  <c r="H18" i="33"/>
  <c r="H18" i="21"/>
  <c r="H18" i="32"/>
  <c r="H160" i="28"/>
  <c r="H160" i="33"/>
  <c r="H65" i="21"/>
  <c r="H160" i="32"/>
  <c r="H182" i="32"/>
  <c r="H72" i="21"/>
  <c r="H182" i="33"/>
  <c r="H182" i="28"/>
  <c r="T133" i="33"/>
  <c r="T133" i="28"/>
  <c r="T60" i="21"/>
  <c r="T133" i="32"/>
  <c r="H164" i="33"/>
  <c r="H164" i="32"/>
  <c r="H164" i="28"/>
  <c r="H67" i="21"/>
  <c r="H55" i="33"/>
  <c r="H39" i="21"/>
  <c r="H55" i="28"/>
  <c r="H55" i="32"/>
  <c r="H12" i="32"/>
  <c r="H12" i="28"/>
  <c r="H12" i="21"/>
  <c r="H12" i="33"/>
  <c r="H179" i="33"/>
  <c r="H70" i="21"/>
  <c r="H179" i="32"/>
  <c r="H179" i="28"/>
  <c r="F204" i="28"/>
  <c r="T79" i="33"/>
  <c r="T79" i="32"/>
  <c r="T46" i="21"/>
  <c r="T79" i="28"/>
  <c r="H78" i="32"/>
  <c r="H45" i="21"/>
  <c r="H78" i="33"/>
  <c r="H78" i="28"/>
  <c r="T166" i="28"/>
  <c r="T166" i="32"/>
  <c r="T166" i="33"/>
  <c r="T68" i="21"/>
  <c r="H198" i="33"/>
  <c r="H198" i="28"/>
  <c r="H75" i="21"/>
  <c r="H198" i="32"/>
  <c r="H136" i="28"/>
  <c r="H136" i="32"/>
  <c r="H61" i="21"/>
  <c r="H136" i="33"/>
  <c r="H34" i="33"/>
  <c r="H32" i="21"/>
  <c r="H34" i="28"/>
  <c r="H34" i="32"/>
  <c r="T76" i="32"/>
  <c r="T76" i="33"/>
  <c r="T44" i="21"/>
  <c r="T76" i="28"/>
  <c r="H53" i="21"/>
  <c r="H115" i="28"/>
  <c r="H115" i="32"/>
  <c r="H115" i="33"/>
  <c r="H48" i="33"/>
  <c r="H48" i="32"/>
  <c r="H48" i="28"/>
  <c r="H36" i="21"/>
  <c r="H166" i="32"/>
  <c r="H68" i="21"/>
  <c r="H166" i="28"/>
  <c r="H166" i="33"/>
  <c r="H60" i="21"/>
  <c r="H133" i="33"/>
  <c r="H133" i="32"/>
  <c r="H133" i="28"/>
  <c r="D205" i="32"/>
  <c r="H85" i="28"/>
  <c r="H47" i="21"/>
  <c r="H85" i="32"/>
  <c r="H85" i="33"/>
  <c r="H100" i="28"/>
  <c r="H49" i="21"/>
  <c r="H100" i="33"/>
  <c r="H100" i="32"/>
  <c r="T125" i="33"/>
  <c r="T58" i="21"/>
  <c r="T125" i="32"/>
  <c r="T125" i="28"/>
  <c r="H11" i="21"/>
  <c r="H11" i="33"/>
  <c r="H11" i="32"/>
  <c r="H11" i="28"/>
  <c r="H125" i="33"/>
  <c r="H58" i="21"/>
  <c r="H125" i="28"/>
  <c r="H125" i="32"/>
  <c r="H107" i="32"/>
  <c r="H107" i="28"/>
  <c r="H51" i="21"/>
  <c r="H107" i="33"/>
  <c r="T9" i="33"/>
  <c r="T9" i="28"/>
  <c r="T9" i="32"/>
  <c r="T9" i="21"/>
  <c r="H10" i="28"/>
  <c r="H10" i="32"/>
  <c r="H10" i="33"/>
  <c r="H10" i="21"/>
  <c r="H52" i="28"/>
  <c r="H52" i="33"/>
  <c r="H38" i="21"/>
  <c r="H52" i="32"/>
  <c r="H122" i="28"/>
  <c r="H122" i="32"/>
  <c r="H122" i="33"/>
  <c r="H56" i="21"/>
  <c r="F205" i="32"/>
  <c r="F204" i="32"/>
  <c r="T74" i="21"/>
  <c r="T187" i="32"/>
  <c r="T187" i="28"/>
  <c r="T187" i="33"/>
  <c r="T123" i="32"/>
  <c r="T123" i="28"/>
  <c r="T123" i="33"/>
  <c r="T57" i="21"/>
  <c r="H9" i="33"/>
  <c r="H9" i="32"/>
  <c r="H9" i="28"/>
  <c r="H9" i="21"/>
  <c r="H91" i="32"/>
  <c r="H91" i="28"/>
  <c r="H48" i="21"/>
  <c r="H91" i="33"/>
  <c r="L205" i="32"/>
  <c r="E20" i="32"/>
  <c r="E20" i="28"/>
  <c r="E20" i="33"/>
  <c r="E20" i="21"/>
  <c r="H22" i="28"/>
  <c r="H22" i="21"/>
  <c r="H22" i="33"/>
  <c r="H22" i="32"/>
  <c r="H76" i="33"/>
  <c r="H76" i="32"/>
  <c r="H76" i="28"/>
  <c r="H44" i="21"/>
  <c r="H32" i="33"/>
  <c r="H32" i="28"/>
  <c r="H32" i="32"/>
  <c r="H31" i="21"/>
  <c r="B1" i="9" l="1"/>
  <c r="H205" i="32"/>
  <c r="H205" i="39" l="1"/>
  <c r="L214" i="39" l="1"/>
  <c r="I214" i="39" l="1"/>
  <c r="D214" i="39" l="1"/>
  <c r="F205" i="39"/>
  <c r="F214" i="39"/>
  <c r="C214" i="39" l="1"/>
  <c r="H214" i="39"/>
  <c r="K214" i="39"/>
  <c r="E214" i="39"/>
  <c r="C166" i="33" l="1"/>
  <c r="O166" i="32"/>
  <c r="O166" i="28" l="1"/>
  <c r="O68" i="21"/>
  <c r="O166" i="33"/>
  <c r="E166" i="28"/>
  <c r="E68" i="21"/>
  <c r="E166" i="33"/>
  <c r="E166" i="32"/>
  <c r="E205" i="32" s="1"/>
  <c r="C68" i="21"/>
  <c r="C166" i="28"/>
  <c r="D42" i="9"/>
  <c r="C166" i="32"/>
  <c r="C205" i="32" s="1"/>
  <c r="Q68" i="21" l="1"/>
  <c r="Q166" i="33"/>
  <c r="Q166" i="32"/>
  <c r="Q16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tc={0781806D-CC83-47BA-B9FF-6AF38A3C68F0}</author>
  </authors>
  <commentList>
    <comment ref="Q102" authorId="0" shapeId="0" xr:uid="{0781806D-CC83-47BA-B9FF-6AF38A3C68F0}">
      <text>
        <r>
          <rPr>
            <sz val="10"/>
            <color theme="1"/>
            <rFont val="Arial"/>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input on web for item 1.2 (26 bn) is mislabeled. There is only one 26 bn for guarantees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tc={6F0C6159-6FB5-4FA6-9329-453CC82069F7}</author>
  </authors>
  <commentList>
    <comment ref="G99" authorId="0" shapeId="0" xr:uid="{6F0C6159-6FB5-4FA6-9329-453CC82069F7}">
      <text>
        <r>
          <rPr>
            <sz val="10"/>
            <color theme="1"/>
            <rFont val="Arial"/>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r>
      </text>
    </comment>
  </commentList>
</comments>
</file>

<file path=xl/sharedStrings.xml><?xml version="1.0" encoding="utf-8"?>
<sst xmlns="http://schemas.openxmlformats.org/spreadsheetml/2006/main" count="15570" uniqueCount="1799">
  <si>
    <t>Australia</t>
  </si>
  <si>
    <t>Canada</t>
  </si>
  <si>
    <t>France</t>
  </si>
  <si>
    <t>Germany</t>
  </si>
  <si>
    <t>Italy</t>
  </si>
  <si>
    <t>Japan</t>
  </si>
  <si>
    <t>Korea</t>
  </si>
  <si>
    <t>United Kingdom</t>
  </si>
  <si>
    <t>United States</t>
  </si>
  <si>
    <t>Argentina</t>
  </si>
  <si>
    <t>Brazil</t>
  </si>
  <si>
    <t>China</t>
  </si>
  <si>
    <t>India</t>
  </si>
  <si>
    <t>Indonesia</t>
  </si>
  <si>
    <t>Mexico</t>
  </si>
  <si>
    <t>Russia</t>
  </si>
  <si>
    <t>Saudi Arabia</t>
  </si>
  <si>
    <t>South Africa</t>
  </si>
  <si>
    <t>Turkey</t>
  </si>
  <si>
    <t>Denmark</t>
  </si>
  <si>
    <t>Finland</t>
  </si>
  <si>
    <t>Sweden</t>
  </si>
  <si>
    <t>Poland</t>
  </si>
  <si>
    <t>Egypt</t>
  </si>
  <si>
    <t>Malaysia</t>
  </si>
  <si>
    <t>Mongolia</t>
  </si>
  <si>
    <t>Bahrain</t>
  </si>
  <si>
    <t>Bulgaria</t>
  </si>
  <si>
    <t>Iran</t>
  </si>
  <si>
    <t>Nigeria</t>
  </si>
  <si>
    <t>Tunisia</t>
  </si>
  <si>
    <t>Singapore</t>
  </si>
  <si>
    <t>Spain</t>
  </si>
  <si>
    <t>Vietnam</t>
  </si>
  <si>
    <t>Colombia</t>
  </si>
  <si>
    <t>Kazakhstan</t>
  </si>
  <si>
    <t>Norway</t>
  </si>
  <si>
    <t>Bangladesh</t>
  </si>
  <si>
    <t>Honduras</t>
  </si>
  <si>
    <t>Hong Kong SAR</t>
  </si>
  <si>
    <t>Hungary</t>
  </si>
  <si>
    <t>Albania</t>
  </si>
  <si>
    <t>Chile</t>
  </si>
  <si>
    <t>Links</t>
  </si>
  <si>
    <t>https://virksomhedsguiden.dk/erhvervsfremme/content/temaer/coronavirus_og_din_virksomhed/artikler/garantiordning-for-nye-laan/3b45ceac-2e72-477c-9fe1-e1d119c23b49/</t>
  </si>
  <si>
    <t>https://virksomhedsguiden.dk/erhvervsfremme/content/temaer/coronavirus_og_din_virksomhed/artikler/udvidet-ret-til-arbejdsgiverrefusionsygedagpenge-til-selvstaendige/2512f642-74bb-478e-9ffa-af2f6aeb321f/</t>
  </si>
  <si>
    <t>https://valtioneuvosto.fi/artikkeli/-/asset_publisher/10616/hallitus-antoi-eduskunnalle-lisatalousarvioesityksen-koronaviruksen-vuoksi</t>
  </si>
  <si>
    <t>https://www.rijksoverheid.nl/actueel/nieuws/2020/03/17/coronavirus-kabinet-neemt-pakket-nieuwe-maatregelen-voor-banen-en-economie</t>
  </si>
  <si>
    <t>https://www.regjeringen.no/en/aktuelt/economic-measures-in-norway-in-response-to-covid-19/id2694274/</t>
  </si>
  <si>
    <t>https://www.lamoncloa.gob.es/consejodeministros/resumenes/Paginas/2020/170320-pg-consejo.aspx</t>
  </si>
  <si>
    <t>https://prensa.presidencia.cl/comunicado.aspx?id=148684</t>
  </si>
  <si>
    <t>https://wam.ae/en/details/1395302832332</t>
  </si>
  <si>
    <t>https://gulfnews.com/uae/revealed-15-point-economic-stimulus-package-in-abu-dhabi-1.1584340605165</t>
  </si>
  <si>
    <t>L3,800 mn</t>
  </si>
  <si>
    <t>Country</t>
  </si>
  <si>
    <t>Netherlands</t>
  </si>
  <si>
    <t>United Arab Emirates</t>
  </si>
  <si>
    <t>https://pib.gov.in/PressReleseDetail.aspx?PRID=1607911</t>
  </si>
  <si>
    <t>http://www5.diputados.gob.mx/index.php/esl/Comunicacion/Boletines/2020/Marzo/18/3509-Aprueban-crear-el-Fondo-para-la-Prevencion-y-Atencion-de-Emergencias</t>
  </si>
  <si>
    <t>https://www.mof.gov.sa/en/MediaCenter/news/Pages/News_20032020.aspx</t>
  </si>
  <si>
    <t>Other measures</t>
  </si>
  <si>
    <t>https://treasury.gov.au/coronavirus</t>
  </si>
  <si>
    <t>Parliament approved an advance authorization of A$40 billion for unforeseen events.</t>
  </si>
  <si>
    <t>https://www.canada.ca/en/public-health/services/diseases/coronavirus-disease-covid-19.html</t>
  </si>
  <si>
    <t>https://www.economie.gouv.fr/coronavirus-soutien-entreprises#</t>
  </si>
  <si>
    <t>The government provides options for deferring tax payments and reducing prepayments; while tax penalties will not be levied until the end of this year.</t>
  </si>
  <si>
    <t>http://www.mef.gov.it/en/inevidenza/Protect-health-support-the-economy-preserve-employment-levels-and-incomes-00001/</t>
  </si>
  <si>
    <t>https://www.bundesregierung.de/breg-de/themen/coronavirus</t>
  </si>
  <si>
    <t>Japan has made a contribution of SDR14 million (US$19 million)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trillion (about 4.8 percent of GDP) December 2019 stimulus package is being used to offset the adverse impact of COVID-19 on the economy as well as counter the economic slowdown.</t>
  </si>
  <si>
    <t>https://english.moef.go.kr/pc/selectTbPressCenterDtl.do?boardCd=N0001&amp;seq=4860</t>
  </si>
  <si>
    <t>Tax payment deferral covering a broad range of taxes for small businesses and the self-employed in medical, tourism, performance, hospitality, and other affected sectors. Social security contribution payment deferral for households</t>
  </si>
  <si>
    <t>https://www.gov.uk/government/publications/guidance-to-employers-and-businesses-about-covid-19/covid-19-support-for-businesses</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</si>
  <si>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</si>
  <si>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 xml:space="preserve">IRS extended income tax filing deadline by 90 days; Delay of employers' payroll taxes to 2021 and 2022 </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</si>
  <si>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</si>
  <si>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Payment of employers’ contributions to the FGTS and small business taxes will be postponed by 3 months.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</si>
  <si>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</si>
  <si>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At the state-level, several state governments have announced support, including deferral of tax payments or tax holidays.</t>
  </si>
  <si>
    <t>Deferment of the payment of corporate taxes until June 30 (about 0.5 percent of 2019 GDP)</t>
  </si>
  <si>
    <t xml:space="preserve">The Polish Development Fund Group (which includes the main state-owned development bank BGK) will provide financing and guarantees for firms (68 billion). </t>
  </si>
  <si>
    <t>0.33 TND billion</t>
  </si>
  <si>
    <t xml:space="preserve">Establishing a financing line for SMEs; some extra-budgetary funds on public donation to the health sector, investment fund to finance private companies to preserve jobs, and a bridging fund for repurchase of shares in investment funds. </t>
  </si>
  <si>
    <t>Allow the State to guarantee new credits for management, operation and maintenance provided by the banking system until December 31, 2020 reimbursable over seven years, including two years of grace in sectors such as tourism, transport, culture, etc.</t>
  </si>
  <si>
    <t>Postponement of CIT payments, other taxes and social contributions until end-May.</t>
  </si>
  <si>
    <t>n.a.</t>
  </si>
  <si>
    <t>The Abu Dhabi government announced provision of loans to SMEs. State-owned enterprises and banks support the private sector through loan restructuring, lowering lease payments (by real estate companies), halting evictions etc.</t>
  </si>
  <si>
    <t>TK 2.5bn</t>
  </si>
  <si>
    <t>51.45 bn</t>
  </si>
  <si>
    <t>0.984 billion</t>
  </si>
  <si>
    <t>1800 billion</t>
  </si>
  <si>
    <t xml:space="preserve">Measures include 30 trillion VND tax and land rental payment deferrals (for 5 months) to support affected entities; affected firms are allowed to defer their contribution (due Mar-Jun) to the pension fund with no interest penalty for late payment; </t>
  </si>
  <si>
    <t>Madagascar</t>
  </si>
  <si>
    <t>Mauritius</t>
  </si>
  <si>
    <t>Senegal</t>
  </si>
  <si>
    <t>Côte d'Ivoire</t>
  </si>
  <si>
    <t>% of GDP</t>
  </si>
  <si>
    <t xml:space="preserve">Part of the increased spending will finance additional health care needs. </t>
  </si>
  <si>
    <t xml:space="preserve">Lk11bn (0.6 percent of GDP) Government has offered a sovereign guarantee for large businesses to tap overdraft or credit lines in the banking sector to pay worker salaries (Details of the scheme have yet to be finalized). </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</si>
  <si>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t>
    </r>
    <r>
      <rPr>
        <sz val="10"/>
        <color theme="1"/>
        <rFont val="Arial"/>
        <family val="2"/>
      </rPr>
      <t xml:space="preserve">Expansion of existing transfer programs for vulnerable households, as well as support to exporting industries. Increased allocation has been made to the Open Market Sale (OMS) program to ensure adequate food supply for lower-income class households, particularly those dependent on daily wages. 
</t>
    </r>
    <r>
      <rPr>
        <sz val="10"/>
        <color theme="1"/>
        <rFont val="Symbol"/>
        <family val="1"/>
        <charset val="2"/>
      </rPr>
      <t>·</t>
    </r>
    <r>
      <rPr>
        <sz val="10"/>
        <color theme="1"/>
        <rFont val="Arial"/>
        <family val="2"/>
      </rPr>
      <t xml:space="preserve"> </t>
    </r>
    <r>
      <rPr>
        <sz val="10"/>
        <color theme="1"/>
        <rFont val="Arial"/>
        <family val="2"/>
      </rPr>
      <t>The government has announced to provide support to different export-oriented industries employing in excess of 4 million workers and directed to wage and allowance support.</t>
    </r>
  </si>
  <si>
    <t>Medical staff together with policy and other specialists will receive a bonus of one-month salary.</t>
  </si>
  <si>
    <t>Additional health spending (TND 0.3 bn) and create a fund for the acquisition of equipment for public hospitals; waiver of VAT for business selling medicines (TND 0.03 bn).</t>
  </si>
  <si>
    <t>Additional disinfection procedures carried out in health, education and other public facilities. Active screening and testing, continuous surveillance and rapid response team to deal with suspected cases.</t>
  </si>
  <si>
    <t>• Farm Credit Canada will receive support from the government that will allow for an additional CAN $5 bn in lending capacity to producers, agribusinesses, and food processors.</t>
  </si>
  <si>
    <t>• Credit guarantees will be provided to banks’ lending to micro, small and medium enterprises (SMEs) for the production of foods and basic supplies.</t>
  </si>
  <si>
    <t>• Expanded credit line for SMEs to hire new workers and maintain existing employment (R $5 bn).
• Temporary suspension of debt service payments from state governments to the federal government (R $12.6 bn). 
• Public banks announced credit lines totaling R $212 bn.</t>
  </si>
  <si>
    <t>• Government will back (assuming 85% of the risk) a R $40 bn credit line  operated by private banks for SMEs, specifically to cover payroll costs. Interest rates are capped at the policy rate (3.75%).</t>
  </si>
  <si>
    <t>The loan guarantee program for SMEs (especially those affected by the outbreak) is expanded to cover up to 75 percent of total loan, with maturity of 1 year or less.</t>
  </si>
  <si>
    <t>Total size</t>
  </si>
  <si>
    <t>Sources: National authorities and IMF staff estimates.</t>
  </si>
  <si>
    <t>Another 2.5 percent of GDP in countercyclical support is expected to come through the stronger automatic stabilizers—including from weaker tax receipts and higher social benefits.</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</si>
  <si>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</si>
  <si>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Health sector budgetary support from central government and a reduction of tariffs for strategic health imports.</t>
  </si>
  <si>
    <t xml:space="preserve">Credit guarantees for Swedish airlines; and expansion of the Swedish Export Credit Agency’s credit guarantee framework and the programs under the Swedish Export Credit Corporation, loan guarantees for SMEs, and expansion of the National Board of Health and Welfare's credit framework. </t>
  </si>
  <si>
    <t>Country / 
Country group</t>
  </si>
  <si>
    <t>Automatic stabilizers, contingency lines</t>
  </si>
  <si>
    <t>LC bn</t>
  </si>
  <si>
    <t>USD bn</t>
  </si>
  <si>
    <t>% GDP</t>
  </si>
  <si>
    <r>
      <rPr>
        <b/>
        <sz val="10"/>
        <color theme="1"/>
        <rFont val="Arial"/>
        <family val="2"/>
      </rPr>
      <t>Spending measures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</si>
  <si>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Spending measures (AUS $3.6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</si>
  <si>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Spending measures:</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</si>
  <si>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Spending measures:</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</si>
  <si>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color theme="1"/>
        <rFont val="Arial"/>
        <family val="2"/>
      </rPr>
      <t xml:space="preserve">Spending measures. </t>
    </r>
    <r>
      <rPr>
        <sz val="10"/>
        <color theme="1"/>
        <rFont val="Arial"/>
        <family val="2"/>
      </rPr>
      <t xml:space="preserve"> 
</t>
    </r>
    <r>
      <rPr>
        <sz val="10"/>
        <color theme="1"/>
        <rFont val="Symbol"/>
        <family val="1"/>
        <charset val="2"/>
      </rPr>
      <t>·</t>
    </r>
    <r>
      <rPr>
        <sz val="10"/>
        <color theme="1"/>
        <rFont val="Arial"/>
        <family val="2"/>
      </rPr>
      <t xml:space="preserve"> Faster direct contracting for services associated with the emergency response and expanded transfers for vulnerable groups.
</t>
    </r>
    <r>
      <rPr>
        <sz val="10"/>
        <color theme="1"/>
        <rFont val="Symbol"/>
        <family val="1"/>
        <charset val="2"/>
      </rPr>
      <t>·</t>
    </r>
    <r>
      <rPr>
        <sz val="10"/>
        <color theme="1"/>
        <rFont val="Arial"/>
        <family val="2"/>
      </rPr>
      <t xml:space="preserve"> Expanded transfers for vulnerable groups (Including accelerated VAT reimbursements).
</t>
    </r>
    <r>
      <rPr>
        <sz val="10"/>
        <color theme="1"/>
        <rFont val="Symbol"/>
        <family val="1"/>
        <charset val="2"/>
      </rPr>
      <t>·</t>
    </r>
    <r>
      <rPr>
        <sz val="10"/>
        <color theme="1"/>
        <rFont val="Arial"/>
        <family val="2"/>
      </rPr>
      <t xml:space="preserve">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</si>
  <si>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trillion (close to 1 percent of GDP). 
</t>
    </r>
    <r>
      <rPr>
        <b/>
        <sz val="10"/>
        <color theme="1"/>
        <rFont val="Arial"/>
        <family val="2"/>
      </rPr>
      <t>Revenue measures:</t>
    </r>
    <r>
      <rPr>
        <sz val="10"/>
        <color theme="1"/>
        <rFont val="Arial"/>
        <family val="2"/>
      </rPr>
      <t xml:space="preserve"> Import duty waivers for pharmaceutical firms will be introduced.</t>
    </r>
  </si>
  <si>
    <r>
      <rPr>
        <b/>
        <sz val="10"/>
        <color theme="1"/>
        <rFont val="Arial"/>
        <family val="2"/>
      </rPr>
      <t>Spending measures</t>
    </r>
    <r>
      <rPr>
        <sz val="10"/>
        <color theme="1"/>
        <rFont val="Arial"/>
        <family val="2"/>
      </rPr>
      <t xml:space="preserve">: The government will also introduce a Wage Support Scheme to limit the socio-economic impact by providing financial support to employees who would become unemployed on a temporary basis. 
</t>
    </r>
    <r>
      <rPr>
        <b/>
        <sz val="10"/>
        <color theme="1"/>
        <rFont val="Arial"/>
        <family val="2"/>
      </rPr>
      <t xml:space="preserve">Revenue measures: </t>
    </r>
    <r>
      <rPr>
        <sz val="10"/>
        <color theme="1"/>
        <rFont val="Arial"/>
        <family val="2"/>
      </rPr>
      <t>A range of small tax reduction, such as cutting a 1% levy on the tourism sector to 0.5% and reducing port taxes.</t>
    </r>
  </si>
  <si>
    <t>Special Feature Online Annex 1.1 Fiscal Measures in Selected Economies in Response to the COVID-19 Pandemic</t>
  </si>
  <si>
    <t xml:space="preserve">Transfers to municipalities that have large health expenses due to the pandemic. </t>
  </si>
  <si>
    <t>Automatic stabilizers, contingency lines, advance payments and tax deferrals, international aid; Deferral of various tax payments.</t>
  </si>
  <si>
    <t>Selected low income developing countries</t>
  </si>
  <si>
    <r>
      <rPr>
        <sz val="10"/>
        <color theme="1"/>
        <rFont val="Symbol"/>
        <family val="1"/>
        <charset val="2"/>
      </rPr>
      <t>·</t>
    </r>
    <r>
      <rPr>
        <sz val="10"/>
        <color theme="1"/>
        <rFont val="Arial"/>
        <family val="2"/>
      </rPr>
      <t xml:space="preserve"> </t>
    </r>
    <r>
      <rPr>
        <sz val="10"/>
        <color theme="1"/>
        <rFont val="Arial"/>
        <family val="2"/>
      </rPr>
      <t>Additional remunerations in the ministries of health, interior and defense (0.5 bn).
· Enhanced use of EU funds for expansion of social patronage services for the elderly and disabled people and purchase of medical supplies and equipment.</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</si>
  <si>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</si>
  <si>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(TND 1.15bn): Monthly cash transfers for low income households, disabled, and homeless people up to three months; temporary support for unemployed and self-employed; strategic stock of basic food items.
</t>
    </r>
    <r>
      <rPr>
        <b/>
        <sz val="10"/>
        <color theme="1"/>
        <rFont val="Arial"/>
        <family val="2"/>
      </rPr>
      <t xml:space="preserve">Revenue measures </t>
    </r>
    <r>
      <rPr>
        <sz val="10"/>
        <color theme="1"/>
        <rFont val="Arial"/>
        <family val="2"/>
      </rPr>
      <t xml:space="preserve">(total TND 0.23 bn): Accelerating VAT refunds and reimbursement; rescheduling tax arrears for up to 7 years; suspension of penalties for delayed tax return for three months; allow companies to revalue their assets based on real value, while exempting the goodwill. Other tax measures to limit layoffs and protect the most vulnerable people especially in the informal sector. 
</t>
    </r>
    <r>
      <rPr>
        <b/>
        <sz val="10"/>
        <color theme="1"/>
        <rFont val="Arial"/>
        <family val="2"/>
      </rPr>
      <t>Deferral of payments:</t>
    </r>
    <r>
      <rPr>
        <sz val="10"/>
        <color theme="1"/>
        <rFont val="Arial"/>
        <family val="2"/>
      </rPr>
      <t xml:space="preserve"> Postponement of CIT payments, other taxes and social contributions until end-May. </t>
    </r>
  </si>
  <si>
    <t>Spending and revenue measures
 in the health sector</t>
  </si>
  <si>
    <t>Spending and revenue measures
 in areas other than health</t>
  </si>
  <si>
    <t>Selected advanced economies outside the G20</t>
  </si>
  <si>
    <t>G20 advanced economies</t>
  </si>
  <si>
    <t>G20 emerging market economies</t>
  </si>
  <si>
    <t>Selected emerging market economies outside the G20</t>
  </si>
  <si>
    <t xml:space="preserve">• Government to provide the Australian Office of Financial Management with an investment capacity (AUS $15 bn) to invest in structured finance markets used by smaller lenders. </t>
  </si>
  <si>
    <t>• Canada Emergency Business Account program will provide up to CAN $25 bn in funds and guarantees for eligible financial institutions to provide interest-free loans to small businesses. 
• SME Loan and Guarantee program will guarantee up to CAN $40 bn in lending, supported through Export Development Canada and Business Development Bank.</t>
  </si>
  <si>
    <t>• Redirecting €1 bn from the EU Budget as a guarantee to the European Investment Fund to incentivize banks to provide liquidity to hit SMEs and midcaps.</t>
  </si>
  <si>
    <t>(iii) €400 bn to provide additional state guarantees to non-financial corporations to alleviate liquidity bottlenecks and support refinancing.
•  An expansion of the existing KfW-programs, by increasing the guarantee framework for KfW to €822 bn from the current €460 bn. 
•  Total guarantees provided by state governments to be increased by €63 bn.</t>
  </si>
  <si>
    <t xml:space="preserve">• An economic stabilization fund (WSF) of €600 bn is setup with three components: 
(i) €100 bn for government equity investments in significantly affected companies; 
(ii) €100 bn loan to state development bank KfW for financing affected firms that do not have access to KfW’s existing programs; </t>
  </si>
  <si>
    <r>
      <rPr>
        <b/>
        <sz val="10"/>
        <color theme="1"/>
        <rFont val="Arial"/>
        <family val="2"/>
      </rPr>
      <t>Spending measures:</t>
    </r>
    <r>
      <rPr>
        <sz val="10"/>
        <color theme="1"/>
        <rFont val="Arial"/>
        <family val="2"/>
      </rPr>
      <t xml:space="preserve">
• Budget increase for Health Ministry, including for improvements in virus diagnostics, purchases of hospital equipment; and construction of temporary emergency treatment centers.</t>
    </r>
  </si>
  <si>
    <t xml:space="preserve">• Support for hard-hit sectors, including subsidized loans for construction activities. </t>
  </si>
  <si>
    <r>
      <rPr>
        <b/>
        <sz val="10"/>
        <color theme="1"/>
        <rFont val="Arial"/>
        <family val="2"/>
      </rPr>
      <t>Spending measures:</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</si>
  <si>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t>• Lending by public banks.</t>
  </si>
  <si>
    <t>• The government will guarantee 70 percent of new loan value to large companies that can demonstrate a fall in turnover over more than 30 percent; it guarantees 70 percent of new bank loan values to SMEs that have operating profits fallen by more than 30 percent. 
• It provides a credit guarantee for Scandinavian Airlines (SAS).</t>
  </si>
  <si>
    <t>Measures to contain the outbreak, provided mainly to the Ministry of Health.</t>
  </si>
  <si>
    <t>Abu Dhabi: Credit guarantees and liquidity support to small- and medium-sized enterprises.</t>
  </si>
  <si>
    <t>The third fiscal package includes IDR 150 trillion (0.9 percent of GDP) financing for a national economic program, including to support credit guarantees for the private sector.</t>
  </si>
  <si>
    <t>Exemption of import tariff for medical material. Suspension of VAT for domestically produced medical material; treatment costs of Covid-19 positive patients are covered by either Health Insurance Fund (under Vietnam Social Security) or by the state budget.</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</si>
  <si>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</si>
  <si>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rPr>
        <b/>
        <sz val="10"/>
        <color theme="1"/>
        <rFont val="Arial"/>
        <family val="2"/>
      </rPr>
      <t>Spending measures</t>
    </r>
    <r>
      <rPr>
        <sz val="10"/>
        <color theme="1"/>
        <rFont val="Arial"/>
        <family val="2"/>
      </rPr>
      <t xml:space="preserve"> Lk6.5bn: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</si>
  <si>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t>• State guarantees for bank loans to companies (€300 bn).</t>
  </si>
  <si>
    <t>Euro Area/ European Union</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</si>
  <si>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Additional expenditures on wage subsidies for short-term leave, increase in transfers to relevant agencies to deal with the coronavirus outbreak. 
</t>
    </r>
    <r>
      <rPr>
        <sz val="10"/>
        <color theme="1"/>
        <rFont val="Symbol"/>
        <family val="1"/>
        <charset val="2"/>
      </rPr>
      <t>·</t>
    </r>
    <r>
      <rPr>
        <sz val="10"/>
        <color theme="1"/>
        <rFont val="Arial"/>
        <family val="2"/>
      </rPr>
      <t xml:space="preserve"> Temporary payment of sick leave, extra funding to the cultural sector and sports sector, rent subsidies to certain sectors, more generous unemployment benefits, expanded active labor market policies, more funding for education and training, increased testing for COVID-19 and grants to municipalities and regions.  
</t>
    </r>
    <r>
      <rPr>
        <sz val="10"/>
        <color theme="1"/>
        <rFont val="Symbol"/>
        <family val="1"/>
        <charset val="2"/>
      </rPr>
      <t>·</t>
    </r>
    <r>
      <rPr>
        <sz val="10"/>
        <color theme="1"/>
        <rFont val="Arial"/>
        <family val="2"/>
      </rPr>
      <t xml:space="preserve"> The government has contributed SEK 40 million to the WHO’s Contingency Fund for Emergencies.
</t>
    </r>
    <r>
      <rPr>
        <b/>
        <sz val="10"/>
        <color theme="1"/>
        <rFont val="Arial"/>
        <family val="2"/>
      </rPr>
      <t>Revenue measures</t>
    </r>
    <r>
      <rPr>
        <sz val="10"/>
        <color theme="1"/>
        <rFont val="Arial"/>
        <family val="2"/>
      </rPr>
      <t xml:space="preserve">: Temporary reduction in employers' social security contributions. 
</t>
    </r>
    <r>
      <rPr>
        <b/>
        <sz val="10"/>
        <color theme="1"/>
        <rFont val="Arial"/>
        <family val="2"/>
      </rPr>
      <t>Deferral of payments:</t>
    </r>
    <r>
      <rPr>
        <sz val="10"/>
        <color theme="1"/>
        <rFont val="Arial"/>
        <family val="2"/>
      </rPr>
      <t xml:space="preserve"> Companies can defer a maximum of three months on social contribution fees, VAT, and payroll taxes for a period of up to 12 months.</t>
    </r>
  </si>
  <si>
    <t>•  Under CBILS, the government will provide lenders with a guarantee of 80% on each loan.
•  The Coronavirus Large Business Interruption Loan Scheme (CLBILS) will provide a government guarantee of 80 percent to enable banks to make loans of up to £25 million to firms with an annual turnover of between £45 million and £500 million.</t>
  </si>
  <si>
    <r>
      <rPr>
        <b/>
        <sz val="10"/>
        <rFont val="Arial"/>
        <family val="2"/>
      </rPr>
      <t xml:space="preserve">Spending measures (€16.7 bn): </t>
    </r>
    <r>
      <rPr>
        <sz val="10"/>
        <rFont val="Arial"/>
        <family val="2"/>
      </rPr>
      <t xml:space="preserve">including Income support to laid-off workers and the self-employed by broadening the wage supplementation fund (€10.3). 
</t>
    </r>
    <r>
      <rPr>
        <b/>
        <sz val="10"/>
        <rFont val="Arial"/>
        <family val="2"/>
      </rPr>
      <t xml:space="preserve">Deferral of payments: </t>
    </r>
    <r>
      <rPr>
        <sz val="10"/>
        <rFont val="Arial"/>
        <family val="2"/>
      </rPr>
      <t xml:space="preserve">including postponement of certain tax and social security payments for SMEs, as well as taxes and utility bill payments in most affected municipalities. </t>
    </r>
  </si>
  <si>
    <r>
      <rPr>
        <b/>
        <sz val="10"/>
        <color theme="1"/>
        <rFont val="Arial"/>
        <family val="2"/>
      </rPr>
      <t xml:space="preserve">Spending measures (€3.2 bn): </t>
    </r>
    <r>
      <rPr>
        <sz val="10"/>
        <color theme="1"/>
        <rFont val="Arial"/>
        <family val="2"/>
      </rPr>
      <t>including on medical equipment and staff, as well as civil protection.</t>
    </r>
  </si>
  <si>
    <t>The first package (10.3), second package (22.9) and tax and expenditure measures from the third package (255.1). How the 150 trillion from the third package will be used is not fully clear yet (, but most likely in the form of liquid support for firms (thus below the line in the budget).  </t>
  </si>
  <si>
    <r>
      <rPr>
        <b/>
        <sz val="10"/>
        <rFont val="Arial"/>
        <family val="2"/>
      </rPr>
      <t>Spending measures:</t>
    </r>
    <r>
      <rPr>
        <sz val="10"/>
        <rFont val="Arial"/>
        <family val="2"/>
      </rPr>
      <t xml:space="preserve">
• The first fiscal package of IDR10.3 trillion comprises support to the tourism sector (tax cuts and discounts on airplane tickets and jet-fuel) and to low-income households (social assistance and subsidy for home buyers) starting from March 1 for most measures. 
• The third fiscal package includes IDR110 trillion (0.7 percent of GDP) additional social assistance spending, including increasing benefits and coverage of existing social safety nets such as food aid and unemployment benefits, and electricity subsidies.</t>
    </r>
    <r>
      <rPr>
        <b/>
        <sz val="10"/>
        <rFont val="Arial"/>
        <family val="2"/>
      </rPr>
      <t xml:space="preserve">
Revenue measures: 
</t>
    </r>
    <r>
      <rPr>
        <sz val="10"/>
        <rFont val="Arial"/>
        <family val="2"/>
      </rPr>
      <t>• Tax cuts for the tourism sector.
• The second fiscal package of IDR33.2 trillion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</si>
  <si>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Spending measures (IDR 76 tn):</t>
    </r>
    <r>
      <rPr>
        <sz val="10"/>
        <color theme="1"/>
        <rFont val="Arial"/>
        <family val="2"/>
      </rPr>
      <t xml:space="preserve">
• IDR 1 trillion initially allocated to cover various outlays, including personal protective equipment, enhanced surveillance at entry gates to Indonesia, hospital treatment, and hospital infrastructure. 
• On March 31, 2020, the government announced a third larger fiscal package, including IDR75 trillion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</si>
  <si>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 xml:space="preserve">Spending measures (AUS $188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Revenue measures (AUS 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</si>
  <si>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Spending measures (CAN $3.2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</si>
  <si>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Spending measures (CAN $105 bn): </t>
    </r>
    <r>
      <rPr>
        <sz val="10"/>
        <color theme="1"/>
        <rFont val="Arial"/>
        <family val="2"/>
      </rPr>
      <t xml:space="preserve">Income support for firms and people , including payments to workers without access to sick leave and employment insurance, an increase in existing GST tax credits and child care benefits, support to the most vulnerable including through a new Indigenous Community Support Fund, and a firm subsidy equal to 75 percent of employee wages for up to 3 months.
</t>
    </r>
    <r>
      <rPr>
        <b/>
        <sz val="10"/>
        <color theme="1"/>
        <rFont val="Arial"/>
        <family val="2"/>
      </rPr>
      <t xml:space="preserve">Deferral of payments (CAN $85 bn): </t>
    </r>
    <r>
      <rPr>
        <sz val="10"/>
        <color theme="1"/>
        <rFont val="Arial"/>
        <family val="2"/>
      </rPr>
      <t>Liquidity support through temporary interest-free tax deferrals for businesses and self employed, amounting to CAN $55 bn in deferred income taxes and CAN $30 bn in deferred GST/HST and customs duties for imports.</t>
    </r>
  </si>
  <si>
    <r>
      <rPr>
        <b/>
        <sz val="10"/>
        <color theme="1"/>
        <rFont val="Arial"/>
        <family val="2"/>
      </rPr>
      <t xml:space="preserve">Spending measures (€11.2 bn): </t>
    </r>
    <r>
      <rPr>
        <sz val="10"/>
        <color theme="1"/>
        <rFont val="Arial"/>
        <family val="2"/>
      </rPr>
      <t>Additional spending on hospital capacity, medical equipment, research, and information campaigns .</t>
    </r>
  </si>
  <si>
    <r>
      <rPr>
        <b/>
        <sz val="10"/>
        <color theme="1"/>
        <rFont val="Arial"/>
        <family val="2"/>
      </rPr>
      <t xml:space="preserve">Spending measures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Deferral of payments: </t>
    </r>
    <r>
      <rPr>
        <sz val="10"/>
        <color theme="1"/>
        <rFont val="Arial"/>
        <family val="2"/>
      </rPr>
      <t>including options for deferring tax payments and reducing prepayments until the year-end without penalties.</t>
    </r>
  </si>
  <si>
    <r>
      <rPr>
        <b/>
        <sz val="10"/>
        <color theme="1"/>
        <rFont val="Arial"/>
        <family val="2"/>
      </rPr>
      <t xml:space="preserve">Spending measures (KRW 2.5 tn): </t>
    </r>
    <r>
      <rPr>
        <sz val="10"/>
        <color theme="1"/>
        <rFont val="Arial"/>
        <family val="2"/>
      </rPr>
      <t>Epidemic prevention and treatment, support for medical institutions and quarantined households.</t>
    </r>
  </si>
  <si>
    <r>
      <rPr>
        <b/>
        <sz val="10"/>
        <color theme="1"/>
        <rFont val="Arial"/>
        <family val="2"/>
      </rPr>
      <t xml:space="preserve">Spending measures (KRW 21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rent for small merchants.  
</t>
    </r>
    <r>
      <rPr>
        <b/>
        <sz val="10"/>
        <color theme="1"/>
        <rFont val="Arial"/>
        <family val="2"/>
      </rPr>
      <t xml:space="preserve">
Revenue measures  (KRW 2.5 tn): </t>
    </r>
    <r>
      <rPr>
        <sz val="10"/>
        <color theme="1"/>
        <rFont val="Arial"/>
        <family val="2"/>
      </rPr>
      <t xml:space="preserve">Consumption tax cut for auto purchases; temporary income tax cuts for landlords who reduce commercial rents; VAT reduction for the self-employed; social security contribution cut for households.
</t>
    </r>
    <r>
      <rPr>
        <b/>
        <sz val="10"/>
        <color theme="1"/>
        <rFont val="Arial"/>
        <family val="2"/>
      </rPr>
      <t xml:space="preserve">
Deferral of payments:</t>
    </r>
    <r>
      <rPr>
        <sz val="10"/>
        <color theme="1"/>
        <rFont val="Arial"/>
        <family val="2"/>
      </rPr>
      <t xml:space="preserve"> Tax deferral covering a broad range of taxes for small businesses and the self-employed in medical, tourism, performance, hospitality, and other affected sectors; social security contribution payment deferral for households.</t>
    </r>
  </si>
  <si>
    <t>• Expand lending of both state-owned and commercial banks to SMEs, small merchants, mid-sized firms, and large companies (the latter on a case-by-case basis) including emergency lending, partial and full guarantees, and collateralization of loan obligations.</t>
  </si>
  <si>
    <r>
      <rPr>
        <b/>
        <sz val="10"/>
        <color theme="1"/>
        <rFont val="Arial"/>
        <family val="2"/>
      </rPr>
      <t>Spending measures:</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</si>
  <si>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Spending measures:
</t>
    </r>
    <r>
      <rPr>
        <sz val="10"/>
        <color theme="1"/>
        <rFont val="Arial"/>
        <family val="2"/>
      </rPr>
      <t xml:space="preserve">•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
</t>
    </r>
    <r>
      <rPr>
        <b/>
        <sz val="10"/>
        <color theme="1"/>
        <rFont val="Arial"/>
        <family val="2"/>
      </rPr>
      <t xml:space="preserve">
Deferral of payments:</t>
    </r>
    <r>
      <rPr>
        <sz val="10"/>
        <color theme="1"/>
        <rFont val="Arial"/>
        <family val="2"/>
      </rPr>
      <t xml:space="preserve"> Payment of employers’ contributions to the FGTS and small business taxes will be postponed by 3 months. Small businesses will also be given a temporary reduction in non FGTS type of employer contributions. These measures will add up to 0.8 percent of GDP.</t>
    </r>
  </si>
  <si>
    <r>
      <rPr>
        <b/>
        <sz val="10"/>
        <rFont val="Arial"/>
        <family val="2"/>
      </rPr>
      <t xml:space="preserve">Spending measures:
</t>
    </r>
    <r>
      <rPr>
        <sz val="10"/>
        <rFont val="Arial"/>
        <family val="2"/>
      </rPr>
      <t>• Front-loaded government spending possibly on infrastructure and through issuance of special local government bonds. 
• A refund of 2019 unemployment insurance premiums for companies that minimize layoffs .</t>
    </r>
    <r>
      <rPr>
        <b/>
        <sz val="10"/>
        <rFont val="Arial"/>
        <family val="2"/>
      </rPr>
      <t xml:space="preserve">
Revenue measures: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Deferral of payments: </t>
    </r>
    <r>
      <rPr>
        <sz val="10"/>
        <rFont val="Arial"/>
        <family val="2"/>
      </rPr>
      <t>Firms are also allowed to defer their social security payments by 6 months, and the due date for contributing to the “housing provident fund” is extended to end-June.</t>
    </r>
  </si>
  <si>
    <r>
      <rPr>
        <b/>
        <sz val="10"/>
        <color theme="1"/>
        <rFont val="Arial"/>
        <family val="2"/>
      </rPr>
      <t xml:space="preserve">Spending measures: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Revenue measures: 
</t>
    </r>
    <r>
      <rPr>
        <sz val="10"/>
        <color theme="1"/>
        <rFont val="Arial"/>
        <family val="2"/>
      </rPr>
      <t xml:space="preserve">• Social contributions on wages in excess of the minimum wage by SMEs reduced from 30 to 15 percent, permanently.  
• Tourism companies not to pay contributions to the tourist sector reserve fund.
</t>
    </r>
    <r>
      <rPr>
        <b/>
        <sz val="10"/>
        <color theme="1"/>
        <rFont val="Arial"/>
        <family val="2"/>
      </rPr>
      <t>Deferral of payments:</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</si>
  <si>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rFont val="Arial"/>
        <family val="2"/>
      </rPr>
      <t xml:space="preserve">Spending measures: 
</t>
    </r>
    <r>
      <rPr>
        <sz val="10"/>
        <rFont val="Arial"/>
        <family val="2"/>
      </rPr>
      <t xml:space="preserve">• Raising minimum pension and cash assistance to families in need; direct support to Turkish Airlines and other affected entities; and income support to employees in work places that suspend activities (short-term work allowance).
</t>
    </r>
    <r>
      <rPr>
        <b/>
        <sz val="10"/>
        <rFont val="Arial"/>
        <family val="2"/>
      </rPr>
      <t xml:space="preserve">
Deferral of payments: 
</t>
    </r>
    <r>
      <rPr>
        <sz val="10"/>
        <rFont val="Arial"/>
        <family val="2"/>
      </rPr>
      <t>• Reduced/postponed taxes for affected industries (particularly tourism); and extension of personal and corporate income tax filing deadlines.</t>
    </r>
  </si>
  <si>
    <r>
      <rPr>
        <b/>
        <sz val="10"/>
        <color theme="1"/>
        <rFont val="Arial"/>
        <family val="2"/>
      </rPr>
      <t>Revenue measures:</t>
    </r>
    <r>
      <rPr>
        <sz val="10"/>
        <color theme="1"/>
        <rFont val="Arial"/>
        <family val="2"/>
      </rPr>
      <t xml:space="preserve"> Tax exemptions for essential sanitary products during the pandemic (e.g. hand sanitizers).</t>
    </r>
  </si>
  <si>
    <r>
      <rPr>
        <b/>
        <sz val="10"/>
        <color theme="1"/>
        <rFont val="Arial"/>
        <family val="2"/>
      </rPr>
      <t xml:space="preserve">Spending measures:
• </t>
    </r>
    <r>
      <rPr>
        <sz val="10"/>
        <color theme="1"/>
        <rFont val="Arial"/>
        <family val="2"/>
      </rPr>
      <t xml:space="preserve">Temporary compensation scheme for companies’ fixed costs between 100% and 25% depending on severity of impact. Temporary compensation scheme for self-employed and freelancers that are experiencing more than a 30% decrease in turnover will be entitled to a 75% compensation (max 23,000 DKK per month).
• Introduced a compensation scheme for cancelling or postponing major business events owing to the pandemic. 
• </t>
    </r>
    <r>
      <rPr>
        <sz val="10"/>
        <color theme="1"/>
        <rFont val="Arial"/>
        <family val="1"/>
        <charset val="2"/>
      </rPr>
      <t>Temporary wage subsidies at levels between 75 and 90 percent of workers' salary and reimbursement for sickness benefits.</t>
    </r>
    <r>
      <rPr>
        <sz val="10"/>
        <color theme="1"/>
        <rFont val="Arial"/>
        <family val="2"/>
        <charset val="2"/>
      </rPr>
      <t xml:space="preserve">
</t>
    </r>
    <r>
      <rPr>
        <b/>
        <sz val="10"/>
        <color theme="1"/>
        <rFont val="Arial"/>
        <family val="2"/>
      </rPr>
      <t xml:space="preserve">Deferral of payments: </t>
    </r>
    <r>
      <rPr>
        <sz val="10"/>
        <color theme="1"/>
        <rFont val="Arial"/>
        <family val="2"/>
        <charset val="2"/>
      </rPr>
      <t xml:space="preserve">
• Temporary postponement (4 months) of payment deadlines for withholding tax (A-tax) and labor market contributions, and for provisional tax paid by self-employed business (B-tax); one month deferral of VAT for businesses. VAT for small firms is extended from 6 months to 12 months in 2020, while the extension for medium-sized enterprises is from 3 months to 6 months for the first half of 2020. </t>
    </r>
  </si>
  <si>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Expenditure measures include larger wage subsidies for temporary lay-offs and more generous unemployment benefits; expanded sickness benefits; grants for start-ups; subsidies for domestic air routes.
</t>
    </r>
    <r>
      <rPr>
        <sz val="10"/>
        <color theme="1"/>
        <rFont val="Symbol"/>
        <family val="1"/>
        <charset val="2"/>
      </rPr>
      <t>·</t>
    </r>
    <r>
      <rPr>
        <sz val="10"/>
        <color theme="1"/>
        <rFont val="Arial"/>
        <family val="2"/>
      </rPr>
      <t xml:space="preserve">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 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·Temporary cut of employers’ social insurance contributions.
</t>
    </r>
    <r>
      <rPr>
        <b/>
        <sz val="10"/>
        <color theme="1"/>
        <rFont val="Arial"/>
        <family val="2"/>
      </rPr>
      <t>Deferral of payments:</t>
    </r>
    <r>
      <rPr>
        <sz val="10"/>
        <color theme="1"/>
        <rFont val="Arial"/>
        <family val="2"/>
      </rPr>
      <t xml:space="preserve"> for various taxes.</t>
    </r>
  </si>
  <si>
    <t>Liquidity provision to SMEs and households, including through the state-owned Banco del Estado (0.2 percent of GDP). A state injection to the unemployment insurance system (0.8 percent of GDP).</t>
  </si>
  <si>
    <r>
      <rPr>
        <b/>
        <sz val="10"/>
        <color theme="1"/>
        <rFont val="Arial"/>
        <family val="2"/>
      </rPr>
      <t>Spending measures:</t>
    </r>
    <r>
      <rPr>
        <sz val="10"/>
        <color theme="1"/>
        <rFont val="Arial"/>
        <family val="2"/>
      </rPr>
      <t xml:space="preserve"> Planned cash transfers of about VND 36 trillion (0.6 percent of GDP) to vulnerable households, including the poor, recipients of social protection program, workers who temporarily stopped working or have been on unpaid leave, unemployed workers without unemployment insurance, and self-employed workers. An additional VND 61.7 trillion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trillion (3 percent of GDP)  tax and land rental payment deferrals (for 5 months) to support affected entities; affected firms are allowed to defer their contribution (up to 12 months) to the pension fund with no interest penalty for late payment (additional 9.6 trillion VND or 0.2 percent of GDP out of the extra budgetary funds, and not state budget). </t>
    </r>
  </si>
  <si>
    <r>
      <rPr>
        <b/>
        <sz val="10"/>
        <color theme="1"/>
        <rFont val="Arial"/>
        <family val="2"/>
      </rPr>
      <t xml:space="preserve">Spending measures: </t>
    </r>
    <r>
      <rPr>
        <sz val="10"/>
        <color theme="1"/>
        <rFont val="Arial"/>
        <family val="2"/>
      </rPr>
      <t xml:space="preserve">
• Budget reallocation within the Ministry of Health budget for emergency spending to fight COVID19.</t>
    </r>
  </si>
  <si>
    <r>
      <rPr>
        <b/>
        <sz val="10"/>
        <color theme="1"/>
        <rFont val="Arial"/>
        <family val="2"/>
      </rPr>
      <t xml:space="preserve">Spending measures </t>
    </r>
    <r>
      <rPr>
        <sz val="10"/>
        <color theme="1"/>
        <rFont val="Arial"/>
        <family val="2"/>
      </rPr>
      <t xml:space="preserve">(€10-20bn or more depending on take up): 
</t>
    </r>
    <r>
      <rPr>
        <sz val="10"/>
        <color theme="1"/>
        <rFont val="Symbol"/>
        <family val="1"/>
        <charset val="2"/>
      </rPr>
      <t>·</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sz val="10"/>
        <color theme="1"/>
        <rFont val="Symbol"/>
        <family val="1"/>
        <charset val="2"/>
      </rPr>
      <t>·</t>
    </r>
    <r>
      <rPr>
        <sz val="10"/>
        <color theme="1"/>
        <rFont val="Arial"/>
        <family val="2"/>
      </rPr>
      <t xml:space="preserve"> Scaling up of the short-time working scheme (unemployment benefit compensation available to companies needing to reduce their staff by at least 20 percent). 
</t>
    </r>
    <r>
      <rPr>
        <sz val="10"/>
        <color theme="1"/>
        <rFont val="Symbol"/>
        <family val="1"/>
        <charset val="2"/>
      </rPr>
      <t>·</t>
    </r>
    <r>
      <rPr>
        <sz val="10"/>
        <color theme="1"/>
        <rFont val="Arial"/>
        <family val="2"/>
      </rPr>
      <t xml:space="preserve"> Income support for self-proprietorships and self-employed (administered at municipal level) for a period of three months through expedited procedures.
</t>
    </r>
    <r>
      <rPr>
        <b/>
        <sz val="10"/>
        <color theme="1"/>
        <rFont val="Arial"/>
        <family val="2"/>
      </rPr>
      <t xml:space="preserve">Deferral of payments </t>
    </r>
    <r>
      <rPr>
        <sz val="10"/>
        <color theme="1"/>
        <rFont val="Arial"/>
        <family val="2"/>
      </rPr>
      <t>(€35–45 bn): Companies can defer tax payments without penalties, and calculate provisional taxes on the basis of expected reduced activity levels.</t>
    </r>
  </si>
  <si>
    <r>
      <rPr>
        <b/>
        <sz val="10"/>
        <color theme="1"/>
        <rFont val="Arial"/>
        <family val="2"/>
      </rPr>
      <t>Spending measures</t>
    </r>
    <r>
      <rPr>
        <sz val="10"/>
        <color theme="1"/>
        <rFont val="Arial"/>
        <family val="2"/>
      </rPr>
      <t xml:space="preserve"> (0.1 percent of GDP): for healthcare and testing, protection and medical equipment, public safety and border controls, and research on the coronavirus epidemic, in particular to develop methods for rapid diagnostics and vaccines and timely decision-making. 
• Finland contributes €5 million to international efforts to develop a vaccine.</t>
    </r>
  </si>
  <si>
    <t>The Netherlands</t>
  </si>
  <si>
    <t>Online Annex Table 1.1. Selected Fiscal Measures in Response to COVID-19 Pandemic (as of April 8 2020)</t>
  </si>
  <si>
    <t>http://www.governo.it/it/articolo/comunicato-stampa-del-consiglio-dei-ministri-n-39/14417</t>
  </si>
  <si>
    <r>
      <rPr>
        <b/>
        <sz val="10"/>
        <rFont val="Arial"/>
        <family val="2"/>
      </rPr>
      <t xml:space="preserve">Spending measures </t>
    </r>
    <r>
      <rPr>
        <sz val="10"/>
        <rFont val="Arial"/>
        <family val="2"/>
      </rPr>
      <t>(ARS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Revenue measures </t>
    </r>
    <r>
      <rPr>
        <sz val="10"/>
        <rFont val="Arial"/>
        <family val="2"/>
      </rPr>
      <t xml:space="preserve">(AR$ 60bn):
• Support for hard-hit sectors, including an exemption from social security contributions. </t>
    </r>
    <r>
      <rPr>
        <b/>
        <sz val="10"/>
        <rFont val="Arial"/>
        <family val="2"/>
      </rPr>
      <t xml:space="preserve">
Deferral of payments: 
</t>
    </r>
    <r>
      <rPr>
        <sz val="10"/>
        <rFont val="Arial"/>
        <family val="2"/>
      </rPr>
      <t>• Extension of the grace period of repayment of loans granted by the Social Security to retirees and beneficiaries of non-contributory pensions.</t>
    </r>
  </si>
  <si>
    <t>https://www.gov.pl/web/tarczaantykryzysowa</t>
  </si>
  <si>
    <t>“Accelerated EU funds absorption; relaxed state aid rules (in line with EU approval)”</t>
  </si>
  <si>
    <r>
      <rPr>
        <b/>
        <sz val="10"/>
        <rFont val="Arial"/>
        <family val="2"/>
      </rPr>
      <t xml:space="preserve">Advance pay of liabilities:
</t>
    </r>
    <r>
      <rPr>
        <sz val="10"/>
        <rFont val="Symbol"/>
        <family val="1"/>
        <charset val="2"/>
      </rPr>
      <t>·</t>
    </r>
    <r>
      <rPr>
        <sz val="10"/>
        <rFont val="Arial"/>
        <family val="2"/>
      </rPr>
      <t xml:space="preserve"> Social pension and disability payments have been frontloaded by four months.
</t>
    </r>
    <r>
      <rPr>
        <sz val="10"/>
        <rFont val="Symbol"/>
        <family val="1"/>
        <charset val="2"/>
      </rPr>
      <t>·</t>
    </r>
    <r>
      <rPr>
        <sz val="7"/>
        <rFont val="Symbol"/>
        <family val="1"/>
        <charset val="2"/>
      </rPr>
      <t xml:space="preserve"> </t>
    </r>
    <r>
      <rPr>
        <sz val="10"/>
        <rFont val="Arial"/>
        <family val="2"/>
      </rPr>
      <t>Procurement processes and VAT refunds are to be accelerated.</t>
    </r>
  </si>
  <si>
    <t>-	The government boosted special financing and guarantees primarily for micro, small and medium-sized business operators affected by COVID-19 through the Japan Finance Corporation and other institutions. (JPY 45 trillion)
-	Other off-budget operations using the Development Bank of Japan and other agencies (primarily for infrastructure projects in the post-containment phase) (JPY 8 trillion)</t>
  </si>
  <si>
    <t>-	Guarantees on bonds/borrowing by the Development Bank of Japan and the Japan Finance Corporation (JPY 1 trillion)
-	Guarantees on external bonds issued by the Development Bank of Japan and Japan Bank for International Cooperation (JPY 1 trillion)</t>
  </si>
  <si>
    <r>
      <rPr>
        <b/>
        <sz val="10"/>
        <color theme="1"/>
        <rFont val="Arial"/>
        <family val="2"/>
      </rPr>
      <t>Spending measures:</t>
    </r>
    <r>
      <rPr>
        <sz val="10"/>
        <color theme="1"/>
        <rFont val="Arial"/>
        <family val="2"/>
      </rPr>
      <t xml:space="preserve">
- Cash handout to affected households (JPY 300,000 per eligible household) (JPY 4.0 trillion).
- Lump-sum transfer to affected firms (JPY 2 million per firm for SMEs, JPY 1 million for the self-employed) (JPY 2.3 trillion).
- Subsidies for public/private financial institutions' lending (JPY 3.8 trillion)
- Measures to accelerate recovery and rebuild resilient economic structure such as incentive measures for consumption in affected service sectors and infrastructure investments (in the post-containment phase) (JPY 10.8 trillion). 
</t>
    </r>
    <r>
      <rPr>
        <b/>
        <sz val="10"/>
        <color theme="1"/>
        <rFont val="Arial"/>
        <family val="2"/>
      </rPr>
      <t>Revenue measures:</t>
    </r>
    <r>
      <rPr>
        <sz val="10"/>
        <color theme="1"/>
        <rFont val="Arial"/>
        <family val="2"/>
      </rPr>
      <t xml:space="preserve">
- Reduction of property tax, expansion of the loss carry-back program, etc.
</t>
    </r>
    <r>
      <rPr>
        <b/>
        <sz val="10"/>
        <color theme="1"/>
        <rFont val="Arial"/>
        <family val="2"/>
      </rPr>
      <t>Deferral of payment:</t>
    </r>
    <r>
      <rPr>
        <sz val="10"/>
        <color theme="1"/>
        <rFont val="Arial"/>
        <family val="2"/>
      </rPr>
      <t xml:space="preserve">
- Deferral of payment of taxes and social security premiums by affected firms and households for one year.</t>
    </r>
  </si>
  <si>
    <t xml:space="preserve">3/ The December 2019 fiscal package was subsumed in the new April 2020 fiscal package in response to the pandemic.
</t>
  </si>
  <si>
    <t>Total size
 /1 /2</t>
  </si>
  <si>
    <t>Total size /2</t>
  </si>
  <si>
    <t>Total size 
/2</t>
  </si>
  <si>
    <t>LC bn /3</t>
  </si>
  <si>
    <t>USD bn /4</t>
  </si>
  <si>
    <t xml:space="preserve">4/ For Argentina, USD numbers refer to end-March 2020 exchange rate. </t>
  </si>
  <si>
    <t>2/ Excludes state government measures in federations.</t>
  </si>
  <si>
    <t>1/ Excludes deferral of payments (such as taxes or social security contributions) to the government and advance pay of liabilities (such as pensions or other benefits) by the government to the extent possible and depending on the availability of information.</t>
  </si>
  <si>
    <r>
      <rPr>
        <b/>
        <sz val="10"/>
        <color theme="1"/>
        <rFont val="Arial"/>
        <family val="2"/>
      </rPr>
      <t xml:space="preserve">Spending measures (€5.5 bn): </t>
    </r>
    <r>
      <rPr>
        <sz val="10"/>
        <color theme="1"/>
        <rFont val="Arial"/>
        <family val="2"/>
      </rPr>
      <t>Support for streamlining and boosting health insurance for the sick or their caregivers, and higher spending on health supplies .</t>
    </r>
  </si>
  <si>
    <r>
      <rPr>
        <b/>
        <sz val="10"/>
        <rFont val="Arial"/>
        <family val="2"/>
      </rPr>
      <t xml:space="preserve">Spending measures (€11 bn): </t>
    </r>
    <r>
      <rPr>
        <sz val="10"/>
        <rFont val="Arial"/>
        <family val="2"/>
      </rPr>
      <t xml:space="preserve">Subsidies for wages of workers under the reduced-hour scheme  and direct financial support to affected SMEs and independent workers. 
</t>
    </r>
    <r>
      <rPr>
        <b/>
        <sz val="10"/>
        <rFont val="Arial"/>
        <family val="2"/>
      </rPr>
      <t xml:space="preserve">
Deferral of payments/advance pay of liabilities (€48.5 bn):</t>
    </r>
    <r>
      <rPr>
        <sz val="10"/>
        <rFont val="Arial"/>
        <family val="2"/>
      </rPr>
      <t xml:space="preserve">
• Liquidity support through postponement of social security contributions and tax payment for companies, and rent and utility payments for affected SMEs.
• Accelerated refund of tax credits (e.g. CIT and VAT). </t>
    </r>
  </si>
  <si>
    <r>
      <rPr>
        <b/>
        <sz val="10"/>
        <color theme="1"/>
        <rFont val="Arial"/>
        <family val="2"/>
      </rPr>
      <t>Spending measures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</si>
  <si>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Spending measures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r>
      <rPr>
        <b/>
        <sz val="10"/>
        <rFont val="Arial"/>
        <family val="2"/>
      </rPr>
      <t xml:space="preserve">
Deferral of payments: 
</t>
    </r>
    <r>
      <rPr>
        <sz val="10"/>
        <rFont val="Arial"/>
        <family val="2"/>
      </rPr>
      <t>• Extension of income tax filing deadline (3 months); reduction of penalty for late payments; date for filing fiscal year 18/19 GST tax liability extended (3 months); other miscellaneous relaxation of tax regulatory/administrative requirements.</t>
    </r>
  </si>
  <si>
    <t>Above-the line measures</t>
  </si>
  <si>
    <t>Below the line measures</t>
  </si>
  <si>
    <t>Equity injections, asset purchases, loans, debt assumptions, quasi-fiscal operations, use of extra-budgetary funds</t>
  </si>
  <si>
    <t>Guarantees on loans and 
other contingent liabilities</t>
  </si>
  <si>
    <t>Contingent liabilities</t>
  </si>
  <si>
    <t>• Under a Coronavirus SME Guarantee Scheme, government to guarantee 50 percent of loans (up to AUS $40 bn) offered by local lenders to SMEs.</t>
  </si>
  <si>
    <t>$100 million to support federal public health measures such as enhanced surveillance, increased testing at the National Microbiology Laboratory. The package includes $275 million for additional research such as vaccine development, $200 million for federal medical supplies, and support for Indigenous communities and education efforts.
$500 million to provinces and territories for critical health care system needs and to support mitigation efforts, including access to testing, equipment and to enhance surveillance and monitoring. 
$50 million for Public Health Agency of Canada's COVID-19 communications and public education efforts.
$2 bn to support diagnostic testing and to purchase ventilators and protective personal equipment, including for bulk purchases with provinces and territories. Personal protective equipment includes things like more masks and face shields, gowns, and hand sanitizer.
$50 million has been made available in funding for members of the Next Generation Manufacturing Supercluster to develop and scale-up new, in-demand technologies, equipment, and medical products.</t>
  </si>
  <si>
    <t>Liquidity support through postponement of social security contributions and tax payment for companies (€33.5 bn).</t>
  </si>
  <si>
    <t>• SME loans subject to moratorium (€70 bn). The guarantee covers up to 30% of the value.
• Enhancement of the SME Guarantee Fund from €40 bn to over €100 bn.
• State guarantee of €0.5 bn to the state development bank—Cassa Deposit e Prestiti—to support lending and liquidity to banks to enable them to finance medium to large enterprises.
• All business, the guarantee (€200) will cover between 70% and 90% of the amount financed.
• Co-insurance scheme for exporters (€200).</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</si>
  <si>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</si>
  <si>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Spending measures</t>
    </r>
    <r>
      <rPr>
        <sz val="10"/>
        <color theme="1"/>
        <rFont val="Arial"/>
        <family val="2"/>
      </rPr>
      <t xml:space="preserve"> (€3.9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</si>
  <si>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Spending measures</t>
    </r>
    <r>
      <rPr>
        <sz val="10"/>
        <color theme="1"/>
        <rFont val="Arial"/>
        <family val="2"/>
      </rPr>
      <t xml:space="preserve"> (€10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Revenue measures: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r>
      <rPr>
        <b/>
        <sz val="10"/>
        <color theme="1"/>
        <rFont val="Arial"/>
        <family val="2"/>
      </rPr>
      <t xml:space="preserve">Deferral of payments </t>
    </r>
    <r>
      <rPr>
        <sz val="10"/>
        <color theme="1"/>
        <rFont val="Arial"/>
        <family val="2"/>
      </rPr>
      <t>of taxes for small and medium enterprises and self-employed for six months (€14 bn).</t>
    </r>
  </si>
  <si>
    <t>• Additional funding for the Instituto de Crédito Official (ICO) credit lines (€10 bn)</t>
  </si>
  <si>
    <t>• The government has approved a line of public guarantees and guarantees worth up to €100 bn. An additional guarantees of €2 bn for exporters through the Spanish Export Insurance Credit Company; some guarantees for loan maturity extensions to farmers using the special 2017 drought credit lines.</t>
  </si>
  <si>
    <r>
      <rPr>
        <b/>
        <sz val="10"/>
        <color theme="1"/>
        <rFont val="Arial"/>
        <family val="2"/>
      </rPr>
      <t xml:space="preserve">Spending measures: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extended unemployment insurance payments ($250 bn); transfers to state and local governments ($150 bn), food assistance ($24 bn), education funding ($30 bn), transit funding ($25 bn).
</t>
    </r>
    <r>
      <rPr>
        <b/>
        <sz val="10"/>
        <color theme="1"/>
        <rFont val="Arial"/>
        <family val="2"/>
      </rPr>
      <t xml:space="preserve">Revenue measures: </t>
    </r>
    <r>
      <rPr>
        <sz val="10"/>
        <color theme="1"/>
        <rFont val="Arial"/>
        <family val="2"/>
      </rPr>
      <t xml:space="preserve">
• Tax rebates ($250 bn) of $1,200 for singles/$2,400 for married couples filing jointly and $500 per qualifying child, employee retention tax credit ($50 bn).
</t>
    </r>
    <r>
      <rPr>
        <b/>
        <sz val="10"/>
        <color theme="1"/>
        <rFont val="Arial"/>
        <family val="2"/>
      </rPr>
      <t xml:space="preserve">Deferral of payments: </t>
    </r>
    <r>
      <rPr>
        <sz val="10"/>
        <color theme="1"/>
        <rFont val="Arial"/>
        <family val="2"/>
      </rPr>
      <t xml:space="preserve">
• IRS extended income tax filing deadline by 90 days; employers' payroll taxes are delayed to 2021 and 2022. </t>
    </r>
  </si>
  <si>
    <t>• Coronavirus Aid, Relief, and Economic Security Act (March 27, 2020) includes $510 bn in loans and loan guarantees for large businesses, $349 bn in loans for small businesses.</t>
  </si>
  <si>
    <t>• Small- and medium-scale enterprises (SMEs) could receive up to 25 bn pesos (0.1 percent of GDP) in loans.
• Development banks could provide liquidity support of about 0.2 percent of GDP</t>
  </si>
  <si>
    <r>
      <rPr>
        <b/>
        <sz val="10"/>
        <color theme="1"/>
        <rFont val="Arial"/>
        <family val="2"/>
      </rPr>
      <t>Spending measures</t>
    </r>
    <r>
      <rPr>
        <sz val="10"/>
        <color theme="1"/>
        <rFont val="Arial"/>
        <family val="2"/>
      </rPr>
      <t>: Set-up a Health Emergency Fund to request additional resources from Congress, that could reach up to 180 bn pesos (0.7 percent of 2019 GDP).</t>
    </r>
  </si>
  <si>
    <t>• Subsidized and guaranteed loans for SMEs, retailers, and distributors. 
• Government loans to assist debt restructuring by regions (RUB 70 bn). 
• Recapitalization of leasing firms due to potential problems of their clients in the transportation sector. 
•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</si>
  <si>
    <r>
      <rPr>
        <b/>
        <sz val="10"/>
        <color theme="1"/>
        <rFont val="Arial"/>
        <family val="2"/>
      </rPr>
      <t>Spending reallocation</t>
    </r>
    <r>
      <rPr>
        <sz val="10"/>
        <color theme="1"/>
        <rFont val="Arial"/>
        <family val="2"/>
      </rPr>
      <t xml:space="preserve"> from lower priority areas (SAR 50 bn, 1.9 percent of GDP)
</t>
    </r>
    <r>
      <rPr>
        <b/>
        <sz val="10"/>
        <color theme="1"/>
        <rFont val="Arial"/>
        <family val="2"/>
      </rPr>
      <t xml:space="preserve">Deferral of payments:
</t>
    </r>
    <r>
      <rPr>
        <sz val="10"/>
        <color theme="1"/>
        <rFont val="Arial"/>
        <family val="2"/>
      </rPr>
      <t>• SAR 48bn for deferred declaration &amp; payment of taxes for 3 months, waiver of customs duties (30 days to 3 months), waiver of expat fees for 3 months; and  waiver of municipal fees on companies for 3 months.</t>
    </r>
  </si>
  <si>
    <t>•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t>
  </si>
  <si>
    <t>•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 Industrial funding package to fast-track financing for companies including those that are critical in the fight against Covid-19 provided by the Industrial Development Corporation (IDC).</t>
  </si>
  <si>
    <t xml:space="preserve">• Doubling the size of the credit guarantee fund from TL25 to TL50 bn. </t>
  </si>
  <si>
    <t>The State Pension Fund will invest in commercial paper (€1 bn).</t>
  </si>
  <si>
    <t xml:space="preserve">Finland’s Export Credit Agency expands its lending and guarantee capacity to SMEs by €10 bn and the government will increase its coverage of the agency’s credit and guarantee losses from 50 to 80 percent. State guarantee for Finnair (€ 0.6 bn). </t>
  </si>
  <si>
    <r>
      <rPr>
        <b/>
        <sz val="10"/>
        <color theme="1"/>
        <rFont val="Arial"/>
        <family val="2"/>
      </rPr>
      <t>Spending measures</t>
    </r>
    <r>
      <rPr>
        <sz val="10"/>
        <color theme="1"/>
        <rFont val="Arial"/>
        <family val="2"/>
      </rPr>
      <t xml:space="preserve"> (1.1 percent of GDP): Increase in Business Finland grant authorization for SMEs. Unemployment insurance is expanded by €2.4 bn. 
</t>
    </r>
    <r>
      <rPr>
        <b/>
        <sz val="10"/>
        <color theme="1"/>
        <rFont val="Arial"/>
        <family val="2"/>
      </rPr>
      <t>Revenue measures</t>
    </r>
    <r>
      <rPr>
        <sz val="10"/>
        <color theme="1"/>
        <rFont val="Arial"/>
        <family val="2"/>
      </rPr>
      <t xml:space="preserve"> (0.4 percent of GDP): Reduce pension contributions through the remainder of 2020 (€900 million). 
Deferral of payments: Deferral of tax and pension payments for 3 months are expected to provide additional short-run relief of €4.5 bn.</t>
    </r>
  </si>
  <si>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</si>
  <si>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</si>
  <si>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 xml:space="preserve">The reinstatement of a government fund that buys bonds issued by Norwegian companies to increase liquidity and access to capital in the Norwegian bond market, with a ceiling of NOK 50 bn. </t>
  </si>
  <si>
    <t xml:space="preserve">Establish a government guarantee scheme for bank loans to SMEs, with a ceiling of NOK 50 bn. </t>
  </si>
  <si>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</si>
  <si>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Setting aside loan capital of S$20 bn.</t>
  </si>
  <si>
    <t xml:space="preserve">Additional funding for health sector in the amount of Lk 3.5 bn, including some allocation to the Reserve Fund. </t>
  </si>
  <si>
    <r>
      <rPr>
        <b/>
        <sz val="10"/>
        <color theme="1"/>
        <rFont val="Arial"/>
        <family val="2"/>
      </rPr>
      <t>Spending measures</t>
    </r>
    <r>
      <rPr>
        <sz val="10"/>
        <color theme="1"/>
        <rFont val="Arial"/>
        <family val="2"/>
      </rPr>
      <t xml:space="preserve"> (BGN 1.4 bn): Measures to cover 60 percent of the wages for employees in affected sectors that would have been otherwise laid off. 
</t>
    </r>
    <r>
      <rPr>
        <b/>
        <sz val="10"/>
        <color theme="1"/>
        <rFont val="Arial"/>
        <family val="2"/>
      </rPr>
      <t>Deferral of payments</t>
    </r>
    <r>
      <rPr>
        <sz val="10"/>
        <color theme="1"/>
        <rFont val="Arial"/>
        <family val="2"/>
      </rPr>
      <t xml:space="preserve"> (BGN 0.6 bn). Deferral of corporate taxes until June 30.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</si>
  <si>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</si>
  <si>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 xml:space="preserve">Spending measures </t>
    </r>
    <r>
      <rPr>
        <sz val="10"/>
        <color theme="1"/>
        <rFont val="Arial"/>
        <family val="2"/>
      </rPr>
      <t xml:space="preserve">(1,000bn or 0.7 percent of GDP): Financing of additional healthcare equipment, instruments, laboratories, contracting of emergency personnel and extension of working hours, etc. </t>
    </r>
  </si>
  <si>
    <r>
      <rPr>
        <b/>
        <sz val="10"/>
        <color theme="1"/>
        <rFont val="Arial"/>
        <family val="2"/>
      </rPr>
      <t>Spending measures</t>
    </r>
    <r>
      <rPr>
        <sz val="10"/>
        <color theme="1"/>
        <rFont val="Arial"/>
        <family val="2"/>
      </rPr>
      <t xml:space="preserve"> (0.1 percent of GDP): Includes additional fiscal support and cash transfers for most vulnerable.
</t>
    </r>
    <r>
      <rPr>
        <b/>
        <sz val="10"/>
        <color theme="1"/>
        <rFont val="Arial"/>
        <family val="2"/>
      </rPr>
      <t>Revenue measures</t>
    </r>
    <r>
      <rPr>
        <sz val="10"/>
        <color theme="1"/>
        <rFont val="Arial"/>
        <family val="2"/>
      </rPr>
      <t xml:space="preserve"> (1.1 percent of GDP): Suspension of monthly provisional payments of corporate income tax for the next 3 months (allow liquidity of up to US $ 2.4 bn); reduction of the Stamp and Seals tax. 
</t>
    </r>
    <r>
      <rPr>
        <b/>
        <sz val="10"/>
        <color theme="1"/>
        <rFont val="Arial"/>
        <family val="2"/>
      </rPr>
      <t>Deferral of payments and advanced pay of liabilities</t>
    </r>
    <r>
      <rPr>
        <sz val="10"/>
        <color theme="1"/>
        <rFont val="Arial"/>
        <family val="2"/>
      </rPr>
      <t xml:space="preserve"> (1.8 percent of GDP): postponement of VAT payment for the next 3 months for all companies with sales below 350,000, and allow monthly instalments at zero real interest rates (a liquidity of 1.5 bn). Early tax refunds of SMEs, postponement of tax payment until July 2020.</t>
    </r>
  </si>
  <si>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</si>
  <si>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 xml:space="preserve">
•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</si>
  <si>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t>EGP 3.8 bn</t>
  </si>
  <si>
    <t>· The government provides urgent and necessary medical supplies and disburses bonus for medical staff working in quarantine hospitals and labs (EGP 3.8 bn). 
· State-paid healthcare workers will receive a 75 percent allowance on top of their wages.</t>
  </si>
  <si>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</si>
  <si>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</si>
  <si>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Subsidized lending will be provided under the state program (“Economy of Simple Things”, KZT 1 trillion), along with actions to help small and medium-sized enterprises (SMEs) finance their working capital (KZT 600 bn).</t>
  </si>
  <si>
    <t>Increase general public health spending (0.2 bn).</t>
  </si>
  <si>
    <t xml:space="preserve">The State Investment Corporation will raise Rs 2.7 bn (0.5 percent of GDP) to make equity investments in troubled firms. The Development bank will give Rs 0.2 bn (0.04 percent of GDP) in credit for firms short on cash. </t>
  </si>
  <si>
    <t>PLN 8 bn</t>
  </si>
  <si>
    <t>58 bn</t>
  </si>
  <si>
    <r>
      <rPr>
        <b/>
        <sz val="10"/>
        <color theme="1"/>
        <rFont val="Arial"/>
        <family val="2"/>
      </rPr>
      <t>Spending measures</t>
    </r>
    <r>
      <rPr>
        <sz val="10"/>
        <color theme="1"/>
        <rFont val="Arial"/>
        <family val="2"/>
      </rPr>
      <t xml:space="preserve"> (58 bn or 2.6 percent of GDP): Wage subsidies for employees of affected businesses up to 40 percent of average wages; care allowance for children owing to school closures; monthly benefit for self-employed individuals; establishing a public infrastructure investment fund.
</t>
    </r>
    <r>
      <rPr>
        <b/>
        <sz val="10"/>
        <color theme="1"/>
        <rFont val="Arial"/>
        <family val="2"/>
      </rPr>
      <t xml:space="preserve">Deferral of payments: </t>
    </r>
    <r>
      <rPr>
        <sz val="10"/>
        <color theme="1"/>
        <rFont val="Arial"/>
        <family val="2"/>
      </rPr>
      <t>Taxpayers can apply for deferral, payment in installments, or cancellation of tax payments/social security contributions. Deduction of 2020 tax losses for 2021 tax settlement.</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</si>
  <si>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</si>
  <si>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An additional Taka 2.5 bn was allocated to the Health Services Division, Ministry of Health &amp; Family Welfare for pandemic preparedness and response plan. The National Board of Revenue has suspended temporarily duties and taxes on imports of medical supplies, including protective equipment and test kits.</t>
  </si>
  <si>
    <t xml:space="preserve">The government planned to extend soft loans (TK 50 bn). </t>
  </si>
  <si>
    <t>A total of N7.5 bn was allocated for health sector, including contingency funds released to Nigeria’s Center for Disease Control for more testing kits and opening more centers and train medical personnel.</t>
  </si>
  <si>
    <t>A strategic plan to fight against COVID-19 is being implemented to i) enhance testing and treatment capacity, ii) strengthen preventive measures, and iii) intensify communication. The authorities' action plan includes measures in the health sector of 73 bn (0.50% of GDP).</t>
  </si>
  <si>
    <r>
      <rPr>
        <b/>
        <sz val="10"/>
        <color theme="1"/>
        <rFont val="Arial"/>
        <family val="2"/>
      </rPr>
      <t>Spending measures:</t>
    </r>
    <r>
      <rPr>
        <sz val="10"/>
        <color theme="1"/>
        <rFont val="Arial"/>
        <family val="2"/>
      </rPr>
      <t xml:space="preserve"> Additional allocation of 121 bn (0.83% of GDP) on social safety net programs to include: urgent food aid, cash transfers to vulnerable households, and subsidies to help most vulnerable to help pay utility bills (water, electricity). In addition, an amount of 100 bn (0.69% of GDP) will be allocated to other economic support measures, such as direct support to heavily hit sectors, and 252 bn (1.74% of GDP) for repayment of outstanding arrears to the private sector. 
</t>
    </r>
    <r>
      <rPr>
        <b/>
        <sz val="10"/>
        <color theme="1"/>
        <rFont val="Arial"/>
        <family val="2"/>
      </rPr>
      <t>Revenue measures</t>
    </r>
    <r>
      <rPr>
        <sz val="10"/>
        <color theme="1"/>
        <rFont val="Arial"/>
        <family val="2"/>
      </rPr>
      <t>: The government intends to adopt tax measures, providing some general tax relief, with partial forgiveness of outstanding taxes (200 bn, 1.4% of GDP), and targeted support to the most affected sectors (hotels, restaurants, transport and culture), including VAT suspension (15 bn, 0.1% of GDP).</t>
    </r>
  </si>
  <si>
    <r>
      <rPr>
        <b/>
        <sz val="10"/>
        <color theme="1"/>
        <rFont val="Arial"/>
        <family val="2"/>
      </rPr>
      <t xml:space="preserve">Spending measures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</si>
  <si>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Spending measures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</si>
  <si>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Spending measures:</t>
    </r>
    <r>
      <rPr>
        <sz val="10"/>
        <color theme="1"/>
        <rFont val="Arial"/>
        <family val="2"/>
      </rPr>
      <t xml:space="preserve">
-	Transfers to local governments which could be spent on COVID-19 related measures (JPY 1.1 trillion)
-	Production, procurement and distribution of critical equipment such as masks and ventilators (JPY 0.2 trillion)
-	Other health-related measures (Support for development of vaccines, etc.)</t>
    </r>
  </si>
  <si>
    <t xml:space="preserve">Note: 'bn' and 'tn' refer to billion and trillion respectively, 'LC bn' refers to local currency billion and 'n.a.' refers to not available. Numbers in U.S. dollar and percent of GDP are based on April 2020 World Economic Outlook projections for 2020 unless otherwise stated. </t>
  </si>
  <si>
    <r>
      <rPr>
        <b/>
        <sz val="10"/>
        <color theme="1"/>
        <rFont val="Arial"/>
        <family val="2"/>
      </rPr>
      <t xml:space="preserve">Spending measures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Revenue measures:</t>
    </r>
    <r>
      <rPr>
        <sz val="10"/>
        <color theme="1"/>
        <rFont val="Arial"/>
        <family val="2"/>
      </rPr>
      <t xml:space="preserve"> property tax (business rate) holiday for firms in affected sectors.
</t>
    </r>
    <r>
      <rPr>
        <b/>
        <sz val="10"/>
        <color theme="1"/>
        <rFont val="Arial"/>
        <family val="2"/>
      </rPr>
      <t xml:space="preserve">Deferral of payments: </t>
    </r>
    <r>
      <rPr>
        <sz val="10"/>
        <color theme="1"/>
        <rFont val="Arial"/>
        <family val="2"/>
      </rPr>
      <t xml:space="preserve">Liquidity support, including deferral of income tax for the self employed and VAT payments; Time to Pay arrangements  (tax debt restructuring) for businesses and individuals. 
</t>
    </r>
  </si>
  <si>
    <t xml:space="preserve">•  The Coronavirus Business Interruption Loan Scheme (CBILS) launched with the British Business Bank will support SMEs with access to loans of up to £5 million and for up to 6 years. The government will cover the first 12 months of interest payments and any lender-levied fees. 
•  Under the new Covid-19 Corporate Financing Facility (CCFF), the Bank of England will buy short term debt from larger companies. The combined size of the CBILS and CCCF schemes is £330 bn (15% of GDP). 
</t>
  </si>
  <si>
    <r>
      <rPr>
        <b/>
        <sz val="10"/>
        <rFont val="Arial"/>
        <family val="2"/>
      </rPr>
      <t xml:space="preserve">Spending measures: </t>
    </r>
    <r>
      <rPr>
        <sz val="10"/>
        <rFont val="Arial"/>
        <family val="2"/>
      </rPr>
      <t xml:space="preserve">Allocations from the Departments of Small Business Development and the Department of Tourism of R700 million made available to assist small and medium enterprises that are in distress including in tourism and hospitality sector. </t>
    </r>
    <r>
      <rPr>
        <b/>
        <sz val="10"/>
        <rFont val="Arial"/>
        <family val="2"/>
      </rPr>
      <t xml:space="preserve">
Revenue measures: </t>
    </r>
    <r>
      <rPr>
        <sz val="10"/>
        <rFont val="Arial"/>
        <family val="2"/>
      </rPr>
      <t>Tax subsidy of up to R500 per month for the next four months for those private sector employees earning below R6,500 under the Employment Tax Incentive.</t>
    </r>
    <r>
      <rPr>
        <b/>
        <sz val="10"/>
        <rFont val="Arial"/>
        <family val="2"/>
      </rPr>
      <t xml:space="preserve">
Deferral of payments:</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</si>
  <si>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t>(8 bn or 0.3 percent of GDP) Allocate to support patient care, co-finance healthcare infrastructure improvements, and telemedicine and digitalization.</t>
  </si>
  <si>
    <t>L3.8 bn in purchases of medical supplies and enabling of temporary medical facilities, hiring of additional healthcare personnel</t>
  </si>
  <si>
    <r>
      <rPr>
        <b/>
        <sz val="10"/>
        <color theme="1"/>
        <rFont val="Arial"/>
        <family val="2"/>
      </rPr>
      <t xml:space="preserve">Spending measures: </t>
    </r>
    <r>
      <rPr>
        <sz val="10"/>
        <color theme="1"/>
        <rFont val="Arial"/>
        <family val="2"/>
      </rPr>
      <t xml:space="preserve">Temporary and targeted fiscal measures taken by the authorities include: financing of a public program to deliver food supplies to the poor; temporary unemployment benefits for workers in the formal sector during the national curfew, with estimated cost of L2 bn. 
</t>
    </r>
    <r>
      <rPr>
        <b/>
        <sz val="10"/>
        <color theme="1"/>
        <rFont val="Arial"/>
        <family val="2"/>
      </rPr>
      <t>Deferral of payments</t>
    </r>
    <r>
      <rPr>
        <sz val="10"/>
        <color theme="1"/>
        <rFont val="Arial"/>
        <family val="2"/>
      </rPr>
      <t xml:space="preserve">: Deferrals on tax and social contribution payments, especially favoring SMEs. </t>
    </r>
  </si>
  <si>
    <t xml:space="preserve">The Special Feature Online Annex summarizes key fiscal measures governments have announced or taken in selected economies in response to COVID-19 pandemic from January 1 to April 8, 2020. The special feature categorizes different types of fiscal support (for example, above-the-line and below-the-line measures) that have different implications for the public finances in the near term and beyond. Please refer to Box 1.1 of the April 2020 Fiscal Monitor for details. The Special Feature is not meant for comparison across members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For a broad range of countries on their monetary and fiscal policies in response to the pandemic, please see IMF Policy Tracker (https://www.imf.org/en/Topics/imf-and-covid19/Policy-Responses-to-COVID-19). </t>
  </si>
  <si>
    <t>USD bn 4/</t>
  </si>
  <si>
    <t>• Coronavirus Aid, Relief, and Economic Security Act (March 27, 2020) includes $56 bn in loans for distress businesses (e.g., passenger and cargo air carriers, postal service etc.), and $349 bn in loans for small businesses.</t>
  </si>
  <si>
    <t>• Coronavirus Aid, Relief, and Economic Security Act (March 27, 2020) includes $454 bn to backstop section 13(3) Federal Reserve facilities that purchase corporate obligations in primary or secondary market.</t>
  </si>
  <si>
    <t xml:space="preserve">n.a. </t>
  </si>
  <si>
    <t>Total size 
/2 /3</t>
  </si>
  <si>
    <t>3/ Some estimates do not have a breakdown between loans and loan guarantees.</t>
  </si>
  <si>
    <t xml:space="preserve">5/ For Argentina, USD numbers refer to end-March 2020 exchange rate. </t>
  </si>
  <si>
    <t>USD bn /5</t>
  </si>
  <si>
    <t>LC bn /4</t>
  </si>
  <si>
    <t>USD bn 5/</t>
  </si>
  <si>
    <t xml:space="preserve">4/ The December 2019 stimulus package was subsumed in the new April 2020 fiscal package in response to the pandemic.
</t>
  </si>
  <si>
    <t xml:space="preserve">•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
• SAR 9 billion in wage benefits to employers who keep their workers (to be provided through the unemployment insurance scheme, SANED). </t>
  </si>
  <si>
    <t>US</t>
  </si>
  <si>
    <t>The Special Feature Online Annex summarizes key fiscal measures governments have announced or taken in selected economies in response to the COVID-19 pandemic from January 1 to April 8,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</si>
  <si>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8 2020)</t>
  </si>
  <si>
    <t>• Redirecting €1 bn from the EU Budget as a guarantee to the European Investment Fund to incentivize banks to provide liquidity to hard-hit SMEs and midcaps.</t>
  </si>
  <si>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</si>
  <si>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 Government will back (assuming 85% of the risk) a R $40 bn credit line operated by private banks for SMEs, specifically to cover payroll costs. Interest rates are capped at the policy rate (3.75%).</t>
  </si>
  <si>
    <r>
      <rPr>
        <b/>
        <sz val="10"/>
        <color theme="1"/>
        <rFont val="Arial"/>
        <family val="2"/>
      </rPr>
      <t>Spending measures</t>
    </r>
    <r>
      <rPr>
        <sz val="10"/>
        <color theme="1"/>
        <rFont val="Arial"/>
        <family val="2"/>
      </rPr>
      <t xml:space="preserve"> Lk 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</si>
  <si>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r>
      <rPr>
        <b/>
        <sz val="10"/>
        <color theme="1"/>
        <rFont val="Arial"/>
        <family val="2"/>
      </rPr>
      <t xml:space="preserve">Spending measures </t>
    </r>
    <r>
      <rPr>
        <sz val="10"/>
        <color theme="1"/>
        <rFont val="Arial"/>
        <family val="2"/>
      </rPr>
      <t xml:space="preserve">(1,000 bn or 0.7 percent of GDP): Financing of additional healthcare equipment, instruments, laboratories, contracting of emergency personnel and extension of working hours, etc. </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</si>
  <si>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postponement of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</si>
  <si>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</si>
  <si>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xml:space="preserve">Measures include 30 tn VND tax and land rental payment deferrals (for 5 months) to support affected entities; affected firms are allowed to defer their contribution (due Mar-Jun) to the pension fund with no interest penalty for late payment;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</si>
  <si>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</si>
  <si>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tn (close to 1 percent of GDP). 
</t>
    </r>
    <r>
      <rPr>
        <b/>
        <sz val="10"/>
        <color theme="1"/>
        <rFont val="Arial"/>
        <family val="2"/>
      </rPr>
      <t>Revenue measures:</t>
    </r>
    <r>
      <rPr>
        <sz val="10"/>
        <color theme="1"/>
        <rFont val="Arial"/>
        <family val="2"/>
      </rPr>
      <t xml:space="preserve"> Import duty waivers for pharmaceutical firms will be introduced.</t>
    </r>
  </si>
  <si>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</si>
  <si>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color theme="1"/>
        <rFont val="Arial"/>
        <family val="2"/>
      </rPr>
      <t>Spending measures:</t>
    </r>
    <r>
      <rPr>
        <sz val="10"/>
        <color theme="1"/>
        <rFont val="Arial"/>
        <family val="2"/>
      </rPr>
      <t xml:space="preserve"> Planned cash transfers of about VND 36 tn (0.6 percent of GDP) to vulnerable households, including the poor, recipients of social protection program, workers who temporarily stopped working or have been on unpaid leave, unemployed workers without unemployment insurance, and self-employed workers. An additional VND 61.7 tn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tn (3 percent of GDP)  tax and land rental payment deferrals (for 5 months) to support affected entities; affected firms are allowed to defer their contribution (up to 12 months) to the pension fund with no interest penalty for late payment (additional 9.6 tn VND or 0.2 percent of GDP out of the extra budgetary funds, and not state budget). </t>
    </r>
  </si>
  <si>
    <t xml:space="preserve">Note: 'mn', 'bn', and 'tn' refer to million, billion, and trillion respectively, 'LC bn' refers to local currency billion and 'n.a.' are not available. Numbers in U.S. dollar and percent of GDP are based on April 2020 World Economic Outlook projections for 2020 unless otherwise stated. </t>
  </si>
  <si>
    <t>• Liquidity provision to SMEs and households, including through the state-owned Banco del Estado (0.2 percent of GDP). 
• A state injection to the unemployment insurance system (0.8 percent of GDP).</t>
  </si>
  <si>
    <t xml:space="preserve">• The State Investment Corporation will raise Rs 2.7 bn (0.5 percent of GDP) to make equity investments in troubled firms. 
• The Development bank will give Rs 0.2 bn (0.04 percent of GDP) in credit for firms short on cash. </t>
  </si>
  <si>
    <t>• Guarantees on bonds/borrowing by the Development Bank of Japan and the Japan Finance Corporation (JPY 1 tn)
• Guarantees on external bonds issued by the Development Bank of Japan and Japan Bank for International Cooperation (JPY 1 tn)</t>
  </si>
  <si>
    <t>• The government has approved a line of public guarantees and guarantees worth up to €100 bn. 
• Additional guarantees of €2 bn for exporters through the Spanish Export Insurance Credit Company. 
• Some guarantees for loan maturity extensions to farmers using the special 2017 drought credit lines.</t>
  </si>
  <si>
    <t xml:space="preserve">• Finland’s Export Credit Agency expands its lending and guarantee capacity to SMEs by €10 bn and the government will increase its coverage of the agency’s credit and guarantee losses from 50 to 80 percent. 
• State guarantee for Finnair (€ 0.6 bn). </t>
  </si>
  <si>
    <t xml:space="preserve">• Credit guarantees for Swedish airlines. 
• Expansion of the Swedish Export Credit Agency’s credit guarantee framework and the programs under the Swedish Export Credit Corporation. 
• Loan guarantees for SMEs. 
• Expansion of the National Board of Health and Welfare's credit framework. </t>
  </si>
  <si>
    <t xml:space="preserve">• Establishing a financing line for SMEs. 
• Some extra-budgetary funds on public donation to the health sector. 
• Investment fund to finance private companies to preserve jobs. 
• A bridging fund for repurchase of shares in investment funds. </t>
  </si>
  <si>
    <t>• The Abu Dhabi government announced provision of loans to SMEs. 
• State-owned enterprises and banks support the private sector through loan restructuring, lowering lease payments (by real estate companies), halting evictions etc.</t>
  </si>
  <si>
    <r>
      <rPr>
        <b/>
        <sz val="10"/>
        <color theme="1"/>
        <rFont val="Arial"/>
        <family val="2"/>
      </rPr>
      <t>Spending measures:</t>
    </r>
    <r>
      <rPr>
        <sz val="10"/>
        <color theme="1"/>
        <rFont val="Arial"/>
        <family val="2"/>
      </rPr>
      <t xml:space="preserve"> Part of the increased spending will finance additional health care needs. </t>
    </r>
  </si>
  <si>
    <r>
      <rPr>
        <b/>
        <sz val="10"/>
        <color theme="1"/>
        <rFont val="Arial"/>
        <family val="2"/>
      </rPr>
      <t>Spending measures:</t>
    </r>
    <r>
      <rPr>
        <sz val="10"/>
        <color theme="1"/>
        <rFont val="Arial"/>
        <family val="2"/>
      </rPr>
      <t xml:space="preserve"> Transfers to municipalities that have large health expenses due to the pandemic. </t>
    </r>
  </si>
  <si>
    <r>
      <rPr>
        <b/>
        <sz val="10"/>
        <color theme="1"/>
        <rFont val="Arial"/>
        <family val="2"/>
      </rPr>
      <t>Spending measures</t>
    </r>
    <r>
      <rPr>
        <sz val="10"/>
        <color theme="1"/>
        <rFont val="Arial"/>
        <family val="2"/>
      </rPr>
      <t>: to contain the outbreak, provided mainly to the Ministry of Health.</t>
    </r>
  </si>
  <si>
    <r>
      <rPr>
        <b/>
        <sz val="10"/>
        <color theme="1"/>
        <rFont val="Arial"/>
        <family val="2"/>
      </rPr>
      <t>Spending measures</t>
    </r>
    <r>
      <rPr>
        <sz val="10"/>
        <color theme="1"/>
        <rFont val="Arial"/>
        <family val="2"/>
      </rPr>
      <t xml:space="preserve">: 
• Expenditure measures include larger wage subsidies for temporary lay-offs and more generous unemployment benefits; expanded sickness benefits; grants for start-ups; subsidies for domestic air routes.
•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t>
    </r>
    <r>
      <rPr>
        <b/>
        <sz val="10"/>
        <color theme="1"/>
        <rFont val="Arial"/>
        <family val="2"/>
      </rPr>
      <t xml:space="preserve">• </t>
    </r>
    <r>
      <rPr>
        <sz val="10"/>
        <color theme="1"/>
        <rFont val="Arial"/>
        <family val="2"/>
      </rPr>
      <t xml:space="preserve">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 Temporary cut of employers’ social insurance contributions.
</t>
    </r>
    <r>
      <rPr>
        <b/>
        <sz val="10"/>
        <color theme="1"/>
        <rFont val="Arial"/>
        <family val="2"/>
      </rPr>
      <t>Deferral of payments:</t>
    </r>
    <r>
      <rPr>
        <sz val="10"/>
        <color theme="1"/>
        <rFont val="Arial"/>
        <family val="2"/>
      </rPr>
      <t xml:space="preserve"> for various taxes.</t>
    </r>
  </si>
  <si>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</si>
  <si>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</si>
  <si>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Spending measures:</t>
    </r>
    <r>
      <rPr>
        <sz val="10"/>
        <color theme="1"/>
        <rFont val="Arial"/>
        <family val="2"/>
      </rPr>
      <t xml:space="preserve"> Additional funding for health sector in the amount of Lk 3.5 bn, including some allocation to the Reserve Fund. </t>
    </r>
  </si>
  <si>
    <r>
      <rPr>
        <b/>
        <sz val="10"/>
        <color theme="1"/>
        <rFont val="Arial"/>
        <family val="2"/>
      </rPr>
      <t>Spending measures</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Enhanced use of EU funds for expansion of social patronage services for the elderly and disabled people and purchase of medical supplies and equipment.</t>
    </r>
  </si>
  <si>
    <r>
      <rPr>
        <b/>
        <sz val="10"/>
        <color theme="1"/>
        <rFont val="Arial"/>
        <family val="2"/>
      </rPr>
      <t>Spending measures</t>
    </r>
    <r>
      <rPr>
        <sz val="10"/>
        <color theme="1"/>
        <rFont val="Arial"/>
        <family val="2"/>
      </rPr>
      <t xml:space="preserve">: Health sector budgetary support from central government. 
</t>
    </r>
    <r>
      <rPr>
        <b/>
        <sz val="10"/>
        <color theme="1"/>
        <rFont val="Arial"/>
        <family val="2"/>
      </rPr>
      <t>Revenue measures</t>
    </r>
    <r>
      <rPr>
        <sz val="10"/>
        <color theme="1"/>
        <rFont val="Arial"/>
        <family val="2"/>
      </rPr>
      <t>: a reduction of tariffs for strategic health imports.</t>
    </r>
  </si>
  <si>
    <t>•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</si>
  <si>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r>
      <rPr>
        <b/>
        <sz val="10"/>
        <color theme="1"/>
        <rFont val="Arial"/>
        <family val="2"/>
      </rPr>
      <t xml:space="preserve">Spending measures.
• </t>
    </r>
    <r>
      <rPr>
        <sz val="10"/>
        <color theme="1"/>
        <rFont val="Arial"/>
        <family val="2"/>
      </rPr>
      <t xml:space="preserve">Faster direct contracting for services associated with the emergency response and expanded transfers for vulnerable groups.
• Expanded transfers for vulnerable groups (Including accelerated VAT reimbursements).
•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</si>
  <si>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1"/>
        <charset val="2"/>
      </rPr>
      <t xml:space="preserve">
• The government provides urgent and necessary medical supplies and disburses bonus for medical staff working in quarantine hospitals and labs (EGP 3.8 bn). 
• State-paid healthcare workers will receive a 75 percent allowance on top of their wages.</t>
    </r>
  </si>
  <si>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</si>
  <si>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</si>
  <si>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Spending measures</t>
    </r>
    <r>
      <rPr>
        <sz val="10"/>
        <color theme="1"/>
        <rFont val="Arial"/>
        <family val="2"/>
      </rPr>
      <t>: Medical staff together with policy and other specialists will receive a bonus of one-month salary.</t>
    </r>
  </si>
  <si>
    <r>
      <rPr>
        <b/>
        <sz val="10"/>
        <color theme="1"/>
        <rFont val="Arial"/>
        <family val="2"/>
      </rPr>
      <t>Spending measures</t>
    </r>
    <r>
      <rPr>
        <sz val="10"/>
        <color theme="1"/>
        <rFont val="Arial"/>
        <family val="2"/>
      </rPr>
      <t>: Increase general public health spending (0.2 bn).</t>
    </r>
  </si>
  <si>
    <r>
      <rPr>
        <b/>
        <sz val="10"/>
        <color theme="1"/>
        <rFont val="Arial"/>
        <family val="2"/>
      </rPr>
      <t>Spending measures</t>
    </r>
    <r>
      <rPr>
        <sz val="10"/>
        <color theme="1"/>
        <rFont val="Arial"/>
        <family val="2"/>
      </rPr>
      <t xml:space="preserve"> (8 bn or 0.3 percent of GDP): Allocated to support patient care, co-finance healthcare infrastructure improvements, and telemedicine and digitalization.</t>
    </r>
  </si>
  <si>
    <r>
      <rPr>
        <b/>
        <sz val="10"/>
        <color theme="1"/>
        <rFont val="Arial"/>
        <family val="2"/>
      </rPr>
      <t>Spending measures:</t>
    </r>
    <r>
      <rPr>
        <sz val="10"/>
        <color theme="1"/>
        <rFont val="Arial"/>
        <family val="2"/>
      </rPr>
      <t xml:space="preserve"> Additional health spending (TND 0.3 bn) and creation of a fund for the acquisition of equipment for public hospitals; 
</t>
    </r>
    <r>
      <rPr>
        <b/>
        <sz val="10"/>
        <color theme="1"/>
        <rFont val="Arial"/>
        <family val="2"/>
      </rPr>
      <t>Revenue measures:</t>
    </r>
    <r>
      <rPr>
        <sz val="10"/>
        <color theme="1"/>
        <rFont val="Arial"/>
        <family val="2"/>
      </rPr>
      <t xml:space="preserve"> waiver of VAT for business selling medicines (TND 0.03 bn).</t>
    </r>
  </si>
  <si>
    <r>
      <rPr>
        <b/>
        <sz val="10"/>
        <color theme="1"/>
        <rFont val="Arial"/>
        <family val="2"/>
      </rPr>
      <t xml:space="preserve">Spending measures: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</si>
  <si>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Spending measures</t>
    </r>
    <r>
      <rPr>
        <sz val="10"/>
        <color theme="1"/>
        <rFont val="Arial"/>
        <family val="2"/>
      </rPr>
      <t xml:space="preserve">: An additional Taka 2.5 bn was allocated to the Health Services Division, Ministry of Health &amp; Family Welfare for pandemic preparedness and response plan. 
</t>
    </r>
    <r>
      <rPr>
        <b/>
        <sz val="10"/>
        <color theme="1"/>
        <rFont val="Arial"/>
        <family val="2"/>
      </rPr>
      <t>Revenue measures</t>
    </r>
    <r>
      <rPr>
        <sz val="10"/>
        <color theme="1"/>
        <rFont val="Arial"/>
        <family val="2"/>
      </rPr>
      <t>: The National Board of Revenue has suspended temporarily duties and taxes on imports of medical supplies, including protective equipment and test kits.</t>
    </r>
  </si>
  <si>
    <r>
      <rPr>
        <b/>
        <sz val="10"/>
        <color theme="1"/>
        <rFont val="Arial"/>
        <family val="2"/>
      </rPr>
      <t>Spending measures</t>
    </r>
    <r>
      <rPr>
        <sz val="10"/>
        <color theme="1"/>
        <rFont val="Arial"/>
        <family val="2"/>
      </rPr>
      <t>: L3.8 bn in purchases of medical supplies and enabling of temporary medical facilities, hiring of additional healthcare personnel</t>
    </r>
  </si>
  <si>
    <r>
      <rPr>
        <b/>
        <sz val="10"/>
        <color theme="1"/>
        <rFont val="Arial"/>
        <family val="2"/>
      </rPr>
      <t>Spending measures</t>
    </r>
    <r>
      <rPr>
        <sz val="10"/>
        <color theme="1"/>
        <rFont val="Arial"/>
        <family val="2"/>
      </rPr>
      <t>: A total of N7.5 bn was allocated for health sector, including contingency funds released to Nigeria’s Center for Disease Control for more testing kits and opening more centers and train medical personnel.</t>
    </r>
  </si>
  <si>
    <r>
      <rPr>
        <b/>
        <sz val="10"/>
        <color theme="1"/>
        <rFont val="Arial"/>
        <family val="2"/>
      </rPr>
      <t>Spending measures</t>
    </r>
    <r>
      <rPr>
        <sz val="10"/>
        <color theme="1"/>
        <rFont val="Arial"/>
        <family val="2"/>
      </rPr>
      <t>: A strategic plan to fight against COVID-19 is being implemented to i) enhance testing and treatment capacity, ii) strengthen preventive measures, and iii) intensify communication. The authorities' action plan includes measures in the health sector of 73 bn (0.50% of GDP).</t>
    </r>
  </si>
  <si>
    <r>
      <rPr>
        <b/>
        <sz val="10"/>
        <color theme="1"/>
        <rFont val="Arial"/>
        <family val="2"/>
      </rPr>
      <t>Spending measures</t>
    </r>
    <r>
      <rPr>
        <sz val="10"/>
        <color theme="1"/>
        <rFont val="Arial"/>
        <family val="2"/>
      </rPr>
      <t xml:space="preserve">: Treatment costs of Covid-19 positive patients are covered by either Health Insurance Fund (under Vietnam Social Security) or by the state budget.
</t>
    </r>
    <r>
      <rPr>
        <b/>
        <sz val="10"/>
        <color theme="1"/>
        <rFont val="Arial"/>
        <family val="2"/>
      </rPr>
      <t>Revenue measures</t>
    </r>
    <r>
      <rPr>
        <sz val="10"/>
        <color theme="1"/>
        <rFont val="Arial"/>
        <family val="2"/>
      </rPr>
      <t xml:space="preserve">: Exemption of import tariff for medical material. Suspension of VAT for domestically produced medical material. </t>
    </r>
  </si>
  <si>
    <t>• The third fiscal package includes IDR 150 tn (0.9 percent of GDP) financing for a national economic program, including to support credit guarantees for the private sector.</t>
  </si>
  <si>
    <t>• The State Pension Fund will invest in commercial paper (€1 bn).</t>
  </si>
  <si>
    <t>• The loan guarantee program for SMEs (especially those affected by the outbreak) is expanded to cover up to 75 percent of total loan, with maturity of 1 year or less.</t>
  </si>
  <si>
    <t xml:space="preserve">• The reinstatement of a government fund that buys bonds issued by Norwegian companies to increase liquidity and access to capital in the Norwegian bond market, with a ceiling of NOK 50 bn. </t>
  </si>
  <si>
    <t xml:space="preserve">• Establish a government guarantee scheme for bank loans to SMEs, with a ceiling of NOK 50 bn. </t>
  </si>
  <si>
    <t>• Setting aside loan capital of S$20 bn.</t>
  </si>
  <si>
    <t xml:space="preserve">• Lk11bn Government has offered a sovereign guarantee for large businesses to tap overdraft or credit lines in the banking sector to pay worker salaries (Details of the scheme have yet to be finalized). </t>
  </si>
  <si>
    <t>• Subsidized lending will be provided under the state program (“Economy of Simple Things”, KZT 1 tn), along with actions to help small and medium-sized enterprises (SMEs) finance their working capital (KZT 600 bn).</t>
  </si>
  <si>
    <t xml:space="preserve">• The Polish Development Fund Group (which includes the main state-owned development bank BGK) will provide financing and guarantees for firms (68 bn). </t>
  </si>
  <si>
    <t>• Allow the State to guarantee new credits for management, operation and maintenance provided by the banking system until December 31, 2020 reimbursable over seven years, including a two-year grace period in sectors such as tourism, transport, culture, etc.</t>
  </si>
  <si>
    <t>• Abu Dhabi: Credit guarantees and liquidity support to small- and medium-sized enterprises.</t>
  </si>
  <si>
    <t xml:space="preserve">• The government planned to extend soft loans (TK 50 bn). </t>
  </si>
  <si>
    <t>Additional spending and foregone revenue
in areas other than health</t>
  </si>
  <si>
    <t>Spending and revenue measures in the health sector</t>
  </si>
  <si>
    <t>• Farm Credit Canada will receive support from the government that will allow for an additional CAD5 bn in lending capacity to producers, agribusinesses, and food processors.</t>
  </si>
  <si>
    <t>• Canada Emergency Business Account program will provide up to CAD25 bn in funds and guarantees for eligible financial institutions to provide interest-free loans to small businesses. 
• SME Loan and Guarantee program will guarantee up to CAD40 bn in lending, supported through Export Development Canada and Business Development Bank.</t>
  </si>
  <si>
    <r>
      <rPr>
        <b/>
        <sz val="10"/>
        <color theme="1"/>
        <rFont val="Arial"/>
        <family val="2"/>
      </rPr>
      <t>Deferred revenue (CAD85 bn)</t>
    </r>
    <r>
      <rPr>
        <sz val="10"/>
        <color theme="1"/>
        <rFont val="Arial"/>
        <family val="2"/>
      </rPr>
      <t>: Liquidity support through temporary interest-free tax deferrals for businesses and self employed, amounting to CAD55 bn in deferred income taxes and CAD30 bn in deferred GST/HST and customs duties for imports.</t>
    </r>
  </si>
  <si>
    <t xml:space="preserve">• Government to provide the Australian Office of Financial Management with an investment capacity (AUD15 bn) to invest in structured finance markets used by smaller lenders. </t>
  </si>
  <si>
    <t>• Under a Coronavirus SME Guarantee Scheme, government to guarantee 50 percent of loans (up to AUD40 bn) offered by local lenders to SMEs.</t>
  </si>
  <si>
    <r>
      <rPr>
        <b/>
        <sz val="10"/>
        <rFont val="Arial"/>
        <family val="2"/>
      </rPr>
      <t xml:space="preserve">Additional spending (AUD188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</si>
  <si>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(CAD105 bn): </t>
    </r>
    <r>
      <rPr>
        <sz val="10"/>
        <color theme="1"/>
        <rFont val="Arial"/>
        <family val="2"/>
      </rPr>
      <t xml:space="preserve">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t>
    </r>
  </si>
  <si>
    <r>
      <rPr>
        <b/>
        <sz val="10"/>
        <rFont val="Arial"/>
        <family val="2"/>
      </rPr>
      <t xml:space="preserve">Additional spending (€11 bn): </t>
    </r>
    <r>
      <rPr>
        <sz val="10"/>
        <rFont val="Arial"/>
        <family val="2"/>
      </rPr>
      <t xml:space="preserve">Subsidies for wages of workers under the reduced-hour scheme  and direct financial support to affected SMEs and independent workers. 
</t>
    </r>
    <r>
      <rPr>
        <b/>
        <sz val="10"/>
        <rFont val="Arial"/>
        <family val="2"/>
      </rPr>
      <t xml:space="preserve">
</t>
    </r>
  </si>
  <si>
    <t>Accelerated spending and deferred revenue in areas other than health</t>
  </si>
  <si>
    <r>
      <rPr>
        <b/>
        <sz val="10"/>
        <rFont val="Arial"/>
        <family val="2"/>
      </rPr>
      <t>Accelerated spending:</t>
    </r>
    <r>
      <rPr>
        <sz val="10"/>
        <rFont val="Arial"/>
        <family val="2"/>
      </rPr>
      <t xml:space="preserve"> advance refund of tax credits (e.g. CIT and VAT).
</t>
    </r>
    <r>
      <rPr>
        <b/>
        <sz val="10"/>
        <rFont val="Arial"/>
        <family val="2"/>
      </rPr>
      <t xml:space="preserve">Deferred revenue: </t>
    </r>
    <r>
      <rPr>
        <sz val="10"/>
        <rFont val="Arial"/>
        <family val="2"/>
      </rPr>
      <t>Liquidity support through postponement of social security contributions and tax payment for companies, and rent and utility payments for affected SMEs.</t>
    </r>
  </si>
  <si>
    <r>
      <rPr>
        <b/>
        <sz val="10"/>
        <color theme="1"/>
        <rFont val="Arial"/>
        <family val="2"/>
      </rPr>
      <t>Deferred revenue</t>
    </r>
    <r>
      <rPr>
        <sz val="10"/>
        <color theme="1"/>
        <rFont val="Arial"/>
        <family val="2"/>
      </rPr>
      <t>: including options for deferring tax payments and reducing prepayments until the year-end without penalties.</t>
    </r>
  </si>
  <si>
    <t>Euro Area and the EU</t>
  </si>
  <si>
    <r>
      <rPr>
        <b/>
        <sz val="10"/>
        <color theme="1"/>
        <rFont val="Arial"/>
        <family val="2"/>
      </rPr>
      <t xml:space="preserve">Additional spending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</si>
  <si>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 xml:space="preserve">Additional spending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</si>
  <si>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rPr>
        <b/>
        <sz val="10"/>
        <rFont val="Arial"/>
        <family val="2"/>
      </rPr>
      <t xml:space="preserve">Additional spending (€16.7 bn): </t>
    </r>
    <r>
      <rPr>
        <sz val="10"/>
        <rFont val="Arial"/>
        <family val="2"/>
      </rPr>
      <t xml:space="preserve">including Income support to laid-off workers and the self-employed by broadening the wage supplementation fund (€10.3). </t>
    </r>
  </si>
  <si>
    <r>
      <rPr>
        <b/>
        <sz val="10"/>
        <rFont val="Arial"/>
        <family val="2"/>
      </rPr>
      <t>Deferred revenue:</t>
    </r>
    <r>
      <rPr>
        <sz val="10"/>
        <rFont val="Arial"/>
        <family val="2"/>
      </rPr>
      <t xml:space="preserve"> including postponement of certain tax and social security payments for SMEs, as well as taxes and utility bill payments in most affected municipalities. </t>
    </r>
  </si>
  <si>
    <r>
      <rPr>
        <b/>
        <sz val="10"/>
        <color theme="1"/>
        <rFont val="Arial"/>
        <family val="2"/>
      </rPr>
      <t>Deferred revenue:</t>
    </r>
    <r>
      <rPr>
        <sz val="10"/>
        <color theme="1"/>
        <rFont val="Arial"/>
        <family val="2"/>
      </rPr>
      <t xml:space="preserve"> Deferral of payment of taxes and social security premiums by affected firms and households for one year.</t>
    </r>
  </si>
  <si>
    <r>
      <rPr>
        <b/>
        <sz val="10"/>
        <color theme="1"/>
        <rFont val="Arial"/>
        <family val="2"/>
      </rPr>
      <t>Health spending (AUD3.6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</si>
  <si>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Health spending (CAD3.2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</si>
  <si>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Health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</si>
  <si>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Health spending (€5.5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</si>
  <si>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(€3.2 bn): </t>
    </r>
    <r>
      <rPr>
        <sz val="10"/>
        <color theme="1"/>
        <rFont val="Arial"/>
        <family val="2"/>
      </rPr>
      <t>including on medical equipment and staff, as well as civil protection.</t>
    </r>
  </si>
  <si>
    <r>
      <rPr>
        <b/>
        <sz val="10"/>
        <color theme="1"/>
        <rFont val="Arial"/>
        <family val="2"/>
      </rPr>
      <t xml:space="preserve">Health spending (€11.2 bn): </t>
    </r>
    <r>
      <rPr>
        <sz val="10"/>
        <color theme="1"/>
        <rFont val="Arial"/>
        <family val="2"/>
      </rPr>
      <t xml:space="preserve"> on hospital capacity, medical equipment, research, and information campaigns. </t>
    </r>
  </si>
  <si>
    <r>
      <rPr>
        <b/>
        <sz val="10"/>
        <color theme="1"/>
        <rFont val="Arial"/>
        <family val="2"/>
      </rPr>
      <t>Health spending:</t>
    </r>
    <r>
      <rPr>
        <sz val="10"/>
        <color theme="1"/>
        <rFont val="Arial"/>
        <family val="2"/>
      </rPr>
      <t xml:space="preserve">
• Transfers to local governments which could be spent on COVID-19 related measures (JPY 1.1 tn)
• Production, procurement and distribution of critical equipment such as masks and ventilators (JPY 0.2 tn)
• Other health-related measures (Support for development of vaccines, etc.)</t>
    </r>
  </si>
  <si>
    <r>
      <rPr>
        <b/>
        <sz val="10"/>
        <color theme="1"/>
        <rFont val="Arial"/>
        <family val="2"/>
      </rPr>
      <t xml:space="preserve">Health spending (KRW 3 tn): </t>
    </r>
    <r>
      <rPr>
        <sz val="10"/>
        <color theme="1"/>
        <rFont val="Arial"/>
        <family val="2"/>
      </rPr>
      <t>Epidemic prevention and treatment, support for medical institutions and quarantined households.</t>
    </r>
  </si>
  <si>
    <r>
      <rPr>
        <b/>
        <sz val="10"/>
        <color theme="1"/>
        <rFont val="Arial"/>
        <family val="2"/>
      </rPr>
      <t xml:space="preserve">Health spending </t>
    </r>
    <r>
      <rPr>
        <sz val="10"/>
        <color theme="1"/>
        <rFont val="Arial"/>
        <family val="2"/>
      </rPr>
      <t>(€3.9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</si>
  <si>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Health spending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</si>
  <si>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Additional spending:</t>
    </r>
    <r>
      <rPr>
        <sz val="10"/>
        <color theme="1"/>
        <rFont val="Arial"/>
        <family val="2"/>
      </rPr>
      <t xml:space="preserve">
• Cash handout to affected households (JPY 300,000 per eligible household) (JPY 4.0 tn).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</si>
  <si>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(KRW 23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2.8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</si>
  <si>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r>
      <rPr>
        <b/>
        <sz val="10"/>
        <color theme="1"/>
        <rFont val="Arial"/>
        <family val="2"/>
      </rPr>
      <t>Deferred revenue</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</si>
  <si>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</si>
  <si>
    <r>
      <rPr>
        <b/>
        <sz val="10"/>
        <color theme="1"/>
        <rFont val="Arial"/>
        <family val="2"/>
      </rPr>
      <t>Deferred revenue (€14 bn)</t>
    </r>
    <r>
      <rPr>
        <sz val="10"/>
        <color theme="1"/>
        <rFont val="Arial"/>
        <family val="2"/>
      </rPr>
      <t>: deferral of tax payments for small and medium enterprises and self-employed for six months .</t>
    </r>
  </si>
  <si>
    <r>
      <rPr>
        <b/>
        <sz val="10"/>
        <color theme="1"/>
        <rFont val="Arial"/>
        <family val="2"/>
      </rPr>
      <t xml:space="preserve">Additional spending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
</t>
    </r>
  </si>
  <si>
    <r>
      <rPr>
        <b/>
        <sz val="10"/>
        <color theme="1"/>
        <rFont val="Arial"/>
        <family val="2"/>
      </rPr>
      <t>Deferred revenue</t>
    </r>
    <r>
      <rPr>
        <sz val="10"/>
        <color theme="1"/>
        <rFont val="Arial"/>
        <family val="2"/>
      </rPr>
      <t>: Liquidity support, including deferral of income tax for the self employed and VAT payments; Time to Pay arrangements  (tax debt restructuring) for businesses and individuals.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</si>
  <si>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</si>
  <si>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Deferred revenue</t>
    </r>
    <r>
      <rPr>
        <sz val="10"/>
        <color theme="1"/>
        <rFont val="Arial"/>
        <family val="2"/>
      </rPr>
      <t xml:space="preserve">: 
• IRS extended income tax filing deadline by 90 days; employers' payroll taxes are delayed to 2021 and 2022. </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</si>
  <si>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($250 bn); transfers to state and local governments ($150 bn), FEMA disaster relief ($45 bn), food assistance ($24 bn), education funding ($30 bn), and transit funding ($25 bn).
</t>
    </r>
    <r>
      <rPr>
        <b/>
        <sz val="10"/>
        <color theme="1"/>
        <rFont val="Arial"/>
        <family val="2"/>
      </rPr>
      <t xml:space="preserve">Foregone revenue: </t>
    </r>
    <r>
      <rPr>
        <sz val="10"/>
        <color theme="1"/>
        <rFont val="Arial"/>
        <family val="2"/>
      </rPr>
      <t xml:space="preserve">
• Tax rebates ($250 bn) of $1,200 for singles/$2,400 for married couples filing jointly and $500 per qualifying child, employee retention tax credit ($50 bn).
</t>
    </r>
  </si>
  <si>
    <r>
      <rPr>
        <b/>
        <sz val="10"/>
        <color theme="1"/>
        <rFont val="Arial"/>
        <family val="2"/>
      </rPr>
      <t>Health spending:</t>
    </r>
    <r>
      <rPr>
        <sz val="10"/>
        <color theme="1"/>
        <rFont val="Arial"/>
        <family val="2"/>
      </rPr>
      <t xml:space="preserve">
• Budget increase for Health Ministry, including for improvements in virus diagnostics, purchases of hospital equipment; and construction of temporary emergency treatment centers.</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</si>
  <si>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r>
      <rPr>
        <b/>
        <sz val="10"/>
        <rFont val="Arial"/>
        <family val="2"/>
      </rPr>
      <t xml:space="preserve">
</t>
    </r>
  </si>
  <si>
    <r>
      <rPr>
        <b/>
        <sz val="10"/>
        <rFont val="Arial"/>
        <family val="2"/>
      </rPr>
      <t>Deferred revenue</t>
    </r>
    <r>
      <rPr>
        <sz val="10"/>
        <rFont val="Arial"/>
        <family val="2"/>
      </rPr>
      <t>:
• Extension of the grace period of repayment of loans granted by the Social Security to retirees and beneficiaries of non-contributory pensions.</t>
    </r>
  </si>
  <si>
    <r>
      <rPr>
        <b/>
        <sz val="10"/>
        <color theme="1"/>
        <rFont val="Arial"/>
        <family val="2"/>
      </rPr>
      <t>Health spending:</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</si>
  <si>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Additional spending:
</t>
    </r>
    <r>
      <rPr>
        <sz val="10"/>
        <color theme="1"/>
        <rFont val="Arial"/>
        <family val="2"/>
      </rPr>
      <t>•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t>
    </r>
  </si>
  <si>
    <r>
      <rPr>
        <b/>
        <sz val="10"/>
        <color theme="1"/>
        <rFont val="Arial"/>
        <family val="2"/>
      </rPr>
      <t>Deferred revenue</t>
    </r>
    <r>
      <rPr>
        <sz val="10"/>
        <color theme="1"/>
        <rFont val="Arial"/>
        <family val="2"/>
      </rPr>
      <t>: Payment of employers’ contributions to the FGTS and small business taxes will be postponed by 3 months. Small businesses will also be given a temporary reduction in non FGTS type of employer contributions. These measures will add up to 0.8 percent of GDP.</t>
    </r>
  </si>
  <si>
    <r>
      <rPr>
        <b/>
        <sz val="10"/>
        <color theme="1"/>
        <rFont val="Arial"/>
        <family val="2"/>
      </rPr>
      <t>Health spending:</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</si>
  <si>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rFont val="Arial"/>
        <family val="2"/>
      </rPr>
      <t xml:space="preserve">Additional spending:
</t>
    </r>
    <r>
      <rPr>
        <sz val="10"/>
        <rFont val="Arial"/>
        <family val="2"/>
      </rPr>
      <t>• Front-loaded government spending possibly on infrastructure and through issuance of special local government bonds. 
• A refund of 2019 unemployment insurance premiums for companies that minimize layoffs.</t>
    </r>
    <r>
      <rPr>
        <b/>
        <sz val="10"/>
        <rFont val="Arial"/>
        <family val="2"/>
      </rPr>
      <t xml:space="preserve">
Foregone revenue: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t>
    </r>
  </si>
  <si>
    <r>
      <rPr>
        <b/>
        <sz val="10"/>
        <rFont val="Arial"/>
        <family val="2"/>
      </rPr>
      <t>Deferred revenue</t>
    </r>
    <r>
      <rPr>
        <sz val="10"/>
        <rFont val="Arial"/>
        <family val="2"/>
      </rPr>
      <t>: Firms are also allowed to defer their social security payments by 6 months, and the due date for contributing to the “housing provident fund” is extended to end-June.</t>
    </r>
  </si>
  <si>
    <r>
      <rPr>
        <b/>
        <sz val="10"/>
        <color theme="1"/>
        <rFont val="Arial"/>
        <family val="2"/>
      </rPr>
      <t>Health spending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</si>
  <si>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</si>
  <si>
    <r>
      <rPr>
        <b/>
        <sz val="10"/>
        <rFont val="Arial"/>
        <family val="2"/>
      </rPr>
      <t>Deferred revenue</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t>
    </r>
  </si>
  <si>
    <r>
      <rPr>
        <b/>
        <sz val="10"/>
        <color theme="1"/>
        <rFont val="Arial"/>
        <family val="2"/>
      </rPr>
      <t>Health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IDR75 tn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</si>
  <si>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Additional spending:</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</si>
  <si>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Health spending</t>
    </r>
    <r>
      <rPr>
        <sz val="10"/>
        <color theme="1"/>
        <rFont val="Arial"/>
        <family val="2"/>
      </rPr>
      <t>: Set-up a Health Emergency Fund to request additional resources from Congress, that could reach up to 180 bn pesos (0.7 percent of 2019 GDP).</t>
    </r>
  </si>
  <si>
    <r>
      <rPr>
        <b/>
        <sz val="10"/>
        <rFont val="Arial"/>
        <family val="2"/>
      </rPr>
      <t>Accelerated spending:</t>
    </r>
    <r>
      <rPr>
        <sz val="10"/>
        <rFont val="Arial"/>
        <family val="2"/>
      </rPr>
      <t xml:space="preserve">
· Social pension and disability payments have been frontloaded by four months.
· Procurement processes and VAT refunds are to be accelerated.</t>
    </r>
  </si>
  <si>
    <r>
      <rPr>
        <b/>
        <sz val="10"/>
        <color theme="1"/>
        <rFont val="Arial"/>
        <family val="2"/>
      </rPr>
      <t>Health spending:</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</si>
  <si>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r>
      <rPr>
        <b/>
        <sz val="10"/>
        <color theme="1"/>
        <rFont val="Arial"/>
        <family val="2"/>
      </rPr>
      <t xml:space="preserve">Additional spending: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Foregone revenue: 
</t>
    </r>
    <r>
      <rPr>
        <sz val="10"/>
        <color theme="1"/>
        <rFont val="Arial"/>
        <family val="2"/>
      </rPr>
      <t xml:space="preserve">• Social contributions on wages in excess of the minimum wage by SMEs reduced from 30 to 15 percent, permanently.  
• Tourism companies not to pay contributions to the tourist sector reserve fund.
</t>
    </r>
  </si>
  <si>
    <r>
      <rPr>
        <b/>
        <sz val="10"/>
        <color theme="1"/>
        <rFont val="Arial"/>
        <family val="2"/>
      </rPr>
      <t>Deferred revenue</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</si>
  <si>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color theme="1"/>
        <rFont val="Arial"/>
        <family val="2"/>
      </rPr>
      <t xml:space="preserve">Health spending: </t>
    </r>
    <r>
      <rPr>
        <sz val="10"/>
        <color theme="1"/>
        <rFont val="Arial"/>
        <family val="2"/>
      </rPr>
      <t xml:space="preserve">
• Budget reallocation within the Ministry of Health budget for emergency spending to fight COVID19.</t>
    </r>
  </si>
  <si>
    <r>
      <rPr>
        <b/>
        <sz val="10"/>
        <color theme="1"/>
        <rFont val="Arial"/>
        <family val="2"/>
      </rPr>
      <t xml:space="preserve">Additional spending: </t>
    </r>
    <r>
      <rPr>
        <sz val="10"/>
        <color theme="1"/>
        <rFont val="Arial"/>
        <family val="2"/>
      </rPr>
      <t xml:space="preserve">reallocated from lower priority areas (SAR 50 bn, 1.9 percent of GDP) to be spent on </t>
    </r>
    <r>
      <rPr>
        <sz val="10"/>
        <color rgb="FFFF0000"/>
        <rFont val="Arial"/>
        <family val="2"/>
      </rPr>
      <t>X</t>
    </r>
    <r>
      <rPr>
        <sz val="10"/>
        <color theme="1"/>
        <rFont val="Arial"/>
        <family val="2"/>
      </rPr>
      <t xml:space="preserve">.
</t>
    </r>
  </si>
  <si>
    <r>
      <rPr>
        <b/>
        <sz val="10"/>
        <color theme="1"/>
        <rFont val="Arial"/>
        <family val="2"/>
      </rPr>
      <t>Deferred revenue</t>
    </r>
    <r>
      <rPr>
        <sz val="10"/>
        <color theme="1"/>
        <rFont val="Arial"/>
        <family val="2"/>
      </rPr>
      <t>:
• SAR 48bn for deferred declaration &amp; payment of taxes for 3 months, waiver of customs duties (30 days to 3 months), waiver of expat fees for 3 months; and  waiver of municipal fees on companies for 3 months.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</si>
  <si>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t>
    </r>
    <r>
      <rPr>
        <b/>
        <sz val="10"/>
        <rFont val="Arial"/>
        <family val="2"/>
      </rPr>
      <t xml:space="preserve">
Foregone revenue: </t>
    </r>
    <r>
      <rPr>
        <sz val="10"/>
        <rFont val="Arial"/>
        <family val="2"/>
      </rPr>
      <t>Tax subsidy of up to R500 per month for the next four months for those private sector employees earning below R6,500 under the Employment Tax Incentive.</t>
    </r>
  </si>
  <si>
    <r>
      <rPr>
        <b/>
        <sz val="10"/>
        <rFont val="Arial"/>
        <family val="2"/>
      </rPr>
      <t>Deferred revenue</t>
    </r>
    <r>
      <rPr>
        <sz val="10"/>
        <rFont val="Arial"/>
        <family val="2"/>
      </rPr>
      <t>: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</si>
  <si>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t>
    </r>
    <r>
      <rPr>
        <b/>
        <sz val="10"/>
        <rFont val="Arial"/>
        <family val="2"/>
      </rPr>
      <t xml:space="preserve">
Foregone revenue: 
</t>
    </r>
    <r>
      <rPr>
        <sz val="10"/>
        <rFont val="Arial"/>
        <family val="2"/>
      </rPr>
      <t>• Reduced taxes for affected industries (particularly tourism).</t>
    </r>
  </si>
  <si>
    <r>
      <rPr>
        <b/>
        <sz val="10"/>
        <rFont val="Arial"/>
        <family val="2"/>
      </rPr>
      <t xml:space="preserve">Deferred revenue: </t>
    </r>
    <r>
      <rPr>
        <sz val="10"/>
        <rFont val="Arial"/>
        <family val="2"/>
      </rPr>
      <t xml:space="preserve">
• Postponed taxes for affected industries (particularly tourism); and extension of personal and corporate income tax filing deadlines.</t>
    </r>
  </si>
  <si>
    <t>Equity injections, asset purchases, loans, debt assumptions, including through extra-budgetary funds</t>
  </si>
  <si>
    <t>Explicit contingent liabilities, including guarantees on loans</t>
  </si>
  <si>
    <t>Implicit contingent liabilities, including quasi-fiscal operations</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</si>
  <si>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$245 bn.</t>
    </r>
  </si>
  <si>
    <r>
      <t xml:space="preserve">• </t>
    </r>
    <r>
      <rPr>
        <sz val="10"/>
        <color theme="1"/>
        <rFont val="Arial"/>
        <family val="2"/>
      </rPr>
      <t xml:space="preserve">The government boosted special financing and guarantees primarily for micro, small and medium-sized business operators affected by COVID-19 through the Japan Finance Corporation and other institutions (JPY 45 tn).
</t>
    </r>
    <r>
      <rPr>
        <sz val="10"/>
        <color rgb="FFFF0000"/>
        <rFont val="Arial"/>
        <family val="2"/>
      </rPr>
      <t>• Other off-budget operations using the Development Bank of Japan and other agencies (primarily for infrastructure projects in the post-containment phase) (JPY 8 tn)</t>
    </r>
  </si>
  <si>
    <r>
      <t xml:space="preserve">• Small- and medium-scale enterprises (SMEs) could receive up to 25 bn pesos (0.1 percent of GDP) in loans.
</t>
    </r>
    <r>
      <rPr>
        <sz val="10"/>
        <color rgb="FFFF0000"/>
        <rFont val="Arial"/>
        <family val="2"/>
      </rPr>
      <t>• Development banks could provide liquidity support of about 0.2 percent of GDP</t>
    </r>
  </si>
  <si>
    <r>
      <t xml:space="preserve">• Subsidized and guaranteed loans for SMEs, retailers, and distributors. 
• Government loans to assist debt restructuring by regions (RUB 70 bn). 
• Recapitalization of leasing firms due to potential problems of their clients in the transportation sector. 
</t>
    </r>
    <r>
      <rPr>
        <sz val="10"/>
        <color rgb="FFFF0000"/>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</si>
  <si>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rgb="FFFF0000"/>
        <rFont val="Arial"/>
        <family val="2"/>
      </rPr>
      <t>• Industrial funding package to fast-track financing for companies including those that are critical in the fight against Covid-19 provided by the Industrial Development Corporation (IDC).</t>
    </r>
  </si>
  <si>
    <t>Total off-budget</t>
  </si>
  <si>
    <t>Additional fiscal measures since April 8</t>
  </si>
  <si>
    <t>Current</t>
  </si>
  <si>
    <t>Additional</t>
  </si>
  <si>
    <t xml:space="preserve">New measures for SMEs. </t>
  </si>
  <si>
    <t xml:space="preserve">Additional measures of 2 percent of GDP but netting out the tax deferrals (5 percent of GDP). </t>
  </si>
  <si>
    <t xml:space="preserve">Mexico </t>
  </si>
  <si>
    <t xml:space="preserve">New package that is estimated to be 2.5 percent of GDP relative to 0.8 previously announced. </t>
  </si>
  <si>
    <t xml:space="preserve">US </t>
  </si>
  <si>
    <t>Treasury backstop of Fed's liquidity measures</t>
  </si>
  <si>
    <t>Senate new package</t>
  </si>
  <si>
    <t>Subtotal</t>
  </si>
  <si>
    <t>European Union</t>
  </si>
  <si>
    <t>The first pillar €240 billion of loans to euro area governments from the ESM under a new, conditionality-light facility to support healthcare costs.</t>
  </si>
  <si>
    <t>The second pillar is €100 billion of loans to EU governments to protect jobs</t>
  </si>
  <si>
    <t>A third pillar is €200 billion of guarantees to viable EU firms from the European Investment Bank.</t>
  </si>
  <si>
    <t>Total if including EU</t>
  </si>
  <si>
    <t>New spending measures 25 bn euro and liquidity 3bn euro since April 8 (latest survey)</t>
  </si>
  <si>
    <t xml:space="preserve">New measures of spending 17bn and liquidity 20bn euro (memo but partly reflected in Apr 8 numbers). </t>
  </si>
  <si>
    <t>USD Billion</t>
  </si>
  <si>
    <t>Sum of Total Health and Non-Health Cost: Desk Input</t>
  </si>
  <si>
    <t>Sum of Health Sector Total Expense</t>
  </si>
  <si>
    <t>Sum of Total Below-the-line</t>
  </si>
  <si>
    <t>Sum of Total Guarantee</t>
  </si>
  <si>
    <t>country for lookup</t>
  </si>
  <si>
    <t>Special Feature</t>
  </si>
  <si>
    <t>ABL: Total Health + Non-health</t>
  </si>
  <si>
    <t>ABL: Health</t>
  </si>
  <si>
    <t>Below-the-line</t>
  </si>
  <si>
    <t>Guarantee</t>
  </si>
  <si>
    <t>Survey (04/24)</t>
  </si>
  <si>
    <t>Difference (SF - Survey)</t>
  </si>
  <si>
    <t>Survey (04/08)</t>
  </si>
  <si>
    <t>Difference</t>
  </si>
  <si>
    <t/>
  </si>
  <si>
    <t>Korea, Republic of</t>
  </si>
  <si>
    <t>China, P.R.: Mainland</t>
  </si>
  <si>
    <t>Russian Federation</t>
  </si>
  <si>
    <t>Percent of GDP</t>
  </si>
  <si>
    <t>Average of Total Health and Non-Health Cost: Desk Input</t>
  </si>
  <si>
    <t>Average of Health Sector Total Expense</t>
  </si>
  <si>
    <t>Average of Total Below-the-line</t>
  </si>
  <si>
    <t>Average of Total Guarantee</t>
  </si>
  <si>
    <t>Have large difference when both have numbers (&gt;1% of GDP)</t>
  </si>
  <si>
    <t>Have numbers in SF, but not in Survey</t>
  </si>
  <si>
    <t>Have  numbers in Survey, but not in SF</t>
  </si>
  <si>
    <t>The Special Feature Online Annex summarizes key fiscal measures governments have announced or taken in selected economies in response to the COVID-19 pandemic from January 1 to April 26,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</si>
  <si>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26 2020)</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</si>
  <si>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$212 bn.</t>
    </r>
  </si>
  <si>
    <t>• The third fiscal package includes IDR 150 tn (0.9 percent of GDP) financing for a national economic program.</t>
  </si>
  <si>
    <t>The Treasury will guarantee up to 200 billion rand in loans where also the banks are taking part of the risk to help businesses below a certain turnover threshold pay operating expenses including salaries, suppliers etc.</t>
  </si>
  <si>
    <t>• Government support for immediate cash flow needs of SMEs provides a loan guarantee arrangement between the Government and participating banks to cover the immediate cash flow needs of SMEs.</t>
  </si>
  <si>
    <t>REVISED</t>
  </si>
  <si>
    <r>
      <rPr>
        <b/>
        <sz val="10"/>
        <color theme="1"/>
        <rFont val="Arial"/>
        <family val="2"/>
      </rPr>
      <t xml:space="preserve">Health spending (€8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</si>
  <si>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(CAD4 bn): </t>
    </r>
    <r>
      <rPr>
        <sz val="10"/>
        <color theme="1"/>
        <rFont val="Arial"/>
        <family val="2"/>
      </rPr>
      <t>Support to the health system including for increased testing, vaccine development, medical supplies, mitigation efforts; and greater support for Indigenous communities.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</si>
  <si>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Additiona spending for the protection of jobs and creation of jobs. 
</t>
    </r>
    <r>
      <rPr>
        <b/>
        <sz val="10"/>
        <rFont val="Arial"/>
        <family val="2"/>
      </rPr>
      <t xml:space="preserve">
Foregone revenue: 
</t>
    </r>
    <r>
      <rPr>
        <sz val="10"/>
        <rFont val="Arial"/>
        <family val="2"/>
      </rPr>
      <t>• Reduced taxes for affected industries (particularly tourism).</t>
    </r>
  </si>
  <si>
    <r>
      <rPr>
        <b/>
        <sz val="10"/>
        <rFont val="Arial"/>
        <family val="2"/>
      </rPr>
      <t>Deferred revenue</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
</t>
    </r>
    <r>
      <rPr>
        <sz val="10"/>
        <rFont val="Symbol"/>
        <family val="1"/>
        <charset val="2"/>
      </rPr>
      <t>·</t>
    </r>
    <r>
      <rPr>
        <sz val="6"/>
        <rFont val="Arial"/>
        <family val="2"/>
      </rPr>
      <t xml:space="preserve"> </t>
    </r>
    <r>
      <rPr>
        <sz val="10"/>
        <rFont val="Arial"/>
        <family val="2"/>
      </rPr>
      <t>Fast tracking of VAT refunds and 3 month delay in filing and payment of carbon tax. Increase turnover threshold for PAYE deferral to 100m from 50 m and amount that can be deferred to 35% from 20% for 4 months</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</si>
  <si>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theme="1"/>
        <rFont val="Arial"/>
        <family val="2"/>
      </rPr>
      <t>• Industrial funding package to fast-track financing for companies including those that are critical in the fight against Covid-19 provided by the Industrial Development Corporation (IDC).</t>
    </r>
  </si>
  <si>
    <t>A new and temporary EU unemployment reinsurance fund (SURE) that will provide up to €100 billion in loans on favorable terms to governments, in support of national unemployment and short-time work schemes. Guarantees are to be provided through the EU budget and directly by EU Member States, although the distribution has not been made clear.</t>
  </si>
  <si>
    <t>• The EU Council agreed on a new guarantee fund of €25 billion for the European Investment Bank, which is estimated to provide bank financing of around €200 billion to firms, particularly SMEs, across the EU. The guarantee fund comes on top of an earlier support package of up to €40 billion announced in March, and both packages are likely to be funded by voluntary contributions from Member States.</t>
  </si>
  <si>
    <t>For 483billion new package, the breakdown is broken down as follows, which are all included</t>
  </si>
  <si>
    <t>a. 75b: reimburse health care providers (above-the-line, health)</t>
  </si>
  <si>
    <t>b. 25b: test for COVID-19 (above-the-line, health)</t>
  </si>
  <si>
    <t>c. 62b: grant to small business (above-the-line)</t>
  </si>
  <si>
    <t xml:space="preserve">d. 321b: paycheck production  (below-the-line) </t>
  </si>
  <si>
    <t>-We see that for above-the-line health, there is a new item for Families First Coronavirus Response Act (Marth 16) for 59b. Was this included in the original 1395b in the earlier Survey results?  </t>
  </si>
  <si>
    <t>-For below-the-line measures: revised from 405 b to 776 b, should this be 823b?  In my earlier calculation, I added 321b to the original 405b, and forgot to count 50b in Economic Injury Disaster Loan Program. If adding 405+321+50= 823b. Also, is this 50b included in the 483b package? If so, the total of April 23 package will exceed 483b?</t>
  </si>
  <si>
    <t>-The Apr 11 memo mentions that  the Fed announced new measures to provide 2.3 trillion to support credit to corporations and S&amp;L governments, according to sec 13(3).  Is this already included in the original 454 b Treasury backstop in CARES Act, or coming from different source of funding</t>
  </si>
  <si>
    <t>a. loans are guaranteed by the SBA using funds allocated by CARES Act</t>
  </si>
  <si>
    <t>b. Two special purpose vehicles, with Treasury providing 75b as an equity backstop (what is the funding source?)</t>
  </si>
  <si>
    <t>c. PMCCF/SMCCF, with Treasury providing 75b as an equity backstop (the funding source is still Exchange Stabilization Fund?)</t>
  </si>
  <si>
    <t>Following up your previous email, my calculation should be updated</t>
  </si>
  <si>
    <t>   75 (healthcare reimbursement in Apr 23 package)</t>
  </si>
  <si>
    <t>+ 25 (tests in Apr 23 package)</t>
  </si>
  <si>
    <t>+ 59 (increase outlays in Medicare, Medicaid, etc. in Families First Coronavirus Response Act, Mar. 16)</t>
  </si>
  <si>
    <t>+ 18 (upward revision on extended unemployment insurance payment in CARES Act)</t>
  </si>
  <si>
    <t>+ 1 (upward revision on food assistance in CARES Act)</t>
  </si>
  <si>
    <t>+ 43 (upward revision on tax rebates in CARES Act)</t>
  </si>
  <si>
    <t>+ 8 (upward revision on employee retention tax credit in CARES Act)</t>
  </si>
  <si>
    <t>___________________________</t>
  </si>
  <si>
    <r>
      <t xml:space="preserve">+ </t>
    </r>
    <r>
      <rPr>
        <sz val="10"/>
        <color theme="1"/>
        <rFont val="Arial"/>
        <family val="2"/>
      </rPr>
      <t>12 (grants to small business in Apr 23 package)</t>
    </r>
  </si>
  <si>
    <t>For 483billion new package, the breakdown</t>
  </si>
  <si>
    <t>c. 12b: grant to small business (above-the-line)</t>
  </si>
  <si>
    <r>
      <t xml:space="preserve">d. 50b: </t>
    </r>
    <r>
      <rPr>
        <sz val="10"/>
        <color theme="1"/>
        <rFont val="ArialMT"/>
      </rPr>
      <t>Economic Injury Disaster Loan Program to assist small businesses (below-the-line)</t>
    </r>
  </si>
  <si>
    <r>
      <t xml:space="preserve">e. 321b: paycheck protection </t>
    </r>
    <r>
      <rPr>
        <sz val="10"/>
        <color theme="1"/>
        <rFont val="ArialMT"/>
      </rPr>
      <t>in forgivable Small Business Administration loans</t>
    </r>
    <r>
      <rPr>
        <sz val="10"/>
        <color theme="1"/>
        <rFont val="Arial"/>
        <family val="2"/>
      </rPr>
      <t xml:space="preserve">  (below-the-line) </t>
    </r>
  </si>
  <si>
    <r>
      <t>Above-the-line: 1395</t>
    </r>
    <r>
      <rPr>
        <sz val="10"/>
        <color theme="1"/>
        <rFont val="Wingdings"/>
        <charset val="2"/>
      </rPr>
      <t>à</t>
    </r>
    <r>
      <rPr>
        <sz val="10"/>
        <color theme="1"/>
        <rFont val="Arial"/>
        <family val="2"/>
      </rPr>
      <t xml:space="preserve"> 1636 (112b from 483 new package + 59b from the CBO’ update for cost estimate in Families First Coronavirus Response Act, Mar. 16  + 70 b from CBO’s update on the cost estimate for CARES Act—see the breakdown below)</t>
    </r>
  </si>
  <si>
    <r>
      <t>Below-the-line: 405</t>
    </r>
    <r>
      <rPr>
        <sz val="10"/>
        <color theme="1"/>
        <rFont val="Wingdings"/>
        <charset val="2"/>
      </rPr>
      <t>à</t>
    </r>
    <r>
      <rPr>
        <sz val="10"/>
        <color theme="1"/>
        <rFont val="Arial"/>
        <family val="2"/>
      </rPr>
      <t>776 (321 bn + 50 bn from 483 new measures)</t>
    </r>
  </si>
  <si>
    <t>321 + 50 + 112 =  483</t>
  </si>
  <si>
    <t>COB’s update on the CARES estimates</t>
  </si>
  <si>
    <t>• State guarantees for bank loans to companies (€300 bn) and credit reinsurance schemes (about 15 bn euros)</t>
  </si>
  <si>
    <r>
      <rPr>
        <b/>
        <sz val="10"/>
        <rFont val="Arial"/>
        <family val="2"/>
      </rPr>
      <t xml:space="preserve">Additional spending (€34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t>
    </r>
    <r>
      <rPr>
        <b/>
        <sz val="10"/>
        <rFont val="Arial"/>
        <family val="2"/>
      </rPr>
      <t xml:space="preserve">
</t>
    </r>
  </si>
  <si>
    <r>
      <rPr>
        <b/>
        <sz val="10"/>
        <rFont val="Arial"/>
        <family val="2"/>
      </rPr>
      <t xml:space="preserve">Additional spending (AUD190.8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(AUD14.5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</si>
  <si>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(CAD116 bn): </t>
    </r>
    <r>
      <rPr>
        <sz val="10"/>
        <color theme="1"/>
        <rFont val="Arial"/>
        <family val="2"/>
      </rPr>
      <t>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Enhancing Canada's Work-Sharing program to support employers and their employees who experience a downturn due to COVID-19, doubling the length of time can use Work-Share from 38 to 76 weeks.</t>
    </r>
  </si>
  <si>
    <r>
      <rPr>
        <b/>
        <sz val="10"/>
        <color theme="1"/>
        <rFont val="Arial"/>
        <family val="2"/>
      </rPr>
      <t xml:space="preserve">Health spending (€19 bn): </t>
    </r>
    <r>
      <rPr>
        <sz val="10"/>
        <color theme="1"/>
        <rFont val="Arial"/>
        <family val="2"/>
      </rPr>
      <t xml:space="preserve"> on hospital capacity, medical equipment, research, and information campaigns. </t>
    </r>
  </si>
  <si>
    <r>
      <rPr>
        <b/>
        <sz val="10"/>
        <color theme="1"/>
        <rFont val="Arial"/>
        <family val="2"/>
      </rPr>
      <t xml:space="preserve">Additional spending (€125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</si>
  <si>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t xml:space="preserve">• </t>
    </r>
    <r>
      <rPr>
        <sz val="10"/>
        <color theme="1"/>
        <rFont val="Arial"/>
        <family val="2"/>
      </rPr>
      <t>The government boosted special financing and guarantees primarily for micro, small and medium-sized business operators affected by COVID-19 through the Japan Finance Corporation and other institutions (JPY 45 tn).
• Other off-budget operations using the Development Bank of Japan and other agencies (primarily for infrastructure projects in the post-containment phase) (JPY 8 tn)</t>
    </r>
  </si>
  <si>
    <r>
      <rPr>
        <b/>
        <sz val="10"/>
        <color theme="1"/>
        <rFont val="Arial"/>
        <family val="2"/>
      </rPr>
      <t>Additional spending:</t>
    </r>
    <r>
      <rPr>
        <sz val="10"/>
        <color theme="1"/>
        <rFont val="Arial"/>
        <family val="2"/>
      </rPr>
      <t xml:space="preserve">
• Cash handout to individuals (JPY 100,000 per person) (JPY 12.9 trillion)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</si>
  <si>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t>
    </r>
  </si>
  <si>
    <r>
      <rPr>
        <b/>
        <sz val="10"/>
        <color theme="1"/>
        <rFont val="Arial"/>
        <family val="2"/>
      </rPr>
      <t>Health spending (£14.7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</si>
  <si>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 xml:space="preserve">Additional spending (£55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</si>
  <si>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Families First Coronavirus Response Act (March 16, 2020) includes health provisions that increase outlays in Medicare, Medicaid, and other programs with federal matching by an estimated $59 bn.
• Coronavirus Aid, Relief, and Economic Security Act (March 27, 2020) approved $100 bn for hospitals, $1.32 bn for community centers, $4.3 bn for the Center of Disease Control, and $27 bn for vaccine development.
• Paycheck Protection Program and Health Care Enhancement Act (April 23, 2020) includes $75 billion for hospitals and $25 billion for expanding testing.</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</si>
  <si>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($268 bn); transfers to state and local governments ($150 bn), FEMA disaster relief ($45 bn), food assistance ($25 bn), education funding ($30 bn), and transit funding ($25 bn).
• Paycheck Protection Program and Health Care Enhancement Act (April 23, 2020) includes $610  10 billion for the Small Business Administration's Economic Injuries program (grants) and $2 billion for the Small Business Administration's salaries and expenses.
</t>
    </r>
    <r>
      <rPr>
        <b/>
        <sz val="10"/>
        <color theme="1"/>
        <rFont val="Arial"/>
        <family val="2"/>
      </rPr>
      <t xml:space="preserve">Foregone revenue: </t>
    </r>
    <r>
      <rPr>
        <sz val="10"/>
        <color theme="1"/>
        <rFont val="Arial"/>
        <family val="2"/>
      </rPr>
      <t xml:space="preserve">
• Tax rebates ($293 bn) of $1,200 for singles/$2,400 for married couples filing jointly and $500 per qualifying child, employee retention tax credit ($58 bn).
</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</si>
  <si>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</si>
  <si>
    <r>
      <t xml:space="preserve">• Subsidized and guaranteed loans for SMEs, retailers, and distributors. 
• Government loans to assist debt restructuring by regions (RUB 200 bn). 
• Recapitalization of leasing firms due to potential problems of their clients in the transportation sector. 
</t>
    </r>
    <r>
      <rPr>
        <sz val="10"/>
        <color theme="1"/>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</si>
  <si>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rPr>
        <b/>
        <sz val="10"/>
        <rFont val="Arial"/>
        <family val="2"/>
      </rPr>
      <t>Additional spending (140 tn)</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(73 tn):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</si>
  <si>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t>The $1395bn (i.e., 1407 – 12) only pertained to the CARES Act (the table I sent you on 4/2 only included the CARES Act). I see now that the fiscal monitor annex meant to include the other packages (Coronavirus Preparedness and Response Supplemental Appropriations Act and Families First Coronavirus Response Act) as well. These two acts at the time were estimated to be worth $8.3bn and $83bn, which were not included.</t>
  </si>
  <si>
    <t>So compared to the published FM for above the line items:</t>
  </si>
  <si>
    <t>+ 8.3bn             Coronavirus Preparedness and Response Supplemental Appropriations Act</t>
  </si>
  <si>
    <t>+ 83bn             Families First Coronavirus Response Act</t>
  </si>
  <si>
    <t xml:space="preserve">+ 109bn            Cost of the Families First Coronavirus Response Act was updated to $191.9bn because one change in the law apparently had an impact on a few existing welfare programs thus increasing the budget impact. </t>
  </si>
  <si>
    <t>+ 112bn            Paycheck Protection Program and Health Care Enhancement Act (April 23, 2020) includes $75 for hospitals, $25 for testing, $10 in grants, $2 for SBA’s salaries and expenses.</t>
  </si>
  <si>
    <t>+ 18bn              Upward revision on extended unemployment insurance payment in CARES Act</t>
  </si>
  <si>
    <t>+ 1bn                Upward revision on food assistance in CARES Act</t>
  </si>
  <si>
    <t>+ 43bn              Upward revision on tax rebates in CARES Act</t>
  </si>
  <si>
    <t>+ 8bn                Upward revision on employee retention tax credit in CARES Act</t>
  </si>
  <si>
    <t>So what we have as above-the-line total (including all fiscal packages that have been passed so far and updates to previous estimates) should be $1,777bn.</t>
  </si>
  <si>
    <t>Desk responses</t>
  </si>
  <si>
    <r>
      <rPr>
        <b/>
        <sz val="10"/>
        <color theme="1"/>
        <rFont val="Arial"/>
        <family val="2"/>
      </rPr>
      <t xml:space="preserve">Health spending: </t>
    </r>
    <r>
      <rPr>
        <sz val="10"/>
        <color theme="1"/>
        <rFont val="Arial"/>
        <family val="2"/>
      </rPr>
      <t xml:space="preserve">in response to the COVID19 pandemic. </t>
    </r>
    <r>
      <rPr>
        <b/>
        <sz val="10"/>
        <color theme="1"/>
        <rFont val="Arial"/>
        <family val="2"/>
      </rPr>
      <t xml:space="preserve">
Revenue measures:</t>
    </r>
    <r>
      <rPr>
        <sz val="10"/>
        <color theme="1"/>
        <rFont val="Arial"/>
        <family val="2"/>
      </rPr>
      <t xml:space="preserve"> Tax exemptions for essential sanitary products during the pandemic (e.g. hand sanitizers).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</si>
  <si>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 Support municipal provision of essential services and additional grants for the most vulnerable families.</t>
    </r>
    <r>
      <rPr>
        <b/>
        <sz val="10"/>
        <rFont val="Arial"/>
        <family val="2"/>
      </rPr>
      <t xml:space="preserve">
Foregone revenue: 
</t>
    </r>
    <r>
      <rPr>
        <sz val="10"/>
        <rFont val="Arial"/>
        <family val="2"/>
      </rPr>
      <t xml:space="preserve">Tax subsidy of up to R500 per month for the next four months for those private sector employees earning below R6,500 under the Employment Tax Incentive. 
4 months tax holiday for payment of skills development levy (estimated relief based on projected annual collection). 
Additional tax deduction for Solidarity Fund contributors (10 percent additional deduction from their taxable income for taxpayers that contribute to the Solidarity fund)
</t>
    </r>
  </si>
  <si>
    <r>
      <rPr>
        <b/>
        <sz val="10"/>
        <color theme="1"/>
        <rFont val="Arial"/>
        <family val="2"/>
      </rPr>
      <t>Deferred revenue (KRW 12.2 tn)</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</si>
  <si>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t>• No-guarantee measures by the Financial Services Commission announced Feb 28, 2020 mostly for SMEs (KRW 79 tn).
• Ministry of Economy and Finance (MoEF) announced loan for venture capital and SME on April 8, 2020 (KRW 2 tn)
• MoEF announced financial support on April 22, 2020 for 1) key industries (KRW 40 tr) and 2) other businesses affected (KRW 35 tn)</t>
  </si>
  <si>
    <t>• Guarantee measures by Financial Services Commission announced Feb 28, 2020, including 
- special guarantee and small merchants (KRW 5.5 tn), 
- guarantee for small businesses (KRW 3 tn),
- guarantee for SMEs and middle market enterprises with unfavorable credit history (KRW 7.9 tn),
- Korea Credit Guarantee Fund (KODIT) supports the issuance of corporate bonds through primary collateralized obligation (KRW 4.1 tn).
• Guarantee measures announced by MoEF on April 8, 2020 to provide guarantee and insurance support for exporters (KRW 6 tn)</t>
  </si>
  <si>
    <r>
      <rPr>
        <b/>
        <sz val="10"/>
        <color theme="1"/>
        <rFont val="Arial"/>
        <family val="2"/>
      </rPr>
      <t xml:space="preserve">Additional Spending (KRW 36 tn):
</t>
    </r>
    <r>
      <rPr>
        <sz val="10"/>
        <color theme="1"/>
        <rFont val="Arial"/>
        <family val="2"/>
      </rPr>
      <t>• Support for househol</t>
    </r>
    <r>
      <rPr>
        <sz val="10"/>
        <rFont val="Arial"/>
        <family val="2"/>
      </rPr>
      <t>ds, including employment retention support</t>
    </r>
    <r>
      <rPr>
        <sz val="10"/>
        <color theme="1"/>
        <rFont val="Arial"/>
        <family val="2"/>
      </rPr>
      <t>, consumption coupons for the poor, emergency family care support, and cash transfers to bottom 70% of households.
•</t>
    </r>
    <r>
      <rPr>
        <sz val="10"/>
        <rFont val="Arial"/>
        <family val="2"/>
      </rPr>
      <t xml:space="preserve"> Wage subsidies and unemployment benefits to those who are not covered by UI.</t>
    </r>
    <r>
      <rPr>
        <sz val="10"/>
        <color theme="1"/>
        <rFont val="Arial"/>
        <family val="2"/>
      </rPr>
      <t xml:space="preserve">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4.5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</si>
  <si>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t>Czech republic</t>
  </si>
  <si>
    <t>Czech Republic</t>
  </si>
  <si>
    <t>Additional spending and forgone revenue in the health sector</t>
  </si>
  <si>
    <t>Additional spending and forgone revenue
in areas other than health</t>
  </si>
  <si>
    <t>• The authorities announced potential direct equity support in strategic companies (around €21 bn).</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</si>
  <si>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</si>
  <si>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Belgium</t>
  </si>
  <si>
    <t>Ethiopia</t>
  </si>
  <si>
    <t>Georgia</t>
  </si>
  <si>
    <t>Ghana</t>
  </si>
  <si>
    <t xml:space="preserve">Guinea Bissau </t>
  </si>
  <si>
    <t>Kenya</t>
  </si>
  <si>
    <t>New Zealand</t>
  </si>
  <si>
    <t>Pakistan</t>
  </si>
  <si>
    <t>Peru</t>
  </si>
  <si>
    <t>Philippines</t>
  </si>
  <si>
    <t>Romania</t>
  </si>
  <si>
    <t>Switzerland</t>
  </si>
  <si>
    <t>Thailand</t>
  </si>
  <si>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</si>
  <si>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r>
      <rPr>
        <b/>
        <sz val="10"/>
        <rFont val="Arial"/>
        <family val="2"/>
      </rPr>
      <t>Additional spending (AUD 5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</si>
  <si>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Additional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</si>
  <si>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Additional spending (€8 bn): </t>
    </r>
    <r>
      <rPr>
        <sz val="10"/>
        <color theme="1"/>
        <rFont val="Arial"/>
        <family val="2"/>
      </rPr>
      <t>Support for streamlining and boosting health insurance (paid sick leave) for the sick or their caregivers, higher spending on health supplies; bonuses for health workers.</t>
    </r>
  </si>
  <si>
    <r>
      <rPr>
        <b/>
        <sz val="10"/>
        <color theme="1"/>
        <rFont val="Arial"/>
        <family val="2"/>
      </rPr>
      <t>Additional spending (€4.3 bn):</t>
    </r>
    <r>
      <rPr>
        <sz val="10"/>
        <color theme="1"/>
        <rFont val="Arial"/>
        <family val="2"/>
      </rPr>
      <t xml:space="preserve">
• Budget support from the contingency fund to the Ministry of Health (€1.4 bn); advance transfer to the regions for health services (€2.9 bn); additional funding for research related to the development of drugs and vaccines (€0.05 bn).
• An emergency management process for the procurement of all goods and services needed by the public sector to implement any measure to address the pandemic.</t>
    </r>
  </si>
  <si>
    <t>• A loan guarantee scheme for firms with a turnover of between NZ$250 thousand and NZ$80 million per annum, with the Government carrying 80% of the credit risk. The loans will be limited to NZ$500 thousand for a maximum of three years and expected to be provided by the banks at competitive, transparent rates.</t>
  </si>
  <si>
    <t>Guinea-Bissau</t>
  </si>
  <si>
    <t>• The Bank of Thailand has been authorized to lend THB500 billion to financial institutions for on-lending to SMEs. Financial institutions will be compensated up to 60 or 70 percent of the additional loans in case these turn nonperforming.</t>
  </si>
  <si>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withholding tax (A-taxes) and labor market contributions (DKK 90 bn), for businesses that pay VAT on a monthly basis (DKK 35 bn), for provisional tax paid by self-employed businessmen (B-taxes) (DKK 5 bn), and for payroll tax for certain businesses. (DKK 0.4 bn)
• VAT period for small enterprises will be extended from 6 to 12 months in 2020, and for medium-sized enterprises from 3 to 6 months in the first half of 2020 (DKK 35 bn)
</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</si>
  <si>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
• Reinsurance scheme targeted companies using trade credit insurance</t>
  </si>
  <si>
    <t>General Government</t>
  </si>
  <si>
    <t>Central Government</t>
  </si>
  <si>
    <t>Non-financial Public Sector</t>
  </si>
  <si>
    <t>• Development banks to provide loans, particularly to small- and medium-scale enterprises (SMEs).</t>
  </si>
  <si>
    <t>• RUB 70 billion for restructuring regional debt to the federal government.
• Recapitalization of leasing firms due to potential problems of their clients in the transportation sector.</t>
  </si>
  <si>
    <t>Programs from the industrial development corporation to support businesses.</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</si>
  <si>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</si>
  <si>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600 bn) program will be financed by Kazakhstan stability fund, a subsidiary of the National Bank of Kazakhstan.</t>
  </si>
  <si>
    <t xml:space="preserve">• Guarantees to new financial sector loans for working capital, primarily targeted to SMEs. The program is also tied to a liquidity provision program in which the central bank can accept the guaranteed loans for repo operations. </t>
  </si>
  <si>
    <t>• Credit guarantees for small businesses and support to the agriculture sector.</t>
  </si>
  <si>
    <t xml:space="preserve">• Microfinancing special loan package for affected micro entrepreneurs and MSMEs. </t>
  </si>
  <si>
    <t xml:space="preserve">• Establish a government guarantee and loan scheme which includes loan guarantees for SMEs (NOK 50 bn) and a scheme for re-insurance of private credit insurance providers (NOK 20 bn). </t>
  </si>
  <si>
    <r>
      <rPr>
        <sz val="10"/>
        <color theme="1"/>
        <rFont val="Symbol"/>
        <family val="1"/>
        <charset val="2"/>
      </rPr>
      <t xml:space="preserve">· </t>
    </r>
    <r>
      <rPr>
        <sz val="10"/>
        <color theme="1"/>
        <rFont val="Arial"/>
        <family val="2"/>
      </rPr>
      <t xml:space="preserve">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</si>
  <si>
    <t>General government</t>
  </si>
  <si>
    <r>
      <rPr>
        <b/>
        <sz val="10"/>
        <color theme="1"/>
        <rFont val="Arial"/>
        <family val="2"/>
      </rPr>
      <t>Deferred revenue</t>
    </r>
    <r>
      <rPr>
        <sz val="10"/>
        <color theme="1"/>
        <rFont val="Arial"/>
        <family val="2"/>
      </rPr>
      <t>: Deadline for payment of suspended VAT extended from 12 to 24 months (CFAF 15 billion). A</t>
    </r>
    <r>
      <rPr>
        <sz val="10"/>
        <color theme="1"/>
        <rFont val="Arial"/>
        <family val="2"/>
      </rPr>
      <t>ccelerated refund of VAT credits, deferral of CIT for SMEs and companies in hardest hit sectors.</t>
    </r>
  </si>
  <si>
    <r>
      <rPr>
        <b/>
        <sz val="10"/>
        <color theme="1"/>
        <rFont val="Arial"/>
        <family val="2"/>
      </rPr>
      <t xml:space="preserve">Accelerated spending: 
</t>
    </r>
    <r>
      <rPr>
        <sz val="10"/>
        <color theme="1"/>
        <rFont val="Arial"/>
        <family val="2"/>
      </rPr>
      <t xml:space="preserve">• Early pension fund withdrawals.
</t>
    </r>
    <r>
      <rPr>
        <b/>
        <sz val="10"/>
        <color theme="1"/>
        <rFont val="Arial"/>
        <family val="2"/>
      </rPr>
      <t xml:space="preserve">
Deferred revenue: </t>
    </r>
    <r>
      <rPr>
        <sz val="10"/>
        <color theme="1"/>
        <rFont val="Arial"/>
        <family val="2"/>
      </rPr>
      <t xml:space="preserve">
• Income tax deferrals for individuals and businesses.
• Extension in declaration deadline of tax payments for households and SMEs.</t>
    </r>
  </si>
  <si>
    <t>Above the line measures</t>
  </si>
  <si>
    <t>Guarantees</t>
  </si>
  <si>
    <t>Quasi-fiscal operations</t>
  </si>
  <si>
    <t>Off-budget measures</t>
  </si>
  <si>
    <t xml:space="preserve">• Government to provide the Australian Office of Financial Management with an investment capacity (AUD 15 bn) to invest in structured finance markets used by smaller lenders. </t>
  </si>
  <si>
    <t>• A loan guarantee arrangement between the Government and participating banks to cover the immediate cash flow needs of SMEs.</t>
  </si>
  <si>
    <t>A. Above-the line measures</t>
  </si>
  <si>
    <t>B. Below the line measures</t>
  </si>
  <si>
    <t>C. Contingent liabilities</t>
  </si>
  <si>
    <t>Total off-budget (B+C)</t>
  </si>
  <si>
    <r>
      <rPr>
        <b/>
        <sz val="10"/>
        <color theme="1"/>
        <rFont val="Arial"/>
        <family val="2"/>
      </rPr>
      <t xml:space="preserve">Additional spending (CAD 4 bn): </t>
    </r>
    <r>
      <rPr>
        <sz val="10"/>
        <color theme="1"/>
        <rFont val="Arial"/>
        <family val="2"/>
      </rPr>
      <t>Support to the health system including for increased testing, vaccine development, medical supplies, mitigation efforts, and greater protection of Indigenous communities.</t>
    </r>
  </si>
  <si>
    <r>
      <rPr>
        <b/>
        <sz val="10"/>
        <color theme="1"/>
        <rFont val="Arial"/>
        <family val="2"/>
      </rPr>
      <t xml:space="preserve">Additional spending (CAD 116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t>
    </r>
  </si>
  <si>
    <t>lookupID</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</si>
  <si>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</si>
  <si>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t>• The loan guarantee program for businesses (especially those affected by the outbreak) is expanded to cover up to 90 percent of total loan for SMEs (with maturity of 1 year or less) and 80 percent for large firms.
• A guarantee scheme for supplier credit was also established.</t>
  </si>
  <si>
    <r>
      <rPr>
        <b/>
        <sz val="10"/>
        <color theme="1"/>
        <rFont val="Arial"/>
        <family val="2"/>
      </rPr>
      <t>Additional spending</t>
    </r>
    <r>
      <rPr>
        <sz val="10"/>
        <color theme="1"/>
        <rFont val="Arial"/>
        <family val="2"/>
      </rPr>
      <t>: doubling resources for public health units; expanding intensive care capacity and equipment at hospitals; expanding healthline capacity; and support for primary care.</t>
    </r>
  </si>
  <si>
    <t>• Farm Credit Canada will receive support from the government that will allow for an additional CAD 5 bn in lending capacity to producers, agribusinesses, and food processors.</t>
  </si>
  <si>
    <r>
      <rPr>
        <b/>
        <sz val="10"/>
        <rFont val="Arial"/>
        <family val="2"/>
      </rPr>
      <t xml:space="preserve">Additional spending: 
</t>
    </r>
    <r>
      <rPr>
        <sz val="10"/>
        <rFont val="Arial"/>
        <family val="2"/>
      </rPr>
      <t xml:space="preserve">• At the Commonwealth level (AUD 128 bn), tax-free cash payments and wage subsidies to eligible small businesses to continue operations and keep their workers; payments to lower-income Australians, including pensioners, other social security and veteran income support recipients, and eligible concession card holders.
• At state and territory level, discounted utility bills and cash payments to vulnerable households.
</t>
    </r>
    <r>
      <rPr>
        <b/>
        <sz val="10"/>
        <rFont val="Arial"/>
        <family val="2"/>
      </rPr>
      <t xml:space="preserve">Forgone revenue: 
</t>
    </r>
    <r>
      <rPr>
        <sz val="10"/>
        <rFont val="Arial"/>
        <family val="2"/>
      </rPr>
      <t>• At the Commonwealth level (AUD 5.8 bn), asset write-off; accelerated depreciation deductions; tax relief for airlines and airports; waiver of fees and charges for tourism businesses in most affected regions/communities.
• At state and territory level, payroll tax relief for firms.</t>
    </r>
  </si>
  <si>
    <t>• Equity injection to Alitalia (€3.3 bn)</t>
  </si>
  <si>
    <t>Budget allocation of €35 bn to guarantee loans, with total guarantees estimated at about €530 bn.
• Guarantees cover up to 30% of the value of SME loans subject to moratorium (€70 bn) and between 70% and 90% of the value of loans for all businesses (€200 bn). 
• SME Guarantee Fund is enhanced from €40 bn to over €100 bn.
• Guarantee of €0.5 bn for the state development bank Cassa Deposit e Prestiti to provide liquidity support to banks financing medium to large enterprises.
• Co-insurance scheme to guarantee loans to exporters (€200 bn).</t>
  </si>
  <si>
    <r>
      <rPr>
        <b/>
        <sz val="10"/>
        <color theme="1"/>
        <rFont val="Arial"/>
        <family val="2"/>
      </rPr>
      <t>Additional spending:</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t>
    </r>
    <r>
      <rPr>
        <sz val="10"/>
        <color theme="1"/>
        <rFont val="Arial"/>
        <family val="2"/>
      </rPr>
      <t xml:space="preserve">
• Waiver of VAT and customs duties on critical medical imports, including ventilators, testing kits, and protective gear.</t>
    </r>
  </si>
  <si>
    <r>
      <rPr>
        <b/>
        <sz val="10"/>
        <color theme="1"/>
        <rFont val="Arial"/>
        <family val="2"/>
      </rPr>
      <t>Deferred revenue</t>
    </r>
    <r>
      <rPr>
        <sz val="10"/>
        <color theme="1"/>
        <rFont val="Arial"/>
        <family val="2"/>
      </rPr>
      <t>: 
• Deferral of income tax for the self employed and VAT payments; 
• Time to Pay arrangements (tax debt restructuring) for businesses and individuals.</t>
    </r>
  </si>
  <si>
    <t xml:space="preserve">• Coronavirus Aid, Relief, and Economic Security Act (March 27, 2020) includes $56 bn in loans for distress businesses (e.g., passenger and cargo air carriers, postal service).
</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</si>
  <si>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EUR 880 million, for SURE, EUR 432 million, for the EIB, EUR 372 million.</t>
    </r>
  </si>
  <si>
    <r>
      <t xml:space="preserve">•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</si>
  <si>
    <t>https://fm.dk/nyheder/nyhedsarkiv/2020/marts/regeringen-og-alle-folketingets-partier-er-enige-om-omfattende-hjaelpepakke-til-dansk-oekonomi/</t>
  </si>
  <si>
    <t>https://fm.dk/nyheder/nyhedsarkiv/2020/marts/regeringen-og-arbejdsmarkedets-parter-styrker-trepartsaftalen-om-midlertidig-loenkompensation/</t>
  </si>
  <si>
    <t>https://fm.dk/nyheder/nyhedsarkiv/2020/april/regeringen-og-alle-folketingets-partier-er-enige-om-at-justere-og-udvide-hjaelpepakker-til-dansk-oekonomi/</t>
  </si>
  <si>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</si>
  <si>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r>
      <rPr>
        <b/>
        <sz val="10"/>
        <rFont val="Arial"/>
        <family val="2"/>
      </rPr>
      <t xml:space="preserve">Accelerated spending </t>
    </r>
    <r>
      <rPr>
        <sz val="10"/>
        <rFont val="Arial"/>
        <family val="2"/>
      </rPr>
      <t>(0.7 percent of GDP):</t>
    </r>
    <r>
      <rPr>
        <b/>
        <sz val="10"/>
        <rFont val="Arial"/>
        <family val="2"/>
      </rPr>
      <t xml:space="preserve">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(0.8 percent of GDP):
• Tax deferrals (corporate income tax, VAT, property).
</t>
    </r>
  </si>
  <si>
    <t xml:space="preserve">• Credit guarantee scheme for SMEs that could apply to credits totaling US$24 billion.
</t>
  </si>
  <si>
    <t>• Liquidity provision to SMEs and households, including through the state-owned Banco del Estado (0.2 percent of GDP). 
• A state injection to the unemployment insurance fund (0.9 percent of GDP).</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</si>
  <si>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</si>
  <si>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t>• Equity infusion for companies in the electricity distribution (DISCOM) sector (Rs 900 bn), carried out by Power Finance Corps and Rural Electrification Corps (both SOEs).</t>
  </si>
  <si>
    <t>• Equity infusion for micro, small, and medium-sized enterprises (Rs 500 bn)</t>
  </si>
  <si>
    <r>
      <rPr>
        <b/>
        <sz val="10"/>
        <color theme="1"/>
        <rFont val="Arial"/>
        <family val="2"/>
      </rPr>
      <t>Deferred revenue</t>
    </r>
    <r>
      <rPr>
        <sz val="10"/>
        <color theme="1"/>
        <rFont val="Arial"/>
        <family val="2"/>
      </rPr>
      <t>:
• Tax filing dates were extended by six months.</t>
    </r>
  </si>
  <si>
    <t xml:space="preserve">• New credit guarantees and micro loans for entrepreneurs estimated at PLN 75 billion (3.4 percent of GDP)
</t>
  </si>
  <si>
    <r>
      <rPr>
        <b/>
        <sz val="10"/>
        <color theme="1"/>
        <rFont val="Arial"/>
        <family val="2"/>
      </rPr>
      <t>Deferred revenue</t>
    </r>
    <r>
      <rPr>
        <sz val="10"/>
        <color theme="1"/>
        <rFont val="Arial"/>
        <family val="2"/>
      </rPr>
      <t>: Companies can defer tax payments without penalties, and calculate provisional taxes on the basis of expected reduced activity levels. Entrepreneurs can request  a deferral of tax payment, without the need to provide evidence.</t>
    </r>
  </si>
  <si>
    <r>
      <rPr>
        <b/>
        <sz val="10"/>
        <color theme="1"/>
        <rFont val="Arial"/>
        <family val="2"/>
      </rPr>
      <t>Deferred revenue (SAR 48bn)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</si>
  <si>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t>
    </r>
  </si>
  <si>
    <r>
      <rPr>
        <b/>
        <sz val="10"/>
        <color theme="1"/>
        <rFont val="Arial"/>
        <family val="2"/>
      </rPr>
      <t>Deferred revenue</t>
    </r>
    <r>
      <rPr>
        <sz val="10"/>
        <color theme="1"/>
        <rFont val="Arial"/>
        <family val="2"/>
      </rPr>
      <t>: from various taxes.</t>
    </r>
  </si>
  <si>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</si>
  <si>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Additional spending</t>
    </r>
    <r>
      <rPr>
        <sz val="10"/>
        <color theme="1"/>
        <rFont val="Arial"/>
        <family val="2"/>
      </rPr>
      <t>: Includes army pharmacy (CHF2.55 billion), medication (CHF30 million) and health protection (CHF10 million).</t>
    </r>
  </si>
  <si>
    <r>
      <rPr>
        <b/>
        <sz val="10"/>
        <color theme="1"/>
        <rFont val="Arial"/>
        <family val="2"/>
      </rPr>
      <t>Additional spending:</t>
    </r>
    <r>
      <rPr>
        <sz val="10"/>
        <color theme="1"/>
        <rFont val="Arial"/>
        <family val="2"/>
      </rPr>
      <t xml:space="preserve"> financing for short-time work program and unemployment fund (CHF20.2 billion); Covid-19 income replacement (both directly and indirectly affected) (CHF5.3 billion); Covid-19 bridge loan losses (CHF1 billion); supports to sports and culture sectors (CHF0.6 billion); support for airport and other near-flight operations (CHF0.6 billion); development aid (incl. contribution to IMF) (CHF0.3 billion); and other measures (CHF0.2 billion).</t>
    </r>
  </si>
  <si>
    <r>
      <rPr>
        <b/>
        <sz val="10"/>
        <color theme="1"/>
        <rFont val="Arial"/>
        <family val="2"/>
      </rPr>
      <t>Deferred revenue</t>
    </r>
    <r>
      <rPr>
        <sz val="10"/>
        <color theme="1"/>
        <rFont val="Arial"/>
        <family val="2"/>
      </rPr>
      <t>: Temporary interest-free deferral of social security contribution payments for affected companies and extended payment periods for taxes and payables to federal suppliers.</t>
    </r>
  </si>
  <si>
    <r>
      <rPr>
        <b/>
        <sz val="10"/>
        <color theme="1"/>
        <rFont val="Arial"/>
        <family val="2"/>
      </rPr>
      <t>Additional spending:</t>
    </r>
    <r>
      <rPr>
        <sz val="10"/>
        <color theme="1"/>
        <rFont val="Arial"/>
        <family val="2"/>
      </rPr>
      <t xml:space="preserve"> Additional funding for health sector. The Lk2.5 bn does not include additional allocation from the Reserve Fund (another Lk0.5 bn). </t>
    </r>
  </si>
  <si>
    <r>
      <rPr>
        <b/>
        <sz val="10"/>
        <color theme="1"/>
        <rFont val="Arial"/>
        <family val="2"/>
      </rPr>
      <t>Additional spending</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Government allocated BGN 2.4 million for coronavirus research.</t>
    </r>
  </si>
  <si>
    <r>
      <rPr>
        <b/>
        <sz val="10"/>
        <color theme="1"/>
        <rFont val="Arial"/>
        <family val="2"/>
      </rPr>
      <t>Deferred revenue</t>
    </r>
    <r>
      <rPr>
        <sz val="10"/>
        <color theme="1"/>
        <rFont val="Arial"/>
        <family val="2"/>
      </rPr>
      <t xml:space="preserve">: Deferral of corporate tax payments till June 30. </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</si>
  <si>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</si>
  <si>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color theme="1"/>
        <rFont val="Arial"/>
        <family val="2"/>
      </rPr>
      <t>Additional spending (7.7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 </t>
    </r>
  </si>
  <si>
    <r>
      <rPr>
        <b/>
        <sz val="10"/>
        <color theme="1"/>
        <rFont val="Arial"/>
        <family val="2"/>
      </rPr>
      <t xml:space="preserve">Additional spending: </t>
    </r>
    <r>
      <rPr>
        <sz val="10"/>
        <color theme="1"/>
        <rFont val="Arial"/>
        <family val="2"/>
      </rPr>
      <t xml:space="preserve">
• Industrial companies have received subsidies on lower energy costs and subsidy pay-out for exporters.
• Increase in support to pensioners and irregular workers;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</si>
  <si>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Deferred revenue</t>
    </r>
    <r>
      <rPr>
        <sz val="10"/>
        <color theme="1"/>
        <rFont val="Arial"/>
        <family val="2"/>
      </rPr>
      <t>: 6-month grace period for MSMEs to pay insurance premiums, extended moratorium on tax law on agricultural land for 2 years, stopping administrative seizure against taxpayers, in return for 10% of the tax due on them</t>
    </r>
  </si>
  <si>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</si>
  <si>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</si>
  <si>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Implementation of a Wage Support Scheme and Self-Employed Assistance Scheme, providing financial support to employees who become unemployed on a temporary basis, as well as those employed in informal sectors or self-employed.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</si>
  <si>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</si>
  <si>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t>
    </r>
    <r>
      <rPr>
        <sz val="10"/>
        <color theme="1"/>
        <rFont val="Arial"/>
        <family val="2"/>
      </rPr>
      <t xml:space="preserve">Cash transfers for poor families, independent workers, and other families in need. </t>
    </r>
  </si>
  <si>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</si>
  <si>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t>• RON1.1 billion loan to buy medical supplies granted to pharmaceutical SOE;  and RON0.6 billion loan to low-cost carrier Blue Air and state-owned airline Tarom (pending approval from EC).</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</si>
  <si>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</si>
  <si>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</si>
  <si>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</si>
  <si>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</si>
  <si>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t xml:space="preserve">Additional spending: </t>
    </r>
    <r>
      <rPr>
        <sz val="10"/>
        <color theme="1"/>
        <rFont val="Arial"/>
        <family val="2"/>
      </rPr>
      <t>Emergency measures to upgrade the main national hospital, pharmaceuticals, food provision and medical equipment to the country’s hospitals. Higher permanent transfers to the main hospital.</t>
    </r>
  </si>
  <si>
    <r>
      <rPr>
        <b/>
        <sz val="10"/>
        <rFont val="Arial"/>
        <family val="2"/>
      </rPr>
      <t>Additional spending:</t>
    </r>
    <r>
      <rPr>
        <sz val="10"/>
        <rFont val="Arial"/>
        <family val="2"/>
      </rPr>
      <t xml:space="preserve"> The government plans to roll out a program to provide cash and in-kind food assistance to support the most vulnerable households (CFAF 525 million have already been spent).</t>
    </r>
  </si>
  <si>
    <r>
      <rPr>
        <b/>
        <sz val="10"/>
        <color theme="1"/>
        <rFont val="Arial"/>
        <family val="2"/>
      </rPr>
      <t>Additional spending</t>
    </r>
    <r>
      <rPr>
        <sz val="10"/>
        <color theme="1"/>
        <rFont val="Arial"/>
        <family val="2"/>
      </rPr>
      <t>: medical supplies, hiring of new personnel, adaptation of facilities.</t>
    </r>
  </si>
  <si>
    <r>
      <rPr>
        <b/>
        <sz val="10"/>
        <color theme="1"/>
        <rFont val="Arial"/>
        <family val="2"/>
      </rPr>
      <t>Deferred revenue</t>
    </r>
    <r>
      <rPr>
        <sz val="10"/>
        <color theme="1"/>
        <rFont val="Arial"/>
        <family val="2"/>
      </rPr>
      <t>: Reduced advanced payments in corporate income tax to provide cash flow relief to companies. Deferrals on tax and social contribution payments, favoring especially SMEs. VAT payments also deferred for SMEs in the non-essential sectors not operating during the curfew.</t>
    </r>
  </si>
  <si>
    <r>
      <rPr>
        <b/>
        <sz val="10"/>
        <color theme="1"/>
        <rFont val="Arial"/>
        <family val="2"/>
      </rPr>
      <t>Additional spending</t>
    </r>
    <r>
      <rPr>
        <sz val="10"/>
        <color theme="1"/>
        <rFont val="Arial"/>
        <family val="2"/>
      </rPr>
      <t>: Enhanced surveillance, laboratory services, isolation units, equipment, supplies, and communication.</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</si>
  <si>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</si>
  <si>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t xml:space="preserve">• Subsidized lending will be provided under the state program (“Economy of Simple Things”, KZT 1 tn), along with policy to help SMEs finance working capital. </t>
  </si>
  <si>
    <r>
      <rPr>
        <b/>
        <sz val="10"/>
        <color theme="1"/>
        <rFont val="Arial"/>
        <family val="2"/>
      </rPr>
      <t>Deferred revenue</t>
    </r>
    <r>
      <rPr>
        <sz val="10"/>
        <color theme="1"/>
        <rFont val="Arial"/>
        <family val="2"/>
      </rPr>
      <t xml:space="preserve">: Postponement of social insurance contributions. Possible deferral, payment in installments of taxes. </t>
    </r>
  </si>
  <si>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Funding of extraordinary costs associated with Covid-19 for municipalities and regions</t>
    </r>
  </si>
  <si>
    <r>
      <t xml:space="preserve">Deferred revenues: </t>
    </r>
    <r>
      <rPr>
        <sz val="10"/>
        <color theme="1"/>
        <rFont val="Arial"/>
        <family val="2"/>
      </rPr>
      <t>Companies can defer a maximum of three months on social contribution fees, VAT, and payroll taxes for a period of up to 12 months (SEK 27 billion if uptake similar to GFC, and SEK 315 billion if fully used by all firms), deferral of annual VAT for 2019 (SEK 7 billion) and deferral of SME taxes (SEK 13 billion).</t>
    </r>
  </si>
  <si>
    <t xml:space="preserve">• Credit guarantees for Swedish airlines. 
• Expansion of the Swedish Export Credit Agency’s credit guarantee framework and the programs under the Swedish Export Credit Corporation. </t>
  </si>
  <si>
    <t>• Capital injection to SOEs (IDR 35.2 tn)</t>
  </si>
  <si>
    <t>Health care sector</t>
  </si>
  <si>
    <t>Households (incl. unemployment benefits)</t>
  </si>
  <si>
    <t>Preserving employment linkages</t>
  </si>
  <si>
    <t>Businesses (excl. guarantees)</t>
  </si>
  <si>
    <t>Guarantees on firms' local currency debt</t>
  </si>
  <si>
    <t>Public works</t>
  </si>
  <si>
    <t>Residual or undefined</t>
  </si>
  <si>
    <t>Specific questions for desk (and RESMS assumptions)</t>
  </si>
  <si>
    <t>SMEs</t>
  </si>
  <si>
    <t>Large businesses</t>
  </si>
  <si>
    <t>Both</t>
  </si>
  <si>
    <t>Undefined</t>
  </si>
  <si>
    <t>Questions for desk</t>
  </si>
  <si>
    <t>Under business support, we include 30bn for business from note: "350M in credit lines will be provided to finance wage payments, with 320M coming from banks". We assume the difference (30bn) comes from government, and included under businesses b/c it goes directly to businesses.
Desks noted additional healthcare spending, but no amount is specified. Can desks give us this info?
Can desks allocate the remaining 570?</t>
  </si>
  <si>
    <t>5</t>
  </si>
  <si>
    <t>In undefined we added 40 bn for "unforseen events" from Q5.1.
Can desks breakdown the 205.3 in expenditure and revenue measures into wage subsidies and other mesaures</t>
  </si>
  <si>
    <t>SME amount includes 5bn of the 39bn for SMEs working capital, with remaining 34bn wage subsidies to SMEs under preserving employment.
Under undefined we include 212bn is credit lines from public banks (but not clear if this goes to HH or businesses) and the 60bn bn deferred debt service between central govt and local governments.
Can desk confirm the residual from their 338.3 total less the amounts indicated should be allocated to households?</t>
  </si>
  <si>
    <t xml:space="preserve">Can desk distinguish the household spendingn between preserving employment linkages and other measures?
</t>
  </si>
  <si>
    <t>Can desk please breakdown the expenditure (2290) into specific amounts for the expenditures lists (public works, social security, support for businesses).
Can desks confirm whether the 140bn from road tolls and 350mil from railroads is not included in the overall 2290bn?</t>
  </si>
  <si>
    <t>Euro Area</t>
  </si>
  <si>
    <t xml:space="preserve">Can desks break down the 37bn expenditure into the amount for, households, employment linkages, public expenditure and the amount for support for businesses? And whether the 100bn in loans to member states in on top of the 37bn spending and 65bn guarantees?
</t>
  </si>
  <si>
    <t>Can desks check the existing data and fill in the missing items. Including allocating the 34bn in extra spending between household, employment linkages, and SMEs or large businesses? 
We note the 48.5bn of accelerated tax refunds and postponsement of social security and tax payments, and and 21bn of capital injections--how are the split between SMEs and other businesses?</t>
  </si>
  <si>
    <t>Can desks check the existing data and fill in the missing items? In particular, assign the 124 in spending to household, employment linkages, or businesses?
We note 100bn capital injections and 100bn in state development bank loans and 400bn in guarantees (of the total 860 guarantees) to NFCs--how are they split between SMEs and other firms?</t>
  </si>
  <si>
    <t>150</t>
  </si>
  <si>
    <t>Can desks please assign the 2292.5 in spending and 680 in revenues to household, SME, employment linkages, etc.?</t>
  </si>
  <si>
    <t>76</t>
  </si>
  <si>
    <t>Can desks please assign the 143 tr in spending and revenue measures to the amount allocated to households, preserving employment linkages, SME, other businesses, or public works?</t>
  </si>
  <si>
    <t>Can desks assign the 2bn in tax credits and 7.6bn in delayed tax payments to households vs businesses?</t>
  </si>
  <si>
    <t>Can desks check the existing data and fill in the missing items? 
We note the lump-sum transfers to SME and self employed (2.3tn), Can desks assign the subsidies for financial institutions' lending (3.8tn)?
Under public works, we included  measures to accelerate recovery and build resilience (10.8tn).
Can desk assign the residual of the 117.1tr total spending?</t>
  </si>
  <si>
    <t xml:space="preserve">Can desks check the existing data and fill in the missing items? 
We note the 10.1tn in wage subsidies and unemployment benefits--how much goes to wage subsidies alone (i.e. preserving employment linkages)? The unemployment benefits can go into general household support.
Under general household support we include universal household transfers (14.3tn), creation of public sector jobs (3.5trn), VAT reduction (0.6 tr), SSC cut (0.9tr),  and consumption tax exemption (2tn).
Under SME support, we included 156tn in quasi-fiscal support to SMEs, and 12.2tn in tax deferrals for small shop owners,,5.5tr in special guarantees for SME, 3tr for small businesses, 7.9tr for SME with bad credit.
In general business we include 1tr for landlords and 2.1tr for early purchases and prepayment to buinesses.
Under unassigned we have 3.1tr from Feb announcement and 8.5trn from 1st supplemental budget b/c it notes its for SMEs and families/consumption, can desk assign an amount to each?
</t>
  </si>
  <si>
    <t>Can desks check the existing data and fill in the missing items? We would like to include the budget-neutral measures too.
Under business support, we included 85.2 from development banks. Can desks assign this to SME and larger businesses?</t>
  </si>
  <si>
    <t>Can desks check the existing data and fill in the missing items? 
We note the 1882bn in revenue and expenditure measures--how is this amount split along the lines of our classification here?
Under SME support, we included 500bn in loans to SMEs.
Under undefined, we included 70bn in refinancing for sub-national governments.</t>
  </si>
  <si>
    <t>Can desks check the existing data and fill in the missing items? 
Under general household support, we included 4bn in social loans to low-income families.
Under policies for preserving employment linkages, we included 9bn in wage subsidies and 5bn in employment programs.
In undefined/residual we include 48bn in tax deferrals, can desk asign this?
Under undefined-business  0.9bn for electricity subsidy to agriculture sector.
Under SME support, we included 13bn in SME financing (from NDF) 
We did not include 50bn in revenue measures, because these are expected to be financed by expenditure cuts.</t>
  </si>
  <si>
    <t>Can desks check the existing data and fill in the missing items? 
We have classified the 2bn from revenue under undefined - can desk please separate this amount into maintaing employment linkages and support for SME's, the description suggests these revenues measures are targeted to both.
We have split the guarantees into 100bn for SMEs, 2bn for both SME/Large which are for exporters through the Spandish Export Insurance Credit Company, and 10bn in general guarantees for the ICO credit lines and guarantens to farmers.</t>
  </si>
  <si>
    <t>Can desks check the existing data and fill in the missing items? 
We note the overall 500bn support package, minus 20bn for healthcare and 200bn in guarantees--how is the remainder split among the categories here?
Under general household support, we included 30bn from the UIF to support the unemployed.</t>
  </si>
  <si>
    <t>Can desks check the existing data and fill in the missing items? We note the headline number of 100bn support, including the enhanced welfare benefits, deferrals of VAT/social security/personal income tax, employment subsidies, and sovereign wealth fund equity stakes, but we are missing a breakdown.
We have allocated 50bn in new guarantees, 2bn from increased cash assistance to families in need.</t>
  </si>
  <si>
    <t xml:space="preserve">Can desks check the existing data and fill in the missing items? 
We note the combined size of the CCCF, CBILS and CLBILS is 330bn, but what is the estimated size of the SME support, e.g. in the CBILS, BBLS and grants to small business?
How much of the 55bn in expenditure measures apply to the coronavirus job retention scheme, as opposed to small business grants or social assistance enhancements? We allocated the term funding scheme for SMEs (200bn). </t>
  </si>
  <si>
    <t>We include in general household 38.8 from Families Frist Act,  268 in unemployment insurance from Covid Aid, Relief and Economic Security Act, and 540 in tax rebates. We include 349 from the Covid Aid act to SMEs and 56 in loans for distrssed businesses, and the 440 to government response in the undefined category.
Can desks confirm how these amounts are assigned ?</t>
  </si>
  <si>
    <t>Notes and assumptions</t>
  </si>
  <si>
    <t>Healthcare includes health insurance, health facilities/supplies, research, information provision, financing to healthcare providers and import/consumption taxes on essential products.</t>
  </si>
  <si>
    <t>General support for households includes unemployment benefits, other welfare benefits not associated with preserving employment linkages, wage subsidies, cash/in-kind transfers, deferrals / reductions of household taxes / social security contributions, accelerated household tax refunds, etc.</t>
  </si>
  <si>
    <t>Policies for preserving employment linkages include furlough and short-time work schemes.</t>
  </si>
  <si>
    <t>Support for businesses include loans, purchases of private sector securities, capital injections, grants, deferrals / reductions of business taxes / social security contributions, accelerated business tax refunds, funding-for-lending schemes (even if they partially support lending to households), etc. They exclude the policies for preserving employment linkages (above).</t>
  </si>
  <si>
    <t>Under support for business, "both" means support for SMEs and large businesses that cannot clearly be separated into one of the two categories. It is not the sum of SMEs and large businesses.</t>
  </si>
  <si>
    <t xml:space="preserve">Undefined policies include transfers to sub-national governments. </t>
  </si>
  <si>
    <t>Total 
size</t>
  </si>
  <si>
    <t>Guarantees (on loans, deposits etc.)</t>
  </si>
  <si>
    <t>Quasi-fiscal operations (noncommercial activity of public corporations on behalf of government)</t>
  </si>
  <si>
    <t xml:space="preserve">•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t>
  </si>
  <si>
    <t>D. Accelerated spending and deferred revenue in areas other than health</t>
  </si>
  <si>
    <t xml:space="preserve">
</t>
  </si>
  <si>
    <r>
      <rPr>
        <sz val="10"/>
        <color theme="1"/>
        <rFont val="Symbol"/>
        <family val="1"/>
        <charset val="2"/>
      </rPr>
      <t xml:space="preserve">· </t>
    </r>
    <r>
      <rPr>
        <sz val="10"/>
        <color theme="1"/>
        <rFont val="Arial"/>
        <family val="2"/>
      </rPr>
      <t xml:space="preserve">Guarantees for Covid-19 bridge loans (for firms with annual turnover up to CHF500 million) (CHF40 billion)
</t>
    </r>
    <r>
      <rPr>
        <sz val="10"/>
        <color theme="1"/>
        <rFont val="Symbol"/>
        <family val="1"/>
        <charset val="2"/>
      </rPr>
      <t xml:space="preserve">· </t>
    </r>
    <r>
      <rPr>
        <sz val="10"/>
        <color theme="1"/>
        <rFont val="Arial"/>
        <family val="2"/>
      </rPr>
      <t xml:space="preserve">Guarantees for startups (CHF0.1 billion)
</t>
    </r>
    <r>
      <rPr>
        <sz val="10"/>
        <color theme="1"/>
        <rFont val="Symbol"/>
        <family val="1"/>
        <charset val="2"/>
      </rPr>
      <t>·</t>
    </r>
    <r>
      <rPr>
        <sz val="10"/>
        <color theme="1"/>
        <rFont val="Arial"/>
        <family val="2"/>
      </rPr>
      <t xml:space="preserve"> Guarantees for airlines (CHF1.275 billion)</t>
    </r>
  </si>
  <si>
    <r>
      <t xml:space="preserve">• Capitalization of Findeter and Bancoldex (Colombian Development Banks) for the purpose of credit lines.
• Credit lines for payroll and loan payments, with a focus on SMEs through the National Guarantee Fund (government capitalization of 0.2 percent of GDP to guarantee around 1.2 percent of GDP of loans).
• Capitalization of Findeter and Bancoldex for the purpose of credit lines (worth around 0.1 percent of GDP) 
</t>
    </r>
    <r>
      <rPr>
        <sz val="10"/>
        <color theme="1"/>
        <rFont val="Symbol"/>
        <family val="1"/>
        <charset val="2"/>
      </rPr>
      <t>·</t>
    </r>
    <r>
      <rPr>
        <sz val="7"/>
        <color theme="1"/>
        <rFont val="Arial"/>
        <family val="2"/>
        <charset val="2"/>
      </rPr>
      <t xml:space="preserve"> </t>
    </r>
    <r>
      <rPr>
        <sz val="10"/>
        <color theme="1"/>
        <rFont val="Arial"/>
        <family val="2"/>
        <charset val="2"/>
      </rPr>
      <t>A new National Emergency Mitigation Fund (FOME) was announced, where the central government partially finances response measures with resources from regional stabilization funds (FAE, FONPET).</t>
    </r>
  </si>
  <si>
    <r>
      <rPr>
        <b/>
        <sz val="10"/>
        <color theme="1"/>
        <rFont val="Arial"/>
        <family val="2"/>
      </rPr>
      <t>Additional spending</t>
    </r>
    <r>
      <rPr>
        <sz val="10"/>
        <color theme="1"/>
        <rFont val="Arial"/>
        <family val="2"/>
      </rPr>
      <t xml:space="preserve">: for healthcare and testing, protection and medical equipment, public safety and border controls, and research on rapid diagnostics and vaccines and timely decision-making. 
• Finland contributes €5 million to international efforts to develop a vaccine. Additional spending is allocated for the development and maintenance of a contact tracing app.   
• </t>
    </r>
    <r>
      <rPr>
        <sz val="10"/>
        <rFont val="Arial"/>
        <family val="2"/>
      </rPr>
      <t>The fourth supplementary budget includes €110 million for coronavirus vaccine and testing and €200 million for transfers to hospital district authorities.</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</si>
  <si>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€4.5 billion (2 percent of GDP) in relief; adjusted VAT payment arrangements provide €750 million (0.3 percent of GDP) in relief.</t>
    </r>
  </si>
  <si>
    <t>• SME capital injections of 150 million euros. Share acquisitions in state ownership steering €700 million.
• On April 29, the government announced a recapitalization of Finnair of €500 million. Finnair is 56% publicly owned.
•SME capital injections of €150 million. Share acquisitions in state ownership steering €700 million.
• Increased capitalization of €300 million into national climate fund. Increased capital funding for state-owned enterprises of €770 million.</t>
  </si>
  <si>
    <r>
      <rPr>
        <b/>
        <sz val="10"/>
        <rFont val="Arial"/>
        <family val="2"/>
      </rPr>
      <t xml:space="preserve">Additional spending: 
• </t>
    </r>
    <r>
      <rPr>
        <sz val="10"/>
        <rFont val="Arial"/>
        <family val="2"/>
      </rPr>
      <t>Purchases of medical equipment (CZK 12bn).
• The government approved higher premium payments on state-covered health insurance--increase by CZK500 per person as of June.
• Debt relief of hospitals (CZK 6.6bn). 
• Bonus for workers in social services and emergency responders (CZK 6.3bn).</t>
    </r>
  </si>
  <si>
    <r>
      <rPr>
        <b/>
        <sz val="10"/>
        <rFont val="Arial"/>
        <family val="2"/>
      </rPr>
      <t xml:space="preserve">Deferred revenue: 
</t>
    </r>
    <r>
      <rPr>
        <sz val="10"/>
        <rFont val="Arial"/>
        <family val="2"/>
      </rPr>
      <t>• Postponement of (i) personal and corporate income taxes by three months to July; (ii) advance payments on social security and health insurance contributions for self-employed by 6 months; (iii) the introduction of the third and fourth waves of the electronic registration of sales system up to the end of 2020+K13; (iv) advance payments on motor vehicle tax to mid-October. 
• Employers are allowed to defer payment of social contributions for May-July</t>
    </r>
  </si>
  <si>
    <r>
      <t xml:space="preserve">
•</t>
    </r>
    <r>
      <rPr>
        <sz val="7"/>
        <rFont val="Arial"/>
        <family val="2"/>
      </rPr>
      <t xml:space="preserve"> </t>
    </r>
    <r>
      <rPr>
        <sz val="10"/>
        <rFont val="Arial"/>
        <family val="2"/>
      </rPr>
      <t xml:space="preserve">The CMZRB provided CZK 0.8bn through interest-free loans, the rest will be handled through state guarantees on loans of commercial banks.
</t>
    </r>
  </si>
  <si>
    <r>
      <rPr>
        <b/>
        <sz val="10"/>
        <color theme="1"/>
        <rFont val="Arial"/>
        <family val="2"/>
      </rPr>
      <t xml:space="preserve">Additional spending (€23 bn): </t>
    </r>
    <r>
      <rPr>
        <sz val="10"/>
        <color theme="1"/>
        <rFont val="Arial"/>
        <family val="2"/>
      </rPr>
      <t xml:space="preserve">on hospital capacity, medical equipment, research, and information campaigns. </t>
    </r>
  </si>
  <si>
    <t>(iii) €400 bn to provide additional state guarantees to non-financial corporations to alleviate liquidity bottlenecks and support refinancing.
•  For the new and expansion of the existing KfW-programs, the guarantee framework of the federal government was increased by €357 billion. 
•  Total guarantees provided by state governments to be increased by €63 bn.</t>
  </si>
  <si>
    <r>
      <rPr>
        <b/>
        <sz val="10"/>
        <color theme="1"/>
        <rFont val="Arial"/>
        <family val="2"/>
      </rPr>
      <t>Deferred revenue</t>
    </r>
    <r>
      <rPr>
        <sz val="10"/>
        <color theme="1"/>
        <rFont val="Arial"/>
        <family val="2"/>
      </rPr>
      <t>: deferral of tax payments for small and medium enterprises and self-employed for six months, with the first four months exempt from interest.</t>
    </r>
  </si>
  <si>
    <t>•  The government has put in place a £1 bn program to support firms driving innovation and development through grants and loans.</t>
  </si>
  <si>
    <t>• S$20 billion in loan capital was set aside to help businesses and individuals facing cash flow challenges with loan obligations and insurance premium payments.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</si>
  <si>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</si>
  <si>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and no wealth declaration for construction sector projects launched until end 2020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</si>
  <si>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</si>
  <si>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r>
      <rPr>
        <sz val="10"/>
        <color theme="1"/>
        <rFont val="Symbol"/>
        <family val="1"/>
        <charset val="2"/>
      </rPr>
      <t>·</t>
    </r>
    <r>
      <rPr>
        <sz val="7"/>
        <color theme="1"/>
        <rFont val="Arial"/>
        <family val="2"/>
      </rPr>
      <t xml:space="preserve"> </t>
    </r>
    <r>
      <rPr>
        <sz val="10"/>
        <color theme="1"/>
        <rFont val="Arial"/>
        <family val="2"/>
      </rPr>
      <t>A “Temporary Economic Refinance Facility (TERF)” to stimulate new investment in manufacturing at maximum interest rate of 7 percent fixed for 10 years;
• A “Refinance Facility for Combating COVID–19 (RFCC)” to support hospitals and medical centers in combating the spread of the virus at maximum interest rate of 3 percent fixed;
• A temporary refinance scheme for businesses to incentivize against laying off workers during the pandemic, the scheme provides financing for wages and salaries expenses for three months from April to June 2020 at maximum interest rate of 3-5 percent.
• Deferment in the payment of power tariffs for 6 months for low-level consumers.
• Support of bank lending to SMEs, by the government guaranteeing a portion of potential losses.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</si>
  <si>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</si>
  <si>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</si>
  <si>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rPr>
        <b/>
        <sz val="10"/>
        <rFont val="Arial"/>
        <family val="2"/>
      </rPr>
      <t>Additional spending</t>
    </r>
    <r>
      <rPr>
        <sz val="10"/>
        <rFont val="Arial"/>
        <family val="2"/>
      </rPr>
      <t xml:space="preserve"> (BGN 1.5 bn): 
·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for about 1200 people, at a cost of about 2.7 million leva and distributed BGN 610 as an additional bonus to social workers - employees of the Bureau of Labor and the General Labor Inspectorate.
- Government approved one-off cash transfer of BGN 375 to parents, forced to take unpaid leave to care for their children during the state of emergency (means-tested)
- BGN 800 000 for food for people hit by Covid-19 crisis.</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</si>
  <si>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</si>
  <si>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4500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</si>
  <si>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COVID Prague Program</t>
    </r>
  </si>
  <si>
    <t>• NZ $900 mn loan is granted to Air New Zealand, an airline company, of which the government owns 52 percent od shares.
• Maximum NZ $100 thousand loan is granted to small businesses that employ 50 or fewer full time equivalent employees.</t>
  </si>
  <si>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</si>
  <si>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</si>
  <si>
    <t>Total on-budget 
(A-D)</t>
  </si>
  <si>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</si>
  <si>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rFont val="Arial"/>
        <family val="2"/>
      </rPr>
      <t xml:space="preserve">Additional spending (125.2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t>
    </r>
  </si>
  <si>
    <r>
      <rPr>
        <b/>
        <sz val="10"/>
        <color theme="1"/>
        <rFont val="Arial"/>
        <family val="2"/>
      </rPr>
      <t>Additional spending</t>
    </r>
    <r>
      <rPr>
        <sz val="10"/>
        <color theme="1"/>
        <rFont val="Arial"/>
        <family val="2"/>
      </rPr>
      <t>: including grants to SMEs through Business Finland and the Employment Centers (€450 million); increased parental allowance  (€94 million); additional social assistance and unemployment benefits (€1.547 billion); additional public safety and border controls; measures to support restaurant to employ workers (€40 million), measures to support businesses for imposed restrictions on activities (€83 million)</t>
    </r>
    <r>
      <rPr>
        <sz val="10"/>
        <rFont val="Arial"/>
        <family val="2"/>
      </rPr>
      <t>, measures to support households and employment (€652 million), additional support for businesses (€520 million), measures to increase public investment (€963 million).</t>
    </r>
    <r>
      <rPr>
        <sz val="10"/>
        <color theme="1"/>
        <rFont val="Arial"/>
        <family val="2"/>
      </rPr>
      <t xml:space="preserve">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</si>
  <si>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Additional spending</t>
    </r>
    <r>
      <rPr>
        <sz val="10"/>
        <color theme="1"/>
        <rFont val="Arial"/>
        <family val="2"/>
      </rPr>
      <t xml:space="preserve">: Cash payments to the unemployed, self-employed, and to a broader segment of the vulnerable population; distribution of food and household products; measures to support employment under the "Employment Roadmap" initiative (including some large-scale projects to modernize transportation infrastructure).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t>
    </r>
  </si>
  <si>
    <r>
      <rPr>
        <b/>
        <sz val="10"/>
        <color theme="1"/>
        <rFont val="Arial"/>
        <family val="2"/>
      </rPr>
      <t xml:space="preserve">Additional spending (316bn): </t>
    </r>
    <r>
      <rPr>
        <sz val="10"/>
        <color theme="1"/>
        <rFont val="Arial"/>
        <family val="2"/>
      </rPr>
      <t xml:space="preserve">Cash aid to low-income households and social protection measures for vulnerable workers.
</t>
    </r>
    <r>
      <rPr>
        <b/>
        <sz val="10"/>
        <color theme="1"/>
        <rFont val="Arial"/>
        <family val="2"/>
      </rPr>
      <t xml:space="preserve">
Forgone revenue</t>
    </r>
    <r>
      <rPr>
        <sz val="10"/>
        <color theme="1"/>
        <rFont val="Arial"/>
        <family val="2"/>
      </rPr>
      <t xml:space="preserve"> (42 bn): Planned corporate income tax rate reduction from 30 to 20 percent starting in July 2020.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</si>
  <si>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</si>
  <si>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</si>
  <si>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</si>
  <si>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</si>
  <si>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</si>
  <si>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</si>
  <si>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t>• State-owned enterprises and banks have been asked to support the private sector through loan restructuring, lowering lease payments (by real estate companies), halting evictions, etc.</t>
  </si>
  <si>
    <t>• Capital injection into the Development Bank of Ethiopia by the Ministry of Finance. Not strictly related to Covid, but aimed at facilitating lending by DBE to private enterprises.</t>
  </si>
  <si>
    <t>• Soft loan scheme to support MSMEs including a one-year postponement of interest payments for non-marketable debt and a two-year repayment period.</t>
  </si>
  <si>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</si>
  <si>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</si>
  <si>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 (11.1bn)</t>
    </r>
    <r>
      <rPr>
        <sz val="10"/>
        <color theme="1"/>
        <rFont val="Arial"/>
        <family val="2"/>
      </rPr>
      <t xml:space="preserve">: Social protection and cash transfers; food relief; and funds for expediting payments of existing obligations to maintain cash flow for businesses during the crisis.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</si>
  <si>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t>
    </r>
    <r>
      <rPr>
        <sz val="10"/>
        <color theme="1"/>
        <rFont val="Arial"/>
        <family val="2"/>
      </rPr>
      <t xml:space="preserv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</si>
  <si>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</si>
  <si>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</si>
  <si>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</si>
  <si>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 Proposal to cut electricity prices by 10 percent for certain enterprises and households, and exempt payment for quarantine zones, with Vietnam Electricity (EVN) bearing costs of price adjustment.</t>
  </si>
  <si>
    <r>
      <rPr>
        <b/>
        <sz val="10"/>
        <rFont val="Arial"/>
        <family val="2"/>
      </rPr>
      <t>Additional spending:</t>
    </r>
    <r>
      <rPr>
        <sz val="10"/>
        <rFont val="Arial"/>
        <family val="2"/>
      </rPr>
      <t xml:space="preserve"> 
• Increased payment for sick-leave: Employees affected during the shutdown due to government measures will receive full wages of which the government will cover 80 percent (up to CZK 39,000/month). Staff in businesses affected receive 60-100% of gross wages with a state contribution of 60% of total labor costs per employee (up to CZK 29,000/month).
• Allowance to parents, who cannot work because they need to care for children up to 13 years, of 80% of eligible income (calculated based on a progressive table) for sick leave.
• Self-employed receive lump sum of CZK 500 per day during Mar 12 and Jun 8 and have access to sick leave (same regime as that for full-time employees).
• Additional lump-sum assistance grant (CZK 500 per day) to micro businesses during Mar 12 and Jun 6. Eligible businesses are limited liability companies with up to two partners and turnover of at least at CZK 180,000 in 2019. 
• The state covers half of business property rents in Q2.
</t>
    </r>
    <r>
      <rPr>
        <b/>
        <sz val="10"/>
        <rFont val="Arial"/>
        <family val="2"/>
      </rPr>
      <t xml:space="preserve">
Forgone Revenue:</t>
    </r>
    <r>
      <rPr>
        <sz val="10"/>
        <rFont val="Arial"/>
        <family val="2"/>
      </rPr>
      <t xml:space="preserve">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 Loss carryback measure: Taxpayers who report tax losses in 2020 due to the state of emergency, will be able to reduce their tax bases for the tax years 2019 and 2018 by this loss (maximum CZK 30 million).
• Reduced VAT rate to 10% for accommodation, sports and culture services.
• Reduced road tax rate for vehicles above 3.5t.
• Abolition of the real property transfer tax.
• Programs in support of the sports, culture, and agriculture sectors.</t>
    </r>
  </si>
  <si>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1.1 tn):
</t>
    </r>
    <r>
      <rPr>
        <sz val="10"/>
        <rFont val="Arial"/>
        <family val="2"/>
      </rPr>
      <t xml:space="preserve">•  VAT exemptions for goods and services related to epidemic control and for small taxpayers in Hubei; and VAT rate cut from 3% to 1% in other regions until the year end.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t>
    </r>
  </si>
  <si>
    <r>
      <rPr>
        <b/>
        <sz val="10"/>
        <rFont val="Arial"/>
        <family val="2"/>
      </rPr>
      <t>Accelerated spending:</t>
    </r>
    <r>
      <rPr>
        <sz val="10"/>
        <rFont val="Arial"/>
        <family val="2"/>
      </rPr>
      <t xml:space="preserve"> Accelerated issuance of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(no estimate).</t>
    </r>
  </si>
  <si>
    <r>
      <rPr>
        <b/>
        <sz val="10"/>
        <color theme="1"/>
        <rFont val="Arial"/>
        <family val="2"/>
      </rPr>
      <t>Additional spending (SEK 205.3 bn):  
·</t>
    </r>
    <r>
      <rPr>
        <sz val="10"/>
        <color theme="1"/>
        <rFont val="Arial"/>
        <family val="2"/>
      </rPr>
      <t xml:space="preserve"> Includes additional expenditures on wage subsidies for short-term leave, temporary grants to businesses based on their loss of turnover to cover their fixed cost;
· temporary payment of sick leave, extra funding to the cultural sector and sports sector, rent subsidies to certain sectors, more generous unemployment benefits; 
· expanded active labor market policies, more funding for education and training; 
· supplementary housing allowances to families with children, infrastructure investment and extra support to public transport; general grants to municipalities and regions. </t>
    </r>
    <r>
      <rPr>
        <b/>
        <sz val="10"/>
        <color theme="1"/>
        <rFont val="Arial"/>
        <family val="2"/>
      </rPr>
      <t xml:space="preserve">
Forgone revenue (SEK 33 bn): </t>
    </r>
    <r>
      <rPr>
        <sz val="10"/>
        <color theme="1"/>
        <rFont val="Arial"/>
        <family val="2"/>
      </rPr>
      <t xml:space="preserve">Temporary reduction in employers' social security contributions. </t>
    </r>
  </si>
  <si>
    <r>
      <rPr>
        <b/>
        <sz val="10"/>
        <color theme="1"/>
        <rFont val="Arial"/>
        <family val="2"/>
      </rPr>
      <t xml:space="preserve">Deferred revenue: </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All large companies (except banks, telecommunication, SOE-s and companies in the chain of supply of essential goods) can defer the corporate income tax installments for Q2 and Q3 2020 to Q2 - Q3 2021.
</t>
    </r>
    <r>
      <rPr>
        <sz val="10"/>
        <color theme="1"/>
        <rFont val="Symbol"/>
        <family val="1"/>
        <charset val="2"/>
      </rPr>
      <t xml:space="preserve">· </t>
    </r>
    <r>
      <rPr>
        <sz val="10"/>
        <color theme="1"/>
        <rFont val="Arial"/>
        <family val="2"/>
      </rPr>
      <t>For tourism, active processing and call centers – and small businesses with turnover of Lk14 mn or less – the payment of Q2, Q3 and Q4 of 2020 profit tax is deferred to Q2-Q4 2021.</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</si>
  <si>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</si>
  <si>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0.7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</si>
  <si>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t>• The federal government announced guarantees of up to RUB 500 bn on bank lending to firms, including RUB 220 bn in guarantees to VEB to guarantee bank credit to systematically-important enterprises.</t>
  </si>
  <si>
    <t>Health sector</t>
  </si>
  <si>
    <t>Additional spending or foregone revenues</t>
  </si>
  <si>
    <t>Accelerated spending / deferred revenue</t>
  </si>
  <si>
    <t>Non-health sector</t>
  </si>
  <si>
    <t>Liquidity support</t>
  </si>
  <si>
    <t>(USD billion and percent of GDP)</t>
  </si>
  <si>
    <t>G20: Advanced economies</t>
  </si>
  <si>
    <t>Other Selected Advanced Economies</t>
  </si>
  <si>
    <t xml:space="preserve">Note: Numbers in U.S. dollar and percent of GDP are based on June 2020 World Economic Outlook Update for 2020 unless otherwise stated. For Argentina, U.S. dollar values use end-May 2020 exchange rate. </t>
  </si>
  <si>
    <r>
      <rPr>
        <b/>
        <sz val="8.5"/>
        <color theme="1"/>
        <rFont val="Arial"/>
        <family val="2"/>
      </rPr>
      <t>Below the line measures:</t>
    </r>
    <r>
      <rPr>
        <sz val="8.5"/>
        <color theme="1"/>
        <rFont val="Arial"/>
        <family val="2"/>
      </rPr>
      <t xml:space="preserve"> equity injections, loans, asset purchase or debt assumptions.</t>
    </r>
  </si>
  <si>
    <r>
      <t xml:space="preserve">· The Polish Development Fund is providing liquidity loans and subsidies for micro, small/medium, and large enterprises. The total value of the program equals PLN 100 billion. Approximately 60 percent of the financing may be non-returnable, with relevant conditions related to maintaining employment, continuing business activity, and the level of lost sales. </t>
    </r>
    <r>
      <rPr>
        <sz val="10"/>
        <rFont val="Arial"/>
        <family val="2"/>
      </rPr>
      <t>The nonreturnable portion is treated as an above the line expenditure item</t>
    </r>
    <r>
      <rPr>
        <sz val="10"/>
        <color theme="1"/>
        <rFont val="Arial"/>
        <family val="2"/>
      </rPr>
      <t>.</t>
    </r>
  </si>
  <si>
    <r>
      <t xml:space="preserve">Additional spending (€2.1 bn): </t>
    </r>
    <r>
      <rPr>
        <sz val="10"/>
        <color theme="1"/>
        <rFont val="Arial"/>
        <family val="2"/>
      </rPr>
      <t>on medical equipment, tests, administration etc.</t>
    </r>
    <r>
      <rPr>
        <b/>
        <sz val="10"/>
        <color theme="1"/>
        <rFont val="Arial"/>
        <family val="2"/>
      </rPr>
      <t xml:space="preserve">
</t>
    </r>
  </si>
  <si>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</si>
  <si>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rFont val="Arial"/>
        <family val="2"/>
      </rPr>
      <t>Additional spending</t>
    </r>
    <r>
      <rPr>
        <sz val="10"/>
        <rFont val="Arial"/>
        <family val="2"/>
      </rPr>
      <t xml:space="preserve">: Additional spending on healthcare equipment, testing; compensation against COVID-19 related health risks of officials, doctors and field staff; hiring of additional healthcare workers, etc.  
</t>
    </r>
    <r>
      <rPr>
        <b/>
        <sz val="10"/>
        <rFont val="Arial"/>
        <family val="2"/>
      </rPr>
      <t>Forgone revenue</t>
    </r>
    <r>
      <rPr>
        <sz val="10"/>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</si>
  <si>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Provision of targeted social assistance to those who lost their jobs or were put on an unpaid leave (1,200 GEL over the course of 6 months). 
</t>
    </r>
    <r>
      <rPr>
        <sz val="10"/>
        <color theme="1"/>
        <rFont val="Symbol"/>
        <family val="1"/>
        <charset val="2"/>
      </rPr>
      <t>·</t>
    </r>
    <r>
      <rPr>
        <sz val="10"/>
        <color theme="1"/>
        <rFont val="Arial"/>
        <family val="2"/>
      </rPr>
      <t xml:space="preserve"> A state subsidy for employers who maintain jobs. Over the course of 6 months: (1) salaries up to 750 GEL will be fully exempt from income tax; and (2) for salaries up to 1,500 GEL, 750 GEL will be exempt from income tax; One-time assistance of 300 GEL will be provided to people who are self-employed or employed in the “informal sector”; 
</t>
    </r>
    <r>
      <rPr>
        <sz val="10"/>
        <color theme="1"/>
        <rFont val="Symbol"/>
        <family val="1"/>
        <charset val="2"/>
      </rPr>
      <t>·</t>
    </r>
    <r>
      <rPr>
        <sz val="10"/>
        <color theme="1"/>
        <rFont val="Arial"/>
        <family val="2"/>
      </rPr>
      <t xml:space="preserve"> Cash transfers to vulnerable families and to compensate job loss (for self-employed, employees, and informal workers).
</t>
    </r>
    <r>
      <rPr>
        <b/>
        <sz val="10"/>
        <color theme="1"/>
        <rFont val="Arial"/>
        <family val="2"/>
      </rPr>
      <t xml:space="preserve">
Forgone revenue:
</t>
    </r>
    <r>
      <rPr>
        <sz val="10"/>
        <color theme="1"/>
        <rFont val="Arial"/>
        <family val="2"/>
      </rPr>
      <t>• Income tax relief to businesses who retain workers.
• Property tax waiver to the tourism sector.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</si>
  <si>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</si>
  <si>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r>
      <rPr>
        <b/>
        <sz val="10"/>
        <color theme="1"/>
        <rFont val="Arial"/>
        <family val="2"/>
      </rPr>
      <t>Additional spending:</t>
    </r>
    <r>
      <rPr>
        <sz val="10"/>
        <color theme="1"/>
        <rFont val="Arial"/>
        <family val="2"/>
      </rPr>
      <t xml:space="preserve"> Resources to hire social and health workers nationwide. Part of the additional increased spending will finance additional health care needs. </t>
    </r>
  </si>
  <si>
    <r>
      <rPr>
        <b/>
        <sz val="10"/>
        <color theme="1"/>
        <rFont val="Arial"/>
        <family val="2"/>
      </rPr>
      <t>Additional spending:</t>
    </r>
    <r>
      <rPr>
        <sz val="10"/>
        <color theme="1"/>
        <rFont val="Arial"/>
        <family val="2"/>
      </rPr>
      <t xml:space="preserve"> Transfers to municipalities that have large health expenses due to the pandemic. Various other measures to strengthen the health care sector. 
</t>
    </r>
    <r>
      <rPr>
        <b/>
        <sz val="10"/>
        <color theme="1"/>
        <rFont val="Arial"/>
        <family val="2"/>
      </rPr>
      <t>Forgone revenue:</t>
    </r>
    <r>
      <rPr>
        <sz val="10"/>
        <color theme="1"/>
        <rFont val="Arial"/>
        <family val="2"/>
      </rPr>
      <t xml:space="preserve">  The financial situation in the hospital trust is strengthened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</si>
  <si>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cut of employers’ social insurance contributions.
• Reduced employer tax in May and June.</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</si>
  <si>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</si>
  <si>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</si>
  <si>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</si>
  <si>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Additional spending:</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t>
    </r>
    <r>
      <rPr>
        <sz val="10"/>
        <color theme="1"/>
        <rFont val="Arial"/>
        <family val="2"/>
      </rPr>
      <t>: Tax rebates for companies that keep their workers on payroll or pay 70% of salary (FCFA 40 billion).</t>
    </r>
  </si>
  <si>
    <r>
      <rPr>
        <b/>
        <sz val="10"/>
        <color theme="1"/>
        <rFont val="Arial"/>
        <family val="2"/>
      </rPr>
      <t xml:space="preserve">Additional spending </t>
    </r>
    <r>
      <rPr>
        <sz val="10"/>
        <color theme="1"/>
        <rFont val="Arial"/>
        <family val="2"/>
      </rPr>
      <t xml:space="preserve">(TND 0.3 bn): Additional health spending, including the creation of a fund for the acquisition of equipment for public hospitals (TND 0.1 bn).
</t>
    </r>
    <r>
      <rPr>
        <b/>
        <sz val="10"/>
        <color theme="1"/>
        <rFont val="Arial"/>
        <family val="2"/>
      </rPr>
      <t>Forgone revenue:</t>
    </r>
    <r>
      <rPr>
        <sz val="10"/>
        <color theme="1"/>
        <rFont val="Arial"/>
        <family val="2"/>
      </rPr>
      <t xml:space="preserve"> Waiver of VAT for businesses selling medicines (TND 0.03 bn).</t>
    </r>
  </si>
  <si>
    <r>
      <rPr>
        <b/>
        <sz val="10"/>
        <color theme="1"/>
        <rFont val="Arial"/>
        <family val="2"/>
      </rPr>
      <t>Additional spending</t>
    </r>
    <r>
      <rPr>
        <sz val="10"/>
        <color theme="1"/>
        <rFont val="Arial"/>
        <family val="2"/>
      </rPr>
      <t xml:space="preserve"> (TND 1.48bn):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</si>
  <si>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</si>
  <si>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(0.04 TND bn)
• Some extra-budgetary funds on public donation to the health sector (TND 0.186bn). 
• Investment fund to finance private companies to preserve jobs (TND 0.5bn). 
• A bridging fund for repurchase of shares in investment funds (TND 0.1bn).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</si>
  <si>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(€32.5 bn): </t>
    </r>
    <r>
      <rPr>
        <sz val="10"/>
        <rFont val="Arial"/>
        <family val="2"/>
      </rPr>
      <t>Postponement of social security contributions and tax payment for companies from Q2 to Q3.</t>
    </r>
  </si>
  <si>
    <t xml:space="preserve">• State guarantees for liquidity bank loans to companies and credit reinsurance schemes. </t>
  </si>
  <si>
    <r>
      <rPr>
        <b/>
        <sz val="10"/>
        <color theme="1"/>
        <rFont val="Arial"/>
        <family val="2"/>
      </rPr>
      <t>Additional spending (JPY 4.1 tn):</t>
    </r>
    <r>
      <rPr>
        <sz val="10"/>
        <color theme="1"/>
        <rFont val="Arial"/>
        <family val="2"/>
      </rPr>
      <t xml:space="preserve">
• Production, procurement, and distribution of critical equipment such as masks and ventilators (JPY 0.6 tn).
• Transfers to local governments to be used for their health- and long-term care related measures including cash handouts to medical and long-term care practitioners (JPY 2.4 tn).
• Other health-related measures, e.g., vaccine development, etc. (JPY 1.1 tn).</t>
    </r>
  </si>
  <si>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</si>
  <si>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($540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$446 bn.
• Families First Coronavirus Response Act (March 16, 2020) has revenue implications on the budget, estimated to cost around $94 bn.</t>
    </r>
  </si>
  <si>
    <r>
      <rPr>
        <b/>
        <sz val="10"/>
        <color theme="1"/>
        <rFont val="Arial"/>
        <family val="2"/>
      </rPr>
      <t xml:space="preserve">Additional spending:
• </t>
    </r>
    <r>
      <rPr>
        <sz val="10"/>
        <color theme="1"/>
        <rFont val="Arial"/>
        <family val="2"/>
      </rPr>
      <t xml:space="preserve">Expanded transfers for vulnerable groups (0.25 percent of GDP), including expanded social programs and support to workers in the informal sector. 
• Payroll subsidy for three months equivalent to 40 percent of the minimum wage per worker for businesses with a revenue fall above 20 percent (around 0.2 percent of GDP). 
•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t>
    </r>
  </si>
  <si>
    <r>
      <rPr>
        <b/>
        <sz val="10"/>
        <color theme="1"/>
        <rFont val="Arial"/>
        <family val="2"/>
      </rPr>
      <t>Additional spending (Rs150 bn):</t>
    </r>
    <r>
      <rPr>
        <sz val="10"/>
        <color theme="1"/>
        <rFont val="Arial"/>
        <family val="2"/>
      </rPr>
      <t xml:space="preserve">
• Additional spending on health infrastructure, including for COVID-19 testing facilities, personal protective equipment, isolation beds, ICU beds, and ventilators.</t>
    </r>
  </si>
  <si>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</si>
  <si>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1.4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250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</si>
  <si>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</si>
  <si>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</si>
  <si>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Deferred revenue</t>
    </r>
    <r>
      <rPr>
        <sz val="10"/>
        <color theme="1"/>
        <rFont val="Arial"/>
        <family val="2"/>
      </rPr>
      <t xml:space="preserve">: 
• Coronavirus Aid, Relief, and Economic Security Act (March 27, 2020) includes extension of IRS income tax filing deadline by 90 days and delay of employers' payroll taxes to 2021 and 2022. </t>
    </r>
  </si>
  <si>
    <r>
      <t xml:space="preserve">• Lk11 bn Government has offered a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</si>
  <si>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 xml:space="preserve">Deferred revenue: </t>
    </r>
    <r>
      <rPr>
        <sz val="10"/>
        <color theme="1"/>
        <rFont val="Arial"/>
        <family val="2"/>
      </rPr>
      <t xml:space="preserve">
• Postponement of tax reporting from Q2 to Q3.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</si>
  <si>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</si>
  <si>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t>
    </r>
    <r>
      <rPr>
        <b/>
        <sz val="10"/>
        <color theme="1"/>
        <rFont val="Arial"/>
        <family val="2"/>
      </rPr>
      <t xml:space="preserve">
Forgone revenue:
</t>
    </r>
    <r>
      <rPr>
        <b/>
        <sz val="10"/>
        <color theme="1"/>
        <rFont val="Symbol"/>
        <family val="1"/>
        <charset val="2"/>
      </rPr>
      <t xml:space="preserve">· </t>
    </r>
    <r>
      <rPr>
        <sz val="10"/>
        <color theme="1"/>
        <rFont val="Arial"/>
        <family val="2"/>
      </rPr>
      <t>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 Tax relief including for i) for personal income tax deduction for health insurance premium; ii) import duties for products preventing related to prevention or treatment of Covid-19 exempted until September 2020; iii) taxes are exempted and fees are cut for debt restructuring with non-financial creditors; iv) reduction in excise tax on jet fuel for domestic flights; and v) reduced withholding tax.</t>
    </r>
  </si>
  <si>
    <r>
      <rPr>
        <b/>
        <sz val="10"/>
        <color theme="1"/>
        <rFont val="Arial"/>
        <family val="2"/>
      </rPr>
      <t>Deferred revenue</t>
    </r>
    <r>
      <rPr>
        <sz val="10"/>
        <color theme="1"/>
        <rFont val="Arial"/>
        <family val="2"/>
      </rPr>
      <t>: Including personal income payment deadline extended to August, 2020; one month extension of deadline for payment of VAT, Special Business Tax, and other taxes under the Revenue Department; expedited VAT refund process for exporters, delay in collection of fees and charges levied by government agencies and SOEs.</t>
    </r>
  </si>
  <si>
    <t>• On-lending to local banks to support stakeholders of the cashew nut economy (CFAF 15.5 billion have already been lent).</t>
  </si>
  <si>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</si>
  <si>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r>
      <rPr>
        <b/>
        <sz val="10"/>
        <rFont val="Arial"/>
        <family val="2"/>
      </rPr>
      <t xml:space="preserve">Additional spending (€45.9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</si>
  <si>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</si>
  <si>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r>
      <rPr>
        <b/>
        <sz val="10"/>
        <color theme="1"/>
        <rFont val="Arial"/>
        <family val="2"/>
      </rPr>
      <t>Additional spending</t>
    </r>
    <r>
      <rPr>
        <sz val="10"/>
        <color theme="1"/>
        <rFont val="Arial"/>
        <family val="2"/>
      </rPr>
      <t xml:space="preserve"> (PLN 142.2 bn or 6.3 percent of GDP): Wage subsidies for employees of affected businesses up to 40 percent of average wages; care allowance for children owing to school closures; monthly benefit for self-employed individuals; establishing a public infrastructure investment fund. Includes the nonreturnable portion of the Polish Development Fund's provision of liquidity loans and subsidies that is treated as above-the-line expenditure item. 
</t>
    </r>
    <r>
      <rPr>
        <b/>
        <sz val="10"/>
        <color theme="1"/>
        <rFont val="Arial"/>
        <family val="2"/>
      </rPr>
      <t xml:space="preserve">
Foregone revenue:</t>
    </r>
    <r>
      <rPr>
        <sz val="10"/>
        <color theme="1"/>
        <rFont val="Arial"/>
        <family val="2"/>
      </rPr>
      <t xml:space="preserve"> (PLN 15.2 bn or 0.7 percent of GDP)</t>
    </r>
    <r>
      <rPr>
        <b/>
        <sz val="10"/>
        <color theme="1"/>
        <rFont val="Arial"/>
        <family val="2"/>
      </rPr>
      <t xml:space="preserve"> </t>
    </r>
    <r>
      <rPr>
        <sz val="10"/>
        <color theme="1"/>
        <rFont val="Arial"/>
        <family val="2"/>
      </rPr>
      <t xml:space="preserve">For micro firms up to 9 employees social insurance contributions will be covered by the budget for 3 months. For companies employing from 10 to 49 employees 50 % of social insurance contributions will be paid by the budget. </t>
    </r>
  </si>
  <si>
    <t>country</t>
  </si>
  <si>
    <t>LIDCs</t>
  </si>
  <si>
    <t>AEs</t>
  </si>
  <si>
    <t>Additional spending and forgone revenue</t>
  </si>
  <si>
    <r>
      <rPr>
        <b/>
        <sz val="10"/>
        <rFont val="Arial"/>
        <family val="2"/>
      </rPr>
      <t>Additional spending</t>
    </r>
    <r>
      <rPr>
        <sz val="10"/>
        <rFont val="Arial"/>
        <family val="2"/>
      </rPr>
      <t xml:space="preserve">: 
</t>
    </r>
    <r>
      <rPr>
        <sz val="10"/>
        <rFont val="Symbol"/>
        <family val="1"/>
        <charset val="2"/>
      </rPr>
      <t>·</t>
    </r>
    <r>
      <rPr>
        <sz val="10"/>
        <rFont val="Arial"/>
        <family val="2"/>
      </rPr>
      <t xml:space="preserve"> Expansion of existing social transfer programs for vulnerable households, including allowance programs and food aid distribution; Cash assistance to the jobless poor affected by COVID-19 (Corona-Cash). 
</t>
    </r>
    <r>
      <rPr>
        <sz val="10"/>
        <rFont val="Symbol"/>
        <family val="1"/>
        <charset val="2"/>
      </rPr>
      <t xml:space="preserve">· </t>
    </r>
    <r>
      <rPr>
        <sz val="10"/>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rFont val="Symbol"/>
        <family val="1"/>
        <charset val="2"/>
      </rPr>
      <t>·</t>
    </r>
    <r>
      <rPr>
        <sz val="10"/>
        <rFont val="Arial"/>
        <family val="2"/>
      </rPr>
      <t xml:space="preserve"> Subsidies to the agriculture sector (e.g. purchase of fertilizer and agriculture machinery, government procurement).</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</si>
  <si>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</si>
  <si>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xml:space="preserve">• Newly established Business Credit Availability Program (BCAP) and Canada Emergency Business Account (CEBA) will provide CAD 65 bn of additional support for businesses in the form of loan guarantees and shared financing arrangements through the Business Development Bank of Canada and Export Development Canada, including in sectors such as oil and gas, air transportation, exportation,  and tourism.
</t>
  </si>
  <si>
    <r>
      <rPr>
        <b/>
        <sz val="10"/>
        <color theme="1"/>
        <rFont val="Arial"/>
        <family val="2"/>
      </rPr>
      <t xml:space="preserve">Additional spending (€251 bn): </t>
    </r>
    <r>
      <rPr>
        <sz val="10"/>
        <color theme="1"/>
        <rFont val="Arial"/>
        <family val="2"/>
      </rPr>
      <t xml:space="preserve">including grants to hard hit small businesses and self-employed, increased access to childcare and basic social security benefits, temporary relief to affected tenants, more child support, and renewable electricity subsidy. There is also support to firms and households provided through the “Kurzabeit” program, part of which is considered discretionary because the program parameters have been changed.
</t>
    </r>
    <r>
      <rPr>
        <b/>
        <sz val="10"/>
        <color theme="1"/>
        <rFont val="Arial"/>
        <family val="2"/>
      </rPr>
      <t>Forgone revenue (€30 bn):</t>
    </r>
    <r>
      <rPr>
        <sz val="10"/>
        <color theme="1"/>
        <rFont val="Arial"/>
        <family val="2"/>
      </rPr>
      <t xml:space="preserve"> a temporary VAT cut and tax cuts for SMEs.</t>
    </r>
  </si>
  <si>
    <r>
      <rPr>
        <b/>
        <sz val="10"/>
        <color theme="1"/>
        <rFont val="Arial"/>
        <family val="2"/>
      </rPr>
      <t xml:space="preserve">Additional spending (€6 bn): </t>
    </r>
    <r>
      <rPr>
        <sz val="10"/>
        <color theme="1"/>
        <rFont val="Arial"/>
        <family val="2"/>
      </rPr>
      <t xml:space="preserve">including on medical equipment and staff.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</si>
  <si>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(€46.5 bn): </t>
    </r>
    <r>
      <rPr>
        <sz val="10"/>
        <rFont val="Arial"/>
        <family val="2"/>
      </rPr>
      <t xml:space="preserve">including income support to laid-off workers and the self-employed, and vouchers for the payment of babysitters by broadening the wage supplementation fund (€25 bn);  grants for SMEs to cover rents, utility bills (€15 bn); education (€1.5 bn).
</t>
    </r>
    <r>
      <rPr>
        <b/>
        <sz val="10"/>
        <rFont val="Arial"/>
        <family val="2"/>
      </rPr>
      <t>Forgone revenue (€2 bn)</t>
    </r>
    <r>
      <rPr>
        <sz val="10"/>
        <rFont val="Arial"/>
        <family val="2"/>
      </rPr>
      <t>: tax credits.</t>
    </r>
  </si>
  <si>
    <r>
      <rPr>
        <b/>
        <sz val="10"/>
        <rFont val="Arial"/>
        <family val="2"/>
      </rPr>
      <t>Deferred revenue:</t>
    </r>
    <r>
      <rPr>
        <sz val="10"/>
        <rFont val="Arial"/>
        <family val="2"/>
      </rPr>
      <t xml:space="preserve"> including postponement of VAT, CIT, and social security contributions for SMEs, as well as property taxes and utility bills in most affected municipalities. </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</si>
  <si>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</si>
  <si>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92 tn).
• Public financial institutions' provision of subordinated loans (quasi-equity) and equities (JPY 2.7 tn).
• Public financial institutions' loans to affected hospitals and clinics (JPY 1.3 tn).
• Other quasi-fiscal operations using the Development Bank of Japan and other agencies (primarily for infrastructure projects in the post-containment phase) (JPY 13 tn).</t>
  </si>
  <si>
    <r>
      <rPr>
        <b/>
        <sz val="10"/>
        <rFont val="Arial"/>
        <family val="2"/>
      </rPr>
      <t xml:space="preserve">Additional spending (€26 bn):
</t>
    </r>
    <r>
      <rPr>
        <sz val="10"/>
        <rFont val="Arial"/>
        <family val="2"/>
      </rPr>
      <t xml:space="preserve">• Unemployment benefit for workers registered under the Temporary Employment Adjustment Schemes (ERTE), with no requirement for prior minimum contribution or reduction of accumulated entitlement (€17.8 bn); 
• An allowance for affected self-employed (€3.8 bn);
• Increased sick pay for infected or quarantined workers (€1.4 bn); 
• Introduction of a new means-tested "minimum vital income";
• A temporary subsidy for affected household employees and allowance for temporary workers with contracts expiring during the state of emergency but no entitlement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rFont val="Arial"/>
        <family val="2"/>
      </rPr>
      <t xml:space="preserve">
Forgone revenue (€6 bn): 
</t>
    </r>
    <r>
      <rPr>
        <sz val="10"/>
        <rFont val="Arial"/>
        <family val="2"/>
      </rPr>
      <t>• Exemptions of social contributions for affected companies that maintain employment under the ERTE and affected self-employed (€3.2 bn);
• Flexibility in filing income tax and VAT installment payment for SMEs and self-employed (€1.1 bn);
• Temporary waiver of VAT on purchases of certain medical material (€1 billion);
• 6-month suspension of social security contributions and deferral of social security debts for the self-employed and companies in selected industries (€0.7bn);
• 50 percent exemption from employer’s social security contributions for workers with permanent discontinuous contracts in the tourism sector and related activities.</t>
    </r>
  </si>
  <si>
    <r>
      <rPr>
        <b/>
        <sz val="10"/>
        <color theme="1"/>
        <rFont val="Arial"/>
        <family val="2"/>
      </rPr>
      <t xml:space="preserve">Additional spending: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t>
    </r>
    <r>
      <rPr>
        <b/>
        <sz val="10"/>
        <color theme="1"/>
        <rFont val="Arial"/>
        <family val="2"/>
      </rPr>
      <t xml:space="preserve">
Forgone revenue:</t>
    </r>
    <r>
      <rPr>
        <sz val="10"/>
        <color theme="1"/>
        <rFont val="Arial"/>
        <family val="2"/>
      </rPr>
      <t xml:space="preserve"> property tax (business rate) holiday for firms in affected sectors for 12 months.</t>
    </r>
  </si>
  <si>
    <r>
      <rPr>
        <b/>
        <sz val="10"/>
        <color theme="1"/>
        <rFont val="Arial"/>
        <family val="2"/>
      </rPr>
      <t>Additional spending ($304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$59 bn. 
• Coronavirus Aid, Relief, and Economic Security Act (March 27, 2020) approved $138 bn for additional health spending, which includes funding for hospitals ($100 bn), the Center of Disease Control ($4.3 bn), and vaccine development ($27 bn); expansion of Medicare payments and provision of tax advantages for certain medical expense.
• Paycheck Protection Program and Health Care Enhancement Act (April 23, 2020) includes $75 bn for hospitals and $25 bn for testing.</t>
    </r>
  </si>
  <si>
    <r>
      <rPr>
        <b/>
        <sz val="10"/>
        <rFont val="Arial"/>
        <family val="2"/>
      </rPr>
      <t>Additional spending (AR $710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$75 bn)</t>
    </r>
    <r>
      <rPr>
        <sz val="10"/>
        <rFont val="Arial"/>
        <family val="2"/>
      </rPr>
      <t>:
• Most affected sectors granted 95% reduction in employers’ contributions to the pension system.
• VAT refund for milk sales.</t>
    </r>
  </si>
  <si>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</si>
  <si>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Road tolls and some service fees charged by airports and railways were exempted or reduced; the price of electricity was cut by 5 percent. The authorities estimate the cost of the toll exemption was about RMB 140 bn.
• Railway logistic fee lowered by 50% until Jun 30 with an estimated cost of RMB 350 mn.
• From Mar 1 to Dec 31, the port construction fee will be exempted and some fees are cut. 
• Allow China’s state-funded infrastructure projects to use up to 15 percent of investment for a project to pay wages.
• The central government transfer payment rate to provinces was increased from 3% to 4% for pensions.</t>
  </si>
  <si>
    <t>• The national guarantee fund will work with banks providing loan guarantee services, planning to increase re-guarantee business by RMB 400 bn in 2020. Local government-backed guarantee/re-guarantee agencies are required to lower guarantee service costs to below 1 percent for SMEs.</t>
  </si>
  <si>
    <r>
      <rPr>
        <b/>
        <sz val="10"/>
        <rFont val="Arial"/>
        <family val="2"/>
      </rPr>
      <t xml:space="preserve">Additional spending (Rs 2.3 tn):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t>
    </r>
  </si>
  <si>
    <r>
      <rPr>
        <b/>
        <sz val="10"/>
        <rFont val="Arial"/>
        <family val="2"/>
      </rPr>
      <t>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</si>
  <si>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</si>
  <si>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</si>
  <si>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222.3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</si>
  <si>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color theme="1"/>
        <rFont val="Arial"/>
        <family val="2"/>
      </rPr>
      <t xml:space="preserve">Additional spending (SAR 9.9 bn): 
</t>
    </r>
    <r>
      <rPr>
        <sz val="10"/>
        <color theme="1"/>
        <rFont val="Arial"/>
        <family val="2"/>
      </rPr>
      <t xml:space="preserve">• Wage benefits to employers who keep their workers to be provided through the unemployment insurance scheme, SANED (SAR 9 bn). 
• Ministry of Energy announced temporary electricity subsidies to commercial, industrial, and agricultural sectors (SAR 0.9 bn)
</t>
    </r>
  </si>
  <si>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</si>
  <si>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t>
    </r>
    <r>
      <rPr>
        <sz val="10"/>
        <rFont val="Arial"/>
        <family val="2"/>
      </rPr>
      <t>• Tax subsidy of up to R 550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</si>
  <si>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</si>
  <si>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below a certain turnover threshold pay operating expenses including salaries, suppliers etc.</t>
  </si>
  <si>
    <t>• Turkey Wealth Fund (TWF) has been granted new rights to take equity in firms affected by Covid-19, and was assigned to inject a core capital of 0.4 percent of GDP into three state banks, funded by issuance of Treasury bonds.</t>
  </si>
  <si>
    <r>
      <rPr>
        <b/>
        <sz val="10"/>
        <color theme="1"/>
        <rFont val="Arial"/>
        <family val="2"/>
      </rPr>
      <t xml:space="preserve">Additional spending (SAR 47 bn): </t>
    </r>
    <r>
      <rPr>
        <sz val="10"/>
        <color theme="1"/>
        <rFont val="Arial"/>
        <family val="2"/>
      </rPr>
      <t>Budget reallocation within the Ministry of Health budget [and other budget items] for emergency spending to fight COVID-19.</t>
    </r>
  </si>
  <si>
    <r>
      <t xml:space="preserve">Additional spending (NZ $55.7 bn): </t>
    </r>
    <r>
      <rPr>
        <sz val="10"/>
        <rFont val="Arial"/>
        <family val="2"/>
      </rPr>
      <t xml:space="preserve">including lump sum 12-week wage subsidies available for all employers significantly affected by COVID-19 (NZ $14.9 bn); financial support for workers not paid normally during self-isolation (NZ $126 mn); temporary increase in winter energy payment (NZ $480 mn); permanent increase in benefits (NZ$2.4 bn in the next four years); and support package for the aviation sector (NZ$ 600 mn). A large part of additional spending is still unallocated.
</t>
    </r>
    <r>
      <rPr>
        <b/>
        <sz val="10"/>
        <rFont val="Arial"/>
        <family val="2"/>
      </rPr>
      <t>Forgone revenue (NZ $5.9 bn)</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</si>
  <si>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 xml:space="preserve">Additional spending: 
</t>
    </r>
    <r>
      <rPr>
        <sz val="10"/>
        <rFont val="Arial"/>
        <family val="2"/>
      </rPr>
      <t xml:space="preserve">• Federal government eased access to temporary unemployment for firms affected by Covid-19, raised the benefit replacement rate, and introduced a daily premium, as well as eased access to replacement income for self-employed. Temporary measures have been extended until end-August or end-December 2020, including covid-related parental leave, and additional measures taken to support hard-hit sectors and vulnerable groups. 
• Regional governments provided lump-sum compensation for companies and self-employed affected by closures or significantly reduced turnover; further support to specific, affected sectors in addition to the health care sector; support for utility bills for affected households; and a host of smaller support measures.
</t>
    </r>
    <r>
      <rPr>
        <b/>
        <sz val="10"/>
        <rFont val="Arial"/>
        <family val="2"/>
      </rPr>
      <t xml:space="preserve">
Forgone revenue</t>
    </r>
    <r>
      <rPr>
        <sz val="10"/>
        <rFont val="Arial"/>
        <family val="2"/>
      </rPr>
      <t>:  
• Suspension of penalties for delays or non-performance of suppliers to the public sector.
• Loss carry backward for CIT and PIT, tax exemption for regional support measures (for firms affected by closures and reduced turnover), and temporary reduction in VAT in the hospitality sector (e.g., food and non-alcoholic beverages). Suspension of penalties for delays or non-performance of suppliers to the public sector.</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</si>
  <si>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(€10 bn): </t>
    </r>
    <r>
      <rPr>
        <sz val="10"/>
        <color theme="1"/>
        <rFont val="Arial"/>
        <family val="2"/>
      </rPr>
      <t xml:space="preserve">
• Deferred payment of tax and social security contributions for affected firms, self-employed, and households, without application of interest charges and penalties, estimated at about 10 bn euros.</t>
    </r>
  </si>
  <si>
    <r>
      <rPr>
        <b/>
        <sz val="10"/>
        <color theme="1"/>
        <rFont val="Arial"/>
        <family val="2"/>
      </rPr>
      <t>Additional spending:</t>
    </r>
    <r>
      <rPr>
        <sz val="10"/>
        <color theme="1"/>
        <rFont val="Arial"/>
        <family val="2"/>
      </rPr>
      <t xml:space="preserve">
• Compensation of up to 90 percent of labor costs for companies expecting a reduction in revenues of 20 percent or more; compensation for affected sectors (for example, hospitality services and travel). 
• Income support for entrepreneurs and self-employed (administered at municipal and regional level) for a period of three months through expedited procedures.
• Support for start-ups and small innovation companies through loans provided by government regional agencies. 
• Scaling up of the short-time working scheme (unemployment benefit compensation available to companies needing to reduce their staff by at least 20 percent). I92
</t>
    </r>
    <r>
      <rPr>
        <b/>
        <sz val="10"/>
        <color theme="1"/>
        <rFont val="Arial"/>
        <family val="2"/>
      </rPr>
      <t xml:space="preserve">
Forgone revenue</t>
    </r>
    <r>
      <rPr>
        <sz val="10"/>
        <color theme="1"/>
        <rFont val="Arial"/>
        <family val="2"/>
      </rPr>
      <t>:
• Reduction of tourist taxes and taxes in the culture sector.</t>
    </r>
  </si>
  <si>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t>
  </si>
  <si>
    <t>Country /1</t>
  </si>
  <si>
    <t>Unit</t>
  </si>
  <si>
    <t>Government Level</t>
  </si>
  <si>
    <t>AE</t>
  </si>
  <si>
    <t>Country Group</t>
  </si>
  <si>
    <t>G20 + Spain</t>
  </si>
  <si>
    <t>EM</t>
  </si>
  <si>
    <t>LIDC</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</si>
  <si>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</si>
  <si>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r>
      <rPr>
        <b/>
        <sz val="10"/>
        <color theme="1"/>
        <rFont val="Arial"/>
        <family val="2"/>
      </rPr>
      <t>Additional spending</t>
    </r>
    <r>
      <rPr>
        <sz val="10"/>
        <color theme="1"/>
        <rFont val="Arial"/>
        <family val="2"/>
      </rPr>
      <t>: The authorities have increased public health spending and are trying to ensure sufficient supply of medical equipment and materials.</t>
    </r>
  </si>
  <si>
    <r>
      <rPr>
        <b/>
        <sz val="10"/>
        <rFont val="Arial"/>
        <family val="2"/>
      </rPr>
      <t>Accelerated spending:</t>
    </r>
    <r>
      <rPr>
        <sz val="10"/>
        <rFont val="Arial"/>
        <family val="2"/>
      </rPr>
      <t xml:space="preserve">
• Frontloaded social pension payments for the elderly and disabled people by 4 months (MXN 46.4 bn).
• Procurement processes and VAT refunds are to be accelerated.</t>
    </r>
  </si>
  <si>
    <t>• Institute for Social Security and Services (ISSSTE) loans to state workers with low interest rates (MXN 35 bn).
• Personal loans granted by the Institute of the National Fund for the Consumption of Workers (Fonacot) (MXN 3 bn).</t>
  </si>
  <si>
    <r>
      <rPr>
        <b/>
        <sz val="10"/>
        <rFont val="Arial"/>
        <family val="2"/>
      </rPr>
      <t>Additional spending</t>
    </r>
    <r>
      <rPr>
        <sz val="10"/>
        <rFont val="Arial"/>
        <family val="2"/>
      </rPr>
      <t>:
• Loans with optional repayment to be granted by the Ministry of Economy to 1 million SMEs that maintain employees on payroll, self-employed, and domestic workers. Eligibility is assessed using IMSS database (MXN 25 bn).
• Loans with optional repayment to be granted by the Ministry of Economy to 1 million family businesses, previously registered in the Welfare Census (MXN 25 bn).
• Expansion of Welfare Programs (MXN 50 bn) for infrastructure (MXN 33 bn), security (MXN 7.2 bn), education (MXN 5.8 bn), and other (MXN 4 bn)
• Unemployment subsidy for 3 months to workers that hold a mortgage with the Housing Institute (MXN 7.3 bn)</t>
    </r>
  </si>
  <si>
    <r>
      <rPr>
        <b/>
        <sz val="10"/>
        <rFont val="Arial"/>
        <family val="2"/>
      </rPr>
      <t>Credits loans SME (MXN 25 bn)</t>
    </r>
    <r>
      <rPr>
        <b/>
        <u/>
        <sz val="10"/>
        <rFont val="Arial"/>
        <family val="2"/>
      </rPr>
      <t xml:space="preserve">
</t>
    </r>
    <r>
      <rPr>
        <sz val="10"/>
        <rFont val="Arial"/>
        <family val="2"/>
      </rPr>
      <t xml:space="preserve">1. CRÉDITO SOLIDARIO A LA PALABRA
1.1 Crédito solidario a la palabra para empresarios solidarios </t>
    </r>
    <r>
      <rPr>
        <u/>
        <sz val="10"/>
        <rFont val="Arial"/>
        <family val="2"/>
      </rPr>
      <t xml:space="preserve">http://www.imss.gob.mx/prensa/archivo/202005/280 </t>
    </r>
    <r>
      <rPr>
        <sz val="10"/>
        <rFont val="Arial"/>
        <family val="2"/>
      </rPr>
      <t xml:space="preserve">
1.2 Crédito solidario a la palabra para trabajadoras del hogar-  </t>
    </r>
    <r>
      <rPr>
        <u/>
        <sz val="10"/>
        <rFont val="Arial"/>
        <family val="2"/>
      </rPr>
      <t xml:space="preserve">http://www.imss.gob.mx/prensa/archivo/202005/289 </t>
    </r>
    <r>
      <rPr>
        <sz val="10"/>
        <rFont val="Arial"/>
        <family val="2"/>
      </rPr>
      <t xml:space="preserve">
1.3 Crédito solidario a la palabra para trabajadores independiente </t>
    </r>
    <r>
      <rPr>
        <u/>
        <sz val="10"/>
        <rFont val="Arial"/>
        <family val="2"/>
      </rPr>
      <t xml:space="preserve">http://www.imss.gob.mx/prensa/archivo/202005/289 </t>
    </r>
    <r>
      <rPr>
        <sz val="10"/>
        <rFont val="Arial"/>
        <family val="2"/>
      </rPr>
      <t xml:space="preserve">
</t>
    </r>
    <r>
      <rPr>
        <b/>
        <sz val="10"/>
        <rFont val="Arial"/>
        <family val="2"/>
      </rPr>
      <t xml:space="preserve">Credits loans to family business of Welfare Census (MXN 25 bn) </t>
    </r>
    <r>
      <rPr>
        <u/>
        <sz val="10"/>
        <rFont val="Arial"/>
        <family val="2"/>
      </rPr>
      <t xml:space="preserve">https://www.gob.mx/se/articulos/ante-la-pandemia-del-coronavirus-fortalece-gobierno-federal-apoyo-a-pequenos-negocios?idiom=es </t>
    </r>
    <r>
      <rPr>
        <sz val="10"/>
        <rFont val="Arial"/>
        <family val="2"/>
      </rPr>
      <t xml:space="preserve">
</t>
    </r>
    <r>
      <rPr>
        <u/>
        <sz val="10"/>
        <rFont val="Arial"/>
        <family val="2"/>
      </rPr>
      <t xml:space="preserve">
</t>
    </r>
    <r>
      <rPr>
        <b/>
        <sz val="10"/>
        <rFont val="Arial"/>
        <family val="2"/>
      </rPr>
      <t xml:space="preserve">Loans ISSSTE (MXN 35 bn) </t>
    </r>
    <r>
      <rPr>
        <u/>
        <sz val="10"/>
        <rFont val="Arial"/>
        <family val="2"/>
      </rPr>
      <t xml:space="preserve">https://www.gob.mx/issste/prensa/redisena-el-issste-programa-de-prestamos-personales-2020-para-ayudar-a-reactivar-la-economia-en-el-pais?idiom=es
</t>
    </r>
    <r>
      <rPr>
        <b/>
        <sz val="10"/>
        <rFont val="Arial"/>
        <family val="2"/>
      </rPr>
      <t xml:space="preserve">VAT refunds accelerated </t>
    </r>
    <r>
      <rPr>
        <u/>
        <sz val="10"/>
        <rFont val="Arial"/>
        <family val="2"/>
      </rPr>
      <t xml:space="preserve">https://www.gob.mx/sat/prensa/las-devoluciones-de-impuestos-se-realizan-en-tiempo-y-forma-de-acuerdo-con-la-normatividad-aplicable-17-2020?idiom=es
</t>
    </r>
    <r>
      <rPr>
        <b/>
        <sz val="10"/>
        <rFont val="Arial"/>
        <family val="2"/>
      </rPr>
      <t>Frontload pensions (MXN 46.4 bn)</t>
    </r>
    <r>
      <rPr>
        <u/>
        <sz val="10"/>
        <rFont val="Arial"/>
        <family val="2"/>
      </rPr>
      <t xml:space="preserve"> https://www.gob.mx/bienestar/prensa/en-apoyo-a-la-economia-popular-se-adelanta-pago-de-pensiones-de-adultos-mayores-y-personas-con-discapacidad?idiom=es 
</t>
    </r>
    <r>
      <rPr>
        <b/>
        <sz val="10"/>
        <rFont val="Arial"/>
        <family val="2"/>
      </rPr>
      <t>Payment extensions, unemployment insurance to workers that hold a mortgage with the Housing Institute (MXN 20 bn)</t>
    </r>
    <r>
      <rPr>
        <b/>
        <u/>
        <sz val="10"/>
        <rFont val="Arial"/>
        <family val="2"/>
      </rPr>
      <t xml:space="preserve">
</t>
    </r>
    <r>
      <rPr>
        <u/>
        <sz val="10"/>
        <rFont val="Arial"/>
        <family val="2"/>
      </rPr>
      <t xml:space="preserve">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b/>
        <sz val="10"/>
        <rFont val="Arial"/>
        <family val="2"/>
      </rPr>
      <t>Fonacot Loans (MXN 3 bn)</t>
    </r>
    <r>
      <rPr>
        <sz val="10"/>
        <rFont val="Arial"/>
        <family val="2"/>
      </rPr>
      <t xml:space="preserve"> </t>
    </r>
    <r>
      <rPr>
        <u/>
        <sz val="10"/>
        <rFont val="Arial"/>
        <family val="2"/>
      </rPr>
      <t>https://www.fonacot.gob.mx/SaladePrensa/Paginas/comunicados.aspx?idc=396</t>
    </r>
  </si>
  <si>
    <t>G20: Emerging markets</t>
  </si>
  <si>
    <t>Other Selected Emerging Markets</t>
  </si>
  <si>
    <t>Selected Low-Income Developing Countries</t>
  </si>
  <si>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</si>
  <si>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t xml:space="preserve">1/ The country list includes European Union as well, but the total global fiscal support does not include measures announced by the European Union because those are financing the measures by member states, which have been included individually. </t>
  </si>
  <si>
    <t>Fiscal Monitor: Database of Country Fiscal Measures in Response to the COVID-19 Pandemic</t>
  </si>
  <si>
    <t>• Loans for the industrial sector to promote digital transformation and modernization.</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</si>
  <si>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t>
  </si>
  <si>
    <r>
      <rPr>
        <b/>
        <sz val="10"/>
        <rFont val="Arial"/>
        <family val="2"/>
      </rPr>
      <t>Additional spending (AR $33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$5.5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</si>
  <si>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color theme="1"/>
        <rFont val="Arial"/>
        <family val="2"/>
      </rPr>
      <t xml:space="preserve">Additional spending (BRL 54.2 bn): </t>
    </r>
    <r>
      <rPr>
        <sz val="10"/>
        <color theme="1"/>
        <rFont val="Arial"/>
        <family val="2"/>
      </rPr>
      <t xml:space="preserve">Federal Government spending (BRL 44.2 bn) and transfers to Local Governments (BRL 10 bn) to combat the health crisis and cover higher health spending.
</t>
    </r>
    <r>
      <rPr>
        <b/>
        <sz val="10"/>
        <color theme="1"/>
        <rFont val="Arial"/>
        <family val="2"/>
      </rPr>
      <t xml:space="preserve">Forgone revenue (BRL 6.5 bn): </t>
    </r>
    <r>
      <rPr>
        <sz val="10"/>
        <color theme="1"/>
        <rFont val="Arial"/>
        <family val="2"/>
      </rPr>
      <t>a temporary (3 month) reduction in taxes on selected imported and domestic goods to combat Covid-19.</t>
    </r>
  </si>
  <si>
    <r>
      <rPr>
        <b/>
        <sz val="10"/>
        <color theme="1"/>
        <rFont val="Arial"/>
        <family val="2"/>
      </rPr>
      <t xml:space="preserve">Additional spending (BRL 374.8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9.2 bn): 
</t>
    </r>
    <r>
      <rPr>
        <sz val="10"/>
        <color theme="1"/>
        <rFont val="Arial"/>
        <family val="2"/>
      </rPr>
      <t>• Lower social contributions for small businesses for 3 months.
• Elimination of the financial transactions tax for 3 months.</t>
    </r>
  </si>
  <si>
    <r>
      <rPr>
        <b/>
        <sz val="10"/>
        <color theme="1"/>
        <rFont val="Arial"/>
        <family val="2"/>
      </rPr>
      <t xml:space="preserve">Accelerated spending (BRL 63.8 bn): </t>
    </r>
    <r>
      <rPr>
        <sz val="10"/>
        <color theme="1"/>
        <rFont val="Arial"/>
        <family val="2"/>
      </rPr>
      <t xml:space="preserve">Advance payment of 13th pension benefit, wage bonuses to low-income workers, and sickness/disability benefits.
</t>
    </r>
    <r>
      <rPr>
        <b/>
        <sz val="10"/>
        <color theme="1"/>
        <rFont val="Arial"/>
        <family val="2"/>
      </rPr>
      <t xml:space="preserve">
Deferred revenue (BRL 132.2 bn)</t>
    </r>
    <r>
      <rPr>
        <sz val="10"/>
        <color theme="1"/>
        <rFont val="Arial"/>
        <family val="2"/>
      </rPr>
      <t>: 3-month delay in social contributions paid by firms and employers, as well as in small business taxes and PIT.</t>
    </r>
  </si>
  <si>
    <t>• Direct government loans, including credit lines to SMEs to finance payroll costs (BRL 34 bn), support to fund lending to microbusinesses (BRL 15.9 bn), support to a credit guarantee fund to finance SMEs (BRL 20 bn), and credit support to the tourism sector (BRL 5 bn).</t>
  </si>
  <si>
    <t>State guaranteed, subsidized bank lending (estimated at 2 percent of GDP):
• Subsidized loans for the construction and repair of houses, SMEs, monotributistas, and self-employed workers (autónomos);
• State-guaranteed funds (FOGAR/FONDEP) for credit to SMEs and monotributistas;
• Banco Nación and Anses loans, subsidies, and transfers for housing projects;
• Financing for SMEs to help implement remote working facilities;
• Financing to duty-free manufacturing zones to carry out infrastructure works;
• Subsidized loans for provincial governments through FFDP to reform provincial public sector and promote development projects;
• Suspension of public service cuts for 180 days due to non-payment of up to 3 consecutive invoices.</t>
  </si>
  <si>
    <t xml:space="preserve">Credit lines from public banks to SMEs, micro-firms, and individuals (BNDES: BRL 39bn, Caixa: BRL 154bn, Banco do Brasil: BRL100):  
• BNDES opened a working capital loan line for tourism and service sectors (small and medium-sized firms), renegotiated loan terms benefiting sectors such as oil and gas, airports, ports, energy, transportation, urban mobility, health, industry,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t>
  </si>
  <si>
    <r>
      <rPr>
        <b/>
        <sz val="10"/>
        <rFont val="Arial"/>
        <family val="2"/>
      </rPr>
      <t xml:space="preserve">Additional spending: 
• </t>
    </r>
    <r>
      <rPr>
        <sz val="10"/>
        <rFont val="Arial"/>
        <family val="2"/>
      </rPr>
      <t xml:space="preserve">First supplementary budget (KRW 2.1 tn): Epidemic prevention and treatment, support for medical institutions and quarantined households.
• Third supplementary budget (KRW 2.5 tn): Expanding diagnostic and treatment facilities and smart medical centers; promoting treatment and vaccine development; promoting test-trace-treatment to be a global standard and increasing official development aid of K COVID-19 response kits and tools. </t>
    </r>
  </si>
  <si>
    <r>
      <rPr>
        <b/>
        <sz val="10"/>
        <color theme="1"/>
        <rFont val="Arial"/>
        <family val="2"/>
      </rPr>
      <t xml:space="preserve">Additional spending (JPY 54.7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1.1 tn).
Additional measures announced May 27 include: 
• Transfers to local governments (JPY 2 tn); 
• Expansion of work subsidies (JPY 1.3 tn); 
• Subsidies for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</si>
  <si>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VAT rate on internal travel reduced from 18% to 1%.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</si>
  <si>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 Tax deferrals for the self-employed, farmers, tailors, grocers, lawyers, financial advisers, architects, engineers, doctors, and dentists, and affected sectors, such as retail, iron-steel, logistics-transportation, etc.
• Tax deferrals for over 65s or those with chronic illnesses.
• Postponed payments regarding withholding tax returns and VAT declarations
• Payment of SSC premiums has also been postponed.  
• Land occupation and revenue sharing payments in leasing of hotels will be postponed for 6 months.
</t>
    </r>
  </si>
  <si>
    <t xml:space="preserve">• Credit guarantee fund (TBCG) guarantees to SMEs, large firms, and individuals. </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</si>
  <si>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June 2020 World Economic Outlook Update projections for 2020 unless otherwise stated. For Argentina, U.S. dollar values use end-May 2020 exchange rate. G20 = Group of Twenty; AE = Advanced Economy; EM = Emerging Market; LIDC = Low Income Developing Country. </t>
  </si>
  <si>
    <t>• Special guarantee for SMEs and small merchants (KRW 5.5 tn), 
• guarantee for small businesses (KRW 3 tn).
• guarantees for SMEs and middle market enterprises with unfavorable credit history (KRW 7.9 tn).
• Korea Credit Guarantee Fund (KODIT) to support corporate bond issuance by primary collateralized obligations (KRW 11.7 tn).
• guarantees/loans related to trade financing and overseas projects (KRW 6 tn).</t>
  </si>
  <si>
    <t xml:space="preserve">• From February to June, Korean government has announced KRW 147 tn financial support measures (excluding guarantee, mostly for SMEs), including KRW 40 tn financial support for key industries.
</t>
  </si>
  <si>
    <r>
      <rPr>
        <b/>
        <sz val="10"/>
        <rFont val="Arial"/>
        <family val="2"/>
      </rPr>
      <t xml:space="preserve">Additional Spending (KRW 50.1tn):
</t>
    </r>
    <r>
      <rPr>
        <sz val="10"/>
        <rFont val="Arial"/>
        <family val="2"/>
      </rPr>
      <t xml:space="preserve">• The government has announced consumption coupons for the poor, emergency family care support, and support for business re-opening (KRW 5.6tn).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</si>
  <si>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</si>
  <si>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xml:space="preserve">• Government guarantees for bank lending to micro, small, and medium enterprises (IDR 150 tn)
</t>
  </si>
  <si>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which will be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</si>
  <si>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</si>
  <si>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t>
  </si>
  <si>
    <t>Table 1. Summary of Country Fiscal Measures in Response to the COVID-19 Pandemic</t>
  </si>
  <si>
    <t>New = N</t>
  </si>
  <si>
    <t>Primary</t>
  </si>
  <si>
    <t>Backup</t>
  </si>
  <si>
    <t>Last updated</t>
  </si>
  <si>
    <t>by</t>
  </si>
  <si>
    <t>Note</t>
  </si>
  <si>
    <t>ET</t>
  </si>
  <si>
    <t>SY</t>
  </si>
  <si>
    <t>PE</t>
  </si>
  <si>
    <t>Euro Area / EU</t>
  </si>
  <si>
    <t>AL</t>
  </si>
  <si>
    <t>RL</t>
  </si>
  <si>
    <r>
      <t xml:space="preserve">This database summarizes key fiscal measures governments have announced or taken in selected economies in response to the COVID-19 pandemic as of </t>
    </r>
    <r>
      <rPr>
        <sz val="15"/>
        <color rgb="FFFF0000"/>
        <rFont val="Arial"/>
        <family val="2"/>
      </rPr>
      <t>June 12,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 For questions and suggestions, please contact IMF-Fiscal_CovidData@imf.org.</t>
    </r>
  </si>
  <si>
    <t>Myanmar</t>
  </si>
  <si>
    <t>Uzbekistan</t>
  </si>
  <si>
    <t>Nepal</t>
  </si>
  <si>
    <t>Niger</t>
  </si>
  <si>
    <t>Zambia</t>
  </si>
  <si>
    <t>N</t>
  </si>
  <si>
    <t>TBD</t>
  </si>
  <si>
    <r>
      <rPr>
        <b/>
        <sz val="10"/>
        <rFont val="Arial"/>
        <family val="2"/>
      </rPr>
      <t>Additional spending (AUD 9.4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
• Australia co-funds the WHO's Pacific regional coronavirus response plan together with New Zealand.
</t>
    </r>
  </si>
  <si>
    <r>
      <rPr>
        <b/>
        <sz val="10"/>
        <color theme="1"/>
        <rFont val="Arial"/>
        <family val="2"/>
      </rPr>
      <t xml:space="preserve">Additional spending (CAD 212.2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
• Increase the maximum annual Canada Child Benefit payment amounts.
• Support to students and new graduates who are not eligible for the Canada Emergency Response Benefit.</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</si>
  <si>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</si>
  <si>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
  </si>
  <si>
    <t>No change</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</si>
  <si>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€63 bn.</t>
  </si>
  <si>
    <r>
      <rPr>
        <b/>
        <sz val="10"/>
        <rFont val="Arial"/>
        <family val="2"/>
      </rPr>
      <t xml:space="preserve">Additional spending (€71.5 bn): </t>
    </r>
    <r>
      <rPr>
        <sz val="10"/>
        <rFont val="Arial"/>
        <family val="2"/>
      </rPr>
      <t xml:space="preserve">including broadening the wage supplementation fund to provide income support to laid-off workers and the self-employed, vouchers for the payment of babysitters (€52 bn); grants for SMEs to cover rents, utility bills (€15 bn); education (€1.5 bn).
</t>
    </r>
    <r>
      <rPr>
        <b/>
        <sz val="10"/>
        <rFont val="Arial"/>
        <family val="2"/>
      </rPr>
      <t>Forgone revenue (€2 bn)</t>
    </r>
    <r>
      <rPr>
        <sz val="10"/>
        <rFont val="Arial"/>
        <family val="2"/>
      </rPr>
      <t>: tax credits.</t>
    </r>
  </si>
  <si>
    <r>
      <rPr>
        <b/>
        <sz val="10"/>
        <color theme="1"/>
        <rFont val="Arial"/>
        <family val="2"/>
      </rPr>
      <t>Additional spending (JPY 4.3 tn):</t>
    </r>
    <r>
      <rPr>
        <sz val="10"/>
        <color theme="1"/>
        <rFont val="Arial"/>
        <family val="2"/>
      </rPr>
      <t xml:space="preserve">
• Production, procurement, and distribution of critical equipment such as masks and ventilators (JPY 0.8 tn).
• Transfers to local governments to be used for their health- and long-term care related measures including cash handouts to medical and long-term care practitioners (JPY 2.4 tn).
• Other health-related measures, e.g., vaccine development, etc. (JPY 1.1 tn).</t>
    </r>
  </si>
  <si>
    <r>
      <rPr>
        <b/>
        <sz val="10"/>
        <color theme="1"/>
        <rFont val="Arial"/>
        <family val="2"/>
      </rPr>
      <t xml:space="preserve">Additional spending (JPY 54.5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</si>
  <si>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(KRW 50.1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</si>
  <si>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Measures include:
• Non-guarantee measures mostly for SMEs (KRW 79.6 tn), 
• Loans for venture capital and SMEs (KRW 2.2 tn).
• Financial support for (1) key industries (KRW 40 tn) and (2) other businesses affected (35 tn) 
</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</si>
  <si>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
• Additional government guarantees for firms to ecourage investment in sectors viewed as generating the most value added (€40 bn).</t>
  </si>
  <si>
    <t>Additional spending on health 5→9.4; nonhealth spending/revenue 128→193</t>
  </si>
  <si>
    <t>Additonal nonhealth spending 46.5→71.5</t>
  </si>
  <si>
    <t>Quasi-fiscal 147,000→170,000</t>
  </si>
  <si>
    <t>Total additional spending/revenue meausres 120→232 (mainly from additional nonhealth spending</t>
  </si>
  <si>
    <t>Guarantees 105→145</t>
  </si>
  <si>
    <t>minor change in additional spending composition</t>
  </si>
  <si>
    <t>Additional nonhealth spending 37→427.8, mainly from the Next Generation EU recovery fund agreed on 7/21.</t>
  </si>
  <si>
    <t>Additional spening/revenue 124.5→192.6</t>
  </si>
  <si>
    <r>
      <rPr>
        <b/>
        <sz val="10"/>
        <color theme="1"/>
        <rFont val="Arial"/>
        <family val="2"/>
      </rPr>
      <t xml:space="preserve">Accelerated spending: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t>
    </r>
    <r>
      <rPr>
        <sz val="10"/>
        <color theme="1"/>
        <rFont val="Arial"/>
        <family val="2"/>
      </rPr>
      <t>: 
• Deferral of income tax for the self employed and VAT payments; 
• Time to Pay arrangements (tax debt restructuring) for businesses and individuals.</t>
    </r>
  </si>
  <si>
    <r>
      <rPr>
        <b/>
        <sz val="10"/>
        <rFont val="Arial"/>
        <family val="2"/>
      </rPr>
      <t>Additional spending (AR $707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$79.7 bn)</t>
    </r>
    <r>
      <rPr>
        <sz val="10"/>
        <rFont val="Arial"/>
        <family val="2"/>
      </rPr>
      <t xml:space="preserve">:
• Most affected sectors granted 95% reduction in employers’ contributions to the pension system.
• VAT refund for milk sales.
• Reduction in employeres' contributions to Social Security. </t>
    </r>
  </si>
  <si>
    <t>Additional health spending 33→48</t>
  </si>
  <si>
    <t>Total on-budget 445→510</t>
  </si>
  <si>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1.5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 Allow companies suffering from serious difficulties to postpone social insurance payments until end-2020.</t>
    </r>
  </si>
  <si>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</si>
  <si>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</si>
  <si>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Nonehealth foregone revenue 1.1tn→1.5tn; items originally under below-the-line were moved to quasi-fiscal. Quasi-fiscal has new estimate of RMB 930 bn.  </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</si>
  <si>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For SMEs (esp. consumer service) that lease the state-owned assets, central government said to waive 3-month rents (first half of 2020).
• Tax collection retention ratio for local budgets raised to 5% (March 1 to June 30).
</t>
  </si>
  <si>
    <r>
      <rPr>
        <b/>
        <sz val="10"/>
        <rFont val="Arial"/>
        <family val="2"/>
      </rPr>
      <t xml:space="preserve">Additional spending (R 211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550 to employees with an income below R 6,500 per month.
• Skills development levy holiday for four months.</t>
    </r>
  </si>
  <si>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</si>
  <si>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t>
    </r>
  </si>
  <si>
    <t xml:space="preserve">Minor change in additional non-health spending </t>
  </si>
  <si>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Aapril to September.</t>
    </r>
  </si>
  <si>
    <t>Serbia</t>
  </si>
  <si>
    <t>On-budget measures</t>
  </si>
  <si>
    <t>Country /
Country Group</t>
  </si>
  <si>
    <t>Total
size</t>
  </si>
  <si>
    <t>Spending and revenue measures
in the health sector</t>
  </si>
  <si>
    <t>Spending and revenue measures
in areas other than health</t>
  </si>
  <si>
    <t>Equity injections, asset purchases, loans</t>
  </si>
  <si>
    <t>Guarantees on loans,
other contingent liabilities</t>
  </si>
  <si>
    <t>Spending Measures:</t>
  </si>
  <si>
    <t>Montenegro</t>
  </si>
  <si>
    <t>North Macedonia</t>
  </si>
  <si>
    <t>Non-Spending Measures:</t>
  </si>
  <si>
    <t>BIH</t>
  </si>
  <si>
    <t>Spending measures</t>
  </si>
  <si>
    <t>Checked - revised Special fund from 50m to 500m</t>
  </si>
  <si>
    <t>Non-spending measures</t>
  </si>
  <si>
    <t>Includes Write off of late payments with PM estimate</t>
  </si>
  <si>
    <t>Kosovo</t>
  </si>
  <si>
    <t>Non-spending Measures:</t>
  </si>
  <si>
    <t>Bosnia</t>
  </si>
  <si>
    <t>Bryn</t>
  </si>
  <si>
    <t xml:space="preserve">Nonhealth additional meausres 2.3 tn→3.2 tn, authorities extended food rations to vulnerable households. </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</si>
  <si>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</si>
  <si>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1.8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474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</si>
  <si>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t xml:space="preserve">Nonhealth foregone revenue 250 bn→474 bn, because of permanent CIT rate cuts </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</si>
  <si>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</si>
  <si>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
• On July 21, the European Council approved the Next Generation EU recovery fund. Part of this is EUR 360 billion in loans available from the Recovery and Resilience Facility (RRF) that EU members can apply for to finance parts of their national recovery and resilience plans.</t>
  </si>
  <si>
    <r>
      <rPr>
        <b/>
        <sz val="10"/>
        <rFont val="Arial"/>
        <family val="2"/>
      </rPr>
      <t xml:space="preserve">Additional spending (€46.2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</si>
  <si>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(€33.5 bn): </t>
    </r>
    <r>
      <rPr>
        <sz val="10"/>
        <rFont val="Arial"/>
        <family val="2"/>
      </rPr>
      <t>Postponement of social security contributions and tax payment for companies from Q2 to Q3.</t>
    </r>
  </si>
  <si>
    <t xml:space="preserve">• State guarantees for liquidity bank loans to companies and credit reinsurance schemes (€319.5 bn); other guarantees (€8 bn). </t>
  </si>
  <si>
    <r>
      <rPr>
        <b/>
        <sz val="10"/>
        <color theme="1"/>
        <rFont val="Arial"/>
        <family val="2"/>
      </rPr>
      <t xml:space="preserve">Additional spending (£140.8 bn):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 £1,000 bonus to firms per employee brought back from furlough and employed until January 2021.
• Cover the cost of 25 hours' work a week at the National Minimum Wage for six months for hired unemployed up to 24 years old.
• Provide support to boost work search, skills, and apprenticeships.
• Entitle every diner to a 50% discount of up to £10 in August. 
</t>
    </r>
    <r>
      <rPr>
        <b/>
        <sz val="10"/>
        <color theme="1"/>
        <rFont val="Arial"/>
        <family val="2"/>
      </rPr>
      <t xml:space="preserve">
Forgone revenue (£15.8 bn):</t>
    </r>
    <r>
      <rPr>
        <sz val="10"/>
        <color theme="1"/>
        <rFont val="Arial"/>
        <family val="2"/>
      </rPr>
      <t xml:space="preserve"> 
• Property tax (business rate) holiday for firms in affected sectors for 12 months.
• Temporary cut on stamp duty land tax for 10 month.
• VAT rate reduction for hospitality, accommodation, and attractions for 6 months.</t>
    </r>
  </si>
  <si>
    <r>
      <rPr>
        <b/>
        <sz val="10"/>
        <color theme="1"/>
        <rFont val="Arial"/>
        <family val="2"/>
      </rPr>
      <t>Additional spending (£31.7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(£0.1 bn):</t>
    </r>
    <r>
      <rPr>
        <sz val="10"/>
        <color theme="1"/>
        <rFont val="Arial"/>
        <family val="2"/>
      </rPr>
      <t xml:space="preserve">
• Waiver of VAT and customs duties on critical medical imports, including ventilators, testing kits, and protective gear.</t>
    </r>
  </si>
  <si>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</si>
  <si>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2,982.5 bn):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
• On June 30, authorities extended the provision of food rations to vulnerable households (Rs 900 bn).</t>
    </r>
  </si>
  <si>
    <t xml:space="preserve">• Government guarantees for bank lending to micro, small, and medium enterprises (IDR 150 tn), expected to be financed by Bank of Indonesia's purchase of new govermenment recovery bonds. 
</t>
  </si>
  <si>
    <t>• Treasury guaranteed loans.
• Credit guarantee fund  (set up in 2016) doubled in size from TL25 to 50 billion as part of the fiscal package.</t>
  </si>
  <si>
    <t xml:space="preserve">Governmentment guarantee 298→458 </t>
  </si>
  <si>
    <r>
      <t xml:space="preserve">Additional spending (€3.3 bn): </t>
    </r>
    <r>
      <rPr>
        <sz val="10"/>
        <color theme="1"/>
        <rFont val="Arial"/>
        <family val="2"/>
      </rPr>
      <t>on medical equipment, tests, administration etc.</t>
    </r>
    <r>
      <rPr>
        <b/>
        <sz val="10"/>
        <color theme="1"/>
        <rFont val="Arial"/>
        <family val="2"/>
      </rPr>
      <t xml:space="preserve">
</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</si>
  <si>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bn euros, and exemption of advanced VAT payment in December.</t>
    </r>
  </si>
  <si>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</si>
  <si>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The government plans  to provide  support the most vulnerable households (CFAF 525 million have already been spent).</t>
    </r>
  </si>
  <si>
    <r>
      <rPr>
        <b/>
        <sz val="10"/>
        <color theme="1"/>
        <rFont val="Arial"/>
        <family val="2"/>
      </rPr>
      <t>Additional spending</t>
    </r>
    <r>
      <rPr>
        <sz val="10"/>
        <color theme="1"/>
        <rFont val="Arial"/>
        <family val="2"/>
      </rPr>
      <t>: medical supplies, personnel, adaptation of facilities.</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</si>
  <si>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</si>
  <si>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Only changed wording</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</si>
  <si>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thier fixed costs.</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</si>
  <si>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</si>
  <si>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r>
      <t xml:space="preserve">Additional spending: 
</t>
    </r>
    <r>
      <rPr>
        <b/>
        <sz val="10"/>
        <color theme="1"/>
        <rFont val="Symbol"/>
        <family val="1"/>
        <charset val="2"/>
      </rPr>
      <t>·</t>
    </r>
    <r>
      <rPr>
        <b/>
        <sz val="10"/>
        <color theme="1"/>
        <rFont val="Arial"/>
        <family val="2"/>
      </rPr>
      <t xml:space="preserve"> </t>
    </r>
    <r>
      <rPr>
        <sz val="10"/>
        <color theme="1"/>
        <rFont val="Arial"/>
        <family val="2"/>
      </rPr>
      <t>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Stimulus package to the tourism sector amounting to THB 22.4 billion including subsidies for 5 million domestic trips between July and October, 2020 (40 percent of certain accommodation, event and food costs).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Transfers to elderly, children up to 6-years-old, and holders of state-welfare cards that had previously not received assistance linked to the impact of Covid-19. This program covers about 6.8 million people with approximate cost of THB 20 billion.</t>
    </r>
    <r>
      <rPr>
        <b/>
        <sz val="10"/>
        <color theme="1"/>
        <rFont val="Arial"/>
        <family val="2"/>
      </rPr>
      <t xml:space="preserve">
Forgone revenue:
</t>
    </r>
    <r>
      <rPr>
        <b/>
        <sz val="10"/>
        <color theme="1"/>
        <rFont val="Symbol"/>
        <family val="1"/>
        <charset val="2"/>
      </rPr>
      <t>·</t>
    </r>
    <r>
      <rPr>
        <b/>
        <sz val="10"/>
        <color theme="1"/>
        <rFont val="Arial"/>
        <family val="2"/>
      </rPr>
      <t xml:space="preserve"> </t>
    </r>
    <r>
      <rPr>
        <sz val="10"/>
        <color theme="1"/>
        <rFont val="Arial"/>
        <family val="2"/>
      </rPr>
      <t>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witholding tax.</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</si>
  <si>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</si>
  <si>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</si>
  <si>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rules.On June 30, the short-work allowance and ban on layoffs was extended by one month.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t>
    </r>
  </si>
  <si>
    <t>• Covid-19 treatment, new hospitals, and performance pay for medics.</t>
  </si>
  <si>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over 65s or those with chronic illnesses.
• Postponed payments regarding withholding tax returns and VAT declarations
• Payment of Social Security Contribution premiums has also been postponed.  
• Land occupation and revenue sharing payments in leasing of hotels postponed for 6 months.
• Accommodation tax deferred.
• Retail, shopping malls, iron-steel, automobiles, logistics-transportation, etc. are offered to postpone VAT and Social Security Contribution. 
</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</si>
  <si>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</si>
  <si>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rPr>
        <b/>
        <sz val="10"/>
        <rFont val="Arial"/>
        <family val="2"/>
      </rPr>
      <t xml:space="preserve">Additional spending: 
</t>
    </r>
    <r>
      <rPr>
        <sz val="10"/>
        <rFont val="Arial"/>
        <family val="2"/>
      </rPr>
      <t xml:space="preserve">• At the Commonwealth level, tax-free cash payments and wage subsidies to eligible small businesses to continue operations and keep their workers; payments to lower-income Australians, including pensioners, other social security and veteran income support recipients, and eligible concession card holders; the Home Builder program.
• At state and territory level, discounted utility bills and cash payments to vulnerable households. Also, the Commonwealth government will help finance fast-track infrastructure projects across States and Territories and the arts industry for job creation and new home care package for senior citizens.
</t>
    </r>
    <r>
      <rPr>
        <b/>
        <sz val="10"/>
        <rFont val="Arial"/>
        <family val="2"/>
      </rPr>
      <t xml:space="preserve">Forgone revenue: 
</t>
    </r>
    <r>
      <rPr>
        <sz val="10"/>
        <rFont val="Arial"/>
        <family val="2"/>
      </rPr>
      <t>• At the Commonwealth level, asset write-off; accelerated depreciation deductions; tax relief for airlines and airports; waiver of fees and charges for tourism businesses in most affected regions/communities.
• At state and territory level, payroll tax relief for firms.</t>
    </r>
  </si>
  <si>
    <r>
      <t>Additional spending (CAD 19.8 bn):
•</t>
    </r>
    <r>
      <rPr>
        <sz val="10"/>
        <color theme="1"/>
        <rFont val="Arial"/>
        <family val="2"/>
      </rPr>
      <t xml:space="preserve"> Support to the health system including 1) immediate public health response, 2) COVID-19 Response Fund, and 3) funding for personal protective equipment and supplies. 
• Reducing import costs to facilitate access to critical medical goods
• Health and social support northern communities.
• COVID-19 Medical Research and Vaccine Development.
• Virtual care and mental health tools.
</t>
    </r>
    <r>
      <rPr>
        <b/>
        <sz val="10"/>
        <color theme="1"/>
        <rFont val="Arial"/>
        <family val="2"/>
      </rPr>
      <t xml:space="preserve">• </t>
    </r>
    <r>
      <rPr>
        <sz val="10"/>
        <color theme="1"/>
        <rFont val="Arial"/>
        <family val="2"/>
      </rPr>
      <t>Enhancing public health measures in indigenous communities.</t>
    </r>
    <r>
      <rPr>
        <b/>
        <sz val="10"/>
        <color theme="1"/>
        <rFont val="Arial"/>
        <family val="2"/>
      </rPr>
      <t xml:space="preserve">
•</t>
    </r>
    <r>
      <rPr>
        <sz val="10"/>
        <color theme="1"/>
        <rFont val="Arial"/>
        <family val="2"/>
      </rPr>
      <t xml:space="preserve"> Provincial Safe Restart Agreement.</t>
    </r>
  </si>
  <si>
    <r>
      <rPr>
        <b/>
        <sz val="10"/>
        <color theme="1"/>
        <rFont val="Arial"/>
        <family val="2"/>
      </rPr>
      <t xml:space="preserve">Additional spending (€427.8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 In the Coronavirus Response Investment Initiative Plus (CRII+), the Commission introduced greater flexibility to allow that all non-utilized support from the European Structural and Investment Funds can be mobilized to the fullest.
• On July 21, the European Council agreed on the Next Generation EU recovery fund, which includes €390 bn in grants to EU members to support recovery. The main instrument is the Recovery and Resilience Facility (RRF) that will finance investments and reforms countries submit in fall 2020. </t>
    </r>
  </si>
  <si>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($528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$434 bn.
• Families First Coronavirus Response Act (March 16, 2020) has revenue implications on the budget, estimated to cost around $94 bn.</t>
    </r>
  </si>
  <si>
    <r>
      <rPr>
        <b/>
        <sz val="10"/>
        <color theme="1"/>
        <rFont val="Arial"/>
        <family val="2"/>
      </rPr>
      <t xml:space="preserve">Additional spending (BRL 424.8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14 bn): 
</t>
    </r>
    <r>
      <rPr>
        <sz val="10"/>
        <color theme="1"/>
        <rFont val="Arial"/>
        <family val="2"/>
      </rPr>
      <t>• Elimination of the financial transactions tax for 6 months.</t>
    </r>
  </si>
  <si>
    <t>Austria</t>
  </si>
  <si>
    <t>Cyprus</t>
  </si>
  <si>
    <t>Estonia</t>
  </si>
  <si>
    <t>Greece</t>
  </si>
  <si>
    <t>Iceland</t>
  </si>
  <si>
    <t>Ireland</t>
  </si>
  <si>
    <t>Israel</t>
  </si>
  <si>
    <t>Latvia</t>
  </si>
  <si>
    <t>Lithuania</t>
  </si>
  <si>
    <t>Luxembourg</t>
  </si>
  <si>
    <t>Macao SAR</t>
  </si>
  <si>
    <t>Malta</t>
  </si>
  <si>
    <t>Portugal</t>
  </si>
  <si>
    <t>San Marino</t>
  </si>
  <si>
    <t>Slovak Republic</t>
  </si>
  <si>
    <t>Slovenia</t>
  </si>
  <si>
    <t>Algeria</t>
  </si>
  <si>
    <t>Angola</t>
  </si>
  <si>
    <t>Anguilla</t>
  </si>
  <si>
    <t>Antigua and Barbuda</t>
  </si>
  <si>
    <t>Armenia</t>
  </si>
  <si>
    <t>Aruba</t>
  </si>
  <si>
    <t>Azerbaijan</t>
  </si>
  <si>
    <t>Bahamas, The</t>
  </si>
  <si>
    <t>Barbados</t>
  </si>
  <si>
    <t>Belarus</t>
  </si>
  <si>
    <t>Belize</t>
  </si>
  <si>
    <t>Bolivia</t>
  </si>
  <si>
    <t>Bosnia and Herzegovina</t>
  </si>
  <si>
    <t>Botswana</t>
  </si>
  <si>
    <t>Brunei Darussalam</t>
  </si>
  <si>
    <t>Cabo Verde</t>
  </si>
  <si>
    <t>Costa Rica</t>
  </si>
  <si>
    <t>Croatia</t>
  </si>
  <si>
    <t>Dominica</t>
  </si>
  <si>
    <t>Dominican Republic</t>
  </si>
  <si>
    <t>Ecuador</t>
  </si>
  <si>
    <t>El Salvador</t>
  </si>
  <si>
    <t>Equatorial Guinea</t>
  </si>
  <si>
    <t>Eswatini</t>
  </si>
  <si>
    <t>Fiji</t>
  </si>
  <si>
    <t>Gabon</t>
  </si>
  <si>
    <t>Grenada</t>
  </si>
  <si>
    <t>Guatemala</t>
  </si>
  <si>
    <t>Guyana</t>
  </si>
  <si>
    <t>Iraq</t>
  </si>
  <si>
    <t>Jamaica</t>
  </si>
  <si>
    <t>Jordan</t>
  </si>
  <si>
    <t>Kuwait</t>
  </si>
  <si>
    <t>Lebanon</t>
  </si>
  <si>
    <t>Libya</t>
  </si>
  <si>
    <t>Maldives</t>
  </si>
  <si>
    <t>Micronesia, Fed. States of</t>
  </si>
  <si>
    <t>Montenegro, Rep. of</t>
  </si>
  <si>
    <t>Montserrat</t>
  </si>
  <si>
    <t>Morocco</t>
  </si>
  <si>
    <t>Namibia</t>
  </si>
  <si>
    <t>Nauru</t>
  </si>
  <si>
    <t xml:space="preserve">North Macedonia </t>
  </si>
  <si>
    <t>Oman</t>
  </si>
  <si>
    <t>Palau</t>
  </si>
  <si>
    <t>Panama</t>
  </si>
  <si>
    <t>Paraguay</t>
  </si>
  <si>
    <t>Qatar</t>
  </si>
  <si>
    <t>Samoa</t>
  </si>
  <si>
    <t>Seychelles</t>
  </si>
  <si>
    <t>Sri Lanka</t>
  </si>
  <si>
    <t>St. Kitts and Nevis</t>
  </si>
  <si>
    <t>St. Lucia</t>
  </si>
  <si>
    <t>St. Vincent and the Grenadines</t>
  </si>
  <si>
    <t>Tonga</t>
  </si>
  <si>
    <t>Trinidad and Tobago</t>
  </si>
  <si>
    <t>Turkmenistan</t>
  </si>
  <si>
    <t>Ukraine</t>
  </si>
  <si>
    <t>Uruguay</t>
  </si>
  <si>
    <t>Vanuatu</t>
  </si>
  <si>
    <t>Afghanistan</t>
  </si>
  <si>
    <t>Benin</t>
  </si>
  <si>
    <t>Bhutan</t>
  </si>
  <si>
    <t>Burkina Faso</t>
  </si>
  <si>
    <t>Burundi</t>
  </si>
  <si>
    <t>Cambodia</t>
  </si>
  <si>
    <t>Cameroon</t>
  </si>
  <si>
    <t>Central African Republic</t>
  </si>
  <si>
    <t>Chad</t>
  </si>
  <si>
    <t>Comoros</t>
  </si>
  <si>
    <t>Democratic Republic of the Congo</t>
  </si>
  <si>
    <t>Congo, Republic of</t>
  </si>
  <si>
    <t>Djibouti</t>
  </si>
  <si>
    <t>Eritrea</t>
  </si>
  <si>
    <t>Gambia, The</t>
  </si>
  <si>
    <t>Guinea</t>
  </si>
  <si>
    <t>Haiti</t>
  </si>
  <si>
    <t>Kiribati</t>
  </si>
  <si>
    <t>Kyrgyz Republic</t>
  </si>
  <si>
    <t>Lao P.D.R.</t>
  </si>
  <si>
    <t>Lesotho</t>
  </si>
  <si>
    <t>Liberia</t>
  </si>
  <si>
    <t>Malawi</t>
  </si>
  <si>
    <t>Mali</t>
  </si>
  <si>
    <t>Mauritania</t>
  </si>
  <si>
    <t>Moldova</t>
  </si>
  <si>
    <t>Mozambique</t>
  </si>
  <si>
    <t>Nicaragua</t>
  </si>
  <si>
    <t>Papua New Guinea</t>
  </si>
  <si>
    <t>Rwanda</t>
  </si>
  <si>
    <t>São Tomé and Príncipe</t>
  </si>
  <si>
    <t>Sierra Leone</t>
  </si>
  <si>
    <t>Solomon Islands</t>
  </si>
  <si>
    <t>Somalia</t>
  </si>
  <si>
    <t>South Sudan</t>
  </si>
  <si>
    <t>Sudan</t>
  </si>
  <si>
    <t>Tajikistan</t>
  </si>
  <si>
    <t>Tanzania</t>
  </si>
  <si>
    <t>Timor-Leste, Dem. Rep. of</t>
  </si>
  <si>
    <t>Togo</t>
  </si>
  <si>
    <t>Uganda</t>
  </si>
  <si>
    <t>Yemen</t>
  </si>
  <si>
    <t>Zimbabwe</t>
  </si>
  <si>
    <t>Global</t>
  </si>
  <si>
    <t>No change.</t>
  </si>
  <si>
    <t>Added new information (description) for forgone revenue measures.</t>
  </si>
  <si>
    <t>Small changes to the description of measures (total amounts remain unchanged).</t>
  </si>
  <si>
    <t>Minor change to total package amount.</t>
  </si>
  <si>
    <r>
      <t xml:space="preserve">Additional spending: </t>
    </r>
    <r>
      <rPr>
        <sz val="10"/>
        <rFont val="Arial"/>
        <family val="2"/>
      </rPr>
      <t xml:space="preserve"> including lump sum 12-week wage subsidies available for all employers significantly affected by COVID-19 (NZ $14.9 bn); income relief payment to support people who have lost their job (NZ$570 million); financial support for workers not paid normally during self-isolation (NZ $126 mn); temporary increase in winter energy payment (NZ $480 mn); permanent increase in benefits (NZ$2.4 bn in the next four years); infrastructure investment (NZ$3 billion); support package for the aviation sector (NZ$ 600 mn); and tourism recover package (NZ$400 million). NZ$14 billion will be set aside for the second wave.
</t>
    </r>
    <r>
      <rPr>
        <b/>
        <sz val="10"/>
        <rFont val="Arial"/>
        <family val="2"/>
      </rPr>
      <t>Forgone revenue</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</si>
  <si>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lasted April to June.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</si>
  <si>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continue to pay technical unemployment benefits to those returning to work of up to 41% of base wage (for 3 months);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</si>
  <si>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</si>
  <si>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t>
    </r>
  </si>
  <si>
    <r>
      <rPr>
        <b/>
        <sz val="10"/>
        <rFont val="Arial"/>
        <family val="2"/>
      </rPr>
      <t xml:space="preserve">Additional spending (130.6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support.Self-employment compensation scheme - extension to 8/8 (DKK 0.5 bn)
• UI benefits expanded eligibility (DKK 0.4 bn)
• Extension of cultural aid packages to 8/8 (DKK 0.1 bn)
• One-time grants to low-income families (DKK 1.8 bn)
• Increase in corporate deductions for R&amp;D (DKK 1.3 bn)
• Support for tourism sector (DKK 0.8 bn)
• Export package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</si>
  <si>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</si>
  <si>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r>
      <t>•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r>
      <rPr>
        <sz val="10"/>
        <color theme="1"/>
        <rFont val="Arial"/>
        <family val="2"/>
      </rPr>
      <t xml:space="preserve"> State capital injection into Recapitalization Fund (DKK 10 bn)
• State capital injection into Restart Fund (administered by the Growth Fund) (DKK 3 bn)
• Plan to recapitalize Scandinavian Airlines (up to DKK 6 bn)</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</si>
  <si>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t>
  </si>
  <si>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The National Board of Health and Welfare’s credit framework has increased to enable purchases of personal protective equipment and intensive care equipment. Funding of extraordinary costs associated with Covid-19 for municipalities and regions</t>
    </r>
  </si>
  <si>
    <r>
      <rPr>
        <b/>
        <sz val="10"/>
        <color theme="1"/>
        <rFont val="Arial"/>
        <family val="2"/>
      </rPr>
      <t>Additional spending (SEK 217.5 bn):  
·</t>
    </r>
    <r>
      <rPr>
        <sz val="10"/>
        <color theme="1"/>
        <rFont val="Arial"/>
        <family val="2"/>
      </rPr>
      <t xml:space="preserve"> Includes 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color theme="1"/>
        <rFont val="Arial"/>
        <family val="2"/>
      </rPr>
      <t xml:space="preserve">
Forgone revenue (SEK 33 bn): </t>
    </r>
    <r>
      <rPr>
        <sz val="10"/>
        <color theme="1"/>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</si>
  <si>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r>
  </si>
  <si>
    <t>• Capital injection to the Scandinavian carrier SAS, the state-owned airport operator Swedavia and to Lernia (state-owned education and matching firm)</t>
  </si>
  <si>
    <r>
      <rPr>
        <b/>
        <sz val="10"/>
        <color theme="1"/>
        <rFont val="Arial"/>
        <family val="2"/>
      </rPr>
      <t>Additional spending</t>
    </r>
    <r>
      <rPr>
        <sz val="10"/>
        <color theme="1"/>
        <rFont val="Arial"/>
        <family val="2"/>
      </rPr>
      <t>: Includes army pharmacy (CHF2.45 billion), medication (CHF30 million) and health protection (CHF10 million).</t>
    </r>
  </si>
  <si>
    <r>
      <rPr>
        <sz val="10"/>
        <color theme="1"/>
        <rFont val="Symbol"/>
        <family val="1"/>
        <charset val="2"/>
      </rPr>
      <t xml:space="preserve">· </t>
    </r>
    <r>
      <rPr>
        <sz val="10"/>
        <color theme="1"/>
        <rFont val="Arial"/>
        <family val="2"/>
      </rPr>
      <t>Supported the Swiss Federal Railways s.t. it can take up an additional CHF 550 million from the Confederation in the form of customary interest-bearing loans with a term of up to one year.</t>
    </r>
  </si>
  <si>
    <r>
      <rPr>
        <b/>
        <sz val="10"/>
        <color theme="1"/>
        <rFont val="Arial"/>
        <family val="2"/>
      </rPr>
      <t>Additional spending:</t>
    </r>
    <r>
      <rPr>
        <sz val="10"/>
        <color theme="1"/>
        <rFont val="Arial"/>
        <family val="2"/>
      </rPr>
      <t xml:space="preserve"> includes loss compensation for cultural companies and creator (CHF 0.145 bn); benefits COVID income replacement directly affected (CHF4 bn) and indirectly affected (CHF 1.3 bn); financing for short term work program and the unemployment fund (CHF 20.2 bn), COVID bridging loan losses (CHF 1 bn); support for near-flight operations (CHF 0.6 bn); development aid (incl. contribution to IMF CHF 0.3 bn); loss cushion for public transport and rail freight (CHF 0.8 bn) and several other measures.</t>
    </r>
  </si>
  <si>
    <r>
      <rPr>
        <b/>
        <sz val="10"/>
        <color theme="1"/>
        <rFont val="Arial"/>
        <family val="2"/>
      </rPr>
      <t>Additional spending (8.3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</si>
  <si>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rPr>
        <b/>
        <sz val="10"/>
        <color theme="1"/>
        <rFont val="Arial"/>
        <family val="2"/>
      </rP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Finance Ministry will guarantee EGP 3 billion of low-interest CBE loans for tourism industry.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</si>
  <si>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Health measures 7 7 bn→8.3 bn, still lacking numbers, they will get back after talking to authorities</t>
  </si>
  <si>
    <r>
      <rPr>
        <b/>
        <sz val="10"/>
        <color theme="1"/>
        <rFont val="Arial"/>
        <family val="2"/>
      </rPr>
      <t>Additional spending</t>
    </r>
    <r>
      <rPr>
        <sz val="10"/>
        <color theme="1"/>
        <rFont val="Arial"/>
        <family val="2"/>
      </rPr>
      <t>:
•Purchase of protection equipment and additional remunerations in the ministries of health, interior and defense (0.5 bn).
• Government allocated: BGN 2.4 mln for coronavirus research;
BGN 24.6 mln for state standards for school and child healthcare and standards in the social shpere (old people care facilities, facilties for people with disabilities, homeless children care institutions); BGN 17.3 mln for subsidies to hospitals; BGN 126.3 mln for 10% increase in medical and dental care payments;
BGN 67 mln for provision of a net remuneration of BGN 1,000 to the medical specialists involved in the fight against COVID-19 on the first line until the end of 2020 (provided by redirecting funds from European programs)</t>
    </r>
  </si>
  <si>
    <r>
      <rPr>
        <b/>
        <sz val="10"/>
        <rFont val="Arial"/>
        <family val="2"/>
      </rPr>
      <t>Additional spending</t>
    </r>
    <r>
      <rPr>
        <sz val="10"/>
        <rFont val="Arial"/>
        <family val="2"/>
      </rPr>
      <t xml:space="preserve"> (BGN 2.2 bn): 
</t>
    </r>
    <r>
      <rPr>
        <sz val="10"/>
        <rFont val="Symbol"/>
        <family val="1"/>
        <charset val="2"/>
      </rPr>
      <t>·</t>
    </r>
    <r>
      <rPr>
        <sz val="10"/>
        <rFont val="Arial"/>
        <family val="2"/>
      </rPr>
      <t xml:space="preserve"> BGN 1.5 bn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in the cultural field earning less than 1000 leva, for about 1200 people, at a cost of about 2.7 million leva; distributed BGN 610 as an additional bonus to social workers - employees of the Bureau of Labor and the General Labor Inspectorate.
</t>
    </r>
    <r>
      <rPr>
        <sz val="10"/>
        <rFont val="Symbol"/>
        <family val="1"/>
        <charset val="2"/>
      </rPr>
      <t>·</t>
    </r>
    <r>
      <rPr>
        <sz val="10"/>
        <rFont val="Arial"/>
        <family val="2"/>
      </rPr>
      <t xml:space="preserve"> Government approved; one-off cash transfer of BGN 375 to parents, forced to take unpaid leave to care for their children during the state of emergency (means-tested); BGN 92 mln for 30% increase in administrations that are on the frontline of the pandemic; BGN 318.3 mln for pension supplement of BGN 50 for all pensioners for 3 months; BGN 122 mln for payments for personal assistants; BGN 12 mln for the minimum amount of the unemployment benefit increased as of October 1, 2020; BGN 4 mln, from the beginning of October it is envisaged to increase the duration of payment of unemployment benefits by 3 months for persons with minimum benefits; BGN 67 mln for provision of a net remuneration of BGN 1,000 to the medical specialists involved in the fight against COVID-19 on the first line until the end of 2020; BGN 55 mln for tour operators who use air carriers with a valid operating license to operate charter flights to the Republic of Bulgaria for tourism purposes will be supported by a state subsidy of 35 euros per seat of the maximum passenger capacity of the aircraft for each flight. and several other measures.
</t>
    </r>
    <r>
      <rPr>
        <b/>
        <sz val="10"/>
        <rFont val="Arial"/>
        <family val="2"/>
      </rPr>
      <t xml:space="preserve">Forgone revenue </t>
    </r>
    <r>
      <rPr>
        <sz val="10"/>
        <rFont val="Arial"/>
        <family val="2"/>
      </rPr>
      <t>(BGN 0.165 bn):  
• Reduced VAT rate of 9% for restaurant services, books, baby food, wine, beer, tour operators and tourist trips, gyms and sports facilities until end-2021, leading to estimated annual revenue shortfalls amounting to BGN 150 mn and 15 mn, respectively for restaurant services and books in particular.</t>
    </r>
  </si>
  <si>
    <t>Checked with desk since the total package amount is much larger, while the breakdown of measures is unchanged (they still don't have information for the breakdown). Forwarded the email response to Raphael.</t>
  </si>
  <si>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</si>
  <si>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</si>
  <si>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</si>
  <si>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0.8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</si>
  <si>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r>
      <rPr>
        <b/>
        <sz val="10"/>
        <color theme="1"/>
        <rFont val="Arial"/>
        <family val="2"/>
      </rPr>
      <t xml:space="preserve">Additional spending:
• </t>
    </r>
    <r>
      <rPr>
        <sz val="10"/>
        <color theme="1"/>
        <rFont val="Arial"/>
        <family val="2"/>
      </rPr>
      <t xml:space="preserve">Expanded transfers for vulnerable groups (0.3 percent of GDP), including expanded social programs and support to workers in the informal sector. 
• Payroll subsidy for three months equivalent to 40 percent of the minimum wage per worker for businesses with a revenue fall above 20 percent (around 0.2 percent of GDP). 
• Payroll subsidy for three months equivalent to 40 percent of the minimum wage per worker for all businesses with a fall of over 20 percent in revenues (up to 0.6 percent of GDP). 
</t>
    </r>
    <r>
      <rPr>
        <sz val="10"/>
        <color theme="1"/>
        <rFont val="Symbol"/>
        <family val="1"/>
        <charset val="2"/>
      </rPr>
      <t>·</t>
    </r>
    <r>
      <rPr>
        <sz val="10"/>
        <color theme="1"/>
        <rFont val="Arial"/>
        <family val="2"/>
      </rPr>
      <t xml:space="preserve">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
</t>
    </r>
    <r>
      <rPr>
        <sz val="10"/>
        <color theme="1"/>
        <rFont val="Symbol"/>
        <family val="1"/>
        <charset val="2"/>
      </rPr>
      <t>·</t>
    </r>
    <r>
      <rPr>
        <sz val="10"/>
        <color theme="1"/>
        <rFont val="Arial"/>
        <family val="2"/>
      </rPr>
      <t xml:space="preserve"> For a duration of six months, public sector workers earning between Col Pesos 10-15 mn will pay additional taxes worth 10% of their salaries, those earning above 15 mn will contribute 15%.</t>
    </r>
  </si>
  <si>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 xml:space="preserve">COVID Prague Program
</t>
    </r>
    <r>
      <rPr>
        <sz val="10"/>
        <color theme="1"/>
        <rFont val="Arial"/>
        <family val="2"/>
      </rPr>
      <t>CZK 500bn is the amount of guarantees which includes guarantees of Export Guarantee and Insurance Corporation in the amount of CZK 330bn (COVID Plus programme), COVID II guarantee programme in the amount of CZK 20bn a new guarantee programme (COVID III) in the amount of CZK 150bn. This new scheme will provide guarantees through the Bohemian-Moravian Guarantee and Development Bank. The scheme guarantees 90% of the principal of a loan up to CZK 45 million for operational financing of a company with up to 250 employees. For an entrepreneur with 250 to 500 employees, it is responsible for 80% of the amount of the operating loan up to CZK 40 million. The program is limited by a portfolio guarantee of 30% of principal amounts negotiated by the commercial bank.</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</si>
  <si>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</si>
  <si>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t>Establish funds to on lend to support SME, MFI, small farmers, trade financing.
Additional 100 billion kyat from re-appropriation of ministries’ budget was allocated to COVID-19 Fund for providing soft loans to COVID-19 affected businesses.</t>
  </si>
  <si>
    <t>Done</t>
  </si>
  <si>
    <t>0.7 percent of GDP is the estimated cost of treating COVID cases, including through the establishment of necessary facilities, and 0.6 percent of GDP is the estimated cost of additional medical supplies (0.3) and additional incentive payments to healthcare workers (0.3).</t>
  </si>
  <si>
    <t>Lending program to provide support for small and medium-sized enterprises and firms in tourism sector (1.3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</si>
  <si>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</si>
  <si>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</si>
  <si>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</si>
  <si>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bln lc supporting a total of 150 bln lc in new loans to private sector.</t>
  </si>
  <si>
    <t>Affected firms and workers are allowed to defer their contribution (up to 12 months) to the pension fund and survivor-ship fund with no interest penalty for late payment (estimated to be VND 9.5 tn).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</si>
  <si>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</si>
  <si>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(8375 billion):
</t>
    </r>
    <r>
      <rPr>
        <sz val="10"/>
        <color theme="1"/>
        <rFont val="Symbol"/>
        <family val="1"/>
        <charset val="2"/>
      </rPr>
      <t>·</t>
    </r>
    <r>
      <rPr>
        <sz val="10"/>
        <color theme="1"/>
        <rFont val="Arial"/>
        <family val="2"/>
      </rPr>
      <t xml:space="preserve"> Expanded t</t>
    </r>
    <r>
      <rPr>
        <sz val="10"/>
        <color theme="1"/>
        <rFont val="Arial"/>
        <family val="2"/>
      </rPr>
      <t xml:space="preserve">he number of recipients of social benefits by about 35 percent; 
</t>
    </r>
    <r>
      <rPr>
        <sz val="10"/>
        <color theme="1"/>
        <rFont val="Symbol"/>
        <family val="1"/>
        <charset val="2"/>
      </rPr>
      <t>·</t>
    </r>
    <r>
      <rPr>
        <sz val="10"/>
        <color theme="1"/>
        <rFont val="Arial"/>
        <family val="2"/>
      </rPr>
      <t xml:space="preserve"> Raised </t>
    </r>
    <r>
      <rPr>
        <sz val="10"/>
        <color theme="1"/>
        <rFont val="Arial"/>
        <family val="2"/>
      </rPr>
      <t xml:space="preserve">spending to cover the average salary for worker taking care of their children during the quarantine period. 
</t>
    </r>
    <r>
      <rPr>
        <sz val="10"/>
        <color theme="1"/>
        <rFont val="Symbol"/>
        <family val="1"/>
        <charset val="2"/>
      </rPr>
      <t>·</t>
    </r>
    <r>
      <rPr>
        <sz val="10"/>
        <color theme="1"/>
        <rFont val="Arial"/>
        <family val="2"/>
      </rPr>
      <t xml:space="preserve"> Increased</t>
    </r>
    <r>
      <rPr>
        <sz val="10"/>
        <color theme="1"/>
        <rFont val="Arial"/>
        <family val="2"/>
      </rPr>
      <t xml:space="preserve">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t>
    </r>
    <r>
      <rPr>
        <sz val="10"/>
        <color theme="1"/>
        <rFont val="Arial"/>
        <family val="2"/>
      </rPr>
      <t xml:space="preserve">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(5000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
    </r>
    <r>
      <rPr>
        <sz val="10"/>
        <color theme="1"/>
        <rFont val="Arial"/>
        <family val="2"/>
      </rPr>
      <t xml:space="preserve">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</si>
  <si>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loans to some strategic SOEs (national air carrier) to repay loans and other expenses (for UZS 1 trillion).
Rollover loans issued under the government program for individual entrepreneurs (for UZS 1 trillion)</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</si>
  <si>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</si>
  <si>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</si>
  <si>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</si>
  <si>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Raise the March wages of healthcare workers by up to 15 percent (EUR 0.5 million has been allocated) (€0.5 mill)
· The removal of the excise on medical alcohol sold in pharmacies</t>
  </si>
  <si>
    <t xml:space="preserve">• The creation of a new Investment Development Fund (IRF) credit  line to improve the liquidity of entrepreneurs (€50m)
</t>
  </si>
  <si>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</si>
  <si>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t>
    </r>
  </si>
  <si>
    <t xml:space="preserve">• A state guarantee scheme for bank loans to SMEs has been approved (exposure of RSD 56.5bn)
</t>
  </si>
  <si>
    <r>
      <rPr>
        <b/>
        <sz val="10"/>
        <color theme="1"/>
        <rFont val="Arial"/>
        <family val="2"/>
      </rPr>
      <t>Non-Spending Measures:</t>
    </r>
    <r>
      <rPr>
        <sz val="10"/>
        <color theme="1"/>
        <rFont val="Arial"/>
        <family val="2"/>
      </rPr>
      <t xml:space="preserve">
Abolished the import duty on medical supplies (MKD ? mill)</t>
    </r>
  </si>
  <si>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(MKD? Mill)
Lowering the penalty rate, by 50% i.e. to 5% for corporates and to 4% for the households (MKD ? mill)</t>
    </r>
  </si>
  <si>
    <t xml:space="preserve">• MKD 0.8 billion credit line from the MKD development bank for SMEs
</t>
  </si>
  <si>
    <t>MKD 3.1 billion of cheap loans to SMEs from the MKD development banks channeled through commercial banks</t>
  </si>
  <si>
    <r>
      <rPr>
        <b/>
        <sz val="10"/>
        <color theme="1"/>
        <rFont val="Arial"/>
        <family val="2"/>
      </rPr>
      <t>Spending Measures:</t>
    </r>
    <r>
      <rPr>
        <sz val="10"/>
        <color theme="1"/>
        <rFont val="Arial"/>
        <family val="2"/>
      </rPr>
      <t xml:space="preserve">
The approved RFI in the amount of SDR 265.2 million (100 percent of quota) will provide resources to accelerate the purchases of necessary medical equipment, additional payments to medical and paramedical staff, and clearance of health sector arrears (KM 653 million)
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r>
  </si>
  <si>
    <r>
      <rPr>
        <b/>
        <sz val="10"/>
        <rFont val="Arial"/>
        <family val="2"/>
      </rPr>
      <t xml:space="preserve">Spending Measures:
</t>
    </r>
    <r>
      <rPr>
        <sz val="10"/>
        <rFont val="Arial"/>
        <family val="2"/>
      </rPr>
      <t>RS and FBIH are setting up a special fund to stabilize the economy through subsidizing contributions and taxes and paying minimum wages (RS) for all employees of the companies impacted by COVID-19 (KM 500 million)
Brcko District will pay minimum salaries in the amount of KM 520 – including all taxes and contributions – for March 2020 for around 6,000 workers in the companies whose work was prohibited (KM 6 million)</t>
    </r>
  </si>
  <si>
    <t>FBIH – establishment of a guarantee fund at the Development Bank which will serve to maintain and improve the liquidity of companies. FBIH government is committed to providing the Fund’s initial funds of KM 80 million by diverting its funds already managed on a commission basis by the FBIH Development Bank. Additional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</si>
  <si>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r>
      <rPr>
        <b/>
        <sz val="10"/>
        <color theme="1"/>
        <rFont val="Arial"/>
        <family val="2"/>
      </rPr>
      <t>Spending Measures:</t>
    </r>
    <r>
      <rPr>
        <sz val="10"/>
        <color theme="1"/>
        <rFont val="Arial"/>
        <family val="2"/>
      </rPr>
      <t xml:space="preserve">
Extra allowance (€300 per employee) for April, May (€15 mill)
6 million euros to the Health Ministry to procure medical equipment (from contingencies) (€6 mill)
Government decision to allocate 10 million to the Ministry of Health (€ 10 mill)</t>
    </r>
  </si>
  <si>
    <r>
      <rPr>
        <b/>
        <sz val="10"/>
        <rFont val="Arial"/>
        <family val="2"/>
      </rPr>
      <t xml:space="preserve">Spending Measures:
</t>
    </r>
    <r>
      <rPr>
        <sz val="10"/>
        <rFont val="Arial"/>
        <family val="2"/>
      </rPr>
      <t xml:space="preserve">Support for companies for wage expenses of employees (Apr, May) (€ 41 mill)
Covering of the value of pension contributions (April, May) (€8 mill)
Extra allowance (€100 per employee) for April, May (€ 3 mill)
Subsidies for new employment (€ 6 mill)
Subsidy up to 50 % of rent for April and May (€ 12 mill)
Grants and subsidies for increasing agricultural production (€ 5 mill)
Additional transfers to pensioners (€ 13 mill)
Additional transfers to families (€ 7.65 mill)
Financial support to local governments (€ 10 mill)
Financial support to ethnical communities (€ 2 mill)
Unemployment benefits (€ 130 per person)
</t>
    </r>
    <r>
      <rPr>
        <b/>
        <sz val="10"/>
        <rFont val="Arial"/>
        <family val="2"/>
      </rPr>
      <t>Non-spending Measure</t>
    </r>
    <r>
      <rPr>
        <sz val="10"/>
        <rFont val="Arial"/>
        <family val="2"/>
      </rPr>
      <t>s:
Removal of VAT on imports of wheat and flour (€ 2.5 mill)
Support for exporters (€ 10 mill)</t>
    </r>
  </si>
  <si>
    <t>Ensuring of borrowing free of interest for public enterprises with a return until 31.12.2020 (€ 20 mill)</t>
  </si>
  <si>
    <t xml:space="preserve">Micro-enterprises and self-employed through Kosovo Credit Guarantee Fund (€ 15 mill) </t>
  </si>
  <si>
    <r>
      <rPr>
        <b/>
        <sz val="10"/>
        <rFont val="Arial"/>
        <family val="2"/>
      </rPr>
      <t>Additional spending (38.5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$9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</si>
  <si>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
· Assistance to the agriculture and fisheries sector, including one-off assistance to fishermen (EUR 7.2 million)
</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</si>
  <si>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Subsidy on utility costs (for electricity and natural gas) for low-level consumers from March to May.
</t>
    </r>
    <r>
      <rPr>
        <sz val="10"/>
        <color theme="1"/>
        <rFont val="Symbol"/>
        <family val="1"/>
        <charset val="2"/>
      </rPr>
      <t>·</t>
    </r>
    <r>
      <rPr>
        <sz val="10"/>
        <color theme="1"/>
        <rFont val="Arial"/>
        <family val="2"/>
      </rPr>
      <t xml:space="preserve">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t>
    </r>
    <r>
      <rPr>
        <sz val="10"/>
        <color theme="1"/>
        <rFont val="Symbol"/>
        <family val="1"/>
        <charset val="2"/>
      </rPr>
      <t>·</t>
    </r>
    <r>
      <rPr>
        <sz val="10"/>
        <color theme="1"/>
        <rFont val="Arial"/>
        <family val="2"/>
      </rPr>
      <t xml:space="preserve"> Support to businesses in the form of a credit guarantee scheme for SMEs, microgrants, support to the agriculture sector and construction sector  including through the acquisition of houses for refugees.
</t>
    </r>
    <r>
      <rPr>
        <b/>
        <sz val="10"/>
        <color theme="1"/>
        <rFont val="Arial"/>
        <family val="2"/>
      </rPr>
      <t xml:space="preserve">
Forgone revenue:
</t>
    </r>
    <r>
      <rPr>
        <sz val="10"/>
        <color theme="1"/>
        <rFont val="Arial"/>
        <family val="2"/>
      </rPr>
      <t>• Income tax relief to businesses who retain workers. Over the course of 6 months: (1) salaries up to 750 GEL will be fully exempt from income tax; and (2) for salaries up to 1,500 GEL, 750 GEL will be exempt from income tax.
• Property tax waiver to the tourism sector.</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</si>
  <si>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</si>
  <si>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Additional spending</t>
    </r>
    <r>
      <rPr>
        <sz val="10"/>
        <color theme="1"/>
        <rFont val="Arial"/>
        <family val="2"/>
      </rPr>
      <t xml:space="preserve">: Implementation of a Wage Support Scheme and Self-Employed Assistance Scheme, providing financial support during March to June to employees who become unemployed on a temporary basis, as well as those employed in informal sectors or self-employed. The schemes were extended to July for employees in the tourism sector only.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</si>
  <si>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</si>
  <si>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</si>
  <si>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(TND 1.51 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</si>
  <si>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(TND 0.04 bn)
• Some extra-budgetary funds on public donation to the health sector (TND 0.186 bn). 
• Investment fund to finance private companies to preserve jobs (TND 0.5 bn). 
• A bridging fund for repurchase of shares in investment funds (TND 0.1 bn). </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</si>
  <si>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Expansion of existing social transfer programs for vulnerable households, including allowance programs and food aid distribution; Cash assistance to the jobless poor affected by COVID-19 (Corona-Cash). 
</t>
    </r>
    <r>
      <rPr>
        <sz val="10"/>
        <color theme="1"/>
        <rFont val="Symbol"/>
        <family val="1"/>
        <charset val="2"/>
      </rPr>
      <t xml:space="preserve">· </t>
    </r>
    <r>
      <rPr>
        <sz val="10"/>
        <color theme="1"/>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color theme="1"/>
        <rFont val="Symbol"/>
        <family val="1"/>
        <charset val="2"/>
      </rPr>
      <t>·</t>
    </r>
    <r>
      <rPr>
        <sz val="10"/>
        <color theme="1"/>
        <rFont val="Arial"/>
        <family val="2"/>
      </rPr>
      <t xml:space="preserve">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minimim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</si>
  <si>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</si>
  <si>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</si>
  <si>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</si>
  <si>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</si>
  <si>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r>
      <rPr>
        <b/>
        <sz val="10"/>
        <color theme="1"/>
        <rFont val="Arial"/>
        <family val="2"/>
      </rPr>
      <t xml:space="preserve">Additional spending </t>
    </r>
    <r>
      <rPr>
        <sz val="10"/>
        <color theme="1"/>
        <rFont val="Arial"/>
        <family val="2"/>
      </rPr>
      <t xml:space="preserve">(39 billion):
</t>
    </r>
    <r>
      <rPr>
        <sz val="10"/>
        <color theme="1"/>
        <rFont val="Symbol"/>
        <family val="1"/>
        <charset val="2"/>
      </rPr>
      <t>·</t>
    </r>
    <r>
      <rPr>
        <sz val="10"/>
        <color theme="1"/>
        <rFont val="Arial"/>
        <family val="2"/>
      </rPr>
      <t xml:space="preserve"> Local governments have been instructed to provide for the daily food needs of vulnerable groups (0.5 percent of GDP).
· There will be tax exemptions for landlords who exempt vulnerable renters from paying one month's rent.
· The government will offer a 10 percent discount on food purchases from its stores.
· The government will provide discounts on utility payments (electricity, internet) and extensions of utility payment deadlines. (0.1 percent of GDP).
· There are support measures targeted to informal sector workers who have lost their jobs due to the ongoing crisis, which includes deploying them in public works projects or paying 25 percent of local daily subsistence wage.
· Employment-creation programs (0.5 percent of GDP).
</t>
    </r>
    <r>
      <rPr>
        <b/>
        <sz val="10"/>
        <color theme="1"/>
        <rFont val="Arial"/>
        <family val="2"/>
      </rPr>
      <t xml:space="preserve">
Forgone revenue</t>
    </r>
    <r>
      <rPr>
        <sz val="10"/>
        <color theme="1"/>
        <rFont val="Arial"/>
        <family val="2"/>
      </rPr>
      <t xml:space="preserve"> (11 billion): Customs duties on the import of medical goods will be waived and the deadline for tax payments will be extended (combined 0.3 percent of GDP).</t>
    </r>
  </si>
  <si>
    <r>
      <rPr>
        <b/>
        <sz val="10"/>
        <color theme="1"/>
        <rFont val="Arial"/>
        <family val="2"/>
      </rPr>
      <t>Additional spending (327 bn):</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 (40 bn)</t>
    </r>
    <r>
      <rPr>
        <sz val="10"/>
        <color theme="1"/>
        <rFont val="Arial"/>
        <family val="2"/>
      </rPr>
      <t>: Tax rebates for companies that keep their workers on payroll or pay 70% of salary (FCFA 40 billion).</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</si>
  <si>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October 2020 World Economic Outlook projections for 2020 unless otherwise stated. For Argentina, U.S. dollar values use end-May 2020 exchange rate. G20 = Group of Twenty; AE = Advanced Economy; EM = Emerging Market; LIDC = Low Income Developing Country. </t>
  </si>
  <si>
    <r>
      <t xml:space="preserve">This database summarizes key fiscal measures governments have announced or taken in selected economies in response to the COVID-19 pandemic as of </t>
    </r>
    <r>
      <rPr>
        <sz val="15"/>
        <color rgb="FFFF0000"/>
        <rFont val="Arial"/>
        <family val="2"/>
      </rPr>
      <t>July 31,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</si>
  <si>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</si>
  <si>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Already in database</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</si>
  <si>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</si>
  <si>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t>· State utility EPCF will double its electricity subsidies for vulnerable households (€50m)</t>
  </si>
  <si>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</si>
  <si>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EUR 200mn (0.4 percent of GDP) subsidized loans (1 percent interest rate) to SMEs from the Development Fund</t>
  </si>
  <si>
    <t xml:space="preserve">1/ The country list includes European Union as well, but the total global fiscal support does not include measures announced by the European Union because those are financing the measures by member states, which are included individually. </t>
  </si>
  <si>
    <t>• The Coronavirus SME Guarantee Scheme provides a loan guarantee arrangement between the government and participating banks to cover the immediate cash flow needs of SMEs.</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</si>
  <si>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</si>
  <si>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</si>
  <si>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</si>
  <si>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Additional spending 238.1 bn → 251 bn, deferred revenue 335 bn → 315 bn; 24th of August updated based on area input</t>
  </si>
  <si>
    <t>Marginal changes. 24th of August, only updated descriptions ATL</t>
  </si>
  <si>
    <t>Changed description of additional expenditures, NO CHANGES PROVIDED 24th AUG in EUR</t>
  </si>
  <si>
    <t>health 0.5 bn to 0.8 bn, additional spending and forgone revenue 1.6 bn to 2.368 bn; NO CHANGES PROVIDED 24th AUG in EUR</t>
  </si>
  <si>
    <t>Additional spending 125.2 bn → 130.6 bn, Accelerated spending and deferred revenue 166 bn→175.5 bn, BTL measures 40 bn → 58.9 bn, guarantees 172→142.3 bn. NO CHANGES PROVIDED 24th AUG in EUR.</t>
  </si>
  <si>
    <t>Guarantees on loans 13 bn →12.9 bn. NO CHANGES PROVIDED 24th AUG in EUR</t>
  </si>
  <si>
    <t xml:space="preserve">Changes to the description of measures (total amounts remain unchanged). </t>
  </si>
  <si>
    <t>No change. NO CHANGES PROVIDED 24th AUG in EUR.</t>
  </si>
  <si>
    <t>Health measures 0.7 bn→2.3 bn: Additional spending and foregone revenue 30.4 bn →34.3 bn.24th of August, contacted desks - that responded that they will not make any changes this round but maybe w new WEO in september)</t>
  </si>
  <si>
    <t>Health measures 2.1 bn→3.3 bn, deferred revenue 10bn→13.8 bn. 24th of August, contacted desks (they sent updates bilateraly, smaller changes in numbers and text)</t>
  </si>
  <si>
    <t>Quasi Fiscal measures 150 bn→250 bn, NO CHANGES PROVIDED IN THE REVIEW 24th of AUGUST in APD</t>
  </si>
  <si>
    <t>Health measures 0.5 bn→0.8 bn, total envelope unchanged; 24th August ATL lowered to 48 bn, marginal text changes</t>
  </si>
  <si>
    <t>Government guarantees 30 bn → 16.5 bn, marginal changes in descriptions, 24th of August - country desk have said numbers might be revised w new WEO submission, will not have new numbers by AUG 25th</t>
  </si>
  <si>
    <t>Lowered additional spending. Removed 18 bn onlending to cashew sector, as not directly covid related, under off budget. 24th of AUG, no changes from AFR, but guy in charge on sick leave, will reach out Wednesday</t>
  </si>
  <si>
    <r>
      <t xml:space="preserve">Included additional measures and increased respective fiscal costs. </t>
    </r>
    <r>
      <rPr>
        <sz val="10"/>
        <color theme="5"/>
        <rFont val="Arial"/>
        <family val="2"/>
      </rPr>
      <t>Updated to reflect comments from departments.</t>
    </r>
  </si>
  <si>
    <r>
      <t xml:space="preserve">Changes to the description of measures (minor) and amounts (substantial). </t>
    </r>
    <r>
      <rPr>
        <sz val="10"/>
        <color theme="5"/>
        <rFont val="Arial"/>
        <family val="2"/>
      </rPr>
      <t>Updated to reflect comments from departments.</t>
    </r>
  </si>
  <si>
    <r>
      <t xml:space="preserve">Only changes to the (fiscal cost) amounts. </t>
    </r>
    <r>
      <rPr>
        <sz val="10"/>
        <color theme="5"/>
        <rFont val="Arial"/>
        <family val="2"/>
      </rPr>
      <t>Updated to reflect comments from departments.</t>
    </r>
  </si>
  <si>
    <r>
      <t xml:space="preserve">Minor changes. </t>
    </r>
    <r>
      <rPr>
        <sz val="10"/>
        <color theme="5"/>
        <rFont val="Arial"/>
        <family val="2"/>
      </rPr>
      <t>Updated to reflect comments from departments.</t>
    </r>
  </si>
  <si>
    <t xml:space="preserve">The country list includes European Union as well, but the total global fiscal support does not include measures announced by the European Union because those are financing the measures by member states, which are included individually. </t>
  </si>
  <si>
    <t>Check: sum of all excluding EU</t>
  </si>
  <si>
    <t>The global estimate of fiscal support includes above-the-line measures of additional spending and foregone revenue, as well as below the line measures and contingent liabilties from gurantees and quasi-fiscal operations.</t>
  </si>
  <si>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</si>
  <si>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</si>
  <si>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</si>
  <si>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Lending program to provide support for small and medium-sized enterprises and firms in tourism sector (1.4 percent of GDP)</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</si>
  <si>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</si>
  <si>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Tuvalu</t>
  </si>
  <si>
    <t xml:space="preserve">Note: Numbers in U.S. dollar and percent of GDP are based on October 2020 World Economic Outlook unless otherwise stated. For Argentina, U.S. dollar values use end-May 2020 exchange rate. </t>
  </si>
  <si>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</si>
  <si>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</si>
  <si>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</si>
  <si>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t>• Capital injection to SOEs.</t>
  </si>
  <si>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</si>
  <si>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</si>
  <si>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t>•  The government has put in place a £1 bn program to support firms driving innovation and development through grants and loans.
•  The government has provided a £30 mn convertible loan to the steel company, Celsa.</t>
  </si>
  <si>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</si>
  <si>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</si>
  <si>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</si>
  <si>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</si>
  <si>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</si>
  <si>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</si>
  <si>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OK</t>
  </si>
  <si>
    <t>Desk check for difference</t>
  </si>
  <si>
    <t>Y</t>
  </si>
  <si>
    <t>No difference from survey</t>
  </si>
  <si>
    <t>desk verified</t>
  </si>
  <si>
    <t>Desk verified</t>
  </si>
  <si>
    <t xml:space="preserve">BTL/ guarantees 830 or 860 ok. </t>
  </si>
  <si>
    <t>To check</t>
  </si>
  <si>
    <t>Desks have updated the SPR survey but didn't got pick up (should be 4.3 LCU ATL and 6 % of GDP</t>
  </si>
  <si>
    <t>Same as original entries; desk didn't put numbers but description same</t>
  </si>
  <si>
    <t>checking but looks ok</t>
  </si>
  <si>
    <t>Same with SPR survey</t>
  </si>
  <si>
    <t>How come it didn't pick up the health sector number (0.3 percent of GDP); total is 2.8 percent of GDP</t>
  </si>
  <si>
    <t>matching SPR survey; limited details</t>
  </si>
  <si>
    <t>to check with Paul</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</si>
  <si>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</si>
  <si>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</si>
  <si>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t>matching SPR survey</t>
  </si>
  <si>
    <t>same as SPR survey</t>
  </si>
  <si>
    <t>Desks have revised total spending 0.165996 which is about 2.9 percent of GDP</t>
  </si>
  <si>
    <t>Verified with desk</t>
  </si>
  <si>
    <t>same with SPR survey</t>
  </si>
  <si>
    <t xml:space="preserve">Fix the negative numbers; SPR survey has Nonhealth ATL of 9.8 bn LCU. </t>
  </si>
  <si>
    <t>SPR survey has some positive numbers 0.1 percent of GDP</t>
  </si>
  <si>
    <t>Another 2 percent of GDP in countercyclical support is expected to come through the stronger automatic stabilizers—including from weaker tax receipts and higher social benefits.</t>
  </si>
  <si>
    <t>Loans to banks for on-lending to the cashew sector.</t>
  </si>
  <si>
    <t xml:space="preserve">Desk has updated the SPR survey; ATL is 5.5 percent of GDP in the SPR survey. </t>
  </si>
  <si>
    <t>Desk verified; they have revised the SPR survey</t>
  </si>
  <si>
    <t xml:space="preserve">desk preferred to skip the detailed matrix. </t>
  </si>
  <si>
    <t>OK; fixed</t>
  </si>
  <si>
    <t>OK fixed</t>
  </si>
  <si>
    <t>Ok fixed</t>
  </si>
  <si>
    <t>Figure 1.1.2</t>
  </si>
  <si>
    <t>The global estimate of fiscal support includes above-the-line measures of additional spending and foregone revenue, as well as below the line measures and contingent liabilities from guarantees and quasi-fiscal operations.</t>
  </si>
  <si>
    <t xml:space="preserve">Verified with desk but hasn't been submitted to SPR survey; now hard coded in… </t>
  </si>
  <si>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</si>
  <si>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</si>
  <si>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There are bank guarantees to the government for unpaid taxes beyond the suspension period announced. Credit support to the private sector in the form of loan guarantees worth 50 bn supporting a total of 150 bn in new loans to private sector.</t>
  </si>
  <si>
    <t xml:space="preserve">• Government guarantees for bank lending to micro, small, and medium enterprises (IDR 150 tn), expected to be financed by Bank of Indonesia's purchase of new government recovery bonds. 
</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</si>
  <si>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</si>
  <si>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</si>
  <si>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</si>
  <si>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</si>
  <si>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</si>
  <si>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</si>
  <si>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</si>
  <si>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</si>
  <si>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</si>
  <si>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Desk provided info Oct 6</t>
  </si>
  <si>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</si>
  <si>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</si>
  <si>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</si>
  <si>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 xml:space="preserve">Desk provided new info (BTL should be 0) Oct 5. </t>
  </si>
  <si>
    <t>Desk new info on Oct 5</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</si>
  <si>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</si>
  <si>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</si>
  <si>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</si>
  <si>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</si>
  <si>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</si>
  <si>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</si>
  <si>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</si>
  <si>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r>
      <rPr>
        <b/>
        <sz val="10"/>
        <rFont val="Arial"/>
        <family val="2"/>
      </rPr>
      <t>Deferred revenue:</t>
    </r>
    <r>
      <rPr>
        <sz val="10"/>
        <rFont val="Arial"/>
        <family val="2"/>
      </rPr>
      <t xml:space="preserve"> mostly due to postponement of VAT, CIT, and social security contributions as well as property taxes.  </t>
    </r>
  </si>
  <si>
    <t xml:space="preserve">The total guarantee is estimated at about 579 bn euros, aimed to unlock more than 750 billion euros of liquidity for businesses and households.
</t>
  </si>
  <si>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</si>
  <si>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</si>
  <si>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</si>
  <si>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</si>
  <si>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</si>
  <si>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</si>
  <si>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</si>
  <si>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</si>
  <si>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</si>
  <si>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Treasury guaranteed loans.
• Credit guarantee fund (set up in 2016) doubled in size from TL25 to 50 billion as part of the fiscal package.</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</si>
  <si>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</si>
  <si>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</si>
  <si>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</si>
  <si>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</si>
  <si>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</si>
  <si>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</si>
  <si>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</si>
  <si>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</si>
  <si>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</si>
  <si>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</si>
  <si>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</si>
  <si>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</si>
  <si>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</si>
  <si>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t>The Treasury will guarantee up to R 200 bn in loans where also the banks are taking part of the risk to help businesses (with a cap of R100 million per loan) pay operating expenses including salaries, suppliers etc.</t>
  </si>
  <si>
    <r>
      <rPr>
        <b/>
        <sz val="10"/>
        <color theme="1"/>
        <rFont val="Arial"/>
        <family val="2"/>
      </rPr>
      <t>Additional spending:</t>
    </r>
    <r>
      <rPr>
        <sz val="10"/>
        <color theme="1"/>
        <rFont val="Arial"/>
        <family val="2"/>
      </rPr>
      <t xml:space="preserve"> Resources to hire social and health workers nationwide. </t>
    </r>
  </si>
  <si>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</si>
  <si>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</si>
  <si>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</si>
  <si>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</si>
  <si>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</si>
  <si>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</si>
  <si>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</si>
  <si>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</si>
  <si>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</si>
  <si>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</si>
  <si>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</si>
  <si>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XH</t>
  </si>
  <si>
    <t>FM October 2020</t>
  </si>
  <si>
    <t>FM January 2021</t>
  </si>
  <si>
    <t>Revisions confirmed by team.</t>
  </si>
  <si>
    <t>Credit guarantee scheme to support SMEs and micro enterprises.</t>
  </si>
  <si>
    <t>No changes.</t>
  </si>
  <si>
    <t>Revision confirmed by team. Updated guarantees to IDR 100,000 million from 150,000.</t>
  </si>
  <si>
    <t>Revision confirmed by team. Increased deferred revenues from 50 to 56.</t>
  </si>
  <si>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</si>
  <si>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</si>
  <si>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</si>
  <si>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</si>
  <si>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</si>
  <si>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</si>
  <si>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t>• Deferral of various tax payments.</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</si>
  <si>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</si>
  <si>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</si>
  <si>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</si>
  <si>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</si>
  <si>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</si>
  <si>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</si>
  <si>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</si>
  <si>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t>• The SME working capital financing (KZT 800 bn) program will be financed by Kazakhstan stability fund, a subsidiary of the National Bank of Kazakhstan.</t>
  </si>
  <si>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</si>
  <si>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</si>
  <si>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</si>
  <si>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</si>
  <si>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</si>
  <si>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</si>
  <si>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</si>
  <si>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</si>
  <si>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</si>
  <si>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</si>
  <si>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</si>
  <si>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</si>
  <si>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</si>
  <si>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</si>
  <si>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</si>
  <si>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</si>
  <si>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</si>
  <si>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</si>
  <si>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</si>
  <si>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</si>
  <si>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</si>
  <si>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</si>
  <si>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</si>
  <si>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</si>
  <si>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</si>
  <si>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</si>
  <si>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</si>
  <si>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</si>
  <si>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</si>
  <si>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</si>
  <si>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 S$22 bn in loan capital was set aside to help businesses facing cash flow challenges with loan obligations and insurance premium payments.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</si>
  <si>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</si>
  <si>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</si>
  <si>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</si>
  <si>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</si>
  <si>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</si>
  <si>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</si>
  <si>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</si>
  <si>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</si>
  <si>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</si>
  <si>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</si>
  <si>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</si>
  <si>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</si>
  <si>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</si>
  <si>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</si>
  <si>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</si>
  <si>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t>• BRL 6.8 billion credit line to SMEs (to finance payroll costs during 7 months); BRL 48.1 billion support to funds which lend to microbusinesses; BRL 20 billion support to a investment guarantee fund (to finance SMEs), 5bn credit support to the tourism sector.</t>
  </si>
  <si>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</si>
  <si>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t>• Development bank guarantees program</t>
  </si>
  <si>
    <t>• Development banks to provide loans, particularly to small- and medium-scale enterprises</t>
  </si>
  <si>
    <r>
      <t xml:space="preserve">Credits loans SME (MXN 25 bn)
1. CRÉDITO SOLIDARIO A LA PALABRA
1.1 Crédito solidario a la palabra para empresarios solidarios </t>
    </r>
    <r>
      <rPr>
        <u/>
        <sz val="10"/>
        <rFont val="Arial"/>
        <family val="2"/>
      </rPr>
      <t>http://www.imss.gob.mx/prensa/archivo/202005/280</t>
    </r>
    <r>
      <rPr>
        <sz val="10"/>
        <rFont val="Arial"/>
        <family val="2"/>
      </rPr>
      <t xml:space="preserve"> 
1.2 Crédito solidario a la palabra para trabajadoras del hogar- </t>
    </r>
    <r>
      <rPr>
        <u/>
        <sz val="10"/>
        <rFont val="Arial"/>
        <family val="2"/>
      </rPr>
      <t xml:space="preserve"> http://www.imss.gob.mx/prensa/archivo/202005/289 </t>
    </r>
    <r>
      <rPr>
        <sz val="10"/>
        <rFont val="Arial"/>
        <family val="2"/>
      </rPr>
      <t xml:space="preserve">
1.3 Crédito solidario a la palabra para trabajadores independiente</t>
    </r>
    <r>
      <rPr>
        <u/>
        <sz val="10"/>
        <rFont val="Arial"/>
        <family val="2"/>
      </rPr>
      <t xml:space="preserve"> http://www.imss.gob.mx/prensa/archivo/202005/289</t>
    </r>
    <r>
      <rPr>
        <sz val="10"/>
        <rFont val="Arial"/>
        <family val="2"/>
      </rPr>
      <t xml:space="preserve"> 
Credits loans to family business of Welfare Census (MXN 25 bn) </t>
    </r>
    <r>
      <rPr>
        <u/>
        <sz val="10"/>
        <rFont val="Arial"/>
        <family val="2"/>
      </rPr>
      <t xml:space="preserve">https://www.gob.mx/se/articulos/ante-la-pandemia-del-coronavirus-fortalece-gobierno-federal-apoyo-a-pequenos-negocios?idiom=es 
Loans ISSSTE (MXN 35 bn) https://www.gob.mx/issste/prensa/redisena-el-issste-programa-de-prestamos-personales-2020-para-ayudar-a-reactivar-la-economia-en-el-pais?idiom=es
VAT refunds accelerated https://www.gob.mx/sat/prensa/las-devoluciones-de-impuestos-se-realizan-en-tiempo-y-forma-de-acuerdo-con-la-normatividad-aplicable-17-2020?idiom=es
Frontload pensions (MXN 46.4 bn) https://www.gob.mx/bienestar/prensa/en-apoyo-a-la-economia-popular-se-adelanta-pago-de-pensiones-de-adultos-mayores-y-personas-con-discapacidad?idiom=es 
Payment extensions, unemployment insurance to workers that hold a mortgage with the Housing Institute (MXN 20 bn)
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sz val="10"/>
        <rFont val="Arial"/>
        <family val="2"/>
      </rPr>
      <t xml:space="preserve">
Fonacot Loans (MXN 3 bn) </t>
    </r>
    <r>
      <rPr>
        <u/>
        <sz val="10"/>
        <rFont val="Arial"/>
        <family val="2"/>
      </rPr>
      <t>https://www.fonacot.gob.mx/SaladePrensa/Paginas/comunicados.aspx?idc=396</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</si>
  <si>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</si>
  <si>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</si>
  <si>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</si>
  <si>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</si>
  <si>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</si>
  <si>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</si>
  <si>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</si>
  <si>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</si>
  <si>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</si>
  <si>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</si>
  <si>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t>Support to SMEs through the National Guarantee Fund, with the government providing a capital injection of 0.2 percent of GDP to guarantee loans up to 2.5 percent of GDP.</t>
  </si>
  <si>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</si>
  <si>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</si>
  <si>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</si>
  <si>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</si>
  <si>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 Concessional loans and guarantees to affected firms through the public and private financial institutions. (JPY 118 trillion)
- Public financial institutions' provision of subordinated loans (quasi-equity) and equities (JPY 2.7 trillion)
- Public financial institutions' loans to affected hospitals and clinics (JPY 3.5 trillion)
- The university fund (JPY 4.0 trillion) 
- Other quasi-fiscal operations using the Development Bank of Japan and other agencies (primarily for infrastructure projects) (JPY 15 trillion)</t>
  </si>
  <si>
    <t>• Concessional loans and guarantees to affected firms through the public and private financial institutions. (JPY 118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</si>
  <si>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t>Additional spending (JPY 75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measures (including below measures) totaling JPY 4.7 tn.
•  Replenishment of the cash transfer program for affected firms (JPY 0.9 tn)
•  Replenishment of the emergency loan program for affected households (JPY 0.5 tn)
•  Enhancement of healthcare capacity (JPY1.4 tn)
•  Procurement of vaccines (JPY 0.7 tn)
•  Top up the Employment Adjustment Subsidy (JPY 0.5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</si>
  <si>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r>
      <rPr>
        <b/>
        <sz val="10"/>
        <color theme="1"/>
        <rFont val="Arial"/>
        <family val="2"/>
      </rPr>
      <t>Additional spending (JPY 9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</si>
  <si>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Lebanon</t>
    </r>
    <r>
      <rPr>
        <vertAlign val="superscript"/>
        <sz val="9"/>
        <color theme="1"/>
        <rFont val="Arial"/>
        <family val="2"/>
      </rPr>
      <t>1</t>
    </r>
  </si>
  <si>
    <r>
      <rPr>
        <vertAlign val="superscript"/>
        <sz val="10"/>
        <color theme="1"/>
        <rFont val="Arial"/>
        <family val="2"/>
      </rPr>
      <t>1</t>
    </r>
    <r>
      <rPr>
        <sz val="10"/>
        <color theme="1"/>
        <rFont val="Arial"/>
        <family val="2"/>
      </rPr>
      <t xml:space="preserve"> Lebanon measures are unaccounted because of lack of funding or lack of data.</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</si>
  <si>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</si>
  <si>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</si>
  <si>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</si>
  <si>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Note: Estimates as of end-December, 2020. Numbers in U.S. dollar and percent of GDP are based on January 2021 World Economic Outlook Update unless otherwise stated. For Argentina, U.S. dollar values use end-December 2020 exchange rate. </t>
  </si>
  <si>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</si>
  <si>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(approved by Congress). </t>
    </r>
  </si>
  <si>
    <t>• A loan guarantee scheme for firms with a turnover of between NZ$ 250 thousand and NZ$ 80 mn per annum, with the Government carrying 80% of the credit risk. The loans will be limited to NZ$ 5 mn for a maximum of five years and expected to be provided by the banks at competitive, transparent rates.</t>
  </si>
  <si>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</si>
  <si>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</si>
  <si>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r>
      <rPr>
        <sz val="10"/>
        <color theme="1"/>
        <rFont val="Symbol"/>
        <family val="1"/>
        <charset val="2"/>
      </rPr>
      <t>·</t>
    </r>
    <r>
      <rPr>
        <sz val="10"/>
        <color theme="1"/>
        <rFont val="Arial"/>
        <family val="2"/>
      </rPr>
      <t xml:space="preserve"> 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</si>
  <si>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 Deferred revenue:</t>
    </r>
    <r>
      <rPr>
        <sz val="10"/>
        <color theme="1"/>
        <rFont val="Arial"/>
        <family val="2"/>
      </rPr>
      <t xml:space="preserve">  Deferment of income and commercial tax payments due in the second third, and fourth quarters of FY 19/20 to January 31, 2021</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</si>
  <si>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Compensation for job losses and to businesses for loss of value added. 
</t>
    </r>
    <r>
      <rPr>
        <sz val="10"/>
        <color theme="1"/>
        <rFont val="Symbol"/>
        <family val="1"/>
        <charset val="2"/>
      </rPr>
      <t>·</t>
    </r>
    <r>
      <rPr>
        <sz val="10"/>
        <color theme="1"/>
        <rFont val="Arial"/>
        <family val="2"/>
      </rPr>
      <t xml:space="preserve"> 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Reduction of VAT on the hotel sector to 10 percent and the exemption of the minimum flat tax (IMF) from 2019 tax declarations. Suspension of tax collection from travel agents, restaurant and the sports sector.</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</si>
  <si>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 From the total, CFAF 100 billion will go for credit to large companies with a 20 percent state guarantee and CFAF 100 billion for small enterprises with a state guarantee of 50 percent.</t>
  </si>
  <si>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</si>
  <si>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                                                                                                                                                                                                                                              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</si>
  <si>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(USD billion and percent of 2020 GDP)</t>
  </si>
  <si>
    <t>• Guarantees for Covid-19 bridge loans for firms with annual turnover up to CHF 500 mn (CHF 40 bn)
• Guarantees for startups (CHF 0.1 bn)
• Guarantees for airlines (CHF 1.275 bn)
• Guarantees for flight-related business (CHF 0.6 bn)
• Guarantees for SNB loan to IMF (CHF 0.8 bn)</t>
  </si>
  <si>
    <t>• Within the frame of the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 This measure was extended to restaurants and sports facilities.</t>
  </si>
  <si>
    <t xml:space="preserve">Credit guarantee scheme for the SME sector. </t>
  </si>
  <si>
    <r>
      <rPr>
        <b/>
        <sz val="10"/>
        <color theme="1"/>
        <rFont val="Arial"/>
        <family val="2"/>
      </rPr>
      <t>Additional spending:</t>
    </r>
    <r>
      <rPr>
        <sz val="10"/>
        <color theme="1"/>
        <rFont val="Arial"/>
        <family val="2"/>
      </rPr>
      <t xml:space="preserve"> Additional spending on medical equipment and materials. Treatment costs of Covid-19 positive patients are covered by either Health Insurance Fund (under Vietnam Social Security) or by the state budget.
</t>
    </r>
    <r>
      <rPr>
        <b/>
        <sz val="10"/>
        <color theme="1"/>
        <rFont val="Arial"/>
        <family val="2"/>
      </rPr>
      <t>Forgone revenue:</t>
    </r>
    <r>
      <rPr>
        <sz val="10"/>
        <color theme="1"/>
        <rFont val="Arial"/>
        <family val="2"/>
      </rPr>
      <t xml:space="preserve"> Exemption of import tariff for medical material. Suspension of VAT for domestically produced medical material. </t>
    </r>
  </si>
  <si>
    <r>
      <t>Deferred revenue:</t>
    </r>
    <r>
      <rPr>
        <sz val="10"/>
        <rFont val="Arial"/>
        <family val="2"/>
      </rPr>
      <t xml:space="preserve"> Payments of VAT, CIT and of land rental fees are deferred by 5 months, and payment of PIT tax obligations is deferred to year-end (total value of VND 180 tn). </t>
    </r>
  </si>
  <si>
    <r>
      <rPr>
        <b/>
        <sz val="10"/>
        <color theme="1"/>
        <rFont val="Arial"/>
        <family val="2"/>
      </rPr>
      <t>Deferred revenue</t>
    </r>
    <r>
      <rPr>
        <sz val="10"/>
        <color theme="1"/>
        <rFont val="Arial"/>
        <family val="2"/>
      </rPr>
      <t xml:space="preserve">: Deferral of corporate tax payments till June 30 2020. </t>
    </r>
  </si>
  <si>
    <r>
      <rPr>
        <b/>
        <sz val="10"/>
        <color theme="1"/>
        <rFont val="Arial"/>
        <family val="2"/>
      </rPr>
      <t>Additional spending</t>
    </r>
    <r>
      <rPr>
        <sz val="10"/>
        <color theme="1"/>
        <rFont val="Arial"/>
        <family val="2"/>
      </rPr>
      <t xml:space="preserve">: Increasing healthcare capacity, diagnostic and medical equipment, increasing payments to health workers, procurement of personal protective equipment.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</si>
  <si>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 Some of the tax measures, including the reduction of top PAYE rate, corporate income tax rate and VAT were reversed effective January 1, 2021.</t>
    </r>
  </si>
  <si>
    <t>Table 1. Summary of Country Fiscal Measures in Response to the COVID-19 Pandemic since January 2020</t>
  </si>
  <si>
    <t xml:space="preserve">2/ Norway fiscal support measures are expressed in percent of continental GDP. </t>
  </si>
  <si>
    <t>% GDP 2/</t>
  </si>
  <si>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Nearly 10 million people are estimated to benefit from this support package.
</t>
    </r>
    <r>
      <rPr>
        <b/>
        <sz val="10"/>
        <color theme="1"/>
        <rFont val="Arial"/>
        <family val="2"/>
      </rPr>
      <t>Forgone revenue:</t>
    </r>
    <r>
      <rPr>
        <sz val="10"/>
        <color theme="1"/>
        <rFont val="Arial"/>
        <family val="2"/>
      </rPr>
      <t xml:space="preserve"> Raise the deductibles of personal income tax starting in July, including individual thresholds and dependent deduction. Fees reduction for supporting firms and workers, effectively from May and extended to June 2021,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</si>
  <si>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t>Norway% GDP</t>
  </si>
  <si>
    <r>
      <rPr>
        <b/>
        <sz val="10"/>
        <color theme="1"/>
        <rFont val="Arial"/>
        <family val="2"/>
      </rPr>
      <t>Additional spending:</t>
    </r>
    <r>
      <rPr>
        <sz val="10"/>
        <color theme="1"/>
        <rFont val="Arial"/>
        <family val="2"/>
      </rPr>
      <t xml:space="preserve">
The authorities have increased public health spending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</si>
  <si>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Housing program.</t>
    </r>
  </si>
  <si>
    <t>• Institute for Social Security and Services (ISSSTE) loans to state workers with low interest rates.
• Personal loans granted by the Institute of the National Fund for the Consumption of Workers (Fonacot).
• Special Program to Reactivate the Economy against COVID by Housing Fund of the Institute for Social Security and Services(Fovissste).</t>
  </si>
  <si>
    <t>• Development banks to provide loans, particularly to small- and medium-scale enterprises.</t>
  </si>
  <si>
    <r>
      <rPr>
        <b/>
        <sz val="10"/>
        <rFont val="Arial"/>
        <family val="2"/>
      </rPr>
      <t>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</si>
  <si>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Treasury-backed credit guarantee system.  
• Credit guarantee fund doubled in size from TL25 to 50 billion as part of the fiscal package.</t>
  </si>
  <si>
    <r>
      <rPr>
        <b/>
        <sz val="10"/>
        <color theme="1"/>
        <rFont val="Arial"/>
        <family val="2"/>
      </rPr>
      <t>Additional spending</t>
    </r>
    <r>
      <rPr>
        <sz val="10"/>
        <color theme="1"/>
        <rFont val="Arial"/>
        <family val="2"/>
      </rPr>
      <t xml:space="preserve">:
• RUB 224 billion – new infection hospitals, additional beds and re-equipment of existing beds, special ambulances and equipment, medicine
• RUB 346 billion – bonus fund for medical staff, R&amp;D in diagnostics and prevention
• RUB 32 billion – other
• RUB 141 billion expected in 2021.
• 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</si>
  <si>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                      • Farmers’ loans that will become due in May and June have been postponed by six months.</t>
  </si>
  <si>
    <r>
      <rPr>
        <b/>
        <sz val="10"/>
        <rFont val="Arial"/>
        <family val="2"/>
      </rPr>
      <t xml:space="preserve">Accelerated spending (€17.5 bn): </t>
    </r>
    <r>
      <rPr>
        <sz val="10"/>
        <rFont val="Arial"/>
        <family val="2"/>
      </rPr>
      <t>Accelerated refund of tax credits (e.g. CIT and VAT).</t>
    </r>
    <r>
      <rPr>
        <b/>
        <sz val="10"/>
        <rFont val="Arial"/>
        <family val="2"/>
      </rPr>
      <t xml:space="preserve">
Deferred revenue (€52 bn): </t>
    </r>
    <r>
      <rPr>
        <sz val="10"/>
        <rFont val="Arial"/>
        <family val="2"/>
      </rPr>
      <t>Postponement of social security contributions and tax payment for companies.</t>
    </r>
  </si>
  <si>
    <t xml:space="preserve">• State guarantees for bank loans to companies and credit reinsurance schemes (€315 bn); other guarantees (€12.5 bn).
• The recovery plan also includes the creation of a up to €20 bn fund leveraged by public guarantees (€7 bn), to provide quasi-equity support or equity loans to firms. </t>
  </si>
  <si>
    <r>
      <rPr>
        <b/>
        <sz val="10"/>
        <color theme="1"/>
        <rFont val="Arial"/>
        <family val="2"/>
      </rPr>
      <t xml:space="preserve">Additional spending (€19.5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</si>
  <si>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color theme="1"/>
        <rFont val="Arial"/>
        <family val="2"/>
      </rPr>
      <t>Deferred revenue</t>
    </r>
    <r>
      <rPr>
        <sz val="10"/>
        <color theme="1"/>
        <rFont val="Arial"/>
        <family val="2"/>
      </rPr>
      <t>: Deferral of social security contribution and debts for companies and the self-employed; Deferral of tax debts and debts arising from customs declaration; tax payment deferrals for small and medium enterprises and self-employed, with the first three/four months exempt from interest.</t>
    </r>
  </si>
  <si>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up to €2 billion public guarantees for exporters through the Spanish Export Insurance Credit Company; expansion of the ICO credit lines for the tourism sector (€200 million)
• Additional loan guarantees for SMEs and self-employed through the Compañía Española de Reafianzamiento (€1.1 bn) and line of guarantees for listed companies (€1 billion)</t>
  </si>
  <si>
    <t>• NZ$ 900 mn loan is granted to Air New Zealand, an airline company, of which the government owns 52 percent of shares.
• Maximum NZ$100 thousand loan is granted to small businesses that employ 50 or fewer full time equivalent employees (NZ$ 1.7 bn).
• NZ$150 million short-term R&amp;D scheme to support private sector R&amp;D investment.</t>
  </si>
  <si>
    <r>
      <rPr>
        <b/>
        <sz val="10"/>
        <color theme="1"/>
        <rFont val="Arial"/>
        <family val="2"/>
      </rPr>
      <t xml:space="preserve">Additional spending: </t>
    </r>
    <r>
      <rPr>
        <sz val="10"/>
        <color theme="1"/>
        <rFont val="Arial"/>
        <family val="2"/>
      </rPr>
      <t xml:space="preserve">
• Support to households, including a cash payout to all Singaporeans (higher for families with children under 20), and additional payments for lower-income individuals and the unemployed. 
• Support to businesses and workers, including wage subsidies; support to cover rental costs, an enhancement of financing schemes, and additional support for the self-employed and industries most directly affected..
• Other measures: e.g. support to R&amp;D investment, a national stockpile of health supplies, and a program on food resilience.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faster write-downs for qualifying investments; foreign worker levy waivers. </t>
    </r>
  </si>
  <si>
    <t xml:space="preserve">The total guarantee is estimated at about 579 bn euros, aimed to unlock more than 750 billion euros of liquidity for businesses and households. (Note that the amount reported here is the originally announced ceiling, and the current level of contracted guarantees is about one-fourth of the announced).
</t>
  </si>
  <si>
    <r>
      <rPr>
        <b/>
        <sz val="10"/>
        <rFont val="Arial"/>
        <family val="2"/>
      </rPr>
      <t xml:space="preserve">Additional spending (€150 bn): </t>
    </r>
    <r>
      <rPr>
        <sz val="10"/>
        <rFont val="Arial"/>
        <family val="2"/>
      </rPr>
      <t xml:space="preserve">including broadening the wage supplementation fund to provide income support to laid-off workers and the self-employed, vouchers for the payment of babysitters (€80 bn), grants for SME  (€60 bn), education (€4 bn), and other (€10 bn).
</t>
    </r>
    <r>
      <rPr>
        <b/>
        <sz val="10"/>
        <rFont val="Arial"/>
        <family val="2"/>
      </rPr>
      <t>Forgone revenue (€10 bn)</t>
    </r>
    <r>
      <rPr>
        <sz val="10"/>
        <rFont val="Arial"/>
        <family val="2"/>
      </rPr>
      <t>: corporate income tax credits (€4 bn) and social security contribution reduction (€6 bn).</t>
    </r>
  </si>
  <si>
    <r>
      <rPr>
        <b/>
        <sz val="10"/>
        <rFont val="Arial"/>
        <family val="2"/>
      </rPr>
      <t>Additional spending:</t>
    </r>
    <r>
      <rPr>
        <sz val="10"/>
        <rFont val="Arial"/>
        <family val="2"/>
      </rPr>
      <t xml:space="preserve"> 
• Increased testing and tracing for Covid-19 (SEK 7 bn); funding of extraordinary costs associated with Covid-19 for municipalities and regions (SEK 5 bn) and elderly care boost (SEK 2.2 bn).
• Extra funding to train up to 10,000 people in health and social care during 2020Q4. Folk high schools' adult vocational training was also to be expanded with 1000 seats during 2020, focusing on health and social care.
• The National Board of Health and Welfare’s credit framework has increased to enable purchases of personal protective equipment and intensive care equipment.
• Removal of income ceiling for student aid to enable health and medical care students to help out in the health care sector without their student aid being reduced.
</t>
    </r>
  </si>
  <si>
    <r>
      <t xml:space="preserve">Additional spending (AUD 20.0 bn):
</t>
    </r>
    <r>
      <rPr>
        <sz val="10"/>
        <rFont val="Arial"/>
        <family val="2"/>
      </rPr>
      <t>•Australia is co-funding the WHO’s Pacific regional coronavirus response plan (together with New Zealand).                                                                                           •The Commonwealth government increased the budget to secure access to COVID-19 vaccines and roll out a national Vaccination Program.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</si>
  <si>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t>• The Coronavirus SME Guarantee Scheme provides a loan guarantee arrangement between the government and participating banks to cover the immediate cash flow needs of SMEs. In mid-July 2020, this scheme was extended through June 2021, with the maximum loan size raised from A$250,000 to A$1 million and the maximum maturity extended to five years.                                                                                                                                                                                                          • In March 2021, the government renamed it the SME Recovery Loan Scheme, under which the government guarantees 80 percent (previously: 50 percent) of new SME loan amounts (starting April 2021), with the maximum loan size raised to A$5 million and the maximum maturity extended to ten years. The scheme also offers up to 24 months of repayment holidays.</t>
  </si>
  <si>
    <r>
      <rPr>
        <b/>
        <sz val="10"/>
        <rFont val="Arial"/>
        <family val="2"/>
      </rPr>
      <t>Deferred revenue (JPY 3 tn):</t>
    </r>
    <r>
      <rPr>
        <sz val="10"/>
        <rFont val="Arial"/>
        <family val="2"/>
      </rPr>
      <t xml:space="preserve"> Deferral of payment of taxes and social security premiums by affected firms and households for one year.</t>
    </r>
  </si>
  <si>
    <r>
      <rPr>
        <b/>
        <sz val="10"/>
        <rFont val="Arial"/>
        <family val="2"/>
      </rPr>
      <t xml:space="preserve">Government loans (1.3bn):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</si>
  <si>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rPr>
        <b/>
        <sz val="10"/>
        <color theme="1"/>
        <rFont val="Arial"/>
        <family val="2"/>
      </rPr>
      <t>Additional spending:</t>
    </r>
    <r>
      <rPr>
        <sz val="10"/>
        <color theme="1"/>
        <rFont val="Arial"/>
        <family val="2"/>
      </rPr>
      <t xml:space="preserve"> including on purchase, distribution and sale of medical devices; vaccine research contribution; healthcare costs in the Caribbean Netherlands; training for healthcare personnel and bonusses; research. The reported 16.6 billion covers 2020-2022.</t>
    </r>
  </si>
  <si>
    <r>
      <rPr>
        <b/>
        <sz val="10"/>
        <rFont val="Arial"/>
        <family val="2"/>
      </rPr>
      <t>Spending Measures:</t>
    </r>
    <r>
      <rPr>
        <sz val="10"/>
        <rFont val="Arial"/>
        <family val="2"/>
      </rPr>
      <t xml:space="preserve">                                                                                                                                                                                                                             • Increased spending for medical supplies and equipment. 
                                                                                                                                                                                                                                                                                                                                                                                                                                                                                                                                                                                                                              </t>
    </r>
    <r>
      <rPr>
        <b/>
        <sz val="10"/>
        <rFont val="Arial"/>
        <family val="2"/>
      </rPr>
      <t>Foregone Revenues:</t>
    </r>
    <r>
      <rPr>
        <sz val="10"/>
        <rFont val="Arial"/>
        <family val="2"/>
      </rPr>
      <t xml:space="preserve">
• Abolished the import duty on medical supplies</t>
    </r>
  </si>
  <si>
    <r>
      <rPr>
        <b/>
        <sz val="10"/>
        <rFont val="Arial"/>
        <family val="2"/>
      </rPr>
      <t>Spending Measures:</t>
    </r>
    <r>
      <rPr>
        <sz val="10"/>
        <rFont val="Arial"/>
        <family val="2"/>
      </rPr>
      <t xml:space="preserve"> Accelerated refund of VAT tax credits.
                                                                                                                                                                                                                                                                                                 </t>
    </r>
    <r>
      <rPr>
        <b/>
        <sz val="10"/>
        <rFont val="Arial"/>
        <family val="2"/>
      </rPr>
      <t>Deferred Revenue:</t>
    </r>
    <r>
      <rPr>
        <sz val="10"/>
        <rFont val="Arial"/>
        <family val="2"/>
      </rPr>
      <t xml:space="preserve"> Deferral of CIT/PIT payment or filing obligations for specific sectors of the economy</t>
    </r>
  </si>
  <si>
    <t xml:space="preserve">Measures announced in 2020:                                                                                                                                                                                                                                                             • A state guarantee scheme for bank loans to SMEs has been approved (exposure of RSD 56.5bn)   
                                                                                                                                                                                                                                                  Measures announced in 2021: 
• The existing scheme for state guaranteed bank loans to SMEs will be expanded by EUR 500 million (1 percent of GDP) and a new EUR 500 million scheme for vulnerable companies was announced.
</t>
  </si>
  <si>
    <r>
      <t xml:space="preserve">Additional spending: </t>
    </r>
    <r>
      <rPr>
        <sz val="10"/>
        <rFont val="Arial"/>
        <family val="2"/>
      </rPr>
      <t>Emergency measures to upgrade the main national hospital, pharmaceuticals, food provision and medical equipment to the country’s hospitals. Also includes vaccine costs.</t>
    </r>
  </si>
  <si>
    <r>
      <rPr>
        <b/>
        <sz val="10"/>
        <rFont val="Arial"/>
        <family val="2"/>
      </rPr>
      <t>Additional spending:</t>
    </r>
    <r>
      <rPr>
        <sz val="10"/>
        <rFont val="Arial"/>
        <family val="2"/>
      </rPr>
      <t xml:space="preserve"> Transfers to vulnerable families (0.1 percent of GDP), citizen security to enforce COVID-19 measures (0.2 and 0.1 percent of GDP in 2020 and 2021, respectively) and investments to strengthen the agricultural sector (0.4 percent of GDP in 2021). </t>
    </r>
  </si>
  <si>
    <t>Public development bank Banhprovi will deploy L5,625 mn (0.9 percent of GDP), funded with loans from the regional development bank CABEI, to finance loans to SME and other sectors affected by the pandemic. A dedicated L4,000 mn (0.7 percent of GDP) rediscount facility funded with accumulated profits at Banhprovi was also created for loans restructured as a result of the pandemic.</t>
  </si>
  <si>
    <r>
      <rPr>
        <b/>
        <sz val="10"/>
        <rFont val="Arial"/>
        <family val="2"/>
      </rPr>
      <t>Additional spending</t>
    </r>
    <r>
      <rPr>
        <sz val="10"/>
        <rFont val="Arial"/>
        <family val="2"/>
      </rPr>
      <t>: Recruitment of additional health workers, expansion of hospital bed capacity, enhanced surveillance, laboratory services, isolation units, equipment, supplies, and communication and vaccines.</t>
    </r>
  </si>
  <si>
    <r>
      <rPr>
        <b/>
        <sz val="10"/>
        <rFont val="Arial"/>
        <family val="2"/>
      </rPr>
      <t xml:space="preserve">Additional spending: </t>
    </r>
    <r>
      <rPr>
        <sz val="10"/>
        <rFont val="Arial"/>
        <family val="2"/>
      </rPr>
      <t xml:space="preserve">Cash transfers, food, cash-for-work, pension support, health benefit extension. Support for productivity enhancement in businesses, and targeted support to rural and agriculture sectors
</t>
    </r>
    <r>
      <rPr>
        <b/>
        <sz val="10"/>
        <rFont val="Arial"/>
        <family val="2"/>
      </rPr>
      <t>Forgone revenue:</t>
    </r>
    <r>
      <rPr>
        <sz val="10"/>
        <rFont val="Arial"/>
        <family val="2"/>
      </rPr>
      <t xml:space="preserve"> Waive the 2% Withholding Tax on exports.
Further tax relief on additional salary and wage expenses and additional expenditures for capital equipment during Income Year 2019-2020 was granted by an order of the President Office on June 12.                                                       Exempt electricity tariffs for all households (excluding embassies and international organizations) up to 150 units per month for April to December.</t>
    </r>
  </si>
  <si>
    <t>Establish funds to on lend to support SME, MFI, small farmers, trade financing.                                                                                                                        Additional 100 billion kyat from re-appropriation of ministries’ budget was allocated to COVID-19 Fund for providing soft loans to COVID-19 affected businesses.</t>
  </si>
  <si>
    <t>Government plans to extend government guarantees to firms, existing or new, in selected high growth sectors affected. No amount is announced.</t>
  </si>
  <si>
    <r>
      <rPr>
        <b/>
        <sz val="10"/>
        <rFont val="Arial"/>
        <family val="2"/>
      </rPr>
      <t xml:space="preserve">Additional spending:                                                                                                                                                                                                                           </t>
    </r>
    <r>
      <rPr>
        <sz val="10"/>
        <rFont val="Symbol"/>
        <family val="1"/>
        <charset val="2"/>
      </rPr>
      <t>·</t>
    </r>
    <r>
      <rPr>
        <sz val="10"/>
        <rFont val="Arial"/>
        <family val="2"/>
      </rPr>
      <t xml:space="preserve"> Reinforced protection for medical staff; increased capacity to quarantine; recruitment of 1,500 health workers; set up isolation sites; 
</t>
    </r>
    <r>
      <rPr>
        <sz val="10"/>
        <rFont val="Symbol"/>
        <family val="1"/>
        <charset val="2"/>
      </rPr>
      <t>·</t>
    </r>
    <r>
      <rPr>
        <sz val="10"/>
        <rFont val="Arial"/>
        <family val="2"/>
      </rPr>
      <t xml:space="preserve"> Exemption of VAT and duties on medical goods.</t>
    </r>
    <r>
      <rPr>
        <sz val="10"/>
        <rFont val="Arial"/>
        <family val="2"/>
        <charset val="2"/>
      </rPr>
      <t xml:space="preserve"> 
</t>
    </r>
    <r>
      <rPr>
        <b/>
        <sz val="10"/>
        <rFont val="Arial"/>
        <family val="2"/>
      </rPr>
      <t>Forgone revenues:</t>
    </r>
    <r>
      <rPr>
        <sz val="10"/>
        <rFont val="Arial"/>
        <family val="2"/>
        <charset val="2"/>
      </rPr>
      <t xml:space="preserve">                                                                                                                                                                                                                          Higher depreciation cost allowed in tax declaration for businesses
New import credits
Delaying vehicle taxes
Suspension of fiscal controls
Suspension of the uniform informal tax and transport VAT in urban centers
Reduction of VAT on the hotel sector to 10 percent and the exemption of the minimum flat tax (IMF) from 2019 tax declarations
Suspension of tax controls</t>
    </r>
  </si>
  <si>
    <r>
      <rPr>
        <b/>
        <sz val="10"/>
        <rFont val="Arial"/>
        <family val="2"/>
      </rPr>
      <t>Additional spending:</t>
    </r>
    <r>
      <rPr>
        <sz val="10"/>
        <rFont val="Arial"/>
        <family val="2"/>
      </rPr>
      <t xml:space="preserve">                                                                                                                                                                                                                                     The government has announced an 8 billion kwacha Covid-19 Mitigation Bond to finance related spending, which includes 1 billion in health-related spending: purchases of equipment and clearance of arrears to local drug suppliers.
                                                                                                                                                                                                                                               </t>
    </r>
    <r>
      <rPr>
        <b/>
        <sz val="10"/>
        <rFont val="Arial"/>
        <family val="2"/>
      </rPr>
      <t xml:space="preserve">Forgone revenues:                                                                                                                                                                                                                                   </t>
    </r>
    <r>
      <rPr>
        <sz val="10"/>
        <rFont val="Arial"/>
        <family val="2"/>
      </rPr>
      <t>The government has suspended import duties and VAT on some medical supplies and devices, including testing equipment, protective garments, thermometers, disinfectants, sterilization products, ventilators and patient monitoring devices.
The government has also suspended excise duty on ethanol for use in alcohol-based sanitizers and other medical commodities.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</si>
  <si>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3.1 billion to clear arrears to suppliers of goods and services, on VAT refunds, on pensions, as well as third-party arrears to micro-finance institutions.
</t>
    </r>
    <r>
      <rPr>
        <sz val="10"/>
        <rFont val="Symbol"/>
        <family val="1"/>
        <charset val="2"/>
      </rPr>
      <t>·</t>
    </r>
    <r>
      <rPr>
        <sz val="10"/>
        <rFont val="Arial"/>
        <family val="2"/>
      </rPr>
      <t xml:space="preserve"> 0.5 billion for youth empowerment programs;
</t>
    </r>
    <r>
      <rPr>
        <b/>
        <sz val="10"/>
        <rFont val="Symbol"/>
        <family val="1"/>
        <charset val="2"/>
      </rPr>
      <t>·</t>
    </r>
    <r>
      <rPr>
        <sz val="10"/>
        <rFont val="Arial"/>
        <family val="2"/>
      </rPr>
      <t xml:space="preserve"> 1.7 billion for grain purchases; 
</t>
    </r>
    <r>
      <rPr>
        <sz val="10"/>
        <rFont val="Symbol"/>
        <family val="1"/>
        <charset val="2"/>
      </rPr>
      <t>·</t>
    </r>
    <r>
      <rPr>
        <sz val="10"/>
        <rFont val="Arial"/>
        <family val="2"/>
      </rPr>
      <t xml:space="preserve"> 0.8 billion for other purposes; 
</t>
    </r>
    <r>
      <rPr>
        <b/>
        <sz val="10"/>
        <rFont val="Arial"/>
        <family val="2"/>
      </rPr>
      <t xml:space="preserve">· </t>
    </r>
    <r>
      <rPr>
        <sz val="10"/>
        <rFont val="Arial"/>
        <family val="2"/>
      </rPr>
      <t>The 2021 Budget envisions tax breaks for tourism: a permanently lower CIT rate and suspended import duties and fees;</t>
    </r>
    <r>
      <rPr>
        <b/>
        <sz val="10"/>
        <rFont val="Arial"/>
        <family val="2"/>
      </rPr>
      <t xml:space="preserve">
                                                                                                                                                                                                                                               Forgone revenues:</t>
    </r>
    <r>
      <rPr>
        <sz val="10"/>
        <rFont val="Arial"/>
        <family val="2"/>
      </rPr>
      <t xml:space="preserve">                                                                                             Import duties on mineral concentrate and export duties on precious metals and crocodile skin were suspended. The government has waived tax penalties and interest on outstanding tax liabilities resulting from the impact of COVID-19. It also removed provisions relating to claiming VAT on imported spare parts, lubricants, and stationery.
The 2021 Budget envisions zero rating under the VAT for equipment used for full body sanitization for a period of one year, as well as tax breaks for tourism: a permanently lower CIT rate and suspended import duties and fees.</t>
    </r>
  </si>
  <si>
    <r>
      <t xml:space="preserve">Additional spending ($622.3 bn)
</t>
    </r>
    <r>
      <rPr>
        <sz val="10"/>
        <color theme="1"/>
        <rFont val="Arial"/>
        <family val="2"/>
      </rPr>
      <t xml:space="preserve">•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$178.9 bn. 
• Coronavirus Aid, Relief, and Economic Security Act (March 27, 2020) approved $128.8 bn for additional health spending, which includes funding for hospital ($100 bn), the Center of Disease Control ($4.3bn) and vaccine development and expanding Medicare payments and providing tax advantage for certain medical expense.
• Paycheck Protection Program and Health Care Enhancement Act (April 23, 2020) includes $75 bn for hospitals and $25 bn for testing, with estimated budget cost of $99.6 bn.
• Consolidated Appropriation Act (Dec.21, 2020) includes $23bn for vaccine procument, $9bn for vaccine distribution, $22bn for testing/tracing/covid mitigation programs, with a total estimated cost of 65.4 bn.
• American Rescue Plan (Mar.12, 2021) includes $95.8bn for various activities related to vaccine distributions, testing for, treating, and responding to COVID-19 and other COVID-19 related activities, $14.3bn for preserving private health coverage of workers during the pandemic, $24.4bn for subsidizing health insurance through the government exchange/marketplaces and $23.1bn for expanding and supporting Medicaid, CHIPs and Medicare. The total estimated cost is $151.5bn.
</t>
    </r>
    <r>
      <rPr>
        <b/>
        <sz val="10"/>
        <color theme="1"/>
        <rFont val="Arial"/>
        <family val="2"/>
      </rPr>
      <t xml:space="preserve">
Forgone revenue ($65 bn)
</t>
    </r>
    <r>
      <rPr>
        <sz val="10"/>
        <color theme="1"/>
        <rFont val="Arial"/>
        <family val="2"/>
      </rPr>
      <t>• CARES act includes expansion of qualified medical expenses which is estimated to reduce revenue by $9 bn.
• American Rescue Plan (Mar.12, 2021) will lead to revenue changes due to preserving private health coverage of workers during the pandemic, subsidizing health insurance through the government exchange/marketplaces and expanding and supporting Medicaid, CHIPs and Medicare. The total estimated revenue loss is $56.2bn.</t>
    </r>
  </si>
  <si>
    <t>• Loans to companies in the electricity distribution sector (initially 900 billion but expanded to 1200 billion Rs),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</si>
  <si>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 xml:space="preserve">Additional spending: </t>
    </r>
    <r>
      <rPr>
        <sz val="10"/>
        <color theme="1"/>
        <rFont val="Arial"/>
        <family val="2"/>
      </rPr>
      <t>for medical equipment and staff for health facilities, and policing the lockdown, vaccine program and rollout, and second wave management.</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</si>
  <si>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227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April 2021).
• Increase transfers to households: grants and food distribution and public work program expansions. 
• Increase child support and all other grants from May till Oct 2020.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</si>
  <si>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2020.
• Three-month deferral for filing and payment date of carbon tax.</t>
    </r>
  </si>
  <si>
    <t xml:space="preserve">The Treasury will guarantee up to R 200 bn in loans where also the banks are taking part of the risk to help businesses (with a cap of R100 million per loan) pay operating expenses and restart, suppliers etc (extended to June 11 2021). </t>
  </si>
  <si>
    <r>
      <rPr>
        <b/>
        <sz val="10"/>
        <color theme="1"/>
        <rFont val="Arial"/>
        <family val="2"/>
      </rPr>
      <t>Additional spending (1.702 bn):</t>
    </r>
    <r>
      <rPr>
        <sz val="10"/>
        <color theme="1"/>
        <rFont val="Arial"/>
        <family val="2"/>
      </rPr>
      <t xml:space="preserve">
• Purchase of vaccines and medicines - BGN 198.8 mn;
• Support of personnel on the frontline of the fight with COVID-19 - BGN 192 mn
• Additional financing of medical activities - BGN 748 mn
• Provision of PPA and other equipment to the medical establishments - BGN 130 mn
• Subsidies and capital transfers to medical establishments - BGN 70 mn
• Provision of PPA and other equipment to the state administration - BGN 35 mn;
• Health expenditures in education - BGN 38 mn
• Additional remuneration in healthcare - BGN 287 mn 
</t>
    </r>
    <r>
      <rPr>
        <b/>
        <sz val="10"/>
        <color theme="1"/>
        <rFont val="Arial"/>
        <family val="2"/>
      </rPr>
      <t>Foregone Revenue (0.003 bn):</t>
    </r>
    <r>
      <rPr>
        <sz val="10"/>
        <color theme="1"/>
        <rFont val="Arial"/>
        <family val="2"/>
      </rPr>
      <t xml:space="preserve">
• Exemption from VAT and customs duties of import of key medical supplies - BGN 3 mn</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</si>
  <si>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</si>
  <si>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Accelerated spending:</t>
    </r>
    <r>
      <rPr>
        <sz val="10"/>
        <rFont val="Arial"/>
        <family val="2"/>
      </rPr>
      <t xml:space="preserve">
•Accelerated pay to government's suppliers.
</t>
    </r>
    <r>
      <rPr>
        <b/>
        <sz val="10"/>
        <rFont val="Arial"/>
        <family val="2"/>
      </rPr>
      <t>Deferred revenue:</t>
    </r>
    <r>
      <rPr>
        <sz val="10"/>
        <rFont val="Arial"/>
        <family val="2"/>
      </rPr>
      <t xml:space="preserve">
•Deferred CIT, VAT and property taxes.
</t>
    </r>
  </si>
  <si>
    <t>•Injection to the unemployment insurance fund to pay for enhanced coverage and to the state-owned bank for loan guarantees.</t>
  </si>
  <si>
    <r>
      <rPr>
        <b/>
        <sz val="10"/>
        <color theme="1"/>
        <rFont val="Arial"/>
        <family val="2"/>
      </rPr>
      <t>Additional spending:</t>
    </r>
    <r>
      <rPr>
        <sz val="10"/>
        <color theme="1"/>
        <rFont val="Arial"/>
        <family val="2"/>
      </rPr>
      <t xml:space="preserve"> Allocated to support patient care, co-finance healthcare infrastructure improvements, and telemedicine and digitalization.</t>
    </r>
  </si>
  <si>
    <r>
      <rPr>
        <b/>
        <sz val="10"/>
        <color theme="1"/>
        <rFont val="Arial"/>
        <family val="2"/>
      </rPr>
      <t xml:space="preserve">Additional spending (PLN 114.8 bn): </t>
    </r>
    <r>
      <rPr>
        <sz val="10"/>
        <color theme="1"/>
        <rFont val="Arial"/>
        <family val="2"/>
      </rPr>
      <t xml:space="preserve">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 the second wave, with eligibility limited to companies in sectors most impacted by the partial lockdown,including the write-off of the repayable portion of liquidity loans for affected SMEs and the extension of liquidity loans, guarantees, wage subsidies.
</t>
    </r>
    <r>
      <rPr>
        <b/>
        <sz val="10"/>
        <color theme="1"/>
        <rFont val="Arial"/>
        <family val="2"/>
      </rPr>
      <t xml:space="preserve">Foregone revenue: (PLN 20.7 bn) </t>
    </r>
    <r>
      <rPr>
        <sz val="10"/>
        <color theme="1"/>
        <rFont val="Arial"/>
        <family val="2"/>
      </rPr>
      <t>For micro firms up to 9 employees social insurance contributions will be covered by the budget for 3 months. For companies employing from 10 to 49 employees 50% of social insurance contributions will be paid by the budget. Extended to month of November for affected industries, and later for December and January. Also includes non-collection of tax revenue (CIT/PIT) in 2021 due to subsidies granted for liquidity loans.</t>
    </r>
  </si>
  <si>
    <t>Deferred revenue:Possible deferral, payment in installments, or cancellation of taxes. Deduction of this year’s losses for 2021 tax settlement (the tax returns  for 2019 might be corrected in order to deduct the losses of 2020 from 2019 income).</t>
  </si>
  <si>
    <t xml:space="preserve">• Credit guarantees and micro-loans for entrepreneurs from the Polish Development Fund and BGK state-owned development bank.
</t>
  </si>
  <si>
    <r>
      <rPr>
        <b/>
        <sz val="10"/>
        <color theme="1"/>
        <rFont val="Arial"/>
        <family val="2"/>
      </rPr>
      <t xml:space="preserve">Additional spending (RON 19.6 bn): </t>
    </r>
    <r>
      <rPr>
        <sz val="10"/>
        <color theme="1"/>
        <rFont val="Arial"/>
        <family val="2"/>
      </rPr>
      <t xml:space="preserve">
Paying 75 percent of the gross wage to employees of companies facing difficulties (RON4.3 billion); paying 75 percent of gross wage to affected self-employed and individual enterprises (RON0.9 billion); Covering partially the wages of parents staying home for the period the schools are closed  (RON 0.09 bn); Continue to pay technical unemployment benefits to those returning to work  (4.6 billion RON); The state finances 75% of the gross salary for professional athletes (RON 0.1bn); Grants to businesses (RON8.6 billion); Wage supports to hire job seekers over 50 or below 30 or Romanian citizens returning to the country after losing their jobs abroad.
</t>
    </r>
    <r>
      <rPr>
        <b/>
        <sz val="10"/>
        <color theme="1"/>
        <rFont val="Arial"/>
        <family val="2"/>
      </rPr>
      <t>Forgone revenue (RON 0.9 bn):</t>
    </r>
    <r>
      <rPr>
        <sz val="10"/>
        <color theme="1"/>
        <rFont val="Arial"/>
        <family val="2"/>
      </rPr>
      <t xml:space="preserve"> 5 to 10 percent discount for corporate income tax payments.</t>
    </r>
  </si>
  <si>
    <r>
      <rPr>
        <b/>
        <sz val="10"/>
        <rFont val="Arial"/>
        <family val="2"/>
      </rPr>
      <t>Deferred revenue:</t>
    </r>
    <r>
      <rPr>
        <sz val="10"/>
        <rFont val="Arial"/>
        <family val="2"/>
      </rPr>
      <t xml:space="preserve"> Deferring by 3 months the payment of property taxes  (expired)
Expediting VAT refunds (expired)
Temporary suspension of tax controls and enforcement (expired)
Suspending labor inspections (expired)
Deferral of rent and utility payments for affected SMEs (expired)
Exempting for 90 days the specific tax for hospitality industry (expired)</t>
    </r>
  </si>
  <si>
    <t>· Loan guarantees up to 80% of the value of the financing granted to SMEs for working capital and investment. ( maximum value of the  line of credit for financing the working capital is 5 million lei and for investments 10 million lei).
· Loan guarantees up to 90% of the value of the financing for micro-enterprises or small enterprises, for financing of working capital (maximum value RON 500,000 for micro-enterprises and RON 1 million for small businesses. Interest is subsidized for all loans.
· State guarantees for leasing of work equipment for SMEs. The guarantee is up to 80% loan for IT equipment, and 60% for other technological equipment.  The maximum value of the financing will be 5,000,000 RON. The leasing period will be 72 months.
· State guarantee scheme for large companies to be implemented by state-owned Eximbank. The guarantee is up to 80% of loan
· State guarantees for factoring (SMEs)
· State guarantees for holiday vouchers and trade credit insurance (SMEs)</t>
  </si>
  <si>
    <r>
      <rPr>
        <b/>
        <sz val="10"/>
        <color theme="1"/>
        <rFont val="Arial"/>
        <family val="2"/>
      </rPr>
      <t xml:space="preserve">Deferred revenue: </t>
    </r>
    <r>
      <rPr>
        <sz val="10"/>
        <color theme="1"/>
        <rFont val="Arial"/>
        <family val="2"/>
      </rPr>
      <t>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 Reduced withholding tax form 3 percent to 1.5 percent from April to September 2020.
· Expedited VAT refund process for exporters. 
· Delay in collection of fees and charges levied by government agencies and SOEs.</t>
    </r>
  </si>
  <si>
    <r>
      <rPr>
        <b/>
        <sz val="10"/>
        <color theme="1"/>
        <rFont val="Arial"/>
        <family val="2"/>
      </rPr>
      <t>Additional spending:</t>
    </r>
    <r>
      <rPr>
        <sz val="10"/>
        <color theme="1"/>
        <rFont val="Arial"/>
        <family val="2"/>
      </rPr>
      <t xml:space="preserve"> 
• Strengthening the financial situation in the hospital trust through increased appropriations and temporary reduced employer tax (NOK 6 bn). 
• Increased appropriations to cover expenses for necessary medicines, medical equipment and laboratory analyzes (NOK 4.8 bn). 
• Other measures.
</t>
    </r>
    <r>
      <rPr>
        <b/>
        <sz val="10"/>
        <color theme="1"/>
        <rFont val="Arial"/>
        <family val="2"/>
      </rPr>
      <t>Forgone revenue:</t>
    </r>
    <r>
      <rPr>
        <sz val="10"/>
        <color theme="1"/>
        <rFont val="Arial"/>
        <family val="2"/>
      </rPr>
      <t xml:space="preserve">  
• Strengthening the financial situation in the hospital trust by NOK 6 bn through increased appropriations and temporary reduced employer tax. </t>
    </r>
  </si>
  <si>
    <r>
      <rPr>
        <b/>
        <sz val="10"/>
        <color theme="1"/>
        <rFont val="Arial"/>
        <family val="2"/>
      </rPr>
      <t>Additional spending</t>
    </r>
    <r>
      <rPr>
        <sz val="10"/>
        <color theme="1"/>
        <rFont val="Arial"/>
        <family val="2"/>
      </rPr>
      <t xml:space="preserve">: 
• Include household income protection scheme offering larger wage subsidies for temporary lay-offs, more generous unemployment benefits, and expanded sickness and child care; 
• Measures for business offering a scheme to compensate heavily affected but otherwise sustainable businesses for unavoidable fixed costs, grants for start-ups and subsidies of domestic air routes; 
• Strengthening of critical sectors other than healthcare (public transport, municipalities);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 xml:space="preserve">Lowering of reduced VAT rate from 12 to 6 percent; 
• Change in CIT regulations so that lossmaking companies can re-allocate their losses towards previous years’ taxed profits
• Temporary amendments to the petroleum tax system to improve liquidity in the sector. 
• Suspension of aviation charges. 
• Temporary lowering of the employers’ social insurance contributions. </t>
    </r>
  </si>
  <si>
    <r>
      <rPr>
        <b/>
        <sz val="10"/>
        <rFont val="Arial"/>
        <family val="2"/>
      </rPr>
      <t xml:space="preserve">Additional spending: </t>
    </r>
    <r>
      <rPr>
        <sz val="10"/>
        <rFont val="Arial"/>
        <family val="2"/>
      </rPr>
      <t xml:space="preserve">cash transfers for the most vulnerable
</t>
    </r>
    <r>
      <rPr>
        <b/>
        <sz val="10"/>
        <rFont val="Arial"/>
        <family val="2"/>
      </rPr>
      <t>Forgone revenue:</t>
    </r>
    <r>
      <rPr>
        <sz val="10"/>
        <rFont val="Arial"/>
        <family val="2"/>
      </rPr>
      <t xml:space="preserve"> Tax deferrals (CIT,VAT) and suspension of stamp tax for six months.
</t>
    </r>
  </si>
  <si>
    <r>
      <rPr>
        <b/>
        <sz val="10"/>
        <color theme="1"/>
        <rFont val="Arial"/>
        <family val="2"/>
      </rPr>
      <t xml:space="preserve">Additional spending (€61 bn): </t>
    </r>
    <r>
      <rPr>
        <sz val="10"/>
        <color theme="1"/>
        <rFont val="Arial"/>
        <family val="2"/>
      </rPr>
      <t>on vaccines, equipment, research, information campaigns, as well as broader measures to modernize and improve the capacity of hospitals.</t>
    </r>
  </si>
  <si>
    <r>
      <t>Additional spending (BRL101.7 bn):</t>
    </r>
    <r>
      <rPr>
        <sz val="10"/>
        <color theme="1"/>
        <rFont val="Arial"/>
        <family val="2"/>
      </rPr>
      <t xml:space="preserve"> Federal Government spending (BRL91.7 bn), including BRL 24.5 bn for vaccination purposes, and transfers to Local Governments (BRL 10 bn) to combat the health crisis and cover higher health spending.
</t>
    </r>
    <r>
      <rPr>
        <b/>
        <sz val="10"/>
        <color theme="1"/>
        <rFont val="Arial"/>
        <family val="2"/>
      </rPr>
      <t>Forgone revenue (BRL 7.1 bn):</t>
    </r>
    <r>
      <rPr>
        <sz val="10"/>
        <color theme="1"/>
        <rFont val="Arial"/>
        <family val="2"/>
      </rPr>
      <t xml:space="preserve"> a temporary reduction in taxes (IPI, the Industrialized Products Tax, and zero import taxes) for listed imported and domestic goods necessary to combat Covid-19.</t>
    </r>
  </si>
  <si>
    <r>
      <rPr>
        <b/>
        <sz val="10"/>
        <rFont val="Arial"/>
        <family val="2"/>
      </rPr>
      <t>Accelerated spending (BRL 58.7 bn):</t>
    </r>
    <r>
      <rPr>
        <sz val="10"/>
        <rFont val="Arial"/>
        <family val="2"/>
      </rPr>
      <t xml:space="preserve"> Advance payment of 13th pension benefit, wage bonuses to low-income workers, and sickness/disability benefits.
</t>
    </r>
    <r>
      <rPr>
        <b/>
        <sz val="10"/>
        <rFont val="Arial"/>
        <family val="2"/>
      </rPr>
      <t>Deferred revenue (BRL 170.9 bn):</t>
    </r>
    <r>
      <rPr>
        <sz val="10"/>
        <rFont val="Arial"/>
        <family val="2"/>
      </rPr>
      <t xml:space="preserve"> 
• 2020: 4-month deferral of social contributions paid by firms and employers, 3-month deferral of small business taxes, and delayed PIT filling. Deferral of taxes paid by the telecommunications sector and of tax debt payment obligations.
• 2021: 3 month deferral of small business taxes.</t>
    </r>
  </si>
  <si>
    <r>
      <rPr>
        <b/>
        <sz val="10"/>
        <color theme="1"/>
        <rFont val="Arial"/>
        <family val="2"/>
      </rPr>
      <t>Additional spending</t>
    </r>
    <r>
      <rPr>
        <sz val="10"/>
        <color theme="1"/>
        <rFont val="Arial"/>
        <family val="2"/>
      </rPr>
      <t xml:space="preserve">: Funding allocated to the health system in 2020 (KZT 232 billion) and in 2021 (KZT265) to cover additional compensation for medical staff, spending on medical services, including the purchase of vaccines, PPE, PCR tests and the construction of medical facilities. Medical staff salary is expected to increase over 2021-23 with the estimated fiscal cost of KZT 557 billion. </t>
    </r>
  </si>
  <si>
    <t>• The reinstatement of a government fund that buys bonds issued by Norwegian companies to increase liquidity and access to capital in the Norwegian bond market, with a ceiling of NOK 50 bn.
• Increased funding for Innovation Norway and Research Council (NOK 5.4 bn). 
• Grant to help alleviate the financial situation in Avinor (NOK 3.6 bn).
• Other (NOK 0.5 bn)</t>
  </si>
  <si>
    <t>• Government guarantee scheme for bank loans to SMEs (NOK 50 bn).              
• A scheme for re-insurance of private credit insurance providers (NOK 20 bn).                    
• A guarantee scheme for the aviation industry (NOK 6 bn).                              
 • A loan scheme for package tour operators   (NOK 2 bn).</t>
  </si>
  <si>
    <r>
      <rPr>
        <b/>
        <sz val="10"/>
        <rFont val="Arial"/>
        <family val="2"/>
      </rPr>
      <t xml:space="preserve">Accelerated spending (31 bn): </t>
    </r>
    <r>
      <rPr>
        <sz val="10"/>
        <rFont val="Arial"/>
        <family val="2"/>
      </rPr>
      <t>Accelerated domestic VAT refunds.</t>
    </r>
    <r>
      <rPr>
        <b/>
        <sz val="10"/>
        <rFont val="Arial"/>
        <family val="2"/>
      </rPr>
      <t xml:space="preserve">
                                                                                                                                                                              Deferred revenue (49 bn)</t>
    </r>
    <r>
      <rPr>
        <sz val="10"/>
        <rFont val="Arial"/>
        <family val="2"/>
      </rPr>
      <t>: Deadline for payment of suspended VAT extended from 12 to 24 months (CFAF 15 billion). Accelerated refund of VAT credits, deferral of CIT for SMEs and companies in hardest hit sectors.</t>
    </r>
  </si>
  <si>
    <t>Additional spending:           
· Additional health equipment (ventilators)
· Personal Protective Equipment
· Bonuses for front line health-workers dealing with Covid-19
· Setting up a new quarantine center 
·  COVID-19 treatment and vaccines (Lk10.2bn for 2021)
· Wage increases for doctors and nurses (Lk4.5bn for 2021)</t>
  </si>
  <si>
    <r>
      <rPr>
        <b/>
        <sz val="10"/>
        <color theme="1"/>
        <rFont val="Arial"/>
        <family val="2"/>
      </rPr>
      <t>Additional spending (BRL 560 bn):</t>
    </r>
    <r>
      <rPr>
        <sz val="10"/>
        <color theme="1"/>
        <rFont val="Arial"/>
        <family val="2"/>
      </rPr>
      <t xml:space="preserve">
• Targeted assistance for the elderly, poor, and unemployed, including (i) expanding the cash transfer program 'Bolsa Família' to accommodate 1.2 million new beneficiaries; (ii) “Covid-19” cash transfer ("Emergency Aid) for informal workers and  low-income households, of BRL600 per month in April-August and BRL 300 per month in September-December 2020 and BRL 250 per month in April - July 2021;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t>
    </r>
    <r>
      <rPr>
        <b/>
        <sz val="10"/>
        <color theme="1"/>
        <rFont val="Arial"/>
        <family val="2"/>
      </rPr>
      <t xml:space="preserve">Forgone revenue (BRL 19.1 bn): </t>
    </r>
    <r>
      <rPr>
        <sz val="10"/>
        <color theme="1"/>
        <rFont val="Arial"/>
        <family val="2"/>
      </rPr>
      <t xml:space="preserve">
• Elimination of the financial transactions tax (during 9 months)</t>
    </r>
  </si>
  <si>
    <r>
      <t xml:space="preserve">Additional spending (BGN 3.778 bn): </t>
    </r>
    <r>
      <rPr>
        <sz val="10"/>
        <rFont val="Arial"/>
        <family val="2"/>
      </rPr>
      <t xml:space="preserve">
• Pensioners support - bonuses, minimum pension increase - BGN 1639.4 mn;
• Parental support - BGN 180 mn;
• Active labor market policies - BGN 14 mn;
• Tourism vouchers of BGN 210 for the people of the frontline - BGN 10 mn;
• Increased unemployment benefits and other social support - BGN 344 mn;
• 60/40 employment subsidy scheme - BGN 1136 mn;
• Support for artists, who have been hit by the lockdown - BGN 5 mn;
• Tourism support - BGN 47 mn;
• Agricultural producers support - BGN 85 mn;
• Expenditures for remote education - BGN 30 mn;
• National co-financing of EU-funded measures - BGN 168 mn;
• “Keep Me” program - BGN 25 million;
• "Employment for you" program - BGN 50 million;
• "Parents in Employment" program - BGN 23 million.
Support with BGN 290 each in the workplace in the hotel and restaurant sector - BGN 22 million.</t>
    </r>
    <r>
      <rPr>
        <b/>
        <sz val="10"/>
        <rFont val="Arial"/>
        <family val="2"/>
      </rPr>
      <t xml:space="preserve">
Forgone revenue (BGN 0.486 bn):  
</t>
    </r>
    <r>
      <rPr>
        <sz val="10"/>
        <rFont val="Arial"/>
        <family val="2"/>
      </rPr>
      <t>• Tax relief for households with children with disabilities - BGN 143 mn;
• Reduced VAT rate of 9% for restaurant services, books, baby food, wine, beer, tour operators and tourist trips, gyms and sports facilities and food delivery until end-2021 - BGN 343 mn.</t>
    </r>
  </si>
  <si>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€70 bn.</t>
  </si>
  <si>
    <r>
      <rPr>
        <b/>
        <sz val="10"/>
        <color theme="1"/>
        <rFont val="Arial"/>
        <family val="2"/>
      </rPr>
      <t xml:space="preserve">Additional spending (CAD 289.9 bn): </t>
    </r>
    <r>
      <rPr>
        <sz val="10"/>
        <color theme="1"/>
        <rFont val="Arial"/>
        <family val="2"/>
      </rPr>
      <t xml:space="preserve">
Households (CAN 253.6 bn)
of which:	
• Emergency response benefit, Recovery benefits, and enhanced employment insurance (CAN 120.2 bn)
• Wage subsidies and protecting jobs (CAN 110.5.2 bn)
• Others, including support to students, seniors, and vulnerable groups (CAN 22.9 bn)
Businesses (CAN 36.2 bn)
of which:	
• Emergency business account with 25% loan forgiveness (CAN 13.8 bn)
• Emergency rent subsidy (CAN 8.4 bn)
• Others, including sector-specific support and sub-nationals support (CAN 14 bn)</t>
    </r>
  </si>
  <si>
    <r>
      <rPr>
        <b/>
        <sz val="10"/>
        <rFont val="Arial"/>
        <family val="2"/>
      </rPr>
      <t>Additional spending:</t>
    </r>
    <r>
      <rPr>
        <sz val="10"/>
        <rFont val="Arial"/>
        <family val="2"/>
      </rPr>
      <t xml:space="preserve">                                                                                                                                                                                                                 Additional spending on vaccines, healthcare equipment, testing; compensation against COVID-19 related health risks of officials, doctors and field staff; hiring of additional healthcare workers, COVID-19 Preparedness and Response Plan by the Ministry of Health. etc.  
</t>
    </r>
    <r>
      <rPr>
        <b/>
        <sz val="10"/>
        <rFont val="Arial"/>
        <family val="2"/>
      </rPr>
      <t>Forgone revenue:</t>
    </r>
    <r>
      <rPr>
        <sz val="10"/>
        <rFont val="Arial"/>
        <family val="2"/>
      </rPr>
      <t xml:space="preserve">                                                                                                                                                                                                                           The National Board of Revenue has temporarily suspended duties and taxes on imports of medical supplies, including protective equipment and test kits.</t>
    </r>
  </si>
  <si>
    <t>• Envelope for direct equity support (mostly for strategic companies, e.g., Air France-KLM, SNCF).</t>
  </si>
  <si>
    <r>
      <t xml:space="preserve">                                                                                                                                                          
</t>
    </r>
    <r>
      <rPr>
        <b/>
        <sz val="10"/>
        <rFont val="Arial"/>
        <family val="2"/>
      </rPr>
      <t xml:space="preserve">                                                                                                                                                                                                                                                    Additional spending</t>
    </r>
    <r>
      <rPr>
        <sz val="10"/>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rFont val="Arial"/>
        <family val="2"/>
      </rPr>
      <t xml:space="preserve">
Forgone revenue:</t>
    </r>
    <r>
      <rPr>
        <sz val="10"/>
        <rFont val="Arial"/>
        <family val="2"/>
      </rPr>
      <t xml:space="preserve"> Income tax relief and import duty waivers for medicine and medical goods were introduced.</t>
    </r>
  </si>
  <si>
    <t>Ceneral Government</t>
  </si>
  <si>
    <t>Deferred revenue: Income tax payments deferred by one quarter.</t>
  </si>
  <si>
    <r>
      <t xml:space="preserve">Additional spending (AUD 239.2 bn): 
</t>
    </r>
    <r>
      <rPr>
        <sz val="10"/>
        <rFont val="Arial"/>
        <family val="2"/>
      </rPr>
      <t>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 The FY2022 budget adds spending on infrastructure investment, extension of aviation and tourism support, women’s economic support package, and various programs for job creation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t>
    </r>
    <r>
      <rPr>
        <b/>
        <sz val="10"/>
        <rFont val="Arial"/>
        <family val="2"/>
      </rPr>
      <t xml:space="preserve">
Forgone revenue (AUD 102.5 bn): 
</t>
    </r>
    <r>
      <rPr>
        <sz val="10"/>
        <rFont val="Arial"/>
        <family val="2"/>
      </rP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 The FY2022 budget extends temporary full expensing and loss carry-backs for businesses, and retains the low- and middle-income tax offset for FY2021-22.
At state and local government levels
• Measures include payroll tax relief for businesses. </t>
    </r>
  </si>
  <si>
    <r>
      <t>Additional spending</t>
    </r>
    <r>
      <rPr>
        <sz val="10"/>
        <rFont val="Arial"/>
        <family val="2"/>
      </rPr>
      <t xml:space="preserve"> (NZ$48.4 bn)</t>
    </r>
    <r>
      <rPr>
        <b/>
        <sz val="10"/>
        <rFont val="Arial"/>
        <family val="2"/>
      </rPr>
      <t>:</t>
    </r>
    <r>
      <rPr>
        <sz val="10"/>
        <rFont val="Arial"/>
        <family val="2"/>
      </rPr>
      <t xml:space="preserve"> including wage subsidies available for all employers that are significantly affected by the impact of COVID-19 (NZ$13.9 billion); 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 infrastructure investment (NZ$3.8 billion); support package for the aviation sector (NZ$600 million); tourism recovery package (NZ$400 million); housing and urban development (NZ$ 4.7 billion); education (NZ$3.4 billion); transport projects (NZ$600 million); government R&amp;D (NZ$196 million); targeted training and apprenticeship fund (NZ$ 320million); and Flexi-wage subsidies (NZ$311 million).
</t>
    </r>
    <r>
      <rPr>
        <b/>
        <sz val="10"/>
        <rFont val="Arial"/>
        <family val="2"/>
      </rPr>
      <t xml:space="preserve">Forgone revenue </t>
    </r>
    <r>
      <rPr>
        <sz val="10"/>
        <rFont val="Arial"/>
        <family val="2"/>
      </rPr>
      <t>(NZ$8.6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</si>
  <si>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color theme="1"/>
        <rFont val="Arial"/>
        <family val="2"/>
      </rPr>
      <t>Additional spending:</t>
    </r>
    <r>
      <rPr>
        <sz val="10"/>
        <color theme="1"/>
        <rFont val="Arial"/>
        <family val="2"/>
      </rPr>
      <t xml:space="preserve">                                                                                                                                                                                                                   Hiring of additional healthcare workers, prevention measures, clearance of arrears for medical expenses for civilian agents and defense and security forces, etc.  
</t>
    </r>
    <r>
      <rPr>
        <b/>
        <sz val="10"/>
        <color theme="1"/>
        <rFont val="Arial"/>
        <family val="2"/>
      </rPr>
      <t>Forgone revenue:</t>
    </r>
    <r>
      <rPr>
        <sz val="10"/>
        <color theme="1"/>
        <rFont val="Arial"/>
        <family val="2"/>
      </rPr>
      <t xml:space="preserve">                                                                                                                                                                                                                            tax exemptions and simplification of the import process for food and necessity items, including health equipment.</t>
    </r>
  </si>
  <si>
    <r>
      <rPr>
        <b/>
        <sz val="10"/>
        <color theme="1"/>
        <rFont val="Arial"/>
        <family val="2"/>
      </rPr>
      <t>Additional spending:</t>
    </r>
    <r>
      <rPr>
        <sz val="10"/>
        <color theme="1"/>
        <rFont val="Arial"/>
        <family val="2"/>
      </rPr>
      <t xml:space="preserve"> 
· clearance of arrears on death benefits due to deceased civil and military agents, indemnities and ancillary wages owed to retirees, 
. establishment of a Youth Entrepreneurship Fund;  
</t>
    </r>
    <r>
      <rPr>
        <b/>
        <sz val="10"/>
        <color theme="1"/>
        <rFont val="Arial"/>
        <family val="2"/>
      </rPr>
      <t xml:space="preserve">. </t>
    </r>
    <r>
      <rPr>
        <sz val="10"/>
        <color theme="1"/>
        <rFont val="Arial"/>
        <family val="2"/>
      </rPr>
      <t xml:space="preserve">creation of a solidarity fund for the vulnerable population amounting to CFAF 100 billion.
</t>
    </r>
    <r>
      <rPr>
        <b/>
        <sz val="10"/>
        <color theme="1"/>
        <rFont val="Arial"/>
        <family val="2"/>
      </rPr>
      <t xml:space="preserve">. </t>
    </r>
    <r>
      <rPr>
        <sz val="10"/>
        <color theme="1"/>
        <rFont val="Arial"/>
        <family val="2"/>
      </rPr>
      <t>clearance of arrears to suppliers;                                                                    
. subsidies to agriculture.</t>
    </r>
    <r>
      <rPr>
        <b/>
        <sz val="10"/>
        <color theme="1"/>
        <rFont val="Arial"/>
        <family val="2"/>
      </rPr>
      <t xml:space="preserve">                                                                                                                                                                                             
Forgone revenue:</t>
    </r>
    <r>
      <rPr>
        <sz val="10"/>
        <color theme="1"/>
        <rFont val="Arial"/>
        <family val="2"/>
      </rPr>
      <t xml:space="preserve"> 
·exonerations of employer’s charges for the recruitment of young graduates, exemption from VAT on many items, particularly on equipment and other agricultural related ingredients, and reduction of charges for enterprises that work in the hotels’ business.
· reduction in business license fees and the presumptive tax by 50 percent, and (ii) tax breaks, such as carryforward losses and delays in tax payments, which will be considered on a case-by case basis;                                                             
. suspension of payments of electricity and water bills,                                                   </t>
    </r>
  </si>
  <si>
    <r>
      <rPr>
        <b/>
        <sz val="10"/>
        <rFont val="Arial"/>
        <family val="2"/>
      </rPr>
      <t>Additional spending:</t>
    </r>
    <r>
      <rPr>
        <sz val="10"/>
        <rFont val="Arial"/>
        <family val="2"/>
      </rPr>
      <t xml:space="preserve"> including medicine, vaccine and medical equipment spending, protective equipment and other needs of University Hospitals and Institutions, SUT expenditure, performance pay for medics.</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</si>
  <si>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Deferred revenue (KRW 29.7 tn):</t>
    </r>
    <r>
      <rPr>
        <sz val="10"/>
        <rFont val="Arial"/>
        <family val="2"/>
      </rPr>
      <t xml:space="preserve"> Tax payment deferral including Corporate Income Tax and VAT, deferment in tax investigation, early tax refund have been conducted(KRW 42.9 tn); social security contribution payment deferral for households &amp; electricity charge deferral (KRW 0.5 tn)</t>
    </r>
  </si>
  <si>
    <r>
      <t>Additional spending (Rs 7043.2 bn):</t>
    </r>
    <r>
      <rPr>
        <sz val="10"/>
        <rFont val="Arial"/>
        <family val="2"/>
      </rPr>
      <t xml:space="preserve">
•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
• In April 2021, in response to the recent surge in infections, the authorities announced that free food grains to individuals in May and June (260 billion Rs). The authorities also extended a scheme for providing interest-free loans to states for capital expenditure to FY2021/22 (150 billion Rs.) and expedited the release of Disaster Response Fund to state governments (from June to May).
In June 2021, in response to the second wave, the additional food grains were extended from end-June to end-November and additional fertilizer subsidies were announced.</t>
    </r>
  </si>
  <si>
    <t>• Injecting capital into Finnish Industry Investment for the setting up of a new stability programme (€400 million)
• Equity investment in Finnish Minerals Group (€500 million)
• Capitalisation arrangements in Finnair Plc and other state owned companies (€300 million)</t>
  </si>
  <si>
    <r>
      <rPr>
        <b/>
        <sz val="10"/>
        <color theme="1"/>
        <rFont val="Arial"/>
        <family val="2"/>
      </rPr>
      <t>Additional spending (€6.1 billion):</t>
    </r>
    <r>
      <rPr>
        <sz val="10"/>
        <color theme="1"/>
        <rFont val="Arial"/>
        <family val="2"/>
      </rPr>
      <t xml:space="preserve"> 
•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	Extension of unemployment security: eliminating the waiting period, speeding up the layoff procedure, making entrepreneurs eligible for unemployment security, extending the payment period of startup grants, streamlining unemployment benefit payments etc. (€700 million)
•	Extension of social benefits: support for individuals arriving from other countries and parents of small children, temporary increase in social assistance (€200 million)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
•	Investment projects: basic transport infrastructure maintenance, developing the transport network, renovation construction, and public transport support. The sums for the years 2021 and 2022 are based on a technical assumption concerning the timing of the projects. (€400 million)
•	R&amp;D&amp;I, competence and wellbeing: additional starting places for higher education and developing continuous learning, research appropriations for the Academy of Finland, public employment and business services and developing the service structure. (€400 million)
</t>
    </r>
    <r>
      <rPr>
        <b/>
        <sz val="10"/>
        <color theme="1"/>
        <rFont val="Arial"/>
        <family val="2"/>
      </rPr>
      <t>Forgone revenue (€1.1 billion):</t>
    </r>
    <r>
      <rPr>
        <sz val="10"/>
        <color theme="1"/>
        <rFont val="Arial"/>
        <family val="2"/>
      </rPr>
      <t xml:space="preserve">
•	Lowering of private sector pension contributions for the period May 1 - 31 December  2020 (1.1)
</t>
    </r>
  </si>
  <si>
    <r>
      <rPr>
        <b/>
        <sz val="10"/>
        <color theme="1"/>
        <rFont val="Arial"/>
        <family val="2"/>
      </rPr>
      <t>Deferred revenue:</t>
    </r>
    <r>
      <rPr>
        <sz val="10"/>
        <color theme="1"/>
        <rFont val="Arial"/>
        <family val="2"/>
      </rPr>
      <t xml:space="preserve"> Easing of payment terms for taxes and lowering the interest on late payments from 7% to 2.5%.  Assessing the impacts of the delays of 2020 and 2021 tax revenue to 2022 and 2023 (€500 million)</t>
    </r>
  </si>
  <si>
    <t xml:space="preserve">•	Increasing Finnvera’s domestic financing authorisations from EUR 4.2 to EUR 12 billion. About EUR 2 billion of the existing authorisations have already been used in spring and thus the increase in authorisations was about EUR 10 billion. (€10 billion)
•	Increasing Business Finland’s lending authorisations, total increase for the period 2020-2022 (€300 million)
•	State guarantees to cover Finnair’s financing needs (€500 million)
•	State guarantees to shipping companies to ensure cargo traffic important to security of supply (€600 million)
•	State guarantees for the loans granted within the framework of the European instrument for temporary Support to mitigate Unemployment Risks in an Emergency (SURE) (€400 million)
•	State guarantees for any losses arising from the Pan-European covid-19 guarantee fund to be established under the European Investment Bank (€400 million)
</t>
  </si>
  <si>
    <t>• The State Pension Fund will invest in commercial paper (€1 billion).
• Bank of Finland's investments in commercial paper (€1 billion).
• Authorizing the Financial Stability Fund to borrow funds to meet its X81statutory obligations concerning the deposit guarantee (€2 billion)</t>
  </si>
  <si>
    <r>
      <rPr>
        <b/>
        <sz val="10"/>
        <color theme="1"/>
        <rFont val="Arial"/>
        <family val="2"/>
      </rPr>
      <t>Deferred revenue</t>
    </r>
    <r>
      <rPr>
        <sz val="10"/>
        <color theme="1"/>
        <rFont val="Arial"/>
        <family val="2"/>
      </rPr>
      <t>: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r>
  </si>
  <si>
    <r>
      <rPr>
        <b/>
        <sz val="10"/>
        <rFont val="Arial"/>
        <family val="2"/>
      </rPr>
      <t>Additional spending</t>
    </r>
    <r>
      <rPr>
        <sz val="10"/>
        <rFont val="Arial"/>
        <family val="2"/>
      </rPr>
      <t>: Includes:
• Medical goods including vaccines (CHF3.765 billion)
• Covid-19 tests (CHF3.036 billion)
• Additional spending on medication, health protection and prevention, and by Federal Department of Health (CHF0.418 billion)</t>
    </r>
  </si>
  <si>
    <r>
      <rPr>
        <b/>
        <sz val="10"/>
        <rFont val="Arial"/>
        <family val="2"/>
      </rPr>
      <t>Additional spending</t>
    </r>
    <r>
      <rPr>
        <sz val="10"/>
        <rFont val="Arial"/>
        <family val="2"/>
      </rPr>
      <t>:
• Benefits COVID income replacement directly and indirectly affected (CHF 8.44 bn)
• Financing for short term work program and the unemployment fund (CHF 26.2 bn)
• COVID bridging loan losses (CHF 2.387 bn)
• Support to cantonal hardship programs (CHF 8.232 billion); and other measures</t>
    </r>
  </si>
  <si>
    <t>• Loan support to sports clubs (CHF400 million)
• Loan to ICRC (CHF 200 mn)
• Financial support to air traffic control company Skyguide (CHF500 mn)</t>
  </si>
  <si>
    <r>
      <rPr>
        <b/>
        <sz val="10"/>
        <rFont val="Arial"/>
        <family val="2"/>
      </rPr>
      <t xml:space="preserve">Additional spending (74.14 bn):
• </t>
    </r>
    <r>
      <rPr>
        <sz val="10"/>
        <rFont val="Arial"/>
        <family val="2"/>
      </rPr>
      <t xml:space="preserve">Unemployment benefit for workers temporary laid off under the ERTE due to COVID-19, with no requirement for prior minimum contribution or reduction of accumulated entitlement (about €21.7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€5.5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t>
    </r>
    <r>
      <rPr>
        <b/>
        <sz val="10"/>
        <rFont val="Arial"/>
        <family val="2"/>
      </rPr>
      <t xml:space="preserve">
Forgone revenue (0.8bn): 
</t>
    </r>
    <r>
      <rPr>
        <sz val="10"/>
        <rFont val="Arial"/>
        <family val="2"/>
      </rPr>
      <t>•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r>
  </si>
  <si>
    <r>
      <rPr>
        <b/>
        <sz val="10"/>
        <color theme="1"/>
        <rFont val="Arial"/>
        <family val="2"/>
      </rPr>
      <t>Additional spending (17.88 bn):</t>
    </r>
    <r>
      <rPr>
        <sz val="10"/>
        <color theme="1"/>
        <rFont val="Arial"/>
        <family val="2"/>
      </rPr>
      <t xml:space="preserve">
• Budget support from the contingency fund to the Ministry of Health (€1.4 bn); transfer to the regions for health services (€12.4 bn); additional healthcare related spending including research related to COVID-19 (€270 mn). </t>
    </r>
    <r>
      <rPr>
        <b/>
        <sz val="10"/>
        <color theme="1"/>
        <rFont val="Arial"/>
        <family val="2"/>
      </rPr>
      <t xml:space="preserve">Forgone revenue (1.33 bn): </t>
    </r>
    <r>
      <rPr>
        <sz val="10"/>
        <color theme="1"/>
        <rFont val="Arial"/>
        <family val="2"/>
      </rPr>
      <t xml:space="preserve">
• Reduction in VAT for surgical disposable masks; • Reduction in VAT for surgical disposable masks;
• Temporary zero VAT on purchases of certain medical material, as well COVID-19 tests and vaccines                          </t>
    </r>
  </si>
  <si>
    <r>
      <rPr>
        <b/>
        <sz val="10"/>
        <color theme="1"/>
        <rFont val="Arial"/>
        <family val="2"/>
      </rPr>
      <t>Additional spending (2591 bn)</t>
    </r>
    <r>
      <rPr>
        <sz val="10"/>
        <color theme="1"/>
        <rFont val="Arial"/>
        <family val="2"/>
      </rPr>
      <t xml:space="preserve">: 
• Cash payments to the unemployed, self-employed (KZT 42,500 per person per month benefiting 4.5 million people).
• Subsidized lending as part of the Economics of Simple Things state program (KZT 1 trillion, an increase of KZT 600 billion).
• Subsidized lending to finance SME working capital (KZT 600 billion, augmented to KZT 800 billion in September).
• Employment Roadmap state program (KZT 1.8 trillion).
• Additional support was announced on March 31, expanding cash transfers to a broader segment of the population (another 1.5 million beneficiaries, so far payments have already been received by 2.7 million people), indexing pensions and targeted social assistance to a 10-percent increase, and providing access to medical care by uninsured citizens during April 1 to July 2.
• The government will also subsidize credits to farmers (at 5-6% interest rate, compared with over 10% market rate).
• Some of the above mentioned measures are either below the line or off-budget (by development agencies or NBK); the budgetary impact is an increase in expenditure for the republican budget (central government) by KZT 1,400 billion. In mid-July during the second quarantine, the authorities offered another cash transfer program (KZT 42,500) to people who lost their jobs due to the quarantine.
</t>
    </r>
    <r>
      <rPr>
        <b/>
        <sz val="10"/>
        <color theme="1"/>
        <rFont val="Arial"/>
        <family val="2"/>
      </rPr>
      <t xml:space="preserve">
Forgone revenue (800 bn):</t>
    </r>
    <r>
      <rPr>
        <sz val="10"/>
        <color theme="1"/>
        <rFont val="Arial"/>
        <family val="2"/>
      </rPr>
      <t xml:space="preserve"> 
• Tax breaks for large trade centers, cinemas, which are closed during to COVID-19; tax exemptions for individual entrepreneurs and SMEs.
• VAT exemptions on food and socially important goods and services (such as lower utility rate); 
• Additional support to hard-hit industries (e.g. VAT exemptions for civil aviation; land tax and VAT exemptions for tourism; land tax exemption for agricultural producers; property tax exemptions for SMEs in vulnerable sectors).
• Tax exemptions have also been extended in light of the second quarantine.</t>
    </r>
  </si>
  <si>
    <r>
      <rPr>
        <b/>
        <sz val="10"/>
        <color theme="1"/>
        <rFont val="Arial"/>
        <family val="2"/>
      </rPr>
      <t xml:space="preserve">Deferred revenue: </t>
    </r>
    <r>
      <rPr>
        <sz val="10"/>
        <color theme="1"/>
        <rFont val="Arial"/>
        <family val="2"/>
      </rPr>
      <t xml:space="preserve">
• Deferral of payroll taxes from April 1st to June 1st 2020. This is intra-year, with no impact on revenue for the year as a whole.M126</t>
    </r>
  </si>
  <si>
    <t>Credit guarantee fund (GEL 0.097 billion)</t>
  </si>
  <si>
    <r>
      <rPr>
        <b/>
        <sz val="10"/>
        <color theme="1"/>
        <rFont val="Arial"/>
        <family val="2"/>
      </rPr>
      <t>Additional spending (12.01 bn)</t>
    </r>
    <r>
      <rPr>
        <sz val="10"/>
        <color theme="1"/>
        <rFont val="Arial"/>
        <family val="2"/>
      </rPr>
      <t xml:space="preserve">: Purchase of medical equipment for Ministry of Health as well as new hiring, purchase of cleaning kits for schools, enhanced monitoring and information campaigns. Purchase and distribution of test kits, medical supplies,  vaccines.
</t>
    </r>
    <r>
      <rPr>
        <b/>
        <sz val="10"/>
        <color theme="1"/>
        <rFont val="Arial"/>
        <family val="2"/>
      </rPr>
      <t>Forgone revenue (0.033 bn): .</t>
    </r>
    <r>
      <rPr>
        <sz val="10"/>
        <color theme="1"/>
        <rFont val="Arial"/>
        <family val="2"/>
      </rPr>
      <t xml:space="preserve">
• Elimination of import taxes on medicines and medical health supplies.</t>
    </r>
  </si>
  <si>
    <r>
      <rPr>
        <b/>
        <sz val="10"/>
        <color theme="1"/>
        <rFont val="Arial"/>
        <family val="2"/>
      </rPr>
      <t>Additional spending (40.659 bn): 
• Cash transfers for poor families, independent workers, and other families in need.</t>
    </r>
    <r>
      <rPr>
        <sz val="10"/>
        <color theme="1"/>
        <rFont val="Arial"/>
        <family val="2"/>
      </rPr>
      <t xml:space="preserve"> 
• Electricity subsidy.
• Tablets for students.
• Public works and other public investment projects.
• Transport subsidies.
• In-kind grants.
• Wage subsidies.
Forgone revenue (16.2 bn): Tax deferrals (CIT and  VAT)</t>
    </r>
  </si>
  <si>
    <r>
      <rPr>
        <b/>
        <sz val="10"/>
        <color theme="1"/>
        <rFont val="Arial"/>
        <family val="2"/>
      </rPr>
      <t xml:space="preserve">Deferred revenue: </t>
    </r>
    <r>
      <rPr>
        <sz val="10"/>
        <color theme="1"/>
        <rFont val="Arial"/>
        <family val="2"/>
      </rPr>
      <t xml:space="preserve">
• Deferral of corporate and personal income taxes.</t>
    </r>
  </si>
  <si>
    <t>• Guarantees to new financial sector loans for working capital, primarily targeted to SMEs. The program is also tied to a liquidity provision program in which the central bank can accept the guaranteed loans for repo operations. It also includes an Enterprise Support Fund program for SMEs and micro enterprises. Government guarantees backing loan restructurings for households and SMEs.</t>
  </si>
  <si>
    <t xml:space="preserve"> </t>
  </si>
  <si>
    <t>The authorities have identified over 300 enterprises, the "core" enterprises, to receive preferential treatment from the state, including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</si>
  <si>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 The program is extended to end-2021. eneficiaries of this program are also expanded to cover some large enterprises that experience liquidity difficulties as a result of the pandemic (airlines, hotels, etc.). The total financing provided by the National bank is around KZT 2500 billion (to support SMEs and infrastructure projects) in the form of subsidized lending. There are two other loan schemes funded by state-owned entities aimed at supporting small businesses for up to KZT1.2 tn. These programs have been extended until 2022.X126</t>
  </si>
  <si>
    <r>
      <rPr>
        <b/>
        <sz val="10"/>
        <color theme="1"/>
        <rFont val="Arial"/>
        <family val="2"/>
      </rPr>
      <t>Additional spending (61.1 bn):
•</t>
    </r>
    <r>
      <rPr>
        <sz val="10"/>
        <color theme="1"/>
        <rFont val="Arial"/>
        <family val="2"/>
      </rPr>
      <t xml:space="preserve"> Companies expecting a reduction in revenues over 20% can request a compensation for labor costs (max 90% of labor costs) to allow companies to continue paying wages; compensation for affected sectors (for example, hospitality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60.4 billion in 2020-2022.</t>
    </r>
    <r>
      <rPr>
        <b/>
        <sz val="10"/>
        <color theme="1"/>
        <rFont val="Arial"/>
        <family val="2"/>
      </rPr>
      <t xml:space="preserve">
Forgone revenue (info not available for 2021-2022, 4.6 bn in 2020):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</si>
  <si>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t>• The loan guarantee program for businesses (especially those affected by the outbreak) was expanded to cover up to 90 percent of total loan for SMEs (with maturity of 1 year or less) and 80 percent for large firms.
• V84A guarantee scheme for supplier credit was also established.
• A guarantee scheme for supplier credit was also established.</t>
  </si>
  <si>
    <t>Government loans (264 bn):
• Government (interest free) loans (2020 &amp; 2021) (announced: DKK 264.0; uptake: DKK 40.8 bn)
Equity injections or asset purchases (18 bn):
• SAS AB has completed a recapitalisation of the company to which the Danish State (among others) has contributed (DKK 3.8 bn)
• Danish Recapitalization Fund (DKK 10 bn)  Danish state will invest in equity as an investor of last resort by acquiring preferred shares of the beneficiaries affected by Covid-19
• A recapitalisation scheme administered by The Danish Growth Fund aimed at strengthening the solvency of SMEs and smaller midcaps (DKK 3 bn).
• Equity to start ups (DKK 1.2 bn).</t>
  </si>
  <si>
    <t>Guarantees (inc. trade credit insurance) (announced DKK 82.2 bn; uptake DKK 36.5 bn).V78</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</si>
  <si>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 Free vaccines. Free PCR tests for students (from July 2021) and vulnerable groups.</t>
    </r>
  </si>
  <si>
    <t>• The Abu Dhabi government announced provision of loans to SMEs. 
• Dubai government injected $ 3 bn equity into the Emirates airlines.</t>
  </si>
  <si>
    <r>
      <rPr>
        <b/>
        <sz val="10"/>
        <color indexed="8"/>
        <rFont val="Arial"/>
        <family val="2"/>
      </rPr>
      <t>Additional spending:</t>
    </r>
    <r>
      <rPr>
        <sz val="10"/>
        <color theme="1"/>
        <rFont val="Arial"/>
        <family val="2"/>
      </rPr>
      <t xml:space="preserve"> Healthcare infrastructure, equipment, medical supplies and vaccines.</t>
    </r>
  </si>
  <si>
    <r>
      <rPr>
        <b/>
        <sz val="10"/>
        <color indexed="8"/>
        <rFont val="Arial"/>
        <family val="2"/>
      </rPr>
      <t>Additional spending:</t>
    </r>
    <r>
      <rPr>
        <sz val="10"/>
        <color theme="1"/>
        <rFont val="Arial"/>
        <family val="2"/>
      </rPr>
      <t xml:space="preserve"> wage increase for health worker and security forces, cash transfers and food assistance program for the most vulnerable, elderly care program, emergency funding for SME, electricity subsidy and wage subsidy for formal sector employees.</t>
    </r>
  </si>
  <si>
    <r>
      <t>Additional spending (€9.6 bn):</t>
    </r>
    <r>
      <rPr>
        <sz val="10"/>
        <color theme="1"/>
        <rFont val="Arial"/>
        <family val="2"/>
      </rPr>
      <t xml:space="preserve"> on medical equipment, tests, contact tracing, administration, etc. Measures also include advance payments to hospitals (2bn allocated based on Covid-related cost pressures and revenue losses) as well as a structural increase in the budget for mental health care (200mn annually; for 2020 prorated from Sept) and the federal health sector (wage increases and improvement in working conditions; 350mn in 2021, 600mn thereafter). An additional, one-off 200mn was allocated to federal health workers in 2020. Additional spending on vaccine rollout.</t>
    </r>
  </si>
  <si>
    <r>
      <rPr>
        <b/>
        <sz val="10"/>
        <color theme="1"/>
        <rFont val="Arial"/>
        <family val="2"/>
      </rPr>
      <t xml:space="preserve">Deferred revenue (€12.9 bn): 
</t>
    </r>
    <r>
      <rPr>
        <sz val="10"/>
        <color theme="1"/>
        <rFont val="Arial"/>
        <family val="2"/>
      </rPr>
      <t>•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</si>
  <si>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t>· 10 percent wage increase for public healthcare sector (RSD 13bn, about RSD 17bn estimated in 2021)
· Increased healthcare spending (about RSD 60bn ) in 2020.                                                                                                                                                                   · Increased healthcare spending (about RSD 36bn ) in 2021.</t>
  </si>
  <si>
    <r>
      <rPr>
        <b/>
        <sz val="10"/>
        <rFont val="Arial"/>
        <family val="2"/>
      </rPr>
      <t>Additional spending:</t>
    </r>
    <r>
      <rPr>
        <sz val="10"/>
        <rFont val="Arial"/>
        <family val="2"/>
      </rPr>
      <t xml:space="preserve"> 
Measures announced in 2020 include: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71bn)
Support to 14,000 most vulnerable women in 50 municipalities across Serbia (worth RSD 12bn) in hygiene packages and essential foods                                                          One-off fiscal support to help hotels in cities, through a fixed subsidy per room and per bed, with an estimated cost of RSD 1.3 billion.
                                                                                                                             Measures announced in 2021 include:                                                                                                                                                                                                                   Three additional months of wage subsidies (RSD 73bn)
Additional payments for employees in travel and hospitality
EUR 30 universal cash transfers to all adult citizens, paid in May and November (RSD 43bn)
Pension bonus (RSD 8.5bn)
Support for the transport sector and for city hotels (RSD 3bn)
One-off financial assistance to all the (registered) unemployed, of EUR 60, to be paid in June.                                                                                                              A one-off payment to vaccinated citizens.</t>
    </r>
  </si>
  <si>
    <t>Tax and SSC deferments (RSD 121bn or 2.2 percent of GDP), to be repaid in 24 installments starting from February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</si>
  <si>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r>
      <rPr>
        <b/>
        <sz val="10"/>
        <rFont val="Arial"/>
        <family val="2"/>
      </rPr>
      <t>Additional spending (97 bn):</t>
    </r>
    <r>
      <rPr>
        <sz val="10"/>
        <rFont val="Arial"/>
        <family val="2"/>
      </rPr>
      <t xml:space="preserve"> Enhance treatment and testing capacity through procuring medical supplies, improve prevention, intensify communication, conduct a wide vaccination campaign.
</t>
    </r>
    <r>
      <rPr>
        <b/>
        <sz val="10"/>
        <rFont val="Arial"/>
        <family val="2"/>
      </rPr>
      <t>Forgone revenue (3 bn)</t>
    </r>
    <r>
      <rPr>
        <sz val="10"/>
        <rFont val="Arial"/>
        <family val="2"/>
      </rPr>
      <t>: Exoneration of import tax/duties for health related imports.</t>
    </r>
  </si>
  <si>
    <r>
      <rPr>
        <b/>
        <sz val="10"/>
        <rFont val="Arial"/>
        <family val="2"/>
      </rPr>
      <t>Additional spending (544 bn)</t>
    </r>
    <r>
      <rPr>
        <sz val="10"/>
        <rFont val="Arial"/>
        <family val="2"/>
      </rPr>
      <t xml:space="preserve">: (i) social safety net programs: urgent food aid, subsidies to help the most vulnerable to pay utility bills (water, electricity) and support to diaspora (CFAF 97 bn - 0.68% of GDP), (ii) other economic support measures, such as direct support to heavily hit sectors (CFAF 100 bn - 0.68% of GDP), (iii) some arrears to private sector suppliers will be settled faster than originally anticipated (CFAF 200 billion - 1.40% of GDP), and (iv) action on securing key food and energy supplies (CFAF 34 billion - 0.24%  of GDP).
</t>
    </r>
    <r>
      <rPr>
        <b/>
        <sz val="10"/>
        <rFont val="Arial"/>
        <family val="2"/>
      </rPr>
      <t>Forgone revenue (70 bn)</t>
    </r>
    <r>
      <rPr>
        <sz val="10"/>
        <rFont val="Arial"/>
        <family val="2"/>
      </rPr>
      <t>: Tax rebates for companies that keep their workers on payroll or pay 70% of salary (FCFA 40 billion - 0.28% of GDP). Import VAT suspension for 24 months. Accelerated domestic VAT refunds.</t>
    </r>
  </si>
  <si>
    <t xml:space="preserve">Additional spending on medicines, quarantines, treatment, and hospital facilities. Salary supplement for medical employees (6 percent of wage for the time engaged in anti-COVID-19 measures). </t>
  </si>
  <si>
    <r>
      <rPr>
        <b/>
        <sz val="10"/>
        <color theme="1"/>
        <rFont val="Arial"/>
        <family val="2"/>
      </rPr>
      <t xml:space="preserve">Additional spending (22,700 bn):
</t>
    </r>
    <r>
      <rPr>
        <sz val="10"/>
        <color theme="1"/>
        <rFont val="Arial"/>
        <family val="2"/>
      </rPr>
      <t xml:space="preserve">· Doubled the number of households receiving social benefits; 
· Raised spending to cover the average salary for worker taking care of their children during the quarantine period. 
· Increased spending to cover leave payments of employees of age 60+ with chronic illnesses (that must stay at home during quarantine period).
· Provided assistance to affected businesses via revolving facilities, debt service deferrals at subsidized interest.
· Increased spending for public works to support infrastructure in the regions and support employment.                                                                                                  · Increased lending to individual entrepreneurs and state enterprises.  </t>
    </r>
    <r>
      <rPr>
        <b/>
        <sz val="10"/>
        <color theme="1"/>
        <rFont val="Arial"/>
        <family val="2"/>
      </rPr>
      <t xml:space="preserve">
Forgone revenue (4,350 bn):
</t>
    </r>
    <r>
      <rPr>
        <sz val="10"/>
        <color theme="1"/>
        <rFont val="Arial"/>
        <family val="2"/>
      </rPr>
      <t>· Reduction of minimum payment of social tax for individual entrepreneurs (a single tax for small businesses) from UZS 223,000 to UZS 111,500 per month during Apr-Oct 2020: (central government). Reduced tax rate for usage of water resources for farmland by 50 percent: (central government); Temporary suspension of tourism tax: (central government); Extended a moratorium on tax audits: (central government)
· Moratorium on tourism and hotels from paying property and land tax and social tax rate is reduced from 12 to 1 percent (central government). SMEs whose revenue drops significantly can defer payments of turnover tax, land tax, property tax, social and water use tax.
·Exemption of income tax for self employees.</t>
    </r>
  </si>
  <si>
    <r>
      <rPr>
        <b/>
        <sz val="10"/>
        <rFont val="Arial"/>
        <family val="2"/>
      </rPr>
      <t xml:space="preserve">Additional spending (RUB 3.64 tn):  </t>
    </r>
    <r>
      <rPr>
        <sz val="10"/>
        <rFont val="Arial"/>
        <family val="2"/>
      </rPr>
      <t xml:space="preserve">
• Quarantined or self-isolating individuals to receive sick leave benefits from the Social Insurance Fund.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 Expected expenditure measures in 2021:  1721 billion : 851 billion to the corporate sector (employment retention programs- 477 billion, and industry specific support and development programs-373 billion) and 100 billion to local governments; 270 billion of extra social spending announced in the President State of Nation Address (another RUB10 thousand one-off benefit to all schoolchildren, 170 billion; 500 billion of RUB10 thousand one-off benefit to all pensioners and RUB15 thousand one-off benefit to all military and law-enforcement personnel.
</t>
    </r>
    <r>
      <rPr>
        <b/>
        <sz val="10"/>
        <rFont val="Arial"/>
        <family val="2"/>
      </rPr>
      <t xml:space="preserve">Forgone revenue (RUB 939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</si>
  <si>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t>• RUB 67 billion for restructuring regional debt to the federal government.
• RUB 500 billion for recapitalization of leasing firms due to potential problems of their clients in the transportation sector; VEB recapitalization to support new investment projects;
Sberbank recapitalization</t>
  </si>
  <si>
    <r>
      <rPr>
        <b/>
        <sz val="10"/>
        <color theme="1"/>
        <rFont val="Arial"/>
        <family val="2"/>
      </rPr>
      <t xml:space="preserve">Additional spending (SAR 54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</si>
  <si>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9.6 bn): 
</t>
    </r>
    <r>
      <rPr>
        <sz val="10"/>
        <color theme="1"/>
        <rFont val="Arial"/>
        <family val="2"/>
      </rPr>
      <t xml:space="preserve">• Wage benefits to employers who keep their workers to be provided through the unemployment insurance scheme, SANED (SAR 8 bn). This wage benefits have been extended. 
• Ministry of Energy announced temporary electricity subsidies to commercial, industrial, and agricultural sectors (SAR 0.9 bn).
• The Ministry of Finance program to help businesses defer loan payment due this year (SAR 0.67 bn). 
</t>
    </r>
    <r>
      <rPr>
        <b/>
        <sz val="10"/>
        <color theme="1"/>
        <rFont val="Arial"/>
        <family val="2"/>
      </rPr>
      <t>Forgeone revenue (SAR 4 bn)</t>
    </r>
    <r>
      <rPr>
        <sz val="10"/>
        <color theme="1"/>
        <rFont val="Arial"/>
        <family val="2"/>
      </rPr>
      <t xml:space="preserve">
* Expat levy exemption</t>
    </r>
  </si>
  <si>
    <r>
      <rPr>
        <b/>
        <sz val="10"/>
        <color theme="1"/>
        <rFont val="Arial"/>
        <family val="2"/>
      </rPr>
      <t>Accelerated spending (SAR 4 bn)
Deferred revenue (SAR 38.5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</si>
  <si>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
Saudi Industrial Development Fund (SIDF) support to 536 private sector industrial enterprises impacted by the coronavirus pandemic SAR 3.7 billion</t>
  </si>
  <si>
    <r>
      <rPr>
        <b/>
        <sz val="10"/>
        <color theme="1"/>
        <rFont val="Arial"/>
        <family val="2"/>
      </rPr>
      <t>Additional spending (CAD 61.2 bn):</t>
    </r>
    <r>
      <rPr>
        <sz val="10"/>
        <color theme="1"/>
        <rFont val="Arial"/>
        <family val="2"/>
      </rPr>
      <t xml:space="preserve"> Support to the health system including
Safe Restart Agreement, Safe Return to Class, Vaccines and Therapeutics, PPE and Medical Equipment, Long-Term Care, Helping Health Care Systems Recover, Canada’s COVID-19 Immunization Plan, Supporting the Mental Health of Those Most Affected by COVID-19, Supporting Indigenous Communities in the Fight Against COVID-19, Safe Return to School on Reserve, International COVID-19 Response and Recovery, Enhanced Border and Quarantine Measures, and Other Public Health Support</t>
    </r>
  </si>
  <si>
    <r>
      <rPr>
        <b/>
        <sz val="10"/>
        <color theme="1"/>
        <rFont val="Arial"/>
        <family val="2"/>
      </rPr>
      <t>Deferred revenue (CAD 85.1 bn)</t>
    </r>
    <r>
      <rPr>
        <sz val="10"/>
        <color theme="1"/>
        <rFont val="Arial"/>
        <family val="2"/>
      </rPr>
      <t>: Income Tax Payment Deferral until September 30, 2020 ($55 billion); Sales Tax Remittance and Customs Duty Payments Deferral ($30 billion); and Supporting Jobs and Safe Operations of Junior Mining Companies ($50 million)</t>
    </r>
  </si>
  <si>
    <t>• Supporting Farm Credit Canada by allowing an additional $5.2 billion in lending capacity to producers, agribusinesses, and food processors. This is a capital injection.</t>
  </si>
  <si>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This flexibility is provided for through: transfer possibilities across the three cohesion policy funds (the European Regional Development Fund, European Social Fund and Cohesion Fund); transfers between the different categories of regions; flexibility when it comes to thematic concentration; and a 100% EU co-financing rate for cohesion policy programs for the accounting year 2020-2021, allowing Member States to benefit for full EU financing for crisis-related measures.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
• As of early June, 2021, 24 EU countries had submitted national Recovery and Resilience Plans (RRPs). These are being assessed by the European Commission. The EC has raised 45 billion euros in bond issuance by end-July which will help finance pre-financing portion in 2021 (13% of total loans and grants, which amounts to 491 billion euros as of August).</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</si>
  <si>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short-time work schemes, and health-related measures. Loans will be guaranteed by the EU budget and EU member states. The instrument will then be operational until 31 December 2022.
•The ESM will provide Pandemic Crisis Support to its members to finance crisis-related health spending of up to 2 percent of a requesting member’s 2019 GDP. Should all 19 countries draw from the credit line, this would amount to around €240 bn.The loans from the ESM are meant to finance direct and indirect health-related spending in response to the Covid-19 crisis.
On July 21, the European Council approved the Next Generation EU recovery fund. Part of this is EUR 360 billion in loans available from the Recovery and Resilience Facility (RRF) that EU members can apply for to finance parts of their national recovery and resilience plans.</t>
  </si>
  <si>
    <r>
      <rPr>
        <b/>
        <sz val="10"/>
        <color theme="1"/>
        <rFont val="Arial"/>
        <family val="2"/>
      </rPr>
      <t>Additional spending (€33.9 bn): 
•</t>
    </r>
    <r>
      <rPr>
        <sz val="10"/>
        <color theme="1"/>
        <rFont val="Arial"/>
        <family val="2"/>
      </rPr>
      <t xml:space="preserve"> Support for streamlining and boosting health insurance (paid sick leave) for the sick or their caregivers, higher spending on health supplies; bonuses for health workers.
• Additional investment and equipment in the health sector announced in the recovery plan for 2021 and beyond.</t>
    </r>
  </si>
  <si>
    <r>
      <rPr>
        <b/>
        <sz val="10"/>
        <rFont val="Arial"/>
        <family val="2"/>
      </rPr>
      <t>Additional spending (€155.4 bn):</t>
    </r>
    <r>
      <rPr>
        <sz val="10"/>
        <rFont val="Arial"/>
        <family val="2"/>
      </rPr>
      <t xml:space="preserve">  Support for wages of workers under the subsidized short-time work scheme; direct financial support for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incentives to purchase greener vehicles; subsidies for green investment for the auto and aerospace sectors.
</t>
    </r>
    <r>
      <rPr>
        <b/>
        <sz val="10"/>
        <rFont val="Arial"/>
        <family val="2"/>
      </rPr>
      <t>Foregone revenue (€32.6 bn):</t>
    </r>
    <r>
      <rPr>
        <sz val="10"/>
        <rFont val="Arial"/>
        <family val="2"/>
      </rPr>
      <t xml:space="preserve"> 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t>
    </r>
  </si>
  <si>
    <r>
      <rPr>
        <b/>
        <sz val="10"/>
        <color theme="1"/>
        <rFont val="Arial"/>
        <family val="2"/>
      </rPr>
      <t>Additional spending (€346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 xml:space="preserve">Forgone revenue (€109 bn): </t>
    </r>
    <r>
      <rPr>
        <sz val="10"/>
        <color theme="1"/>
        <rFont val="Arial"/>
        <family val="2"/>
      </rPr>
      <t>a temporary VAT reduction (the general VAT cut was expired at end-2020, but special VAT cuts for restaurants and food services remain in place), corporate tax reliefs, personal income tax reliefs, and social security contribution reduction.</t>
    </r>
  </si>
  <si>
    <r>
      <rPr>
        <b/>
        <sz val="10"/>
        <color theme="1"/>
        <rFont val="Arial"/>
        <family val="2"/>
      </rPr>
      <t xml:space="preserve">Additional spending ($4263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r>
  </si>
  <si>
    <r>
      <t xml:space="preserve">Additional spending: </t>
    </r>
    <r>
      <rPr>
        <sz val="10"/>
        <color theme="1"/>
        <rFont val="Arial"/>
        <family val="2"/>
      </rPr>
      <t>Healthcare goods and services; testing and treatment; purchase of vaccines; purchase of COVID-19-related health equipment.</t>
    </r>
  </si>
  <si>
    <r>
      <rPr>
        <b/>
        <sz val="10"/>
        <color theme="1"/>
        <rFont val="Arial"/>
        <family val="2"/>
      </rPr>
      <t>Additional spending</t>
    </r>
    <r>
      <rPr>
        <sz val="10"/>
        <color theme="1"/>
        <rFont val="Arial"/>
        <family val="2"/>
      </rPr>
      <t xml:space="preserve">: The interventions are targeted at relieving hard-hit SMEs and households through a combination of improved access to affordable credit, subsidies, fee exemptions, improved payment terms on government contracts and additional waivers and rebates initially planned for 3 months. A dedicated task force has been established to ensure smooth and uninterrupted supply of consumer goods.
</t>
    </r>
    <r>
      <rPr>
        <b/>
        <sz val="10"/>
        <color theme="1"/>
        <rFont val="Arial"/>
        <family val="2"/>
      </rPr>
      <t xml:space="preserve">
Forgone revenue: </t>
    </r>
    <r>
      <rPr>
        <sz val="10"/>
        <color theme="1"/>
        <rFont val="Arial"/>
        <family val="2"/>
      </rPr>
      <t>Suspension or reduction of various government fees, labor charges, and penalties for the business sector; reduction of lease payments in government-owned premises and malls; cancelling certain fines imposed by the government and the customs department and tax reimbursements to hotels and restaurants.</t>
    </r>
  </si>
  <si>
    <r>
      <rPr>
        <b/>
        <sz val="10"/>
        <color theme="1"/>
        <rFont val="Arial"/>
        <family val="2"/>
      </rPr>
      <t>Additional spending (498 bn):</t>
    </r>
    <r>
      <rPr>
        <sz val="10"/>
        <color theme="1"/>
        <rFont val="Arial"/>
        <family val="2"/>
      </rPr>
      <t xml:space="preserve"> Cash aid to low-income households and social protection measures for vulnerable workers. Subsidies to rice farmers and wages for small businesses. Retraining of displaced workers. Support for loan and interest repayments.
</t>
    </r>
    <r>
      <rPr>
        <b/>
        <sz val="10"/>
        <color theme="1"/>
        <rFont val="Arial"/>
        <family val="2"/>
      </rPr>
      <t>Forgone revenue (138 bn)</t>
    </r>
    <r>
      <rPr>
        <sz val="10"/>
        <color theme="1"/>
        <rFont val="Arial"/>
        <family val="2"/>
      </rPr>
      <t xml:space="preserve">: Corporate income tax rate reduction. </t>
    </r>
  </si>
  <si>
    <r>
      <rPr>
        <sz val="10"/>
        <color theme="1"/>
        <rFont val="Symbol"/>
        <family val="1"/>
        <charset val="2"/>
      </rPr>
      <t>·</t>
    </r>
    <r>
      <rPr>
        <sz val="10"/>
        <color theme="1"/>
        <rFont val="Arial"/>
        <family val="2"/>
      </rPr>
      <t xml:space="preserve"> Equity injection to support loan programs for SMEs.</t>
    </r>
  </si>
  <si>
    <t>• Credit guarantees for small businesses.</t>
  </si>
  <si>
    <t xml:space="preserve">• Special loan package for affected micro entrepreneurs and MSMEs. </t>
  </si>
  <si>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agricultural sector support, and support to FDI operations via facilitation of logistics in export and import process. For FY2019/20, the authorities indicated that the COVID-19 related spending (including health and non-health sector) was 52.4 billion birr. For FY2020/21, the authorities have allocated about 30 billion birr for COVID-19 related spending.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</si>
  <si>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t xml:space="preserve">Additional spending: 
</t>
    </r>
    <r>
      <rPr>
        <sz val="10"/>
        <rFont val="Arial"/>
        <family val="2"/>
      </rPr>
      <t>• Purchases of medical equipment, vaccine, tests, etc. (CZK 29.9bn).
• The government approved higher premium payments on state-covered health insurance--increase by CZK500 per person as of June 2020 (CZK 20.9bn) and by CZK200 per person since January 2021 (CZK50.9bn).
• Debt relief of hospitals (CZK 6.6bn). 
• Bonus for workers in social services, hospitals, emergency responders, hygienically stations (CZK 35.8 bn).
• Other health measures: (mobile collection teams, Smart Quarantine establishment, anti-covid programmes for technological firms) (CZK 1.7bn).</t>
    </r>
    <r>
      <rPr>
        <b/>
        <sz val="10"/>
        <rFont val="Arial"/>
        <family val="2"/>
      </rPr>
      <t xml:space="preserve">
Forgone revenue:
</t>
    </r>
    <r>
      <rPr>
        <sz val="10"/>
        <rFont val="Arial"/>
        <family val="2"/>
      </rPr>
      <t xml:space="preserve">• Remission of VAT on purchase of the vaccine, tests, respirators (CZK 2.6bn) </t>
    </r>
  </si>
  <si>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(CZK 1.6bn).
• COVID Sport Guarantee Program (CZK 4bn).
• COVID Travel Agency Guarantee Program (CZK 0.3bn)
• Other guarantees (National guarantee, Expansion guarantee) (CZK 24.5bn).</t>
  </si>
  <si>
    <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 Care Allowance to self-employed persons (CZK 434 per day in March 2020, CZK 500 per day since April), who cannot work because they need to care for children up to 13 years. During the other waves of COVID for parents with children up to 10 years, CZK 400 per day (CZK 3.1bn)
• The state covers half of business property rents in Q2-Q4 2020 (CZK 9.9bn).
• Programs in support of the sports, culture, tourism, transport, restaurants, agriculture and other closed sectors (CZK 45.7bn).
• One-off cash benefit for pensioners in amount of CZK 5000 (CZK 15.0bn).
• Loss carryback measure: Taxpayers who report tax losses in 2020 due to the state of emergency, will be able to reduce their tax bases for the tax years 2019 and 2018 by this loss (maximum CZK 30 million) (CZK 4.3bn).
• 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
• Other expenditure (CZK 9.6bn).
</t>
    </r>
    <r>
      <rPr>
        <b/>
        <sz val="10"/>
        <rFont val="Arial"/>
        <family val="2"/>
      </rPr>
      <t xml:space="preserve">Forgone Revenue: 
</t>
    </r>
    <r>
      <rPr>
        <sz val="10"/>
        <rFont val="Arial"/>
        <family val="2"/>
      </rPr>
      <t>• The effective reduction in the personal income taxation and increase in the basic rebate for taxpayers (in total CZK 99.1bn).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Introduction of extraordinary allowance at CZK 370 per day for employees who have been ordered to quarantine (CZK 1.1bn).
• Reduced VAT rate to 10% for accommodation, sports and culture services (CZK 2.6bn).
• Reduced road tax rate for vehicles above 3.5t (CZK 2bn) and decrease in excise tax on diesel oil (CZK 5.6bn).
• Abolition of the real property acquisition tax (CZK 27.6bn).
• Lower dividends from Airport Prague (CZK 1.5bn).
• Introduction of extraordinary accelerated depreciation on assets (in the 1st and 2nd depreciation classes), acquired in 2020 and 2021 (CZK 25bn); increase in the limit for the depreciation of tangible fixed assets and other measures (CZK 3.7bn).</t>
    </r>
  </si>
  <si>
    <r>
      <t xml:space="preserve">Deferred revenue: 
</t>
    </r>
    <r>
      <rPr>
        <sz val="10"/>
        <rFont val="Arial"/>
        <family val="2"/>
      </rPr>
      <t>• Postponement of advance payments on social security and health insurance contributions for self-employed by 6 months (CZK 14.3bn)</t>
    </r>
  </si>
  <si>
    <t>Government loans:
• The CMZRB provided CZK 0.9bn through interest-free loans, the rest will be handled through state guarantees on loans of commercial banks (COVID I Programme).</t>
  </si>
  <si>
    <r>
      <t xml:space="preserve">Additional spending (1.6 bn): </t>
    </r>
    <r>
      <rPr>
        <sz val="10"/>
        <color theme="1"/>
        <rFont val="Arial"/>
        <family val="2"/>
      </rPr>
      <t xml:space="preserve">Includes support to households and businesses. For households: compensation for private sector employees who lose jobs; direct transfers to vulnerable families and people with severe disabilities; direct transfers to families with children; university tuition fee subsidies; subsidies to households for utilities (electricity and water) bills and tariff hikes. For businesses: electricity subsidies for food producers; other subsidies to food producers (e.g., flour); interest rate subsidies on mortgages (construction sector); interest rate subsidies and other financial support to targeted sectors (e.g. small hotels and agriculture); and microgrants.                                                                                               </t>
    </r>
    <r>
      <rPr>
        <b/>
        <sz val="10"/>
        <color theme="1"/>
        <rFont val="Arial"/>
        <family val="2"/>
      </rPr>
      <t xml:space="preserve">
                                                                                                                                                                                                                                                  Forgone revenue (0.63 bn): </t>
    </r>
    <r>
      <rPr>
        <sz val="10"/>
        <color theme="1"/>
        <rFont val="Arial"/>
        <family val="2"/>
      </rPr>
      <t>Income tax exemption for businesses that retain workers; property tax exemption for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</si>
  <si>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Extension of customs clearance term for vehicles imported before April 2020 (until September 2020).</t>
    </r>
  </si>
  <si>
    <r>
      <rPr>
        <b/>
        <sz val="10"/>
        <rFont val="Arial"/>
        <family val="2"/>
      </rPr>
      <t xml:space="preserve">Accelerated spending:
</t>
    </r>
    <r>
      <rPr>
        <sz val="10"/>
        <rFont val="Arial"/>
        <family val="2"/>
      </rPr>
      <t>• Frontloaded social pension payments for the elderly and people with special needs.
• Procurement processes and VAT refunds are to be accelerated.</t>
    </r>
  </si>
  <si>
    <r>
      <rPr>
        <b/>
        <sz val="10"/>
        <color theme="1"/>
        <rFont val="Arial"/>
        <family val="2"/>
      </rPr>
      <t>Additional spending (IDR 276 tn):</t>
    </r>
    <r>
      <rPr>
        <sz val="10"/>
        <color theme="1"/>
        <rFont val="Arial"/>
        <family val="2"/>
      </rPr>
      <t xml:space="preserve">
• Several fiscal packages have been announced by the government amounting to IDR 314.5 tn for the years 2020 and 2021. 
.• For 2020 Economic recovery program (PEN), health budget is around  IDR 100 tn. 
• 2021 PEN budget for 2021 stands at IDR 215 tn as of September 14, 2021.</t>
    </r>
  </si>
  <si>
    <r>
      <rPr>
        <b/>
        <sz val="10"/>
        <color theme="1"/>
        <rFont val="Arial"/>
        <family val="2"/>
      </rPr>
      <t>Additional spending (IDR 942.1 tn):</t>
    </r>
    <r>
      <rPr>
        <sz val="10"/>
        <color theme="1"/>
        <rFont val="Arial"/>
        <family val="2"/>
      </rPr>
      <t xml:space="preserve">
•The approved budget for 2020 is IDR 475.1 tn including social protection, cash transfer etc
•The approved budget for 2021 is IDR 467.0 tn . Several revisions have been announced by the government but details remain to be known.
</t>
    </r>
    <r>
      <rPr>
        <b/>
        <sz val="10"/>
        <color theme="1"/>
        <rFont val="Arial"/>
        <family val="2"/>
      </rPr>
      <t>Forgone revenue (IDR 183.4 tn):</t>
    </r>
    <r>
      <rPr>
        <sz val="10"/>
        <color theme="1"/>
        <rFont val="Arial"/>
        <family val="2"/>
      </rPr>
      <t xml:space="preserve"> 
• For 2020, approved tax incentives amounted to IDR 120 tn.
• For 2021, the approved budget is IDR 63.4 tn
•Packages include various tax reliefs and incentives: exemption and reduction of income taxes (with an income ceiling) and a reduction of the corporate income tax from 25 percent to 22 percent.</t>
    </r>
  </si>
  <si>
    <r>
      <rPr>
        <b/>
        <sz val="10"/>
        <color theme="1"/>
        <rFont val="Arial"/>
        <family val="2"/>
      </rPr>
      <t>Additional spending</t>
    </r>
    <r>
      <rPr>
        <sz val="10"/>
        <color theme="1"/>
        <rFont val="Arial"/>
        <family val="2"/>
      </rPr>
      <t>: For COVID-19 testing, clinical management, tracing, vaccination and therapeutics, and isolation facilities.</t>
    </r>
  </si>
  <si>
    <r>
      <rPr>
        <b/>
        <sz val="10"/>
        <rFont val="Arial"/>
        <family val="2"/>
      </rPr>
      <t xml:space="preserve">Additional spending (RMB 3 tn):K48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The VAT rate cut was subsequently extended for all SMEs to end-2021.                                                                                                                                                           •  The temporary lowering of the rates of unemployment insurance and work-related injury insurance was set to expire at the end of April 2021. It will be extended for another year until April 30, 2022.                                                                                                                                                                                                                                                    •  VAT exemption for public transportation, catering, accommodation, tourism, entertainment, cultural, sports were extended to December 31, 2021.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</si>
  <si>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color theme="1"/>
        <rFont val="Arial"/>
        <family val="2"/>
      </rPr>
      <t>Additional spending (Rs 1041 bn):</t>
    </r>
    <r>
      <rPr>
        <sz val="10"/>
        <color theme="1"/>
        <rFont val="Arial"/>
        <family val="2"/>
      </rPr>
      <t xml:space="preserve">
• Additional spending on health infrastructure, including for COVID-19 testing facilities, personal protective equipment, isolation beds, ICU beds, ventilators and medical screening.
• The budget for FY2020/21 released on February 1, 2021 provisioned 350 billion Rs for the country's vaccination program with the possibility of expanding the envelope.                                                           • In June 2021, the central government announced support to states for purchase of vaccines (100 billion Rs).                                                                                             • In July 2021 a package of health care infrastructure spending (India COVID 19 Emergency Response and Health Systems Preparedness Package, about 230 billion Rs) was announced.</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</si>
  <si>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   
• On June 12, the GST council announced that it would halve the interest rate charged on overdue filings of small businesses.</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</si>
  <si>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  
• In June 2021, a new loan guarantee scheme for Covid-affected sectors was announced (500 billion Rs) and the existing credit guarantee scheme was extended (1500 billion Rs).</t>
  </si>
  <si>
    <r>
      <rPr>
        <b/>
        <sz val="10"/>
        <color theme="1"/>
        <rFont val="Arial"/>
        <family val="2"/>
      </rPr>
      <t>Additional spending:</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6.7 tn).</t>
    </r>
  </si>
  <si>
    <r>
      <t>Additional spending (JPY 78.9 tn):</t>
    </r>
    <r>
      <rPr>
        <sz val="10"/>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2020 include: 
• Transfers to local governments (JPY 2 tn); 
• Expansion of work subsidies (JPY 1.3 tn); 
• Subsidies for public/private financial institutions' lending (JPY 9.3 tn); 
• Replenishment of cash transfers for firms (JPY 1.9 tn); 
• Subsidies to affected firms for rent payment (JPY 2 tn).
The government announced additional measures on December 8 2020,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totaling JPY 11.2 tn (excluding the spending approved on December 11 2020). The measures include:
•  Cash transfers to affected firms (JPY 1.2 tn)
•  Replenishment of the emergency loan program for affected households (JPY 1.0 tn)
•  Enhancement of healthcare capacity (JPY1.7 tn)
•  Procurement of vaccines (JPY 2.0 tn)
•  Top up the Employment Adjustment Subsidy (JPY 0.5 tn)
•  Transfers to the local governments (JPY 3.9 tn)
</t>
    </r>
    <r>
      <rPr>
        <b/>
        <sz val="10"/>
        <rFont val="Arial"/>
        <family val="2"/>
      </rPr>
      <t xml:space="preserve">
Forgone revenue :</t>
    </r>
    <r>
      <rPr>
        <sz val="10"/>
        <rFont val="Arial"/>
        <family val="2"/>
      </rPr>
      <t xml:space="preserve"> Revenue measures included in the past economic packages include expansion of the loss carry-back and carry-forward schemes, tax incentives for firms’ decarbonization and digitalization, and reduction of property tax and the aviation fuel tax.</t>
    </r>
  </si>
  <si>
    <r>
      <rPr>
        <b/>
        <sz val="10"/>
        <rFont val="Arial"/>
        <family val="2"/>
      </rPr>
      <t>Spending Measures (29 bn):</t>
    </r>
    <r>
      <rPr>
        <sz val="10"/>
        <rFont val="Arial"/>
        <family val="2"/>
      </rPr>
      <t xml:space="preserve">
Targeted subsidies on private sector wages and social security contributions (for April, May, and June);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 xml:space="preserve">                                                                                                                                                                                                                                                   Foregone Revenues (2 bn):</t>
    </r>
    <r>
      <rPr>
        <sz val="10"/>
        <rFont val="Arial"/>
        <family val="2"/>
      </rPr>
      <t xml:space="preserve">
Lowering the late interest rate for public taxes and duties from 0.03% to 0.015%.
Lowering the penalty rate, by 50% i.e. to 5% for corporates and to 4% for the households.                                                                                                                            PIT and CIT deferrals (extended several times, currently through June 2021), temporary changes to CIT loss carry forward provisions, deduction of Covid-19 related expenses from taxable income, higher turnover tax thresholds, lower custom duties, and reduced VAT rate for the catering sector.</t>
    </r>
  </si>
  <si>
    <r>
      <rPr>
        <b/>
        <sz val="10"/>
        <color theme="1"/>
        <rFont val="Arial"/>
        <family val="2"/>
      </rPr>
      <t xml:space="preserve">Additional spending: </t>
    </r>
    <r>
      <rPr>
        <sz val="10"/>
        <color theme="1"/>
        <rFont val="Arial"/>
        <family val="2"/>
      </rPr>
      <t xml:space="preserve">
•	Health and social services resources and equipment purchases, and covid-19 research (3.1) 
•	Other expenditure increases arising from the coronavirus situation (0.9)
</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</si>
  <si>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for the disadvantaged elderly people, widows and female divorcees, and food aid distribution; Cash assistance to the jobless poor affected by COVID-19.   
· Wage support for export-oriented industries; Fund for the construction of home for homeless people; Providing support for farm mechanization; Enhancing the amount of agricultural subsidy; Employment creation program through government financial institutions; Subsidy for partial remission of commercial bank's suspended interest of April and May of 2020; Social safety net program for the workers who lost their job in the RMG, leather goods and footwear industries. Micro-credit and the marginal people's livelihood development program. 
</t>
    </r>
    <r>
      <rPr>
        <b/>
        <sz val="10"/>
        <color theme="1"/>
        <rFont val="Arial"/>
        <family val="2"/>
      </rPr>
      <t xml:space="preserve">Forgone revenue: 
</t>
    </r>
    <r>
      <rPr>
        <sz val="10"/>
        <color theme="1"/>
        <rFont val="Arial"/>
        <family val="2"/>
      </rPr>
      <t>·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</si>
  <si>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t xml:space="preserve">Additional spending:
</t>
    </r>
    <r>
      <rPr>
        <sz val="10"/>
        <rFont val="Arial"/>
        <family val="2"/>
      </rPr>
      <t>Grants to businesses (announced: DKK 35.8 bn; uptake: DKK 22.6 bn)
Employment support &amp; unemployment benefits  (announced DKK 30.8 bn; uptake DKK 20.9 bn) 
Boosting business activity (announced: DKK 9.6 bn; uptake 6.5 bn)
Consumption support to Households (announced: DKK 2.2 bn; uptake 2.2 bn)
Upskilling &amp; Education (announced: DKK 1.1; uptake 1.1 bn)</t>
    </r>
  </si>
  <si>
    <r>
      <t xml:space="preserve">Accelerated spending (1 bn):
• Advance payment of tax credits (DKK 1 bn)
Deferred revenue (317.8 bn):
</t>
    </r>
    <r>
      <rPr>
        <sz val="10"/>
        <color theme="1"/>
        <rFont val="Arial"/>
        <family val="2"/>
      </rPr>
      <t>Tax deferrals (2020 &amp; 2021) (announced 317.8; uptake 206.0)</t>
    </r>
  </si>
  <si>
    <r>
      <rPr>
        <b/>
        <sz val="10"/>
        <rFont val="Arial"/>
        <family val="2"/>
      </rPr>
      <t xml:space="preserve">Additional spending: </t>
    </r>
    <r>
      <rPr>
        <sz val="10"/>
        <rFont val="Arial"/>
        <family val="2"/>
      </rPr>
      <t xml:space="preserve">
·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 A temporary increase in the payments for social assistance  (Lk 2.5 bn for 2021).
</t>
    </r>
    <r>
      <rPr>
        <b/>
        <sz val="10"/>
        <rFont val="Arial"/>
        <family val="2"/>
      </rPr>
      <t xml:space="preserve">Foregone revenue:
</t>
    </r>
    <r>
      <rPr>
        <sz val="10"/>
        <rFont val="Arial"/>
        <family val="2"/>
      </rPr>
      <t>· Small businesses (those below an annual turnover threshold of Lk14 million) will not pay profit tax in 2020 (normative act April 23). Estimated amount Lk81 mn.</t>
    </r>
  </si>
  <si>
    <r>
      <rPr>
        <b/>
        <sz val="10"/>
        <rFont val="Arial"/>
        <family val="2"/>
      </rPr>
      <t>Accelerated spending (2.1):</t>
    </r>
    <r>
      <rPr>
        <sz val="10"/>
        <rFont val="Arial"/>
        <family val="2"/>
      </rPr>
      <t xml:space="preserve">
· Annual indexation of pensions to CPI - usually applied in July, brought forward to April. Pensions were increased by 2.3% effective April 1.
</t>
    </r>
    <r>
      <rPr>
        <b/>
        <sz val="10"/>
        <rFont val="Arial"/>
        <family val="2"/>
      </rPr>
      <t xml:space="preserve">Deferred revenue (0): </t>
    </r>
    <r>
      <rPr>
        <sz val="10"/>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</si>
  <si>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rFont val="Symbol"/>
        <family val="1"/>
        <charset val="2"/>
      </rPr>
      <t>·</t>
    </r>
    <r>
      <rPr>
        <sz val="10"/>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</si>
  <si>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Additional spending:</t>
    </r>
    <r>
      <rPr>
        <sz val="10"/>
        <color theme="1"/>
        <rFont val="Arial"/>
        <family val="2"/>
      </rPr>
      <t xml:space="preserve">
· Purchase of medical equipment and supplies 2020 (RON 3.8 bn - expired);
· Financial support to quarantine centers 2020 (RON 0.3 bn - expired);
· Risk bonus for healthcare workers 2020/2021 (RON 1.8 bn);
· Purchase of medical equipment and supplies (including vaccination program) 2021 (RON 2.3 bn);
· Additional bonuses for health personnel 2020-2021 (RON 2.1 bn).
</t>
    </r>
    <r>
      <rPr>
        <b/>
        <sz val="10"/>
        <color theme="1"/>
        <rFont val="Arial"/>
        <family val="2"/>
      </rPr>
      <t>+I147</t>
    </r>
    <r>
      <rPr>
        <sz val="10"/>
        <color theme="1"/>
        <rFont val="Arial"/>
        <family val="2"/>
      </rPr>
      <t xml:space="preserve"> Capping the fee on medicine sales; suspending VAT for medical imports.</t>
    </r>
  </si>
  <si>
    <t>Affected firms and workers are allowed to defer their contribution (up to 12 months) to the pension fund and survivor-ship fund with no interest penalty for late payment (estimated to be VND 9.5 tn). VSS measures in 2021 at 16.5 tn, of which 3.6tn are exemptions of premium contributions, 8.4tn are deferrals, and 4.5 tn are job retention programs.</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</si>
  <si>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 In 2021, cut electricity prices temporarily estimated at 4.1 tn, cut telephone prices at 10 tn, and concessional VBSP lending at 7.5 tn.</t>
  </si>
  <si>
    <r>
      <rPr>
        <b/>
        <sz val="10"/>
        <color theme="1"/>
        <rFont val="Arial"/>
        <family val="2"/>
      </rPr>
      <t>Additional spending</t>
    </r>
    <r>
      <rPr>
        <sz val="10"/>
        <color theme="1"/>
        <rFont val="Arial"/>
        <family val="2"/>
      </rPr>
      <t xml:space="preserve">: Healthcare personnel, facilities and supplies, including vaccines.
</t>
    </r>
    <r>
      <rPr>
        <b/>
        <sz val="10"/>
        <color theme="1"/>
        <rFont val="Arial"/>
        <family val="2"/>
      </rPr>
      <t xml:space="preserve">                                                                                                                                                                                                                                                     Foregone Revenue</t>
    </r>
    <r>
      <rPr>
        <sz val="10"/>
        <color theme="1"/>
        <rFont val="Arial"/>
        <family val="2"/>
      </rPr>
      <t>: Temporary VAT exemptions for medical supplies</t>
    </r>
  </si>
  <si>
    <r>
      <rPr>
        <b/>
        <sz val="10"/>
        <color theme="1"/>
        <rFont val="Arial"/>
        <family val="2"/>
      </rPr>
      <t xml:space="preserve">Additional spending: </t>
    </r>
    <r>
      <rPr>
        <sz val="10"/>
        <color theme="1"/>
        <rFont val="Arial"/>
        <family val="2"/>
      </rPr>
      <t>Temporary unemployment benefits to formal workers (0.6 percent of GDP), delivery of food supplies to poor families (0.2 percent of GDP), and cash transfers to informal workers (0.4 percent of GDP).</t>
    </r>
  </si>
  <si>
    <r>
      <rPr>
        <b/>
        <sz val="10"/>
        <color theme="1"/>
        <rFont val="Arial"/>
        <family val="2"/>
      </rPr>
      <t>Additional spending (13,627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</si>
  <si>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(30,037 bn pesos):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(1,995 bn pesos):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</si>
  <si>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t xml:space="preserve">Additional spending (€2.2 bn):
</t>
    </r>
    <r>
      <rPr>
        <sz val="10"/>
        <color theme="1"/>
        <rFont val="Arial"/>
        <family val="2"/>
      </rPr>
      <t>• Medicines, personal protective equipment, complementary means of diagnosis and therapy; 
• COVID-19 tests and vaccines; 
• Personnel expenses, incl. extraordinary health insurance subsidies for health professionals;
• Profilactic isolation;
• Investment to expand intensive care services of the National Health Service.</t>
    </r>
  </si>
  <si>
    <r>
      <t xml:space="preserve">Additional spending (€8.7 bn):
</t>
    </r>
    <r>
      <rPr>
        <sz val="10"/>
        <rFont val="Arial"/>
        <family val="2"/>
      </rPr>
      <t>• Support measures for employment and resumption of activity (€3.0 bn);
• Non-repayble subsidies to businesses affected by the pandemic, program Apoiar.pt (€1.1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€1.1 bn in 2021);</t>
    </r>
    <r>
      <rPr>
        <b/>
        <sz val="10"/>
        <rFont val="Arial"/>
        <family val="2"/>
      </rPr>
      <t xml:space="preserve">
Forgone revenue (€1.2 bn):
</t>
    </r>
    <r>
      <rPr>
        <sz val="10"/>
        <rFont val="Arial"/>
        <family val="2"/>
      </rPr>
      <t>• Exemption from payment of the Single Social Fee (€0.7 bn);
• Lowering of reduced electricity VAT rate (€0.2 bn);
• Temporary waiver of VAT on purchases of certain medical material;
• VAT refund program for catering, accommodation and culture (€0.2);
• Other tax relief measures, such as road toll reductions,property rents, SME taxes (€0.1).</t>
    </r>
  </si>
  <si>
    <t>A maximum of €13 billion authorized under the EU Temporary State Aid Framework. 
Public guarantee programs rolled out in 2020 include:
• Credit lines rolled out in April 2020 targeting micro, SMEs and mid-cap companies (€6.2bn), including: restaurants (€.6 bn); travel agencies (€0.2M); tourism (€0.9M); and industry (€4.5bn).
• Capitalizar credit line in May 2020 (€0.4bn) targeting working capital needs and open to large companies;
• Credit line for treasury needs of micro companies in the tourism sector (€0.06 bn);
• Credit insurances guaranteed on export operations: metallurgy and construction (€0.4 bn); short-term export (€0.3 bn);
• Credit line targeting companies in Madeira region (€0.1 bn);
• Creidt line fo SMEs in November 2020 (€0.8bn), of which 20% is non-repayable;
Introduced for the first half of 2021:
• New and expanded credit lines targeting SMEs (€0.750 bn);
• Industry and tourism exporting companies (€1.050 bn), with loans up to €4,000 per worker, of which 20 percent can be converted into a non-refundable subsidy if jobs are maintained;
• Credit line for event organizers (€0.050 bn), 20% non-refundable;
Credit line for large companies in the sectors most affected (€0.750 bn);
• Travel agencies and tour operators, including SMEs (€0.4 bn).</t>
  </si>
  <si>
    <r>
      <rPr>
        <b/>
        <sz val="10"/>
        <rFont val="Arial"/>
        <family val="2"/>
      </rPr>
      <t xml:space="preserve">Additional spending: 
</t>
    </r>
    <r>
      <rPr>
        <sz val="10"/>
        <rFont val="Arial"/>
        <family val="2"/>
      </rPr>
      <t>• Cash aid and raised minimum pension (TL 29.8 bn);
• Unemployment benefits (TL 7.3 bn);
• Short-time work allowance (TL 36.7 bn); 
• Cash aid to employees (TL 14 bn).
• Normalization support (TL 4.8 bn).
• Social Support Program (TL 9.9 bn).</t>
    </r>
    <r>
      <rPr>
        <b/>
        <sz val="10"/>
        <rFont val="Arial"/>
        <family val="2"/>
      </rPr>
      <t xml:space="preserve">
Forgone revenue (TL 44.6 bn):  40,6 bn TL forgone tax revenue and 4 bn TL Financing cost of Tax and SSP Deferrals
</t>
    </r>
    <r>
      <rPr>
        <sz val="10"/>
        <rFont val="Arial"/>
        <family val="2"/>
      </rPr>
      <t xml:space="preserve">• VAT rate on food and beverage, cinema, theatre, museum and accommodation services was reduced from 8% to 1% until 31 December, 2020. It is prolonged for five months for 2021.It was again prolonged to end of September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It was again prolonged to end of September 2021.
• Withholding tax on workplace rent was reduced from 20% to 10% until 31 December, 2020. It is prolonged for five months for 2021.It was again prolonged to end of September.
• VAT rate on passenger transportation by air was reduced to 1% from 1 April, 2020 to 30 June, 2020. 
• VAT rate on education and training services between 1 September, 2020 and 30 June, 2021 was reduced from 8% to 1% temporarily. It was again prolonged to end of September 2021.
</t>
    </r>
    <r>
      <rPr>
        <sz val="10"/>
        <rFont val="Symbol"/>
        <family val="1"/>
        <charset val="2"/>
      </rPr>
      <t>·</t>
    </r>
    <r>
      <rPr>
        <sz val="7"/>
        <rFont val="Arial"/>
        <family val="2"/>
      </rPr>
      <t xml:space="preserve"> </t>
    </r>
    <r>
      <rPr>
        <sz val="10"/>
        <rFont val="Arial"/>
        <family val="2"/>
      </rPr>
      <t>Support to tradespeople (TL 9 bn), Supports for Artists (TL 0,2 bn) and Additional Payments for Treasury Interest Supported Loans Given to Agricultural Producers and Tradesmen (1,2 bn)</t>
    </r>
  </si>
  <si>
    <t>s</t>
  </si>
  <si>
    <r>
      <t xml:space="preserve">Additional spending (£271 bn):
</t>
    </r>
    <r>
      <rPr>
        <sz val="10"/>
        <color theme="1"/>
        <rFont val="Arial"/>
        <family val="2"/>
      </rPr>
      <t>• Coronavirus Job Retention Scheme to subsidise furloughed employees' wages (initially for 3 months and extended several times until September 2021) and firms' social security contributions (until the 1st August 2020); 
• Income support for the self-employed (initially for 3 months, but extended too until September 2021);                                                                                                               • Paid sick leave for self-isolating individuals and compensation for small firms needing to close for over 2 weeks, and support for low-income people in need to self-isolate.  
• Grant support for sectors impacted by local and national restrictions; 
• 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doubling the number of work coaches to 27,000.
• Additional transfers to devolved administrations.</t>
    </r>
    <r>
      <rPr>
        <b/>
        <sz val="10"/>
        <color theme="1"/>
        <rFont val="Arial"/>
        <family val="2"/>
      </rPr>
      <t xml:space="preserve">
Forgone revenue (£34 bn): 
</t>
    </r>
    <r>
      <rPr>
        <sz val="10"/>
        <color theme="1"/>
        <rFont val="Arial"/>
        <family val="2"/>
      </rPr>
      <t>• Property tax (business rate) holiday for firms in affected sectors.
• Temporary cut on stamp duty land tax until June 2021.
• VAT reduced at 5% for hospitality, accommodation, and attractions until the end of September 2021, at 12.5% until March 2022, aftern which it will return to normal.</t>
    </r>
  </si>
  <si>
    <r>
      <t xml:space="preserve">Additional spending (£100 bn):
</t>
    </r>
    <r>
      <rPr>
        <sz val="10"/>
        <color theme="1"/>
        <rFont val="Arial"/>
        <family val="2"/>
      </rPr>
      <t xml:space="preserve">• Funding for the National Health Service, including to expand the number of hospital beds, medical staff and equipment. 
</t>
    </r>
    <r>
      <rPr>
        <b/>
        <sz val="10"/>
        <color theme="1"/>
        <rFont val="Arial"/>
        <family val="2"/>
      </rPr>
      <t xml:space="preserve">
Forgone revenue (£2.0bn):
</t>
    </r>
    <r>
      <rPr>
        <sz val="10"/>
        <color theme="1"/>
        <rFont val="Arial"/>
        <family val="2"/>
      </rPr>
      <t>• Waiver of VAT and customs duties on critical medical import.</t>
    </r>
  </si>
  <si>
    <r>
      <rPr>
        <b/>
        <sz val="10"/>
        <rFont val="Arial"/>
        <family val="2"/>
      </rPr>
      <t xml:space="preserve">Accelerated spending (£5 bn): 
</t>
    </r>
    <r>
      <rPr>
        <sz val="10"/>
        <rFont val="Arial"/>
        <family val="2"/>
      </rPr>
      <t xml:space="preserve">• Bring forward public infrastructure spending to FY2020/21.
</t>
    </r>
    <r>
      <rPr>
        <b/>
        <sz val="10"/>
        <rFont val="Arial"/>
        <family val="2"/>
      </rPr>
      <t xml:space="preserve">
Deferred revenue (£7.5 bn): 
</t>
    </r>
    <r>
      <rPr>
        <sz val="10"/>
        <rFont val="Arial"/>
        <family val="2"/>
      </rPr>
      <t>•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</si>
  <si>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r>
      <t xml:space="preserve">Additional spending (AR $264.3 bn):
</t>
    </r>
    <r>
      <rPr>
        <sz val="10"/>
        <rFont val="Arial"/>
        <family val="2"/>
      </rPr>
      <t xml:space="preserve">• Budget increase for Health Ministry to improve virus diagnostics, purchase and distribute vaccines, hospital equipment, and build temporary emergency treatment centers.
• Budget transfers to specific hospitals.
• Monthly bonuses of AR $5K for healthcare workers (most recent April-June 2021).
• Health Strategy for Families and Communities. 
• Financial Assistance for Health Insurance Agents.
• Other (non-costed) support for the health sector includes discretionary transfers related to healthcare to provinces. 
</t>
    </r>
    <r>
      <rPr>
        <b/>
        <sz val="10"/>
        <rFont val="Arial"/>
        <family val="2"/>
      </rPr>
      <t xml:space="preserve">
Forgone revenue (AR $84.3 bn):
</t>
    </r>
    <r>
      <rPr>
        <sz val="10"/>
        <rFont val="Arial"/>
        <family val="2"/>
      </rPr>
      <t>• Exemption from import duties and statistical tax for medical supplies (April-August 2020).
• Tax aliquots on credits and debits in bank accounts and other operations of 2.5 and 5 percent for health service operations (April 2020 - December 2021).
• 95 percent reduction in the aliquot of employer social security contributions for a period of 90 days for health workers (April 2020 - December 2021).
• Special tax compensation scheme for those who make sales of essential goods, including a VAT refund for milk sales.</t>
    </r>
  </si>
  <si>
    <t>• Loans to provinces through the Provincial Development Trust Fund (FFDP)</t>
  </si>
  <si>
    <t>• State guaranteed, subsidized bank and provincial lending, including for working capital and payment of salaries;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</si>
  <si>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r>
      <t xml:space="preserve">Additional spending (€23.4 bn): 
</t>
    </r>
    <r>
      <rPr>
        <sz val="10"/>
        <rFont val="Arial"/>
        <family val="2"/>
      </rPr>
      <t>•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Additional measures have been taken to support hard-hit sectors and vulnerable groups as the pandemic evolved, while key temporary measures have been extended until end-December 2021.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2021 in the context of the re-imposition of restrictions and the second lockdown. These are expiring in 2021.</t>
    </r>
    <r>
      <rPr>
        <b/>
        <sz val="10"/>
        <rFont val="Arial"/>
        <family val="2"/>
      </rPr>
      <t xml:space="preserve">
Forgone revenue (€4.2 bn): </t>
    </r>
    <r>
      <rPr>
        <sz val="10"/>
        <rFont val="Arial"/>
        <family val="2"/>
      </rPr>
      <t>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 Suspension of penalties for delays or non-performance of suppliers to the public sector.</t>
    </r>
  </si>
  <si>
    <t>• Federal government launched a guarantee mechanism for all new credits and credit lines, initially with a maximum maturity of 12 months granted by banks to viable non-financial corporations and self-employed (ended Dec 2020). Second scheme introduced end-July 2020 to extend the maturity to 36 months, replace the loss tranching by uniform loss sharing between government and banks (80-20), and ease the viability criterion. The second scheme carved 10bn out of the total envelope of 50bn and is targeted at SMEs. Take-up is about 2.1bn. The scheme has been extended until end-2021.
· Regional governments also provide guarantees for affected companies and self-employed in need of bridge loans. Take-up is about 0.5bn.
· The federal government signed a memorandum of understanding with Credendo ECA, Assuralia and private credit-insurance firms, committing to provide reinsurance for short-term (&lt; 2yrs) trade credit insurance.</t>
  </si>
  <si>
    <t xml:space="preserve">•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Covid-19 Corporate Financing Facility (CCFF), the Bank of England will buy short term debt from larger companies. 
•  The Bounce Back Loan Scheme will help SMEs to borrow between £2K and £50K for up to 6 years, with the government guaranteeing 100 percent of the loan and SMEs not paying any fees or interest in the first 12 months. The combined cost of the CBILS, CLBILS, CCCF, and BBLS was £112bn as of their expiration in end-March 2021.                                                                                                                                                                                                                                                                                                                                                                                                                    •  In March 2021, a new government-backed loan scheme – the Recovery Loan Scheme (RLS) – was announced. The RLS is to help businesses of any size access loans and other kinds of finance, with up to £10 million per business. The government guarantees 80 percent of the financing. The scheme is open until 31 December 2021, subject to review, and is estimated to cost £12bn.
•  Trade credit Insurance for business-to-business transactions will receive up to £10 billion of government guarantees through the Trade Credit Reinsurance scheme. The scheme is for 9 months.                                                                                                                                                                                                                            </t>
  </si>
  <si>
    <t>The Parliament amended the law governing the central bank to allow for a range of unconventional financing measures, including 1) one-off exceptional transfer (grant, not advance) from the central bank to the government of the amount R60 billion (12 percent of GDP); 2) setting up an SPV "The Mauritius Investment Corporation" - with a two-fold objective: (1) invest in local companies to support the recovery and mitigate contagion of the ongoing economic downturn to the banking sector, thus limiting macro-economic and financial risks; and (2) transfer US$2 billion from FX reserves to the SPV to finance different potential investments.
• The Bank of Mauritius made 2.5 percent two-year savings bonds available to retail investors, worth Rs 5 billion (1 percent of GDP).</t>
  </si>
  <si>
    <r>
      <rPr>
        <b/>
        <sz val="10"/>
        <color theme="1"/>
        <rFont val="Arial"/>
        <family val="2"/>
      </rPr>
      <t>Additional spending</t>
    </r>
    <r>
      <rPr>
        <sz val="10"/>
        <color theme="1"/>
        <rFont val="Arial"/>
        <family val="2"/>
      </rPr>
      <t>: The Federal Executive Council (FEC) approved the N2.3 trillion stimulus package (1.5% of GDP) proposed by the Economic Sustainability Committee, designed to cushion the impact of the COVID-19 pandemic on Nigeria’s economy. Measures include: mass agriculture program, extensive public work and road construction, mass housing program, strengthening social safety net, support micro, small and medium enterprise, etc. The stimulus package includes the initially approved N500 billion (0.34% of GDP) intervention fund, which was approved by the President to support healthcare facilities, provide relief for taxpayers and incentivize employers to retain and recruit staff during the downturn.                                                                                                                                                                    In July, the parliament approved the 2021 supplementary budget of N983 bn, of which N72 bn will be additionally spent for vaccine and health sector (the rest will go to security spending).</t>
    </r>
  </si>
  <si>
    <r>
      <t xml:space="preserve">Additional spending (AR $994.3 bn):
</t>
    </r>
    <r>
      <rPr>
        <sz val="10"/>
        <rFont val="Arial"/>
        <family val="2"/>
      </rPr>
      <t xml:space="preserve">• One-off additional allowances in 2020 for pensioners, beneficiaries of child, pregnancy, and other social allowances, as well as food stamps. Additional allowances for beneficiaries of child allowances and single-taxpayers in April 2021.
• Emergency family allowance for monotributistas, informal workers, and unemployed - three payments in 2020.
• Assistance to community kitchens (comedores) and retiree centers for food distribution.
• Transfers to provincial governments.
• Wage subsidies and complementary wages for affected SMEs.
• Higher spending on public works/infrastructure.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 Support for hard hit and critical sectors: extension of the employment support program (REPRO II) in April 21; supplementary salaries.
</t>
    </r>
    <r>
      <rPr>
        <b/>
        <sz val="10"/>
        <rFont val="Arial"/>
        <family val="2"/>
      </rPr>
      <t xml:space="preserve">
Forgone revenue (AR $127.3 bn):
</t>
    </r>
    <r>
      <rPr>
        <sz val="10"/>
        <rFont val="Arial"/>
        <family val="2"/>
      </rPr>
      <t xml:space="preserve">• Reduction in employers' contributions to Social Security: most affected sectors granted 95% reduction in employers’ contributions to the pension system (April - May 2020); extended for employers in the REPRO II program (2021).
• Special benefits (tax breaks) for police and security at the forefront of COVID response. </t>
    </r>
  </si>
  <si>
    <r>
      <rPr>
        <b/>
        <sz val="10"/>
        <color theme="1"/>
        <rFont val="Arial"/>
        <family val="2"/>
      </rPr>
      <t>Additional spending</t>
    </r>
    <r>
      <rPr>
        <sz val="10"/>
        <color theme="1"/>
        <rFont val="Arial"/>
        <family val="2"/>
      </rPr>
      <t xml:space="preserve">: 
• Implementation of the Wage Support Scheme providing wage subsidy to employers, and Self-Employed Assistance Scheme providing income support to those employed in informal sectors or self-employed. The schemes were extended until September 2021 for employees in tourism-related sectors.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</si>
  <si>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billion (0.9 percent of GDP) to make equity investments in troubled firms, including SMEs. 
• The Development Bank of Mauritius Ltd provides Rs10 billion (2.3 percent of GDP) in credit to distressed enterprises and cooperatives.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million raised by early May 2020. </t>
    </r>
  </si>
  <si>
    <t>Advanced Economies</t>
  </si>
  <si>
    <t>iso</t>
  </si>
  <si>
    <t>Equity, loans, and guarantees</t>
  </si>
  <si>
    <t>DNK</t>
  </si>
  <si>
    <t>SWE</t>
  </si>
  <si>
    <t>FIN</t>
  </si>
  <si>
    <t>POR</t>
  </si>
  <si>
    <t>KOR</t>
  </si>
  <si>
    <t>NOR</t>
  </si>
  <si>
    <t>CHE</t>
  </si>
  <si>
    <t>BEL</t>
  </si>
  <si>
    <t>ESP</t>
  </si>
  <si>
    <t>CZE</t>
  </si>
  <si>
    <t>FRA</t>
  </si>
  <si>
    <t>NLD</t>
  </si>
  <si>
    <t>ITA</t>
  </si>
  <si>
    <t>DEU</t>
  </si>
  <si>
    <t>CAN</t>
  </si>
  <si>
    <t>JPN</t>
  </si>
  <si>
    <t>AUS</t>
  </si>
  <si>
    <t>SGP</t>
  </si>
  <si>
    <t>GBR</t>
  </si>
  <si>
    <t>NZL</t>
  </si>
  <si>
    <t>USA</t>
  </si>
  <si>
    <t>Emerging Market Economies</t>
  </si>
  <si>
    <t>MEX</t>
  </si>
  <si>
    <t>EGY</t>
  </si>
  <si>
    <t>PAK</t>
  </si>
  <si>
    <t>ALB</t>
  </si>
  <si>
    <t>ARE</t>
  </si>
  <si>
    <t>SAU</t>
  </si>
  <si>
    <t>TUN</t>
  </si>
  <si>
    <t>ROU</t>
  </si>
  <si>
    <t>TUR</t>
  </si>
  <si>
    <t>GTM</t>
  </si>
  <si>
    <t>IND</t>
  </si>
  <si>
    <t>PHL</t>
  </si>
  <si>
    <t>COL</t>
  </si>
  <si>
    <t>CHN</t>
  </si>
  <si>
    <t>MKD</t>
  </si>
  <si>
    <t>RUS</t>
  </si>
  <si>
    <t>ZAF</t>
  </si>
  <si>
    <t>BGR</t>
  </si>
  <si>
    <t>ARG</t>
  </si>
  <si>
    <t>KAZ</t>
  </si>
  <si>
    <t>EMEs</t>
  </si>
  <si>
    <t>POL</t>
  </si>
  <si>
    <t>GEO</t>
  </si>
  <si>
    <t>MUS</t>
  </si>
  <si>
    <t>BRA</t>
  </si>
  <si>
    <t>IDN</t>
  </si>
  <si>
    <t>PER</t>
  </si>
  <si>
    <t>SRB</t>
  </si>
  <si>
    <t>CHL</t>
  </si>
  <si>
    <t>THA</t>
  </si>
  <si>
    <t>Low Income Developing Countries</t>
  </si>
  <si>
    <t>MMR</t>
  </si>
  <si>
    <t>NER</t>
  </si>
  <si>
    <t>VNM</t>
  </si>
  <si>
    <t>ZMB</t>
  </si>
  <si>
    <t>BGD</t>
  </si>
  <si>
    <t>NGA</t>
  </si>
  <si>
    <t>KEN</t>
  </si>
  <si>
    <t>ETH</t>
  </si>
  <si>
    <t>GHA</t>
  </si>
  <si>
    <t>HND</t>
  </si>
  <si>
    <t>TCD</t>
  </si>
  <si>
    <t>SEN</t>
  </si>
  <si>
    <t>UZB</t>
  </si>
  <si>
    <t>GNB</t>
  </si>
  <si>
    <t>10 percent wage increase for public healthcare sector (RSD 13bn)
Increased healthcare spending (about RSD 26bn though recently reported to be higher - as much as RSD 60bn)</t>
  </si>
  <si>
    <t>Wage subsidies for three months (RSD 93bn): (i) Payment of 3 minimum wages for all employees in SMEs and entrepreneurs (about 900,000 employees) and (ii) Payment of 50 percent of minimum wages to large companies for employees who are not working.</t>
  </si>
  <si>
    <t>One-off payment to all pensioners (RSD 7bn)</t>
  </si>
  <si>
    <t>New loans to SMEs from the Development Fund (RSD 24bn)</t>
  </si>
  <si>
    <t>Universal cash transfer of EUR 100 to each citizen over 18 years old (about RSD 70bn)</t>
  </si>
  <si>
    <t>Support to 14,000 most vulnerable women in 50 municipalities across Serbia (worth RSD 12bn) in hygiene packages and essential foods</t>
  </si>
  <si>
    <t>A state guarantee scheme for bank loans to SMEs has been approved (exposure of RSD 56.5bn)</t>
  </si>
  <si>
    <t>Raise the March wages of healthcare workers by up to 15 percent (EUR 0.5 million has been allocated) (€0.5 mill)
The removal of the excise on medical alcohol sold in pharmacies</t>
  </si>
  <si>
    <t>The creation of a new Investment Development Fund (IRF) credit line to improve the liquidity of entrepreneurs (€50m)
State utility EPCG will double its electricity subsidies for vulnerable households (€?)</t>
  </si>
  <si>
    <t>Abolished the import duty on medical supplies (MKD ? mill)</t>
  </si>
  <si>
    <t>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Non-spending measures
Lowering the late interest rate for public taxes and duties from 0.03% to 0.015%   (MKD ? mill)
Lowering the penalty rate, by 50%, i.e. to 5% for corporates and to 4% for the households   (MKD ? mill)</t>
  </si>
  <si>
    <t xml:space="preserve">MKD 0.8 billion credit line from the MKD development bank for SMEs 
MKD 3.1 billion of cheap loans to SMEs from the MKD development bank channeled through commercial banks </t>
  </si>
  <si>
    <t>The approved RFI in the amount of SDR 265.2 million (100 percent of quota) will provide resources to accelerate the purchases of necessary medical equipment, additional payments to medical and paramedical staff, and clearance of health sector arrears. (KM 653.0 million)</t>
  </si>
  <si>
    <t>RS and FBIH are setting  up a special fund to stabilize the economy through subsidizing contributions and taxes and paying minimum wages (RS) for all employees of the companies impacted by Covid-19 (KM 500 million).</t>
  </si>
  <si>
    <t>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</si>
  <si>
    <t>FBIH - establishment of a guarantee fund at the Development Bank which will be serve to maintain and improve the liquidity of companies. FBIH government is committed to providing the Fund's initial funds of KM 80 million by diverting its funds already managed on a commission basis by the FBIH Development Bank. Additional funds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</si>
  <si>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t>Frontline heath workers to receive bonuses on top of their salaries from Eur500-1000 per month for the duration of the outbreak (cost included in the overall health package - no details of this available)
Additional funding for health sector in the amount of Lk 2.5 billion</t>
  </si>
  <si>
    <t>Lk11bn sovereign guarantee fund for companies to access overdrafts in the banking system to pay wages for their employees for up to 3 months. The interest is capped at 2.85% and maturity can be up to 2 years.
An additional sovereign guarantee line of Lk15bn (0.9% of GDP)  has been approved. Details are not yet available, but is likely to provide working capital for businesses in the tourism sector, the active processing industry (textile, footwear), and a more loosely defined “productive activities”. The government will cover the interest costs.</t>
  </si>
  <si>
    <t xml:space="preserve">Extra allowance (€300 per employee) for April, May (€ 15 mill) 
6 million euros to the Health Ministry to procure medical equipment (from contingencies) (€ 6 mill) 
Government decision to allocate 10 million to Ministry of Health (€ 10 mill) </t>
  </si>
  <si>
    <t>Support for companies for wage expenses of employees (Apr, May) (€ 41 mill) 
Covering of the value of pension contributions (April, May) (€ 8 mill)
Extra allowance (€100 per employee) for April, May (€ 3 mill)
Subsidies for new employment (€ 6 mill)
Subsidy up to 50 % of rent for April and May (€ 12 mill)
Grants and subsidies for increasing agricultural production (€ 5 mill)
Additional transfer to pensioners (€ 13 mill) 
Additional transfer to families (€ 7.65 mill) 
Financial suppoert to local governments (€ 10 mill)
Financial support to ethnical communities (€ 2 mill)
Unimployment benefits (€130 per person) for Apr, May, Jun (€ 4 mill)
Social assistance for citizens with severe social conditions, declared as unemployed (€ 3 mill)
Grants and subsidies to culture, youth and sports (€ 5 mill)</t>
  </si>
  <si>
    <t>Micro-enterprises and self-employed through Kosovo Credit Guarantee Fund  (€ 15 mill)</t>
  </si>
  <si>
    <t>Removal of VAT on imports of wheat and flour  (€2.5 mill)
Support for exporters (€ 10 mill)</t>
  </si>
  <si>
    <r>
      <t>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t>
    </r>
    <r>
      <rPr>
        <sz val="10"/>
        <rFont val="Arial"/>
        <family val="2"/>
      </rPr>
      <t>re as of September</t>
    </r>
    <r>
      <rPr>
        <sz val="10"/>
        <color theme="1"/>
        <rFont val="Arial"/>
        <family val="2"/>
      </rPr>
      <t xml:space="preserve">, 2021,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2020 GDP are based on October 2021 World Economic Outlook database unless otherwise stated. Estimates for the liquidity support programs such as guarantees refer to the announcement rather than the actual implementation or applications approved, and do not consider whether the programs have expired or extended. G20 = Group of Twenty; AE = Advanced Economy; EM = Emerging Market; LIDC = Low Income Developing Country. </t>
    </r>
  </si>
  <si>
    <r>
      <rPr>
        <b/>
        <sz val="10"/>
        <rFont val="Arial"/>
        <family val="2"/>
      </rPr>
      <t xml:space="preserve">Additional spending: </t>
    </r>
    <r>
      <rPr>
        <sz val="10"/>
        <rFont val="Arial"/>
        <family val="2"/>
      </rPr>
      <t xml:space="preserve">
</t>
    </r>
    <r>
      <rPr>
        <b/>
        <sz val="10"/>
        <rFont val="Arial"/>
        <family val="2"/>
      </rPr>
      <t>• Emergency spending and first supplementary budget (KRW 2.1 tn): Epidemic prevention and treatment, support for medical institutions and quarantined households.</t>
    </r>
    <r>
      <rPr>
        <sz val="10"/>
        <rFont val="Arial"/>
        <family val="2"/>
      </rPr>
      <t xml:space="preserve">
</t>
    </r>
    <r>
      <rPr>
        <b/>
        <sz val="10"/>
        <rFont val="Arial"/>
        <family val="2"/>
      </rPr>
      <t xml:space="preserve">•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t>
    </r>
    <r>
      <rPr>
        <sz val="10"/>
        <rFont val="Arial"/>
        <family val="2"/>
      </rPr>
      <t xml:space="preserve">
</t>
    </r>
    <r>
      <rPr>
        <b/>
        <sz val="10"/>
        <rFont val="Arial"/>
        <family val="2"/>
      </rPr>
      <t xml:space="preserve">• Additional health spending (KRW 600 bn).
• Customized Relief Package (December 2020; KRW 0.8 tn) Strengthen disease prevention measures and reinforce medical system and facilities
• 2021 supplementary budget (KRW 4.2 tn) : COVID-19 vaccination,  compensation for medical institutions.   </t>
    </r>
    <r>
      <rPr>
        <sz val="10"/>
        <rFont val="Arial"/>
        <family val="2"/>
      </rPr>
      <t xml:space="preserve">                                                                                         </t>
    </r>
    <r>
      <rPr>
        <b/>
        <sz val="10"/>
        <rFont val="Arial"/>
        <family val="2"/>
      </rPr>
      <t>• 2021 2nd supplementary budget (4.9 trillion won), vaccine rollouts and development, testing and quarantine, rewards to private medical institutions.</t>
    </r>
    <r>
      <rPr>
        <sz val="10"/>
        <rFont val="Arial"/>
        <family val="2"/>
      </rPr>
      <t xml:space="preserve"> </t>
    </r>
  </si>
  <si>
    <r>
      <rPr>
        <b/>
        <sz val="10"/>
        <rFont val="Arial"/>
        <family val="2"/>
      </rPr>
      <t>Additional Spending (KRW 106.2 tn):</t>
    </r>
    <r>
      <rPr>
        <sz val="10"/>
        <rFont val="Arial"/>
        <family val="2"/>
      </rPr>
      <t xml:space="preserve">
</t>
    </r>
    <r>
      <rPr>
        <b/>
        <sz val="10"/>
        <rFont val="Arial"/>
        <family val="2"/>
      </rPr>
      <t xml:space="preserve">• The government has announced consumption coupons for the poor, emergency family care support, and support for business re-opening (KRW 5.6 tn).
</t>
    </r>
    <r>
      <rPr>
        <sz val="10"/>
        <rFont val="Arial"/>
        <family val="2"/>
      </rPr>
      <t xml:space="preserve">• The 1st supplementary budget included support for SMEs, additional consumption coupons, and grants to local governments (KRW 8.8 tn).
</t>
    </r>
    <r>
      <rPr>
        <b/>
        <sz val="10"/>
        <rFont val="Arial"/>
        <family val="2"/>
      </rPr>
      <t xml:space="preserve">• The 2nd supplementary budget included cash transfers to whole households (KRW 14.3 tn). </t>
    </r>
    <r>
      <rPr>
        <sz val="10"/>
        <rFont val="Arial"/>
        <family val="2"/>
      </rPr>
      <t xml:space="preserve">
• The 3rd supplementary budget includes support for companies, employment, and social safety nets; boost to consumption, investment, and local economies; and Korean new deal for digital and green investment (KRW 23.7 tn).
</t>
    </r>
    <r>
      <rPr>
        <b/>
        <sz val="10"/>
        <rFont val="Arial"/>
        <family val="2"/>
      </rPr>
      <t xml:space="preserve">• The 4th supplementary budget: KRW 7.8 tn (KRW 3.9 tn for SME support, KRW 1.5 tn for employment relationship, KRW 0.4 tn support for unemployed and low income household, KRW 1.8 tn in daycare support and mobile bills, and KRW 0.2 tn for emergency disease prevention).
• Customized Relief Package (December 2020; KRW 4.6 tn): Rent subsidy for small business owners and income support for freelancers, platform workers, and etc.
• 2021 supplementary budget: KRW 10.7 tn (KRW 8.2 tn support for SME and vulnerable workers, KRW 2.5 tn support for employment)     </t>
    </r>
    <r>
      <rPr>
        <sz val="10"/>
        <rFont val="Arial"/>
        <family val="2"/>
      </rPr>
      <t xml:space="preserve">                                                 </t>
    </r>
    <r>
      <rPr>
        <b/>
        <sz val="10"/>
        <rFont val="Arial"/>
        <family val="2"/>
      </rPr>
      <t>• 2021 2nd supplementary budget (30 trillion won): pandemic relief package, employment support, and support for local governments.</t>
    </r>
    <r>
      <rPr>
        <sz val="10"/>
        <rFont val="Arial"/>
        <family val="2"/>
      </rPr>
      <t xml:space="preserve">
</t>
    </r>
    <r>
      <rPr>
        <b/>
        <sz val="10"/>
        <rFont val="Arial"/>
        <family val="2"/>
      </rPr>
      <t xml:space="preserve">Forgone revenue (KRW 3.4 tn):
</t>
    </r>
    <r>
      <rPr>
        <sz val="10"/>
        <rFont val="Arial"/>
        <family val="2"/>
      </rPr>
      <t xml:space="preserve">• Temporary corporate/income tax cuts for landlords who reduce commercial rents.
</t>
    </r>
    <r>
      <rPr>
        <b/>
        <sz val="10"/>
        <rFont val="Arial"/>
        <family val="2"/>
      </rPr>
      <t xml:space="preserve">• Rental fees reduction for tenants of public properties 
• Rental fees reduction for tenants of commercial properties and reduction in airport facility fees, ports and terminal charges. 
</t>
    </r>
    <r>
      <rPr>
        <sz val="10"/>
        <rFont val="Arial"/>
        <family val="2"/>
      </rPr>
      <t>•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t>
    </r>
  </si>
  <si>
    <t>2019 GDP</t>
  </si>
  <si>
    <t>as % 2019 GDP</t>
  </si>
  <si>
    <t>Werte IMF</t>
  </si>
  <si>
    <t>Werte Datenbank</t>
  </si>
  <si>
    <t>AP Link für GDP Werte</t>
  </si>
  <si>
    <t>https://api.worldbank.org/v2/country/AUS;CAN;FRA;DEU;ITA;JPN;KOR;ESP;GBR;USA;MEX;TUR;AUT;BEL;CZE;DNK;EST;FIN;GRC;ISL;IRL;ISR;LVA;LTU;LUX;NLD;NZL;NOR;PRT;SVK;SVN;SWE;CHE;CHL;COL;CRI;HUN;POL/indicator/NY.GDP.MKTP.KD?date=2019:2019&amp;downloadformat=excel</t>
  </si>
  <si>
    <t>Differenz in PP</t>
  </si>
  <si>
    <t>IMF Data is wrong, they completely miss out the health spending, I've got all the sources that perfectly add up to 500</t>
  </si>
  <si>
    <t>Difference is the tax deferral https://news.err.ee/1073742/supplementary-budget-passes-its-first-riigikogu-reading who is completely missed out in the IMF document. When withdrawing thi smeasure I will be around 11%</t>
  </si>
  <si>
    <t>Others than health has also consist spending of 2022. As we do not record those elements we have to subtract it, the subtraction of those 30 bn leads to almost a perfect hit</t>
  </si>
  <si>
    <t>Informe de Gestión y Sostenibilidad 2021</t>
  </si>
  <si>
    <t>bancoldex_estados_financieros_separados_2021-2020_0.pdf</t>
  </si>
  <si>
    <t>Differences are due to different estimation about "other than health" spending where the IMF used the announced values and: IMF list equity injection "Equity injection for capitalization of Findeter and Bancoldex (Colombian Development Banks) for the purpose of credit lines" whom is not belegbar mit quellen, weder from the government side nor from the bank sid. find in the following th ststements of both banks from 2021 where we do not see a change in equity.</t>
  </si>
  <si>
    <t>Differenz entsteht durch die falsche angabe vom IMF bezüglich der Kurzarbeit (Ankündigung) und Loan an das IMF-&gt; Keine inlädnische Wirkung. Der Bund trug 2020–2022 laut Bundesratsbericht rund 82 % der Corona-bedingten öffentlichen Ausgaben, der Rest entfiel auf Kantone/Gemeinden.</t>
  </si>
  <si>
    <t>The sum of all listed measures are simply wrong in the IMF database (overestimate it by 6 pp.
Wage subsidies was effective used by 18bn and IMF onli records the first bracket swith 13.9bn.  This can be shown in the official report https://www.msd.govt.nz/documents/about-msd-and-our-work/publications-resources/statistics/covid-19/who-received-the-2021-covid-19-wage-subsidies.pdf.
Another difference arised in the loans, the IMF do not ocunt the spoken loan amounts of 2.26bn but is clearly statet in the official report https://www.taxpolicy.ird.govt.nz/-/media/project/ir/tp/publications/2021/2021-ir-crsp-activation/2021-ir-crsp-activation.pdf?modified=20210728054252
As well as the wrong numbers in the guarantee section that is also documented in official sources: https://www.treasury.govt.nz/news-and-events/news/business-finance-guarantee-scheme-open-business</t>
  </si>
  <si>
    <t>This all adds up to a difference of like 9bn what woul leave us with the exact same amount from the imf-&gt;e.g., 42bn</t>
  </si>
  <si>
    <t>Difference is due to the wrong counted value of the guarantees in the IMF document-&gt; when we adjust it to the IMF values we hit 12.5%-&gt; see here: https://ec.europa.eu/competition/state_aid/cases1/202015/285326_2145493_24_2.pdf#:~:text=,its%20approval%20until%2031%20DecemberEC:%20https://ec.europa.eu/commission/presscorner/detail/en/ip_20_599EC%20detail:%20https://ec.europa.eu/competition/state_aid/cases1/202015/285326_2145493_24_2.pdfGovt:%20https://www.portugal.gov.pt/pt/gc22/comunicacao/noticia?i=linha-de-credito-covid-19-acessivel-a-todos-os-setores-economicos-e-a-empresarios-individuais</t>
  </si>
  <si>
    <t>All measures are reliable and matching IMF estimates, th eonly part is I do not count the Quasi-fiscal operations (noncommercial activity of public corporations on behalf of government) as it is not a government spending as well as not special backed by the government-&gt; this would increase the share to the numbers of the IMF</t>
  </si>
  <si>
    <t>IMF has to low Guarantee sheme with about 2.4bn https://ec.europa.eu/commission/presscorner/detail/en/mex_20_1132</t>
  </si>
  <si>
    <t>Differenz ist aufgrund von viel zu überhöhten Tax Deferrals des IMF-&gt; rund 200bn SEK zu hoch wie effektiv. Dafür aber ca. 150 zu tiefe Guarantees envelope. Bereinigt um diese elemente sind die zahlen konsistent-&gt; Source: https://www.riksrevisionen.se/en/news-archive/nyhetsarkiv-eng/2025-02-20-deferred-tax-payments-more-costly-than-expected.html</t>
  </si>
  <si>
    <t>Effectiv number were lot lower, official report and budget/statement of government proving that as well as ESRB https://www.esrb.europa.eu/home/search/coronavirus/countries/html/esrb.covidpmc_Ireland.en.html</t>
  </si>
  <si>
    <t>Difference is due to FX differences and the fact that IMF counted also the automatic stabilizaotr as extra spending despite this was in the regular budget. Especially they only record the % of GDP and gives no decription of the measures in the categorys. Checking the Tracker shows that I have included all https://www.imf.org/en/topics/imf-and-covid19/policy-responses-to-covid-19?path=Topics&amp;path=imf-and-covid19&amp;path=Policy-Responses-to-COVID-19</t>
  </si>
  <si>
    <t>Description of the differences</t>
  </si>
  <si>
    <t>Differences are due to the differences between FX rate and also IMF uses onli announced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</si>
</sst>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_);[Red]\(&quot;$&quot;#,##0\)"/>
    <numFmt numFmtId="165" formatCode="_(* #,##0.00_);_(* \(#,##0.00\);_(* &quot;-&quot;??_);_(@_)"/>
    <numFmt numFmtId="166" formatCode="0.0"/>
    <numFmt numFmtId="167" formatCode="_(* #,##0_);_(* \(#,##0\);_(* &quot;-&quot;??_);_(@_)"/>
    <numFmt numFmtId="168" formatCode="_(* #,##0.0_);_(* \(#,##0.0\);_(* &quot;-&quot;?_);_(@_)"/>
    <numFmt numFmtId="169" formatCode="_(* #,##0.0_);_(* \(#,##0.0\);_(* &quot;-&quot;??_);_(@_)"/>
    <numFmt numFmtId="170" formatCode="0.000"/>
    <numFmt numFmtId="171" formatCode="_-[$€-2]* #,##0.00_-;\-[$€-2]* #,##0.00_-;_-[$€-2]* &quot;-&quot;??_-"/>
    <numFmt numFmtId="172" formatCode="_-* #,##0.00\ _€_-;\-* #,##0.00\ _€_-;_-* \-??\ _€_-;_-@_-"/>
    <numFmt numFmtId="173" formatCode="0.0000"/>
  </numFmts>
  <fonts count="81">
    <font>
      <sz val="10"/>
      <color theme="1"/>
      <name val="Arial"/>
      <family val="2"/>
    </font>
    <font>
      <b/>
      <sz val="10"/>
      <color theme="1"/>
      <name val="Arial"/>
      <family val="2"/>
    </font>
    <font>
      <b/>
      <sz val="10"/>
      <color rgb="FF7030A0"/>
      <name val="Arial"/>
      <family val="2"/>
    </font>
    <font>
      <u/>
      <sz val="10"/>
      <color theme="10"/>
      <name val="Arial"/>
      <family val="2"/>
    </font>
    <font>
      <sz val="12"/>
      <color theme="1"/>
      <name val="Calibri"/>
      <family val="2"/>
      <scheme val="minor"/>
    </font>
    <font>
      <sz val="11"/>
      <name val="Calibri"/>
      <family val="2"/>
    </font>
    <font>
      <sz val="11"/>
      <color theme="1"/>
      <name val="Calibri"/>
      <family val="2"/>
      <scheme val="minor"/>
    </font>
    <font>
      <sz val="10"/>
      <color rgb="FFFF0000"/>
      <name val="Arial"/>
      <family val="2"/>
    </font>
    <font>
      <sz val="10"/>
      <color theme="4"/>
      <name val="Arial"/>
      <family val="2"/>
    </font>
    <font>
      <sz val="10"/>
      <color theme="1"/>
      <name val="Arial"/>
      <family val="2"/>
    </font>
    <font>
      <sz val="10"/>
      <color theme="1"/>
      <name val="Arial"/>
      <family val="2"/>
      <charset val="2"/>
    </font>
    <font>
      <sz val="10"/>
      <color theme="1"/>
      <name val="Arial"/>
      <family val="1"/>
      <charset val="2"/>
    </font>
    <font>
      <sz val="10"/>
      <color theme="1"/>
      <name val="Symbol"/>
      <family val="1"/>
      <charset val="2"/>
    </font>
    <font>
      <sz val="10"/>
      <name val="Arial"/>
      <family val="2"/>
    </font>
    <font>
      <b/>
      <sz val="10"/>
      <name val="Arial"/>
      <family val="2"/>
    </font>
    <font>
      <b/>
      <sz val="18"/>
      <color rgb="FF7030A0"/>
      <name val="Arial"/>
      <family val="2"/>
    </font>
    <font>
      <b/>
      <sz val="16"/>
      <color rgb="FF7030A0"/>
      <name val="Arial"/>
      <family val="2"/>
    </font>
    <font>
      <sz val="11"/>
      <color theme="1"/>
      <name val="Calibri"/>
      <family val="2"/>
    </font>
    <font>
      <sz val="15"/>
      <color theme="1"/>
      <name val="Arial"/>
      <family val="2"/>
    </font>
    <font>
      <sz val="10"/>
      <name val="Symbol"/>
      <family val="1"/>
      <charset val="2"/>
    </font>
    <font>
      <sz val="7"/>
      <name val="Symbol"/>
      <family val="1"/>
      <charset val="2"/>
    </font>
    <font>
      <b/>
      <sz val="10"/>
      <color theme="4"/>
      <name val="Arial"/>
      <family val="2"/>
    </font>
    <font>
      <sz val="9.5"/>
      <color rgb="FF4472C4"/>
      <name val="ArialMT"/>
    </font>
    <font>
      <b/>
      <sz val="9.5"/>
      <color rgb="FF4472C4"/>
      <name val="ArialMT"/>
    </font>
    <font>
      <sz val="10"/>
      <color rgb="FF4472C4"/>
      <name val="Arial"/>
      <family val="2"/>
    </font>
    <font>
      <b/>
      <sz val="10"/>
      <color rgb="FFFF0000"/>
      <name val="Arial"/>
      <family val="2"/>
    </font>
    <font>
      <b/>
      <sz val="11"/>
      <color theme="1"/>
      <name val="Calibri"/>
      <family val="2"/>
    </font>
    <font>
      <b/>
      <sz val="11"/>
      <name val="Calibri"/>
      <family val="2"/>
    </font>
    <font>
      <sz val="10"/>
      <color rgb="FFC00000"/>
      <name val="Arial"/>
      <family val="2"/>
    </font>
    <font>
      <sz val="6"/>
      <name val="Arial"/>
      <family val="2"/>
    </font>
    <font>
      <sz val="10"/>
      <color theme="1"/>
      <name val="ArialMT"/>
    </font>
    <font>
      <sz val="10"/>
      <color theme="1"/>
      <name val="Wingdings"/>
      <charset val="2"/>
    </font>
    <font>
      <sz val="10.4"/>
      <color theme="1"/>
      <name val="Arial"/>
      <family val="2"/>
    </font>
    <font>
      <b/>
      <sz val="10"/>
      <color theme="1"/>
      <name val="Symbol"/>
      <family val="1"/>
      <charset val="2"/>
    </font>
    <font>
      <sz val="8"/>
      <color theme="1"/>
      <name val="Arial"/>
      <family val="2"/>
    </font>
    <font>
      <sz val="7"/>
      <color theme="1"/>
      <name val="Arial"/>
      <family val="2"/>
    </font>
    <font>
      <sz val="7"/>
      <color theme="1"/>
      <name val="Arial"/>
      <family val="2"/>
      <charset val="2"/>
    </font>
    <font>
      <b/>
      <sz val="10"/>
      <name val="Symbol"/>
      <family val="1"/>
      <charset val="2"/>
    </font>
    <font>
      <u/>
      <sz val="10"/>
      <color rgb="FFFF0000"/>
      <name val="Arial"/>
      <family val="2"/>
    </font>
    <font>
      <b/>
      <sz val="11"/>
      <name val="Calibri"/>
      <family val="2"/>
      <scheme val="minor"/>
    </font>
    <font>
      <sz val="7"/>
      <name val="Arial"/>
      <family val="2"/>
    </font>
    <font>
      <b/>
      <sz val="10"/>
      <color rgb="FF7030A0"/>
      <name val="HelveticaNeueLT Std"/>
      <family val="2"/>
    </font>
    <font>
      <sz val="9"/>
      <color theme="1"/>
      <name val="Arial"/>
      <family val="2"/>
    </font>
    <font>
      <b/>
      <sz val="9"/>
      <color theme="1"/>
      <name val="Arial"/>
      <family val="2"/>
    </font>
    <font>
      <i/>
      <sz val="10"/>
      <color rgb="FF7030A0"/>
      <name val="HelveticaNeueLT Std"/>
    </font>
    <font>
      <b/>
      <sz val="8.5"/>
      <name val="Arial"/>
      <family val="2"/>
    </font>
    <font>
      <b/>
      <i/>
      <sz val="8.5"/>
      <name val="Arial"/>
      <family val="2"/>
    </font>
    <font>
      <sz val="8.5"/>
      <color theme="1"/>
      <name val="Arial"/>
      <family val="2"/>
    </font>
    <font>
      <b/>
      <sz val="8.5"/>
      <color theme="1"/>
      <name val="Arial"/>
      <family val="2"/>
    </font>
    <font>
      <u/>
      <sz val="10"/>
      <name val="Arial"/>
      <family val="2"/>
    </font>
    <font>
      <b/>
      <u/>
      <sz val="10"/>
      <name val="Arial"/>
      <family val="2"/>
    </font>
    <font>
      <strike/>
      <u/>
      <sz val="10"/>
      <name val="Arial"/>
      <family val="2"/>
    </font>
    <font>
      <sz val="10"/>
      <color rgb="FF000000"/>
      <name val="Arial"/>
      <family val="2"/>
    </font>
    <font>
      <sz val="15"/>
      <color rgb="FFFF0000"/>
      <name val="Arial"/>
      <family val="2"/>
    </font>
    <font>
      <b/>
      <sz val="11"/>
      <color theme="1"/>
      <name val="Arial"/>
      <family val="2"/>
    </font>
    <font>
      <b/>
      <sz val="11"/>
      <color theme="1"/>
      <name val="Calibri"/>
      <family val="2"/>
      <scheme val="minor"/>
    </font>
    <font>
      <sz val="11"/>
      <color theme="1"/>
      <name val="Arial"/>
      <family val="2"/>
    </font>
    <font>
      <sz val="11"/>
      <color rgb="FFFF0000"/>
      <name val="Calibri"/>
      <family val="2"/>
      <scheme val="minor"/>
    </font>
    <font>
      <sz val="10"/>
      <color theme="5"/>
      <name val="Arial"/>
      <family val="2"/>
    </font>
    <font>
      <sz val="9"/>
      <color rgb="FFFF0000"/>
      <name val="Arial"/>
      <family val="2"/>
    </font>
    <font>
      <b/>
      <sz val="9"/>
      <color rgb="FFFF0000"/>
      <name val="Arial"/>
      <family val="2"/>
    </font>
    <font>
      <sz val="11"/>
      <name val="Calibri"/>
      <family val="2"/>
      <charset val="238"/>
      <scheme val="minor"/>
    </font>
    <font>
      <sz val="10"/>
      <color rgb="FF7030A0"/>
      <name val="Arial"/>
      <family val="2"/>
    </font>
    <font>
      <sz val="6.6"/>
      <color theme="1"/>
      <name val="Arial"/>
      <family val="2"/>
    </font>
    <font>
      <sz val="10"/>
      <color theme="1"/>
      <name val="Calibri"/>
      <family val="2"/>
    </font>
    <font>
      <vertAlign val="superscript"/>
      <sz val="9"/>
      <color theme="1"/>
      <name val="Arial"/>
      <family val="2"/>
    </font>
    <font>
      <vertAlign val="superscript"/>
      <sz val="10"/>
      <color theme="1"/>
      <name val="Arial"/>
      <family val="2"/>
    </font>
    <font>
      <sz val="10"/>
      <name val="Arial"/>
      <family val="2"/>
      <charset val="2"/>
    </font>
    <font>
      <b/>
      <sz val="10"/>
      <color indexed="8"/>
      <name val="Arial"/>
      <family val="2"/>
    </font>
    <font>
      <sz val="11"/>
      <color theme="1"/>
      <name val="Calibri"/>
      <family val="2"/>
      <charset val="238"/>
      <scheme val="minor"/>
    </font>
    <font>
      <sz val="11"/>
      <name val="Calibri"/>
      <family val="2"/>
    </font>
    <font>
      <sz val="10"/>
      <name val="Courier"/>
      <family val="3"/>
    </font>
    <font>
      <sz val="10"/>
      <name val="MS Sans Serif"/>
      <family val="2"/>
    </font>
    <font>
      <u/>
      <sz val="11"/>
      <color theme="10"/>
      <name val="Calibri"/>
      <family val="2"/>
    </font>
    <font>
      <sz val="10"/>
      <name val="Arial Cyr"/>
      <family val="2"/>
    </font>
    <font>
      <sz val="8"/>
      <name val="Arial"/>
      <family val="2"/>
    </font>
    <font>
      <sz val="11"/>
      <color theme="1"/>
      <name val="Calibri"/>
      <family val="2"/>
      <charset val="204"/>
      <scheme val="minor"/>
    </font>
    <font>
      <sz val="10"/>
      <color indexed="62"/>
      <name val="Arial Cyr"/>
      <family val="2"/>
      <charset val="204"/>
    </font>
    <font>
      <sz val="11"/>
      <color rgb="FF000000"/>
      <name val="Calibri"/>
      <family val="2"/>
      <charset val="1"/>
    </font>
    <font>
      <sz val="8"/>
      <color rgb="FF1E1E1E"/>
      <name val="Segoe UI"/>
      <family val="2"/>
    </font>
    <font>
      <sz val="10"/>
      <color theme="0"/>
      <name val="Arial"/>
      <family val="2"/>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2"/>
        <bgColor indexed="64"/>
      </patternFill>
    </fill>
    <fill>
      <patternFill patternType="solid">
        <fgColor theme="9"/>
        <bgColor indexed="64"/>
      </patternFill>
    </fill>
    <fill>
      <patternFill patternType="solid">
        <fgColor rgb="FFFFC000"/>
        <bgColor indexed="64"/>
      </patternFill>
    </fill>
    <fill>
      <patternFill patternType="solid">
        <fgColor indexed="43"/>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theme="4" tint="0.3999755851924192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style="thin">
        <color theme="0" tint="-0.499984740745262"/>
      </top>
      <bottom/>
      <diagonal/>
    </border>
    <border>
      <left/>
      <right/>
      <top style="medium">
        <color auto="1"/>
      </top>
      <bottom/>
      <diagonal/>
    </border>
    <border>
      <left/>
      <right/>
      <top/>
      <bottom style="medium">
        <color auto="1"/>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style="thin">
        <color indexed="64"/>
      </bottom>
      <diagonal/>
    </border>
    <border>
      <left/>
      <right/>
      <top style="thin">
        <color indexed="64"/>
      </top>
      <bottom/>
      <diagonal/>
    </border>
  </borders>
  <cellStyleXfs count="46">
    <xf numFmtId="0" fontId="0" fillId="0" borderId="0"/>
    <xf numFmtId="0" fontId="3" fillId="0" borderId="0" applyNumberFormat="0" applyFill="0" applyBorder="0" applyAlignment="0" applyProtection="0"/>
    <xf numFmtId="0" fontId="4" fillId="0" borderId="0"/>
    <xf numFmtId="0" fontId="5" fillId="0" borderId="0"/>
    <xf numFmtId="0" fontId="6" fillId="0" borderId="0"/>
    <xf numFmtId="165" fontId="9" fillId="0" borderId="0" applyFont="0" applyFill="0" applyBorder="0" applyAlignment="0" applyProtection="0"/>
    <xf numFmtId="0" fontId="5" fillId="0" borderId="0"/>
    <xf numFmtId="165" fontId="5" fillId="0" borderId="0" applyFont="0" applyFill="0" applyBorder="0" applyAlignment="0" applyProtection="0"/>
    <xf numFmtId="0" fontId="9" fillId="0" borderId="0"/>
    <xf numFmtId="0" fontId="9" fillId="0" borderId="0"/>
    <xf numFmtId="0" fontId="3" fillId="0" borderId="0" applyNumberFormat="0" applyFill="0" applyBorder="0" applyAlignment="0" applyProtection="0"/>
    <xf numFmtId="165" fontId="9" fillId="0" borderId="0" applyFont="0" applyFill="0" applyBorder="0" applyAlignment="0" applyProtection="0"/>
    <xf numFmtId="0" fontId="69" fillId="0" borderId="0"/>
    <xf numFmtId="0" fontId="69" fillId="0" borderId="0"/>
    <xf numFmtId="0" fontId="70" fillId="0" borderId="0"/>
    <xf numFmtId="14" fontId="71" fillId="0" borderId="0" applyProtection="0">
      <alignment vertical="center"/>
    </xf>
    <xf numFmtId="164" fontId="72" fillId="0" borderId="0" applyFont="0" applyFill="0" applyBorder="0" applyAlignment="0" applyProtection="0"/>
    <xf numFmtId="165" fontId="9" fillId="0" borderId="0" applyFont="0" applyFill="0" applyBorder="0" applyAlignment="0" applyProtection="0"/>
    <xf numFmtId="0" fontId="73" fillId="0" borderId="0" applyNumberFormat="0" applyFill="0" applyBorder="0" applyAlignment="0" applyProtection="0">
      <alignment vertical="top"/>
      <protection locked="0"/>
    </xf>
    <xf numFmtId="171" fontId="74" fillId="0" borderId="0"/>
    <xf numFmtId="39" fontId="71" fillId="0" borderId="0"/>
    <xf numFmtId="0" fontId="6" fillId="0" borderId="0"/>
    <xf numFmtId="0" fontId="9" fillId="0" borderId="0"/>
    <xf numFmtId="0" fontId="9" fillId="0" borderId="0"/>
    <xf numFmtId="0" fontId="75" fillId="0" borderId="0"/>
    <xf numFmtId="0" fontId="76" fillId="0" borderId="0"/>
    <xf numFmtId="0" fontId="13" fillId="0" borderId="0"/>
    <xf numFmtId="0" fontId="13" fillId="0" borderId="0"/>
    <xf numFmtId="0" fontId="13" fillId="0" borderId="0"/>
    <xf numFmtId="0" fontId="76" fillId="0" borderId="0"/>
    <xf numFmtId="0" fontId="75" fillId="0" borderId="0"/>
    <xf numFmtId="0" fontId="77" fillId="20" borderId="16" applyNumberFormat="0" applyAlignment="0" applyProtection="0"/>
    <xf numFmtId="0" fontId="13" fillId="0" borderId="0"/>
    <xf numFmtId="0" fontId="13" fillId="0" borderId="0"/>
    <xf numFmtId="0" fontId="70" fillId="0" borderId="0"/>
    <xf numFmtId="0" fontId="9" fillId="0" borderId="0"/>
    <xf numFmtId="172" fontId="78" fillId="0" borderId="0" applyBorder="0" applyProtection="0"/>
    <xf numFmtId="0" fontId="5"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cellStyleXfs>
  <cellXfs count="717">
    <xf numFmtId="0" fontId="0" fillId="0" borderId="0" xfId="0"/>
    <xf numFmtId="0" fontId="0" fillId="2" borderId="1" xfId="0" applyFill="1" applyBorder="1" applyAlignment="1">
      <alignment vertical="center"/>
    </xf>
    <xf numFmtId="0" fontId="0" fillId="2" borderId="1" xfId="0" applyFill="1" applyBorder="1"/>
    <xf numFmtId="0" fontId="0" fillId="2" borderId="0" xfId="0" applyFill="1" applyAlignment="1">
      <alignment vertical="center"/>
    </xf>
    <xf numFmtId="0" fontId="0" fillId="2" borderId="1" xfId="0" applyFill="1" applyBorder="1" applyAlignment="1">
      <alignment vertical="center" wrapText="1"/>
    </xf>
    <xf numFmtId="0" fontId="0" fillId="2" borderId="1" xfId="0" applyFill="1" applyBorder="1" applyAlignment="1">
      <alignment wrapText="1"/>
    </xf>
    <xf numFmtId="0" fontId="0" fillId="2" borderId="0" xfId="0" applyFill="1" applyAlignment="1">
      <alignment horizontal="left" vertical="center"/>
    </xf>
    <xf numFmtId="0" fontId="0" fillId="2" borderId="0" xfId="0" applyFill="1" applyAlignment="1">
      <alignment horizontal="left" indent="1"/>
    </xf>
    <xf numFmtId="0" fontId="0" fillId="5" borderId="2" xfId="0" applyFill="1" applyBorder="1" applyAlignment="1">
      <alignment vertical="center"/>
    </xf>
    <xf numFmtId="0" fontId="0" fillId="5" borderId="2" xfId="0" applyFill="1" applyBorder="1"/>
    <xf numFmtId="0" fontId="0" fillId="2" borderId="0" xfId="0" applyFill="1" applyAlignment="1">
      <alignment horizontal="left" vertical="center" wrapText="1"/>
    </xf>
    <xf numFmtId="1" fontId="0" fillId="5" borderId="1" xfId="0" applyNumberFormat="1" applyFill="1" applyBorder="1" applyAlignment="1">
      <alignment horizontal="left" vertical="center"/>
    </xf>
    <xf numFmtId="0" fontId="0" fillId="2" borderId="1" xfId="0" applyFill="1" applyBorder="1" applyAlignment="1">
      <alignment horizontal="left" vertical="center"/>
    </xf>
    <xf numFmtId="0" fontId="0" fillId="2" borderId="2" xfId="0" applyFill="1" applyBorder="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xf>
    <xf numFmtId="0" fontId="0" fillId="2" borderId="2" xfId="0" applyFill="1" applyBorder="1" applyAlignment="1">
      <alignment horizontal="left" vertical="center"/>
    </xf>
    <xf numFmtId="166" fontId="0" fillId="5" borderId="1" xfId="0" applyNumberFormat="1" applyFill="1" applyBorder="1" applyAlignment="1">
      <alignment horizontal="center" vertical="center"/>
    </xf>
    <xf numFmtId="0" fontId="0" fillId="5" borderId="2" xfId="0" applyFill="1" applyBorder="1" applyAlignment="1">
      <alignment horizontal="left" vertical="center" wrapText="1"/>
    </xf>
    <xf numFmtId="0" fontId="0" fillId="5" borderId="1" xfId="0" applyFill="1" applyBorder="1" applyAlignment="1">
      <alignment horizontal="left" vertical="center" wrapText="1"/>
    </xf>
    <xf numFmtId="0" fontId="0" fillId="5" borderId="2" xfId="0" applyFill="1" applyBorder="1" applyAlignment="1">
      <alignment vertical="center" wrapText="1"/>
    </xf>
    <xf numFmtId="0" fontId="0" fillId="5" borderId="1" xfId="0" applyFill="1" applyBorder="1" applyAlignment="1">
      <alignment vertical="center" wrapText="1"/>
    </xf>
    <xf numFmtId="0" fontId="0" fillId="5" borderId="2" xfId="0" applyFill="1" applyBorder="1" applyAlignment="1">
      <alignment horizontal="left" vertical="center"/>
    </xf>
    <xf numFmtId="0" fontId="0" fillId="5" borderId="1" xfId="0" applyFill="1" applyBorder="1" applyAlignment="1">
      <alignment horizontal="left" vertical="center"/>
    </xf>
    <xf numFmtId="0" fontId="7" fillId="5" borderId="1" xfId="0" applyFont="1" applyFill="1" applyBorder="1" applyAlignment="1">
      <alignment horizontal="left" vertical="center" wrapText="1"/>
    </xf>
    <xf numFmtId="0" fontId="3" fillId="5" borderId="2" xfId="1" applyFill="1" applyBorder="1" applyAlignment="1">
      <alignment horizontal="left" vertical="center" wrapText="1"/>
    </xf>
    <xf numFmtId="0" fontId="3" fillId="5" borderId="1" xfId="1" applyFill="1" applyBorder="1" applyAlignment="1">
      <alignment horizontal="left" vertical="center" wrapText="1"/>
    </xf>
    <xf numFmtId="0" fontId="3" fillId="5" borderId="0" xfId="1" applyFill="1" applyBorder="1" applyAlignment="1">
      <alignment horizontal="left" vertical="center" wrapText="1"/>
    </xf>
    <xf numFmtId="0" fontId="0" fillId="5" borderId="0" xfId="0" applyFill="1" applyAlignment="1">
      <alignment horizontal="left" vertical="center" wrapText="1"/>
    </xf>
    <xf numFmtId="0" fontId="7" fillId="5" borderId="0" xfId="0" applyFont="1" applyFill="1" applyAlignment="1">
      <alignment horizontal="left" vertical="center" wrapText="1"/>
    </xf>
    <xf numFmtId="0" fontId="0" fillId="5" borderId="0" xfId="0" applyFill="1" applyAlignment="1">
      <alignment vertical="center" wrapText="1"/>
    </xf>
    <xf numFmtId="0" fontId="0" fillId="5" borderId="1" xfId="0" applyFill="1" applyBorder="1" applyAlignment="1">
      <alignment horizontal="left" vertical="center" textRotation="90"/>
    </xf>
    <xf numFmtId="0" fontId="0" fillId="5" borderId="0" xfId="0" applyFill="1" applyAlignment="1">
      <alignment horizontal="left" vertical="center" textRotation="90"/>
    </xf>
    <xf numFmtId="0" fontId="0" fillId="2" borderId="0" xfId="0" applyFill="1"/>
    <xf numFmtId="1" fontId="0" fillId="5" borderId="0" xfId="0" applyNumberFormat="1" applyFill="1" applyAlignment="1">
      <alignment horizontal="left" vertical="center"/>
    </xf>
    <xf numFmtId="0" fontId="0" fillId="5" borderId="0" xfId="0" applyFill="1" applyAlignment="1">
      <alignment horizontal="left" vertical="center"/>
    </xf>
    <xf numFmtId="0" fontId="0" fillId="2" borderId="0" xfId="0" applyFill="1" applyAlignment="1">
      <alignment vertical="center" wrapText="1"/>
    </xf>
    <xf numFmtId="0" fontId="0" fillId="5" borderId="2" xfId="0" applyFill="1" applyBorder="1" applyAlignment="1">
      <alignment horizontal="left" vertical="center" textRotation="90"/>
    </xf>
    <xf numFmtId="0" fontId="0" fillId="5" borderId="0" xfId="0" applyFill="1" applyAlignment="1">
      <alignment vertical="center"/>
    </xf>
    <xf numFmtId="0" fontId="0" fillId="5" borderId="0" xfId="0" applyFill="1"/>
    <xf numFmtId="0" fontId="0" fillId="2" borderId="0" xfId="0" applyFill="1" applyAlignment="1">
      <alignment horizontal="center" vertical="center"/>
    </xf>
    <xf numFmtId="0" fontId="1" fillId="2" borderId="0" xfId="0" applyFont="1" applyFill="1" applyAlignment="1">
      <alignment vertical="center"/>
    </xf>
    <xf numFmtId="0" fontId="2" fillId="2" borderId="0" xfId="0" applyFont="1" applyFill="1" applyAlignment="1">
      <alignment horizontal="left" vertical="center"/>
    </xf>
    <xf numFmtId="0" fontId="0" fillId="2" borderId="0" xfId="0" applyFill="1" applyAlignment="1">
      <alignment horizontal="left" vertical="center" textRotation="90"/>
    </xf>
    <xf numFmtId="0" fontId="0" fillId="4" borderId="0" xfId="0" applyFill="1" applyAlignment="1">
      <alignment horizontal="left" vertical="center" wrapText="1"/>
    </xf>
    <xf numFmtId="0" fontId="0" fillId="4" borderId="0" xfId="0" applyFill="1" applyAlignment="1">
      <alignment horizontal="left" vertical="center"/>
    </xf>
    <xf numFmtId="0" fontId="0" fillId="2" borderId="1" xfId="0" applyFill="1" applyBorder="1" applyAlignment="1">
      <alignment horizontal="left" vertical="center" wrapText="1"/>
    </xf>
    <xf numFmtId="0" fontId="7" fillId="5" borderId="1" xfId="0" applyFont="1" applyFill="1" applyBorder="1" applyAlignment="1">
      <alignment vertical="center" wrapText="1"/>
    </xf>
    <xf numFmtId="0" fontId="7" fillId="5" borderId="0" xfId="0" applyFont="1" applyFill="1" applyAlignment="1">
      <alignment vertical="center" wrapText="1"/>
    </xf>
    <xf numFmtId="166" fontId="0" fillId="5" borderId="2" xfId="0" applyNumberFormat="1" applyFill="1" applyBorder="1" applyAlignment="1">
      <alignment horizontal="center" vertical="center"/>
    </xf>
    <xf numFmtId="166" fontId="8" fillId="5" borderId="0" xfId="0" applyNumberFormat="1" applyFont="1" applyFill="1" applyAlignment="1">
      <alignment horizontal="center" vertical="center"/>
    </xf>
    <xf numFmtId="166" fontId="8" fillId="5" borderId="1" xfId="0" applyNumberFormat="1" applyFont="1" applyFill="1" applyBorder="1" applyAlignment="1">
      <alignment horizontal="center" vertical="center"/>
    </xf>
    <xf numFmtId="0" fontId="0" fillId="2" borderId="1" xfId="0" applyFill="1" applyBorder="1" applyAlignment="1">
      <alignment horizontal="center" vertical="center" wrapText="1"/>
    </xf>
    <xf numFmtId="166" fontId="0" fillId="5" borderId="2" xfId="0" applyNumberFormat="1" applyFill="1" applyBorder="1" applyAlignment="1">
      <alignment horizontal="center" vertical="center" wrapText="1"/>
    </xf>
    <xf numFmtId="166" fontId="2" fillId="2" borderId="0" xfId="0" applyNumberFormat="1" applyFont="1" applyFill="1" applyAlignment="1">
      <alignment horizontal="center" vertical="center"/>
    </xf>
    <xf numFmtId="166" fontId="0" fillId="2" borderId="1" xfId="0" applyNumberFormat="1" applyFill="1" applyBorder="1" applyAlignment="1">
      <alignment horizontal="center" vertical="center"/>
    </xf>
    <xf numFmtId="166" fontId="0" fillId="5" borderId="0" xfId="0" applyNumberFormat="1" applyFill="1" applyAlignment="1">
      <alignment horizontal="center" vertical="center" wrapText="1"/>
    </xf>
    <xf numFmtId="166" fontId="0" fillId="2" borderId="0" xfId="0" applyNumberFormat="1" applyFill="1" applyAlignment="1">
      <alignment horizontal="center" vertical="center"/>
    </xf>
    <xf numFmtId="166" fontId="0" fillId="2" borderId="0" xfId="5" applyNumberFormat="1" applyFont="1" applyFill="1" applyBorder="1" applyAlignment="1">
      <alignment horizontal="center" vertical="center"/>
    </xf>
    <xf numFmtId="166" fontId="0" fillId="2" borderId="1"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wrapText="1"/>
    </xf>
    <xf numFmtId="166" fontId="8" fillId="5" borderId="0" xfId="5" applyNumberFormat="1" applyFont="1" applyFill="1" applyBorder="1" applyAlignment="1">
      <alignment horizontal="center" vertical="center"/>
    </xf>
    <xf numFmtId="166" fontId="8"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xf>
    <xf numFmtId="166" fontId="0"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wrapText="1"/>
    </xf>
    <xf numFmtId="166" fontId="7" fillId="5" borderId="2" xfId="5" applyNumberFormat="1" applyFont="1" applyFill="1" applyBorder="1" applyAlignment="1">
      <alignment horizontal="center" vertical="center" wrapText="1"/>
    </xf>
    <xf numFmtId="166" fontId="0" fillId="5" borderId="1" xfId="0" applyNumberFormat="1" applyFill="1" applyBorder="1" applyAlignment="1">
      <alignment horizontal="center" vertical="center" wrapText="1"/>
    </xf>
    <xf numFmtId="166" fontId="0" fillId="5" borderId="0" xfId="0" applyNumberFormat="1" applyFill="1" applyAlignment="1">
      <alignment horizontal="center" vertical="center"/>
    </xf>
    <xf numFmtId="166" fontId="0" fillId="2" borderId="1" xfId="5" applyNumberFormat="1" applyFont="1" applyFill="1" applyBorder="1" applyAlignment="1">
      <alignment horizontal="center" vertical="center" wrapText="1"/>
    </xf>
    <xf numFmtId="0" fontId="0" fillId="5" borderId="0" xfId="0" applyFill="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7" fillId="5" borderId="0" xfId="0" applyFont="1" applyFill="1" applyAlignment="1">
      <alignment horizontal="center" vertical="center" wrapText="1"/>
    </xf>
    <xf numFmtId="0" fontId="7" fillId="5" borderId="1" xfId="0" applyFont="1" applyFill="1" applyBorder="1" applyAlignment="1">
      <alignment horizontal="center" vertical="center" wrapText="1"/>
    </xf>
    <xf numFmtId="166" fontId="0" fillId="2" borderId="1" xfId="0" applyNumberFormat="1" applyFill="1" applyBorder="1" applyAlignment="1">
      <alignment horizontal="center" vertical="center" wrapText="1"/>
    </xf>
    <xf numFmtId="1" fontId="0" fillId="5" borderId="2" xfId="0" applyNumberFormat="1" applyFill="1" applyBorder="1" applyAlignment="1">
      <alignment horizontal="center" vertical="center"/>
    </xf>
    <xf numFmtId="1" fontId="0" fillId="5" borderId="0" xfId="0" applyNumberFormat="1" applyFill="1" applyAlignment="1">
      <alignment horizontal="center" vertical="center"/>
    </xf>
    <xf numFmtId="1" fontId="0" fillId="5" borderId="1" xfId="0" applyNumberFormat="1" applyFill="1" applyBorder="1" applyAlignment="1">
      <alignment horizontal="center" vertical="center"/>
    </xf>
    <xf numFmtId="1" fontId="13" fillId="5" borderId="2" xfId="0" applyNumberFormat="1" applyFont="1" applyFill="1" applyBorder="1" applyAlignment="1">
      <alignment horizontal="center" vertical="center"/>
    </xf>
    <xf numFmtId="0" fontId="0" fillId="2" borderId="1" xfId="0" applyFill="1" applyBorder="1" applyAlignment="1">
      <alignment horizontal="center" vertical="center"/>
    </xf>
    <xf numFmtId="0" fontId="1" fillId="6" borderId="0" xfId="0" applyFont="1" applyFill="1" applyAlignment="1">
      <alignment horizontal="left" vertical="center"/>
    </xf>
    <xf numFmtId="0" fontId="0" fillId="6" borderId="0" xfId="0" applyFill="1" applyAlignment="1">
      <alignment vertical="center"/>
    </xf>
    <xf numFmtId="166" fontId="1" fillId="6" borderId="0" xfId="0" applyNumberFormat="1" applyFont="1" applyFill="1" applyAlignment="1">
      <alignment horizontal="center" vertical="center"/>
    </xf>
    <xf numFmtId="0" fontId="0" fillId="6" borderId="0" xfId="0" applyFill="1"/>
    <xf numFmtId="0" fontId="0" fillId="6" borderId="0" xfId="0" applyFill="1" applyAlignment="1">
      <alignment horizontal="center" vertical="center"/>
    </xf>
    <xf numFmtId="0" fontId="0" fillId="6" borderId="0" xfId="0" applyFill="1" applyAlignment="1">
      <alignment horizontal="left" vertical="center"/>
    </xf>
    <xf numFmtId="166" fontId="0" fillId="6" borderId="0" xfId="5" applyNumberFormat="1" applyFont="1" applyFill="1" applyBorder="1" applyAlignment="1">
      <alignment horizontal="center" vertical="center"/>
    </xf>
    <xf numFmtId="166" fontId="0" fillId="6" borderId="0" xfId="0" applyNumberFormat="1" applyFill="1" applyAlignment="1">
      <alignment horizontal="center" vertical="center"/>
    </xf>
    <xf numFmtId="1" fontId="0" fillId="5" borderId="2" xfId="0" applyNumberFormat="1" applyFill="1" applyBorder="1" applyAlignment="1">
      <alignment horizontal="center" vertical="center" wrapText="1"/>
    </xf>
    <xf numFmtId="1" fontId="0" fillId="5" borderId="2" xfId="5" applyNumberFormat="1" applyFont="1" applyFill="1" applyBorder="1" applyAlignment="1">
      <alignment horizontal="center" vertical="center" wrapText="1"/>
    </xf>
    <xf numFmtId="1" fontId="0" fillId="5" borderId="0" xfId="0" applyNumberFormat="1" applyFill="1" applyAlignment="1">
      <alignment horizontal="center" vertical="center" wrapText="1"/>
    </xf>
    <xf numFmtId="1" fontId="13" fillId="5" borderId="2" xfId="0" applyNumberFormat="1" applyFont="1" applyFill="1" applyBorder="1" applyAlignment="1">
      <alignment horizontal="center" vertical="center" wrapText="1"/>
    </xf>
    <xf numFmtId="1" fontId="0" fillId="5" borderId="0" xfId="5" applyNumberFormat="1" applyFont="1" applyFill="1" applyBorder="1" applyAlignment="1">
      <alignment horizontal="center" vertical="center" wrapText="1"/>
    </xf>
    <xf numFmtId="1" fontId="13" fillId="5" borderId="0" xfId="0" applyNumberFormat="1" applyFont="1" applyFill="1" applyAlignment="1">
      <alignment horizontal="center" vertical="center" wrapText="1"/>
    </xf>
    <xf numFmtId="1" fontId="0" fillId="5" borderId="2" xfId="5" applyNumberFormat="1" applyFont="1" applyFill="1" applyBorder="1" applyAlignment="1">
      <alignment horizontal="center" vertical="center"/>
    </xf>
    <xf numFmtId="0" fontId="16" fillId="2" borderId="0" xfId="0" applyFont="1" applyFill="1" applyAlignment="1">
      <alignment horizontal="left" vertical="center"/>
    </xf>
    <xf numFmtId="166" fontId="0" fillId="2" borderId="0" xfId="0" applyNumberFormat="1" applyFill="1" applyAlignment="1">
      <alignment horizontal="left" vertical="center"/>
    </xf>
    <xf numFmtId="0" fontId="0" fillId="2" borderId="0" xfId="0" applyFill="1" applyAlignment="1">
      <alignment horizontal="left"/>
    </xf>
    <xf numFmtId="166" fontId="0" fillId="2" borderId="0" xfId="5" applyNumberFormat="1" applyFont="1" applyFill="1" applyBorder="1" applyAlignment="1">
      <alignment horizontal="left" vertical="center"/>
    </xf>
    <xf numFmtId="0" fontId="15" fillId="2" borderId="0" xfId="0" applyFont="1" applyFill="1" applyAlignment="1">
      <alignment horizontal="left" vertical="center"/>
    </xf>
    <xf numFmtId="1" fontId="8" fillId="5" borderId="0" xfId="5" applyNumberFormat="1" applyFont="1" applyFill="1" applyBorder="1" applyAlignment="1">
      <alignment horizontal="center" vertical="center"/>
    </xf>
    <xf numFmtId="1" fontId="8" fillId="5" borderId="0" xfId="0" applyNumberFormat="1" applyFont="1" applyFill="1" applyAlignment="1">
      <alignment horizontal="center" vertical="center"/>
    </xf>
    <xf numFmtId="166" fontId="8" fillId="5" borderId="0" xfId="5" applyNumberFormat="1" applyFont="1" applyFill="1" applyBorder="1" applyAlignment="1">
      <alignment horizontal="center" vertical="center" wrapText="1"/>
    </xf>
    <xf numFmtId="166" fontId="8" fillId="5" borderId="1" xfId="5" applyNumberFormat="1" applyFont="1" applyFill="1" applyBorder="1" applyAlignment="1">
      <alignment horizontal="center" vertical="center" wrapText="1"/>
    </xf>
    <xf numFmtId="0" fontId="3" fillId="2" borderId="0" xfId="1" applyFill="1" applyBorder="1" applyAlignment="1">
      <alignment horizontal="left" vertical="center" wrapText="1"/>
    </xf>
    <xf numFmtId="0" fontId="0" fillId="2" borderId="0" xfId="0" applyFill="1" applyAlignment="1">
      <alignment horizontal="center" vertical="center" wrapText="1"/>
    </xf>
    <xf numFmtId="166" fontId="8" fillId="2" borderId="0" xfId="0" applyNumberFormat="1" applyFont="1" applyFill="1" applyAlignment="1">
      <alignment horizontal="center" vertical="center"/>
    </xf>
    <xf numFmtId="0" fontId="7" fillId="2" borderId="0" xfId="0" applyFont="1" applyFill="1" applyAlignment="1">
      <alignment horizontal="left" vertical="center" wrapText="1"/>
    </xf>
    <xf numFmtId="166" fontId="0" fillId="2" borderId="0" xfId="0" applyNumberFormat="1" applyFill="1" applyAlignment="1">
      <alignment horizontal="center" vertical="center" wrapText="1"/>
    </xf>
    <xf numFmtId="166" fontId="8" fillId="2" borderId="0" xfId="5" applyNumberFormat="1" applyFont="1" applyFill="1" applyBorder="1" applyAlignment="1">
      <alignment horizontal="center" vertical="center"/>
    </xf>
    <xf numFmtId="0" fontId="0" fillId="5" borderId="1" xfId="0" applyFill="1" applyBorder="1" applyAlignment="1">
      <alignment vertical="center"/>
    </xf>
    <xf numFmtId="0" fontId="3" fillId="5" borderId="2" xfId="1" applyFill="1" applyBorder="1" applyAlignment="1">
      <alignment vertical="center" wrapText="1"/>
    </xf>
    <xf numFmtId="0" fontId="3" fillId="5" borderId="0" xfId="1" applyFill="1" applyBorder="1" applyAlignment="1">
      <alignment vertical="center" wrapText="1"/>
    </xf>
    <xf numFmtId="0" fontId="3" fillId="5" borderId="1" xfId="1" applyFill="1" applyBorder="1" applyAlignment="1">
      <alignment vertical="center" wrapText="1"/>
    </xf>
    <xf numFmtId="166" fontId="8" fillId="5" borderId="0" xfId="0" applyNumberFormat="1" applyFont="1" applyFill="1" applyAlignment="1">
      <alignment horizontal="center" vertical="center" wrapText="1"/>
    </xf>
    <xf numFmtId="166" fontId="13" fillId="5" borderId="0" xfId="0" applyNumberFormat="1" applyFont="1" applyFill="1" applyAlignment="1">
      <alignment horizontal="center" vertical="center"/>
    </xf>
    <xf numFmtId="166" fontId="13" fillId="5" borderId="1" xfId="0" applyNumberFormat="1" applyFont="1" applyFill="1" applyBorder="1" applyAlignment="1">
      <alignment horizontal="center" vertical="center"/>
    </xf>
    <xf numFmtId="0" fontId="0" fillId="7" borderId="0" xfId="0" applyFill="1"/>
    <xf numFmtId="0" fontId="0" fillId="5" borderId="0" xfId="0" applyFill="1" applyAlignment="1">
      <alignment vertical="center" textRotation="90"/>
    </xf>
    <xf numFmtId="0" fontId="1" fillId="6" borderId="3" xfId="0" applyFont="1" applyFill="1" applyBorder="1" applyAlignment="1">
      <alignment horizontal="left" vertical="center"/>
    </xf>
    <xf numFmtId="1" fontId="0" fillId="2" borderId="0" xfId="0" applyNumberFormat="1" applyFill="1" applyAlignment="1">
      <alignment horizontal="center" vertical="center"/>
    </xf>
    <xf numFmtId="167" fontId="13"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xf>
    <xf numFmtId="167" fontId="8" fillId="5" borderId="0" xfId="5" applyNumberFormat="1" applyFont="1" applyFill="1" applyBorder="1" applyAlignment="1">
      <alignment horizontal="center" vertical="center"/>
    </xf>
    <xf numFmtId="167" fontId="13" fillId="5" borderId="2" xfId="5" applyNumberFormat="1" applyFont="1" applyFill="1" applyBorder="1" applyAlignment="1">
      <alignment horizontal="left" vertical="center"/>
    </xf>
    <xf numFmtId="1" fontId="8" fillId="5" borderId="2" xfId="0" applyNumberFormat="1" applyFont="1" applyFill="1" applyBorder="1" applyAlignment="1">
      <alignment horizontal="center" vertical="center" wrapText="1"/>
    </xf>
    <xf numFmtId="0" fontId="0" fillId="0" borderId="0" xfId="0" applyAlignment="1">
      <alignment vertical="center" wrapText="1"/>
    </xf>
    <xf numFmtId="1" fontId="13" fillId="5" borderId="0" xfId="5" applyNumberFormat="1" applyFont="1" applyFill="1" applyBorder="1" applyAlignment="1">
      <alignment horizontal="center" vertical="center" wrapText="1"/>
    </xf>
    <xf numFmtId="167" fontId="13" fillId="5" borderId="2" xfId="5" applyNumberFormat="1" applyFont="1" applyFill="1" applyBorder="1" applyAlignment="1">
      <alignment horizontal="left" vertical="center" wrapText="1"/>
    </xf>
    <xf numFmtId="1" fontId="0" fillId="0" borderId="0" xfId="0" applyNumberFormat="1"/>
    <xf numFmtId="0" fontId="3" fillId="0" borderId="0" xfId="1" applyAlignment="1">
      <alignment vertical="center"/>
    </xf>
    <xf numFmtId="0" fontId="3" fillId="0" borderId="0" xfId="1"/>
    <xf numFmtId="0" fontId="9" fillId="0" borderId="0" xfId="0" applyFont="1" applyAlignment="1">
      <alignment vertical="center"/>
    </xf>
    <xf numFmtId="2" fontId="8" fillId="5" borderId="0" xfId="0" applyNumberFormat="1" applyFont="1" applyFill="1" applyAlignment="1">
      <alignment horizontal="center" vertical="center"/>
    </xf>
    <xf numFmtId="0" fontId="13"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2" xfId="0" applyFont="1" applyFill="1" applyBorder="1" applyAlignment="1">
      <alignment horizontal="center" vertical="center" wrapText="1"/>
    </xf>
    <xf numFmtId="0" fontId="0" fillId="2" borderId="2" xfId="0" applyFill="1" applyBorder="1"/>
    <xf numFmtId="0" fontId="0" fillId="6" borderId="3" xfId="0" applyFill="1" applyBorder="1" applyAlignment="1">
      <alignment vertical="center"/>
    </xf>
    <xf numFmtId="166" fontId="1" fillId="6" borderId="3" xfId="0" applyNumberFormat="1" applyFont="1" applyFill="1" applyBorder="1" applyAlignment="1">
      <alignment horizontal="center" vertical="center"/>
    </xf>
    <xf numFmtId="0" fontId="0" fillId="6" borderId="3" xfId="0" applyFill="1" applyBorder="1"/>
    <xf numFmtId="0" fontId="0" fillId="6" borderId="3" xfId="0" applyFill="1" applyBorder="1" applyAlignment="1">
      <alignment horizontal="left" vertical="center"/>
    </xf>
    <xf numFmtId="166" fontId="0" fillId="6" borderId="3" xfId="5" applyNumberFormat="1" applyFont="1" applyFill="1" applyBorder="1" applyAlignment="1">
      <alignment horizontal="center" vertical="center"/>
    </xf>
    <xf numFmtId="166" fontId="0" fillId="6" borderId="3" xfId="0" applyNumberFormat="1" applyFill="1" applyBorder="1" applyAlignment="1">
      <alignment horizontal="center" vertical="center"/>
    </xf>
    <xf numFmtId="0" fontId="1" fillId="6" borderId="1" xfId="0" applyFont="1" applyFill="1" applyBorder="1" applyAlignment="1">
      <alignment horizontal="left" vertical="center"/>
    </xf>
    <xf numFmtId="0" fontId="0" fillId="6" borderId="1" xfId="0" applyFill="1" applyBorder="1" applyAlignment="1">
      <alignment vertical="center"/>
    </xf>
    <xf numFmtId="166" fontId="1" fillId="6" borderId="1" xfId="0" applyNumberFormat="1" applyFont="1" applyFill="1" applyBorder="1" applyAlignment="1">
      <alignment horizontal="center" vertical="center"/>
    </xf>
    <xf numFmtId="0" fontId="0" fillId="6" borderId="1" xfId="0" applyFill="1" applyBorder="1"/>
    <xf numFmtId="0" fontId="0" fillId="6" borderId="1" xfId="0" applyFill="1" applyBorder="1" applyAlignment="1">
      <alignment horizontal="center" vertical="center"/>
    </xf>
    <xf numFmtId="0" fontId="0" fillId="6" borderId="1" xfId="0" applyFill="1" applyBorder="1" applyAlignment="1">
      <alignment horizontal="left" vertical="center"/>
    </xf>
    <xf numFmtId="166" fontId="0" fillId="6" borderId="1" xfId="5" applyNumberFormat="1" applyFont="1" applyFill="1" applyBorder="1" applyAlignment="1">
      <alignment horizontal="center" vertical="center"/>
    </xf>
    <xf numFmtId="166" fontId="0" fillId="6" borderId="1" xfId="0" applyNumberFormat="1" applyFill="1" applyBorder="1" applyAlignment="1">
      <alignment horizontal="center" vertical="center"/>
    </xf>
    <xf numFmtId="0" fontId="0" fillId="2" borderId="2" xfId="0" applyFill="1" applyBorder="1" applyAlignment="1">
      <alignment horizontal="left" vertical="center" textRotation="90"/>
    </xf>
    <xf numFmtId="166" fontId="1" fillId="2" borderId="0" xfId="0" applyNumberFormat="1" applyFont="1" applyFill="1" applyAlignment="1">
      <alignment horizontal="center" vertical="center"/>
    </xf>
    <xf numFmtId="167" fontId="0" fillId="5" borderId="2" xfId="5" applyNumberFormat="1" applyFont="1" applyFill="1" applyBorder="1" applyAlignment="1">
      <alignment horizontal="left" vertical="center"/>
    </xf>
    <xf numFmtId="167" fontId="0" fillId="5" borderId="0" xfId="5" applyNumberFormat="1" applyFont="1" applyFill="1" applyBorder="1" applyAlignment="1">
      <alignment horizontal="center" vertical="center"/>
    </xf>
    <xf numFmtId="166" fontId="9" fillId="2" borderId="0"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wrapText="1"/>
    </xf>
    <xf numFmtId="166" fontId="9" fillId="6" borderId="0" xfId="5" applyNumberFormat="1" applyFont="1" applyFill="1" applyBorder="1" applyAlignment="1">
      <alignment horizontal="center" vertical="center"/>
    </xf>
    <xf numFmtId="1" fontId="9" fillId="5" borderId="0" xfId="5" applyNumberFormat="1" applyFont="1" applyFill="1" applyBorder="1" applyAlignment="1">
      <alignment horizontal="center" vertical="center" wrapText="1"/>
    </xf>
    <xf numFmtId="1" fontId="9" fillId="5" borderId="0" xfId="5" applyNumberFormat="1" applyFont="1" applyFill="1" applyBorder="1" applyAlignment="1">
      <alignment horizontal="center" vertical="center"/>
    </xf>
    <xf numFmtId="166" fontId="9" fillId="5" borderId="1"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xf>
    <xf numFmtId="166" fontId="9" fillId="5" borderId="0" xfId="5" applyNumberFormat="1" applyFont="1" applyFill="1" applyBorder="1" applyAlignment="1">
      <alignment horizontal="center" vertical="center"/>
    </xf>
    <xf numFmtId="1" fontId="9" fillId="5" borderId="2" xfId="5" applyNumberFormat="1" applyFont="1" applyFill="1" applyBorder="1" applyAlignment="1">
      <alignment horizontal="center" vertical="center"/>
    </xf>
    <xf numFmtId="167" fontId="9" fillId="5" borderId="2" xfId="5" applyNumberFormat="1" applyFont="1" applyFill="1" applyBorder="1" applyAlignment="1">
      <alignment horizontal="center" vertical="center"/>
    </xf>
    <xf numFmtId="1" fontId="9" fillId="5" borderId="0" xfId="0" applyNumberFormat="1" applyFont="1" applyFill="1" applyAlignment="1">
      <alignment horizontal="center" vertical="center"/>
    </xf>
    <xf numFmtId="166" fontId="9" fillId="5" borderId="1" xfId="0" applyNumberFormat="1" applyFont="1" applyFill="1" applyBorder="1" applyAlignment="1">
      <alignment horizontal="center" vertical="center"/>
    </xf>
    <xf numFmtId="1" fontId="9" fillId="5" borderId="2" xfId="5" applyNumberFormat="1" applyFont="1" applyFill="1" applyBorder="1" applyAlignment="1">
      <alignment horizontal="center" vertical="center" wrapText="1"/>
    </xf>
    <xf numFmtId="166" fontId="9" fillId="6" borderId="3"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wrapText="1"/>
    </xf>
    <xf numFmtId="166" fontId="9" fillId="5" borderId="0" xfId="5" applyNumberFormat="1" applyFont="1" applyFill="1" applyBorder="1" applyAlignment="1">
      <alignment horizontal="center" vertical="center" wrapText="1"/>
    </xf>
    <xf numFmtId="166" fontId="9" fillId="5" borderId="1" xfId="5" applyNumberFormat="1" applyFont="1" applyFill="1" applyBorder="1" applyAlignment="1">
      <alignment horizontal="center" vertical="center" wrapText="1"/>
    </xf>
    <xf numFmtId="166" fontId="9" fillId="5" borderId="0" xfId="0" applyNumberFormat="1" applyFont="1" applyFill="1" applyAlignment="1">
      <alignment horizontal="center" vertical="center"/>
    </xf>
    <xf numFmtId="166" fontId="9" fillId="6" borderId="1" xfId="5" applyNumberFormat="1" applyFont="1" applyFill="1" applyBorder="1" applyAlignment="1">
      <alignment horizontal="center" vertical="center"/>
    </xf>
    <xf numFmtId="167" fontId="9" fillId="5" borderId="2" xfId="5" applyNumberFormat="1" applyFont="1" applyFill="1" applyBorder="1" applyAlignment="1">
      <alignment horizontal="left" vertical="center" wrapText="1"/>
    </xf>
    <xf numFmtId="167" fontId="9" fillId="5" borderId="2" xfId="5" applyNumberFormat="1" applyFont="1" applyFill="1" applyBorder="1" applyAlignment="1">
      <alignment horizontal="center" vertical="center" wrapText="1"/>
    </xf>
    <xf numFmtId="166" fontId="9" fillId="2" borderId="0" xfId="5" applyNumberFormat="1" applyFont="1" applyFill="1" applyBorder="1" applyAlignment="1">
      <alignment horizontal="left" vertical="center"/>
    </xf>
    <xf numFmtId="1" fontId="0" fillId="5" borderId="0" xfId="5" applyNumberFormat="1" applyFont="1" applyFill="1" applyBorder="1" applyAlignment="1">
      <alignment horizontal="center" vertical="center"/>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10" fillId="5" borderId="0" xfId="0" applyFont="1" applyFill="1" applyAlignment="1">
      <alignment horizontal="left" vertical="center" wrapText="1"/>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0" fillId="5" borderId="2" xfId="0" quotePrefix="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0" fontId="18" fillId="2" borderId="0" xfId="0" applyFont="1" applyFill="1" applyAlignment="1">
      <alignment horizontal="left" vertical="center" wrapText="1"/>
    </xf>
    <xf numFmtId="0" fontId="1" fillId="2" borderId="0" xfId="0" applyFont="1" applyFill="1"/>
    <xf numFmtId="0" fontId="8" fillId="2" borderId="0" xfId="0" applyFont="1" applyFill="1"/>
    <xf numFmtId="0" fontId="0" fillId="2" borderId="0" xfId="0" applyFill="1" applyAlignment="1">
      <alignment wrapText="1"/>
    </xf>
    <xf numFmtId="1" fontId="0" fillId="2" borderId="0" xfId="0" applyNumberFormat="1" applyFill="1"/>
    <xf numFmtId="1" fontId="8" fillId="2" borderId="0" xfId="0" applyNumberFormat="1" applyFont="1" applyFill="1"/>
    <xf numFmtId="1" fontId="0" fillId="2" borderId="0" xfId="0" applyNumberFormat="1" applyFill="1" applyAlignment="1">
      <alignment wrapText="1"/>
    </xf>
    <xf numFmtId="1" fontId="21" fillId="2" borderId="0" xfId="0" applyNumberFormat="1" applyFont="1" applyFill="1"/>
    <xf numFmtId="0" fontId="22" fillId="2" borderId="0" xfId="0" applyFont="1" applyFill="1" applyAlignment="1">
      <alignment vertical="center"/>
    </xf>
    <xf numFmtId="0" fontId="23" fillId="2" borderId="0" xfId="0" applyFont="1" applyFill="1" applyAlignment="1">
      <alignment vertical="center"/>
    </xf>
    <xf numFmtId="0" fontId="24" fillId="0" borderId="0" xfId="0" applyFont="1" applyAlignment="1">
      <alignment vertical="center"/>
    </xf>
    <xf numFmtId="0" fontId="8" fillId="0" borderId="0" xfId="0" applyFont="1"/>
    <xf numFmtId="0" fontId="0" fillId="0" borderId="0" xfId="0" applyAlignment="1">
      <alignment wrapText="1"/>
    </xf>
    <xf numFmtId="0" fontId="1" fillId="0" borderId="0" xfId="0" applyFont="1"/>
    <xf numFmtId="0" fontId="17" fillId="2" borderId="0" xfId="0" applyFont="1" applyFill="1"/>
    <xf numFmtId="0" fontId="5" fillId="0" borderId="0" xfId="0" applyFont="1"/>
    <xf numFmtId="0" fontId="25" fillId="0" borderId="3" xfId="0" applyFont="1" applyBorder="1"/>
    <xf numFmtId="0" fontId="1" fillId="0" borderId="3" xfId="0" applyFont="1" applyBorder="1" applyAlignment="1">
      <alignment horizontal="left" vertical="top" wrapText="1"/>
    </xf>
    <xf numFmtId="0" fontId="25" fillId="8" borderId="3" xfId="0" applyFont="1" applyFill="1" applyBorder="1" applyAlignment="1">
      <alignment horizontal="left" wrapText="1"/>
    </xf>
    <xf numFmtId="0" fontId="1" fillId="8" borderId="3" xfId="0" applyFont="1" applyFill="1" applyBorder="1" applyAlignment="1">
      <alignment horizontal="left" vertical="top" wrapText="1"/>
    </xf>
    <xf numFmtId="0" fontId="25" fillId="4" borderId="3" xfId="0" applyFont="1" applyFill="1" applyBorder="1" applyAlignment="1">
      <alignment horizontal="left" wrapText="1"/>
    </xf>
    <xf numFmtId="0" fontId="1" fillId="4" borderId="3" xfId="0" applyFont="1" applyFill="1" applyBorder="1" applyAlignment="1">
      <alignment horizontal="left" vertical="top" wrapText="1"/>
    </xf>
    <xf numFmtId="0" fontId="25" fillId="0" borderId="3" xfId="0" applyFont="1" applyBorder="1" applyAlignment="1">
      <alignment horizontal="left" wrapText="1"/>
    </xf>
    <xf numFmtId="0" fontId="5" fillId="7" borderId="0" xfId="0" applyFont="1" applyFill="1"/>
    <xf numFmtId="166" fontId="0" fillId="7" borderId="0" xfId="0" applyNumberFormat="1" applyFill="1"/>
    <xf numFmtId="166" fontId="0" fillId="0" borderId="0" xfId="0" applyNumberFormat="1"/>
    <xf numFmtId="166" fontId="0" fillId="9" borderId="0" xfId="0" applyNumberFormat="1" applyFill="1"/>
    <xf numFmtId="0" fontId="0" fillId="9" borderId="0" xfId="0" applyFill="1"/>
    <xf numFmtId="0" fontId="0" fillId="10" borderId="0" xfId="0" applyFill="1"/>
    <xf numFmtId="166" fontId="0" fillId="10" borderId="0" xfId="0" applyNumberFormat="1" applyFill="1"/>
    <xf numFmtId="0" fontId="0" fillId="7" borderId="1" xfId="0" applyFill="1" applyBorder="1"/>
    <xf numFmtId="166" fontId="0" fillId="7" borderId="1" xfId="0" applyNumberFormat="1" applyFill="1" applyBorder="1"/>
    <xf numFmtId="0" fontId="0" fillId="0" borderId="1" xfId="0" applyBorder="1"/>
    <xf numFmtId="166" fontId="0" fillId="0" borderId="1" xfId="0" applyNumberFormat="1" applyBorder="1"/>
    <xf numFmtId="0" fontId="26" fillId="2" borderId="4" xfId="0" applyFont="1" applyFill="1" applyBorder="1"/>
    <xf numFmtId="0" fontId="27" fillId="0" borderId="0" xfId="0" applyFont="1"/>
    <xf numFmtId="0" fontId="25" fillId="11" borderId="3" xfId="0" applyFont="1" applyFill="1" applyBorder="1"/>
    <xf numFmtId="0" fontId="1" fillId="11" borderId="3" xfId="0" applyFont="1" applyFill="1" applyBorder="1" applyAlignment="1">
      <alignment horizontal="left" vertical="top" wrapText="1"/>
    </xf>
    <xf numFmtId="0" fontId="28" fillId="9" borderId="0" xfId="0" applyFont="1" applyFill="1"/>
    <xf numFmtId="0" fontId="28" fillId="12" borderId="0" xfId="0" applyFont="1" applyFill="1"/>
    <xf numFmtId="1" fontId="5" fillId="0" borderId="0" xfId="0" applyNumberFormat="1" applyFont="1"/>
    <xf numFmtId="166" fontId="5" fillId="0" borderId="0" xfId="0" applyNumberFormat="1" applyFont="1"/>
    <xf numFmtId="166" fontId="25" fillId="0" borderId="3" xfId="0" applyNumberFormat="1" applyFont="1" applyBorder="1"/>
    <xf numFmtId="0" fontId="7" fillId="5" borderId="2" xfId="0" applyFont="1" applyFill="1" applyBorder="1" applyAlignment="1">
      <alignment vertical="center" wrapText="1"/>
    </xf>
    <xf numFmtId="0" fontId="0" fillId="0" borderId="0" xfId="0" applyAlignment="1">
      <alignment vertical="center"/>
    </xf>
    <xf numFmtId="0" fontId="0" fillId="0" borderId="0" xfId="0" applyAlignment="1">
      <alignment horizontal="left" vertical="center" indent="1"/>
    </xf>
    <xf numFmtId="167" fontId="7" fillId="5" borderId="2" xfId="0" applyNumberFormat="1" applyFont="1" applyFill="1" applyBorder="1" applyAlignment="1">
      <alignment horizontal="center"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68" fontId="0" fillId="5" borderId="2" xfId="0" applyNumberFormat="1" applyFill="1" applyBorder="1" applyAlignment="1">
      <alignment horizontal="center" vertical="center"/>
    </xf>
    <xf numFmtId="167" fontId="0" fillId="5" borderId="2" xfId="0" applyNumberFormat="1" applyFill="1" applyBorder="1" applyAlignment="1">
      <alignment horizontal="center" vertical="center"/>
    </xf>
    <xf numFmtId="166" fontId="0" fillId="5" borderId="1" xfId="0" applyNumberFormat="1" applyFill="1" applyBorder="1" applyAlignment="1">
      <alignment horizontal="left" vertical="center" wrapText="1"/>
    </xf>
    <xf numFmtId="166" fontId="0" fillId="5" borderId="0" xfId="0" applyNumberFormat="1" applyFill="1" applyAlignment="1">
      <alignment horizontal="left" vertical="center" wrapText="1"/>
    </xf>
    <xf numFmtId="166" fontId="0" fillId="5" borderId="0" xfId="0" applyNumberFormat="1" applyFill="1" applyAlignment="1">
      <alignment vertical="center" wrapText="1"/>
    </xf>
    <xf numFmtId="166" fontId="0" fillId="5" borderId="1" xfId="0" applyNumberFormat="1" applyFill="1" applyBorder="1" applyAlignment="1">
      <alignment horizontal="right" vertical="center" wrapText="1"/>
    </xf>
    <xf numFmtId="166" fontId="7" fillId="5" borderId="0" xfId="0" applyNumberFormat="1" applyFont="1" applyFill="1" applyAlignment="1">
      <alignment horizontal="center" vertical="center" wrapText="1"/>
    </xf>
    <xf numFmtId="0" fontId="0" fillId="0" borderId="0" xfId="0" applyAlignment="1">
      <alignment horizontal="left" vertical="center" indent="4"/>
    </xf>
    <xf numFmtId="167" fontId="13" fillId="5" borderId="2" xfId="5" applyNumberFormat="1" applyFont="1" applyFill="1" applyBorder="1" applyAlignment="1">
      <alignment horizontal="center" vertical="center"/>
    </xf>
    <xf numFmtId="3" fontId="13" fillId="5" borderId="2" xfId="0" applyNumberFormat="1" applyFont="1" applyFill="1" applyBorder="1" applyAlignment="1">
      <alignment horizontal="center" vertical="center"/>
    </xf>
    <xf numFmtId="1" fontId="13" fillId="5" borderId="0" xfId="0" applyNumberFormat="1" applyFont="1" applyFill="1" applyAlignment="1">
      <alignment horizontal="center" vertical="center"/>
    </xf>
    <xf numFmtId="0" fontId="13" fillId="0" borderId="0" xfId="0" applyFont="1"/>
    <xf numFmtId="1" fontId="13" fillId="5" borderId="2" xfId="5" applyNumberFormat="1" applyFont="1" applyFill="1" applyBorder="1" applyAlignment="1">
      <alignment horizontal="center" vertical="center"/>
    </xf>
    <xf numFmtId="167" fontId="0" fillId="5" borderId="0" xfId="0" applyNumberFormat="1" applyFill="1" applyAlignment="1">
      <alignment horizontal="left" vertical="center"/>
    </xf>
    <xf numFmtId="169" fontId="0" fillId="5" borderId="0" xfId="0" applyNumberFormat="1" applyFill="1" applyAlignment="1">
      <alignment horizontal="left" vertical="center"/>
    </xf>
    <xf numFmtId="3" fontId="0" fillId="5" borderId="2" xfId="0" applyNumberFormat="1" applyFill="1" applyBorder="1" applyAlignment="1">
      <alignment horizontal="center" vertical="center" wrapText="1"/>
    </xf>
    <xf numFmtId="167" fontId="13" fillId="5" borderId="2" xfId="0" applyNumberFormat="1" applyFont="1" applyFill="1" applyBorder="1" applyAlignment="1">
      <alignment horizontal="center" vertical="center" wrapText="1"/>
    </xf>
    <xf numFmtId="167" fontId="0" fillId="5" borderId="2" xfId="0" applyNumberFormat="1" applyFill="1" applyBorder="1" applyAlignment="1">
      <alignment horizontal="center" vertical="center" wrapText="1"/>
    </xf>
    <xf numFmtId="166" fontId="7" fillId="5" borderId="0" xfId="0" applyNumberFormat="1" applyFont="1" applyFill="1" applyAlignment="1">
      <alignment horizontal="center" vertical="center"/>
    </xf>
    <xf numFmtId="166" fontId="13" fillId="5" borderId="0" xfId="0" applyNumberFormat="1" applyFont="1" applyFill="1" applyAlignment="1">
      <alignment horizontal="center" vertical="center" wrapText="1"/>
    </xf>
    <xf numFmtId="1" fontId="0" fillId="5" borderId="2" xfId="0" applyNumberFormat="1" applyFill="1" applyBorder="1" applyAlignment="1">
      <alignment vertical="center" wrapText="1"/>
    </xf>
    <xf numFmtId="1" fontId="0" fillId="5" borderId="0" xfId="0" applyNumberFormat="1" applyFill="1" applyAlignment="1">
      <alignment vertical="center" wrapText="1"/>
    </xf>
    <xf numFmtId="166" fontId="0" fillId="5" borderId="2" xfId="0" applyNumberFormat="1" applyFill="1" applyBorder="1" applyAlignment="1">
      <alignment vertical="center" wrapText="1"/>
    </xf>
    <xf numFmtId="166" fontId="0" fillId="5" borderId="1" xfId="0" applyNumberFormat="1" applyFill="1" applyBorder="1" applyAlignment="1">
      <alignment horizontal="right" vertical="center"/>
    </xf>
    <xf numFmtId="1" fontId="0" fillId="5" borderId="2" xfId="0" applyNumberFormat="1" applyFill="1" applyBorder="1" applyAlignment="1">
      <alignment horizontal="left" vertical="center"/>
    </xf>
    <xf numFmtId="166" fontId="13" fillId="5" borderId="0" xfId="0" applyNumberFormat="1" applyFont="1" applyFill="1" applyAlignment="1">
      <alignment horizontal="left" vertical="center" wrapText="1"/>
    </xf>
    <xf numFmtId="0" fontId="7" fillId="0" borderId="0" xfId="0" applyFont="1"/>
    <xf numFmtId="166" fontId="13" fillId="5" borderId="0" xfId="5" applyNumberFormat="1" applyFont="1" applyFill="1" applyBorder="1" applyAlignment="1">
      <alignment horizontal="center" vertical="center"/>
    </xf>
    <xf numFmtId="166" fontId="13" fillId="5" borderId="2" xfId="0" applyNumberFormat="1" applyFont="1" applyFill="1" applyBorder="1" applyAlignment="1">
      <alignment horizontal="center" vertical="center"/>
    </xf>
    <xf numFmtId="0" fontId="38" fillId="0" borderId="0" xfId="1" applyFont="1"/>
    <xf numFmtId="166" fontId="13" fillId="5" borderId="0" xfId="5" applyNumberFormat="1" applyFont="1" applyFill="1" applyAlignment="1">
      <alignment horizontal="center" vertical="center"/>
    </xf>
    <xf numFmtId="167" fontId="9" fillId="5" borderId="2" xfId="5" applyNumberFormat="1" applyFill="1" applyBorder="1" applyAlignment="1">
      <alignment horizontal="center" vertical="center"/>
    </xf>
    <xf numFmtId="1" fontId="9" fillId="5" borderId="0" xfId="5" applyNumberFormat="1" applyFill="1" applyAlignment="1">
      <alignment horizontal="center" vertical="center"/>
    </xf>
    <xf numFmtId="166" fontId="9" fillId="5" borderId="1" xfId="5" applyNumberFormat="1" applyFill="1" applyBorder="1" applyAlignment="1">
      <alignment horizontal="center" vertical="center"/>
    </xf>
    <xf numFmtId="3" fontId="7" fillId="5" borderId="2" xfId="0" applyNumberFormat="1" applyFont="1" applyFill="1" applyBorder="1" applyAlignment="1">
      <alignment horizontal="left" vertical="center" wrapText="1"/>
    </xf>
    <xf numFmtId="166" fontId="7" fillId="5" borderId="0" xfId="0" applyNumberFormat="1" applyFont="1" applyFill="1" applyAlignment="1">
      <alignment horizontal="left" vertical="center" wrapText="1"/>
    </xf>
    <xf numFmtId="166" fontId="7" fillId="5" borderId="1" xfId="0" applyNumberFormat="1" applyFont="1" applyFill="1" applyBorder="1" applyAlignment="1">
      <alignment horizontal="left" vertical="center" wrapText="1"/>
    </xf>
    <xf numFmtId="0" fontId="14" fillId="0" borderId="0" xfId="0" applyFont="1"/>
    <xf numFmtId="0" fontId="0" fillId="13" borderId="11" xfId="0" applyFill="1" applyBorder="1" applyAlignment="1">
      <alignment horizontal="center" wrapText="1"/>
    </xf>
    <xf numFmtId="0" fontId="39" fillId="0" borderId="0" xfId="0" applyFont="1"/>
    <xf numFmtId="0" fontId="0" fillId="0" borderId="0" xfId="0" applyAlignment="1">
      <alignment horizontal="center" vertical="center"/>
    </xf>
    <xf numFmtId="0" fontId="39" fillId="0" borderId="0" xfId="0" applyFont="1" applyAlignment="1">
      <alignment wrapText="1"/>
    </xf>
    <xf numFmtId="0" fontId="0" fillId="0" borderId="0" xfId="0" applyAlignment="1">
      <alignment horizontal="center" vertical="center" wrapText="1"/>
    </xf>
    <xf numFmtId="2" fontId="0" fillId="0" borderId="0" xfId="0" applyNumberFormat="1" applyAlignment="1">
      <alignment horizontal="center" vertical="center" wrapText="1"/>
    </xf>
    <xf numFmtId="2" fontId="0" fillId="0" borderId="0" xfId="0" applyNumberFormat="1" applyAlignment="1">
      <alignment horizontal="center" vertical="center"/>
    </xf>
    <xf numFmtId="1" fontId="0" fillId="0" borderId="0" xfId="0" applyNumberFormat="1" applyAlignment="1">
      <alignment horizontal="center" vertical="center"/>
    </xf>
    <xf numFmtId="37" fontId="13" fillId="5" borderId="2" xfId="0" applyNumberFormat="1" applyFont="1" applyFill="1" applyBorder="1" applyAlignment="1">
      <alignment horizontal="center" vertical="center"/>
    </xf>
    <xf numFmtId="166" fontId="0" fillId="5" borderId="2" xfId="0" applyNumberFormat="1" applyFill="1" applyBorder="1" applyAlignment="1">
      <alignment horizontal="left" vertical="center" wrapText="1"/>
    </xf>
    <xf numFmtId="169" fontId="0" fillId="5" borderId="1" xfId="0" applyNumberFormat="1" applyFill="1" applyBorder="1" applyAlignment="1">
      <alignment horizontal="left" vertical="center"/>
    </xf>
    <xf numFmtId="0" fontId="0" fillId="5" borderId="12" xfId="0" applyFill="1" applyBorder="1" applyAlignment="1">
      <alignment horizontal="left" vertical="center" textRotation="90"/>
    </xf>
    <xf numFmtId="0" fontId="0" fillId="0" borderId="0" xfId="0" applyAlignment="1">
      <alignment horizontal="left" indent="1"/>
    </xf>
    <xf numFmtId="0" fontId="41" fillId="0" borderId="0" xfId="3" applyFont="1"/>
    <xf numFmtId="0" fontId="42" fillId="0" borderId="0" xfId="0" applyFont="1"/>
    <xf numFmtId="0" fontId="42" fillId="0" borderId="1" xfId="0" applyFont="1" applyBorder="1"/>
    <xf numFmtId="0" fontId="43" fillId="0" borderId="0" xfId="0" applyFont="1"/>
    <xf numFmtId="0" fontId="42" fillId="0" borderId="0" xfId="0" applyFont="1" applyAlignment="1">
      <alignment horizontal="left" indent="1"/>
    </xf>
    <xf numFmtId="166" fontId="42" fillId="0" borderId="0" xfId="0" applyNumberFormat="1" applyFont="1"/>
    <xf numFmtId="0" fontId="43" fillId="0" borderId="0" xfId="0" applyFont="1" applyAlignment="1">
      <alignment horizontal="left"/>
    </xf>
    <xf numFmtId="0" fontId="42" fillId="0" borderId="0" xfId="0" applyFont="1" applyAlignment="1">
      <alignment horizontal="left"/>
    </xf>
    <xf numFmtId="169" fontId="42" fillId="0" borderId="0" xfId="5" applyNumberFormat="1" applyFont="1"/>
    <xf numFmtId="167" fontId="42" fillId="0" borderId="0" xfId="5" applyNumberFormat="1" applyFont="1"/>
    <xf numFmtId="0" fontId="44" fillId="0" borderId="0" xfId="3" applyFont="1"/>
    <xf numFmtId="0" fontId="47" fillId="0" borderId="2" xfId="0" applyFont="1" applyBorder="1"/>
    <xf numFmtId="0" fontId="47" fillId="0" borderId="0" xfId="0" applyFont="1" applyAlignment="1">
      <alignment horizontal="center"/>
    </xf>
    <xf numFmtId="0" fontId="48" fillId="0" borderId="0" xfId="0" applyFont="1"/>
    <xf numFmtId="0" fontId="48" fillId="0" borderId="1" xfId="0" applyFont="1" applyBorder="1"/>
    <xf numFmtId="0" fontId="48" fillId="0" borderId="0" xfId="0" applyFont="1" applyAlignment="1">
      <alignment wrapText="1"/>
    </xf>
    <xf numFmtId="0" fontId="47" fillId="0" borderId="1" xfId="0" applyFont="1" applyBorder="1"/>
    <xf numFmtId="166" fontId="47"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0" borderId="1" xfId="0" applyFont="1" applyBorder="1" applyAlignment="1">
      <alignment horizontal="left" vertical="center"/>
    </xf>
    <xf numFmtId="0" fontId="47" fillId="2" borderId="1" xfId="0" applyFont="1" applyFill="1" applyBorder="1" applyAlignment="1">
      <alignment vertical="center" wrapText="1"/>
    </xf>
    <xf numFmtId="0" fontId="47" fillId="2" borderId="1" xfId="0" applyFont="1" applyFill="1" applyBorder="1" applyAlignment="1">
      <alignment horizontal="left" vertical="center" wrapText="1"/>
    </xf>
    <xf numFmtId="0" fontId="47" fillId="0" borderId="0" xfId="0" applyFont="1" applyAlignment="1">
      <alignment horizontal="left" vertical="center"/>
    </xf>
    <xf numFmtId="0" fontId="47" fillId="0" borderId="3" xfId="0" applyFont="1" applyBorder="1" applyAlignment="1">
      <alignment horizontal="left" vertical="center"/>
    </xf>
    <xf numFmtId="167" fontId="43" fillId="0" borderId="0" xfId="5" applyNumberFormat="1" applyFont="1"/>
    <xf numFmtId="166" fontId="43" fillId="0" borderId="0" xfId="0" applyNumberFormat="1" applyFont="1"/>
    <xf numFmtId="169" fontId="43" fillId="0" borderId="0" xfId="5" applyNumberFormat="1" applyFont="1"/>
    <xf numFmtId="0" fontId="0" fillId="2" borderId="1" xfId="0" applyFill="1" applyBorder="1" applyAlignment="1">
      <alignment horizontal="left" vertical="center" textRotation="90" wrapText="1"/>
    </xf>
    <xf numFmtId="0" fontId="0" fillId="0" borderId="1" xfId="0" applyBorder="1" applyAlignment="1">
      <alignment horizontal="center" vertical="center" textRotation="90" wrapText="1"/>
    </xf>
    <xf numFmtId="166" fontId="1" fillId="2" borderId="1" xfId="5"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0" fillId="0" borderId="1" xfId="0" applyBorder="1" applyAlignment="1">
      <alignment vertical="center" textRotation="90" wrapText="1"/>
    </xf>
    <xf numFmtId="0" fontId="0" fillId="2" borderId="2" xfId="0" applyFill="1" applyBorder="1" applyAlignment="1">
      <alignment vertical="center" textRotation="90" wrapText="1"/>
    </xf>
    <xf numFmtId="0" fontId="0" fillId="2" borderId="1" xfId="0" applyFill="1" applyBorder="1" applyAlignment="1">
      <alignment vertical="center" textRotation="90" wrapText="1"/>
    </xf>
    <xf numFmtId="166" fontId="1" fillId="2" borderId="2" xfId="0" applyNumberFormat="1" applyFont="1" applyFill="1" applyBorder="1" applyAlignment="1">
      <alignment vertical="center" wrapText="1"/>
    </xf>
    <xf numFmtId="166" fontId="1" fillId="2" borderId="2" xfId="5" applyNumberFormat="1" applyFont="1" applyFill="1" applyBorder="1" applyAlignment="1">
      <alignment vertical="center" wrapText="1"/>
    </xf>
    <xf numFmtId="166" fontId="0" fillId="2" borderId="0" xfId="0" applyNumberFormat="1" applyFill="1"/>
    <xf numFmtId="0" fontId="16" fillId="2" borderId="1" xfId="0" applyFont="1" applyFill="1" applyBorder="1" applyAlignment="1">
      <alignment horizontal="left" vertical="center"/>
    </xf>
    <xf numFmtId="0" fontId="2" fillId="2" borderId="1" xfId="0" applyFont="1" applyFill="1" applyBorder="1" applyAlignment="1">
      <alignment horizontal="left" vertical="center"/>
    </xf>
    <xf numFmtId="166" fontId="1" fillId="2" borderId="1" xfId="0" applyNumberFormat="1" applyFont="1" applyFill="1" applyBorder="1" applyAlignment="1">
      <alignment horizontal="center" vertical="center"/>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5" fillId="0" borderId="0" xfId="6"/>
    <xf numFmtId="0" fontId="0" fillId="14" borderId="0" xfId="0" applyFill="1"/>
    <xf numFmtId="0" fontId="0" fillId="15" borderId="0" xfId="0" applyFill="1"/>
    <xf numFmtId="16" fontId="0" fillId="0" borderId="0" xfId="0" applyNumberFormat="1"/>
    <xf numFmtId="0" fontId="0" fillId="16" borderId="0" xfId="0" applyFill="1"/>
    <xf numFmtId="0" fontId="0" fillId="12" borderId="0" xfId="0" applyFill="1"/>
    <xf numFmtId="0" fontId="52" fillId="0" borderId="0" xfId="0" applyFont="1" applyAlignment="1">
      <alignment vertical="center"/>
    </xf>
    <xf numFmtId="0" fontId="28" fillId="0" borderId="0" xfId="0" applyFont="1"/>
    <xf numFmtId="0" fontId="0" fillId="13" borderId="0" xfId="0" applyFill="1"/>
    <xf numFmtId="167" fontId="0" fillId="5" borderId="0" xfId="0" applyNumberFormat="1" applyFill="1" applyAlignment="1">
      <alignment vertical="center"/>
    </xf>
    <xf numFmtId="169" fontId="0" fillId="5" borderId="0" xfId="0" applyNumberFormat="1" applyFill="1" applyAlignment="1">
      <alignment vertical="center"/>
    </xf>
    <xf numFmtId="0" fontId="6" fillId="2" borderId="0" xfId="4" applyFill="1" applyAlignment="1">
      <alignment horizontal="center"/>
    </xf>
    <xf numFmtId="0" fontId="6" fillId="2" borderId="0" xfId="4" applyFill="1"/>
    <xf numFmtId="0" fontId="6" fillId="2" borderId="0" xfId="4" applyFill="1" applyAlignment="1">
      <alignment horizontal="center" vertical="center"/>
    </xf>
    <xf numFmtId="0" fontId="6" fillId="2" borderId="0" xfId="4" applyFill="1" applyAlignment="1">
      <alignment wrapText="1"/>
    </xf>
    <xf numFmtId="0" fontId="55" fillId="2" borderId="0" xfId="4" applyFont="1" applyFill="1" applyAlignment="1">
      <alignment horizontal="center"/>
    </xf>
    <xf numFmtId="0" fontId="6" fillId="14" borderId="0" xfId="4" applyFill="1" applyAlignment="1">
      <alignment wrapText="1"/>
    </xf>
    <xf numFmtId="0" fontId="6" fillId="2" borderId="0" xfId="4" applyFill="1" applyAlignment="1">
      <alignment horizontal="center" wrapText="1"/>
    </xf>
    <xf numFmtId="0" fontId="56" fillId="2" borderId="1" xfId="4" applyFont="1" applyFill="1" applyBorder="1" applyAlignment="1">
      <alignment horizontal="center" vertical="center" wrapText="1"/>
    </xf>
    <xf numFmtId="0" fontId="56" fillId="2" borderId="0" xfId="4" applyFont="1" applyFill="1" applyAlignment="1">
      <alignment horizontal="center" wrapText="1"/>
    </xf>
    <xf numFmtId="0" fontId="56" fillId="2" borderId="1" xfId="4" applyFont="1" applyFill="1" applyBorder="1" applyAlignment="1">
      <alignment horizontal="left" vertical="center" wrapText="1"/>
    </xf>
    <xf numFmtId="0" fontId="56" fillId="2" borderId="0" xfId="4" applyFont="1" applyFill="1"/>
    <xf numFmtId="0" fontId="6" fillId="2" borderId="13" xfId="4" applyFill="1" applyBorder="1" applyAlignment="1">
      <alignment horizontal="center" wrapText="1"/>
    </xf>
    <xf numFmtId="0" fontId="56" fillId="17" borderId="13" xfId="4" applyFont="1" applyFill="1" applyBorder="1" applyAlignment="1">
      <alignment horizontal="center"/>
    </xf>
    <xf numFmtId="0" fontId="56" fillId="17" borderId="13" xfId="4" applyFont="1" applyFill="1" applyBorder="1" applyAlignment="1">
      <alignment horizontal="center" vertical="center" wrapText="1"/>
    </xf>
    <xf numFmtId="0" fontId="54" fillId="17" borderId="13" xfId="4" applyFont="1" applyFill="1" applyBorder="1" applyAlignment="1">
      <alignment horizontal="left" vertical="top" wrapText="1"/>
    </xf>
    <xf numFmtId="0" fontId="54" fillId="2" borderId="13" xfId="4" applyFont="1" applyFill="1" applyBorder="1" applyAlignment="1">
      <alignment horizontal="center" vertical="top" wrapText="1"/>
    </xf>
    <xf numFmtId="0" fontId="56" fillId="2" borderId="13" xfId="4" applyFont="1" applyFill="1" applyBorder="1" applyAlignment="1">
      <alignment horizontal="center" vertical="top" wrapText="1"/>
    </xf>
    <xf numFmtId="0" fontId="56" fillId="17" borderId="13" xfId="4" applyFont="1" applyFill="1" applyBorder="1" applyAlignment="1">
      <alignment horizontal="center" vertical="top" wrapText="1"/>
    </xf>
    <xf numFmtId="0" fontId="6" fillId="2" borderId="13" xfId="4" applyFill="1" applyBorder="1" applyAlignment="1">
      <alignment horizontal="center" vertical="top" wrapText="1"/>
    </xf>
    <xf numFmtId="0" fontId="6" fillId="14" borderId="0" xfId="4" applyFill="1" applyAlignment="1">
      <alignment horizontal="center" wrapText="1"/>
    </xf>
    <xf numFmtId="0" fontId="6" fillId="2" borderId="0" xfId="4" applyFill="1" applyAlignment="1">
      <alignment horizontal="left" wrapText="1"/>
    </xf>
    <xf numFmtId="0" fontId="56" fillId="17" borderId="0" xfId="4" applyFont="1" applyFill="1" applyAlignment="1">
      <alignment horizontal="center" vertical="center" textRotation="90"/>
    </xf>
    <xf numFmtId="166" fontId="56" fillId="17" borderId="0" xfId="4" applyNumberFormat="1" applyFont="1" applyFill="1" applyAlignment="1">
      <alignment horizontal="center" vertical="center"/>
    </xf>
    <xf numFmtId="0" fontId="56" fillId="17" borderId="0" xfId="4" applyFont="1" applyFill="1" applyAlignment="1">
      <alignment horizontal="left" vertical="top" wrapText="1"/>
    </xf>
    <xf numFmtId="0" fontId="56" fillId="2" borderId="0" xfId="4" applyFont="1" applyFill="1" applyAlignment="1">
      <alignment horizontal="left" vertical="top" wrapText="1"/>
    </xf>
    <xf numFmtId="0" fontId="56" fillId="17" borderId="0" xfId="4" applyFont="1" applyFill="1" applyAlignment="1">
      <alignment horizontal="center" vertical="center" textRotation="90" wrapText="1"/>
    </xf>
    <xf numFmtId="0" fontId="6" fillId="2" borderId="0" xfId="4" applyFill="1" applyAlignment="1">
      <alignment horizontal="left" vertical="top" wrapText="1"/>
    </xf>
    <xf numFmtId="0" fontId="56" fillId="17" borderId="0" xfId="4" applyFont="1" applyFill="1" applyAlignment="1">
      <alignment horizontal="left" vertical="center" textRotation="90"/>
    </xf>
    <xf numFmtId="166" fontId="56" fillId="17" borderId="0" xfId="4" applyNumberFormat="1" applyFont="1" applyFill="1" applyAlignment="1">
      <alignment horizontal="left" vertical="center" wrapText="1"/>
    </xf>
    <xf numFmtId="0" fontId="56" fillId="17" borderId="0" xfId="4" applyFont="1" applyFill="1" applyAlignment="1">
      <alignment horizontal="left" vertical="center" textRotation="90" wrapText="1"/>
    </xf>
    <xf numFmtId="2" fontId="56" fillId="17" borderId="0" xfId="4" applyNumberFormat="1" applyFont="1" applyFill="1" applyAlignment="1">
      <alignment horizontal="left" vertical="center" wrapText="1"/>
    </xf>
    <xf numFmtId="0" fontId="6" fillId="17" borderId="0" xfId="4" applyFill="1" applyAlignment="1">
      <alignment horizontal="left" vertical="center" textRotation="90"/>
    </xf>
    <xf numFmtId="0" fontId="56" fillId="17" borderId="0" xfId="4" applyFont="1" applyFill="1" applyAlignment="1">
      <alignment horizontal="left" vertical="center" wrapText="1"/>
    </xf>
    <xf numFmtId="0" fontId="54" fillId="17" borderId="0" xfId="4" applyFont="1" applyFill="1" applyAlignment="1">
      <alignment horizontal="left" vertical="top" wrapText="1"/>
    </xf>
    <xf numFmtId="166" fontId="56" fillId="17" borderId="0" xfId="4" applyNumberFormat="1" applyFont="1" applyFill="1" applyAlignment="1">
      <alignment horizontal="left" vertical="top" wrapText="1"/>
    </xf>
    <xf numFmtId="0" fontId="6" fillId="17" borderId="0" xfId="4" applyFill="1" applyAlignment="1">
      <alignment horizontal="left"/>
    </xf>
    <xf numFmtId="0" fontId="6" fillId="2" borderId="14" xfId="4" applyFill="1" applyBorder="1" applyAlignment="1">
      <alignment horizontal="left" wrapText="1"/>
    </xf>
    <xf numFmtId="0" fontId="6" fillId="17" borderId="14" xfId="4" applyFill="1" applyBorder="1" applyAlignment="1">
      <alignment horizontal="left"/>
    </xf>
    <xf numFmtId="0" fontId="56" fillId="17" borderId="14" xfId="4" applyFont="1" applyFill="1" applyBorder="1" applyAlignment="1">
      <alignment horizontal="left" vertical="center" wrapText="1"/>
    </xf>
    <xf numFmtId="0" fontId="56" fillId="17" borderId="14" xfId="4" applyFont="1" applyFill="1" applyBorder="1" applyAlignment="1">
      <alignment horizontal="left" vertical="top" wrapText="1"/>
    </xf>
    <xf numFmtId="0" fontId="56" fillId="2" borderId="14" xfId="4" applyFont="1" applyFill="1" applyBorder="1" applyAlignment="1">
      <alignment horizontal="left" vertical="top" wrapText="1"/>
    </xf>
    <xf numFmtId="0" fontId="6" fillId="2" borderId="14" xfId="4" applyFill="1" applyBorder="1" applyAlignment="1">
      <alignment horizontal="left" vertical="top" wrapText="1"/>
    </xf>
    <xf numFmtId="0" fontId="6" fillId="2" borderId="0" xfId="4" applyFill="1" applyAlignment="1">
      <alignment horizontal="left"/>
    </xf>
    <xf numFmtId="0" fontId="6" fillId="2" borderId="0" xfId="4" applyFill="1" applyAlignment="1">
      <alignment horizontal="left" vertical="center" wrapText="1"/>
    </xf>
    <xf numFmtId="0" fontId="55" fillId="2" borderId="0" xfId="4" applyFont="1" applyFill="1" applyAlignment="1">
      <alignment horizontal="left"/>
    </xf>
    <xf numFmtId="0" fontId="56" fillId="17" borderId="13" xfId="4" applyFont="1" applyFill="1" applyBorder="1" applyAlignment="1">
      <alignment horizontal="left" vertical="top" wrapText="1"/>
    </xf>
    <xf numFmtId="0" fontId="6" fillId="18" borderId="0" xfId="4" applyFill="1" applyAlignment="1">
      <alignment wrapText="1"/>
    </xf>
    <xf numFmtId="0" fontId="56" fillId="17" borderId="13" xfId="4" applyFont="1" applyFill="1" applyBorder="1" applyAlignment="1">
      <alignment vertical="top" wrapText="1"/>
    </xf>
    <xf numFmtId="0" fontId="6" fillId="19" borderId="0" xfId="4" applyFill="1" applyAlignment="1">
      <alignment wrapText="1"/>
    </xf>
    <xf numFmtId="0" fontId="56" fillId="17" borderId="0" xfId="4" applyFont="1" applyFill="1" applyAlignment="1">
      <alignment vertical="top" wrapText="1"/>
    </xf>
    <xf numFmtId="0" fontId="6" fillId="2" borderId="0" xfId="4" applyFill="1" applyAlignment="1">
      <alignment horizontal="center" vertical="center" wrapText="1"/>
    </xf>
    <xf numFmtId="0" fontId="57" fillId="2" borderId="0" xfId="4" applyFont="1" applyFill="1" applyAlignment="1">
      <alignment horizontal="center" vertical="center"/>
    </xf>
    <xf numFmtId="0" fontId="57" fillId="2" borderId="0" xfId="4" applyFont="1" applyFill="1" applyAlignment="1">
      <alignment horizontal="left" vertical="center" wrapText="1"/>
    </xf>
    <xf numFmtId="0" fontId="57" fillId="2" borderId="0" xfId="4" applyFont="1" applyFill="1" applyAlignment="1">
      <alignment horizontal="left"/>
    </xf>
    <xf numFmtId="166" fontId="13" fillId="5" borderId="1" xfId="0" applyNumberFormat="1" applyFont="1" applyFill="1" applyBorder="1" applyAlignment="1">
      <alignment horizontal="center" vertical="center" wrapText="1"/>
    </xf>
    <xf numFmtId="0" fontId="42" fillId="7" borderId="0" xfId="0" applyFont="1" applyFill="1" applyAlignment="1">
      <alignment horizontal="left" indent="1"/>
    </xf>
    <xf numFmtId="0" fontId="0" fillId="7" borderId="0" xfId="0" applyFill="1" applyAlignment="1">
      <alignment horizontal="left" indent="1"/>
    </xf>
    <xf numFmtId="0" fontId="43" fillId="0" borderId="0" xfId="0" applyFont="1" applyAlignment="1">
      <alignment horizontal="left" indent="1"/>
    </xf>
    <xf numFmtId="166" fontId="0" fillId="5" borderId="0" xfId="0" applyNumberFormat="1" applyFill="1" applyAlignment="1">
      <alignment horizontal="right" vertical="center"/>
    </xf>
    <xf numFmtId="169" fontId="0" fillId="5" borderId="2" xfId="0" applyNumberFormat="1" applyFill="1" applyBorder="1" applyAlignment="1">
      <alignment horizontal="left" vertical="center"/>
    </xf>
    <xf numFmtId="0" fontId="9" fillId="2" borderId="2" xfId="0" applyFont="1" applyFill="1" applyBorder="1" applyAlignment="1">
      <alignment horizontal="left" vertical="center" wrapText="1"/>
    </xf>
    <xf numFmtId="0" fontId="9" fillId="5" borderId="0" xfId="0" applyFont="1" applyFill="1" applyAlignment="1">
      <alignment horizontal="left" vertical="center" textRotation="90"/>
    </xf>
    <xf numFmtId="166" fontId="9" fillId="5" borderId="2" xfId="0" applyNumberFormat="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1" xfId="0" applyFont="1" applyFill="1" applyBorder="1" applyAlignment="1">
      <alignment horizontal="left" vertical="center"/>
    </xf>
    <xf numFmtId="0" fontId="9" fillId="5" borderId="1" xfId="0" applyFont="1" applyFill="1" applyBorder="1" applyAlignment="1">
      <alignment horizontal="left" vertical="center" textRotation="90"/>
    </xf>
    <xf numFmtId="1" fontId="0" fillId="5" borderId="0" xfId="0" applyNumberFormat="1" applyFill="1" applyAlignment="1">
      <alignment horizontal="right" vertical="center"/>
    </xf>
    <xf numFmtId="0" fontId="42" fillId="2" borderId="0" xfId="0" applyFont="1" applyFill="1" applyAlignment="1">
      <alignment horizontal="left" indent="1"/>
    </xf>
    <xf numFmtId="170" fontId="56" fillId="17" borderId="0" xfId="4" applyNumberFormat="1" applyFont="1" applyFill="1" applyAlignment="1">
      <alignment horizontal="center" vertical="center"/>
    </xf>
    <xf numFmtId="166" fontId="9" fillId="7" borderId="0" xfId="5" applyNumberFormat="1" applyFont="1" applyFill="1" applyBorder="1" applyAlignment="1">
      <alignment horizontal="center" vertical="center" wrapText="1"/>
    </xf>
    <xf numFmtId="166" fontId="9" fillId="7" borderId="1" xfId="5" applyNumberFormat="1" applyFont="1" applyFill="1" applyBorder="1" applyAlignment="1">
      <alignment horizontal="center" vertical="center"/>
    </xf>
    <xf numFmtId="0" fontId="6" fillId="7" borderId="0" xfId="4" applyFill="1"/>
    <xf numFmtId="1" fontId="0" fillId="5" borderId="2" xfId="0" applyNumberFormat="1" applyFill="1" applyBorder="1" applyAlignment="1">
      <alignment horizontal="right" vertical="center"/>
    </xf>
    <xf numFmtId="0" fontId="0" fillId="7" borderId="0" xfId="0" applyFill="1" applyAlignment="1">
      <alignment horizontal="left" vertical="center" wrapText="1"/>
    </xf>
    <xf numFmtId="0" fontId="0" fillId="7" borderId="1" xfId="0" applyFill="1" applyBorder="1" applyAlignment="1">
      <alignment horizontal="left" vertical="center" wrapText="1"/>
    </xf>
    <xf numFmtId="0" fontId="41" fillId="2" borderId="0" xfId="3" applyFont="1" applyFill="1"/>
    <xf numFmtId="0" fontId="44" fillId="2" borderId="0" xfId="3" applyFont="1" applyFill="1"/>
    <xf numFmtId="0" fontId="47" fillId="2" borderId="2" xfId="0" applyFont="1" applyFill="1" applyBorder="1"/>
    <xf numFmtId="0" fontId="47" fillId="2" borderId="0" xfId="0" applyFont="1" applyFill="1" applyAlignment="1">
      <alignment horizontal="center"/>
    </xf>
    <xf numFmtId="0" fontId="48" fillId="2" borderId="0" xfId="0" applyFont="1" applyFill="1"/>
    <xf numFmtId="0" fontId="48" fillId="2" borderId="1" xfId="0" applyFont="1" applyFill="1" applyBorder="1"/>
    <xf numFmtId="0" fontId="48" fillId="2" borderId="0" xfId="0" applyFont="1" applyFill="1" applyAlignment="1">
      <alignment wrapText="1"/>
    </xf>
    <xf numFmtId="0" fontId="47" fillId="2" borderId="1" xfId="0" applyFont="1" applyFill="1" applyBorder="1"/>
    <xf numFmtId="0" fontId="47" fillId="2" borderId="1" xfId="0" applyFont="1" applyFill="1" applyBorder="1" applyAlignment="1">
      <alignment horizontal="left" vertical="center"/>
    </xf>
    <xf numFmtId="0" fontId="47" fillId="2" borderId="0" xfId="0" applyFont="1" applyFill="1" applyAlignment="1">
      <alignment horizontal="left" vertical="center"/>
    </xf>
    <xf numFmtId="0" fontId="47" fillId="2" borderId="3" xfId="0" applyFont="1" applyFill="1" applyBorder="1" applyAlignment="1">
      <alignment horizontal="left" vertical="center"/>
    </xf>
    <xf numFmtId="0" fontId="43" fillId="2" borderId="0" xfId="0" applyFont="1" applyFill="1"/>
    <xf numFmtId="0" fontId="42" fillId="2" borderId="0" xfId="0" applyFont="1" applyFill="1"/>
    <xf numFmtId="167" fontId="43" fillId="2" borderId="0" xfId="5" applyNumberFormat="1" applyFont="1" applyFill="1" applyAlignment="1"/>
    <xf numFmtId="167" fontId="42" fillId="2" borderId="0" xfId="5" applyNumberFormat="1" applyFont="1" applyFill="1" applyAlignment="1"/>
    <xf numFmtId="166" fontId="42" fillId="2" borderId="0" xfId="5" applyNumberFormat="1" applyFont="1" applyFill="1" applyAlignment="1"/>
    <xf numFmtId="166" fontId="43" fillId="2" borderId="0" xfId="0" applyNumberFormat="1" applyFont="1" applyFill="1"/>
    <xf numFmtId="166" fontId="42" fillId="2" borderId="0" xfId="0" applyNumberFormat="1" applyFont="1" applyFill="1"/>
    <xf numFmtId="169" fontId="42" fillId="2" borderId="0" xfId="5" applyNumberFormat="1" applyFont="1" applyFill="1" applyAlignment="1"/>
    <xf numFmtId="0" fontId="43" fillId="2" borderId="0" xfId="0" applyFont="1" applyFill="1" applyAlignment="1">
      <alignment horizontal="left"/>
    </xf>
    <xf numFmtId="166" fontId="43" fillId="2" borderId="0" xfId="5" applyNumberFormat="1" applyFont="1" applyFill="1" applyAlignment="1"/>
    <xf numFmtId="169" fontId="43" fillId="2" borderId="0" xfId="5" applyNumberFormat="1" applyFont="1" applyFill="1" applyAlignment="1"/>
    <xf numFmtId="169" fontId="43" fillId="2" borderId="0" xfId="5" applyNumberFormat="1" applyFont="1" applyFill="1"/>
    <xf numFmtId="169" fontId="42" fillId="2" borderId="0" xfId="5" applyNumberFormat="1" applyFont="1" applyFill="1"/>
    <xf numFmtId="0" fontId="43" fillId="2" borderId="0" xfId="0" applyFont="1" applyFill="1" applyAlignment="1">
      <alignment horizontal="left" indent="1"/>
    </xf>
    <xf numFmtId="167" fontId="43" fillId="2" borderId="0" xfId="5" applyNumberFormat="1" applyFont="1" applyFill="1"/>
    <xf numFmtId="167" fontId="42" fillId="2" borderId="0" xfId="5" applyNumberFormat="1" applyFont="1" applyFill="1"/>
    <xf numFmtId="0" fontId="42" fillId="2" borderId="1" xfId="0" applyFont="1" applyFill="1" applyBorder="1"/>
    <xf numFmtId="0" fontId="42" fillId="2" borderId="0" xfId="0" applyFont="1" applyFill="1" applyAlignment="1">
      <alignment horizontal="left"/>
    </xf>
    <xf numFmtId="0" fontId="0" fillId="19" borderId="0" xfId="0" applyFill="1"/>
    <xf numFmtId="166" fontId="42" fillId="7" borderId="0" xfId="5" applyNumberFormat="1" applyFont="1" applyFill="1" applyAlignment="1"/>
    <xf numFmtId="1" fontId="42" fillId="7" borderId="0" xfId="5" applyNumberFormat="1" applyFont="1" applyFill="1" applyAlignment="1"/>
    <xf numFmtId="166" fontId="59" fillId="0" borderId="0" xfId="5" applyNumberFormat="1" applyFont="1" applyFill="1" applyAlignment="1"/>
    <xf numFmtId="166" fontId="59" fillId="2" borderId="0" xfId="5" applyNumberFormat="1" applyFont="1" applyFill="1" applyAlignment="1"/>
    <xf numFmtId="166" fontId="60" fillId="2" borderId="0" xfId="5" applyNumberFormat="1" applyFont="1" applyFill="1" applyAlignment="1"/>
    <xf numFmtId="166" fontId="60" fillId="2" borderId="0" xfId="5" applyNumberFormat="1" applyFont="1" applyFill="1"/>
    <xf numFmtId="166" fontId="59" fillId="2" borderId="0" xfId="5" applyNumberFormat="1" applyFont="1" applyFill="1"/>
    <xf numFmtId="169" fontId="59" fillId="2" borderId="0" xfId="5" applyNumberFormat="1" applyFont="1" applyFill="1" applyAlignment="1"/>
    <xf numFmtId="0" fontId="7" fillId="2" borderId="0" xfId="0" applyFont="1" applyFill="1"/>
    <xf numFmtId="167" fontId="43" fillId="7" borderId="0" xfId="5" applyNumberFormat="1" applyFont="1" applyFill="1"/>
    <xf numFmtId="167" fontId="42" fillId="7" borderId="0" xfId="5" applyNumberFormat="1" applyFont="1" applyFill="1"/>
    <xf numFmtId="167" fontId="42" fillId="2" borderId="0" xfId="0" applyNumberFormat="1" applyFont="1" applyFill="1"/>
    <xf numFmtId="0" fontId="59" fillId="2" borderId="0" xfId="0" applyFont="1" applyFill="1" applyAlignment="1">
      <alignment horizontal="left" indent="1"/>
    </xf>
    <xf numFmtId="0" fontId="59" fillId="7" borderId="0" xfId="0" applyFont="1" applyFill="1" applyAlignment="1">
      <alignment horizontal="left" indent="1"/>
    </xf>
    <xf numFmtId="167" fontId="59" fillId="2" borderId="0" xfId="5" applyNumberFormat="1" applyFont="1" applyFill="1" applyAlignment="1"/>
    <xf numFmtId="166" fontId="60" fillId="0" borderId="0" xfId="5" applyNumberFormat="1" applyFont="1" applyFill="1"/>
    <xf numFmtId="166" fontId="59" fillId="0" borderId="0" xfId="5" applyNumberFormat="1" applyFont="1" applyFill="1"/>
    <xf numFmtId="169" fontId="59" fillId="0" borderId="0" xfId="5" applyNumberFormat="1" applyFont="1" applyFill="1"/>
    <xf numFmtId="167" fontId="59" fillId="0" borderId="0" xfId="5" applyNumberFormat="1" applyFont="1" applyFill="1"/>
    <xf numFmtId="0" fontId="7" fillId="2" borderId="0" xfId="0" applyFont="1" applyFill="1" applyAlignment="1">
      <alignment horizontal="left" indent="1"/>
    </xf>
    <xf numFmtId="0" fontId="7" fillId="7" borderId="0" xfId="0" applyFont="1" applyFill="1" applyAlignment="1">
      <alignment horizontal="left" indent="1"/>
    </xf>
    <xf numFmtId="2" fontId="60" fillId="2" borderId="0" xfId="5" applyNumberFormat="1" applyFont="1" applyFill="1" applyAlignment="1"/>
    <xf numFmtId="2" fontId="59" fillId="2" borderId="0" xfId="5" applyNumberFormat="1" applyFont="1" applyFill="1" applyAlignment="1"/>
    <xf numFmtId="1" fontId="61" fillId="5" borderId="2" xfId="5" applyNumberFormat="1" applyFont="1" applyFill="1" applyBorder="1" applyAlignment="1">
      <alignment horizontal="center" vertical="center" wrapText="1"/>
    </xf>
    <xf numFmtId="1" fontId="61" fillId="5" borderId="2" xfId="0" applyNumberFormat="1" applyFont="1" applyFill="1" applyBorder="1" applyAlignment="1">
      <alignment horizontal="center" vertical="center" wrapText="1"/>
    </xf>
    <xf numFmtId="0" fontId="62" fillId="0" borderId="0" xfId="0" applyFont="1"/>
    <xf numFmtId="2" fontId="0" fillId="2" borderId="0" xfId="0" applyNumberFormat="1" applyFill="1"/>
    <xf numFmtId="166" fontId="42" fillId="0" borderId="0" xfId="5" applyNumberFormat="1" applyFont="1" applyFill="1" applyAlignment="1"/>
    <xf numFmtId="166" fontId="43" fillId="0" borderId="0" xfId="5" applyNumberFormat="1" applyFont="1" applyFill="1" applyAlignment="1"/>
    <xf numFmtId="167" fontId="42" fillId="0" borderId="0" xfId="5" applyNumberFormat="1" applyFont="1" applyFill="1" applyAlignment="1"/>
    <xf numFmtId="169" fontId="42" fillId="0" borderId="0" xfId="5" applyNumberFormat="1" applyFont="1" applyFill="1" applyAlignment="1"/>
    <xf numFmtId="167" fontId="0" fillId="2" borderId="0" xfId="0" applyNumberFormat="1" applyFill="1"/>
    <xf numFmtId="0" fontId="7" fillId="7" borderId="0" xfId="0" applyFont="1" applyFill="1"/>
    <xf numFmtId="2" fontId="0" fillId="5" borderId="1" xfId="0" applyNumberFormat="1" applyFill="1" applyBorder="1" applyAlignment="1">
      <alignment horizontal="center" vertical="center"/>
    </xf>
    <xf numFmtId="167" fontId="43" fillId="0" borderId="0" xfId="5" applyNumberFormat="1" applyFont="1" applyFill="1" applyAlignment="1"/>
    <xf numFmtId="166" fontId="43" fillId="0" borderId="0" xfId="5" applyNumberFormat="1" applyFont="1" applyFill="1" applyAlignment="1">
      <alignment horizontal="right"/>
    </xf>
    <xf numFmtId="167" fontId="43" fillId="0" borderId="0" xfId="5" applyNumberFormat="1" applyFont="1" applyFill="1" applyAlignment="1">
      <alignment horizontal="right"/>
    </xf>
    <xf numFmtId="2" fontId="0" fillId="0" borderId="0" xfId="0" applyNumberFormat="1"/>
    <xf numFmtId="169" fontId="0" fillId="5" borderId="1" xfId="0" applyNumberFormat="1" applyFill="1" applyBorder="1" applyAlignment="1">
      <alignment vertical="center"/>
    </xf>
    <xf numFmtId="1" fontId="43" fillId="0" borderId="0" xfId="5" applyNumberFormat="1" applyFont="1" applyFill="1" applyAlignment="1">
      <alignment horizontal="right"/>
    </xf>
    <xf numFmtId="1" fontId="42" fillId="0" borderId="0" xfId="5" applyNumberFormat="1" applyFont="1" applyFill="1" applyAlignment="1"/>
    <xf numFmtId="1" fontId="43" fillId="0" borderId="0" xfId="5" applyNumberFormat="1" applyFont="1" applyFill="1" applyAlignment="1"/>
    <xf numFmtId="0" fontId="0" fillId="0" borderId="15" xfId="0" applyBorder="1"/>
    <xf numFmtId="0" fontId="1" fillId="0" borderId="15" xfId="0" applyFont="1" applyBorder="1"/>
    <xf numFmtId="0" fontId="0" fillId="14" borderId="15" xfId="0" applyFill="1" applyBorder="1"/>
    <xf numFmtId="0" fontId="0" fillId="15" borderId="15" xfId="0" applyFill="1" applyBorder="1"/>
    <xf numFmtId="0" fontId="0" fillId="16" borderId="15" xfId="0" applyFill="1" applyBorder="1"/>
    <xf numFmtId="0" fontId="0" fillId="12" borderId="15" xfId="0" applyFill="1" applyBorder="1"/>
    <xf numFmtId="0" fontId="0" fillId="7" borderId="15" xfId="0" applyFill="1" applyBorder="1"/>
    <xf numFmtId="0" fontId="0" fillId="13" borderId="15" xfId="0" applyFill="1" applyBorder="1"/>
    <xf numFmtId="0" fontId="25" fillId="0" borderId="15" xfId="0" applyFont="1" applyBorder="1"/>
    <xf numFmtId="0" fontId="25" fillId="0" borderId="0" xfId="0" applyFont="1"/>
    <xf numFmtId="167" fontId="0" fillId="5" borderId="2" xfId="5" applyNumberFormat="1" applyFont="1" applyFill="1" applyBorder="1" applyAlignment="1">
      <alignment vertical="center" wrapText="1"/>
    </xf>
    <xf numFmtId="166" fontId="7" fillId="5" borderId="2" xfId="0" applyNumberFormat="1" applyFont="1" applyFill="1" applyBorder="1" applyAlignment="1">
      <alignment horizontal="center" vertical="center" wrapText="1"/>
    </xf>
    <xf numFmtId="1" fontId="7" fillId="5" borderId="0" xfId="0" applyNumberFormat="1" applyFont="1" applyFill="1" applyAlignment="1">
      <alignment horizontal="center" vertical="center" wrapText="1"/>
    </xf>
    <xf numFmtId="166" fontId="7" fillId="5" borderId="2" xfId="0" applyNumberFormat="1" applyFont="1" applyFill="1" applyBorder="1" applyAlignment="1">
      <alignment vertical="center" wrapText="1"/>
    </xf>
    <xf numFmtId="167" fontId="13" fillId="5" borderId="2" xfId="0" applyNumberFormat="1" applyFont="1" applyFill="1" applyBorder="1" applyAlignment="1">
      <alignment horizontal="center" vertical="center"/>
    </xf>
    <xf numFmtId="166" fontId="13" fillId="5" borderId="2" xfId="0" applyNumberFormat="1" applyFont="1" applyFill="1" applyBorder="1" applyAlignment="1">
      <alignment horizontal="center" vertical="center" wrapText="1"/>
    </xf>
    <xf numFmtId="166" fontId="13" fillId="5" borderId="2" xfId="5" applyNumberFormat="1" applyFont="1" applyFill="1" applyBorder="1" applyAlignment="1">
      <alignment horizontal="center" vertical="center" wrapText="1"/>
    </xf>
    <xf numFmtId="166" fontId="13" fillId="5" borderId="1" xfId="5" applyNumberFormat="1" applyFont="1" applyFill="1" applyBorder="1" applyAlignment="1">
      <alignment horizontal="center" vertical="center"/>
    </xf>
    <xf numFmtId="166" fontId="9" fillId="5" borderId="2" xfId="0" applyNumberFormat="1" applyFont="1" applyFill="1" applyBorder="1" applyAlignment="1">
      <alignment horizontal="center" vertical="center"/>
    </xf>
    <xf numFmtId="166" fontId="13" fillId="5" borderId="2" xfId="5" applyNumberFormat="1" applyFont="1" applyFill="1" applyBorder="1" applyAlignment="1">
      <alignment horizontal="center" vertical="center"/>
    </xf>
    <xf numFmtId="167" fontId="0" fillId="5" borderId="2" xfId="5" applyNumberFormat="1" applyFont="1" applyFill="1" applyBorder="1" applyAlignment="1">
      <alignment horizontal="left" vertical="center" wrapText="1"/>
    </xf>
    <xf numFmtId="0" fontId="13" fillId="2" borderId="0" xfId="0" applyFont="1" applyFill="1" applyAlignment="1">
      <alignment vertical="center" wrapText="1"/>
    </xf>
    <xf numFmtId="0" fontId="13" fillId="5" borderId="0" xfId="0" applyFont="1" applyFill="1" applyAlignment="1">
      <alignment horizontal="left" vertical="center" textRotation="90"/>
    </xf>
    <xf numFmtId="1" fontId="13" fillId="5" borderId="2" xfId="0" applyNumberFormat="1" applyFont="1" applyFill="1" applyBorder="1" applyAlignment="1">
      <alignment vertical="center" wrapText="1"/>
    </xf>
    <xf numFmtId="166" fontId="13" fillId="5" borderId="0" xfId="5" applyNumberFormat="1" applyFont="1" applyFill="1" applyBorder="1" applyAlignment="1">
      <alignment horizontal="center" vertical="center" wrapText="1"/>
    </xf>
    <xf numFmtId="0" fontId="13" fillId="2" borderId="0" xfId="0" applyFont="1" applyFill="1"/>
    <xf numFmtId="166" fontId="13" fillId="5" borderId="0" xfId="0" applyNumberFormat="1" applyFont="1" applyFill="1" applyAlignment="1">
      <alignment vertical="center" wrapText="1"/>
    </xf>
    <xf numFmtId="0" fontId="13" fillId="2" borderId="1" xfId="0" applyFont="1" applyFill="1" applyBorder="1" applyAlignment="1">
      <alignment horizontal="left" vertical="center"/>
    </xf>
    <xf numFmtId="0" fontId="13" fillId="5" borderId="1" xfId="0" applyFont="1" applyFill="1" applyBorder="1" applyAlignment="1">
      <alignment horizontal="left" vertical="center" textRotation="90"/>
    </xf>
    <xf numFmtId="166" fontId="13" fillId="5" borderId="1" xfId="0" applyNumberFormat="1" applyFont="1" applyFill="1" applyBorder="1" applyAlignment="1">
      <alignment horizontal="right" vertical="center"/>
    </xf>
    <xf numFmtId="0" fontId="13" fillId="5" borderId="1" xfId="0" applyFont="1" applyFill="1" applyBorder="1" applyAlignment="1">
      <alignment horizontal="left" vertical="center"/>
    </xf>
    <xf numFmtId="0" fontId="13" fillId="2" borderId="1" xfId="0" applyFont="1" applyFill="1" applyBorder="1" applyAlignment="1">
      <alignment vertical="center"/>
    </xf>
    <xf numFmtId="0" fontId="49" fillId="5" borderId="1" xfId="1" applyFont="1" applyFill="1" applyBorder="1" applyAlignment="1">
      <alignment horizontal="left" vertical="center" wrapText="1"/>
    </xf>
    <xf numFmtId="0" fontId="14" fillId="2" borderId="0" xfId="0" applyFont="1" applyFill="1"/>
    <xf numFmtId="0" fontId="0" fillId="2" borderId="6" xfId="0" applyFill="1" applyBorder="1"/>
    <xf numFmtId="0" fontId="5" fillId="2" borderId="2" xfId="3" applyFill="1" applyBorder="1"/>
    <xf numFmtId="0" fontId="5" fillId="2" borderId="17" xfId="3" applyFill="1" applyBorder="1"/>
    <xf numFmtId="2" fontId="0" fillId="2" borderId="15" xfId="0" applyNumberFormat="1" applyFill="1" applyBorder="1"/>
    <xf numFmtId="0" fontId="0" fillId="2" borderId="18" xfId="0" applyFill="1" applyBorder="1"/>
    <xf numFmtId="0" fontId="0" fillId="2" borderId="15" xfId="0" applyFill="1" applyBorder="1"/>
    <xf numFmtId="0" fontId="0" fillId="2" borderId="0" xfId="0" quotePrefix="1" applyFill="1"/>
    <xf numFmtId="0" fontId="0" fillId="2" borderId="10" xfId="0" applyFill="1" applyBorder="1"/>
    <xf numFmtId="166" fontId="0" fillId="2" borderId="1" xfId="0" applyNumberFormat="1" applyFill="1" applyBorder="1"/>
    <xf numFmtId="0" fontId="0" fillId="2" borderId="19" xfId="0" applyFill="1" applyBorder="1"/>
    <xf numFmtId="0" fontId="0" fillId="2" borderId="17" xfId="0" applyFill="1" applyBorder="1"/>
    <xf numFmtId="2" fontId="0" fillId="2" borderId="1" xfId="0" applyNumberFormat="1" applyFill="1" applyBorder="1"/>
    <xf numFmtId="2" fontId="0" fillId="2" borderId="18" xfId="0" applyNumberFormat="1" applyFill="1" applyBorder="1"/>
    <xf numFmtId="0" fontId="79" fillId="2" borderId="0" xfId="0" applyFont="1" applyFill="1"/>
    <xf numFmtId="2" fontId="0" fillId="2" borderId="19" xfId="0" applyNumberFormat="1" applyFill="1" applyBorder="1"/>
    <xf numFmtId="0" fontId="47" fillId="2" borderId="0" xfId="0" applyFont="1" applyFill="1"/>
    <xf numFmtId="0" fontId="47" fillId="0" borderId="0" xfId="0" applyFont="1"/>
    <xf numFmtId="166" fontId="47" fillId="2" borderId="0" xfId="0" applyNumberFormat="1" applyFont="1" applyFill="1" applyAlignment="1">
      <alignment horizontal="center" vertical="center" wrapText="1"/>
    </xf>
    <xf numFmtId="0" fontId="47" fillId="2" borderId="0" xfId="0" applyFont="1" applyFill="1" applyAlignment="1">
      <alignment vertical="center" wrapText="1"/>
    </xf>
    <xf numFmtId="0" fontId="47" fillId="2" borderId="0" xfId="0" applyFont="1" applyFill="1" applyAlignment="1">
      <alignment horizontal="left" vertical="center" wrapText="1"/>
    </xf>
    <xf numFmtId="166" fontId="42" fillId="0" borderId="0" xfId="0" applyNumberFormat="1" applyFont="1" applyAlignment="1">
      <alignment horizontal="left" indent="1"/>
    </xf>
    <xf numFmtId="170" fontId="0" fillId="0" borderId="0" xfId="0" applyNumberFormat="1"/>
    <xf numFmtId="166" fontId="43" fillId="2" borderId="0" xfId="5" applyNumberFormat="1" applyFont="1" applyFill="1" applyBorder="1" applyAlignment="1"/>
    <xf numFmtId="166" fontId="42" fillId="2" borderId="0" xfId="5" applyNumberFormat="1" applyFont="1" applyFill="1" applyBorder="1" applyAlignment="1"/>
    <xf numFmtId="167" fontId="42" fillId="2" borderId="0" xfId="5" applyNumberFormat="1" applyFont="1" applyFill="1" applyBorder="1" applyAlignment="1"/>
    <xf numFmtId="169" fontId="42" fillId="2" borderId="0" xfId="5" applyNumberFormat="1" applyFont="1" applyFill="1" applyBorder="1" applyAlignment="1"/>
    <xf numFmtId="166" fontId="43" fillId="0" borderId="0" xfId="5" applyNumberFormat="1" applyFont="1" applyFill="1" applyBorder="1" applyAlignment="1"/>
    <xf numFmtId="166" fontId="42" fillId="0" borderId="0" xfId="5" applyNumberFormat="1" applyFont="1" applyFill="1" applyBorder="1" applyAlignment="1"/>
    <xf numFmtId="167" fontId="42" fillId="0" borderId="0" xfId="5" applyNumberFormat="1" applyFont="1" applyFill="1" applyBorder="1" applyAlignment="1"/>
    <xf numFmtId="169" fontId="42" fillId="0" borderId="0" xfId="5" applyNumberFormat="1" applyFont="1" applyFill="1" applyBorder="1" applyAlignment="1"/>
    <xf numFmtId="0" fontId="47" fillId="2" borderId="0" xfId="0" applyFont="1" applyFill="1" applyAlignment="1">
      <alignment horizontal="center" vertical="center" wrapText="1"/>
    </xf>
    <xf numFmtId="1" fontId="80" fillId="2" borderId="0" xfId="0" applyNumberFormat="1" applyFont="1" applyFill="1"/>
    <xf numFmtId="167" fontId="80" fillId="2" borderId="0" xfId="0" applyNumberFormat="1" applyFont="1" applyFill="1"/>
    <xf numFmtId="166" fontId="80" fillId="2" borderId="0" xfId="0" applyNumberFormat="1" applyFont="1" applyFill="1"/>
    <xf numFmtId="173" fontId="43" fillId="0" borderId="0" xfId="5" applyNumberFormat="1" applyFont="1" applyFill="1" applyAlignment="1">
      <alignment horizontal="right"/>
    </xf>
    <xf numFmtId="173" fontId="42" fillId="0" borderId="0" xfId="5" applyNumberFormat="1" applyFont="1" applyFill="1" applyAlignment="1"/>
    <xf numFmtId="173" fontId="43" fillId="0" borderId="0" xfId="5" applyNumberFormat="1" applyFont="1" applyFill="1" applyAlignment="1"/>
    <xf numFmtId="173" fontId="47" fillId="2" borderId="1" xfId="0" applyNumberFormat="1" applyFont="1" applyFill="1" applyBorder="1"/>
    <xf numFmtId="173" fontId="0" fillId="2" borderId="0" xfId="0" applyNumberFormat="1" applyFill="1"/>
    <xf numFmtId="10" fontId="0" fillId="0" borderId="0" xfId="45" applyNumberFormat="1" applyFont="1" applyAlignment="1">
      <alignment horizontal="right"/>
    </xf>
    <xf numFmtId="10" fontId="0" fillId="0" borderId="0" xfId="0" applyNumberFormat="1"/>
    <xf numFmtId="10" fontId="0" fillId="8" borderId="0" xfId="0" applyNumberFormat="1" applyFill="1"/>
    <xf numFmtId="0" fontId="0" fillId="0" borderId="0" xfId="0" applyAlignment="1"/>
    <xf numFmtId="10" fontId="0" fillId="0" borderId="0" xfId="0" applyNumberFormat="1" applyAlignment="1"/>
    <xf numFmtId="10" fontId="0" fillId="8" borderId="0" xfId="0" applyNumberFormat="1" applyFill="1" applyAlignment="1"/>
    <xf numFmtId="0" fontId="1" fillId="3" borderId="2" xfId="0" applyFont="1" applyFill="1" applyBorder="1" applyAlignment="1">
      <alignment horizontal="center" vertical="center"/>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13" fillId="5" borderId="1" xfId="0" applyFont="1" applyFill="1" applyBorder="1" applyAlignment="1">
      <alignment horizontal="center"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0" fillId="5" borderId="0" xfId="0" applyFill="1" applyAlignment="1">
      <alignment horizontal="left" vertical="center"/>
    </xf>
    <xf numFmtId="0" fontId="0" fillId="5" borderId="1" xfId="0" applyFill="1" applyBorder="1" applyAlignment="1">
      <alignment horizontal="left" vertical="center"/>
    </xf>
    <xf numFmtId="0" fontId="0" fillId="5" borderId="2" xfId="0" quotePrefix="1" applyFill="1" applyBorder="1" applyAlignment="1">
      <alignment horizontal="left" vertical="center" wrapText="1"/>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11" fillId="5" borderId="2"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 xfId="0" applyFont="1" applyFill="1" applyBorder="1" applyAlignment="1">
      <alignment horizontal="left" vertical="center" wrapText="1"/>
    </xf>
    <xf numFmtId="0" fontId="0" fillId="5" borderId="2" xfId="0" applyFill="1" applyBorder="1" applyAlignment="1">
      <alignment horizontal="center" vertical="center"/>
    </xf>
    <xf numFmtId="0" fontId="0" fillId="5" borderId="0" xfId="0" applyFill="1" applyAlignment="1">
      <alignment horizontal="center" vertical="center"/>
    </xf>
    <xf numFmtId="0" fontId="0" fillId="5" borderId="1" xfId="0" applyFill="1" applyBorder="1" applyAlignment="1">
      <alignment horizontal="center" vertical="center"/>
    </xf>
    <xf numFmtId="0" fontId="0" fillId="2" borderId="0" xfId="0" applyFill="1" applyAlignment="1">
      <alignment horizontal="center" wrapText="1"/>
    </xf>
    <xf numFmtId="0" fontId="0" fillId="2" borderId="0" xfId="0" applyFill="1" applyAlignment="1">
      <alignment horizontal="center"/>
    </xf>
    <xf numFmtId="0" fontId="10" fillId="5" borderId="0" xfId="0" applyFont="1" applyFill="1" applyAlignment="1">
      <alignment horizontal="left" vertical="center" wrapText="1"/>
    </xf>
    <xf numFmtId="0" fontId="10" fillId="5" borderId="1" xfId="0" applyFont="1" applyFill="1" applyBorder="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166" fontId="0" fillId="5" borderId="2" xfId="0" applyNumberFormat="1" applyFill="1" applyBorder="1" applyAlignment="1">
      <alignment horizontal="center" vertical="center" wrapText="1"/>
    </xf>
    <xf numFmtId="166" fontId="0" fillId="5" borderId="0" xfId="0" applyNumberFormat="1" applyFill="1" applyAlignment="1">
      <alignment horizontal="center" vertical="center" wrapText="1"/>
    </xf>
    <xf numFmtId="0" fontId="3" fillId="5" borderId="2" xfId="1" applyFill="1" applyBorder="1" applyAlignment="1">
      <alignment horizontal="left" vertical="center" wrapText="1"/>
    </xf>
    <xf numFmtId="0" fontId="3" fillId="5" borderId="0" xfId="1" applyFill="1" applyBorder="1" applyAlignment="1">
      <alignment horizontal="left" vertical="center" wrapText="1"/>
    </xf>
    <xf numFmtId="0" fontId="3" fillId="5" borderId="1" xfId="1" applyFill="1" applyBorder="1" applyAlignment="1">
      <alignment horizontal="left" vertical="center" wrapText="1"/>
    </xf>
    <xf numFmtId="0" fontId="10" fillId="5" borderId="2" xfId="0" applyFont="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166" fontId="0" fillId="5" borderId="1" xfId="0" applyNumberFormat="1" applyFill="1" applyBorder="1" applyAlignment="1">
      <alignment horizontal="center" vertical="center" wrapText="1"/>
    </xf>
    <xf numFmtId="0" fontId="1" fillId="3" borderId="2" xfId="0" applyFont="1" applyFill="1" applyBorder="1" applyAlignment="1">
      <alignment horizontal="center"/>
    </xf>
    <xf numFmtId="0" fontId="3" fillId="2" borderId="2" xfId="1" applyFill="1" applyBorder="1" applyAlignment="1">
      <alignment horizontal="left" vertical="center" wrapText="1"/>
    </xf>
    <xf numFmtId="0" fontId="3" fillId="2" borderId="0" xfId="1" applyFill="1" applyBorder="1" applyAlignment="1">
      <alignment horizontal="left" vertical="center" wrapText="1"/>
    </xf>
    <xf numFmtId="0" fontId="3" fillId="2" borderId="1" xfId="1" applyFill="1" applyBorder="1" applyAlignment="1">
      <alignment horizontal="left" vertical="center" wrapText="1"/>
    </xf>
    <xf numFmtId="0" fontId="3" fillId="5" borderId="0" xfId="1" applyFill="1" applyBorder="1" applyAlignment="1">
      <alignment horizontal="left" vertical="center"/>
    </xf>
    <xf numFmtId="0" fontId="3" fillId="5" borderId="1" xfId="1" applyFill="1" applyBorder="1" applyAlignment="1">
      <alignment horizontal="left" vertical="center"/>
    </xf>
    <xf numFmtId="0" fontId="7" fillId="5" borderId="2"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1"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1" xfId="0" applyFill="1" applyBorder="1" applyAlignment="1">
      <alignment horizontal="left" vertical="center" wrapText="1"/>
    </xf>
    <xf numFmtId="0" fontId="7" fillId="5" borderId="2" xfId="0" applyFont="1" applyFill="1" applyBorder="1" applyAlignment="1">
      <alignment horizontal="center" vertical="center" wrapText="1"/>
    </xf>
    <xf numFmtId="0" fontId="7" fillId="5" borderId="0" xfId="0" applyFont="1" applyFill="1" applyAlignment="1">
      <alignment horizontal="center" vertical="center" wrapText="1"/>
    </xf>
    <xf numFmtId="0" fontId="18" fillId="2" borderId="0" xfId="0" applyFont="1" applyFill="1" applyAlignment="1">
      <alignment horizontal="left" vertical="center" wrapText="1"/>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14" fillId="5" borderId="2" xfId="0" applyFont="1" applyFill="1" applyBorder="1" applyAlignment="1">
      <alignment horizontal="left" vertical="center" wrapText="1"/>
    </xf>
    <xf numFmtId="1" fontId="67" fillId="5" borderId="2" xfId="0" applyNumberFormat="1" applyFont="1" applyFill="1" applyBorder="1" applyAlignment="1">
      <alignment horizontal="left" vertical="center" wrapText="1"/>
    </xf>
    <xf numFmtId="1" fontId="13" fillId="5" borderId="0" xfId="0" applyNumberFormat="1" applyFont="1" applyFill="1" applyAlignment="1">
      <alignment horizontal="left" vertical="center" wrapText="1"/>
    </xf>
    <xf numFmtId="1" fontId="13" fillId="5" borderId="1" xfId="0" applyNumberFormat="1" applyFont="1" applyFill="1" applyBorder="1" applyAlignment="1">
      <alignment horizontal="left" vertical="center" wrapText="1"/>
    </xf>
    <xf numFmtId="0" fontId="0" fillId="2" borderId="0" xfId="0" applyFill="1" applyAlignment="1">
      <alignment horizontal="center" vertical="center"/>
    </xf>
    <xf numFmtId="0" fontId="1" fillId="5" borderId="2" xfId="0" applyFont="1" applyFill="1" applyBorder="1" applyAlignment="1">
      <alignment horizontal="left" vertical="center" wrapText="1"/>
    </xf>
    <xf numFmtId="0" fontId="13" fillId="2" borderId="0" xfId="0" applyFont="1" applyFill="1" applyAlignment="1">
      <alignment horizontal="center" vertical="center"/>
    </xf>
    <xf numFmtId="0" fontId="0" fillId="2" borderId="2" xfId="0" applyFill="1" applyBorder="1" applyAlignment="1">
      <alignment horizontal="center" vertical="center"/>
    </xf>
    <xf numFmtId="0" fontId="13" fillId="5" borderId="2" xfId="0" applyFont="1" applyFill="1" applyBorder="1" applyAlignment="1">
      <alignment horizontal="center" vertical="center" textRotation="90"/>
    </xf>
    <xf numFmtId="0" fontId="13" fillId="5" borderId="0" xfId="0" applyFont="1" applyFill="1" applyAlignment="1">
      <alignment horizontal="center" vertical="center" textRotation="90"/>
    </xf>
    <xf numFmtId="0" fontId="13" fillId="5" borderId="1" xfId="0" applyFont="1" applyFill="1" applyBorder="1" applyAlignment="1">
      <alignment horizontal="center" vertical="center" textRotation="90"/>
    </xf>
    <xf numFmtId="0" fontId="13" fillId="5" borderId="2" xfId="0" applyFont="1" applyFill="1" applyBorder="1" applyAlignment="1">
      <alignment vertical="center" wrapText="1"/>
    </xf>
    <xf numFmtId="0" fontId="13" fillId="5" borderId="0" xfId="0" applyFont="1" applyFill="1" applyAlignment="1">
      <alignment vertical="center" wrapText="1"/>
    </xf>
    <xf numFmtId="0" fontId="13" fillId="5" borderId="1" xfId="0" applyFont="1" applyFill="1" applyBorder="1" applyAlignment="1">
      <alignment vertical="center" wrapText="1"/>
    </xf>
    <xf numFmtId="0" fontId="14" fillId="5" borderId="0" xfId="0" applyFont="1" applyFill="1" applyAlignment="1">
      <alignment horizontal="left" vertical="center" wrapText="1"/>
    </xf>
    <xf numFmtId="0" fontId="14" fillId="5" borderId="1" xfId="0" applyFont="1" applyFill="1" applyBorder="1" applyAlignment="1">
      <alignment horizontal="left" vertical="center" wrapText="1"/>
    </xf>
    <xf numFmtId="0" fontId="0" fillId="5" borderId="2" xfId="0" quotePrefix="1" applyFill="1" applyBorder="1" applyAlignment="1">
      <alignment vertical="center" wrapText="1"/>
    </xf>
    <xf numFmtId="0" fontId="13" fillId="5" borderId="2" xfId="0" quotePrefix="1" applyFont="1" applyFill="1" applyBorder="1" applyAlignment="1">
      <alignment horizontal="left" vertical="center" wrapText="1"/>
    </xf>
    <xf numFmtId="0" fontId="9" fillId="5" borderId="0" xfId="0" applyFont="1" applyFill="1" applyAlignment="1">
      <alignment horizontal="left" vertical="center" wrapText="1"/>
    </xf>
    <xf numFmtId="0" fontId="9" fillId="5" borderId="1" xfId="0" applyFont="1" applyFill="1" applyBorder="1" applyAlignment="1">
      <alignment horizontal="left" vertical="center" wrapText="1"/>
    </xf>
    <xf numFmtId="0" fontId="13" fillId="5" borderId="2" xfId="1" applyFont="1" applyFill="1" applyBorder="1" applyAlignment="1">
      <alignment horizontal="left" vertical="center" wrapText="1"/>
    </xf>
    <xf numFmtId="0" fontId="51" fillId="5" borderId="0" xfId="1" applyFont="1" applyFill="1" applyAlignment="1">
      <alignment horizontal="left" vertical="center" wrapText="1"/>
    </xf>
    <xf numFmtId="0" fontId="51" fillId="5" borderId="1" xfId="1" applyFont="1" applyFill="1" applyBorder="1" applyAlignment="1">
      <alignment horizontal="left" vertical="center" wrapText="1"/>
    </xf>
    <xf numFmtId="0" fontId="0" fillId="5" borderId="2" xfId="0" applyFill="1" applyBorder="1" applyAlignment="1">
      <alignment horizontal="left" vertical="top" wrapText="1"/>
    </xf>
    <xf numFmtId="0" fontId="0" fillId="5" borderId="0" xfId="0" applyFill="1" applyAlignment="1">
      <alignment horizontal="left" vertical="top" wrapText="1"/>
    </xf>
    <xf numFmtId="0" fontId="0" fillId="5" borderId="1" xfId="0" applyFill="1" applyBorder="1" applyAlignment="1">
      <alignment horizontal="left" vertical="top" wrapText="1"/>
    </xf>
    <xf numFmtId="0" fontId="13" fillId="3" borderId="0" xfId="0" applyFont="1" applyFill="1" applyAlignment="1">
      <alignment horizontal="center" vertical="center" textRotation="90"/>
    </xf>
    <xf numFmtId="0" fontId="13" fillId="3" borderId="1" xfId="0" applyFont="1" applyFill="1" applyBorder="1" applyAlignment="1">
      <alignment horizontal="center" vertical="center" textRotation="90"/>
    </xf>
    <xf numFmtId="0" fontId="1" fillId="5" borderId="2" xfId="0" applyFont="1" applyFill="1" applyBorder="1" applyAlignment="1">
      <alignment vertical="center" wrapText="1"/>
    </xf>
    <xf numFmtId="0" fontId="13" fillId="3" borderId="2" xfId="0" applyFont="1" applyFill="1" applyBorder="1" applyAlignment="1">
      <alignment horizontal="center" vertical="center" textRotation="90"/>
    </xf>
    <xf numFmtId="0" fontId="1" fillId="5" borderId="0" xfId="0" applyFont="1" applyFill="1" applyAlignment="1">
      <alignment horizontal="left" vertical="center" wrapText="1"/>
    </xf>
    <xf numFmtId="0" fontId="14" fillId="5" borderId="2" xfId="0" applyFont="1" applyFill="1" applyBorder="1" applyAlignment="1">
      <alignment vertical="center" wrapText="1"/>
    </xf>
    <xf numFmtId="0" fontId="7" fillId="5" borderId="0" xfId="0" applyFont="1" applyFill="1" applyAlignment="1">
      <alignment horizontal="left" vertical="center"/>
    </xf>
    <xf numFmtId="0" fontId="7" fillId="5" borderId="1" xfId="0" applyFont="1" applyFill="1" applyBorder="1" applyAlignment="1">
      <alignment horizontal="left" vertical="center"/>
    </xf>
    <xf numFmtId="0" fontId="49" fillId="5" borderId="2" xfId="1" applyFont="1" applyFill="1" applyBorder="1" applyAlignment="1">
      <alignment horizontal="left" vertical="center" wrapText="1"/>
    </xf>
    <xf numFmtId="0" fontId="1" fillId="5" borderId="1" xfId="0" applyFont="1" applyFill="1" applyBorder="1" applyAlignment="1">
      <alignment horizontal="left" vertical="center" wrapText="1"/>
    </xf>
    <xf numFmtId="1" fontId="11"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1" xfId="0" applyNumberFormat="1" applyFill="1" applyBorder="1" applyAlignment="1">
      <alignment horizontal="left" vertical="center" wrapText="1"/>
    </xf>
    <xf numFmtId="1" fontId="0" fillId="5" borderId="2" xfId="0" applyNumberFormat="1" applyFill="1" applyBorder="1" applyAlignment="1">
      <alignment horizontal="left" vertical="center" wrapText="1"/>
    </xf>
    <xf numFmtId="0" fontId="9" fillId="5" borderId="2" xfId="0" applyFont="1" applyFill="1" applyBorder="1" applyAlignment="1">
      <alignment horizontal="left" vertical="center" wrapText="1"/>
    </xf>
    <xf numFmtId="0" fontId="45" fillId="2" borderId="20" xfId="3" applyFont="1" applyFill="1" applyBorder="1" applyAlignment="1">
      <alignment horizontal="center"/>
    </xf>
    <xf numFmtId="0" fontId="46" fillId="2" borderId="20" xfId="3" applyFont="1" applyFill="1" applyBorder="1" applyAlignment="1">
      <alignment horizontal="center"/>
    </xf>
    <xf numFmtId="0" fontId="45" fillId="2" borderId="0" xfId="3" applyFont="1" applyFill="1" applyAlignment="1">
      <alignment horizontal="center"/>
    </xf>
    <xf numFmtId="0" fontId="46" fillId="2" borderId="0" xfId="3" applyFont="1" applyFill="1" applyAlignment="1">
      <alignment horizontal="center"/>
    </xf>
    <xf numFmtId="0" fontId="48" fillId="2" borderId="1" xfId="0" applyFont="1" applyFill="1" applyBorder="1" applyAlignment="1">
      <alignment horizontal="center"/>
    </xf>
    <xf numFmtId="0" fontId="48" fillId="2" borderId="20" xfId="0" applyFont="1" applyFill="1" applyBorder="1" applyAlignment="1">
      <alignment horizontal="center" wrapText="1"/>
    </xf>
    <xf numFmtId="0" fontId="48" fillId="2" borderId="0" xfId="0" applyFont="1" applyFill="1" applyAlignment="1">
      <alignment horizontal="center"/>
    </xf>
    <xf numFmtId="0" fontId="48" fillId="2" borderId="0" xfId="0" applyFont="1" applyFill="1" applyAlignment="1">
      <alignment horizontal="center" wrapText="1"/>
    </xf>
    <xf numFmtId="0" fontId="47" fillId="2" borderId="21"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0" xfId="0" applyFont="1" applyFill="1" applyAlignment="1">
      <alignment horizontal="center" wrapText="1"/>
    </xf>
    <xf numFmtId="0" fontId="47" fillId="2" borderId="1" xfId="0" applyFont="1" applyFill="1" applyBorder="1" applyAlignment="1">
      <alignment horizontal="center" wrapText="1"/>
    </xf>
    <xf numFmtId="0" fontId="47" fillId="2" borderId="0" xfId="0" applyFont="1" applyFill="1" applyAlignment="1">
      <alignment horizontal="center" vertical="center" wrapText="1"/>
    </xf>
    <xf numFmtId="0" fontId="64" fillId="5" borderId="2" xfId="0" applyFont="1" applyFill="1" applyBorder="1" applyAlignment="1">
      <alignment horizontal="left" vertical="center" wrapText="1"/>
    </xf>
    <xf numFmtId="0" fontId="48" fillId="2" borderId="3" xfId="0" applyFont="1" applyFill="1" applyBorder="1" applyAlignment="1">
      <alignment horizontal="center" wrapText="1"/>
    </xf>
    <xf numFmtId="0" fontId="47" fillId="2" borderId="2" xfId="0" applyFont="1" applyFill="1" applyBorder="1" applyAlignment="1">
      <alignment horizontal="center" vertical="center" wrapText="1"/>
    </xf>
    <xf numFmtId="0" fontId="45" fillId="2" borderId="3" xfId="3" applyFont="1" applyFill="1" applyBorder="1" applyAlignment="1">
      <alignment horizontal="center"/>
    </xf>
    <xf numFmtId="0" fontId="46" fillId="2" borderId="3" xfId="3" applyFont="1" applyFill="1" applyBorder="1" applyAlignment="1">
      <alignment horizontal="center"/>
    </xf>
    <xf numFmtId="0" fontId="54" fillId="3" borderId="2" xfId="4" applyFont="1" applyFill="1" applyBorder="1" applyAlignment="1">
      <alignment horizontal="center"/>
    </xf>
    <xf numFmtId="0" fontId="56" fillId="17" borderId="0" xfId="4" applyFont="1" applyFill="1" applyAlignment="1">
      <alignment horizontal="left" vertical="top" wrapText="1"/>
    </xf>
    <xf numFmtId="0" fontId="56" fillId="17" borderId="13" xfId="4" applyFont="1" applyFill="1" applyBorder="1" applyAlignment="1">
      <alignment horizontal="left" vertical="top" wrapText="1"/>
    </xf>
    <xf numFmtId="0" fontId="6" fillId="2" borderId="13" xfId="4" applyFill="1" applyBorder="1" applyAlignment="1">
      <alignment horizontal="center" vertical="center"/>
    </xf>
    <xf numFmtId="0" fontId="6" fillId="2" borderId="0" xfId="4" applyFill="1" applyAlignment="1">
      <alignment horizontal="center" vertical="center"/>
    </xf>
    <xf numFmtId="0" fontId="6" fillId="2" borderId="14" xfId="4" applyFill="1" applyBorder="1" applyAlignment="1">
      <alignment horizontal="center" vertical="center"/>
    </xf>
    <xf numFmtId="0" fontId="56" fillId="17" borderId="14" xfId="4" applyFont="1" applyFill="1" applyBorder="1" applyAlignment="1">
      <alignment horizontal="left" vertical="top" wrapText="1"/>
    </xf>
    <xf numFmtId="0" fontId="45" fillId="0" borderId="3" xfId="3" applyFont="1" applyBorder="1" applyAlignment="1">
      <alignment horizontal="center"/>
    </xf>
    <xf numFmtId="0" fontId="46" fillId="0" borderId="3" xfId="3" applyFont="1" applyBorder="1" applyAlignment="1">
      <alignment horizontal="center"/>
    </xf>
    <xf numFmtId="0" fontId="48" fillId="0" borderId="1" xfId="0" applyFont="1" applyBorder="1" applyAlignment="1">
      <alignment horizontal="center"/>
    </xf>
    <xf numFmtId="0" fontId="48" fillId="0" borderId="3" xfId="0" applyFont="1" applyBorder="1" applyAlignment="1">
      <alignment horizontal="center" wrapText="1"/>
    </xf>
    <xf numFmtId="0" fontId="47" fillId="0" borderId="0" xfId="0" applyFont="1" applyAlignment="1">
      <alignment horizontal="center" wrapText="1"/>
    </xf>
    <xf numFmtId="0" fontId="47" fillId="0" borderId="1" xfId="0" applyFont="1" applyBorder="1" applyAlignment="1">
      <alignment horizontal="center" wrapText="1"/>
    </xf>
    <xf numFmtId="0" fontId="0" fillId="11" borderId="5" xfId="0" applyFill="1" applyBorder="1" applyAlignment="1">
      <alignment horizontal="center" vertical="center" wrapText="1"/>
    </xf>
    <xf numFmtId="0" fontId="0" fillId="11" borderId="9"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9"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10" xfId="0" applyFill="1" applyBorder="1" applyAlignment="1">
      <alignment horizontal="center" vertical="center" wrapText="1"/>
    </xf>
    <xf numFmtId="0" fontId="0" fillId="11" borderId="7" xfId="0" applyFill="1" applyBorder="1" applyAlignment="1">
      <alignment horizontal="center" wrapText="1"/>
    </xf>
    <xf numFmtId="0" fontId="0" fillId="11" borderId="3" xfId="0" applyFill="1" applyBorder="1" applyAlignment="1">
      <alignment horizontal="center" wrapText="1"/>
    </xf>
    <xf numFmtId="0" fontId="0" fillId="11" borderId="8" xfId="0" applyFill="1" applyBorder="1" applyAlignment="1">
      <alignment horizontal="center" wrapText="1"/>
    </xf>
    <xf numFmtId="0" fontId="0" fillId="2" borderId="0" xfId="0" applyFill="1" applyAlignment="1">
      <alignment horizontal="left" wrapText="1" indent="1"/>
    </xf>
    <xf numFmtId="0" fontId="11" fillId="5" borderId="2" xfId="0" quotePrefix="1" applyFont="1" applyFill="1" applyBorder="1" applyAlignment="1">
      <alignment horizontal="left" vertical="center" wrapText="1"/>
    </xf>
  </cellXfs>
  <cellStyles count="46">
    <cellStyle name=" 1" xfId="15" xr:uid="{852422CD-7F1A-452B-BA2F-FBD72279580F}"/>
    <cellStyle name=" Verticals" xfId="16" xr:uid="{5029D681-11AC-4DE5-B24E-AE3E028BBC97}"/>
    <cellStyle name="Comma" xfId="5" builtinId="3"/>
    <cellStyle name="Comma 2" xfId="11" xr:uid="{32B3EA6D-C9AE-4583-9F03-E60196D28E24}"/>
    <cellStyle name="Comma 2 2" xfId="40" xr:uid="{EBE216D8-73B5-43D8-8DDC-468A0DF94C81}"/>
    <cellStyle name="Comma 3" xfId="7" xr:uid="{11BED4ED-4A4B-4B30-A841-400D2A1AEBE8}"/>
    <cellStyle name="Comma 87" xfId="17" xr:uid="{C87527C9-0A7A-4C3A-B101-02FECCD99C61}"/>
    <cellStyle name="Comma 87 2" xfId="41" xr:uid="{4C302F15-B046-466F-808B-213F3C62AB80}"/>
    <cellStyle name="Hyperlink" xfId="1" builtinId="8"/>
    <cellStyle name="Hyperlink 2" xfId="10" xr:uid="{3E6FFBC5-B67A-41BF-AA9D-817DC627F165}"/>
    <cellStyle name="Hyperlink 4" xfId="18" xr:uid="{3B2CE757-0934-40CA-A649-CF8C2162C8C3}"/>
    <cellStyle name="Îáû÷íûé_23_1 " xfId="19" xr:uid="{2E6F754F-5BC1-48B3-8350-A855A584876F}"/>
    <cellStyle name="Milliers 3" xfId="36" xr:uid="{B46C18AB-B5A8-4F7D-91C4-BB496F674DCD}"/>
    <cellStyle name="N " xfId="20" xr:uid="{DE858F9F-67B9-4432-ADF0-0DE20D843842}"/>
    <cellStyle name="Normal" xfId="0" builtinId="0"/>
    <cellStyle name="Normal 10" xfId="34" xr:uid="{A50448EE-424D-4146-96BE-C4CCBC0DCAC6}"/>
    <cellStyle name="Normal 10 4" xfId="21" xr:uid="{021CB990-6DA7-404A-A5CA-EC12B9638559}"/>
    <cellStyle name="Normal 1085" xfId="22" xr:uid="{1E3623AA-6FA0-4224-B62B-DA4E840418C6}"/>
    <cellStyle name="Normal 1085 2" xfId="42" xr:uid="{6D4F8093-FE1A-46F7-AE3B-EE00EE6BAD41}"/>
    <cellStyle name="Normal 1086" xfId="23" xr:uid="{EDBD4520-B14D-4EEA-8A40-0360D208E6A4}"/>
    <cellStyle name="Normal 1086 2" xfId="43" xr:uid="{1E90A00B-ED97-4A24-8654-EAB78AFD0DE6}"/>
    <cellStyle name="Normal 2" xfId="3" xr:uid="{FC4444F1-840A-4C07-849C-06065498BFF6}"/>
    <cellStyle name="Normal 2 2 2 10" xfId="24" xr:uid="{CC7E08A8-92A5-4E3C-820B-A842DDC84475}"/>
    <cellStyle name="Normal 2 3 3" xfId="25" xr:uid="{7645372A-1C10-4307-8512-DC9321B56819}"/>
    <cellStyle name="Normal 2_Summary.Global" xfId="32" xr:uid="{0A100EDF-DEF7-4158-8E62-5D6F20DCD778}"/>
    <cellStyle name="Normal 3" xfId="2" xr:uid="{EE2C9F8D-7B90-4A17-A0BC-2DEA4A4C58A8}"/>
    <cellStyle name="Normal 35" xfId="26" xr:uid="{96CE0A53-DD99-44D3-BFE0-1469D92AA9A5}"/>
    <cellStyle name="Normal 4" xfId="4" xr:uid="{A65936BE-3F02-4D3E-BC06-527BE74CA692}"/>
    <cellStyle name="Normal 4 3 2 2" xfId="27" xr:uid="{D08885E8-1349-47DD-B557-AE495E18D787}"/>
    <cellStyle name="Normal 4_ENDA" xfId="33" xr:uid="{351E7392-5EE8-428E-A17D-5D7176023FDD}"/>
    <cellStyle name="Normal 47" xfId="28" xr:uid="{50503EDD-FF5C-49B3-93CB-2347F4C1A9F2}"/>
    <cellStyle name="Normal 48 8" xfId="29" xr:uid="{D7EF92B1-37B1-4D90-85D6-C5C49A8FFBA0}"/>
    <cellStyle name="Normal 5" xfId="8" xr:uid="{49024511-E0B6-4C6A-8A0C-97FA59C3AAD0}"/>
    <cellStyle name="Normal 5 2" xfId="38" xr:uid="{636A3D59-673F-4B4F-8E90-01A41964314C}"/>
    <cellStyle name="Normal 5 6" xfId="30" xr:uid="{BF2E46B7-D488-420F-9528-0BDB634EC703}"/>
    <cellStyle name="Normal 5_ENDA" xfId="35" xr:uid="{B1501F88-37FF-4F6F-B281-5437306B852E}"/>
    <cellStyle name="Normal 6" xfId="9" xr:uid="{BF50077B-2E5B-4CDA-8EE0-4507D10FA881}"/>
    <cellStyle name="Normal 6 2" xfId="39" xr:uid="{D46B4FB1-FE9A-4EF4-A490-48A69E8626DC}"/>
    <cellStyle name="Normal 6_Table_Aggregate_Wavg" xfId="44" xr:uid="{CB18FF58-FB3C-41B8-B437-5CE0617F60ED}"/>
    <cellStyle name="Normal 7" xfId="6" xr:uid="{5FD5C82E-34D8-4B74-8F80-4088C58AAB87}"/>
    <cellStyle name="Normal 8" xfId="37" xr:uid="{17FCD77D-F15A-4B51-8C81-064029FBE676}"/>
    <cellStyle name="Normal 9" xfId="14" xr:uid="{A3C13113-2DFD-4FFF-94F2-1910DFB95B09}"/>
    <cellStyle name="Normální 2" xfId="12" xr:uid="{3AF40A2D-0AD3-48B0-875B-03475B32817A}"/>
    <cellStyle name="Normální 2 2" xfId="13" xr:uid="{D553826B-210B-4DC6-A18F-4BB899CA242A}"/>
    <cellStyle name="Percent" xfId="45" builtinId="5"/>
    <cellStyle name="Ввод " xfId="31" xr:uid="{F4960D2C-BD93-4694-9D05-6D9D07CFD1FF}"/>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966851646705557E-2"/>
          <c:y val="2.7064122549821365E-2"/>
          <c:w val="0.91984230096237973"/>
          <c:h val="0.85929899387576558"/>
        </c:manualLayout>
      </c:layout>
      <c:barChart>
        <c:barDir val="col"/>
        <c:grouping val="clustered"/>
        <c:varyColors val="0"/>
        <c:ser>
          <c:idx val="0"/>
          <c:order val="0"/>
          <c:tx>
            <c:strRef>
              <c:f>Figure!$D$8</c:f>
              <c:strCache>
                <c:ptCount val="1"/>
                <c:pt idx="0">
                  <c:v>Additional spending and forgone revenue</c:v>
                </c:pt>
              </c:strCache>
            </c:strRef>
          </c:tx>
          <c:spPr>
            <a:solidFill>
              <a:schemeClr val="accent1"/>
            </a:solidFill>
            <a:ln>
              <a:no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Figure!$D$9:$D$30</c:f>
              <c:numCache>
                <c:formatCode>0.00</c:formatCode>
                <c:ptCount val="22"/>
                <c:pt idx="0">
                  <c:v>3.412660153565414</c:v>
                </c:pt>
                <c:pt idx="1">
                  <c:v>4.1538214254109116</c:v>
                </c:pt>
                <c:pt idx="2">
                  <c:v>4.7843243517875598</c:v>
                </c:pt>
                <c:pt idx="3" formatCode="0.0">
                  <c:v>6.047351260148055</c:v>
                </c:pt>
                <c:pt idx="4">
                  <c:v>6.3988747084813387</c:v>
                </c:pt>
                <c:pt idx="5">
                  <c:v>7.4022943167997886</c:v>
                </c:pt>
                <c:pt idx="6">
                  <c:v>7.9111095244692748</c:v>
                </c:pt>
                <c:pt idx="7">
                  <c:v>8.1786083953747628</c:v>
                </c:pt>
                <c:pt idx="8" formatCode="0.0">
                  <c:v>8.3916545151825215</c:v>
                </c:pt>
                <c:pt idx="9" formatCode="0.0">
                  <c:v>9.1911264362891103</c:v>
                </c:pt>
                <c:pt idx="10" formatCode="0.0">
                  <c:v>9.6358441242628725</c:v>
                </c:pt>
                <c:pt idx="11" formatCode="0.0">
                  <c:v>10.2862785044276</c:v>
                </c:pt>
                <c:pt idx="12" formatCode="0.0">
                  <c:v>10.898555638640223</c:v>
                </c:pt>
                <c:pt idx="13" formatCode="0.0">
                  <c:v>11.689682936652421</c:v>
                </c:pt>
                <c:pt idx="14" formatCode="0.0">
                  <c:v>15.322666856715248</c:v>
                </c:pt>
                <c:pt idx="15">
                  <c:v>15.923588544631171</c:v>
                </c:pt>
                <c:pt idx="16" formatCode="0.0">
                  <c:v>16.725807215115971</c:v>
                </c:pt>
                <c:pt idx="17">
                  <c:v>18.370673152863606</c:v>
                </c:pt>
                <c:pt idx="18" formatCode="0.0">
                  <c:v>18.39709108521307</c:v>
                </c:pt>
                <c:pt idx="19" formatCode="0.0">
                  <c:v>19.27047748644793</c:v>
                </c:pt>
                <c:pt idx="20" formatCode="0.0">
                  <c:v>19.27864943902545</c:v>
                </c:pt>
                <c:pt idx="21" formatCode="0.0">
                  <c:v>25.501884534848941</c:v>
                </c:pt>
              </c:numCache>
            </c:numRef>
          </c:val>
          <c:extLst>
            <c:ext xmlns:c16="http://schemas.microsoft.com/office/drawing/2014/chart" uri="{C3380CC4-5D6E-409C-BE32-E72D297353CC}">
              <c16:uniqueId val="{00000000-1312-4A2E-9AE4-7E3C2302D71E}"/>
            </c:ext>
          </c:extLst>
        </c:ser>
        <c:ser>
          <c:idx val="1"/>
          <c:order val="1"/>
          <c:tx>
            <c:strRef>
              <c:f>Figure!$E$8</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Figure!$E$9:$E$30</c:f>
              <c:numCache>
                <c:formatCode>0.00</c:formatCode>
                <c:ptCount val="22"/>
                <c:pt idx="0">
                  <c:v>15.633846892182691</c:v>
                </c:pt>
                <c:pt idx="1">
                  <c:v>5.2514737537682885</c:v>
                </c:pt>
                <c:pt idx="2">
                  <c:v>7.3670127186817282</c:v>
                </c:pt>
                <c:pt idx="3" formatCode="0.0">
                  <c:v>5.7474826026200523</c:v>
                </c:pt>
                <c:pt idx="4">
                  <c:v>10.133706995889202</c:v>
                </c:pt>
                <c:pt idx="5">
                  <c:v>4.5196068763764252</c:v>
                </c:pt>
                <c:pt idx="6">
                  <c:v>6.2155277269910725</c:v>
                </c:pt>
                <c:pt idx="7">
                  <c:v>11.880038211167678</c:v>
                </c:pt>
                <c:pt idx="8" formatCode="0.0">
                  <c:v>14.371343413420227</c:v>
                </c:pt>
                <c:pt idx="9" formatCode="0.0">
                  <c:v>15.476002537832619</c:v>
                </c:pt>
                <c:pt idx="10" formatCode="0.0">
                  <c:v>15.211519588685375</c:v>
                </c:pt>
                <c:pt idx="11" formatCode="0.0">
                  <c:v>4.3494834988345135</c:v>
                </c:pt>
                <c:pt idx="12" formatCode="0.0">
                  <c:v>35.253800114434831</c:v>
                </c:pt>
                <c:pt idx="13" formatCode="0.0">
                  <c:v>11.383563231643752</c:v>
                </c:pt>
                <c:pt idx="14" formatCode="0.0">
                  <c:v>27.786270524971673</c:v>
                </c:pt>
                <c:pt idx="15" formatCode="0.0">
                  <c:v>3.9502835723081042</c:v>
                </c:pt>
                <c:pt idx="16" formatCode="0.0">
                  <c:v>28.328059722826829</c:v>
                </c:pt>
                <c:pt idx="17" formatCode="0.0">
                  <c:v>1.7776432412226326</c:v>
                </c:pt>
                <c:pt idx="18" formatCode="0.0">
                  <c:v>4.6898725825572125</c:v>
                </c:pt>
                <c:pt idx="19" formatCode="0.0">
                  <c:v>16.715126946045977</c:v>
                </c:pt>
                <c:pt idx="20" formatCode="0.0">
                  <c:v>1.9558050155533067</c:v>
                </c:pt>
                <c:pt idx="21" formatCode="0.0">
                  <c:v>2.4409213281483697</c:v>
                </c:pt>
              </c:numCache>
            </c:numRef>
          </c:val>
          <c:extLst>
            <c:ext xmlns:c16="http://schemas.microsoft.com/office/drawing/2014/chart" uri="{C3380CC4-5D6E-409C-BE32-E72D297353CC}">
              <c16:uniqueId val="{00000001-1312-4A2E-9AE4-7E3C2302D71E}"/>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Figure!$D$33</c:f>
              <c:strCache>
                <c:ptCount val="1"/>
                <c:pt idx="0">
                  <c:v>Additional spending and forgone revenue</c:v>
                </c:pt>
              </c:strCache>
            </c:strRef>
          </c:tx>
          <c:spPr>
            <a:solidFill>
              <a:srgbClr val="C00000"/>
            </a:solidFill>
            <a:ln>
              <a:no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Figure!$D$34:$D$63</c:f>
              <c:numCache>
                <c:formatCode>0.00</c:formatCode>
                <c:ptCount val="30"/>
                <c:pt idx="0">
                  <c:v>0.65442396745349374</c:v>
                </c:pt>
                <c:pt idx="1">
                  <c:v>1.5680273855370135</c:v>
                </c:pt>
                <c:pt idx="2">
                  <c:v>1.9924764282578782</c:v>
                </c:pt>
                <c:pt idx="3">
                  <c:v>2.2512745821149296</c:v>
                </c:pt>
                <c:pt idx="4">
                  <c:v>2.4280205714042915</c:v>
                </c:pt>
                <c:pt idx="5">
                  <c:v>2.5748045471962433</c:v>
                </c:pt>
                <c:pt idx="6">
                  <c:v>2.7063675838678867</c:v>
                </c:pt>
                <c:pt idx="7">
                  <c:v>3.4105481432975906</c:v>
                </c:pt>
                <c:pt idx="8">
                  <c:v>3.5051335544057456</c:v>
                </c:pt>
                <c:pt idx="9">
                  <c:v>3.6</c:v>
                </c:pt>
                <c:pt idx="10">
                  <c:v>4.0942849748831005</c:v>
                </c:pt>
                <c:pt idx="11">
                  <c:v>4.4540862311094349</c:v>
                </c:pt>
                <c:pt idx="12">
                  <c:v>4.6169047873067024</c:v>
                </c:pt>
                <c:pt idx="13">
                  <c:v>4.7801156546253365</c:v>
                </c:pt>
                <c:pt idx="14">
                  <c:v>4.9999322298342346</c:v>
                </c:pt>
                <c:pt idx="15">
                  <c:v>5.0052604782800296</c:v>
                </c:pt>
                <c:pt idx="16">
                  <c:v>5.2761463161134641</c:v>
                </c:pt>
                <c:pt idx="17">
                  <c:v>5.2881375195675631</c:v>
                </c:pt>
                <c:pt idx="18">
                  <c:v>5.3494285646507498</c:v>
                </c:pt>
                <c:pt idx="19">
                  <c:v>5.4981978129390923</c:v>
                </c:pt>
                <c:pt idx="20">
                  <c:v>5.6698092972075358</c:v>
                </c:pt>
                <c:pt idx="21">
                  <c:v>6.463386978297736</c:v>
                </c:pt>
                <c:pt idx="22">
                  <c:v>7.1244589204446775</c:v>
                </c:pt>
                <c:pt idx="23">
                  <c:v>9.1999999999999993</c:v>
                </c:pt>
                <c:pt idx="24">
                  <c:v>9.2362126130761357</c:v>
                </c:pt>
                <c:pt idx="25">
                  <c:v>9.3296348167315557</c:v>
                </c:pt>
                <c:pt idx="26">
                  <c:v>9.5938667869694285</c:v>
                </c:pt>
                <c:pt idx="27">
                  <c:v>12.153288105042478</c:v>
                </c:pt>
                <c:pt idx="28">
                  <c:v>12.682470249573225</c:v>
                </c:pt>
                <c:pt idx="29">
                  <c:v>14.587579816038515</c:v>
                </c:pt>
              </c:numCache>
            </c:numRef>
          </c:val>
          <c:extLst>
            <c:ext xmlns:c16="http://schemas.microsoft.com/office/drawing/2014/chart" uri="{C3380CC4-5D6E-409C-BE32-E72D297353CC}">
              <c16:uniqueId val="{00000000-FAC4-421F-84BC-5330B1861B4B}"/>
            </c:ext>
          </c:extLst>
        </c:ser>
        <c:ser>
          <c:idx val="1"/>
          <c:order val="1"/>
          <c:tx>
            <c:strRef>
              <c:f>Figure!$E$33</c:f>
              <c:strCache>
                <c:ptCount val="1"/>
                <c:pt idx="0">
                  <c:v>Equity, loans, and guarantees</c:v>
                </c:pt>
              </c:strCache>
            </c:strRef>
          </c:tx>
          <c:spPr>
            <a:solidFill>
              <a:srgbClr val="C00000">
                <a:alpha val="25000"/>
              </a:srgbClr>
            </a:solidFill>
            <a:ln>
              <a:solidFill>
                <a:sysClr val="windowText" lastClr="000000"/>
              </a:solid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Figure!$E$34:$E$63</c:f>
              <c:numCache>
                <c:formatCode>0.00</c:formatCode>
                <c:ptCount val="30"/>
                <c:pt idx="0">
                  <c:v>1.1974658424331148</c:v>
                </c:pt>
                <c:pt idx="1">
                  <c:v>0.12734274711168164</c:v>
                </c:pt>
                <c:pt idx="3">
                  <c:v>1.6169375451654189</c:v>
                </c:pt>
                <c:pt idx="5">
                  <c:v>0.97888278462693656</c:v>
                </c:pt>
                <c:pt idx="6">
                  <c:v>0.81599022629182516</c:v>
                </c:pt>
                <c:pt idx="7">
                  <c:v>4.1779214755395486</c:v>
                </c:pt>
                <c:pt idx="8">
                  <c:v>9.6336683671683065</c:v>
                </c:pt>
                <c:pt idx="10">
                  <c:v>6.2246558359377007</c:v>
                </c:pt>
                <c:pt idx="11">
                  <c:v>0.58533048093428119</c:v>
                </c:pt>
                <c:pt idx="12">
                  <c:v>5.3832647172315324</c:v>
                </c:pt>
                <c:pt idx="13">
                  <c:v>1.296401676315599</c:v>
                </c:pt>
                <c:pt idx="14">
                  <c:v>3.0150193747373906</c:v>
                </c:pt>
                <c:pt idx="15">
                  <c:v>1.464931484771163</c:v>
                </c:pt>
                <c:pt idx="16">
                  <c:v>4.0820635535067034</c:v>
                </c:pt>
                <c:pt idx="17">
                  <c:v>3.8969661376660198</c:v>
                </c:pt>
                <c:pt idx="18">
                  <c:v>2.5591817628180888</c:v>
                </c:pt>
                <c:pt idx="19">
                  <c:v>2.8523315300149559</c:v>
                </c:pt>
                <c:pt idx="20">
                  <c:v>4.2361312566225386</c:v>
                </c:pt>
                <c:pt idx="21">
                  <c:v>4.8195695177719475</c:v>
                </c:pt>
                <c:pt idx="22">
                  <c:v>0</c:v>
                </c:pt>
                <c:pt idx="23">
                  <c:v>37.268193384223913</c:v>
                </c:pt>
                <c:pt idx="24">
                  <c:v>6.1507617357903435</c:v>
                </c:pt>
                <c:pt idx="25">
                  <c:v>0.87565550573371964</c:v>
                </c:pt>
                <c:pt idx="26">
                  <c:v>9.6353601006978682</c:v>
                </c:pt>
                <c:pt idx="27">
                  <c:v>3.203050328889208</c:v>
                </c:pt>
                <c:pt idx="28">
                  <c:v>2.4993918327164151</c:v>
                </c:pt>
                <c:pt idx="29">
                  <c:v>4.2361312566225386</c:v>
                </c:pt>
              </c:numCache>
            </c:numRef>
          </c:val>
          <c:extLst>
            <c:ext xmlns:c16="http://schemas.microsoft.com/office/drawing/2014/chart" uri="{C3380CC4-5D6E-409C-BE32-E72D297353CC}">
              <c16:uniqueId val="{00000001-FAC4-421F-84BC-5330B1861B4B}"/>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97373492649083E-2"/>
          <c:y val="2.7100674915635545E-2"/>
          <c:w val="0.90764434737628596"/>
          <c:h val="0.84456282808398953"/>
        </c:manualLayout>
      </c:layout>
      <c:barChart>
        <c:barDir val="col"/>
        <c:grouping val="clustered"/>
        <c:varyColors val="0"/>
        <c:ser>
          <c:idx val="0"/>
          <c:order val="0"/>
          <c:tx>
            <c:strRef>
              <c:f>Figure!$D$66</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Figure!$D$67:$D$81</c:f>
              <c:numCache>
                <c:formatCode>0.00</c:formatCode>
                <c:ptCount val="15"/>
                <c:pt idx="0">
                  <c:v>0.72281351560912455</c:v>
                </c:pt>
                <c:pt idx="1">
                  <c:v>0.73950497267868009</c:v>
                </c:pt>
                <c:pt idx="2">
                  <c:v>1.7703277371912942</c:v>
                </c:pt>
                <c:pt idx="3">
                  <c:v>2.0034076510126715</c:v>
                </c:pt>
                <c:pt idx="4">
                  <c:v>2.3031524031183657</c:v>
                </c:pt>
                <c:pt idx="5">
                  <c:v>2.3707909284496753</c:v>
                </c:pt>
                <c:pt idx="6">
                  <c:v>2.4514108377373729</c:v>
                </c:pt>
                <c:pt idx="7">
                  <c:v>2.5012230728926022</c:v>
                </c:pt>
                <c:pt idx="8">
                  <c:v>3.1979067729239525</c:v>
                </c:pt>
                <c:pt idx="9">
                  <c:v>3.2595714054750369</c:v>
                </c:pt>
                <c:pt idx="10">
                  <c:v>3.4</c:v>
                </c:pt>
                <c:pt idx="11">
                  <c:v>5.2826581188893638</c:v>
                </c:pt>
                <c:pt idx="12">
                  <c:v>5.6043392101381073</c:v>
                </c:pt>
                <c:pt idx="13">
                  <c:v>5.6592682383610757</c:v>
                </c:pt>
                <c:pt idx="14">
                  <c:v>6.702226729381966</c:v>
                </c:pt>
              </c:numCache>
            </c:numRef>
          </c:val>
          <c:extLst>
            <c:ext xmlns:c16="http://schemas.microsoft.com/office/drawing/2014/chart" uri="{C3380CC4-5D6E-409C-BE32-E72D297353CC}">
              <c16:uniqueId val="{00000000-9BF2-408F-970B-BAEAD5E49BD9}"/>
            </c:ext>
          </c:extLst>
        </c:ser>
        <c:ser>
          <c:idx val="1"/>
          <c:order val="1"/>
          <c:tx>
            <c:strRef>
              <c:f>Figure!$E$66</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Figure!$E$67:$E$81</c:f>
              <c:numCache>
                <c:formatCode>0.00</c:formatCode>
                <c:ptCount val="15"/>
                <c:pt idx="0">
                  <c:v>0.26062987341675165</c:v>
                </c:pt>
                <c:pt idx="1">
                  <c:v>1.2643271887137633</c:v>
                </c:pt>
                <c:pt idx="2">
                  <c:v>0.95527150819157258</c:v>
                </c:pt>
                <c:pt idx="3">
                  <c:v>0.25395308252273302</c:v>
                </c:pt>
                <c:pt idx="4">
                  <c:v>7.3010489709098458E-2</c:v>
                </c:pt>
                <c:pt idx="7">
                  <c:v>0.62234223377659526</c:v>
                </c:pt>
                <c:pt idx="8">
                  <c:v>0.85001052979939085</c:v>
                </c:pt>
                <c:pt idx="9">
                  <c:v>0.31291885492560356</c:v>
                </c:pt>
                <c:pt idx="10">
                  <c:v>1.173741782953889</c:v>
                </c:pt>
                <c:pt idx="11">
                  <c:v>0</c:v>
                </c:pt>
                <c:pt idx="12">
                  <c:v>1.4098966566385176</c:v>
                </c:pt>
                <c:pt idx="13">
                  <c:v>2.0537666994052293</c:v>
                </c:pt>
                <c:pt idx="14">
                  <c:v>1.8202679873389367</c:v>
                </c:pt>
              </c:numCache>
            </c:numRef>
          </c:val>
          <c:extLst>
            <c:ext xmlns:c16="http://schemas.microsoft.com/office/drawing/2014/chart" uri="{C3380CC4-5D6E-409C-BE32-E72D297353CC}">
              <c16:uniqueId val="{00000001-9BF2-408F-970B-BAEAD5E49BD9}"/>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7</xdr:col>
      <xdr:colOff>459202</xdr:colOff>
      <xdr:row>6</xdr:row>
      <xdr:rowOff>44402</xdr:rowOff>
    </xdr:from>
    <xdr:to>
      <xdr:col>16</xdr:col>
      <xdr:colOff>415192</xdr:colOff>
      <xdr:row>28</xdr:row>
      <xdr:rowOff>97692</xdr:rowOff>
    </xdr:to>
    <xdr:graphicFrame macro="">
      <xdr:nvGraphicFramePr>
        <xdr:cNvPr id="2" name="Chart 1">
          <a:extLst>
            <a:ext uri="{FF2B5EF4-FFF2-40B4-BE49-F238E27FC236}">
              <a16:creationId xmlns:a16="http://schemas.microsoft.com/office/drawing/2014/main" id="{1706C6A5-5370-4BFA-B07B-6651671F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464924</xdr:colOff>
      <xdr:row>5</xdr:row>
      <xdr:rowOff>134326</xdr:rowOff>
    </xdr:from>
    <xdr:to>
      <xdr:col>26</xdr:col>
      <xdr:colOff>512885</xdr:colOff>
      <xdr:row>29</xdr:row>
      <xdr:rowOff>134326</xdr:rowOff>
    </xdr:to>
    <xdr:graphicFrame macro="">
      <xdr:nvGraphicFramePr>
        <xdr:cNvPr id="3" name="Chart 2">
          <a:extLst>
            <a:ext uri="{FF2B5EF4-FFF2-40B4-BE49-F238E27FC236}">
              <a16:creationId xmlns:a16="http://schemas.microsoft.com/office/drawing/2014/main" id="{F4EB0F40-B9EC-493B-96D4-3CB48D3AC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603333</xdr:colOff>
      <xdr:row>5</xdr:row>
      <xdr:rowOff>146539</xdr:rowOff>
    </xdr:from>
    <xdr:to>
      <xdr:col>35</xdr:col>
      <xdr:colOff>341923</xdr:colOff>
      <xdr:row>30</xdr:row>
      <xdr:rowOff>12211</xdr:rowOff>
    </xdr:to>
    <xdr:graphicFrame macro="">
      <xdr:nvGraphicFramePr>
        <xdr:cNvPr id="4" name="Chart 3">
          <a:extLst>
            <a:ext uri="{FF2B5EF4-FFF2-40B4-BE49-F238E27FC236}">
              <a16:creationId xmlns:a16="http://schemas.microsoft.com/office/drawing/2014/main" id="{02D1FA2C-7F5F-4F01-B43E-5B99089BB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415192</xdr:colOff>
      <xdr:row>1</xdr:row>
      <xdr:rowOff>73891</xdr:rowOff>
    </xdr:from>
    <xdr:ext cx="5038148" cy="793462"/>
    <xdr:pic>
      <xdr:nvPicPr>
        <xdr:cNvPr id="5" name="Picture 4">
          <a:extLst>
            <a:ext uri="{FF2B5EF4-FFF2-40B4-BE49-F238E27FC236}">
              <a16:creationId xmlns:a16="http://schemas.microsoft.com/office/drawing/2014/main" id="{2A56EDF3-9A78-48A8-83B7-21C92B9D58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92596" y="232641"/>
          <a:ext cx="5038148" cy="79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293078</xdr:colOff>
      <xdr:row>31</xdr:row>
      <xdr:rowOff>12212</xdr:rowOff>
    </xdr:from>
    <xdr:to>
      <xdr:col>23</xdr:col>
      <xdr:colOff>342531</xdr:colOff>
      <xdr:row>39</xdr:row>
      <xdr:rowOff>61403</xdr:rowOff>
    </xdr:to>
    <xdr:sp macro="" textlink="">
      <xdr:nvSpPr>
        <xdr:cNvPr id="6" name="TextBox 5">
          <a:extLst>
            <a:ext uri="{FF2B5EF4-FFF2-40B4-BE49-F238E27FC236}">
              <a16:creationId xmlns:a16="http://schemas.microsoft.com/office/drawing/2014/main" id="{EB53E674-B097-4155-8BB2-552C67E20004}"/>
            </a:ext>
          </a:extLst>
        </xdr:cNvPr>
        <xdr:cNvSpPr txBox="1"/>
      </xdr:nvSpPr>
      <xdr:spPr>
        <a:xfrm>
          <a:off x="10116528" y="4965212"/>
          <a:ext cx="6755053" cy="1325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baseline="0">
              <a:solidFill>
                <a:schemeClr val="dk1"/>
              </a:solidFill>
              <a:latin typeface="+mn-lt"/>
              <a:ea typeface="+mn-ea"/>
              <a:cs typeface="+mn-cs"/>
            </a:rPr>
            <a:t>Sources: Database of Country Fiscal Measures in Response to the COVID-19 Pandemic; and IMF staff estimates.</a:t>
          </a:r>
        </a:p>
        <a:p>
          <a:pPr rtl="0"/>
          <a:r>
            <a:rPr lang="en-US" sz="1100" b="0" i="0" u="none" strike="noStrike" baseline="0">
              <a:solidFill>
                <a:schemeClr val="dk1"/>
              </a:solidFill>
              <a:latin typeface="+mn-lt"/>
              <a:ea typeface="+mn-ea"/>
              <a:cs typeface="+mn-cs"/>
            </a:rPr>
            <a:t>Note: Estimates as of September 27, 2021. Numbers in U.S. dollar and percent of GDP are based on October 2021 World Economic Outlook  unless otherwise stated. Country group averages are weighted by GDP in US dollars adjusted by purchasing power parity. Data labels use International Organization for Standardization country codes. AEs = advanced economies; EMEs = emerging market economies; LIDCs = low-income developing countries.</a:t>
          </a:r>
          <a:endParaRPr lang="en-US" sz="1100" b="0" i="1" u="none" strike="noStrike" baseline="0">
            <a:solidFill>
              <a:schemeClr val="dk1"/>
            </a:solidFill>
            <a:latin typeface="+mn-lt"/>
            <a:ea typeface="+mn-ea"/>
            <a:cs typeface="+mn-cs"/>
          </a:endParaRPr>
        </a:p>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0.61293</cdr:x>
      <cdr:y>0.875</cdr:y>
    </cdr:from>
    <cdr:to>
      <cdr:x>0.65293</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831750" y="2906652"/>
          <a:ext cx="184802" cy="415236"/>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0.66256</cdr:x>
      <cdr:y>0.87328</cdr:y>
    </cdr:from>
    <cdr:to>
      <cdr:x>0.70117</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3040839" y="2830600"/>
          <a:ext cx="177202" cy="410743"/>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0.56748</cdr:x>
      <cdr:y>0.875</cdr:y>
    </cdr:from>
    <cdr:to>
      <cdr:x>0.60748</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3047689" y="3211325"/>
          <a:ext cx="214824" cy="458761"/>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Han, Xuehui" id="{6765AB0A-BBBD-4D0A-89D4-E5FC0058D95F}" userId="S::XHan@imf.org::bb66be45-1b11-4526-9c9c-fc7f1246fb84" providerId="AD"/>
  <person displayName="Xiang, Yuan" id="{51F219BB-4F49-4D17-9380-91600E94D41C}" userId="S::YXiang@imf.org::e94fa55b-6db6-4762-b16b-673156678b5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Q102" dT="2021-06-10T18:49:39.94" personId="{6765AB0A-BBBD-4D0A-89D4-E5FC0058D95F}" id="{0781806D-CC83-47BA-B9FF-6AF38A3C68F0}">
    <text>The input on web for item 1.2 (26 bn) is mislabeled. There is only one 26 bn for guarantees</text>
  </threadedComment>
</ThreadedComments>
</file>

<file path=xl/threadedComments/threadedComment2.xml><?xml version="1.0" encoding="utf-8"?>
<ThreadedComments xmlns="http://schemas.microsoft.com/office/spreadsheetml/2018/threadedcomments" xmlns:x="http://schemas.openxmlformats.org/spreadsheetml/2006/main">
  <threadedComment ref="G99" dT="2020-12-16T17:41:42.68" personId="{51F219BB-4F49-4D17-9380-91600E94D41C}" id="{6F0C6159-6FB5-4FA6-9329-453CC82069F7}">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bancoldex.com/sites/default/files/bancoldex_estados_financieros_separados_2021-2020_0.pdf" TargetMode="External"/><Relationship Id="rId1" Type="http://schemas.openxmlformats.org/officeDocument/2006/relationships/hyperlink" Target="https://bibliotecadigital.findeter.metabiblioteca.com/entities/publication/60a2cbf5-cd66-43ac-83dc-d977dd10037f/ful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rijksoverheid.nl/actueel/nieuws/2020/03/17/coronavirus-kabinet-neemt-pakket-nieuwe-maatregelen-voor-banen-en-economie" TargetMode="External"/><Relationship Id="rId21"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34"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2" Type="http://schemas.openxmlformats.org/officeDocument/2006/relationships/hyperlink" Target="https://www.rijksoverheid.nl/actueel/nieuws/2020/03/17/coronavirus-kabinet-neemt-pakket-nieuwe-maatregelen-voor-banen-en-economie" TargetMode="External"/><Relationship Id="rId47" Type="http://schemas.openxmlformats.org/officeDocument/2006/relationships/hyperlink" Target="https://fm.dk/nyheder/nyhedsarkiv/2020/marts/regeringen-og-alle-folketingets-partier-er-enige-om-omfattende-hjaelpepakke-til-dansk-oekonomi/" TargetMode="External"/><Relationship Id="rId50" Type="http://schemas.openxmlformats.org/officeDocument/2006/relationships/hyperlink" Target="https://www.mof.gov.sa/en/MediaCenter/news/Pages/News_20032020.aspx" TargetMode="External"/><Relationship Id="rId55" Type="http://schemas.openxmlformats.org/officeDocument/2006/relationships/hyperlink" Target="https://www.bundesregierung.de/breg-de/themen/coronavirus" TargetMode="External"/><Relationship Id="rId63" Type="http://schemas.openxmlformats.org/officeDocument/2006/relationships/printerSettings" Target="../printerSettings/printerSettings2.bin"/><Relationship Id="rId7" Type="http://schemas.openxmlformats.org/officeDocument/2006/relationships/hyperlink" Target="https://www.regjeringen.no/en/aktuelt/economic-measures-in-norway-in-response-to-covid-19/id2694274/" TargetMode="External"/><Relationship Id="rId2" Type="http://schemas.openxmlformats.org/officeDocument/2006/relationships/hyperlink" Target="http://www.mef.gov.it/en/inevidenza/Protect-health-support-the-economy-preserve-employment-levels-and-incomes-00001/" TargetMode="External"/><Relationship Id="rId16" Type="http://schemas.openxmlformats.org/officeDocument/2006/relationships/hyperlink" Target="https://fm.dk/nyheder/nyhedsarkiv/2020/marts/regeringen-og-arbejdsmarkedets-parter-styrker-trepartsaftalen-om-midlertidig-loenkompensation/" TargetMode="External"/><Relationship Id="rId29" Type="http://schemas.openxmlformats.org/officeDocument/2006/relationships/hyperlink" Target="https://prensa.presidencia.cl/comunicado.aspx?id=148684" TargetMode="External"/><Relationship Id="rId11" Type="http://schemas.openxmlformats.org/officeDocument/2006/relationships/hyperlink" Target="https://gulfnews.com/uae/revealed-15-point-economic-stimulus-package-in-abu-dhabi-1.1584340605165" TargetMode="External"/><Relationship Id="rId24" Type="http://schemas.openxmlformats.org/officeDocument/2006/relationships/hyperlink" Target="https://www.gov.uk/government/publications/guidance-to-employers-and-businesses-about-covid-19/covid-19-support-for-businesses" TargetMode="External"/><Relationship Id="rId32" Type="http://schemas.openxmlformats.org/officeDocument/2006/relationships/hyperlink" Target="https://treasury.gov.au/coronavirus" TargetMode="External"/><Relationship Id="rId37" Type="http://schemas.openxmlformats.org/officeDocument/2006/relationships/hyperlink" Target="https://www.mof.gov.sa/en/MediaCenter/news/Pages/News_20032020.aspx" TargetMode="External"/><Relationship Id="rId40" Type="http://schemas.openxmlformats.org/officeDocument/2006/relationships/hyperlink" Target="https://english.moef.go.kr/pc/selectTbPressCenterDtl.do?boardCd=N0001&amp;seq=4860" TargetMode="External"/><Relationship Id="rId45" Type="http://schemas.openxmlformats.org/officeDocument/2006/relationships/hyperlink" Target="https://gulfnews.com/uae/revealed-15-point-economic-stimulus-package-in-abu-dhabi-1.1584340605165" TargetMode="External"/><Relationship Id="rId53" Type="http://schemas.openxmlformats.org/officeDocument/2006/relationships/hyperlink" Target="https://www.canada.ca/en/public-health/services/diseases/coronavirus-disease-covid-19.html" TargetMode="External"/><Relationship Id="rId58" Type="http://schemas.openxmlformats.org/officeDocument/2006/relationships/hyperlink" Target="https://www.bundesregierung.de/breg-de/themen/coronavirus" TargetMode="External"/><Relationship Id="rId66" Type="http://schemas.microsoft.com/office/2017/10/relationships/threadedComment" Target="../threadedComments/threadedComment1.xml"/><Relationship Id="rId5" Type="http://schemas.openxmlformats.org/officeDocument/2006/relationships/hyperlink" Target="https://fm.dk/nyheder/nyhedsarkiv/2020/april/regeringen-og-alle-folketingets-partier-er-enige-om-at-justere-og-udvide-hjaelpepakker-til-dansk-oekonomi/" TargetMode="External"/><Relationship Id="rId61" Type="http://schemas.openxmlformats.org/officeDocument/2006/relationships/hyperlink" Target="https://treasury.gov.au/coronavirus" TargetMode="External"/><Relationship Id="rId19" Type="http://schemas.openxmlformats.org/officeDocument/2006/relationships/hyperlink" Target="http://www5.diputados.gob.mx/index.php/esl/Comunicacion/Boletines/2020/Marzo/18/3509-Aprueban-crear-el-Fondo-para-la-Prevencion-y-Atencion-de-Emergencias" TargetMode="External"/><Relationship Id="rId14" Type="http://schemas.openxmlformats.org/officeDocument/2006/relationships/hyperlink" Target="http://www.mef.gov.it/en/inevidenza/Protect-health-support-the-economy-preserve-employment-levels-and-incomes-00001/" TargetMode="External"/><Relationship Id="rId22" Type="http://schemas.openxmlformats.org/officeDocument/2006/relationships/hyperlink" Target="https://pib.gov.in/PressReleseDetail.aspx?PRID=1607911" TargetMode="External"/><Relationship Id="rId27" Type="http://schemas.openxmlformats.org/officeDocument/2006/relationships/hyperlink" Target="https://www.regjeringen.no/en/aktuelt/economic-measures-in-norway-in-response-to-covid-19/id2694274/" TargetMode="External"/><Relationship Id="rId30" Type="http://schemas.openxmlformats.org/officeDocument/2006/relationships/hyperlink" Target="https://gulfnews.com/uae/revealed-15-point-economic-stimulus-package-in-abu-dhabi-1.1584340605165" TargetMode="External"/><Relationship Id="rId35" Type="http://schemas.openxmlformats.org/officeDocument/2006/relationships/hyperlink" Target="http://www5.diputados.gob.mx/index.php/esl/Comunicacion/Boletines/2020/Marzo/18/3509-Aprueban-crear-el-Fondo-para-la-Prevencion-y-Atencion-de-Emergencias" TargetMode="External"/><Relationship Id="rId43" Type="http://schemas.openxmlformats.org/officeDocument/2006/relationships/hyperlink" Target="https://www.regjeringen.no/en/aktuelt/economic-measures-in-norway-in-response-to-covid-19/id2694274/" TargetMode="External"/><Relationship Id="rId48" Type="http://schemas.openxmlformats.org/officeDocument/2006/relationships/hyperlink" Target="https://fm.dk/nyheder/nyhedsarkiv/2020/marts/regeringen-og-arbejdsmarkedets-parter-styrker-trepartsaftalen-om-midlertidig-loenkompensation/" TargetMode="External"/><Relationship Id="rId56" Type="http://schemas.openxmlformats.org/officeDocument/2006/relationships/hyperlink" Target="https://www.canada.ca/en/public-health/services/diseases/coronavirus-disease-covid-19.html" TargetMode="External"/><Relationship Id="rId64" Type="http://schemas.openxmlformats.org/officeDocument/2006/relationships/vmlDrawing" Target="../drawings/vmlDrawing1.vml"/><Relationship Id="rId8" Type="http://schemas.openxmlformats.org/officeDocument/2006/relationships/hyperlink" Target="http://www.governo.it/it/articolo/comunicato-stampa-del-consiglio-dei-ministri-n-39/14417" TargetMode="External"/><Relationship Id="rId51" Type="http://schemas.openxmlformats.org/officeDocument/2006/relationships/hyperlink" Target="https://www.mof.gov.sa/en/MediaCenter/news/Pages/News_20032020.aspx" TargetMode="External"/><Relationship Id="rId3" Type="http://schemas.openxmlformats.org/officeDocument/2006/relationships/hyperlink" Target="https://english.moef.go.kr/pc/selectTbPressCenterDtl.do?boardCd=N0001&amp;seq=4860" TargetMode="External"/><Relationship Id="rId12" Type="http://schemas.openxmlformats.org/officeDocument/2006/relationships/hyperlink" Target="https://treasury.gov.au/coronavirus" TargetMode="External"/><Relationship Id="rId17" Type="http://schemas.openxmlformats.org/officeDocument/2006/relationships/hyperlink" Target="https://fm.dk/nyheder/nyhedsarkiv/2020/marts/regeringen-og-alle-folketingets-partier-er-enige-om-omfattende-hjaelpepakke-til-dansk-oekonomi/" TargetMode="External"/><Relationship Id="rId25" Type="http://schemas.openxmlformats.org/officeDocument/2006/relationships/hyperlink" Target="https://valtioneuvosto.fi/artikkeli/-/asset_publisher/10616/hallitus-antoi-eduskunnalle-lisatalousarvioesityksen-koronaviruksen-vuoksi" TargetMode="External"/><Relationship Id="rId33" Type="http://schemas.openxmlformats.org/officeDocument/2006/relationships/hyperlink" Target="https://www.economie.gouv.fr/coronavirus-soutien-entreprises" TargetMode="External"/><Relationship Id="rId38" Type="http://schemas.openxmlformats.org/officeDocument/2006/relationships/hyperlink" Target="http://www.mef.gov.it/en/inevidenza/Protect-health-support-the-economy-preserve-employment-levels-and-incomes-00001/" TargetMode="External"/><Relationship Id="rId46" Type="http://schemas.openxmlformats.org/officeDocument/2006/relationships/hyperlink" Target="https://fm.dk/nyheder/nyhedsarkiv/2020/april/regeringen-og-alle-folketingets-partier-er-enige-om-at-justere-og-udvide-hjaelpepakker-til-dansk-oekonomi/" TargetMode="External"/><Relationship Id="rId59" Type="http://schemas.openxmlformats.org/officeDocument/2006/relationships/hyperlink" Target="https://www.canada.ca/en/public-health/services/diseases/coronavirus-disease-covid-19.html" TargetMode="External"/><Relationship Id="rId20" Type="http://schemas.openxmlformats.org/officeDocument/2006/relationships/hyperlink" Target="https://gulfnews.com/uae/revealed-15-point-economic-stimulus-package-in-abu-dhabi-1.1584340605165" TargetMode="External"/><Relationship Id="rId41" Type="http://schemas.openxmlformats.org/officeDocument/2006/relationships/hyperlink" Target="https://valtioneuvosto.fi/artikkeli/-/asset_publisher/10616/hallitus-antoi-eduskunnalle-lisatalousarvioesityksen-koronaviruksen-vuoksi" TargetMode="External"/><Relationship Id="rId54" Type="http://schemas.openxmlformats.org/officeDocument/2006/relationships/hyperlink" Target="https://www.economie.gouv.fr/coronavirus-soutien-entreprises" TargetMode="External"/><Relationship Id="rId62" Type="http://schemas.openxmlformats.org/officeDocument/2006/relationships/hyperlink" Target="https://www.lamoncloa.gob.es/consejodeministros/resumenes/Paginas/2020/170320-pg-consejo.aspx"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rijksoverheid.nl/actueel/nieuws/2020/03/17/coronavirus-kabinet-neemt-pakket-nieuwe-maatregelen-voor-banen-en-economie" TargetMode="External"/><Relationship Id="rId15"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23" Type="http://schemas.openxmlformats.org/officeDocument/2006/relationships/hyperlink" Target="https://english.moef.go.kr/pc/selectTbPressCenterDtl.do?boardCd=N0001&amp;seq=4860" TargetMode="External"/><Relationship Id="rId28" Type="http://schemas.openxmlformats.org/officeDocument/2006/relationships/hyperlink" Target="https://www.lamoncloa.gob.es/consejodeministros/resumenes/Paginas/2020/170320-pg-consejo.aspx" TargetMode="External"/><Relationship Id="rId36" Type="http://schemas.openxmlformats.org/officeDocument/2006/relationships/hyperlink" Target="https://pib.gov.in/PressReleseDetail.aspx?PRID=1607911" TargetMode="External"/><Relationship Id="rId49" Type="http://schemas.openxmlformats.org/officeDocument/2006/relationships/hyperlink" Target="https://www.gov.uk/government/publications/guidance-to-employers-and-businesses-about-covid-19/covid-19-support-for-businesses" TargetMode="External"/><Relationship Id="rId57" Type="http://schemas.openxmlformats.org/officeDocument/2006/relationships/hyperlink" Target="https://www.economie.gouv.fr/coronavirus-soutien-entreprises" TargetMode="External"/><Relationship Id="rId10" Type="http://schemas.openxmlformats.org/officeDocument/2006/relationships/hyperlink" Target="https://wam.ae/en/details/1395302832332" TargetMode="External"/><Relationship Id="rId31" Type="http://schemas.openxmlformats.org/officeDocument/2006/relationships/hyperlink" Target="https://treasury.gov.au/coronavirus" TargetMode="External"/><Relationship Id="rId44" Type="http://schemas.openxmlformats.org/officeDocument/2006/relationships/hyperlink" Target="https://prensa.presidencia.cl/comunicado.aspx?id=148684" TargetMode="External"/><Relationship Id="rId52" Type="http://schemas.openxmlformats.org/officeDocument/2006/relationships/hyperlink" Target="http://www5.diputados.gob.mx/index.php/esl/Comunicacion/Boletines/2020/Marzo/18/3509-Aprueban-crear-el-Fondo-para-la-Prevencion-y-Atencion-de-Emergencias" TargetMode="External"/><Relationship Id="rId60" Type="http://schemas.openxmlformats.org/officeDocument/2006/relationships/hyperlink" Target="https://treasury.gov.au/coronavirus" TargetMode="External"/><Relationship Id="rId65" Type="http://schemas.openxmlformats.org/officeDocument/2006/relationships/comments" Target="../comments1.xml"/><Relationship Id="rId4" Type="http://schemas.openxmlformats.org/officeDocument/2006/relationships/hyperlink" Target="https://www.gov.uk/government/publications/guidance-to-employers-and-businesses-about-covid-19/covid-19-support-for-businesses" TargetMode="External"/><Relationship Id="rId9" Type="http://schemas.openxmlformats.org/officeDocument/2006/relationships/hyperlink" Target="https://prensa.presidencia.cl/comunicado.aspx?id=148684" TargetMode="External"/><Relationship Id="rId13" Type="http://schemas.openxmlformats.org/officeDocument/2006/relationships/hyperlink" Target="https://treasury.gov.au/coronavirus" TargetMode="External"/><Relationship Id="rId18" Type="http://schemas.openxmlformats.org/officeDocument/2006/relationships/hyperlink" Target="https://fm.dk/nyheder/nyhedsarkiv/2020/marts/regeringen-og-alle-folketingets-partier-er-enige-om-omfattende-hjaelpepakke-til-dansk-oekonomi/" TargetMode="External"/><Relationship Id="rId39" Type="http://schemas.openxmlformats.org/officeDocument/2006/relationships/hyperlink" Target="https://www.bundesregierung.de/breg-de/themen/coronaviru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3.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4.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6" Type="http://schemas.openxmlformats.org/officeDocument/2006/relationships/hyperlink" Target="https://pib.gov.in/PressReleseDetail.aspx?PRID=1607911" TargetMode="External"/><Relationship Id="rId21" Type="http://schemas.openxmlformats.org/officeDocument/2006/relationships/hyperlink" Target="https://fm.dk/nyheder/nyhedsarkiv/2020/marts/regeringen-og-alle-folketingets-partier-er-enige-om-omfattende-hjaelpepakke-til-dansk-oekonomi/" TargetMode="External"/><Relationship Id="rId34" Type="http://schemas.openxmlformats.org/officeDocument/2006/relationships/hyperlink" Target="https://www.rijksoverheid.nl/actueel/nieuws/2020/03/17/coronavirus-kabinet-neemt-pakket-nieuwe-maatregelen-voor-banen-en-economie" TargetMode="External"/><Relationship Id="rId4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7" Type="http://schemas.openxmlformats.org/officeDocument/2006/relationships/hyperlink" Target="http://www.mef.gov.it/en/inevidenza/Protect-health-support-the-economy-preserve-employment-levels-and-incomes-00001/" TargetMode="External"/><Relationship Id="rId50" Type="http://schemas.openxmlformats.org/officeDocument/2006/relationships/hyperlink" Target="https://www.gov.uk/government/publications/guidance-to-employers-and-businesses-about-covid-19/covid-19-support-for-businesses" TargetMode="External"/><Relationship Id="rId55" Type="http://schemas.openxmlformats.org/officeDocument/2006/relationships/hyperlink" Target="https://prensa.presidencia.cl/comunicado.aspx?id=148684" TargetMode="External"/><Relationship Id="rId63" Type="http://schemas.openxmlformats.org/officeDocument/2006/relationships/printerSettings" Target="../printerSettings/printerSettings8.bin"/><Relationship Id="rId7" Type="http://schemas.openxmlformats.org/officeDocument/2006/relationships/hyperlink" Target="https://english.moef.go.kr/pc/selectTbPressCenterDtl.do?boardCd=N0001&amp;seq=4860"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9" Type="http://schemas.openxmlformats.org/officeDocument/2006/relationships/hyperlink" Target="https://www.economie.gouv.fr/coronavirus-soutien-entreprise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hyperlink" Target="https://gulfnews.com/uae/revealed-15-point-economic-stimulus-package-in-abu-dhabi-1.1584340605165" TargetMode="External"/><Relationship Id="rId32" Type="http://schemas.openxmlformats.org/officeDocument/2006/relationships/hyperlink" Target="https://www.gov.uk/government/publications/guidance-to-employers-and-businesses-about-covid-19/covid-19-support-for-businesses" TargetMode="External"/><Relationship Id="rId37" Type="http://schemas.openxmlformats.org/officeDocument/2006/relationships/hyperlink" Target="https://prensa.presidencia.cl/comunicado.aspx?id=148684" TargetMode="External"/><Relationship Id="rId40" Type="http://schemas.openxmlformats.org/officeDocument/2006/relationships/hyperlink" Target="https://treasury.gov.au/coronavirus" TargetMode="External"/><Relationship Id="rId45" Type="http://schemas.openxmlformats.org/officeDocument/2006/relationships/hyperlink" Target="https://www.mof.gov.sa/en/MediaCenter/news/Pages/News_20032020.aspx" TargetMode="External"/><Relationship Id="rId53" Type="http://schemas.openxmlformats.org/officeDocument/2006/relationships/hyperlink" Target="https://www.regjeringen.no/en/aktuelt/economic-measures-in-norway-in-response-to-covid-19/id2694274/" TargetMode="External"/><Relationship Id="rId58" Type="http://schemas.openxmlformats.org/officeDocument/2006/relationships/hyperlink" Target="https://treasury.gov.au/coronavirus" TargetMode="External"/><Relationship Id="rId66" Type="http://schemas.microsoft.com/office/2017/10/relationships/threadedComment" Target="../threadedComments/threadedComment2.xml"/><Relationship Id="rId5" Type="http://schemas.openxmlformats.org/officeDocument/2006/relationships/hyperlink" Target="http://www.mef.gov.it/en/inevidenza/Protect-health-support-the-economy-preserve-employment-levels-and-incomes-00001/" TargetMode="External"/><Relationship Id="rId61" Type="http://schemas.openxmlformats.org/officeDocument/2006/relationships/hyperlink" Target="https://fm.dk/nyheder/nyhedsarkiv/2020/marts/regeringen-og-arbejdsmarkedets-parter-styrker-trepartsaftalen-om-midlertidig-loenkompensation/"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lle-folketingets-partier-er-enige-om-omfattende-hjaelpepakke-til-dansk-oekonomi/" TargetMode="External"/><Relationship Id="rId27" Type="http://schemas.openxmlformats.org/officeDocument/2006/relationships/hyperlink" Target="https://www.mof.gov.sa/en/MediaCenter/news/Pages/News_20032020.aspx" TargetMode="External"/><Relationship Id="rId30" Type="http://schemas.openxmlformats.org/officeDocument/2006/relationships/hyperlink" Target="https://www.bundesregierung.de/breg-de/themen/coronavirus" TargetMode="External"/><Relationship Id="rId35" Type="http://schemas.openxmlformats.org/officeDocument/2006/relationships/hyperlink" Target="https://www.regjeringen.no/en/aktuelt/economic-measures-in-norway-in-response-to-covid-19/id2694274/" TargetMode="External"/><Relationship Id="rId43" Type="http://schemas.openxmlformats.org/officeDocument/2006/relationships/hyperlink" Target="http://www5.diputados.gob.mx/index.php/esl/Comunicacion/Boletines/2020/Marzo/18/3509-Aprueban-crear-el-Fondo-para-la-Prevencion-y-Atencion-de-Emergencias" TargetMode="External"/><Relationship Id="rId48" Type="http://schemas.openxmlformats.org/officeDocument/2006/relationships/hyperlink" Target="https://www.bundesregierung.de/breg-de/themen/coronavirus" TargetMode="External"/><Relationship Id="rId56" Type="http://schemas.openxmlformats.org/officeDocument/2006/relationships/hyperlink" Target="https://gulfnews.com/uae/revealed-15-point-economic-stimulus-package-in-abu-dhabi-1.1584340605165" TargetMode="External"/><Relationship Id="rId64" Type="http://schemas.openxmlformats.org/officeDocument/2006/relationships/vmlDrawing" Target="../drawings/vmlDrawing2.vml"/><Relationship Id="rId8" Type="http://schemas.openxmlformats.org/officeDocument/2006/relationships/hyperlink" Target="https://www.gov.uk/government/publications/guidance-to-employers-and-businesses-about-covid-19/covid-19-support-for-businesses" TargetMode="External"/><Relationship Id="rId51" Type="http://schemas.openxmlformats.org/officeDocument/2006/relationships/hyperlink" Target="https://valtioneuvosto.fi/artikkeli/-/asset_publisher/10616/hallitus-antoi-eduskunnalle-lisatalousarvioesityksen-koronaviruksen-vuoksi" TargetMode="External"/><Relationship Id="rId3" Type="http://schemas.openxmlformats.org/officeDocument/2006/relationships/hyperlink" Target="https://www.canada.ca/en/public-health/services/diseases/coronavirus-disease-covid-19.html" TargetMode="External"/><Relationship Id="rId12" Type="http://schemas.openxmlformats.org/officeDocument/2006/relationships/hyperlink" Target="http://www.governo.it/it/articolo/comunicato-stampa-del-consiglio-dei-ministri-n-39/14417" TargetMode="External"/><Relationship Id="rId17" Type="http://schemas.openxmlformats.org/officeDocument/2006/relationships/hyperlink" Target="https://treasury.gov.au/coronavirus" TargetMode="External"/><Relationship Id="rId25"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33" Type="http://schemas.openxmlformats.org/officeDocument/2006/relationships/hyperlink" Target="https://valtioneuvosto.fi/artikkeli/-/asset_publisher/10616/hallitus-antoi-eduskunnalle-lisatalousarvioesityksen-koronaviruksen-vuoksi" TargetMode="External"/><Relationship Id="rId38" Type="http://schemas.openxmlformats.org/officeDocument/2006/relationships/hyperlink" Target="https://gulfnews.com/uae/revealed-15-point-economic-stimulus-package-in-abu-dhabi-1.1584340605165" TargetMode="External"/><Relationship Id="rId46" Type="http://schemas.openxmlformats.org/officeDocument/2006/relationships/hyperlink" Target="https://www.canada.ca/en/public-health/services/diseases/coronavirus-disease-covid-19.html" TargetMode="External"/><Relationship Id="rId59" Type="http://schemas.openxmlformats.org/officeDocument/2006/relationships/hyperlink" Target="https://fm.dk/nyheder/nyhedsarkiv/2020/april/regeringen-og-alle-folketingets-partier-er-enige-om-at-justere-og-udvide-hjaelpepakker-til-dansk-oekonomi/" TargetMode="External"/><Relationship Id="rId20" Type="http://schemas.openxmlformats.org/officeDocument/2006/relationships/hyperlink" Target="https://fm.dk/nyheder/nyhedsarkiv/2020/marts/regeringen-og-arbejdsmarkedets-parter-styrker-trepartsaftalen-om-midlertidig-loenkompensation/" TargetMode="External"/><Relationship Id="rId41" Type="http://schemas.openxmlformats.org/officeDocument/2006/relationships/hyperlink" Target="https://www.economie.gouv.fr/coronavirus-soutien-entreprises" TargetMode="External"/><Relationship Id="rId54" Type="http://schemas.openxmlformats.org/officeDocument/2006/relationships/hyperlink" Target="https://www.lamoncloa.gob.es/consejodeministros/resumenes/Paginas/2020/170320-pg-consejo.aspx" TargetMode="External"/><Relationship Id="rId62" Type="http://schemas.openxmlformats.org/officeDocument/2006/relationships/hyperlink" Target="http://www5.diputados.gob.mx/index.php/esl/Comunicacion/Boletines/2020/Marzo/18/3509-Aprueban-crear-el-Fondo-para-la-Prevencion-y-Atencion-de-Emergencia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28" Type="http://schemas.openxmlformats.org/officeDocument/2006/relationships/hyperlink" Target="https://www.canada.ca/en/public-health/services/diseases/coronavirus-disease-covid-19.html" TargetMode="External"/><Relationship Id="rId36" Type="http://schemas.openxmlformats.org/officeDocument/2006/relationships/hyperlink" Target="https://www.lamoncloa.gob.es/consejodeministros/resumenes/Paginas/2020/170320-pg-consejo.aspx" TargetMode="External"/><Relationship Id="rId49" Type="http://schemas.openxmlformats.org/officeDocument/2006/relationships/hyperlink" Target="https://english.moef.go.kr/pc/selectTbPressCenterDtl.do?boardCd=N0001&amp;seq=4860" TargetMode="External"/><Relationship Id="rId57" Type="http://schemas.openxmlformats.org/officeDocument/2006/relationships/hyperlink" Target="https://treasury.gov.au/coronavirus" TargetMode="External"/><Relationship Id="rId10" Type="http://schemas.openxmlformats.org/officeDocument/2006/relationships/hyperlink" Target="https://www.rijksoverheid.nl/actueel/nieuws/2020/03/17/coronavirus-kabinet-neemt-pakket-nieuwe-maatregelen-voor-banen-en-economie" TargetMode="External"/><Relationship Id="rId31" Type="http://schemas.openxmlformats.org/officeDocument/2006/relationships/hyperlink" Target="https://english.moef.go.kr/pc/selectTbPressCenterDtl.do?boardCd=N0001&amp;seq=4860" TargetMode="External"/><Relationship Id="rId44" Type="http://schemas.openxmlformats.org/officeDocument/2006/relationships/hyperlink" Target="https://pib.gov.in/PressReleseDetail.aspx?PRID=1607911" TargetMode="External"/><Relationship Id="rId52" Type="http://schemas.openxmlformats.org/officeDocument/2006/relationships/hyperlink" Target="https://www.rijksoverheid.nl/actueel/nieuws/2020/03/17/coronavirus-kabinet-neemt-pakket-nieuwe-maatregelen-voor-banen-en-economie" TargetMode="External"/><Relationship Id="rId60" Type="http://schemas.openxmlformats.org/officeDocument/2006/relationships/hyperlink" Target="https://fm.dk/nyheder/nyhedsarkiv/2020/marts/regeringen-og-alle-folketingets-partier-er-enige-om-omfattende-hjaelpepakke-til-dansk-oekonomi/" TargetMode="External"/><Relationship Id="rId65" Type="http://schemas.openxmlformats.org/officeDocument/2006/relationships/comments" Target="../comments2.xml"/><Relationship Id="rId4" Type="http://schemas.openxmlformats.org/officeDocument/2006/relationships/hyperlink" Target="https://www.economie.gouv.fr/coronavirus-soutien-entreprises" TargetMode="External"/><Relationship Id="rId9" Type="http://schemas.openxmlformats.org/officeDocument/2006/relationships/hyperlink" Target="https://fm.dk/nyheder/nyhedsarkiv/2020/april/regeringen-og-alle-folketingets-partier-er-enige-om-at-justere-og-udvide-hjaelpepakker-til-dansk-oekonomi/"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mef.gov.it/en/inevidenza/Protect-health-support-the-economy-preserve-employment-levels-and-incomes-00001/" TargetMode="External"/><Relationship Id="rId39" Type="http://schemas.openxmlformats.org/officeDocument/2006/relationships/hyperlink" Target="https://treasury.gov.au/coronaviru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7.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2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85F6E-276F-405C-834B-B89E55134B81}">
  <sheetPr>
    <tabColor rgb="FFFF0000"/>
    <pageSetUpPr fitToPage="1"/>
  </sheetPr>
  <dimension ref="A3:V149"/>
  <sheetViews>
    <sheetView view="pageBreakPreview" topLeftCell="A65" zoomScale="70" zoomScaleNormal="100" zoomScaleSheetLayoutView="70" workbookViewId="0">
      <selection activeCell="H54" sqref="H54:H56"/>
    </sheetView>
  </sheetViews>
  <sheetFormatPr defaultColWidth="8.54296875" defaultRowHeight="12.5" outlineLevelCol="1"/>
  <cols>
    <col min="1" max="1" width="14.453125" style="40" customWidth="1"/>
    <col min="2" max="2" width="1.453125" style="3" customWidth="1"/>
    <col min="3" max="3" width="4" style="6" bestFit="1" customWidth="1"/>
    <col min="4" max="4" width="11.453125" style="57" bestFit="1" customWidth="1"/>
    <col min="5" max="5" width="8.453125" style="33" hidden="1" customWidth="1" outlineLevel="1"/>
    <col min="6" max="6" width="32.54296875" style="3" customWidth="1" collapsed="1"/>
    <col min="7" max="7" width="9.1796875" style="3" hidden="1" customWidth="1" outlineLevel="1"/>
    <col min="8" max="8" width="54.81640625" style="6" customWidth="1" collapsed="1"/>
    <col min="9" max="9" width="1.453125" style="3" customWidth="1"/>
    <col min="10" max="10" width="4" style="6" bestFit="1" customWidth="1"/>
    <col min="11" max="11" width="14.54296875" style="3" hidden="1" customWidth="1" outlineLevel="1"/>
    <col min="12" max="12" width="10.453125" style="58" bestFit="1" customWidth="1" collapsed="1"/>
    <col min="13" max="13" width="38.54296875" style="6" customWidth="1"/>
    <col min="14" max="14" width="1.453125" style="3" customWidth="1"/>
    <col min="15" max="15" width="4" style="6" bestFit="1" customWidth="1"/>
    <col min="16" max="16" width="10.453125" style="57" customWidth="1"/>
    <col min="17" max="17" width="38.453125" style="6" customWidth="1"/>
    <col min="18" max="18" width="1.54296875" style="3" customWidth="1"/>
    <col min="19" max="19" width="38" style="6" customWidth="1"/>
    <col min="20" max="20" width="2.54296875" style="3" customWidth="1"/>
    <col min="21" max="21" width="52.453125" style="10" customWidth="1"/>
    <col min="22" max="22" width="31.453125" style="33" customWidth="1"/>
    <col min="23" max="16384" width="8.54296875" style="33"/>
  </cols>
  <sheetData>
    <row r="3" spans="1:22" ht="23">
      <c r="A3" s="104" t="s">
        <v>125</v>
      </c>
    </row>
    <row r="4" spans="1:22" ht="146.5" customHeight="1">
      <c r="A4" s="627" t="s">
        <v>272</v>
      </c>
      <c r="B4" s="627"/>
      <c r="C4" s="627"/>
      <c r="D4" s="627"/>
      <c r="E4" s="627"/>
      <c r="F4" s="627"/>
      <c r="G4" s="627"/>
      <c r="H4" s="627"/>
      <c r="I4" s="627"/>
      <c r="J4" s="627"/>
      <c r="K4" s="627"/>
      <c r="L4" s="627"/>
      <c r="M4" s="627"/>
      <c r="N4" s="627"/>
      <c r="O4" s="627"/>
      <c r="P4" s="627"/>
      <c r="Q4" s="627"/>
    </row>
    <row r="5" spans="1:22" ht="20">
      <c r="A5" s="100" t="s">
        <v>185</v>
      </c>
      <c r="C5" s="42"/>
      <c r="D5" s="54"/>
    </row>
    <row r="6" spans="1:22" s="2" customFormat="1">
      <c r="A6" s="84"/>
      <c r="B6" s="1"/>
      <c r="C6" s="12"/>
      <c r="D6" s="55"/>
      <c r="F6" s="1"/>
      <c r="G6" s="1"/>
      <c r="H6" s="12"/>
      <c r="I6" s="1"/>
      <c r="J6" s="12"/>
      <c r="K6" s="1"/>
      <c r="L6" s="59"/>
      <c r="M6" s="12"/>
      <c r="N6" s="1"/>
      <c r="O6" s="12"/>
      <c r="P6" s="55"/>
      <c r="Q6" s="12"/>
      <c r="R6" s="1"/>
      <c r="S6" s="12"/>
      <c r="T6" s="1"/>
      <c r="U6" s="46"/>
    </row>
    <row r="7" spans="1:22" ht="13">
      <c r="C7" s="613" t="s">
        <v>207</v>
      </c>
      <c r="D7" s="613"/>
      <c r="E7" s="613"/>
      <c r="F7" s="613"/>
      <c r="G7" s="613"/>
      <c r="H7" s="613"/>
      <c r="J7" s="574" t="s">
        <v>208</v>
      </c>
      <c r="K7" s="574"/>
      <c r="L7" s="574"/>
      <c r="M7" s="574"/>
      <c r="O7" s="574" t="s">
        <v>211</v>
      </c>
      <c r="P7" s="574"/>
      <c r="Q7" s="574"/>
      <c r="R7" s="41"/>
      <c r="S7" s="45" t="s">
        <v>60</v>
      </c>
      <c r="U7" s="44" t="s">
        <v>43</v>
      </c>
    </row>
    <row r="8" spans="1:22" s="5" customFormat="1" ht="52" customHeight="1">
      <c r="A8" s="52" t="s">
        <v>113</v>
      </c>
      <c r="B8" s="4"/>
      <c r="C8" s="46"/>
      <c r="D8" s="79" t="s">
        <v>195</v>
      </c>
      <c r="E8" s="79" t="s">
        <v>196</v>
      </c>
      <c r="F8" s="52" t="s">
        <v>132</v>
      </c>
      <c r="G8" s="79" t="s">
        <v>107</v>
      </c>
      <c r="H8" s="52" t="s">
        <v>133</v>
      </c>
      <c r="I8" s="4"/>
      <c r="J8" s="46"/>
      <c r="K8" s="70" t="s">
        <v>107</v>
      </c>
      <c r="L8" s="70" t="s">
        <v>197</v>
      </c>
      <c r="M8" s="52" t="s">
        <v>209</v>
      </c>
      <c r="N8" s="4"/>
      <c r="O8" s="46"/>
      <c r="P8" s="70" t="s">
        <v>197</v>
      </c>
      <c r="Q8" s="52" t="s">
        <v>210</v>
      </c>
      <c r="R8" s="4"/>
      <c r="S8" s="46" t="s">
        <v>114</v>
      </c>
      <c r="T8" s="4"/>
      <c r="U8" s="46"/>
    </row>
    <row r="9" spans="1:22" ht="13">
      <c r="A9" s="85" t="s">
        <v>135</v>
      </c>
      <c r="B9" s="86"/>
      <c r="C9" s="85"/>
      <c r="D9" s="87"/>
      <c r="E9" s="88"/>
      <c r="F9" s="86"/>
      <c r="G9" s="86"/>
      <c r="H9" s="90"/>
      <c r="I9" s="86"/>
      <c r="J9" s="90"/>
      <c r="K9" s="86"/>
      <c r="L9" s="91"/>
      <c r="M9" s="90"/>
      <c r="N9" s="86"/>
      <c r="O9" s="90"/>
      <c r="P9" s="92"/>
      <c r="Q9" s="90"/>
    </row>
    <row r="10" spans="1:22" ht="55" customHeight="1">
      <c r="A10" s="594" t="s">
        <v>0</v>
      </c>
      <c r="C10" s="32" t="s">
        <v>115</v>
      </c>
      <c r="D10" s="95">
        <v>197.4</v>
      </c>
      <c r="E10" s="71">
        <v>3.6</v>
      </c>
      <c r="F10" s="576" t="s">
        <v>119</v>
      </c>
      <c r="G10" s="75">
        <f>D10-E10</f>
        <v>193.8</v>
      </c>
      <c r="H10" s="582" t="s">
        <v>163</v>
      </c>
      <c r="J10" s="32" t="s">
        <v>115</v>
      </c>
      <c r="K10" s="71">
        <v>35</v>
      </c>
      <c r="L10" s="97">
        <v>15</v>
      </c>
      <c r="M10" s="576" t="s">
        <v>138</v>
      </c>
      <c r="O10" s="32" t="s">
        <v>115</v>
      </c>
      <c r="P10" s="95">
        <v>20</v>
      </c>
      <c r="Q10" s="576" t="s">
        <v>212</v>
      </c>
      <c r="S10" s="576" t="s">
        <v>62</v>
      </c>
      <c r="U10" s="617" t="s">
        <v>61</v>
      </c>
    </row>
    <row r="11" spans="1:22" ht="55" customHeight="1">
      <c r="A11" s="594"/>
      <c r="C11" s="32" t="s">
        <v>116</v>
      </c>
      <c r="D11" s="106" t="e">
        <f>D10/#REF!</f>
        <v>#REF!</v>
      </c>
      <c r="E11" s="71"/>
      <c r="F11" s="576"/>
      <c r="G11" s="75"/>
      <c r="H11" s="582"/>
      <c r="J11" s="32" t="s">
        <v>116</v>
      </c>
      <c r="K11" s="50" t="e">
        <f>K10/VLOOKUP(A10,#REF!,7,0)</f>
        <v>#REF!</v>
      </c>
      <c r="L11" s="105" t="e">
        <f>L10/VLOOKUP(A10,#REF!,7,0)</f>
        <v>#REF!</v>
      </c>
      <c r="M11" s="576"/>
      <c r="O11" s="32" t="s">
        <v>116</v>
      </c>
      <c r="P11" s="105" t="e">
        <f>K11-L11</f>
        <v>#REF!</v>
      </c>
      <c r="Q11" s="576"/>
      <c r="S11" s="576"/>
      <c r="U11" s="617"/>
    </row>
    <row r="12" spans="1:22" ht="55" customHeight="1">
      <c r="A12" s="595"/>
      <c r="B12" s="1"/>
      <c r="C12" s="31" t="s">
        <v>117</v>
      </c>
      <c r="D12" s="51" t="e">
        <f>(D10/VLOOKUP(A10,#REF!,4,0))*100</f>
        <v>#REF!</v>
      </c>
      <c r="E12" s="72"/>
      <c r="F12" s="577"/>
      <c r="G12" s="76"/>
      <c r="H12" s="583"/>
      <c r="I12" s="1"/>
      <c r="J12" s="31" t="s">
        <v>117</v>
      </c>
      <c r="K12" s="51" t="e">
        <f>(K10/VLOOKUP(A10,#REF!,4,0))*100</f>
        <v>#REF!</v>
      </c>
      <c r="L12" s="62" t="e">
        <f>(L10/VLOOKUP(A10,#REF!,4,0))*100</f>
        <v>#REF!</v>
      </c>
      <c r="M12" s="577"/>
      <c r="N12" s="1"/>
      <c r="O12" s="31" t="s">
        <v>117</v>
      </c>
      <c r="P12" s="61" t="e">
        <f>(P10/VLOOKUP(A10,#REF!,4,0))*100</f>
        <v>#REF!</v>
      </c>
      <c r="Q12" s="577"/>
      <c r="R12" s="1"/>
      <c r="S12" s="577"/>
      <c r="T12" s="1"/>
      <c r="U12" s="618"/>
    </row>
    <row r="13" spans="1:22" ht="60" customHeight="1">
      <c r="A13" s="593" t="s">
        <v>1</v>
      </c>
      <c r="B13" s="16"/>
      <c r="C13" s="32" t="s">
        <v>115</v>
      </c>
      <c r="D13" s="80">
        <f>190-85+E13</f>
        <v>108.175</v>
      </c>
      <c r="E13" s="49">
        <f>1.125+2.05</f>
        <v>3.1749999999999998</v>
      </c>
      <c r="F13" s="600" t="s">
        <v>164</v>
      </c>
      <c r="G13" s="80">
        <v>105</v>
      </c>
      <c r="H13" s="575" t="s">
        <v>165</v>
      </c>
      <c r="I13" s="16"/>
      <c r="J13" s="32" t="s">
        <v>115</v>
      </c>
      <c r="K13" s="73">
        <v>70</v>
      </c>
      <c r="L13" s="63">
        <v>5</v>
      </c>
      <c r="M13" s="575" t="s">
        <v>102</v>
      </c>
      <c r="N13" s="16"/>
      <c r="O13" s="32" t="s">
        <v>115</v>
      </c>
      <c r="P13" s="80">
        <v>65</v>
      </c>
      <c r="Q13" s="575" t="s">
        <v>139</v>
      </c>
      <c r="R13" s="15"/>
      <c r="S13" s="18"/>
      <c r="T13" s="15"/>
      <c r="U13" s="25" t="s">
        <v>63</v>
      </c>
      <c r="V13" s="596" t="s">
        <v>213</v>
      </c>
    </row>
    <row r="14" spans="1:22" ht="60" customHeight="1">
      <c r="A14" s="594"/>
      <c r="B14" s="6"/>
      <c r="C14" s="32" t="s">
        <v>116</v>
      </c>
      <c r="D14" s="106" t="e">
        <f>D13/VLOOKUP(A13,#REF!,7,0)</f>
        <v>#REF!</v>
      </c>
      <c r="E14" s="69"/>
      <c r="F14" s="601"/>
      <c r="G14" s="81"/>
      <c r="H14" s="576"/>
      <c r="I14" s="6"/>
      <c r="J14" s="32" t="s">
        <v>116</v>
      </c>
      <c r="K14" s="71"/>
      <c r="L14" s="61" t="e">
        <f>L13/VLOOKUP(A13,#REF!,7,0)</f>
        <v>#REF!</v>
      </c>
      <c r="M14" s="576"/>
      <c r="N14" s="6"/>
      <c r="O14" s="32" t="s">
        <v>116</v>
      </c>
      <c r="P14" s="106" t="e">
        <f>P13/VLOOKUP(A13,#REF!,7,0)</f>
        <v>#REF!</v>
      </c>
      <c r="Q14" s="576"/>
      <c r="S14" s="28"/>
      <c r="U14" s="27"/>
      <c r="V14" s="597"/>
    </row>
    <row r="15" spans="1:22" ht="60" customHeight="1">
      <c r="A15" s="595"/>
      <c r="B15" s="12"/>
      <c r="C15" s="31" t="s">
        <v>117</v>
      </c>
      <c r="D15" s="51" t="e">
        <f>(D13/VLOOKUP(A13,#REF!,4,0))*100</f>
        <v>#REF!</v>
      </c>
      <c r="E15" s="17"/>
      <c r="F15" s="602"/>
      <c r="G15" s="82"/>
      <c r="H15" s="577"/>
      <c r="I15" s="12"/>
      <c r="J15" s="31" t="s">
        <v>117</v>
      </c>
      <c r="K15" s="72"/>
      <c r="L15" s="62" t="e">
        <f>(L13/VLOOKUP(A13,#REF!,4,0))*100</f>
        <v>#REF!</v>
      </c>
      <c r="M15" s="577"/>
      <c r="N15" s="12"/>
      <c r="O15" s="31" t="s">
        <v>117</v>
      </c>
      <c r="P15" s="51" t="e">
        <f>(P13/VLOOKUP(A13,#REF!,4,0))*100</f>
        <v>#REF!</v>
      </c>
      <c r="Q15" s="577"/>
      <c r="R15" s="1"/>
      <c r="S15" s="19"/>
      <c r="T15" s="1"/>
      <c r="U15" s="26"/>
      <c r="V15" s="597"/>
    </row>
    <row r="16" spans="1:22" ht="32.15" customHeight="1">
      <c r="A16" s="587" t="s">
        <v>155</v>
      </c>
      <c r="B16" s="16"/>
      <c r="C16" s="32" t="s">
        <v>115</v>
      </c>
      <c r="D16" s="80">
        <v>37</v>
      </c>
      <c r="E16" s="73">
        <v>0.05</v>
      </c>
      <c r="F16" s="600" t="s">
        <v>262</v>
      </c>
      <c r="G16" s="80">
        <v>37</v>
      </c>
      <c r="H16" s="575" t="s">
        <v>263</v>
      </c>
      <c r="I16" s="16"/>
      <c r="J16" s="32" t="s">
        <v>115</v>
      </c>
      <c r="K16" s="73">
        <v>1</v>
      </c>
      <c r="L16" s="63"/>
      <c r="M16" s="18"/>
      <c r="N16" s="16"/>
      <c r="O16" s="32" t="s">
        <v>115</v>
      </c>
      <c r="P16" s="49">
        <v>1</v>
      </c>
      <c r="Q16" s="575" t="s">
        <v>140</v>
      </c>
      <c r="R16" s="15"/>
      <c r="S16" s="575" t="s">
        <v>74</v>
      </c>
      <c r="T16" s="15"/>
      <c r="U16" s="22"/>
    </row>
    <row r="17" spans="1:21" ht="42.65" customHeight="1">
      <c r="A17" s="588"/>
      <c r="B17" s="6"/>
      <c r="C17" s="32" t="s">
        <v>116</v>
      </c>
      <c r="D17" s="106" t="e">
        <f>D16/VLOOKUP(A16,#REF!,6,0)</f>
        <v>#REF!</v>
      </c>
      <c r="E17" s="81"/>
      <c r="F17" s="601"/>
      <c r="G17" s="56"/>
      <c r="H17" s="576"/>
      <c r="I17" s="6"/>
      <c r="J17" s="32" t="s">
        <v>116</v>
      </c>
      <c r="K17" s="69"/>
      <c r="L17" s="61"/>
      <c r="M17" s="35"/>
      <c r="N17" s="6"/>
      <c r="O17" s="32" t="s">
        <v>116</v>
      </c>
      <c r="P17" s="50" t="e">
        <f>P16/VLOOKUP(A16,#REF!,7,0)</f>
        <v>#REF!</v>
      </c>
      <c r="Q17" s="576"/>
      <c r="S17" s="576"/>
      <c r="U17" s="27"/>
    </row>
    <row r="18" spans="1:21" ht="50.15" customHeight="1">
      <c r="A18" s="589"/>
      <c r="B18" s="12"/>
      <c r="C18" s="31" t="s">
        <v>117</v>
      </c>
      <c r="D18" s="51" t="e">
        <f>(D16/VLOOKUP(A16,#REF!,4,0))*100</f>
        <v>#REF!</v>
      </c>
      <c r="E18" s="82"/>
      <c r="F18" s="602"/>
      <c r="G18" s="68"/>
      <c r="H18" s="577"/>
      <c r="I18" s="12"/>
      <c r="J18" s="31" t="s">
        <v>117</v>
      </c>
      <c r="K18" s="72"/>
      <c r="L18" s="62"/>
      <c r="M18" s="23"/>
      <c r="N18" s="12"/>
      <c r="O18" s="31" t="s">
        <v>117</v>
      </c>
      <c r="P18" s="51" t="e">
        <f>(P16/VLOOKUP(A16,#REF!,4,0))*100</f>
        <v>#REF!</v>
      </c>
      <c r="Q18" s="577"/>
      <c r="R18" s="1"/>
      <c r="S18" s="577"/>
      <c r="T18" s="1"/>
      <c r="U18" s="26"/>
    </row>
    <row r="19" spans="1:21" ht="39" customHeight="1">
      <c r="A19" s="593" t="s">
        <v>2</v>
      </c>
      <c r="B19" s="16"/>
      <c r="C19" s="32" t="s">
        <v>115</v>
      </c>
      <c r="D19" s="80">
        <f>11+5.5</f>
        <v>16.5</v>
      </c>
      <c r="E19" s="80">
        <v>2</v>
      </c>
      <c r="F19" s="575" t="s">
        <v>203</v>
      </c>
      <c r="G19" s="53">
        <v>9.5</v>
      </c>
      <c r="H19" s="581" t="s">
        <v>204</v>
      </c>
      <c r="I19" s="16"/>
      <c r="J19" s="32" t="s">
        <v>115</v>
      </c>
      <c r="K19" s="80">
        <f>P19</f>
        <v>312</v>
      </c>
      <c r="L19" s="63"/>
      <c r="M19" s="22"/>
      <c r="N19" s="16"/>
      <c r="O19" s="32" t="s">
        <v>115</v>
      </c>
      <c r="P19" s="80">
        <v>312</v>
      </c>
      <c r="Q19" s="575" t="s">
        <v>154</v>
      </c>
      <c r="R19" s="15"/>
      <c r="S19" s="18" t="s">
        <v>214</v>
      </c>
      <c r="T19" s="15"/>
      <c r="U19" s="25" t="s">
        <v>64</v>
      </c>
    </row>
    <row r="20" spans="1:21" ht="35.5" customHeight="1">
      <c r="A20" s="594"/>
      <c r="B20" s="6"/>
      <c r="C20" s="32" t="s">
        <v>116</v>
      </c>
      <c r="D20" s="106" t="e">
        <f>D19/VLOOKUP(A19,#REF!,7,0)</f>
        <v>#REF!</v>
      </c>
      <c r="E20" s="81"/>
      <c r="F20" s="576"/>
      <c r="G20" s="56"/>
      <c r="H20" s="582"/>
      <c r="I20" s="6"/>
      <c r="J20" s="32" t="s">
        <v>116</v>
      </c>
      <c r="K20" s="81" t="e">
        <f>P20</f>
        <v>#REF!</v>
      </c>
      <c r="L20" s="64"/>
      <c r="M20" s="35"/>
      <c r="N20" s="6"/>
      <c r="O20" s="32" t="s">
        <v>116</v>
      </c>
      <c r="P20" s="106" t="e">
        <f>P19/VLOOKUP(A19,#REF!,7,0)</f>
        <v>#REF!</v>
      </c>
      <c r="Q20" s="576"/>
      <c r="S20" s="28"/>
      <c r="U20" s="27"/>
    </row>
    <row r="21" spans="1:21" s="2" customFormat="1" ht="53.5" customHeight="1">
      <c r="A21" s="595"/>
      <c r="B21" s="12"/>
      <c r="C21" s="31" t="s">
        <v>117</v>
      </c>
      <c r="D21" s="51" t="e">
        <f>(D19/VLOOKUP(A19,#REF!,4,0))*100</f>
        <v>#REF!</v>
      </c>
      <c r="E21" s="82"/>
      <c r="F21" s="577"/>
      <c r="G21" s="68"/>
      <c r="H21" s="583"/>
      <c r="I21" s="12"/>
      <c r="J21" s="31" t="s">
        <v>117</v>
      </c>
      <c r="K21" s="17" t="e">
        <f>P21</f>
        <v>#REF!</v>
      </c>
      <c r="L21" s="65"/>
      <c r="M21" s="23"/>
      <c r="N21" s="12"/>
      <c r="O21" s="31" t="s">
        <v>117</v>
      </c>
      <c r="P21" s="51" t="e">
        <f>(P19/VLOOKUP(A19,#REF!,4,0))*100</f>
        <v>#REF!</v>
      </c>
      <c r="Q21" s="577"/>
      <c r="R21" s="1"/>
      <c r="S21" s="19"/>
      <c r="T21" s="1"/>
      <c r="U21" s="26"/>
    </row>
    <row r="22" spans="1:21" s="143" customFormat="1" ht="50.15" customHeight="1">
      <c r="A22" s="593" t="s">
        <v>3</v>
      </c>
      <c r="B22" s="16"/>
      <c r="C22" s="37" t="s">
        <v>115</v>
      </c>
      <c r="D22" s="80">
        <v>143</v>
      </c>
      <c r="E22" s="49">
        <v>11.2</v>
      </c>
      <c r="F22" s="600" t="s">
        <v>166</v>
      </c>
      <c r="G22" s="49">
        <f>D22-E22</f>
        <v>131.80000000000001</v>
      </c>
      <c r="H22" s="575" t="s">
        <v>167</v>
      </c>
      <c r="I22" s="16"/>
      <c r="J22" s="37" t="s">
        <v>115</v>
      </c>
      <c r="K22" s="73">
        <v>1025</v>
      </c>
      <c r="L22" s="99">
        <v>200</v>
      </c>
      <c r="M22" s="575" t="s">
        <v>142</v>
      </c>
      <c r="N22" s="16"/>
      <c r="O22" s="37" t="s">
        <v>115</v>
      </c>
      <c r="P22" s="80">
        <f>825-63</f>
        <v>762</v>
      </c>
      <c r="Q22" s="575" t="s">
        <v>141</v>
      </c>
      <c r="R22" s="15"/>
      <c r="S22" s="575" t="s">
        <v>65</v>
      </c>
      <c r="T22" s="15"/>
      <c r="U22" s="605" t="s">
        <v>67</v>
      </c>
    </row>
    <row r="23" spans="1:21" ht="50.15" customHeight="1">
      <c r="A23" s="594"/>
      <c r="B23" s="6"/>
      <c r="C23" s="32" t="s">
        <v>116</v>
      </c>
      <c r="D23" s="106" t="e">
        <f>D22/VLOOKUP(A22,#REF!,7,0)</f>
        <v>#REF!</v>
      </c>
      <c r="E23" s="81"/>
      <c r="F23" s="601"/>
      <c r="G23" s="56"/>
      <c r="H23" s="576"/>
      <c r="I23" s="6"/>
      <c r="J23" s="32" t="s">
        <v>116</v>
      </c>
      <c r="K23" s="71"/>
      <c r="L23" s="105" t="e">
        <f>L22/VLOOKUP(A22,#REF!,7,0)</f>
        <v>#REF!</v>
      </c>
      <c r="M23" s="576"/>
      <c r="N23" s="6"/>
      <c r="O23" s="32" t="s">
        <v>116</v>
      </c>
      <c r="P23" s="106" t="e">
        <f>P22/VLOOKUP(A22,#REF!,7,0)</f>
        <v>#REF!</v>
      </c>
      <c r="Q23" s="576"/>
      <c r="S23" s="576"/>
      <c r="U23" s="606"/>
    </row>
    <row r="24" spans="1:21" ht="50.15" customHeight="1">
      <c r="A24" s="595"/>
      <c r="B24" s="12"/>
      <c r="C24" s="31" t="s">
        <v>117</v>
      </c>
      <c r="D24" s="51" t="e">
        <f>(D22/VLOOKUP(A22,#REF!,4,0))*100</f>
        <v>#REF!</v>
      </c>
      <c r="E24" s="82"/>
      <c r="F24" s="602"/>
      <c r="G24" s="68"/>
      <c r="H24" s="577"/>
      <c r="I24" s="12"/>
      <c r="J24" s="31" t="s">
        <v>117</v>
      </c>
      <c r="K24" s="72"/>
      <c r="L24" s="62" t="e">
        <f>(L22/VLOOKUP(A22,#REF!,4,0))*100</f>
        <v>#REF!</v>
      </c>
      <c r="M24" s="577"/>
      <c r="N24" s="12"/>
      <c r="O24" s="31" t="s">
        <v>117</v>
      </c>
      <c r="P24" s="51" t="e">
        <f>(P22/VLOOKUP(A22,#REF!,4,0))*100</f>
        <v>#REF!</v>
      </c>
      <c r="Q24" s="577"/>
      <c r="R24" s="1"/>
      <c r="S24" s="577"/>
      <c r="T24" s="1"/>
      <c r="U24" s="607"/>
    </row>
    <row r="25" spans="1:21" ht="57" customHeight="1">
      <c r="A25" s="593" t="s">
        <v>4</v>
      </c>
      <c r="B25" s="16"/>
      <c r="C25" s="32" t="s">
        <v>115</v>
      </c>
      <c r="D25" s="80">
        <v>20</v>
      </c>
      <c r="E25" s="49">
        <v>3.2</v>
      </c>
      <c r="F25" s="600" t="s">
        <v>159</v>
      </c>
      <c r="G25" s="49">
        <v>10.3</v>
      </c>
      <c r="H25" s="581" t="s">
        <v>158</v>
      </c>
      <c r="I25" s="16"/>
      <c r="J25" s="32" t="s">
        <v>115</v>
      </c>
      <c r="K25" s="73">
        <v>65.099999999999994</v>
      </c>
      <c r="L25" s="63"/>
      <c r="M25" s="619"/>
      <c r="N25" s="16"/>
      <c r="O25" s="32" t="s">
        <v>115</v>
      </c>
      <c r="P25" s="83">
        <v>530</v>
      </c>
      <c r="Q25" s="581" t="s">
        <v>215</v>
      </c>
      <c r="R25" s="15"/>
      <c r="S25" s="575" t="s">
        <v>216</v>
      </c>
      <c r="T25" s="15"/>
      <c r="U25" s="25" t="s">
        <v>66</v>
      </c>
    </row>
    <row r="26" spans="1:21" ht="38">
      <c r="A26" s="594"/>
      <c r="B26" s="6"/>
      <c r="C26" s="32" t="s">
        <v>116</v>
      </c>
      <c r="D26" s="106" t="e">
        <f>D25/VLOOKUP(A25,#REF!,7,0)</f>
        <v>#REF!</v>
      </c>
      <c r="E26" s="81"/>
      <c r="F26" s="601"/>
      <c r="G26" s="56"/>
      <c r="H26" s="582"/>
      <c r="I26" s="6"/>
      <c r="J26" s="32" t="s">
        <v>116</v>
      </c>
      <c r="K26" s="71"/>
      <c r="L26" s="61"/>
      <c r="M26" s="620"/>
      <c r="N26" s="6"/>
      <c r="O26" s="32" t="s">
        <v>116</v>
      </c>
      <c r="P26" s="106" t="e">
        <f>P25/VLOOKUP(A25,#REF!,7,0)</f>
        <v>#REF!</v>
      </c>
      <c r="Q26" s="582"/>
      <c r="S26" s="576"/>
      <c r="U26" s="136" t="s">
        <v>186</v>
      </c>
    </row>
    <row r="27" spans="1:21" ht="96" customHeight="1">
      <c r="A27" s="595"/>
      <c r="B27" s="12"/>
      <c r="C27" s="31" t="s">
        <v>117</v>
      </c>
      <c r="D27" s="51" t="e">
        <f>(D25/VLOOKUP(A25,#REF!,4,0))*100</f>
        <v>#REF!</v>
      </c>
      <c r="E27" s="82"/>
      <c r="F27" s="602"/>
      <c r="G27" s="68"/>
      <c r="H27" s="583"/>
      <c r="I27" s="12"/>
      <c r="J27" s="31" t="s">
        <v>117</v>
      </c>
      <c r="K27" s="72"/>
      <c r="L27" s="62"/>
      <c r="M27" s="621"/>
      <c r="N27" s="12"/>
      <c r="O27" s="31" t="s">
        <v>117</v>
      </c>
      <c r="P27" s="51" t="e">
        <f>(P25/VLOOKUP(A25,#REF!,4,0))*100</f>
        <v>#REF!</v>
      </c>
      <c r="Q27" s="583"/>
      <c r="R27" s="1"/>
      <c r="S27" s="577"/>
      <c r="T27" s="1"/>
      <c r="U27" s="26"/>
    </row>
    <row r="28" spans="1:21" ht="60" customHeight="1">
      <c r="A28" s="593" t="s">
        <v>5</v>
      </c>
      <c r="B28" s="16"/>
      <c r="C28" s="32" t="s">
        <v>198</v>
      </c>
      <c r="D28" s="128">
        <v>53000</v>
      </c>
      <c r="E28" s="80">
        <v>62</v>
      </c>
      <c r="F28" s="575" t="s">
        <v>264</v>
      </c>
      <c r="G28" s="80">
        <f>383-78</f>
        <v>305</v>
      </c>
      <c r="H28" s="575" t="s">
        <v>193</v>
      </c>
      <c r="I28" s="16"/>
      <c r="J28" s="37" t="s">
        <v>115</v>
      </c>
      <c r="K28" s="73"/>
      <c r="L28" s="128">
        <v>53200</v>
      </c>
      <c r="M28" s="586" t="s">
        <v>191</v>
      </c>
      <c r="N28" s="16"/>
      <c r="O28" s="37" t="s">
        <v>115</v>
      </c>
      <c r="P28" s="128">
        <v>2000</v>
      </c>
      <c r="Q28" s="586" t="s">
        <v>192</v>
      </c>
      <c r="R28" s="15"/>
      <c r="S28" s="575" t="s">
        <v>68</v>
      </c>
      <c r="T28" s="15"/>
      <c r="U28" s="22"/>
    </row>
    <row r="29" spans="1:21" ht="93" customHeight="1">
      <c r="A29" s="594"/>
      <c r="B29" s="6"/>
      <c r="C29" s="32" t="s">
        <v>116</v>
      </c>
      <c r="D29" s="50" t="e">
        <f>D28/VLOOKUP(A28,#REF!,7,0)</f>
        <v>#REF!</v>
      </c>
      <c r="E29" s="81"/>
      <c r="F29" s="584"/>
      <c r="G29" s="56"/>
      <c r="H29" s="576"/>
      <c r="I29" s="6"/>
      <c r="J29" s="32" t="s">
        <v>116</v>
      </c>
      <c r="K29" s="71"/>
      <c r="L29" s="61" t="e">
        <f>L28/VLOOKUP(A28,#REF!,7,0)</f>
        <v>#REF!</v>
      </c>
      <c r="M29" s="584"/>
      <c r="N29" s="6"/>
      <c r="O29" s="32" t="s">
        <v>116</v>
      </c>
      <c r="P29" s="139" t="e">
        <f>P28/VLOOKUP(A28,#REF!,7,0)</f>
        <v>#REF!</v>
      </c>
      <c r="Q29" s="584"/>
      <c r="S29" s="576"/>
      <c r="U29" s="27"/>
    </row>
    <row r="30" spans="1:21" s="2" customFormat="1" ht="99.65" customHeight="1">
      <c r="A30" s="595"/>
      <c r="B30" s="12"/>
      <c r="C30" s="31" t="s">
        <v>117</v>
      </c>
      <c r="D30" s="51" t="e">
        <f>(D28/VLOOKUP(A28,#REF!,4,0))*100</f>
        <v>#REF!</v>
      </c>
      <c r="E30" s="82"/>
      <c r="F30" s="585"/>
      <c r="G30" s="68"/>
      <c r="H30" s="577"/>
      <c r="I30" s="12"/>
      <c r="J30" s="31" t="s">
        <v>117</v>
      </c>
      <c r="K30" s="72"/>
      <c r="L30" s="62" t="e">
        <f>(L28/VLOOKUP(A28,#REF!,4,0))*100</f>
        <v>#REF!</v>
      </c>
      <c r="M30" s="585"/>
      <c r="N30" s="12"/>
      <c r="O30" s="31" t="s">
        <v>117</v>
      </c>
      <c r="P30" s="51" t="e">
        <f>(P28/VLOOKUP(A28,#REF!,4,0))*100</f>
        <v>#REF!</v>
      </c>
      <c r="Q30" s="585"/>
      <c r="R30" s="1"/>
      <c r="S30" s="577"/>
      <c r="T30" s="1"/>
      <c r="U30" s="26"/>
    </row>
    <row r="31" spans="1:21" s="143" customFormat="1" ht="60.65" customHeight="1">
      <c r="A31" s="593" t="s">
        <v>6</v>
      </c>
      <c r="B31" s="16"/>
      <c r="C31" s="37" t="s">
        <v>115</v>
      </c>
      <c r="D31" s="130">
        <v>26000</v>
      </c>
      <c r="E31" s="83">
        <v>2500</v>
      </c>
      <c r="F31" s="600" t="s">
        <v>168</v>
      </c>
      <c r="G31" s="83">
        <v>23500</v>
      </c>
      <c r="H31" s="575" t="s">
        <v>169</v>
      </c>
      <c r="I31" s="16"/>
      <c r="J31" s="37" t="s">
        <v>115</v>
      </c>
      <c r="K31" s="73"/>
      <c r="L31" s="128">
        <v>70000</v>
      </c>
      <c r="M31" s="581" t="s">
        <v>170</v>
      </c>
      <c r="N31" s="16"/>
      <c r="O31" s="37" t="s">
        <v>115</v>
      </c>
      <c r="P31" s="49"/>
      <c r="Q31" s="22"/>
      <c r="R31" s="15"/>
      <c r="S31" s="575" t="s">
        <v>70</v>
      </c>
      <c r="T31" s="15"/>
      <c r="U31" s="605" t="s">
        <v>69</v>
      </c>
    </row>
    <row r="32" spans="1:21" ht="85" customHeight="1">
      <c r="A32" s="594"/>
      <c r="B32" s="6"/>
      <c r="C32" s="32" t="s">
        <v>116</v>
      </c>
      <c r="D32" s="106" t="e">
        <f>D31/VLOOKUP(A31,#REF!,7,0)</f>
        <v>#REF!</v>
      </c>
      <c r="E32" s="81"/>
      <c r="F32" s="601"/>
      <c r="G32" s="56"/>
      <c r="H32" s="576"/>
      <c r="I32" s="6"/>
      <c r="J32" s="32" t="s">
        <v>116</v>
      </c>
      <c r="K32" s="71"/>
      <c r="L32" s="106" t="e">
        <f>L31/VLOOKUP(A31,#REF!,7,0)</f>
        <v>#REF!</v>
      </c>
      <c r="M32" s="582"/>
      <c r="N32" s="6"/>
      <c r="O32" s="32" t="s">
        <v>116</v>
      </c>
      <c r="P32" s="69"/>
      <c r="Q32" s="35"/>
      <c r="S32" s="576"/>
      <c r="U32" s="606"/>
    </row>
    <row r="33" spans="1:22" ht="85" customHeight="1">
      <c r="A33" s="595"/>
      <c r="B33" s="12"/>
      <c r="C33" s="31" t="s">
        <v>117</v>
      </c>
      <c r="D33" s="51" t="e">
        <f>(D31/VLOOKUP(A31,#REF!,4,0))*100</f>
        <v>#REF!</v>
      </c>
      <c r="E33" s="82"/>
      <c r="F33" s="602"/>
      <c r="G33" s="68"/>
      <c r="H33" s="577"/>
      <c r="I33" s="12"/>
      <c r="J33" s="31" t="s">
        <v>117</v>
      </c>
      <c r="K33" s="72"/>
      <c r="L33" s="51" t="e">
        <f>(L31/VLOOKUP(A31,#REF!,4,0))*100</f>
        <v>#REF!</v>
      </c>
      <c r="M33" s="583"/>
      <c r="N33" s="12"/>
      <c r="O33" s="31" t="s">
        <v>117</v>
      </c>
      <c r="P33" s="69"/>
      <c r="Q33" s="35"/>
      <c r="R33" s="1"/>
      <c r="S33" s="577"/>
      <c r="T33" s="1"/>
      <c r="U33" s="607"/>
    </row>
    <row r="34" spans="1:22" s="10" customFormat="1" ht="195" customHeight="1">
      <c r="A34" s="587" t="s">
        <v>32</v>
      </c>
      <c r="B34" s="13"/>
      <c r="C34" s="37" t="s">
        <v>115</v>
      </c>
      <c r="D34" s="93">
        <v>13.9</v>
      </c>
      <c r="E34" s="575">
        <v>3.9</v>
      </c>
      <c r="F34" s="600" t="s">
        <v>217</v>
      </c>
      <c r="G34" s="74">
        <f>8.9-3.9</f>
        <v>5</v>
      </c>
      <c r="H34" s="575" t="s">
        <v>218</v>
      </c>
      <c r="I34" s="13"/>
      <c r="J34" s="32" t="s">
        <v>115</v>
      </c>
      <c r="K34" s="18"/>
      <c r="L34" s="66">
        <v>10</v>
      </c>
      <c r="M34" s="575" t="s">
        <v>219</v>
      </c>
      <c r="N34" s="13"/>
      <c r="O34" s="32" t="s">
        <v>115</v>
      </c>
      <c r="P34" s="93">
        <v>102</v>
      </c>
      <c r="Q34" s="575" t="s">
        <v>220</v>
      </c>
      <c r="R34" s="13"/>
      <c r="S34" s="18"/>
      <c r="T34" s="13"/>
      <c r="U34" s="605" t="s">
        <v>49</v>
      </c>
      <c r="V34" s="10">
        <f>849+223</f>
        <v>1072</v>
      </c>
    </row>
    <row r="35" spans="1:22" s="3" customFormat="1" ht="85" customHeight="1">
      <c r="A35" s="588"/>
      <c r="B35" s="10"/>
      <c r="C35" s="32" t="s">
        <v>116</v>
      </c>
      <c r="D35" s="106" t="e">
        <f>D34/VLOOKUP(A34,#REF!,7,0)</f>
        <v>#REF!</v>
      </c>
      <c r="E35" s="576"/>
      <c r="F35" s="601"/>
      <c r="G35" s="75"/>
      <c r="H35" s="576"/>
      <c r="I35" s="10"/>
      <c r="J35" s="32" t="s">
        <v>116</v>
      </c>
      <c r="K35" s="28"/>
      <c r="L35" s="60" t="e">
        <f>L34/#REF!</f>
        <v>#REF!</v>
      </c>
      <c r="M35" s="576"/>
      <c r="N35" s="10"/>
      <c r="O35" s="32" t="s">
        <v>116</v>
      </c>
      <c r="P35" s="106" t="e">
        <f>P34/VLOOKUP(A34,#REF!,7,0)</f>
        <v>#REF!</v>
      </c>
      <c r="Q35" s="576"/>
      <c r="R35" s="10"/>
      <c r="S35" s="28"/>
      <c r="T35" s="10"/>
      <c r="U35" s="606"/>
    </row>
    <row r="36" spans="1:22" ht="116.15" customHeight="1">
      <c r="A36" s="589"/>
      <c r="B36" s="12"/>
      <c r="C36" s="31" t="s">
        <v>117</v>
      </c>
      <c r="D36" s="51" t="e">
        <f>(D34/VLOOKUP(A34,#REF!,4,0))*100</f>
        <v>#REF!</v>
      </c>
      <c r="E36" s="24"/>
      <c r="F36" s="602"/>
      <c r="G36" s="68"/>
      <c r="H36" s="577"/>
      <c r="I36" s="12"/>
      <c r="J36" s="31" t="s">
        <v>117</v>
      </c>
      <c r="K36" s="23"/>
      <c r="L36" s="62" t="e">
        <f>L34/#REF!*100</f>
        <v>#REF!</v>
      </c>
      <c r="M36" s="577"/>
      <c r="N36" s="12"/>
      <c r="O36" s="31" t="s">
        <v>117</v>
      </c>
      <c r="P36" s="51" t="e">
        <f>(P34/VLOOKUP(A34,#REF!,4,0))*100</f>
        <v>#REF!</v>
      </c>
      <c r="Q36" s="577"/>
      <c r="R36" s="1"/>
      <c r="S36" s="19"/>
      <c r="T36" s="1"/>
      <c r="U36" s="607"/>
    </row>
    <row r="37" spans="1:22" ht="85.5" customHeight="1">
      <c r="A37" s="593" t="s">
        <v>7</v>
      </c>
      <c r="B37" s="16"/>
      <c r="C37" s="32" t="s">
        <v>115</v>
      </c>
      <c r="D37" s="80">
        <v>65</v>
      </c>
      <c r="E37" s="80">
        <v>5</v>
      </c>
      <c r="F37" s="600" t="s">
        <v>118</v>
      </c>
      <c r="G37" s="80">
        <v>60</v>
      </c>
      <c r="H37" s="575" t="s">
        <v>266</v>
      </c>
      <c r="I37" s="16"/>
      <c r="J37" s="32" t="s">
        <v>115</v>
      </c>
      <c r="K37" s="73">
        <v>330</v>
      </c>
      <c r="L37" s="99">
        <v>330</v>
      </c>
      <c r="M37" s="581" t="s">
        <v>267</v>
      </c>
      <c r="N37" s="16"/>
      <c r="O37" s="32" t="s">
        <v>115</v>
      </c>
      <c r="P37" s="49"/>
      <c r="Q37" s="575" t="s">
        <v>157</v>
      </c>
      <c r="R37" s="15"/>
      <c r="S37" s="622" t="s">
        <v>72</v>
      </c>
      <c r="T37" s="15"/>
      <c r="U37" s="614" t="s">
        <v>71</v>
      </c>
    </row>
    <row r="38" spans="1:22" ht="75" customHeight="1">
      <c r="A38" s="594"/>
      <c r="B38" s="6"/>
      <c r="C38" s="32" t="s">
        <v>116</v>
      </c>
      <c r="D38" s="106" t="e">
        <f>D37/VLOOKUP(A37,#REF!,7,0)</f>
        <v>#REF!</v>
      </c>
      <c r="E38" s="81"/>
      <c r="F38" s="601"/>
      <c r="G38" s="56"/>
      <c r="H38" s="576"/>
      <c r="I38" s="6"/>
      <c r="J38" s="32" t="s">
        <v>116</v>
      </c>
      <c r="K38" s="71"/>
      <c r="L38" s="105" t="e">
        <f>L37/VLOOKUP(A37,#REF!,7,0)</f>
        <v>#REF!</v>
      </c>
      <c r="M38" s="582"/>
      <c r="N38" s="6"/>
      <c r="O38" s="32" t="s">
        <v>116</v>
      </c>
      <c r="P38" s="69"/>
      <c r="Q38" s="576"/>
      <c r="S38" s="623"/>
      <c r="U38" s="615"/>
    </row>
    <row r="39" spans="1:22" s="2" customFormat="1" ht="72" customHeight="1">
      <c r="A39" s="595"/>
      <c r="B39" s="12"/>
      <c r="C39" s="31" t="s">
        <v>117</v>
      </c>
      <c r="D39" s="51" t="e">
        <f>(D37/VLOOKUP(A37,#REF!,4,0))*100</f>
        <v>#REF!</v>
      </c>
      <c r="E39" s="82"/>
      <c r="F39" s="602"/>
      <c r="G39" s="68"/>
      <c r="H39" s="577"/>
      <c r="I39" s="12"/>
      <c r="J39" s="31" t="s">
        <v>117</v>
      </c>
      <c r="K39" s="72"/>
      <c r="L39" s="62" t="e">
        <f>(L37/VLOOKUP(A37,#REF!,4,0))*100</f>
        <v>#REF!</v>
      </c>
      <c r="M39" s="583"/>
      <c r="N39" s="12"/>
      <c r="O39" s="31" t="s">
        <v>117</v>
      </c>
      <c r="P39" s="17"/>
      <c r="Q39" s="577"/>
      <c r="R39" s="1"/>
      <c r="S39" s="624"/>
      <c r="T39" s="1"/>
      <c r="U39" s="616"/>
    </row>
    <row r="40" spans="1:22" s="143" customFormat="1" ht="67" customHeight="1">
      <c r="A40" s="593" t="s">
        <v>8</v>
      </c>
      <c r="B40" s="16"/>
      <c r="C40" s="37" t="s">
        <v>115</v>
      </c>
      <c r="D40" s="128">
        <v>1395</v>
      </c>
      <c r="E40" s="80">
        <v>141</v>
      </c>
      <c r="F40" s="600" t="s">
        <v>120</v>
      </c>
      <c r="G40" s="80">
        <f>D40-E40</f>
        <v>1254</v>
      </c>
      <c r="H40" s="575" t="s">
        <v>221</v>
      </c>
      <c r="I40" s="16"/>
      <c r="J40" s="37" t="s">
        <v>115</v>
      </c>
      <c r="K40" s="73">
        <v>859</v>
      </c>
      <c r="L40" s="99">
        <v>859</v>
      </c>
      <c r="M40" s="581" t="s">
        <v>222</v>
      </c>
      <c r="N40" s="16"/>
      <c r="O40" s="37" t="s">
        <v>115</v>
      </c>
      <c r="P40" s="49"/>
      <c r="Q40" s="22"/>
      <c r="R40" s="15"/>
      <c r="S40" s="575" t="s">
        <v>73</v>
      </c>
      <c r="T40" s="15"/>
      <c r="U40" s="22"/>
    </row>
    <row r="41" spans="1:22" ht="100" customHeight="1">
      <c r="A41" s="594"/>
      <c r="B41" s="6"/>
      <c r="C41" s="32" t="s">
        <v>116</v>
      </c>
      <c r="D41" s="129" t="e">
        <f>D40/VLOOKUP(A40,#REF!,7,0)</f>
        <v>#REF!</v>
      </c>
      <c r="E41" s="81"/>
      <c r="F41" s="601"/>
      <c r="G41" s="56"/>
      <c r="H41" s="576"/>
      <c r="I41" s="6"/>
      <c r="J41" s="32" t="s">
        <v>116</v>
      </c>
      <c r="K41" s="71"/>
      <c r="L41" s="105" t="e">
        <f>L40/VLOOKUP(A40,#REF!,7,0)</f>
        <v>#REF!</v>
      </c>
      <c r="M41" s="582"/>
      <c r="N41" s="6"/>
      <c r="O41" s="32" t="s">
        <v>116</v>
      </c>
      <c r="P41" s="69"/>
      <c r="Q41" s="28"/>
      <c r="S41" s="576"/>
      <c r="U41" s="27"/>
    </row>
    <row r="42" spans="1:22" ht="84.65" customHeight="1">
      <c r="A42" s="595"/>
      <c r="B42" s="12"/>
      <c r="C42" s="31" t="s">
        <v>117</v>
      </c>
      <c r="D42" s="51" t="e">
        <f>(D40/VLOOKUP(A40,#REF!,4,0))*100</f>
        <v>#REF!</v>
      </c>
      <c r="E42" s="82"/>
      <c r="F42" s="602"/>
      <c r="G42" s="68"/>
      <c r="H42" s="577"/>
      <c r="I42" s="12"/>
      <c r="J42" s="31" t="s">
        <v>117</v>
      </c>
      <c r="K42" s="72"/>
      <c r="L42" s="62" t="e">
        <f>(L40/VLOOKUP(A40,#REF!,4,0))*100</f>
        <v>#REF!</v>
      </c>
      <c r="M42" s="583"/>
      <c r="N42" s="12"/>
      <c r="O42" s="31" t="s">
        <v>117</v>
      </c>
      <c r="P42" s="17"/>
      <c r="Q42" s="19"/>
      <c r="R42" s="1"/>
      <c r="S42" s="577"/>
      <c r="T42" s="1"/>
      <c r="U42" s="26"/>
    </row>
    <row r="43" spans="1:22">
      <c r="A43" s="110"/>
      <c r="B43" s="6"/>
      <c r="C43" s="43"/>
      <c r="D43" s="111"/>
      <c r="E43" s="125"/>
      <c r="F43" s="36"/>
      <c r="G43" s="113"/>
      <c r="H43" s="10"/>
      <c r="I43" s="6"/>
      <c r="J43" s="43"/>
      <c r="K43" s="40"/>
      <c r="L43" s="114"/>
      <c r="N43" s="6"/>
      <c r="O43" s="43"/>
      <c r="P43" s="111"/>
      <c r="Q43" s="10"/>
      <c r="S43" s="10"/>
      <c r="U43" s="109"/>
    </row>
    <row r="44" spans="1:22" s="2" customFormat="1" ht="13">
      <c r="A44" s="124" t="s">
        <v>136</v>
      </c>
      <c r="B44" s="144"/>
      <c r="C44" s="124"/>
      <c r="D44" s="145"/>
      <c r="E44" s="146"/>
      <c r="F44" s="144"/>
      <c r="G44" s="144"/>
      <c r="H44" s="147"/>
      <c r="I44" s="144"/>
      <c r="J44" s="147"/>
      <c r="K44" s="144"/>
      <c r="L44" s="148"/>
      <c r="M44" s="147"/>
      <c r="N44" s="144"/>
      <c r="O44" s="147"/>
      <c r="P44" s="149"/>
      <c r="Q44" s="147"/>
      <c r="R44" s="1"/>
      <c r="S44" s="12"/>
      <c r="T44" s="1"/>
      <c r="U44" s="46"/>
    </row>
    <row r="45" spans="1:22" ht="59.15" customHeight="1">
      <c r="A45" s="593" t="s">
        <v>9</v>
      </c>
      <c r="B45" s="6"/>
      <c r="C45" s="32" t="s">
        <v>115</v>
      </c>
      <c r="D45" s="98">
        <v>350</v>
      </c>
      <c r="E45" s="81"/>
      <c r="F45" s="600" t="s">
        <v>143</v>
      </c>
      <c r="G45" s="81">
        <v>200</v>
      </c>
      <c r="H45" s="581" t="s">
        <v>187</v>
      </c>
      <c r="I45" s="6"/>
      <c r="J45" s="32" t="s">
        <v>115</v>
      </c>
      <c r="K45" s="71"/>
      <c r="L45" s="64"/>
      <c r="M45" s="575" t="s">
        <v>144</v>
      </c>
      <c r="N45" s="6"/>
      <c r="O45" s="32" t="s">
        <v>115</v>
      </c>
      <c r="P45" s="81">
        <v>350</v>
      </c>
      <c r="Q45" s="575" t="s">
        <v>103</v>
      </c>
      <c r="S45" s="35"/>
      <c r="U45" s="35">
        <f>300/D46*350</f>
        <v>19444.444444444442</v>
      </c>
    </row>
    <row r="46" spans="1:22" ht="59.15" customHeight="1">
      <c r="A46" s="594"/>
      <c r="B46" s="6"/>
      <c r="C46" s="32" t="s">
        <v>199</v>
      </c>
      <c r="D46" s="50">
        <v>5.4</v>
      </c>
      <c r="E46" s="81"/>
      <c r="F46" s="601"/>
      <c r="G46" s="56"/>
      <c r="H46" s="582"/>
      <c r="I46" s="6"/>
      <c r="J46" s="32" t="s">
        <v>116</v>
      </c>
      <c r="K46" s="71"/>
      <c r="L46" s="61"/>
      <c r="M46" s="576"/>
      <c r="N46" s="6"/>
      <c r="O46" s="32" t="s">
        <v>273</v>
      </c>
      <c r="P46" s="50">
        <v>5.4</v>
      </c>
      <c r="Q46" s="576"/>
      <c r="S46" s="28" t="s">
        <v>152</v>
      </c>
      <c r="U46" s="27"/>
    </row>
    <row r="47" spans="1:22" ht="66.650000000000006" customHeight="1">
      <c r="A47" s="595"/>
      <c r="B47" s="12"/>
      <c r="C47" s="31" t="s">
        <v>117</v>
      </c>
      <c r="D47" s="51" t="e">
        <f>(D45/VLOOKUP("Argentina",#REF!,4,0))*100</f>
        <v>#REF!</v>
      </c>
      <c r="E47" s="82"/>
      <c r="F47" s="602"/>
      <c r="G47" s="68"/>
      <c r="H47" s="583"/>
      <c r="I47" s="12"/>
      <c r="J47" s="31" t="s">
        <v>117</v>
      </c>
      <c r="K47" s="72"/>
      <c r="L47" s="62"/>
      <c r="M47" s="577"/>
      <c r="N47" s="12"/>
      <c r="O47" s="31" t="s">
        <v>117</v>
      </c>
      <c r="P47" s="51" t="e">
        <f>(P45/VLOOKUP("Argentina",#REF!,4,0))*100</f>
        <v>#REF!</v>
      </c>
      <c r="Q47" s="577"/>
      <c r="R47" s="1"/>
      <c r="S47" s="19"/>
      <c r="T47" s="1"/>
      <c r="U47" s="26"/>
    </row>
    <row r="48" spans="1:22" ht="67.5" customHeight="1">
      <c r="A48" s="593" t="s">
        <v>10</v>
      </c>
      <c r="B48" s="16"/>
      <c r="C48" s="32" t="s">
        <v>115</v>
      </c>
      <c r="D48" s="80">
        <v>205</v>
      </c>
      <c r="E48" s="80">
        <v>20</v>
      </c>
      <c r="F48" s="600" t="s">
        <v>171</v>
      </c>
      <c r="G48" s="80"/>
      <c r="H48" s="575" t="s">
        <v>172</v>
      </c>
      <c r="I48" s="16"/>
      <c r="J48" s="32" t="s">
        <v>115</v>
      </c>
      <c r="K48" s="73">
        <v>264</v>
      </c>
      <c r="L48" s="99">
        <v>230</v>
      </c>
      <c r="M48" s="581" t="s">
        <v>104</v>
      </c>
      <c r="N48" s="16"/>
      <c r="O48" s="32" t="s">
        <v>115</v>
      </c>
      <c r="P48" s="80">
        <v>34</v>
      </c>
      <c r="Q48" s="575" t="s">
        <v>105</v>
      </c>
      <c r="R48" s="15"/>
      <c r="S48" s="575" t="s">
        <v>75</v>
      </c>
      <c r="T48" s="15"/>
      <c r="U48" s="22"/>
    </row>
    <row r="49" spans="1:21" ht="80.150000000000006" customHeight="1">
      <c r="A49" s="594"/>
      <c r="B49" s="6"/>
      <c r="C49" s="32" t="s">
        <v>116</v>
      </c>
      <c r="D49" s="106" t="e">
        <f>D48/VLOOKUP(A48,#REF!,7,0)</f>
        <v>#REF!</v>
      </c>
      <c r="E49" s="81"/>
      <c r="F49" s="601"/>
      <c r="G49" s="56"/>
      <c r="H49" s="576"/>
      <c r="I49" s="6"/>
      <c r="J49" s="32" t="s">
        <v>116</v>
      </c>
      <c r="K49" s="71"/>
      <c r="L49" s="105" t="e">
        <f>L48/VLOOKUP(A48,#REF!,7,0)</f>
        <v>#REF!</v>
      </c>
      <c r="M49" s="582"/>
      <c r="N49" s="6"/>
      <c r="O49" s="32" t="s">
        <v>116</v>
      </c>
      <c r="P49" s="50" t="e">
        <f>P48/VLOOKUP(A48,#REF!,7,0)</f>
        <v>#REF!</v>
      </c>
      <c r="Q49" s="576"/>
      <c r="S49" s="576"/>
      <c r="U49" s="27"/>
    </row>
    <row r="50" spans="1:21" ht="73.5" customHeight="1">
      <c r="A50" s="595"/>
      <c r="B50" s="6"/>
      <c r="C50" s="32" t="s">
        <v>117</v>
      </c>
      <c r="D50" s="50" t="e">
        <f>(D48/VLOOKUP(A48,#REF!,4,0))*100</f>
        <v>#REF!</v>
      </c>
      <c r="E50" s="81"/>
      <c r="F50" s="602"/>
      <c r="G50" s="56"/>
      <c r="H50" s="577"/>
      <c r="I50" s="6"/>
      <c r="J50" s="32" t="s">
        <v>117</v>
      </c>
      <c r="K50" s="71"/>
      <c r="L50" s="61" t="e">
        <f>(L48/VLOOKUP(A48,#REF!,4,0))*100</f>
        <v>#REF!</v>
      </c>
      <c r="M50" s="583"/>
      <c r="N50" s="6"/>
      <c r="O50" s="32" t="s">
        <v>117</v>
      </c>
      <c r="P50" s="50" t="e">
        <f>(P48/VLOOKUP(A48,#REF!,4,0))*100</f>
        <v>#REF!</v>
      </c>
      <c r="Q50" s="577"/>
      <c r="S50" s="577"/>
      <c r="U50" s="27"/>
    </row>
    <row r="51" spans="1:21" s="13" customFormat="1" ht="89.15" customHeight="1">
      <c r="A51" s="587" t="s">
        <v>11</v>
      </c>
      <c r="C51" s="37" t="s">
        <v>115</v>
      </c>
      <c r="D51" s="127">
        <v>2560</v>
      </c>
      <c r="E51" s="74">
        <v>110</v>
      </c>
      <c r="F51" s="600" t="s">
        <v>121</v>
      </c>
      <c r="G51" s="74">
        <v>2390</v>
      </c>
      <c r="H51" s="581" t="s">
        <v>173</v>
      </c>
      <c r="J51" s="37" t="s">
        <v>115</v>
      </c>
      <c r="K51" s="74"/>
      <c r="L51" s="66"/>
      <c r="M51" s="141"/>
      <c r="O51" s="37" t="s">
        <v>115</v>
      </c>
      <c r="P51" s="53"/>
      <c r="Q51" s="141"/>
      <c r="S51" s="575" t="s">
        <v>76</v>
      </c>
      <c r="U51" s="18"/>
    </row>
    <row r="52" spans="1:21" ht="87" customHeight="1">
      <c r="A52" s="588"/>
      <c r="B52" s="6"/>
      <c r="C52" s="32" t="s">
        <v>116</v>
      </c>
      <c r="D52" s="106" t="e">
        <f>D51/VLOOKUP(A51,#REF!,7,0)</f>
        <v>#REF!</v>
      </c>
      <c r="E52" s="75"/>
      <c r="F52" s="601"/>
      <c r="G52" s="56"/>
      <c r="H52" s="582"/>
      <c r="I52" s="6"/>
      <c r="J52" s="32" t="s">
        <v>116</v>
      </c>
      <c r="K52" s="71"/>
      <c r="L52" s="61"/>
      <c r="M52" s="35"/>
      <c r="N52" s="6"/>
      <c r="O52" s="32" t="s">
        <v>116</v>
      </c>
      <c r="P52" s="69"/>
      <c r="Q52" s="28"/>
      <c r="S52" s="576"/>
      <c r="U52" s="27"/>
    </row>
    <row r="53" spans="1:21" ht="92.15" customHeight="1">
      <c r="A53" s="588"/>
      <c r="B53" s="6"/>
      <c r="C53" s="32" t="s">
        <v>117</v>
      </c>
      <c r="D53" s="50" t="e">
        <f>(D51/VLOOKUP(A51,#REF!,4,0))*100</f>
        <v>#REF!</v>
      </c>
      <c r="E53" s="75"/>
      <c r="F53" s="601"/>
      <c r="G53" s="56"/>
      <c r="H53" s="582"/>
      <c r="I53" s="6"/>
      <c r="J53" s="32" t="s">
        <v>117</v>
      </c>
      <c r="K53" s="71"/>
      <c r="L53" s="61"/>
      <c r="M53" s="35"/>
      <c r="N53" s="6"/>
      <c r="O53" s="32" t="s">
        <v>117</v>
      </c>
      <c r="P53" s="69"/>
      <c r="Q53" s="28"/>
      <c r="S53" s="576"/>
      <c r="U53" s="27"/>
    </row>
    <row r="54" spans="1:21" s="13" customFormat="1" ht="78" customHeight="1">
      <c r="A54" s="587" t="s">
        <v>12</v>
      </c>
      <c r="C54" s="37" t="s">
        <v>115</v>
      </c>
      <c r="D54" s="127">
        <v>1570</v>
      </c>
      <c r="E54" s="74">
        <v>150</v>
      </c>
      <c r="F54" s="600" t="s">
        <v>205</v>
      </c>
      <c r="G54" s="74">
        <v>1700</v>
      </c>
      <c r="H54" s="581" t="s">
        <v>206</v>
      </c>
      <c r="J54" s="37" t="s">
        <v>115</v>
      </c>
      <c r="K54" s="74"/>
      <c r="L54" s="66"/>
      <c r="M54" s="18"/>
      <c r="O54" s="37" t="s">
        <v>115</v>
      </c>
      <c r="P54" s="53"/>
      <c r="Q54" s="18"/>
      <c r="S54" s="18"/>
      <c r="U54" s="605" t="s">
        <v>57</v>
      </c>
    </row>
    <row r="55" spans="1:21" s="10" customFormat="1" ht="90" customHeight="1">
      <c r="A55" s="588"/>
      <c r="C55" s="32" t="s">
        <v>116</v>
      </c>
      <c r="D55" s="106" t="e">
        <f>D54/VLOOKUP(A54,#REF!,7,0)</f>
        <v>#REF!</v>
      </c>
      <c r="E55" s="77">
        <v>0.1</v>
      </c>
      <c r="F55" s="601"/>
      <c r="G55" s="77">
        <v>0.8</v>
      </c>
      <c r="H55" s="582"/>
      <c r="J55" s="32" t="s">
        <v>116</v>
      </c>
      <c r="K55" s="75"/>
      <c r="L55" s="60"/>
      <c r="M55" s="28"/>
      <c r="O55" s="32" t="s">
        <v>116</v>
      </c>
      <c r="P55" s="56"/>
      <c r="Q55" s="28"/>
      <c r="S55" s="28"/>
      <c r="U55" s="606"/>
    </row>
    <row r="56" spans="1:21" ht="191.5" customHeight="1">
      <c r="A56" s="589"/>
      <c r="B56" s="6"/>
      <c r="C56" s="32" t="s">
        <v>117</v>
      </c>
      <c r="D56" s="50" t="e">
        <f>(D54/VLOOKUP(A54,#REF!,4,0))*100</f>
        <v>#REF!</v>
      </c>
      <c r="E56" s="77"/>
      <c r="F56" s="30"/>
      <c r="G56" s="56"/>
      <c r="H56" s="583"/>
      <c r="I56" s="6"/>
      <c r="J56" s="32" t="s">
        <v>117</v>
      </c>
      <c r="K56" s="71"/>
      <c r="L56" s="61"/>
      <c r="M56" s="35"/>
      <c r="N56" s="6"/>
      <c r="O56" s="32" t="s">
        <v>117</v>
      </c>
      <c r="P56" s="69"/>
      <c r="Q56" s="28"/>
      <c r="S56" s="28"/>
      <c r="U56" s="607"/>
    </row>
    <row r="57" spans="1:21" s="13" customFormat="1" ht="73.5" customHeight="1">
      <c r="A57" s="587" t="s">
        <v>13</v>
      </c>
      <c r="C57" s="37" t="s">
        <v>115</v>
      </c>
      <c r="D57" s="126">
        <v>289000</v>
      </c>
      <c r="E57" s="74">
        <v>76000</v>
      </c>
      <c r="F57" s="575" t="s">
        <v>162</v>
      </c>
      <c r="G57" s="74">
        <v>213000</v>
      </c>
      <c r="H57" s="581" t="s">
        <v>161</v>
      </c>
      <c r="J57" s="37" t="s">
        <v>115</v>
      </c>
      <c r="K57" s="142"/>
      <c r="L57" s="67"/>
      <c r="M57" s="140"/>
      <c r="O57" s="37" t="s">
        <v>115</v>
      </c>
      <c r="P57" s="127">
        <v>150000</v>
      </c>
      <c r="Q57" s="581" t="s">
        <v>150</v>
      </c>
      <c r="S57" s="18"/>
      <c r="U57" s="18"/>
    </row>
    <row r="58" spans="1:21" s="10" customFormat="1" ht="100" customHeight="1">
      <c r="A58" s="588"/>
      <c r="C58" s="32" t="s">
        <v>116</v>
      </c>
      <c r="D58" s="106" t="e">
        <f>D57/VLOOKUP(A57,#REF!,7,0)</f>
        <v>#REF!</v>
      </c>
      <c r="E58" s="75"/>
      <c r="F58" s="576"/>
      <c r="G58" s="75"/>
      <c r="H58" s="582"/>
      <c r="J58" s="32" t="s">
        <v>116</v>
      </c>
      <c r="K58" s="75"/>
      <c r="L58" s="61"/>
      <c r="M58" s="48"/>
      <c r="O58" s="32" t="s">
        <v>116</v>
      </c>
      <c r="P58" s="56" t="e">
        <f>P57/#REF!</f>
        <v>#REF!</v>
      </c>
      <c r="Q58" s="582"/>
      <c r="S58" s="28"/>
      <c r="U58" s="28"/>
    </row>
    <row r="59" spans="1:21" s="2" customFormat="1" ht="121.5" customHeight="1">
      <c r="A59" s="589"/>
      <c r="B59" s="12"/>
      <c r="C59" s="31" t="s">
        <v>117</v>
      </c>
      <c r="D59" s="51" t="e">
        <f>(D57/VLOOKUP(A57,#REF!,4,0))*100</f>
        <v>#REF!</v>
      </c>
      <c r="E59" s="78"/>
      <c r="F59" s="577"/>
      <c r="G59" s="68"/>
      <c r="H59" s="583"/>
      <c r="I59" s="12"/>
      <c r="J59" s="31" t="s">
        <v>117</v>
      </c>
      <c r="K59" s="72"/>
      <c r="L59" s="62"/>
      <c r="M59" s="47"/>
      <c r="N59" s="12"/>
      <c r="O59" s="31" t="s">
        <v>117</v>
      </c>
      <c r="P59" s="17" t="e">
        <f>P57/#REF!*100</f>
        <v>#REF!</v>
      </c>
      <c r="Q59" s="583"/>
      <c r="R59" s="1"/>
      <c r="S59" s="132" t="s">
        <v>160</v>
      </c>
      <c r="T59" s="1"/>
      <c r="U59" s="26"/>
    </row>
    <row r="60" spans="1:21" s="36" customFormat="1" ht="42" customHeight="1">
      <c r="A60" s="587" t="s">
        <v>14</v>
      </c>
      <c r="C60" s="32" t="s">
        <v>115</v>
      </c>
      <c r="D60" s="98">
        <v>180</v>
      </c>
      <c r="E60" s="75"/>
      <c r="F60" s="600" t="s">
        <v>224</v>
      </c>
      <c r="G60" s="75"/>
      <c r="H60" s="581" t="s">
        <v>190</v>
      </c>
      <c r="J60" s="32" t="s">
        <v>115</v>
      </c>
      <c r="K60" s="75"/>
      <c r="L60" s="97">
        <v>75</v>
      </c>
      <c r="M60" s="575" t="s">
        <v>223</v>
      </c>
      <c r="O60" s="32" t="s">
        <v>115</v>
      </c>
      <c r="P60" s="56"/>
      <c r="Q60" s="28"/>
      <c r="S60" s="575" t="s">
        <v>77</v>
      </c>
      <c r="U60" s="605" t="s">
        <v>58</v>
      </c>
    </row>
    <row r="61" spans="1:21" s="36" customFormat="1" ht="37.5" customHeight="1">
      <c r="A61" s="588"/>
      <c r="C61" s="32" t="s">
        <v>116</v>
      </c>
      <c r="D61" s="50" t="e">
        <f>D60/VLOOKUP(A60,#REF!,7,0)</f>
        <v>#REF!</v>
      </c>
      <c r="E61" s="75"/>
      <c r="F61" s="601"/>
      <c r="G61" s="75"/>
      <c r="H61" s="582"/>
      <c r="J61" s="32" t="s">
        <v>116</v>
      </c>
      <c r="K61" s="75"/>
      <c r="L61" s="107" t="e">
        <f>L60/VLOOKUP(A60,#REF!,7,0)</f>
        <v>#REF!</v>
      </c>
      <c r="M61" s="576"/>
      <c r="O61" s="32" t="s">
        <v>116</v>
      </c>
      <c r="P61" s="56"/>
      <c r="Q61" s="28"/>
      <c r="S61" s="576"/>
      <c r="U61" s="606"/>
    </row>
    <row r="62" spans="1:21" s="4" customFormat="1" ht="50.5" customHeight="1">
      <c r="A62" s="589"/>
      <c r="C62" s="31" t="s">
        <v>117</v>
      </c>
      <c r="D62" s="51" t="e">
        <f>(D60/VLOOKUP(A60,#REF!,4,0))*100</f>
        <v>#REF!</v>
      </c>
      <c r="E62" s="76"/>
      <c r="F62" s="602"/>
      <c r="G62" s="76"/>
      <c r="H62" s="583"/>
      <c r="J62" s="31" t="s">
        <v>117</v>
      </c>
      <c r="K62" s="76"/>
      <c r="L62" s="108" t="e">
        <f>(L60/VLOOKUP(A60,#REF!,4,0))*100</f>
        <v>#REF!</v>
      </c>
      <c r="M62" s="577"/>
      <c r="O62" s="31" t="s">
        <v>117</v>
      </c>
      <c r="P62" s="68"/>
      <c r="Q62" s="19"/>
      <c r="S62" s="577"/>
      <c r="U62" s="607"/>
    </row>
    <row r="63" spans="1:21" s="10" customFormat="1" ht="104.5" customHeight="1">
      <c r="A63" s="587" t="s">
        <v>15</v>
      </c>
      <c r="B63" s="13"/>
      <c r="C63" s="32" t="s">
        <v>115</v>
      </c>
      <c r="D63" s="96">
        <v>900</v>
      </c>
      <c r="E63" s="74">
        <v>78.400000000000006</v>
      </c>
      <c r="F63" s="575" t="s">
        <v>145</v>
      </c>
      <c r="G63" s="74"/>
      <c r="H63" s="575" t="s">
        <v>174</v>
      </c>
      <c r="I63" s="13"/>
      <c r="J63" s="32" t="s">
        <v>115</v>
      </c>
      <c r="K63" s="74"/>
      <c r="L63" s="133">
        <v>570</v>
      </c>
      <c r="M63" s="581" t="s">
        <v>225</v>
      </c>
      <c r="N63" s="13"/>
      <c r="O63" s="32" t="s">
        <v>115</v>
      </c>
      <c r="P63" s="98"/>
      <c r="Q63" s="578"/>
      <c r="R63" s="13"/>
      <c r="S63" s="18"/>
      <c r="T63" s="13"/>
      <c r="U63" s="18"/>
    </row>
    <row r="64" spans="1:21" s="10" customFormat="1" ht="101.5" customHeight="1">
      <c r="A64" s="588"/>
      <c r="C64" s="32" t="s">
        <v>116</v>
      </c>
      <c r="D64" s="106" t="e">
        <f>D63/VLOOKUP(A63,#REF!,7,0)</f>
        <v>#REF!</v>
      </c>
      <c r="E64" s="75"/>
      <c r="F64" s="576"/>
      <c r="G64" s="75"/>
      <c r="H64" s="576"/>
      <c r="J64" s="32" t="s">
        <v>116</v>
      </c>
      <c r="K64" s="75"/>
      <c r="L64" s="61" t="e">
        <f>L63/VLOOKUP(A63,#REF!,7,0)</f>
        <v>#REF!</v>
      </c>
      <c r="M64" s="582"/>
      <c r="O64" s="32" t="s">
        <v>116</v>
      </c>
      <c r="P64" s="50"/>
      <c r="Q64" s="579"/>
      <c r="S64" s="28"/>
      <c r="U64" s="28"/>
    </row>
    <row r="65" spans="1:21" ht="110.15" customHeight="1">
      <c r="A65" s="589"/>
      <c r="B65" s="6"/>
      <c r="C65" s="32" t="s">
        <v>117</v>
      </c>
      <c r="D65" s="50" t="e">
        <f>(D63/VLOOKUP(A63,#REF!,4,0))*100</f>
        <v>#REF!</v>
      </c>
      <c r="E65" s="77"/>
      <c r="F65" s="577"/>
      <c r="G65" s="56"/>
      <c r="H65" s="577"/>
      <c r="I65" s="6"/>
      <c r="J65" s="32" t="s">
        <v>117</v>
      </c>
      <c r="K65" s="71"/>
      <c r="L65" s="61" t="e">
        <f>(L63/VLOOKUP(A63,#REF!,4,0))*100</f>
        <v>#REF!</v>
      </c>
      <c r="M65" s="583"/>
      <c r="N65" s="6"/>
      <c r="O65" s="32" t="s">
        <v>117</v>
      </c>
      <c r="P65" s="50"/>
      <c r="Q65" s="580"/>
      <c r="S65" s="28"/>
      <c r="U65" s="27"/>
    </row>
    <row r="66" spans="1:21" s="13" customFormat="1" ht="43" customHeight="1">
      <c r="A66" s="587" t="s">
        <v>16</v>
      </c>
      <c r="C66" s="37" t="s">
        <v>115</v>
      </c>
      <c r="D66" s="93" t="s">
        <v>84</v>
      </c>
      <c r="E66" s="74">
        <v>10</v>
      </c>
      <c r="F66" s="575" t="s">
        <v>181</v>
      </c>
      <c r="G66" s="74"/>
      <c r="H66" s="575" t="s">
        <v>226</v>
      </c>
      <c r="J66" s="37" t="s">
        <v>115</v>
      </c>
      <c r="K66" s="74">
        <v>22</v>
      </c>
      <c r="L66" s="94">
        <v>22</v>
      </c>
      <c r="M66" s="575" t="s">
        <v>227</v>
      </c>
      <c r="O66" s="37" t="s">
        <v>115</v>
      </c>
      <c r="P66" s="53"/>
      <c r="Q66" s="18"/>
      <c r="S66" s="18"/>
      <c r="U66" s="605" t="s">
        <v>59</v>
      </c>
    </row>
    <row r="67" spans="1:21" s="10" customFormat="1" ht="59.5" customHeight="1">
      <c r="A67" s="588"/>
      <c r="C67" s="32" t="s">
        <v>116</v>
      </c>
      <c r="D67" s="50"/>
      <c r="E67" s="75"/>
      <c r="F67" s="576"/>
      <c r="G67" s="75"/>
      <c r="H67" s="576"/>
      <c r="J67" s="32" t="s">
        <v>116</v>
      </c>
      <c r="K67" s="75"/>
      <c r="L67" s="61" t="e">
        <f>L66/VLOOKUP(A66,#REF!,7,0)</f>
        <v>#REF!</v>
      </c>
      <c r="M67" s="576"/>
      <c r="O67" s="32" t="s">
        <v>116</v>
      </c>
      <c r="P67" s="56"/>
      <c r="Q67" s="28"/>
      <c r="S67" s="28"/>
      <c r="U67" s="606"/>
    </row>
    <row r="68" spans="1:21" ht="59.5" customHeight="1">
      <c r="A68" s="589"/>
      <c r="B68" s="12"/>
      <c r="C68" s="31" t="s">
        <v>117</v>
      </c>
      <c r="D68" s="51"/>
      <c r="E68" s="78"/>
      <c r="F68" s="577"/>
      <c r="G68" s="68"/>
      <c r="H68" s="577"/>
      <c r="I68" s="12"/>
      <c r="J68" s="31" t="s">
        <v>117</v>
      </c>
      <c r="K68" s="72"/>
      <c r="L68" s="62" t="e">
        <f>(L66/VLOOKUP(A66,#REF!,4,0))*100</f>
        <v>#REF!</v>
      </c>
      <c r="M68" s="577"/>
      <c r="N68" s="12"/>
      <c r="O68" s="31" t="s">
        <v>117</v>
      </c>
      <c r="P68" s="17"/>
      <c r="Q68" s="19"/>
      <c r="R68" s="1"/>
      <c r="S68" s="19"/>
      <c r="T68" s="1"/>
      <c r="U68" s="26"/>
    </row>
    <row r="69" spans="1:21" s="10" customFormat="1" ht="60" customHeight="1">
      <c r="A69" s="587" t="s">
        <v>17</v>
      </c>
      <c r="B69" s="13"/>
      <c r="C69" s="32" t="s">
        <v>115</v>
      </c>
      <c r="D69" s="53" t="s">
        <v>84</v>
      </c>
      <c r="E69" s="625"/>
      <c r="F69" s="575" t="s">
        <v>176</v>
      </c>
      <c r="G69" s="74"/>
      <c r="H69" s="581" t="s">
        <v>268</v>
      </c>
      <c r="I69" s="13"/>
      <c r="J69" s="32" t="s">
        <v>115</v>
      </c>
      <c r="K69" s="74"/>
      <c r="L69" s="66">
        <v>30.15</v>
      </c>
      <c r="M69" s="575" t="s">
        <v>228</v>
      </c>
      <c r="N69" s="13"/>
      <c r="O69" s="32" t="s">
        <v>115</v>
      </c>
      <c r="P69" s="53"/>
      <c r="Q69" s="18"/>
      <c r="R69" s="13"/>
      <c r="S69" s="18"/>
      <c r="T69" s="13"/>
      <c r="U69" s="18"/>
    </row>
    <row r="70" spans="1:21" s="10" customFormat="1" ht="60" customHeight="1">
      <c r="A70" s="588"/>
      <c r="C70" s="32" t="s">
        <v>116</v>
      </c>
      <c r="D70" s="50"/>
      <c r="E70" s="626"/>
      <c r="F70" s="576"/>
      <c r="G70" s="75"/>
      <c r="H70" s="582"/>
      <c r="J70" s="32" t="s">
        <v>116</v>
      </c>
      <c r="K70" s="75"/>
      <c r="L70" s="61" t="e">
        <f>L69/VLOOKUP(A69,#REF!,7,0)</f>
        <v>#REF!</v>
      </c>
      <c r="M70" s="576"/>
      <c r="O70" s="32" t="s">
        <v>116</v>
      </c>
      <c r="P70" s="56"/>
      <c r="Q70" s="28"/>
      <c r="S70" s="28"/>
      <c r="U70" s="28"/>
    </row>
    <row r="71" spans="1:21" ht="60" customHeight="1">
      <c r="A71" s="589"/>
      <c r="B71" s="12"/>
      <c r="C71" s="31" t="s">
        <v>117</v>
      </c>
      <c r="D71" s="51"/>
      <c r="E71" s="78"/>
      <c r="F71" s="577"/>
      <c r="G71" s="68"/>
      <c r="H71" s="583"/>
      <c r="I71" s="12"/>
      <c r="J71" s="31" t="s">
        <v>117</v>
      </c>
      <c r="K71" s="72"/>
      <c r="L71" s="62" t="e">
        <f>(L69/VLOOKUP(A69,#REF!,4,0))*100</f>
        <v>#REF!</v>
      </c>
      <c r="M71" s="577"/>
      <c r="N71" s="12"/>
      <c r="O71" s="31" t="s">
        <v>117</v>
      </c>
      <c r="P71" s="17"/>
      <c r="Q71" s="19"/>
      <c r="R71" s="1"/>
      <c r="S71" s="19"/>
      <c r="T71" s="1"/>
      <c r="U71" s="26"/>
    </row>
    <row r="72" spans="1:21" s="36" customFormat="1" ht="50.15" customHeight="1">
      <c r="A72" s="587" t="s">
        <v>18</v>
      </c>
      <c r="B72" s="14"/>
      <c r="C72" s="32" t="s">
        <v>115</v>
      </c>
      <c r="D72" s="53">
        <v>75</v>
      </c>
      <c r="E72" s="587"/>
      <c r="F72" s="20"/>
      <c r="G72" s="587">
        <v>75</v>
      </c>
      <c r="H72" s="581" t="s">
        <v>175</v>
      </c>
      <c r="I72" s="14"/>
      <c r="J72" s="32" t="s">
        <v>115</v>
      </c>
      <c r="K72" s="74">
        <v>25</v>
      </c>
      <c r="L72" s="66"/>
      <c r="M72" s="575" t="s">
        <v>146</v>
      </c>
      <c r="N72" s="14"/>
      <c r="O72" s="32" t="s">
        <v>115</v>
      </c>
      <c r="P72" s="93">
        <v>25</v>
      </c>
      <c r="Q72" s="575" t="s">
        <v>229</v>
      </c>
      <c r="R72" s="14"/>
      <c r="S72" s="18"/>
      <c r="T72" s="14"/>
      <c r="U72" s="18"/>
    </row>
    <row r="73" spans="1:21" s="36" customFormat="1" ht="50.15" customHeight="1">
      <c r="A73" s="588"/>
      <c r="C73" s="32" t="s">
        <v>116</v>
      </c>
      <c r="D73" s="50" t="e">
        <f>D72/VLOOKUP(A72,#REF!,7,0)</f>
        <v>#REF!</v>
      </c>
      <c r="E73" s="588"/>
      <c r="F73" s="30"/>
      <c r="G73" s="588"/>
      <c r="H73" s="582"/>
      <c r="J73" s="32" t="s">
        <v>116</v>
      </c>
      <c r="K73" s="75"/>
      <c r="L73" s="60"/>
      <c r="M73" s="576"/>
      <c r="O73" s="32" t="s">
        <v>116</v>
      </c>
      <c r="P73" s="50" t="e">
        <f>P72/VLOOKUP(A72,#REF!,7,0)</f>
        <v>#REF!</v>
      </c>
      <c r="Q73" s="576"/>
      <c r="S73" s="28"/>
      <c r="U73" s="28"/>
    </row>
    <row r="74" spans="1:21" ht="50.15" customHeight="1">
      <c r="A74" s="589"/>
      <c r="B74" s="12"/>
      <c r="C74" s="31" t="s">
        <v>117</v>
      </c>
      <c r="D74" s="51" t="e">
        <f>(D72/VLOOKUP(A72,#REF!,4,0))*100</f>
        <v>#REF!</v>
      </c>
      <c r="E74" s="78"/>
      <c r="F74" s="21"/>
      <c r="G74" s="68"/>
      <c r="H74" s="583"/>
      <c r="I74" s="12"/>
      <c r="J74" s="31" t="s">
        <v>117</v>
      </c>
      <c r="K74" s="72"/>
      <c r="L74" s="62"/>
      <c r="M74" s="577"/>
      <c r="N74" s="12"/>
      <c r="O74" s="31" t="s">
        <v>117</v>
      </c>
      <c r="P74" s="51" t="e">
        <f>(P72/VLOOKUP(A72,#REF!,4,0))*100</f>
        <v>#REF!</v>
      </c>
      <c r="Q74" s="577"/>
      <c r="R74" s="1"/>
      <c r="S74" s="19"/>
      <c r="T74" s="1"/>
      <c r="U74" s="26"/>
    </row>
    <row r="75" spans="1:21">
      <c r="G75" s="40"/>
    </row>
    <row r="76" spans="1:21" ht="13">
      <c r="A76" s="85" t="s">
        <v>134</v>
      </c>
      <c r="B76" s="86"/>
      <c r="C76" s="85"/>
      <c r="D76" s="87"/>
      <c r="E76" s="88"/>
      <c r="F76" s="86"/>
      <c r="G76" s="89"/>
      <c r="H76" s="90"/>
      <c r="I76" s="86"/>
      <c r="J76" s="90"/>
      <c r="K76" s="86"/>
      <c r="L76" s="91"/>
      <c r="M76" s="90"/>
      <c r="N76" s="86"/>
      <c r="O76" s="90"/>
      <c r="P76" s="92"/>
      <c r="Q76" s="90"/>
    </row>
    <row r="77" spans="1:21" s="10" customFormat="1" ht="80.5" customHeight="1">
      <c r="A77" s="594" t="s">
        <v>19</v>
      </c>
      <c r="C77" s="32" t="s">
        <v>115</v>
      </c>
      <c r="D77" s="95">
        <v>60</v>
      </c>
      <c r="E77" s="28"/>
      <c r="F77" s="601" t="s">
        <v>96</v>
      </c>
      <c r="G77" s="75"/>
      <c r="H77" s="576" t="s">
        <v>177</v>
      </c>
      <c r="J77" s="32" t="s">
        <v>115</v>
      </c>
      <c r="K77" s="28"/>
      <c r="L77" s="60"/>
      <c r="M77" s="576"/>
      <c r="O77" s="32" t="s">
        <v>115</v>
      </c>
      <c r="P77" s="95">
        <v>65</v>
      </c>
      <c r="Q77" s="576" t="s">
        <v>147</v>
      </c>
      <c r="S77" s="576" t="s">
        <v>109</v>
      </c>
      <c r="U77" s="27" t="s">
        <v>44</v>
      </c>
    </row>
    <row r="78" spans="1:21" ht="90" customHeight="1">
      <c r="A78" s="594"/>
      <c r="B78" s="6"/>
      <c r="C78" s="32" t="s">
        <v>116</v>
      </c>
      <c r="D78" s="50" t="e">
        <f>D77/VLOOKUP(A77,#REF!,7,0)</f>
        <v>#REF!</v>
      </c>
      <c r="E78" s="29"/>
      <c r="F78" s="601"/>
      <c r="G78" s="56"/>
      <c r="H78" s="598"/>
      <c r="I78" s="6"/>
      <c r="J78" s="32" t="s">
        <v>116</v>
      </c>
      <c r="K78" s="35"/>
      <c r="L78" s="61"/>
      <c r="M78" s="576"/>
      <c r="N78" s="6"/>
      <c r="O78" s="32" t="s">
        <v>116</v>
      </c>
      <c r="P78" s="50" t="e">
        <f>P77/VLOOKUP(A77,#REF!,7,0)</f>
        <v>#REF!</v>
      </c>
      <c r="Q78" s="576"/>
      <c r="S78" s="576"/>
      <c r="U78" s="27" t="s">
        <v>45</v>
      </c>
    </row>
    <row r="79" spans="1:21" ht="82.5" customHeight="1">
      <c r="A79" s="595"/>
      <c r="B79" s="6"/>
      <c r="C79" s="32" t="s">
        <v>117</v>
      </c>
      <c r="D79" s="50" t="e">
        <f>(D77/VLOOKUP(A77,#REF!,4,0))*100</f>
        <v>#REF!</v>
      </c>
      <c r="E79" s="29"/>
      <c r="F79" s="602"/>
      <c r="G79" s="56"/>
      <c r="H79" s="599"/>
      <c r="I79" s="6"/>
      <c r="J79" s="32" t="s">
        <v>117</v>
      </c>
      <c r="K79" s="35"/>
      <c r="L79" s="61"/>
      <c r="M79" s="577"/>
      <c r="N79" s="6"/>
      <c r="O79" s="32" t="s">
        <v>117</v>
      </c>
      <c r="P79" s="50" t="e">
        <f>(P77/VLOOKUP(A77,#REF!,4,0))*100</f>
        <v>#REF!</v>
      </c>
      <c r="Q79" s="577"/>
      <c r="S79" s="577"/>
      <c r="U79" s="27"/>
    </row>
    <row r="80" spans="1:21" s="15" customFormat="1" ht="35.15" customHeight="1">
      <c r="A80" s="73" t="s">
        <v>20</v>
      </c>
      <c r="C80" s="37" t="s">
        <v>115</v>
      </c>
      <c r="D80" s="53">
        <f>1.5+2.4</f>
        <v>3.9</v>
      </c>
      <c r="E80" s="575">
        <v>0.2</v>
      </c>
      <c r="F80" s="575" t="s">
        <v>183</v>
      </c>
      <c r="G80" s="73">
        <f>1.5-0.2</f>
        <v>1.3</v>
      </c>
      <c r="H80" s="575" t="s">
        <v>232</v>
      </c>
      <c r="J80" s="37" t="s">
        <v>115</v>
      </c>
      <c r="K80" s="8"/>
      <c r="L80" s="63">
        <v>1</v>
      </c>
      <c r="M80" s="575" t="s">
        <v>230</v>
      </c>
      <c r="O80" s="37" t="s">
        <v>115</v>
      </c>
      <c r="P80" s="80">
        <v>10.6</v>
      </c>
      <c r="Q80" s="575" t="s">
        <v>231</v>
      </c>
      <c r="S80" s="575" t="s">
        <v>233</v>
      </c>
      <c r="U80" s="116" t="s">
        <v>46</v>
      </c>
    </row>
    <row r="81" spans="1:21" s="3" customFormat="1" ht="46" customHeight="1">
      <c r="A81" s="38"/>
      <c r="C81" s="32" t="s">
        <v>116</v>
      </c>
      <c r="D81" s="50" t="e">
        <f>D80/VLOOKUP(A80,#REF!,7,0)</f>
        <v>#REF!</v>
      </c>
      <c r="E81" s="576"/>
      <c r="F81" s="591"/>
      <c r="G81" s="71"/>
      <c r="H81" s="576"/>
      <c r="J81" s="32" t="s">
        <v>116</v>
      </c>
      <c r="K81" s="38"/>
      <c r="L81" s="61" t="e">
        <f>L80/VLOOKUP(A80,#REF!,7,0)</f>
        <v>#REF!</v>
      </c>
      <c r="M81" s="576"/>
      <c r="O81" s="32" t="s">
        <v>116</v>
      </c>
      <c r="P81" s="106" t="e">
        <f>P80/VLOOKUP(A80,#REF!,7,0)</f>
        <v>#REF!</v>
      </c>
      <c r="Q81" s="576"/>
      <c r="S81" s="577"/>
      <c r="U81" s="117"/>
    </row>
    <row r="82" spans="1:21" ht="62.15" customHeight="1">
      <c r="A82" s="115"/>
      <c r="B82" s="12"/>
      <c r="C82" s="31" t="s">
        <v>117</v>
      </c>
      <c r="D82" s="51" t="e">
        <f>(D80/VLOOKUP(A80,#REF!,4,0))*100</f>
        <v>#REF!</v>
      </c>
      <c r="E82" s="24"/>
      <c r="F82" s="592"/>
      <c r="G82" s="68"/>
      <c r="H82" s="577"/>
      <c r="I82" s="12"/>
      <c r="J82" s="31" t="s">
        <v>117</v>
      </c>
      <c r="K82" s="23"/>
      <c r="L82" s="62" t="e">
        <f>(L80/VLOOKUP(A80,#REF!,4,0))*100</f>
        <v>#REF!</v>
      </c>
      <c r="M82" s="577"/>
      <c r="N82" s="12"/>
      <c r="O82" s="31" t="s">
        <v>117</v>
      </c>
      <c r="P82" s="51" t="e">
        <f>(P80/VLOOKUP(A80,#REF!,4,0))*100</f>
        <v>#REF!</v>
      </c>
      <c r="Q82" s="577"/>
      <c r="R82" s="1"/>
      <c r="S82" s="20" t="s">
        <v>234</v>
      </c>
      <c r="T82" s="1"/>
      <c r="U82" s="118"/>
    </row>
    <row r="83" spans="1:21" ht="60" customHeight="1">
      <c r="A83" s="587" t="s">
        <v>184</v>
      </c>
      <c r="B83" s="14"/>
      <c r="C83" s="37" t="s">
        <v>115</v>
      </c>
      <c r="D83" s="93">
        <v>20</v>
      </c>
      <c r="E83" s="587"/>
      <c r="F83" s="20"/>
      <c r="G83" s="74"/>
      <c r="H83" s="609" t="s">
        <v>182</v>
      </c>
      <c r="I83" s="14"/>
      <c r="J83" s="32" t="s">
        <v>115</v>
      </c>
      <c r="K83" s="20"/>
      <c r="L83" s="66"/>
      <c r="M83" s="575"/>
      <c r="N83" s="14"/>
      <c r="O83" s="32" t="s">
        <v>115</v>
      </c>
      <c r="P83" s="603" t="s">
        <v>84</v>
      </c>
      <c r="Q83" s="575" t="s">
        <v>106</v>
      </c>
      <c r="R83" s="14"/>
      <c r="S83" s="575" t="s">
        <v>110</v>
      </c>
      <c r="T83" s="14"/>
      <c r="U83" s="605" t="s">
        <v>47</v>
      </c>
    </row>
    <row r="84" spans="1:21" ht="60" customHeight="1">
      <c r="A84" s="588"/>
      <c r="B84" s="36"/>
      <c r="C84" s="32" t="s">
        <v>116</v>
      </c>
      <c r="D84" s="106" t="e">
        <f>D83/VLOOKUP(A83,#REF!,7,0)</f>
        <v>#REF!</v>
      </c>
      <c r="E84" s="588"/>
      <c r="F84" s="30"/>
      <c r="G84" s="75"/>
      <c r="H84" s="610"/>
      <c r="I84" s="36"/>
      <c r="J84" s="32" t="s">
        <v>116</v>
      </c>
      <c r="K84" s="30"/>
      <c r="L84" s="60"/>
      <c r="M84" s="576"/>
      <c r="N84" s="36"/>
      <c r="O84" s="32" t="s">
        <v>116</v>
      </c>
      <c r="P84" s="604"/>
      <c r="Q84" s="576"/>
      <c r="R84" s="36"/>
      <c r="S84" s="576"/>
      <c r="T84" s="36"/>
      <c r="U84" s="606"/>
    </row>
    <row r="85" spans="1:21" ht="60" customHeight="1">
      <c r="A85" s="589"/>
      <c r="B85" s="12"/>
      <c r="C85" s="31" t="s">
        <v>117</v>
      </c>
      <c r="D85" s="51" t="e">
        <f>(D83/VLOOKUP(A83,#REF!,4,0))*100</f>
        <v>#REF!</v>
      </c>
      <c r="E85" s="24"/>
      <c r="F85" s="21"/>
      <c r="G85" s="68"/>
      <c r="H85" s="611"/>
      <c r="I85" s="12"/>
      <c r="J85" s="31" t="s">
        <v>117</v>
      </c>
      <c r="K85" s="23"/>
      <c r="L85" s="62"/>
      <c r="M85" s="577"/>
      <c r="N85" s="12"/>
      <c r="O85" s="31" t="s">
        <v>117</v>
      </c>
      <c r="P85" s="612"/>
      <c r="Q85" s="577"/>
      <c r="R85" s="1"/>
      <c r="S85" s="577"/>
      <c r="T85" s="1"/>
      <c r="U85" s="607"/>
    </row>
    <row r="86" spans="1:21" s="36" customFormat="1" ht="89.5" customHeight="1">
      <c r="A86" s="587" t="s">
        <v>36</v>
      </c>
      <c r="B86" s="14"/>
      <c r="C86" s="37" t="s">
        <v>115</v>
      </c>
      <c r="D86" s="93">
        <v>76.8</v>
      </c>
      <c r="E86" s="575"/>
      <c r="F86" s="575" t="s">
        <v>126</v>
      </c>
      <c r="G86" s="74"/>
      <c r="H86" s="575" t="s">
        <v>178</v>
      </c>
      <c r="I86" s="14"/>
      <c r="J86" s="32" t="s">
        <v>115</v>
      </c>
      <c r="K86" s="20"/>
      <c r="L86" s="94">
        <v>50</v>
      </c>
      <c r="M86" s="575" t="s">
        <v>235</v>
      </c>
      <c r="N86" s="14"/>
      <c r="O86" s="32" t="s">
        <v>115</v>
      </c>
      <c r="P86" s="93">
        <v>50</v>
      </c>
      <c r="Q86" s="575" t="s">
        <v>236</v>
      </c>
      <c r="R86" s="14"/>
      <c r="S86" s="575" t="s">
        <v>127</v>
      </c>
      <c r="T86" s="14"/>
      <c r="U86" s="605" t="s">
        <v>48</v>
      </c>
    </row>
    <row r="87" spans="1:21" s="36" customFormat="1" ht="92.15" customHeight="1">
      <c r="A87" s="588"/>
      <c r="C87" s="32" t="s">
        <v>116</v>
      </c>
      <c r="D87" s="50" t="e">
        <f>D86/VLOOKUP(A86,#REF!,7,0)</f>
        <v>#REF!</v>
      </c>
      <c r="E87" s="576"/>
      <c r="F87" s="576"/>
      <c r="G87" s="75"/>
      <c r="H87" s="576"/>
      <c r="J87" s="32" t="s">
        <v>116</v>
      </c>
      <c r="K87" s="30"/>
      <c r="L87" s="50" t="e">
        <f>L86/VLOOKUP(A86,#REF!,7,0)</f>
        <v>#REF!</v>
      </c>
      <c r="M87" s="576"/>
      <c r="O87" s="32" t="s">
        <v>116</v>
      </c>
      <c r="P87" s="119" t="e">
        <f>P86/VLOOKUP(A86,#REF!,7,0)</f>
        <v>#REF!</v>
      </c>
      <c r="Q87" s="576"/>
      <c r="S87" s="576"/>
      <c r="U87" s="606"/>
    </row>
    <row r="88" spans="1:21" ht="92.15" customHeight="1">
      <c r="A88" s="589"/>
      <c r="B88" s="12"/>
      <c r="C88" s="31" t="s">
        <v>117</v>
      </c>
      <c r="D88" s="51" t="e">
        <f>((D86/#REF!))*100</f>
        <v>#REF!</v>
      </c>
      <c r="E88" s="24"/>
      <c r="F88" s="577"/>
      <c r="G88" s="68"/>
      <c r="H88" s="577"/>
      <c r="I88" s="12"/>
      <c r="J88" s="31" t="s">
        <v>117</v>
      </c>
      <c r="K88" s="23"/>
      <c r="L88" s="51" t="e">
        <f>((L86/#REF!))*100</f>
        <v>#REF!</v>
      </c>
      <c r="M88" s="577"/>
      <c r="N88" s="12"/>
      <c r="O88" s="31" t="s">
        <v>117</v>
      </c>
      <c r="P88" s="51" t="e">
        <f>((P86/#REF!))*100</f>
        <v>#REF!</v>
      </c>
      <c r="Q88" s="577"/>
      <c r="R88" s="1"/>
      <c r="S88" s="577"/>
      <c r="T88" s="1"/>
      <c r="U88" s="607"/>
    </row>
    <row r="89" spans="1:21" s="36" customFormat="1" ht="102" customHeight="1">
      <c r="A89" s="587" t="s">
        <v>31</v>
      </c>
      <c r="B89" s="14"/>
      <c r="C89" s="37" t="s">
        <v>115</v>
      </c>
      <c r="D89" s="93">
        <v>34.4</v>
      </c>
      <c r="E89" s="20"/>
      <c r="F89" s="575" t="s">
        <v>148</v>
      </c>
      <c r="G89" s="74"/>
      <c r="H89" s="575" t="s">
        <v>237</v>
      </c>
      <c r="I89" s="14"/>
      <c r="J89" s="32" t="s">
        <v>115</v>
      </c>
      <c r="K89" s="20"/>
      <c r="L89" s="94">
        <v>20</v>
      </c>
      <c r="M89" s="575" t="s">
        <v>238</v>
      </c>
      <c r="N89" s="14"/>
      <c r="O89" s="32" t="s">
        <v>115</v>
      </c>
      <c r="P89" s="53"/>
      <c r="Q89" s="575"/>
      <c r="R89" s="14"/>
      <c r="S89" s="18"/>
      <c r="T89" s="14"/>
      <c r="U89" s="18"/>
    </row>
    <row r="90" spans="1:21" s="10" customFormat="1" ht="25" customHeight="1">
      <c r="A90" s="588"/>
      <c r="B90" s="36"/>
      <c r="C90" s="32" t="s">
        <v>116</v>
      </c>
      <c r="D90" s="106" t="e">
        <f>D89/VLOOKUP(A89,#REF!,7,0)</f>
        <v>#REF!</v>
      </c>
      <c r="E90" s="30"/>
      <c r="F90" s="576"/>
      <c r="G90" s="75"/>
      <c r="H90" s="576"/>
      <c r="I90" s="36"/>
      <c r="J90" s="32" t="s">
        <v>116</v>
      </c>
      <c r="K90" s="30"/>
      <c r="L90" s="105" t="e">
        <f>L89/VLOOKUP(A89,#REF!,7,0)</f>
        <v>#REF!</v>
      </c>
      <c r="M90" s="576"/>
      <c r="N90" s="36"/>
      <c r="O90" s="32" t="s">
        <v>116</v>
      </c>
      <c r="P90" s="56"/>
      <c r="Q90" s="576"/>
      <c r="R90" s="36"/>
      <c r="S90" s="28"/>
      <c r="T90" s="36"/>
      <c r="U90" s="28"/>
    </row>
    <row r="91" spans="1:21" ht="38">
      <c r="A91" s="589"/>
      <c r="B91" s="6"/>
      <c r="C91" s="32" t="s">
        <v>117</v>
      </c>
      <c r="D91" s="50" t="e">
        <f>(D89/VLOOKUP(A89,#REF!,4,0))*100</f>
        <v>#REF!</v>
      </c>
      <c r="E91" s="29"/>
      <c r="F91" s="577"/>
      <c r="G91" s="56"/>
      <c r="H91" s="577"/>
      <c r="I91" s="6"/>
      <c r="J91" s="32" t="s">
        <v>117</v>
      </c>
      <c r="K91" s="35"/>
      <c r="L91" s="61" t="e">
        <f>(L89/VLOOKUP(A89,#REF!,4,0))*100</f>
        <v>#REF!</v>
      </c>
      <c r="M91" s="577"/>
      <c r="N91" s="6"/>
      <c r="O91" s="32" t="s">
        <v>117</v>
      </c>
      <c r="P91" s="69"/>
      <c r="Q91" s="577"/>
      <c r="S91" s="28"/>
      <c r="U91" s="27"/>
    </row>
    <row r="92" spans="1:21" s="15" customFormat="1" ht="143.5" customHeight="1">
      <c r="A92" s="587" t="s">
        <v>21</v>
      </c>
      <c r="C92" s="37" t="s">
        <v>115</v>
      </c>
      <c r="D92" s="93">
        <v>103</v>
      </c>
      <c r="E92" s="575"/>
      <c r="F92" s="8"/>
      <c r="G92" s="73"/>
      <c r="H92" s="575" t="s">
        <v>156</v>
      </c>
      <c r="J92" s="37" t="s">
        <v>115</v>
      </c>
      <c r="K92" s="8"/>
      <c r="L92" s="63"/>
      <c r="M92" s="22"/>
      <c r="O92" s="37" t="s">
        <v>115</v>
      </c>
      <c r="P92" s="80">
        <v>235</v>
      </c>
      <c r="Q92" s="575" t="s">
        <v>112</v>
      </c>
      <c r="S92" s="22"/>
      <c r="U92" s="18"/>
    </row>
    <row r="93" spans="1:21" s="36" customFormat="1" ht="40" customHeight="1">
      <c r="A93" s="588"/>
      <c r="B93" s="3"/>
      <c r="C93" s="32" t="s">
        <v>116</v>
      </c>
      <c r="D93" s="106" t="e">
        <f>D92/VLOOKUP(A92,#REF!,7,0)</f>
        <v>#REF!</v>
      </c>
      <c r="E93" s="576"/>
      <c r="F93" s="38"/>
      <c r="G93" s="71"/>
      <c r="H93" s="576"/>
      <c r="I93" s="3"/>
      <c r="J93" s="32" t="s">
        <v>116</v>
      </c>
      <c r="K93" s="38"/>
      <c r="L93" s="64"/>
      <c r="M93" s="35"/>
      <c r="N93" s="3"/>
      <c r="O93" s="32" t="s">
        <v>116</v>
      </c>
      <c r="P93" s="106" t="e">
        <f>P92/VLOOKUP(A92,#REF!,7,0)</f>
        <v>#REF!</v>
      </c>
      <c r="Q93" s="576"/>
      <c r="R93" s="3"/>
      <c r="S93" s="35"/>
      <c r="T93" s="3"/>
      <c r="U93" s="28"/>
    </row>
    <row r="94" spans="1:21" ht="38">
      <c r="A94" s="589"/>
      <c r="B94" s="12"/>
      <c r="C94" s="31" t="s">
        <v>117</v>
      </c>
      <c r="D94" s="51" t="e">
        <f>(D92/VLOOKUP(A92,#REF!,4,0))*100</f>
        <v>#REF!</v>
      </c>
      <c r="E94" s="24"/>
      <c r="F94" s="21"/>
      <c r="G94" s="68"/>
      <c r="H94" s="577"/>
      <c r="I94" s="12"/>
      <c r="J94" s="31" t="s">
        <v>117</v>
      </c>
      <c r="K94" s="23"/>
      <c r="L94" s="62"/>
      <c r="M94" s="23"/>
      <c r="N94" s="12"/>
      <c r="O94" s="31" t="s">
        <v>117</v>
      </c>
      <c r="P94" s="51" t="e">
        <f>(P92/VLOOKUP(A92,#REF!,4,0))*100</f>
        <v>#REF!</v>
      </c>
      <c r="Q94" s="577"/>
      <c r="R94" s="1"/>
      <c r="S94" s="19"/>
      <c r="T94" s="1"/>
      <c r="U94" s="26"/>
    </row>
    <row r="95" spans="1:21">
      <c r="A95" s="110"/>
      <c r="B95" s="6"/>
      <c r="C95" s="43"/>
      <c r="D95" s="111"/>
      <c r="E95" s="112"/>
      <c r="F95" s="36"/>
      <c r="G95" s="113"/>
      <c r="H95" s="10"/>
      <c r="I95" s="6"/>
      <c r="J95" s="43"/>
      <c r="K95" s="6"/>
      <c r="L95" s="114"/>
      <c r="N95" s="6"/>
      <c r="O95" s="43"/>
      <c r="Q95" s="10"/>
      <c r="S95" s="10"/>
      <c r="U95" s="109"/>
    </row>
    <row r="96" spans="1:21" s="2" customFormat="1" ht="13">
      <c r="A96" s="150" t="s">
        <v>137</v>
      </c>
      <c r="B96" s="151"/>
      <c r="C96" s="150"/>
      <c r="D96" s="152"/>
      <c r="E96" s="153"/>
      <c r="F96" s="151"/>
      <c r="G96" s="154"/>
      <c r="H96" s="155"/>
      <c r="I96" s="151"/>
      <c r="J96" s="155"/>
      <c r="K96" s="151"/>
      <c r="L96" s="156"/>
      <c r="M96" s="155"/>
      <c r="N96" s="151"/>
      <c r="O96" s="155"/>
      <c r="P96" s="157"/>
      <c r="Q96" s="155"/>
      <c r="R96" s="1"/>
      <c r="S96" s="19"/>
      <c r="T96" s="1"/>
      <c r="U96" s="26"/>
    </row>
    <row r="97" spans="1:21" s="36" customFormat="1" ht="56.15" customHeight="1">
      <c r="A97" s="587" t="s">
        <v>41</v>
      </c>
      <c r="C97" s="32" t="s">
        <v>115</v>
      </c>
      <c r="D97" s="56">
        <v>12</v>
      </c>
      <c r="E97" s="600">
        <v>3.5</v>
      </c>
      <c r="F97" s="600" t="s">
        <v>239</v>
      </c>
      <c r="G97" s="75">
        <f>12-3.5</f>
        <v>8.5</v>
      </c>
      <c r="H97" s="575" t="s">
        <v>153</v>
      </c>
      <c r="J97" s="32" t="s">
        <v>115</v>
      </c>
      <c r="K97" s="30"/>
      <c r="L97" s="60"/>
      <c r="M97" s="28"/>
      <c r="O97" s="32" t="s">
        <v>115</v>
      </c>
      <c r="P97" s="95">
        <v>11</v>
      </c>
      <c r="Q97" s="575" t="s">
        <v>97</v>
      </c>
      <c r="S97" s="28"/>
      <c r="U97" s="28"/>
    </row>
    <row r="98" spans="1:21" ht="40" customHeight="1">
      <c r="A98" s="588"/>
      <c r="B98" s="36"/>
      <c r="C98" s="32" t="s">
        <v>116</v>
      </c>
      <c r="D98" s="50" t="e">
        <f>D97/VLOOKUP(A97,#REF!,7,0)</f>
        <v>#REF!</v>
      </c>
      <c r="E98" s="601"/>
      <c r="F98" s="601"/>
      <c r="G98" s="75"/>
      <c r="H98" s="576"/>
      <c r="I98" s="36"/>
      <c r="J98" s="32" t="s">
        <v>116</v>
      </c>
      <c r="K98" s="30"/>
      <c r="L98" s="60"/>
      <c r="M98" s="28"/>
      <c r="N98" s="36"/>
      <c r="O98" s="32" t="s">
        <v>116</v>
      </c>
      <c r="P98" s="50" t="e">
        <f>P97/VLOOKUP(A97,#REF!,7,0)</f>
        <v>#REF!</v>
      </c>
      <c r="Q98" s="576"/>
      <c r="R98" s="36"/>
      <c r="S98" s="28"/>
      <c r="T98" s="36"/>
      <c r="U98" s="28"/>
    </row>
    <row r="99" spans="1:21" ht="51.65" customHeight="1">
      <c r="A99" s="589"/>
      <c r="B99" s="12"/>
      <c r="C99" s="31" t="s">
        <v>117</v>
      </c>
      <c r="D99" s="51" t="e">
        <f>(D97/VLOOKUP(A97,#REF!,4,0))*100</f>
        <v>#REF!</v>
      </c>
      <c r="E99" s="24"/>
      <c r="F99" s="602"/>
      <c r="G99" s="68"/>
      <c r="H99" s="577"/>
      <c r="I99" s="12"/>
      <c r="J99" s="31" t="s">
        <v>117</v>
      </c>
      <c r="K99" s="23"/>
      <c r="L99" s="62"/>
      <c r="M99" s="23"/>
      <c r="N99" s="12"/>
      <c r="O99" s="31" t="s">
        <v>117</v>
      </c>
      <c r="P99" s="51" t="e">
        <f>(P97/VLOOKUP(A97,#REF!,4,0))*100</f>
        <v>#REF!</v>
      </c>
      <c r="Q99" s="577"/>
      <c r="R99" s="1"/>
      <c r="S99" s="19"/>
      <c r="T99" s="1"/>
      <c r="U99" s="26"/>
    </row>
    <row r="100" spans="1:21" ht="29.5" customHeight="1">
      <c r="A100" s="593" t="s">
        <v>27</v>
      </c>
      <c r="B100" s="15"/>
      <c r="C100" s="37" t="s">
        <v>115</v>
      </c>
      <c r="D100" s="53">
        <f>1.42+0.47</f>
        <v>1.89</v>
      </c>
      <c r="E100" s="9"/>
      <c r="F100" s="590" t="s">
        <v>129</v>
      </c>
      <c r="G100" s="73"/>
      <c r="H100" s="575" t="s">
        <v>240</v>
      </c>
      <c r="I100" s="15"/>
      <c r="J100" s="32" t="s">
        <v>115</v>
      </c>
      <c r="K100" s="8"/>
      <c r="L100" s="63">
        <v>0.7</v>
      </c>
      <c r="M100" s="590" t="s">
        <v>241</v>
      </c>
      <c r="N100" s="15"/>
      <c r="O100" s="32" t="s">
        <v>115</v>
      </c>
      <c r="P100" s="49"/>
      <c r="Q100" s="22"/>
      <c r="R100" s="15"/>
      <c r="S100" s="575" t="s">
        <v>78</v>
      </c>
      <c r="T100" s="15"/>
      <c r="U100" s="18"/>
    </row>
    <row r="101" spans="1:21" s="6" customFormat="1" ht="34.5" customHeight="1">
      <c r="A101" s="594"/>
      <c r="B101" s="3"/>
      <c r="C101" s="32" t="s">
        <v>116</v>
      </c>
      <c r="D101" s="50" t="e">
        <f>D100/VLOOKUP(A100,#REF!,7,0)</f>
        <v>#REF!</v>
      </c>
      <c r="E101" s="39"/>
      <c r="F101" s="591"/>
      <c r="G101" s="71"/>
      <c r="H101" s="576"/>
      <c r="I101" s="3"/>
      <c r="J101" s="32" t="s">
        <v>116</v>
      </c>
      <c r="K101" s="38"/>
      <c r="L101" s="61" t="e">
        <f>L100/VLOOKUP(A100,#REF!,7,0)</f>
        <v>#REF!</v>
      </c>
      <c r="M101" s="591"/>
      <c r="N101" s="3"/>
      <c r="O101" s="32" t="s">
        <v>116</v>
      </c>
      <c r="P101" s="69"/>
      <c r="Q101" s="35"/>
      <c r="R101" s="3"/>
      <c r="S101" s="576"/>
      <c r="T101" s="3"/>
      <c r="U101" s="28"/>
    </row>
    <row r="102" spans="1:21" ht="44.15" customHeight="1">
      <c r="A102" s="595"/>
      <c r="B102" s="12"/>
      <c r="C102" s="31" t="s">
        <v>117</v>
      </c>
      <c r="D102" s="51" t="e">
        <f>(D100/VLOOKUP(A100,#REF!,4,0))*100</f>
        <v>#REF!</v>
      </c>
      <c r="E102" s="24"/>
      <c r="F102" s="592"/>
      <c r="G102" s="68"/>
      <c r="H102" s="577"/>
      <c r="I102" s="12"/>
      <c r="J102" s="31" t="s">
        <v>117</v>
      </c>
      <c r="K102" s="23"/>
      <c r="L102" s="62" t="e">
        <f>(L100/VLOOKUP(A100,#REF!,4,0))*100</f>
        <v>#REF!</v>
      </c>
      <c r="M102" s="592"/>
      <c r="N102" s="12"/>
      <c r="O102" s="31" t="s">
        <v>117</v>
      </c>
      <c r="P102" s="17"/>
      <c r="Q102" s="19"/>
      <c r="R102" s="1"/>
      <c r="S102" s="577"/>
      <c r="T102" s="1"/>
      <c r="U102" s="26"/>
    </row>
    <row r="103" spans="1:21" s="6" customFormat="1" ht="39" customHeight="1">
      <c r="A103" s="587" t="s">
        <v>42</v>
      </c>
      <c r="B103" s="16"/>
      <c r="C103" s="37" t="s">
        <v>115</v>
      </c>
      <c r="D103" s="126">
        <v>3750</v>
      </c>
      <c r="E103" s="22"/>
      <c r="F103" s="600" t="s">
        <v>242</v>
      </c>
      <c r="G103" s="73"/>
      <c r="H103" s="575" t="s">
        <v>243</v>
      </c>
      <c r="I103" s="16"/>
      <c r="J103" s="32" t="s">
        <v>115</v>
      </c>
      <c r="K103" s="22"/>
      <c r="L103" s="134">
        <v>1950</v>
      </c>
      <c r="M103" s="575" t="s">
        <v>179</v>
      </c>
      <c r="N103" s="16"/>
      <c r="O103" s="32" t="s">
        <v>115</v>
      </c>
      <c r="P103" s="49"/>
      <c r="Q103" s="22"/>
      <c r="R103" s="16"/>
      <c r="S103" s="575" t="s">
        <v>244</v>
      </c>
      <c r="T103" s="16"/>
      <c r="U103" s="605" t="s">
        <v>50</v>
      </c>
    </row>
    <row r="104" spans="1:21" s="36" customFormat="1" ht="52.5" customHeight="1">
      <c r="A104" s="588"/>
      <c r="B104" s="6"/>
      <c r="C104" s="32" t="s">
        <v>116</v>
      </c>
      <c r="D104" s="50" t="e">
        <f>D103/VLOOKUP(A103,#REF!,7,0)</f>
        <v>#REF!</v>
      </c>
      <c r="E104" s="35"/>
      <c r="F104" s="601"/>
      <c r="G104" s="71"/>
      <c r="H104" s="576"/>
      <c r="I104" s="6"/>
      <c r="J104" s="32" t="s">
        <v>116</v>
      </c>
      <c r="K104" s="35"/>
      <c r="L104" s="61" t="e">
        <f>L103/VLOOKUP(A103,#REF!,7,0)</f>
        <v>#REF!</v>
      </c>
      <c r="M104" s="576"/>
      <c r="N104" s="6"/>
      <c r="O104" s="32" t="s">
        <v>116</v>
      </c>
      <c r="P104" s="69"/>
      <c r="Q104" s="35"/>
      <c r="R104" s="6"/>
      <c r="S104" s="576"/>
      <c r="T104" s="6"/>
      <c r="U104" s="606"/>
    </row>
    <row r="105" spans="1:21" ht="79.5" customHeight="1">
      <c r="A105" s="589"/>
      <c r="B105" s="12"/>
      <c r="C105" s="31" t="s">
        <v>117</v>
      </c>
      <c r="D105" s="51" t="e">
        <f>(D103/VLOOKUP(A103,#REF!,4,0))*100</f>
        <v>#REF!</v>
      </c>
      <c r="E105" s="24"/>
      <c r="F105" s="602"/>
      <c r="G105" s="68"/>
      <c r="H105" s="577"/>
      <c r="I105" s="12"/>
      <c r="J105" s="31" t="s">
        <v>117</v>
      </c>
      <c r="K105" s="23"/>
      <c r="L105" s="62" t="e">
        <f>(L103/VLOOKUP(A103,#REF!,4,0))*100</f>
        <v>#REF!</v>
      </c>
      <c r="M105" s="577"/>
      <c r="N105" s="12"/>
      <c r="O105" s="31" t="s">
        <v>117</v>
      </c>
      <c r="P105" s="17"/>
      <c r="Q105" s="19"/>
      <c r="R105" s="1"/>
      <c r="S105" s="577"/>
      <c r="T105" s="1"/>
      <c r="U105" s="607"/>
    </row>
    <row r="106" spans="1:21" s="6" customFormat="1" ht="44.15" customHeight="1">
      <c r="A106" s="593" t="s">
        <v>34</v>
      </c>
      <c r="B106" s="16"/>
      <c r="C106" s="37" t="s">
        <v>115</v>
      </c>
      <c r="D106" s="127" t="s">
        <v>84</v>
      </c>
      <c r="E106" s="22"/>
      <c r="F106" s="600" t="s">
        <v>111</v>
      </c>
      <c r="G106" s="73"/>
      <c r="H106" s="575" t="s">
        <v>122</v>
      </c>
      <c r="I106" s="16"/>
      <c r="J106" s="32" t="s">
        <v>115</v>
      </c>
      <c r="K106" s="22"/>
      <c r="L106" s="99">
        <v>320</v>
      </c>
      <c r="M106" s="608" t="s">
        <v>245</v>
      </c>
      <c r="N106" s="16"/>
      <c r="O106" s="32" t="s">
        <v>115</v>
      </c>
      <c r="P106" s="49"/>
      <c r="Q106" s="22"/>
      <c r="R106" s="16"/>
      <c r="S106" s="22"/>
      <c r="T106" s="16"/>
      <c r="U106" s="18"/>
    </row>
    <row r="107" spans="1:21" s="6" customFormat="1" ht="43.5" customHeight="1">
      <c r="A107" s="594"/>
      <c r="C107" s="32" t="s">
        <v>116</v>
      </c>
      <c r="D107" s="50"/>
      <c r="E107" s="35"/>
      <c r="F107" s="601"/>
      <c r="G107" s="71"/>
      <c r="H107" s="576"/>
      <c r="J107" s="32" t="s">
        <v>116</v>
      </c>
      <c r="K107" s="35"/>
      <c r="L107" s="64" t="e">
        <f>L106/#REF!</f>
        <v>#REF!</v>
      </c>
      <c r="M107" s="576"/>
      <c r="O107" s="32" t="s">
        <v>116</v>
      </c>
      <c r="P107" s="69"/>
      <c r="Q107" s="35"/>
      <c r="S107" s="35"/>
      <c r="U107" s="28"/>
    </row>
    <row r="108" spans="1:21" ht="73" customHeight="1">
      <c r="A108" s="595"/>
      <c r="B108" s="12"/>
      <c r="C108" s="31" t="s">
        <v>117</v>
      </c>
      <c r="D108" s="51"/>
      <c r="E108" s="24"/>
      <c r="F108" s="602"/>
      <c r="G108" s="68"/>
      <c r="H108" s="577"/>
      <c r="I108" s="12"/>
      <c r="J108" s="31" t="s">
        <v>117</v>
      </c>
      <c r="K108" s="23"/>
      <c r="L108" s="62" t="e">
        <f>L106/#REF!*100</f>
        <v>#REF!</v>
      </c>
      <c r="M108" s="577"/>
      <c r="N108" s="12"/>
      <c r="O108" s="31" t="s">
        <v>117</v>
      </c>
      <c r="P108" s="17"/>
      <c r="Q108" s="19"/>
      <c r="R108" s="1"/>
      <c r="S108" s="19"/>
      <c r="T108" s="1"/>
      <c r="U108" s="26"/>
    </row>
    <row r="109" spans="1:21" s="36" customFormat="1" ht="156.65" customHeight="1">
      <c r="A109" s="587" t="s">
        <v>23</v>
      </c>
      <c r="B109" s="14"/>
      <c r="C109" s="37" t="s">
        <v>115</v>
      </c>
      <c r="D109" s="93">
        <v>100</v>
      </c>
      <c r="E109" s="575" t="s">
        <v>246</v>
      </c>
      <c r="F109" s="590" t="s">
        <v>247</v>
      </c>
      <c r="G109" s="74">
        <f>100-3.8</f>
        <v>96.2</v>
      </c>
      <c r="H109" s="575" t="s">
        <v>249</v>
      </c>
      <c r="I109" s="14"/>
      <c r="J109" s="32" t="s">
        <v>115</v>
      </c>
      <c r="K109" s="20"/>
      <c r="L109" s="94"/>
      <c r="M109" s="590" t="s">
        <v>248</v>
      </c>
      <c r="N109" s="14"/>
      <c r="O109" s="32" t="s">
        <v>115</v>
      </c>
      <c r="P109" s="53"/>
      <c r="Q109" s="575"/>
      <c r="R109" s="14"/>
      <c r="S109" s="18"/>
      <c r="T109" s="14"/>
      <c r="U109" s="18"/>
    </row>
    <row r="110" spans="1:21" s="36" customFormat="1" ht="70" customHeight="1">
      <c r="A110" s="588"/>
      <c r="C110" s="32" t="s">
        <v>116</v>
      </c>
      <c r="D110" s="50" t="e">
        <f>D109/VLOOKUP(A109,#REF!,7,0)</f>
        <v>#REF!</v>
      </c>
      <c r="E110" s="576"/>
      <c r="F110" s="591"/>
      <c r="G110" s="75"/>
      <c r="H110" s="576"/>
      <c r="J110" s="32" t="s">
        <v>116</v>
      </c>
      <c r="K110" s="30"/>
      <c r="L110" s="107"/>
      <c r="M110" s="591"/>
      <c r="O110" s="32" t="s">
        <v>116</v>
      </c>
      <c r="P110" s="56"/>
      <c r="Q110" s="576"/>
      <c r="S110" s="28"/>
      <c r="U110" s="28"/>
    </row>
    <row r="111" spans="1:21" ht="51.65" customHeight="1">
      <c r="A111" s="589"/>
      <c r="B111" s="12"/>
      <c r="C111" s="31" t="s">
        <v>117</v>
      </c>
      <c r="D111" s="51" t="e">
        <f>(D109/VLOOKUP(A109,#REF!,4,0))*100</f>
        <v>#REF!</v>
      </c>
      <c r="E111" s="24"/>
      <c r="F111" s="592"/>
      <c r="G111" s="68"/>
      <c r="H111" s="577"/>
      <c r="I111" s="12"/>
      <c r="J111" s="31" t="s">
        <v>117</v>
      </c>
      <c r="K111" s="23"/>
      <c r="L111" s="62"/>
      <c r="M111" s="592"/>
      <c r="N111" s="12"/>
      <c r="O111" s="31" t="s">
        <v>117</v>
      </c>
      <c r="P111" s="17"/>
      <c r="Q111" s="577"/>
      <c r="R111" s="1"/>
      <c r="S111" s="19"/>
      <c r="T111" s="1"/>
      <c r="U111" s="26"/>
    </row>
    <row r="112" spans="1:21" s="10" customFormat="1" ht="79" customHeight="1">
      <c r="A112" s="587" t="s">
        <v>35</v>
      </c>
      <c r="B112" s="13"/>
      <c r="C112" s="37" t="s">
        <v>115</v>
      </c>
      <c r="D112" s="127">
        <v>1400</v>
      </c>
      <c r="E112" s="18"/>
      <c r="F112" s="575" t="s">
        <v>99</v>
      </c>
      <c r="G112" s="74"/>
      <c r="H112" s="575" t="s">
        <v>130</v>
      </c>
      <c r="I112" s="13"/>
      <c r="J112" s="37" t="s">
        <v>115</v>
      </c>
      <c r="K112" s="18"/>
      <c r="L112" s="94">
        <v>1900</v>
      </c>
      <c r="M112" s="575" t="s">
        <v>250</v>
      </c>
      <c r="N112" s="13"/>
      <c r="O112" s="37" t="s">
        <v>115</v>
      </c>
      <c r="P112" s="53"/>
      <c r="Q112" s="587"/>
      <c r="R112" s="13"/>
      <c r="S112" s="18"/>
      <c r="T112" s="13"/>
      <c r="U112" s="18"/>
    </row>
    <row r="113" spans="1:21" s="10" customFormat="1" ht="25" customHeight="1">
      <c r="A113" s="588"/>
      <c r="C113" s="32" t="s">
        <v>116</v>
      </c>
      <c r="D113" s="50" t="e">
        <f>D112/VLOOKUP(A112,#REF!,7,0)</f>
        <v>#REF!</v>
      </c>
      <c r="E113" s="28"/>
      <c r="F113" s="576"/>
      <c r="G113" s="75"/>
      <c r="H113" s="576"/>
      <c r="J113" s="123" t="s">
        <v>116</v>
      </c>
      <c r="K113" s="28"/>
      <c r="L113" s="61" t="e">
        <f>L112/VLOOKUP(A112,#REF!,7,0)</f>
        <v>#REF!</v>
      </c>
      <c r="M113" s="576"/>
      <c r="O113" s="123" t="s">
        <v>116</v>
      </c>
      <c r="P113" s="56"/>
      <c r="Q113" s="588"/>
      <c r="S113" s="28"/>
      <c r="U113" s="28"/>
    </row>
    <row r="114" spans="1:21" ht="51" customHeight="1">
      <c r="A114" s="589"/>
      <c r="B114" s="12"/>
      <c r="C114" s="31" t="s">
        <v>117</v>
      </c>
      <c r="D114" s="51" t="e">
        <f>(D112/VLOOKUP(A112,#REF!,4,0))*100</f>
        <v>#REF!</v>
      </c>
      <c r="E114" s="24"/>
      <c r="F114" s="577"/>
      <c r="G114" s="68"/>
      <c r="H114" s="577"/>
      <c r="I114" s="12"/>
      <c r="J114" s="31" t="s">
        <v>95</v>
      </c>
      <c r="K114" s="23"/>
      <c r="L114" s="62" t="e">
        <f>(L112/VLOOKUP(A112,#REF!,4,0))*100</f>
        <v>#REF!</v>
      </c>
      <c r="M114" s="577"/>
      <c r="N114" s="12"/>
      <c r="O114" s="31" t="s">
        <v>95</v>
      </c>
      <c r="P114" s="17"/>
      <c r="Q114" s="589"/>
      <c r="R114" s="1"/>
      <c r="S114" s="19"/>
      <c r="T114" s="1"/>
      <c r="U114" s="26"/>
    </row>
    <row r="115" spans="1:21" ht="46.5" customHeight="1">
      <c r="A115" s="587" t="s">
        <v>92</v>
      </c>
      <c r="B115" s="13"/>
      <c r="C115" s="37" t="s">
        <v>115</v>
      </c>
      <c r="D115" s="53">
        <v>1.1000000000000001</v>
      </c>
      <c r="E115" s="18">
        <v>0.20799999999999999</v>
      </c>
      <c r="F115" s="575" t="s">
        <v>251</v>
      </c>
      <c r="G115" s="74">
        <f>4-2.9</f>
        <v>1.1000000000000001</v>
      </c>
      <c r="H115" s="575" t="s">
        <v>124</v>
      </c>
      <c r="I115" s="13"/>
      <c r="J115" s="32" t="s">
        <v>115</v>
      </c>
      <c r="K115" s="18"/>
      <c r="L115" s="66">
        <v>2.9</v>
      </c>
      <c r="M115" s="575" t="s">
        <v>252</v>
      </c>
      <c r="N115" s="13"/>
      <c r="O115" s="32" t="s">
        <v>115</v>
      </c>
      <c r="P115" s="53"/>
      <c r="Q115" s="575"/>
      <c r="R115" s="13"/>
      <c r="S115" s="18"/>
      <c r="T115" s="13"/>
      <c r="U115" s="18"/>
    </row>
    <row r="116" spans="1:21" ht="42.65" customHeight="1">
      <c r="A116" s="588"/>
      <c r="B116" s="10"/>
      <c r="C116" s="32" t="s">
        <v>116</v>
      </c>
      <c r="D116" s="50" t="e">
        <f>D115/VLOOKUP(A115,#REF!,7,0)</f>
        <v>#REF!</v>
      </c>
      <c r="E116" s="28"/>
      <c r="F116" s="576"/>
      <c r="G116" s="75"/>
      <c r="H116" s="576"/>
      <c r="I116" s="10"/>
      <c r="J116" s="32" t="s">
        <v>116</v>
      </c>
      <c r="K116" s="28"/>
      <c r="L116" s="61" t="e">
        <f>L115/VLOOKUP(A115,#REF!,7,0)</f>
        <v>#REF!</v>
      </c>
      <c r="M116" s="576"/>
      <c r="N116" s="10"/>
      <c r="O116" s="32" t="s">
        <v>116</v>
      </c>
      <c r="P116" s="56"/>
      <c r="Q116" s="576"/>
      <c r="R116" s="10"/>
      <c r="S116" s="28"/>
      <c r="T116" s="10"/>
      <c r="U116" s="28"/>
    </row>
    <row r="117" spans="1:21" ht="38">
      <c r="A117" s="589"/>
      <c r="B117" s="12"/>
      <c r="C117" s="31" t="s">
        <v>117</v>
      </c>
      <c r="D117" s="51" t="e">
        <f>(D115/VLOOKUP(A115,#REF!,4,0))*100</f>
        <v>#REF!</v>
      </c>
      <c r="E117" s="24"/>
      <c r="F117" s="577"/>
      <c r="G117" s="68"/>
      <c r="H117" s="577"/>
      <c r="I117" s="12"/>
      <c r="J117" s="31" t="s">
        <v>117</v>
      </c>
      <c r="K117" s="23"/>
      <c r="L117" s="62" t="e">
        <f>(L115/VLOOKUP(A115,#REF!,4,0))*100</f>
        <v>#REF!</v>
      </c>
      <c r="M117" s="577"/>
      <c r="N117" s="12"/>
      <c r="O117" s="31" t="s">
        <v>117</v>
      </c>
      <c r="P117" s="17"/>
      <c r="Q117" s="577"/>
      <c r="R117" s="1"/>
      <c r="S117" s="19"/>
      <c r="T117" s="1"/>
      <c r="U117" s="26"/>
    </row>
    <row r="118" spans="1:21" s="10" customFormat="1" ht="62.5" customHeight="1">
      <c r="A118" s="587" t="s">
        <v>22</v>
      </c>
      <c r="B118" s="13"/>
      <c r="C118" s="37" t="s">
        <v>115</v>
      </c>
      <c r="D118" s="93">
        <v>68</v>
      </c>
      <c r="E118" s="575" t="s">
        <v>253</v>
      </c>
      <c r="F118" s="575" t="s">
        <v>269</v>
      </c>
      <c r="G118" s="74" t="s">
        <v>254</v>
      </c>
      <c r="H118" s="575" t="s">
        <v>255</v>
      </c>
      <c r="I118" s="13"/>
      <c r="J118" s="32" t="s">
        <v>115</v>
      </c>
      <c r="K118" s="18"/>
      <c r="L118" s="66"/>
      <c r="M118" s="575"/>
      <c r="N118" s="13"/>
      <c r="O118" s="32" t="s">
        <v>115</v>
      </c>
      <c r="P118" s="94">
        <v>68</v>
      </c>
      <c r="Q118" s="575" t="s">
        <v>79</v>
      </c>
      <c r="R118" s="13"/>
      <c r="S118" s="138" t="s">
        <v>189</v>
      </c>
      <c r="T118" s="13"/>
      <c r="U118" s="137" t="s">
        <v>188</v>
      </c>
    </row>
    <row r="119" spans="1:21" s="10" customFormat="1" ht="50.15" customHeight="1">
      <c r="A119" s="588"/>
      <c r="C119" s="32" t="s">
        <v>116</v>
      </c>
      <c r="D119" s="106" t="e">
        <f>D118/VLOOKUP(A118,#REF!,7,0)</f>
        <v>#REF!</v>
      </c>
      <c r="E119" s="576"/>
      <c r="F119" s="576"/>
      <c r="G119" s="75"/>
      <c r="H119" s="576"/>
      <c r="J119" s="32" t="s">
        <v>116</v>
      </c>
      <c r="K119" s="28"/>
      <c r="L119" s="60"/>
      <c r="M119" s="576"/>
      <c r="O119" s="32" t="s">
        <v>116</v>
      </c>
      <c r="P119" s="105" t="e">
        <f>P118/VLOOKUP(A118,#REF!,7,0)</f>
        <v>#REF!</v>
      </c>
      <c r="Q119" s="576"/>
      <c r="S119" s="28"/>
      <c r="U119" s="28"/>
    </row>
    <row r="120" spans="1:21" ht="38">
      <c r="A120" s="589"/>
      <c r="B120" s="12"/>
      <c r="C120" s="31" t="s">
        <v>117</v>
      </c>
      <c r="D120" s="51" t="e">
        <f>(D118/VLOOKUP(A118,#REF!,4,0))*100</f>
        <v>#REF!</v>
      </c>
      <c r="E120" s="24"/>
      <c r="F120" s="577"/>
      <c r="G120" s="68"/>
      <c r="H120" s="577"/>
      <c r="I120" s="12"/>
      <c r="J120" s="31" t="s">
        <v>117</v>
      </c>
      <c r="K120" s="23"/>
      <c r="L120" s="62"/>
      <c r="M120" s="577"/>
      <c r="N120" s="12"/>
      <c r="O120" s="31" t="s">
        <v>117</v>
      </c>
      <c r="P120" s="62" t="e">
        <f>(P118/VLOOKUP(A118,#REF!,4,0))*100</f>
        <v>#REF!</v>
      </c>
      <c r="Q120" s="577"/>
      <c r="R120" s="1"/>
      <c r="S120" s="19"/>
      <c r="T120" s="1"/>
      <c r="U120" s="26"/>
    </row>
    <row r="121" spans="1:21" s="10" customFormat="1" ht="58" customHeight="1">
      <c r="A121" s="587" t="s">
        <v>30</v>
      </c>
      <c r="B121" s="13"/>
      <c r="C121" s="37" t="s">
        <v>115</v>
      </c>
      <c r="D121" s="53">
        <v>2.0499999999999998</v>
      </c>
      <c r="E121" s="575" t="s">
        <v>80</v>
      </c>
      <c r="F121" s="575" t="s">
        <v>100</v>
      </c>
      <c r="G121" s="74">
        <f>2.05-0.33</f>
        <v>1.7199999999999998</v>
      </c>
      <c r="H121" s="575" t="s">
        <v>131</v>
      </c>
      <c r="I121" s="13"/>
      <c r="J121" s="32" t="s">
        <v>115</v>
      </c>
      <c r="K121" s="18"/>
      <c r="L121" s="66">
        <f>0.3+0.04+0.5+0.1+0.132</f>
        <v>1.0720000000000001</v>
      </c>
      <c r="M121" s="575" t="s">
        <v>81</v>
      </c>
      <c r="N121" s="13"/>
      <c r="O121" s="32" t="s">
        <v>115</v>
      </c>
      <c r="P121" s="53">
        <v>0.5</v>
      </c>
      <c r="Q121" s="575" t="s">
        <v>82</v>
      </c>
      <c r="R121" s="13"/>
      <c r="S121" s="575" t="s">
        <v>83</v>
      </c>
      <c r="T121" s="13"/>
      <c r="U121" s="18"/>
    </row>
    <row r="122" spans="1:21" s="10" customFormat="1" ht="40" customHeight="1">
      <c r="A122" s="588"/>
      <c r="C122" s="32" t="s">
        <v>116</v>
      </c>
      <c r="D122" s="50" t="e">
        <f>D121/VLOOKUP(A121,#REF!,7,0)</f>
        <v>#REF!</v>
      </c>
      <c r="E122" s="576"/>
      <c r="F122" s="576"/>
      <c r="G122" s="75"/>
      <c r="H122" s="576"/>
      <c r="J122" s="32" t="s">
        <v>116</v>
      </c>
      <c r="K122" s="28"/>
      <c r="L122" s="61" t="e">
        <f>L121/VLOOKUP(A121,#REF!,7,0)</f>
        <v>#REF!</v>
      </c>
      <c r="M122" s="576"/>
      <c r="O122" s="32" t="s">
        <v>116</v>
      </c>
      <c r="P122" s="50" t="e">
        <f>P121/VLOOKUP(A121,#REF!,7,0)</f>
        <v>#REF!</v>
      </c>
      <c r="Q122" s="576"/>
      <c r="S122" s="576"/>
      <c r="U122" s="28"/>
    </row>
    <row r="123" spans="1:21" ht="93.65" customHeight="1">
      <c r="A123" s="589"/>
      <c r="B123" s="12"/>
      <c r="C123" s="31" t="s">
        <v>117</v>
      </c>
      <c r="D123" s="51" t="e">
        <f>(D121/VLOOKUP(A121,#REF!,4,0))*100</f>
        <v>#REF!</v>
      </c>
      <c r="E123" s="24"/>
      <c r="F123" s="577"/>
      <c r="G123" s="68"/>
      <c r="H123" s="577"/>
      <c r="I123" s="12"/>
      <c r="J123" s="31" t="s">
        <v>117</v>
      </c>
      <c r="K123" s="23"/>
      <c r="L123" s="62" t="e">
        <f>(L121/VLOOKUP(A121,#REF!,4,0))*100</f>
        <v>#REF!</v>
      </c>
      <c r="M123" s="577"/>
      <c r="N123" s="12"/>
      <c r="O123" s="31" t="s">
        <v>117</v>
      </c>
      <c r="P123" s="51" t="e">
        <f>(P121/VLOOKUP(A121,#REF!,4,0))*100</f>
        <v>#REF!</v>
      </c>
      <c r="Q123" s="577"/>
      <c r="R123" s="1"/>
      <c r="S123" s="577"/>
      <c r="T123" s="1"/>
      <c r="U123" s="26"/>
    </row>
    <row r="124" spans="1:21" s="10" customFormat="1" ht="57" customHeight="1">
      <c r="A124" s="587" t="s">
        <v>56</v>
      </c>
      <c r="B124" s="13"/>
      <c r="C124" s="37" t="s">
        <v>115</v>
      </c>
      <c r="D124" s="93">
        <v>26.5</v>
      </c>
      <c r="E124" s="575"/>
      <c r="F124" s="575" t="s">
        <v>101</v>
      </c>
      <c r="G124" s="74"/>
      <c r="H124" s="575" t="s">
        <v>256</v>
      </c>
      <c r="I124" s="13"/>
      <c r="J124" s="32" t="s">
        <v>115</v>
      </c>
      <c r="K124" s="18"/>
      <c r="L124" s="66"/>
      <c r="M124" s="575" t="s">
        <v>85</v>
      </c>
      <c r="N124" s="13"/>
      <c r="O124" s="32" t="s">
        <v>115</v>
      </c>
      <c r="P124" s="53"/>
      <c r="Q124" s="575" t="s">
        <v>149</v>
      </c>
      <c r="R124" s="13"/>
      <c r="S124" s="18"/>
      <c r="T124" s="13"/>
      <c r="U124" s="25" t="s">
        <v>51</v>
      </c>
    </row>
    <row r="125" spans="1:21" s="10" customFormat="1" ht="36.65" customHeight="1">
      <c r="A125" s="588"/>
      <c r="C125" s="32" t="s">
        <v>116</v>
      </c>
      <c r="D125" s="50" t="e">
        <f>D124/VLOOKUP(A124,#REF!,7,0)</f>
        <v>#REF!</v>
      </c>
      <c r="E125" s="576"/>
      <c r="F125" s="576"/>
      <c r="G125" s="75"/>
      <c r="H125" s="576"/>
      <c r="J125" s="32" t="s">
        <v>116</v>
      </c>
      <c r="K125" s="28"/>
      <c r="L125" s="60"/>
      <c r="M125" s="576"/>
      <c r="O125" s="32" t="s">
        <v>116</v>
      </c>
      <c r="P125" s="56"/>
      <c r="Q125" s="576"/>
      <c r="S125" s="28"/>
      <c r="U125" s="27" t="s">
        <v>52</v>
      </c>
    </row>
    <row r="126" spans="1:21" ht="75.650000000000006" customHeight="1">
      <c r="A126" s="589"/>
      <c r="B126" s="12"/>
      <c r="C126" s="31" t="s">
        <v>117</v>
      </c>
      <c r="D126" s="51" t="e">
        <f>(D124/VLOOKUP(A124,#REF!,4,0))*100</f>
        <v>#REF!</v>
      </c>
      <c r="E126" s="24"/>
      <c r="F126" s="577"/>
      <c r="G126" s="68"/>
      <c r="H126" s="577"/>
      <c r="I126" s="12"/>
      <c r="J126" s="31" t="s">
        <v>117</v>
      </c>
      <c r="K126" s="23"/>
      <c r="L126" s="62"/>
      <c r="M126" s="577"/>
      <c r="N126" s="12"/>
      <c r="O126" s="31" t="s">
        <v>117</v>
      </c>
      <c r="P126" s="17"/>
      <c r="Q126" s="577"/>
      <c r="R126" s="1"/>
      <c r="S126" s="19"/>
      <c r="T126" s="1"/>
      <c r="U126" s="26"/>
    </row>
    <row r="127" spans="1:21">
      <c r="A127" s="110"/>
      <c r="B127" s="6"/>
      <c r="C127" s="43"/>
      <c r="D127" s="111"/>
      <c r="E127" s="112"/>
      <c r="F127" s="36"/>
      <c r="G127" s="113"/>
      <c r="H127" s="10"/>
      <c r="I127" s="6"/>
      <c r="J127" s="43"/>
      <c r="K127" s="6"/>
      <c r="L127" s="114"/>
      <c r="M127" s="10"/>
      <c r="N127" s="6"/>
      <c r="O127" s="43"/>
      <c r="Q127" s="10"/>
      <c r="S127" s="10"/>
      <c r="U127" s="109"/>
    </row>
    <row r="128" spans="1:21" ht="13">
      <c r="A128" s="85" t="s">
        <v>128</v>
      </c>
      <c r="B128" s="86"/>
      <c r="C128" s="85"/>
      <c r="D128" s="87"/>
      <c r="E128" s="88"/>
      <c r="F128" s="86"/>
      <c r="G128" s="89"/>
      <c r="H128" s="90"/>
      <c r="I128" s="86"/>
      <c r="J128" s="90"/>
      <c r="K128" s="86"/>
      <c r="L128" s="91"/>
      <c r="M128" s="90"/>
      <c r="N128" s="86"/>
      <c r="O128" s="90"/>
      <c r="P128" s="92"/>
      <c r="Q128" s="90"/>
      <c r="S128" s="28"/>
      <c r="U128" s="27"/>
    </row>
    <row r="129" spans="1:21" s="10" customFormat="1" ht="31.5" customHeight="1">
      <c r="A129" s="587" t="s">
        <v>37</v>
      </c>
      <c r="B129" s="13"/>
      <c r="C129" s="37" t="s">
        <v>115</v>
      </c>
      <c r="D129" s="93">
        <v>53.95</v>
      </c>
      <c r="E129" s="18" t="s">
        <v>86</v>
      </c>
      <c r="F129" s="575" t="s">
        <v>257</v>
      </c>
      <c r="G129" s="74" t="s">
        <v>87</v>
      </c>
      <c r="H129" s="575" t="s">
        <v>98</v>
      </c>
      <c r="I129" s="13"/>
      <c r="J129" s="32" t="s">
        <v>115</v>
      </c>
      <c r="K129" s="18"/>
      <c r="L129" s="94">
        <v>50</v>
      </c>
      <c r="M129" s="575" t="s">
        <v>258</v>
      </c>
      <c r="N129" s="13"/>
      <c r="O129" s="32" t="s">
        <v>115</v>
      </c>
      <c r="P129" s="53"/>
      <c r="Q129" s="18"/>
      <c r="R129" s="13"/>
      <c r="S129" s="18"/>
      <c r="T129" s="13"/>
      <c r="U129" s="18"/>
    </row>
    <row r="130" spans="1:21" s="36" customFormat="1" ht="24.65" customHeight="1">
      <c r="A130" s="588"/>
      <c r="B130" s="10"/>
      <c r="C130" s="32" t="s">
        <v>116</v>
      </c>
      <c r="D130" s="50" t="e">
        <f>D129/VLOOKUP(A129,#REF!,7,0)</f>
        <v>#REF!</v>
      </c>
      <c r="E130" s="28"/>
      <c r="F130" s="576"/>
      <c r="G130" s="75"/>
      <c r="H130" s="576"/>
      <c r="I130" s="10"/>
      <c r="J130" s="32" t="s">
        <v>116</v>
      </c>
      <c r="K130" s="28"/>
      <c r="L130" s="61" t="e">
        <f>L129/VLOOKUP(A129,#REF!,7,0)</f>
        <v>#REF!</v>
      </c>
      <c r="M130" s="576"/>
      <c r="N130" s="10"/>
      <c r="O130" s="32" t="s">
        <v>116</v>
      </c>
      <c r="P130" s="56"/>
      <c r="Q130" s="28"/>
      <c r="R130" s="10"/>
      <c r="S130" s="28"/>
      <c r="T130" s="10"/>
      <c r="U130" s="28"/>
    </row>
    <row r="131" spans="1:21" ht="78" customHeight="1">
      <c r="A131" s="589"/>
      <c r="B131" s="6"/>
      <c r="C131" s="32" t="s">
        <v>117</v>
      </c>
      <c r="D131" s="50" t="e">
        <f>(D129/VLOOKUP(A129,#REF!,4,0))*100</f>
        <v>#REF!</v>
      </c>
      <c r="E131" s="29"/>
      <c r="F131" s="577"/>
      <c r="G131" s="56"/>
      <c r="H131" s="577"/>
      <c r="I131" s="6"/>
      <c r="J131" s="32" t="s">
        <v>117</v>
      </c>
      <c r="K131" s="35"/>
      <c r="L131" s="61" t="e">
        <f>(L129/VLOOKUP(A129,#REF!,4,0))*100</f>
        <v>#REF!</v>
      </c>
      <c r="M131" s="577"/>
      <c r="N131" s="6"/>
      <c r="O131" s="32" t="s">
        <v>117</v>
      </c>
      <c r="P131" s="69"/>
      <c r="Q131" s="28"/>
      <c r="S131" s="28"/>
      <c r="U131" s="27"/>
    </row>
    <row r="132" spans="1:21" s="13" customFormat="1" ht="35.15" customHeight="1">
      <c r="A132" s="587" t="s">
        <v>38</v>
      </c>
      <c r="B132" s="158"/>
      <c r="C132" s="37" t="s">
        <v>115</v>
      </c>
      <c r="D132" s="131">
        <v>5.8</v>
      </c>
      <c r="E132" s="20" t="s">
        <v>53</v>
      </c>
      <c r="F132" s="600" t="s">
        <v>270</v>
      </c>
      <c r="G132" s="74"/>
      <c r="H132" s="575" t="s">
        <v>271</v>
      </c>
      <c r="I132" s="158"/>
      <c r="J132" s="37" t="s">
        <v>115</v>
      </c>
      <c r="K132" s="20"/>
      <c r="L132" s="66"/>
      <c r="M132" s="18"/>
      <c r="N132" s="158"/>
      <c r="O132" s="37" t="s">
        <v>115</v>
      </c>
      <c r="P132" s="53"/>
      <c r="Q132" s="18"/>
      <c r="R132" s="14"/>
      <c r="S132" s="18"/>
      <c r="T132" s="14"/>
      <c r="U132" s="18"/>
    </row>
    <row r="133" spans="1:21" ht="40" customHeight="1">
      <c r="A133" s="588"/>
      <c r="B133" s="6"/>
      <c r="C133" s="32" t="s">
        <v>116</v>
      </c>
      <c r="D133" s="120" t="e">
        <f>D132/#REF!</f>
        <v>#REF!</v>
      </c>
      <c r="E133" s="34"/>
      <c r="F133" s="601"/>
      <c r="G133" s="56"/>
      <c r="H133" s="576"/>
      <c r="I133" s="6"/>
      <c r="J133" s="32" t="s">
        <v>116</v>
      </c>
      <c r="K133" s="35"/>
      <c r="L133" s="61"/>
      <c r="M133" s="28"/>
      <c r="N133" s="6"/>
      <c r="O133" s="32" t="s">
        <v>116</v>
      </c>
      <c r="P133" s="69"/>
      <c r="Q133" s="28"/>
      <c r="S133" s="28"/>
      <c r="U133" s="27"/>
    </row>
    <row r="134" spans="1:21" ht="29.5" customHeight="1">
      <c r="A134" s="589"/>
      <c r="B134" s="12"/>
      <c r="C134" s="31" t="s">
        <v>117</v>
      </c>
      <c r="D134" s="121" t="e">
        <f>D132/#REF!*100</f>
        <v>#REF!</v>
      </c>
      <c r="E134" s="11"/>
      <c r="F134" s="602"/>
      <c r="G134" s="68"/>
      <c r="H134" s="577"/>
      <c r="I134" s="12"/>
      <c r="J134" s="31" t="s">
        <v>117</v>
      </c>
      <c r="K134" s="23"/>
      <c r="L134" s="62"/>
      <c r="M134" s="19"/>
      <c r="N134" s="12"/>
      <c r="O134" s="31" t="s">
        <v>117</v>
      </c>
      <c r="P134" s="17"/>
      <c r="Q134" s="19"/>
      <c r="R134" s="1"/>
      <c r="S134" s="19"/>
      <c r="T134" s="1"/>
      <c r="U134" s="26"/>
    </row>
    <row r="135" spans="1:21" s="10" customFormat="1" ht="40" customHeight="1">
      <c r="A135" s="587" t="s">
        <v>29</v>
      </c>
      <c r="B135" s="13"/>
      <c r="C135" s="37" t="s">
        <v>115</v>
      </c>
      <c r="D135" s="603" t="s">
        <v>84</v>
      </c>
      <c r="E135" s="18" t="s">
        <v>88</v>
      </c>
      <c r="F135" s="575" t="s">
        <v>259</v>
      </c>
      <c r="G135" s="74"/>
      <c r="H135" s="575" t="s">
        <v>123</v>
      </c>
      <c r="I135" s="13"/>
      <c r="J135" s="32" t="s">
        <v>115</v>
      </c>
      <c r="K135" s="18"/>
      <c r="L135" s="66"/>
      <c r="M135" s="18"/>
      <c r="N135" s="13"/>
      <c r="O135" s="32" t="s">
        <v>115</v>
      </c>
      <c r="P135" s="53"/>
      <c r="Q135" s="18"/>
      <c r="R135" s="13"/>
      <c r="S135" s="18"/>
      <c r="T135" s="13"/>
      <c r="U135" s="18"/>
    </row>
    <row r="136" spans="1:21" s="36" customFormat="1" ht="25" customHeight="1">
      <c r="A136" s="588"/>
      <c r="B136" s="10"/>
      <c r="C136" s="32" t="s">
        <v>116</v>
      </c>
      <c r="D136" s="604"/>
      <c r="E136" s="28"/>
      <c r="F136" s="576"/>
      <c r="G136" s="75"/>
      <c r="H136" s="576"/>
      <c r="I136" s="10"/>
      <c r="J136" s="32" t="s">
        <v>116</v>
      </c>
      <c r="K136" s="28"/>
      <c r="L136" s="60"/>
      <c r="M136" s="28"/>
      <c r="N136" s="10"/>
      <c r="O136" s="32" t="s">
        <v>116</v>
      </c>
      <c r="P136" s="56"/>
      <c r="Q136" s="28"/>
      <c r="R136" s="10"/>
      <c r="S136" s="28"/>
      <c r="T136" s="10"/>
      <c r="U136" s="28"/>
    </row>
    <row r="137" spans="1:21" ht="71.5" customHeight="1">
      <c r="A137" s="589"/>
      <c r="B137" s="12"/>
      <c r="C137" s="31" t="s">
        <v>117</v>
      </c>
      <c r="D137" s="51"/>
      <c r="E137" s="24"/>
      <c r="F137" s="577"/>
      <c r="G137" s="68"/>
      <c r="H137" s="577"/>
      <c r="I137" s="12"/>
      <c r="J137" s="31" t="s">
        <v>117</v>
      </c>
      <c r="K137" s="23"/>
      <c r="L137" s="62"/>
      <c r="M137" s="23"/>
      <c r="N137" s="12"/>
      <c r="O137" s="31" t="s">
        <v>117</v>
      </c>
      <c r="P137" s="17"/>
      <c r="Q137" s="19"/>
      <c r="R137" s="1"/>
      <c r="S137" s="19"/>
      <c r="T137" s="1"/>
      <c r="U137" s="26"/>
    </row>
    <row r="138" spans="1:21" ht="39.65" customHeight="1">
      <c r="A138" s="587" t="s">
        <v>93</v>
      </c>
      <c r="B138" s="14"/>
      <c r="C138" s="37" t="s">
        <v>115</v>
      </c>
      <c r="D138" s="93">
        <v>761</v>
      </c>
      <c r="E138" s="600">
        <v>70</v>
      </c>
      <c r="F138" s="575" t="s">
        <v>260</v>
      </c>
      <c r="G138" s="74"/>
      <c r="H138" s="575" t="s">
        <v>261</v>
      </c>
      <c r="I138" s="14"/>
      <c r="J138" s="32" t="s">
        <v>115</v>
      </c>
      <c r="K138" s="20"/>
      <c r="L138" s="126"/>
      <c r="M138" s="581"/>
      <c r="N138" s="14"/>
      <c r="O138" s="32" t="s">
        <v>115</v>
      </c>
      <c r="P138" s="53"/>
      <c r="Q138" s="575"/>
      <c r="R138" s="14"/>
      <c r="S138" s="18"/>
      <c r="T138" s="14"/>
      <c r="U138" s="18"/>
    </row>
    <row r="139" spans="1:21" ht="56.5" customHeight="1">
      <c r="A139" s="588"/>
      <c r="B139" s="36"/>
      <c r="C139" s="32" t="s">
        <v>116</v>
      </c>
      <c r="D139" s="50" t="e">
        <f>D138/#REF!</f>
        <v>#REF!</v>
      </c>
      <c r="E139" s="601"/>
      <c r="F139" s="576"/>
      <c r="G139" s="75"/>
      <c r="H139" s="576"/>
      <c r="I139" s="36"/>
      <c r="J139" s="32" t="s">
        <v>116</v>
      </c>
      <c r="K139" s="30"/>
      <c r="L139" s="61"/>
      <c r="M139" s="582"/>
      <c r="N139" s="36"/>
      <c r="O139" s="32" t="s">
        <v>116</v>
      </c>
      <c r="P139" s="56"/>
      <c r="Q139" s="576"/>
      <c r="R139" s="36"/>
      <c r="S139" s="28"/>
      <c r="T139" s="36"/>
      <c r="U139" s="28"/>
    </row>
    <row r="140" spans="1:21" ht="89.5" customHeight="1">
      <c r="A140" s="589"/>
      <c r="B140" s="12"/>
      <c r="C140" s="31" t="s">
        <v>117</v>
      </c>
      <c r="D140" s="51" t="e">
        <f>D138/#REF!*100</f>
        <v>#REF!</v>
      </c>
      <c r="E140" s="24"/>
      <c r="F140" s="577"/>
      <c r="G140" s="68"/>
      <c r="H140" s="577"/>
      <c r="I140" s="12"/>
      <c r="J140" s="31" t="s">
        <v>117</v>
      </c>
      <c r="K140" s="23"/>
      <c r="L140" s="62"/>
      <c r="M140" s="583"/>
      <c r="N140" s="12"/>
      <c r="O140" s="31" t="s">
        <v>117</v>
      </c>
      <c r="P140" s="17"/>
      <c r="Q140" s="577"/>
      <c r="R140" s="1"/>
      <c r="S140" s="19"/>
      <c r="T140" s="1"/>
      <c r="U140" s="26"/>
    </row>
    <row r="141" spans="1:21" ht="44.5" customHeight="1">
      <c r="A141" s="587" t="s">
        <v>33</v>
      </c>
      <c r="B141" s="14"/>
      <c r="C141" s="37" t="s">
        <v>115</v>
      </c>
      <c r="D141" s="127">
        <f>36000+61700</f>
        <v>97700</v>
      </c>
      <c r="E141" s="20" t="s">
        <v>89</v>
      </c>
      <c r="F141" s="600" t="s">
        <v>151</v>
      </c>
      <c r="G141" s="74">
        <f>80000-1800</f>
        <v>78200</v>
      </c>
      <c r="H141" s="575" t="s">
        <v>180</v>
      </c>
      <c r="I141" s="14"/>
      <c r="J141" s="32" t="s">
        <v>115</v>
      </c>
      <c r="K141" s="20"/>
      <c r="L141" s="66"/>
      <c r="M141" s="18"/>
      <c r="N141" s="14"/>
      <c r="O141" s="32" t="s">
        <v>115</v>
      </c>
      <c r="P141" s="53"/>
      <c r="Q141" s="18"/>
      <c r="R141" s="14"/>
      <c r="S141" s="575" t="s">
        <v>90</v>
      </c>
      <c r="T141" s="14"/>
      <c r="U141" s="18"/>
    </row>
    <row r="142" spans="1:21" ht="54" customHeight="1">
      <c r="A142" s="588"/>
      <c r="B142" s="6"/>
      <c r="C142" s="32" t="s">
        <v>116</v>
      </c>
      <c r="D142" s="50" t="e">
        <f>D141/VLOOKUP(A141,#REF!,7,0)</f>
        <v>#REF!</v>
      </c>
      <c r="E142" s="34"/>
      <c r="F142" s="601"/>
      <c r="G142" s="56"/>
      <c r="H142" s="576"/>
      <c r="I142" s="6"/>
      <c r="J142" s="32" t="s">
        <v>116</v>
      </c>
      <c r="K142" s="35"/>
      <c r="L142" s="61"/>
      <c r="M142" s="28"/>
      <c r="N142" s="6"/>
      <c r="O142" s="32" t="s">
        <v>116</v>
      </c>
      <c r="P142" s="69"/>
      <c r="Q142" s="28"/>
      <c r="S142" s="576"/>
      <c r="U142" s="27"/>
    </row>
    <row r="143" spans="1:21" ht="176.5" customHeight="1">
      <c r="A143" s="589"/>
      <c r="B143" s="12"/>
      <c r="C143" s="31" t="s">
        <v>117</v>
      </c>
      <c r="D143" s="51" t="e">
        <f>(D141/VLOOKUP(A141,#REF!,4,0))*100</f>
        <v>#REF!</v>
      </c>
      <c r="E143" s="11"/>
      <c r="F143" s="602"/>
      <c r="G143" s="68"/>
      <c r="H143" s="577"/>
      <c r="I143" s="12"/>
      <c r="J143" s="31" t="s">
        <v>117</v>
      </c>
      <c r="K143" s="23"/>
      <c r="L143" s="62"/>
      <c r="M143" s="19"/>
      <c r="N143" s="12"/>
      <c r="O143" s="31" t="s">
        <v>117</v>
      </c>
      <c r="P143" s="17"/>
      <c r="Q143" s="19"/>
      <c r="R143" s="1"/>
      <c r="S143" s="577"/>
      <c r="T143" s="1"/>
      <c r="U143" s="26"/>
    </row>
    <row r="144" spans="1:21">
      <c r="A144" s="6" t="s">
        <v>108</v>
      </c>
      <c r="B144" s="6"/>
      <c r="D144" s="101"/>
      <c r="E144" s="102"/>
      <c r="F144" s="6"/>
      <c r="G144" s="6"/>
      <c r="I144" s="6"/>
      <c r="K144" s="6"/>
      <c r="L144" s="103"/>
      <c r="N144" s="6"/>
      <c r="P144" s="101"/>
    </row>
    <row r="145" spans="1:17" ht="14.5" customHeight="1">
      <c r="A145" s="623" t="s">
        <v>265</v>
      </c>
      <c r="B145" s="623"/>
      <c r="C145" s="623"/>
      <c r="D145" s="623"/>
      <c r="E145" s="623"/>
      <c r="F145" s="623"/>
      <c r="G145" s="623"/>
      <c r="H145" s="623"/>
      <c r="I145" s="623"/>
      <c r="J145" s="623"/>
      <c r="K145" s="623"/>
      <c r="L145" s="623"/>
      <c r="M145" s="623"/>
      <c r="N145" s="623"/>
      <c r="O145" s="623"/>
      <c r="P145" s="623"/>
      <c r="Q145" s="623"/>
    </row>
    <row r="146" spans="1:17">
      <c r="A146" s="6" t="s">
        <v>202</v>
      </c>
    </row>
    <row r="147" spans="1:17">
      <c r="A147" s="33" t="s">
        <v>201</v>
      </c>
    </row>
    <row r="148" spans="1:17">
      <c r="A148" s="6" t="s">
        <v>194</v>
      </c>
    </row>
    <row r="149" spans="1:17">
      <c r="A149" s="6" t="s">
        <v>200</v>
      </c>
    </row>
  </sheetData>
  <mergeCells count="234">
    <mergeCell ref="Q22:Q24"/>
    <mergeCell ref="A4:Q4"/>
    <mergeCell ref="A145:Q145"/>
    <mergeCell ref="Q72:Q74"/>
    <mergeCell ref="M72:M74"/>
    <mergeCell ref="F60:F62"/>
    <mergeCell ref="H60:H62"/>
    <mergeCell ref="M60:M62"/>
    <mergeCell ref="H63:H65"/>
    <mergeCell ref="F66:F68"/>
    <mergeCell ref="H66:H68"/>
    <mergeCell ref="M66:M68"/>
    <mergeCell ref="F13:F15"/>
    <mergeCell ref="H13:H15"/>
    <mergeCell ref="M13:M15"/>
    <mergeCell ref="Q13:Q15"/>
    <mergeCell ref="F19:F21"/>
    <mergeCell ref="H19:H21"/>
    <mergeCell ref="H100:H102"/>
    <mergeCell ref="Q19:Q21"/>
    <mergeCell ref="F37:F39"/>
    <mergeCell ref="H37:H39"/>
    <mergeCell ref="A77:A79"/>
    <mergeCell ref="A10:A12"/>
    <mergeCell ref="F25:F27"/>
    <mergeCell ref="A16:A18"/>
    <mergeCell ref="A69:A71"/>
    <mergeCell ref="A51:A53"/>
    <mergeCell ref="F45:F47"/>
    <mergeCell ref="H45:H47"/>
    <mergeCell ref="H25:H27"/>
    <mergeCell ref="A92:A94"/>
    <mergeCell ref="A97:A99"/>
    <mergeCell ref="A34:A36"/>
    <mergeCell ref="A48:A50"/>
    <mergeCell ref="H51:H53"/>
    <mergeCell ref="F51:F53"/>
    <mergeCell ref="A45:A47"/>
    <mergeCell ref="E69:E70"/>
    <mergeCell ref="H69:H71"/>
    <mergeCell ref="A86:A88"/>
    <mergeCell ref="A83:A85"/>
    <mergeCell ref="A72:A74"/>
    <mergeCell ref="A66:A68"/>
    <mergeCell ref="A54:A56"/>
    <mergeCell ref="F63:F65"/>
    <mergeCell ref="A63:A65"/>
    <mergeCell ref="A60:A62"/>
    <mergeCell ref="H10:H12"/>
    <mergeCell ref="U10:U12"/>
    <mergeCell ref="U22:U24"/>
    <mergeCell ref="S48:S50"/>
    <mergeCell ref="S16:S18"/>
    <mergeCell ref="S51:S53"/>
    <mergeCell ref="F48:F50"/>
    <mergeCell ref="H48:H50"/>
    <mergeCell ref="M48:M50"/>
    <mergeCell ref="Q48:Q50"/>
    <mergeCell ref="M10:M12"/>
    <mergeCell ref="Q10:Q12"/>
    <mergeCell ref="F16:F18"/>
    <mergeCell ref="H16:H18"/>
    <mergeCell ref="Q16:Q18"/>
    <mergeCell ref="S22:S24"/>
    <mergeCell ref="S25:S27"/>
    <mergeCell ref="M25:M27"/>
    <mergeCell ref="F22:F24"/>
    <mergeCell ref="H22:H24"/>
    <mergeCell ref="F31:F33"/>
    <mergeCell ref="H31:H33"/>
    <mergeCell ref="M31:M33"/>
    <mergeCell ref="S37:S39"/>
    <mergeCell ref="M28:M30"/>
    <mergeCell ref="E34:E35"/>
    <mergeCell ref="C7:H7"/>
    <mergeCell ref="A40:A42"/>
    <mergeCell ref="S40:S42"/>
    <mergeCell ref="S28:S30"/>
    <mergeCell ref="S31:S33"/>
    <mergeCell ref="U31:U33"/>
    <mergeCell ref="U37:U39"/>
    <mergeCell ref="A13:A15"/>
    <mergeCell ref="A19:A21"/>
    <mergeCell ref="A22:A24"/>
    <mergeCell ref="A25:A27"/>
    <mergeCell ref="A28:A30"/>
    <mergeCell ref="A31:A33"/>
    <mergeCell ref="M22:M24"/>
    <mergeCell ref="Q37:Q39"/>
    <mergeCell ref="F40:F42"/>
    <mergeCell ref="H40:H42"/>
    <mergeCell ref="M40:M42"/>
    <mergeCell ref="A37:A39"/>
    <mergeCell ref="M37:M39"/>
    <mergeCell ref="F10:F12"/>
    <mergeCell ref="S10:S12"/>
    <mergeCell ref="M69:M71"/>
    <mergeCell ref="H72:H74"/>
    <mergeCell ref="H54:H56"/>
    <mergeCell ref="Q34:Q36"/>
    <mergeCell ref="F34:F36"/>
    <mergeCell ref="M45:M47"/>
    <mergeCell ref="Q45:Q47"/>
    <mergeCell ref="Q80:Q82"/>
    <mergeCell ref="F54:F55"/>
    <mergeCell ref="F57:F59"/>
    <mergeCell ref="U34:U36"/>
    <mergeCell ref="U103:U105"/>
    <mergeCell ref="M103:M105"/>
    <mergeCell ref="H80:H82"/>
    <mergeCell ref="M80:M82"/>
    <mergeCell ref="M86:M88"/>
    <mergeCell ref="Q86:Q88"/>
    <mergeCell ref="S86:S88"/>
    <mergeCell ref="U86:U88"/>
    <mergeCell ref="M83:M85"/>
    <mergeCell ref="P83:P85"/>
    <mergeCell ref="Q83:Q85"/>
    <mergeCell ref="S83:S85"/>
    <mergeCell ref="S77:S79"/>
    <mergeCell ref="Q77:Q79"/>
    <mergeCell ref="Q92:Q94"/>
    <mergeCell ref="S100:S102"/>
    <mergeCell ref="M100:M102"/>
    <mergeCell ref="Q97:Q99"/>
    <mergeCell ref="H97:H99"/>
    <mergeCell ref="U60:U62"/>
    <mergeCell ref="S103:S105"/>
    <mergeCell ref="H57:H59"/>
    <mergeCell ref="S60:S62"/>
    <mergeCell ref="U83:U85"/>
    <mergeCell ref="E72:E73"/>
    <mergeCell ref="G72:G73"/>
    <mergeCell ref="F77:F79"/>
    <mergeCell ref="M106:M108"/>
    <mergeCell ref="E86:E87"/>
    <mergeCell ref="E83:E84"/>
    <mergeCell ref="E92:E93"/>
    <mergeCell ref="F100:F102"/>
    <mergeCell ref="E97:E98"/>
    <mergeCell ref="F97:F99"/>
    <mergeCell ref="F106:F108"/>
    <mergeCell ref="H83:H85"/>
    <mergeCell ref="F89:F91"/>
    <mergeCell ref="H89:H91"/>
    <mergeCell ref="M89:M91"/>
    <mergeCell ref="E80:E81"/>
    <mergeCell ref="V13:V15"/>
    <mergeCell ref="S141:S143"/>
    <mergeCell ref="M63:M65"/>
    <mergeCell ref="H77:H79"/>
    <mergeCell ref="M77:M79"/>
    <mergeCell ref="F80:F82"/>
    <mergeCell ref="E121:E122"/>
    <mergeCell ref="E118:E119"/>
    <mergeCell ref="A132:A134"/>
    <mergeCell ref="F132:F134"/>
    <mergeCell ref="H132:H134"/>
    <mergeCell ref="D135:D136"/>
    <mergeCell ref="E124:E125"/>
    <mergeCell ref="Q124:Q126"/>
    <mergeCell ref="F103:F105"/>
    <mergeCell ref="E138:E139"/>
    <mergeCell ref="A141:A143"/>
    <mergeCell ref="H141:H143"/>
    <mergeCell ref="F141:F143"/>
    <mergeCell ref="U54:U56"/>
    <mergeCell ref="A57:A59"/>
    <mergeCell ref="H106:H108"/>
    <mergeCell ref="S80:S81"/>
    <mergeCell ref="U66:U67"/>
    <mergeCell ref="A138:A140"/>
    <mergeCell ref="A135:A137"/>
    <mergeCell ref="A129:A131"/>
    <mergeCell ref="F129:F131"/>
    <mergeCell ref="H129:H131"/>
    <mergeCell ref="M129:M131"/>
    <mergeCell ref="A100:A102"/>
    <mergeCell ref="A106:A108"/>
    <mergeCell ref="A103:A105"/>
    <mergeCell ref="A124:A126"/>
    <mergeCell ref="H124:H126"/>
    <mergeCell ref="F124:F126"/>
    <mergeCell ref="M124:M126"/>
    <mergeCell ref="F118:F120"/>
    <mergeCell ref="H118:H120"/>
    <mergeCell ref="A118:A120"/>
    <mergeCell ref="A121:A123"/>
    <mergeCell ref="F121:F123"/>
    <mergeCell ref="H121:H123"/>
    <mergeCell ref="M121:M123"/>
    <mergeCell ref="S121:S123"/>
    <mergeCell ref="Q89:Q91"/>
    <mergeCell ref="F112:F114"/>
    <mergeCell ref="H112:H114"/>
    <mergeCell ref="M112:M114"/>
    <mergeCell ref="A112:A114"/>
    <mergeCell ref="Q112:Q114"/>
    <mergeCell ref="F115:F117"/>
    <mergeCell ref="H115:H117"/>
    <mergeCell ref="M115:M117"/>
    <mergeCell ref="A115:A117"/>
    <mergeCell ref="Q115:Q117"/>
    <mergeCell ref="F109:F111"/>
    <mergeCell ref="H109:H111"/>
    <mergeCell ref="M109:M111"/>
    <mergeCell ref="Q109:Q111"/>
    <mergeCell ref="A109:A111"/>
    <mergeCell ref="E109:E110"/>
    <mergeCell ref="A89:A91"/>
    <mergeCell ref="J7:M7"/>
    <mergeCell ref="O7:Q7"/>
    <mergeCell ref="Q138:Q140"/>
    <mergeCell ref="H103:H105"/>
    <mergeCell ref="M34:M36"/>
    <mergeCell ref="Q63:Q65"/>
    <mergeCell ref="H92:H94"/>
    <mergeCell ref="Q57:Q59"/>
    <mergeCell ref="F69:F71"/>
    <mergeCell ref="F86:F88"/>
    <mergeCell ref="H86:H88"/>
    <mergeCell ref="Q118:Q120"/>
    <mergeCell ref="M118:M120"/>
    <mergeCell ref="H34:H36"/>
    <mergeCell ref="Q121:Q123"/>
    <mergeCell ref="F138:F140"/>
    <mergeCell ref="H138:H140"/>
    <mergeCell ref="M138:M140"/>
    <mergeCell ref="F135:F137"/>
    <mergeCell ref="H135:H137"/>
    <mergeCell ref="Q25:Q27"/>
    <mergeCell ref="F28:F30"/>
    <mergeCell ref="H28:H30"/>
    <mergeCell ref="Q28:Q30"/>
  </mergeCells>
  <hyperlinks>
    <hyperlink ref="U54" r:id="rId1" xr:uid="{80CCA302-5EBC-4E3E-91A7-E266607843B7}"/>
    <hyperlink ref="U60" r:id="rId2" xr:uid="{502597CD-49B4-4A44-9218-F42AB14C6F53}"/>
    <hyperlink ref="U66" r:id="rId3" xr:uid="{68AFD4EB-4BB0-490C-9A8C-14EF06AAB104}"/>
    <hyperlink ref="U13" r:id="rId4" xr:uid="{9C35FC06-81C8-432F-AA08-649C4F72AE59}"/>
    <hyperlink ref="U19" r:id="rId5" xr:uid="{3D95A044-497B-4FD6-9CE4-A07B94861A86}"/>
    <hyperlink ref="U25" r:id="rId6" xr:uid="{8BECACBD-4F3D-4FAE-BEAF-54DBA8A96158}"/>
    <hyperlink ref="U22" r:id="rId7" xr:uid="{A7DF9E46-9684-4062-8A4C-7E4F73026E40}"/>
    <hyperlink ref="U31" r:id="rId8" xr:uid="{BF45A2AD-96BE-4F07-B5D7-ADC1C7BEB547}"/>
    <hyperlink ref="U37" r:id="rId9" xr:uid="{18C57F5C-2C2F-4B8E-A412-2891FA199D60}"/>
    <hyperlink ref="U77" r:id="rId10" xr:uid="{44D8861C-5C56-4A60-A43A-D7A789C22254}"/>
    <hyperlink ref="U80" r:id="rId11" xr:uid="{615B797E-51C7-4C6B-823A-2FBA6E68136A}"/>
    <hyperlink ref="U83" r:id="rId12" xr:uid="{9E2E6B8E-49D8-4780-8D6F-465FC5EC83C0}"/>
    <hyperlink ref="U86" r:id="rId13" xr:uid="{3FCE005B-121F-4BD3-B4F9-87B1EBFEA7AD}"/>
    <hyperlink ref="U34" r:id="rId14" xr:uid="{0A64EFC4-C08B-4131-A6F2-77643EA9C68B}"/>
    <hyperlink ref="U103" r:id="rId15" xr:uid="{0797C9F6-7E5E-4E38-927B-00DAE27345CE}"/>
    <hyperlink ref="U124" r:id="rId16" xr:uid="{1A285C45-12B5-44D0-8A30-94A73B0596E4}"/>
    <hyperlink ref="U125" r:id="rId17" xr:uid="{EF26584C-7D39-4205-BF95-3B581DE54FB0}"/>
    <hyperlink ref="U78" r:id="rId18" xr:uid="{ACA320E4-2E4A-40D4-A1EB-43B29BAA94E8}"/>
    <hyperlink ref="V10" r:id="rId19" display="https://treasury.gov.au/coronavirus" xr:uid="{8A1DBA67-D253-41FC-ACAD-48894FBD3EAC}"/>
    <hyperlink ref="U10" r:id="rId20" xr:uid="{8A1DBA67-D253-41FC-ACAD-48894FBD3EAC}"/>
    <hyperlink ref="U26" r:id="rId21" xr:uid="{33A7A0C8-1DF1-4D90-B4CB-2998F54B8D49}"/>
    <hyperlink ref="U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EA3CCD2A-D439-4645-BFB0-825CC8110271}"/>
  </hyperlinks>
  <pageMargins left="0.7" right="0.7" top="0.75" bottom="0.75" header="0.3" footer="0.3"/>
  <pageSetup scale="53"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7325-326A-4BA7-BC28-FE849EBBA90D}">
  <sheetPr>
    <tabColor rgb="FFFF0000"/>
  </sheetPr>
  <dimension ref="A3:G46"/>
  <sheetViews>
    <sheetView tabSelected="1" topLeftCell="A3" zoomScale="91" workbookViewId="0">
      <selection activeCell="F32" sqref="F32"/>
    </sheetView>
  </sheetViews>
  <sheetFormatPr defaultRowHeight="12.5"/>
  <cols>
    <col min="1" max="1" width="23.7265625" customWidth="1"/>
    <col min="2" max="2" width="16.6328125" customWidth="1"/>
    <col min="3" max="3" width="15.08984375" customWidth="1"/>
    <col min="4" max="5" width="14.81640625" customWidth="1"/>
    <col min="7" max="7" width="20.81640625" bestFit="1" customWidth="1"/>
  </cols>
  <sheetData>
    <row r="3" spans="1:7">
      <c r="B3" t="s">
        <v>1779</v>
      </c>
      <c r="D3" t="s">
        <v>1780</v>
      </c>
    </row>
    <row r="8" spans="1:7">
      <c r="A8" t="s">
        <v>54</v>
      </c>
      <c r="B8" t="s">
        <v>1777</v>
      </c>
      <c r="C8" t="s">
        <v>1778</v>
      </c>
      <c r="D8" t="s">
        <v>1781</v>
      </c>
      <c r="F8" t="s">
        <v>1797</v>
      </c>
    </row>
    <row r="9" spans="1:7">
      <c r="A9" t="str">
        <f>Summary.Global!B9</f>
        <v>Australia</v>
      </c>
      <c r="B9" s="569">
        <v>0.19900000000000001</v>
      </c>
      <c r="C9" s="569">
        <v>0.18410000000000001</v>
      </c>
      <c r="D9" s="569">
        <f>C9-B9</f>
        <v>-1.4899999999999997E-2</v>
      </c>
      <c r="E9" s="570">
        <f>(C9-B9)/B9</f>
        <v>-7.4874371859296462E-2</v>
      </c>
      <c r="F9" t="s">
        <v>1784</v>
      </c>
    </row>
    <row r="10" spans="1:7">
      <c r="A10" t="str">
        <f>Summary.Global!B10</f>
        <v>Canada</v>
      </c>
      <c r="B10" s="569">
        <v>0.22700000000000001</v>
      </c>
      <c r="C10" s="569">
        <v>0.216</v>
      </c>
      <c r="D10" s="569">
        <f t="shared" ref="D10:D46" si="0">C10-B10</f>
        <v>-1.100000000000001E-2</v>
      </c>
      <c r="E10" s="570">
        <f t="shared" ref="E10:E46" si="1">(C10-B10)/B10</f>
        <v>-4.8458149779735726E-2</v>
      </c>
    </row>
    <row r="11" spans="1:7">
      <c r="A11" t="str">
        <f>Summary.Global!B11</f>
        <v>France</v>
      </c>
      <c r="B11" s="569">
        <f>Summary.Global!Q11</f>
        <v>0.25003381710959827</v>
      </c>
      <c r="C11" s="569">
        <f>Summary.Global!R11</f>
        <v>0.26119999999999999</v>
      </c>
      <c r="D11" s="569">
        <f t="shared" si="0"/>
        <v>1.1166182890401721E-2</v>
      </c>
      <c r="E11" s="570">
        <f t="shared" si="1"/>
        <v>4.4658690650261942E-2</v>
      </c>
    </row>
    <row r="12" spans="1:7">
      <c r="A12" t="str">
        <f>Summary.Global!B12</f>
        <v>Germany</v>
      </c>
      <c r="B12" s="569">
        <f>Summary.Global!Q12</f>
        <v>0.44833032690913915</v>
      </c>
      <c r="C12" s="569">
        <f>Summary.Global!R12</f>
        <v>0.45950000000000002</v>
      </c>
      <c r="D12" s="569">
        <f t="shared" si="0"/>
        <v>1.1169673090860865E-2</v>
      </c>
      <c r="E12" s="570">
        <f t="shared" si="1"/>
        <v>2.4913936043243774E-2</v>
      </c>
    </row>
    <row r="13" spans="1:7">
      <c r="A13" t="str">
        <f>Summary.Global!B13</f>
        <v>Italy</v>
      </c>
      <c r="B13" s="569">
        <f>Summary.Global!Q13</f>
        <v>0.45259745659348366</v>
      </c>
      <c r="C13" s="569">
        <v>0.4466</v>
      </c>
      <c r="D13" s="569">
        <f t="shared" si="0"/>
        <v>-5.9974565934836632E-3</v>
      </c>
      <c r="E13" s="570">
        <f t="shared" si="1"/>
        <v>-1.3251193761944823E-2</v>
      </c>
      <c r="F13" s="569"/>
      <c r="G13" s="550"/>
    </row>
    <row r="14" spans="1:7">
      <c r="A14" t="str">
        <f>Summary.Global!B14</f>
        <v>Japan</v>
      </c>
      <c r="B14" s="569">
        <v>0.44350000000000001</v>
      </c>
      <c r="C14" s="569">
        <v>0.43030000000000002</v>
      </c>
      <c r="D14" s="569">
        <f t="shared" si="0"/>
        <v>-1.319999999999999E-2</v>
      </c>
      <c r="E14" s="570">
        <f t="shared" si="1"/>
        <v>-2.9763246899661758E-2</v>
      </c>
      <c r="F14" s="569"/>
    </row>
    <row r="15" spans="1:7">
      <c r="A15" t="str">
        <f>Summary.Global!B15</f>
        <v>Korea</v>
      </c>
      <c r="B15" s="569">
        <v>0.1653</v>
      </c>
      <c r="C15" s="569">
        <v>0.16</v>
      </c>
      <c r="D15" s="569">
        <f t="shared" si="0"/>
        <v>-5.2999999999999992E-3</v>
      </c>
      <c r="E15" s="570">
        <f t="shared" si="1"/>
        <v>-3.2062915910465811E-2</v>
      </c>
    </row>
    <row r="16" spans="1:7">
      <c r="A16" t="str">
        <f>Summary.Global!B16</f>
        <v>Spain</v>
      </c>
      <c r="B16" s="569">
        <f>Summary.Global!Q16</f>
        <v>0.21857252443057779</v>
      </c>
      <c r="C16" s="569">
        <f>Summary.Global!R16</f>
        <v>0.22570000000000001</v>
      </c>
      <c r="D16" s="569">
        <f t="shared" si="0"/>
        <v>7.1274755694222258E-3</v>
      </c>
      <c r="E16" s="570">
        <f t="shared" si="1"/>
        <v>3.2609201856411869E-2</v>
      </c>
    </row>
    <row r="17" spans="1:7">
      <c r="A17" t="str">
        <f>Summary.Global!B17</f>
        <v>United Kingdom</v>
      </c>
      <c r="B17" s="569">
        <f>Summary.Global!Q17</f>
        <v>0.30887124185111864</v>
      </c>
      <c r="C17" s="569">
        <v>0.31990000000000002</v>
      </c>
      <c r="D17" s="569">
        <f t="shared" si="0"/>
        <v>1.1028758148881379E-2</v>
      </c>
      <c r="E17" s="570">
        <f t="shared" si="1"/>
        <v>3.5706652658188988E-2</v>
      </c>
    </row>
    <row r="18" spans="1:7">
      <c r="A18" t="str">
        <f>Summary.Global!B18</f>
        <v>United States</v>
      </c>
      <c r="B18" s="569">
        <f>Summary.Global!Q18</f>
        <v>0.28960396039603964</v>
      </c>
      <c r="C18" s="569">
        <v>0.28299999999999997</v>
      </c>
      <c r="D18" s="569">
        <f t="shared" si="0"/>
        <v>-6.6039603960396653E-3</v>
      </c>
      <c r="E18" s="570">
        <f t="shared" si="1"/>
        <v>-2.2803418803419014E-2</v>
      </c>
    </row>
    <row r="19" spans="1:7">
      <c r="A19" t="str">
        <f>Summary.Global!B19</f>
        <v>Mexico</v>
      </c>
      <c r="B19" s="569">
        <v>2.1899999999999999E-2</v>
      </c>
      <c r="C19" s="569">
        <v>2.1919999999999999E-2</v>
      </c>
      <c r="D19" s="569">
        <f t="shared" si="0"/>
        <v>1.9999999999999185E-5</v>
      </c>
      <c r="E19" s="570">
        <f t="shared" si="1"/>
        <v>9.1324200913238287E-4</v>
      </c>
    </row>
    <row r="20" spans="1:7">
      <c r="A20" t="str">
        <f>Summary.Global!B20</f>
        <v>Turkey</v>
      </c>
      <c r="B20" s="569">
        <v>0.16719999999999999</v>
      </c>
      <c r="C20" s="569">
        <v>0.14199999999999999</v>
      </c>
      <c r="D20" s="569">
        <f t="shared" si="0"/>
        <v>-2.52E-2</v>
      </c>
      <c r="E20" s="570">
        <f t="shared" si="1"/>
        <v>-0.15071770334928231</v>
      </c>
      <c r="F20" t="s">
        <v>1792</v>
      </c>
    </row>
    <row r="21" spans="1:7">
      <c r="A21" t="str">
        <f>Summary.Global!B21</f>
        <v>Austria</v>
      </c>
      <c r="B21" s="569">
        <f>Summary.Global!Q21</f>
        <v>0.18857317623385234</v>
      </c>
      <c r="C21" s="569">
        <v>0.1762</v>
      </c>
      <c r="D21" s="569">
        <f t="shared" si="0"/>
        <v>-1.237317623385234E-2</v>
      </c>
      <c r="E21" s="570">
        <f t="shared" si="1"/>
        <v>-6.5614720401740406E-2</v>
      </c>
      <c r="F21" s="569">
        <v>0.1762</v>
      </c>
      <c r="G21" t="s">
        <v>1796</v>
      </c>
    </row>
    <row r="22" spans="1:7">
      <c r="A22" t="str">
        <f>Summary.Global!B22</f>
        <v>Belgium</v>
      </c>
      <c r="B22" s="569">
        <f>Summary.Global!Q22</f>
        <v>0.20903867288317007</v>
      </c>
      <c r="C22" s="569">
        <f>Summary.Global!R22</f>
        <v>0.214</v>
      </c>
      <c r="D22" s="569">
        <f t="shared" si="0"/>
        <v>4.9613271168299222E-3</v>
      </c>
      <c r="E22" s="570">
        <f t="shared" si="1"/>
        <v>2.3734015569467214E-2</v>
      </c>
    </row>
    <row r="23" spans="1:7">
      <c r="A23" t="str">
        <f>Summary.Global!B23</f>
        <v>Czech republic</v>
      </c>
      <c r="B23" s="569">
        <v>0.247</v>
      </c>
      <c r="C23" s="569">
        <f>Summary.Global!R23</f>
        <v>0.24640000000000001</v>
      </c>
      <c r="D23" s="569">
        <f t="shared" si="0"/>
        <v>-5.9999999999998943E-4</v>
      </c>
      <c r="E23" s="570">
        <f t="shared" si="1"/>
        <v>-2.4291497975708074E-3</v>
      </c>
    </row>
    <row r="24" spans="1:7">
      <c r="A24" t="str">
        <f>Summary.Global!B24</f>
        <v>Denmark</v>
      </c>
      <c r="B24" s="569">
        <f>Summary.Global!Q24</f>
        <v>0.20422753451319836</v>
      </c>
      <c r="C24" s="569">
        <v>0.20830000000000001</v>
      </c>
      <c r="D24" s="569">
        <f t="shared" si="0"/>
        <v>4.0724654868016519E-3</v>
      </c>
      <c r="E24" s="570">
        <f t="shared" si="1"/>
        <v>1.9940824808510164E-2</v>
      </c>
      <c r="F24" s="569">
        <v>0.20830000000000001</v>
      </c>
      <c r="G24" t="s">
        <v>1782</v>
      </c>
    </row>
    <row r="25" spans="1:7">
      <c r="A25" t="str">
        <f>Summary.Global!B25</f>
        <v>Estonia</v>
      </c>
      <c r="B25" s="569">
        <f>Summary.Global!Q25</f>
        <v>0.1085456853521439</v>
      </c>
      <c r="C25" s="569">
        <v>0.1578</v>
      </c>
      <c r="D25" s="569">
        <f t="shared" si="0"/>
        <v>4.9254314647856096E-2</v>
      </c>
      <c r="E25" s="570">
        <f t="shared" si="1"/>
        <v>0.453765752992072</v>
      </c>
      <c r="F25" s="569">
        <v>0.1578</v>
      </c>
      <c r="G25" t="s">
        <v>1783</v>
      </c>
    </row>
    <row r="26" spans="1:7">
      <c r="A26" t="str">
        <f>Summary.Global!B26</f>
        <v>Finland</v>
      </c>
      <c r="B26" s="569">
        <v>0.14199999999999999</v>
      </c>
      <c r="C26" s="569">
        <v>0.1489</v>
      </c>
      <c r="D26" s="569">
        <f t="shared" si="0"/>
        <v>6.9000000000000172E-3</v>
      </c>
      <c r="E26" s="570">
        <f t="shared" si="1"/>
        <v>4.8591549295774771E-2</v>
      </c>
    </row>
    <row r="27" spans="1:7">
      <c r="A27" t="str">
        <f>Summary.Global!B27</f>
        <v>Greece</v>
      </c>
      <c r="B27" s="569">
        <f>Summary.Global!Q27</f>
        <v>0.19442998579518758</v>
      </c>
      <c r="C27" s="569">
        <v>0.188</v>
      </c>
      <c r="D27" s="569">
        <f t="shared" si="0"/>
        <v>-6.4299857951875816E-3</v>
      </c>
      <c r="E27" s="570">
        <f t="shared" si="1"/>
        <v>-3.3070957490893019E-2</v>
      </c>
    </row>
    <row r="28" spans="1:7">
      <c r="A28" t="str">
        <f>Summary.Global!B28</f>
        <v>Iceland</v>
      </c>
      <c r="B28" s="569">
        <f>Summary.Global!Q28</f>
        <v>0.11765786855509389</v>
      </c>
      <c r="C28" s="569">
        <v>0.112</v>
      </c>
      <c r="D28" s="569">
        <f t="shared" si="0"/>
        <v>-5.657868555093884E-3</v>
      </c>
      <c r="E28" s="570">
        <f t="shared" si="1"/>
        <v>-4.8087464311361024E-2</v>
      </c>
    </row>
    <row r="29" spans="1:7">
      <c r="A29" t="str">
        <f>Summary.Global!B29</f>
        <v>Ireland</v>
      </c>
      <c r="B29" s="569">
        <v>0.14299999999999999</v>
      </c>
      <c r="C29" s="569">
        <v>0.125</v>
      </c>
      <c r="D29" s="569">
        <f t="shared" si="0"/>
        <v>-1.7999999999999988E-2</v>
      </c>
      <c r="E29" s="570">
        <f t="shared" si="1"/>
        <v>-0.1258741258741258</v>
      </c>
      <c r="F29" t="s">
        <v>1795</v>
      </c>
    </row>
    <row r="30" spans="1:7">
      <c r="A30" t="str">
        <f>Summary.Global!B30</f>
        <v>Israel</v>
      </c>
      <c r="B30" s="569">
        <f>Summary.Global!Q30</f>
        <v>0.16311979214838856</v>
      </c>
      <c r="C30" s="569">
        <v>0.1636</v>
      </c>
      <c r="D30" s="569">
        <f t="shared" si="0"/>
        <v>4.8020785161143054E-4</v>
      </c>
      <c r="E30" s="570">
        <f t="shared" si="1"/>
        <v>2.9438969072164457E-3</v>
      </c>
    </row>
    <row r="31" spans="1:7">
      <c r="A31" t="str">
        <f>Summary.Global!B31</f>
        <v>Latvia</v>
      </c>
      <c r="B31" s="569">
        <f>Summary.Global!Q31</f>
        <v>0.14379269897957542</v>
      </c>
      <c r="C31" s="569">
        <v>0.14410000000000001</v>
      </c>
      <c r="D31" s="569">
        <f t="shared" si="0"/>
        <v>3.0730102042458851E-4</v>
      </c>
      <c r="E31" s="570">
        <f t="shared" si="1"/>
        <v>2.1371114291987669E-3</v>
      </c>
    </row>
    <row r="32" spans="1:7">
      <c r="A32" t="str">
        <f>Summary.Global!B32</f>
        <v>Lithuania</v>
      </c>
      <c r="B32" s="569">
        <f>Summary.Global!Q32</f>
        <v>0.1219328484617246</v>
      </c>
      <c r="C32" s="569">
        <v>0.11700000000000001</v>
      </c>
      <c r="D32" s="569">
        <f t="shared" si="0"/>
        <v>-4.9328484617245927E-3</v>
      </c>
      <c r="E32" s="570">
        <f t="shared" si="1"/>
        <v>-4.0455451701130733E-2</v>
      </c>
    </row>
    <row r="33" spans="1:7">
      <c r="A33" t="str">
        <f>Summary.Global!B33</f>
        <v>Luxembourg</v>
      </c>
      <c r="B33" s="569">
        <v>0.109</v>
      </c>
      <c r="C33" s="569">
        <v>0.104</v>
      </c>
      <c r="D33" s="569">
        <f t="shared" si="0"/>
        <v>-5.0000000000000044E-3</v>
      </c>
      <c r="E33" s="570">
        <f t="shared" si="1"/>
        <v>-4.5871559633027567E-2</v>
      </c>
    </row>
    <row r="34" spans="1:7">
      <c r="A34" t="str">
        <f>Summary.Global!B34</f>
        <v>The Netherlands</v>
      </c>
      <c r="B34" s="569">
        <v>0.159</v>
      </c>
      <c r="C34" s="569">
        <v>0.15970000000000001</v>
      </c>
      <c r="D34" s="569">
        <f t="shared" si="0"/>
        <v>7.0000000000000617E-4</v>
      </c>
      <c r="E34" s="570">
        <f t="shared" si="1"/>
        <v>4.4025157232704792E-3</v>
      </c>
    </row>
    <row r="35" spans="1:7" s="571" customFormat="1">
      <c r="A35" s="571" t="str">
        <f>Summary.Global!B35</f>
        <v>New Zealand</v>
      </c>
      <c r="B35" s="572">
        <v>0.1535</v>
      </c>
      <c r="C35" s="572">
        <v>0.17</v>
      </c>
      <c r="D35" s="572">
        <f t="shared" si="0"/>
        <v>1.6500000000000015E-2</v>
      </c>
      <c r="E35" s="573">
        <f t="shared" si="1"/>
        <v>0.10749185667752453</v>
      </c>
      <c r="F35" s="571" t="s">
        <v>1789</v>
      </c>
      <c r="G35" s="571" t="s">
        <v>1790</v>
      </c>
    </row>
    <row r="36" spans="1:7">
      <c r="A36" t="str">
        <f>Summary.Global!B36</f>
        <v>Norway</v>
      </c>
      <c r="B36" s="569">
        <v>0.10199999999999999</v>
      </c>
      <c r="C36" s="569">
        <f>Summary.Global!R36</f>
        <v>9.8799999999999999E-2</v>
      </c>
      <c r="D36" s="569">
        <f t="shared" si="0"/>
        <v>-3.1999999999999945E-3</v>
      </c>
      <c r="E36" s="570">
        <f t="shared" si="1"/>
        <v>-3.1372549019607794E-2</v>
      </c>
    </row>
    <row r="37" spans="1:7">
      <c r="A37" t="str">
        <f>Summary.Global!B37</f>
        <v>Portugal</v>
      </c>
      <c r="B37" s="569">
        <f>Summary.Global!Q37</f>
        <v>0.12139873563666419</v>
      </c>
      <c r="C37" s="569">
        <v>0.14899999999999999</v>
      </c>
      <c r="D37" s="569">
        <f t="shared" si="0"/>
        <v>2.7601264363335806E-2</v>
      </c>
      <c r="E37" s="570">
        <f t="shared" si="1"/>
        <v>0.22736039398255334</v>
      </c>
      <c r="F37" s="569">
        <v>0.14899999999999999</v>
      </c>
      <c r="G37" t="s">
        <v>1791</v>
      </c>
    </row>
    <row r="38" spans="1:7">
      <c r="A38" t="str">
        <f>Summary.Global!B38</f>
        <v>Slovak Republic</v>
      </c>
      <c r="B38" s="569">
        <v>8.6999999999999994E-2</v>
      </c>
      <c r="C38" s="569">
        <v>0.11700000000000001</v>
      </c>
      <c r="D38" s="569">
        <f t="shared" si="0"/>
        <v>3.0000000000000013E-2</v>
      </c>
      <c r="E38" s="570">
        <f>(C38-B38)/B38</f>
        <v>0.34482758620689674</v>
      </c>
      <c r="F38" t="s">
        <v>1793</v>
      </c>
    </row>
    <row r="39" spans="1:7">
      <c r="A39" t="str">
        <f>Summary.Global!B39</f>
        <v>Slovenia</v>
      </c>
      <c r="B39" s="569">
        <f>Summary.Global!Q39</f>
        <v>0.17399102845536207</v>
      </c>
      <c r="C39" s="569">
        <f>Summary.Global!R39</f>
        <v>0.1769</v>
      </c>
      <c r="D39" s="569">
        <f t="shared" si="0"/>
        <v>2.9089715446379283E-3</v>
      </c>
      <c r="E39" s="570">
        <f t="shared" si="1"/>
        <v>1.6719089314333434E-2</v>
      </c>
    </row>
    <row r="40" spans="1:7">
      <c r="A40" t="str">
        <f>Summary.Global!B40</f>
        <v>Sweden</v>
      </c>
      <c r="B40" s="569">
        <v>0.1603</v>
      </c>
      <c r="C40" s="569">
        <v>0.13500000000000001</v>
      </c>
      <c r="D40" s="569">
        <f t="shared" si="0"/>
        <v>-2.5299999999999989E-2</v>
      </c>
      <c r="E40" s="570">
        <f t="shared" si="1"/>
        <v>-0.15782907049282588</v>
      </c>
      <c r="F40" t="s">
        <v>1794</v>
      </c>
    </row>
    <row r="41" spans="1:7">
      <c r="A41" t="str">
        <f>Summary.Global!B41</f>
        <v>Switzerland</v>
      </c>
      <c r="B41" s="569">
        <v>0.13700000000000001</v>
      </c>
      <c r="C41" s="569">
        <v>0.126</v>
      </c>
      <c r="D41" s="569">
        <f t="shared" si="0"/>
        <v>-1.100000000000001E-2</v>
      </c>
      <c r="E41" s="570">
        <f t="shared" si="1"/>
        <v>-8.0291970802919777E-2</v>
      </c>
      <c r="F41" t="s">
        <v>1788</v>
      </c>
    </row>
    <row r="42" spans="1:7">
      <c r="A42" t="str">
        <f>Summary.Global!B42</f>
        <v>Chile</v>
      </c>
      <c r="B42" s="569">
        <v>0.16930000000000001</v>
      </c>
      <c r="C42" s="569">
        <v>0.28799999999999998</v>
      </c>
      <c r="D42" s="569">
        <f t="shared" si="0"/>
        <v>0.11869999999999997</v>
      </c>
      <c r="E42" s="570">
        <f t="shared" si="1"/>
        <v>0.70112226816302403</v>
      </c>
      <c r="F42" s="569">
        <v>0.28799999999999998</v>
      </c>
      <c r="G42" s="137" t="s">
        <v>1785</v>
      </c>
    </row>
    <row r="43" spans="1:7">
      <c r="A43" t="str">
        <f>Summary.Global!B43</f>
        <v>Colombia</v>
      </c>
      <c r="B43" s="569">
        <v>9.6100000000000005E-2</v>
      </c>
      <c r="C43" s="569">
        <v>8.5000000000000006E-2</v>
      </c>
      <c r="D43" s="569">
        <f t="shared" si="0"/>
        <v>-1.1099999999999999E-2</v>
      </c>
      <c r="E43" s="570">
        <f t="shared" si="1"/>
        <v>-0.11550468262226846</v>
      </c>
      <c r="F43" t="s">
        <v>1787</v>
      </c>
      <c r="G43" s="137" t="s">
        <v>1786</v>
      </c>
    </row>
    <row r="44" spans="1:7">
      <c r="A44" t="str">
        <f>Summary.Global!B44</f>
        <v>Costa Rica</v>
      </c>
      <c r="B44" s="569">
        <f>Summary.Global!Q44</f>
        <v>1.5532172409408282E-2</v>
      </c>
      <c r="C44" s="569">
        <v>1.7600000000000001E-2</v>
      </c>
      <c r="D44" s="569">
        <f t="shared" si="0"/>
        <v>2.0678275905917191E-3</v>
      </c>
      <c r="E44" s="570">
        <f>(C44-B44)/B44</f>
        <v>0.13313189784960003</v>
      </c>
      <c r="F44" s="569" t="s">
        <v>1798</v>
      </c>
    </row>
    <row r="45" spans="1:7">
      <c r="A45" t="str">
        <f>Summary.Global!B45</f>
        <v>Hungary</v>
      </c>
      <c r="B45" s="569">
        <f>Summary.Global!Q45</f>
        <v>0.16392115594770715</v>
      </c>
      <c r="C45" s="569">
        <f>Summary.Global!R45</f>
        <v>0.15590000000000001</v>
      </c>
      <c r="D45" s="569">
        <f t="shared" si="0"/>
        <v>-8.021155947707137E-3</v>
      </c>
      <c r="E45" s="570">
        <f t="shared" si="1"/>
        <v>-4.8933012345679067E-2</v>
      </c>
    </row>
    <row r="46" spans="1:7">
      <c r="A46" t="str">
        <f>Summary.Global!B46</f>
        <v>Poland</v>
      </c>
      <c r="B46" s="569">
        <v>0.1153</v>
      </c>
      <c r="C46" s="569">
        <v>0.1143</v>
      </c>
      <c r="D46" s="569">
        <f t="shared" si="0"/>
        <v>-1.0000000000000009E-3</v>
      </c>
      <c r="E46" s="570">
        <f t="shared" si="1"/>
        <v>-8.6730268863833559E-3</v>
      </c>
    </row>
  </sheetData>
  <conditionalFormatting sqref="D9:D46">
    <cfRule type="cellIs" dxfId="3" priority="3" operator="greaterThan">
      <formula>0.02</formula>
    </cfRule>
    <cfRule type="cellIs" dxfId="2" priority="4" operator="lessThan">
      <formula>-0.02</formula>
    </cfRule>
  </conditionalFormatting>
  <conditionalFormatting sqref="E9:E24 E26:E34 E36 E39:E41 E43 E45:E46">
    <cfRule type="cellIs" dxfId="1" priority="1" operator="lessThan">
      <formula>-5</formula>
    </cfRule>
    <cfRule type="cellIs" dxfId="0" priority="2" operator="greaterThan">
      <formula>0.05</formula>
    </cfRule>
  </conditionalFormatting>
  <hyperlinks>
    <hyperlink ref="G42" r:id="rId1" display="https://bibliotecadigital.findeter.metabiblioteca.com/entities/publication/60a2cbf5-cd66-43ac-83dc-d977dd10037f/full" xr:uid="{C9CC2BDA-C30A-406C-9C5E-D86DA7520B7C}"/>
    <hyperlink ref="G43" r:id="rId2" display="https://www.bancoldex.com/sites/default/files/bancoldex_estados_financieros_separados_2021-2020_0.pdf" xr:uid="{25042997-0050-49C5-B5E9-80A5DDB926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CAD2-21DA-4E2C-8190-993582B7F51A}">
  <sheetPr filterMode="1">
    <tabColor rgb="FFFF0000"/>
    <pageSetUpPr fitToPage="1"/>
  </sheetPr>
  <dimension ref="A2:AE204"/>
  <sheetViews>
    <sheetView view="pageBreakPreview" zoomScale="65" zoomScaleNormal="100" zoomScaleSheetLayoutView="103" workbookViewId="0">
      <pane ySplit="5" topLeftCell="A27" activePane="bottomLeft" state="frozen"/>
      <selection activeCell="L18" sqref="L18"/>
      <selection pane="bottomLeft" activeCell="H27" sqref="H27"/>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8.1796875" style="33" customWidth="1"/>
    <col min="9" max="9" width="42" style="3" customWidth="1"/>
    <col min="10" max="10" width="9.54296875" style="3" bestFit="1" customWidth="1"/>
    <col min="11" max="11" width="127"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9.26953125" style="6" customWidth="1"/>
    <col min="25" max="25" width="41.90625" style="6"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hidden="1" customHeight="1" outlineLevel="1">
      <c r="A3" s="198"/>
      <c r="C3" s="627"/>
      <c r="D3" s="627"/>
      <c r="E3" s="627"/>
      <c r="F3" s="627"/>
      <c r="G3" s="627"/>
      <c r="H3" s="627"/>
      <c r="I3" s="627"/>
      <c r="J3" s="627"/>
      <c r="K3" s="627"/>
      <c r="L3" s="627"/>
      <c r="M3" s="627"/>
      <c r="N3" s="627"/>
      <c r="O3" s="627"/>
      <c r="P3" s="627"/>
      <c r="Q3" s="627"/>
      <c r="R3" s="627"/>
      <c r="S3" s="627"/>
      <c r="T3" s="627"/>
      <c r="U3" s="627"/>
      <c r="V3" s="627"/>
      <c r="W3" s="627"/>
      <c r="X3" s="627"/>
    </row>
    <row r="4" spans="1:30" ht="13" customHeight="1" collapsed="1">
      <c r="A4" s="14"/>
      <c r="B4" s="14"/>
      <c r="C4" s="327"/>
      <c r="D4" s="327"/>
      <c r="F4" s="327"/>
      <c r="G4" s="329"/>
      <c r="H4" s="613" t="s">
        <v>592</v>
      </c>
      <c r="I4" s="613"/>
      <c r="J4" s="613"/>
      <c r="K4" s="613"/>
      <c r="L4" s="613"/>
      <c r="M4" s="613"/>
      <c r="O4" s="327"/>
      <c r="P4" s="330"/>
      <c r="Q4" s="574" t="s">
        <v>593</v>
      </c>
      <c r="R4" s="574"/>
      <c r="T4" s="574" t="s">
        <v>594</v>
      </c>
      <c r="U4" s="574"/>
      <c r="V4" s="574"/>
      <c r="W4" s="574"/>
      <c r="X4" s="574"/>
      <c r="Y4" s="45" t="s">
        <v>60</v>
      </c>
      <c r="AA4" s="44" t="s">
        <v>43</v>
      </c>
    </row>
    <row r="5" spans="1:30" s="5" customFormat="1" ht="68" customHeight="1">
      <c r="A5" s="52" t="s">
        <v>860</v>
      </c>
      <c r="B5" s="36" t="s">
        <v>859</v>
      </c>
      <c r="C5" s="323" t="s">
        <v>1665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54.5" hidden="1" customHeight="1">
      <c r="A6" s="641">
        <v>1</v>
      </c>
      <c r="B6" s="638" t="s">
        <v>858</v>
      </c>
      <c r="C6" s="631" t="s">
        <v>0</v>
      </c>
      <c r="D6" s="628" t="s">
        <v>570</v>
      </c>
      <c r="F6" s="32" t="s">
        <v>115</v>
      </c>
      <c r="G6" s="95">
        <v>361.7</v>
      </c>
      <c r="H6" s="69">
        <v>20</v>
      </c>
      <c r="I6" s="634" t="s">
        <v>1506</v>
      </c>
      <c r="J6" s="98">
        <v>341.7</v>
      </c>
      <c r="K6" s="634" t="s">
        <v>1562</v>
      </c>
      <c r="L6" s="269"/>
      <c r="M6" s="578"/>
      <c r="O6" s="32" t="s">
        <v>115</v>
      </c>
      <c r="P6" s="81">
        <v>35</v>
      </c>
      <c r="Q6" s="166">
        <v>15</v>
      </c>
      <c r="R6" s="575" t="s">
        <v>1256</v>
      </c>
      <c r="T6" s="32" t="s">
        <v>115</v>
      </c>
      <c r="U6" s="95">
        <v>20</v>
      </c>
      <c r="V6" s="581" t="s">
        <v>1507</v>
      </c>
      <c r="W6" s="28"/>
      <c r="X6" s="28"/>
      <c r="Y6" s="576" t="s">
        <v>62</v>
      </c>
      <c r="AA6" s="617" t="s">
        <v>61</v>
      </c>
      <c r="AD6" s="33" t="str">
        <f>C6&amp;F6</f>
        <v>AustraliaLC bn</v>
      </c>
    </row>
    <row r="7" spans="1:30" ht="107.25" hidden="1" customHeight="1">
      <c r="A7" s="638"/>
      <c r="B7" s="638"/>
      <c r="C7" s="632"/>
      <c r="D7" s="629"/>
      <c r="F7" s="32" t="s">
        <v>116</v>
      </c>
      <c r="G7" s="81">
        <v>249.72579708899613</v>
      </c>
      <c r="H7" s="69">
        <v>13.808448829914081</v>
      </c>
      <c r="I7" s="582"/>
      <c r="J7" s="81">
        <v>235.91734825908208</v>
      </c>
      <c r="K7" s="582"/>
      <c r="L7" s="186"/>
      <c r="M7" s="579"/>
      <c r="O7" s="32" t="s">
        <v>116</v>
      </c>
      <c r="P7" s="254">
        <v>24.164785452349641</v>
      </c>
      <c r="Q7" s="254">
        <v>10.356336622435562</v>
      </c>
      <c r="R7" s="576"/>
      <c r="T7" s="32" t="s">
        <v>116</v>
      </c>
      <c r="U7" s="185">
        <v>13.808448829914079</v>
      </c>
      <c r="V7" s="582"/>
      <c r="W7" s="28"/>
      <c r="X7" s="28"/>
      <c r="Y7" s="576"/>
      <c r="AA7" s="617"/>
      <c r="AD7" s="33" t="str">
        <f>C6&amp;F7</f>
        <v>AustraliaUSD bn</v>
      </c>
    </row>
    <row r="8" spans="1:30" ht="118.5" hidden="1" customHeight="1">
      <c r="A8" s="638"/>
      <c r="B8" s="638"/>
      <c r="C8" s="633"/>
      <c r="D8" s="630"/>
      <c r="E8" s="1"/>
      <c r="F8" s="31" t="s">
        <v>117</v>
      </c>
      <c r="G8" s="17">
        <v>18.370673152863606</v>
      </c>
      <c r="H8" s="17">
        <v>1.0157961378415044</v>
      </c>
      <c r="I8" s="583"/>
      <c r="J8" s="17">
        <v>17.354877015022101</v>
      </c>
      <c r="K8" s="583"/>
      <c r="L8" s="187"/>
      <c r="M8" s="580"/>
      <c r="N8" s="1"/>
      <c r="O8" s="31" t="s">
        <v>117</v>
      </c>
      <c r="P8" s="121">
        <v>1.7776432412226328</v>
      </c>
      <c r="Q8" s="168">
        <v>0.76184710338112827</v>
      </c>
      <c r="R8" s="577"/>
      <c r="S8" s="1"/>
      <c r="T8" s="31" t="s">
        <v>117</v>
      </c>
      <c r="U8" s="64">
        <v>1.0157961378415044</v>
      </c>
      <c r="V8" s="583"/>
      <c r="W8" s="19"/>
      <c r="X8" s="19"/>
      <c r="Y8" s="577"/>
      <c r="Z8" s="1"/>
      <c r="AA8" s="618"/>
      <c r="AD8" s="33" t="str">
        <f>C6&amp;F8</f>
        <v>Australia% GDP</v>
      </c>
    </row>
    <row r="9" spans="1:30" ht="51.75" hidden="1" customHeight="1">
      <c r="A9" s="638">
        <v>1</v>
      </c>
      <c r="B9" s="638" t="s">
        <v>858</v>
      </c>
      <c r="C9" s="631" t="s">
        <v>1</v>
      </c>
      <c r="D9" s="629" t="s">
        <v>571</v>
      </c>
      <c r="E9" s="16"/>
      <c r="F9" s="37" t="s">
        <v>115</v>
      </c>
      <c r="G9" s="80">
        <v>351.09999999999997</v>
      </c>
      <c r="H9" s="80">
        <v>61.2</v>
      </c>
      <c r="I9" s="600" t="s">
        <v>1613</v>
      </c>
      <c r="J9" s="80">
        <v>289.89999999999998</v>
      </c>
      <c r="K9" s="575" t="s">
        <v>1556</v>
      </c>
      <c r="L9" s="80">
        <v>85.1</v>
      </c>
      <c r="M9" s="575" t="s">
        <v>1614</v>
      </c>
      <c r="N9" s="16"/>
      <c r="O9" s="37" t="s">
        <v>115</v>
      </c>
      <c r="P9" s="264">
        <v>87.100000000000009</v>
      </c>
      <c r="Q9" s="169">
        <v>5.2</v>
      </c>
      <c r="R9" s="575" t="s">
        <v>1615</v>
      </c>
      <c r="S9" s="16"/>
      <c r="T9" s="37" t="s">
        <v>115</v>
      </c>
      <c r="U9" s="49">
        <v>81.900000000000006</v>
      </c>
      <c r="V9" s="575" t="s">
        <v>1412</v>
      </c>
      <c r="W9" s="18"/>
      <c r="X9" s="18"/>
      <c r="Y9" s="18"/>
      <c r="Z9" s="15"/>
      <c r="AA9" s="25" t="s">
        <v>63</v>
      </c>
      <c r="AB9" s="596" t="s">
        <v>213</v>
      </c>
      <c r="AD9" s="33" t="str">
        <f>C9&amp;F9</f>
        <v>CanadaLC bn</v>
      </c>
    </row>
    <row r="10" spans="1:30" ht="62.25" hidden="1" customHeight="1">
      <c r="A10" s="638"/>
      <c r="B10" s="638"/>
      <c r="C10" s="632"/>
      <c r="D10" s="629"/>
      <c r="E10" s="6"/>
      <c r="F10" s="32" t="s">
        <v>116</v>
      </c>
      <c r="G10" s="81">
        <v>261.78973301959445</v>
      </c>
      <c r="H10" s="69">
        <v>45.632388666474455</v>
      </c>
      <c r="I10" s="601"/>
      <c r="J10" s="81">
        <v>216.15734435311998</v>
      </c>
      <c r="K10" s="576"/>
      <c r="L10" s="81">
        <v>68.027303732528338</v>
      </c>
      <c r="M10" s="576"/>
      <c r="N10" s="6"/>
      <c r="O10" s="32" t="s">
        <v>116</v>
      </c>
      <c r="P10" s="265">
        <v>64.944134850488979</v>
      </c>
      <c r="Q10" s="254">
        <v>3.8772617821187447</v>
      </c>
      <c r="R10" s="576"/>
      <c r="S10" s="6"/>
      <c r="T10" s="32" t="s">
        <v>116</v>
      </c>
      <c r="U10" s="254">
        <v>61.066873068370228</v>
      </c>
      <c r="V10" s="576"/>
      <c r="W10" s="28"/>
      <c r="X10" s="28"/>
      <c r="Y10" s="28"/>
      <c r="AA10" s="27"/>
      <c r="AB10" s="597"/>
      <c r="AD10" s="33" t="str">
        <f>C9&amp;F10</f>
        <v>CanadaUSD bn</v>
      </c>
    </row>
    <row r="11" spans="1:30" ht="120.75" hidden="1" customHeight="1">
      <c r="A11" s="638"/>
      <c r="B11" s="638"/>
      <c r="C11" s="633"/>
      <c r="D11" s="630"/>
      <c r="E11" s="12"/>
      <c r="F11" s="31" t="s">
        <v>117</v>
      </c>
      <c r="G11" s="17">
        <v>15.923588544631171</v>
      </c>
      <c r="H11" s="17">
        <v>2.77562978903853</v>
      </c>
      <c r="I11" s="602"/>
      <c r="J11" s="17">
        <v>13.147958755592642</v>
      </c>
      <c r="K11" s="577"/>
      <c r="L11" s="17">
        <v>3.8595767164571715</v>
      </c>
      <c r="M11" s="577"/>
      <c r="N11" s="12"/>
      <c r="O11" s="31" t="s">
        <v>117</v>
      </c>
      <c r="P11" s="267">
        <v>3.9502835723081042</v>
      </c>
      <c r="Q11" s="168">
        <v>0.23583782521242411</v>
      </c>
      <c r="R11" s="577"/>
      <c r="S11" s="12"/>
      <c r="T11" s="31" t="s">
        <v>117</v>
      </c>
      <c r="U11" s="168">
        <v>3.71444574709568</v>
      </c>
      <c r="V11" s="577"/>
      <c r="W11" s="19"/>
      <c r="X11" s="19"/>
      <c r="Y11" s="19"/>
      <c r="Z11" s="1"/>
      <c r="AA11" s="26"/>
      <c r="AB11" s="597"/>
      <c r="AD11" s="33" t="str">
        <f>C9&amp;F11</f>
        <v>Canada% GDP</v>
      </c>
    </row>
    <row r="12" spans="1:30" ht="169.5" hidden="1" customHeight="1">
      <c r="A12" s="638" t="s">
        <v>84</v>
      </c>
      <c r="B12" s="638" t="s">
        <v>84</v>
      </c>
      <c r="C12" s="631" t="s">
        <v>430</v>
      </c>
      <c r="D12" s="629"/>
      <c r="E12" s="16"/>
      <c r="F12" s="32" t="s">
        <v>115</v>
      </c>
      <c r="G12" s="80">
        <v>427.85</v>
      </c>
      <c r="H12" s="49">
        <v>0.05</v>
      </c>
      <c r="I12" s="600" t="s">
        <v>1257</v>
      </c>
      <c r="J12" s="80">
        <v>427.8</v>
      </c>
      <c r="K12" s="575" t="s">
        <v>1616</v>
      </c>
      <c r="L12" s="18"/>
      <c r="M12" s="18"/>
      <c r="N12" s="16"/>
      <c r="O12" s="32" t="s">
        <v>115</v>
      </c>
      <c r="P12" s="264">
        <v>765</v>
      </c>
      <c r="Q12" s="171">
        <v>700</v>
      </c>
      <c r="R12" s="581" t="s">
        <v>1617</v>
      </c>
      <c r="S12" s="16"/>
      <c r="T12" s="32" t="s">
        <v>115</v>
      </c>
      <c r="U12" s="80">
        <v>65</v>
      </c>
      <c r="V12" s="575" t="s">
        <v>1427</v>
      </c>
      <c r="W12" s="18"/>
      <c r="X12" s="18"/>
      <c r="Y12" s="575" t="s">
        <v>74</v>
      </c>
      <c r="Z12" s="15"/>
      <c r="AA12" s="22"/>
      <c r="AD12" s="33" t="str">
        <f>C12&amp;F12</f>
        <v>European UnionLC bn</v>
      </c>
    </row>
    <row r="13" spans="1:30" ht="138" hidden="1" customHeight="1">
      <c r="A13" s="638"/>
      <c r="B13" s="638"/>
      <c r="C13" s="632"/>
      <c r="D13" s="629"/>
      <c r="E13" s="6"/>
      <c r="F13" s="32" t="s">
        <v>116</v>
      </c>
      <c r="G13" s="81">
        <v>488.29744352478542</v>
      </c>
      <c r="H13" s="69">
        <v>5.706409296772063E-2</v>
      </c>
      <c r="I13" s="601"/>
      <c r="J13" s="81">
        <v>488.2403794318177</v>
      </c>
      <c r="K13" s="576"/>
      <c r="L13" s="28"/>
      <c r="M13" s="28"/>
      <c r="N13" s="6"/>
      <c r="O13" s="32" t="s">
        <v>116</v>
      </c>
      <c r="P13" s="265">
        <v>873.0806224061256</v>
      </c>
      <c r="Q13" s="81">
        <v>798.89730154808876</v>
      </c>
      <c r="R13" s="582"/>
      <c r="S13" s="6"/>
      <c r="T13" s="32" t="s">
        <v>116</v>
      </c>
      <c r="U13" s="81">
        <v>74.183320858036808</v>
      </c>
      <c r="V13" s="576"/>
      <c r="W13" s="28"/>
      <c r="X13" s="28"/>
      <c r="Y13" s="576"/>
      <c r="AA13" s="27"/>
      <c r="AD13" s="33" t="str">
        <f>C12&amp;F13</f>
        <v>European UnionUSD bn</v>
      </c>
    </row>
    <row r="14" spans="1:30" ht="188.25" hidden="1" customHeight="1">
      <c r="A14" s="638"/>
      <c r="B14" s="638"/>
      <c r="C14" s="633"/>
      <c r="D14" s="630"/>
      <c r="E14" s="12"/>
      <c r="F14" s="31" t="s">
        <v>117</v>
      </c>
      <c r="G14" s="17">
        <v>3.7559632555567588</v>
      </c>
      <c r="H14" s="17">
        <v>4.3893458636867576E-4</v>
      </c>
      <c r="I14" s="602"/>
      <c r="J14" s="17">
        <v>3.7555243209703901</v>
      </c>
      <c r="K14" s="577"/>
      <c r="L14" s="19"/>
      <c r="M14" s="19"/>
      <c r="N14" s="12"/>
      <c r="O14" s="31" t="s">
        <v>117</v>
      </c>
      <c r="P14" s="267">
        <v>6.7156991714407397</v>
      </c>
      <c r="Q14" s="17">
        <v>6.1450842091614613</v>
      </c>
      <c r="R14" s="583"/>
      <c r="S14" s="12"/>
      <c r="T14" s="31" t="s">
        <v>117</v>
      </c>
      <c r="U14" s="17">
        <v>0.57061496227927855</v>
      </c>
      <c r="V14" s="577"/>
      <c r="W14" s="19"/>
      <c r="X14" s="19"/>
      <c r="Y14" s="577"/>
      <c r="Z14" s="1"/>
      <c r="AA14" s="26"/>
      <c r="AD14" s="33" t="str">
        <f>C12&amp;F14</f>
        <v>European Union% GDP</v>
      </c>
    </row>
    <row r="15" spans="1:30" ht="91.5" hidden="1" customHeight="1">
      <c r="A15" s="638">
        <v>1</v>
      </c>
      <c r="B15" s="638" t="s">
        <v>858</v>
      </c>
      <c r="C15" s="632" t="s">
        <v>2</v>
      </c>
      <c r="D15" s="629" t="s">
        <v>570</v>
      </c>
      <c r="E15" s="16"/>
      <c r="F15" s="32" t="s">
        <v>115</v>
      </c>
      <c r="G15" s="80">
        <v>221.9</v>
      </c>
      <c r="H15" s="80">
        <v>33.9</v>
      </c>
      <c r="I15" s="575" t="s">
        <v>1618</v>
      </c>
      <c r="J15" s="93">
        <v>188</v>
      </c>
      <c r="K15" s="581" t="s">
        <v>1619</v>
      </c>
      <c r="L15" s="93">
        <v>69.5</v>
      </c>
      <c r="M15" s="581" t="s">
        <v>1496</v>
      </c>
      <c r="N15" s="16"/>
      <c r="O15" s="32" t="s">
        <v>115</v>
      </c>
      <c r="P15" s="264">
        <v>350.3</v>
      </c>
      <c r="Q15" s="171">
        <v>15.8</v>
      </c>
      <c r="R15" s="575" t="s">
        <v>1558</v>
      </c>
      <c r="S15" s="16"/>
      <c r="T15" s="32" t="s">
        <v>115</v>
      </c>
      <c r="U15" s="80">
        <v>334.5</v>
      </c>
      <c r="V15" s="575" t="s">
        <v>1497</v>
      </c>
      <c r="W15" s="18"/>
      <c r="X15" s="18"/>
      <c r="Y15" s="18" t="s">
        <v>214</v>
      </c>
      <c r="Z15" s="15"/>
      <c r="AA15" s="25" t="s">
        <v>64</v>
      </c>
      <c r="AD15" s="33" t="str">
        <f>C15&amp;F15</f>
        <v>FranceLC bn</v>
      </c>
    </row>
    <row r="16" spans="1:30" ht="72.75" hidden="1" customHeight="1">
      <c r="A16" s="638"/>
      <c r="B16" s="638"/>
      <c r="C16" s="632"/>
      <c r="D16" s="629"/>
      <c r="E16" s="6"/>
      <c r="F16" s="32" t="s">
        <v>116</v>
      </c>
      <c r="G16" s="81">
        <v>252.88463784604201</v>
      </c>
      <c r="H16" s="81">
        <v>38.633570180174964</v>
      </c>
      <c r="I16" s="576"/>
      <c r="J16" s="69">
        <v>214.25106766586705</v>
      </c>
      <c r="K16" s="582"/>
      <c r="L16" s="69">
        <v>79.204517036051911</v>
      </c>
      <c r="M16" s="582"/>
      <c r="N16" s="6"/>
      <c r="O16" s="32" t="s">
        <v>116</v>
      </c>
      <c r="P16" s="265">
        <v>399.21355852847461</v>
      </c>
      <c r="Q16" s="69">
        <v>18.006206750642018</v>
      </c>
      <c r="R16" s="576"/>
      <c r="S16" s="6"/>
      <c r="T16" s="32" t="s">
        <v>116</v>
      </c>
      <c r="U16" s="69">
        <v>381.20735177783257</v>
      </c>
      <c r="V16" s="576"/>
      <c r="W16" s="28"/>
      <c r="X16" s="28"/>
      <c r="Y16" s="28"/>
      <c r="AA16" s="27"/>
      <c r="AD16" s="33" t="str">
        <f>C15&amp;F16</f>
        <v>FranceUSD bn</v>
      </c>
    </row>
    <row r="17" spans="1:30" s="2" customFormat="1" ht="33" hidden="1" customHeight="1">
      <c r="A17" s="638"/>
      <c r="B17" s="638"/>
      <c r="C17" s="633"/>
      <c r="D17" s="630"/>
      <c r="E17" s="12"/>
      <c r="F17" s="31" t="s">
        <v>117</v>
      </c>
      <c r="G17" s="17">
        <v>9.6358441242628725</v>
      </c>
      <c r="H17" s="17">
        <v>1.4720825408405198</v>
      </c>
      <c r="I17" s="577"/>
      <c r="J17" s="17">
        <v>8.1637615834223514</v>
      </c>
      <c r="K17" s="583"/>
      <c r="L17" s="17">
        <v>3.017986330041774</v>
      </c>
      <c r="M17" s="583"/>
      <c r="N17" s="12"/>
      <c r="O17" s="31" t="s">
        <v>117</v>
      </c>
      <c r="P17" s="267">
        <v>15.211519588685375</v>
      </c>
      <c r="Q17" s="17">
        <v>0.68610336711741049</v>
      </c>
      <c r="R17" s="577"/>
      <c r="S17" s="12"/>
      <c r="T17" s="31" t="s">
        <v>117</v>
      </c>
      <c r="U17" s="17">
        <v>14.525416221567964</v>
      </c>
      <c r="V17" s="577"/>
      <c r="W17" s="19"/>
      <c r="X17" s="19"/>
      <c r="Y17" s="19"/>
      <c r="Z17" s="1"/>
      <c r="AA17" s="26"/>
      <c r="AD17" s="33" t="str">
        <f>C15&amp;F17</f>
        <v>France% GDP</v>
      </c>
    </row>
    <row r="18" spans="1:30" s="143" customFormat="1" ht="52.5" hidden="1" customHeight="1">
      <c r="A18" s="638">
        <v>1</v>
      </c>
      <c r="B18" s="638" t="s">
        <v>858</v>
      </c>
      <c r="C18" s="632" t="s">
        <v>3</v>
      </c>
      <c r="D18" s="643" t="s">
        <v>570</v>
      </c>
      <c r="E18" s="16"/>
      <c r="F18" s="37" t="s">
        <v>115</v>
      </c>
      <c r="G18" s="80">
        <v>516</v>
      </c>
      <c r="H18" s="80">
        <v>61</v>
      </c>
      <c r="I18" s="600" t="s">
        <v>1545</v>
      </c>
      <c r="J18" s="80">
        <v>455</v>
      </c>
      <c r="K18" s="575" t="s">
        <v>1620</v>
      </c>
      <c r="L18" s="74"/>
      <c r="M18" s="575" t="s">
        <v>357</v>
      </c>
      <c r="N18" s="16"/>
      <c r="O18" s="37" t="s">
        <v>115</v>
      </c>
      <c r="P18" s="128">
        <v>927</v>
      </c>
      <c r="Q18" s="171">
        <v>100</v>
      </c>
      <c r="R18" s="575" t="s">
        <v>289</v>
      </c>
      <c r="S18" s="16"/>
      <c r="T18" s="37" t="s">
        <v>115</v>
      </c>
      <c r="U18" s="80">
        <v>827</v>
      </c>
      <c r="V18" s="575" t="s">
        <v>1555</v>
      </c>
      <c r="W18" s="18"/>
      <c r="X18" s="18"/>
      <c r="Y18" s="575" t="s">
        <v>65</v>
      </c>
      <c r="Z18" s="15"/>
      <c r="AA18" s="605" t="s">
        <v>67</v>
      </c>
      <c r="AD18" s="33" t="str">
        <f>C18&amp;F18</f>
        <v>GermanyLC bn</v>
      </c>
    </row>
    <row r="19" spans="1:30" ht="54.65" hidden="1" customHeight="1">
      <c r="A19" s="638"/>
      <c r="B19" s="638"/>
      <c r="C19" s="632"/>
      <c r="D19" s="643"/>
      <c r="E19" s="6"/>
      <c r="F19" s="32" t="s">
        <v>116</v>
      </c>
      <c r="G19" s="81">
        <v>588.90143942687689</v>
      </c>
      <c r="H19" s="81">
        <v>69.618193420619164</v>
      </c>
      <c r="I19" s="601"/>
      <c r="J19" s="81">
        <v>519.28324600625774</v>
      </c>
      <c r="K19" s="576"/>
      <c r="L19" s="247"/>
      <c r="M19" s="576"/>
      <c r="N19" s="6"/>
      <c r="O19" s="32" t="s">
        <v>116</v>
      </c>
      <c r="P19" s="161">
        <v>1057.9682836215404</v>
      </c>
      <c r="Q19" s="167">
        <v>114.12818593544125</v>
      </c>
      <c r="R19" s="576"/>
      <c r="S19" s="6"/>
      <c r="T19" s="32" t="s">
        <v>116</v>
      </c>
      <c r="U19" s="81">
        <v>943.84009768609917</v>
      </c>
      <c r="V19" s="576"/>
      <c r="W19" s="28"/>
      <c r="X19" s="28"/>
      <c r="Y19" s="576"/>
      <c r="AA19" s="606"/>
      <c r="AD19" s="33" t="str">
        <f>C18&amp;F19</f>
        <v>GermanyUSD bn</v>
      </c>
    </row>
    <row r="20" spans="1:30" ht="87.65" hidden="1" customHeight="1">
      <c r="A20" s="638"/>
      <c r="B20" s="638"/>
      <c r="C20" s="633"/>
      <c r="D20" s="644"/>
      <c r="E20" s="12"/>
      <c r="F20" s="31" t="s">
        <v>117</v>
      </c>
      <c r="G20" s="17">
        <v>15.322666856715248</v>
      </c>
      <c r="H20" s="17">
        <v>1.8114005392628492</v>
      </c>
      <c r="I20" s="602"/>
      <c r="J20" s="17">
        <v>13.638352846668944</v>
      </c>
      <c r="K20" s="577"/>
      <c r="L20" s="246"/>
      <c r="M20" s="577"/>
      <c r="N20" s="12"/>
      <c r="O20" s="31" t="s">
        <v>117</v>
      </c>
      <c r="P20" s="267">
        <v>27.786270524971673</v>
      </c>
      <c r="Q20" s="168">
        <v>2.9974401860810866</v>
      </c>
      <c r="R20" s="577"/>
      <c r="S20" s="12"/>
      <c r="T20" s="31" t="s">
        <v>117</v>
      </c>
      <c r="U20" s="17">
        <v>24.788830338890588</v>
      </c>
      <c r="V20" s="577"/>
      <c r="W20" s="19"/>
      <c r="X20" s="19"/>
      <c r="Y20" s="577"/>
      <c r="Z20" s="1"/>
      <c r="AA20" s="607"/>
      <c r="AD20" s="33" t="str">
        <f>C18&amp;F20</f>
        <v>Germany% GDP</v>
      </c>
    </row>
    <row r="21" spans="1:30" ht="189.5" hidden="1" customHeight="1">
      <c r="A21" s="638">
        <v>1</v>
      </c>
      <c r="B21" s="638" t="s">
        <v>858</v>
      </c>
      <c r="C21" s="632" t="s">
        <v>4</v>
      </c>
      <c r="D21" s="629" t="s">
        <v>570</v>
      </c>
      <c r="E21" s="16"/>
      <c r="F21" s="32" t="s">
        <v>115</v>
      </c>
      <c r="G21" s="80">
        <v>180</v>
      </c>
      <c r="H21" s="49">
        <v>20</v>
      </c>
      <c r="I21" s="600" t="s">
        <v>1498</v>
      </c>
      <c r="J21" s="80">
        <v>160</v>
      </c>
      <c r="K21" s="581" t="s">
        <v>1504</v>
      </c>
      <c r="L21" s="49">
        <v>7</v>
      </c>
      <c r="M21" s="581" t="s">
        <v>1326</v>
      </c>
      <c r="N21" s="16"/>
      <c r="O21" s="32" t="s">
        <v>115</v>
      </c>
      <c r="P21" s="80">
        <v>582.25</v>
      </c>
      <c r="Q21" s="169">
        <v>3.25</v>
      </c>
      <c r="R21" s="581" t="s">
        <v>604</v>
      </c>
      <c r="S21" s="16"/>
      <c r="T21" s="32" t="s">
        <v>115</v>
      </c>
      <c r="U21" s="80">
        <v>579</v>
      </c>
      <c r="V21" s="581" t="s">
        <v>1503</v>
      </c>
      <c r="W21" s="140"/>
      <c r="X21" s="581"/>
      <c r="Y21" s="575" t="s">
        <v>216</v>
      </c>
      <c r="Z21" s="15"/>
      <c r="AA21" s="25" t="s">
        <v>66</v>
      </c>
      <c r="AD21" s="33" t="str">
        <f>C21&amp;F21</f>
        <v>ItalyLC bn</v>
      </c>
    </row>
    <row r="22" spans="1:30" ht="41.25" hidden="1" customHeight="1">
      <c r="A22" s="638"/>
      <c r="B22" s="638"/>
      <c r="C22" s="632"/>
      <c r="D22" s="629"/>
      <c r="E22" s="6"/>
      <c r="F22" s="32" t="s">
        <v>116</v>
      </c>
      <c r="G22" s="81">
        <v>205.43073468379424</v>
      </c>
      <c r="H22" s="69">
        <v>22.825637187088251</v>
      </c>
      <c r="I22" s="601"/>
      <c r="J22" s="81">
        <v>182.60509749670601</v>
      </c>
      <c r="K22" s="582"/>
      <c r="L22" s="69">
        <v>7.9889730154808873</v>
      </c>
      <c r="M22" s="582"/>
      <c r="N22" s="6"/>
      <c r="O22" s="32" t="s">
        <v>116</v>
      </c>
      <c r="P22" s="81">
        <v>664.51136260910664</v>
      </c>
      <c r="Q22" s="69">
        <v>3.7091660429018405</v>
      </c>
      <c r="R22" s="582"/>
      <c r="S22" s="6"/>
      <c r="T22" s="32" t="s">
        <v>116</v>
      </c>
      <c r="U22" s="81">
        <v>660.80219656620488</v>
      </c>
      <c r="V22" s="582"/>
      <c r="W22" s="81"/>
      <c r="X22" s="582"/>
      <c r="Y22" s="576"/>
      <c r="AA22" s="136" t="s">
        <v>186</v>
      </c>
      <c r="AD22" s="33" t="str">
        <f>C21&amp;F22</f>
        <v>ItalyUSD bn</v>
      </c>
    </row>
    <row r="23" spans="1:30" ht="63.75" hidden="1" customHeight="1">
      <c r="A23" s="638"/>
      <c r="B23" s="638"/>
      <c r="C23" s="633"/>
      <c r="D23" s="630"/>
      <c r="E23" s="12"/>
      <c r="F23" s="31" t="s">
        <v>117</v>
      </c>
      <c r="G23" s="17">
        <v>10.898555638640223</v>
      </c>
      <c r="H23" s="17">
        <v>1.2109506265155805</v>
      </c>
      <c r="I23" s="602"/>
      <c r="J23" s="17">
        <v>9.687605012124644</v>
      </c>
      <c r="K23" s="583"/>
      <c r="L23" s="17">
        <v>0.42383271928045313</v>
      </c>
      <c r="M23" s="583"/>
      <c r="N23" s="12"/>
      <c r="O23" s="31" t="s">
        <v>117</v>
      </c>
      <c r="P23" s="17">
        <v>35.253800114434839</v>
      </c>
      <c r="Q23" s="17">
        <v>0.19677947680878183</v>
      </c>
      <c r="R23" s="583"/>
      <c r="S23" s="12"/>
      <c r="T23" s="31" t="s">
        <v>117</v>
      </c>
      <c r="U23" s="17">
        <v>35.057020637626053</v>
      </c>
      <c r="V23" s="583"/>
      <c r="W23" s="486"/>
      <c r="X23" s="583"/>
      <c r="Y23" s="577"/>
      <c r="Z23" s="1"/>
      <c r="AA23" s="26"/>
      <c r="AD23" s="33" t="str">
        <f>C21&amp;F23</f>
        <v>Italy% GDP</v>
      </c>
    </row>
    <row r="24" spans="1:30" ht="173" hidden="1" customHeight="1">
      <c r="A24" s="638">
        <v>1</v>
      </c>
      <c r="B24" s="638" t="s">
        <v>858</v>
      </c>
      <c r="C24" s="660" t="s">
        <v>5</v>
      </c>
      <c r="D24" s="629" t="s">
        <v>570</v>
      </c>
      <c r="E24" s="16"/>
      <c r="F24" s="32" t="s">
        <v>115</v>
      </c>
      <c r="G24" s="128">
        <v>90100</v>
      </c>
      <c r="H24" s="128">
        <v>11200</v>
      </c>
      <c r="I24" s="575" t="s">
        <v>1644</v>
      </c>
      <c r="J24" s="128">
        <v>78900</v>
      </c>
      <c r="K24" s="634" t="s">
        <v>1645</v>
      </c>
      <c r="L24" s="252">
        <v>2900</v>
      </c>
      <c r="M24" s="581" t="s">
        <v>1508</v>
      </c>
      <c r="N24" s="16"/>
      <c r="O24" s="37" t="s">
        <v>115</v>
      </c>
      <c r="P24" s="509">
        <v>152600</v>
      </c>
      <c r="Q24" s="275"/>
      <c r="R24" s="586"/>
      <c r="S24" s="16"/>
      <c r="T24" s="37" t="s">
        <v>115</v>
      </c>
      <c r="U24" s="128">
        <v>15700</v>
      </c>
      <c r="V24" s="586" t="s">
        <v>829</v>
      </c>
      <c r="W24" s="252">
        <v>136900</v>
      </c>
      <c r="X24" s="651" t="s">
        <v>1472</v>
      </c>
      <c r="Y24" s="575" t="s">
        <v>298</v>
      </c>
      <c r="Z24" s="15"/>
      <c r="AA24" s="22"/>
      <c r="AD24" s="33" t="str">
        <f>C24&amp;F24</f>
        <v>JapanLC bn</v>
      </c>
    </row>
    <row r="25" spans="1:30" ht="155.25" hidden="1" customHeight="1">
      <c r="A25" s="638"/>
      <c r="B25" s="638"/>
      <c r="C25" s="660"/>
      <c r="D25" s="629"/>
      <c r="E25" s="6"/>
      <c r="F25" s="32" t="s">
        <v>116</v>
      </c>
      <c r="G25" s="81">
        <v>843.8337860086101</v>
      </c>
      <c r="H25" s="69">
        <v>104.89387795001592</v>
      </c>
      <c r="I25" s="584"/>
      <c r="J25" s="81">
        <v>738.93990805859426</v>
      </c>
      <c r="K25" s="582"/>
      <c r="L25" s="81">
        <v>27.16002196920055</v>
      </c>
      <c r="M25" s="582"/>
      <c r="N25" s="6"/>
      <c r="O25" s="32" t="s">
        <v>116</v>
      </c>
      <c r="P25" s="81">
        <v>1429.1790870689667</v>
      </c>
      <c r="Q25" s="276"/>
      <c r="R25" s="584"/>
      <c r="S25" s="6"/>
      <c r="T25" s="32" t="s">
        <v>116</v>
      </c>
      <c r="U25" s="81">
        <v>147.0387396263616</v>
      </c>
      <c r="V25" s="584"/>
      <c r="W25" s="346">
        <v>1282.1403474426052</v>
      </c>
      <c r="X25" s="666"/>
      <c r="Y25" s="576"/>
      <c r="AA25" s="27"/>
      <c r="AD25" s="33" t="str">
        <f>C24&amp;F25</f>
        <v>JapanUSD bn</v>
      </c>
    </row>
    <row r="26" spans="1:30" s="2" customFormat="1" ht="168.75" hidden="1" customHeight="1">
      <c r="A26" s="638"/>
      <c r="B26" s="638"/>
      <c r="C26" s="661"/>
      <c r="D26" s="630"/>
      <c r="E26" s="12"/>
      <c r="F26" s="31" t="s">
        <v>117</v>
      </c>
      <c r="G26" s="17">
        <v>16.725807215115971</v>
      </c>
      <c r="H26" s="17">
        <v>2.0791236493817857</v>
      </c>
      <c r="I26" s="585"/>
      <c r="J26" s="17">
        <v>14.646683565734186</v>
      </c>
      <c r="K26" s="583"/>
      <c r="L26" s="17">
        <v>0.5383445163577838</v>
      </c>
      <c r="M26" s="583"/>
      <c r="N26" s="12"/>
      <c r="O26" s="31" t="s">
        <v>117</v>
      </c>
      <c r="P26" s="17">
        <v>28.328059722826826</v>
      </c>
      <c r="Q26" s="277"/>
      <c r="R26" s="585"/>
      <c r="S26" s="12"/>
      <c r="T26" s="31" t="s">
        <v>117</v>
      </c>
      <c r="U26" s="17">
        <v>2.9144858299369676</v>
      </c>
      <c r="V26" s="585"/>
      <c r="W26" s="347">
        <v>25.413573892889861</v>
      </c>
      <c r="X26" s="667"/>
      <c r="Y26" s="577"/>
      <c r="Z26" s="1"/>
      <c r="AA26" s="26"/>
      <c r="AD26" s="33" t="str">
        <f>C24&amp;F26</f>
        <v>Japan% GDP</v>
      </c>
    </row>
    <row r="27" spans="1:30" s="143" customFormat="1" ht="338.5" customHeight="1">
      <c r="A27" s="638">
        <v>1</v>
      </c>
      <c r="B27" s="638" t="s">
        <v>858</v>
      </c>
      <c r="C27" s="663" t="s">
        <v>6</v>
      </c>
      <c r="D27" s="628" t="s">
        <v>570</v>
      </c>
      <c r="E27" s="16"/>
      <c r="F27" s="37" t="s">
        <v>115</v>
      </c>
      <c r="G27" s="130">
        <v>123700</v>
      </c>
      <c r="H27" s="290">
        <v>14100</v>
      </c>
      <c r="I27" s="645" t="s">
        <v>1773</v>
      </c>
      <c r="J27" s="130">
        <v>109600</v>
      </c>
      <c r="K27" s="581" t="s">
        <v>1774</v>
      </c>
      <c r="L27" s="130">
        <v>33000</v>
      </c>
      <c r="M27" s="581" t="s">
        <v>1567</v>
      </c>
      <c r="N27" s="16"/>
      <c r="O27" s="37" t="s">
        <v>115</v>
      </c>
      <c r="P27" s="252">
        <v>195900</v>
      </c>
      <c r="Q27" s="252"/>
      <c r="R27" s="575"/>
      <c r="S27" s="16"/>
      <c r="T27" s="37" t="s">
        <v>115</v>
      </c>
      <c r="U27" s="253">
        <v>70900</v>
      </c>
      <c r="V27" s="581" t="s">
        <v>1311</v>
      </c>
      <c r="W27" s="253">
        <v>125000</v>
      </c>
      <c r="X27" s="586" t="s">
        <v>1467</v>
      </c>
      <c r="Y27" s="575" t="s">
        <v>70</v>
      </c>
      <c r="Z27" s="15"/>
      <c r="AA27" s="605" t="s">
        <v>69</v>
      </c>
      <c r="AD27" s="33" t="str">
        <f>C27&amp;F27</f>
        <v>KoreaLC bn</v>
      </c>
    </row>
    <row r="28" spans="1:30" ht="100" hidden="1" customHeight="1">
      <c r="A28" s="638"/>
      <c r="B28" s="638"/>
      <c r="C28" s="660"/>
      <c r="D28" s="629"/>
      <c r="E28" s="6"/>
      <c r="F28" s="32" t="s">
        <v>116</v>
      </c>
      <c r="G28" s="254">
        <v>104.83004568682564</v>
      </c>
      <c r="H28" s="120">
        <v>11.949099791303487</v>
      </c>
      <c r="I28" s="646"/>
      <c r="J28" s="81">
        <v>92.880945895522146</v>
      </c>
      <c r="K28" s="582"/>
      <c r="L28" s="81">
        <v>27.965978234965611</v>
      </c>
      <c r="M28" s="582"/>
      <c r="N28" s="6"/>
      <c r="O28" s="32" t="s">
        <v>116</v>
      </c>
      <c r="P28" s="81">
        <v>166.01621624938676</v>
      </c>
      <c r="Q28" s="173"/>
      <c r="R28" s="576"/>
      <c r="S28" s="6"/>
      <c r="T28" s="32" t="s">
        <v>116</v>
      </c>
      <c r="U28" s="254">
        <v>60.08448051088066</v>
      </c>
      <c r="V28" s="582"/>
      <c r="W28" s="346">
        <v>105.93173573850609</v>
      </c>
      <c r="X28" s="576"/>
      <c r="Y28" s="576"/>
      <c r="AA28" s="606"/>
      <c r="AD28" s="33" t="str">
        <f>C27&amp;F28</f>
        <v>KoreaUSD bn</v>
      </c>
    </row>
    <row r="29" spans="1:30" ht="278.25" hidden="1" customHeight="1">
      <c r="A29" s="638"/>
      <c r="B29" s="638"/>
      <c r="C29" s="661"/>
      <c r="D29" s="630"/>
      <c r="E29" s="12"/>
      <c r="F29" s="31" t="s">
        <v>117</v>
      </c>
      <c r="G29" s="121">
        <v>6.3988747084813387</v>
      </c>
      <c r="H29" s="121">
        <v>0.7293786046045827</v>
      </c>
      <c r="I29" s="647"/>
      <c r="J29" s="17">
        <v>5.6694961038767557</v>
      </c>
      <c r="K29" s="583"/>
      <c r="L29" s="17">
        <v>1.7070563086490231</v>
      </c>
      <c r="M29" s="583"/>
      <c r="N29" s="12"/>
      <c r="O29" s="31" t="s">
        <v>117</v>
      </c>
      <c r="P29" s="17">
        <v>10.133706995889202</v>
      </c>
      <c r="Q29" s="174"/>
      <c r="R29" s="577"/>
      <c r="S29" s="12"/>
      <c r="T29" s="31" t="s">
        <v>117</v>
      </c>
      <c r="U29" s="121">
        <v>3.6675846146429012</v>
      </c>
      <c r="V29" s="583"/>
      <c r="W29" s="491">
        <v>6.4661223812463007</v>
      </c>
      <c r="X29" s="577"/>
      <c r="Y29" s="577"/>
      <c r="Z29" s="1"/>
      <c r="AA29" s="607"/>
      <c r="AD29" s="33" t="str">
        <f>C27&amp;F29</f>
        <v>Korea% GDP</v>
      </c>
    </row>
    <row r="30" spans="1:30" s="10" customFormat="1" ht="183.65" hidden="1" customHeight="1">
      <c r="A30" s="638">
        <v>1</v>
      </c>
      <c r="B30" s="638" t="s">
        <v>858</v>
      </c>
      <c r="C30" s="660" t="s">
        <v>32</v>
      </c>
      <c r="D30" s="629" t="s">
        <v>570</v>
      </c>
      <c r="E30" s="13"/>
      <c r="F30" s="37" t="s">
        <v>115</v>
      </c>
      <c r="G30" s="53">
        <v>94.15</v>
      </c>
      <c r="H30" s="74">
        <v>19.21</v>
      </c>
      <c r="I30" s="575" t="s">
        <v>1579</v>
      </c>
      <c r="J30" s="93">
        <v>74.94</v>
      </c>
      <c r="K30" s="581" t="s">
        <v>1578</v>
      </c>
      <c r="L30" s="53">
        <v>4.4999999999999998E-2</v>
      </c>
      <c r="M30" s="575" t="s">
        <v>1499</v>
      </c>
      <c r="N30" s="13"/>
      <c r="O30" s="32" t="s">
        <v>115</v>
      </c>
      <c r="P30" s="242">
        <v>161.239</v>
      </c>
      <c r="Q30" s="177">
        <v>0.63900000000000001</v>
      </c>
      <c r="R30" s="575" t="s">
        <v>1309</v>
      </c>
      <c r="S30" s="13"/>
      <c r="T30" s="32" t="s">
        <v>115</v>
      </c>
      <c r="U30" s="93">
        <v>150.6</v>
      </c>
      <c r="V30" s="575" t="s">
        <v>1500</v>
      </c>
      <c r="W30" s="93">
        <v>10</v>
      </c>
      <c r="X30" s="575" t="s">
        <v>219</v>
      </c>
      <c r="Y30" s="18"/>
      <c r="Z30" s="13"/>
      <c r="AA30" s="605" t="s">
        <v>49</v>
      </c>
      <c r="AB30" s="10">
        <f>849+223</f>
        <v>1072</v>
      </c>
      <c r="AD30" s="33" t="str">
        <f>C30&amp;F30</f>
        <v>SpainLC bn</v>
      </c>
    </row>
    <row r="31" spans="1:30" s="3" customFormat="1" ht="145" hidden="1" customHeight="1">
      <c r="A31" s="638"/>
      <c r="B31" s="638"/>
      <c r="C31" s="660"/>
      <c r="D31" s="629"/>
      <c r="E31" s="10"/>
      <c r="F31" s="32" t="s">
        <v>116</v>
      </c>
      <c r="G31" s="81">
        <v>107.45168705821794</v>
      </c>
      <c r="H31" s="56">
        <v>21.924024518198266</v>
      </c>
      <c r="I31" s="582"/>
      <c r="J31" s="81">
        <v>85.527662540019676</v>
      </c>
      <c r="K31" s="582"/>
      <c r="L31" s="69">
        <v>5.1357683670948562E-2</v>
      </c>
      <c r="M31" s="576"/>
      <c r="N31" s="10"/>
      <c r="O31" s="32" t="s">
        <v>116</v>
      </c>
      <c r="P31" s="243">
        <v>184.01914572044612</v>
      </c>
      <c r="Q31" s="180">
        <v>0.72927910812746966</v>
      </c>
      <c r="R31" s="576"/>
      <c r="S31" s="10"/>
      <c r="T31" s="32" t="s">
        <v>116</v>
      </c>
      <c r="U31" s="81">
        <v>171.87704801877453</v>
      </c>
      <c r="V31" s="576"/>
      <c r="W31" s="81">
        <v>11.412818593544126</v>
      </c>
      <c r="X31" s="576"/>
      <c r="Y31" s="28"/>
      <c r="Z31" s="10"/>
      <c r="AA31" s="606"/>
      <c r="AD31" s="33" t="str">
        <f>C30&amp;F31</f>
        <v>SpainUSD bn</v>
      </c>
    </row>
    <row r="32" spans="1:30" ht="111.75" hidden="1" customHeight="1">
      <c r="A32" s="638"/>
      <c r="B32" s="638"/>
      <c r="C32" s="661"/>
      <c r="D32" s="630"/>
      <c r="E32" s="12"/>
      <c r="F32" s="31" t="s">
        <v>117</v>
      </c>
      <c r="G32" s="17">
        <v>8.3916545151825215</v>
      </c>
      <c r="H32" s="68">
        <v>1.7122005654451007</v>
      </c>
      <c r="I32" s="583"/>
      <c r="J32" s="17">
        <v>6.6794539497374199</v>
      </c>
      <c r="K32" s="583"/>
      <c r="L32" s="17">
        <v>4.010881074702214E-3</v>
      </c>
      <c r="M32" s="577"/>
      <c r="N32" s="12"/>
      <c r="O32" s="31" t="s">
        <v>117</v>
      </c>
      <c r="P32" s="247">
        <v>14.371343413420227</v>
      </c>
      <c r="Q32" s="168">
        <v>5.6954511260771438E-2</v>
      </c>
      <c r="R32" s="577"/>
      <c r="S32" s="12"/>
      <c r="T32" s="31" t="s">
        <v>117</v>
      </c>
      <c r="U32" s="17">
        <v>13.423081996670074</v>
      </c>
      <c r="V32" s="577"/>
      <c r="W32" s="17">
        <v>0.89130690548938096</v>
      </c>
      <c r="X32" s="577"/>
      <c r="Y32" s="19"/>
      <c r="Z32" s="1"/>
      <c r="AA32" s="607"/>
      <c r="AD32" s="33" t="str">
        <f>C30&amp;F32</f>
        <v>Spain% GDP</v>
      </c>
    </row>
    <row r="33" spans="1:30" ht="113.5" hidden="1" customHeight="1">
      <c r="A33" s="638">
        <v>1</v>
      </c>
      <c r="B33" s="638" t="s">
        <v>858</v>
      </c>
      <c r="C33" s="632" t="s">
        <v>7</v>
      </c>
      <c r="D33" s="629" t="s">
        <v>571</v>
      </c>
      <c r="E33" s="16"/>
      <c r="F33" s="32" t="s">
        <v>115</v>
      </c>
      <c r="G33" s="80">
        <v>407</v>
      </c>
      <c r="H33" s="80">
        <v>102</v>
      </c>
      <c r="I33" s="662" t="s">
        <v>1667</v>
      </c>
      <c r="J33" s="80">
        <v>305</v>
      </c>
      <c r="K33" s="639" t="s">
        <v>1666</v>
      </c>
      <c r="L33" s="169">
        <v>12.5</v>
      </c>
      <c r="M33" s="581" t="s">
        <v>1668</v>
      </c>
      <c r="N33" s="16"/>
      <c r="O33" s="32" t="s">
        <v>115</v>
      </c>
      <c r="P33" s="80">
        <v>353.03</v>
      </c>
      <c r="Q33" s="169">
        <v>1.03</v>
      </c>
      <c r="R33" s="581" t="s">
        <v>1258</v>
      </c>
      <c r="S33" s="16"/>
      <c r="T33" s="32" t="s">
        <v>115</v>
      </c>
      <c r="U33" s="80">
        <v>352</v>
      </c>
      <c r="V33" s="581" t="s">
        <v>1674</v>
      </c>
      <c r="W33" s="141"/>
      <c r="X33" s="575"/>
      <c r="Y33" s="622" t="s">
        <v>72</v>
      </c>
      <c r="Z33" s="15"/>
      <c r="AA33" s="614" t="s">
        <v>71</v>
      </c>
      <c r="AD33" s="33" t="str">
        <f>C33&amp;F33</f>
        <v>United KingdomLC bn</v>
      </c>
    </row>
    <row r="34" spans="1:30" ht="175" hidden="1" customHeight="1">
      <c r="A34" s="638"/>
      <c r="B34" s="638"/>
      <c r="C34" s="632"/>
      <c r="D34" s="629"/>
      <c r="E34" s="6"/>
      <c r="F34" s="32" t="s">
        <v>116</v>
      </c>
      <c r="G34" s="81">
        <v>522.16796884260248</v>
      </c>
      <c r="H34" s="81">
        <v>130.8627342062542</v>
      </c>
      <c r="I34" s="601"/>
      <c r="J34" s="95">
        <v>391.30523463634825</v>
      </c>
      <c r="K34" s="576"/>
      <c r="L34" s="170">
        <v>16.03709978017821</v>
      </c>
      <c r="M34" s="582"/>
      <c r="N34" s="6"/>
      <c r="O34" s="32" t="s">
        <v>116</v>
      </c>
      <c r="P34" s="81">
        <v>452.92618683170508</v>
      </c>
      <c r="Q34" s="170">
        <v>1.3214570218866846</v>
      </c>
      <c r="R34" s="582"/>
      <c r="S34" s="6"/>
      <c r="T34" s="32" t="s">
        <v>116</v>
      </c>
      <c r="U34" s="81">
        <v>451.60472980981842</v>
      </c>
      <c r="V34" s="582"/>
      <c r="W34" s="28"/>
      <c r="X34" s="576"/>
      <c r="Y34" s="623"/>
      <c r="AA34" s="615"/>
      <c r="AD34" s="33" t="str">
        <f>C33&amp;F34</f>
        <v>United KingdomUSD bn</v>
      </c>
    </row>
    <row r="35" spans="1:30" s="2" customFormat="1" ht="354" hidden="1" customHeight="1">
      <c r="A35" s="638"/>
      <c r="B35" s="638"/>
      <c r="C35" s="633"/>
      <c r="D35" s="630"/>
      <c r="E35" s="12"/>
      <c r="F35" s="31" t="s">
        <v>117</v>
      </c>
      <c r="G35" s="17">
        <v>19.27047748644793</v>
      </c>
      <c r="H35" s="17">
        <v>4.8294562742449347</v>
      </c>
      <c r="I35" s="602"/>
      <c r="J35" s="68">
        <v>14.441021212202996</v>
      </c>
      <c r="K35" s="577"/>
      <c r="L35" s="68">
        <v>0.59184513164766361</v>
      </c>
      <c r="M35" s="583"/>
      <c r="N35" s="12"/>
      <c r="O35" s="31" t="s">
        <v>117</v>
      </c>
      <c r="P35" s="17">
        <v>16.715126946045974</v>
      </c>
      <c r="Q35" s="168">
        <v>4.8768038847767488E-2</v>
      </c>
      <c r="R35" s="583"/>
      <c r="S35" s="12"/>
      <c r="T35" s="31" t="s">
        <v>117</v>
      </c>
      <c r="U35" s="17">
        <v>16.666358907198209</v>
      </c>
      <c r="V35" s="583"/>
      <c r="W35" s="19"/>
      <c r="X35" s="577"/>
      <c r="Y35" s="624"/>
      <c r="Z35" s="1"/>
      <c r="AA35" s="616"/>
      <c r="AD35" s="33" t="str">
        <f>C33&amp;F35</f>
        <v>United Kingdom% GDP</v>
      </c>
    </row>
    <row r="36" spans="1:30" s="143" customFormat="1" ht="409.5" hidden="1" customHeight="1">
      <c r="A36" s="638">
        <v>1</v>
      </c>
      <c r="B36" s="638" t="s">
        <v>858</v>
      </c>
      <c r="C36" s="631" t="s">
        <v>8</v>
      </c>
      <c r="D36" s="628" t="s">
        <v>571</v>
      </c>
      <c r="E36" s="16"/>
      <c r="F36" s="37" t="s">
        <v>115</v>
      </c>
      <c r="G36" s="252">
        <v>5328.3</v>
      </c>
      <c r="H36" s="80">
        <v>687.3</v>
      </c>
      <c r="I36" s="662" t="s">
        <v>1524</v>
      </c>
      <c r="J36" s="252">
        <v>4641</v>
      </c>
      <c r="K36" s="575" t="s">
        <v>1621</v>
      </c>
      <c r="L36" s="93">
        <v>17.98</v>
      </c>
      <c r="M36" s="575" t="s">
        <v>1259</v>
      </c>
      <c r="N36" s="16"/>
      <c r="O36" s="37" t="s">
        <v>115</v>
      </c>
      <c r="P36" s="264">
        <v>510</v>
      </c>
      <c r="Q36" s="256">
        <v>56</v>
      </c>
      <c r="R36" s="581" t="s">
        <v>608</v>
      </c>
      <c r="S36" s="16"/>
      <c r="T36" s="37" t="s">
        <v>115</v>
      </c>
      <c r="U36" s="80">
        <v>454</v>
      </c>
      <c r="V36" s="575" t="s">
        <v>275</v>
      </c>
      <c r="W36" s="18"/>
      <c r="X36" s="18"/>
      <c r="Y36" s="575" t="s">
        <v>73</v>
      </c>
      <c r="Z36" s="15"/>
      <c r="AA36" s="22"/>
      <c r="AD36" s="33" t="str">
        <f>C36&amp;F36</f>
        <v>United StatesLC bn</v>
      </c>
    </row>
    <row r="37" spans="1:30" ht="166.5" hidden="1" customHeight="1">
      <c r="A37" s="638"/>
      <c r="B37" s="638"/>
      <c r="C37" s="632"/>
      <c r="D37" s="629"/>
      <c r="E37" s="6"/>
      <c r="F37" s="32" t="s">
        <v>116</v>
      </c>
      <c r="G37" s="81">
        <v>5328.3</v>
      </c>
      <c r="H37" s="81">
        <v>687.3</v>
      </c>
      <c r="I37" s="601"/>
      <c r="J37" s="81">
        <v>4641</v>
      </c>
      <c r="K37" s="576"/>
      <c r="L37" s="81">
        <v>17.98</v>
      </c>
      <c r="M37" s="576"/>
      <c r="N37" s="6"/>
      <c r="O37" s="32" t="s">
        <v>116</v>
      </c>
      <c r="P37" s="265">
        <v>510</v>
      </c>
      <c r="Q37" s="81">
        <v>56</v>
      </c>
      <c r="R37" s="582"/>
      <c r="S37" s="6"/>
      <c r="T37" s="32" t="s">
        <v>116</v>
      </c>
      <c r="U37" s="81">
        <v>454</v>
      </c>
      <c r="V37" s="576"/>
      <c r="W37" s="28"/>
      <c r="X37" s="28"/>
      <c r="Y37" s="576"/>
      <c r="AA37" s="27"/>
      <c r="AD37" s="33" t="str">
        <f>C36&amp;F37</f>
        <v>United StatesUSD bn</v>
      </c>
    </row>
    <row r="38" spans="1:30" ht="409.5" hidden="1" customHeight="1">
      <c r="A38" s="638"/>
      <c r="B38" s="638"/>
      <c r="C38" s="633"/>
      <c r="D38" s="630"/>
      <c r="E38" s="12"/>
      <c r="F38" s="31" t="s">
        <v>117</v>
      </c>
      <c r="G38" s="17">
        <v>25.501884534848941</v>
      </c>
      <c r="H38" s="17">
        <v>3.2895004486987736</v>
      </c>
      <c r="I38" s="602"/>
      <c r="J38" s="17">
        <v>22.212384086150163</v>
      </c>
      <c r="K38" s="577"/>
      <c r="L38" s="17">
        <v>8.6054442117858218E-2</v>
      </c>
      <c r="M38" s="577"/>
      <c r="N38" s="12"/>
      <c r="O38" s="31" t="s">
        <v>117</v>
      </c>
      <c r="P38" s="267">
        <v>2.4409213281483697</v>
      </c>
      <c r="Q38" s="17">
        <v>0.26802273407119354</v>
      </c>
      <c r="R38" s="583"/>
      <c r="S38" s="12"/>
      <c r="T38" s="31" t="s">
        <v>117</v>
      </c>
      <c r="U38" s="17">
        <v>2.1728985940771763</v>
      </c>
      <c r="V38" s="577"/>
      <c r="W38" s="19"/>
      <c r="X38" s="19"/>
      <c r="Y38" s="577"/>
      <c r="Z38" s="1"/>
      <c r="AA38" s="26"/>
      <c r="AD38" s="33" t="str">
        <f>C36&amp;F38</f>
        <v>United States% GDP</v>
      </c>
    </row>
    <row r="39" spans="1:30" ht="139.5" hidden="1" customHeight="1">
      <c r="A39" s="638">
        <v>1</v>
      </c>
      <c r="B39" s="638" t="s">
        <v>861</v>
      </c>
      <c r="C39" s="632" t="s">
        <v>9</v>
      </c>
      <c r="D39" s="629" t="s">
        <v>571</v>
      </c>
      <c r="E39" s="6"/>
      <c r="F39" s="32" t="s">
        <v>115</v>
      </c>
      <c r="G39" s="98">
        <v>1470.1</v>
      </c>
      <c r="H39" s="81">
        <v>348.6</v>
      </c>
      <c r="I39" s="665" t="s">
        <v>1669</v>
      </c>
      <c r="J39" s="81">
        <v>1121.5</v>
      </c>
      <c r="K39" s="634" t="s">
        <v>1677</v>
      </c>
      <c r="L39" s="81">
        <v>10</v>
      </c>
      <c r="M39" s="581" t="s">
        <v>1492</v>
      </c>
      <c r="N39" s="6"/>
      <c r="O39" s="32" t="s">
        <v>115</v>
      </c>
      <c r="P39" s="81">
        <v>703.3</v>
      </c>
      <c r="Q39" s="271">
        <v>70.3</v>
      </c>
      <c r="R39" s="581" t="s">
        <v>1670</v>
      </c>
      <c r="S39" s="6"/>
      <c r="T39" s="32" t="s">
        <v>115</v>
      </c>
      <c r="U39" s="254">
        <v>633</v>
      </c>
      <c r="V39" s="581" t="s">
        <v>1671</v>
      </c>
      <c r="W39" s="28"/>
      <c r="X39" s="575"/>
      <c r="Y39" s="35"/>
      <c r="AA39" s="35"/>
      <c r="AD39" s="33" t="str">
        <f>C39&amp;F39</f>
        <v>ArgentinaLC bn</v>
      </c>
    </row>
    <row r="40" spans="1:30" ht="139.5" hidden="1" customHeight="1">
      <c r="A40" s="638"/>
      <c r="B40" s="638"/>
      <c r="C40" s="632"/>
      <c r="D40" s="629"/>
      <c r="E40" s="6"/>
      <c r="F40" s="32" t="s">
        <v>116</v>
      </c>
      <c r="G40" s="81">
        <v>20.812695929621835</v>
      </c>
      <c r="H40" s="81">
        <v>4.9352464465452508</v>
      </c>
      <c r="I40" s="646"/>
      <c r="J40" s="81">
        <v>15.877449483076587</v>
      </c>
      <c r="K40" s="582"/>
      <c r="L40" s="69">
        <v>0.14157333466853844</v>
      </c>
      <c r="M40" s="582"/>
      <c r="N40" s="6"/>
      <c r="O40" s="32" t="s">
        <v>116</v>
      </c>
      <c r="P40" s="81">
        <v>9.9568526272383089</v>
      </c>
      <c r="Q40" s="170">
        <v>0.99526054271982523</v>
      </c>
      <c r="R40" s="582"/>
      <c r="S40" s="6"/>
      <c r="T40" s="32" t="s">
        <v>116</v>
      </c>
      <c r="U40" s="81">
        <v>8.9615920845184842</v>
      </c>
      <c r="V40" s="582"/>
      <c r="W40" s="28"/>
      <c r="X40" s="576"/>
      <c r="Y40" s="28" t="s">
        <v>152</v>
      </c>
      <c r="AA40" s="27"/>
      <c r="AD40" s="33" t="str">
        <f>C39&amp;F40</f>
        <v>ArgentinaUSD bn</v>
      </c>
    </row>
    <row r="41" spans="1:30" ht="174" hidden="1" customHeight="1">
      <c r="A41" s="638"/>
      <c r="B41" s="638"/>
      <c r="C41" s="633"/>
      <c r="D41" s="630"/>
      <c r="E41" s="12"/>
      <c r="F41" s="31" t="s">
        <v>117</v>
      </c>
      <c r="G41" s="17">
        <v>5.3494285646507498</v>
      </c>
      <c r="H41" s="17">
        <v>1.2684924818973211</v>
      </c>
      <c r="I41" s="647"/>
      <c r="J41" s="17">
        <v>4.0809360827534293</v>
      </c>
      <c r="K41" s="583"/>
      <c r="L41" s="17">
        <v>3.6388195120405073E-2</v>
      </c>
      <c r="M41" s="583"/>
      <c r="N41" s="12"/>
      <c r="O41" s="31" t="s">
        <v>117</v>
      </c>
      <c r="P41" s="17">
        <v>2.5591817628180888</v>
      </c>
      <c r="Q41" s="168">
        <v>0.25580901169644765</v>
      </c>
      <c r="R41" s="583"/>
      <c r="S41" s="12"/>
      <c r="T41" s="31" t="s">
        <v>117</v>
      </c>
      <c r="U41" s="17">
        <v>2.3033727511216413</v>
      </c>
      <c r="V41" s="583"/>
      <c r="W41" s="19"/>
      <c r="X41" s="577"/>
      <c r="Y41" s="19"/>
      <c r="Z41" s="1"/>
      <c r="AA41" s="26"/>
      <c r="AD41" s="33" t="str">
        <f>C39&amp;F41</f>
        <v>Argentina% GDP</v>
      </c>
    </row>
    <row r="42" spans="1:30" ht="121.5" hidden="1" customHeight="1">
      <c r="A42" s="638">
        <v>1</v>
      </c>
      <c r="B42" s="638" t="s">
        <v>861</v>
      </c>
      <c r="C42" s="660" t="s">
        <v>10</v>
      </c>
      <c r="D42" s="629" t="s">
        <v>570</v>
      </c>
      <c r="E42" s="16"/>
      <c r="F42" s="32" t="s">
        <v>115</v>
      </c>
      <c r="G42" s="80">
        <v>687.9</v>
      </c>
      <c r="H42" s="80">
        <v>108.8</v>
      </c>
      <c r="I42" s="662" t="s">
        <v>1546</v>
      </c>
      <c r="J42" s="80">
        <v>579.1</v>
      </c>
      <c r="K42" s="575" t="s">
        <v>1553</v>
      </c>
      <c r="L42" s="80">
        <v>229.60000000000002</v>
      </c>
      <c r="M42" s="581" t="s">
        <v>1547</v>
      </c>
      <c r="N42" s="16"/>
      <c r="O42" s="32" t="s">
        <v>115</v>
      </c>
      <c r="P42" s="80">
        <v>458.1</v>
      </c>
      <c r="Q42" s="171">
        <v>79.900000000000006</v>
      </c>
      <c r="R42" s="575" t="s">
        <v>1433</v>
      </c>
      <c r="S42" s="16"/>
      <c r="T42" s="32" t="s">
        <v>115</v>
      </c>
      <c r="U42" s="80"/>
      <c r="V42" s="575" t="s">
        <v>711</v>
      </c>
      <c r="W42" s="99">
        <v>378.2</v>
      </c>
      <c r="X42" s="575" t="s">
        <v>1329</v>
      </c>
      <c r="Y42" s="575" t="s">
        <v>75</v>
      </c>
      <c r="Z42" s="15"/>
      <c r="AA42" s="22"/>
      <c r="AD42" s="33" t="str">
        <f>C42&amp;F42</f>
        <v>BrazilLC bn</v>
      </c>
    </row>
    <row r="43" spans="1:30" ht="157" hidden="1" customHeight="1">
      <c r="A43" s="638"/>
      <c r="B43" s="638"/>
      <c r="C43" s="660"/>
      <c r="D43" s="629"/>
      <c r="E43" s="6"/>
      <c r="F43" s="32" t="s">
        <v>116</v>
      </c>
      <c r="G43" s="81">
        <v>133.43721913654085</v>
      </c>
      <c r="H43" s="81">
        <v>21.104767323819807</v>
      </c>
      <c r="I43" s="601"/>
      <c r="J43" s="81">
        <v>112.33245181272106</v>
      </c>
      <c r="K43" s="576"/>
      <c r="L43" s="81">
        <v>44.537266337766802</v>
      </c>
      <c r="M43" s="582"/>
      <c r="N43" s="6"/>
      <c r="O43" s="32" t="s">
        <v>116</v>
      </c>
      <c r="P43" s="81">
        <v>88.861157270605275</v>
      </c>
      <c r="Q43" s="167">
        <v>15.498813503430172</v>
      </c>
      <c r="R43" s="576"/>
      <c r="S43" s="6"/>
      <c r="T43" s="32" t="s">
        <v>116</v>
      </c>
      <c r="U43" s="69"/>
      <c r="V43" s="576"/>
      <c r="W43" s="81">
        <v>73.362343767175105</v>
      </c>
      <c r="X43" s="576"/>
      <c r="Y43" s="576"/>
      <c r="AA43" s="27"/>
      <c r="AD43" s="33" t="str">
        <f>C42&amp;F43</f>
        <v>BrazilUSD bn</v>
      </c>
    </row>
    <row r="44" spans="1:30" ht="210" hidden="1" customHeight="1">
      <c r="A44" s="638"/>
      <c r="B44" s="638"/>
      <c r="C44" s="661"/>
      <c r="D44" s="630"/>
      <c r="E44" s="6"/>
      <c r="F44" s="32" t="s">
        <v>117</v>
      </c>
      <c r="G44" s="69">
        <v>9.2362126130761357</v>
      </c>
      <c r="H44" s="17">
        <v>1.460822695599191</v>
      </c>
      <c r="I44" s="602"/>
      <c r="J44" s="17">
        <v>7.7753899174769447</v>
      </c>
      <c r="K44" s="577"/>
      <c r="L44" s="17">
        <v>3.0827655414482935</v>
      </c>
      <c r="M44" s="583"/>
      <c r="N44" s="6"/>
      <c r="O44" s="32" t="s">
        <v>117</v>
      </c>
      <c r="P44" s="69">
        <v>6.1507617357903444</v>
      </c>
      <c r="Q44" s="170">
        <v>1.0727916670806561</v>
      </c>
      <c r="R44" s="577"/>
      <c r="S44" s="6"/>
      <c r="T44" s="32" t="s">
        <v>117</v>
      </c>
      <c r="U44" s="69"/>
      <c r="V44" s="577"/>
      <c r="W44" s="17">
        <v>5.0779700687096874</v>
      </c>
      <c r="X44" s="577"/>
      <c r="Y44" s="577"/>
      <c r="AA44" s="27"/>
      <c r="AD44" s="33" t="str">
        <f>C42&amp;F44</f>
        <v>Brazil% GDP</v>
      </c>
    </row>
    <row r="45" spans="1:30" s="13" customFormat="1" ht="137.5" hidden="1" customHeight="1">
      <c r="A45" s="638">
        <v>1</v>
      </c>
      <c r="B45" s="638" t="s">
        <v>861</v>
      </c>
      <c r="C45" s="660" t="s">
        <v>11</v>
      </c>
      <c r="D45" s="629" t="s">
        <v>570</v>
      </c>
      <c r="F45" s="37" t="s">
        <v>115</v>
      </c>
      <c r="G45" s="127">
        <v>4904</v>
      </c>
      <c r="H45" s="74">
        <v>147</v>
      </c>
      <c r="I45" s="600" t="s">
        <v>618</v>
      </c>
      <c r="J45" s="127">
        <v>4757</v>
      </c>
      <c r="K45" s="581" t="s">
        <v>1640</v>
      </c>
      <c r="L45" s="127">
        <v>1600</v>
      </c>
      <c r="M45" s="581" t="s">
        <v>1260</v>
      </c>
      <c r="O45" s="37" t="s">
        <v>115</v>
      </c>
      <c r="P45" s="264">
        <v>1330</v>
      </c>
      <c r="Q45" s="175">
        <v>0</v>
      </c>
      <c r="R45" s="575" t="s">
        <v>1221</v>
      </c>
      <c r="T45" s="37" t="s">
        <v>115</v>
      </c>
      <c r="U45" s="93">
        <v>400</v>
      </c>
      <c r="V45" s="575" t="s">
        <v>944</v>
      </c>
      <c r="W45" s="189">
        <v>930</v>
      </c>
      <c r="X45" s="581" t="s">
        <v>1461</v>
      </c>
      <c r="Y45" s="575" t="s">
        <v>76</v>
      </c>
      <c r="AA45" s="18"/>
      <c r="AD45" s="33" t="str">
        <f>C45&amp;F45</f>
        <v>ChinaLC bn</v>
      </c>
    </row>
    <row r="46" spans="1:30" ht="137.5" hidden="1" customHeight="1">
      <c r="A46" s="638"/>
      <c r="B46" s="638"/>
      <c r="C46" s="660"/>
      <c r="D46" s="629"/>
      <c r="E46" s="6"/>
      <c r="F46" s="32" t="s">
        <v>116</v>
      </c>
      <c r="G46" s="81">
        <v>710.64739339926814</v>
      </c>
      <c r="H46" s="81">
        <v>21.302032387783935</v>
      </c>
      <c r="I46" s="601"/>
      <c r="J46" s="81">
        <v>689.34536101148421</v>
      </c>
      <c r="K46" s="582"/>
      <c r="L46" s="81">
        <v>231.8588559214578</v>
      </c>
      <c r="M46" s="582"/>
      <c r="N46" s="6"/>
      <c r="O46" s="32" t="s">
        <v>116</v>
      </c>
      <c r="P46" s="265">
        <v>192.73267398471179</v>
      </c>
      <c r="Q46" s="167"/>
      <c r="R46" s="576"/>
      <c r="S46" s="6"/>
      <c r="T46" s="32" t="s">
        <v>116</v>
      </c>
      <c r="U46" s="81">
        <v>57.964713980364451</v>
      </c>
      <c r="V46" s="576"/>
      <c r="W46" s="95">
        <v>134.76796000434734</v>
      </c>
      <c r="X46" s="582"/>
      <c r="Y46" s="576"/>
      <c r="AA46" s="27"/>
      <c r="AD46" s="33" t="str">
        <f>C45&amp;F46</f>
        <v>ChinaUSD bn</v>
      </c>
    </row>
    <row r="47" spans="1:30" ht="101.25" hidden="1" customHeight="1">
      <c r="A47" s="638"/>
      <c r="B47" s="638"/>
      <c r="C47" s="661"/>
      <c r="D47" s="630"/>
      <c r="E47" s="12"/>
      <c r="F47" s="31" t="s">
        <v>117</v>
      </c>
      <c r="G47" s="17">
        <v>4.7801156546253365</v>
      </c>
      <c r="H47" s="17">
        <v>0.14328650106646096</v>
      </c>
      <c r="I47" s="602"/>
      <c r="J47" s="17">
        <v>4.6368291535588764</v>
      </c>
      <c r="K47" s="583"/>
      <c r="L47" s="17">
        <v>1.5595809639886906</v>
      </c>
      <c r="M47" s="583"/>
      <c r="N47" s="12"/>
      <c r="O47" s="31" t="s">
        <v>117</v>
      </c>
      <c r="P47" s="267">
        <v>1.296401676315599</v>
      </c>
      <c r="Q47" s="168"/>
      <c r="R47" s="577"/>
      <c r="S47" s="12"/>
      <c r="T47" s="31" t="s">
        <v>117</v>
      </c>
      <c r="U47" s="17">
        <v>0.38989524099717265</v>
      </c>
      <c r="V47" s="577"/>
      <c r="W47" s="56">
        <v>0.90650643531842645</v>
      </c>
      <c r="X47" s="583"/>
      <c r="Y47" s="576"/>
      <c r="AA47" s="27"/>
      <c r="AD47" s="33" t="str">
        <f>C45&amp;F47</f>
        <v>China% GDP</v>
      </c>
    </row>
    <row r="48" spans="1:30" s="13" customFormat="1" ht="138.65" hidden="1" customHeight="1">
      <c r="A48" s="638">
        <v>1</v>
      </c>
      <c r="B48" s="638" t="s">
        <v>861</v>
      </c>
      <c r="C48" s="632" t="s">
        <v>12</v>
      </c>
      <c r="D48" s="629" t="s">
        <v>571</v>
      </c>
      <c r="F48" s="37" t="s">
        <v>115</v>
      </c>
      <c r="G48" s="127">
        <v>8084.4400000000005</v>
      </c>
      <c r="H48" s="74">
        <v>1041.23</v>
      </c>
      <c r="I48" s="575" t="s">
        <v>1641</v>
      </c>
      <c r="J48" s="127">
        <v>7043.21</v>
      </c>
      <c r="K48" s="634" t="s">
        <v>1568</v>
      </c>
      <c r="L48" s="74">
        <v>1340</v>
      </c>
      <c r="M48" s="581" t="s">
        <v>1642</v>
      </c>
      <c r="O48" s="37" t="s">
        <v>115</v>
      </c>
      <c r="P48" s="127">
        <v>12291</v>
      </c>
      <c r="Q48" s="74">
        <v>641</v>
      </c>
      <c r="R48" s="575" t="s">
        <v>1332</v>
      </c>
      <c r="T48" s="37" t="s">
        <v>115</v>
      </c>
      <c r="U48" s="126">
        <v>10450</v>
      </c>
      <c r="V48" s="581" t="s">
        <v>1643</v>
      </c>
      <c r="W48" s="74">
        <v>1200</v>
      </c>
      <c r="X48" s="575" t="s">
        <v>1525</v>
      </c>
      <c r="Y48" s="18"/>
      <c r="AA48" s="605" t="s">
        <v>57</v>
      </c>
      <c r="AD48" s="33" t="str">
        <f>C48&amp;F48</f>
        <v>IndiaLC bn</v>
      </c>
    </row>
    <row r="49" spans="1:30" s="10" customFormat="1" ht="170.5" hidden="1" customHeight="1">
      <c r="A49" s="638"/>
      <c r="B49" s="638"/>
      <c r="C49" s="632"/>
      <c r="D49" s="629"/>
      <c r="F49" s="32" t="s">
        <v>116</v>
      </c>
      <c r="G49" s="81">
        <v>108.91796310307309</v>
      </c>
      <c r="H49" s="69">
        <v>14.028015635197093</v>
      </c>
      <c r="I49" s="576"/>
      <c r="J49" s="81">
        <v>94.889947467875984</v>
      </c>
      <c r="K49" s="582"/>
      <c r="L49" s="69">
        <v>18.05320721758315</v>
      </c>
      <c r="M49" s="582"/>
      <c r="O49" s="32" t="s">
        <v>116</v>
      </c>
      <c r="P49" s="167">
        <v>165.59102232187649</v>
      </c>
      <c r="Q49" s="170">
        <v>8.6358998705005963</v>
      </c>
      <c r="R49" s="576"/>
      <c r="T49" s="32" t="s">
        <v>116</v>
      </c>
      <c r="U49" s="167">
        <v>140.78807121174921</v>
      </c>
      <c r="V49" s="582"/>
      <c r="W49" s="167">
        <v>16.167051239626701</v>
      </c>
      <c r="X49" s="576"/>
      <c r="Y49" s="28"/>
      <c r="AA49" s="606"/>
      <c r="AD49" s="33" t="str">
        <f>C48&amp;F49</f>
        <v>IndiaUSD bn</v>
      </c>
    </row>
    <row r="50" spans="1:30" ht="198" hidden="1" customHeight="1">
      <c r="A50" s="638"/>
      <c r="B50" s="638"/>
      <c r="C50" s="633"/>
      <c r="D50" s="630"/>
      <c r="E50" s="6"/>
      <c r="F50" s="32" t="s">
        <v>117</v>
      </c>
      <c r="G50" s="69">
        <v>4.0942849748831005</v>
      </c>
      <c r="H50" s="121">
        <v>0.52732067334256061</v>
      </c>
      <c r="I50" s="577"/>
      <c r="J50" s="121">
        <v>3.5669643015405401</v>
      </c>
      <c r="K50" s="583"/>
      <c r="L50" s="121">
        <v>0.67862979579826865</v>
      </c>
      <c r="M50" s="583"/>
      <c r="N50" s="6"/>
      <c r="O50" s="32" t="s">
        <v>117</v>
      </c>
      <c r="P50" s="121">
        <v>6.2246558359377016</v>
      </c>
      <c r="Q50" s="121">
        <v>0.32462813366170912</v>
      </c>
      <c r="R50" s="577"/>
      <c r="S50" s="6"/>
      <c r="T50" s="32" t="s">
        <v>117</v>
      </c>
      <c r="U50" s="121">
        <v>5.2922995269342588</v>
      </c>
      <c r="V50" s="583"/>
      <c r="W50" s="121">
        <v>0.60772817534173318</v>
      </c>
      <c r="X50" s="577"/>
      <c r="Y50" s="28"/>
      <c r="AA50" s="607"/>
      <c r="AD50" s="33" t="str">
        <f>C48&amp;F50</f>
        <v>India% GDP</v>
      </c>
    </row>
    <row r="51" spans="1:30" s="13" customFormat="1" ht="82.5" hidden="1" customHeight="1">
      <c r="A51" s="638">
        <v>1</v>
      </c>
      <c r="B51" s="638" t="s">
        <v>861</v>
      </c>
      <c r="C51" s="632" t="s">
        <v>13</v>
      </c>
      <c r="D51" s="629" t="s">
        <v>571</v>
      </c>
      <c r="F51" s="37" t="s">
        <v>115</v>
      </c>
      <c r="G51" s="127">
        <v>1439950</v>
      </c>
      <c r="H51" s="259">
        <v>314450</v>
      </c>
      <c r="I51" s="575" t="s">
        <v>1637</v>
      </c>
      <c r="J51" s="259">
        <v>1125500</v>
      </c>
      <c r="K51" s="575" t="s">
        <v>1638</v>
      </c>
      <c r="L51" s="140"/>
      <c r="M51" s="581" t="s">
        <v>1261</v>
      </c>
      <c r="O51" s="37" t="s">
        <v>115</v>
      </c>
      <c r="P51" s="260">
        <v>135150</v>
      </c>
      <c r="Q51" s="183">
        <v>35150</v>
      </c>
      <c r="R51" s="575" t="s">
        <v>1255</v>
      </c>
      <c r="T51" s="37" t="s">
        <v>115</v>
      </c>
      <c r="U51" s="183">
        <v>100000</v>
      </c>
      <c r="V51" s="581" t="s">
        <v>1303</v>
      </c>
      <c r="W51" s="278"/>
      <c r="X51" s="140"/>
      <c r="Y51" s="18"/>
      <c r="AA51" s="18"/>
      <c r="AD51" s="33" t="str">
        <f>C51&amp;F51</f>
        <v>IndonesiaLC bn</v>
      </c>
    </row>
    <row r="52" spans="1:30" s="10" customFormat="1" ht="74.150000000000006" hidden="1" customHeight="1">
      <c r="A52" s="638"/>
      <c r="B52" s="638"/>
      <c r="C52" s="632"/>
      <c r="D52" s="629"/>
      <c r="F52" s="32" t="s">
        <v>116</v>
      </c>
      <c r="G52" s="81">
        <v>98.860320620644671</v>
      </c>
      <c r="H52" s="69">
        <v>21.588685592667606</v>
      </c>
      <c r="I52" s="576"/>
      <c r="J52" s="254">
        <v>77.271635027977069</v>
      </c>
      <c r="K52" s="576"/>
      <c r="L52" s="186"/>
      <c r="M52" s="582"/>
      <c r="O52" s="32" t="s">
        <v>116</v>
      </c>
      <c r="P52" s="81">
        <v>9.2787751879441149</v>
      </c>
      <c r="Q52" s="180">
        <v>2.4132367580927534</v>
      </c>
      <c r="R52" s="652"/>
      <c r="T52" s="32" t="s">
        <v>116</v>
      </c>
      <c r="U52" s="173">
        <v>6.8655384298513615</v>
      </c>
      <c r="V52" s="582"/>
      <c r="W52" s="279"/>
      <c r="X52" s="29"/>
      <c r="Y52" s="28"/>
      <c r="AA52" s="28"/>
      <c r="AD52" s="33" t="str">
        <f>C51&amp;F52</f>
        <v>IndonesiaUSD bn</v>
      </c>
    </row>
    <row r="53" spans="1:30" s="2" customFormat="1" ht="63" hidden="1" customHeight="1">
      <c r="A53" s="638"/>
      <c r="B53" s="638"/>
      <c r="C53" s="633"/>
      <c r="D53" s="630"/>
      <c r="E53" s="12"/>
      <c r="F53" s="31" t="s">
        <v>117</v>
      </c>
      <c r="G53" s="17">
        <v>9.3296348167315557</v>
      </c>
      <c r="H53" s="17">
        <v>2.037364955811825</v>
      </c>
      <c r="I53" s="577"/>
      <c r="J53" s="121">
        <v>7.2922698609197294</v>
      </c>
      <c r="K53" s="577"/>
      <c r="L53" s="187"/>
      <c r="M53" s="583"/>
      <c r="N53" s="12"/>
      <c r="O53" s="31" t="s">
        <v>117</v>
      </c>
      <c r="P53" s="17">
        <v>0.87565550573371964</v>
      </c>
      <c r="Q53" s="174">
        <v>0.22774170200917679</v>
      </c>
      <c r="R53" s="653"/>
      <c r="S53" s="12"/>
      <c r="T53" s="31" t="s">
        <v>117</v>
      </c>
      <c r="U53" s="174">
        <v>0.64791380372454288</v>
      </c>
      <c r="V53" s="583"/>
      <c r="W53" s="280"/>
      <c r="X53" s="187"/>
      <c r="Y53" s="132" t="s">
        <v>296</v>
      </c>
      <c r="Z53" s="1"/>
      <c r="AA53" s="26"/>
      <c r="AD53" s="33" t="str">
        <f>C51&amp;F53</f>
        <v>Indonesia% GDP</v>
      </c>
    </row>
    <row r="54" spans="1:30" s="36" customFormat="1" ht="58.5" hidden="1" customHeight="1">
      <c r="A54" s="638">
        <v>1</v>
      </c>
      <c r="B54" s="638" t="s">
        <v>861</v>
      </c>
      <c r="C54" s="632" t="s">
        <v>14</v>
      </c>
      <c r="D54" s="629" t="s">
        <v>572</v>
      </c>
      <c r="F54" s="32" t="s">
        <v>115</v>
      </c>
      <c r="G54" s="95">
        <v>151</v>
      </c>
      <c r="H54" s="75">
        <v>103.2</v>
      </c>
      <c r="I54" s="650" t="s">
        <v>1488</v>
      </c>
      <c r="J54" s="95">
        <v>47.8</v>
      </c>
      <c r="K54" s="651" t="s">
        <v>1489</v>
      </c>
      <c r="L54" s="95">
        <v>92</v>
      </c>
      <c r="M54" s="581" t="s">
        <v>1636</v>
      </c>
      <c r="O54" s="32" t="s">
        <v>115</v>
      </c>
      <c r="P54" s="95">
        <v>288.2</v>
      </c>
      <c r="Q54" s="166">
        <v>19.2</v>
      </c>
      <c r="R54" s="575" t="s">
        <v>1490</v>
      </c>
      <c r="T54" s="32" t="s">
        <v>115</v>
      </c>
      <c r="U54" s="56">
        <v>6</v>
      </c>
      <c r="V54" s="28" t="s">
        <v>1435</v>
      </c>
      <c r="W54" s="166">
        <v>263</v>
      </c>
      <c r="X54" s="657" t="s">
        <v>1491</v>
      </c>
      <c r="Y54" s="575" t="s">
        <v>77</v>
      </c>
      <c r="AA54" s="654" t="s">
        <v>1437</v>
      </c>
      <c r="AD54" s="33" t="str">
        <f>C54&amp;F54</f>
        <v>MexicoLC bn</v>
      </c>
    </row>
    <row r="55" spans="1:30" s="36" customFormat="1" ht="58.5" hidden="1" customHeight="1">
      <c r="A55" s="638"/>
      <c r="B55" s="638"/>
      <c r="C55" s="632"/>
      <c r="D55" s="629"/>
      <c r="F55" s="32" t="s">
        <v>116</v>
      </c>
      <c r="G55" s="69">
        <v>7.0279601888550927</v>
      </c>
      <c r="H55" s="69">
        <v>4.8032151754294405</v>
      </c>
      <c r="I55" s="601"/>
      <c r="J55" s="69">
        <v>2.2247450134256517</v>
      </c>
      <c r="K55" s="582"/>
      <c r="L55" s="69">
        <v>4.2819360091037648</v>
      </c>
      <c r="M55" s="582"/>
      <c r="O55" s="32" t="s">
        <v>116</v>
      </c>
      <c r="P55" s="69">
        <v>13.41362997634462</v>
      </c>
      <c r="Q55" s="69">
        <v>0.89362142798687272</v>
      </c>
      <c r="R55" s="576"/>
      <c r="T55" s="32" t="s">
        <v>116</v>
      </c>
      <c r="U55" s="56">
        <v>0.27925669624589772</v>
      </c>
      <c r="V55" s="28"/>
      <c r="W55" s="69">
        <v>12.240751852111851</v>
      </c>
      <c r="X55" s="658"/>
      <c r="Y55" s="576"/>
      <c r="AA55" s="655"/>
      <c r="AD55" s="33" t="str">
        <f>C54&amp;F55</f>
        <v>MexicoUSD bn</v>
      </c>
    </row>
    <row r="56" spans="1:30" s="4" customFormat="1" ht="58.5" hidden="1" customHeight="1">
      <c r="A56" s="638"/>
      <c r="B56" s="638"/>
      <c r="C56" s="633"/>
      <c r="D56" s="630"/>
      <c r="F56" s="31" t="s">
        <v>117</v>
      </c>
      <c r="G56" s="17">
        <v>0.65442396745349374</v>
      </c>
      <c r="H56" s="17">
        <v>0.44726194331920904</v>
      </c>
      <c r="I56" s="602"/>
      <c r="J56" s="17">
        <v>0.20716202413428478</v>
      </c>
      <c r="K56" s="583"/>
      <c r="L56" s="17">
        <v>0.39872188745510878</v>
      </c>
      <c r="M56" s="583"/>
      <c r="O56" s="31" t="s">
        <v>117</v>
      </c>
      <c r="P56" s="17">
        <v>1.2490396517887212</v>
      </c>
      <c r="Q56" s="17">
        <v>8.3211524338457493E-2</v>
      </c>
      <c r="R56" s="577"/>
      <c r="T56" s="31" t="s">
        <v>117</v>
      </c>
      <c r="U56" s="68">
        <v>2.6003601355767965E-2</v>
      </c>
      <c r="V56" s="19"/>
      <c r="W56" s="17">
        <v>1.1398245260944957</v>
      </c>
      <c r="X56" s="659"/>
      <c r="Y56" s="577"/>
      <c r="AA56" s="656"/>
      <c r="AD56" s="33" t="str">
        <f>C54&amp;F56</f>
        <v>Mexico% GDP</v>
      </c>
    </row>
    <row r="57" spans="1:30" s="10" customFormat="1" ht="165" hidden="1" customHeight="1">
      <c r="A57" s="638">
        <v>1</v>
      </c>
      <c r="B57" s="638" t="s">
        <v>861</v>
      </c>
      <c r="C57" s="632" t="s">
        <v>15</v>
      </c>
      <c r="D57" s="629" t="s">
        <v>571</v>
      </c>
      <c r="E57" s="13"/>
      <c r="F57" s="32" t="s">
        <v>115</v>
      </c>
      <c r="G57" s="127">
        <v>5354</v>
      </c>
      <c r="H57" s="74">
        <v>775</v>
      </c>
      <c r="I57" s="575" t="s">
        <v>1494</v>
      </c>
      <c r="J57" s="127">
        <v>4579</v>
      </c>
      <c r="K57" s="581" t="s">
        <v>1607</v>
      </c>
      <c r="L57" s="74">
        <v>460</v>
      </c>
      <c r="M57" s="575" t="s">
        <v>805</v>
      </c>
      <c r="N57" s="13"/>
      <c r="O57" s="32" t="s">
        <v>115</v>
      </c>
      <c r="P57" s="127">
        <v>1567</v>
      </c>
      <c r="Q57" s="166">
        <v>567</v>
      </c>
      <c r="R57" s="575" t="s">
        <v>1608</v>
      </c>
      <c r="S57" s="13"/>
      <c r="T57" s="32" t="s">
        <v>115</v>
      </c>
      <c r="U57" s="95">
        <v>500</v>
      </c>
      <c r="V57" s="575" t="s">
        <v>978</v>
      </c>
      <c r="W57" s="189">
        <v>500</v>
      </c>
      <c r="X57" s="581" t="s">
        <v>806</v>
      </c>
      <c r="Y57" s="18"/>
      <c r="Z57" s="13"/>
      <c r="AA57" s="18"/>
      <c r="AD57" s="33" t="str">
        <f>C57&amp;F57</f>
        <v>RussiaLC bn</v>
      </c>
    </row>
    <row r="58" spans="1:30" s="10" customFormat="1" ht="138" hidden="1" customHeight="1">
      <c r="A58" s="638"/>
      <c r="B58" s="638"/>
      <c r="C58" s="632"/>
      <c r="D58" s="629"/>
      <c r="F58" s="32" t="s">
        <v>116</v>
      </c>
      <c r="G58" s="69">
        <v>74.006320564062733</v>
      </c>
      <c r="H58" s="81">
        <v>10.712532393938853</v>
      </c>
      <c r="I58" s="576"/>
      <c r="J58" s="69">
        <v>63.293788170123882</v>
      </c>
      <c r="K58" s="582"/>
      <c r="L58" s="120">
        <v>6.3584063241443518</v>
      </c>
      <c r="M58" s="576"/>
      <c r="O58" s="32" t="s">
        <v>116</v>
      </c>
      <c r="P58" s="81">
        <v>21.660049369422172</v>
      </c>
      <c r="Q58" s="69">
        <v>7.837426925630103</v>
      </c>
      <c r="R58" s="576"/>
      <c r="T58" s="32" t="s">
        <v>116</v>
      </c>
      <c r="U58" s="69">
        <v>6.9113112218960344</v>
      </c>
      <c r="V58" s="576"/>
      <c r="W58" s="69">
        <v>6.9113112218960344</v>
      </c>
      <c r="X58" s="582"/>
      <c r="Y58" s="28"/>
      <c r="AA58" s="28"/>
      <c r="AD58" s="33" t="str">
        <f>C57&amp;F58</f>
        <v>RussiaUSD bn</v>
      </c>
    </row>
    <row r="59" spans="1:30" ht="210.75" hidden="1" customHeight="1">
      <c r="A59" s="638"/>
      <c r="B59" s="638"/>
      <c r="C59" s="633"/>
      <c r="D59" s="630"/>
      <c r="E59" s="6"/>
      <c r="F59" s="32" t="s">
        <v>117</v>
      </c>
      <c r="G59" s="17">
        <v>5.0052604782800296</v>
      </c>
      <c r="H59" s="17">
        <v>0.72451940057284703</v>
      </c>
      <c r="I59" s="577"/>
      <c r="J59" s="17">
        <v>4.2807410777071828</v>
      </c>
      <c r="K59" s="583"/>
      <c r="L59" s="121">
        <v>0.43003732163033498</v>
      </c>
      <c r="M59" s="577"/>
      <c r="N59" s="6"/>
      <c r="O59" s="32" t="s">
        <v>117</v>
      </c>
      <c r="P59" s="17">
        <v>1.464931484771163</v>
      </c>
      <c r="Q59" s="17">
        <v>0.53006774209652163</v>
      </c>
      <c r="R59" s="577"/>
      <c r="S59" s="6"/>
      <c r="T59" s="32" t="s">
        <v>117</v>
      </c>
      <c r="U59" s="17">
        <v>0.46743187133732073</v>
      </c>
      <c r="V59" s="577"/>
      <c r="W59" s="17">
        <v>0.46743187133732073</v>
      </c>
      <c r="X59" s="583"/>
      <c r="Y59" s="28"/>
      <c r="AA59" s="27"/>
      <c r="AD59" s="33" t="str">
        <f>C57&amp;F59</f>
        <v>Russia% GDP</v>
      </c>
    </row>
    <row r="60" spans="1:30" s="13" customFormat="1" ht="43.5" hidden="1" customHeight="1">
      <c r="A60" s="638">
        <v>1</v>
      </c>
      <c r="B60" s="638" t="s">
        <v>861</v>
      </c>
      <c r="C60" s="632" t="s">
        <v>16</v>
      </c>
      <c r="D60" s="629" t="s">
        <v>570</v>
      </c>
      <c r="F60" s="37" t="s">
        <v>115</v>
      </c>
      <c r="G60" s="93">
        <v>67.599999999999994</v>
      </c>
      <c r="H60" s="74">
        <v>54</v>
      </c>
      <c r="I60" s="575" t="s">
        <v>1609</v>
      </c>
      <c r="J60" s="53">
        <v>13.6</v>
      </c>
      <c r="K60" s="575" t="s">
        <v>1610</v>
      </c>
      <c r="L60" s="74">
        <v>42.5</v>
      </c>
      <c r="M60" s="575" t="s">
        <v>1611</v>
      </c>
      <c r="O60" s="37" t="s">
        <v>115</v>
      </c>
      <c r="P60" s="264">
        <v>25.7</v>
      </c>
      <c r="Q60" s="175">
        <v>25.7</v>
      </c>
      <c r="R60" s="575" t="s">
        <v>1612</v>
      </c>
      <c r="T60" s="37" t="s">
        <v>115</v>
      </c>
      <c r="U60" s="53"/>
      <c r="V60" s="18"/>
      <c r="W60" s="18"/>
      <c r="X60" s="18"/>
      <c r="Y60" s="18"/>
      <c r="AA60" s="605" t="s">
        <v>59</v>
      </c>
      <c r="AD60" s="33" t="str">
        <f>C60&amp;F60</f>
        <v>Saudi ArabiaLC bn</v>
      </c>
    </row>
    <row r="61" spans="1:30" s="10" customFormat="1" ht="58.5" hidden="1" customHeight="1">
      <c r="A61" s="638"/>
      <c r="B61" s="638"/>
      <c r="C61" s="632"/>
      <c r="D61" s="629"/>
      <c r="F61" s="32" t="s">
        <v>116</v>
      </c>
      <c r="G61" s="69">
        <v>18.026666666666664</v>
      </c>
      <c r="H61" s="81">
        <v>14.4</v>
      </c>
      <c r="I61" s="576"/>
      <c r="J61" s="69">
        <v>3.6266666666666665</v>
      </c>
      <c r="K61" s="576"/>
      <c r="L61" s="81">
        <v>11.333333333333334</v>
      </c>
      <c r="M61" s="576"/>
      <c r="O61" s="32" t="s">
        <v>116</v>
      </c>
      <c r="P61" s="248">
        <v>6.8533333333333335</v>
      </c>
      <c r="Q61" s="170">
        <v>6.8533333333333335</v>
      </c>
      <c r="R61" s="576"/>
      <c r="T61" s="32" t="s">
        <v>116</v>
      </c>
      <c r="U61" s="56"/>
      <c r="V61" s="28"/>
      <c r="W61" s="28"/>
      <c r="X61" s="28"/>
      <c r="Y61" s="28"/>
      <c r="AA61" s="606"/>
      <c r="AD61" s="33" t="str">
        <f>C60&amp;F61</f>
        <v>Saudi ArabiaUSD bn</v>
      </c>
    </row>
    <row r="62" spans="1:30" ht="91.75" hidden="1" customHeight="1">
      <c r="A62" s="638"/>
      <c r="B62" s="638"/>
      <c r="C62" s="633"/>
      <c r="D62" s="630"/>
      <c r="E62" s="12"/>
      <c r="F62" s="31" t="s">
        <v>117</v>
      </c>
      <c r="G62" s="17">
        <v>2.5748045471962433</v>
      </c>
      <c r="H62" s="17">
        <v>2.0567965317839816</v>
      </c>
      <c r="I62" s="577"/>
      <c r="J62" s="17">
        <v>0.51800801541226205</v>
      </c>
      <c r="K62" s="577"/>
      <c r="L62" s="17">
        <v>1.6187750329433777</v>
      </c>
      <c r="M62" s="577"/>
      <c r="N62" s="12"/>
      <c r="O62" s="31" t="s">
        <v>117</v>
      </c>
      <c r="P62" s="267">
        <v>0.97888278462693656</v>
      </c>
      <c r="Q62" s="168">
        <v>0.97888278462693656</v>
      </c>
      <c r="R62" s="577"/>
      <c r="S62" s="12"/>
      <c r="T62" s="31" t="s">
        <v>117</v>
      </c>
      <c r="U62" s="17"/>
      <c r="V62" s="19"/>
      <c r="W62" s="19"/>
      <c r="X62" s="19"/>
      <c r="Y62" s="19"/>
      <c r="Z62" s="1"/>
      <c r="AA62" s="26"/>
      <c r="AD62" s="33" t="str">
        <f>C60&amp;F62</f>
        <v>Saudi Arabia% GDP</v>
      </c>
    </row>
    <row r="63" spans="1:30" s="10" customFormat="1" ht="143.5" hidden="1" customHeight="1">
      <c r="A63" s="638">
        <v>1</v>
      </c>
      <c r="B63" s="638" t="s">
        <v>861</v>
      </c>
      <c r="C63" s="632" t="s">
        <v>17</v>
      </c>
      <c r="D63" s="629" t="s">
        <v>570</v>
      </c>
      <c r="E63" s="13"/>
      <c r="F63" s="32" t="s">
        <v>115</v>
      </c>
      <c r="G63" s="93">
        <v>291.3</v>
      </c>
      <c r="H63" s="93">
        <v>38.299999999999997</v>
      </c>
      <c r="I63" s="575" t="s">
        <v>1526</v>
      </c>
      <c r="J63" s="93">
        <v>253</v>
      </c>
      <c r="K63" s="581" t="s">
        <v>1527</v>
      </c>
      <c r="L63" s="93">
        <v>44</v>
      </c>
      <c r="M63" s="581" t="s">
        <v>1528</v>
      </c>
      <c r="N63" s="13"/>
      <c r="O63" s="32" t="s">
        <v>115</v>
      </c>
      <c r="P63" s="93">
        <v>203</v>
      </c>
      <c r="Q63" s="175"/>
      <c r="R63" s="575"/>
      <c r="S63" s="13"/>
      <c r="T63" s="32" t="s">
        <v>115</v>
      </c>
      <c r="U63" s="93">
        <v>200</v>
      </c>
      <c r="V63" s="581" t="s">
        <v>1529</v>
      </c>
      <c r="W63" s="53">
        <v>3</v>
      </c>
      <c r="X63" s="581" t="s">
        <v>575</v>
      </c>
      <c r="Y63" s="18"/>
      <c r="Z63" s="13"/>
      <c r="AA63" s="18"/>
      <c r="AD63" s="33" t="str">
        <f>C63&amp;F63</f>
        <v>South AfricaLC bn</v>
      </c>
    </row>
    <row r="64" spans="1:30" s="10" customFormat="1" ht="97.5" hidden="1" customHeight="1">
      <c r="A64" s="638"/>
      <c r="B64" s="638"/>
      <c r="C64" s="632"/>
      <c r="D64" s="629"/>
      <c r="F64" s="32" t="s">
        <v>116</v>
      </c>
      <c r="G64" s="69">
        <v>17.693238243228844</v>
      </c>
      <c r="H64" s="81">
        <v>2.3262994325975441</v>
      </c>
      <c r="I64" s="576"/>
      <c r="J64" s="69">
        <v>15.366938810631298</v>
      </c>
      <c r="K64" s="582"/>
      <c r="L64" s="120">
        <v>2.6725110975010953</v>
      </c>
      <c r="M64" s="582"/>
      <c r="O64" s="32" t="s">
        <v>116</v>
      </c>
      <c r="P64" s="95">
        <v>12.32999438165278</v>
      </c>
      <c r="Q64" s="170"/>
      <c r="R64" s="576"/>
      <c r="T64" s="32" t="s">
        <v>116</v>
      </c>
      <c r="U64" s="95">
        <v>12.147777715914069</v>
      </c>
      <c r="V64" s="582"/>
      <c r="W64" s="56">
        <v>0.18221666573871104</v>
      </c>
      <c r="X64" s="582"/>
      <c r="Y64" s="28"/>
      <c r="AA64" s="28"/>
      <c r="AD64" s="33" t="str">
        <f>C63&amp;F64</f>
        <v>South AfricaUSD bn</v>
      </c>
    </row>
    <row r="65" spans="1:30" ht="61.5" hidden="1" customHeight="1">
      <c r="A65" s="638"/>
      <c r="B65" s="638"/>
      <c r="C65" s="633"/>
      <c r="D65" s="630"/>
      <c r="E65" s="12"/>
      <c r="F65" s="31" t="s">
        <v>117</v>
      </c>
      <c r="G65" s="17">
        <v>5.2761463161134641</v>
      </c>
      <c r="H65" s="17">
        <v>0.69370547170321195</v>
      </c>
      <c r="I65" s="577"/>
      <c r="J65" s="17">
        <v>4.582440844410252</v>
      </c>
      <c r="K65" s="583"/>
      <c r="L65" s="121">
        <v>0.88478224805071415</v>
      </c>
      <c r="M65" s="583"/>
      <c r="N65" s="12"/>
      <c r="O65" s="31" t="s">
        <v>117</v>
      </c>
      <c r="P65" s="17">
        <v>4.0820635535067034</v>
      </c>
      <c r="Q65" s="168"/>
      <c r="R65" s="577"/>
      <c r="S65" s="12"/>
      <c r="T65" s="31" t="s">
        <v>117</v>
      </c>
      <c r="U65" s="17">
        <v>4.0217374911396089</v>
      </c>
      <c r="V65" s="583"/>
      <c r="W65" s="68">
        <v>6.032606236709414E-2</v>
      </c>
      <c r="X65" s="583"/>
      <c r="Y65" s="19"/>
      <c r="Z65" s="1"/>
      <c r="AA65" s="26"/>
      <c r="AD65" s="33" t="str">
        <f>C63&amp;F65</f>
        <v>South Africa% GDP</v>
      </c>
    </row>
    <row r="66" spans="1:30" s="36" customFormat="1" ht="92.15" hidden="1" customHeight="1">
      <c r="A66" s="638">
        <v>1</v>
      </c>
      <c r="B66" s="638" t="s">
        <v>861</v>
      </c>
      <c r="C66" s="632" t="s">
        <v>18</v>
      </c>
      <c r="D66" s="629" t="s">
        <v>572</v>
      </c>
      <c r="E66" s="14"/>
      <c r="F66" s="32" t="s">
        <v>115</v>
      </c>
      <c r="G66" s="93">
        <v>176.9</v>
      </c>
      <c r="H66" s="74">
        <v>19.399999999999999</v>
      </c>
      <c r="I66" s="581" t="s">
        <v>1566</v>
      </c>
      <c r="J66" s="510">
        <v>157.5</v>
      </c>
      <c r="K66" s="581" t="s">
        <v>1664</v>
      </c>
      <c r="L66" s="510">
        <v>70.2</v>
      </c>
      <c r="M66" s="581" t="s">
        <v>1307</v>
      </c>
      <c r="N66" s="14"/>
      <c r="O66" s="32" t="s">
        <v>115</v>
      </c>
      <c r="P66" s="93">
        <v>486.2</v>
      </c>
      <c r="Q66" s="175">
        <v>21</v>
      </c>
      <c r="R66" s="575" t="s">
        <v>848</v>
      </c>
      <c r="S66" s="14"/>
      <c r="T66" s="32" t="s">
        <v>115</v>
      </c>
      <c r="U66" s="93">
        <v>322</v>
      </c>
      <c r="V66" s="575" t="s">
        <v>1493</v>
      </c>
      <c r="W66" s="93">
        <v>143.19999999999999</v>
      </c>
      <c r="X66" s="575" t="s">
        <v>1495</v>
      </c>
      <c r="Y66" s="18"/>
      <c r="Z66" s="14"/>
      <c r="AA66" s="18"/>
      <c r="AD66" s="33" t="str">
        <f>C66&amp;F66</f>
        <v>TurkeyLC bn</v>
      </c>
    </row>
    <row r="67" spans="1:30" s="36" customFormat="1" ht="106" hidden="1" customHeight="1">
      <c r="A67" s="638"/>
      <c r="B67" s="638"/>
      <c r="C67" s="632"/>
      <c r="D67" s="629"/>
      <c r="F67" s="32" t="s">
        <v>116</v>
      </c>
      <c r="G67" s="69">
        <v>25.234121210982789</v>
      </c>
      <c r="H67" s="56">
        <v>2.7673372045961901</v>
      </c>
      <c r="I67" s="582"/>
      <c r="J67" s="120">
        <v>22.466784006386597</v>
      </c>
      <c r="K67" s="582"/>
      <c r="L67" s="120">
        <v>10.01376658570374</v>
      </c>
      <c r="M67" s="582"/>
      <c r="O67" s="32" t="s">
        <v>116</v>
      </c>
      <c r="P67" s="254">
        <v>69.354605612096279</v>
      </c>
      <c r="Q67" s="120">
        <v>2.995571200851546</v>
      </c>
      <c r="R67" s="576"/>
      <c r="T67" s="32" t="s">
        <v>116</v>
      </c>
      <c r="U67" s="81">
        <v>45.932091746390377</v>
      </c>
      <c r="V67" s="576"/>
      <c r="W67" s="81">
        <v>20.426942664854352</v>
      </c>
      <c r="X67" s="576"/>
      <c r="Y67" s="28"/>
      <c r="AA67" s="28"/>
      <c r="AD67" s="33" t="str">
        <f>C66&amp;F67</f>
        <v>TurkeyUSD bn</v>
      </c>
    </row>
    <row r="68" spans="1:30" ht="146.15" hidden="1" customHeight="1">
      <c r="A68" s="638"/>
      <c r="B68" s="638"/>
      <c r="C68" s="633"/>
      <c r="D68" s="630"/>
      <c r="E68" s="12"/>
      <c r="F68" s="31" t="s">
        <v>117</v>
      </c>
      <c r="G68" s="17">
        <v>3.5051335544057456</v>
      </c>
      <c r="H68" s="402">
        <v>0.3843956526595334</v>
      </c>
      <c r="I68" s="583"/>
      <c r="J68" s="121">
        <v>3.120737901746212</v>
      </c>
      <c r="K68" s="583"/>
      <c r="L68" s="121">
        <v>1.3909574647783118</v>
      </c>
      <c r="M68" s="583"/>
      <c r="N68" s="12"/>
      <c r="O68" s="31" t="s">
        <v>117</v>
      </c>
      <c r="P68" s="121">
        <v>9.6336683671683065</v>
      </c>
      <c r="Q68" s="121">
        <v>0.41609838689949497</v>
      </c>
      <c r="R68" s="577"/>
      <c r="S68" s="12"/>
      <c r="T68" s="31" t="s">
        <v>117</v>
      </c>
      <c r="U68" s="17">
        <v>6.3801752657922552</v>
      </c>
      <c r="V68" s="577"/>
      <c r="W68" s="17">
        <v>2.8373947144765559</v>
      </c>
      <c r="X68" s="577"/>
      <c r="Y68" s="19"/>
      <c r="Z68" s="1"/>
      <c r="AA68" s="26"/>
      <c r="AD68" s="33" t="str">
        <f>C66&amp;F68</f>
        <v>Turkey% GDP</v>
      </c>
    </row>
    <row r="69" spans="1:30" ht="109.5" hidden="1" customHeight="1">
      <c r="A69" s="638">
        <v>0</v>
      </c>
      <c r="B69" s="638" t="s">
        <v>858</v>
      </c>
      <c r="C69" s="632" t="s">
        <v>547</v>
      </c>
      <c r="D69" s="629" t="s">
        <v>570</v>
      </c>
      <c r="F69" s="32" t="s">
        <v>115</v>
      </c>
      <c r="G69" s="81">
        <v>37.200000000000003</v>
      </c>
      <c r="H69" s="69">
        <v>9.6</v>
      </c>
      <c r="I69" s="664" t="s">
        <v>1598</v>
      </c>
      <c r="J69" s="81">
        <v>27.6</v>
      </c>
      <c r="K69" s="634" t="s">
        <v>1672</v>
      </c>
      <c r="L69" s="81">
        <v>12.9</v>
      </c>
      <c r="M69" s="575" t="s">
        <v>1599</v>
      </c>
      <c r="O69" s="32" t="s">
        <v>115</v>
      </c>
      <c r="P69" s="264">
        <v>53.6</v>
      </c>
      <c r="Q69" s="170">
        <v>1.6</v>
      </c>
      <c r="R69" s="581" t="s">
        <v>1509</v>
      </c>
      <c r="T69" s="32" t="s">
        <v>115</v>
      </c>
      <c r="U69" s="81">
        <v>52</v>
      </c>
      <c r="V69" s="575" t="s">
        <v>1673</v>
      </c>
      <c r="W69" s="35"/>
      <c r="X69" s="35"/>
      <c r="AD69" s="33" t="str">
        <f>C69&amp;F69</f>
        <v>BelgiumLC bn</v>
      </c>
    </row>
    <row r="70" spans="1:30" ht="116.15" hidden="1" customHeight="1">
      <c r="A70" s="638"/>
      <c r="B70" s="638"/>
      <c r="C70" s="632"/>
      <c r="D70" s="629"/>
      <c r="F70" s="32" t="s">
        <v>116</v>
      </c>
      <c r="G70" s="81">
        <v>42.45568516798415</v>
      </c>
      <c r="H70" s="69">
        <v>10.95630584980236</v>
      </c>
      <c r="I70" s="576"/>
      <c r="J70" s="81">
        <v>31.499379318181788</v>
      </c>
      <c r="K70" s="582"/>
      <c r="L70" s="81">
        <v>14.722535985671922</v>
      </c>
      <c r="M70" s="576"/>
      <c r="O70" s="32" t="s">
        <v>116</v>
      </c>
      <c r="P70" s="265">
        <v>61.172707661396508</v>
      </c>
      <c r="Q70" s="69">
        <v>1.8260509749670601</v>
      </c>
      <c r="R70" s="582"/>
      <c r="T70" s="32" t="s">
        <v>116</v>
      </c>
      <c r="U70" s="81">
        <v>59.346656686429448</v>
      </c>
      <c r="V70" s="576"/>
      <c r="W70" s="35"/>
      <c r="X70" s="35"/>
      <c r="AD70" s="33" t="str">
        <f>C69&amp;F70</f>
        <v>BelgiumUSD bn</v>
      </c>
    </row>
    <row r="71" spans="1:30" ht="151.5" hidden="1" customHeight="1">
      <c r="A71" s="638"/>
      <c r="B71" s="638"/>
      <c r="C71" s="633"/>
      <c r="D71" s="630"/>
      <c r="F71" s="31" t="s">
        <v>117</v>
      </c>
      <c r="G71" s="17">
        <v>8.2451011465566726</v>
      </c>
      <c r="H71" s="17">
        <v>2.127768037821077</v>
      </c>
      <c r="I71" s="577"/>
      <c r="J71" s="17">
        <v>6.117333108735596</v>
      </c>
      <c r="K71" s="583"/>
      <c r="L71" s="17">
        <v>2.8591883008220722</v>
      </c>
      <c r="M71" s="577"/>
      <c r="O71" s="31" t="s">
        <v>117</v>
      </c>
      <c r="P71" s="267">
        <v>11.880038211167678</v>
      </c>
      <c r="Q71" s="17">
        <v>0.35462800630351282</v>
      </c>
      <c r="R71" s="583"/>
      <c r="T71" s="31" t="s">
        <v>117</v>
      </c>
      <c r="U71" s="17">
        <v>11.525410204864166</v>
      </c>
      <c r="V71" s="577"/>
      <c r="W71" s="35"/>
      <c r="X71" s="35"/>
      <c r="AD71" s="33" t="str">
        <f>C69&amp;F71</f>
        <v>Belgium% GDP</v>
      </c>
    </row>
    <row r="72" spans="1:30" ht="234.65" hidden="1" customHeight="1">
      <c r="A72" s="638">
        <v>0</v>
      </c>
      <c r="B72" s="638" t="s">
        <v>858</v>
      </c>
      <c r="C72" s="632" t="s">
        <v>542</v>
      </c>
      <c r="D72" s="629" t="s">
        <v>570</v>
      </c>
      <c r="E72" s="15"/>
      <c r="F72" s="32" t="s">
        <v>115</v>
      </c>
      <c r="G72" s="93">
        <v>523.4</v>
      </c>
      <c r="H72" s="477">
        <v>148.4</v>
      </c>
      <c r="I72" s="634" t="s">
        <v>1629</v>
      </c>
      <c r="J72" s="476">
        <v>375</v>
      </c>
      <c r="K72" s="634" t="s">
        <v>1631</v>
      </c>
      <c r="L72" s="476">
        <v>14.3</v>
      </c>
      <c r="M72" s="634" t="s">
        <v>1632</v>
      </c>
      <c r="N72" s="14"/>
      <c r="O72" s="32" t="s">
        <v>115</v>
      </c>
      <c r="P72" s="264">
        <v>881.3</v>
      </c>
      <c r="Q72" s="177">
        <v>0.9</v>
      </c>
      <c r="R72" s="581" t="s">
        <v>1633</v>
      </c>
      <c r="S72" s="14"/>
      <c r="T72" s="32" t="s">
        <v>115</v>
      </c>
      <c r="U72" s="93">
        <v>880.4</v>
      </c>
      <c r="V72" s="575" t="s">
        <v>1630</v>
      </c>
      <c r="W72" s="93"/>
      <c r="X72" s="575"/>
      <c r="AD72" s="33" t="str">
        <f>C72&amp;F72</f>
        <v>Czech RepublicLC bn</v>
      </c>
    </row>
    <row r="73" spans="1:30" ht="194.5" hidden="1" customHeight="1">
      <c r="A73" s="638"/>
      <c r="B73" s="638"/>
      <c r="C73" s="632"/>
      <c r="D73" s="629"/>
      <c r="F73" s="32" t="s">
        <v>116</v>
      </c>
      <c r="G73" s="81">
        <v>22.550381835611422</v>
      </c>
      <c r="H73" s="56">
        <v>6.3937269094473352</v>
      </c>
      <c r="I73" s="648"/>
      <c r="J73" s="69">
        <v>16.156654926164087</v>
      </c>
      <c r="K73" s="648"/>
      <c r="L73" s="69">
        <v>0.61610710785105727</v>
      </c>
      <c r="M73" s="582"/>
      <c r="N73" s="36"/>
      <c r="O73" s="32" t="s">
        <v>116</v>
      </c>
      <c r="P73" s="265">
        <v>37.970293297142426</v>
      </c>
      <c r="Q73" s="178">
        <v>3.8775971822793812E-2</v>
      </c>
      <c r="R73" s="582"/>
      <c r="S73" s="36"/>
      <c r="T73" s="32" t="s">
        <v>116</v>
      </c>
      <c r="U73" s="81">
        <v>37.931517325319632</v>
      </c>
      <c r="V73" s="576"/>
      <c r="W73" s="69"/>
      <c r="X73" s="576"/>
      <c r="AD73" s="33" t="str">
        <f>C72&amp;F73</f>
        <v>Czech RepublicUSD bn</v>
      </c>
    </row>
    <row r="74" spans="1:30" ht="79.5" hidden="1" customHeight="1">
      <c r="A74" s="638"/>
      <c r="B74" s="638"/>
      <c r="C74" s="633"/>
      <c r="D74" s="630"/>
      <c r="F74" s="31" t="s">
        <v>117</v>
      </c>
      <c r="G74" s="17">
        <v>9.1911264362891103</v>
      </c>
      <c r="H74" s="68">
        <v>2.6059670675301949</v>
      </c>
      <c r="I74" s="649"/>
      <c r="J74" s="17">
        <v>6.5851593687589149</v>
      </c>
      <c r="K74" s="649"/>
      <c r="L74" s="17">
        <v>0.25111407726200669</v>
      </c>
      <c r="M74" s="583"/>
      <c r="N74" s="12"/>
      <c r="O74" s="31" t="s">
        <v>117</v>
      </c>
      <c r="P74" s="267">
        <v>15.476002537832619</v>
      </c>
      <c r="Q74" s="168">
        <v>1.5804382485021397E-2</v>
      </c>
      <c r="R74" s="583"/>
      <c r="S74" s="12"/>
      <c r="T74" s="31" t="s">
        <v>117</v>
      </c>
      <c r="U74" s="17">
        <v>15.460198155347598</v>
      </c>
      <c r="V74" s="577"/>
      <c r="W74" s="17"/>
      <c r="X74" s="577"/>
      <c r="AD74" s="33" t="str">
        <f>C72&amp;F74</f>
        <v>Czech Republic% GDP</v>
      </c>
    </row>
    <row r="75" spans="1:30" s="10" customFormat="1" ht="177.65" hidden="1" customHeight="1">
      <c r="A75" s="638">
        <v>0</v>
      </c>
      <c r="B75" s="638" t="s">
        <v>858</v>
      </c>
      <c r="C75" s="631" t="s">
        <v>19</v>
      </c>
      <c r="D75" s="628" t="s">
        <v>570</v>
      </c>
      <c r="E75" s="13"/>
      <c r="F75" s="37" t="s">
        <v>115</v>
      </c>
      <c r="G75" s="53">
        <v>79.5</v>
      </c>
      <c r="H75" s="74"/>
      <c r="I75" s="600"/>
      <c r="J75" s="93">
        <v>79.5</v>
      </c>
      <c r="K75" s="634" t="s">
        <v>1649</v>
      </c>
      <c r="L75" s="93">
        <v>318.8</v>
      </c>
      <c r="M75" s="639" t="s">
        <v>1650</v>
      </c>
      <c r="N75" s="13"/>
      <c r="O75" s="37" t="s">
        <v>115</v>
      </c>
      <c r="P75" s="264">
        <v>364.2</v>
      </c>
      <c r="Q75" s="175">
        <v>282</v>
      </c>
      <c r="R75" s="581" t="s">
        <v>1592</v>
      </c>
      <c r="S75" s="13"/>
      <c r="T75" s="37" t="s">
        <v>115</v>
      </c>
      <c r="U75" s="93">
        <v>82.2</v>
      </c>
      <c r="V75" s="581" t="s">
        <v>1593</v>
      </c>
      <c r="W75" s="18"/>
      <c r="X75" s="18"/>
      <c r="Y75" s="576" t="s">
        <v>1289</v>
      </c>
      <c r="AA75" s="273" t="s">
        <v>611</v>
      </c>
      <c r="AD75" s="33" t="str">
        <f>C75&amp;F75</f>
        <v>DenmarkLC bn</v>
      </c>
    </row>
    <row r="76" spans="1:30" ht="104.5" hidden="1" customHeight="1">
      <c r="A76" s="638"/>
      <c r="B76" s="638"/>
      <c r="C76" s="632"/>
      <c r="D76" s="629"/>
      <c r="E76" s="6"/>
      <c r="F76" s="32" t="s">
        <v>116</v>
      </c>
      <c r="G76" s="81">
        <v>12.151964295383831</v>
      </c>
      <c r="H76" s="263"/>
      <c r="I76" s="601"/>
      <c r="J76" s="81">
        <v>12.151964295383831</v>
      </c>
      <c r="K76" s="582"/>
      <c r="L76" s="81">
        <v>48.730141098973149</v>
      </c>
      <c r="M76" s="576"/>
      <c r="N76" s="6"/>
      <c r="O76" s="32" t="s">
        <v>116</v>
      </c>
      <c r="P76" s="265">
        <v>55.669753413569694</v>
      </c>
      <c r="Q76" s="170">
        <v>43.105080896833208</v>
      </c>
      <c r="R76" s="582"/>
      <c r="S76" s="6"/>
      <c r="T76" s="32" t="s">
        <v>116</v>
      </c>
      <c r="U76" s="81">
        <v>12.56467251673649</v>
      </c>
      <c r="V76" s="576"/>
      <c r="W76" s="28"/>
      <c r="X76" s="28"/>
      <c r="Y76" s="576"/>
      <c r="AA76" s="273" t="s">
        <v>612</v>
      </c>
      <c r="AD76" s="33" t="str">
        <f>C75&amp;F76</f>
        <v>DenmarkUSD bn</v>
      </c>
    </row>
    <row r="77" spans="1:30" ht="141" hidden="1" customHeight="1">
      <c r="A77" s="638"/>
      <c r="B77" s="638"/>
      <c r="C77" s="633"/>
      <c r="D77" s="630"/>
      <c r="E77" s="12"/>
      <c r="F77" s="31" t="s">
        <v>117</v>
      </c>
      <c r="G77" s="17">
        <v>3.412660153565414</v>
      </c>
      <c r="H77" s="402"/>
      <c r="I77" s="602"/>
      <c r="J77" s="17">
        <v>3.412660153565414</v>
      </c>
      <c r="K77" s="583"/>
      <c r="L77" s="17">
        <v>13.684981848511372</v>
      </c>
      <c r="M77" s="577"/>
      <c r="N77" s="12"/>
      <c r="O77" s="31" t="s">
        <v>117</v>
      </c>
      <c r="P77" s="267">
        <v>15.633846892182691</v>
      </c>
      <c r="Q77" s="168">
        <v>12.105285073024488</v>
      </c>
      <c r="R77" s="583"/>
      <c r="S77" s="12"/>
      <c r="T77" s="31" t="s">
        <v>117</v>
      </c>
      <c r="U77" s="17">
        <v>3.528561819158202</v>
      </c>
      <c r="V77" s="577"/>
      <c r="W77" s="19"/>
      <c r="X77" s="19"/>
      <c r="Y77" s="577"/>
      <c r="AA77" s="273" t="s">
        <v>613</v>
      </c>
      <c r="AD77" s="33" t="str">
        <f>C75&amp;F77</f>
        <v>Denmark% GDP</v>
      </c>
    </row>
    <row r="78" spans="1:30" s="15" customFormat="1" ht="158" hidden="1" customHeight="1">
      <c r="A78" s="638">
        <v>0</v>
      </c>
      <c r="B78" s="638" t="s">
        <v>858</v>
      </c>
      <c r="C78" s="632" t="s">
        <v>20</v>
      </c>
      <c r="D78" s="629" t="s">
        <v>570</v>
      </c>
      <c r="F78" s="37" t="s">
        <v>115</v>
      </c>
      <c r="G78" s="53">
        <v>11.3</v>
      </c>
      <c r="H78" s="53">
        <v>4.0999999999999996</v>
      </c>
      <c r="I78" s="575" t="s">
        <v>1647</v>
      </c>
      <c r="J78" s="272">
        <v>7.2</v>
      </c>
      <c r="K78" s="575" t="s">
        <v>1570</v>
      </c>
      <c r="L78" s="53">
        <v>0.5</v>
      </c>
      <c r="M78" s="600" t="s">
        <v>1571</v>
      </c>
      <c r="O78" s="37" t="s">
        <v>115</v>
      </c>
      <c r="P78" s="264">
        <v>17.399999999999999</v>
      </c>
      <c r="Q78" s="169">
        <v>1.2</v>
      </c>
      <c r="R78" s="581" t="s">
        <v>1569</v>
      </c>
      <c r="T78" s="37" t="s">
        <v>115</v>
      </c>
      <c r="U78" s="83">
        <v>12.2</v>
      </c>
      <c r="V78" s="575" t="s">
        <v>1572</v>
      </c>
      <c r="W78" s="53">
        <v>4</v>
      </c>
      <c r="X78" s="575" t="s">
        <v>1573</v>
      </c>
      <c r="Y78" s="575" t="s">
        <v>233</v>
      </c>
      <c r="AA78" s="116" t="s">
        <v>46</v>
      </c>
      <c r="AD78" s="33" t="str">
        <f>C78&amp;F78</f>
        <v>FinlandLC bn</v>
      </c>
    </row>
    <row r="79" spans="1:30" s="3" customFormat="1" ht="164.5" hidden="1" customHeight="1">
      <c r="A79" s="638"/>
      <c r="B79" s="638"/>
      <c r="C79" s="632"/>
      <c r="D79" s="629"/>
      <c r="F79" s="32" t="s">
        <v>116</v>
      </c>
      <c r="G79" s="69">
        <v>12.896485010704863</v>
      </c>
      <c r="H79" s="69">
        <v>4.6792556233530913</v>
      </c>
      <c r="I79" s="591"/>
      <c r="J79" s="69">
        <v>8.2172293873517699</v>
      </c>
      <c r="K79" s="576"/>
      <c r="L79" s="56">
        <v>0.57064092967720625</v>
      </c>
      <c r="M79" s="601"/>
      <c r="O79" s="32" t="s">
        <v>116</v>
      </c>
      <c r="P79" s="265">
        <v>19.858304352766776</v>
      </c>
      <c r="Q79" s="170">
        <v>1.3695382312252951</v>
      </c>
      <c r="R79" s="582"/>
      <c r="T79" s="32" t="s">
        <v>116</v>
      </c>
      <c r="U79" s="81">
        <v>13.923638684123832</v>
      </c>
      <c r="V79" s="576"/>
      <c r="W79" s="56">
        <v>4.56512743741765</v>
      </c>
      <c r="X79" s="576"/>
      <c r="Y79" s="577"/>
      <c r="AA79" s="117"/>
      <c r="AD79" s="33" t="str">
        <f>C78&amp;F79</f>
        <v>FinlandUSD bn</v>
      </c>
    </row>
    <row r="80" spans="1:30" ht="176.25" hidden="1" customHeight="1">
      <c r="A80" s="638"/>
      <c r="B80" s="638"/>
      <c r="C80" s="633"/>
      <c r="D80" s="630"/>
      <c r="E80" s="12"/>
      <c r="F80" s="31" t="s">
        <v>117</v>
      </c>
      <c r="G80" s="17">
        <v>4.7843243517875598</v>
      </c>
      <c r="H80" s="17">
        <v>1.7359052957813266</v>
      </c>
      <c r="I80" s="592"/>
      <c r="J80" s="17">
        <v>3.0484190560062325</v>
      </c>
      <c r="K80" s="577"/>
      <c r="L80" s="68">
        <v>0.21169576777821061</v>
      </c>
      <c r="M80" s="602"/>
      <c r="N80" s="12"/>
      <c r="O80" s="31" t="s">
        <v>117</v>
      </c>
      <c r="P80" s="267">
        <v>7.3670127186817282</v>
      </c>
      <c r="Q80" s="168">
        <v>0.50806984266770538</v>
      </c>
      <c r="R80" s="583"/>
      <c r="S80" s="12"/>
      <c r="T80" s="31" t="s">
        <v>117</v>
      </c>
      <c r="U80" s="17">
        <v>5.1653767337883378</v>
      </c>
      <c r="V80" s="577"/>
      <c r="W80" s="68">
        <v>1.6935661422256849</v>
      </c>
      <c r="X80" s="577"/>
      <c r="Y80" s="20" t="s">
        <v>234</v>
      </c>
      <c r="Z80" s="1"/>
      <c r="AA80" s="118"/>
      <c r="AD80" s="33" t="str">
        <f>C78&amp;F80</f>
        <v>Finland% GDP</v>
      </c>
    </row>
    <row r="81" spans="1:30" ht="135.5" hidden="1" customHeight="1">
      <c r="A81" s="638">
        <v>0</v>
      </c>
      <c r="B81" s="638" t="s">
        <v>858</v>
      </c>
      <c r="C81" s="632" t="s">
        <v>184</v>
      </c>
      <c r="D81" s="628" t="s">
        <v>570</v>
      </c>
      <c r="E81" s="14"/>
      <c r="F81" s="37" t="s">
        <v>115</v>
      </c>
      <c r="G81" s="93">
        <v>82.300000000000011</v>
      </c>
      <c r="H81" s="69">
        <v>16.600000000000001</v>
      </c>
      <c r="I81" s="575" t="s">
        <v>1510</v>
      </c>
      <c r="J81" s="93">
        <v>65.7</v>
      </c>
      <c r="K81" s="575" t="s">
        <v>1590</v>
      </c>
      <c r="L81" s="93">
        <v>11.5</v>
      </c>
      <c r="M81" s="575" t="s">
        <v>1358</v>
      </c>
      <c r="N81" s="14"/>
      <c r="O81" s="32" t="s">
        <v>115</v>
      </c>
      <c r="P81" s="93">
        <v>34.799999999999997</v>
      </c>
      <c r="Q81" s="177"/>
      <c r="R81" s="575"/>
      <c r="S81" s="14"/>
      <c r="T81" s="32" t="s">
        <v>115</v>
      </c>
      <c r="U81" s="93">
        <v>34.799999999999997</v>
      </c>
      <c r="V81" s="575" t="s">
        <v>1591</v>
      </c>
      <c r="W81" s="18"/>
      <c r="X81" s="18"/>
      <c r="Y81" s="575" t="s">
        <v>110</v>
      </c>
      <c r="Z81" s="14"/>
      <c r="AA81" s="605" t="s">
        <v>47</v>
      </c>
      <c r="AD81" s="33" t="str">
        <f>C81&amp;F81</f>
        <v>The NetherlandsLC bn</v>
      </c>
    </row>
    <row r="82" spans="1:30" ht="70.5" hidden="1" customHeight="1">
      <c r="A82" s="638"/>
      <c r="B82" s="638"/>
      <c r="C82" s="632"/>
      <c r="D82" s="629"/>
      <c r="E82" s="36"/>
      <c r="F82" s="32" t="s">
        <v>116</v>
      </c>
      <c r="G82" s="81">
        <v>93.92749702486816</v>
      </c>
      <c r="H82" s="69">
        <v>18.94527886528325</v>
      </c>
      <c r="I82" s="591"/>
      <c r="J82" s="81">
        <v>74.982218159584903</v>
      </c>
      <c r="K82" s="576"/>
      <c r="L82" s="81">
        <v>13.124741382575744</v>
      </c>
      <c r="M82" s="576"/>
      <c r="N82" s="36"/>
      <c r="O82" s="32" t="s">
        <v>116</v>
      </c>
      <c r="P82" s="95">
        <v>39.716608705533552</v>
      </c>
      <c r="Q82" s="178"/>
      <c r="R82" s="576"/>
      <c r="S82" s="36"/>
      <c r="T82" s="32" t="s">
        <v>116</v>
      </c>
      <c r="U82" s="95">
        <v>39.716608705533552</v>
      </c>
      <c r="V82" s="576"/>
      <c r="W82" s="28"/>
      <c r="X82" s="28"/>
      <c r="Y82" s="576"/>
      <c r="Z82" s="36"/>
      <c r="AA82" s="606"/>
      <c r="AD82" s="33" t="str">
        <f>C81&amp;F82</f>
        <v>The NetherlandsUSD bn</v>
      </c>
    </row>
    <row r="83" spans="1:30" ht="131.5" hidden="1" customHeight="1">
      <c r="A83" s="638"/>
      <c r="B83" s="638"/>
      <c r="C83" s="633"/>
      <c r="D83" s="630"/>
      <c r="E83" s="12"/>
      <c r="F83" s="31" t="s">
        <v>117</v>
      </c>
      <c r="G83" s="17">
        <v>10.2862785044276</v>
      </c>
      <c r="H83" s="17">
        <v>2.0747536230072678</v>
      </c>
      <c r="I83" s="592"/>
      <c r="J83" s="17">
        <v>8.2115248814203312</v>
      </c>
      <c r="K83" s="577"/>
      <c r="L83" s="17">
        <v>1.4373293171435892</v>
      </c>
      <c r="M83" s="577"/>
      <c r="N83" s="12"/>
      <c r="O83" s="31" t="s">
        <v>117</v>
      </c>
      <c r="P83" s="17">
        <v>4.3494834988345135</v>
      </c>
      <c r="Q83" s="168"/>
      <c r="R83" s="577"/>
      <c r="S83" s="12"/>
      <c r="T83" s="31" t="s">
        <v>117</v>
      </c>
      <c r="U83" s="68">
        <v>4.3494834988345135</v>
      </c>
      <c r="V83" s="577"/>
      <c r="W83" s="19"/>
      <c r="X83" s="19"/>
      <c r="Y83" s="577"/>
      <c r="Z83" s="1"/>
      <c r="AA83" s="607"/>
      <c r="AD83" s="33" t="str">
        <f>C81&amp;F83</f>
        <v>The Netherlands% GDP</v>
      </c>
    </row>
    <row r="84" spans="1:30" ht="111.65" hidden="1" customHeight="1">
      <c r="A84" s="638">
        <v>0</v>
      </c>
      <c r="B84" s="638" t="s">
        <v>858</v>
      </c>
      <c r="C84" s="631" t="s">
        <v>553</v>
      </c>
      <c r="D84" s="628" t="s">
        <v>571</v>
      </c>
      <c r="E84" s="14"/>
      <c r="F84" s="37" t="s">
        <v>115</v>
      </c>
      <c r="G84" s="49">
        <v>62.1</v>
      </c>
      <c r="H84" s="189">
        <v>5.0999999999999996</v>
      </c>
      <c r="I84" s="575" t="s">
        <v>1396</v>
      </c>
      <c r="J84" s="96">
        <v>57</v>
      </c>
      <c r="K84" s="634" t="s">
        <v>1563</v>
      </c>
      <c r="L84" s="192"/>
      <c r="M84" s="192"/>
      <c r="N84" s="16"/>
      <c r="O84" s="37" t="s">
        <v>115</v>
      </c>
      <c r="P84" s="93">
        <v>6.3</v>
      </c>
      <c r="Q84" s="514">
        <v>3.4</v>
      </c>
      <c r="R84" s="581" t="s">
        <v>1501</v>
      </c>
      <c r="S84" s="16"/>
      <c r="T84" s="37" t="s">
        <v>115</v>
      </c>
      <c r="U84" s="53">
        <v>2.9</v>
      </c>
      <c r="V84" s="581" t="s">
        <v>1465</v>
      </c>
      <c r="W84" s="18"/>
      <c r="X84" s="619"/>
      <c r="Y84" s="28"/>
      <c r="AA84" s="27"/>
      <c r="AD84" s="33" t="str">
        <f>C84&amp;F84</f>
        <v>New ZealandLC bn</v>
      </c>
    </row>
    <row r="85" spans="1:30" ht="83.5" hidden="1" customHeight="1">
      <c r="A85" s="638"/>
      <c r="B85" s="638"/>
      <c r="C85" s="632"/>
      <c r="D85" s="629"/>
      <c r="E85" s="36"/>
      <c r="F85" s="32" t="s">
        <v>116</v>
      </c>
      <c r="G85" s="81">
        <v>40.366333649903929</v>
      </c>
      <c r="H85" s="69">
        <v>3.3151095268037039</v>
      </c>
      <c r="I85" s="591"/>
      <c r="J85" s="81">
        <v>37.051224123100226</v>
      </c>
      <c r="K85" s="582"/>
      <c r="L85" s="193"/>
      <c r="M85" s="193"/>
      <c r="N85" s="6"/>
      <c r="O85" s="32" t="s">
        <v>116</v>
      </c>
      <c r="P85" s="56">
        <v>4.0951352978163404</v>
      </c>
      <c r="Q85" s="69">
        <v>2.2100730178691359</v>
      </c>
      <c r="R85" s="582"/>
      <c r="S85" s="6"/>
      <c r="T85" s="32" t="s">
        <v>116</v>
      </c>
      <c r="U85" s="69">
        <v>1.8850622799472043</v>
      </c>
      <c r="V85" s="582"/>
      <c r="W85" s="28"/>
      <c r="X85" s="620"/>
      <c r="Y85" s="28"/>
      <c r="AA85" s="27"/>
      <c r="AD85" s="33" t="str">
        <f>C84&amp;F85</f>
        <v>New ZealandUSD bn</v>
      </c>
    </row>
    <row r="86" spans="1:30" ht="119.25" hidden="1" customHeight="1">
      <c r="A86" s="638"/>
      <c r="B86" s="638"/>
      <c r="C86" s="633"/>
      <c r="D86" s="630"/>
      <c r="E86" s="12"/>
      <c r="F86" s="31" t="s">
        <v>117</v>
      </c>
      <c r="G86" s="17">
        <v>19.27864943902545</v>
      </c>
      <c r="H86" s="17">
        <v>1.5832707268764863</v>
      </c>
      <c r="I86" s="592"/>
      <c r="J86" s="17">
        <v>17.695378712148965</v>
      </c>
      <c r="K86" s="583"/>
      <c r="L86" s="194"/>
      <c r="M86" s="194"/>
      <c r="N86" s="12"/>
      <c r="O86" s="31" t="s">
        <v>117</v>
      </c>
      <c r="P86" s="17">
        <v>1.9558050155533067</v>
      </c>
      <c r="Q86" s="17">
        <v>1.0555138179176575</v>
      </c>
      <c r="R86" s="583"/>
      <c r="S86" s="12"/>
      <c r="T86" s="31" t="s">
        <v>117</v>
      </c>
      <c r="U86" s="17">
        <v>0.90029119763564913</v>
      </c>
      <c r="V86" s="583"/>
      <c r="W86" s="19"/>
      <c r="X86" s="621"/>
      <c r="Y86" s="28"/>
      <c r="AA86" s="27"/>
      <c r="AD86" s="33" t="str">
        <f>C84&amp;F86</f>
        <v>New Zealand% GDP</v>
      </c>
    </row>
    <row r="87" spans="1:30" s="36" customFormat="1" ht="200.5" hidden="1" customHeight="1">
      <c r="A87" s="638">
        <v>0</v>
      </c>
      <c r="B87" s="638" t="s">
        <v>858</v>
      </c>
      <c r="C87" s="632" t="s">
        <v>36</v>
      </c>
      <c r="D87" s="629" t="s">
        <v>571</v>
      </c>
      <c r="E87" s="14"/>
      <c r="F87" s="37" t="s">
        <v>115</v>
      </c>
      <c r="G87" s="93">
        <v>225.2</v>
      </c>
      <c r="H87" s="74">
        <v>24.7</v>
      </c>
      <c r="I87" s="575" t="s">
        <v>1542</v>
      </c>
      <c r="J87" s="53">
        <v>200.5</v>
      </c>
      <c r="K87" s="575" t="s">
        <v>1543</v>
      </c>
      <c r="L87" s="74"/>
      <c r="M87" s="575" t="s">
        <v>1378</v>
      </c>
      <c r="N87" s="14"/>
      <c r="O87" s="32" t="s">
        <v>115</v>
      </c>
      <c r="P87" s="93">
        <v>137.5</v>
      </c>
      <c r="Q87" s="175">
        <v>59.5</v>
      </c>
      <c r="R87" s="575" t="s">
        <v>1549</v>
      </c>
      <c r="S87" s="14"/>
      <c r="T87" s="32" t="s">
        <v>115</v>
      </c>
      <c r="U87" s="93">
        <v>78</v>
      </c>
      <c r="V87" s="575" t="s">
        <v>1550</v>
      </c>
      <c r="W87" s="18"/>
      <c r="X87" s="18"/>
      <c r="Y87" s="575" t="s">
        <v>127</v>
      </c>
      <c r="Z87" s="14"/>
      <c r="AA87" s="605" t="s">
        <v>48</v>
      </c>
      <c r="AD87" s="33" t="str">
        <f>C87&amp;F87</f>
        <v>NorwayLC bn</v>
      </c>
    </row>
    <row r="88" spans="1:30" s="36" customFormat="1" ht="62.5" hidden="1" customHeight="1">
      <c r="A88" s="638"/>
      <c r="B88" s="638"/>
      <c r="C88" s="632"/>
      <c r="D88" s="629"/>
      <c r="F88" s="32" t="s">
        <v>116</v>
      </c>
      <c r="G88" s="81">
        <v>23.917160810691193</v>
      </c>
      <c r="H88" s="56">
        <v>2.6232409947782966</v>
      </c>
      <c r="I88" s="576"/>
      <c r="J88" s="56">
        <v>21.293919815912897</v>
      </c>
      <c r="K88" s="576"/>
      <c r="L88" s="28"/>
      <c r="M88" s="576"/>
      <c r="O88" s="32" t="s">
        <v>116</v>
      </c>
      <c r="P88" s="95">
        <v>14.603062217895378</v>
      </c>
      <c r="Q88" s="180">
        <v>6.3191432870165452</v>
      </c>
      <c r="R88" s="576"/>
      <c r="T88" s="32" t="s">
        <v>116</v>
      </c>
      <c r="U88" s="95">
        <v>8.2839189308788317</v>
      </c>
      <c r="V88" s="576"/>
      <c r="W88" s="28"/>
      <c r="X88" s="28"/>
      <c r="Y88" s="576"/>
      <c r="AA88" s="606"/>
      <c r="AD88" s="33" t="str">
        <f>C87&amp;F88</f>
        <v>NorwayUSD bn</v>
      </c>
    </row>
    <row r="89" spans="1:30" ht="119.25" hidden="1" customHeight="1">
      <c r="A89" s="638"/>
      <c r="B89" s="638"/>
      <c r="C89" s="633"/>
      <c r="D89" s="630"/>
      <c r="E89" s="12"/>
      <c r="F89" s="31" t="s">
        <v>1485</v>
      </c>
      <c r="G89" s="17">
        <v>7.4022943167997886</v>
      </c>
      <c r="H89" s="402">
        <v>0.81188574433816507</v>
      </c>
      <c r="I89" s="577"/>
      <c r="J89" s="68">
        <v>6.5904085724616239</v>
      </c>
      <c r="K89" s="577"/>
      <c r="L89" s="19"/>
      <c r="M89" s="577"/>
      <c r="N89" s="12"/>
      <c r="O89" s="31" t="s">
        <v>1485</v>
      </c>
      <c r="P89" s="82">
        <v>4.5196068763764252</v>
      </c>
      <c r="Q89" s="174">
        <v>1.9557571574137986</v>
      </c>
      <c r="R89" s="577"/>
      <c r="S89" s="12"/>
      <c r="T89" s="31" t="s">
        <v>117</v>
      </c>
      <c r="U89" s="17">
        <v>2.563849718962627</v>
      </c>
      <c r="V89" s="577"/>
      <c r="W89" s="19"/>
      <c r="X89" s="19"/>
      <c r="Y89" s="577"/>
      <c r="Z89" s="1"/>
      <c r="AA89" s="607"/>
      <c r="AD89" s="33" t="s">
        <v>1487</v>
      </c>
    </row>
    <row r="90" spans="1:30" ht="182.5" hidden="1" customHeight="1">
      <c r="A90" s="40"/>
      <c r="B90" s="40"/>
      <c r="C90" s="631" t="s">
        <v>1023</v>
      </c>
      <c r="D90" s="628" t="s">
        <v>570</v>
      </c>
      <c r="E90" s="16"/>
      <c r="F90" s="37" t="s">
        <v>115</v>
      </c>
      <c r="G90" s="49">
        <v>12.100000000000001</v>
      </c>
      <c r="H90" s="510">
        <v>2.2000000000000002</v>
      </c>
      <c r="I90" s="639" t="s">
        <v>1661</v>
      </c>
      <c r="J90" s="53">
        <v>9.9</v>
      </c>
      <c r="K90" s="634" t="s">
        <v>1662</v>
      </c>
      <c r="L90" s="74">
        <v>1.1000000000000001</v>
      </c>
      <c r="M90" s="18" t="s">
        <v>1574</v>
      </c>
      <c r="N90" s="16"/>
      <c r="O90" s="37" t="s">
        <v>115</v>
      </c>
      <c r="P90" s="49">
        <v>11.5</v>
      </c>
      <c r="Q90" s="513"/>
      <c r="R90" s="18"/>
      <c r="S90" s="16"/>
      <c r="T90" s="37" t="s">
        <v>115</v>
      </c>
      <c r="U90" s="49">
        <v>11.5</v>
      </c>
      <c r="V90" s="575" t="s">
        <v>1663</v>
      </c>
      <c r="W90" s="18"/>
      <c r="X90" s="18"/>
      <c r="Y90" s="18"/>
      <c r="Z90" s="15"/>
      <c r="AA90" s="25"/>
      <c r="AD90" s="33" t="str">
        <f>C90&amp;F90</f>
        <v>PortugalLC bn</v>
      </c>
    </row>
    <row r="91" spans="1:30" ht="120" hidden="1" customHeight="1">
      <c r="A91" s="40"/>
      <c r="B91" s="40"/>
      <c r="C91" s="632"/>
      <c r="D91" s="629"/>
      <c r="E91" s="6"/>
      <c r="F91" s="32" t="s">
        <v>116</v>
      </c>
      <c r="G91" s="69">
        <v>13.809510498188393</v>
      </c>
      <c r="H91" s="69">
        <v>2.5108200905797076</v>
      </c>
      <c r="I91" s="576"/>
      <c r="J91" s="69">
        <v>11.298690407608685</v>
      </c>
      <c r="K91" s="582"/>
      <c r="L91" s="69">
        <v>1.2554100452898538</v>
      </c>
      <c r="M91" s="28"/>
      <c r="N91" s="6"/>
      <c r="O91" s="32" t="s">
        <v>116</v>
      </c>
      <c r="P91" s="69">
        <v>13.124741382575744</v>
      </c>
      <c r="Q91" s="180"/>
      <c r="R91" s="28"/>
      <c r="S91" s="6"/>
      <c r="T91" s="32" t="s">
        <v>116</v>
      </c>
      <c r="U91" s="69">
        <v>13.124741382575744</v>
      </c>
      <c r="V91" s="576"/>
      <c r="W91" s="28"/>
      <c r="X91" s="28"/>
      <c r="Y91" s="28"/>
      <c r="AA91" s="27"/>
      <c r="AD91" s="33" t="str">
        <f>C90&amp;F91</f>
        <v>PortugalUSD bn</v>
      </c>
    </row>
    <row r="92" spans="1:30" ht="339" hidden="1" customHeight="1">
      <c r="A92" s="40"/>
      <c r="B92" s="40"/>
      <c r="C92" s="633"/>
      <c r="D92" s="630"/>
      <c r="E92" s="12"/>
      <c r="F92" s="31" t="s">
        <v>117</v>
      </c>
      <c r="G92" s="17">
        <v>6.047351260148055</v>
      </c>
      <c r="H92" s="17">
        <v>1.0995184109360101</v>
      </c>
      <c r="I92" s="577"/>
      <c r="J92" s="17">
        <v>4.9478328492120447</v>
      </c>
      <c r="K92" s="583"/>
      <c r="L92" s="17">
        <v>0.54975920546800505</v>
      </c>
      <c r="M92" s="19"/>
      <c r="N92" s="12"/>
      <c r="O92" s="31" t="s">
        <v>117</v>
      </c>
      <c r="P92" s="17">
        <v>5.7474826026200523</v>
      </c>
      <c r="Q92" s="174"/>
      <c r="R92" s="19"/>
      <c r="S92" s="12"/>
      <c r="T92" s="31" t="s">
        <v>117</v>
      </c>
      <c r="U92" s="17">
        <v>5.7474826026200523</v>
      </c>
      <c r="V92" s="577"/>
      <c r="W92" s="19"/>
      <c r="X92" s="19"/>
      <c r="Y92" s="28"/>
      <c r="AA92" s="27"/>
      <c r="AD92" s="33" t="str">
        <f>C90&amp;F92</f>
        <v>Portugal% GDP</v>
      </c>
    </row>
    <row r="93" spans="1:30" s="36" customFormat="1" ht="80.25" hidden="1" customHeight="1">
      <c r="A93" s="638">
        <v>0</v>
      </c>
      <c r="B93" s="638" t="s">
        <v>858</v>
      </c>
      <c r="C93" s="632" t="s">
        <v>31</v>
      </c>
      <c r="D93" s="629" t="s">
        <v>571</v>
      </c>
      <c r="F93" s="32" t="s">
        <v>115</v>
      </c>
      <c r="G93" s="95">
        <v>86.300000000000011</v>
      </c>
      <c r="H93" s="75">
        <v>18.600000000000001</v>
      </c>
      <c r="I93" s="576" t="s">
        <v>1639</v>
      </c>
      <c r="J93" s="56">
        <v>67.7</v>
      </c>
      <c r="K93" s="576" t="s">
        <v>1502</v>
      </c>
      <c r="L93" s="28"/>
      <c r="M93" s="588"/>
      <c r="O93" s="32" t="s">
        <v>115</v>
      </c>
      <c r="P93" s="95">
        <v>22</v>
      </c>
      <c r="Q93" s="166">
        <v>22</v>
      </c>
      <c r="R93" s="576" t="s">
        <v>1417</v>
      </c>
      <c r="T93" s="32" t="s">
        <v>115</v>
      </c>
      <c r="U93" s="56"/>
      <c r="V93" s="576"/>
      <c r="W93" s="28"/>
      <c r="X93" s="28"/>
      <c r="Y93" s="28"/>
      <c r="AA93" s="28"/>
      <c r="AD93" s="33" t="str">
        <f>C93&amp;F93</f>
        <v>SingaporeLC bn</v>
      </c>
    </row>
    <row r="94" spans="1:30" s="10" customFormat="1" ht="58.5" hidden="1" customHeight="1">
      <c r="A94" s="638"/>
      <c r="B94" s="638"/>
      <c r="C94" s="632"/>
      <c r="D94" s="629"/>
      <c r="E94" s="36"/>
      <c r="F94" s="32" t="s">
        <v>116</v>
      </c>
      <c r="G94" s="81">
        <v>62.546527888588585</v>
      </c>
      <c r="H94" s="69">
        <v>13.480479938907852</v>
      </c>
      <c r="I94" s="576"/>
      <c r="J94" s="81">
        <v>49.06604794968073</v>
      </c>
      <c r="K94" s="576"/>
      <c r="L94" s="28"/>
      <c r="M94" s="588"/>
      <c r="N94" s="36"/>
      <c r="O94" s="32" t="s">
        <v>116</v>
      </c>
      <c r="P94" s="95">
        <v>15.94465369118133</v>
      </c>
      <c r="Q94" s="167">
        <v>15.94465369118133</v>
      </c>
      <c r="R94" s="576"/>
      <c r="S94" s="36"/>
      <c r="T94" s="32" t="s">
        <v>116</v>
      </c>
      <c r="U94" s="56"/>
      <c r="V94" s="576"/>
      <c r="W94" s="28"/>
      <c r="X94" s="28"/>
      <c r="Y94" s="28"/>
      <c r="Z94" s="36"/>
      <c r="AA94" s="28"/>
      <c r="AD94" s="33" t="str">
        <f>C93&amp;F94</f>
        <v>SingaporeUSD bn</v>
      </c>
    </row>
    <row r="95" spans="1:30" ht="46.5" hidden="1" customHeight="1">
      <c r="A95" s="638"/>
      <c r="B95" s="638"/>
      <c r="C95" s="633"/>
      <c r="D95" s="630"/>
      <c r="E95" s="6"/>
      <c r="F95" s="32" t="s">
        <v>117</v>
      </c>
      <c r="G95" s="69">
        <v>18.39709108521307</v>
      </c>
      <c r="H95" s="17">
        <v>3.9650740925256436</v>
      </c>
      <c r="I95" s="577"/>
      <c r="J95" s="17">
        <v>14.432016992687425</v>
      </c>
      <c r="K95" s="577"/>
      <c r="L95" s="28"/>
      <c r="M95" s="589"/>
      <c r="N95" s="6"/>
      <c r="O95" s="32" t="s">
        <v>117</v>
      </c>
      <c r="P95" s="17">
        <v>4.6898725825572125</v>
      </c>
      <c r="Q95" s="170">
        <v>4.6898725825572125</v>
      </c>
      <c r="R95" s="577"/>
      <c r="S95" s="6"/>
      <c r="T95" s="32" t="s">
        <v>117</v>
      </c>
      <c r="U95" s="69"/>
      <c r="V95" s="577"/>
      <c r="W95" s="28"/>
      <c r="X95" s="28"/>
      <c r="Y95" s="28"/>
      <c r="AA95" s="27"/>
      <c r="AD95" s="33" t="str">
        <f>C93&amp;F95</f>
        <v>Singapore% GDP</v>
      </c>
    </row>
    <row r="96" spans="1:30" s="15" customFormat="1" ht="136.5" hidden="1" customHeight="1">
      <c r="A96" s="638">
        <v>0</v>
      </c>
      <c r="B96" s="638" t="s">
        <v>858</v>
      </c>
      <c r="C96" s="632" t="s">
        <v>21</v>
      </c>
      <c r="D96" s="628" t="s">
        <v>571</v>
      </c>
      <c r="F96" s="37" t="s">
        <v>115</v>
      </c>
      <c r="G96" s="93">
        <v>207</v>
      </c>
      <c r="H96" s="53">
        <v>38</v>
      </c>
      <c r="I96" s="645" t="s">
        <v>1505</v>
      </c>
      <c r="J96" s="49">
        <v>169</v>
      </c>
      <c r="K96" s="581" t="s">
        <v>1344</v>
      </c>
      <c r="L96" s="74">
        <v>335</v>
      </c>
      <c r="M96" s="639" t="s">
        <v>1345</v>
      </c>
      <c r="O96" s="37" t="s">
        <v>115</v>
      </c>
      <c r="P96" s="93">
        <v>261.7</v>
      </c>
      <c r="Q96" s="169">
        <v>11.7</v>
      </c>
      <c r="R96" s="581" t="s">
        <v>1222</v>
      </c>
      <c r="T96" s="37" t="s">
        <v>115</v>
      </c>
      <c r="U96" s="80">
        <v>250</v>
      </c>
      <c r="V96" s="581" t="s">
        <v>1223</v>
      </c>
      <c r="W96" s="18"/>
      <c r="X96" s="18"/>
      <c r="Y96" s="22"/>
      <c r="AA96" s="18"/>
      <c r="AD96" s="33" t="str">
        <f>C96&amp;F96</f>
        <v>SwedenLC bn</v>
      </c>
    </row>
    <row r="97" spans="1:30" s="36" customFormat="1" ht="110.15" hidden="1" customHeight="1">
      <c r="A97" s="638"/>
      <c r="B97" s="638"/>
      <c r="C97" s="632"/>
      <c r="D97" s="629"/>
      <c r="E97" s="3"/>
      <c r="F97" s="32" t="s">
        <v>116</v>
      </c>
      <c r="G97" s="81">
        <v>22.474815922163589</v>
      </c>
      <c r="H97" s="69">
        <v>4.125811618561432</v>
      </c>
      <c r="I97" s="646"/>
      <c r="J97" s="81">
        <v>18.349004303602158</v>
      </c>
      <c r="K97" s="582"/>
      <c r="L97" s="95">
        <v>36.372286637317892</v>
      </c>
      <c r="M97" s="576"/>
      <c r="N97" s="3"/>
      <c r="O97" s="32" t="s">
        <v>116</v>
      </c>
      <c r="P97" s="95">
        <v>28.413813173092809</v>
      </c>
      <c r="Q97" s="69">
        <v>1.2703156825570725</v>
      </c>
      <c r="R97" s="582"/>
      <c r="S97" s="3"/>
      <c r="T97" s="32" t="s">
        <v>116</v>
      </c>
      <c r="U97" s="81">
        <v>27.143497490535736</v>
      </c>
      <c r="V97" s="582"/>
      <c r="W97" s="28"/>
      <c r="X97" s="28"/>
      <c r="Y97" s="35"/>
      <c r="Z97" s="3"/>
      <c r="AA97" s="28"/>
      <c r="AD97" s="33" t="str">
        <f>C96&amp;F97</f>
        <v>SwedenUSD bn</v>
      </c>
    </row>
    <row r="98" spans="1:30" ht="93.65" hidden="1" customHeight="1">
      <c r="A98" s="638"/>
      <c r="B98" s="638"/>
      <c r="C98" s="633"/>
      <c r="D98" s="630"/>
      <c r="E98" s="12"/>
      <c r="F98" s="31" t="s">
        <v>117</v>
      </c>
      <c r="G98" s="17">
        <v>4.1538214254109116</v>
      </c>
      <c r="H98" s="17">
        <v>0.76253726650055398</v>
      </c>
      <c r="I98" s="647"/>
      <c r="J98" s="17">
        <v>3.3912841589103584</v>
      </c>
      <c r="K98" s="583"/>
      <c r="L98" s="68">
        <v>6.7223680073075149</v>
      </c>
      <c r="M98" s="577"/>
      <c r="N98" s="12"/>
      <c r="O98" s="31" t="s">
        <v>117</v>
      </c>
      <c r="P98" s="17">
        <v>5.2514737537682885</v>
      </c>
      <c r="Q98" s="17">
        <v>0.2347812110014863</v>
      </c>
      <c r="R98" s="583"/>
      <c r="S98" s="12"/>
      <c r="T98" s="31" t="s">
        <v>117</v>
      </c>
      <c r="U98" s="17">
        <v>5.0166925427668021</v>
      </c>
      <c r="V98" s="583"/>
      <c r="W98" s="19"/>
      <c r="X98" s="19"/>
      <c r="Y98" s="19"/>
      <c r="Z98" s="1"/>
      <c r="AA98" s="26"/>
      <c r="AD98" s="33" t="str">
        <f>C96&amp;F98</f>
        <v>Sweden% GDP</v>
      </c>
    </row>
    <row r="99" spans="1:30" ht="132" hidden="1" customHeight="1">
      <c r="A99" s="638">
        <v>0</v>
      </c>
      <c r="B99" s="638" t="s">
        <v>858</v>
      </c>
      <c r="C99" s="632" t="s">
        <v>558</v>
      </c>
      <c r="D99" s="628" t="s">
        <v>571</v>
      </c>
      <c r="E99" s="15"/>
      <c r="F99" s="37" t="s">
        <v>115</v>
      </c>
      <c r="G99" s="81">
        <v>55.844000000000001</v>
      </c>
      <c r="H99" s="263">
        <v>7.2190000000000003</v>
      </c>
      <c r="I99" s="581" t="s">
        <v>1575</v>
      </c>
      <c r="J99" s="263">
        <v>48.625</v>
      </c>
      <c r="K99" s="581" t="s">
        <v>1576</v>
      </c>
      <c r="L99" s="247"/>
      <c r="M99" s="575"/>
      <c r="N99" s="6"/>
      <c r="O99" s="37" t="s">
        <v>115</v>
      </c>
      <c r="P99" s="93">
        <v>43.875</v>
      </c>
      <c r="Q99" s="170">
        <v>1.1000000000000001</v>
      </c>
      <c r="R99" s="575" t="s">
        <v>1577</v>
      </c>
      <c r="S99" s="6"/>
      <c r="T99" s="37" t="s">
        <v>115</v>
      </c>
      <c r="U99" s="81">
        <v>42.774999999999999</v>
      </c>
      <c r="V99" s="575" t="s">
        <v>1475</v>
      </c>
      <c r="W99" s="28"/>
      <c r="X99" s="28"/>
      <c r="Y99" s="28"/>
      <c r="AA99" s="27"/>
      <c r="AD99" s="33" t="str">
        <f>C99&amp;F99</f>
        <v>SwitzerlandLC bn</v>
      </c>
    </row>
    <row r="100" spans="1:30" ht="58.5" hidden="1" customHeight="1">
      <c r="A100" s="638"/>
      <c r="B100" s="638"/>
      <c r="C100" s="632"/>
      <c r="D100" s="629"/>
      <c r="F100" s="32" t="s">
        <v>116</v>
      </c>
      <c r="G100" s="81">
        <v>59.481808256628398</v>
      </c>
      <c r="H100" s="69">
        <v>7.6892624776985965</v>
      </c>
      <c r="I100" s="582"/>
      <c r="J100" s="81">
        <v>51.792545778929799</v>
      </c>
      <c r="K100" s="582"/>
      <c r="L100" s="81"/>
      <c r="M100" s="576"/>
      <c r="N100" s="6"/>
      <c r="O100" s="32" t="s">
        <v>116</v>
      </c>
      <c r="P100" s="95">
        <v>46.733119713121745</v>
      </c>
      <c r="Q100" s="69">
        <v>1.1716565626081807</v>
      </c>
      <c r="R100" s="576"/>
      <c r="S100" s="6"/>
      <c r="T100" s="32" t="s">
        <v>116</v>
      </c>
      <c r="U100" s="81">
        <v>45.561463150513568</v>
      </c>
      <c r="V100" s="576"/>
      <c r="W100" s="28"/>
      <c r="X100" s="28"/>
      <c r="Y100" s="28"/>
      <c r="AA100" s="27"/>
      <c r="AD100" s="33" t="str">
        <f>C99&amp;F100</f>
        <v>SwitzerlandUSD bn</v>
      </c>
    </row>
    <row r="101" spans="1:30" ht="58.5" hidden="1" customHeight="1">
      <c r="A101" s="638"/>
      <c r="B101" s="638"/>
      <c r="C101" s="633"/>
      <c r="D101" s="630"/>
      <c r="E101" s="12"/>
      <c r="F101" s="31" t="s">
        <v>117</v>
      </c>
      <c r="G101" s="17">
        <v>7.9111095244692748</v>
      </c>
      <c r="H101" s="17">
        <v>1.0226756617925596</v>
      </c>
      <c r="I101" s="583"/>
      <c r="J101" s="17">
        <v>6.8884338626767159</v>
      </c>
      <c r="K101" s="583"/>
      <c r="L101" s="17"/>
      <c r="M101" s="577"/>
      <c r="N101" s="12"/>
      <c r="O101" s="31" t="s">
        <v>117</v>
      </c>
      <c r="P101" s="17">
        <v>6.2155277269910725</v>
      </c>
      <c r="Q101" s="17">
        <v>0.15583089457983315</v>
      </c>
      <c r="R101" s="577"/>
      <c r="S101" s="12"/>
      <c r="T101" s="31" t="s">
        <v>117</v>
      </c>
      <c r="U101" s="17">
        <v>6.0596968324112392</v>
      </c>
      <c r="V101" s="577"/>
      <c r="W101" s="19"/>
      <c r="X101" s="19"/>
      <c r="Y101" s="28"/>
      <c r="AA101" s="27"/>
      <c r="AD101" s="33" t="str">
        <f>C99&amp;F101</f>
        <v>Switzerland% GDP</v>
      </c>
    </row>
    <row r="102" spans="1:30" s="516" customFormat="1" ht="90.65" hidden="1" customHeight="1">
      <c r="A102" s="640">
        <v>0</v>
      </c>
      <c r="B102" s="640" t="s">
        <v>861</v>
      </c>
      <c r="C102" s="660" t="s">
        <v>41</v>
      </c>
      <c r="D102" s="642" t="s">
        <v>570</v>
      </c>
      <c r="F102" s="517" t="s">
        <v>115</v>
      </c>
      <c r="G102" s="98">
        <v>36.200000000000003</v>
      </c>
      <c r="H102" s="189">
        <v>18.2</v>
      </c>
      <c r="I102" s="645" t="s">
        <v>1552</v>
      </c>
      <c r="J102" s="98">
        <v>18</v>
      </c>
      <c r="K102" s="581" t="s">
        <v>1651</v>
      </c>
      <c r="L102" s="190"/>
      <c r="M102" s="581" t="s">
        <v>1652</v>
      </c>
      <c r="O102" s="517" t="s">
        <v>115</v>
      </c>
      <c r="P102" s="518">
        <v>26</v>
      </c>
      <c r="Q102" s="519"/>
      <c r="R102" s="186"/>
      <c r="T102" s="517" t="s">
        <v>115</v>
      </c>
      <c r="U102" s="98">
        <v>26</v>
      </c>
      <c r="V102" s="581" t="s">
        <v>1653</v>
      </c>
      <c r="W102" s="190"/>
      <c r="X102" s="186"/>
      <c r="Y102" s="186"/>
      <c r="AA102" s="186"/>
      <c r="AD102" s="520" t="str">
        <f>C102&amp;F102</f>
        <v>AlbaniaLC bn</v>
      </c>
    </row>
    <row r="103" spans="1:30" s="520" customFormat="1" ht="83.5" hidden="1" customHeight="1">
      <c r="A103" s="640"/>
      <c r="B103" s="640"/>
      <c r="C103" s="660"/>
      <c r="D103" s="643"/>
      <c r="E103" s="516"/>
      <c r="F103" s="517" t="s">
        <v>116</v>
      </c>
      <c r="G103" s="120">
        <v>0.33382004491368428</v>
      </c>
      <c r="H103" s="120">
        <v>0.16783217727704566</v>
      </c>
      <c r="I103" s="646"/>
      <c r="J103" s="120">
        <v>0.16598786763663859</v>
      </c>
      <c r="K103" s="582"/>
      <c r="L103" s="186"/>
      <c r="M103" s="582"/>
      <c r="N103" s="516"/>
      <c r="O103" s="517" t="s">
        <v>116</v>
      </c>
      <c r="P103" s="521">
        <v>0.23976025325292241</v>
      </c>
      <c r="Q103" s="519"/>
      <c r="R103" s="186"/>
      <c r="S103" s="516"/>
      <c r="T103" s="517" t="s">
        <v>116</v>
      </c>
      <c r="U103" s="120">
        <v>0.23976025325292241</v>
      </c>
      <c r="V103" s="582"/>
      <c r="W103" s="186"/>
      <c r="X103" s="186"/>
      <c r="Y103" s="186"/>
      <c r="Z103" s="516"/>
      <c r="AA103" s="186"/>
      <c r="AD103" s="520" t="str">
        <f>C102&amp;F103</f>
        <v>AlbaniaUSD bn</v>
      </c>
    </row>
    <row r="104" spans="1:30" s="520" customFormat="1" ht="106.5" hidden="1" customHeight="1">
      <c r="A104" s="640"/>
      <c r="B104" s="640"/>
      <c r="C104" s="661"/>
      <c r="D104" s="644"/>
      <c r="E104" s="522"/>
      <c r="F104" s="523" t="s">
        <v>117</v>
      </c>
      <c r="G104" s="121">
        <v>2.2512745821149296</v>
      </c>
      <c r="H104" s="121">
        <v>1.1318562816157931</v>
      </c>
      <c r="I104" s="647"/>
      <c r="J104" s="121">
        <v>1.119418300499136</v>
      </c>
      <c r="K104" s="583"/>
      <c r="L104" s="187"/>
      <c r="M104" s="583"/>
      <c r="N104" s="522"/>
      <c r="O104" s="523" t="s">
        <v>117</v>
      </c>
      <c r="P104" s="524">
        <v>1.6169375451654189</v>
      </c>
      <c r="Q104" s="512"/>
      <c r="R104" s="525"/>
      <c r="S104" s="522"/>
      <c r="T104" s="523" t="s">
        <v>117</v>
      </c>
      <c r="U104" s="121">
        <v>1.6169375451654189</v>
      </c>
      <c r="V104" s="583"/>
      <c r="W104" s="187"/>
      <c r="X104" s="187"/>
      <c r="Y104" s="187"/>
      <c r="Z104" s="526"/>
      <c r="AA104" s="527"/>
      <c r="AD104" s="520" t="str">
        <f>C102&amp;F104</f>
        <v>Albania% GDP</v>
      </c>
    </row>
    <row r="105" spans="1:30" ht="172.5" hidden="1" customHeight="1">
      <c r="A105" s="638">
        <v>0</v>
      </c>
      <c r="B105" s="638" t="s">
        <v>861</v>
      </c>
      <c r="C105" s="632" t="s">
        <v>27</v>
      </c>
      <c r="D105" s="628" t="s">
        <v>570</v>
      </c>
      <c r="E105" s="15"/>
      <c r="F105" s="37" t="s">
        <v>115</v>
      </c>
      <c r="G105" s="53">
        <v>6.2720000000000002</v>
      </c>
      <c r="H105" s="53">
        <v>1.7049999999999998</v>
      </c>
      <c r="I105" s="575" t="s">
        <v>1530</v>
      </c>
      <c r="J105" s="49">
        <v>4.5670000000000002</v>
      </c>
      <c r="K105" s="634" t="s">
        <v>1554</v>
      </c>
      <c r="L105" s="74">
        <v>0.6</v>
      </c>
      <c r="M105" s="575" t="s">
        <v>1480</v>
      </c>
      <c r="N105" s="15"/>
      <c r="O105" s="32" t="s">
        <v>115</v>
      </c>
      <c r="P105" s="53">
        <v>4.6219999999999999</v>
      </c>
      <c r="Q105" s="169">
        <v>1.6220000000000001</v>
      </c>
      <c r="R105" s="575" t="s">
        <v>1466</v>
      </c>
      <c r="S105" s="15"/>
      <c r="T105" s="32" t="s">
        <v>115</v>
      </c>
      <c r="U105" s="49"/>
      <c r="V105" s="575"/>
      <c r="W105" s="49">
        <v>3</v>
      </c>
      <c r="X105" s="575" t="s">
        <v>1400</v>
      </c>
      <c r="Y105" s="575" t="s">
        <v>78</v>
      </c>
      <c r="Z105" s="15"/>
      <c r="AA105" s="18"/>
      <c r="AD105" s="33" t="str">
        <f>C105&amp;F105</f>
        <v>BulgariaLC bn</v>
      </c>
    </row>
    <row r="106" spans="1:30" s="6" customFormat="1" ht="155.5" hidden="1" customHeight="1">
      <c r="A106" s="638"/>
      <c r="B106" s="638"/>
      <c r="C106" s="632"/>
      <c r="D106" s="629"/>
      <c r="E106" s="3"/>
      <c r="F106" s="32" t="s">
        <v>116</v>
      </c>
      <c r="G106" s="69">
        <v>3.6598885495522917</v>
      </c>
      <c r="H106" s="69">
        <v>0.9949154937797603</v>
      </c>
      <c r="I106" s="591"/>
      <c r="J106" s="69">
        <v>2.6649730557725313</v>
      </c>
      <c r="K106" s="582"/>
      <c r="L106" s="69">
        <v>0.35011688930666052</v>
      </c>
      <c r="M106" s="576"/>
      <c r="N106" s="3"/>
      <c r="O106" s="32" t="s">
        <v>116</v>
      </c>
      <c r="P106" s="69">
        <v>2.6970671039589753</v>
      </c>
      <c r="Q106" s="170">
        <v>0.94648265742567239</v>
      </c>
      <c r="R106" s="576"/>
      <c r="S106" s="3"/>
      <c r="T106" s="32" t="s">
        <v>116</v>
      </c>
      <c r="U106" s="69"/>
      <c r="V106" s="576"/>
      <c r="W106" s="69">
        <v>1.7505844465333027</v>
      </c>
      <c r="X106" s="576"/>
      <c r="Y106" s="576"/>
      <c r="Z106" s="3"/>
      <c r="AA106" s="28"/>
      <c r="AD106" s="33" t="str">
        <f>C105&amp;F106</f>
        <v>BulgariaUSD bn</v>
      </c>
    </row>
    <row r="107" spans="1:30" ht="70.5" hidden="1" customHeight="1">
      <c r="A107" s="638"/>
      <c r="B107" s="638"/>
      <c r="C107" s="633"/>
      <c r="D107" s="630"/>
      <c r="E107" s="12"/>
      <c r="F107" s="31" t="s">
        <v>117</v>
      </c>
      <c r="G107" s="17">
        <v>5.2881375195675631</v>
      </c>
      <c r="H107" s="17">
        <v>1.4375437612982611</v>
      </c>
      <c r="I107" s="592"/>
      <c r="J107" s="17">
        <v>3.8505937582693015</v>
      </c>
      <c r="K107" s="583"/>
      <c r="L107" s="17">
        <v>0.50588050250965211</v>
      </c>
      <c r="M107" s="577"/>
      <c r="N107" s="12"/>
      <c r="O107" s="31" t="s">
        <v>117</v>
      </c>
      <c r="P107" s="17">
        <v>3.8969661376660198</v>
      </c>
      <c r="Q107" s="17">
        <v>1.3675636251177596</v>
      </c>
      <c r="R107" s="577"/>
      <c r="S107" s="12"/>
      <c r="T107" s="31" t="s">
        <v>117</v>
      </c>
      <c r="U107" s="17"/>
      <c r="V107" s="577"/>
      <c r="W107" s="17">
        <v>2.5294025125482604</v>
      </c>
      <c r="X107" s="577"/>
      <c r="Y107" s="577"/>
      <c r="Z107" s="1"/>
      <c r="AA107" s="26"/>
      <c r="AD107" s="33" t="str">
        <f>C105&amp;F107</f>
        <v>Bulgaria% GDP</v>
      </c>
    </row>
    <row r="108" spans="1:30" s="6" customFormat="1" ht="50.5" hidden="1" customHeight="1">
      <c r="A108" s="638">
        <v>0</v>
      </c>
      <c r="B108" s="638" t="s">
        <v>861</v>
      </c>
      <c r="C108" s="632" t="s">
        <v>42</v>
      </c>
      <c r="D108" s="629" t="s">
        <v>571</v>
      </c>
      <c r="E108" s="16"/>
      <c r="F108" s="37" t="s">
        <v>115</v>
      </c>
      <c r="G108" s="515">
        <v>25400</v>
      </c>
      <c r="H108" s="127">
        <v>1201.346</v>
      </c>
      <c r="I108" s="645" t="s">
        <v>1531</v>
      </c>
      <c r="J108" s="127">
        <v>24198.653999999999</v>
      </c>
      <c r="K108" s="581" t="s">
        <v>1544</v>
      </c>
      <c r="L108" s="127">
        <v>3204</v>
      </c>
      <c r="M108" s="582" t="s">
        <v>1532</v>
      </c>
      <c r="N108" s="16"/>
      <c r="O108" s="32" t="s">
        <v>115</v>
      </c>
      <c r="P108" s="183">
        <v>5005.6930000000002</v>
      </c>
      <c r="Q108" s="183">
        <v>2603</v>
      </c>
      <c r="R108" s="582" t="s">
        <v>1533</v>
      </c>
      <c r="S108" s="16"/>
      <c r="T108" s="32" t="s">
        <v>115</v>
      </c>
      <c r="U108" s="183"/>
      <c r="V108" s="582"/>
      <c r="W108" s="80">
        <v>2402.6930000000002</v>
      </c>
      <c r="X108" s="600" t="s">
        <v>1159</v>
      </c>
      <c r="Y108" s="575" t="s">
        <v>244</v>
      </c>
      <c r="Z108" s="16"/>
      <c r="AA108" s="605" t="s">
        <v>50</v>
      </c>
      <c r="AD108" s="33" t="str">
        <f>C108&amp;F108</f>
        <v>ChileLC bn</v>
      </c>
    </row>
    <row r="109" spans="1:30" s="36" customFormat="1" ht="45.65" hidden="1" customHeight="1">
      <c r="A109" s="638"/>
      <c r="B109" s="638"/>
      <c r="C109" s="632"/>
      <c r="D109" s="629"/>
      <c r="E109" s="6"/>
      <c r="F109" s="32" t="s">
        <v>116</v>
      </c>
      <c r="G109" s="81">
        <v>32.063993334728984</v>
      </c>
      <c r="H109" s="69">
        <v>1.5165334699489497</v>
      </c>
      <c r="I109" s="646"/>
      <c r="J109" s="81">
        <v>30.547459864780031</v>
      </c>
      <c r="K109" s="582"/>
      <c r="L109" s="69">
        <v>4.0446076631681755</v>
      </c>
      <c r="M109" s="582"/>
      <c r="N109" s="6"/>
      <c r="O109" s="32" t="s">
        <v>116</v>
      </c>
      <c r="P109" s="248">
        <v>6.3189963380984064</v>
      </c>
      <c r="Q109" s="69">
        <v>3.2859281358385646</v>
      </c>
      <c r="R109" s="582"/>
      <c r="S109" s="6"/>
      <c r="T109" s="32" t="s">
        <v>116</v>
      </c>
      <c r="U109" s="69"/>
      <c r="V109" s="582"/>
      <c r="W109" s="69">
        <v>3.0330682022598419</v>
      </c>
      <c r="X109" s="601"/>
      <c r="Y109" s="576"/>
      <c r="Z109" s="6"/>
      <c r="AA109" s="606"/>
      <c r="AD109" s="33" t="str">
        <f>C108&amp;F109</f>
        <v>ChileUSD bn</v>
      </c>
    </row>
    <row r="110" spans="1:30" ht="42.65" hidden="1" customHeight="1">
      <c r="A110" s="638"/>
      <c r="B110" s="638"/>
      <c r="C110" s="633"/>
      <c r="D110" s="630"/>
      <c r="E110" s="12"/>
      <c r="F110" s="31" t="s">
        <v>117</v>
      </c>
      <c r="G110" s="17">
        <v>12.682470249573225</v>
      </c>
      <c r="H110" s="17">
        <v>0.59984389387573989</v>
      </c>
      <c r="I110" s="647"/>
      <c r="J110" s="17">
        <v>12.082626355697483</v>
      </c>
      <c r="K110" s="583"/>
      <c r="L110" s="68">
        <v>1.5997887669146695</v>
      </c>
      <c r="M110" s="583"/>
      <c r="N110" s="12"/>
      <c r="O110" s="31" t="s">
        <v>117</v>
      </c>
      <c r="P110" s="267">
        <v>2.4993918327164151</v>
      </c>
      <c r="Q110" s="17">
        <v>1.2997035456550827</v>
      </c>
      <c r="R110" s="583"/>
      <c r="S110" s="12"/>
      <c r="T110" s="31" t="s">
        <v>117</v>
      </c>
      <c r="U110" s="17"/>
      <c r="V110" s="583"/>
      <c r="W110" s="17">
        <v>1.1996882870613323</v>
      </c>
      <c r="X110" s="602"/>
      <c r="Y110" s="577"/>
      <c r="Z110" s="1"/>
      <c r="AA110" s="607"/>
      <c r="AD110" s="33" t="str">
        <f>C108&amp;F110</f>
        <v>Chile% GDP</v>
      </c>
    </row>
    <row r="111" spans="1:30" s="6" customFormat="1" ht="115.5" hidden="1" customHeight="1">
      <c r="A111" s="638">
        <v>0</v>
      </c>
      <c r="B111" s="638" t="s">
        <v>861</v>
      </c>
      <c r="C111" s="632" t="s">
        <v>34</v>
      </c>
      <c r="D111" s="628" t="s">
        <v>570</v>
      </c>
      <c r="E111" s="16"/>
      <c r="F111" s="37" t="s">
        <v>115</v>
      </c>
      <c r="G111" s="127">
        <v>46304</v>
      </c>
      <c r="H111" s="127">
        <v>14312</v>
      </c>
      <c r="I111" s="600" t="s">
        <v>1659</v>
      </c>
      <c r="J111" s="127">
        <v>31992</v>
      </c>
      <c r="K111" s="575" t="s">
        <v>1660</v>
      </c>
      <c r="L111" s="74">
        <v>1780</v>
      </c>
      <c r="M111" s="575" t="s">
        <v>766</v>
      </c>
      <c r="N111" s="16"/>
      <c r="O111" s="32" t="s">
        <v>115</v>
      </c>
      <c r="P111" s="127">
        <v>53990</v>
      </c>
      <c r="Q111" s="183">
        <v>28415</v>
      </c>
      <c r="R111" s="608" t="s">
        <v>1247</v>
      </c>
      <c r="S111" s="16"/>
      <c r="T111" s="32" t="s">
        <v>115</v>
      </c>
      <c r="U111" s="127">
        <v>25575</v>
      </c>
      <c r="V111" s="575" t="s">
        <v>1448</v>
      </c>
      <c r="W111" s="22"/>
      <c r="X111" s="22"/>
      <c r="Y111" s="22"/>
      <c r="Z111" s="16"/>
      <c r="AA111" s="18"/>
      <c r="AD111" s="33" t="str">
        <f>C111&amp;F111</f>
        <v>ColombiaLC bn</v>
      </c>
    </row>
    <row r="112" spans="1:30" s="6" customFormat="1" ht="115.5" hidden="1" customHeight="1">
      <c r="A112" s="638"/>
      <c r="B112" s="638"/>
      <c r="C112" s="632"/>
      <c r="D112" s="629"/>
      <c r="F112" s="32" t="s">
        <v>116</v>
      </c>
      <c r="G112" s="69">
        <v>12.537379304867349</v>
      </c>
      <c r="H112" s="69">
        <v>3.8751505833461795</v>
      </c>
      <c r="I112" s="601"/>
      <c r="J112" s="69">
        <v>8.6622287215211689</v>
      </c>
      <c r="K112" s="576"/>
      <c r="L112" s="69">
        <v>0.4819569618750838</v>
      </c>
      <c r="M112" s="576"/>
      <c r="O112" s="32" t="s">
        <v>116</v>
      </c>
      <c r="P112" s="56">
        <v>14.618458635750434</v>
      </c>
      <c r="Q112" s="170">
        <v>7.6937118380227556</v>
      </c>
      <c r="R112" s="576"/>
      <c r="T112" s="32" t="s">
        <v>116</v>
      </c>
      <c r="U112" s="69">
        <v>6.9247467977276784</v>
      </c>
      <c r="V112" s="576"/>
      <c r="W112" s="35"/>
      <c r="X112" s="35"/>
      <c r="Y112" s="35"/>
      <c r="AA112" s="28"/>
      <c r="AD112" s="33" t="str">
        <f>C111&amp;F112</f>
        <v>ColombiaUSD bn</v>
      </c>
    </row>
    <row r="113" spans="1:30" ht="73" hidden="1" customHeight="1">
      <c r="A113" s="638"/>
      <c r="B113" s="638"/>
      <c r="C113" s="633"/>
      <c r="D113" s="630"/>
      <c r="E113" s="12"/>
      <c r="F113" s="31" t="s">
        <v>117</v>
      </c>
      <c r="G113" s="17">
        <v>4.6169047873067024</v>
      </c>
      <c r="H113" s="17">
        <v>1.4270287948327041</v>
      </c>
      <c r="I113" s="602"/>
      <c r="J113" s="17">
        <v>3.1898759924739983</v>
      </c>
      <c r="K113" s="577"/>
      <c r="L113" s="17">
        <v>0.17748122238696293</v>
      </c>
      <c r="M113" s="577"/>
      <c r="N113" s="12"/>
      <c r="O113" s="31" t="s">
        <v>117</v>
      </c>
      <c r="P113" s="17">
        <v>5.3832647172315324</v>
      </c>
      <c r="Q113" s="168">
        <v>2.8332185023177257</v>
      </c>
      <c r="R113" s="577"/>
      <c r="S113" s="12"/>
      <c r="T113" s="31" t="s">
        <v>117</v>
      </c>
      <c r="U113" s="17">
        <v>2.5500462149138068</v>
      </c>
      <c r="V113" s="577"/>
      <c r="W113" s="19"/>
      <c r="X113" s="19"/>
      <c r="Y113" s="19"/>
      <c r="Z113" s="1"/>
      <c r="AA113" s="26"/>
      <c r="AD113" s="33" t="str">
        <f>C111&amp;F113</f>
        <v>Colombia% GDP</v>
      </c>
    </row>
    <row r="114" spans="1:30" s="36" customFormat="1" ht="92.5" hidden="1" customHeight="1">
      <c r="A114" s="638">
        <v>0</v>
      </c>
      <c r="B114" s="638" t="s">
        <v>861</v>
      </c>
      <c r="C114" s="632" t="s">
        <v>23</v>
      </c>
      <c r="D114" s="628" t="s">
        <v>571</v>
      </c>
      <c r="E114" s="14"/>
      <c r="F114" s="37" t="s">
        <v>115</v>
      </c>
      <c r="G114" s="53">
        <v>91.612000000000009</v>
      </c>
      <c r="H114" s="53">
        <v>12.941000000000001</v>
      </c>
      <c r="I114" s="575" t="s">
        <v>1308</v>
      </c>
      <c r="J114" s="53">
        <v>78.671000000000006</v>
      </c>
      <c r="K114" s="639" t="s">
        <v>1473</v>
      </c>
      <c r="L114" s="18"/>
      <c r="M114" s="575" t="s">
        <v>1382</v>
      </c>
      <c r="N114" s="14"/>
      <c r="O114" s="32" t="s">
        <v>115</v>
      </c>
      <c r="P114" s="53">
        <v>7.44</v>
      </c>
      <c r="Q114" s="177">
        <v>7.44</v>
      </c>
      <c r="R114" s="590"/>
      <c r="S114" s="14"/>
      <c r="T114" s="32" t="s">
        <v>115</v>
      </c>
      <c r="U114" s="53"/>
      <c r="V114" s="575" t="s">
        <v>560</v>
      </c>
      <c r="W114" s="18"/>
      <c r="X114" s="575" t="s">
        <v>1383</v>
      </c>
      <c r="Y114" s="18"/>
      <c r="Z114" s="14"/>
      <c r="AA114" s="18"/>
      <c r="AD114" s="33" t="str">
        <f>C114&amp;F114</f>
        <v>EgyptLC bn</v>
      </c>
    </row>
    <row r="115" spans="1:30" s="36" customFormat="1" ht="127.5" hidden="1" customHeight="1">
      <c r="A115" s="638"/>
      <c r="B115" s="638"/>
      <c r="C115" s="632"/>
      <c r="D115" s="629"/>
      <c r="F115" s="32" t="s">
        <v>116</v>
      </c>
      <c r="G115" s="69">
        <v>5.6957877830164128</v>
      </c>
      <c r="H115" s="69">
        <v>0.80458007357131589</v>
      </c>
      <c r="I115" s="576"/>
      <c r="J115" s="56">
        <v>4.891207709445097</v>
      </c>
      <c r="K115" s="576"/>
      <c r="L115" s="28"/>
      <c r="M115" s="576"/>
      <c r="O115" s="32" t="s">
        <v>116</v>
      </c>
      <c r="P115" s="56">
        <v>0.46256670638826908</v>
      </c>
      <c r="Q115" s="56">
        <v>0.46256670638826908</v>
      </c>
      <c r="R115" s="591"/>
      <c r="T115" s="32" t="s">
        <v>116</v>
      </c>
      <c r="U115" s="56"/>
      <c r="V115" s="576"/>
      <c r="W115" s="28"/>
      <c r="X115" s="576"/>
      <c r="Y115" s="28"/>
      <c r="AA115" s="28"/>
      <c r="AD115" s="33" t="str">
        <f>C114&amp;F115</f>
        <v>EgyptUSD bn</v>
      </c>
    </row>
    <row r="116" spans="1:30" ht="71.25" hidden="1" customHeight="1">
      <c r="A116" s="638"/>
      <c r="B116" s="638"/>
      <c r="C116" s="633"/>
      <c r="D116" s="630"/>
      <c r="E116" s="12"/>
      <c r="F116" s="31" t="s">
        <v>117</v>
      </c>
      <c r="G116" s="17">
        <v>1.5680273855370135</v>
      </c>
      <c r="H116" s="17">
        <v>0.22149764655541296</v>
      </c>
      <c r="I116" s="577"/>
      <c r="J116" s="68">
        <v>1.3465297389816004</v>
      </c>
      <c r="K116" s="577"/>
      <c r="L116" s="19"/>
      <c r="M116" s="577"/>
      <c r="N116" s="12"/>
      <c r="O116" s="31" t="s">
        <v>117</v>
      </c>
      <c r="P116" s="17">
        <v>0.12734274711168164</v>
      </c>
      <c r="Q116" s="17">
        <v>0.12734274711168164</v>
      </c>
      <c r="R116" s="592"/>
      <c r="S116" s="12"/>
      <c r="T116" s="31" t="s">
        <v>117</v>
      </c>
      <c r="U116" s="17"/>
      <c r="V116" s="577"/>
      <c r="W116" s="19"/>
      <c r="X116" s="577"/>
      <c r="Y116" s="19"/>
      <c r="Z116" s="1"/>
      <c r="AA116" s="26"/>
      <c r="AD116" s="33" t="str">
        <f>C114&amp;F116</f>
        <v>Egypt% GDP</v>
      </c>
    </row>
    <row r="117" spans="1:30" ht="125.5" hidden="1" customHeight="1">
      <c r="A117" s="638">
        <v>0</v>
      </c>
      <c r="B117" s="638" t="s">
        <v>861</v>
      </c>
      <c r="C117" s="632" t="s">
        <v>549</v>
      </c>
      <c r="D117" s="629" t="s">
        <v>570</v>
      </c>
      <c r="E117" s="6"/>
      <c r="F117" s="37" t="s">
        <v>115</v>
      </c>
      <c r="G117" s="69">
        <v>3.52</v>
      </c>
      <c r="H117" s="56">
        <v>1.29</v>
      </c>
      <c r="I117" s="639" t="s">
        <v>1622</v>
      </c>
      <c r="J117" s="56">
        <v>2.23</v>
      </c>
      <c r="K117" s="639" t="s">
        <v>1634</v>
      </c>
      <c r="L117" s="28"/>
      <c r="M117" s="575" t="s">
        <v>1635</v>
      </c>
      <c r="N117" s="6"/>
      <c r="O117" s="32" t="s">
        <v>115</v>
      </c>
      <c r="P117" s="69">
        <v>0.16700000000000001</v>
      </c>
      <c r="Q117" s="69">
        <v>7.0000000000000007E-2</v>
      </c>
      <c r="R117" s="575" t="s">
        <v>1476</v>
      </c>
      <c r="S117" s="6"/>
      <c r="T117" s="32" t="s">
        <v>115</v>
      </c>
      <c r="U117" s="69">
        <v>9.7000000000000003E-2</v>
      </c>
      <c r="V117" s="575" t="s">
        <v>1582</v>
      </c>
      <c r="W117" s="18"/>
      <c r="X117" s="18"/>
      <c r="Y117" s="28"/>
      <c r="AA117" s="27"/>
      <c r="AD117" s="33" t="str">
        <f>C117&amp;F117</f>
        <v>GeorgiaLC bn</v>
      </c>
    </row>
    <row r="118" spans="1:30" ht="102.65" hidden="1" customHeight="1">
      <c r="A118" s="638"/>
      <c r="B118" s="638"/>
      <c r="C118" s="632"/>
      <c r="D118" s="629"/>
      <c r="E118" s="6"/>
      <c r="F118" s="32" t="s">
        <v>116</v>
      </c>
      <c r="G118" s="69">
        <v>1.1321361565263992</v>
      </c>
      <c r="H118" s="69">
        <v>0.41490217099973153</v>
      </c>
      <c r="I118" s="576"/>
      <c r="J118" s="69">
        <v>0.71723398552666773</v>
      </c>
      <c r="K118" s="576"/>
      <c r="L118" s="69"/>
      <c r="M118" s="576"/>
      <c r="N118" s="6"/>
      <c r="O118" s="32" t="s">
        <v>116</v>
      </c>
      <c r="P118" s="56">
        <v>5.9361103903259175E-5</v>
      </c>
      <c r="Q118" s="64">
        <v>2.4881899839689477E-5</v>
      </c>
      <c r="R118" s="576"/>
      <c r="S118" s="6"/>
      <c r="T118" s="32" t="s">
        <v>116</v>
      </c>
      <c r="U118" s="69">
        <v>3.4479204063569698E-5</v>
      </c>
      <c r="V118" s="576"/>
      <c r="W118" s="28"/>
      <c r="X118" s="28"/>
      <c r="Y118" s="28"/>
      <c r="AA118" s="27"/>
      <c r="AD118" s="33" t="str">
        <f>C117&amp;F118</f>
        <v>GeorgiaUSD bn</v>
      </c>
    </row>
    <row r="119" spans="1:30" ht="90" hidden="1" customHeight="1">
      <c r="A119" s="638"/>
      <c r="B119" s="638"/>
      <c r="C119" s="633"/>
      <c r="D119" s="630"/>
      <c r="E119" s="6"/>
      <c r="F119" s="31" t="s">
        <v>117</v>
      </c>
      <c r="G119" s="17">
        <v>7.1244589204446775</v>
      </c>
      <c r="H119" s="17">
        <v>2.6109522748220551</v>
      </c>
      <c r="I119" s="577"/>
      <c r="J119" s="17">
        <v>4.5135066456226216</v>
      </c>
      <c r="K119" s="577"/>
      <c r="L119" s="17"/>
      <c r="M119" s="577"/>
      <c r="N119" s="6"/>
      <c r="O119" s="31" t="s">
        <v>117</v>
      </c>
      <c r="P119" s="17">
        <v>4.5185755271281601E-4</v>
      </c>
      <c r="Q119" s="65">
        <v>1.8940136940058156E-4</v>
      </c>
      <c r="R119" s="577"/>
      <c r="S119" s="6"/>
      <c r="T119" s="31" t="s">
        <v>117</v>
      </c>
      <c r="U119" s="17">
        <v>2.6245618331223442E-4</v>
      </c>
      <c r="V119" s="577"/>
      <c r="W119" s="19"/>
      <c r="X119" s="19"/>
      <c r="Y119" s="28"/>
      <c r="AA119" s="27"/>
      <c r="AD119" s="33" t="str">
        <f>C117&amp;F119</f>
        <v>Georgia% GDP</v>
      </c>
    </row>
    <row r="120" spans="1:30" ht="92.5" hidden="1" customHeight="1">
      <c r="A120" s="40"/>
      <c r="B120" s="40"/>
      <c r="C120" s="632" t="s">
        <v>1054</v>
      </c>
      <c r="D120" s="629" t="s">
        <v>1560</v>
      </c>
      <c r="E120" s="6"/>
      <c r="F120" s="37" t="s">
        <v>115</v>
      </c>
      <c r="G120" s="69">
        <v>21.305</v>
      </c>
      <c r="H120" s="69">
        <v>3.1840000000000002</v>
      </c>
      <c r="I120" s="575" t="s">
        <v>1596</v>
      </c>
      <c r="J120" s="69">
        <v>18.120999999999999</v>
      </c>
      <c r="K120" s="575" t="s">
        <v>1597</v>
      </c>
      <c r="L120" s="69" t="s">
        <v>84</v>
      </c>
      <c r="M120" s="575" t="s">
        <v>1561</v>
      </c>
      <c r="N120" s="6"/>
      <c r="O120" s="32"/>
      <c r="P120" s="69"/>
      <c r="Q120" s="64"/>
      <c r="R120" s="28"/>
      <c r="S120" s="6"/>
      <c r="T120" s="32"/>
      <c r="U120" s="69"/>
      <c r="V120" s="28"/>
      <c r="W120" s="28"/>
      <c r="X120" s="28"/>
      <c r="Y120" s="28"/>
      <c r="AA120" s="27"/>
      <c r="AD120" s="33" t="str">
        <f>C120&amp;F120</f>
        <v>GuatemalaLC bn</v>
      </c>
    </row>
    <row r="121" spans="1:30" ht="92.5" hidden="1" customHeight="1">
      <c r="A121" s="40"/>
      <c r="B121" s="40"/>
      <c r="C121" s="632"/>
      <c r="D121" s="629"/>
      <c r="E121" s="6"/>
      <c r="F121" s="32" t="s">
        <v>116</v>
      </c>
      <c r="G121" s="69">
        <v>2.759078567476394</v>
      </c>
      <c r="H121" s="69">
        <v>0.4123401154116329</v>
      </c>
      <c r="I121" s="576"/>
      <c r="J121" s="69">
        <v>2.3467384520647609</v>
      </c>
      <c r="K121" s="576"/>
      <c r="L121" s="69"/>
      <c r="M121" s="576"/>
      <c r="N121" s="6"/>
      <c r="O121" s="32"/>
      <c r="P121" s="69"/>
      <c r="Q121" s="64"/>
      <c r="R121" s="28"/>
      <c r="S121" s="6"/>
      <c r="T121" s="32"/>
      <c r="U121" s="69"/>
      <c r="V121" s="28"/>
      <c r="W121" s="28"/>
      <c r="X121" s="28"/>
      <c r="Y121" s="28"/>
      <c r="AA121" s="27"/>
      <c r="AD121" s="33" t="str">
        <f>C120&amp;F121</f>
        <v>GuatemalaUSD bn</v>
      </c>
    </row>
    <row r="122" spans="1:30" ht="92.5" hidden="1" customHeight="1">
      <c r="A122" s="40"/>
      <c r="B122" s="40"/>
      <c r="C122" s="633"/>
      <c r="D122" s="630"/>
      <c r="E122" s="6"/>
      <c r="F122" s="31" t="s">
        <v>117</v>
      </c>
      <c r="G122" s="17">
        <v>3.5553616255933731</v>
      </c>
      <c r="H122" s="17">
        <v>0.53134341309032151</v>
      </c>
      <c r="I122" s="577"/>
      <c r="J122" s="17">
        <v>3.024018212503051</v>
      </c>
      <c r="K122" s="577"/>
      <c r="L122" s="17"/>
      <c r="M122" s="577"/>
      <c r="N122" s="6"/>
      <c r="O122" s="32"/>
      <c r="P122" s="69"/>
      <c r="Q122" s="64"/>
      <c r="R122" s="28"/>
      <c r="S122" s="6"/>
      <c r="T122" s="32"/>
      <c r="U122" s="69"/>
      <c r="V122" s="28"/>
      <c r="W122" s="28"/>
      <c r="X122" s="28"/>
      <c r="Y122" s="28"/>
      <c r="AA122" s="27"/>
      <c r="AD122" s="33" t="str">
        <f>C120&amp;F122</f>
        <v>Guatemala% GDP</v>
      </c>
    </row>
    <row r="123" spans="1:30" s="10" customFormat="1" ht="88" hidden="1" customHeight="1">
      <c r="A123" s="638">
        <v>0</v>
      </c>
      <c r="B123" s="638" t="s">
        <v>861</v>
      </c>
      <c r="C123" s="632" t="s">
        <v>35</v>
      </c>
      <c r="D123" s="629" t="s">
        <v>571</v>
      </c>
      <c r="E123" s="13"/>
      <c r="F123" s="37" t="s">
        <v>115</v>
      </c>
      <c r="G123" s="127">
        <v>3888</v>
      </c>
      <c r="H123" s="74">
        <v>497</v>
      </c>
      <c r="I123" s="575" t="s">
        <v>1548</v>
      </c>
      <c r="J123" s="74">
        <v>3391</v>
      </c>
      <c r="K123" s="575" t="s">
        <v>1580</v>
      </c>
      <c r="L123" s="74">
        <v>200</v>
      </c>
      <c r="M123" s="575" t="s">
        <v>1581</v>
      </c>
      <c r="N123" s="13"/>
      <c r="O123" s="37" t="s">
        <v>115</v>
      </c>
      <c r="P123" s="127">
        <v>2017</v>
      </c>
      <c r="Q123" s="127"/>
      <c r="R123" s="575" t="s">
        <v>1587</v>
      </c>
      <c r="S123" s="13"/>
      <c r="T123" s="37" t="s">
        <v>115</v>
      </c>
      <c r="U123" s="93"/>
      <c r="V123" s="575" t="s">
        <v>1588</v>
      </c>
      <c r="W123" s="74">
        <v>2017</v>
      </c>
      <c r="X123" s="575" t="s">
        <v>1589</v>
      </c>
      <c r="Y123" s="18"/>
      <c r="Z123" s="13"/>
      <c r="AA123" s="18"/>
      <c r="AD123" s="33" t="str">
        <f>C123&amp;F123</f>
        <v>KazakhstanLC bn</v>
      </c>
    </row>
    <row r="124" spans="1:30" s="10" customFormat="1" ht="60" hidden="1" customHeight="1">
      <c r="A124" s="638"/>
      <c r="B124" s="638"/>
      <c r="C124" s="632"/>
      <c r="D124" s="629"/>
      <c r="F124" s="32" t="s">
        <v>116</v>
      </c>
      <c r="G124" s="69">
        <v>9.4151074374828561</v>
      </c>
      <c r="H124" s="56">
        <v>1.203525822126795</v>
      </c>
      <c r="I124" s="576"/>
      <c r="J124" s="56">
        <v>8.2115816153560601</v>
      </c>
      <c r="K124" s="576"/>
      <c r="L124" s="56">
        <v>0.48431622620796583</v>
      </c>
      <c r="M124" s="576"/>
      <c r="O124" s="32" t="s">
        <v>116</v>
      </c>
      <c r="P124" s="248">
        <v>4.8843291413073349</v>
      </c>
      <c r="Q124" s="69">
        <v>0</v>
      </c>
      <c r="R124" s="576"/>
      <c r="T124" s="32" t="s">
        <v>116</v>
      </c>
      <c r="U124" s="56"/>
      <c r="V124" s="576"/>
      <c r="W124" s="69">
        <v>4.8843291413073349</v>
      </c>
      <c r="X124" s="576"/>
      <c r="Y124" s="28"/>
      <c r="AA124" s="28"/>
      <c r="AD124" s="33" t="str">
        <f>C123&amp;F124</f>
        <v>KazakhstanUSD bn</v>
      </c>
    </row>
    <row r="125" spans="1:30" ht="156.75" hidden="1" customHeight="1">
      <c r="A125" s="638"/>
      <c r="B125" s="638"/>
      <c r="C125" s="633"/>
      <c r="D125" s="630"/>
      <c r="E125" s="12"/>
      <c r="F125" s="31" t="s">
        <v>117</v>
      </c>
      <c r="G125" s="17">
        <v>5.4981978129390923</v>
      </c>
      <c r="H125" s="68">
        <v>0.70283032742559903</v>
      </c>
      <c r="I125" s="577"/>
      <c r="J125" s="68">
        <v>4.7953674855134931</v>
      </c>
      <c r="K125" s="577"/>
      <c r="L125" s="56">
        <v>0.28282910560386276</v>
      </c>
      <c r="M125" s="577"/>
      <c r="N125" s="12"/>
      <c r="O125" s="31" t="s">
        <v>117</v>
      </c>
      <c r="P125" s="267">
        <v>2.8523315300149559</v>
      </c>
      <c r="Q125" s="17">
        <v>0</v>
      </c>
      <c r="R125" s="577"/>
      <c r="S125" s="12"/>
      <c r="T125" s="31" t="s">
        <v>117</v>
      </c>
      <c r="U125" s="17"/>
      <c r="V125" s="577"/>
      <c r="W125" s="17">
        <v>2.8523315300149559</v>
      </c>
      <c r="X125" s="577"/>
      <c r="Y125" s="19"/>
      <c r="Z125" s="1"/>
      <c r="AA125" s="26"/>
      <c r="AD125" s="33" t="str">
        <f>C123&amp;F125</f>
        <v>Kazakhstan% GDP</v>
      </c>
    </row>
    <row r="126" spans="1:30" ht="116.15" hidden="1" customHeight="1">
      <c r="A126" s="638">
        <v>0</v>
      </c>
      <c r="B126" s="638" t="s">
        <v>861</v>
      </c>
      <c r="C126" s="632" t="s">
        <v>92</v>
      </c>
      <c r="D126" s="629" t="s">
        <v>570</v>
      </c>
      <c r="E126" s="13"/>
      <c r="F126" s="37" t="s">
        <v>115</v>
      </c>
      <c r="G126" s="53">
        <v>39.299999999999997</v>
      </c>
      <c r="H126" s="74">
        <v>1.3</v>
      </c>
      <c r="I126" s="575" t="s">
        <v>639</v>
      </c>
      <c r="J126" s="53">
        <v>38</v>
      </c>
      <c r="K126" s="575" t="s">
        <v>1678</v>
      </c>
      <c r="L126" s="18"/>
      <c r="M126" s="18"/>
      <c r="N126" s="13"/>
      <c r="O126" s="32" t="s">
        <v>115</v>
      </c>
      <c r="P126" s="264">
        <v>159.19999999999999</v>
      </c>
      <c r="Q126" s="177">
        <v>14.2</v>
      </c>
      <c r="R126" s="575" t="s">
        <v>1679</v>
      </c>
      <c r="S126" s="13"/>
      <c r="T126" s="32" t="s">
        <v>115</v>
      </c>
      <c r="U126" s="93"/>
      <c r="V126" s="575"/>
      <c r="W126" s="18">
        <v>145</v>
      </c>
      <c r="X126" s="575" t="s">
        <v>1675</v>
      </c>
      <c r="Y126" s="18"/>
      <c r="Z126" s="13"/>
      <c r="AA126" s="18"/>
      <c r="AD126" s="33" t="str">
        <f>C126&amp;F126</f>
        <v>MauritiusLC bn</v>
      </c>
    </row>
    <row r="127" spans="1:30" ht="121" hidden="1" customHeight="1">
      <c r="A127" s="638"/>
      <c r="B127" s="638"/>
      <c r="C127" s="632"/>
      <c r="D127" s="629"/>
      <c r="E127" s="10"/>
      <c r="F127" s="32" t="s">
        <v>116</v>
      </c>
      <c r="G127" s="69">
        <v>0.99880719208951563</v>
      </c>
      <c r="H127" s="69">
        <v>3.3039423656905105E-2</v>
      </c>
      <c r="I127" s="576"/>
      <c r="J127" s="69">
        <v>0.96576776843261058</v>
      </c>
      <c r="K127" s="576"/>
      <c r="L127" s="28"/>
      <c r="M127" s="28"/>
      <c r="N127" s="10"/>
      <c r="O127" s="32" t="s">
        <v>116</v>
      </c>
      <c r="P127" s="248">
        <v>4.0460586509071472</v>
      </c>
      <c r="Q127" s="170">
        <v>0.36089216609850183</v>
      </c>
      <c r="R127" s="576"/>
      <c r="S127" s="10"/>
      <c r="T127" s="32" t="s">
        <v>116</v>
      </c>
      <c r="U127" s="170"/>
      <c r="V127" s="576"/>
      <c r="W127" s="247">
        <v>3.6851664848086458</v>
      </c>
      <c r="X127" s="576"/>
      <c r="Y127" s="28"/>
      <c r="Z127" s="10"/>
      <c r="AA127" s="28"/>
      <c r="AD127" s="33" t="str">
        <f>C126&amp;F127</f>
        <v>MauritiusUSD bn</v>
      </c>
    </row>
    <row r="128" spans="1:30" ht="21.75" hidden="1" customHeight="1">
      <c r="A128" s="638"/>
      <c r="B128" s="638"/>
      <c r="C128" s="633"/>
      <c r="D128" s="630"/>
      <c r="E128" s="12"/>
      <c r="F128" s="31" t="s">
        <v>117</v>
      </c>
      <c r="G128" s="17">
        <v>9.1999999999999993</v>
      </c>
      <c r="H128" s="17">
        <v>0.30432569974554707</v>
      </c>
      <c r="I128" s="577"/>
      <c r="J128" s="17">
        <v>8.895674300254452</v>
      </c>
      <c r="K128" s="577"/>
      <c r="L128" s="19"/>
      <c r="M128" s="19"/>
      <c r="N128" s="12"/>
      <c r="O128" s="31" t="s">
        <v>117</v>
      </c>
      <c r="P128" s="267">
        <v>37.268193384223913</v>
      </c>
      <c r="Q128" s="168">
        <v>3.3241730279898221</v>
      </c>
      <c r="R128" s="577"/>
      <c r="S128" s="12"/>
      <c r="T128" s="31" t="s">
        <v>117</v>
      </c>
      <c r="U128" s="168"/>
      <c r="V128" s="577"/>
      <c r="W128" s="246">
        <v>33.944020356234091</v>
      </c>
      <c r="X128" s="577"/>
      <c r="Y128" s="19"/>
      <c r="Z128" s="1"/>
      <c r="AA128" s="26"/>
      <c r="AD128" s="33" t="str">
        <f>C126&amp;F128</f>
        <v>Mauritius% GDP</v>
      </c>
    </row>
    <row r="129" spans="1:30" ht="54.65" hidden="1" customHeight="1">
      <c r="A129" s="40"/>
      <c r="B129" s="40"/>
      <c r="C129" s="631" t="s">
        <v>963</v>
      </c>
      <c r="D129" s="628" t="s">
        <v>570</v>
      </c>
      <c r="E129" s="36"/>
      <c r="F129" s="32" t="s">
        <v>115</v>
      </c>
      <c r="G129" s="56">
        <v>33.200000000000003</v>
      </c>
      <c r="H129" s="510">
        <v>4.2</v>
      </c>
      <c r="I129" s="645" t="s">
        <v>1511</v>
      </c>
      <c r="J129" s="98">
        <v>29</v>
      </c>
      <c r="K129" s="581" t="s">
        <v>1646</v>
      </c>
      <c r="L129" s="28"/>
      <c r="M129" s="581" t="s">
        <v>1512</v>
      </c>
      <c r="N129" s="36"/>
      <c r="O129" s="32" t="s">
        <v>115</v>
      </c>
      <c r="P129" s="266">
        <v>20.02</v>
      </c>
      <c r="Q129" s="60"/>
      <c r="R129" s="28"/>
      <c r="S129" s="36"/>
      <c r="T129" s="32" t="s">
        <v>115</v>
      </c>
      <c r="U129" s="120">
        <v>20.02</v>
      </c>
      <c r="V129" s="575" t="s">
        <v>1281</v>
      </c>
      <c r="W129" s="69"/>
      <c r="X129" s="28"/>
      <c r="Y129" s="28"/>
      <c r="AA129" s="27"/>
      <c r="AD129" s="33" t="str">
        <f t="shared" ref="AD129" si="0">C129&amp;F129</f>
        <v>North MacedoniaLC bn</v>
      </c>
    </row>
    <row r="130" spans="1:30" ht="67.5" hidden="1" customHeight="1">
      <c r="A130" s="40">
        <v>0</v>
      </c>
      <c r="B130" s="40" t="s">
        <v>861</v>
      </c>
      <c r="C130" s="632"/>
      <c r="D130" s="629"/>
      <c r="E130" s="36"/>
      <c r="F130" s="32" t="s">
        <v>116</v>
      </c>
      <c r="G130" s="69">
        <v>0.6143669224556243</v>
      </c>
      <c r="H130" s="69">
        <v>7.7721116696193429E-2</v>
      </c>
      <c r="I130" s="646"/>
      <c r="J130" s="69">
        <v>0.53664580575943077</v>
      </c>
      <c r="K130" s="582"/>
      <c r="L130" s="28"/>
      <c r="M130" s="582"/>
      <c r="N130" s="36"/>
      <c r="O130" s="32" t="s">
        <v>116</v>
      </c>
      <c r="P130" s="248">
        <v>0.37047065625185532</v>
      </c>
      <c r="Q130" s="60"/>
      <c r="R130" s="28"/>
      <c r="S130" s="36"/>
      <c r="T130" s="32" t="s">
        <v>116</v>
      </c>
      <c r="U130" s="69">
        <v>0.37047065625185532</v>
      </c>
      <c r="V130" s="576"/>
      <c r="W130" s="69"/>
      <c r="X130" s="28"/>
      <c r="Y130" s="28"/>
      <c r="AA130" s="27"/>
      <c r="AD130" s="33" t="str">
        <f t="shared" ref="AD130" si="1">C129&amp;F130</f>
        <v>North MacedoniaUSD bn</v>
      </c>
    </row>
    <row r="131" spans="1:30" ht="127.5" hidden="1" customHeight="1">
      <c r="A131" s="40"/>
      <c r="B131" s="40"/>
      <c r="C131" s="633"/>
      <c r="D131" s="630"/>
      <c r="E131" s="12"/>
      <c r="F131" s="31" t="s">
        <v>117</v>
      </c>
      <c r="G131" s="17">
        <v>4.9999322298342346</v>
      </c>
      <c r="H131" s="17">
        <v>0.63252154714770437</v>
      </c>
      <c r="I131" s="647"/>
      <c r="J131" s="17">
        <v>4.36741068268653</v>
      </c>
      <c r="K131" s="583"/>
      <c r="L131" s="19"/>
      <c r="M131" s="583"/>
      <c r="N131" s="12"/>
      <c r="O131" s="31" t="s">
        <v>117</v>
      </c>
      <c r="P131" s="267">
        <v>3.0150193747373906</v>
      </c>
      <c r="Q131" s="65"/>
      <c r="R131" s="23"/>
      <c r="S131" s="12"/>
      <c r="T131" s="31" t="s">
        <v>117</v>
      </c>
      <c r="U131" s="17">
        <v>3.0150193747373906</v>
      </c>
      <c r="V131" s="577"/>
      <c r="W131" s="17"/>
      <c r="X131" s="19"/>
      <c r="Y131" s="28"/>
      <c r="AA131" s="27"/>
      <c r="AD131" s="33" t="str">
        <f t="shared" ref="AD131" si="2">C129&amp;F131</f>
        <v>North Macedonia% GDP</v>
      </c>
    </row>
    <row r="132" spans="1:30" ht="83.5" hidden="1" customHeight="1">
      <c r="A132" s="638">
        <v>0</v>
      </c>
      <c r="B132" s="638" t="s">
        <v>861</v>
      </c>
      <c r="C132" s="632" t="s">
        <v>554</v>
      </c>
      <c r="D132" s="629" t="s">
        <v>571</v>
      </c>
      <c r="E132" s="6"/>
      <c r="F132" s="37" t="s">
        <v>115</v>
      </c>
      <c r="G132" s="81">
        <v>828</v>
      </c>
      <c r="H132" s="81">
        <v>178</v>
      </c>
      <c r="I132" s="575" t="s">
        <v>725</v>
      </c>
      <c r="J132" s="95">
        <v>650</v>
      </c>
      <c r="K132" s="575" t="s">
        <v>1443</v>
      </c>
      <c r="L132" s="95">
        <v>480</v>
      </c>
      <c r="M132" s="575" t="s">
        <v>727</v>
      </c>
      <c r="N132" s="6"/>
      <c r="O132" s="37" t="s">
        <v>115</v>
      </c>
      <c r="P132" s="53" t="s">
        <v>84</v>
      </c>
      <c r="Q132" s="170"/>
      <c r="R132" s="28"/>
      <c r="S132" s="6"/>
      <c r="T132" s="37" t="s">
        <v>115</v>
      </c>
      <c r="U132" s="69" t="s">
        <v>84</v>
      </c>
      <c r="V132" s="575" t="s">
        <v>1387</v>
      </c>
      <c r="W132" s="28" t="s">
        <v>84</v>
      </c>
      <c r="X132" s="590"/>
      <c r="Y132" s="28"/>
      <c r="AA132" s="27"/>
      <c r="AD132" s="33" t="str">
        <f>C132&amp;F132</f>
        <v>PakistanLC bn</v>
      </c>
    </row>
    <row r="133" spans="1:30" ht="58.5" hidden="1" customHeight="1">
      <c r="A133" s="638"/>
      <c r="B133" s="638"/>
      <c r="C133" s="632"/>
      <c r="D133" s="629"/>
      <c r="E133" s="6"/>
      <c r="F133" s="32" t="s">
        <v>116</v>
      </c>
      <c r="G133" s="69">
        <v>5.2148375564455147</v>
      </c>
      <c r="H133" s="69">
        <v>1.1210641123759681</v>
      </c>
      <c r="I133" s="576"/>
      <c r="J133" s="69">
        <v>4.0937734440695461</v>
      </c>
      <c r="K133" s="576"/>
      <c r="L133" s="69">
        <v>3.0230942356205883</v>
      </c>
      <c r="M133" s="576"/>
      <c r="N133" s="6"/>
      <c r="O133" s="32" t="s">
        <v>116</v>
      </c>
      <c r="P133" s="248"/>
      <c r="Q133" s="69"/>
      <c r="R133" s="28"/>
      <c r="S133" s="6"/>
      <c r="T133" s="32" t="s">
        <v>116</v>
      </c>
      <c r="U133" s="69"/>
      <c r="V133" s="576"/>
      <c r="W133" s="28"/>
      <c r="X133" s="591"/>
      <c r="Y133" s="28"/>
      <c r="AA133" s="27"/>
      <c r="AD133" s="33" t="str">
        <f>C132&amp;F133</f>
        <v>PakistanUSD bn</v>
      </c>
    </row>
    <row r="134" spans="1:30" ht="60.75" hidden="1" customHeight="1">
      <c r="A134" s="638"/>
      <c r="B134" s="638"/>
      <c r="C134" s="633"/>
      <c r="D134" s="630"/>
      <c r="E134" s="6"/>
      <c r="F134" s="31" t="s">
        <v>117</v>
      </c>
      <c r="G134" s="17">
        <v>1.9924764282578782</v>
      </c>
      <c r="H134" s="17">
        <v>0.42833430462548588</v>
      </c>
      <c r="I134" s="577"/>
      <c r="J134" s="17">
        <v>1.5641421236323922</v>
      </c>
      <c r="K134" s="577"/>
      <c r="L134" s="17">
        <v>1.1550587989900742</v>
      </c>
      <c r="M134" s="577"/>
      <c r="N134" s="12"/>
      <c r="O134" s="31" t="s">
        <v>117</v>
      </c>
      <c r="P134" s="267"/>
      <c r="Q134" s="17"/>
      <c r="R134" s="19"/>
      <c r="S134" s="12"/>
      <c r="T134" s="31" t="s">
        <v>117</v>
      </c>
      <c r="U134" s="17"/>
      <c r="V134" s="577"/>
      <c r="W134" s="19"/>
      <c r="X134" s="592"/>
      <c r="Y134" s="28"/>
      <c r="AA134" s="27"/>
      <c r="AD134" s="33" t="str">
        <f>C132&amp;F134</f>
        <v>Pakistan% GDP</v>
      </c>
    </row>
    <row r="135" spans="1:30" ht="48.65" hidden="1" customHeight="1">
      <c r="A135" s="638">
        <v>0</v>
      </c>
      <c r="B135" s="638" t="s">
        <v>861</v>
      </c>
      <c r="C135" s="632" t="s">
        <v>555</v>
      </c>
      <c r="D135" s="629" t="s">
        <v>570</v>
      </c>
      <c r="E135" s="6"/>
      <c r="F135" s="37" t="s">
        <v>115</v>
      </c>
      <c r="G135" s="81">
        <v>68.902000000000001</v>
      </c>
      <c r="H135" s="69">
        <v>12.042999999999999</v>
      </c>
      <c r="I135" s="575" t="s">
        <v>1583</v>
      </c>
      <c r="J135" s="81">
        <v>56.859000000000002</v>
      </c>
      <c r="K135" s="575" t="s">
        <v>1584</v>
      </c>
      <c r="L135" s="81">
        <v>12.045</v>
      </c>
      <c r="M135" s="575" t="s">
        <v>1585</v>
      </c>
      <c r="N135" s="6"/>
      <c r="O135" s="37" t="s">
        <v>115</v>
      </c>
      <c r="P135" s="264">
        <v>83.7</v>
      </c>
      <c r="Q135" s="69"/>
      <c r="R135" s="28"/>
      <c r="S135" s="6"/>
      <c r="T135" s="37" t="s">
        <v>115</v>
      </c>
      <c r="U135" s="81">
        <v>69.2</v>
      </c>
      <c r="V135" s="575" t="s">
        <v>1586</v>
      </c>
      <c r="W135" s="69"/>
      <c r="X135" s="619"/>
      <c r="Y135" s="28"/>
      <c r="AA135" s="27"/>
      <c r="AD135" s="33" t="str">
        <f>C135&amp;F135</f>
        <v>PeruLC bn</v>
      </c>
    </row>
    <row r="136" spans="1:30" ht="48.65" hidden="1" customHeight="1">
      <c r="A136" s="638"/>
      <c r="B136" s="638"/>
      <c r="C136" s="632"/>
      <c r="D136" s="629"/>
      <c r="E136" s="6"/>
      <c r="F136" s="32" t="s">
        <v>116</v>
      </c>
      <c r="G136" s="81">
        <v>19.711394276042082</v>
      </c>
      <c r="H136" s="69">
        <v>3.4452457296794692</v>
      </c>
      <c r="I136" s="576"/>
      <c r="J136" s="81">
        <v>16.266148546362611</v>
      </c>
      <c r="K136" s="576"/>
      <c r="L136" s="69">
        <v>3.4458178870704317</v>
      </c>
      <c r="M136" s="576"/>
      <c r="N136" s="6"/>
      <c r="O136" s="32" t="s">
        <v>116</v>
      </c>
      <c r="P136" s="265">
        <v>19.796645727295466</v>
      </c>
      <c r="Q136" s="69">
        <v>0</v>
      </c>
      <c r="R136" s="28"/>
      <c r="S136" s="6"/>
      <c r="T136" s="32" t="s">
        <v>116</v>
      </c>
      <c r="U136" s="81">
        <v>19.796645727295466</v>
      </c>
      <c r="V136" s="576"/>
      <c r="W136" s="28"/>
      <c r="X136" s="620"/>
      <c r="Y136" s="28"/>
      <c r="AA136" s="27"/>
      <c r="AD136" s="33" t="str">
        <f>C135&amp;F136</f>
        <v>PeruUSD bn</v>
      </c>
    </row>
    <row r="137" spans="1:30" ht="85.5" hidden="1" customHeight="1">
      <c r="A137" s="638"/>
      <c r="B137" s="638"/>
      <c r="C137" s="633"/>
      <c r="D137" s="630"/>
      <c r="E137" s="6"/>
      <c r="F137" s="31" t="s">
        <v>117</v>
      </c>
      <c r="G137" s="17">
        <v>9.5938667869694285</v>
      </c>
      <c r="H137" s="17">
        <v>1.6768589839986185</v>
      </c>
      <c r="I137" s="577"/>
      <c r="J137" s="17">
        <v>7.9170078029708097</v>
      </c>
      <c r="K137" s="577"/>
      <c r="L137" s="17">
        <v>1.6771374626142459</v>
      </c>
      <c r="M137" s="577"/>
      <c r="N137" s="12"/>
      <c r="O137" s="31" t="s">
        <v>117</v>
      </c>
      <c r="P137" s="267">
        <v>9.6353601006978682</v>
      </c>
      <c r="Q137" s="17">
        <v>0</v>
      </c>
      <c r="R137" s="19"/>
      <c r="S137" s="12"/>
      <c r="T137" s="31" t="s">
        <v>117</v>
      </c>
      <c r="U137" s="17">
        <v>9.6353601006978682</v>
      </c>
      <c r="V137" s="577"/>
      <c r="W137" s="19"/>
      <c r="X137" s="621"/>
      <c r="Y137" s="28"/>
      <c r="AA137" s="27"/>
      <c r="AD137" s="33" t="str">
        <f>C135&amp;F137</f>
        <v>Peru% GDP</v>
      </c>
    </row>
    <row r="138" spans="1:30" ht="43.5" hidden="1" customHeight="1">
      <c r="A138" s="638">
        <v>0</v>
      </c>
      <c r="B138" s="638" t="s">
        <v>861</v>
      </c>
      <c r="C138" s="632" t="s">
        <v>556</v>
      </c>
      <c r="D138" s="629" t="s">
        <v>571</v>
      </c>
      <c r="E138" s="6"/>
      <c r="F138" s="37" t="s">
        <v>115</v>
      </c>
      <c r="G138" s="81">
        <v>799</v>
      </c>
      <c r="H138" s="81">
        <v>163</v>
      </c>
      <c r="I138" s="575" t="s">
        <v>790</v>
      </c>
      <c r="J138" s="81">
        <v>636</v>
      </c>
      <c r="K138" s="575" t="s">
        <v>1624</v>
      </c>
      <c r="L138" s="49"/>
      <c r="M138" s="18"/>
      <c r="N138" s="6"/>
      <c r="O138" s="37" t="s">
        <v>115</v>
      </c>
      <c r="P138" s="264">
        <v>105</v>
      </c>
      <c r="Q138" s="81">
        <v>5</v>
      </c>
      <c r="R138" s="590" t="s">
        <v>1625</v>
      </c>
      <c r="S138" s="6"/>
      <c r="T138" s="37" t="s">
        <v>115</v>
      </c>
      <c r="U138" s="81">
        <v>100</v>
      </c>
      <c r="V138" s="575" t="s">
        <v>1626</v>
      </c>
      <c r="W138" s="69"/>
      <c r="X138" s="575" t="s">
        <v>1627</v>
      </c>
      <c r="Y138" s="28"/>
      <c r="AA138" s="27"/>
      <c r="AD138" s="33" t="str">
        <f>C138&amp;F138</f>
        <v>PhilippinesLC bn</v>
      </c>
    </row>
    <row r="139" spans="1:30" ht="43.5" hidden="1" customHeight="1">
      <c r="A139" s="638"/>
      <c r="B139" s="638"/>
      <c r="C139" s="632"/>
      <c r="D139" s="629"/>
      <c r="E139" s="6"/>
      <c r="F139" s="32" t="s">
        <v>116</v>
      </c>
      <c r="G139" s="69">
        <v>16.101047676431413</v>
      </c>
      <c r="H139" s="69">
        <v>3.2846943319878852</v>
      </c>
      <c r="I139" s="576"/>
      <c r="J139" s="69">
        <v>12.816353344443527</v>
      </c>
      <c r="K139" s="576"/>
      <c r="L139" s="69"/>
      <c r="M139" s="28"/>
      <c r="N139" s="6"/>
      <c r="O139" s="32" t="s">
        <v>116</v>
      </c>
      <c r="P139" s="248">
        <v>2.1159073917713367</v>
      </c>
      <c r="Q139" s="69">
        <v>0.10075749484625414</v>
      </c>
      <c r="R139" s="576"/>
      <c r="S139" s="6"/>
      <c r="T139" s="32" t="s">
        <v>116</v>
      </c>
      <c r="U139" s="69">
        <v>2.0151498969250827</v>
      </c>
      <c r="V139" s="576"/>
      <c r="W139" s="69"/>
      <c r="X139" s="576"/>
      <c r="Y139" s="28"/>
      <c r="AA139" s="27"/>
      <c r="AD139" s="33" t="str">
        <f>C138&amp;F139</f>
        <v>PhilippinesUSD bn</v>
      </c>
    </row>
    <row r="140" spans="1:30" ht="48.65" hidden="1" customHeight="1">
      <c r="A140" s="638"/>
      <c r="B140" s="638"/>
      <c r="C140" s="633"/>
      <c r="D140" s="630"/>
      <c r="E140" s="6"/>
      <c r="F140" s="31" t="s">
        <v>117</v>
      </c>
      <c r="G140" s="17">
        <v>4.4540862311094349</v>
      </c>
      <c r="H140" s="17">
        <v>0.90865588945036024</v>
      </c>
      <c r="I140" s="577"/>
      <c r="J140" s="17">
        <v>3.545430341659074</v>
      </c>
      <c r="K140" s="577"/>
      <c r="L140" s="17"/>
      <c r="M140" s="19"/>
      <c r="N140" s="6"/>
      <c r="O140" s="31" t="s">
        <v>117</v>
      </c>
      <c r="P140" s="267">
        <v>0.58533048093428119</v>
      </c>
      <c r="Q140" s="17">
        <v>2.7872880044489574E-2</v>
      </c>
      <c r="R140" s="577"/>
      <c r="S140" s="6"/>
      <c r="T140" s="31" t="s">
        <v>117</v>
      </c>
      <c r="U140" s="17">
        <v>0.55745760088979157</v>
      </c>
      <c r="V140" s="577"/>
      <c r="W140" s="17"/>
      <c r="X140" s="577"/>
      <c r="Y140" s="28"/>
      <c r="AA140" s="27"/>
      <c r="AD140" s="33" t="str">
        <f>C138&amp;F140</f>
        <v>Philippines% GDP</v>
      </c>
    </row>
    <row r="141" spans="1:30" s="10" customFormat="1" ht="58.5" hidden="1" customHeight="1">
      <c r="A141" s="638">
        <v>0</v>
      </c>
      <c r="B141" s="638" t="s">
        <v>861</v>
      </c>
      <c r="C141" s="632" t="s">
        <v>22</v>
      </c>
      <c r="D141" s="628" t="s">
        <v>570</v>
      </c>
      <c r="E141" s="13"/>
      <c r="F141" s="37" t="s">
        <v>115</v>
      </c>
      <c r="G141" s="93">
        <v>150.19999999999999</v>
      </c>
      <c r="H141" s="53">
        <v>14.7</v>
      </c>
      <c r="I141" s="575" t="s">
        <v>1534</v>
      </c>
      <c r="J141" s="93">
        <v>135.5</v>
      </c>
      <c r="K141" s="575" t="s">
        <v>1535</v>
      </c>
      <c r="L141" s="74" t="s">
        <v>84</v>
      </c>
      <c r="M141" s="575" t="s">
        <v>1536</v>
      </c>
      <c r="N141" s="13"/>
      <c r="O141" s="32" t="s">
        <v>115</v>
      </c>
      <c r="P141" s="264">
        <v>112</v>
      </c>
      <c r="Q141" s="175">
        <v>38</v>
      </c>
      <c r="R141" s="575" t="s">
        <v>1441</v>
      </c>
      <c r="S141" s="13"/>
      <c r="T141" s="293" t="s">
        <v>115</v>
      </c>
      <c r="U141" s="94">
        <v>74</v>
      </c>
      <c r="V141" s="575" t="s">
        <v>1537</v>
      </c>
      <c r="W141" s="94"/>
      <c r="X141" s="575"/>
      <c r="Y141" s="138" t="s">
        <v>189</v>
      </c>
      <c r="Z141" s="13"/>
      <c r="AA141" s="137" t="s">
        <v>188</v>
      </c>
      <c r="AD141" s="33" t="str">
        <f>C141&amp;F141</f>
        <v>PolandLC bn</v>
      </c>
    </row>
    <row r="142" spans="1:30" s="10" customFormat="1" ht="76.5" hidden="1" customHeight="1">
      <c r="A142" s="638"/>
      <c r="B142" s="638"/>
      <c r="C142" s="632"/>
      <c r="D142" s="629"/>
      <c r="F142" s="32" t="s">
        <v>116</v>
      </c>
      <c r="G142" s="81">
        <v>38.516359409090974</v>
      </c>
      <c r="H142" s="69">
        <v>3.7695771192652283</v>
      </c>
      <c r="I142" s="576"/>
      <c r="J142" s="81">
        <v>34.746782289825745</v>
      </c>
      <c r="K142" s="576"/>
      <c r="L142" s="28"/>
      <c r="M142" s="576"/>
      <c r="O142" s="32" t="s">
        <v>116</v>
      </c>
      <c r="P142" s="265">
        <v>28.720587575354124</v>
      </c>
      <c r="Q142" s="166">
        <v>9.7444850702094339</v>
      </c>
      <c r="R142" s="576"/>
      <c r="T142" s="32" t="s">
        <v>116</v>
      </c>
      <c r="U142" s="185">
        <v>18.976102505144688</v>
      </c>
      <c r="V142" s="576"/>
      <c r="W142" s="81"/>
      <c r="X142" s="576"/>
      <c r="Y142" s="28"/>
      <c r="AA142" s="28"/>
      <c r="AD142" s="33" t="str">
        <f>C141&amp;F142</f>
        <v>PolandUSD bn</v>
      </c>
    </row>
    <row r="143" spans="1:30" ht="106.5" hidden="1" customHeight="1">
      <c r="A143" s="638"/>
      <c r="B143" s="638"/>
      <c r="C143" s="633"/>
      <c r="D143" s="630"/>
      <c r="E143" s="12"/>
      <c r="F143" s="31" t="s">
        <v>117</v>
      </c>
      <c r="G143" s="17">
        <v>6.463386978297736</v>
      </c>
      <c r="H143" s="17">
        <v>0.63256849920756808</v>
      </c>
      <c r="I143" s="577"/>
      <c r="J143" s="17">
        <v>5.8308184790901691</v>
      </c>
      <c r="K143" s="577"/>
      <c r="L143" s="19"/>
      <c r="M143" s="577"/>
      <c r="N143" s="12"/>
      <c r="O143" s="31" t="s">
        <v>117</v>
      </c>
      <c r="P143" s="267">
        <v>4.8195695177719475</v>
      </c>
      <c r="Q143" s="168">
        <v>1.6352110863869107</v>
      </c>
      <c r="R143" s="577"/>
      <c r="S143" s="12"/>
      <c r="T143" s="31" t="s">
        <v>117</v>
      </c>
      <c r="U143" s="65">
        <v>3.184358431385037</v>
      </c>
      <c r="V143" s="577"/>
      <c r="W143" s="17"/>
      <c r="X143" s="577"/>
      <c r="Y143" s="19"/>
      <c r="Z143" s="1"/>
      <c r="AA143" s="26"/>
      <c r="AD143" s="33" t="str">
        <f>C141&amp;F143</f>
        <v>Poland% GDP</v>
      </c>
    </row>
    <row r="144" spans="1:30" ht="131.5" hidden="1" customHeight="1">
      <c r="A144" s="638">
        <v>0</v>
      </c>
      <c r="B144" s="638" t="s">
        <v>861</v>
      </c>
      <c r="C144" s="632" t="s">
        <v>557</v>
      </c>
      <c r="D144" s="628" t="s">
        <v>571</v>
      </c>
      <c r="E144" s="6"/>
      <c r="F144" s="37" t="s">
        <v>115</v>
      </c>
      <c r="G144" s="81">
        <v>36</v>
      </c>
      <c r="H144" s="190">
        <v>10</v>
      </c>
      <c r="I144" s="575" t="s">
        <v>1654</v>
      </c>
      <c r="J144" s="95">
        <v>26</v>
      </c>
      <c r="K144" s="575" t="s">
        <v>1538</v>
      </c>
      <c r="L144" s="75">
        <v>2.2999999999999998</v>
      </c>
      <c r="M144" s="581" t="s">
        <v>1539</v>
      </c>
      <c r="N144" s="6"/>
      <c r="O144" s="32" t="s">
        <v>115</v>
      </c>
      <c r="P144" s="264">
        <v>44.1</v>
      </c>
      <c r="Q144" s="170">
        <v>1.7</v>
      </c>
      <c r="R144" s="575" t="s">
        <v>1138</v>
      </c>
      <c r="S144" s="6"/>
      <c r="T144" s="32" t="s">
        <v>115</v>
      </c>
      <c r="U144" s="185">
        <v>42.4</v>
      </c>
      <c r="V144" s="590" t="s">
        <v>1540</v>
      </c>
      <c r="W144" s="28"/>
      <c r="X144" s="28"/>
      <c r="Y144" s="28"/>
      <c r="AA144" s="27"/>
      <c r="AD144" s="33" t="str">
        <f>C144&amp;F144</f>
        <v>RomaniaLC bn</v>
      </c>
    </row>
    <row r="145" spans="1:30" ht="105" hidden="1" customHeight="1">
      <c r="A145" s="638"/>
      <c r="B145" s="638"/>
      <c r="C145" s="632"/>
      <c r="D145" s="629"/>
      <c r="E145" s="6"/>
      <c r="F145" s="32" t="s">
        <v>116</v>
      </c>
      <c r="G145" s="69">
        <v>8.4825802752518751</v>
      </c>
      <c r="H145" s="69">
        <v>2.3562722986810765</v>
      </c>
      <c r="I145" s="576"/>
      <c r="J145" s="69">
        <v>6.1263079765707982</v>
      </c>
      <c r="K145" s="576"/>
      <c r="L145" s="69">
        <v>0.54194262869664755</v>
      </c>
      <c r="M145" s="582"/>
      <c r="N145" s="6"/>
      <c r="O145" s="32" t="s">
        <v>116</v>
      </c>
      <c r="P145" s="248">
        <v>10.391160837183547</v>
      </c>
      <c r="Q145" s="69">
        <v>0.40056629077578298</v>
      </c>
      <c r="R145" s="576"/>
      <c r="S145" s="6"/>
      <c r="T145" s="32" t="s">
        <v>116</v>
      </c>
      <c r="U145" s="69">
        <v>9.9905945464077632</v>
      </c>
      <c r="V145" s="576"/>
      <c r="W145" s="28"/>
      <c r="X145" s="28"/>
      <c r="Y145" s="28"/>
      <c r="AA145" s="27"/>
      <c r="AD145" s="33" t="str">
        <f>C144&amp;F145</f>
        <v>RomaniaUSD bn</v>
      </c>
    </row>
    <row r="146" spans="1:30" ht="310.5" hidden="1" customHeight="1">
      <c r="A146" s="638"/>
      <c r="B146" s="638"/>
      <c r="C146" s="633"/>
      <c r="D146" s="630"/>
      <c r="E146" s="6"/>
      <c r="F146" s="31" t="s">
        <v>117</v>
      </c>
      <c r="G146" s="17">
        <v>3.4105481432975906</v>
      </c>
      <c r="H146" s="17">
        <v>0.94737448424933068</v>
      </c>
      <c r="I146" s="577"/>
      <c r="J146" s="17">
        <v>2.4631736590482598</v>
      </c>
      <c r="K146" s="577"/>
      <c r="L146" s="17">
        <v>0.21789613137734604</v>
      </c>
      <c r="M146" s="583"/>
      <c r="N146" s="12"/>
      <c r="O146" s="31" t="s">
        <v>117</v>
      </c>
      <c r="P146" s="267">
        <v>4.1779214755395486</v>
      </c>
      <c r="Q146" s="17">
        <v>0.16105366232238622</v>
      </c>
      <c r="R146" s="577"/>
      <c r="S146" s="12"/>
      <c r="T146" s="31" t="s">
        <v>117</v>
      </c>
      <c r="U146" s="17">
        <v>4.0168678132171625</v>
      </c>
      <c r="V146" s="577"/>
      <c r="W146" s="19"/>
      <c r="X146" s="19"/>
      <c r="Y146" s="28"/>
      <c r="AA146" s="27"/>
      <c r="AD146" s="33" t="str">
        <f>C144&amp;F146</f>
        <v>Romania% GDP</v>
      </c>
    </row>
    <row r="147" spans="1:30" ht="69.650000000000006" hidden="1" customHeight="1">
      <c r="A147" s="40"/>
      <c r="B147" s="40"/>
      <c r="C147" s="631" t="s">
        <v>953</v>
      </c>
      <c r="D147" s="628" t="s">
        <v>570</v>
      </c>
      <c r="E147" s="36"/>
      <c r="F147" s="32" t="s">
        <v>115</v>
      </c>
      <c r="G147" s="98">
        <v>664</v>
      </c>
      <c r="H147" s="96">
        <v>125</v>
      </c>
      <c r="I147" s="645" t="s">
        <v>1600</v>
      </c>
      <c r="J147" s="95">
        <v>539</v>
      </c>
      <c r="K147" s="581" t="s">
        <v>1601</v>
      </c>
      <c r="L147" s="95">
        <v>148</v>
      </c>
      <c r="M147" s="575" t="s">
        <v>1602</v>
      </c>
      <c r="N147" s="36"/>
      <c r="O147" s="32" t="s">
        <v>115</v>
      </c>
      <c r="P147" s="264">
        <v>175</v>
      </c>
      <c r="Q147" s="178"/>
      <c r="R147" s="28"/>
      <c r="S147" s="36"/>
      <c r="T147" s="32" t="s">
        <v>115</v>
      </c>
      <c r="U147" s="98">
        <v>175</v>
      </c>
      <c r="V147" s="581" t="s">
        <v>1513</v>
      </c>
      <c r="W147" s="81"/>
      <c r="X147" s="575" t="s">
        <v>1218</v>
      </c>
      <c r="Y147" s="28"/>
      <c r="AA147" s="27"/>
      <c r="AD147" s="33" t="str">
        <f t="shared" ref="AD147" si="3">C147&amp;F147</f>
        <v>SerbiaLC bn</v>
      </c>
    </row>
    <row r="148" spans="1:30" ht="69.650000000000006" hidden="1" customHeight="1">
      <c r="A148" s="40">
        <v>0</v>
      </c>
      <c r="B148" s="40" t="s">
        <v>861</v>
      </c>
      <c r="C148" s="632"/>
      <c r="D148" s="629"/>
      <c r="E148" s="36"/>
      <c r="F148" s="32" t="s">
        <v>116</v>
      </c>
      <c r="G148" s="69">
        <v>6.4363979597070609</v>
      </c>
      <c r="H148" s="69">
        <v>1.2116713026556967</v>
      </c>
      <c r="I148" s="646"/>
      <c r="J148" s="69">
        <v>5.2247266570513649</v>
      </c>
      <c r="K148" s="582"/>
      <c r="L148" s="69">
        <v>1.434618822344345</v>
      </c>
      <c r="M148" s="576"/>
      <c r="N148" s="36"/>
      <c r="O148" s="32" t="s">
        <v>116</v>
      </c>
      <c r="P148" s="248">
        <v>1.6963398237179754</v>
      </c>
      <c r="Q148" s="178"/>
      <c r="R148" s="28"/>
      <c r="S148" s="36"/>
      <c r="T148" s="32" t="s">
        <v>116</v>
      </c>
      <c r="U148" s="69">
        <v>1.6963398237179754</v>
      </c>
      <c r="V148" s="582"/>
      <c r="W148" s="69">
        <v>0</v>
      </c>
      <c r="X148" s="576"/>
      <c r="Y148" s="28"/>
      <c r="AA148" s="27"/>
      <c r="AD148" s="33" t="str">
        <f t="shared" ref="AD148" si="4">C147&amp;F148</f>
        <v>SerbiaUSD bn</v>
      </c>
    </row>
    <row r="149" spans="1:30" ht="205" hidden="1" customHeight="1">
      <c r="A149" s="40"/>
      <c r="B149" s="40"/>
      <c r="C149" s="633"/>
      <c r="D149" s="630"/>
      <c r="E149" s="12"/>
      <c r="F149" s="31" t="s">
        <v>117</v>
      </c>
      <c r="G149" s="17">
        <v>12.153288105042478</v>
      </c>
      <c r="H149" s="17">
        <v>2.2878930920637197</v>
      </c>
      <c r="I149" s="647"/>
      <c r="J149" s="17">
        <v>9.8653950129787589</v>
      </c>
      <c r="K149" s="583"/>
      <c r="L149" s="17">
        <v>2.708865421003444</v>
      </c>
      <c r="M149" s="577"/>
      <c r="N149" s="12"/>
      <c r="O149" s="31" t="s">
        <v>117</v>
      </c>
      <c r="P149" s="267">
        <v>3.203050328889208</v>
      </c>
      <c r="Q149" s="168"/>
      <c r="R149" s="23"/>
      <c r="S149" s="12"/>
      <c r="T149" s="31" t="s">
        <v>117</v>
      </c>
      <c r="U149" s="17">
        <v>3.203050328889208</v>
      </c>
      <c r="V149" s="583"/>
      <c r="W149" s="17">
        <v>0</v>
      </c>
      <c r="X149" s="577"/>
      <c r="Y149" s="28"/>
      <c r="AA149" s="27"/>
      <c r="AD149" s="33" t="str">
        <f t="shared" ref="AD149" si="5">C147&amp;F149</f>
        <v>Serbia% GDP</v>
      </c>
    </row>
    <row r="150" spans="1:30" ht="247.5" hidden="1" customHeight="1">
      <c r="A150" s="638">
        <v>0</v>
      </c>
      <c r="B150" s="638" t="s">
        <v>861</v>
      </c>
      <c r="C150" s="632" t="s">
        <v>559</v>
      </c>
      <c r="D150" s="629" t="s">
        <v>572</v>
      </c>
      <c r="E150" s="6"/>
      <c r="F150" s="37" t="s">
        <v>115</v>
      </c>
      <c r="G150" s="127">
        <v>2290</v>
      </c>
      <c r="H150" s="69" t="s">
        <v>84</v>
      </c>
      <c r="I150" s="575" t="s">
        <v>645</v>
      </c>
      <c r="J150" s="69" t="s">
        <v>84</v>
      </c>
      <c r="K150" s="639" t="s">
        <v>1384</v>
      </c>
      <c r="L150" s="69"/>
      <c r="M150" s="575" t="s">
        <v>1541</v>
      </c>
      <c r="N150" s="6"/>
      <c r="O150" s="32" t="s">
        <v>115</v>
      </c>
      <c r="P150" s="264">
        <v>665</v>
      </c>
      <c r="Q150" s="81">
        <v>90</v>
      </c>
      <c r="R150" s="590" t="s">
        <v>736</v>
      </c>
      <c r="S150" s="6"/>
      <c r="T150" s="32" t="s">
        <v>115</v>
      </c>
      <c r="U150" s="81">
        <v>325</v>
      </c>
      <c r="V150" s="575" t="s">
        <v>567</v>
      </c>
      <c r="W150" s="81">
        <v>250</v>
      </c>
      <c r="X150" s="575" t="s">
        <v>1001</v>
      </c>
      <c r="Y150" s="28"/>
      <c r="AA150" s="27"/>
      <c r="AD150" s="33" t="str">
        <f t="shared" ref="AD150" si="6">C150&amp;F150</f>
        <v>ThailandLC bn</v>
      </c>
    </row>
    <row r="151" spans="1:30" ht="161.5" hidden="1" customHeight="1">
      <c r="A151" s="638"/>
      <c r="B151" s="638"/>
      <c r="C151" s="632"/>
      <c r="D151" s="629"/>
      <c r="E151" s="6"/>
      <c r="F151" s="32" t="s">
        <v>116</v>
      </c>
      <c r="G151" s="81">
        <v>73.187651709336336</v>
      </c>
      <c r="H151" s="69"/>
      <c r="I151" s="576"/>
      <c r="J151" s="69"/>
      <c r="K151" s="576"/>
      <c r="L151" s="69"/>
      <c r="M151" s="576"/>
      <c r="N151" s="6"/>
      <c r="O151" s="32" t="s">
        <v>116</v>
      </c>
      <c r="P151" s="265">
        <v>21.253182701619505</v>
      </c>
      <c r="Q151" s="69">
        <v>2.8763705911966246</v>
      </c>
      <c r="R151" s="591"/>
      <c r="S151" s="6"/>
      <c r="T151" s="32" t="s">
        <v>116</v>
      </c>
      <c r="U151" s="81">
        <v>10.386893801543367</v>
      </c>
      <c r="V151" s="576"/>
      <c r="W151" s="69">
        <v>7.9899183088795134</v>
      </c>
      <c r="X151" s="576"/>
      <c r="Y151" s="28"/>
      <c r="AA151" s="27"/>
      <c r="AD151" s="33" t="str">
        <f t="shared" ref="AD151" si="7">C150&amp;F151</f>
        <v>ThailandUSD bn</v>
      </c>
    </row>
    <row r="152" spans="1:30" ht="108.65" hidden="1" customHeight="1">
      <c r="A152" s="638"/>
      <c r="B152" s="638"/>
      <c r="C152" s="633"/>
      <c r="D152" s="630"/>
      <c r="E152" s="6"/>
      <c r="F152" s="31" t="s">
        <v>117</v>
      </c>
      <c r="G152" s="17">
        <v>14.587579816038515</v>
      </c>
      <c r="H152" s="17"/>
      <c r="I152" s="577"/>
      <c r="J152" s="17"/>
      <c r="K152" s="577"/>
      <c r="L152" s="17"/>
      <c r="M152" s="577"/>
      <c r="N152" s="12"/>
      <c r="O152" s="31" t="s">
        <v>117</v>
      </c>
      <c r="P152" s="267">
        <v>4.2361312566225386</v>
      </c>
      <c r="Q152" s="17">
        <v>0.57331099713688494</v>
      </c>
      <c r="R152" s="592"/>
      <c r="S152" s="12"/>
      <c r="T152" s="31" t="s">
        <v>117</v>
      </c>
      <c r="U152" s="17">
        <v>2.0702897118831953</v>
      </c>
      <c r="V152" s="577"/>
      <c r="W152" s="17">
        <v>1.592530547602458</v>
      </c>
      <c r="X152" s="577"/>
      <c r="Y152" s="28"/>
      <c r="AA152" s="27"/>
      <c r="AD152" s="33" t="str">
        <f t="shared" ref="AD152" si="8">C150&amp;F152</f>
        <v>Thailand% GDP</v>
      </c>
    </row>
    <row r="153" spans="1:30" s="10" customFormat="1" ht="88" hidden="1" customHeight="1">
      <c r="A153" s="638">
        <v>0</v>
      </c>
      <c r="B153" s="638" t="s">
        <v>861</v>
      </c>
      <c r="C153" s="631" t="s">
        <v>30</v>
      </c>
      <c r="D153" s="628" t="s">
        <v>570</v>
      </c>
      <c r="E153" s="13"/>
      <c r="F153" s="37" t="s">
        <v>115</v>
      </c>
      <c r="G153" s="53">
        <v>2.9849999999999999</v>
      </c>
      <c r="H153" s="53">
        <v>0.39500000000000002</v>
      </c>
      <c r="I153" s="575" t="s">
        <v>1388</v>
      </c>
      <c r="J153" s="53">
        <v>2.59</v>
      </c>
      <c r="K153" s="639" t="s">
        <v>1389</v>
      </c>
      <c r="L153" s="53">
        <v>0.3</v>
      </c>
      <c r="M153" s="575" t="s">
        <v>1245</v>
      </c>
      <c r="N153" s="13"/>
      <c r="O153" s="37" t="s">
        <v>115</v>
      </c>
      <c r="P153" s="266">
        <v>0.89999999999999991</v>
      </c>
      <c r="Q153" s="66">
        <v>0.7</v>
      </c>
      <c r="R153" s="575" t="s">
        <v>1314</v>
      </c>
      <c r="S153" s="13"/>
      <c r="T153" s="37" t="s">
        <v>115</v>
      </c>
      <c r="U153" s="53">
        <v>0.2</v>
      </c>
      <c r="V153" s="575" t="s">
        <v>614</v>
      </c>
      <c r="W153" s="18"/>
      <c r="X153" s="18"/>
      <c r="Y153" s="575" t="s">
        <v>83</v>
      </c>
      <c r="Z153" s="13"/>
      <c r="AA153" s="18"/>
      <c r="AD153" s="33" t="str">
        <f>C153&amp;F153</f>
        <v>TunisiaLC bn</v>
      </c>
    </row>
    <row r="154" spans="1:30" s="10" customFormat="1" ht="88" hidden="1" customHeight="1">
      <c r="A154" s="638"/>
      <c r="B154" s="638"/>
      <c r="C154" s="632"/>
      <c r="D154" s="629"/>
      <c r="F154" s="32" t="s">
        <v>116</v>
      </c>
      <c r="G154" s="69">
        <v>1.0614213919969644</v>
      </c>
      <c r="H154" s="69">
        <v>0.14045609709842577</v>
      </c>
      <c r="I154" s="576"/>
      <c r="J154" s="69">
        <v>0.92096529489853862</v>
      </c>
      <c r="K154" s="576"/>
      <c r="L154" s="69">
        <v>0.1066755167836145</v>
      </c>
      <c r="M154" s="576"/>
      <c r="O154" s="32" t="s">
        <v>116</v>
      </c>
      <c r="P154" s="248">
        <v>0.32002655035084349</v>
      </c>
      <c r="Q154" s="64">
        <v>0.24890953916176717</v>
      </c>
      <c r="R154" s="576"/>
      <c r="T154" s="32" t="s">
        <v>116</v>
      </c>
      <c r="U154" s="69">
        <v>7.1117011189076346E-2</v>
      </c>
      <c r="V154" s="576"/>
      <c r="W154" s="28"/>
      <c r="X154" s="28"/>
      <c r="Y154" s="576"/>
      <c r="AA154" s="28"/>
      <c r="AD154" s="33" t="str">
        <f>C153&amp;F154</f>
        <v>TunisiaUSD bn</v>
      </c>
    </row>
    <row r="155" spans="1:30" ht="114" hidden="1" customHeight="1">
      <c r="A155" s="638"/>
      <c r="B155" s="638"/>
      <c r="C155" s="633"/>
      <c r="D155" s="630"/>
      <c r="E155" s="12"/>
      <c r="F155" s="31" t="s">
        <v>117</v>
      </c>
      <c r="G155" s="17">
        <v>2.7063675838678867</v>
      </c>
      <c r="H155" s="17">
        <v>0.35812904376141214</v>
      </c>
      <c r="I155" s="577"/>
      <c r="J155" s="17">
        <v>2.3482385401064745</v>
      </c>
      <c r="K155" s="577"/>
      <c r="L155" s="17">
        <v>0.27199674209727503</v>
      </c>
      <c r="M155" s="577"/>
      <c r="N155" s="12"/>
      <c r="O155" s="31" t="s">
        <v>117</v>
      </c>
      <c r="P155" s="267">
        <v>0.81599022629182516</v>
      </c>
      <c r="Q155" s="65">
        <v>0.63465906489364177</v>
      </c>
      <c r="R155" s="577"/>
      <c r="S155" s="12"/>
      <c r="T155" s="31" t="s">
        <v>117</v>
      </c>
      <c r="U155" s="17">
        <v>0.18133116139818339</v>
      </c>
      <c r="V155" s="577"/>
      <c r="W155" s="19"/>
      <c r="X155" s="19"/>
      <c r="Y155" s="577"/>
      <c r="Z155" s="1"/>
      <c r="AA155" s="26"/>
      <c r="AD155" s="33" t="str">
        <f>C153&amp;F155</f>
        <v>Tunisia% GDP</v>
      </c>
    </row>
    <row r="156" spans="1:30" s="10" customFormat="1" ht="68.5" hidden="1" customHeight="1">
      <c r="A156" s="638">
        <v>0</v>
      </c>
      <c r="B156" s="638" t="s">
        <v>861</v>
      </c>
      <c r="C156" s="631" t="s">
        <v>56</v>
      </c>
      <c r="D156" s="628" t="s">
        <v>570</v>
      </c>
      <c r="E156" s="13"/>
      <c r="F156" s="37" t="s">
        <v>115</v>
      </c>
      <c r="G156" s="93">
        <v>32</v>
      </c>
      <c r="H156" s="74" t="s">
        <v>84</v>
      </c>
      <c r="I156" s="575" t="s">
        <v>1594</v>
      </c>
      <c r="J156" s="49" t="s">
        <v>84</v>
      </c>
      <c r="K156" s="575" t="s">
        <v>1623</v>
      </c>
      <c r="L156" s="18"/>
      <c r="M156" s="18"/>
      <c r="N156" s="13"/>
      <c r="O156" s="37" t="s">
        <v>115</v>
      </c>
      <c r="P156" s="66" t="s">
        <v>84</v>
      </c>
      <c r="Q156" s="66" t="s">
        <v>84</v>
      </c>
      <c r="R156" s="575" t="s">
        <v>1595</v>
      </c>
      <c r="S156" s="13"/>
      <c r="T156" s="37" t="s">
        <v>115</v>
      </c>
      <c r="U156" s="66" t="s">
        <v>84</v>
      </c>
      <c r="V156" s="575" t="s">
        <v>343</v>
      </c>
      <c r="W156" s="66" t="s">
        <v>84</v>
      </c>
      <c r="X156" s="575" t="s">
        <v>750</v>
      </c>
      <c r="Y156" s="18"/>
      <c r="Z156" s="13"/>
      <c r="AA156" s="25" t="s">
        <v>51</v>
      </c>
      <c r="AD156" s="33" t="str">
        <f>C156&amp;F156</f>
        <v>United Arab EmiratesLC bn</v>
      </c>
    </row>
    <row r="157" spans="1:30" s="10" customFormat="1" ht="69.650000000000006" hidden="1" customHeight="1">
      <c r="A157" s="638"/>
      <c r="B157" s="638"/>
      <c r="C157" s="632"/>
      <c r="D157" s="629"/>
      <c r="F157" s="32" t="s">
        <v>116</v>
      </c>
      <c r="G157" s="69">
        <v>8.7134104833219883</v>
      </c>
      <c r="H157" s="30"/>
      <c r="I157" s="576"/>
      <c r="J157" s="75"/>
      <c r="K157" s="576"/>
      <c r="L157" s="28"/>
      <c r="M157" s="28"/>
      <c r="O157" s="32" t="s">
        <v>116</v>
      </c>
      <c r="P157" s="28"/>
      <c r="Q157" s="178"/>
      <c r="R157" s="576"/>
      <c r="T157" s="32" t="s">
        <v>116</v>
      </c>
      <c r="U157" s="56"/>
      <c r="V157" s="576"/>
      <c r="W157" s="28"/>
      <c r="X157" s="576"/>
      <c r="Y157" s="28"/>
      <c r="AA157" s="27" t="s">
        <v>52</v>
      </c>
      <c r="AD157" s="33" t="str">
        <f>C156&amp;F157</f>
        <v>United Arab EmiratesUSD bn</v>
      </c>
    </row>
    <row r="158" spans="1:30" ht="47.5" hidden="1" customHeight="1">
      <c r="A158" s="638"/>
      <c r="B158" s="638"/>
      <c r="C158" s="633"/>
      <c r="D158" s="630"/>
      <c r="E158" s="12"/>
      <c r="F158" s="31" t="s">
        <v>117</v>
      </c>
      <c r="G158" s="17">
        <v>2.4280205714042915</v>
      </c>
      <c r="H158" s="76"/>
      <c r="I158" s="577"/>
      <c r="J158" s="68"/>
      <c r="K158" s="577"/>
      <c r="L158" s="19"/>
      <c r="M158" s="19"/>
      <c r="N158" s="12"/>
      <c r="O158" s="31" t="s">
        <v>117</v>
      </c>
      <c r="P158" s="23"/>
      <c r="Q158" s="168"/>
      <c r="R158" s="577"/>
      <c r="S158" s="12"/>
      <c r="T158" s="31" t="s">
        <v>117</v>
      </c>
      <c r="U158" s="17"/>
      <c r="V158" s="577"/>
      <c r="W158" s="19"/>
      <c r="X158" s="577"/>
      <c r="Y158" s="19"/>
      <c r="Z158" s="1"/>
      <c r="AA158" s="26"/>
      <c r="AD158" s="33" t="str">
        <f>C156&amp;F158</f>
        <v>United Arab Emirates% GDP</v>
      </c>
    </row>
    <row r="159" spans="1:30" s="10" customFormat="1" ht="128.5" hidden="1" customHeight="1">
      <c r="A159" s="638">
        <v>0</v>
      </c>
      <c r="B159" s="638" t="s">
        <v>862</v>
      </c>
      <c r="C159" s="631" t="s">
        <v>37</v>
      </c>
      <c r="D159" s="628" t="s">
        <v>571</v>
      </c>
      <c r="E159" s="13"/>
      <c r="F159" s="37" t="s">
        <v>115</v>
      </c>
      <c r="G159" s="96">
        <v>630.91000000000008</v>
      </c>
      <c r="H159" s="96">
        <v>253</v>
      </c>
      <c r="I159" s="581" t="s">
        <v>1557</v>
      </c>
      <c r="J159" s="96">
        <v>377.91</v>
      </c>
      <c r="K159" s="575" t="s">
        <v>1648</v>
      </c>
      <c r="L159" s="18"/>
      <c r="M159" s="18"/>
      <c r="N159" s="13"/>
      <c r="O159" s="37" t="s">
        <v>115</v>
      </c>
      <c r="P159" s="266">
        <v>20</v>
      </c>
      <c r="Q159" s="175"/>
      <c r="R159" s="575"/>
      <c r="S159" s="13"/>
      <c r="T159" s="37" t="s">
        <v>115</v>
      </c>
      <c r="U159" s="53">
        <v>20</v>
      </c>
      <c r="V159" s="18" t="s">
        <v>1477</v>
      </c>
      <c r="W159" s="18"/>
      <c r="X159" s="18"/>
      <c r="Y159" s="18"/>
      <c r="Z159" s="13"/>
      <c r="AA159" s="18"/>
      <c r="AD159" s="33" t="str">
        <f>C159&amp;F159</f>
        <v>BangladeshLC bn</v>
      </c>
    </row>
    <row r="160" spans="1:30" s="36" customFormat="1" ht="94.5" hidden="1" customHeight="1">
      <c r="A160" s="638"/>
      <c r="B160" s="638"/>
      <c r="C160" s="632"/>
      <c r="D160" s="629"/>
      <c r="E160" s="10"/>
      <c r="F160" s="32" t="s">
        <v>116</v>
      </c>
      <c r="G160" s="69">
        <v>7.4404955534436894</v>
      </c>
      <c r="H160" s="69">
        <v>2.9836987447040832</v>
      </c>
      <c r="I160" s="582"/>
      <c r="J160" s="69">
        <v>4.4567968087396057</v>
      </c>
      <c r="K160" s="576"/>
      <c r="L160" s="28"/>
      <c r="M160" s="28"/>
      <c r="N160" s="10"/>
      <c r="O160" s="32" t="s">
        <v>116</v>
      </c>
      <c r="P160" s="248">
        <v>0.23586551341534254</v>
      </c>
      <c r="Q160" s="170"/>
      <c r="R160" s="576"/>
      <c r="S160" s="10"/>
      <c r="T160" s="32" t="s">
        <v>116</v>
      </c>
      <c r="U160" s="56">
        <v>0.23586551341534254</v>
      </c>
      <c r="V160" s="28"/>
      <c r="W160" s="28"/>
      <c r="X160" s="28"/>
      <c r="Y160" s="28"/>
      <c r="Z160" s="10"/>
      <c r="AA160" s="28"/>
      <c r="AD160" s="33" t="str">
        <f>C159&amp;F160</f>
        <v>BangladeshUSD bn</v>
      </c>
    </row>
    <row r="161" spans="1:30" ht="157.5" hidden="1" customHeight="1">
      <c r="A161" s="638"/>
      <c r="B161" s="638"/>
      <c r="C161" s="633"/>
      <c r="D161" s="630"/>
      <c r="E161" s="12"/>
      <c r="F161" s="31" t="s">
        <v>117</v>
      </c>
      <c r="G161" s="17">
        <v>2.3031524031183657</v>
      </c>
      <c r="H161" s="17">
        <v>0.92358269482009558</v>
      </c>
      <c r="I161" s="583"/>
      <c r="J161" s="17">
        <v>1.3795697082982701</v>
      </c>
      <c r="K161" s="577"/>
      <c r="L161" s="19"/>
      <c r="M161" s="19"/>
      <c r="N161" s="12"/>
      <c r="O161" s="31" t="s">
        <v>117</v>
      </c>
      <c r="P161" s="267">
        <v>7.3010489709098458E-2</v>
      </c>
      <c r="Q161" s="168"/>
      <c r="R161" s="577"/>
      <c r="S161" s="12"/>
      <c r="T161" s="31" t="s">
        <v>117</v>
      </c>
      <c r="U161" s="17">
        <v>7.3010489709098458E-2</v>
      </c>
      <c r="V161" s="19"/>
      <c r="W161" s="19"/>
      <c r="X161" s="19"/>
      <c r="Y161" s="28"/>
      <c r="AA161" s="27"/>
      <c r="AD161" s="33" t="str">
        <f>C159&amp;F161</f>
        <v>Bangladesh% GDP</v>
      </c>
    </row>
    <row r="162" spans="1:30" ht="157.5" hidden="1" customHeight="1">
      <c r="A162" s="40"/>
      <c r="B162" s="40"/>
      <c r="C162" s="631" t="s">
        <v>1095</v>
      </c>
      <c r="D162" s="628" t="s">
        <v>571</v>
      </c>
      <c r="E162" s="16"/>
      <c r="F162" s="37" t="s">
        <v>115</v>
      </c>
      <c r="G162" s="81">
        <v>329</v>
      </c>
      <c r="H162" s="96">
        <v>42</v>
      </c>
      <c r="I162" s="575" t="s">
        <v>1564</v>
      </c>
      <c r="J162" s="96">
        <v>287</v>
      </c>
      <c r="K162" s="575" t="s">
        <v>1565</v>
      </c>
      <c r="L162" s="18"/>
      <c r="M162" s="18"/>
      <c r="N162" s="16"/>
      <c r="O162" s="37" t="s">
        <v>115</v>
      </c>
      <c r="P162" s="265">
        <v>110</v>
      </c>
      <c r="Q162" s="169"/>
      <c r="R162" s="18"/>
      <c r="S162" s="16"/>
      <c r="T162" s="37" t="s">
        <v>115</v>
      </c>
      <c r="U162" s="49"/>
      <c r="V162" s="18"/>
      <c r="W162" s="18"/>
      <c r="X162" s="18"/>
      <c r="Y162" s="28"/>
      <c r="AA162" s="27"/>
      <c r="AD162" s="33" t="str">
        <f>C162&amp;F162</f>
        <v>ChadLC bn</v>
      </c>
    </row>
    <row r="163" spans="1:30" ht="153.5" hidden="1" customHeight="1">
      <c r="A163" s="40"/>
      <c r="B163" s="40"/>
      <c r="C163" s="632"/>
      <c r="D163" s="629"/>
      <c r="E163" s="6"/>
      <c r="F163" s="32" t="s">
        <v>116</v>
      </c>
      <c r="G163" s="69">
        <v>0.57241820992473713</v>
      </c>
      <c r="H163" s="69">
        <v>7.307466509677496E-2</v>
      </c>
      <c r="I163" s="576"/>
      <c r="J163" s="69">
        <v>0.49934354482796223</v>
      </c>
      <c r="K163" s="576"/>
      <c r="L163" s="28"/>
      <c r="M163" s="28"/>
      <c r="N163" s="6"/>
      <c r="O163" s="32" t="s">
        <v>116</v>
      </c>
      <c r="P163" s="248">
        <v>0</v>
      </c>
      <c r="Q163" s="170"/>
      <c r="R163" s="28"/>
      <c r="S163" s="6"/>
      <c r="T163" s="32" t="s">
        <v>116</v>
      </c>
      <c r="U163" s="56">
        <v>0</v>
      </c>
      <c r="V163" s="28"/>
      <c r="W163" s="28"/>
      <c r="X163" s="28"/>
      <c r="Y163" s="28"/>
      <c r="AA163" s="27"/>
      <c r="AD163" s="33" t="str">
        <f>C162&amp;F163</f>
        <v>ChadUSD bn</v>
      </c>
    </row>
    <row r="164" spans="1:30" ht="49.5" hidden="1" customHeight="1">
      <c r="A164" s="40"/>
      <c r="B164" s="40"/>
      <c r="C164" s="633"/>
      <c r="D164" s="630"/>
      <c r="E164" s="12"/>
      <c r="F164" s="31" t="s">
        <v>117</v>
      </c>
      <c r="G164" s="17">
        <v>5.2826581188893638</v>
      </c>
      <c r="H164" s="17">
        <v>0.67438188751779127</v>
      </c>
      <c r="I164" s="577"/>
      <c r="J164" s="17">
        <v>4.6082762313715735</v>
      </c>
      <c r="K164" s="577"/>
      <c r="L164" s="19"/>
      <c r="M164" s="19"/>
      <c r="N164" s="12"/>
      <c r="O164" s="31" t="s">
        <v>117</v>
      </c>
      <c r="P164" s="267">
        <v>0</v>
      </c>
      <c r="Q164" s="168"/>
      <c r="R164" s="19"/>
      <c r="S164" s="12"/>
      <c r="T164" s="31" t="s">
        <v>117</v>
      </c>
      <c r="U164" s="17">
        <v>0</v>
      </c>
      <c r="V164" s="19"/>
      <c r="W164" s="19"/>
      <c r="X164" s="19"/>
      <c r="Y164" s="28"/>
      <c r="AA164" s="27"/>
      <c r="AD164" s="33" t="str">
        <f>C162&amp;F164</f>
        <v>Chad% GDP</v>
      </c>
    </row>
    <row r="165" spans="1:30" ht="58.5" hidden="1" customHeight="1">
      <c r="A165" s="638">
        <v>0</v>
      </c>
      <c r="B165" s="638" t="s">
        <v>862</v>
      </c>
      <c r="C165" s="632" t="s">
        <v>548</v>
      </c>
      <c r="D165" s="629" t="s">
        <v>570</v>
      </c>
      <c r="E165" s="6"/>
      <c r="F165" s="32" t="s">
        <v>115</v>
      </c>
      <c r="G165" s="81">
        <v>84.4</v>
      </c>
      <c r="H165" s="95">
        <v>21.3</v>
      </c>
      <c r="I165" s="575" t="s">
        <v>1481</v>
      </c>
      <c r="J165" s="95">
        <v>63.1</v>
      </c>
      <c r="K165" s="576" t="s">
        <v>1628</v>
      </c>
      <c r="L165" s="28"/>
      <c r="M165" s="28"/>
      <c r="N165" s="6"/>
      <c r="O165" s="32" t="s">
        <v>115</v>
      </c>
      <c r="P165" s="265">
        <v>21</v>
      </c>
      <c r="Q165" s="167">
        <v>21</v>
      </c>
      <c r="R165" s="576" t="s">
        <v>751</v>
      </c>
      <c r="S165" s="6"/>
      <c r="T165" s="32" t="s">
        <v>115</v>
      </c>
      <c r="U165" s="69"/>
      <c r="V165" s="28"/>
      <c r="W165" s="28"/>
      <c r="X165" s="28"/>
      <c r="Y165" s="28"/>
      <c r="AA165" s="27"/>
      <c r="AD165" s="33" t="str">
        <f>C165&amp;F165</f>
        <v>EthiopiaLC bn</v>
      </c>
    </row>
    <row r="166" spans="1:30" ht="58.5" hidden="1" customHeight="1">
      <c r="A166" s="638"/>
      <c r="B166" s="638"/>
      <c r="C166" s="632"/>
      <c r="D166" s="629"/>
      <c r="E166" s="6"/>
      <c r="F166" s="32" t="s">
        <v>116</v>
      </c>
      <c r="G166" s="69">
        <v>2.4164497040512201</v>
      </c>
      <c r="H166" s="69">
        <v>0.60983861014562779</v>
      </c>
      <c r="I166" s="576"/>
      <c r="J166" s="69">
        <v>1.8066110939055922</v>
      </c>
      <c r="K166" s="576"/>
      <c r="L166" s="69"/>
      <c r="M166" s="28"/>
      <c r="N166" s="6"/>
      <c r="O166" s="32" t="s">
        <v>116</v>
      </c>
      <c r="P166" s="248">
        <v>0.60124933394639357</v>
      </c>
      <c r="Q166" s="170">
        <v>0.60124933394639357</v>
      </c>
      <c r="R166" s="576"/>
      <c r="S166" s="6"/>
      <c r="T166" s="32" t="s">
        <v>116</v>
      </c>
      <c r="U166" s="69"/>
      <c r="V166" s="28"/>
      <c r="W166" s="28"/>
      <c r="X166" s="28"/>
      <c r="Y166" s="28"/>
      <c r="AA166" s="27"/>
      <c r="AD166" s="33" t="str">
        <f>C165&amp;F166</f>
        <v>EthiopiaUSD bn</v>
      </c>
    </row>
    <row r="167" spans="1:30" ht="72" hidden="1" customHeight="1">
      <c r="A167" s="638"/>
      <c r="B167" s="638"/>
      <c r="C167" s="633"/>
      <c r="D167" s="630"/>
      <c r="E167" s="12"/>
      <c r="F167" s="31" t="s">
        <v>117</v>
      </c>
      <c r="G167" s="17">
        <v>2.5012230728926022</v>
      </c>
      <c r="H167" s="17">
        <v>0.63123283711626088</v>
      </c>
      <c r="I167" s="577"/>
      <c r="J167" s="17">
        <v>1.8699902357763409</v>
      </c>
      <c r="K167" s="577"/>
      <c r="L167" s="17"/>
      <c r="M167" s="19"/>
      <c r="N167" s="12"/>
      <c r="O167" s="31" t="s">
        <v>117</v>
      </c>
      <c r="P167" s="267">
        <v>0.62234223377659526</v>
      </c>
      <c r="Q167" s="168">
        <v>0.62234223377659526</v>
      </c>
      <c r="R167" s="577"/>
      <c r="S167" s="12"/>
      <c r="T167" s="31" t="s">
        <v>117</v>
      </c>
      <c r="U167" s="17"/>
      <c r="V167" s="19"/>
      <c r="W167" s="19"/>
      <c r="X167" s="19"/>
      <c r="Y167" s="28"/>
      <c r="AA167" s="27"/>
      <c r="AD167" s="33" t="str">
        <f>C165&amp;F167</f>
        <v>Ethiopia% GDP</v>
      </c>
    </row>
    <row r="168" spans="1:30" ht="58.5" hidden="1" customHeight="1">
      <c r="A168" s="638">
        <v>0</v>
      </c>
      <c r="B168" s="638" t="s">
        <v>862</v>
      </c>
      <c r="C168" s="632" t="s">
        <v>550</v>
      </c>
      <c r="D168" s="629" t="s">
        <v>571</v>
      </c>
      <c r="E168" s="6"/>
      <c r="F168" s="32" t="s">
        <v>115</v>
      </c>
      <c r="G168" s="120">
        <v>12.5</v>
      </c>
      <c r="H168" s="263">
        <v>4.2</v>
      </c>
      <c r="I168" s="575" t="s">
        <v>648</v>
      </c>
      <c r="J168" s="69">
        <v>8.3000000000000007</v>
      </c>
      <c r="K168" s="575" t="s">
        <v>788</v>
      </c>
      <c r="L168" s="28" t="s">
        <v>84</v>
      </c>
      <c r="M168" s="575" t="s">
        <v>621</v>
      </c>
      <c r="N168" s="6"/>
      <c r="O168" s="37" t="s">
        <v>115</v>
      </c>
      <c r="P168" s="266">
        <v>1.2</v>
      </c>
      <c r="Q168" s="274">
        <v>1.2</v>
      </c>
      <c r="R168" s="581" t="s">
        <v>752</v>
      </c>
      <c r="S168" s="6"/>
      <c r="T168" s="37" t="s">
        <v>115</v>
      </c>
      <c r="U168" s="69"/>
      <c r="V168" s="28"/>
      <c r="W168" s="28"/>
      <c r="X168" s="28"/>
      <c r="Y168" s="28"/>
      <c r="AA168" s="27"/>
      <c r="AD168" s="33" t="str">
        <f>C168&amp;F168</f>
        <v>GhanaLC bn</v>
      </c>
    </row>
    <row r="169" spans="1:30" ht="58.5" hidden="1" customHeight="1">
      <c r="A169" s="638"/>
      <c r="B169" s="638"/>
      <c r="C169" s="632"/>
      <c r="D169" s="629"/>
      <c r="E169" s="6"/>
      <c r="F169" s="32" t="s">
        <v>116</v>
      </c>
      <c r="G169" s="69">
        <v>2.2327431550550991</v>
      </c>
      <c r="H169" s="69">
        <v>0.75020170009851339</v>
      </c>
      <c r="I169" s="576"/>
      <c r="J169" s="69">
        <v>1.4825414549565861</v>
      </c>
      <c r="K169" s="576"/>
      <c r="L169" s="69"/>
      <c r="M169" s="576"/>
      <c r="N169" s="6"/>
      <c r="O169" s="32" t="s">
        <v>116</v>
      </c>
      <c r="P169" s="248">
        <v>0.21434334288528953</v>
      </c>
      <c r="Q169" s="69">
        <v>0.21434334288528953</v>
      </c>
      <c r="R169" s="582"/>
      <c r="S169" s="6"/>
      <c r="T169" s="32" t="s">
        <v>116</v>
      </c>
      <c r="U169" s="69"/>
      <c r="V169" s="28"/>
      <c r="W169" s="28"/>
      <c r="X169" s="28"/>
      <c r="Y169" s="28"/>
      <c r="AA169" s="27"/>
      <c r="AD169" s="33" t="str">
        <f>C168&amp;F169</f>
        <v>GhanaUSD bn</v>
      </c>
    </row>
    <row r="170" spans="1:30" ht="42.65" hidden="1" customHeight="1">
      <c r="A170" s="638"/>
      <c r="B170" s="638"/>
      <c r="C170" s="633"/>
      <c r="D170" s="630"/>
      <c r="E170" s="12"/>
      <c r="F170" s="31" t="s">
        <v>117</v>
      </c>
      <c r="G170" s="17">
        <v>3.2595714054750369</v>
      </c>
      <c r="H170" s="17">
        <v>1.0952159922396125</v>
      </c>
      <c r="I170" s="577"/>
      <c r="J170" s="17">
        <v>2.164355413235425</v>
      </c>
      <c r="K170" s="577"/>
      <c r="L170" s="17"/>
      <c r="M170" s="577"/>
      <c r="N170" s="12"/>
      <c r="O170" s="31" t="s">
        <v>117</v>
      </c>
      <c r="P170" s="267">
        <v>0.31291885492560356</v>
      </c>
      <c r="Q170" s="17">
        <v>0.31291885492560356</v>
      </c>
      <c r="R170" s="583"/>
      <c r="S170" s="12"/>
      <c r="T170" s="31" t="s">
        <v>117</v>
      </c>
      <c r="U170" s="17"/>
      <c r="V170" s="19"/>
      <c r="W170" s="19"/>
      <c r="X170" s="19"/>
      <c r="Y170" s="28"/>
      <c r="AA170" s="27"/>
      <c r="AD170" s="33" t="str">
        <f>C168&amp;F170</f>
        <v>Ghana% GDP</v>
      </c>
    </row>
    <row r="171" spans="1:30" ht="41.5" hidden="1" customHeight="1">
      <c r="A171" s="638">
        <v>0</v>
      </c>
      <c r="B171" s="638" t="s">
        <v>862</v>
      </c>
      <c r="C171" s="631" t="s">
        <v>566</v>
      </c>
      <c r="D171" s="628" t="s">
        <v>571</v>
      </c>
      <c r="E171" s="16"/>
      <c r="F171" s="37" t="s">
        <v>115</v>
      </c>
      <c r="G171" s="80">
        <v>55.230000000000004</v>
      </c>
      <c r="H171" s="96">
        <v>48.6</v>
      </c>
      <c r="I171" s="634" t="s">
        <v>1514</v>
      </c>
      <c r="J171" s="272">
        <v>6.6300000000000008</v>
      </c>
      <c r="K171" s="581" t="s">
        <v>1515</v>
      </c>
      <c r="L171" s="18"/>
      <c r="M171" s="18"/>
      <c r="N171" s="16"/>
      <c r="O171" s="37" t="s">
        <v>115</v>
      </c>
      <c r="P171" s="264">
        <v>15</v>
      </c>
      <c r="Q171" s="80">
        <v>15</v>
      </c>
      <c r="R171" s="575" t="s">
        <v>1290</v>
      </c>
      <c r="S171" s="16"/>
      <c r="T171" s="37" t="s">
        <v>115</v>
      </c>
      <c r="U171" s="49"/>
      <c r="V171" s="18"/>
      <c r="W171" s="18"/>
      <c r="X171" s="18"/>
      <c r="Y171" s="28"/>
      <c r="AA171" s="27"/>
      <c r="AD171" s="33" t="str">
        <f>C171&amp;F171</f>
        <v>Guinea-BissauLC bn</v>
      </c>
    </row>
    <row r="172" spans="1:30" ht="58.5" hidden="1" customHeight="1">
      <c r="A172" s="638"/>
      <c r="B172" s="638"/>
      <c r="C172" s="632"/>
      <c r="D172" s="629"/>
      <c r="E172" s="6"/>
      <c r="F172" s="32" t="s">
        <v>116</v>
      </c>
      <c r="G172" s="69">
        <v>9.6093184602259421E-2</v>
      </c>
      <c r="H172" s="69">
        <v>8.4557826754839902E-2</v>
      </c>
      <c r="I172" s="648"/>
      <c r="J172" s="69">
        <v>1.1535357847419518E-2</v>
      </c>
      <c r="K172" s="582"/>
      <c r="L172" s="69"/>
      <c r="M172" s="28"/>
      <c r="N172" s="6"/>
      <c r="O172" s="32" t="s">
        <v>116</v>
      </c>
      <c r="P172" s="248">
        <v>2.609809467741972E-2</v>
      </c>
      <c r="Q172" s="69">
        <v>2.609809467741972E-2</v>
      </c>
      <c r="R172" s="576"/>
      <c r="S172" s="6"/>
      <c r="T172" s="32" t="s">
        <v>116</v>
      </c>
      <c r="U172" s="69"/>
      <c r="V172" s="28"/>
      <c r="W172" s="28"/>
      <c r="X172" s="28"/>
      <c r="Y172" s="28"/>
      <c r="AA172" s="27"/>
      <c r="AD172" s="33" t="str">
        <f>C171&amp;F172</f>
        <v>Guinea-BissauUSD bn</v>
      </c>
    </row>
    <row r="173" spans="1:30" ht="38.5" hidden="1" customHeight="1">
      <c r="A173" s="638"/>
      <c r="B173" s="638"/>
      <c r="C173" s="633"/>
      <c r="D173" s="630"/>
      <c r="E173" s="12"/>
      <c r="F173" s="31" t="s">
        <v>117</v>
      </c>
      <c r="G173" s="17">
        <v>6.702226729381966</v>
      </c>
      <c r="H173" s="17">
        <v>5.8976682789781556</v>
      </c>
      <c r="I173" s="649"/>
      <c r="J173" s="17">
        <v>0.80455845040381013</v>
      </c>
      <c r="K173" s="583"/>
      <c r="L173" s="17"/>
      <c r="M173" s="19"/>
      <c r="N173" s="12"/>
      <c r="O173" s="31" t="s">
        <v>117</v>
      </c>
      <c r="P173" s="267">
        <v>1.8202679873389367</v>
      </c>
      <c r="Q173" s="17">
        <v>1.8202679873389367</v>
      </c>
      <c r="R173" s="577"/>
      <c r="S173" s="12"/>
      <c r="T173" s="31" t="s">
        <v>117</v>
      </c>
      <c r="U173" s="17"/>
      <c r="V173" s="19"/>
      <c r="W173" s="19"/>
      <c r="X173" s="19"/>
      <c r="Y173" s="28"/>
      <c r="AA173" s="27"/>
      <c r="AD173" s="33" t="str">
        <f>C171&amp;F173</f>
        <v>Guinea-Bissau% GDP</v>
      </c>
    </row>
    <row r="174" spans="1:30" s="13" customFormat="1" ht="37.5" hidden="1" customHeight="1">
      <c r="A174" s="638">
        <v>0</v>
      </c>
      <c r="B174" s="638" t="s">
        <v>862</v>
      </c>
      <c r="C174" s="631" t="s">
        <v>38</v>
      </c>
      <c r="D174" s="628" t="s">
        <v>571</v>
      </c>
      <c r="E174" s="158"/>
      <c r="F174" s="37" t="s">
        <v>115</v>
      </c>
      <c r="G174" s="96">
        <v>20.100000000000001</v>
      </c>
      <c r="H174" s="189">
        <v>12.7</v>
      </c>
      <c r="I174" s="600" t="s">
        <v>1657</v>
      </c>
      <c r="J174" s="510">
        <v>7.4</v>
      </c>
      <c r="K174" s="575" t="s">
        <v>1658</v>
      </c>
      <c r="L174" s="140">
        <v>2.8</v>
      </c>
      <c r="M174" s="575" t="s">
        <v>995</v>
      </c>
      <c r="N174" s="158"/>
      <c r="O174" s="37" t="s">
        <v>115</v>
      </c>
      <c r="P174" s="264">
        <v>16.475000000000001</v>
      </c>
      <c r="Q174" s="511">
        <v>9.6</v>
      </c>
      <c r="R174" s="578" t="s">
        <v>1516</v>
      </c>
      <c r="S174" s="158"/>
      <c r="T174" s="37" t="s">
        <v>115</v>
      </c>
      <c r="U174" s="53">
        <v>6.875</v>
      </c>
      <c r="V174" s="575" t="s">
        <v>753</v>
      </c>
      <c r="W174" s="74">
        <v>0</v>
      </c>
      <c r="X174" s="575"/>
      <c r="Y174" s="18"/>
      <c r="Z174" s="14"/>
      <c r="AA174" s="18"/>
      <c r="AD174" s="33" t="str">
        <f>C174&amp;F174</f>
        <v>HondurasLC bn</v>
      </c>
    </row>
    <row r="175" spans="1:30" ht="58.5" hidden="1" customHeight="1">
      <c r="A175" s="638"/>
      <c r="B175" s="638"/>
      <c r="C175" s="632"/>
      <c r="D175" s="629"/>
      <c r="E175" s="6"/>
      <c r="F175" s="32" t="s">
        <v>116</v>
      </c>
      <c r="G175" s="69">
        <v>0.81767544130184866</v>
      </c>
      <c r="H175" s="69">
        <v>0.51664070171808341</v>
      </c>
      <c r="I175" s="601"/>
      <c r="J175" s="69">
        <v>0.3010347395837652</v>
      </c>
      <c r="K175" s="576"/>
      <c r="L175" s="28"/>
      <c r="M175" s="576"/>
      <c r="N175" s="6"/>
      <c r="O175" s="32" t="s">
        <v>116</v>
      </c>
      <c r="P175" s="248">
        <v>0.27967754522140348</v>
      </c>
      <c r="Q175" s="271"/>
      <c r="R175" s="579"/>
      <c r="S175" s="6"/>
      <c r="T175" s="32" t="s">
        <v>116</v>
      </c>
      <c r="U175" s="69">
        <v>0.27967754522140348</v>
      </c>
      <c r="V175" s="576"/>
      <c r="W175" s="69">
        <v>0</v>
      </c>
      <c r="X175" s="576"/>
      <c r="Y175" s="28"/>
      <c r="AA175" s="27"/>
      <c r="AD175" s="33" t="str">
        <f>C174&amp;F175</f>
        <v>HondurasUSD bn</v>
      </c>
    </row>
    <row r="176" spans="1:30" ht="61" hidden="1" customHeight="1">
      <c r="A176" s="638"/>
      <c r="B176" s="638"/>
      <c r="C176" s="633"/>
      <c r="D176" s="630"/>
      <c r="E176" s="12"/>
      <c r="F176" s="31" t="s">
        <v>117</v>
      </c>
      <c r="G176" s="17">
        <v>3.43159415816337</v>
      </c>
      <c r="H176" s="17">
        <v>2.1682211845111836</v>
      </c>
      <c r="I176" s="602"/>
      <c r="J176" s="17">
        <v>1.2633729736521859</v>
      </c>
      <c r="K176" s="577"/>
      <c r="L176" s="19"/>
      <c r="M176" s="577"/>
      <c r="N176" s="12"/>
      <c r="O176" s="31" t="s">
        <v>117</v>
      </c>
      <c r="P176" s="267">
        <v>1.173741782953889</v>
      </c>
      <c r="Q176" s="512"/>
      <c r="R176" s="580"/>
      <c r="S176" s="12"/>
      <c r="T176" s="31" t="s">
        <v>117</v>
      </c>
      <c r="U176" s="17">
        <v>1.173741782953889</v>
      </c>
      <c r="V176" s="577"/>
      <c r="W176" s="17">
        <v>0</v>
      </c>
      <c r="X176" s="577"/>
      <c r="Y176" s="19"/>
      <c r="Z176" s="1"/>
      <c r="AA176" s="26"/>
      <c r="AD176" s="33" t="str">
        <f>C174&amp;F176</f>
        <v>Honduras% GDP</v>
      </c>
    </row>
    <row r="177" spans="1:31" ht="58.5" hidden="1" customHeight="1">
      <c r="A177" s="638">
        <v>0</v>
      </c>
      <c r="B177" s="638" t="s">
        <v>862</v>
      </c>
      <c r="C177" s="632" t="s">
        <v>552</v>
      </c>
      <c r="D177" s="629" t="s">
        <v>571</v>
      </c>
      <c r="E177" s="6"/>
      <c r="F177" s="37" t="s">
        <v>115</v>
      </c>
      <c r="G177" s="81">
        <v>263.60000000000002</v>
      </c>
      <c r="H177" s="120">
        <v>21.6</v>
      </c>
      <c r="I177" s="581" t="s">
        <v>1517</v>
      </c>
      <c r="J177" s="95">
        <v>242</v>
      </c>
      <c r="K177" s="575" t="s">
        <v>1482</v>
      </c>
      <c r="L177" s="75">
        <v>33</v>
      </c>
      <c r="M177" s="575" t="s">
        <v>1207</v>
      </c>
      <c r="N177" s="6"/>
      <c r="O177" s="37" t="s">
        <v>115</v>
      </c>
      <c r="P177" s="266"/>
      <c r="Q177" s="64"/>
      <c r="R177" s="28"/>
      <c r="S177" s="6"/>
      <c r="T177" s="37" t="s">
        <v>115</v>
      </c>
      <c r="U177" s="69"/>
      <c r="V177" s="28"/>
      <c r="W177" s="28"/>
      <c r="X177" s="28"/>
      <c r="Y177" s="28"/>
      <c r="AA177" s="27"/>
      <c r="AD177" s="33" t="str">
        <f>C177&amp;F177</f>
        <v>KenyaLC bn</v>
      </c>
    </row>
    <row r="178" spans="1:31" ht="58.5" hidden="1" customHeight="1">
      <c r="A178" s="638"/>
      <c r="B178" s="638"/>
      <c r="C178" s="632"/>
      <c r="D178" s="629"/>
      <c r="E178" s="6"/>
      <c r="F178" s="32" t="s">
        <v>116</v>
      </c>
      <c r="G178" s="69">
        <v>2.5109136596508708</v>
      </c>
      <c r="H178" s="69">
        <v>0.20575013296076938</v>
      </c>
      <c r="I178" s="582"/>
      <c r="J178" s="69">
        <v>2.3051635266901012</v>
      </c>
      <c r="K178" s="576"/>
      <c r="L178" s="69">
        <v>0.3143404809122865</v>
      </c>
      <c r="M178" s="576"/>
      <c r="N178" s="6"/>
      <c r="O178" s="32" t="s">
        <v>116</v>
      </c>
      <c r="P178" s="248"/>
      <c r="Q178" s="69"/>
      <c r="R178" s="28"/>
      <c r="S178" s="6"/>
      <c r="T178" s="32" t="s">
        <v>116</v>
      </c>
      <c r="U178" s="69"/>
      <c r="V178" s="28"/>
      <c r="W178" s="28"/>
      <c r="X178" s="28"/>
      <c r="Y178" s="28"/>
      <c r="AA178" s="27"/>
      <c r="AD178" s="33" t="str">
        <f>C177&amp;F178</f>
        <v>KenyaUSD bn</v>
      </c>
    </row>
    <row r="179" spans="1:31" ht="77.150000000000006" hidden="1" customHeight="1">
      <c r="A179" s="638"/>
      <c r="B179" s="638"/>
      <c r="C179" s="633"/>
      <c r="D179" s="630"/>
      <c r="E179" s="12"/>
      <c r="F179" s="31" t="s">
        <v>117</v>
      </c>
      <c r="G179" s="17">
        <v>2.4514108377373729</v>
      </c>
      <c r="H179" s="17">
        <v>0.20087433268257682</v>
      </c>
      <c r="I179" s="583"/>
      <c r="J179" s="17">
        <v>2.2505365050547956</v>
      </c>
      <c r="K179" s="577"/>
      <c r="L179" s="17">
        <v>0.30689134159838122</v>
      </c>
      <c r="M179" s="577"/>
      <c r="N179" s="6"/>
      <c r="O179" s="31" t="s">
        <v>117</v>
      </c>
      <c r="P179" s="267"/>
      <c r="Q179" s="17"/>
      <c r="R179" s="19"/>
      <c r="S179" s="12"/>
      <c r="T179" s="31" t="s">
        <v>117</v>
      </c>
      <c r="U179" s="17"/>
      <c r="V179" s="19"/>
      <c r="W179" s="19"/>
      <c r="X179" s="19"/>
      <c r="Y179" s="28"/>
      <c r="AA179" s="27"/>
      <c r="AD179" s="33" t="str">
        <f>C177&amp;F179</f>
        <v>Kenya% GDP</v>
      </c>
    </row>
    <row r="180" spans="1:31" ht="98.5" hidden="1" customHeight="1">
      <c r="A180" s="638">
        <v>0</v>
      </c>
      <c r="B180" s="638" t="s">
        <v>862</v>
      </c>
      <c r="C180" s="631" t="s">
        <v>912</v>
      </c>
      <c r="D180" s="628" t="s">
        <v>572</v>
      </c>
      <c r="E180" s="6"/>
      <c r="F180" s="37" t="s">
        <v>115</v>
      </c>
      <c r="G180" s="81">
        <v>832</v>
      </c>
      <c r="H180" s="254">
        <v>185</v>
      </c>
      <c r="I180" s="590" t="s">
        <v>1468</v>
      </c>
      <c r="J180" s="254">
        <v>647</v>
      </c>
      <c r="K180" s="581" t="s">
        <v>1518</v>
      </c>
      <c r="L180" s="69"/>
      <c r="M180" s="28" t="s">
        <v>1469</v>
      </c>
      <c r="N180" s="6"/>
      <c r="O180" s="37" t="s">
        <v>115</v>
      </c>
      <c r="P180" s="414">
        <v>300</v>
      </c>
      <c r="Q180" s="254">
        <v>300</v>
      </c>
      <c r="R180" s="581" t="s">
        <v>1519</v>
      </c>
      <c r="S180" s="6"/>
      <c r="T180" s="37" t="s">
        <v>115</v>
      </c>
      <c r="U180" s="69"/>
      <c r="V180" s="186" t="s">
        <v>1520</v>
      </c>
      <c r="W180" s="28"/>
      <c r="X180" s="28"/>
      <c r="Y180" s="28"/>
      <c r="AA180" s="27"/>
      <c r="AD180" s="33" t="str">
        <f t="shared" ref="AD180" si="9">C180&amp;F180</f>
        <v>MyanmarLC bn</v>
      </c>
    </row>
    <row r="181" spans="1:31" ht="84.65" hidden="1" customHeight="1">
      <c r="A181" s="638"/>
      <c r="B181" s="638"/>
      <c r="C181" s="632"/>
      <c r="D181" s="629"/>
      <c r="E181" s="6"/>
      <c r="F181" s="32" t="s">
        <v>116</v>
      </c>
      <c r="G181" s="69">
        <v>0.58733903180831615</v>
      </c>
      <c r="H181" s="69">
        <v>0.13059822221699338</v>
      </c>
      <c r="I181" s="576"/>
      <c r="J181" s="69">
        <v>0.45674080959132279</v>
      </c>
      <c r="K181" s="582"/>
      <c r="L181" s="69"/>
      <c r="M181" s="28"/>
      <c r="N181" s="6"/>
      <c r="O181" s="32" t="s">
        <v>116</v>
      </c>
      <c r="P181" s="406">
        <v>0.21178090089242169</v>
      </c>
      <c r="Q181" s="69">
        <v>0.21178090089242169</v>
      </c>
      <c r="R181" s="582"/>
      <c r="S181" s="6"/>
      <c r="T181" s="32" t="s">
        <v>116</v>
      </c>
      <c r="U181" s="69"/>
      <c r="V181" s="28"/>
      <c r="W181" s="28"/>
      <c r="X181" s="28"/>
      <c r="Y181" s="28"/>
      <c r="AA181" s="27"/>
      <c r="AD181" s="33" t="str">
        <f t="shared" ref="AD181" si="10">C180&amp;F181</f>
        <v>MyanmarUSD bn</v>
      </c>
    </row>
    <row r="182" spans="1:31" ht="54.65" hidden="1" customHeight="1">
      <c r="A182" s="638"/>
      <c r="B182" s="638"/>
      <c r="C182" s="633"/>
      <c r="D182" s="630"/>
      <c r="E182" s="12"/>
      <c r="F182" s="31" t="s">
        <v>117</v>
      </c>
      <c r="G182" s="17">
        <v>0.72281351560912455</v>
      </c>
      <c r="H182" s="17">
        <v>0.16072175527366353</v>
      </c>
      <c r="I182" s="577"/>
      <c r="J182" s="17">
        <v>0.56209176033546104</v>
      </c>
      <c r="K182" s="583"/>
      <c r="L182" s="17"/>
      <c r="M182" s="19"/>
      <c r="N182" s="12"/>
      <c r="O182" s="31" t="s">
        <v>117</v>
      </c>
      <c r="P182" s="267">
        <v>0.26062987341675165</v>
      </c>
      <c r="Q182" s="17">
        <v>0.26062987341675165</v>
      </c>
      <c r="R182" s="583"/>
      <c r="S182" s="12"/>
      <c r="T182" s="31" t="s">
        <v>117</v>
      </c>
      <c r="U182" s="17"/>
      <c r="V182" s="19"/>
      <c r="W182" s="19"/>
      <c r="X182" s="19"/>
      <c r="Y182" s="28"/>
      <c r="AA182" s="27"/>
      <c r="AD182" s="33" t="str">
        <f t="shared" ref="AD182" si="11">C180&amp;F182</f>
        <v>Myanmar% GDP</v>
      </c>
    </row>
    <row r="183" spans="1:31" ht="75.650000000000006" hidden="1" customHeight="1">
      <c r="A183" s="638">
        <v>0</v>
      </c>
      <c r="B183" s="638" t="s">
        <v>862</v>
      </c>
      <c r="C183" s="631" t="s">
        <v>915</v>
      </c>
      <c r="D183" s="628" t="s">
        <v>571</v>
      </c>
      <c r="E183" s="16"/>
      <c r="F183" s="37" t="s">
        <v>115</v>
      </c>
      <c r="G183" s="80">
        <v>58.49</v>
      </c>
      <c r="H183" s="80">
        <v>25.75</v>
      </c>
      <c r="I183" s="635" t="s">
        <v>1521</v>
      </c>
      <c r="J183" s="80">
        <v>32.74</v>
      </c>
      <c r="K183" s="608" t="s">
        <v>1470</v>
      </c>
      <c r="L183" s="49"/>
      <c r="M183" s="18"/>
      <c r="N183" s="16"/>
      <c r="O183" s="37" t="s">
        <v>115</v>
      </c>
      <c r="P183" s="420">
        <v>100</v>
      </c>
      <c r="Q183" s="80">
        <v>50</v>
      </c>
      <c r="R183" s="575" t="s">
        <v>1170</v>
      </c>
      <c r="S183" s="16"/>
      <c r="T183" s="37" t="s">
        <v>115</v>
      </c>
      <c r="U183" s="80">
        <v>50</v>
      </c>
      <c r="V183" s="575" t="s">
        <v>1302</v>
      </c>
      <c r="W183" s="18"/>
      <c r="X183" s="18"/>
      <c r="Y183" s="28"/>
      <c r="AA183" s="27"/>
      <c r="AD183" s="33" t="str">
        <f t="shared" ref="AD183" si="12">C183&amp;F183</f>
        <v>NigerLC bn</v>
      </c>
    </row>
    <row r="184" spans="1:31" ht="91.5" hidden="1" customHeight="1">
      <c r="A184" s="638"/>
      <c r="B184" s="638"/>
      <c r="C184" s="632"/>
      <c r="D184" s="629"/>
      <c r="E184" s="6"/>
      <c r="F184" s="32" t="s">
        <v>116</v>
      </c>
      <c r="G184" s="69">
        <v>0.10176470509427343</v>
      </c>
      <c r="H184" s="69">
        <v>4.4801524297786645E-2</v>
      </c>
      <c r="I184" s="636"/>
      <c r="J184" s="69">
        <v>5.6963180796486788E-2</v>
      </c>
      <c r="K184" s="576"/>
      <c r="L184" s="69"/>
      <c r="M184" s="28"/>
      <c r="N184" s="6"/>
      <c r="O184" s="32" t="s">
        <v>116</v>
      </c>
      <c r="P184" s="406">
        <v>0.17398650212732678</v>
      </c>
      <c r="Q184" s="69">
        <v>8.6993251063663388E-2</v>
      </c>
      <c r="R184" s="576"/>
      <c r="S184" s="6"/>
      <c r="T184" s="32" t="s">
        <v>116</v>
      </c>
      <c r="U184" s="69">
        <v>8.6993251063663388E-2</v>
      </c>
      <c r="V184" s="576"/>
      <c r="W184" s="28"/>
      <c r="X184" s="28"/>
      <c r="Y184" s="28"/>
      <c r="AA184" s="27"/>
      <c r="AD184" s="33" t="str">
        <f t="shared" ref="AD184" si="13">C183&amp;F184</f>
        <v>NigerUSD bn</v>
      </c>
    </row>
    <row r="185" spans="1:31" ht="144.65" hidden="1" customHeight="1">
      <c r="A185" s="638"/>
      <c r="B185" s="638"/>
      <c r="C185" s="633"/>
      <c r="D185" s="630"/>
      <c r="E185" s="12"/>
      <c r="F185" s="31" t="s">
        <v>117</v>
      </c>
      <c r="G185" s="17">
        <v>0.73950497267868009</v>
      </c>
      <c r="H185" s="17">
        <v>0.32556425109379405</v>
      </c>
      <c r="I185" s="637"/>
      <c r="J185" s="17">
        <v>0.4139407215848861</v>
      </c>
      <c r="K185" s="577"/>
      <c r="L185" s="17"/>
      <c r="M185" s="19"/>
      <c r="N185" s="12"/>
      <c r="O185" s="31" t="s">
        <v>117</v>
      </c>
      <c r="P185" s="267">
        <v>1.2643271887137633</v>
      </c>
      <c r="Q185" s="17">
        <v>0.63216359435688163</v>
      </c>
      <c r="R185" s="577"/>
      <c r="S185" s="12"/>
      <c r="T185" s="31" t="s">
        <v>117</v>
      </c>
      <c r="U185" s="17">
        <v>0.63216359435688163</v>
      </c>
      <c r="V185" s="577"/>
      <c r="W185" s="19"/>
      <c r="X185" s="19"/>
      <c r="Y185" s="28"/>
      <c r="AA185" s="27"/>
      <c r="AD185" s="33" t="str">
        <f t="shared" ref="AD185" si="14">C183&amp;F185</f>
        <v>Niger% GDP</v>
      </c>
    </row>
    <row r="186" spans="1:31" s="10" customFormat="1" ht="85" hidden="1" customHeight="1">
      <c r="A186" s="638">
        <v>0</v>
      </c>
      <c r="B186" s="638" t="s">
        <v>862</v>
      </c>
      <c r="C186" s="632" t="s">
        <v>29</v>
      </c>
      <c r="D186" s="628" t="s">
        <v>570</v>
      </c>
      <c r="F186" s="32" t="s">
        <v>115</v>
      </c>
      <c r="G186" s="98">
        <v>3729</v>
      </c>
      <c r="H186" s="75">
        <v>2372</v>
      </c>
      <c r="I186" s="576" t="s">
        <v>1676</v>
      </c>
      <c r="J186" s="95">
        <v>1357</v>
      </c>
      <c r="K186" s="582" t="s">
        <v>1559</v>
      </c>
      <c r="L186" s="28"/>
      <c r="M186" s="28"/>
      <c r="O186" s="32" t="s">
        <v>115</v>
      </c>
      <c r="P186" s="28"/>
      <c r="Q186" s="178"/>
      <c r="R186" s="28"/>
      <c r="T186" s="32" t="s">
        <v>115</v>
      </c>
      <c r="U186" s="56"/>
      <c r="V186" s="28"/>
      <c r="W186" s="28"/>
      <c r="X186" s="28"/>
      <c r="Y186" s="18"/>
      <c r="Z186" s="13"/>
      <c r="AA186" s="18"/>
      <c r="AD186" s="33" t="str">
        <f t="shared" ref="AD186" si="15">C186&amp;F186</f>
        <v>NigeriaLC bn</v>
      </c>
      <c r="AE186" s="33"/>
    </row>
    <row r="187" spans="1:31" s="36" customFormat="1" ht="106.5" hidden="1" customHeight="1">
      <c r="A187" s="638"/>
      <c r="B187" s="638"/>
      <c r="C187" s="632"/>
      <c r="D187" s="629"/>
      <c r="E187" s="10"/>
      <c r="F187" s="32" t="s">
        <v>116</v>
      </c>
      <c r="G187" s="56">
        <v>10.381162278157996</v>
      </c>
      <c r="H187" s="69">
        <v>6.6034102772300267</v>
      </c>
      <c r="I187" s="576"/>
      <c r="J187" s="56">
        <v>3.7777520009279706</v>
      </c>
      <c r="K187" s="582"/>
      <c r="L187" s="28"/>
      <c r="M187" s="28"/>
      <c r="N187" s="10"/>
      <c r="O187" s="32" t="s">
        <v>116</v>
      </c>
      <c r="P187" s="28"/>
      <c r="Q187" s="178"/>
      <c r="R187" s="28"/>
      <c r="S187" s="10"/>
      <c r="T187" s="32" t="s">
        <v>116</v>
      </c>
      <c r="U187" s="56"/>
      <c r="V187" s="28"/>
      <c r="W187" s="28"/>
      <c r="X187" s="28"/>
      <c r="Y187" s="28"/>
      <c r="Z187" s="10"/>
      <c r="AA187" s="28"/>
      <c r="AD187" s="33" t="str">
        <f t="shared" ref="AD187" si="16">C186&amp;F187</f>
        <v>NigeriaUSD bn</v>
      </c>
      <c r="AE187" s="33"/>
    </row>
    <row r="188" spans="1:31" ht="86.5" hidden="1" customHeight="1">
      <c r="A188" s="638"/>
      <c r="B188" s="638"/>
      <c r="C188" s="633"/>
      <c r="D188" s="630"/>
      <c r="E188" s="12"/>
      <c r="F188" s="31" t="s">
        <v>117</v>
      </c>
      <c r="G188" s="17">
        <v>2.4174676981648453</v>
      </c>
      <c r="H188" s="17">
        <v>1.5377402467275443</v>
      </c>
      <c r="I188" s="577"/>
      <c r="J188" s="17">
        <v>0.8797274514373008</v>
      </c>
      <c r="K188" s="583"/>
      <c r="L188" s="19"/>
      <c r="M188" s="19"/>
      <c r="N188" s="12"/>
      <c r="O188" s="31" t="s">
        <v>117</v>
      </c>
      <c r="P188" s="23"/>
      <c r="Q188" s="168"/>
      <c r="R188" s="23"/>
      <c r="S188" s="12"/>
      <c r="T188" s="31" t="s">
        <v>117</v>
      </c>
      <c r="U188" s="17"/>
      <c r="V188" s="19"/>
      <c r="W188" s="19"/>
      <c r="X188" s="19"/>
      <c r="Y188" s="19"/>
      <c r="Z188" s="1"/>
      <c r="AA188" s="26"/>
      <c r="AD188" s="33" t="str">
        <f t="shared" ref="AD188" si="17">C186&amp;F188</f>
        <v>Nigeria% GDP</v>
      </c>
    </row>
    <row r="189" spans="1:31" ht="58.5" hidden="1" customHeight="1">
      <c r="A189" s="638">
        <v>0</v>
      </c>
      <c r="B189" s="638" t="s">
        <v>862</v>
      </c>
      <c r="C189" s="632" t="s">
        <v>93</v>
      </c>
      <c r="D189" s="629" t="s">
        <v>571</v>
      </c>
      <c r="E189" s="14"/>
      <c r="F189" s="37" t="s">
        <v>115</v>
      </c>
      <c r="G189" s="93">
        <v>795</v>
      </c>
      <c r="H189" s="96">
        <v>181</v>
      </c>
      <c r="I189" s="581" t="s">
        <v>1603</v>
      </c>
      <c r="J189" s="189">
        <v>614</v>
      </c>
      <c r="K189" s="581" t="s">
        <v>1604</v>
      </c>
      <c r="L189" s="189">
        <v>80</v>
      </c>
      <c r="M189" s="581" t="s">
        <v>1551</v>
      </c>
      <c r="N189" s="14"/>
      <c r="O189" s="32" t="s">
        <v>115</v>
      </c>
      <c r="P189" s="93">
        <v>200</v>
      </c>
      <c r="Q189" s="183"/>
      <c r="R189" s="581"/>
      <c r="S189" s="14"/>
      <c r="T189" s="32" t="s">
        <v>115</v>
      </c>
      <c r="U189" s="93">
        <v>200</v>
      </c>
      <c r="V189" s="575" t="s">
        <v>1471</v>
      </c>
      <c r="W189" s="18"/>
      <c r="X189" s="18"/>
      <c r="Y189" s="18"/>
      <c r="Z189" s="14"/>
      <c r="AA189" s="18"/>
      <c r="AD189" s="33" t="str">
        <f t="shared" ref="AD189" si="18">C189&amp;F189</f>
        <v>SenegalLC bn</v>
      </c>
    </row>
    <row r="190" spans="1:31" ht="58.5" hidden="1" customHeight="1">
      <c r="A190" s="638"/>
      <c r="B190" s="638"/>
      <c r="C190" s="632"/>
      <c r="D190" s="629"/>
      <c r="E190" s="36"/>
      <c r="F190" s="32" t="s">
        <v>116</v>
      </c>
      <c r="G190" s="69">
        <v>1.3831990179032452</v>
      </c>
      <c r="H190" s="69">
        <v>0.31491700910753129</v>
      </c>
      <c r="I190" s="582"/>
      <c r="J190" s="69">
        <v>1.0682820087957139</v>
      </c>
      <c r="K190" s="582"/>
      <c r="L190" s="69">
        <v>0.13918983827957185</v>
      </c>
      <c r="M190" s="582"/>
      <c r="N190" s="36"/>
      <c r="O190" s="32" t="s">
        <v>116</v>
      </c>
      <c r="P190" s="170">
        <v>0.34797459569892963</v>
      </c>
      <c r="Q190" s="170"/>
      <c r="R190" s="582"/>
      <c r="S190" s="36"/>
      <c r="T190" s="32" t="s">
        <v>116</v>
      </c>
      <c r="U190" s="69">
        <v>0.34797459569892963</v>
      </c>
      <c r="V190" s="576"/>
      <c r="W190" s="28"/>
      <c r="X190" s="28"/>
      <c r="Y190" s="28"/>
      <c r="Z190" s="36"/>
      <c r="AA190" s="28"/>
      <c r="AD190" s="33" t="str">
        <f t="shared" ref="AD190" si="19">C189&amp;F190</f>
        <v>SenegalUSD bn</v>
      </c>
    </row>
    <row r="191" spans="1:31" ht="87.65" hidden="1" customHeight="1">
      <c r="A191" s="638"/>
      <c r="B191" s="638"/>
      <c r="C191" s="633"/>
      <c r="D191" s="630"/>
      <c r="E191" s="12"/>
      <c r="F191" s="31" t="s">
        <v>117</v>
      </c>
      <c r="G191" s="17">
        <v>5.6043392101381073</v>
      </c>
      <c r="H191" s="17">
        <v>1.2759564742578584</v>
      </c>
      <c r="I191" s="583"/>
      <c r="J191" s="17">
        <v>4.3283827358802496</v>
      </c>
      <c r="K191" s="583"/>
      <c r="L191" s="17">
        <v>0.56395866265540706</v>
      </c>
      <c r="M191" s="583"/>
      <c r="N191" s="12"/>
      <c r="O191" s="31" t="s">
        <v>117</v>
      </c>
      <c r="P191" s="168">
        <v>1.4098966566385176</v>
      </c>
      <c r="Q191" s="168"/>
      <c r="R191" s="583"/>
      <c r="S191" s="12"/>
      <c r="T191" s="31" t="s">
        <v>117</v>
      </c>
      <c r="U191" s="17">
        <v>1.4098966566385176</v>
      </c>
      <c r="V191" s="577"/>
      <c r="W191" s="19"/>
      <c r="X191" s="19"/>
      <c r="Y191" s="19"/>
      <c r="Z191" s="1"/>
      <c r="AA191" s="26"/>
      <c r="AD191" s="33" t="str">
        <f t="shared" ref="AD191" si="20">C189&amp;F191</f>
        <v>Senegal% GDP</v>
      </c>
    </row>
    <row r="192" spans="1:31" ht="133.5" hidden="1" customHeight="1">
      <c r="A192" s="638">
        <v>0</v>
      </c>
      <c r="B192" s="638" t="s">
        <v>862</v>
      </c>
      <c r="C192" s="631" t="s">
        <v>913</v>
      </c>
      <c r="D192" s="628" t="s">
        <v>570</v>
      </c>
      <c r="E192" s="16"/>
      <c r="F192" s="37" t="s">
        <v>115</v>
      </c>
      <c r="G192" s="127">
        <v>34100</v>
      </c>
      <c r="H192" s="127">
        <v>7050</v>
      </c>
      <c r="I192" s="575" t="s">
        <v>1605</v>
      </c>
      <c r="J192" s="127">
        <v>27050</v>
      </c>
      <c r="K192" s="575" t="s">
        <v>1606</v>
      </c>
      <c r="L192" s="49"/>
      <c r="M192" s="18"/>
      <c r="N192" s="16"/>
      <c r="O192" s="37" t="s">
        <v>115</v>
      </c>
      <c r="P192" s="127">
        <v>12375</v>
      </c>
      <c r="Q192" s="127">
        <v>12375</v>
      </c>
      <c r="R192" s="581" t="s">
        <v>1316</v>
      </c>
      <c r="S192" s="16"/>
      <c r="T192" s="37" t="s">
        <v>115</v>
      </c>
      <c r="U192" s="49"/>
      <c r="V192" s="18"/>
      <c r="W192" s="18"/>
      <c r="X192" s="18"/>
      <c r="Y192" s="28"/>
      <c r="AA192" s="27"/>
      <c r="AD192" s="33" t="str">
        <f t="shared" ref="AD192" si="21">C192&amp;F192</f>
        <v>UzbekistanLC bn</v>
      </c>
    </row>
    <row r="193" spans="1:30" ht="117.65" hidden="1" customHeight="1">
      <c r="A193" s="638"/>
      <c r="B193" s="638"/>
      <c r="C193" s="632"/>
      <c r="D193" s="629"/>
      <c r="E193" s="6"/>
      <c r="F193" s="32" t="s">
        <v>116</v>
      </c>
      <c r="G193" s="69">
        <v>3.3915014286441689</v>
      </c>
      <c r="H193" s="69">
        <v>0.70117551530619915</v>
      </c>
      <c r="I193" s="576"/>
      <c r="J193" s="69">
        <v>2.6903259133379698</v>
      </c>
      <c r="K193" s="576"/>
      <c r="L193" s="69"/>
      <c r="M193" s="28"/>
      <c r="N193" s="6"/>
      <c r="O193" s="32" t="s">
        <v>116</v>
      </c>
      <c r="P193" s="170">
        <v>1.2307868087821581</v>
      </c>
      <c r="Q193" s="69">
        <v>1.2307868087821581</v>
      </c>
      <c r="R193" s="582"/>
      <c r="S193" s="6"/>
      <c r="T193" s="32" t="s">
        <v>116</v>
      </c>
      <c r="U193" s="69"/>
      <c r="V193" s="28"/>
      <c r="W193" s="28"/>
      <c r="X193" s="28"/>
      <c r="Y193" s="28"/>
      <c r="AA193" s="27"/>
      <c r="AD193" s="33" t="str">
        <f t="shared" ref="AD193" si="22">C192&amp;F193</f>
        <v>UzbekistanUSD bn</v>
      </c>
    </row>
    <row r="194" spans="1:30" ht="10.5" hidden="1" customHeight="1">
      <c r="A194" s="638"/>
      <c r="B194" s="638"/>
      <c r="C194" s="633"/>
      <c r="D194" s="630"/>
      <c r="E194" s="12"/>
      <c r="F194" s="31" t="s">
        <v>117</v>
      </c>
      <c r="G194" s="17">
        <v>5.6592682383610757</v>
      </c>
      <c r="H194" s="17">
        <v>1.1700246651157062</v>
      </c>
      <c r="I194" s="577"/>
      <c r="J194" s="17">
        <v>4.4892435732453695</v>
      </c>
      <c r="K194" s="577"/>
      <c r="L194" s="17"/>
      <c r="M194" s="19"/>
      <c r="N194" s="12"/>
      <c r="O194" s="31" t="s">
        <v>117</v>
      </c>
      <c r="P194" s="168">
        <v>2.0537666994052293</v>
      </c>
      <c r="Q194" s="17">
        <v>2.0537666994052293</v>
      </c>
      <c r="R194" s="583"/>
      <c r="S194" s="12"/>
      <c r="T194" s="31" t="s">
        <v>117</v>
      </c>
      <c r="U194" s="17"/>
      <c r="V194" s="19"/>
      <c r="W194" s="19"/>
      <c r="X194" s="19"/>
      <c r="Y194" s="28"/>
      <c r="AA194" s="27"/>
      <c r="AD194" s="33" t="str">
        <f t="shared" ref="AD194" si="23">C192&amp;F194</f>
        <v>Uzbekistan% GDP</v>
      </c>
    </row>
    <row r="195" spans="1:30" ht="83.5" hidden="1" customHeight="1">
      <c r="A195" s="638">
        <v>0</v>
      </c>
      <c r="B195" s="638" t="s">
        <v>862</v>
      </c>
      <c r="C195" s="632" t="s">
        <v>33</v>
      </c>
      <c r="D195" s="629" t="s">
        <v>583</v>
      </c>
      <c r="E195" s="14"/>
      <c r="F195" s="37" t="s">
        <v>115</v>
      </c>
      <c r="G195" s="127">
        <v>141030</v>
      </c>
      <c r="H195" s="126">
        <v>31900</v>
      </c>
      <c r="I195" s="600" t="s">
        <v>1478</v>
      </c>
      <c r="J195" s="260">
        <v>109130</v>
      </c>
      <c r="K195" s="575" t="s">
        <v>1486</v>
      </c>
      <c r="L195" s="126">
        <v>295000</v>
      </c>
      <c r="M195" s="634" t="s">
        <v>1479</v>
      </c>
      <c r="N195" s="14"/>
      <c r="O195" s="32" t="s">
        <v>115</v>
      </c>
      <c r="P195" s="127">
        <v>76100</v>
      </c>
      <c r="Q195" s="127">
        <v>26000</v>
      </c>
      <c r="R195" s="575" t="s">
        <v>1655</v>
      </c>
      <c r="S195" s="14"/>
      <c r="T195" s="32" t="s">
        <v>115</v>
      </c>
      <c r="U195" s="53"/>
      <c r="V195" s="18"/>
      <c r="W195" s="127">
        <v>50100</v>
      </c>
      <c r="X195" s="575" t="s">
        <v>1656</v>
      </c>
      <c r="Y195" s="575" t="s">
        <v>295</v>
      </c>
      <c r="Z195" s="14"/>
      <c r="AA195" s="18"/>
      <c r="AD195" s="33" t="str">
        <f t="shared" ref="AD195" si="24">C195&amp;F195</f>
        <v>VietnamLC bn</v>
      </c>
    </row>
    <row r="196" spans="1:30" ht="80.5" hidden="1" customHeight="1">
      <c r="A196" s="638"/>
      <c r="B196" s="638"/>
      <c r="C196" s="632"/>
      <c r="D196" s="629"/>
      <c r="E196" s="6"/>
      <c r="F196" s="32" t="s">
        <v>116</v>
      </c>
      <c r="G196" s="69">
        <v>6.074238065187715</v>
      </c>
      <c r="H196" s="69">
        <v>1.3739501827943565</v>
      </c>
      <c r="I196" s="601"/>
      <c r="J196" s="69">
        <v>4.7002878823933587</v>
      </c>
      <c r="K196" s="576"/>
      <c r="L196" s="69">
        <v>12.70580890044938</v>
      </c>
      <c r="M196" s="620"/>
      <c r="N196" s="6"/>
      <c r="O196" s="32" t="s">
        <v>116</v>
      </c>
      <c r="P196" s="258">
        <v>3.2776679909294839</v>
      </c>
      <c r="Q196" s="258">
        <v>1.119834004785369</v>
      </c>
      <c r="R196" s="576"/>
      <c r="S196" s="6"/>
      <c r="T196" s="32" t="s">
        <v>116</v>
      </c>
      <c r="U196" s="69"/>
      <c r="V196" s="28"/>
      <c r="W196" s="258">
        <v>2.1578339861441149</v>
      </c>
      <c r="X196" s="576"/>
      <c r="Y196" s="576"/>
      <c r="AA196" s="27"/>
      <c r="AD196" s="33" t="str">
        <f t="shared" ref="AD196" si="25">C195&amp;F196</f>
        <v>VietnamUSD bn</v>
      </c>
    </row>
    <row r="197" spans="1:30" ht="45.75" hidden="1" customHeight="1">
      <c r="A197" s="638"/>
      <c r="B197" s="638"/>
      <c r="C197" s="633"/>
      <c r="D197" s="630"/>
      <c r="E197" s="12"/>
      <c r="F197" s="31" t="s">
        <v>117</v>
      </c>
      <c r="G197" s="17">
        <v>1.7703277371912942</v>
      </c>
      <c r="H197" s="17">
        <v>0.40043575704745288</v>
      </c>
      <c r="I197" s="602"/>
      <c r="J197" s="17">
        <v>1.3698919801438412</v>
      </c>
      <c r="K197" s="577"/>
      <c r="L197" s="17">
        <v>3.7030892893103009</v>
      </c>
      <c r="M197" s="621"/>
      <c r="N197" s="12"/>
      <c r="O197" s="31" t="s">
        <v>117</v>
      </c>
      <c r="P197" s="292">
        <v>0.95527150819157258</v>
      </c>
      <c r="Q197" s="292">
        <v>0.3263739712612469</v>
      </c>
      <c r="R197" s="577"/>
      <c r="S197" s="12"/>
      <c r="T197" s="31" t="s">
        <v>117</v>
      </c>
      <c r="U197" s="17"/>
      <c r="V197" s="19"/>
      <c r="W197" s="292">
        <v>0.62889753693032568</v>
      </c>
      <c r="X197" s="577"/>
      <c r="Y197" s="577"/>
      <c r="Z197" s="1"/>
      <c r="AA197" s="26"/>
      <c r="AD197" s="33" t="str">
        <f t="shared" ref="AD197" si="26">C195&amp;F197</f>
        <v>Vietnam% GDP</v>
      </c>
    </row>
    <row r="198" spans="1:30" ht="58.5" hidden="1" customHeight="1">
      <c r="A198" s="638">
        <v>0</v>
      </c>
      <c r="B198" s="638" t="s">
        <v>862</v>
      </c>
      <c r="C198" s="631" t="s">
        <v>916</v>
      </c>
      <c r="D198" s="628" t="s">
        <v>571</v>
      </c>
      <c r="E198" s="16"/>
      <c r="F198" s="37" t="s">
        <v>115</v>
      </c>
      <c r="G198" s="49">
        <v>7.1</v>
      </c>
      <c r="H198" s="49">
        <v>1</v>
      </c>
      <c r="I198" s="581" t="s">
        <v>1522</v>
      </c>
      <c r="J198" s="49">
        <v>6.1</v>
      </c>
      <c r="K198" s="581" t="s">
        <v>1523</v>
      </c>
      <c r="L198" s="49"/>
      <c r="M198" s="141"/>
      <c r="N198" s="16"/>
      <c r="O198" s="37" t="s">
        <v>115</v>
      </c>
      <c r="P198" s="407">
        <v>0.9</v>
      </c>
      <c r="Q198" s="407">
        <v>0.9</v>
      </c>
      <c r="R198" s="575" t="s">
        <v>1178</v>
      </c>
      <c r="S198" s="16"/>
      <c r="T198" s="37" t="s">
        <v>115</v>
      </c>
      <c r="U198" s="49"/>
      <c r="V198" s="18"/>
      <c r="W198" s="407"/>
      <c r="X198" s="18"/>
      <c r="Y198" s="28"/>
      <c r="AA198" s="27"/>
      <c r="AD198" s="33" t="str">
        <f t="shared" ref="AD198" si="27">C198&amp;F198</f>
        <v>ZambiaLC bn</v>
      </c>
    </row>
    <row r="199" spans="1:30" ht="58.5" hidden="1" customHeight="1">
      <c r="A199" s="638"/>
      <c r="B199" s="638"/>
      <c r="C199" s="632"/>
      <c r="D199" s="629"/>
      <c r="E199" s="6"/>
      <c r="F199" s="32" t="s">
        <v>116</v>
      </c>
      <c r="G199" s="69">
        <v>0.38704558122717753</v>
      </c>
      <c r="H199" s="69">
        <v>5.4513462144672897E-2</v>
      </c>
      <c r="I199" s="582"/>
      <c r="J199" s="69">
        <v>0.33253211908250463</v>
      </c>
      <c r="K199" s="582"/>
      <c r="L199" s="69"/>
      <c r="M199" s="29"/>
      <c r="N199" s="6"/>
      <c r="O199" s="32" t="s">
        <v>116</v>
      </c>
      <c r="P199" s="258">
        <v>4.9062115930205603E-2</v>
      </c>
      <c r="Q199" s="69">
        <v>4.9062115930205603E-2</v>
      </c>
      <c r="R199" s="576"/>
      <c r="S199" s="6"/>
      <c r="T199" s="32" t="s">
        <v>116</v>
      </c>
      <c r="U199" s="69"/>
      <c r="V199" s="28"/>
      <c r="W199" s="258"/>
      <c r="X199" s="28"/>
      <c r="Y199" s="28"/>
      <c r="AA199" s="27"/>
      <c r="AD199" s="33" t="str">
        <f t="shared" ref="AD199" si="28">C198&amp;F199</f>
        <v>ZambiaUSD bn</v>
      </c>
    </row>
    <row r="200" spans="1:30" ht="84" hidden="1" customHeight="1">
      <c r="A200" s="638"/>
      <c r="B200" s="638"/>
      <c r="C200" s="633"/>
      <c r="D200" s="630"/>
      <c r="E200" s="12"/>
      <c r="F200" s="31" t="s">
        <v>117</v>
      </c>
      <c r="G200" s="17">
        <v>2.0034076510126715</v>
      </c>
      <c r="H200" s="17">
        <v>0.28217009169192564</v>
      </c>
      <c r="I200" s="583"/>
      <c r="J200" s="17">
        <v>1.7212375593207461</v>
      </c>
      <c r="K200" s="583"/>
      <c r="L200" s="17"/>
      <c r="M200" s="24"/>
      <c r="N200" s="12"/>
      <c r="O200" s="31" t="s">
        <v>117</v>
      </c>
      <c r="P200" s="292">
        <v>0.25395308252273302</v>
      </c>
      <c r="Q200" s="17">
        <v>0.25395308252273302</v>
      </c>
      <c r="R200" s="577"/>
      <c r="S200" s="12"/>
      <c r="T200" s="31" t="s">
        <v>117</v>
      </c>
      <c r="U200" s="17"/>
      <c r="V200" s="19"/>
      <c r="W200" s="292"/>
      <c r="X200" s="19"/>
      <c r="Y200" s="28"/>
      <c r="AA200" s="27"/>
      <c r="AD200" s="33" t="str">
        <f t="shared" ref="AD200" si="29">C198&amp;F200</f>
        <v>Zambia% GDP</v>
      </c>
    </row>
    <row r="201" spans="1:30" ht="65" hidden="1" customHeight="1">
      <c r="C201" s="6" t="s">
        <v>108</v>
      </c>
    </row>
    <row r="202" spans="1:30" ht="97.5" hidden="1" customHeight="1">
      <c r="C202" s="623" t="s">
        <v>1772</v>
      </c>
      <c r="D202" s="623"/>
      <c r="E202" s="623"/>
      <c r="F202" s="623"/>
      <c r="G202" s="623"/>
      <c r="H202" s="623"/>
      <c r="I202" s="623"/>
      <c r="J202" s="623"/>
      <c r="K202" s="623"/>
      <c r="L202" s="623"/>
      <c r="M202" s="623"/>
      <c r="N202" s="623"/>
      <c r="O202" s="623"/>
      <c r="P202" s="623"/>
      <c r="Q202" s="623"/>
      <c r="R202" s="623"/>
      <c r="S202" s="623"/>
      <c r="T202" s="623"/>
      <c r="U202" s="623"/>
      <c r="V202" s="623"/>
      <c r="W202" s="623"/>
      <c r="X202" s="623"/>
    </row>
    <row r="203" spans="1:30" ht="52.5" hidden="1" customHeight="1">
      <c r="C203" s="6" t="s">
        <v>1219</v>
      </c>
    </row>
    <row r="204" spans="1:30" ht="15.65" customHeight="1">
      <c r="C204" s="6" t="s">
        <v>1484</v>
      </c>
    </row>
  </sheetData>
  <autoFilter ref="A5:F203" xr:uid="{70D8D969-D19A-4A37-9D57-5E4D8D57F6B2}">
    <filterColumn colId="2">
      <filters>
        <filter val="Korea"/>
      </filters>
    </filterColumn>
  </autoFilter>
  <mergeCells count="602">
    <mergeCell ref="D18:D20"/>
    <mergeCell ref="I18:I20"/>
    <mergeCell ref="K18:K20"/>
    <mergeCell ref="M18:M20"/>
    <mergeCell ref="R18:R20"/>
    <mergeCell ref="V18:V20"/>
    <mergeCell ref="Y18:Y20"/>
    <mergeCell ref="AA18:AA20"/>
    <mergeCell ref="C36:C38"/>
    <mergeCell ref="D36:D38"/>
    <mergeCell ref="I36:I38"/>
    <mergeCell ref="K36:K38"/>
    <mergeCell ref="M36:M38"/>
    <mergeCell ref="R36:R38"/>
    <mergeCell ref="V36:V38"/>
    <mergeCell ref="Y36:Y38"/>
    <mergeCell ref="Y24:Y26"/>
    <mergeCell ref="X24:X26"/>
    <mergeCell ref="C21:C23"/>
    <mergeCell ref="I21:I23"/>
    <mergeCell ref="V21:V23"/>
    <mergeCell ref="K21:K23"/>
    <mergeCell ref="AA27:AA29"/>
    <mergeCell ref="C24:C26"/>
    <mergeCell ref="M21:M23"/>
    <mergeCell ref="Y21:Y23"/>
    <mergeCell ref="R21:R23"/>
    <mergeCell ref="X21:X23"/>
    <mergeCell ref="D21:D23"/>
    <mergeCell ref="D24:D26"/>
    <mergeCell ref="D27:D29"/>
    <mergeCell ref="AB9:AB11"/>
    <mergeCell ref="A12:A14"/>
    <mergeCell ref="B12:B14"/>
    <mergeCell ref="C12:C14"/>
    <mergeCell ref="D12:D14"/>
    <mergeCell ref="I12:I14"/>
    <mergeCell ref="K12:K14"/>
    <mergeCell ref="R12:R14"/>
    <mergeCell ref="V12:V14"/>
    <mergeCell ref="Y12:Y14"/>
    <mergeCell ref="C9:C11"/>
    <mergeCell ref="D9:D11"/>
    <mergeCell ref="I9:I11"/>
    <mergeCell ref="K9:K11"/>
    <mergeCell ref="M9:M11"/>
    <mergeCell ref="R9:R11"/>
    <mergeCell ref="A24:A26"/>
    <mergeCell ref="C60:C62"/>
    <mergeCell ref="D60:D62"/>
    <mergeCell ref="I60:I62"/>
    <mergeCell ref="K60:K62"/>
    <mergeCell ref="M60:M62"/>
    <mergeCell ref="R60:R62"/>
    <mergeCell ref="AA60:AA61"/>
    <mergeCell ref="A63:A65"/>
    <mergeCell ref="B63:B65"/>
    <mergeCell ref="C63:C65"/>
    <mergeCell ref="D63:D65"/>
    <mergeCell ref="I63:I65"/>
    <mergeCell ref="K63:K65"/>
    <mergeCell ref="M63:M65"/>
    <mergeCell ref="R63:R65"/>
    <mergeCell ref="V63:V65"/>
    <mergeCell ref="X63:X65"/>
    <mergeCell ref="X39:X41"/>
    <mergeCell ref="A57:A59"/>
    <mergeCell ref="B57:B59"/>
    <mergeCell ref="C57:C59"/>
    <mergeCell ref="D57:D59"/>
    <mergeCell ref="I57:I59"/>
    <mergeCell ref="K57:K59"/>
    <mergeCell ref="M57:M59"/>
    <mergeCell ref="R57:R59"/>
    <mergeCell ref="V57:V59"/>
    <mergeCell ref="X57:X59"/>
    <mergeCell ref="A39:A41"/>
    <mergeCell ref="B39:B41"/>
    <mergeCell ref="C39:C41"/>
    <mergeCell ref="D39:D41"/>
    <mergeCell ref="I39:I41"/>
    <mergeCell ref="K39:K41"/>
    <mergeCell ref="M39:M41"/>
    <mergeCell ref="R39:R41"/>
    <mergeCell ref="V39:V41"/>
    <mergeCell ref="D51:D53"/>
    <mergeCell ref="D42:D44"/>
    <mergeCell ref="M48:M50"/>
    <mergeCell ref="I48:I50"/>
    <mergeCell ref="I162:I164"/>
    <mergeCell ref="K162:K164"/>
    <mergeCell ref="I120:I122"/>
    <mergeCell ref="M120:M122"/>
    <mergeCell ref="R198:R200"/>
    <mergeCell ref="R195:R197"/>
    <mergeCell ref="R192:R194"/>
    <mergeCell ref="R183:R185"/>
    <mergeCell ref="D165:D167"/>
    <mergeCell ref="D174:D176"/>
    <mergeCell ref="D171:D173"/>
    <mergeCell ref="I168:I170"/>
    <mergeCell ref="I150:I152"/>
    <mergeCell ref="D153:D155"/>
    <mergeCell ref="D162:D164"/>
    <mergeCell ref="K120:K122"/>
    <mergeCell ref="V183:V185"/>
    <mergeCell ref="K153:K155"/>
    <mergeCell ref="R168:R170"/>
    <mergeCell ref="V150:V152"/>
    <mergeCell ref="K192:K194"/>
    <mergeCell ref="R150:R152"/>
    <mergeCell ref="M150:M152"/>
    <mergeCell ref="R189:R191"/>
    <mergeCell ref="V189:V191"/>
    <mergeCell ref="R174:R176"/>
    <mergeCell ref="R153:R155"/>
    <mergeCell ref="V153:V155"/>
    <mergeCell ref="K168:K170"/>
    <mergeCell ref="M168:M170"/>
    <mergeCell ref="K150:K152"/>
    <mergeCell ref="C150:C152"/>
    <mergeCell ref="A198:A200"/>
    <mergeCell ref="B198:B200"/>
    <mergeCell ref="A192:A194"/>
    <mergeCell ref="B192:B194"/>
    <mergeCell ref="A183:A185"/>
    <mergeCell ref="B183:B185"/>
    <mergeCell ref="A180:A182"/>
    <mergeCell ref="B180:B182"/>
    <mergeCell ref="B195:B197"/>
    <mergeCell ref="B159:B161"/>
    <mergeCell ref="B150:B152"/>
    <mergeCell ref="B153:B155"/>
    <mergeCell ref="B156:B158"/>
    <mergeCell ref="C162:C164"/>
    <mergeCell ref="D75:D77"/>
    <mergeCell ref="Y105:Y107"/>
    <mergeCell ref="C69:C71"/>
    <mergeCell ref="I69:I71"/>
    <mergeCell ref="Y78:Y79"/>
    <mergeCell ref="C75:C77"/>
    <mergeCell ref="Y75:Y77"/>
    <mergeCell ref="C78:C80"/>
    <mergeCell ref="X78:X80"/>
    <mergeCell ref="D78:D80"/>
    <mergeCell ref="Y81:Y83"/>
    <mergeCell ref="I93:I95"/>
    <mergeCell ref="K93:K95"/>
    <mergeCell ref="R93:R95"/>
    <mergeCell ref="D93:D95"/>
    <mergeCell ref="I102:I104"/>
    <mergeCell ref="V102:V104"/>
    <mergeCell ref="R96:R98"/>
    <mergeCell ref="K99:K101"/>
    <mergeCell ref="V96:V98"/>
    <mergeCell ref="C105:C107"/>
    <mergeCell ref="D105:D107"/>
    <mergeCell ref="I105:I107"/>
    <mergeCell ref="K75:K77"/>
    <mergeCell ref="M66:M68"/>
    <mergeCell ref="R66:R68"/>
    <mergeCell ref="V66:V68"/>
    <mergeCell ref="X66:X68"/>
    <mergeCell ref="I75:I77"/>
    <mergeCell ref="M75:M77"/>
    <mergeCell ref="M78:M80"/>
    <mergeCell ref="I78:I80"/>
    <mergeCell ref="K78:K80"/>
    <mergeCell ref="R78:R80"/>
    <mergeCell ref="V78:V80"/>
    <mergeCell ref="V75:V77"/>
    <mergeCell ref="R69:R71"/>
    <mergeCell ref="X72:X74"/>
    <mergeCell ref="I72:I74"/>
    <mergeCell ref="K72:K74"/>
    <mergeCell ref="M72:M74"/>
    <mergeCell ref="R72:R74"/>
    <mergeCell ref="V72:V74"/>
    <mergeCell ref="R75:R77"/>
    <mergeCell ref="X105:X107"/>
    <mergeCell ref="C126:C128"/>
    <mergeCell ref="D117:D119"/>
    <mergeCell ref="I117:I119"/>
    <mergeCell ref="K117:K119"/>
    <mergeCell ref="C123:C125"/>
    <mergeCell ref="I123:I125"/>
    <mergeCell ref="K123:K125"/>
    <mergeCell ref="R123:R125"/>
    <mergeCell ref="V123:V125"/>
    <mergeCell ref="R126:R128"/>
    <mergeCell ref="V117:V119"/>
    <mergeCell ref="D123:D125"/>
    <mergeCell ref="M123:M125"/>
    <mergeCell ref="X126:X128"/>
    <mergeCell ref="C117:C119"/>
    <mergeCell ref="R117:R119"/>
    <mergeCell ref="K105:K107"/>
    <mergeCell ref="R105:R107"/>
    <mergeCell ref="V105:V107"/>
    <mergeCell ref="X114:X116"/>
    <mergeCell ref="C120:C122"/>
    <mergeCell ref="D120:D122"/>
    <mergeCell ref="X156:X158"/>
    <mergeCell ref="D126:D128"/>
    <mergeCell ref="D132:D134"/>
    <mergeCell ref="I132:I134"/>
    <mergeCell ref="K132:K134"/>
    <mergeCell ref="M132:M134"/>
    <mergeCell ref="D135:D137"/>
    <mergeCell ref="I135:I137"/>
    <mergeCell ref="K135:K137"/>
    <mergeCell ref="V135:V137"/>
    <mergeCell ref="X135:X137"/>
    <mergeCell ref="M147:M149"/>
    <mergeCell ref="I141:I143"/>
    <mergeCell ref="K141:K143"/>
    <mergeCell ref="X141:X143"/>
    <mergeCell ref="V126:V128"/>
    <mergeCell ref="X150:X152"/>
    <mergeCell ref="X138:X140"/>
    <mergeCell ref="I126:I128"/>
    <mergeCell ref="K126:K128"/>
    <mergeCell ref="X132:X134"/>
    <mergeCell ref="X147:X149"/>
    <mergeCell ref="D150:D152"/>
    <mergeCell ref="T4:X4"/>
    <mergeCell ref="C27:C29"/>
    <mergeCell ref="I27:I29"/>
    <mergeCell ref="K27:K29"/>
    <mergeCell ref="R27:R29"/>
    <mergeCell ref="I33:I35"/>
    <mergeCell ref="K33:K35"/>
    <mergeCell ref="K24:K26"/>
    <mergeCell ref="R24:R26"/>
    <mergeCell ref="V24:V26"/>
    <mergeCell ref="Q4:R4"/>
    <mergeCell ref="H4:M4"/>
    <mergeCell ref="I24:I26"/>
    <mergeCell ref="X27:X29"/>
    <mergeCell ref="M24:M26"/>
    <mergeCell ref="V9:V11"/>
    <mergeCell ref="C15:C17"/>
    <mergeCell ref="D15:D17"/>
    <mergeCell ref="I15:I17"/>
    <mergeCell ref="K15:K17"/>
    <mergeCell ref="M15:M17"/>
    <mergeCell ref="R15:R17"/>
    <mergeCell ref="V15:V17"/>
    <mergeCell ref="C18:C20"/>
    <mergeCell ref="C93:C95"/>
    <mergeCell ref="V93:V95"/>
    <mergeCell ref="C96:C98"/>
    <mergeCell ref="C102:C104"/>
    <mergeCell ref="I96:I98"/>
    <mergeCell ref="D99:D101"/>
    <mergeCell ref="X123:X125"/>
    <mergeCell ref="M105:M107"/>
    <mergeCell ref="Y6:Y8"/>
    <mergeCell ref="D33:D35"/>
    <mergeCell ref="X30:X32"/>
    <mergeCell ref="M27:M29"/>
    <mergeCell ref="V27:V29"/>
    <mergeCell ref="Y45:Y47"/>
    <mergeCell ref="C48:C50"/>
    <mergeCell ref="K48:K50"/>
    <mergeCell ref="C42:C44"/>
    <mergeCell ref="I42:I44"/>
    <mergeCell ref="K42:K44"/>
    <mergeCell ref="R42:R44"/>
    <mergeCell ref="V42:V44"/>
    <mergeCell ref="Y42:Y44"/>
    <mergeCell ref="M42:M44"/>
    <mergeCell ref="M45:M47"/>
    <mergeCell ref="AA6:AA8"/>
    <mergeCell ref="M6:M8"/>
    <mergeCell ref="D6:D8"/>
    <mergeCell ref="C6:C8"/>
    <mergeCell ref="I6:I8"/>
    <mergeCell ref="K6:K8"/>
    <mergeCell ref="R6:R8"/>
    <mergeCell ref="V6:V8"/>
    <mergeCell ref="Y33:Y35"/>
    <mergeCell ref="X33:X35"/>
    <mergeCell ref="Y27:Y29"/>
    <mergeCell ref="AA33:AA35"/>
    <mergeCell ref="C30:C32"/>
    <mergeCell ref="I30:I32"/>
    <mergeCell ref="K30:K32"/>
    <mergeCell ref="R30:R32"/>
    <mergeCell ref="V30:V32"/>
    <mergeCell ref="M30:M32"/>
    <mergeCell ref="M33:M35"/>
    <mergeCell ref="AA30:AA32"/>
    <mergeCell ref="C33:C35"/>
    <mergeCell ref="R33:R35"/>
    <mergeCell ref="V33:V35"/>
    <mergeCell ref="D30:D32"/>
    <mergeCell ref="R45:R47"/>
    <mergeCell ref="V45:V47"/>
    <mergeCell ref="C45:C47"/>
    <mergeCell ref="I45:I47"/>
    <mergeCell ref="K45:K47"/>
    <mergeCell ref="X45:X47"/>
    <mergeCell ref="X42:X44"/>
    <mergeCell ref="D45:D47"/>
    <mergeCell ref="X48:X50"/>
    <mergeCell ref="AA48:AA50"/>
    <mergeCell ref="C51:C53"/>
    <mergeCell ref="I51:I53"/>
    <mergeCell ref="K51:K53"/>
    <mergeCell ref="V51:V53"/>
    <mergeCell ref="C54:C56"/>
    <mergeCell ref="I54:I56"/>
    <mergeCell ref="K54:K56"/>
    <mergeCell ref="R54:R56"/>
    <mergeCell ref="Y54:Y56"/>
    <mergeCell ref="M54:M56"/>
    <mergeCell ref="V48:V50"/>
    <mergeCell ref="R48:R50"/>
    <mergeCell ref="D48:D50"/>
    <mergeCell ref="M51:M53"/>
    <mergeCell ref="R51:R53"/>
    <mergeCell ref="AA54:AA56"/>
    <mergeCell ref="X54:X56"/>
    <mergeCell ref="D54:D56"/>
    <mergeCell ref="AA81:AA83"/>
    <mergeCell ref="C87:C89"/>
    <mergeCell ref="I87:I89"/>
    <mergeCell ref="K87:K89"/>
    <mergeCell ref="R87:R89"/>
    <mergeCell ref="V87:V89"/>
    <mergeCell ref="Y87:Y89"/>
    <mergeCell ref="AA87:AA89"/>
    <mergeCell ref="C81:C83"/>
    <mergeCell ref="K81:K83"/>
    <mergeCell ref="R81:R83"/>
    <mergeCell ref="V81:V83"/>
    <mergeCell ref="C84:C86"/>
    <mergeCell ref="I84:I86"/>
    <mergeCell ref="K84:K86"/>
    <mergeCell ref="R84:R86"/>
    <mergeCell ref="V84:V86"/>
    <mergeCell ref="I81:I83"/>
    <mergeCell ref="M81:M83"/>
    <mergeCell ref="D84:D86"/>
    <mergeCell ref="X84:X86"/>
    <mergeCell ref="M87:M89"/>
    <mergeCell ref="D87:D89"/>
    <mergeCell ref="AA108:AA110"/>
    <mergeCell ref="C111:C113"/>
    <mergeCell ref="K111:K113"/>
    <mergeCell ref="R111:R113"/>
    <mergeCell ref="C114:C116"/>
    <mergeCell ref="I114:I116"/>
    <mergeCell ref="K114:K116"/>
    <mergeCell ref="R114:R116"/>
    <mergeCell ref="V111:V113"/>
    <mergeCell ref="M111:M113"/>
    <mergeCell ref="C108:C110"/>
    <mergeCell ref="I108:I110"/>
    <mergeCell ref="K108:K110"/>
    <mergeCell ref="R108:R110"/>
    <mergeCell ref="Y108:Y110"/>
    <mergeCell ref="D108:D110"/>
    <mergeCell ref="V108:V110"/>
    <mergeCell ref="M108:M110"/>
    <mergeCell ref="I111:I113"/>
    <mergeCell ref="V114:V116"/>
    <mergeCell ref="D111:D113"/>
    <mergeCell ref="M114:M116"/>
    <mergeCell ref="D114:D116"/>
    <mergeCell ref="Y195:Y197"/>
    <mergeCell ref="C186:C188"/>
    <mergeCell ref="I186:I188"/>
    <mergeCell ref="K186:K188"/>
    <mergeCell ref="C189:C191"/>
    <mergeCell ref="I189:I191"/>
    <mergeCell ref="K189:K191"/>
    <mergeCell ref="C159:C161"/>
    <mergeCell ref="I159:I161"/>
    <mergeCell ref="K159:K161"/>
    <mergeCell ref="R159:R161"/>
    <mergeCell ref="C174:C176"/>
    <mergeCell ref="I174:I176"/>
    <mergeCell ref="K174:K176"/>
    <mergeCell ref="M195:M197"/>
    <mergeCell ref="C165:C167"/>
    <mergeCell ref="I171:I173"/>
    <mergeCell ref="K171:K173"/>
    <mergeCell ref="R171:R173"/>
    <mergeCell ref="M174:M176"/>
    <mergeCell ref="V174:V176"/>
    <mergeCell ref="X195:X197"/>
    <mergeCell ref="R165:R167"/>
    <mergeCell ref="D168:D170"/>
    <mergeCell ref="C147:C149"/>
    <mergeCell ref="C141:C143"/>
    <mergeCell ref="C132:C134"/>
    <mergeCell ref="C135:C137"/>
    <mergeCell ref="C138:C140"/>
    <mergeCell ref="C144:C146"/>
    <mergeCell ref="V138:V140"/>
    <mergeCell ref="C129:C131"/>
    <mergeCell ref="D129:D131"/>
    <mergeCell ref="I129:I131"/>
    <mergeCell ref="K129:K131"/>
    <mergeCell ref="M129:M131"/>
    <mergeCell ref="V129:V131"/>
    <mergeCell ref="D144:D146"/>
    <mergeCell ref="I138:I140"/>
    <mergeCell ref="R138:R140"/>
    <mergeCell ref="V141:V143"/>
    <mergeCell ref="D138:D140"/>
    <mergeCell ref="M141:M143"/>
    <mergeCell ref="V132:V134"/>
    <mergeCell ref="M144:M146"/>
    <mergeCell ref="R144:R146"/>
    <mergeCell ref="V144:V146"/>
    <mergeCell ref="D147:D149"/>
    <mergeCell ref="Y153:Y155"/>
    <mergeCell ref="C156:C158"/>
    <mergeCell ref="I156:I158"/>
    <mergeCell ref="K156:K158"/>
    <mergeCell ref="R156:R158"/>
    <mergeCell ref="V156:V158"/>
    <mergeCell ref="C153:C155"/>
    <mergeCell ref="D189:D191"/>
    <mergeCell ref="M189:M191"/>
    <mergeCell ref="M153:M155"/>
    <mergeCell ref="D156:D158"/>
    <mergeCell ref="C168:C170"/>
    <mergeCell ref="C171:C173"/>
    <mergeCell ref="I177:I179"/>
    <mergeCell ref="K177:K179"/>
    <mergeCell ref="M177:M179"/>
    <mergeCell ref="D177:D179"/>
    <mergeCell ref="I153:I155"/>
    <mergeCell ref="D159:D161"/>
    <mergeCell ref="I165:I167"/>
    <mergeCell ref="K165:K167"/>
    <mergeCell ref="X174:X176"/>
    <mergeCell ref="R180:R182"/>
    <mergeCell ref="C177:C179"/>
    <mergeCell ref="V99:V101"/>
    <mergeCell ref="R141:R143"/>
    <mergeCell ref="I144:I146"/>
    <mergeCell ref="K144:K146"/>
    <mergeCell ref="M117:M119"/>
    <mergeCell ref="M135:M137"/>
    <mergeCell ref="D141:D143"/>
    <mergeCell ref="I147:I149"/>
    <mergeCell ref="K147:K149"/>
    <mergeCell ref="V147:V149"/>
    <mergeCell ref="K138:K140"/>
    <mergeCell ref="M99:M101"/>
    <mergeCell ref="A6:A8"/>
    <mergeCell ref="B6:B8"/>
    <mergeCell ref="X108:X110"/>
    <mergeCell ref="K69:K71"/>
    <mergeCell ref="M69:M71"/>
    <mergeCell ref="V69:V71"/>
    <mergeCell ref="D72:D74"/>
    <mergeCell ref="D69:D71"/>
    <mergeCell ref="M96:M98"/>
    <mergeCell ref="C99:C101"/>
    <mergeCell ref="K96:K98"/>
    <mergeCell ref="D102:D104"/>
    <mergeCell ref="M102:M104"/>
    <mergeCell ref="K102:K104"/>
    <mergeCell ref="I99:I101"/>
    <mergeCell ref="D81:D83"/>
    <mergeCell ref="D96:D98"/>
    <mergeCell ref="C72:C74"/>
    <mergeCell ref="C66:C68"/>
    <mergeCell ref="D66:D68"/>
    <mergeCell ref="I66:I68"/>
    <mergeCell ref="K66:K68"/>
    <mergeCell ref="A45:A47"/>
    <mergeCell ref="A21:A23"/>
    <mergeCell ref="A27:A29"/>
    <mergeCell ref="A30:A32"/>
    <mergeCell ref="A33:A35"/>
    <mergeCell ref="A9:A11"/>
    <mergeCell ref="A15:A17"/>
    <mergeCell ref="B21:B23"/>
    <mergeCell ref="B24:B26"/>
    <mergeCell ref="B27:B29"/>
    <mergeCell ref="B30:B32"/>
    <mergeCell ref="B33:B35"/>
    <mergeCell ref="B9:B11"/>
    <mergeCell ref="B15:B17"/>
    <mergeCell ref="A18:A20"/>
    <mergeCell ref="B18:B20"/>
    <mergeCell ref="B36:B38"/>
    <mergeCell ref="B42:B44"/>
    <mergeCell ref="B45:B47"/>
    <mergeCell ref="B48:B50"/>
    <mergeCell ref="B51:B53"/>
    <mergeCell ref="B54:B56"/>
    <mergeCell ref="A36:A38"/>
    <mergeCell ref="A42:A44"/>
    <mergeCell ref="B69:B71"/>
    <mergeCell ref="A60:A62"/>
    <mergeCell ref="B60:B62"/>
    <mergeCell ref="B72:B74"/>
    <mergeCell ref="B75:B77"/>
    <mergeCell ref="B78:B80"/>
    <mergeCell ref="B81:B83"/>
    <mergeCell ref="B84:B86"/>
    <mergeCell ref="B87:B89"/>
    <mergeCell ref="A48:A50"/>
    <mergeCell ref="A51:A53"/>
    <mergeCell ref="A54:A56"/>
    <mergeCell ref="A66:A68"/>
    <mergeCell ref="B66:B68"/>
    <mergeCell ref="A69:A71"/>
    <mergeCell ref="A72:A74"/>
    <mergeCell ref="A75:A77"/>
    <mergeCell ref="A78:A80"/>
    <mergeCell ref="A81:A83"/>
    <mergeCell ref="A84:A86"/>
    <mergeCell ref="B93:B95"/>
    <mergeCell ref="B96:B98"/>
    <mergeCell ref="B99:B101"/>
    <mergeCell ref="B102:B104"/>
    <mergeCell ref="B108:B110"/>
    <mergeCell ref="B111:B113"/>
    <mergeCell ref="B114:B116"/>
    <mergeCell ref="B117:B119"/>
    <mergeCell ref="B123:B125"/>
    <mergeCell ref="B135:B137"/>
    <mergeCell ref="B138:B140"/>
    <mergeCell ref="B141:B143"/>
    <mergeCell ref="A102:A104"/>
    <mergeCell ref="A108:A110"/>
    <mergeCell ref="C192:C194"/>
    <mergeCell ref="I192:I194"/>
    <mergeCell ref="A111:A113"/>
    <mergeCell ref="A114:A116"/>
    <mergeCell ref="A117:A119"/>
    <mergeCell ref="A123:A125"/>
    <mergeCell ref="A126:A128"/>
    <mergeCell ref="A105:A107"/>
    <mergeCell ref="B126:B128"/>
    <mergeCell ref="B105:B107"/>
    <mergeCell ref="B165:B167"/>
    <mergeCell ref="B168:B170"/>
    <mergeCell ref="B171:B173"/>
    <mergeCell ref="B174:B176"/>
    <mergeCell ref="B177:B179"/>
    <mergeCell ref="B186:B188"/>
    <mergeCell ref="B189:B191"/>
    <mergeCell ref="B132:B134"/>
    <mergeCell ref="B144:B146"/>
    <mergeCell ref="C3:X3"/>
    <mergeCell ref="C202:X202"/>
    <mergeCell ref="A165:A167"/>
    <mergeCell ref="A168:A170"/>
    <mergeCell ref="A171:A173"/>
    <mergeCell ref="A174:A176"/>
    <mergeCell ref="A177:A179"/>
    <mergeCell ref="A186:A188"/>
    <mergeCell ref="A189:A191"/>
    <mergeCell ref="A195:A197"/>
    <mergeCell ref="A132:A134"/>
    <mergeCell ref="A135:A137"/>
    <mergeCell ref="A138:A140"/>
    <mergeCell ref="A141:A143"/>
    <mergeCell ref="A144:A146"/>
    <mergeCell ref="A150:A152"/>
    <mergeCell ref="A153:A155"/>
    <mergeCell ref="A156:A158"/>
    <mergeCell ref="A159:A161"/>
    <mergeCell ref="A87:A89"/>
    <mergeCell ref="A93:A95"/>
    <mergeCell ref="A96:A98"/>
    <mergeCell ref="A99:A101"/>
    <mergeCell ref="I90:I92"/>
    <mergeCell ref="D90:D92"/>
    <mergeCell ref="C90:C92"/>
    <mergeCell ref="K90:K92"/>
    <mergeCell ref="V90:V92"/>
    <mergeCell ref="M93:M95"/>
    <mergeCell ref="I198:I200"/>
    <mergeCell ref="K198:K200"/>
    <mergeCell ref="C180:C182"/>
    <mergeCell ref="D180:D182"/>
    <mergeCell ref="I180:I182"/>
    <mergeCell ref="K180:K182"/>
    <mergeCell ref="C183:C185"/>
    <mergeCell ref="D183:D185"/>
    <mergeCell ref="I183:I185"/>
    <mergeCell ref="K183:K185"/>
    <mergeCell ref="C195:C197"/>
    <mergeCell ref="I195:I197"/>
    <mergeCell ref="K195:K197"/>
    <mergeCell ref="D195:D197"/>
    <mergeCell ref="D192:D194"/>
    <mergeCell ref="D186:D188"/>
    <mergeCell ref="D198:D200"/>
    <mergeCell ref="C198:C200"/>
    <mergeCell ref="R99:R101"/>
  </mergeCells>
  <hyperlinks>
    <hyperlink ref="AA48" r:id="rId1" xr:uid="{E418DEAF-07D6-411C-AFDD-8DC61E2CF0F7}"/>
    <hyperlink ref="AA21" r:id="rId2" xr:uid="{6C8E14B4-B70C-4A1E-A455-A6F7B04FEF16}"/>
    <hyperlink ref="AA27" r:id="rId3" xr:uid="{C0A4C094-C26C-4DA3-B968-ABA3B973B134}"/>
    <hyperlink ref="AA33" r:id="rId4" xr:uid="{5693D19D-AB77-41BD-A534-032B9FF5DEB8}"/>
    <hyperlink ref="AA78" r:id="rId5" display="https://fm.dk/nyheder/nyhedsarkiv/2020/april/regeringen-og-alle-folketingets-partier-er-enige-om-at-justere-og-udvide-hjaelpepakker-til-dansk-oekonomi/" xr:uid="{02A4DCF4-BF89-4E25-AAEA-ED1CDE531E05}"/>
    <hyperlink ref="AA81" r:id="rId6" xr:uid="{BFC85FB2-2A2A-42ED-9208-AC21983F910D}"/>
    <hyperlink ref="AA87" r:id="rId7" xr:uid="{41A96C0D-A783-47B3-9346-9A85525FD7AF}"/>
    <hyperlink ref="AA30" r:id="rId8" display="http://www.governo.it/it/articolo/comunicato-stampa-del-consiglio-dei-ministri-n-39/14417" xr:uid="{2C64B99C-F31A-4C67-AA7C-05AB651B9292}"/>
    <hyperlink ref="AA108" r:id="rId9" xr:uid="{4B345B05-671B-4E90-BBDE-90ACADEB116C}"/>
    <hyperlink ref="AA156" r:id="rId10" xr:uid="{9FAA24AE-29A6-4A18-8CCF-AEDA3059171E}"/>
    <hyperlink ref="AA157" r:id="rId11" xr:uid="{D9950EA7-76F0-4C55-90EA-048289697471}"/>
    <hyperlink ref="AB6" r:id="rId12" display="https://treasury.gov.au/coronavirus" xr:uid="{808F3913-6674-479A-A666-B3AE41B114BD}"/>
    <hyperlink ref="AA6" r:id="rId13" xr:uid="{676D9DF9-02A1-4386-927C-BFA488EC18C4}"/>
    <hyperlink ref="AA22" r:id="rId14" display="http://www.mef.gov.it/en/inevidenza/Protect-health-support-the-economy-preserve-employment-levels-and-incomes-00001/" xr:uid="{1A67F185-9DFF-4C5B-A48B-F9AC4A093DA2}"/>
    <hyperlink ref="AA141" r:id="rId15" display="https://urldefense.proofpoint.com/v2/url?u=https-3A__www.gov.pl_web_tarczaantykryzysowa&amp;d=DwMFBA&amp;c=G8CoXqdZ57E1EOn2t2CVrg&amp;r=1dNmfCwUPm-Zyfp8PIjgpWCvO5QO5p2LM0QGFAzgPvI&amp;m=nz2rsJenFWhU9KRBhOJ8maK12Et9Tar9PrzSGpsIzBw&amp;s=CAY3fc6DLo3KDD4wEX63BZhcse8VIq2LHFGPVw4INzI&amp;e=" xr:uid="{C17D02E7-FDB5-48B8-BE93-3A54589E45F8}"/>
    <hyperlink ref="AA77" r:id="rId16" display="https://fm.dk/nyheder/nyhedsarkiv/2020/marts/regeringen-og-arbejdsmarkedets-parter-styrker-trepartsaftalen-om-midlertidig-loenkompensation/" xr:uid="{C1223DC3-4EB7-4E71-9345-143EA86D72E2}"/>
    <hyperlink ref="AA75" r:id="rId17" xr:uid="{DA6AFB50-1A88-43A2-B5EC-03A4D9D18471}"/>
    <hyperlink ref="AA76" r:id="rId18" display="https://fm.dk/nyheder/nyhedsarkiv/2020/marts/regeringen-og-alle-folketingets-partier-er-enige-om-omfattende-hjaelpepakke-til-dansk-oekonomi/" xr:uid="{86B04CEF-B64E-49E3-8230-2E6CF34629F5}"/>
    <hyperlink ref="AA54" r:id="rId19" display="http://www5.diputados.gob.mx/index.php/esl/Comunicacion/Boletines/2020/Marzo/18/3509-Aprueban-crear-el-Fondo-para-la-Prevencion-y-Atencion-de-Emergencias_x000a__x000a_" xr:uid="{ADE9B4ED-A5B5-4EAE-9782-BA34EBAAA074}"/>
    <hyperlink ref="AA146" r:id="rId20" display="https://gulfnews.com/uae/revealed-15-point-economic-stimulus-package-in-abu-dhabi-1.1584340605165" xr:uid="{BEFAA204-9FE4-43D9-A91F-C8DF18E7EA82}"/>
    <hyperlink ref="AA133" r:id="rId21" display="https://urldefense.proofpoint.com/v2/url?u=https-3A__www.gov.pl_web_tarczaantykryzysowa&amp;d=DwMFBA&amp;c=G8CoXqdZ57E1EOn2t2CVrg&amp;r=1dNmfCwUPm-Zyfp8PIjgpWCvO5QO5p2LM0QGFAzgPvI&amp;m=nz2rsJenFWhU9KRBhOJ8maK12Et9Tar9PrzSGpsIzBw&amp;s=CAY3fc6DLo3KDD4wEX63BZhcse8VIq2LHFGPVw4INzI&amp;e=" xr:uid="{FED06767-2588-473B-AA56-C672900DC188}"/>
    <hyperlink ref="AA49" r:id="rId22" display="https://pib.gov.in/PressReleseDetail.aspx?PRID=1607911" xr:uid="{4B07E04B-7BC3-45BF-97AD-25995407F94B}"/>
    <hyperlink ref="AA28" r:id="rId23" display="https://english.moef.go.kr/pc/selectTbPressCenterDtl.do?boardCd=N0001&amp;seq=4860" xr:uid="{AB67FC37-D697-4605-833E-68AB92462562}"/>
    <hyperlink ref="AA34" r:id="rId24" display="https://www.gov.uk/government/publications/guidance-to-employers-and-businesses-about-covid-19/covid-19-support-for-businesses" xr:uid="{36AC1E97-096D-47DF-8F9E-817EF16669D9}"/>
    <hyperlink ref="AA79" r:id="rId25" display="https://valtioneuvosto.fi/artikkeli/-/asset_publisher/10616/hallitus-antoi-eduskunnalle-lisatalousarvioesityksen-koronaviruksen-vuoksi" xr:uid="{BC6F274B-B4AA-4322-BEC3-4073A007DD7B}"/>
    <hyperlink ref="AA82" r:id="rId26" display="https://www.rijksoverheid.nl/actueel/nieuws/2020/03/17/coronavirus-kabinet-neemt-pakket-nieuwe-maatregelen-voor-banen-en-economie" xr:uid="{284CC32E-791F-4F6E-84F5-24389EEF9911}"/>
    <hyperlink ref="AA88" r:id="rId27" display="https://www.regjeringen.no/en/aktuelt/economic-measures-in-norway-in-response-to-covid-19/id2694274/" xr:uid="{AC48583A-8E4D-4865-9AB2-FBC31E1FAD03}"/>
    <hyperlink ref="AA31" r:id="rId28" display="https://www.lamoncloa.gob.es/consejodeministros/resumenes/Paginas/2020/170320-pg-consejo.aspx" xr:uid="{6FB23054-F198-4D92-968F-5B998F55B6A0}"/>
    <hyperlink ref="AA109" r:id="rId29" display="https://prensa.presidencia.cl/comunicado.aspx?id=148684" xr:uid="{EB9C33BD-0EF2-4A09-9F99-0D61D1245374}"/>
    <hyperlink ref="AA147" r:id="rId30" display="https://gulfnews.com/uae/revealed-15-point-economic-stimulus-package-in-abu-dhabi-1.1584340605165" xr:uid="{7B4D9C14-007B-449C-B292-045EB19D0293}"/>
    <hyperlink ref="AB7" r:id="rId31" display="https://treasury.gov.au/coronavirus" xr:uid="{D8776428-4586-4B8A-9BE1-FF79F2CC5B0B}"/>
    <hyperlink ref="AA7" r:id="rId32" display="https://treasury.gov.au/coronavirus" xr:uid="{A7AF8785-649E-4CE1-9996-33BBA666E4F9}"/>
    <hyperlink ref="AA23" r:id="rId33" display="https://www.economie.gouv.fr/coronavirus-soutien-entreprises#" xr:uid="{92BD4F89-B302-4DB7-B3B6-508937AAD314}"/>
    <hyperlink ref="AA134" r:id="rId34" display="https://urldefense.proofpoint.com/v2/url?u=https-3A__www.gov.pl_web_tarczaantykryzysowa&amp;d=DwMFBA&amp;c=G8CoXqdZ57E1EOn2t2CVrg&amp;r=1dNmfCwUPm-Zyfp8PIjgpWCvO5QO5p2LM0QGFAzgPvI&amp;m=nz2rsJenFWhU9KRBhOJ8maK12Et9Tar9PrzSGpsIzBw&amp;s=CAY3fc6DLo3KDD4wEX63BZhcse8VIq2LHFGPVw4INzI&amp;e=" xr:uid="{3984FD85-7A41-4F05-B6B9-4AC7914B634C}"/>
    <hyperlink ref="AA55" r:id="rId35" display="http://www5.diputados.gob.mx/index.php/esl/Comunicacion/Boletines/2020/Marzo/18/3509-Aprueban-crear-el-Fondo-para-la-Prevencion-y-Atencion-de-Emergencias_x000a__x000a_" xr:uid="{A9C97B72-069E-4232-9EA7-2F2638E14A11}"/>
    <hyperlink ref="AA56" r:id="rId36" display="https://pib.gov.in/PressReleseDetail.aspx?PRID=1607911" xr:uid="{7D8F5458-00E7-4E5A-A820-4666432551CC}"/>
    <hyperlink ref="AA68" r:id="rId37" display="https://www.mof.gov.sa/en/MediaCenter/news/Pages/News_20032020.aspx" xr:uid="{D76D8C53-DDB5-4088-A102-CDB8170A6F81}"/>
    <hyperlink ref="AA29" r:id="rId38" display="http://www.mef.gov.it/en/inevidenza/Protect-health-support-the-economy-preserve-employment-levels-and-incomes-00001/" xr:uid="{94E12F9A-0806-4964-9770-79B7C98A0360}"/>
    <hyperlink ref="AA26" r:id="rId39" display="https://www.bundesregierung.de/breg-de/themen/coronavirus" xr:uid="{5E53598C-235F-465C-9890-93D12D3AD6F1}"/>
    <hyperlink ref="AA35" r:id="rId40" display="https://english.moef.go.kr/pc/selectTbPressCenterDtl.do?boardCd=N0001&amp;seq=4860" xr:uid="{EF9CBCA2-BF76-403A-8E92-35AE55D27C0B}"/>
    <hyperlink ref="AA86" r:id="rId41" display="https://valtioneuvosto.fi/artikkeli/-/asset_publisher/10616/hallitus-antoi-eduskunnalle-lisatalousarvioesityksen-koronaviruksen-vuoksi" xr:uid="{B0FFEC84-7EE7-427F-B8AC-2A80A5F43163}"/>
    <hyperlink ref="AA89" r:id="rId42" display="https://www.rijksoverheid.nl/actueel/nieuws/2020/03/17/coronavirus-kabinet-neemt-pakket-nieuwe-maatregelen-voor-banen-en-economie" xr:uid="{F991ADCA-8D2E-4612-AB78-09C5D9AABF0C}"/>
    <hyperlink ref="AA98" r:id="rId43" display="https://www.regjeringen.no/en/aktuelt/economic-measures-in-norway-in-response-to-covid-19/id2694274/" xr:uid="{2174D495-E748-4AF3-9B2F-BCFF4A6CA431}"/>
    <hyperlink ref="AA116" r:id="rId44" display="https://prensa.presidencia.cl/comunicado.aspx?id=148684" xr:uid="{6C5343FD-D662-41F6-ADB2-7A03CAB46796}"/>
    <hyperlink ref="AA154" r:id="rId45" display="https://gulfnews.com/uae/revealed-15-point-economic-stimulus-package-in-abu-dhabi-1.1584340605165" xr:uid="{380B40B7-4488-4E09-9668-D6BDC176ED64}"/>
    <hyperlink ref="AA85" r:id="rId46" display="https://fm.dk/nyheder/nyhedsarkiv/2020/april/regeringen-og-alle-folketingets-partier-er-enige-om-at-justere-og-udvide-hjaelpepakker-til-dansk-oekonomi/" xr:uid="{EDEB0AA4-1B06-4B99-B63B-735A1E070465}"/>
    <hyperlink ref="AA83" r:id="rId47" display="https://fm.dk/nyheder/nyhedsarkiv/2020/marts/regeringen-og-alle-folketingets-partier-er-enige-om-omfattende-hjaelpepakke-til-dansk-oekonomi/" xr:uid="{DF061F5E-6C85-45D2-98B2-C4881E1C5BD5}"/>
    <hyperlink ref="AA84" r:id="rId48" display="https://fm.dk/nyheder/nyhedsarkiv/2020/marts/regeringen-og-arbejdsmarkedets-parter-styrker-trepartsaftalen-om-midlertidig-loenkompensation/" xr:uid="{68C4AAA4-862A-49C5-B285-F6B433D6BB9D}"/>
    <hyperlink ref="AA41" r:id="rId49" display="https://www.gov.uk/government/publications/guidance-to-employers-and-businesses-about-covid-19/covid-19-support-for-businesses" xr:uid="{6E74E5E6-82C6-44D4-9F79-A35E85359E92}"/>
    <hyperlink ref="AA60" r:id="rId50" xr:uid="{8F4B2BB1-C7FC-4351-90EA-8930755E7D4F}"/>
    <hyperlink ref="AA61" r:id="rId51" display="https://www.mof.gov.sa/en/MediaCenter/news/Pages/News_20032020.aspx" xr:uid="{6D54184B-5457-4124-A4B3-D5E05C7BB1E4}"/>
    <hyperlink ref="AA62" r:id="rId52" display="http://www5.diputados.gob.mx/index.php/esl/Comunicacion/Boletines/2020/Marzo/18/3509-Aprueban-crear-el-Fondo-para-la-Prevencion-y-Atencion-de-Emergencias_x000a__x000a_" xr:uid="{6E3AD180-52DA-4924-8123-EB1EFE163EC0}"/>
    <hyperlink ref="AA9" r:id="rId53" xr:uid="{BE61223D-E95B-4E46-AF7D-46E55E8D6DCA}"/>
    <hyperlink ref="AA15" r:id="rId54" xr:uid="{A010FFB2-5322-4722-A32E-CAD87F1BDB5C}"/>
    <hyperlink ref="AA18" r:id="rId55" xr:uid="{DBC1CF37-9CAB-47B1-B384-6AA3D23A04AB}"/>
    <hyperlink ref="AA10" r:id="rId56" display="https://www.canada.ca/en/public-health/services/diseases/coronavirus-disease-covid-19.html" xr:uid="{3A7C1C7B-A13F-4D99-BC45-4C452F34C2E9}"/>
    <hyperlink ref="AA16" r:id="rId57" display="https://www.economie.gouv.fr/coronavirus-soutien-entreprises#" xr:uid="{A9007C95-752B-4809-878E-BA0C2662D479}"/>
    <hyperlink ref="AA19" r:id="rId58" display="https://www.bundesregierung.de/breg-de/themen/coronavirus" xr:uid="{6CAAA109-2D9A-4CBA-B74F-973326F15F74}"/>
    <hyperlink ref="AA17" r:id="rId59" display="https://www.canada.ca/en/public-health/services/diseases/coronavirus-disease-covid-19.html" xr:uid="{617917B7-F939-4C2E-99A0-6776A3CFC5ED}"/>
    <hyperlink ref="AB14" r:id="rId60" display="https://treasury.gov.au/coronavirus" xr:uid="{BFE59219-8E96-4420-8E9D-E52765053C25}"/>
    <hyperlink ref="AA14" r:id="rId61" display="https://treasury.gov.au/coronavirus" xr:uid="{B9F78236-9AF4-4398-A980-4CB6C2BA88FB}"/>
    <hyperlink ref="AA38" r:id="rId62" display="https://www.lamoncloa.gob.es/consejodeministros/resumenes/Paginas/2020/170320-pg-consejo.aspx" xr:uid="{7EDFC434-26CF-4E6D-8653-7BB2BBF8BBA7}"/>
  </hyperlinks>
  <pageMargins left="0.7" right="0.7" top="0.75" bottom="0.75" header="0.3" footer="0.3"/>
  <pageSetup scale="29" fitToHeight="0" orientation="landscape" r:id="rId63"/>
  <rowBreaks count="15" manualBreakCount="15">
    <brk id="14" min="2" max="23" man="1"/>
    <brk id="29" min="2" max="23" man="1"/>
    <brk id="35" min="2" max="23" man="1"/>
    <brk id="41" min="2" max="23" man="1"/>
    <brk id="53" min="2" max="23" man="1"/>
    <brk id="65" min="2" max="23" man="1"/>
    <brk id="74" min="2" max="23" man="1"/>
    <brk id="86" min="2" max="23" man="1"/>
    <brk id="92" min="2" max="23" man="1"/>
    <brk id="110" min="2" max="23" man="1"/>
    <brk id="125" min="2" max="23" man="1"/>
    <brk id="140" min="2" max="23" man="1"/>
    <brk id="149" min="2" max="23" man="1"/>
    <brk id="161" min="2" max="23" man="1"/>
    <brk id="182" min="2" max="23" man="1"/>
  </rowBreaks>
  <colBreaks count="1" manualBreakCount="1">
    <brk id="25" max="1048575" man="1"/>
  </colBreaks>
  <legacyDrawing r:id="rId6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9B94-BAE1-4BEA-9938-964B6223C54A}">
  <dimension ref="C2:M18"/>
  <sheetViews>
    <sheetView topLeftCell="A2" workbookViewId="0">
      <selection activeCell="C9" sqref="C9"/>
    </sheetView>
  </sheetViews>
  <sheetFormatPr defaultColWidth="8.7265625" defaultRowHeight="12.5"/>
  <cols>
    <col min="3" max="3" width="20.54296875" customWidth="1"/>
    <col min="4" max="6" width="8.54296875" customWidth="1"/>
    <col min="7" max="7" width="4" customWidth="1"/>
    <col min="8" max="8" width="8.54296875" customWidth="1"/>
    <col min="9" max="9" width="7.453125" style="206" customWidth="1"/>
    <col min="10" max="10" width="45.54296875" style="207" customWidth="1"/>
    <col min="13" max="13" width="19.54296875" customWidth="1"/>
  </cols>
  <sheetData>
    <row r="2" spans="3:13" ht="13">
      <c r="C2" s="196" t="s">
        <v>419</v>
      </c>
      <c r="D2" s="33"/>
      <c r="E2" s="33"/>
      <c r="F2" s="33"/>
      <c r="G2" s="33"/>
      <c r="H2" s="33"/>
      <c r="I2" s="197"/>
      <c r="J2" s="198"/>
    </row>
    <row r="3" spans="3:13">
      <c r="C3" s="33"/>
      <c r="D3" s="33" t="s">
        <v>420</v>
      </c>
      <c r="E3" s="33"/>
      <c r="F3" s="33"/>
      <c r="G3" s="33" t="s">
        <v>421</v>
      </c>
      <c r="H3" s="33"/>
      <c r="I3" s="197" t="s">
        <v>116</v>
      </c>
      <c r="J3" s="198"/>
    </row>
    <row r="4" spans="3:13" ht="75">
      <c r="C4" s="33" t="s">
        <v>2</v>
      </c>
      <c r="D4" s="199">
        <v>328.5</v>
      </c>
      <c r="E4" s="199">
        <v>366.12421620702054</v>
      </c>
      <c r="F4" s="33">
        <v>14.611190045867321</v>
      </c>
      <c r="G4" s="33"/>
      <c r="H4" s="33">
        <f>25+3</f>
        <v>28</v>
      </c>
      <c r="I4" s="200" t="e">
        <f>H4/#REF!</f>
        <v>#REF!</v>
      </c>
      <c r="J4" s="207" t="s">
        <v>435</v>
      </c>
      <c r="M4" s="198" t="s">
        <v>436</v>
      </c>
    </row>
    <row r="5" spans="3:13">
      <c r="C5" s="33" t="s">
        <v>6</v>
      </c>
      <c r="D5" s="33"/>
      <c r="E5" s="33"/>
      <c r="F5" s="33"/>
      <c r="G5" s="33"/>
      <c r="H5" s="33"/>
      <c r="I5" s="197">
        <v>69</v>
      </c>
      <c r="J5" s="198" t="s">
        <v>422</v>
      </c>
    </row>
    <row r="6" spans="3:13" ht="25">
      <c r="C6" s="33" t="s">
        <v>5</v>
      </c>
      <c r="D6" s="33">
        <v>108200</v>
      </c>
      <c r="E6" s="199">
        <v>1014.1115370254763</v>
      </c>
      <c r="F6" s="33">
        <v>20.474040465562556</v>
      </c>
      <c r="G6" s="33"/>
      <c r="H6" s="33"/>
      <c r="I6" s="197">
        <v>-172</v>
      </c>
      <c r="J6" s="201" t="s">
        <v>423</v>
      </c>
    </row>
    <row r="7" spans="3:13" ht="25">
      <c r="C7" s="33" t="s">
        <v>424</v>
      </c>
      <c r="D7" s="199">
        <v>180</v>
      </c>
      <c r="E7" s="33">
        <v>7.8719766621986365</v>
      </c>
      <c r="F7" s="33">
        <v>0.76612654001318703</v>
      </c>
      <c r="G7" s="33"/>
      <c r="H7" s="33"/>
      <c r="I7" s="200">
        <f>2.5/F7*E7-E7</f>
        <v>17.815609692867262</v>
      </c>
      <c r="J7" s="198" t="s">
        <v>425</v>
      </c>
    </row>
    <row r="8" spans="3:13">
      <c r="C8" s="33" t="s">
        <v>17</v>
      </c>
      <c r="D8" s="199"/>
      <c r="E8" s="33"/>
      <c r="F8" s="33"/>
      <c r="G8" s="33"/>
      <c r="H8" s="33"/>
      <c r="I8" s="200"/>
      <c r="J8" s="198"/>
    </row>
    <row r="9" spans="3:13">
      <c r="C9" s="33" t="s">
        <v>426</v>
      </c>
      <c r="D9" s="33"/>
      <c r="E9" s="33"/>
      <c r="F9" s="33"/>
      <c r="G9" s="33"/>
      <c r="H9" s="33"/>
      <c r="I9" s="197">
        <v>75</v>
      </c>
      <c r="J9" s="198" t="s">
        <v>427</v>
      </c>
    </row>
    <row r="10" spans="3:13">
      <c r="C10" s="33"/>
      <c r="D10" s="33"/>
      <c r="E10" s="33"/>
      <c r="F10" s="33"/>
      <c r="G10" s="33"/>
      <c r="H10" s="33"/>
      <c r="I10" s="197">
        <v>483</v>
      </c>
      <c r="J10" s="198" t="s">
        <v>428</v>
      </c>
    </row>
    <row r="11" spans="3:13" ht="13">
      <c r="C11" s="196" t="s">
        <v>429</v>
      </c>
      <c r="D11" s="196"/>
      <c r="E11" s="196"/>
      <c r="F11" s="196"/>
      <c r="G11" s="196"/>
      <c r="H11" s="196"/>
      <c r="I11" s="202" t="e">
        <f>SUM(I4:I10)</f>
        <v>#REF!</v>
      </c>
      <c r="J11" s="198"/>
    </row>
    <row r="12" spans="3:13" ht="6" customHeight="1">
      <c r="C12" s="33"/>
      <c r="D12" s="33"/>
      <c r="E12" s="33"/>
      <c r="F12" s="33"/>
      <c r="G12" s="33"/>
      <c r="H12" s="33"/>
      <c r="I12" s="197"/>
      <c r="J12" s="198"/>
    </row>
    <row r="13" spans="3:13" ht="37.5">
      <c r="C13" s="33" t="s">
        <v>430</v>
      </c>
      <c r="D13" s="33"/>
      <c r="E13" s="33"/>
      <c r="F13" s="33"/>
      <c r="G13" s="33"/>
      <c r="H13" s="33">
        <v>240</v>
      </c>
      <c r="I13" s="200" t="e">
        <f>H13/#REF!</f>
        <v>#REF!</v>
      </c>
      <c r="J13" s="198" t="s">
        <v>431</v>
      </c>
    </row>
    <row r="14" spans="3:13" ht="25">
      <c r="C14" s="33"/>
      <c r="D14" s="33"/>
      <c r="E14" s="33"/>
      <c r="F14" s="33"/>
      <c r="G14" s="33"/>
      <c r="H14" s="33">
        <v>100</v>
      </c>
      <c r="I14" s="200" t="e">
        <f>H14/#REF!</f>
        <v>#REF!</v>
      </c>
      <c r="J14" s="198" t="s">
        <v>432</v>
      </c>
    </row>
    <row r="15" spans="3:13" ht="25">
      <c r="C15" s="33"/>
      <c r="D15" s="33"/>
      <c r="E15" s="33"/>
      <c r="F15" s="33"/>
      <c r="G15" s="33"/>
      <c r="H15" s="33">
        <v>200</v>
      </c>
      <c r="I15" s="200" t="e">
        <f>H15/#REF!</f>
        <v>#REF!</v>
      </c>
      <c r="J15" s="198" t="s">
        <v>433</v>
      </c>
    </row>
    <row r="16" spans="3:13">
      <c r="C16" s="33"/>
      <c r="D16" s="203"/>
      <c r="E16" s="33"/>
      <c r="F16" s="33"/>
      <c r="G16" s="33"/>
      <c r="H16" s="33"/>
      <c r="I16" s="197"/>
      <c r="J16" s="198"/>
    </row>
    <row r="17" spans="3:10" ht="13">
      <c r="C17" s="196" t="s">
        <v>434</v>
      </c>
      <c r="D17" s="204"/>
      <c r="E17" s="196"/>
      <c r="F17" s="196"/>
      <c r="G17" s="196"/>
      <c r="H17" s="196"/>
      <c r="I17" s="202" t="e">
        <f>I11+SUM(I13:I15)</f>
        <v>#REF!</v>
      </c>
      <c r="J17" s="198"/>
    </row>
    <row r="18" spans="3:10">
      <c r="D18" s="20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207B-8CB0-461E-BD20-100851A9C50A}">
  <sheetPr>
    <tabColor rgb="FFFF0000"/>
    <pageSetUpPr fitToPage="1"/>
  </sheetPr>
  <dimension ref="A2:AD177"/>
  <sheetViews>
    <sheetView view="pageBreakPreview" zoomScale="75" zoomScaleNormal="100" zoomScaleSheetLayoutView="75" workbookViewId="0">
      <pane ySplit="5" topLeftCell="A6" activePane="bottomLeft" state="frozen"/>
      <selection activeCell="H128" sqref="H128"/>
      <selection pane="bottomLeft" activeCell="I9" sqref="I9:I11"/>
    </sheetView>
  </sheetViews>
  <sheetFormatPr defaultColWidth="8.54296875" defaultRowHeight="12.5" outlineLevelRow="1" outlineLevelCol="1"/>
  <cols>
    <col min="1" max="1" width="6.54296875" style="33" customWidth="1" outlineLevel="1"/>
    <col min="2" max="2" width="6.8164062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29.54296875" style="3" customWidth="1"/>
    <col min="10" max="10" width="8.453125" style="3" customWidth="1"/>
    <col min="11" max="11" width="49.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27" t="s">
        <v>911</v>
      </c>
      <c r="D3" s="627"/>
      <c r="E3" s="627"/>
      <c r="F3" s="627"/>
      <c r="G3" s="627"/>
      <c r="H3" s="627"/>
      <c r="I3" s="627"/>
      <c r="J3" s="627"/>
      <c r="K3" s="627"/>
      <c r="L3" s="627"/>
      <c r="M3" s="627"/>
      <c r="N3" s="627"/>
      <c r="O3" s="627"/>
      <c r="P3" s="627"/>
      <c r="Q3" s="627"/>
      <c r="R3" s="627"/>
      <c r="S3" s="627"/>
      <c r="T3" s="627"/>
      <c r="U3" s="627"/>
      <c r="V3" s="627"/>
      <c r="W3" s="627"/>
      <c r="X3" s="627"/>
    </row>
    <row r="4" spans="1:30" ht="13" customHeight="1">
      <c r="A4" s="14"/>
      <c r="B4" s="14"/>
      <c r="C4" s="327"/>
      <c r="D4" s="327"/>
      <c r="F4" s="327"/>
      <c r="G4" s="329"/>
      <c r="H4" s="613" t="s">
        <v>592</v>
      </c>
      <c r="I4" s="613"/>
      <c r="J4" s="613"/>
      <c r="K4" s="613"/>
      <c r="L4" s="613"/>
      <c r="M4" s="613"/>
      <c r="O4" s="327"/>
      <c r="P4" s="330"/>
      <c r="Q4" s="574" t="s">
        <v>593</v>
      </c>
      <c r="R4" s="574"/>
      <c r="T4" s="574" t="s">
        <v>594</v>
      </c>
      <c r="U4" s="574"/>
      <c r="V4" s="574"/>
      <c r="W4" s="574"/>
      <c r="X4" s="574"/>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70" customHeight="1">
      <c r="A6" s="638">
        <v>1</v>
      </c>
      <c r="B6" s="638" t="s">
        <v>858</v>
      </c>
      <c r="C6" s="631" t="s">
        <v>0</v>
      </c>
      <c r="D6" s="629" t="s">
        <v>570</v>
      </c>
      <c r="F6" s="32" t="s">
        <v>115</v>
      </c>
      <c r="G6" s="95">
        <v>168.7</v>
      </c>
      <c r="H6" s="69">
        <v>5</v>
      </c>
      <c r="I6" s="582" t="s">
        <v>561</v>
      </c>
      <c r="J6" s="95">
        <v>163.69999999999999</v>
      </c>
      <c r="K6" s="582" t="s">
        <v>603</v>
      </c>
      <c r="L6" s="269"/>
      <c r="M6" s="579"/>
      <c r="O6" s="32" t="s">
        <v>115</v>
      </c>
      <c r="P6" s="81">
        <f>Q6+U6</f>
        <v>35</v>
      </c>
      <c r="Q6" s="166">
        <v>15</v>
      </c>
      <c r="R6" s="576" t="s">
        <v>590</v>
      </c>
      <c r="T6" s="32" t="s">
        <v>115</v>
      </c>
      <c r="U6" s="95">
        <v>20</v>
      </c>
      <c r="V6" s="576" t="s">
        <v>591</v>
      </c>
      <c r="W6" s="28"/>
      <c r="X6" s="28"/>
      <c r="Y6" s="576" t="s">
        <v>62</v>
      </c>
      <c r="AA6" s="617" t="s">
        <v>61</v>
      </c>
      <c r="AD6" s="33" t="str">
        <f>C6&amp;F6</f>
        <v>AustraliaLC bn</v>
      </c>
    </row>
    <row r="7" spans="1:30" ht="70" customHeight="1">
      <c r="A7" s="638"/>
      <c r="B7" s="638"/>
      <c r="C7" s="632"/>
      <c r="D7" s="629"/>
      <c r="F7" s="32" t="s">
        <v>116</v>
      </c>
      <c r="G7" s="81" t="e">
        <f>G6/#REF!</f>
        <v>#REF!</v>
      </c>
      <c r="H7" s="69" t="e">
        <f>H6/#REF!</f>
        <v>#REF!</v>
      </c>
      <c r="I7" s="582"/>
      <c r="J7" s="81" t="e">
        <f>J6/VLOOKUP($C6,#REF!,7,0)</f>
        <v>#REF!</v>
      </c>
      <c r="K7" s="582"/>
      <c r="L7" s="186"/>
      <c r="M7" s="579"/>
      <c r="O7" s="32" t="s">
        <v>116</v>
      </c>
      <c r="P7" s="254" t="e">
        <f>P6/VLOOKUP(C6,#REF!,7,0)</f>
        <v>#REF!</v>
      </c>
      <c r="Q7" s="167" t="e">
        <f>Q6/VLOOKUP(C6,#REF!,7,0)</f>
        <v>#REF!</v>
      </c>
      <c r="R7" s="576"/>
      <c r="T7" s="32" t="s">
        <v>116</v>
      </c>
      <c r="U7" s="185" t="e">
        <f>P7-Q7</f>
        <v>#REF!</v>
      </c>
      <c r="V7" s="576"/>
      <c r="W7" s="28"/>
      <c r="X7" s="28"/>
      <c r="Y7" s="576"/>
      <c r="AA7" s="617"/>
      <c r="AD7" s="33" t="str">
        <f>C6&amp;F7</f>
        <v>AustraliaUSD bn</v>
      </c>
    </row>
    <row r="8" spans="1:30" ht="70" customHeight="1">
      <c r="A8" s="638"/>
      <c r="B8" s="638"/>
      <c r="C8" s="633"/>
      <c r="D8" s="630"/>
      <c r="E8" s="1"/>
      <c r="F8" s="31" t="s">
        <v>117</v>
      </c>
      <c r="G8" s="17" t="e">
        <f>(G6/VLOOKUP(C6,#REF!,4,0))*100</f>
        <v>#REF!</v>
      </c>
      <c r="H8" s="17" t="e">
        <f>(H6/VLOOKUP(C6,#REF!,4,0))*100</f>
        <v>#REF!</v>
      </c>
      <c r="I8" s="583"/>
      <c r="J8" s="17" t="e">
        <f>(J6/VLOOKUP($C6,#REF!,4,0))*100</f>
        <v>#REF!</v>
      </c>
      <c r="K8" s="583"/>
      <c r="L8" s="187"/>
      <c r="M8" s="580"/>
      <c r="N8" s="1"/>
      <c r="O8" s="31" t="s">
        <v>117</v>
      </c>
      <c r="P8" s="121" t="e">
        <f>(P6/VLOOKUP(C6,#REF!,4,0))*100</f>
        <v>#REF!</v>
      </c>
      <c r="Q8" s="168" t="e">
        <f>(Q6/VLOOKUP(C6,#REF!,4,0))*100</f>
        <v>#REF!</v>
      </c>
      <c r="R8" s="577"/>
      <c r="S8" s="1"/>
      <c r="T8" s="31" t="s">
        <v>117</v>
      </c>
      <c r="U8" s="64" t="e">
        <f>(U6/VLOOKUP(C6,#REF!,4,0))*100</f>
        <v>#REF!</v>
      </c>
      <c r="V8" s="577"/>
      <c r="W8" s="19"/>
      <c r="X8" s="19"/>
      <c r="Y8" s="577"/>
      <c r="Z8" s="1"/>
      <c r="AA8" s="618"/>
      <c r="AD8" s="33" t="str">
        <f>C6&amp;F8</f>
        <v>Australia% GDP</v>
      </c>
    </row>
    <row r="9" spans="1:30" ht="60" customHeight="1">
      <c r="A9" s="638">
        <v>1</v>
      </c>
      <c r="B9" s="638" t="s">
        <v>858</v>
      </c>
      <c r="C9" s="631" t="s">
        <v>1</v>
      </c>
      <c r="D9" s="629" t="s">
        <v>571</v>
      </c>
      <c r="E9" s="16"/>
      <c r="F9" s="37" t="s">
        <v>115</v>
      </c>
      <c r="G9" s="80">
        <f>205-85</f>
        <v>120</v>
      </c>
      <c r="H9" s="49">
        <v>4</v>
      </c>
      <c r="I9" s="600" t="s">
        <v>596</v>
      </c>
      <c r="J9" s="80">
        <v>116</v>
      </c>
      <c r="K9" s="575" t="s">
        <v>597</v>
      </c>
      <c r="L9" s="80">
        <v>85</v>
      </c>
      <c r="M9" s="575" t="s">
        <v>823</v>
      </c>
      <c r="N9" s="16"/>
      <c r="O9" s="37" t="s">
        <v>115</v>
      </c>
      <c r="P9" s="264">
        <f t="shared" ref="P9:P20" si="0">Q9+U9+W9</f>
        <v>70</v>
      </c>
      <c r="Q9" s="169">
        <v>5</v>
      </c>
      <c r="R9" s="575" t="s">
        <v>602</v>
      </c>
      <c r="S9" s="16"/>
      <c r="T9" s="37" t="s">
        <v>115</v>
      </c>
      <c r="U9" s="80">
        <v>65</v>
      </c>
      <c r="V9" s="575" t="s">
        <v>824</v>
      </c>
      <c r="W9" s="18"/>
      <c r="X9" s="18"/>
      <c r="Y9" s="18"/>
      <c r="Z9" s="15"/>
      <c r="AA9" s="25" t="s">
        <v>63</v>
      </c>
      <c r="AB9" s="596" t="s">
        <v>213</v>
      </c>
      <c r="AD9" s="33" t="str">
        <f>C9&amp;F9</f>
        <v>CanadaLC bn</v>
      </c>
    </row>
    <row r="10" spans="1:30" ht="60" customHeight="1">
      <c r="A10" s="638"/>
      <c r="B10" s="638"/>
      <c r="C10" s="632"/>
      <c r="D10" s="629"/>
      <c r="E10" s="6"/>
      <c r="F10" s="32" t="s">
        <v>116</v>
      </c>
      <c r="G10" s="81" t="e">
        <f>G9/VLOOKUP(C9,#REF!,7,0)</f>
        <v>#REF!</v>
      </c>
      <c r="H10" s="69" t="e">
        <f>H9/VLOOKUP(C9,#REF!,7,0)</f>
        <v>#REF!</v>
      </c>
      <c r="I10" s="601"/>
      <c r="J10" s="81" t="e">
        <f>J9/VLOOKUP($C9,#REF!,7,0)</f>
        <v>#REF!</v>
      </c>
      <c r="K10" s="576"/>
      <c r="L10" s="81" t="e">
        <f>L9/VLOOKUP($C9,#REF!,7,0)</f>
        <v>#REF!</v>
      </c>
      <c r="M10" s="576"/>
      <c r="N10" s="6"/>
      <c r="O10" s="32" t="s">
        <v>116</v>
      </c>
      <c r="P10" s="265" t="e">
        <f t="shared" si="0"/>
        <v>#REF!</v>
      </c>
      <c r="Q10" s="170" t="e">
        <f>Q9/VLOOKUP(C9,#REF!,7,0)</f>
        <v>#REF!</v>
      </c>
      <c r="R10" s="576"/>
      <c r="S10" s="6"/>
      <c r="T10" s="32" t="s">
        <v>116</v>
      </c>
      <c r="U10" s="81" t="e">
        <f>U9/VLOOKUP(C9,#REF!,7,0)</f>
        <v>#REF!</v>
      </c>
      <c r="V10" s="576"/>
      <c r="W10" s="28"/>
      <c r="X10" s="28"/>
      <c r="Y10" s="28"/>
      <c r="AA10" s="27"/>
      <c r="AB10" s="597"/>
      <c r="AD10" s="33" t="str">
        <f>C9&amp;F10</f>
        <v>CanadaUSD bn</v>
      </c>
    </row>
    <row r="11" spans="1:30" ht="41.5" customHeight="1">
      <c r="A11" s="638"/>
      <c r="B11" s="638"/>
      <c r="C11" s="633"/>
      <c r="D11" s="630"/>
      <c r="E11" s="12"/>
      <c r="F11" s="31" t="s">
        <v>117</v>
      </c>
      <c r="G11" s="17" t="e">
        <f>(G9/VLOOKUP(C9,#REF!,4,0))*100</f>
        <v>#REF!</v>
      </c>
      <c r="H11" s="17" t="e">
        <f>(H9/VLOOKUP(C9,#REF!,4,0))*100</f>
        <v>#REF!</v>
      </c>
      <c r="I11" s="602"/>
      <c r="J11" s="17" t="e">
        <f>(J9/VLOOKUP($C9,#REF!,4,0))*100</f>
        <v>#REF!</v>
      </c>
      <c r="K11" s="577"/>
      <c r="L11" s="17" t="e">
        <f>(L9/VLOOKUP($C9,#REF!,4,0))*100</f>
        <v>#REF!</v>
      </c>
      <c r="M11" s="577"/>
      <c r="N11" s="12"/>
      <c r="O11" s="31" t="s">
        <v>117</v>
      </c>
      <c r="P11" s="267" t="e">
        <f t="shared" si="0"/>
        <v>#REF!</v>
      </c>
      <c r="Q11" s="168" t="e">
        <f>(Q9/VLOOKUP(C9,#REF!,4,0))*100</f>
        <v>#REF!</v>
      </c>
      <c r="R11" s="577"/>
      <c r="S11" s="12"/>
      <c r="T11" s="31" t="s">
        <v>117</v>
      </c>
      <c r="U11" s="17" t="e">
        <f>(U9/VLOOKUP(C9,#REF!,4,0))*100</f>
        <v>#REF!</v>
      </c>
      <c r="V11" s="577"/>
      <c r="W11" s="19"/>
      <c r="X11" s="19"/>
      <c r="Y11" s="19"/>
      <c r="Z11" s="1"/>
      <c r="AA11" s="26"/>
      <c r="AB11" s="597"/>
      <c r="AD11" s="33" t="str">
        <f>C9&amp;F11</f>
        <v>Canada% GDP</v>
      </c>
    </row>
    <row r="12" spans="1:30" ht="65.150000000000006" customHeight="1">
      <c r="A12" s="638" t="s">
        <v>84</v>
      </c>
      <c r="B12" s="638" t="s">
        <v>84</v>
      </c>
      <c r="C12" s="631" t="s">
        <v>430</v>
      </c>
      <c r="D12" s="629"/>
      <c r="E12" s="16"/>
      <c r="F12" s="32" t="s">
        <v>115</v>
      </c>
      <c r="G12" s="80">
        <v>37</v>
      </c>
      <c r="H12" s="49">
        <v>0.05</v>
      </c>
      <c r="I12" s="600" t="s">
        <v>562</v>
      </c>
      <c r="J12" s="80">
        <v>37</v>
      </c>
      <c r="K12" s="575" t="s">
        <v>359</v>
      </c>
      <c r="L12" s="18"/>
      <c r="M12" s="18"/>
      <c r="N12" s="16"/>
      <c r="O12" s="32" t="s">
        <v>115</v>
      </c>
      <c r="P12" s="264">
        <f t="shared" si="0"/>
        <v>405</v>
      </c>
      <c r="Q12" s="171">
        <v>340</v>
      </c>
      <c r="R12" s="581" t="s">
        <v>854</v>
      </c>
      <c r="S12" s="16"/>
      <c r="T12" s="32" t="s">
        <v>115</v>
      </c>
      <c r="U12" s="80">
        <v>65</v>
      </c>
      <c r="V12" s="575" t="s">
        <v>477</v>
      </c>
      <c r="W12" s="18"/>
      <c r="X12" s="18"/>
      <c r="Y12" s="575" t="s">
        <v>74</v>
      </c>
      <c r="Z12" s="15"/>
      <c r="AA12" s="22"/>
      <c r="AD12" s="33" t="str">
        <f>C12&amp;F12</f>
        <v>European UnionLC bn</v>
      </c>
    </row>
    <row r="13" spans="1:30" ht="65.150000000000006" customHeight="1">
      <c r="A13" s="638"/>
      <c r="B13" s="638"/>
      <c r="C13" s="632"/>
      <c r="D13" s="629"/>
      <c r="E13" s="6"/>
      <c r="F13" s="32" t="s">
        <v>116</v>
      </c>
      <c r="G13" s="81" t="e">
        <f>G12/VLOOKUP(C12,#REF!,6,0)</f>
        <v>#REF!</v>
      </c>
      <c r="H13" s="69" t="e">
        <f>H12/VLOOKUP($C12,#REF!,7,0)</f>
        <v>#REF!</v>
      </c>
      <c r="I13" s="601"/>
      <c r="J13" s="81" t="e">
        <f>J12/VLOOKUP($C12,#REF!,7,0)</f>
        <v>#REF!</v>
      </c>
      <c r="K13" s="576"/>
      <c r="L13" s="28"/>
      <c r="M13" s="28"/>
      <c r="N13" s="6"/>
      <c r="O13" s="32" t="s">
        <v>116</v>
      </c>
      <c r="P13" s="265" t="e">
        <f t="shared" si="0"/>
        <v>#REF!</v>
      </c>
      <c r="Q13" s="167" t="e">
        <f>Q12/VLOOKUP(C12,#REF!,7,0)</f>
        <v>#REF!</v>
      </c>
      <c r="R13" s="582"/>
      <c r="S13" s="6"/>
      <c r="T13" s="32" t="s">
        <v>116</v>
      </c>
      <c r="U13" s="81" t="e">
        <f>U12/VLOOKUP(C12,#REF!,7,0)</f>
        <v>#REF!</v>
      </c>
      <c r="V13" s="576"/>
      <c r="W13" s="28"/>
      <c r="X13" s="28"/>
      <c r="Y13" s="576"/>
      <c r="AA13" s="27"/>
      <c r="AD13" s="33" t="str">
        <f>C12&amp;F13</f>
        <v>European UnionUSD bn</v>
      </c>
    </row>
    <row r="14" spans="1:30" ht="65.150000000000006" customHeight="1">
      <c r="A14" s="638"/>
      <c r="B14" s="638"/>
      <c r="C14" s="633"/>
      <c r="D14" s="630"/>
      <c r="E14" s="12"/>
      <c r="F14" s="31" t="s">
        <v>117</v>
      </c>
      <c r="G14" s="17" t="e">
        <f>(G12/VLOOKUP(C12,#REF!,4,0))*100</f>
        <v>#REF!</v>
      </c>
      <c r="H14" s="17" t="e">
        <f>(H12/VLOOKUP($C12,#REF!,4,0))*100</f>
        <v>#REF!</v>
      </c>
      <c r="I14" s="602"/>
      <c r="J14" s="17" t="e">
        <f>(J12/VLOOKUP($C12,#REF!,4,0))*100</f>
        <v>#REF!</v>
      </c>
      <c r="K14" s="577"/>
      <c r="L14" s="19"/>
      <c r="M14" s="19"/>
      <c r="N14" s="12"/>
      <c r="O14" s="31" t="s">
        <v>117</v>
      </c>
      <c r="P14" s="267" t="e">
        <f t="shared" si="0"/>
        <v>#REF!</v>
      </c>
      <c r="Q14" s="168" t="e">
        <f>(Q12/VLOOKUP(C12,#REF!,4,0))*100</f>
        <v>#REF!</v>
      </c>
      <c r="R14" s="583"/>
      <c r="S14" s="12"/>
      <c r="T14" s="31" t="s">
        <v>117</v>
      </c>
      <c r="U14" s="17" t="e">
        <f>(U12/VLOOKUP(C12,#REF!,4,0))*100</f>
        <v>#REF!</v>
      </c>
      <c r="V14" s="577"/>
      <c r="W14" s="19"/>
      <c r="X14" s="19"/>
      <c r="Y14" s="577"/>
      <c r="Z14" s="1"/>
      <c r="AA14" s="26"/>
      <c r="AD14" s="33" t="str">
        <f>C12&amp;F14</f>
        <v>European Union% GDP</v>
      </c>
    </row>
    <row r="15" spans="1:30" ht="46" customHeight="1">
      <c r="A15" s="638">
        <v>1</v>
      </c>
      <c r="B15" s="638" t="s">
        <v>858</v>
      </c>
      <c r="C15" s="632" t="s">
        <v>2</v>
      </c>
      <c r="D15" s="629" t="s">
        <v>570</v>
      </c>
      <c r="E15" s="16"/>
      <c r="F15" s="32" t="s">
        <v>115</v>
      </c>
      <c r="G15" s="80">
        <v>57.3</v>
      </c>
      <c r="H15" s="49">
        <v>8</v>
      </c>
      <c r="I15" s="575" t="s">
        <v>563</v>
      </c>
      <c r="J15" s="93">
        <v>49.3</v>
      </c>
      <c r="K15" s="581" t="s">
        <v>815</v>
      </c>
      <c r="L15" s="93">
        <v>55.5</v>
      </c>
      <c r="M15" s="581" t="s">
        <v>796</v>
      </c>
      <c r="N15" s="16"/>
      <c r="O15" s="32" t="s">
        <v>115</v>
      </c>
      <c r="P15" s="264">
        <f t="shared" si="0"/>
        <v>348</v>
      </c>
      <c r="Q15" s="171">
        <v>21</v>
      </c>
      <c r="R15" s="575" t="s">
        <v>545</v>
      </c>
      <c r="S15" s="16"/>
      <c r="T15" s="32" t="s">
        <v>115</v>
      </c>
      <c r="U15" s="80">
        <v>327</v>
      </c>
      <c r="V15" s="575" t="s">
        <v>797</v>
      </c>
      <c r="W15" s="18"/>
      <c r="X15" s="18"/>
      <c r="Y15" s="18" t="s">
        <v>214</v>
      </c>
      <c r="Z15" s="15"/>
      <c r="AA15" s="25" t="s">
        <v>64</v>
      </c>
      <c r="AD15" s="33" t="str">
        <f>C15&amp;F15</f>
        <v>FranceLC bn</v>
      </c>
    </row>
    <row r="16" spans="1:30" ht="40" customHeight="1">
      <c r="A16" s="638"/>
      <c r="B16" s="638"/>
      <c r="C16" s="632"/>
      <c r="D16" s="629"/>
      <c r="E16" s="6"/>
      <c r="F16" s="32" t="s">
        <v>116</v>
      </c>
      <c r="G16" s="81" t="e">
        <f>G15/VLOOKUP(C15,#REF!,7,0)</f>
        <v>#REF!</v>
      </c>
      <c r="H16" s="69" t="e">
        <f>H15/VLOOKUP(C15,#REF!,7,0)</f>
        <v>#REF!</v>
      </c>
      <c r="I16" s="576"/>
      <c r="J16" s="81" t="e">
        <f>J15/VLOOKUP($C15,#REF!,7,0)</f>
        <v>#REF!</v>
      </c>
      <c r="K16" s="582"/>
      <c r="L16" s="81" t="e">
        <f>L15/VLOOKUP($C15,#REF!,7,0)</f>
        <v>#REF!</v>
      </c>
      <c r="M16" s="582"/>
      <c r="N16" s="6"/>
      <c r="O16" s="32" t="s">
        <v>116</v>
      </c>
      <c r="P16" s="265" t="e">
        <f t="shared" si="0"/>
        <v>#REF!</v>
      </c>
      <c r="Q16" s="167" t="e">
        <f>Q15/VLOOKUP(C15,#REF!,7,0)</f>
        <v>#REF!</v>
      </c>
      <c r="R16" s="576"/>
      <c r="S16" s="6"/>
      <c r="T16" s="32" t="s">
        <v>116</v>
      </c>
      <c r="U16" s="81" t="e">
        <f>U15/VLOOKUP(C15,#REF!,7,0)</f>
        <v>#REF!</v>
      </c>
      <c r="V16" s="576"/>
      <c r="W16" s="28"/>
      <c r="X16" s="28"/>
      <c r="Y16" s="28"/>
      <c r="AA16" s="27"/>
      <c r="AD16" s="33" t="str">
        <f>C15&amp;F16</f>
        <v>FranceUSD bn</v>
      </c>
    </row>
    <row r="17" spans="1:30" s="2" customFormat="1" ht="43.5" customHeight="1">
      <c r="A17" s="638"/>
      <c r="B17" s="638"/>
      <c r="C17" s="633"/>
      <c r="D17" s="630"/>
      <c r="E17" s="12"/>
      <c r="F17" s="31" t="s">
        <v>117</v>
      </c>
      <c r="G17" s="17" t="e">
        <f>(G15/VLOOKUP(C15,#REF!,4,0))*100</f>
        <v>#REF!</v>
      </c>
      <c r="H17" s="17" t="e">
        <f>(H15/VLOOKUP(C15,#REF!,4,0))*100</f>
        <v>#REF!</v>
      </c>
      <c r="I17" s="577"/>
      <c r="J17" s="17" t="e">
        <f>(J15/VLOOKUP($C15,#REF!,4,0))*100</f>
        <v>#REF!</v>
      </c>
      <c r="K17" s="583"/>
      <c r="L17" s="17" t="e">
        <f>(L15/VLOOKUP($C15,#REF!,4,0))*100</f>
        <v>#REF!</v>
      </c>
      <c r="M17" s="583"/>
      <c r="N17" s="12"/>
      <c r="O17" s="31" t="s">
        <v>117</v>
      </c>
      <c r="P17" s="267" t="e">
        <f t="shared" si="0"/>
        <v>#REF!</v>
      </c>
      <c r="Q17" s="168" t="e">
        <f>(Q15/VLOOKUP(C15,#REF!,4,0))*100</f>
        <v>#REF!</v>
      </c>
      <c r="R17" s="577"/>
      <c r="S17" s="12"/>
      <c r="T17" s="31" t="s">
        <v>117</v>
      </c>
      <c r="U17" s="17" t="e">
        <f>(U15/VLOOKUP(C15,#REF!,4,0))*100</f>
        <v>#REF!</v>
      </c>
      <c r="V17" s="577"/>
      <c r="W17" s="19"/>
      <c r="X17" s="19"/>
      <c r="Y17" s="19"/>
      <c r="Z17" s="1"/>
      <c r="AA17" s="26"/>
      <c r="AD17" s="33" t="str">
        <f>C15&amp;F17</f>
        <v>France% GDP</v>
      </c>
    </row>
    <row r="18" spans="1:30" s="143" customFormat="1" ht="50.15" customHeight="1">
      <c r="A18" s="638">
        <v>1</v>
      </c>
      <c r="B18" s="638" t="s">
        <v>858</v>
      </c>
      <c r="C18" s="632" t="s">
        <v>3</v>
      </c>
      <c r="D18" s="643" t="s">
        <v>570</v>
      </c>
      <c r="E18" s="16"/>
      <c r="F18" s="37" t="s">
        <v>115</v>
      </c>
      <c r="G18" s="80">
        <f>H18+J18</f>
        <v>304</v>
      </c>
      <c r="H18" s="80">
        <v>23</v>
      </c>
      <c r="I18" s="600" t="s">
        <v>720</v>
      </c>
      <c r="J18" s="80">
        <v>281</v>
      </c>
      <c r="K18" s="575" t="s">
        <v>825</v>
      </c>
      <c r="L18" s="74"/>
      <c r="M18" s="575" t="s">
        <v>357</v>
      </c>
      <c r="N18" s="16"/>
      <c r="O18" s="37" t="s">
        <v>115</v>
      </c>
      <c r="P18" s="128">
        <f t="shared" si="0"/>
        <v>1020</v>
      </c>
      <c r="Q18" s="171">
        <v>200</v>
      </c>
      <c r="R18" s="575" t="s">
        <v>289</v>
      </c>
      <c r="S18" s="16"/>
      <c r="T18" s="37" t="s">
        <v>115</v>
      </c>
      <c r="U18" s="80">
        <v>820</v>
      </c>
      <c r="V18" s="575" t="s">
        <v>721</v>
      </c>
      <c r="W18" s="18"/>
      <c r="X18" s="18"/>
      <c r="Y18" s="575" t="s">
        <v>65</v>
      </c>
      <c r="Z18" s="15"/>
      <c r="AA18" s="605" t="s">
        <v>67</v>
      </c>
      <c r="AD18" s="33" t="str">
        <f>C18&amp;F18</f>
        <v>GermanyLC bn</v>
      </c>
    </row>
    <row r="19" spans="1:30" ht="50.15" customHeight="1">
      <c r="A19" s="638"/>
      <c r="B19" s="638"/>
      <c r="C19" s="632"/>
      <c r="D19" s="643"/>
      <c r="E19" s="6"/>
      <c r="F19" s="32" t="s">
        <v>116</v>
      </c>
      <c r="G19" s="81" t="e">
        <f>G18/VLOOKUP(C18,#REF!,7,0)</f>
        <v>#REF!</v>
      </c>
      <c r="H19" s="81" t="e">
        <f>H18/VLOOKUP(C18,#REF!,7,0)</f>
        <v>#REF!</v>
      </c>
      <c r="I19" s="601"/>
      <c r="J19" s="81" t="e">
        <f>J18/VLOOKUP($C18,#REF!,7,0)</f>
        <v>#REF!</v>
      </c>
      <c r="K19" s="576"/>
      <c r="L19" s="247"/>
      <c r="M19" s="576"/>
      <c r="N19" s="6"/>
      <c r="O19" s="32" t="s">
        <v>116</v>
      </c>
      <c r="P19" s="161" t="e">
        <f t="shared" si="0"/>
        <v>#REF!</v>
      </c>
      <c r="Q19" s="167" t="e">
        <f>Q18/VLOOKUP(C18,#REF!,7,0)</f>
        <v>#REF!</v>
      </c>
      <c r="R19" s="576"/>
      <c r="S19" s="6"/>
      <c r="T19" s="32" t="s">
        <v>116</v>
      </c>
      <c r="U19" s="81" t="e">
        <f>U18/VLOOKUP(C18,#REF!,7,0)</f>
        <v>#REF!</v>
      </c>
      <c r="V19" s="576"/>
      <c r="W19" s="28"/>
      <c r="X19" s="28"/>
      <c r="Y19" s="576"/>
      <c r="AA19" s="606"/>
      <c r="AD19" s="33" t="str">
        <f>C18&amp;F19</f>
        <v>GermanyUSD bn</v>
      </c>
    </row>
    <row r="20" spans="1:30" ht="50.5" customHeight="1">
      <c r="A20" s="638"/>
      <c r="B20" s="638"/>
      <c r="C20" s="633"/>
      <c r="D20" s="644"/>
      <c r="E20" s="12"/>
      <c r="F20" s="31" t="s">
        <v>117</v>
      </c>
      <c r="G20" s="17" t="e">
        <f>(G18/VLOOKUP(C18,#REF!,4,0))*100</f>
        <v>#REF!</v>
      </c>
      <c r="H20" s="17" t="e">
        <f>(H18/VLOOKUP(C18,#REF!,4,0))*100</f>
        <v>#REF!</v>
      </c>
      <c r="I20" s="602"/>
      <c r="J20" s="17" t="e">
        <f>(J18/VLOOKUP($C18,#REF!,4,0))*100</f>
        <v>#REF!</v>
      </c>
      <c r="K20" s="577"/>
      <c r="L20" s="246"/>
      <c r="M20" s="577"/>
      <c r="N20" s="12"/>
      <c r="O20" s="31" t="s">
        <v>117</v>
      </c>
      <c r="P20" s="267" t="e">
        <f t="shared" si="0"/>
        <v>#REF!</v>
      </c>
      <c r="Q20" s="168" t="e">
        <f>(Q18/VLOOKUP(C18,#REF!,4,0))*100</f>
        <v>#REF!</v>
      </c>
      <c r="R20" s="577"/>
      <c r="S20" s="12"/>
      <c r="T20" s="31" t="s">
        <v>117</v>
      </c>
      <c r="U20" s="17" t="e">
        <f>(U18/VLOOKUP(C18,#REF!,4,0))*100</f>
        <v>#REF!</v>
      </c>
      <c r="V20" s="577"/>
      <c r="W20" s="19"/>
      <c r="X20" s="19"/>
      <c r="Y20" s="577"/>
      <c r="Z20" s="1"/>
      <c r="AA20" s="607"/>
      <c r="AD20" s="33" t="str">
        <f>C18&amp;F20</f>
        <v>Germany% GDP</v>
      </c>
    </row>
    <row r="21" spans="1:30" ht="70" customHeight="1">
      <c r="A21" s="638">
        <v>1</v>
      </c>
      <c r="B21" s="638" t="s">
        <v>858</v>
      </c>
      <c r="C21" s="632" t="s">
        <v>4</v>
      </c>
      <c r="D21" s="629" t="s">
        <v>570</v>
      </c>
      <c r="E21" s="16"/>
      <c r="F21" s="32" t="s">
        <v>115</v>
      </c>
      <c r="G21" s="80">
        <v>55</v>
      </c>
      <c r="H21" s="49">
        <v>6.5</v>
      </c>
      <c r="I21" s="600" t="s">
        <v>826</v>
      </c>
      <c r="J21" s="80">
        <v>48.5</v>
      </c>
      <c r="K21" s="581" t="s">
        <v>827</v>
      </c>
      <c r="L21" s="49">
        <v>7</v>
      </c>
      <c r="M21" s="581" t="s">
        <v>828</v>
      </c>
      <c r="N21" s="16"/>
      <c r="O21" s="32" t="s">
        <v>115</v>
      </c>
      <c r="P21" s="80">
        <f>Q21+U21</f>
        <v>533.29999999999995</v>
      </c>
      <c r="Q21" s="169">
        <v>3.3</v>
      </c>
      <c r="R21" s="581" t="s">
        <v>604</v>
      </c>
      <c r="S21" s="16"/>
      <c r="T21" s="32" t="s">
        <v>115</v>
      </c>
      <c r="U21" s="80">
        <v>530</v>
      </c>
      <c r="V21" s="581" t="s">
        <v>605</v>
      </c>
      <c r="W21" s="140"/>
      <c r="X21" s="581"/>
      <c r="Y21" s="575" t="s">
        <v>216</v>
      </c>
      <c r="Z21" s="15"/>
      <c r="AA21" s="25" t="s">
        <v>66</v>
      </c>
      <c r="AD21" s="33" t="str">
        <f>C21&amp;F21</f>
        <v>ItalyLC bn</v>
      </c>
    </row>
    <row r="22" spans="1:30" ht="70" customHeight="1">
      <c r="A22" s="638"/>
      <c r="B22" s="638"/>
      <c r="C22" s="632"/>
      <c r="D22" s="629"/>
      <c r="E22" s="6"/>
      <c r="F22" s="32" t="s">
        <v>116</v>
      </c>
      <c r="G22" s="81" t="e">
        <f>G21/VLOOKUP(C21,#REF!,7,0)</f>
        <v>#REF!</v>
      </c>
      <c r="H22" s="69" t="e">
        <f>H21/VLOOKUP(C21,#REF!,7,0)</f>
        <v>#REF!</v>
      </c>
      <c r="I22" s="601"/>
      <c r="J22" s="81" t="e">
        <f>J21/VLOOKUP($C21,#REF!,7,0)</f>
        <v>#REF!</v>
      </c>
      <c r="K22" s="582"/>
      <c r="L22" s="69" t="e">
        <f>L21/VLOOKUP($C21,#REF!,7,0)</f>
        <v>#REF!</v>
      </c>
      <c r="M22" s="582"/>
      <c r="N22" s="6"/>
      <c r="O22" s="32" t="s">
        <v>116</v>
      </c>
      <c r="P22" s="81" t="e">
        <f>P21/VLOOKUP($C21,#REF!,7,0)</f>
        <v>#REF!</v>
      </c>
      <c r="Q22" s="69" t="e">
        <f>Q21/VLOOKUP($C21,#REF!,7,0)</f>
        <v>#REF!</v>
      </c>
      <c r="R22" s="582"/>
      <c r="S22" s="6"/>
      <c r="T22" s="32" t="s">
        <v>116</v>
      </c>
      <c r="U22" s="81" t="e">
        <f>U21/VLOOKUP(C21,#REF!,7,0)</f>
        <v>#REF!</v>
      </c>
      <c r="V22" s="582"/>
      <c r="W22" s="81"/>
      <c r="X22" s="582"/>
      <c r="Y22" s="576"/>
      <c r="AA22" s="136" t="s">
        <v>186</v>
      </c>
      <c r="AD22" s="33" t="str">
        <f>C21&amp;F22</f>
        <v>ItalyUSD bn</v>
      </c>
    </row>
    <row r="23" spans="1:30" ht="58.5" customHeight="1">
      <c r="A23" s="638"/>
      <c r="B23" s="638"/>
      <c r="C23" s="633"/>
      <c r="D23" s="630"/>
      <c r="E23" s="12"/>
      <c r="F23" s="31" t="s">
        <v>117</v>
      </c>
      <c r="G23" s="17" t="e">
        <f>(G21/VLOOKUP(C21,#REF!,4,0))*100</f>
        <v>#REF!</v>
      </c>
      <c r="H23" s="17" t="e">
        <f>(H21/VLOOKUP(C21,#REF!,4,0))*100</f>
        <v>#REF!</v>
      </c>
      <c r="I23" s="602"/>
      <c r="J23" s="17" t="e">
        <f>(J21/VLOOKUP($C21,#REF!,4,0))*100</f>
        <v>#REF!</v>
      </c>
      <c r="K23" s="583"/>
      <c r="L23" s="17" t="e">
        <f>(L21/VLOOKUP($C21,#REF!,4,0))*100</f>
        <v>#REF!</v>
      </c>
      <c r="M23" s="583"/>
      <c r="N23" s="12"/>
      <c r="O23" s="31" t="s">
        <v>117</v>
      </c>
      <c r="P23" s="17" t="e">
        <f>(P21/VLOOKUP($C21,#REF!,4,0))*100</f>
        <v>#REF!</v>
      </c>
      <c r="Q23" s="17" t="e">
        <f>(Q21/VLOOKUP($C21,#REF!,4,0))*100</f>
        <v>#REF!</v>
      </c>
      <c r="R23" s="583"/>
      <c r="S23" s="12"/>
      <c r="T23" s="31" t="s">
        <v>117</v>
      </c>
      <c r="U23" s="17" t="e">
        <f>(U21/VLOOKUP(C21,#REF!,4,0))*100</f>
        <v>#REF!</v>
      </c>
      <c r="V23" s="583"/>
      <c r="W23" s="17"/>
      <c r="X23" s="583"/>
      <c r="Y23" s="577"/>
      <c r="Z23" s="1"/>
      <c r="AA23" s="26"/>
      <c r="AD23" s="33" t="str">
        <f>C21&amp;F23</f>
        <v>Italy% GDP</v>
      </c>
    </row>
    <row r="24" spans="1:30" ht="105" customHeight="1">
      <c r="A24" s="638">
        <v>1</v>
      </c>
      <c r="B24" s="638" t="s">
        <v>858</v>
      </c>
      <c r="C24" s="660" t="s">
        <v>5</v>
      </c>
      <c r="D24" s="629" t="s">
        <v>570</v>
      </c>
      <c r="E24" s="16"/>
      <c r="F24" s="32" t="s">
        <v>115</v>
      </c>
      <c r="G24" s="128">
        <f>H24+J24</f>
        <v>58800</v>
      </c>
      <c r="H24" s="128">
        <v>4100</v>
      </c>
      <c r="I24" s="575" t="s">
        <v>798</v>
      </c>
      <c r="J24" s="128">
        <v>54700</v>
      </c>
      <c r="K24" s="575" t="s">
        <v>885</v>
      </c>
      <c r="L24" s="128">
        <v>26000</v>
      </c>
      <c r="M24" s="575" t="s">
        <v>546</v>
      </c>
      <c r="N24" s="16"/>
      <c r="O24" s="37" t="s">
        <v>115</v>
      </c>
      <c r="P24" s="245">
        <f>Q24+U24+W24</f>
        <v>124700</v>
      </c>
      <c r="Q24" s="275"/>
      <c r="R24" s="586"/>
      <c r="S24" s="16"/>
      <c r="T24" s="37" t="s">
        <v>115</v>
      </c>
      <c r="U24" s="128">
        <v>15700</v>
      </c>
      <c r="V24" s="586" t="s">
        <v>829</v>
      </c>
      <c r="W24" s="275">
        <v>109000</v>
      </c>
      <c r="X24" s="586" t="s">
        <v>830</v>
      </c>
      <c r="Y24" s="575" t="s">
        <v>298</v>
      </c>
      <c r="Z24" s="15"/>
      <c r="AA24" s="22"/>
      <c r="AD24" s="33" t="str">
        <f>C24&amp;F24</f>
        <v>JapanLC bn</v>
      </c>
    </row>
    <row r="25" spans="1:30" ht="105" customHeight="1">
      <c r="A25" s="638"/>
      <c r="B25" s="638"/>
      <c r="C25" s="660"/>
      <c r="D25" s="629"/>
      <c r="E25" s="6"/>
      <c r="F25" s="32" t="s">
        <v>116</v>
      </c>
      <c r="G25" s="81">
        <v>551.10682418759711</v>
      </c>
      <c r="H25" s="81">
        <v>38.427516652536532</v>
      </c>
      <c r="I25" s="584"/>
      <c r="J25" s="81">
        <v>512.67930753506062</v>
      </c>
      <c r="K25" s="576"/>
      <c r="L25" s="95">
        <v>243.68669096730486</v>
      </c>
      <c r="M25" s="576"/>
      <c r="N25" s="6"/>
      <c r="O25" s="32" t="s">
        <v>116</v>
      </c>
      <c r="P25" s="161">
        <f t="shared" ref="P25:P26" si="1">Q25+U25+W25</f>
        <v>1168.7588601393429</v>
      </c>
      <c r="Q25" s="276"/>
      <c r="R25" s="584"/>
      <c r="S25" s="6"/>
      <c r="T25" s="32" t="s">
        <v>116</v>
      </c>
      <c r="U25" s="81">
        <v>147.1492710841033</v>
      </c>
      <c r="V25" s="584"/>
      <c r="W25" s="161">
        <v>1021.6095890552396</v>
      </c>
      <c r="X25" s="584"/>
      <c r="Y25" s="576"/>
      <c r="AA25" s="27"/>
      <c r="AD25" s="33" t="str">
        <f>C24&amp;F25</f>
        <v>JapanUSD bn</v>
      </c>
    </row>
    <row r="26" spans="1:30" s="2" customFormat="1" ht="105" customHeight="1">
      <c r="A26" s="638"/>
      <c r="B26" s="638"/>
      <c r="C26" s="661"/>
      <c r="D26" s="630"/>
      <c r="E26" s="12"/>
      <c r="F26" s="31" t="s">
        <v>117</v>
      </c>
      <c r="G26" s="17">
        <v>11.330991365634006</v>
      </c>
      <c r="H26" s="17">
        <v>0.7900861326377453</v>
      </c>
      <c r="I26" s="585"/>
      <c r="J26" s="17">
        <v>10.540905232996261</v>
      </c>
      <c r="K26" s="577"/>
      <c r="L26" s="68">
        <v>5.0103023045320434</v>
      </c>
      <c r="M26" s="577"/>
      <c r="N26" s="12"/>
      <c r="O26" s="31" t="s">
        <v>117</v>
      </c>
      <c r="P26" s="17">
        <f t="shared" si="1"/>
        <v>24.030180668274838</v>
      </c>
      <c r="Q26" s="277"/>
      <c r="R26" s="585"/>
      <c r="S26" s="12"/>
      <c r="T26" s="31" t="s">
        <v>117</v>
      </c>
      <c r="U26" s="17">
        <v>3.0254517761981954</v>
      </c>
      <c r="V26" s="585"/>
      <c r="W26" s="277">
        <v>21.004728892076642</v>
      </c>
      <c r="X26" s="585"/>
      <c r="Y26" s="577"/>
      <c r="Z26" s="1"/>
      <c r="AA26" s="26"/>
      <c r="AD26" s="33" t="str">
        <f>C24&amp;F26</f>
        <v>Japan% GDP</v>
      </c>
    </row>
    <row r="27" spans="1:30" s="143" customFormat="1" ht="120" customHeight="1">
      <c r="A27" s="638">
        <v>1</v>
      </c>
      <c r="B27" s="638" t="s">
        <v>858</v>
      </c>
      <c r="C27" s="660" t="s">
        <v>6</v>
      </c>
      <c r="D27" s="629" t="s">
        <v>570</v>
      </c>
      <c r="E27" s="16"/>
      <c r="F27" s="37" t="s">
        <v>115</v>
      </c>
      <c r="G27" s="130">
        <f>H27+J27</f>
        <v>58100</v>
      </c>
      <c r="H27" s="290">
        <v>4600</v>
      </c>
      <c r="I27" s="645" t="s">
        <v>884</v>
      </c>
      <c r="J27" s="130">
        <v>53500</v>
      </c>
      <c r="K27" s="581" t="s">
        <v>892</v>
      </c>
      <c r="L27" s="130">
        <v>33000</v>
      </c>
      <c r="M27" s="581" t="s">
        <v>893</v>
      </c>
      <c r="N27" s="16"/>
      <c r="O27" s="37" t="s">
        <v>115</v>
      </c>
      <c r="P27" s="252">
        <f>Q27+U27+W27</f>
        <v>181100</v>
      </c>
      <c r="Q27" s="252"/>
      <c r="R27" s="575"/>
      <c r="S27" s="16"/>
      <c r="T27" s="37" t="s">
        <v>115</v>
      </c>
      <c r="U27" s="253">
        <v>34100</v>
      </c>
      <c r="V27" s="581" t="s">
        <v>890</v>
      </c>
      <c r="W27" s="253">
        <v>147000</v>
      </c>
      <c r="X27" s="575" t="s">
        <v>891</v>
      </c>
      <c r="Y27" s="575" t="s">
        <v>70</v>
      </c>
      <c r="Z27" s="15"/>
      <c r="AA27" s="605" t="s">
        <v>69</v>
      </c>
      <c r="AD27" s="33" t="str">
        <f>C27&amp;F27</f>
        <v>KoreaLC bn</v>
      </c>
    </row>
    <row r="28" spans="1:30" ht="120" customHeight="1">
      <c r="A28" s="638"/>
      <c r="B28" s="638"/>
      <c r="C28" s="660"/>
      <c r="D28" s="629"/>
      <c r="E28" s="6"/>
      <c r="F28" s="32" t="s">
        <v>116</v>
      </c>
      <c r="G28" s="254" t="e">
        <f>G27/VLOOKUP(C27,#REF!,7,0)</f>
        <v>#REF!</v>
      </c>
      <c r="H28" s="120" t="e">
        <f>H27/VLOOKUP(C27,#REF!,7,0)</f>
        <v>#REF!</v>
      </c>
      <c r="I28" s="646"/>
      <c r="J28" s="81" t="e">
        <f>J27/VLOOKUP($C27,#REF!,7,0)</f>
        <v>#REF!</v>
      </c>
      <c r="K28" s="582"/>
      <c r="L28" s="81" t="e">
        <f>L27/VLOOKUP($C27,#REF!,7,0)</f>
        <v>#REF!</v>
      </c>
      <c r="M28" s="582"/>
      <c r="N28" s="6"/>
      <c r="O28" s="32" t="s">
        <v>116</v>
      </c>
      <c r="P28" s="81" t="e">
        <f>P27/VLOOKUP($C27,#REF!,7,0)</f>
        <v>#REF!</v>
      </c>
      <c r="Q28" s="173"/>
      <c r="R28" s="576"/>
      <c r="S28" s="6"/>
      <c r="T28" s="32" t="s">
        <v>116</v>
      </c>
      <c r="U28" s="254" t="e">
        <f>U27/VLOOKUP(C27,#REF!,7,0)</f>
        <v>#REF!</v>
      </c>
      <c r="V28" s="582"/>
      <c r="W28" s="257" t="e">
        <f>W27/VLOOKUP(C27,#REF!,7,0)</f>
        <v>#REF!</v>
      </c>
      <c r="X28" s="576"/>
      <c r="Y28" s="576"/>
      <c r="AA28" s="606"/>
      <c r="AD28" s="33" t="str">
        <f>C27&amp;F28</f>
        <v>KoreaUSD bn</v>
      </c>
    </row>
    <row r="29" spans="1:30" ht="120" customHeight="1">
      <c r="A29" s="638"/>
      <c r="B29" s="638"/>
      <c r="C29" s="661"/>
      <c r="D29" s="630"/>
      <c r="E29" s="12"/>
      <c r="F29" s="31" t="s">
        <v>117</v>
      </c>
      <c r="G29" s="121" t="e">
        <f>(G27/VLOOKUP(C27,#REF!,4,0))*100</f>
        <v>#REF!</v>
      </c>
      <c r="H29" s="121" t="e">
        <f>(H27/VLOOKUP(C27,#REF!,4,0))*100</f>
        <v>#REF!</v>
      </c>
      <c r="I29" s="647"/>
      <c r="J29" s="17" t="e">
        <f>(J27/VLOOKUP($C27,#REF!,4,0))*100</f>
        <v>#REF!</v>
      </c>
      <c r="K29" s="583"/>
      <c r="L29" s="17" t="e">
        <f>(L27/VLOOKUP($C27,#REF!,4,0))*100</f>
        <v>#REF!</v>
      </c>
      <c r="M29" s="583"/>
      <c r="N29" s="12"/>
      <c r="O29" s="31" t="s">
        <v>117</v>
      </c>
      <c r="P29" s="17" t="e">
        <f>(P27/VLOOKUP($C27,#REF!,4,0))*100</f>
        <v>#REF!</v>
      </c>
      <c r="Q29" s="174"/>
      <c r="R29" s="577"/>
      <c r="S29" s="12"/>
      <c r="T29" s="31" t="s">
        <v>117</v>
      </c>
      <c r="U29" s="120" t="e">
        <f>(U27/VLOOKUP(C27,#REF!,4,0))*100</f>
        <v>#REF!</v>
      </c>
      <c r="V29" s="583"/>
      <c r="W29" s="258" t="e">
        <f>(W27/VLOOKUP(C27,#REF!,4,0))*100</f>
        <v>#REF!</v>
      </c>
      <c r="X29" s="577"/>
      <c r="Y29" s="577"/>
      <c r="Z29" s="1"/>
      <c r="AA29" s="607"/>
      <c r="AD29" s="33" t="str">
        <f>C27&amp;F29</f>
        <v>Korea% GDP</v>
      </c>
    </row>
    <row r="30" spans="1:30" s="10" customFormat="1" ht="127" customHeight="1">
      <c r="A30" s="638">
        <v>1</v>
      </c>
      <c r="B30" s="638" t="s">
        <v>858</v>
      </c>
      <c r="C30" s="660" t="s">
        <v>32</v>
      </c>
      <c r="D30" s="629" t="s">
        <v>570</v>
      </c>
      <c r="E30" s="13"/>
      <c r="F30" s="37" t="s">
        <v>115</v>
      </c>
      <c r="G30" s="93">
        <v>36.4</v>
      </c>
      <c r="H30" s="74">
        <v>4.3</v>
      </c>
      <c r="I30" s="600" t="s">
        <v>564</v>
      </c>
      <c r="J30" s="93">
        <v>32.1</v>
      </c>
      <c r="K30" s="581" t="s">
        <v>831</v>
      </c>
      <c r="L30" s="53"/>
      <c r="M30" s="575" t="s">
        <v>722</v>
      </c>
      <c r="N30" s="13"/>
      <c r="O30" s="32" t="s">
        <v>115</v>
      </c>
      <c r="P30" s="242">
        <f>Q30+U30+W30</f>
        <v>115.024</v>
      </c>
      <c r="Q30" s="177">
        <v>0.124</v>
      </c>
      <c r="R30" s="575" t="s">
        <v>875</v>
      </c>
      <c r="S30" s="13"/>
      <c r="T30" s="32" t="s">
        <v>115</v>
      </c>
      <c r="U30" s="93">
        <v>104.9</v>
      </c>
      <c r="V30" s="575" t="s">
        <v>876</v>
      </c>
      <c r="W30" s="93">
        <v>10</v>
      </c>
      <c r="X30" s="575" t="s">
        <v>219</v>
      </c>
      <c r="Y30" s="18"/>
      <c r="Z30" s="13"/>
      <c r="AA30" s="605" t="s">
        <v>49</v>
      </c>
      <c r="AB30" s="10">
        <f>849+223</f>
        <v>1072</v>
      </c>
      <c r="AD30" s="33" t="str">
        <f>C30&amp;F30</f>
        <v>SpainLC bn</v>
      </c>
    </row>
    <row r="31" spans="1:30" s="3" customFormat="1" ht="150" customHeight="1">
      <c r="A31" s="638"/>
      <c r="B31" s="638"/>
      <c r="C31" s="660"/>
      <c r="D31" s="629"/>
      <c r="E31" s="10"/>
      <c r="F31" s="32" t="s">
        <v>116</v>
      </c>
      <c r="G31" s="81" t="e">
        <f>G30/VLOOKUP(C30,#REF!,7,0)</f>
        <v>#REF!</v>
      </c>
      <c r="H31" s="56" t="e">
        <f>H30/VLOOKUP(C30,#REF!,7,0)</f>
        <v>#REF!</v>
      </c>
      <c r="I31" s="601"/>
      <c r="J31" s="81" t="e">
        <f>J30/VLOOKUP($C30,#REF!,7,0)</f>
        <v>#REF!</v>
      </c>
      <c r="K31" s="582"/>
      <c r="L31" s="69"/>
      <c r="M31" s="576"/>
      <c r="N31" s="10"/>
      <c r="O31" s="32" t="s">
        <v>116</v>
      </c>
      <c r="P31" s="243" t="e">
        <f>Q31+U31+W31</f>
        <v>#REF!</v>
      </c>
      <c r="Q31" s="180" t="e">
        <f>Q30/VLOOKUP(C30,#REF!,7,0)</f>
        <v>#REF!</v>
      </c>
      <c r="R31" s="576"/>
      <c r="S31" s="10"/>
      <c r="T31" s="32" t="s">
        <v>116</v>
      </c>
      <c r="U31" s="81" t="e">
        <f>U30/VLOOKUP(C30,#REF!,7,0)</f>
        <v>#REF!</v>
      </c>
      <c r="V31" s="576"/>
      <c r="W31" s="81" t="e">
        <f>W30/VLOOKUP($C30,#REF!,7,0)</f>
        <v>#REF!</v>
      </c>
      <c r="X31" s="576"/>
      <c r="Y31" s="28"/>
      <c r="Z31" s="10"/>
      <c r="AA31" s="606"/>
      <c r="AD31" s="33" t="str">
        <f>C30&amp;F31</f>
        <v>SpainUSD bn</v>
      </c>
    </row>
    <row r="32" spans="1:30" ht="150" customHeight="1">
      <c r="A32" s="638"/>
      <c r="B32" s="638"/>
      <c r="C32" s="661"/>
      <c r="D32" s="630"/>
      <c r="E32" s="12"/>
      <c r="F32" s="31" t="s">
        <v>117</v>
      </c>
      <c r="G32" s="17" t="e">
        <f>(G30/VLOOKUP(C30,#REF!,4,0))*100</f>
        <v>#REF!</v>
      </c>
      <c r="H32" s="68" t="e">
        <f>(H30/VLOOKUP(C30,#REF!,4,0))*100</f>
        <v>#REF!</v>
      </c>
      <c r="I32" s="602"/>
      <c r="J32" s="17" t="e">
        <f>(J30/VLOOKUP($C30,#REF!,4,0))*100</f>
        <v>#REF!</v>
      </c>
      <c r="K32" s="583"/>
      <c r="L32" s="17"/>
      <c r="M32" s="577"/>
      <c r="N32" s="12"/>
      <c r="O32" s="31" t="s">
        <v>117</v>
      </c>
      <c r="P32" s="247" t="e">
        <f>Q32+U32+W32</f>
        <v>#REF!</v>
      </c>
      <c r="Q32" s="168" t="e">
        <f>(Q30/VLOOKUP(C30,#REF!,4,0))*100</f>
        <v>#REF!</v>
      </c>
      <c r="R32" s="577"/>
      <c r="S32" s="12"/>
      <c r="T32" s="31" t="s">
        <v>117</v>
      </c>
      <c r="U32" s="17" t="e">
        <f>(U30/VLOOKUP(C30,#REF!,4,0))*100</f>
        <v>#REF!</v>
      </c>
      <c r="V32" s="577"/>
      <c r="W32" s="17" t="e">
        <f>(W30/VLOOKUP($C30,#REF!,4,0))*100</f>
        <v>#REF!</v>
      </c>
      <c r="X32" s="577"/>
      <c r="Y32" s="19"/>
      <c r="Z32" s="1"/>
      <c r="AA32" s="607"/>
      <c r="AD32" s="33" t="str">
        <f>C30&amp;F32</f>
        <v>Spain% GDP</v>
      </c>
    </row>
    <row r="33" spans="1:30" ht="100" customHeight="1">
      <c r="A33" s="638">
        <v>1</v>
      </c>
      <c r="B33" s="638" t="s">
        <v>858</v>
      </c>
      <c r="C33" s="632" t="s">
        <v>7</v>
      </c>
      <c r="D33" s="629" t="s">
        <v>571</v>
      </c>
      <c r="E33" s="16"/>
      <c r="F33" s="32" t="s">
        <v>115</v>
      </c>
      <c r="G33" s="80">
        <v>124.5</v>
      </c>
      <c r="H33" s="49">
        <v>6.6</v>
      </c>
      <c r="I33" s="600" t="s">
        <v>606</v>
      </c>
      <c r="J33" s="80">
        <f>G33-H33</f>
        <v>117.9</v>
      </c>
      <c r="K33" s="575" t="s">
        <v>832</v>
      </c>
      <c r="L33" s="18"/>
      <c r="M33" s="575" t="s">
        <v>607</v>
      </c>
      <c r="N33" s="16"/>
      <c r="O33" s="32" t="s">
        <v>115</v>
      </c>
      <c r="P33" s="80">
        <f>Q33+U33+W33</f>
        <v>341</v>
      </c>
      <c r="Q33" s="169">
        <v>1</v>
      </c>
      <c r="R33" s="581" t="s">
        <v>723</v>
      </c>
      <c r="S33" s="16"/>
      <c r="T33" s="32" t="s">
        <v>115</v>
      </c>
      <c r="U33" s="80">
        <v>340</v>
      </c>
      <c r="V33" s="581" t="s">
        <v>799</v>
      </c>
      <c r="W33" s="141"/>
      <c r="X33" s="575"/>
      <c r="Y33" s="622" t="s">
        <v>72</v>
      </c>
      <c r="Z33" s="15"/>
      <c r="AA33" s="614" t="s">
        <v>71</v>
      </c>
      <c r="AD33" s="33" t="str">
        <f>C33&amp;F33</f>
        <v>United KingdomLC bn</v>
      </c>
    </row>
    <row r="34" spans="1:30" ht="88.5" customHeight="1">
      <c r="A34" s="638"/>
      <c r="B34" s="638"/>
      <c r="C34" s="632"/>
      <c r="D34" s="629"/>
      <c r="E34" s="6"/>
      <c r="F34" s="32" t="s">
        <v>116</v>
      </c>
      <c r="G34" s="81" t="e">
        <f>G33/VLOOKUP(C33,#REF!,7,0)</f>
        <v>#REF!</v>
      </c>
      <c r="H34" s="69" t="e">
        <f>H33/VLOOKUP(C33,#REF!,7,0)</f>
        <v>#REF!</v>
      </c>
      <c r="I34" s="601"/>
      <c r="J34" s="95" t="e">
        <f>G34-H34</f>
        <v>#REF!</v>
      </c>
      <c r="K34" s="576"/>
      <c r="L34" s="28"/>
      <c r="M34" s="576"/>
      <c r="N34" s="6"/>
      <c r="O34" s="32" t="s">
        <v>116</v>
      </c>
      <c r="P34" s="81" t="e">
        <f>P33/VLOOKUP(C33,#REF!,7,0)</f>
        <v>#REF!</v>
      </c>
      <c r="Q34" s="170" t="e">
        <f>Q33/VLOOKUP(C33,#REF!,7,0)</f>
        <v>#REF!</v>
      </c>
      <c r="R34" s="582"/>
      <c r="S34" s="6"/>
      <c r="T34" s="32" t="s">
        <v>116</v>
      </c>
      <c r="U34" s="81" t="e">
        <f>U33/VLOOKUP(C33,#REF!,7,0)</f>
        <v>#REF!</v>
      </c>
      <c r="V34" s="582"/>
      <c r="W34" s="28"/>
      <c r="X34" s="576"/>
      <c r="Y34" s="623"/>
      <c r="AA34" s="615"/>
      <c r="AD34" s="33" t="str">
        <f>C33&amp;F34</f>
        <v>United KingdomUSD bn</v>
      </c>
    </row>
    <row r="35" spans="1:30" s="2" customFormat="1" ht="236.25" customHeight="1">
      <c r="A35" s="638"/>
      <c r="B35" s="638"/>
      <c r="C35" s="633"/>
      <c r="D35" s="630"/>
      <c r="E35" s="12"/>
      <c r="F35" s="31" t="s">
        <v>117</v>
      </c>
      <c r="G35" s="17" t="e">
        <f>(G33/VLOOKUP(C33,#REF!,4,0))*100</f>
        <v>#REF!</v>
      </c>
      <c r="H35" s="17" t="e">
        <f>(H33/VLOOKUP(C33,#REF!,4,0))*100</f>
        <v>#REF!</v>
      </c>
      <c r="I35" s="602"/>
      <c r="J35" s="68" t="e">
        <f>G35-H35</f>
        <v>#REF!</v>
      </c>
      <c r="K35" s="577"/>
      <c r="L35" s="19"/>
      <c r="M35" s="577"/>
      <c r="N35" s="12"/>
      <c r="O35" s="31" t="s">
        <v>117</v>
      </c>
      <c r="P35" s="17" t="e">
        <f>(P33/VLOOKUP(C33,#REF!,4,0))*100</f>
        <v>#REF!</v>
      </c>
      <c r="Q35" s="168" t="e">
        <f>(Q33/VLOOKUP(C33,#REF!,4,0))*100</f>
        <v>#REF!</v>
      </c>
      <c r="R35" s="583"/>
      <c r="S35" s="12"/>
      <c r="T35" s="31" t="s">
        <v>117</v>
      </c>
      <c r="U35" s="17" t="e">
        <f>(U33/VLOOKUP(C33,#REF!,4,0))*100</f>
        <v>#REF!</v>
      </c>
      <c r="V35" s="583"/>
      <c r="W35" s="19"/>
      <c r="X35" s="577"/>
      <c r="Y35" s="624"/>
      <c r="Z35" s="1"/>
      <c r="AA35" s="616"/>
      <c r="AD35" s="33" t="str">
        <f>C33&amp;F35</f>
        <v>United Kingdom% GDP</v>
      </c>
    </row>
    <row r="36" spans="1:30" s="143" customFormat="1" ht="150" customHeight="1">
      <c r="A36" s="638">
        <v>1</v>
      </c>
      <c r="B36" s="638" t="s">
        <v>858</v>
      </c>
      <c r="C36" s="632" t="s">
        <v>8</v>
      </c>
      <c r="D36" s="629" t="s">
        <v>571</v>
      </c>
      <c r="E36" s="16"/>
      <c r="F36" s="37" t="s">
        <v>115</v>
      </c>
      <c r="G36" s="252">
        <v>2443</v>
      </c>
      <c r="H36" s="80">
        <v>304</v>
      </c>
      <c r="I36" s="600" t="s">
        <v>833</v>
      </c>
      <c r="J36" s="252">
        <f>G36-H36</f>
        <v>2139</v>
      </c>
      <c r="K36" s="575" t="s">
        <v>800</v>
      </c>
      <c r="L36" s="18"/>
      <c r="M36" s="575" t="s">
        <v>807</v>
      </c>
      <c r="N36" s="16"/>
      <c r="O36" s="37" t="s">
        <v>115</v>
      </c>
      <c r="P36" s="264">
        <f t="shared" ref="P36:P38" si="2">Q36+U36+W36</f>
        <v>510</v>
      </c>
      <c r="Q36" s="256">
        <v>56</v>
      </c>
      <c r="R36" s="581" t="s">
        <v>608</v>
      </c>
      <c r="S36" s="16"/>
      <c r="T36" s="37" t="s">
        <v>115</v>
      </c>
      <c r="U36" s="80">
        <v>454</v>
      </c>
      <c r="V36" s="575" t="s">
        <v>275</v>
      </c>
      <c r="W36" s="18"/>
      <c r="X36" s="18"/>
      <c r="Y36" s="575" t="s">
        <v>73</v>
      </c>
      <c r="Z36" s="15"/>
      <c r="AA36" s="22"/>
      <c r="AD36" s="33" t="str">
        <f>C36&amp;F36</f>
        <v>United StatesLC bn</v>
      </c>
    </row>
    <row r="37" spans="1:30" ht="150" customHeight="1">
      <c r="A37" s="638"/>
      <c r="B37" s="638"/>
      <c r="C37" s="632"/>
      <c r="D37" s="629"/>
      <c r="E37" s="6"/>
      <c r="F37" s="32" t="s">
        <v>116</v>
      </c>
      <c r="G37" s="161" t="e">
        <f>G36/VLOOKUP(C36,#REF!,7,0)</f>
        <v>#REF!</v>
      </c>
      <c r="H37" s="81" t="e">
        <f>H36/VLOOKUP(C36,#REF!,7,0)</f>
        <v>#REF!</v>
      </c>
      <c r="I37" s="601"/>
      <c r="J37" s="161" t="e">
        <f>J36/VLOOKUP($C36,#REF!,7,0)</f>
        <v>#REF!</v>
      </c>
      <c r="K37" s="576"/>
      <c r="L37" s="28"/>
      <c r="M37" s="576"/>
      <c r="N37" s="6"/>
      <c r="O37" s="32" t="s">
        <v>116</v>
      </c>
      <c r="P37" s="265" t="e">
        <f t="shared" si="2"/>
        <v>#REF!</v>
      </c>
      <c r="Q37" s="167" t="e">
        <f>Q36/VLOOKUP(C36,#REF!,7,0)</f>
        <v>#REF!</v>
      </c>
      <c r="R37" s="582"/>
      <c r="S37" s="6"/>
      <c r="T37" s="32" t="s">
        <v>116</v>
      </c>
      <c r="U37" s="185" t="e">
        <f>U36/VLOOKUP(C36,#REF!,7,0)</f>
        <v>#REF!</v>
      </c>
      <c r="V37" s="576"/>
      <c r="W37" s="28"/>
      <c r="X37" s="28"/>
      <c r="Y37" s="576"/>
      <c r="AA37" s="27"/>
      <c r="AD37" s="33" t="str">
        <f>C36&amp;F37</f>
        <v>United StatesUSD bn</v>
      </c>
    </row>
    <row r="38" spans="1:30" ht="128.5" customHeight="1">
      <c r="A38" s="638"/>
      <c r="B38" s="638"/>
      <c r="C38" s="633"/>
      <c r="D38" s="630"/>
      <c r="E38" s="12"/>
      <c r="F38" s="31" t="s">
        <v>117</v>
      </c>
      <c r="G38" s="17" t="e">
        <f>(G36/VLOOKUP(C36,#REF!,4,0))*100</f>
        <v>#REF!</v>
      </c>
      <c r="H38" s="17" t="e">
        <f>(H36/VLOOKUP(C36,#REF!,4,0))*100</f>
        <v>#REF!</v>
      </c>
      <c r="I38" s="602"/>
      <c r="J38" s="17" t="e">
        <f>(J36/VLOOKUP($C36,#REF!,4,0))*100</f>
        <v>#REF!</v>
      </c>
      <c r="K38" s="577"/>
      <c r="L38" s="19"/>
      <c r="M38" s="577"/>
      <c r="N38" s="12"/>
      <c r="O38" s="31" t="s">
        <v>117</v>
      </c>
      <c r="P38" s="267" t="e">
        <f t="shared" si="2"/>
        <v>#REF!</v>
      </c>
      <c r="Q38" s="168" t="e">
        <f>(Q36/VLOOKUP(C36,#REF!,4,0))*100</f>
        <v>#REF!</v>
      </c>
      <c r="R38" s="583"/>
      <c r="S38" s="12"/>
      <c r="T38" s="31" t="s">
        <v>117</v>
      </c>
      <c r="U38" s="65" t="e">
        <f>(U36/VLOOKUP(C36,#REF!,4,0))*100</f>
        <v>#REF!</v>
      </c>
      <c r="V38" s="577"/>
      <c r="W38" s="19"/>
      <c r="X38" s="19"/>
      <c r="Y38" s="577"/>
      <c r="Z38" s="1"/>
      <c r="AA38" s="26"/>
      <c r="AD38" s="33" t="str">
        <f>C36&amp;F38</f>
        <v>United States% GDP</v>
      </c>
    </row>
    <row r="39" spans="1:30" ht="120" customHeight="1">
      <c r="A39" s="638">
        <v>1</v>
      </c>
      <c r="B39" s="638" t="s">
        <v>861</v>
      </c>
      <c r="C39" s="632" t="s">
        <v>9</v>
      </c>
      <c r="D39" s="629" t="s">
        <v>571</v>
      </c>
      <c r="E39" s="6"/>
      <c r="F39" s="32" t="s">
        <v>115</v>
      </c>
      <c r="G39" s="98">
        <f>H39+J39</f>
        <v>823.5</v>
      </c>
      <c r="H39" s="81">
        <v>38.5</v>
      </c>
      <c r="I39" s="645" t="s">
        <v>877</v>
      </c>
      <c r="J39" s="81">
        <v>785</v>
      </c>
      <c r="K39" s="581" t="s">
        <v>834</v>
      </c>
      <c r="L39" s="81">
        <v>10</v>
      </c>
      <c r="M39" s="581" t="s">
        <v>835</v>
      </c>
      <c r="N39" s="6"/>
      <c r="O39" s="32" t="s">
        <v>115</v>
      </c>
      <c r="P39" s="81">
        <f>Q39+U39+W39</f>
        <v>570</v>
      </c>
      <c r="Q39" s="170"/>
      <c r="R39" s="581"/>
      <c r="S39" s="6"/>
      <c r="T39" s="32" t="s">
        <v>115</v>
      </c>
      <c r="U39" s="254">
        <v>570</v>
      </c>
      <c r="V39" s="581" t="s">
        <v>882</v>
      </c>
      <c r="W39" s="28"/>
      <c r="X39" s="575"/>
      <c r="Y39" s="35"/>
      <c r="AA39" s="35"/>
      <c r="AD39" s="33" t="str">
        <f>C39&amp;F39</f>
        <v>ArgentinaLC bn</v>
      </c>
    </row>
    <row r="40" spans="1:30" ht="120" customHeight="1">
      <c r="A40" s="638"/>
      <c r="B40" s="638"/>
      <c r="C40" s="632"/>
      <c r="D40" s="629"/>
      <c r="E40" s="6"/>
      <c r="F40" s="32" t="s">
        <v>116</v>
      </c>
      <c r="G40" s="95" t="e">
        <f>G39/VLOOKUP(C39,#REF!,7,0)</f>
        <v>#REF!</v>
      </c>
      <c r="H40" s="69" t="e">
        <f>H39/VLOOKUP(C39,#REF!,7,0)</f>
        <v>#REF!</v>
      </c>
      <c r="I40" s="646"/>
      <c r="J40" s="81" t="e">
        <f>G40-H40</f>
        <v>#REF!</v>
      </c>
      <c r="K40" s="582"/>
      <c r="L40" s="69" t="e">
        <f>L39/VLOOKUP($C39,#REF!,7,0)</f>
        <v>#REF!</v>
      </c>
      <c r="M40" s="582"/>
      <c r="N40" s="6"/>
      <c r="O40" s="32" t="s">
        <v>116</v>
      </c>
      <c r="P40" s="69" t="e">
        <f>P39/VLOOKUP($C39,#REF!,7,0)</f>
        <v>#REF!</v>
      </c>
      <c r="Q40" s="170"/>
      <c r="R40" s="582"/>
      <c r="S40" s="6"/>
      <c r="T40" s="32" t="s">
        <v>116</v>
      </c>
      <c r="U40" s="69" t="e">
        <f>U39/VLOOKUP($C39,#REF!,7,0)</f>
        <v>#REF!</v>
      </c>
      <c r="V40" s="582"/>
      <c r="W40" s="28"/>
      <c r="X40" s="576"/>
      <c r="Y40" s="28" t="s">
        <v>152</v>
      </c>
      <c r="AA40" s="27"/>
      <c r="AD40" s="33" t="str">
        <f>C39&amp;F40</f>
        <v>ArgentinaUSD bn</v>
      </c>
    </row>
    <row r="41" spans="1:30" ht="120" customHeight="1">
      <c r="A41" s="638"/>
      <c r="B41" s="638"/>
      <c r="C41" s="633"/>
      <c r="D41" s="630"/>
      <c r="E41" s="12"/>
      <c r="F41" s="31" t="s">
        <v>117</v>
      </c>
      <c r="G41" s="17" t="e">
        <f>(G39/VLOOKUP("Argentina",#REF!,4,0))*100</f>
        <v>#REF!</v>
      </c>
      <c r="H41" s="17" t="e">
        <f>(H39/VLOOKUP("Argentina",#REF!,4,0))*100</f>
        <v>#REF!</v>
      </c>
      <c r="I41" s="647"/>
      <c r="J41" s="17" t="e">
        <f>(J39/VLOOKUP($C39,#REF!,4,0))*100</f>
        <v>#REF!</v>
      </c>
      <c r="K41" s="583"/>
      <c r="L41" s="17" t="e">
        <f>(L39/VLOOKUP($C39,#REF!,4,0))*100</f>
        <v>#REF!</v>
      </c>
      <c r="M41" s="583"/>
      <c r="N41" s="12"/>
      <c r="O41" s="31" t="s">
        <v>117</v>
      </c>
      <c r="P41" s="17" t="e">
        <f>(P39/VLOOKUP($C39,#REF!,4,0))*100</f>
        <v>#REF!</v>
      </c>
      <c r="Q41" s="168"/>
      <c r="R41" s="583"/>
      <c r="S41" s="12"/>
      <c r="T41" s="31" t="s">
        <v>117</v>
      </c>
      <c r="U41" s="17" t="e">
        <f>(U39/VLOOKUP($C39,#REF!,4,0))*100</f>
        <v>#REF!</v>
      </c>
      <c r="V41" s="583"/>
      <c r="W41" s="19"/>
      <c r="X41" s="577"/>
      <c r="Y41" s="19"/>
      <c r="Z41" s="1"/>
      <c r="AA41" s="26"/>
      <c r="AD41" s="33" t="str">
        <f>C39&amp;F41</f>
        <v>Argentina% GDP</v>
      </c>
    </row>
    <row r="42" spans="1:30" ht="120" customHeight="1">
      <c r="A42" s="638">
        <v>1</v>
      </c>
      <c r="B42" s="638" t="s">
        <v>861</v>
      </c>
      <c r="C42" s="660" t="s">
        <v>10</v>
      </c>
      <c r="D42" s="629" t="s">
        <v>570</v>
      </c>
      <c r="E42" s="16"/>
      <c r="F42" s="32" t="s">
        <v>115</v>
      </c>
      <c r="G42" s="80">
        <f>J42+H42</f>
        <v>444.7</v>
      </c>
      <c r="H42" s="80">
        <f>54.2+6.5</f>
        <v>60.7</v>
      </c>
      <c r="I42" s="600" t="s">
        <v>878</v>
      </c>
      <c r="J42" s="80">
        <f>374.8+9.2</f>
        <v>384</v>
      </c>
      <c r="K42" s="575" t="s">
        <v>879</v>
      </c>
      <c r="L42" s="80">
        <v>196</v>
      </c>
      <c r="M42" s="575" t="s">
        <v>880</v>
      </c>
      <c r="N42" s="16"/>
      <c r="O42" s="32" t="s">
        <v>115</v>
      </c>
      <c r="P42" s="80">
        <f>Q42+U42+W42</f>
        <v>367.9</v>
      </c>
      <c r="Q42" s="171">
        <v>74.900000000000006</v>
      </c>
      <c r="R42" s="575" t="s">
        <v>881</v>
      </c>
      <c r="S42" s="16"/>
      <c r="T42" s="32" t="s">
        <v>115</v>
      </c>
      <c r="U42" s="80"/>
      <c r="V42" s="575" t="s">
        <v>711</v>
      </c>
      <c r="W42" s="99">
        <v>293</v>
      </c>
      <c r="X42" s="575" t="s">
        <v>883</v>
      </c>
      <c r="Y42" s="575" t="s">
        <v>75</v>
      </c>
      <c r="Z42" s="15"/>
      <c r="AA42" s="22"/>
      <c r="AD42" s="33" t="str">
        <f>C42&amp;F42</f>
        <v>BrazilLC bn</v>
      </c>
    </row>
    <row r="43" spans="1:30" ht="92.15" customHeight="1">
      <c r="A43" s="638"/>
      <c r="B43" s="638"/>
      <c r="C43" s="660"/>
      <c r="D43" s="629"/>
      <c r="E43" s="6"/>
      <c r="F43" s="32" t="s">
        <v>116</v>
      </c>
      <c r="G43" s="81" t="e">
        <f>G42/VLOOKUP(C42,#REF!,7,0)</f>
        <v>#REF!</v>
      </c>
      <c r="H43" s="81" t="e">
        <f>H42/VLOOKUP($C42,#REF!,7,0)</f>
        <v>#REF!</v>
      </c>
      <c r="I43" s="601"/>
      <c r="J43" s="81" t="e">
        <f>J42/VLOOKUP($C42,#REF!,7,0)</f>
        <v>#REF!</v>
      </c>
      <c r="K43" s="576"/>
      <c r="L43" s="81" t="e">
        <f>L42/VLOOKUP($C42,#REF!,7,0)</f>
        <v>#REF!</v>
      </c>
      <c r="M43" s="576"/>
      <c r="N43" s="6"/>
      <c r="O43" s="32" t="s">
        <v>116</v>
      </c>
      <c r="P43" s="81" t="e">
        <f>P42/VLOOKUP(C42,#REF!,7,0)</f>
        <v>#REF!</v>
      </c>
      <c r="Q43" s="167" t="e">
        <f>Q42/VLOOKUP(C42,#REF!,7,0)</f>
        <v>#REF!</v>
      </c>
      <c r="R43" s="576"/>
      <c r="S43" s="6"/>
      <c r="T43" s="32" t="s">
        <v>116</v>
      </c>
      <c r="U43" s="69"/>
      <c r="V43" s="576"/>
      <c r="W43" s="81" t="e">
        <f>W42/VLOOKUP($C42,#REF!,7,0)</f>
        <v>#REF!</v>
      </c>
      <c r="X43" s="576"/>
      <c r="Y43" s="576"/>
      <c r="AA43" s="27"/>
      <c r="AD43" s="33" t="str">
        <f>C42&amp;F43</f>
        <v>BrazilUSD bn</v>
      </c>
    </row>
    <row r="44" spans="1:30" ht="101.5" customHeight="1">
      <c r="A44" s="638"/>
      <c r="B44" s="638"/>
      <c r="C44" s="661"/>
      <c r="D44" s="630"/>
      <c r="E44" s="6"/>
      <c r="F44" s="32" t="s">
        <v>117</v>
      </c>
      <c r="G44" s="69" t="e">
        <f>(G42/VLOOKUP(C42,#REF!,4,0))*100</f>
        <v>#REF!</v>
      </c>
      <c r="H44" s="17" t="e">
        <f>(H42/VLOOKUP($C42,#REF!,4,0))*100</f>
        <v>#REF!</v>
      </c>
      <c r="I44" s="602"/>
      <c r="J44" s="17" t="e">
        <f>(J42/VLOOKUP($C42,#REF!,4,0))*100</f>
        <v>#REF!</v>
      </c>
      <c r="K44" s="577"/>
      <c r="L44" s="17" t="e">
        <f>(L42/VLOOKUP($C42,#REF!,4,0))*100</f>
        <v>#REF!</v>
      </c>
      <c r="M44" s="577"/>
      <c r="N44" s="6"/>
      <c r="O44" s="32" t="s">
        <v>117</v>
      </c>
      <c r="P44" s="69" t="e">
        <f>(P42/VLOOKUP(C42,#REF!,4,0))*100</f>
        <v>#REF!</v>
      </c>
      <c r="Q44" s="170" t="e">
        <f>(Q42/VLOOKUP(C42,#REF!,4,0))*100</f>
        <v>#REF!</v>
      </c>
      <c r="R44" s="577"/>
      <c r="S44" s="6"/>
      <c r="T44" s="32" t="s">
        <v>117</v>
      </c>
      <c r="U44" s="69"/>
      <c r="V44" s="577"/>
      <c r="W44" s="17" t="e">
        <f>(W42/VLOOKUP($C42,#REF!,4,0))*100</f>
        <v>#REF!</v>
      </c>
      <c r="X44" s="577"/>
      <c r="Y44" s="577"/>
      <c r="AA44" s="27"/>
      <c r="AD44" s="33" t="str">
        <f>C42&amp;F44</f>
        <v>Brazil% GDP</v>
      </c>
    </row>
    <row r="45" spans="1:30" s="13" customFormat="1" ht="110.15" customHeight="1">
      <c r="A45" s="638">
        <v>1</v>
      </c>
      <c r="B45" s="638" t="s">
        <v>861</v>
      </c>
      <c r="C45" s="660" t="s">
        <v>11</v>
      </c>
      <c r="D45" s="629" t="s">
        <v>570</v>
      </c>
      <c r="F45" s="37" t="s">
        <v>115</v>
      </c>
      <c r="G45" s="127">
        <f>H45+J45</f>
        <v>4209</v>
      </c>
      <c r="H45" s="74">
        <v>147</v>
      </c>
      <c r="I45" s="600" t="s">
        <v>618</v>
      </c>
      <c r="J45" s="127">
        <v>4062</v>
      </c>
      <c r="K45" s="581" t="s">
        <v>762</v>
      </c>
      <c r="L45" s="127">
        <v>1600</v>
      </c>
      <c r="M45" s="581" t="s">
        <v>763</v>
      </c>
      <c r="O45" s="37" t="s">
        <v>115</v>
      </c>
      <c r="P45" s="264">
        <f>Q45+U45+W45</f>
        <v>540.35</v>
      </c>
      <c r="Q45" s="175">
        <f>140+0.35</f>
        <v>140.35</v>
      </c>
      <c r="R45" s="575" t="s">
        <v>836</v>
      </c>
      <c r="T45" s="37" t="s">
        <v>115</v>
      </c>
      <c r="U45" s="93">
        <v>400</v>
      </c>
      <c r="V45" s="575" t="s">
        <v>837</v>
      </c>
      <c r="W45" s="141"/>
      <c r="X45" s="581" t="s">
        <v>709</v>
      </c>
      <c r="Y45" s="575" t="s">
        <v>76</v>
      </c>
      <c r="AA45" s="18"/>
      <c r="AD45" s="33" t="str">
        <f>C45&amp;F45</f>
        <v>ChinaLC bn</v>
      </c>
    </row>
    <row r="46" spans="1:30" ht="110.15" customHeight="1">
      <c r="A46" s="638"/>
      <c r="B46" s="638"/>
      <c r="C46" s="660"/>
      <c r="D46" s="629"/>
      <c r="E46" s="6"/>
      <c r="F46" s="32" t="s">
        <v>116</v>
      </c>
      <c r="G46" s="81" t="e">
        <f>G45/VLOOKUP(C45,#REF!,7,0)</f>
        <v>#REF!</v>
      </c>
      <c r="H46" s="81" t="e">
        <f>H45/VLOOKUP($C45,#REF!,7,0)</f>
        <v>#REF!</v>
      </c>
      <c r="I46" s="601"/>
      <c r="J46" s="81" t="e">
        <f>J45/VLOOKUP($C45,#REF!,7,0)</f>
        <v>#REF!</v>
      </c>
      <c r="K46" s="582"/>
      <c r="L46" s="81" t="e">
        <f>L45/VLOOKUP($C45,#REF!,7,0)</f>
        <v>#REF!</v>
      </c>
      <c r="M46" s="582"/>
      <c r="N46" s="6"/>
      <c r="O46" s="32" t="s">
        <v>116</v>
      </c>
      <c r="P46" s="265" t="e">
        <f>Q46+U46+W46</f>
        <v>#REF!</v>
      </c>
      <c r="Q46" s="167" t="e">
        <f>Q45/VLOOKUP(C45,#REF!,7,0)</f>
        <v>#REF!</v>
      </c>
      <c r="R46" s="576"/>
      <c r="S46" s="6"/>
      <c r="T46" s="32" t="s">
        <v>116</v>
      </c>
      <c r="U46" s="81" t="e">
        <f>U45/VLOOKUP(C45,#REF!,7,0)</f>
        <v>#REF!</v>
      </c>
      <c r="V46" s="576"/>
      <c r="W46" s="28"/>
      <c r="X46" s="582"/>
      <c r="Y46" s="576"/>
      <c r="AA46" s="27"/>
      <c r="AD46" s="33" t="str">
        <f>C45&amp;F46</f>
        <v>ChinaUSD bn</v>
      </c>
    </row>
    <row r="47" spans="1:30" ht="110.15" customHeight="1">
      <c r="A47" s="638"/>
      <c r="B47" s="638"/>
      <c r="C47" s="661"/>
      <c r="D47" s="630"/>
      <c r="E47" s="12"/>
      <c r="F47" s="31" t="s">
        <v>117</v>
      </c>
      <c r="G47" s="17" t="e">
        <f>(G45/VLOOKUP(C45,#REF!,4,0))*100</f>
        <v>#REF!</v>
      </c>
      <c r="H47" s="17" t="e">
        <f>(H45/VLOOKUP($C45,#REF!,4,0))*100</f>
        <v>#REF!</v>
      </c>
      <c r="I47" s="602"/>
      <c r="J47" s="17" t="e">
        <f>(J45/VLOOKUP($C45,#REF!,4,0))*100</f>
        <v>#REF!</v>
      </c>
      <c r="K47" s="583"/>
      <c r="L47" s="17" t="e">
        <f>(L45/VLOOKUP($C45,#REF!,4,0))*100</f>
        <v>#REF!</v>
      </c>
      <c r="M47" s="583"/>
      <c r="N47" s="12"/>
      <c r="O47" s="31" t="s">
        <v>117</v>
      </c>
      <c r="P47" s="267" t="e">
        <f t="shared" ref="P47" si="3">Q47+U47+W47</f>
        <v>#REF!</v>
      </c>
      <c r="Q47" s="168" t="e">
        <f>(Q45/VLOOKUP(C45,#REF!,4,0))*100</f>
        <v>#REF!</v>
      </c>
      <c r="R47" s="577"/>
      <c r="S47" s="12"/>
      <c r="T47" s="31" t="s">
        <v>117</v>
      </c>
      <c r="U47" s="17" t="e">
        <f>(U45/VLOOKUP(C45,#REF!,4,0))*100</f>
        <v>#REF!</v>
      </c>
      <c r="V47" s="577"/>
      <c r="W47" s="28"/>
      <c r="X47" s="583"/>
      <c r="Y47" s="576"/>
      <c r="AA47" s="27"/>
      <c r="AD47" s="33" t="str">
        <f>C45&amp;F47</f>
        <v>China% GDP</v>
      </c>
    </row>
    <row r="48" spans="1:30" s="13" customFormat="1" ht="61" customHeight="1">
      <c r="A48" s="638">
        <v>1</v>
      </c>
      <c r="B48" s="638" t="s">
        <v>861</v>
      </c>
      <c r="C48" s="632" t="s">
        <v>12</v>
      </c>
      <c r="D48" s="629" t="s">
        <v>571</v>
      </c>
      <c r="F48" s="37" t="s">
        <v>115</v>
      </c>
      <c r="G48" s="127">
        <v>2442.5</v>
      </c>
      <c r="H48" s="74">
        <v>150</v>
      </c>
      <c r="I48" s="575" t="s">
        <v>802</v>
      </c>
      <c r="J48" s="127">
        <f>2292.5</f>
        <v>2292.5</v>
      </c>
      <c r="K48" s="581" t="s">
        <v>838</v>
      </c>
      <c r="L48" s="74">
        <v>680</v>
      </c>
      <c r="M48" s="581" t="s">
        <v>839</v>
      </c>
      <c r="O48" s="37" t="s">
        <v>115</v>
      </c>
      <c r="P48" s="127">
        <f>Q48+U48+W48</f>
        <v>9931</v>
      </c>
      <c r="Q48" s="74">
        <v>500</v>
      </c>
      <c r="R48" s="575" t="s">
        <v>620</v>
      </c>
      <c r="T48" s="37" t="s">
        <v>115</v>
      </c>
      <c r="U48" s="126">
        <v>8531</v>
      </c>
      <c r="V48" s="581" t="s">
        <v>840</v>
      </c>
      <c r="W48" s="74">
        <v>900</v>
      </c>
      <c r="X48" s="575" t="s">
        <v>619</v>
      </c>
      <c r="Y48" s="18"/>
      <c r="AA48" s="605" t="s">
        <v>57</v>
      </c>
      <c r="AD48" s="33" t="str">
        <f>C48&amp;F48</f>
        <v>IndiaLC bn</v>
      </c>
    </row>
    <row r="49" spans="1:30" s="10" customFormat="1" ht="60.65" customHeight="1">
      <c r="A49" s="638"/>
      <c r="B49" s="638"/>
      <c r="C49" s="632"/>
      <c r="D49" s="629"/>
      <c r="F49" s="32" t="s">
        <v>116</v>
      </c>
      <c r="G49" s="81" t="e">
        <f>G48/VLOOKUP(C48,#REF!,7,0)</f>
        <v>#REF!</v>
      </c>
      <c r="H49" s="69" t="e">
        <f>H48/VLOOKUP($C48,#REF!,7,0)</f>
        <v>#REF!</v>
      </c>
      <c r="I49" s="576"/>
      <c r="J49" s="81" t="e">
        <f>J48/VLOOKUP($C48,#REF!,7,0)</f>
        <v>#REF!</v>
      </c>
      <c r="K49" s="582"/>
      <c r="L49" s="69" t="e">
        <f>L48/VLOOKUP($C48,#REF!,7,0)</f>
        <v>#REF!</v>
      </c>
      <c r="M49" s="582"/>
      <c r="O49" s="32" t="s">
        <v>116</v>
      </c>
      <c r="P49" s="167" t="e">
        <f>P48/VLOOKUP($C48,#REF!,7,0)</f>
        <v>#REF!</v>
      </c>
      <c r="Q49" s="170" t="e">
        <f>Q48/VLOOKUP($C48,#REF!,7,0)</f>
        <v>#REF!</v>
      </c>
      <c r="R49" s="576"/>
      <c r="T49" s="32" t="s">
        <v>116</v>
      </c>
      <c r="U49" s="167" t="e">
        <f>U48/VLOOKUP($C48,#REF!,7,0)</f>
        <v>#REF!</v>
      </c>
      <c r="V49" s="582"/>
      <c r="W49" s="167" t="e">
        <f>W48/VLOOKUP($C48,#REF!,7,0)</f>
        <v>#REF!</v>
      </c>
      <c r="X49" s="576"/>
      <c r="Y49" s="28"/>
      <c r="AA49" s="606"/>
      <c r="AD49" s="33" t="str">
        <f>C48&amp;F49</f>
        <v>IndiaUSD bn</v>
      </c>
    </row>
    <row r="50" spans="1:30" ht="103" customHeight="1">
      <c r="A50" s="638"/>
      <c r="B50" s="638"/>
      <c r="C50" s="633"/>
      <c r="D50" s="630"/>
      <c r="E50" s="6"/>
      <c r="F50" s="32" t="s">
        <v>117</v>
      </c>
      <c r="G50" s="69" t="e">
        <f>(G48/VLOOKUP(C48,#REF!,4,0))*100</f>
        <v>#REF!</v>
      </c>
      <c r="H50" s="121" t="e">
        <f>(H48/VLOOKUP($C48,#REF!,4,0))*100</f>
        <v>#REF!</v>
      </c>
      <c r="I50" s="577"/>
      <c r="J50" s="121" t="e">
        <f>(J48/VLOOKUP($C48,#REF!,4,0))*100</f>
        <v>#REF!</v>
      </c>
      <c r="K50" s="583"/>
      <c r="L50" s="121" t="e">
        <f>(L48/VLOOKUP($C48,#REF!,4,0))*100</f>
        <v>#REF!</v>
      </c>
      <c r="M50" s="583"/>
      <c r="N50" s="6"/>
      <c r="O50" s="32" t="s">
        <v>117</v>
      </c>
      <c r="P50" s="121" t="e">
        <f>(P48/VLOOKUP($C48,#REF!,4,0))*100</f>
        <v>#REF!</v>
      </c>
      <c r="Q50" s="121" t="e">
        <f>(Q48/VLOOKUP($C48,#REF!,4,0))*100</f>
        <v>#REF!</v>
      </c>
      <c r="R50" s="577"/>
      <c r="S50" s="6"/>
      <c r="T50" s="32" t="s">
        <v>117</v>
      </c>
      <c r="U50" s="121" t="e">
        <f>(U48/VLOOKUP($C48,#REF!,4,0))*100</f>
        <v>#REF!</v>
      </c>
      <c r="V50" s="583"/>
      <c r="W50" s="121" t="e">
        <f>(W48/VLOOKUP($C48,#REF!,4,0))*100</f>
        <v>#REF!</v>
      </c>
      <c r="X50" s="577"/>
      <c r="Y50" s="28"/>
      <c r="AA50" s="607"/>
      <c r="AD50" s="33" t="str">
        <f>C48&amp;F50</f>
        <v>India% GDP</v>
      </c>
    </row>
    <row r="51" spans="1:30" s="13" customFormat="1" ht="73.5" customHeight="1">
      <c r="A51" s="638">
        <v>1</v>
      </c>
      <c r="B51" s="638" t="s">
        <v>861</v>
      </c>
      <c r="C51" s="632" t="s">
        <v>13</v>
      </c>
      <c r="D51" s="629" t="s">
        <v>571</v>
      </c>
      <c r="F51" s="37" t="s">
        <v>115</v>
      </c>
      <c r="G51" s="127">
        <f>H51+J51</f>
        <v>394600</v>
      </c>
      <c r="H51" s="259">
        <v>76000</v>
      </c>
      <c r="I51" s="575" t="s">
        <v>841</v>
      </c>
      <c r="J51" s="259">
        <f>222300+96300</f>
        <v>318600</v>
      </c>
      <c r="K51" s="575" t="s">
        <v>842</v>
      </c>
      <c r="L51" s="140"/>
      <c r="M51" s="581" t="s">
        <v>625</v>
      </c>
      <c r="O51" s="37" t="s">
        <v>115</v>
      </c>
      <c r="P51" s="260">
        <v>185200</v>
      </c>
      <c r="Q51" s="183">
        <v>35200</v>
      </c>
      <c r="R51" s="575" t="s">
        <v>660</v>
      </c>
      <c r="T51" s="37" t="s">
        <v>115</v>
      </c>
      <c r="U51" s="183">
        <v>150000</v>
      </c>
      <c r="V51" s="581" t="s">
        <v>894</v>
      </c>
      <c r="W51" s="278"/>
      <c r="X51" s="140"/>
      <c r="Y51" s="18"/>
      <c r="AA51" s="18"/>
      <c r="AD51" s="33" t="str">
        <f>C51&amp;F51</f>
        <v>IndonesiaLC bn</v>
      </c>
    </row>
    <row r="52" spans="1:30" s="10" customFormat="1" ht="100" customHeight="1">
      <c r="A52" s="638"/>
      <c r="B52" s="638"/>
      <c r="C52" s="632"/>
      <c r="D52" s="629"/>
      <c r="F52" s="32" t="s">
        <v>116</v>
      </c>
      <c r="G52" s="81" t="e">
        <f>G51/VLOOKUP(C51,#REF!,7,0)</f>
        <v>#REF!</v>
      </c>
      <c r="H52" s="69" t="e">
        <f>H51/VLOOKUP($C51,#REF!,7,0)</f>
        <v>#REF!</v>
      </c>
      <c r="I52" s="576"/>
      <c r="J52" s="254" t="e">
        <f>J51/VLOOKUP($C51,#REF!,7,0)</f>
        <v>#REF!</v>
      </c>
      <c r="K52" s="576"/>
      <c r="L52" s="186"/>
      <c r="M52" s="582"/>
      <c r="O52" s="32" t="s">
        <v>116</v>
      </c>
      <c r="P52" s="81" t="e">
        <f>P51/VLOOKUP($C51,#REF!,7,0)</f>
        <v>#REF!</v>
      </c>
      <c r="Q52" s="180" t="e">
        <f>Q51/VLOOKUP($C51,#REF!,7,0)</f>
        <v>#REF!</v>
      </c>
      <c r="R52" s="652"/>
      <c r="T52" s="32" t="s">
        <v>116</v>
      </c>
      <c r="U52" s="173" t="e">
        <f>U51/VLOOKUP($C51,#REF!,7,0)</f>
        <v>#REF!</v>
      </c>
      <c r="V52" s="582"/>
      <c r="W52" s="279"/>
      <c r="X52" s="29"/>
      <c r="Y52" s="28"/>
      <c r="AA52" s="28"/>
      <c r="AD52" s="33" t="str">
        <f>C51&amp;F52</f>
        <v>IndonesiaUSD bn</v>
      </c>
    </row>
    <row r="53" spans="1:30" s="2" customFormat="1" ht="121.5" customHeight="1">
      <c r="A53" s="638"/>
      <c r="B53" s="638"/>
      <c r="C53" s="633"/>
      <c r="D53" s="630"/>
      <c r="E53" s="12"/>
      <c r="F53" s="31" t="s">
        <v>117</v>
      </c>
      <c r="G53" s="17" t="e">
        <f>(G51/VLOOKUP(C51,#REF!,4,0))*100</f>
        <v>#REF!</v>
      </c>
      <c r="H53" s="17" t="e">
        <f>(H51/VLOOKUP($C51,#REF!,4,0))*100</f>
        <v>#REF!</v>
      </c>
      <c r="I53" s="577"/>
      <c r="J53" s="121" t="e">
        <f>(J51/VLOOKUP($C51,#REF!,4,0))*100</f>
        <v>#REF!</v>
      </c>
      <c r="K53" s="577"/>
      <c r="L53" s="187"/>
      <c r="M53" s="583"/>
      <c r="N53" s="12"/>
      <c r="O53" s="31" t="s">
        <v>117</v>
      </c>
      <c r="P53" s="17" t="e">
        <f>(P51/VLOOKUP($C51,#REF!,4,0))*100</f>
        <v>#REF!</v>
      </c>
      <c r="Q53" s="174" t="e">
        <f>(Q51/VLOOKUP($C51,#REF!,4,0))*100</f>
        <v>#REF!</v>
      </c>
      <c r="R53" s="653"/>
      <c r="S53" s="12"/>
      <c r="T53" s="31" t="s">
        <v>117</v>
      </c>
      <c r="U53" s="174" t="e">
        <f>(U51/VLOOKUP($C51,#REF!,4,0))*100</f>
        <v>#REF!</v>
      </c>
      <c r="V53" s="583"/>
      <c r="W53" s="280"/>
      <c r="X53" s="187"/>
      <c r="Y53" s="132" t="s">
        <v>296</v>
      </c>
      <c r="Z53" s="1"/>
      <c r="AA53" s="26"/>
      <c r="AD53" s="33" t="str">
        <f>C51&amp;F53</f>
        <v>Indonesia% GDP</v>
      </c>
    </row>
    <row r="54" spans="1:30" s="36" customFormat="1" ht="60" customHeight="1">
      <c r="A54" s="638">
        <v>1</v>
      </c>
      <c r="B54" s="638" t="s">
        <v>861</v>
      </c>
      <c r="C54" s="632" t="s">
        <v>14</v>
      </c>
      <c r="D54" s="629" t="s">
        <v>572</v>
      </c>
      <c r="F54" s="32" t="s">
        <v>115</v>
      </c>
      <c r="G54" s="95">
        <f>H54+J54</f>
        <v>147.30000000000001</v>
      </c>
      <c r="H54" s="75">
        <v>40</v>
      </c>
      <c r="I54" s="600" t="s">
        <v>864</v>
      </c>
      <c r="J54" s="95">
        <v>107.3</v>
      </c>
      <c r="K54" s="651" t="s">
        <v>867</v>
      </c>
      <c r="L54" s="95">
        <v>46.4</v>
      </c>
      <c r="M54" s="581" t="s">
        <v>865</v>
      </c>
      <c r="O54" s="32" t="s">
        <v>115</v>
      </c>
      <c r="P54" s="95">
        <f>SUM(Q54,U54,W54)</f>
        <v>103</v>
      </c>
      <c r="Q54" s="166">
        <v>38</v>
      </c>
      <c r="R54" s="575" t="s">
        <v>866</v>
      </c>
      <c r="T54" s="32" t="s">
        <v>115</v>
      </c>
      <c r="U54" s="56"/>
      <c r="V54" s="28"/>
      <c r="W54" s="166">
        <v>65</v>
      </c>
      <c r="X54" s="575" t="s">
        <v>573</v>
      </c>
      <c r="Y54" s="575" t="s">
        <v>77</v>
      </c>
      <c r="AA54" s="668" t="s">
        <v>868</v>
      </c>
      <c r="AD54" s="33" t="str">
        <f>C54&amp;F54</f>
        <v>MexicoLC bn</v>
      </c>
    </row>
    <row r="55" spans="1:30" s="36" customFormat="1" ht="60" customHeight="1">
      <c r="A55" s="638"/>
      <c r="B55" s="638"/>
      <c r="C55" s="632"/>
      <c r="D55" s="629"/>
      <c r="F55" s="32" t="s">
        <v>116</v>
      </c>
      <c r="G55" s="69" t="e">
        <f>G54/VLOOKUP(C54,#REF!,7,0)</f>
        <v>#REF!</v>
      </c>
      <c r="H55" s="69" t="e">
        <f>H54/VLOOKUP($C54,#REF!,7,0)</f>
        <v>#REF!</v>
      </c>
      <c r="I55" s="601"/>
      <c r="J55" s="69" t="e">
        <f>J54/VLOOKUP($C54,#REF!,7,0)</f>
        <v>#REF!</v>
      </c>
      <c r="K55" s="582"/>
      <c r="L55" s="69" t="e">
        <f>L54/VLOOKUP($C54,#REF!,7,0)</f>
        <v>#REF!</v>
      </c>
      <c r="M55" s="582"/>
      <c r="O55" s="32" t="s">
        <v>116</v>
      </c>
      <c r="P55" s="69" t="e">
        <f>P54/VLOOKUP($C54,#REF!,7,0)</f>
        <v>#REF!</v>
      </c>
      <c r="Q55" s="69" t="e">
        <f>Q54/VLOOKUP($C54,#REF!,7,0)</f>
        <v>#REF!</v>
      </c>
      <c r="R55" s="576"/>
      <c r="T55" s="32" t="s">
        <v>116</v>
      </c>
      <c r="U55" s="56"/>
      <c r="V55" s="28"/>
      <c r="W55" s="69" t="e">
        <f>W54/VLOOKUP($C54,#REF!,7,0)</f>
        <v>#REF!</v>
      </c>
      <c r="X55" s="576"/>
      <c r="Y55" s="576"/>
      <c r="AA55" s="655"/>
      <c r="AD55" s="33" t="str">
        <f>C54&amp;F55</f>
        <v>MexicoUSD bn</v>
      </c>
    </row>
    <row r="56" spans="1:30" s="4" customFormat="1" ht="60" customHeight="1">
      <c r="A56" s="638"/>
      <c r="B56" s="638"/>
      <c r="C56" s="633"/>
      <c r="D56" s="630"/>
      <c r="F56" s="31" t="s">
        <v>117</v>
      </c>
      <c r="G56" s="17" t="e">
        <f>(G54/VLOOKUP(C54,#REF!,4,0))*100</f>
        <v>#REF!</v>
      </c>
      <c r="H56" s="17" t="e">
        <f>(H54/VLOOKUP($C54,#REF!,4,0))*100</f>
        <v>#REF!</v>
      </c>
      <c r="I56" s="602"/>
      <c r="J56" s="17" t="e">
        <f>(J54/VLOOKUP($C54,#REF!,4,0))*100</f>
        <v>#REF!</v>
      </c>
      <c r="K56" s="583"/>
      <c r="L56" s="17" t="e">
        <f>(L54/VLOOKUP($C54,#REF!,4,0))*100</f>
        <v>#REF!</v>
      </c>
      <c r="M56" s="583"/>
      <c r="O56" s="31" t="s">
        <v>117</v>
      </c>
      <c r="P56" s="17" t="e">
        <f>(P54/VLOOKUP($C54,#REF!,4,0))*100</f>
        <v>#REF!</v>
      </c>
      <c r="Q56" s="17" t="e">
        <f>(Q54/VLOOKUP($C54,#REF!,4,0))*100</f>
        <v>#REF!</v>
      </c>
      <c r="R56" s="577"/>
      <c r="T56" s="31" t="s">
        <v>117</v>
      </c>
      <c r="U56" s="68"/>
      <c r="V56" s="19"/>
      <c r="W56" s="17" t="e">
        <f>(W54/VLOOKUP($C54,#REF!,4,0))*100</f>
        <v>#REF!</v>
      </c>
      <c r="X56" s="577"/>
      <c r="Y56" s="577"/>
      <c r="AA56" s="656"/>
      <c r="AD56" s="33" t="str">
        <f>C54&amp;F56</f>
        <v>Mexico% GDP</v>
      </c>
    </row>
    <row r="57" spans="1:30" s="10" customFormat="1" ht="99.65" customHeight="1">
      <c r="A57" s="638">
        <v>1</v>
      </c>
      <c r="B57" s="638" t="s">
        <v>861</v>
      </c>
      <c r="C57" s="632" t="s">
        <v>15</v>
      </c>
      <c r="D57" s="629" t="s">
        <v>571</v>
      </c>
      <c r="E57" s="13"/>
      <c r="F57" s="32" t="s">
        <v>115</v>
      </c>
      <c r="G57" s="127">
        <v>1882</v>
      </c>
      <c r="H57" s="74">
        <v>232</v>
      </c>
      <c r="I57" s="575" t="s">
        <v>803</v>
      </c>
      <c r="J57" s="127">
        <v>1650</v>
      </c>
      <c r="K57" s="581" t="s">
        <v>804</v>
      </c>
      <c r="L57" s="74">
        <v>432</v>
      </c>
      <c r="M57" s="575" t="s">
        <v>805</v>
      </c>
      <c r="N57" s="13"/>
      <c r="O57" s="32" t="s">
        <v>115</v>
      </c>
      <c r="P57" s="93">
        <f>Q57+U57+W57</f>
        <v>1070</v>
      </c>
      <c r="Q57" s="166">
        <v>70</v>
      </c>
      <c r="R57" s="575" t="s">
        <v>574</v>
      </c>
      <c r="S57" s="13"/>
      <c r="T57" s="32" t="s">
        <v>115</v>
      </c>
      <c r="U57" s="95">
        <v>500</v>
      </c>
      <c r="V57" s="575" t="s">
        <v>768</v>
      </c>
      <c r="W57" s="189">
        <v>500</v>
      </c>
      <c r="X57" s="581" t="s">
        <v>806</v>
      </c>
      <c r="Y57" s="18"/>
      <c r="Z57" s="13"/>
      <c r="AA57" s="18"/>
      <c r="AD57" s="33" t="str">
        <f>C57&amp;F57</f>
        <v>RussiaLC bn</v>
      </c>
    </row>
    <row r="58" spans="1:30" s="10" customFormat="1" ht="140.15" customHeight="1">
      <c r="A58" s="638"/>
      <c r="B58" s="638"/>
      <c r="C58" s="632"/>
      <c r="D58" s="629"/>
      <c r="F58" s="32" t="s">
        <v>116</v>
      </c>
      <c r="G58" s="81" t="e">
        <f>G57/VLOOKUP(C57,#REF!,7,0)</f>
        <v>#REF!</v>
      </c>
      <c r="H58" s="56" t="e">
        <f>H57/VLOOKUP(C57,#REF!,7,0)</f>
        <v>#REF!</v>
      </c>
      <c r="I58" s="576"/>
      <c r="J58" s="254" t="e">
        <f>J57/VLOOKUP($C57,#REF!,7,0)</f>
        <v>#REF!</v>
      </c>
      <c r="K58" s="582"/>
      <c r="L58" s="120" t="e">
        <f>L57/VLOOKUP($C57,#REF!,7,0)</f>
        <v>#REF!</v>
      </c>
      <c r="M58" s="576"/>
      <c r="O58" s="32" t="s">
        <v>116</v>
      </c>
      <c r="P58" s="81" t="e">
        <f>P57/VLOOKUP($C57,#REF!,7,0)</f>
        <v>#REF!</v>
      </c>
      <c r="Q58" s="69" t="e">
        <f>Q57/VLOOKUP($C57,#REF!,7,0)</f>
        <v>#REF!</v>
      </c>
      <c r="R58" s="576"/>
      <c r="T58" s="32" t="s">
        <v>116</v>
      </c>
      <c r="U58" s="69" t="e">
        <f>U57/VLOOKUP($C57,#REF!,7,0)</f>
        <v>#REF!</v>
      </c>
      <c r="V58" s="576"/>
      <c r="W58" s="69" t="e">
        <f>W57/VLOOKUP($C57,#REF!,7,0)</f>
        <v>#REF!</v>
      </c>
      <c r="X58" s="582"/>
      <c r="Y58" s="28"/>
      <c r="AA58" s="28"/>
      <c r="AD58" s="33" t="str">
        <f>C57&amp;F58</f>
        <v>RussiaUSD bn</v>
      </c>
    </row>
    <row r="59" spans="1:30" ht="140.15" customHeight="1">
      <c r="A59" s="638"/>
      <c r="B59" s="638"/>
      <c r="C59" s="633"/>
      <c r="D59" s="630"/>
      <c r="E59" s="6"/>
      <c r="F59" s="32" t="s">
        <v>117</v>
      </c>
      <c r="G59" s="69" t="e">
        <f>(G57/VLOOKUP(C57,#REF!,4,0))*100</f>
        <v>#REF!</v>
      </c>
      <c r="H59" s="263" t="e">
        <f>(H57/VLOOKUP(C57,#REF!,4,0))*100</f>
        <v>#REF!</v>
      </c>
      <c r="I59" s="577"/>
      <c r="J59" s="121" t="e">
        <f>(J57/VLOOKUP($C57,#REF!,4,0))*100</f>
        <v>#REF!</v>
      </c>
      <c r="K59" s="583"/>
      <c r="L59" s="121" t="e">
        <f>(L57/VLOOKUP($C57,#REF!,4,0))*100</f>
        <v>#REF!</v>
      </c>
      <c r="M59" s="577"/>
      <c r="N59" s="6"/>
      <c r="O59" s="32" t="s">
        <v>117</v>
      </c>
      <c r="P59" s="17" t="e">
        <f>P57/VLOOKUP($C57,#REF!,4,0)*100</f>
        <v>#REF!</v>
      </c>
      <c r="Q59" s="17" t="e">
        <f>Q57/VLOOKUP($C57,#REF!,4,0)*100</f>
        <v>#REF!</v>
      </c>
      <c r="R59" s="577"/>
      <c r="S59" s="6"/>
      <c r="T59" s="32" t="s">
        <v>117</v>
      </c>
      <c r="U59" s="17" t="e">
        <f>(U57/VLOOKUP($C57,#REF!,4,0))*100</f>
        <v>#REF!</v>
      </c>
      <c r="V59" s="577"/>
      <c r="W59" s="17" t="e">
        <f>(W57/VLOOKUP($C57,#REF!,4,0))*100</f>
        <v>#REF!</v>
      </c>
      <c r="X59" s="583"/>
      <c r="Y59" s="28"/>
      <c r="AA59" s="27"/>
      <c r="AD59" s="33" t="str">
        <f>C57&amp;F59</f>
        <v>Russia% GDP</v>
      </c>
    </row>
    <row r="60" spans="1:30" s="13" customFormat="1" ht="39.65" customHeight="1">
      <c r="A60" s="638">
        <v>1</v>
      </c>
      <c r="B60" s="638" t="s">
        <v>861</v>
      </c>
      <c r="C60" s="632" t="s">
        <v>16</v>
      </c>
      <c r="D60" s="629" t="s">
        <v>570</v>
      </c>
      <c r="F60" s="37" t="s">
        <v>115</v>
      </c>
      <c r="G60" s="93">
        <v>56.9</v>
      </c>
      <c r="H60" s="74">
        <v>47</v>
      </c>
      <c r="I60" s="575" t="s">
        <v>849</v>
      </c>
      <c r="J60" s="53">
        <v>9.9</v>
      </c>
      <c r="K60" s="575" t="s">
        <v>843</v>
      </c>
      <c r="L60" s="74">
        <v>48</v>
      </c>
      <c r="M60" s="575" t="s">
        <v>624</v>
      </c>
      <c r="O60" s="37" t="s">
        <v>115</v>
      </c>
      <c r="P60" s="264">
        <f t="shared" ref="P60:P62" si="4">Q60+U60+W60</f>
        <v>22</v>
      </c>
      <c r="Q60" s="175">
        <v>22</v>
      </c>
      <c r="R60" s="575" t="s">
        <v>739</v>
      </c>
      <c r="T60" s="37" t="s">
        <v>115</v>
      </c>
      <c r="U60" s="53"/>
      <c r="V60" s="18"/>
      <c r="W60" s="18"/>
      <c r="X60" s="18"/>
      <c r="Y60" s="18"/>
      <c r="AA60" s="605" t="s">
        <v>59</v>
      </c>
      <c r="AD60" s="33" t="str">
        <f>C60&amp;F60</f>
        <v>Saudi ArabiaLC bn</v>
      </c>
    </row>
    <row r="61" spans="1:30" s="10" customFormat="1" ht="50.15" customHeight="1">
      <c r="A61" s="638"/>
      <c r="B61" s="638"/>
      <c r="C61" s="632"/>
      <c r="D61" s="629"/>
      <c r="F61" s="32" t="s">
        <v>116</v>
      </c>
      <c r="G61" s="81" t="e">
        <f>G60/#REF!</f>
        <v>#REF!</v>
      </c>
      <c r="H61" s="81" t="e">
        <f>H60/VLOOKUP($C60,#REF!,7,0)</f>
        <v>#REF!</v>
      </c>
      <c r="I61" s="576"/>
      <c r="J61" s="69" t="e">
        <f>J60/VLOOKUP($C60,#REF!,7,0)</f>
        <v>#REF!</v>
      </c>
      <c r="K61" s="576"/>
      <c r="L61" s="81" t="e">
        <f>L60/VLOOKUP($C60,#REF!,7,0)</f>
        <v>#REF!</v>
      </c>
      <c r="M61" s="576"/>
      <c r="O61" s="32" t="s">
        <v>116</v>
      </c>
      <c r="P61" s="248" t="e">
        <f t="shared" si="4"/>
        <v>#REF!</v>
      </c>
      <c r="Q61" s="170" t="e">
        <f>Q60/VLOOKUP(C60,#REF!,7,0)</f>
        <v>#REF!</v>
      </c>
      <c r="R61" s="576"/>
      <c r="T61" s="32" t="s">
        <v>116</v>
      </c>
      <c r="U61" s="56"/>
      <c r="V61" s="28"/>
      <c r="W61" s="28"/>
      <c r="X61" s="28"/>
      <c r="Y61" s="28"/>
      <c r="AA61" s="606"/>
      <c r="AD61" s="33" t="str">
        <f>C60&amp;F61</f>
        <v>Saudi ArabiaUSD bn</v>
      </c>
    </row>
    <row r="62" spans="1:30" ht="38.5" customHeight="1">
      <c r="A62" s="638"/>
      <c r="B62" s="638"/>
      <c r="C62" s="633"/>
      <c r="D62" s="630"/>
      <c r="E62" s="12"/>
      <c r="F62" s="31" t="s">
        <v>117</v>
      </c>
      <c r="G62" s="17" t="e">
        <f>G60/#REF!*100</f>
        <v>#REF!</v>
      </c>
      <c r="H62" s="17" t="e">
        <f>(H60/VLOOKUP($C60,#REF!,4,0))*100</f>
        <v>#REF!</v>
      </c>
      <c r="I62" s="577"/>
      <c r="J62" s="17" t="e">
        <f>(J60/VLOOKUP($C60,#REF!,4,0))*100</f>
        <v>#REF!</v>
      </c>
      <c r="K62" s="577"/>
      <c r="L62" s="17" t="e">
        <f>(L60/VLOOKUP($C60,#REF!,4,0))*100</f>
        <v>#REF!</v>
      </c>
      <c r="M62" s="577"/>
      <c r="N62" s="12"/>
      <c r="O62" s="31" t="s">
        <v>117</v>
      </c>
      <c r="P62" s="267" t="e">
        <f t="shared" si="4"/>
        <v>#REF!</v>
      </c>
      <c r="Q62" s="168" t="e">
        <f>(Q60/VLOOKUP(C60,#REF!,4,0))*100</f>
        <v>#REF!</v>
      </c>
      <c r="R62" s="577"/>
      <c r="S62" s="12"/>
      <c r="T62" s="31" t="s">
        <v>117</v>
      </c>
      <c r="U62" s="17"/>
      <c r="V62" s="19"/>
      <c r="W62" s="19"/>
      <c r="X62" s="19"/>
      <c r="Y62" s="19"/>
      <c r="Z62" s="1"/>
      <c r="AA62" s="26"/>
      <c r="AD62" s="33" t="str">
        <f>C60&amp;F62</f>
        <v>Saudi Arabia% GDP</v>
      </c>
    </row>
    <row r="63" spans="1:30" s="10" customFormat="1" ht="61" customHeight="1">
      <c r="A63" s="638">
        <v>1</v>
      </c>
      <c r="B63" s="638" t="s">
        <v>861</v>
      </c>
      <c r="C63" s="632" t="s">
        <v>17</v>
      </c>
      <c r="D63" s="629" t="s">
        <v>570</v>
      </c>
      <c r="E63" s="13"/>
      <c r="F63" s="32" t="s">
        <v>115</v>
      </c>
      <c r="G63" s="93">
        <f>H63+J63</f>
        <v>257</v>
      </c>
      <c r="H63" s="93">
        <v>20</v>
      </c>
      <c r="I63" s="575" t="s">
        <v>844</v>
      </c>
      <c r="J63" s="93">
        <v>237</v>
      </c>
      <c r="K63" s="581" t="s">
        <v>845</v>
      </c>
      <c r="L63" s="93">
        <v>44</v>
      </c>
      <c r="M63" s="581" t="s">
        <v>846</v>
      </c>
      <c r="N63" s="13"/>
      <c r="O63" s="32" t="s">
        <v>115</v>
      </c>
      <c r="P63" s="93">
        <f>SUM(Q63,U63,W63)</f>
        <v>203</v>
      </c>
      <c r="Q63" s="175"/>
      <c r="R63" s="575"/>
      <c r="S63" s="13"/>
      <c r="T63" s="32" t="s">
        <v>115</v>
      </c>
      <c r="U63" s="93">
        <v>200</v>
      </c>
      <c r="V63" s="581" t="s">
        <v>847</v>
      </c>
      <c r="W63" s="53">
        <v>3</v>
      </c>
      <c r="X63" s="581" t="s">
        <v>575</v>
      </c>
      <c r="Y63" s="18"/>
      <c r="Z63" s="13"/>
      <c r="AA63" s="18"/>
      <c r="AD63" s="33" t="str">
        <f>C63&amp;F63</f>
        <v>South AfricaLC bn</v>
      </c>
    </row>
    <row r="64" spans="1:30" s="10" customFormat="1" ht="110.15" customHeight="1">
      <c r="A64" s="638"/>
      <c r="B64" s="638"/>
      <c r="C64" s="632"/>
      <c r="D64" s="629"/>
      <c r="F64" s="32" t="s">
        <v>116</v>
      </c>
      <c r="G64" s="81" t="e">
        <f>G63/#REF!</f>
        <v>#REF!</v>
      </c>
      <c r="H64" s="69" t="e">
        <f>H63/VLOOKUP($C63,#REF!,7,0)</f>
        <v>#REF!</v>
      </c>
      <c r="I64" s="576"/>
      <c r="J64" s="254" t="e">
        <f>J63/VLOOKUP($C63,#REF!,7,0)</f>
        <v>#REF!</v>
      </c>
      <c r="K64" s="582"/>
      <c r="L64" s="120" t="e">
        <f>L63/VLOOKUP($C63,#REF!,7,0)</f>
        <v>#REF!</v>
      </c>
      <c r="M64" s="582"/>
      <c r="O64" s="32" t="s">
        <v>116</v>
      </c>
      <c r="P64" s="95" t="e">
        <f>SUM(Q64,U64, W64)</f>
        <v>#REF!</v>
      </c>
      <c r="Q64" s="170"/>
      <c r="R64" s="576"/>
      <c r="T64" s="32" t="s">
        <v>116</v>
      </c>
      <c r="U64" s="95" t="e">
        <f>U63/VLOOKUP(C63,#REF!,7,0)</f>
        <v>#REF!</v>
      </c>
      <c r="V64" s="582"/>
      <c r="W64" s="56" t="e">
        <f>W63/VLOOKUP(C63,#REF!,7,0)</f>
        <v>#REF!</v>
      </c>
      <c r="X64" s="582"/>
      <c r="Y64" s="28"/>
      <c r="AA64" s="28"/>
      <c r="AD64" s="33" t="str">
        <f>C63&amp;F64</f>
        <v>South AfricaUSD bn</v>
      </c>
    </row>
    <row r="65" spans="1:30" ht="118.5" customHeight="1">
      <c r="A65" s="638"/>
      <c r="B65" s="638"/>
      <c r="C65" s="633"/>
      <c r="D65" s="630"/>
      <c r="E65" s="12"/>
      <c r="F65" s="31" t="s">
        <v>117</v>
      </c>
      <c r="G65" s="17" t="e">
        <f>G63/#REF!*100</f>
        <v>#REF!</v>
      </c>
      <c r="H65" s="17" t="e">
        <f>(H63/VLOOKUP($C63,#REF!,4,0))*100</f>
        <v>#REF!</v>
      </c>
      <c r="I65" s="577"/>
      <c r="J65" s="121" t="e">
        <f>(J63/VLOOKUP($C63,#REF!,4,0))*100</f>
        <v>#REF!</v>
      </c>
      <c r="K65" s="583"/>
      <c r="L65" s="121" t="e">
        <f>(L63/VLOOKUP($C63,#REF!,4,0))*100</f>
        <v>#REF!</v>
      </c>
      <c r="M65" s="583"/>
      <c r="N65" s="12"/>
      <c r="O65" s="31" t="s">
        <v>117</v>
      </c>
      <c r="P65" s="17" t="e">
        <f>SUM(Q65,U65, W64)</f>
        <v>#REF!</v>
      </c>
      <c r="Q65" s="168"/>
      <c r="R65" s="577"/>
      <c r="S65" s="12"/>
      <c r="T65" s="31" t="s">
        <v>117</v>
      </c>
      <c r="U65" s="17" t="e">
        <f>(U63/VLOOKUP(C63,#REF!,4,0))*100</f>
        <v>#REF!</v>
      </c>
      <c r="V65" s="583"/>
      <c r="W65" s="68" t="e">
        <f>(W63/VLOOKUP(C63,#REF!,4,0))*100</f>
        <v>#REF!</v>
      </c>
      <c r="X65" s="583"/>
      <c r="Y65" s="19"/>
      <c r="Z65" s="1"/>
      <c r="AA65" s="26"/>
      <c r="AD65" s="33" t="str">
        <f>C63&amp;F65</f>
        <v>South Africa% GDP</v>
      </c>
    </row>
    <row r="66" spans="1:30" s="36" customFormat="1" ht="88.5" customHeight="1">
      <c r="A66" s="638">
        <v>1</v>
      </c>
      <c r="B66" s="638" t="s">
        <v>861</v>
      </c>
      <c r="C66" s="632" t="s">
        <v>18</v>
      </c>
      <c r="D66" s="629" t="s">
        <v>572</v>
      </c>
      <c r="E66" s="14"/>
      <c r="F66" s="32" t="s">
        <v>115</v>
      </c>
      <c r="G66" s="93">
        <f>J66</f>
        <v>11</v>
      </c>
      <c r="H66" s="74"/>
      <c r="I66" s="581"/>
      <c r="J66" s="96">
        <v>11</v>
      </c>
      <c r="K66" s="581" t="s">
        <v>886</v>
      </c>
      <c r="L66" s="96">
        <v>65.900000000000006</v>
      </c>
      <c r="M66" s="581" t="s">
        <v>887</v>
      </c>
      <c r="N66" s="14"/>
      <c r="O66" s="32" t="s">
        <v>115</v>
      </c>
      <c r="P66" s="93">
        <f>Q66+U66+W66</f>
        <v>420.9</v>
      </c>
      <c r="Q66" s="175">
        <v>20</v>
      </c>
      <c r="R66" s="575" t="s">
        <v>848</v>
      </c>
      <c r="S66" s="14"/>
      <c r="T66" s="32" t="s">
        <v>115</v>
      </c>
      <c r="U66" s="93">
        <v>298</v>
      </c>
      <c r="V66" s="575" t="s">
        <v>888</v>
      </c>
      <c r="W66" s="93">
        <v>102.9</v>
      </c>
      <c r="X66" s="575" t="s">
        <v>897</v>
      </c>
      <c r="Y66" s="18"/>
      <c r="Z66" s="14"/>
      <c r="AA66" s="18"/>
      <c r="AD66" s="33" t="str">
        <f>C66&amp;F66</f>
        <v>TurkeyLC bn</v>
      </c>
    </row>
    <row r="67" spans="1:30" s="36" customFormat="1" ht="71.150000000000006" customHeight="1">
      <c r="A67" s="638"/>
      <c r="B67" s="638"/>
      <c r="C67" s="632"/>
      <c r="D67" s="629"/>
      <c r="F67" s="32" t="s">
        <v>116</v>
      </c>
      <c r="G67" s="69" t="e">
        <f>G66/VLOOKUP(C66,#REF!,7,0)</f>
        <v>#REF!</v>
      </c>
      <c r="H67" s="75"/>
      <c r="I67" s="582"/>
      <c r="J67" s="120" t="e">
        <f>J66/VLOOKUP($C66,#REF!,7,0)</f>
        <v>#REF!</v>
      </c>
      <c r="K67" s="582"/>
      <c r="L67" s="120" t="e">
        <f>L66/VLOOKUP($C66,#REF!,7,0)</f>
        <v>#REF!</v>
      </c>
      <c r="M67" s="582"/>
      <c r="O67" s="32" t="s">
        <v>116</v>
      </c>
      <c r="P67" s="254" t="e">
        <f>P66/VLOOKUP($C66,#REF!,7,0)</f>
        <v>#REF!</v>
      </c>
      <c r="Q67" s="120" t="e">
        <f>Q66/VLOOKUP($C66,#REF!,7,0)</f>
        <v>#REF!</v>
      </c>
      <c r="R67" s="576"/>
      <c r="T67" s="32" t="s">
        <v>116</v>
      </c>
      <c r="U67" s="81" t="e">
        <f>U66/VLOOKUP(C66,#REF!,7,0)</f>
        <v>#REF!</v>
      </c>
      <c r="V67" s="576"/>
      <c r="W67" s="81" t="e">
        <f>W66/VLOOKUP(C66,#REF!,7,0)</f>
        <v>#REF!</v>
      </c>
      <c r="X67" s="576"/>
      <c r="Y67" s="28"/>
      <c r="AA67" s="28"/>
      <c r="AD67" s="33" t="str">
        <f>C66&amp;F67</f>
        <v>TurkeyUSD bn</v>
      </c>
    </row>
    <row r="68" spans="1:30" ht="100" customHeight="1">
      <c r="A68" s="638"/>
      <c r="B68" s="638"/>
      <c r="C68" s="633"/>
      <c r="D68" s="630"/>
      <c r="E68" s="12"/>
      <c r="F68" s="31" t="s">
        <v>117</v>
      </c>
      <c r="G68" s="17" t="e">
        <f>(G66/VLOOKUP(C66,#REF!,4,0))*100</f>
        <v>#REF!</v>
      </c>
      <c r="H68" s="78"/>
      <c r="I68" s="583"/>
      <c r="J68" s="121" t="e">
        <f>(J66/VLOOKUP($C66,#REF!,4,0))*100</f>
        <v>#REF!</v>
      </c>
      <c r="K68" s="583"/>
      <c r="L68" s="121" t="e">
        <f>(L66/VLOOKUP($C66,#REF!,4,0))*100</f>
        <v>#REF!</v>
      </c>
      <c r="M68" s="583"/>
      <c r="N68" s="12"/>
      <c r="O68" s="31" t="s">
        <v>117</v>
      </c>
      <c r="P68" s="121" t="e">
        <f>(P66/VLOOKUP($C66,#REF!,4,0))*100</f>
        <v>#REF!</v>
      </c>
      <c r="Q68" s="121" t="e">
        <f>(Q66/VLOOKUP($C66,#REF!,4,0))*100</f>
        <v>#REF!</v>
      </c>
      <c r="R68" s="577"/>
      <c r="S68" s="12"/>
      <c r="T68" s="31" t="s">
        <v>117</v>
      </c>
      <c r="U68" s="17" t="e">
        <f>(U66/VLOOKUP(C66,#REF!,4,0))*100</f>
        <v>#REF!</v>
      </c>
      <c r="V68" s="577"/>
      <c r="W68" s="17" t="e">
        <f>(W66/VLOOKUP(C66,#REF!,4,0))*100</f>
        <v>#REF!</v>
      </c>
      <c r="X68" s="577"/>
      <c r="Y68" s="19"/>
      <c r="Z68" s="1"/>
      <c r="AA68" s="26"/>
      <c r="AD68" s="33" t="str">
        <f>C66&amp;F68</f>
        <v>Turkey% GDP</v>
      </c>
    </row>
    <row r="69" spans="1:30" ht="66" customHeight="1">
      <c r="A69" s="638">
        <v>0</v>
      </c>
      <c r="B69" s="638" t="s">
        <v>858</v>
      </c>
      <c r="C69" s="632" t="s">
        <v>547</v>
      </c>
      <c r="D69" s="629" t="s">
        <v>570</v>
      </c>
      <c r="F69" s="32" t="s">
        <v>115</v>
      </c>
      <c r="G69" s="81">
        <v>14.4</v>
      </c>
      <c r="H69" s="69">
        <v>2.1</v>
      </c>
      <c r="I69" s="664" t="s">
        <v>780</v>
      </c>
      <c r="J69" s="81">
        <v>12.3</v>
      </c>
      <c r="K69" s="581" t="s">
        <v>851</v>
      </c>
      <c r="L69" s="71">
        <v>11</v>
      </c>
      <c r="M69" s="575" t="s">
        <v>852</v>
      </c>
      <c r="O69" s="32" t="s">
        <v>115</v>
      </c>
      <c r="P69" s="264">
        <f t="shared" ref="P69:P80" si="5">Q69+U69+W69</f>
        <v>52</v>
      </c>
      <c r="Q69" s="170"/>
      <c r="R69" s="35"/>
      <c r="T69" s="32" t="s">
        <v>115</v>
      </c>
      <c r="U69" s="81">
        <v>52</v>
      </c>
      <c r="V69" s="575" t="s">
        <v>895</v>
      </c>
      <c r="W69" s="35"/>
      <c r="X69" s="35"/>
      <c r="AD69" s="33" t="str">
        <f>C69&amp;F69</f>
        <v>BelgiumLC bn</v>
      </c>
    </row>
    <row r="70" spans="1:30" ht="99.65" customHeight="1">
      <c r="A70" s="638"/>
      <c r="B70" s="638"/>
      <c r="C70" s="632"/>
      <c r="D70" s="629"/>
      <c r="F70" s="32" t="s">
        <v>116</v>
      </c>
      <c r="G70" s="81" t="e">
        <f>G69/VLOOKUP($C69,#REF!,7,0)</f>
        <v>#REF!</v>
      </c>
      <c r="H70" s="69" t="e">
        <f>H69/VLOOKUP($C69,#REF!,7,0)</f>
        <v>#REF!</v>
      </c>
      <c r="I70" s="576"/>
      <c r="J70" s="81" t="e">
        <f>J69/VLOOKUP($C69,#REF!,7,0)</f>
        <v>#REF!</v>
      </c>
      <c r="K70" s="582"/>
      <c r="L70" s="81" t="e">
        <f>L69/VLOOKUP($C69,#REF!,7,0)</f>
        <v>#REF!</v>
      </c>
      <c r="M70" s="576"/>
      <c r="O70" s="32" t="s">
        <v>116</v>
      </c>
      <c r="P70" s="265" t="e">
        <f t="shared" si="5"/>
        <v>#REF!</v>
      </c>
      <c r="Q70" s="81"/>
      <c r="R70" s="35"/>
      <c r="T70" s="32" t="s">
        <v>116</v>
      </c>
      <c r="U70" s="81" t="e">
        <f>U69/VLOOKUP($C69,#REF!,7,0)</f>
        <v>#REF!</v>
      </c>
      <c r="V70" s="576"/>
      <c r="W70" s="35"/>
      <c r="X70" s="35"/>
      <c r="AD70" s="33" t="str">
        <f>C69&amp;F70</f>
        <v>BelgiumUSD bn</v>
      </c>
    </row>
    <row r="71" spans="1:30" ht="169.5" customHeight="1">
      <c r="A71" s="638"/>
      <c r="B71" s="638"/>
      <c r="C71" s="633"/>
      <c r="D71" s="630"/>
      <c r="F71" s="31" t="s">
        <v>117</v>
      </c>
      <c r="G71" s="17" t="e">
        <f>G69/VLOOKUP($C69,#REF!,4,0)*100</f>
        <v>#REF!</v>
      </c>
      <c r="H71" s="17" t="e">
        <f>H69/VLOOKUP($C69,#REF!,4,0)*100</f>
        <v>#REF!</v>
      </c>
      <c r="I71" s="577"/>
      <c r="J71" s="17" t="e">
        <f>J69/VLOOKUP($C69,#REF!,4,0)*100</f>
        <v>#REF!</v>
      </c>
      <c r="K71" s="583"/>
      <c r="L71" s="17" t="e">
        <f>L69/VLOOKUP($C69,#REF!,4,0)*100</f>
        <v>#REF!</v>
      </c>
      <c r="M71" s="577"/>
      <c r="O71" s="31" t="s">
        <v>117</v>
      </c>
      <c r="P71" s="267" t="e">
        <f t="shared" si="5"/>
        <v>#REF!</v>
      </c>
      <c r="Q71" s="17"/>
      <c r="R71" s="35"/>
      <c r="T71" s="31" t="s">
        <v>117</v>
      </c>
      <c r="U71" s="17" t="e">
        <f>U69/VLOOKUP($C69,#REF!,4,0)*100</f>
        <v>#REF!</v>
      </c>
      <c r="V71" s="577"/>
      <c r="W71" s="35"/>
      <c r="X71" s="35"/>
      <c r="AD71" s="33" t="str">
        <f>C69&amp;F71</f>
        <v>Belgium% GDP</v>
      </c>
    </row>
    <row r="72" spans="1:30" ht="144.65" customHeight="1">
      <c r="A72" s="638">
        <v>0</v>
      </c>
      <c r="B72" s="638" t="s">
        <v>858</v>
      </c>
      <c r="C72" s="632" t="s">
        <v>542</v>
      </c>
      <c r="D72" s="629" t="s">
        <v>570</v>
      </c>
      <c r="E72" s="15"/>
      <c r="F72" s="32" t="s">
        <v>115</v>
      </c>
      <c r="G72" s="93">
        <f>H72+J72</f>
        <v>270</v>
      </c>
      <c r="H72" s="74">
        <v>47</v>
      </c>
      <c r="I72" s="581" t="s">
        <v>717</v>
      </c>
      <c r="J72" s="93">
        <v>223</v>
      </c>
      <c r="K72" s="581" t="s">
        <v>761</v>
      </c>
      <c r="L72" s="140"/>
      <c r="M72" s="581" t="s">
        <v>718</v>
      </c>
      <c r="N72" s="14"/>
      <c r="O72" s="32" t="s">
        <v>115</v>
      </c>
      <c r="P72" s="264">
        <f t="shared" si="5"/>
        <v>500.8</v>
      </c>
      <c r="Q72" s="177">
        <v>0.8</v>
      </c>
      <c r="R72" s="581" t="s">
        <v>719</v>
      </c>
      <c r="S72" s="14"/>
      <c r="T72" s="32" t="s">
        <v>115</v>
      </c>
      <c r="U72" s="93">
        <v>500</v>
      </c>
      <c r="V72" s="575" t="s">
        <v>734</v>
      </c>
      <c r="W72" s="93"/>
      <c r="X72" s="575"/>
      <c r="AD72" s="33" t="str">
        <f>C72&amp;F72</f>
        <v>Czech RepublicLC bn</v>
      </c>
    </row>
    <row r="73" spans="1:30" ht="153" customHeight="1">
      <c r="A73" s="638"/>
      <c r="B73" s="638"/>
      <c r="C73" s="632"/>
      <c r="D73" s="629"/>
      <c r="F73" s="32" t="s">
        <v>116</v>
      </c>
      <c r="G73" s="81" t="e">
        <f>G72/VLOOKUP($C72,#REF!,7,0)</f>
        <v>#REF!</v>
      </c>
      <c r="H73" s="56" t="e">
        <f>H72/VLOOKUP($C72,#REF!,7,0)</f>
        <v>#REF!</v>
      </c>
      <c r="I73" s="582"/>
      <c r="J73" s="69" t="e">
        <f>J72/VLOOKUP($C72,#REF!,7,0)</f>
        <v>#REF!</v>
      </c>
      <c r="K73" s="582"/>
      <c r="L73" s="186"/>
      <c r="M73" s="582"/>
      <c r="N73" s="36"/>
      <c r="O73" s="32" t="s">
        <v>116</v>
      </c>
      <c r="P73" s="265" t="e">
        <f t="shared" si="5"/>
        <v>#REF!</v>
      </c>
      <c r="Q73" s="178" t="e">
        <f>Q72/VLOOKUP($C72,#REF!,7,0)</f>
        <v>#REF!</v>
      </c>
      <c r="R73" s="582"/>
      <c r="S73" s="36"/>
      <c r="T73" s="32" t="s">
        <v>116</v>
      </c>
      <c r="U73" s="81" t="e">
        <f>U72/VLOOKUP($C72,#REF!,7,0)</f>
        <v>#REF!</v>
      </c>
      <c r="V73" s="576"/>
      <c r="W73" s="69"/>
      <c r="X73" s="576"/>
      <c r="AD73" s="33" t="str">
        <f>C72&amp;F73</f>
        <v>Czech RepublicUSD bn</v>
      </c>
    </row>
    <row r="74" spans="1:30" ht="165" customHeight="1">
      <c r="A74" s="638"/>
      <c r="B74" s="638"/>
      <c r="C74" s="633"/>
      <c r="D74" s="630"/>
      <c r="F74" s="31" t="s">
        <v>117</v>
      </c>
      <c r="G74" s="17" t="e">
        <f>G72/VLOOKUP($C72,#REF!,4,0)*100</f>
        <v>#REF!</v>
      </c>
      <c r="H74" s="68" t="e">
        <f>H72/VLOOKUP($C72,#REF!,4,0)*100</f>
        <v>#REF!</v>
      </c>
      <c r="I74" s="583"/>
      <c r="J74" s="17" t="e">
        <f>J72/VLOOKUP($C72,#REF!,4,0)*100</f>
        <v>#REF!</v>
      </c>
      <c r="K74" s="583"/>
      <c r="L74" s="187"/>
      <c r="M74" s="583"/>
      <c r="N74" s="12"/>
      <c r="O74" s="31" t="s">
        <v>117</v>
      </c>
      <c r="P74" s="267" t="e">
        <f t="shared" si="5"/>
        <v>#REF!</v>
      </c>
      <c r="Q74" s="168" t="e">
        <f>Q72/VLOOKUP($C72,#REF!,4,0)*100</f>
        <v>#REF!</v>
      </c>
      <c r="R74" s="583"/>
      <c r="S74" s="12"/>
      <c r="T74" s="31" t="s">
        <v>117</v>
      </c>
      <c r="U74" s="17" t="e">
        <f>U72/VLOOKUP($C72,#REF!,4,0)*100</f>
        <v>#REF!</v>
      </c>
      <c r="V74" s="577"/>
      <c r="W74" s="17"/>
      <c r="X74" s="577"/>
      <c r="AD74" s="33" t="str">
        <f>C72&amp;F74</f>
        <v>Czech Republic% GDP</v>
      </c>
    </row>
    <row r="75" spans="1:30" s="10" customFormat="1" ht="57.65" customHeight="1">
      <c r="A75" s="638">
        <v>0</v>
      </c>
      <c r="B75" s="638" t="s">
        <v>858</v>
      </c>
      <c r="C75" s="632" t="s">
        <v>19</v>
      </c>
      <c r="D75" s="629" t="s">
        <v>570</v>
      </c>
      <c r="E75" s="13"/>
      <c r="F75" s="32" t="s">
        <v>115</v>
      </c>
      <c r="G75" s="95">
        <v>126</v>
      </c>
      <c r="H75" s="75">
        <v>0.8</v>
      </c>
      <c r="I75" s="601" t="s">
        <v>785</v>
      </c>
      <c r="J75" s="95">
        <v>125.2</v>
      </c>
      <c r="K75" s="581" t="s">
        <v>740</v>
      </c>
      <c r="L75" s="95">
        <f>1+90+35+35+5+0.4</f>
        <v>166.4</v>
      </c>
      <c r="M75" s="576" t="s">
        <v>568</v>
      </c>
      <c r="O75" s="32" t="s">
        <v>115</v>
      </c>
      <c r="P75" s="264">
        <f t="shared" si="5"/>
        <v>211.5</v>
      </c>
      <c r="Q75" s="166">
        <f>35+1.5+3.4</f>
        <v>39.9</v>
      </c>
      <c r="R75" s="576" t="s">
        <v>610</v>
      </c>
      <c r="T75" s="32" t="s">
        <v>115</v>
      </c>
      <c r="U75" s="95">
        <v>171.6</v>
      </c>
      <c r="V75" s="576" t="s">
        <v>569</v>
      </c>
      <c r="W75" s="28"/>
      <c r="X75" s="28"/>
      <c r="Y75" s="576" t="s">
        <v>109</v>
      </c>
      <c r="AA75" s="273" t="s">
        <v>611</v>
      </c>
      <c r="AD75" s="33" t="str">
        <f>C75&amp;F75</f>
        <v>DenmarkLC bn</v>
      </c>
    </row>
    <row r="76" spans="1:30" ht="80.150000000000006" customHeight="1">
      <c r="A76" s="638"/>
      <c r="B76" s="638"/>
      <c r="C76" s="632"/>
      <c r="D76" s="629"/>
      <c r="E76" s="6"/>
      <c r="F76" s="32" t="s">
        <v>116</v>
      </c>
      <c r="G76" s="81" t="e">
        <f>G75/VLOOKUP(C75,#REF!,7,0)</f>
        <v>#REF!</v>
      </c>
      <c r="H76" s="263" t="e">
        <f>H75/VLOOKUP(C75,#REF!,7,0)</f>
        <v>#REF!</v>
      </c>
      <c r="I76" s="601"/>
      <c r="J76" s="81" t="e">
        <f>J75/VLOOKUP($C75,#REF!,7,0)</f>
        <v>#REF!</v>
      </c>
      <c r="K76" s="582"/>
      <c r="L76" s="81" t="e">
        <f>L75/VLOOKUP($C75,#REF!,7,0)</f>
        <v>#REF!</v>
      </c>
      <c r="M76" s="576"/>
      <c r="N76" s="6"/>
      <c r="O76" s="32" t="s">
        <v>116</v>
      </c>
      <c r="P76" s="265" t="e">
        <f t="shared" si="5"/>
        <v>#REF!</v>
      </c>
      <c r="Q76" s="170" t="e">
        <f>Q75/VLOOKUP(C75,#REF!,7,0)</f>
        <v>#REF!</v>
      </c>
      <c r="R76" s="591"/>
      <c r="S76" s="6"/>
      <c r="T76" s="32" t="s">
        <v>116</v>
      </c>
      <c r="U76" s="81" t="e">
        <f>U75/VLOOKUP(C75,#REF!,7,0)</f>
        <v>#REF!</v>
      </c>
      <c r="V76" s="576"/>
      <c r="W76" s="28"/>
      <c r="X76" s="28"/>
      <c r="Y76" s="576"/>
      <c r="AA76" s="273" t="s">
        <v>612</v>
      </c>
      <c r="AD76" s="33" t="str">
        <f>C75&amp;F76</f>
        <v>DenmarkUSD bn</v>
      </c>
    </row>
    <row r="77" spans="1:30" ht="80.150000000000006" customHeight="1">
      <c r="A77" s="638"/>
      <c r="B77" s="638"/>
      <c r="C77" s="633"/>
      <c r="D77" s="630"/>
      <c r="E77" s="6"/>
      <c r="F77" s="32" t="s">
        <v>117</v>
      </c>
      <c r="G77" s="69" t="e">
        <f>(G75/VLOOKUP(C75,#REF!,4,0))*100</f>
        <v>#REF!</v>
      </c>
      <c r="H77" s="263" t="e">
        <f>(H75/VLOOKUP(C75,#REF!,4,0))*100</f>
        <v>#REF!</v>
      </c>
      <c r="I77" s="602"/>
      <c r="J77" s="17" t="e">
        <f>J75/VLOOKUP($C75,#REF!,4,0)*100</f>
        <v>#REF!</v>
      </c>
      <c r="K77" s="583"/>
      <c r="L77" s="17" t="e">
        <f>L75/VLOOKUP($C75,#REF!,4,0)*100</f>
        <v>#REF!</v>
      </c>
      <c r="M77" s="577"/>
      <c r="N77" s="6"/>
      <c r="O77" s="32" t="s">
        <v>117</v>
      </c>
      <c r="P77" s="267" t="e">
        <f t="shared" si="5"/>
        <v>#REF!</v>
      </c>
      <c r="Q77" s="170" t="e">
        <f>(Q75/VLOOKUP(C75,#REF!,4,0))*100</f>
        <v>#REF!</v>
      </c>
      <c r="R77" s="592"/>
      <c r="S77" s="6"/>
      <c r="T77" s="32" t="s">
        <v>117</v>
      </c>
      <c r="U77" s="69" t="e">
        <f>(U75/VLOOKUP(C75,#REF!,4,0))*100</f>
        <v>#REF!</v>
      </c>
      <c r="V77" s="577"/>
      <c r="W77" s="28"/>
      <c r="X77" s="28"/>
      <c r="Y77" s="577"/>
      <c r="AA77" s="273" t="s">
        <v>613</v>
      </c>
      <c r="AD77" s="33" t="str">
        <f>C75&amp;F77</f>
        <v>Denmark% GDP</v>
      </c>
    </row>
    <row r="78" spans="1:30" s="15" customFormat="1" ht="50.15" customHeight="1">
      <c r="A78" s="638">
        <v>0</v>
      </c>
      <c r="B78" s="638" t="s">
        <v>858</v>
      </c>
      <c r="C78" s="632" t="s">
        <v>20</v>
      </c>
      <c r="D78" s="629" t="s">
        <v>570</v>
      </c>
      <c r="F78" s="37" t="s">
        <v>115</v>
      </c>
      <c r="G78" s="53">
        <f>H78+J78</f>
        <v>6.9590000000000005</v>
      </c>
      <c r="H78" s="53">
        <v>1.4610000000000001</v>
      </c>
      <c r="I78" s="575" t="s">
        <v>714</v>
      </c>
      <c r="J78" s="272">
        <v>5.4980000000000002</v>
      </c>
      <c r="K78" s="575" t="s">
        <v>741</v>
      </c>
      <c r="L78" s="291">
        <v>5.25</v>
      </c>
      <c r="M78" s="600" t="s">
        <v>715</v>
      </c>
      <c r="O78" s="37" t="s">
        <v>115</v>
      </c>
      <c r="P78" s="264">
        <f t="shared" si="5"/>
        <v>16.420000000000002</v>
      </c>
      <c r="Q78" s="169">
        <f>0.85+0.5+1.07</f>
        <v>2.42</v>
      </c>
      <c r="R78" s="581" t="s">
        <v>716</v>
      </c>
      <c r="T78" s="37" t="s">
        <v>115</v>
      </c>
      <c r="U78" s="83">
        <v>13</v>
      </c>
      <c r="V78" s="575" t="s">
        <v>609</v>
      </c>
      <c r="W78" s="53">
        <v>1</v>
      </c>
      <c r="X78" s="575" t="s">
        <v>230</v>
      </c>
      <c r="Y78" s="575" t="s">
        <v>233</v>
      </c>
      <c r="AA78" s="116" t="s">
        <v>46</v>
      </c>
      <c r="AD78" s="33" t="str">
        <f>C78&amp;F78</f>
        <v>FinlandLC bn</v>
      </c>
    </row>
    <row r="79" spans="1:30" s="3" customFormat="1" ht="72" customHeight="1">
      <c r="A79" s="638"/>
      <c r="B79" s="638"/>
      <c r="C79" s="632"/>
      <c r="D79" s="629"/>
      <c r="F79" s="32" t="s">
        <v>116</v>
      </c>
      <c r="G79" s="69" t="e">
        <f>G78/VLOOKUP(C78,#REF!,7,0)</f>
        <v>#REF!</v>
      </c>
      <c r="H79" s="69" t="e">
        <f>H78/VLOOKUP($C78,#REF!,7,0)</f>
        <v>#REF!</v>
      </c>
      <c r="I79" s="591"/>
      <c r="J79" s="69" t="e">
        <f>J78/VLOOKUP($C78,#REF!,7,0)</f>
        <v>#REF!</v>
      </c>
      <c r="K79" s="576"/>
      <c r="L79" s="247" t="e">
        <f>L78/VLOOKUP($C78,#REF!,7,0)</f>
        <v>#REF!</v>
      </c>
      <c r="M79" s="601"/>
      <c r="O79" s="32" t="s">
        <v>116</v>
      </c>
      <c r="P79" s="265" t="e">
        <f t="shared" si="5"/>
        <v>#REF!</v>
      </c>
      <c r="Q79" s="170" t="e">
        <f>Q78/VLOOKUP(C78,#REF!,7,0)</f>
        <v>#REF!</v>
      </c>
      <c r="R79" s="582"/>
      <c r="T79" s="32" t="s">
        <v>116</v>
      </c>
      <c r="U79" s="81" t="e">
        <f>U78/VLOOKUP(C78,#REF!,7,0)</f>
        <v>#REF!</v>
      </c>
      <c r="V79" s="576"/>
      <c r="W79" s="56" t="e">
        <f>W78/VLOOKUP($C78,#REF!,7,0)</f>
        <v>#REF!</v>
      </c>
      <c r="X79" s="576"/>
      <c r="Y79" s="577"/>
      <c r="AA79" s="117"/>
      <c r="AD79" s="33" t="str">
        <f>C78&amp;F79</f>
        <v>FinlandUSD bn</v>
      </c>
    </row>
    <row r="80" spans="1:30" ht="117.65" customHeight="1">
      <c r="A80" s="638"/>
      <c r="B80" s="638"/>
      <c r="C80" s="633"/>
      <c r="D80" s="630"/>
      <c r="E80" s="12"/>
      <c r="F80" s="31" t="s">
        <v>117</v>
      </c>
      <c r="G80" s="17" t="e">
        <f>(G78/VLOOKUP(C78,#REF!,4,0))*100</f>
        <v>#REF!</v>
      </c>
      <c r="H80" s="17" t="e">
        <f>(H78/VLOOKUP($C78,#REF!,4,0))*100</f>
        <v>#REF!</v>
      </c>
      <c r="I80" s="592"/>
      <c r="J80" s="17" t="e">
        <f>J78/VLOOKUP($C78,#REF!,4,0)*100</f>
        <v>#REF!</v>
      </c>
      <c r="K80" s="577"/>
      <c r="L80" s="246" t="e">
        <f>(L78/VLOOKUP($C78,#REF!,4,0))*100</f>
        <v>#REF!</v>
      </c>
      <c r="M80" s="602"/>
      <c r="N80" s="12"/>
      <c r="O80" s="31" t="s">
        <v>117</v>
      </c>
      <c r="P80" s="267" t="e">
        <f t="shared" si="5"/>
        <v>#REF!</v>
      </c>
      <c r="Q80" s="168" t="e">
        <f>(Q78/VLOOKUP(C78,#REF!,4,0))*100</f>
        <v>#REF!</v>
      </c>
      <c r="R80" s="583"/>
      <c r="S80" s="12"/>
      <c r="T80" s="31" t="s">
        <v>117</v>
      </c>
      <c r="U80" s="17" t="e">
        <f>(U78/VLOOKUP(C78,#REF!,4,0))*100</f>
        <v>#REF!</v>
      </c>
      <c r="V80" s="577"/>
      <c r="W80" s="68" t="e">
        <f>(W78/VLOOKUP($C78,#REF!,4,0))*100</f>
        <v>#REF!</v>
      </c>
      <c r="X80" s="577"/>
      <c r="Y80" s="20" t="s">
        <v>234</v>
      </c>
      <c r="Z80" s="1"/>
      <c r="AA80" s="118"/>
      <c r="AD80" s="33" t="str">
        <f>C78&amp;F80</f>
        <v>Finland% GDP</v>
      </c>
    </row>
    <row r="81" spans="1:30" ht="105" customHeight="1">
      <c r="A81" s="638">
        <v>0</v>
      </c>
      <c r="B81" s="638" t="s">
        <v>858</v>
      </c>
      <c r="C81" s="632" t="s">
        <v>184</v>
      </c>
      <c r="D81" s="628" t="s">
        <v>570</v>
      </c>
      <c r="E81" s="14"/>
      <c r="F81" s="37" t="s">
        <v>115</v>
      </c>
      <c r="G81" s="93">
        <f>H81+J81</f>
        <v>31.099999999999998</v>
      </c>
      <c r="H81" s="69">
        <v>0.7</v>
      </c>
      <c r="I81" s="575" t="s">
        <v>599</v>
      </c>
      <c r="J81" s="93">
        <v>30.4</v>
      </c>
      <c r="K81" s="575" t="s">
        <v>853</v>
      </c>
      <c r="L81" s="93">
        <v>32</v>
      </c>
      <c r="M81" s="575" t="s">
        <v>623</v>
      </c>
      <c r="N81" s="14"/>
      <c r="O81" s="32" t="s">
        <v>115</v>
      </c>
      <c r="P81" s="53">
        <f>Q81+U81+W81</f>
        <v>30.6</v>
      </c>
      <c r="Q81" s="177"/>
      <c r="R81" s="575"/>
      <c r="S81" s="14"/>
      <c r="T81" s="32" t="s">
        <v>115</v>
      </c>
      <c r="U81" s="53">
        <v>30.6</v>
      </c>
      <c r="V81" s="575" t="s">
        <v>600</v>
      </c>
      <c r="W81" s="18"/>
      <c r="X81" s="18"/>
      <c r="Y81" s="575" t="s">
        <v>110</v>
      </c>
      <c r="Z81" s="14"/>
      <c r="AA81" s="605" t="s">
        <v>47</v>
      </c>
      <c r="AD81" s="33" t="str">
        <f>C81&amp;F81</f>
        <v>The NetherlandsLC bn</v>
      </c>
    </row>
    <row r="82" spans="1:30" ht="90.65" customHeight="1">
      <c r="A82" s="638"/>
      <c r="B82" s="638"/>
      <c r="C82" s="632"/>
      <c r="D82" s="629"/>
      <c r="E82" s="36"/>
      <c r="F82" s="32" t="s">
        <v>116</v>
      </c>
      <c r="G82" s="81" t="e">
        <f>G81/VLOOKUP(C81,#REF!,7,0)</f>
        <v>#REF!</v>
      </c>
      <c r="H82" s="69" t="e">
        <f>H81/VLOOKUP($C81,#REF!,7,0)</f>
        <v>#REF!</v>
      </c>
      <c r="I82" s="591"/>
      <c r="J82" s="81" t="e">
        <f>J81/VLOOKUP($C81,#REF!,7,0)</f>
        <v>#REF!</v>
      </c>
      <c r="K82" s="576"/>
      <c r="L82" s="81" t="e">
        <f>L81/VLOOKUP($C81,#REF!,7,0)</f>
        <v>#REF!</v>
      </c>
      <c r="M82" s="576"/>
      <c r="N82" s="36"/>
      <c r="O82" s="32" t="s">
        <v>116</v>
      </c>
      <c r="P82" s="56" t="e">
        <f>P81/VLOOKUP($C81,#REF!,7,0)</f>
        <v>#REF!</v>
      </c>
      <c r="Q82" s="178"/>
      <c r="R82" s="576"/>
      <c r="S82" s="36"/>
      <c r="T82" s="32" t="s">
        <v>116</v>
      </c>
      <c r="U82" s="56" t="e">
        <f>U81/VLOOKUP($C81,#REF!,7,0)</f>
        <v>#REF!</v>
      </c>
      <c r="V82" s="576"/>
      <c r="W82" s="28"/>
      <c r="X82" s="28"/>
      <c r="Y82" s="576"/>
      <c r="Z82" s="36"/>
      <c r="AA82" s="606"/>
      <c r="AD82" s="33" t="str">
        <f>C81&amp;F82</f>
        <v>The NetherlandsUSD bn</v>
      </c>
    </row>
    <row r="83" spans="1:30" ht="105" customHeight="1">
      <c r="A83" s="638"/>
      <c r="B83" s="638"/>
      <c r="C83" s="633"/>
      <c r="D83" s="630"/>
      <c r="E83" s="12"/>
      <c r="F83" s="31" t="s">
        <v>117</v>
      </c>
      <c r="G83" s="17" t="e">
        <f>(G81/VLOOKUP(C81,#REF!,4,0))*100</f>
        <v>#REF!</v>
      </c>
      <c r="H83" s="17" t="e">
        <f>(H81/VLOOKUP($C81,#REF!,4,0))*100</f>
        <v>#REF!</v>
      </c>
      <c r="I83" s="592"/>
      <c r="J83" s="17" t="e">
        <f>J81/VLOOKUP($C81,#REF!,4,0)*100</f>
        <v>#REF!</v>
      </c>
      <c r="K83" s="577"/>
      <c r="L83" s="17" t="e">
        <f>L81/VLOOKUP($C81,#REF!,4,0)*100</f>
        <v>#REF!</v>
      </c>
      <c r="M83" s="577"/>
      <c r="N83" s="12"/>
      <c r="O83" s="31" t="s">
        <v>117</v>
      </c>
      <c r="P83" s="17" t="e">
        <f>P81/VLOOKUP($C81,#REF!,4,0)*100</f>
        <v>#REF!</v>
      </c>
      <c r="Q83" s="168"/>
      <c r="R83" s="577"/>
      <c r="S83" s="12"/>
      <c r="T83" s="31" t="s">
        <v>117</v>
      </c>
      <c r="U83" s="68" t="e">
        <f>U81/VLOOKUP($C81,#REF!,4,0)*100</f>
        <v>#REF!</v>
      </c>
      <c r="V83" s="577"/>
      <c r="W83" s="19"/>
      <c r="X83" s="19"/>
      <c r="Y83" s="577"/>
      <c r="Z83" s="1"/>
      <c r="AA83" s="607"/>
      <c r="AD83" s="33" t="str">
        <f>C81&amp;F83</f>
        <v>The Netherlands% GDP</v>
      </c>
    </row>
    <row r="84" spans="1:30" ht="110.15" customHeight="1">
      <c r="A84" s="638">
        <v>0</v>
      </c>
      <c r="B84" s="638" t="s">
        <v>858</v>
      </c>
      <c r="C84" s="632" t="s">
        <v>553</v>
      </c>
      <c r="D84" s="629" t="s">
        <v>571</v>
      </c>
      <c r="E84" s="14"/>
      <c r="F84" s="37" t="s">
        <v>115</v>
      </c>
      <c r="G84" s="81">
        <v>62.1</v>
      </c>
      <c r="H84" s="190">
        <v>0.5</v>
      </c>
      <c r="I84" s="575" t="s">
        <v>601</v>
      </c>
      <c r="J84" s="98">
        <f>G84-H84</f>
        <v>61.6</v>
      </c>
      <c r="K84" s="634" t="s">
        <v>850</v>
      </c>
      <c r="L84" s="193"/>
      <c r="M84" s="193"/>
      <c r="N84" s="6"/>
      <c r="O84" s="32" t="s">
        <v>115</v>
      </c>
      <c r="P84" s="53">
        <f t="shared" ref="P84:P107" si="6">Q84+U84+W84</f>
        <v>12.35</v>
      </c>
      <c r="Q84" s="271">
        <v>6.1</v>
      </c>
      <c r="R84" s="575" t="s">
        <v>735</v>
      </c>
      <c r="S84" s="6"/>
      <c r="T84" s="32" t="s">
        <v>115</v>
      </c>
      <c r="U84" s="56">
        <v>6.25</v>
      </c>
      <c r="V84" s="575" t="s">
        <v>565</v>
      </c>
      <c r="W84" s="28"/>
      <c r="X84" s="619"/>
      <c r="Y84" s="28"/>
      <c r="AA84" s="27"/>
      <c r="AD84" s="33" t="str">
        <f>C84&amp;F84</f>
        <v>New ZealandLC bn</v>
      </c>
    </row>
    <row r="85" spans="1:30" ht="91.5" customHeight="1">
      <c r="A85" s="638"/>
      <c r="B85" s="638"/>
      <c r="C85" s="632"/>
      <c r="D85" s="629"/>
      <c r="E85" s="36"/>
      <c r="F85" s="32" t="s">
        <v>116</v>
      </c>
      <c r="G85" s="81" t="e">
        <f>G84/VLOOKUP($C84,#REF!,7,0)</f>
        <v>#REF!</v>
      </c>
      <c r="H85" s="69" t="e">
        <f>H84/VLOOKUP($C84,#REF!,7,0)</f>
        <v>#REF!</v>
      </c>
      <c r="I85" s="591"/>
      <c r="J85" s="81" t="e">
        <f>J84/VLOOKUP($C84,#REF!,7,0)</f>
        <v>#REF!</v>
      </c>
      <c r="K85" s="582"/>
      <c r="L85" s="193"/>
      <c r="M85" s="193"/>
      <c r="N85" s="6"/>
      <c r="O85" s="32" t="s">
        <v>116</v>
      </c>
      <c r="P85" s="56" t="e">
        <f t="shared" si="6"/>
        <v>#REF!</v>
      </c>
      <c r="Q85" s="69" t="e">
        <f>Q84/VLOOKUP($C84,#REF!,7,0)</f>
        <v>#REF!</v>
      </c>
      <c r="R85" s="576"/>
      <c r="S85" s="6"/>
      <c r="T85" s="32" t="s">
        <v>116</v>
      </c>
      <c r="U85" s="69" t="e">
        <f>U84/VLOOKUP($C84,#REF!,7,0)</f>
        <v>#REF!</v>
      </c>
      <c r="V85" s="576"/>
      <c r="W85" s="28"/>
      <c r="X85" s="620"/>
      <c r="Y85" s="28"/>
      <c r="AA85" s="27"/>
      <c r="AD85" s="33" t="str">
        <f>C84&amp;F85</f>
        <v>New ZealandUSD bn</v>
      </c>
    </row>
    <row r="86" spans="1:30" ht="88.5" customHeight="1">
      <c r="A86" s="638"/>
      <c r="B86" s="638"/>
      <c r="C86" s="633"/>
      <c r="D86" s="630"/>
      <c r="E86" s="12"/>
      <c r="F86" s="31" t="s">
        <v>117</v>
      </c>
      <c r="G86" s="17" t="e">
        <f>(G84/VLOOKUP($C84,#REF!,4,0))*100</f>
        <v>#REF!</v>
      </c>
      <c r="H86" s="17" t="e">
        <f>(H84/VLOOKUP($C84,#REF!,4,0))*100</f>
        <v>#REF!</v>
      </c>
      <c r="I86" s="592"/>
      <c r="J86" s="17" t="e">
        <f>(J84/VLOOKUP($C84,#REF!,4,0))*100</f>
        <v>#REF!</v>
      </c>
      <c r="K86" s="583"/>
      <c r="L86" s="193"/>
      <c r="M86" s="193"/>
      <c r="N86" s="6"/>
      <c r="O86" s="31" t="s">
        <v>117</v>
      </c>
      <c r="P86" s="17" t="e">
        <f t="shared" si="6"/>
        <v>#REF!</v>
      </c>
      <c r="Q86" s="17" t="e">
        <f>(Q84/VLOOKUP($C84,#REF!,4,0))*100</f>
        <v>#REF!</v>
      </c>
      <c r="R86" s="577"/>
      <c r="S86" s="6"/>
      <c r="T86" s="31" t="s">
        <v>117</v>
      </c>
      <c r="U86" s="17" t="e">
        <f>(U84/VLOOKUP($C84,#REF!,4,0))*100</f>
        <v>#REF!</v>
      </c>
      <c r="V86" s="577"/>
      <c r="W86" s="28"/>
      <c r="X86" s="621"/>
      <c r="Y86" s="28"/>
      <c r="AA86" s="27"/>
      <c r="AD86" s="33" t="str">
        <f>C84&amp;F86</f>
        <v>New Zealand% GDP</v>
      </c>
    </row>
    <row r="87" spans="1:30" s="36" customFormat="1" ht="70" customHeight="1">
      <c r="A87" s="638">
        <v>0</v>
      </c>
      <c r="B87" s="638" t="s">
        <v>858</v>
      </c>
      <c r="C87" s="632" t="s">
        <v>36</v>
      </c>
      <c r="D87" s="629" t="s">
        <v>571</v>
      </c>
      <c r="E87" s="14"/>
      <c r="F87" s="37" t="s">
        <v>115</v>
      </c>
      <c r="G87" s="93">
        <v>162</v>
      </c>
      <c r="H87" s="74" t="s">
        <v>84</v>
      </c>
      <c r="I87" s="575" t="s">
        <v>786</v>
      </c>
      <c r="J87" s="74" t="s">
        <v>84</v>
      </c>
      <c r="K87" s="575" t="s">
        <v>787</v>
      </c>
      <c r="L87" s="74" t="s">
        <v>84</v>
      </c>
      <c r="M87" s="575" t="s">
        <v>626</v>
      </c>
      <c r="N87" s="14"/>
      <c r="O87" s="32" t="s">
        <v>115</v>
      </c>
      <c r="P87" s="93">
        <f t="shared" si="6"/>
        <v>179.6</v>
      </c>
      <c r="Q87" s="175">
        <v>50</v>
      </c>
      <c r="R87" s="575" t="s">
        <v>336</v>
      </c>
      <c r="S87" s="14"/>
      <c r="T87" s="32" t="s">
        <v>115</v>
      </c>
      <c r="U87" s="93">
        <v>129.6</v>
      </c>
      <c r="V87" s="575" t="s">
        <v>581</v>
      </c>
      <c r="W87" s="18"/>
      <c r="X87" s="18"/>
      <c r="Y87" s="575" t="s">
        <v>127</v>
      </c>
      <c r="Z87" s="14"/>
      <c r="AA87" s="605" t="s">
        <v>48</v>
      </c>
      <c r="AD87" s="33" t="str">
        <f>C87&amp;F87</f>
        <v>NorwayLC bn</v>
      </c>
    </row>
    <row r="88" spans="1:30" s="36" customFormat="1" ht="70" customHeight="1">
      <c r="A88" s="638"/>
      <c r="B88" s="638"/>
      <c r="C88" s="632"/>
      <c r="D88" s="629"/>
      <c r="F88" s="32" t="s">
        <v>116</v>
      </c>
      <c r="G88" s="81" t="e">
        <f>G87/VLOOKUP(C87,#REF!,7,0)</f>
        <v>#REF!</v>
      </c>
      <c r="H88" s="30"/>
      <c r="I88" s="576"/>
      <c r="J88" s="75"/>
      <c r="K88" s="576"/>
      <c r="L88" s="28"/>
      <c r="M88" s="576"/>
      <c r="O88" s="32" t="s">
        <v>116</v>
      </c>
      <c r="P88" s="95" t="e">
        <f t="shared" si="6"/>
        <v>#REF!</v>
      </c>
      <c r="Q88" s="180" t="e">
        <f>Q87/VLOOKUP(C87,#REF!,7,0)</f>
        <v>#REF!</v>
      </c>
      <c r="R88" s="576"/>
      <c r="T88" s="32" t="s">
        <v>116</v>
      </c>
      <c r="U88" s="95" t="e">
        <f>U87/VLOOKUP(C87,#REF!,7,0)</f>
        <v>#REF!</v>
      </c>
      <c r="V88" s="576"/>
      <c r="W88" s="28"/>
      <c r="X88" s="28"/>
      <c r="Y88" s="576"/>
      <c r="AA88" s="606"/>
      <c r="AD88" s="33" t="str">
        <f>C87&amp;F88</f>
        <v>NorwayUSD bn</v>
      </c>
    </row>
    <row r="89" spans="1:30" ht="70" customHeight="1">
      <c r="A89" s="638"/>
      <c r="B89" s="638"/>
      <c r="C89" s="633"/>
      <c r="D89" s="630"/>
      <c r="E89" s="12"/>
      <c r="F89" s="31" t="s">
        <v>117</v>
      </c>
      <c r="G89" s="17" t="e">
        <f>((G87/#REF!))*100</f>
        <v>#REF!</v>
      </c>
      <c r="H89" s="78"/>
      <c r="I89" s="577"/>
      <c r="J89" s="68"/>
      <c r="K89" s="577"/>
      <c r="L89" s="19"/>
      <c r="M89" s="577"/>
      <c r="N89" s="12"/>
      <c r="O89" s="31" t="s">
        <v>117</v>
      </c>
      <c r="P89" s="82" t="e">
        <f t="shared" si="6"/>
        <v>#REF!</v>
      </c>
      <c r="Q89" s="174" t="e">
        <f>((Q87/#REF!))*100</f>
        <v>#REF!</v>
      </c>
      <c r="R89" s="577"/>
      <c r="S89" s="12"/>
      <c r="T89" s="31" t="s">
        <v>117</v>
      </c>
      <c r="U89" s="17" t="e">
        <f>((U87/#REF!))*100</f>
        <v>#REF!</v>
      </c>
      <c r="V89" s="577"/>
      <c r="W89" s="19"/>
      <c r="X89" s="19"/>
      <c r="Y89" s="577"/>
      <c r="Z89" s="1"/>
      <c r="AA89" s="607"/>
      <c r="AD89" s="33" t="str">
        <f>C87&amp;F89</f>
        <v>Norway% GDP</v>
      </c>
    </row>
    <row r="90" spans="1:30" s="36" customFormat="1" ht="75" customHeight="1">
      <c r="A90" s="638">
        <v>0</v>
      </c>
      <c r="B90" s="638" t="s">
        <v>858</v>
      </c>
      <c r="C90" s="632" t="s">
        <v>31</v>
      </c>
      <c r="D90" s="629" t="s">
        <v>571</v>
      </c>
      <c r="E90" s="14"/>
      <c r="F90" s="37" t="s">
        <v>115</v>
      </c>
      <c r="G90" s="93">
        <f>H90+J90</f>
        <v>72.8</v>
      </c>
      <c r="H90" s="74">
        <v>0.8</v>
      </c>
      <c r="I90" s="575" t="s">
        <v>627</v>
      </c>
      <c r="J90" s="93">
        <v>72</v>
      </c>
      <c r="K90" s="575" t="s">
        <v>863</v>
      </c>
      <c r="L90" s="18"/>
      <c r="M90" s="18"/>
      <c r="N90" s="14"/>
      <c r="O90" s="32" t="s">
        <v>115</v>
      </c>
      <c r="P90" s="93">
        <f t="shared" si="6"/>
        <v>20</v>
      </c>
      <c r="Q90" s="175">
        <v>20</v>
      </c>
      <c r="R90" s="575" t="s">
        <v>724</v>
      </c>
      <c r="S90" s="14"/>
      <c r="T90" s="32" t="s">
        <v>115</v>
      </c>
      <c r="U90" s="53"/>
      <c r="V90" s="575"/>
      <c r="W90" s="18"/>
      <c r="X90" s="18"/>
      <c r="Y90" s="18"/>
      <c r="Z90" s="14"/>
      <c r="AA90" s="18"/>
      <c r="AD90" s="33" t="str">
        <f>C90&amp;F90</f>
        <v>SingaporeLC bn</v>
      </c>
    </row>
    <row r="91" spans="1:30" s="10" customFormat="1" ht="75" customHeight="1">
      <c r="A91" s="638"/>
      <c r="B91" s="638"/>
      <c r="C91" s="632"/>
      <c r="D91" s="629"/>
      <c r="E91" s="36"/>
      <c r="F91" s="32" t="s">
        <v>116</v>
      </c>
      <c r="G91" s="81" t="e">
        <f>G90/VLOOKUP(C90,#REF!,7,0)</f>
        <v>#REF!</v>
      </c>
      <c r="H91" s="69" t="e">
        <f>H90/VLOOKUP($C90,#REF!,7,0)</f>
        <v>#REF!</v>
      </c>
      <c r="I91" s="576"/>
      <c r="J91" s="81" t="e">
        <f>J90/VLOOKUP($C90,#REF!,7,0)</f>
        <v>#REF!</v>
      </c>
      <c r="K91" s="576"/>
      <c r="L91" s="28"/>
      <c r="M91" s="28"/>
      <c r="N91" s="36"/>
      <c r="O91" s="32" t="s">
        <v>116</v>
      </c>
      <c r="P91" s="95" t="e">
        <f t="shared" si="6"/>
        <v>#REF!</v>
      </c>
      <c r="Q91" s="167" t="e">
        <f>Q90/VLOOKUP(C90,#REF!,7,0)</f>
        <v>#REF!</v>
      </c>
      <c r="R91" s="576"/>
      <c r="S91" s="36"/>
      <c r="T91" s="32" t="s">
        <v>116</v>
      </c>
      <c r="U91" s="56"/>
      <c r="V91" s="576"/>
      <c r="W91" s="28"/>
      <c r="X91" s="28"/>
      <c r="Y91" s="28"/>
      <c r="Z91" s="36"/>
      <c r="AA91" s="28"/>
      <c r="AD91" s="33" t="str">
        <f>C90&amp;F91</f>
        <v>SingaporeUSD bn</v>
      </c>
    </row>
    <row r="92" spans="1:30" ht="75" customHeight="1">
      <c r="A92" s="638"/>
      <c r="B92" s="638"/>
      <c r="C92" s="633"/>
      <c r="D92" s="630"/>
      <c r="E92" s="6"/>
      <c r="F92" s="32" t="s">
        <v>117</v>
      </c>
      <c r="G92" s="69" t="e">
        <f>(G90/VLOOKUP(C90,#REF!,4,0))*100</f>
        <v>#REF!</v>
      </c>
      <c r="H92" s="17" t="e">
        <f>(H90/VLOOKUP($C90,#REF!,4,0))*100</f>
        <v>#REF!</v>
      </c>
      <c r="I92" s="577"/>
      <c r="J92" s="17" t="e">
        <f>J90/VLOOKUP($C90,#REF!,4,0)*100</f>
        <v>#REF!</v>
      </c>
      <c r="K92" s="577"/>
      <c r="L92" s="28"/>
      <c r="M92" s="28"/>
      <c r="N92" s="6"/>
      <c r="O92" s="32" t="s">
        <v>117</v>
      </c>
      <c r="P92" s="17" t="e">
        <f t="shared" si="6"/>
        <v>#REF!</v>
      </c>
      <c r="Q92" s="170" t="e">
        <f>(Q90/VLOOKUP(C90,#REF!,4,0))*100</f>
        <v>#REF!</v>
      </c>
      <c r="R92" s="577"/>
      <c r="S92" s="6"/>
      <c r="T92" s="32" t="s">
        <v>117</v>
      </c>
      <c r="U92" s="69"/>
      <c r="V92" s="577"/>
      <c r="W92" s="28"/>
      <c r="X92" s="28"/>
      <c r="Y92" s="28"/>
      <c r="AA92" s="27"/>
      <c r="AD92" s="33" t="str">
        <f>C90&amp;F92</f>
        <v>Singapore% GDP</v>
      </c>
    </row>
    <row r="93" spans="1:30" s="15" customFormat="1" ht="70" customHeight="1">
      <c r="A93" s="638">
        <v>0</v>
      </c>
      <c r="B93" s="638" t="s">
        <v>858</v>
      </c>
      <c r="C93" s="632" t="s">
        <v>21</v>
      </c>
      <c r="D93" s="628" t="s">
        <v>571</v>
      </c>
      <c r="F93" s="37" t="s">
        <v>115</v>
      </c>
      <c r="G93" s="93">
        <v>247</v>
      </c>
      <c r="H93" s="74">
        <v>8.1999999999999993</v>
      </c>
      <c r="I93" s="600" t="s">
        <v>657</v>
      </c>
      <c r="J93" s="80">
        <v>238.3</v>
      </c>
      <c r="K93" s="575" t="s">
        <v>764</v>
      </c>
      <c r="L93" s="74">
        <f>27+7+13+315-27</f>
        <v>335</v>
      </c>
      <c r="M93" s="639" t="s">
        <v>658</v>
      </c>
      <c r="O93" s="37" t="s">
        <v>115</v>
      </c>
      <c r="P93" s="93">
        <f t="shared" si="6"/>
        <v>230</v>
      </c>
      <c r="Q93" s="169"/>
      <c r="R93" s="575"/>
      <c r="T93" s="37" t="s">
        <v>115</v>
      </c>
      <c r="U93" s="80">
        <v>230</v>
      </c>
      <c r="V93" s="575" t="s">
        <v>659</v>
      </c>
      <c r="W93" s="18"/>
      <c r="X93" s="18"/>
      <c r="Y93" s="22"/>
      <c r="AA93" s="18"/>
      <c r="AD93" s="33" t="str">
        <f>C93&amp;F93</f>
        <v>SwedenLC bn</v>
      </c>
    </row>
    <row r="94" spans="1:30" s="36" customFormat="1" ht="70" customHeight="1">
      <c r="A94" s="638"/>
      <c r="B94" s="638"/>
      <c r="C94" s="632"/>
      <c r="D94" s="629"/>
      <c r="E94" s="3"/>
      <c r="F94" s="32" t="s">
        <v>116</v>
      </c>
      <c r="G94" s="81" t="e">
        <f>G93/VLOOKUP($C93,#REF!,7,0)</f>
        <v>#REF!</v>
      </c>
      <c r="H94" s="69" t="e">
        <f>H93/VLOOKUP($C93,#REF!,7,0)</f>
        <v>#REF!</v>
      </c>
      <c r="I94" s="601"/>
      <c r="J94" s="81" t="e">
        <f>J93/VLOOKUP($C93,#REF!,7,0)</f>
        <v>#REF!</v>
      </c>
      <c r="K94" s="576"/>
      <c r="L94" s="95" t="e">
        <f>L93/VLOOKUP(C93,#REF!,7,0)</f>
        <v>#REF!</v>
      </c>
      <c r="M94" s="576"/>
      <c r="N94" s="3"/>
      <c r="O94" s="32" t="s">
        <v>116</v>
      </c>
      <c r="P94" s="95" t="e">
        <f t="shared" si="6"/>
        <v>#REF!</v>
      </c>
      <c r="Q94" s="81"/>
      <c r="R94" s="576"/>
      <c r="S94" s="3"/>
      <c r="T94" s="32" t="s">
        <v>116</v>
      </c>
      <c r="U94" s="81" t="e">
        <f>U93/VLOOKUP($C93,#REF!,7,0)</f>
        <v>#REF!</v>
      </c>
      <c r="V94" s="576"/>
      <c r="W94" s="28"/>
      <c r="X94" s="28"/>
      <c r="Y94" s="35"/>
      <c r="Z94" s="3"/>
      <c r="AA94" s="28"/>
      <c r="AD94" s="33" t="str">
        <f>C93&amp;F94</f>
        <v>SwedenUSD bn</v>
      </c>
    </row>
    <row r="95" spans="1:30" ht="70" customHeight="1">
      <c r="A95" s="638"/>
      <c r="B95" s="638"/>
      <c r="C95" s="633"/>
      <c r="D95" s="630"/>
      <c r="E95" s="12"/>
      <c r="F95" s="31" t="s">
        <v>117</v>
      </c>
      <c r="G95" s="17" t="e">
        <f>(G93/VLOOKUP($C93,#REF!,4,0))*100</f>
        <v>#REF!</v>
      </c>
      <c r="H95" s="17" t="e">
        <f>(H93/VLOOKUP($C93,#REF!,4,0))*100</f>
        <v>#REF!</v>
      </c>
      <c r="I95" s="602"/>
      <c r="J95" s="17" t="e">
        <f>(J93/VLOOKUP($C93,#REF!,4,0))*100</f>
        <v>#REF!</v>
      </c>
      <c r="K95" s="577"/>
      <c r="L95" s="68" t="e">
        <f>(L93/VLOOKUP(C93,#REF!,4,0))*100</f>
        <v>#REF!</v>
      </c>
      <c r="M95" s="577"/>
      <c r="N95" s="12"/>
      <c r="O95" s="31" t="s">
        <v>117</v>
      </c>
      <c r="P95" s="17" t="e">
        <f t="shared" si="6"/>
        <v>#REF!</v>
      </c>
      <c r="Q95" s="17"/>
      <c r="R95" s="577"/>
      <c r="S95" s="12"/>
      <c r="T95" s="31" t="s">
        <v>117</v>
      </c>
      <c r="U95" s="17" t="e">
        <f>(U93/VLOOKUP($C93,#REF!,4,0))*100</f>
        <v>#REF!</v>
      </c>
      <c r="V95" s="577"/>
      <c r="W95" s="19"/>
      <c r="X95" s="19"/>
      <c r="Y95" s="19"/>
      <c r="Z95" s="1"/>
      <c r="AA95" s="26"/>
      <c r="AD95" s="33" t="str">
        <f>C93&amp;F95</f>
        <v>Sweden% GDP</v>
      </c>
    </row>
    <row r="96" spans="1:30" ht="37.5" customHeight="1">
      <c r="A96" s="638">
        <v>0</v>
      </c>
      <c r="B96" s="638" t="s">
        <v>858</v>
      </c>
      <c r="C96" s="632" t="s">
        <v>558</v>
      </c>
      <c r="D96" s="628" t="s">
        <v>571</v>
      </c>
      <c r="E96" s="15"/>
      <c r="F96" s="37" t="s">
        <v>115</v>
      </c>
      <c r="G96" s="81">
        <f>H96+J96</f>
        <v>30.8</v>
      </c>
      <c r="H96" s="190">
        <v>2.6</v>
      </c>
      <c r="I96" s="575" t="s">
        <v>628</v>
      </c>
      <c r="J96" s="95">
        <v>28.2</v>
      </c>
      <c r="K96" s="575" t="s">
        <v>629</v>
      </c>
      <c r="L96" s="247" t="s">
        <v>84</v>
      </c>
      <c r="M96" s="575" t="s">
        <v>630</v>
      </c>
      <c r="N96" s="6"/>
      <c r="O96" s="37" t="s">
        <v>115</v>
      </c>
      <c r="P96" s="93">
        <f t="shared" si="6"/>
        <v>41.4</v>
      </c>
      <c r="Q96" s="170"/>
      <c r="R96" s="35"/>
      <c r="S96" s="6"/>
      <c r="T96" s="37" t="s">
        <v>115</v>
      </c>
      <c r="U96" s="81">
        <v>41.4</v>
      </c>
      <c r="V96" s="590" t="s">
        <v>712</v>
      </c>
      <c r="W96" s="28"/>
      <c r="X96" s="28"/>
      <c r="Y96" s="28"/>
      <c r="AA96" s="27"/>
      <c r="AD96" s="33" t="str">
        <f>C96&amp;F96</f>
        <v>SwitzerlandLC bn</v>
      </c>
    </row>
    <row r="97" spans="1:30" ht="38.5" customHeight="1">
      <c r="A97" s="638"/>
      <c r="B97" s="638"/>
      <c r="C97" s="632"/>
      <c r="D97" s="629"/>
      <c r="F97" s="32" t="s">
        <v>116</v>
      </c>
      <c r="G97" s="81" t="e">
        <f>G96/VLOOKUP($C96,#REF!,7,0)</f>
        <v>#REF!</v>
      </c>
      <c r="H97" s="69" t="e">
        <f>H96/VLOOKUP($C96,#REF!,7,0)</f>
        <v>#REF!</v>
      </c>
      <c r="I97" s="576"/>
      <c r="J97" s="81" t="e">
        <f>J96/VLOOKUP($C96,#REF!,7,0)</f>
        <v>#REF!</v>
      </c>
      <c r="K97" s="576"/>
      <c r="L97" s="81"/>
      <c r="M97" s="576"/>
      <c r="N97" s="6"/>
      <c r="O97" s="32" t="s">
        <v>116</v>
      </c>
      <c r="P97" s="95" t="e">
        <f t="shared" si="6"/>
        <v>#REF!</v>
      </c>
      <c r="Q97" s="81"/>
      <c r="R97" s="35"/>
      <c r="S97" s="6"/>
      <c r="T97" s="32" t="s">
        <v>116</v>
      </c>
      <c r="U97" s="81" t="e">
        <f>U96/VLOOKUP($C96,#REF!,7,0)</f>
        <v>#REF!</v>
      </c>
      <c r="V97" s="576"/>
      <c r="W97" s="28"/>
      <c r="X97" s="28"/>
      <c r="Y97" s="28"/>
      <c r="AA97" s="27"/>
      <c r="AD97" s="33" t="str">
        <f>C96&amp;F97</f>
        <v>SwitzerlandUSD bn</v>
      </c>
    </row>
    <row r="98" spans="1:30" ht="47.15" customHeight="1">
      <c r="A98" s="638"/>
      <c r="B98" s="638"/>
      <c r="C98" s="633"/>
      <c r="D98" s="630"/>
      <c r="E98" s="12"/>
      <c r="F98" s="31" t="s">
        <v>117</v>
      </c>
      <c r="G98" s="17" t="e">
        <f>(G96/VLOOKUP($C96,#REF!,4,0))*100</f>
        <v>#REF!</v>
      </c>
      <c r="H98" s="17" t="e">
        <f>(H96/VLOOKUP($C96,#REF!,4,0))*100</f>
        <v>#REF!</v>
      </c>
      <c r="I98" s="577"/>
      <c r="J98" s="17" t="e">
        <f>(J96/VLOOKUP($C96,#REF!,4,0))*100</f>
        <v>#REF!</v>
      </c>
      <c r="K98" s="577"/>
      <c r="L98" s="17"/>
      <c r="M98" s="577"/>
      <c r="N98" s="12"/>
      <c r="O98" s="31" t="s">
        <v>117</v>
      </c>
      <c r="P98" s="17" t="e">
        <f t="shared" si="6"/>
        <v>#REF!</v>
      </c>
      <c r="Q98" s="17"/>
      <c r="R98" s="23"/>
      <c r="S98" s="12"/>
      <c r="T98" s="31" t="s">
        <v>117</v>
      </c>
      <c r="U98" s="17" t="e">
        <f>(U96/VLOOKUP($C96,#REF!,4,0))*100</f>
        <v>#REF!</v>
      </c>
      <c r="V98" s="577"/>
      <c r="W98" s="19"/>
      <c r="X98" s="19"/>
      <c r="Y98" s="28"/>
      <c r="AA98" s="27"/>
      <c r="AD98" s="33" t="str">
        <f>C96&amp;F98</f>
        <v>Switzerland% GDP</v>
      </c>
    </row>
    <row r="99" spans="1:30" s="36" customFormat="1" ht="90" customHeight="1">
      <c r="A99" s="638">
        <v>0</v>
      </c>
      <c r="B99" s="638" t="s">
        <v>861</v>
      </c>
      <c r="C99" s="632" t="s">
        <v>41</v>
      </c>
      <c r="D99" s="628" t="s">
        <v>570</v>
      </c>
      <c r="F99" s="32" t="s">
        <v>115</v>
      </c>
      <c r="G99" s="95">
        <v>19</v>
      </c>
      <c r="H99" s="74">
        <v>2.5</v>
      </c>
      <c r="I99" s="600" t="s">
        <v>631</v>
      </c>
      <c r="J99" s="95">
        <v>16.5</v>
      </c>
      <c r="K99" s="581" t="s">
        <v>896</v>
      </c>
      <c r="L99" s="28"/>
      <c r="M99" s="575" t="s">
        <v>765</v>
      </c>
      <c r="O99" s="32" t="s">
        <v>115</v>
      </c>
      <c r="P99" s="264">
        <f t="shared" si="6"/>
        <v>26</v>
      </c>
      <c r="Q99" s="178"/>
      <c r="R99" s="28"/>
      <c r="T99" s="32" t="s">
        <v>115</v>
      </c>
      <c r="U99" s="95">
        <v>26</v>
      </c>
      <c r="V99" s="575" t="s">
        <v>808</v>
      </c>
      <c r="W99" s="28"/>
      <c r="X99" s="28"/>
      <c r="Y99" s="28"/>
      <c r="AA99" s="28"/>
      <c r="AD99" s="33" t="str">
        <f>C99&amp;F99</f>
        <v>AlbaniaLC bn</v>
      </c>
    </row>
    <row r="100" spans="1:30" ht="90" customHeight="1">
      <c r="A100" s="638"/>
      <c r="B100" s="638"/>
      <c r="C100" s="632"/>
      <c r="D100" s="629"/>
      <c r="E100" s="36"/>
      <c r="F100" s="32" t="s">
        <v>116</v>
      </c>
      <c r="G100" s="69" t="e">
        <f>G99/VLOOKUP(C99,#REF!,7,0)</f>
        <v>#REF!</v>
      </c>
      <c r="H100" s="69" t="e">
        <f>H99/VLOOKUP($C99,#REF!,7,0)</f>
        <v>#REF!</v>
      </c>
      <c r="I100" s="601"/>
      <c r="J100" s="69" t="e">
        <f>J99/VLOOKUP($C99,#REF!,7,0)</f>
        <v>#REF!</v>
      </c>
      <c r="K100" s="582"/>
      <c r="L100" s="28"/>
      <c r="M100" s="576"/>
      <c r="N100" s="36"/>
      <c r="O100" s="32" t="s">
        <v>116</v>
      </c>
      <c r="P100" s="248" t="e">
        <f t="shared" si="6"/>
        <v>#REF!</v>
      </c>
      <c r="Q100" s="178"/>
      <c r="R100" s="28"/>
      <c r="S100" s="36"/>
      <c r="T100" s="32" t="s">
        <v>116</v>
      </c>
      <c r="U100" s="69" t="e">
        <f>U99/VLOOKUP(C99,#REF!,7,0)</f>
        <v>#REF!</v>
      </c>
      <c r="V100" s="576"/>
      <c r="W100" s="28"/>
      <c r="X100" s="28"/>
      <c r="Y100" s="28"/>
      <c r="Z100" s="36"/>
      <c r="AA100" s="28"/>
      <c r="AD100" s="33" t="str">
        <f>C99&amp;F100</f>
        <v>AlbaniaUSD bn</v>
      </c>
    </row>
    <row r="101" spans="1:30" ht="90" customHeight="1">
      <c r="A101" s="638"/>
      <c r="B101" s="638"/>
      <c r="C101" s="633"/>
      <c r="D101" s="630"/>
      <c r="E101" s="12"/>
      <c r="F101" s="31" t="s">
        <v>117</v>
      </c>
      <c r="G101" s="17" t="e">
        <f>(G99/VLOOKUP(C99,#REF!,4,0))*100</f>
        <v>#REF!</v>
      </c>
      <c r="H101" s="17" t="e">
        <f>(H99/VLOOKUP($C99,#REF!,4,0))*100</f>
        <v>#REF!</v>
      </c>
      <c r="I101" s="602"/>
      <c r="J101" s="17" t="e">
        <f>J99/VLOOKUP($C99,#REF!,4,0)*100</f>
        <v>#REF!</v>
      </c>
      <c r="K101" s="583"/>
      <c r="L101" s="19"/>
      <c r="M101" s="577"/>
      <c r="N101" s="12"/>
      <c r="O101" s="31" t="s">
        <v>117</v>
      </c>
      <c r="P101" s="267" t="e">
        <f t="shared" si="6"/>
        <v>#REF!</v>
      </c>
      <c r="Q101" s="168"/>
      <c r="R101" s="23"/>
      <c r="S101" s="12"/>
      <c r="T101" s="31" t="s">
        <v>117</v>
      </c>
      <c r="U101" s="17" t="e">
        <f>(U99/VLOOKUP(C99,#REF!,4,0))*100</f>
        <v>#REF!</v>
      </c>
      <c r="V101" s="577"/>
      <c r="W101" s="19"/>
      <c r="X101" s="19"/>
      <c r="Y101" s="19"/>
      <c r="Z101" s="1"/>
      <c r="AA101" s="26"/>
      <c r="AD101" s="33" t="str">
        <f>C99&amp;F101</f>
        <v>Albania% GDP</v>
      </c>
    </row>
    <row r="102" spans="1:30" ht="130" customHeight="1">
      <c r="A102" s="638">
        <v>0</v>
      </c>
      <c r="B102" s="638" t="s">
        <v>861</v>
      </c>
      <c r="C102" s="632" t="s">
        <v>27</v>
      </c>
      <c r="D102" s="628" t="s">
        <v>570</v>
      </c>
      <c r="E102" s="15"/>
      <c r="F102" s="37" t="s">
        <v>115</v>
      </c>
      <c r="G102" s="53">
        <f>1.5+0.5024</f>
        <v>2.0023999999999997</v>
      </c>
      <c r="H102" s="53">
        <v>0.50239999999999996</v>
      </c>
      <c r="I102" s="575" t="s">
        <v>632</v>
      </c>
      <c r="J102" s="73">
        <v>1.6</v>
      </c>
      <c r="K102" s="581" t="s">
        <v>731</v>
      </c>
      <c r="L102" s="74">
        <v>0.6</v>
      </c>
      <c r="M102" s="575" t="s">
        <v>633</v>
      </c>
      <c r="N102" s="15"/>
      <c r="O102" s="32" t="s">
        <v>115</v>
      </c>
      <c r="P102" s="53">
        <f>Q102+U102+W102</f>
        <v>4.6295999999999999</v>
      </c>
      <c r="Q102" s="169">
        <f>0.7+0.344+0.16+0.418</f>
        <v>1.6219999999999999</v>
      </c>
      <c r="R102" s="575" t="s">
        <v>732</v>
      </c>
      <c r="S102" s="15"/>
      <c r="T102" s="32" t="s">
        <v>115</v>
      </c>
      <c r="U102" s="49"/>
      <c r="V102" s="575"/>
      <c r="W102" s="49">
        <f>1.5+0.68+0.72+0.004+0.0036+0.1</f>
        <v>3.0076000000000005</v>
      </c>
      <c r="X102" s="575" t="s">
        <v>733</v>
      </c>
      <c r="Y102" s="575" t="s">
        <v>78</v>
      </c>
      <c r="Z102" s="15"/>
      <c r="AA102" s="18"/>
      <c r="AD102" s="33" t="str">
        <f>C102&amp;F102</f>
        <v>BulgariaLC bn</v>
      </c>
    </row>
    <row r="103" spans="1:30" s="6" customFormat="1" ht="130" customHeight="1">
      <c r="A103" s="638"/>
      <c r="B103" s="638"/>
      <c r="C103" s="632"/>
      <c r="D103" s="629"/>
      <c r="E103" s="3"/>
      <c r="F103" s="32" t="s">
        <v>116</v>
      </c>
      <c r="G103" s="69" t="e">
        <f>G102/VLOOKUP($C102,#REF!,7,0)</f>
        <v>#REF!</v>
      </c>
      <c r="H103" s="69" t="e">
        <f>H102/VLOOKUP($C102,#REF!,7,0)</f>
        <v>#REF!</v>
      </c>
      <c r="I103" s="591"/>
      <c r="J103" s="69" t="e">
        <f>J102/VLOOKUP($C102,#REF!,7,0)</f>
        <v>#REF!</v>
      </c>
      <c r="K103" s="582"/>
      <c r="L103" s="69" t="e">
        <f>L102/VLOOKUP($C102,#REF!,7,0)</f>
        <v>#REF!</v>
      </c>
      <c r="M103" s="576"/>
      <c r="N103" s="3"/>
      <c r="O103" s="32" t="s">
        <v>116</v>
      </c>
      <c r="P103" s="69" t="e">
        <f>Q103+U103+W103</f>
        <v>#REF!</v>
      </c>
      <c r="Q103" s="170" t="e">
        <f>Q102/VLOOKUP(C102,#REF!,7,0)</f>
        <v>#REF!</v>
      </c>
      <c r="R103" s="576"/>
      <c r="S103" s="3"/>
      <c r="T103" s="32" t="s">
        <v>116</v>
      </c>
      <c r="U103" s="69"/>
      <c r="V103" s="576"/>
      <c r="W103" s="69" t="e">
        <f>W102/VLOOKUP($C102,#REF!,7,0)</f>
        <v>#REF!</v>
      </c>
      <c r="X103" s="576"/>
      <c r="Y103" s="576"/>
      <c r="Z103" s="3"/>
      <c r="AA103" s="28"/>
      <c r="AD103" s="33" t="str">
        <f>C102&amp;F103</f>
        <v>BulgariaUSD bn</v>
      </c>
    </row>
    <row r="104" spans="1:30" ht="130" customHeight="1">
      <c r="A104" s="638"/>
      <c r="B104" s="638"/>
      <c r="C104" s="633"/>
      <c r="D104" s="630"/>
      <c r="E104" s="12"/>
      <c r="F104" s="31" t="s">
        <v>117</v>
      </c>
      <c r="G104" s="17" t="e">
        <f>(G102/VLOOKUP($C102,#REF!,4,0))*100</f>
        <v>#REF!</v>
      </c>
      <c r="H104" s="17" t="e">
        <f>(H102/VLOOKUP($C102,#REF!,4,0))*100</f>
        <v>#REF!</v>
      </c>
      <c r="I104" s="592"/>
      <c r="J104" s="17" t="e">
        <f>(J102/VLOOKUP($C102,#REF!,4,0))*100</f>
        <v>#REF!</v>
      </c>
      <c r="K104" s="583"/>
      <c r="L104" s="17" t="e">
        <f>(L102/VLOOKUP($C102,#REF!,4,0))*100</f>
        <v>#REF!</v>
      </c>
      <c r="M104" s="577"/>
      <c r="N104" s="12"/>
      <c r="O104" s="31" t="s">
        <v>117</v>
      </c>
      <c r="P104" s="17" t="e">
        <f>Q104+U104+W104</f>
        <v>#REF!</v>
      </c>
      <c r="Q104" s="17" t="e">
        <f>(Q102/VLOOKUP($C102,#REF!,4,0))*100</f>
        <v>#REF!</v>
      </c>
      <c r="R104" s="577"/>
      <c r="S104" s="12"/>
      <c r="T104" s="31" t="s">
        <v>117</v>
      </c>
      <c r="U104" s="17"/>
      <c r="V104" s="577"/>
      <c r="W104" s="17" t="e">
        <f>(W102/VLOOKUP($C102,#REF!,4,0))*100</f>
        <v>#REF!</v>
      </c>
      <c r="X104" s="577"/>
      <c r="Y104" s="577"/>
      <c r="Z104" s="1"/>
      <c r="AA104" s="26"/>
      <c r="AD104" s="33" t="str">
        <f>C102&amp;F104</f>
        <v>Bulgaria% GDP</v>
      </c>
    </row>
    <row r="105" spans="1:30" s="6" customFormat="1" ht="37" customHeight="1">
      <c r="A105" s="638">
        <v>0</v>
      </c>
      <c r="B105" s="638" t="s">
        <v>861</v>
      </c>
      <c r="C105" s="632" t="s">
        <v>42</v>
      </c>
      <c r="D105" s="629" t="s">
        <v>571</v>
      </c>
      <c r="E105" s="16"/>
      <c r="F105" s="37" t="s">
        <v>115</v>
      </c>
      <c r="G105" s="182">
        <v>14800</v>
      </c>
      <c r="H105" s="183">
        <v>1400</v>
      </c>
      <c r="I105" s="645" t="s">
        <v>634</v>
      </c>
      <c r="J105" s="183">
        <f>G105-H105</f>
        <v>13400</v>
      </c>
      <c r="K105" s="581" t="s">
        <v>872</v>
      </c>
      <c r="L105" s="183">
        <v>3100</v>
      </c>
      <c r="M105" s="582" t="s">
        <v>615</v>
      </c>
      <c r="N105" s="16"/>
      <c r="O105" s="32" t="s">
        <v>115</v>
      </c>
      <c r="P105" s="183">
        <f t="shared" si="6"/>
        <v>4550</v>
      </c>
      <c r="Q105" s="183">
        <v>2100</v>
      </c>
      <c r="R105" s="582" t="s">
        <v>617</v>
      </c>
      <c r="S105" s="16"/>
      <c r="T105" s="32" t="s">
        <v>115</v>
      </c>
      <c r="U105" s="183">
        <v>2450</v>
      </c>
      <c r="V105" s="582" t="s">
        <v>616</v>
      </c>
      <c r="W105" s="268"/>
      <c r="X105" s="600"/>
      <c r="Y105" s="575" t="s">
        <v>244</v>
      </c>
      <c r="Z105" s="16"/>
      <c r="AA105" s="605" t="s">
        <v>50</v>
      </c>
      <c r="AD105" s="33" t="str">
        <f>C105&amp;F105</f>
        <v>ChileLC bn</v>
      </c>
    </row>
    <row r="106" spans="1:30" s="36" customFormat="1" ht="42.65" customHeight="1">
      <c r="A106" s="638"/>
      <c r="B106" s="638"/>
      <c r="C106" s="632"/>
      <c r="D106" s="629"/>
      <c r="E106" s="6"/>
      <c r="F106" s="32" t="s">
        <v>116</v>
      </c>
      <c r="G106" s="81" t="e">
        <f>G105/VLOOKUP($C105,#REF!,7,0)</f>
        <v>#REF!</v>
      </c>
      <c r="H106" s="69" t="e">
        <f>H105/VLOOKUP($C105,#REF!,7,0)</f>
        <v>#REF!</v>
      </c>
      <c r="I106" s="646"/>
      <c r="J106" s="81" t="e">
        <f>J105/VLOOKUP($C105,#REF!,7,0)</f>
        <v>#REF!</v>
      </c>
      <c r="K106" s="582"/>
      <c r="L106" s="69" t="e">
        <f>L105/VLOOKUP($C105,#REF!,7,0)</f>
        <v>#REF!</v>
      </c>
      <c r="M106" s="582"/>
      <c r="N106" s="6"/>
      <c r="O106" s="32" t="s">
        <v>116</v>
      </c>
      <c r="P106" s="248" t="e">
        <f t="shared" si="6"/>
        <v>#REF!</v>
      </c>
      <c r="Q106" s="69" t="e">
        <f>Q105/VLOOKUP(C105,#REF!,7,0)</f>
        <v>#REF!</v>
      </c>
      <c r="R106" s="582"/>
      <c r="S106" s="6"/>
      <c r="T106" s="32" t="s">
        <v>116</v>
      </c>
      <c r="U106" s="69" t="e">
        <f>U105/VLOOKUP(C105,#REF!,7,0)</f>
        <v>#REF!</v>
      </c>
      <c r="V106" s="582"/>
      <c r="W106" s="69"/>
      <c r="X106" s="601"/>
      <c r="Y106" s="576"/>
      <c r="Z106" s="6"/>
      <c r="AA106" s="606"/>
      <c r="AD106" s="33" t="str">
        <f>C105&amp;F106</f>
        <v>ChileUSD bn</v>
      </c>
    </row>
    <row r="107" spans="1:30" ht="43" customHeight="1">
      <c r="A107" s="638"/>
      <c r="B107" s="638"/>
      <c r="C107" s="633"/>
      <c r="D107" s="630"/>
      <c r="E107" s="12"/>
      <c r="F107" s="31" t="s">
        <v>117</v>
      </c>
      <c r="G107" s="17" t="e">
        <f>(G105/VLOOKUP($C105,#REF!,4,0))*100</f>
        <v>#REF!</v>
      </c>
      <c r="H107" s="17" t="e">
        <f>(H105/VLOOKUP($C105,#REF!,4,0))*100</f>
        <v>#REF!</v>
      </c>
      <c r="I107" s="647"/>
      <c r="J107" s="17" t="e">
        <f>(J105/VLOOKUP($C105,#REF!,4,0))*100</f>
        <v>#REF!</v>
      </c>
      <c r="K107" s="583"/>
      <c r="L107" s="68" t="e">
        <f>(L105/VLOOKUP(C105,#REF!,4,0))*100</f>
        <v>#REF!</v>
      </c>
      <c r="M107" s="583"/>
      <c r="N107" s="12"/>
      <c r="O107" s="31" t="s">
        <v>117</v>
      </c>
      <c r="P107" s="267" t="e">
        <f t="shared" si="6"/>
        <v>#REF!</v>
      </c>
      <c r="Q107" s="17" t="e">
        <f>(Q105/VLOOKUP(C105,#REF!,4,0))*100</f>
        <v>#REF!</v>
      </c>
      <c r="R107" s="583"/>
      <c r="S107" s="12"/>
      <c r="T107" s="31" t="s">
        <v>117</v>
      </c>
      <c r="U107" s="17" t="e">
        <f>(U105/VLOOKUP(C105,#REF!,4,0))*100</f>
        <v>#REF!</v>
      </c>
      <c r="V107" s="583"/>
      <c r="W107" s="17"/>
      <c r="X107" s="602"/>
      <c r="Y107" s="577"/>
      <c r="Z107" s="1"/>
      <c r="AA107" s="607"/>
      <c r="AD107" s="33" t="str">
        <f>C105&amp;F107</f>
        <v>Chile% GDP</v>
      </c>
    </row>
    <row r="108" spans="1:30" s="6" customFormat="1" ht="90" customHeight="1">
      <c r="A108" s="638">
        <v>0</v>
      </c>
      <c r="B108" s="638" t="s">
        <v>861</v>
      </c>
      <c r="C108" s="632" t="s">
        <v>34</v>
      </c>
      <c r="D108" s="628" t="s">
        <v>570</v>
      </c>
      <c r="E108" s="16"/>
      <c r="F108" s="37" t="s">
        <v>115</v>
      </c>
      <c r="G108" s="127">
        <f>H108+J108</f>
        <v>14557</v>
      </c>
      <c r="H108" s="127">
        <v>7284</v>
      </c>
      <c r="I108" s="600" t="s">
        <v>767</v>
      </c>
      <c r="J108" s="127">
        <v>7273</v>
      </c>
      <c r="K108" s="575" t="s">
        <v>801</v>
      </c>
      <c r="L108" s="74">
        <v>400</v>
      </c>
      <c r="M108" s="575" t="s">
        <v>766</v>
      </c>
      <c r="N108" s="16"/>
      <c r="O108" s="32" t="s">
        <v>115</v>
      </c>
      <c r="P108" s="127">
        <f>Q108+U108+W108</f>
        <v>3755</v>
      </c>
      <c r="Q108" s="127">
        <v>3755</v>
      </c>
      <c r="R108" s="608" t="s">
        <v>713</v>
      </c>
      <c r="S108" s="16"/>
      <c r="T108" s="32" t="s">
        <v>115</v>
      </c>
      <c r="U108" s="49"/>
      <c r="V108" s="575"/>
      <c r="W108" s="22"/>
      <c r="X108" s="22"/>
      <c r="Y108" s="22"/>
      <c r="Z108" s="16"/>
      <c r="AA108" s="18"/>
      <c r="AD108" s="33" t="str">
        <f>C108&amp;F108</f>
        <v>ColombiaLC bn</v>
      </c>
    </row>
    <row r="109" spans="1:30" s="6" customFormat="1" ht="90" customHeight="1">
      <c r="A109" s="638"/>
      <c r="B109" s="638"/>
      <c r="C109" s="632"/>
      <c r="D109" s="629"/>
      <c r="F109" s="32" t="s">
        <v>116</v>
      </c>
      <c r="G109" s="69" t="e">
        <f>G108/VLOOKUP($C108,#REF!,7,0)</f>
        <v>#REF!</v>
      </c>
      <c r="H109" s="69" t="e">
        <f>H108/VLOOKUP($C108,#REF!,7,0)</f>
        <v>#REF!</v>
      </c>
      <c r="I109" s="601"/>
      <c r="J109" s="69" t="e">
        <f>J108/VLOOKUP($C108,#REF!,7,0)</f>
        <v>#REF!</v>
      </c>
      <c r="K109" s="576"/>
      <c r="L109" s="69" t="e">
        <f>L108/VLOOKUP($C108,#REF!,7,0)</f>
        <v>#REF!</v>
      </c>
      <c r="M109" s="576"/>
      <c r="O109" s="32" t="s">
        <v>116</v>
      </c>
      <c r="P109" s="56" t="e">
        <f>Q109+U109+W109</f>
        <v>#REF!</v>
      </c>
      <c r="Q109" s="170" t="e">
        <f>Q108/#REF!</f>
        <v>#REF!</v>
      </c>
      <c r="R109" s="576"/>
      <c r="T109" s="32" t="s">
        <v>116</v>
      </c>
      <c r="U109" s="69"/>
      <c r="V109" s="576"/>
      <c r="W109" s="35"/>
      <c r="X109" s="35"/>
      <c r="Y109" s="35"/>
      <c r="AA109" s="28"/>
      <c r="AD109" s="33" t="str">
        <f>C108&amp;F109</f>
        <v>ColombiaUSD bn</v>
      </c>
    </row>
    <row r="110" spans="1:30" ht="79.5" customHeight="1">
      <c r="A110" s="638"/>
      <c r="B110" s="638"/>
      <c r="C110" s="633"/>
      <c r="D110" s="630"/>
      <c r="E110" s="12"/>
      <c r="F110" s="31" t="s">
        <v>117</v>
      </c>
      <c r="G110" s="17" t="e">
        <f>(G108/VLOOKUP($C108,#REF!,4,0))*100</f>
        <v>#REF!</v>
      </c>
      <c r="H110" s="17" t="e">
        <f>(H108/VLOOKUP($C108,#REF!,4,0))*100</f>
        <v>#REF!</v>
      </c>
      <c r="I110" s="602"/>
      <c r="J110" s="17" t="e">
        <f>(J108/VLOOKUP($C108,#REF!,4,0))*100</f>
        <v>#REF!</v>
      </c>
      <c r="K110" s="577"/>
      <c r="L110" s="17" t="e">
        <f>(L108/VLOOKUP($C108,#REF!,4,0))*100</f>
        <v>#REF!</v>
      </c>
      <c r="M110" s="577"/>
      <c r="N110" s="12"/>
      <c r="O110" s="31" t="s">
        <v>117</v>
      </c>
      <c r="P110" s="17" t="e">
        <f>Q110+U110+W110</f>
        <v>#REF!</v>
      </c>
      <c r="Q110" s="168" t="e">
        <f>Q108/#REF!*100</f>
        <v>#REF!</v>
      </c>
      <c r="R110" s="577"/>
      <c r="S110" s="12"/>
      <c r="T110" s="31" t="s">
        <v>117</v>
      </c>
      <c r="U110" s="17"/>
      <c r="V110" s="577"/>
      <c r="W110" s="19"/>
      <c r="X110" s="19"/>
      <c r="Y110" s="19"/>
      <c r="Z110" s="1"/>
      <c r="AA110" s="26"/>
      <c r="AD110" s="33" t="str">
        <f>C108&amp;F110</f>
        <v>Colombia% GDP</v>
      </c>
    </row>
    <row r="111" spans="1:30" s="36" customFormat="1" ht="99.65" customHeight="1">
      <c r="A111" s="638">
        <v>0</v>
      </c>
      <c r="B111" s="638" t="s">
        <v>861</v>
      </c>
      <c r="C111" s="632" t="s">
        <v>23</v>
      </c>
      <c r="D111" s="628" t="s">
        <v>571</v>
      </c>
      <c r="E111" s="14"/>
      <c r="F111" s="37" t="s">
        <v>115</v>
      </c>
      <c r="G111" s="93">
        <v>100</v>
      </c>
      <c r="H111" s="74">
        <v>7.7</v>
      </c>
      <c r="I111" s="575" t="s">
        <v>635</v>
      </c>
      <c r="J111" s="93">
        <f>G111-H111</f>
        <v>92.3</v>
      </c>
      <c r="K111" s="575" t="s">
        <v>636</v>
      </c>
      <c r="L111" s="18"/>
      <c r="M111" s="575" t="s">
        <v>637</v>
      </c>
      <c r="N111" s="14"/>
      <c r="O111" s="32" t="s">
        <v>115</v>
      </c>
      <c r="P111" s="53">
        <f>U111</f>
        <v>3</v>
      </c>
      <c r="Q111" s="94" t="s">
        <v>84</v>
      </c>
      <c r="R111" s="590" t="s">
        <v>322</v>
      </c>
      <c r="S111" s="14"/>
      <c r="T111" s="32" t="s">
        <v>115</v>
      </c>
      <c r="U111" s="53">
        <v>3</v>
      </c>
      <c r="V111" s="575" t="s">
        <v>560</v>
      </c>
      <c r="W111" s="18"/>
      <c r="X111" s="18"/>
      <c r="Y111" s="18"/>
      <c r="Z111" s="14"/>
      <c r="AA111" s="18"/>
      <c r="AD111" s="33" t="str">
        <f>C111&amp;F111</f>
        <v>EgyptLC bn</v>
      </c>
    </row>
    <row r="112" spans="1:30" s="36" customFormat="1" ht="95.15" customHeight="1">
      <c r="A112" s="638"/>
      <c r="B112" s="638"/>
      <c r="C112" s="632"/>
      <c r="D112" s="629"/>
      <c r="F112" s="32" t="s">
        <v>116</v>
      </c>
      <c r="G112" s="69" t="e">
        <f>G111/VLOOKUP(C111,#REF!,7,0)</f>
        <v>#REF!</v>
      </c>
      <c r="H112" s="69" t="e">
        <f>H111/VLOOKUP($C111,#REF!,7,0)</f>
        <v>#REF!</v>
      </c>
      <c r="I112" s="591"/>
      <c r="J112" s="56" t="e">
        <f>J111/VLOOKUP(C111,#REF!,7,0)</f>
        <v>#REF!</v>
      </c>
      <c r="K112" s="576"/>
      <c r="L112" s="28"/>
      <c r="M112" s="576"/>
      <c r="O112" s="32" t="s">
        <v>116</v>
      </c>
      <c r="P112" s="56" t="e">
        <f t="shared" ref="P112:P143" si="7">Q112+U112+W112</f>
        <v>#REF!</v>
      </c>
      <c r="Q112" s="178"/>
      <c r="R112" s="591"/>
      <c r="T112" s="32" t="s">
        <v>116</v>
      </c>
      <c r="U112" s="56" t="e">
        <f>U111/VLOOKUP(C111,#REF!,7,0)</f>
        <v>#REF!</v>
      </c>
      <c r="V112" s="576"/>
      <c r="W112" s="28"/>
      <c r="X112" s="28"/>
      <c r="Y112" s="28"/>
      <c r="AA112" s="28"/>
      <c r="AD112" s="33" t="str">
        <f>C111&amp;F112</f>
        <v>EgyptUSD bn</v>
      </c>
    </row>
    <row r="113" spans="1:30" ht="90" customHeight="1">
      <c r="A113" s="638"/>
      <c r="B113" s="638"/>
      <c r="C113" s="633"/>
      <c r="D113" s="630"/>
      <c r="E113" s="12"/>
      <c r="F113" s="31" t="s">
        <v>117</v>
      </c>
      <c r="G113" s="17" t="e">
        <f>(G111/VLOOKUP(C111,#REF!,4,0))*100</f>
        <v>#REF!</v>
      </c>
      <c r="H113" s="17" t="e">
        <f>(H111/VLOOKUP($C111,#REF!,4,0))*100</f>
        <v>#REF!</v>
      </c>
      <c r="I113" s="592"/>
      <c r="J113" s="68" t="e">
        <f>(J111/VLOOKUP(C111,#REF!,4,0))*100</f>
        <v>#REF!</v>
      </c>
      <c r="K113" s="577"/>
      <c r="L113" s="19"/>
      <c r="M113" s="577"/>
      <c r="N113" s="12"/>
      <c r="O113" s="31" t="s">
        <v>117</v>
      </c>
      <c r="P113" s="17" t="e">
        <f t="shared" si="7"/>
        <v>#REF!</v>
      </c>
      <c r="Q113" s="168"/>
      <c r="R113" s="592"/>
      <c r="S113" s="12"/>
      <c r="T113" s="31" t="s">
        <v>117</v>
      </c>
      <c r="U113" s="17" t="e">
        <f>(U111/VLOOKUP(C111,#REF!,4,0))*100</f>
        <v>#REF!</v>
      </c>
      <c r="V113" s="577"/>
      <c r="W113" s="19"/>
      <c r="X113" s="19"/>
      <c r="Y113" s="19"/>
      <c r="Z113" s="1"/>
      <c r="AA113" s="26"/>
      <c r="AD113" s="33" t="str">
        <f>C111&amp;F113</f>
        <v>Egypt% GDP</v>
      </c>
    </row>
    <row r="114" spans="1:30" ht="70.5" customHeight="1">
      <c r="A114" s="638">
        <v>0</v>
      </c>
      <c r="B114" s="638" t="s">
        <v>861</v>
      </c>
      <c r="C114" s="632" t="s">
        <v>549</v>
      </c>
      <c r="D114" s="629" t="s">
        <v>570</v>
      </c>
      <c r="E114" s="6"/>
      <c r="F114" s="37" t="s">
        <v>115</v>
      </c>
      <c r="G114" s="69">
        <v>2</v>
      </c>
      <c r="H114" s="56">
        <v>0.52300000000000002</v>
      </c>
      <c r="I114" s="639" t="s">
        <v>781</v>
      </c>
      <c r="J114" s="56">
        <f>G114-H114</f>
        <v>1.4769999999999999</v>
      </c>
      <c r="K114" s="575" t="s">
        <v>783</v>
      </c>
      <c r="L114" s="28"/>
      <c r="M114" s="575" t="s">
        <v>816</v>
      </c>
      <c r="N114" s="6"/>
      <c r="O114" s="32" t="s">
        <v>115</v>
      </c>
      <c r="P114" s="69">
        <f>Q114+U114+W114</f>
        <v>7.0000000000000007E-2</v>
      </c>
      <c r="Q114" s="69">
        <v>7.0000000000000007E-2</v>
      </c>
      <c r="R114" s="575" t="s">
        <v>784</v>
      </c>
      <c r="S114" s="6"/>
      <c r="T114" s="32" t="s">
        <v>115</v>
      </c>
      <c r="U114" s="262"/>
      <c r="V114" s="619"/>
      <c r="W114" s="28"/>
      <c r="X114" s="28"/>
      <c r="Y114" s="28"/>
      <c r="AA114" s="27"/>
      <c r="AD114" s="33" t="str">
        <f>C114&amp;F114</f>
        <v>GeorgiaLC bn</v>
      </c>
    </row>
    <row r="115" spans="1:30" ht="90" customHeight="1">
      <c r="A115" s="638"/>
      <c r="B115" s="638"/>
      <c r="C115" s="632"/>
      <c r="D115" s="629"/>
      <c r="E115" s="6"/>
      <c r="F115" s="32" t="s">
        <v>116</v>
      </c>
      <c r="G115" s="69" t="e">
        <f>G114/VLOOKUP($C114,#REF!,7,0)</f>
        <v>#REF!</v>
      </c>
      <c r="H115" s="69" t="e">
        <f>H114/VLOOKUP($C114,#REF!,7,0)</f>
        <v>#REF!</v>
      </c>
      <c r="I115" s="576"/>
      <c r="J115" s="69" t="e">
        <f>J114/VLOOKUP($C114,#REF!,7,0)</f>
        <v>#REF!</v>
      </c>
      <c r="K115" s="576"/>
      <c r="L115" s="69"/>
      <c r="M115" s="576"/>
      <c r="N115" s="6"/>
      <c r="O115" s="32" t="s">
        <v>116</v>
      </c>
      <c r="P115" s="56" t="e">
        <f>Q115+U115+W115</f>
        <v>#REF!</v>
      </c>
      <c r="Q115" s="64" t="e">
        <f>Q114/#REF!</f>
        <v>#REF!</v>
      </c>
      <c r="R115" s="576"/>
      <c r="S115" s="6"/>
      <c r="T115" s="32" t="s">
        <v>116</v>
      </c>
      <c r="U115" s="69"/>
      <c r="V115" s="620"/>
      <c r="W115" s="28"/>
      <c r="X115" s="28"/>
      <c r="Y115" s="28"/>
      <c r="AA115" s="27"/>
      <c r="AD115" s="33" t="str">
        <f>C114&amp;F115</f>
        <v>GeorgiaUSD bn</v>
      </c>
    </row>
    <row r="116" spans="1:30" ht="90" customHeight="1">
      <c r="A116" s="638"/>
      <c r="B116" s="638"/>
      <c r="C116" s="633"/>
      <c r="D116" s="630"/>
      <c r="E116" s="6"/>
      <c r="F116" s="31" t="s">
        <v>117</v>
      </c>
      <c r="G116" s="17" t="e">
        <f>(G114/VLOOKUP($C114,#REF!,4,0))*100</f>
        <v>#REF!</v>
      </c>
      <c r="H116" s="17" t="e">
        <f>(H114/VLOOKUP($C114,#REF!,4,0))*100</f>
        <v>#REF!</v>
      </c>
      <c r="I116" s="577"/>
      <c r="J116" s="17" t="e">
        <f>(J114/VLOOKUP($C114,#REF!,4,0))*100</f>
        <v>#REF!</v>
      </c>
      <c r="K116" s="577"/>
      <c r="L116" s="17"/>
      <c r="M116" s="577"/>
      <c r="N116" s="6"/>
      <c r="O116" s="31" t="s">
        <v>117</v>
      </c>
      <c r="P116" s="17" t="e">
        <f>Q116+U116+W116</f>
        <v>#REF!</v>
      </c>
      <c r="Q116" s="65" t="e">
        <f>Q114/#REF!*100</f>
        <v>#REF!</v>
      </c>
      <c r="R116" s="577"/>
      <c r="S116" s="6"/>
      <c r="T116" s="31" t="s">
        <v>117</v>
      </c>
      <c r="U116" s="17"/>
      <c r="V116" s="621"/>
      <c r="W116" s="28"/>
      <c r="X116" s="28"/>
      <c r="Y116" s="28"/>
      <c r="AA116" s="27"/>
      <c r="AD116" s="33" t="str">
        <f>C114&amp;F116</f>
        <v>Georgia% GDP</v>
      </c>
    </row>
    <row r="117" spans="1:30" s="10" customFormat="1" ht="55" customHeight="1">
      <c r="A117" s="638">
        <v>0</v>
      </c>
      <c r="B117" s="638" t="s">
        <v>861</v>
      </c>
      <c r="C117" s="632" t="s">
        <v>35</v>
      </c>
      <c r="D117" s="629" t="s">
        <v>571</v>
      </c>
      <c r="E117" s="13"/>
      <c r="F117" s="37" t="s">
        <v>115</v>
      </c>
      <c r="G117" s="127">
        <v>1400</v>
      </c>
      <c r="H117" s="74" t="s">
        <v>84</v>
      </c>
      <c r="I117" s="575" t="s">
        <v>638</v>
      </c>
      <c r="J117" s="74" t="s">
        <v>84</v>
      </c>
      <c r="K117" s="575" t="s">
        <v>742</v>
      </c>
      <c r="L117" s="74" t="s">
        <v>84</v>
      </c>
      <c r="M117" s="575" t="s">
        <v>809</v>
      </c>
      <c r="N117" s="13"/>
      <c r="O117" s="37" t="s">
        <v>115</v>
      </c>
      <c r="P117" s="127">
        <f>Q117+W117</f>
        <v>1900</v>
      </c>
      <c r="Q117" s="127">
        <v>1300</v>
      </c>
      <c r="R117" s="575" t="s">
        <v>655</v>
      </c>
      <c r="S117" s="13"/>
      <c r="T117" s="37" t="s">
        <v>115</v>
      </c>
      <c r="U117" s="93"/>
      <c r="V117" s="575" t="s">
        <v>576</v>
      </c>
      <c r="W117" s="74">
        <v>600</v>
      </c>
      <c r="X117" s="575" t="s">
        <v>577</v>
      </c>
      <c r="Y117" s="18"/>
      <c r="Z117" s="13"/>
      <c r="AA117" s="18"/>
      <c r="AD117" s="33" t="str">
        <f>C117&amp;F117</f>
        <v>KazakhstanLC bn</v>
      </c>
    </row>
    <row r="118" spans="1:30" s="10" customFormat="1" ht="55" customHeight="1">
      <c r="A118" s="638"/>
      <c r="B118" s="638"/>
      <c r="C118" s="632"/>
      <c r="D118" s="629"/>
      <c r="F118" s="32" t="s">
        <v>116</v>
      </c>
      <c r="G118" s="69" t="e">
        <f>G117/VLOOKUP($C117,#REF!,7,0)</f>
        <v>#REF!</v>
      </c>
      <c r="H118" s="75"/>
      <c r="I118" s="576"/>
      <c r="J118" s="75"/>
      <c r="K118" s="576"/>
      <c r="L118" s="28"/>
      <c r="M118" s="576"/>
      <c r="O118" s="32" t="s">
        <v>116</v>
      </c>
      <c r="P118" s="248" t="e">
        <f t="shared" si="7"/>
        <v>#REF!</v>
      </c>
      <c r="Q118" s="69" t="e">
        <f>Q117/VLOOKUP($C117,#REF!,7,0)</f>
        <v>#REF!</v>
      </c>
      <c r="R118" s="576"/>
      <c r="T118" s="32" t="s">
        <v>116</v>
      </c>
      <c r="U118" s="56"/>
      <c r="V118" s="576"/>
      <c r="W118" s="69" t="e">
        <f>W117/VLOOKUP($C117,#REF!,7,0)</f>
        <v>#REF!</v>
      </c>
      <c r="X118" s="576"/>
      <c r="Y118" s="28"/>
      <c r="AA118" s="28"/>
      <c r="AD118" s="33" t="str">
        <f>C117&amp;F118</f>
        <v>KazakhstanUSD bn</v>
      </c>
    </row>
    <row r="119" spans="1:30" ht="73.5" customHeight="1">
      <c r="A119" s="638"/>
      <c r="B119" s="638"/>
      <c r="C119" s="633"/>
      <c r="D119" s="630"/>
      <c r="E119" s="12"/>
      <c r="F119" s="31" t="s">
        <v>117</v>
      </c>
      <c r="G119" s="17" t="e">
        <f>(G117/VLOOKUP($C117,#REF!,4,0))*100</f>
        <v>#REF!</v>
      </c>
      <c r="H119" s="76"/>
      <c r="I119" s="577"/>
      <c r="J119" s="68"/>
      <c r="K119" s="577"/>
      <c r="L119" s="19"/>
      <c r="M119" s="577"/>
      <c r="N119" s="12"/>
      <c r="O119" s="31" t="s">
        <v>117</v>
      </c>
      <c r="P119" s="267" t="e">
        <f t="shared" si="7"/>
        <v>#REF!</v>
      </c>
      <c r="Q119" s="17" t="e">
        <f>(Q117/VLOOKUP($C117,#REF!,4,0))*100</f>
        <v>#REF!</v>
      </c>
      <c r="R119" s="577"/>
      <c r="S119" s="12"/>
      <c r="T119" s="31" t="s">
        <v>117</v>
      </c>
      <c r="U119" s="17"/>
      <c r="V119" s="577"/>
      <c r="W119" s="17" t="e">
        <f>(W117/VLOOKUP($C117,#REF!,4,0))*100</f>
        <v>#REF!</v>
      </c>
      <c r="X119" s="577"/>
      <c r="Y119" s="19"/>
      <c r="Z119" s="1"/>
      <c r="AA119" s="26"/>
      <c r="AD119" s="33" t="str">
        <f>C117&amp;F119</f>
        <v>Kazakhstan% GDP</v>
      </c>
    </row>
    <row r="120" spans="1:30" ht="46.5" customHeight="1">
      <c r="A120" s="638">
        <v>0</v>
      </c>
      <c r="B120" s="638" t="s">
        <v>861</v>
      </c>
      <c r="C120" s="632" t="s">
        <v>92</v>
      </c>
      <c r="D120" s="629" t="s">
        <v>570</v>
      </c>
      <c r="E120" s="13"/>
      <c r="F120" s="37" t="s">
        <v>115</v>
      </c>
      <c r="G120" s="53">
        <f>H120+J120</f>
        <v>8.0500000000000007</v>
      </c>
      <c r="H120" s="74">
        <v>1.3</v>
      </c>
      <c r="I120" s="575" t="s">
        <v>639</v>
      </c>
      <c r="J120" s="53">
        <v>6.75</v>
      </c>
      <c r="K120" s="575" t="s">
        <v>640</v>
      </c>
      <c r="L120" s="18"/>
      <c r="M120" s="18"/>
      <c r="N120" s="13"/>
      <c r="O120" s="32" t="s">
        <v>115</v>
      </c>
      <c r="P120" s="266">
        <f t="shared" si="7"/>
        <v>4.3449999999999998</v>
      </c>
      <c r="Q120" s="177">
        <f>4+0.2+0.145</f>
        <v>4.3449999999999998</v>
      </c>
      <c r="R120" s="575" t="s">
        <v>729</v>
      </c>
      <c r="S120" s="13"/>
      <c r="T120" s="32" t="s">
        <v>115</v>
      </c>
      <c r="U120" s="53"/>
      <c r="V120" s="575"/>
      <c r="W120" s="18"/>
      <c r="X120" s="18"/>
      <c r="Y120" s="18"/>
      <c r="Z120" s="13"/>
      <c r="AA120" s="18"/>
      <c r="AD120" s="33" t="str">
        <f>C120&amp;F120</f>
        <v>MauritiusLC bn</v>
      </c>
    </row>
    <row r="121" spans="1:30" ht="42.65" customHeight="1">
      <c r="A121" s="638"/>
      <c r="B121" s="638"/>
      <c r="C121" s="632"/>
      <c r="D121" s="629"/>
      <c r="E121" s="10"/>
      <c r="F121" s="32" t="s">
        <v>116</v>
      </c>
      <c r="G121" s="69" t="e">
        <f>G120/VLOOKUP(C120,#REF!,7,0)</f>
        <v>#REF!</v>
      </c>
      <c r="H121" s="69" t="e">
        <f>H120/VLOOKUP($C120,#REF!,7,0)</f>
        <v>#REF!</v>
      </c>
      <c r="I121" s="576"/>
      <c r="J121" s="69" t="e">
        <f>J120/VLOOKUP($C120,#REF!,7,0)</f>
        <v>#REF!</v>
      </c>
      <c r="K121" s="576"/>
      <c r="L121" s="28"/>
      <c r="M121" s="28"/>
      <c r="N121" s="10"/>
      <c r="O121" s="32" t="s">
        <v>116</v>
      </c>
      <c r="P121" s="248" t="e">
        <f t="shared" si="7"/>
        <v>#REF!</v>
      </c>
      <c r="Q121" s="170" t="e">
        <f>Q120/VLOOKUP(C120,#REF!,7,0)</f>
        <v>#REF!</v>
      </c>
      <c r="R121" s="576"/>
      <c r="S121" s="10"/>
      <c r="T121" s="32" t="s">
        <v>116</v>
      </c>
      <c r="U121" s="56"/>
      <c r="V121" s="576"/>
      <c r="W121" s="28"/>
      <c r="X121" s="28"/>
      <c r="Y121" s="28"/>
      <c r="Z121" s="10"/>
      <c r="AA121" s="28"/>
      <c r="AD121" s="33" t="str">
        <f>C120&amp;F121</f>
        <v>MauritiusUSD bn</v>
      </c>
    </row>
    <row r="122" spans="1:30" ht="56.5" customHeight="1">
      <c r="A122" s="638"/>
      <c r="B122" s="638"/>
      <c r="C122" s="633"/>
      <c r="D122" s="630"/>
      <c r="E122" s="12"/>
      <c r="F122" s="31" t="s">
        <v>117</v>
      </c>
      <c r="G122" s="17" t="e">
        <f>(G120/VLOOKUP(C120,#REF!,4,0))*100</f>
        <v>#REF!</v>
      </c>
      <c r="H122" s="17" t="e">
        <f>(H120/VLOOKUP($C120,#REF!,4,0))*100</f>
        <v>#REF!</v>
      </c>
      <c r="I122" s="577"/>
      <c r="J122" s="17" t="e">
        <f>J120/VLOOKUP($C120,#REF!,4,0)*100</f>
        <v>#REF!</v>
      </c>
      <c r="K122" s="577"/>
      <c r="L122" s="19"/>
      <c r="M122" s="19"/>
      <c r="N122" s="12"/>
      <c r="O122" s="31" t="s">
        <v>117</v>
      </c>
      <c r="P122" s="267" t="e">
        <f t="shared" si="7"/>
        <v>#REF!</v>
      </c>
      <c r="Q122" s="168" t="e">
        <f>(Q120/VLOOKUP(C120,#REF!,4,0))*100</f>
        <v>#REF!</v>
      </c>
      <c r="R122" s="577"/>
      <c r="S122" s="12"/>
      <c r="T122" s="31" t="s">
        <v>117</v>
      </c>
      <c r="U122" s="17"/>
      <c r="V122" s="577"/>
      <c r="W122" s="19"/>
      <c r="X122" s="19"/>
      <c r="Y122" s="19"/>
      <c r="Z122" s="1"/>
      <c r="AA122" s="26"/>
      <c r="AD122" s="33" t="str">
        <f>C120&amp;F122</f>
        <v>Mauritius% GDP</v>
      </c>
    </row>
    <row r="123" spans="1:30" ht="82.5" customHeight="1">
      <c r="A123" s="638">
        <v>0</v>
      </c>
      <c r="B123" s="638" t="s">
        <v>861</v>
      </c>
      <c r="C123" s="632" t="s">
        <v>554</v>
      </c>
      <c r="D123" s="629" t="s">
        <v>571</v>
      </c>
      <c r="E123" s="6"/>
      <c r="F123" s="37" t="s">
        <v>115</v>
      </c>
      <c r="G123" s="81">
        <f>H123+J123</f>
        <v>828</v>
      </c>
      <c r="H123" s="81">
        <v>178</v>
      </c>
      <c r="I123" s="575" t="s">
        <v>725</v>
      </c>
      <c r="J123" s="95">
        <f>600+50</f>
        <v>650</v>
      </c>
      <c r="K123" s="575" t="s">
        <v>726</v>
      </c>
      <c r="L123" s="95">
        <v>480</v>
      </c>
      <c r="M123" s="575" t="s">
        <v>727</v>
      </c>
      <c r="N123" s="6"/>
      <c r="O123" s="37" t="s">
        <v>115</v>
      </c>
      <c r="P123" s="53" t="s">
        <v>84</v>
      </c>
      <c r="Q123" s="170"/>
      <c r="R123" s="28"/>
      <c r="S123" s="6"/>
      <c r="T123" s="37" t="s">
        <v>115</v>
      </c>
      <c r="U123" s="69"/>
      <c r="V123" s="28"/>
      <c r="W123" s="28" t="s">
        <v>84</v>
      </c>
      <c r="X123" s="590" t="s">
        <v>728</v>
      </c>
      <c r="Y123" s="28"/>
      <c r="AA123" s="27"/>
      <c r="AD123" s="33" t="str">
        <f>C123&amp;F123</f>
        <v>PakistanLC bn</v>
      </c>
    </row>
    <row r="124" spans="1:30" ht="96.65" customHeight="1">
      <c r="A124" s="638"/>
      <c r="B124" s="638"/>
      <c r="C124" s="632"/>
      <c r="D124" s="629"/>
      <c r="E124" s="6"/>
      <c r="F124" s="32" t="s">
        <v>116</v>
      </c>
      <c r="G124" s="69" t="e">
        <f>G123/VLOOKUP($C123,#REF!,7,0)</f>
        <v>#REF!</v>
      </c>
      <c r="H124" s="69" t="e">
        <f>H123/VLOOKUP($C123,#REF!,7,0)</f>
        <v>#REF!</v>
      </c>
      <c r="I124" s="576"/>
      <c r="J124" s="69" t="e">
        <f>J123/VLOOKUP($C123,#REF!,7,0)</f>
        <v>#REF!</v>
      </c>
      <c r="K124" s="576"/>
      <c r="L124" s="69" t="e">
        <f>L123/VLOOKUP($C123,#REF!,7,0)</f>
        <v>#REF!</v>
      </c>
      <c r="M124" s="576"/>
      <c r="N124" s="6"/>
      <c r="O124" s="32" t="s">
        <v>116</v>
      </c>
      <c r="P124" s="248"/>
      <c r="Q124" s="69"/>
      <c r="R124" s="28"/>
      <c r="S124" s="6"/>
      <c r="T124" s="32" t="s">
        <v>116</v>
      </c>
      <c r="U124" s="69"/>
      <c r="V124" s="28"/>
      <c r="W124" s="28"/>
      <c r="X124" s="591"/>
      <c r="Y124" s="28"/>
      <c r="AA124" s="27"/>
      <c r="AD124" s="33" t="str">
        <f>C123&amp;F124</f>
        <v>PakistanUSD bn</v>
      </c>
    </row>
    <row r="125" spans="1:30" ht="92.5" customHeight="1">
      <c r="A125" s="638"/>
      <c r="B125" s="638"/>
      <c r="C125" s="633"/>
      <c r="D125" s="630"/>
      <c r="E125" s="6"/>
      <c r="F125" s="31" t="s">
        <v>117</v>
      </c>
      <c r="G125" s="17" t="e">
        <f>(G123/VLOOKUP($C123,#REF!,4,0))*100</f>
        <v>#REF!</v>
      </c>
      <c r="H125" s="17" t="e">
        <f>(H123/VLOOKUP($C123,#REF!,4,0))*100</f>
        <v>#REF!</v>
      </c>
      <c r="I125" s="577"/>
      <c r="J125" s="17" t="e">
        <f>(J123/VLOOKUP($C123,#REF!,4,0))*100</f>
        <v>#REF!</v>
      </c>
      <c r="K125" s="577"/>
      <c r="L125" s="17" t="e">
        <f>(L123/VLOOKUP($C123,#REF!,4,0))*100</f>
        <v>#REF!</v>
      </c>
      <c r="M125" s="577"/>
      <c r="N125" s="12"/>
      <c r="O125" s="31" t="s">
        <v>117</v>
      </c>
      <c r="P125" s="267"/>
      <c r="Q125" s="17"/>
      <c r="R125" s="19"/>
      <c r="S125" s="12"/>
      <c r="T125" s="31" t="s">
        <v>117</v>
      </c>
      <c r="U125" s="17"/>
      <c r="V125" s="19"/>
      <c r="W125" s="19"/>
      <c r="X125" s="592"/>
      <c r="Y125" s="28"/>
      <c r="AA125" s="27"/>
      <c r="AD125" s="33" t="str">
        <f>C123&amp;F125</f>
        <v>Pakistan% GDP</v>
      </c>
    </row>
    <row r="126" spans="1:30" ht="42.65" customHeight="1">
      <c r="A126" s="638">
        <v>0</v>
      </c>
      <c r="B126" s="638" t="s">
        <v>861</v>
      </c>
      <c r="C126" s="632" t="s">
        <v>555</v>
      </c>
      <c r="D126" s="629" t="s">
        <v>570</v>
      </c>
      <c r="E126" s="6"/>
      <c r="F126" s="37" t="s">
        <v>115</v>
      </c>
      <c r="G126" s="81">
        <v>55</v>
      </c>
      <c r="H126" s="69">
        <f>1.15+0.033</f>
        <v>1.1829999999999998</v>
      </c>
      <c r="I126" s="575" t="s">
        <v>641</v>
      </c>
      <c r="J126" s="81">
        <f>G126-H126</f>
        <v>53.817</v>
      </c>
      <c r="K126" s="575" t="s">
        <v>642</v>
      </c>
      <c r="L126" s="81">
        <v>10.3</v>
      </c>
      <c r="M126" s="575" t="s">
        <v>585</v>
      </c>
      <c r="N126" s="6"/>
      <c r="O126" s="37" t="s">
        <v>115</v>
      </c>
      <c r="P126" s="264">
        <f t="shared" si="7"/>
        <v>60</v>
      </c>
      <c r="Q126" s="69"/>
      <c r="R126" s="28"/>
      <c r="S126" s="6"/>
      <c r="T126" s="37" t="s">
        <v>115</v>
      </c>
      <c r="U126" s="81">
        <v>60</v>
      </c>
      <c r="V126" s="575" t="s">
        <v>578</v>
      </c>
      <c r="W126" s="262"/>
      <c r="X126" s="619"/>
      <c r="Y126" s="28"/>
      <c r="AA126" s="27"/>
      <c r="AD126" s="33" t="str">
        <f>C126&amp;F126</f>
        <v>PeruLC bn</v>
      </c>
    </row>
    <row r="127" spans="1:30" ht="37" customHeight="1">
      <c r="A127" s="638"/>
      <c r="B127" s="638"/>
      <c r="C127" s="632"/>
      <c r="D127" s="629"/>
      <c r="E127" s="6"/>
      <c r="F127" s="32" t="s">
        <v>116</v>
      </c>
      <c r="G127" s="81" t="e">
        <f>G126/VLOOKUP($C126,#REF!,7,0)</f>
        <v>#REF!</v>
      </c>
      <c r="H127" s="69" t="e">
        <f>H126/VLOOKUP($C126,#REF!,7,0)</f>
        <v>#REF!</v>
      </c>
      <c r="I127" s="576"/>
      <c r="J127" s="81" t="e">
        <f>J126/VLOOKUP($C126,#REF!,7,0)</f>
        <v>#REF!</v>
      </c>
      <c r="K127" s="576"/>
      <c r="L127" s="69" t="e">
        <f>L126/VLOOKUP($C126,#REF!,7,0)</f>
        <v>#REF!</v>
      </c>
      <c r="M127" s="576"/>
      <c r="N127" s="6"/>
      <c r="O127" s="32" t="s">
        <v>116</v>
      </c>
      <c r="P127" s="265" t="e">
        <f t="shared" si="7"/>
        <v>#REF!</v>
      </c>
      <c r="Q127" s="69"/>
      <c r="R127" s="28"/>
      <c r="S127" s="6"/>
      <c r="T127" s="32" t="s">
        <v>116</v>
      </c>
      <c r="U127" s="81" t="e">
        <f>U126/VLOOKUP($C126,#REF!,7,0)</f>
        <v>#REF!</v>
      </c>
      <c r="V127" s="576"/>
      <c r="W127" s="28"/>
      <c r="X127" s="620"/>
      <c r="Y127" s="28"/>
      <c r="AA127" s="27"/>
      <c r="AD127" s="33" t="str">
        <f>C126&amp;F127</f>
        <v>PeruUSD bn</v>
      </c>
    </row>
    <row r="128" spans="1:30" ht="44.5" customHeight="1">
      <c r="A128" s="638"/>
      <c r="B128" s="638"/>
      <c r="C128" s="633"/>
      <c r="D128" s="630"/>
      <c r="E128" s="6"/>
      <c r="F128" s="31" t="s">
        <v>117</v>
      </c>
      <c r="G128" s="17" t="e">
        <f>(G126/VLOOKUP($C126,#REF!,4,0))*100</f>
        <v>#REF!</v>
      </c>
      <c r="H128" s="17" t="e">
        <f>(H126/VLOOKUP($C126,#REF!,4,0))*100</f>
        <v>#REF!</v>
      </c>
      <c r="I128" s="577"/>
      <c r="J128" s="17" t="e">
        <f>(J126/VLOOKUP($C126,#REF!,4,0))*100</f>
        <v>#REF!</v>
      </c>
      <c r="K128" s="577"/>
      <c r="L128" s="17" t="e">
        <f>(L126/VLOOKUP($C126,#REF!,4,0))*100</f>
        <v>#REF!</v>
      </c>
      <c r="M128" s="577"/>
      <c r="N128" s="12"/>
      <c r="O128" s="31" t="s">
        <v>117</v>
      </c>
      <c r="P128" s="267" t="e">
        <f t="shared" si="7"/>
        <v>#REF!</v>
      </c>
      <c r="Q128" s="17"/>
      <c r="R128" s="19"/>
      <c r="S128" s="12"/>
      <c r="T128" s="31" t="s">
        <v>117</v>
      </c>
      <c r="U128" s="17" t="e">
        <f>(U126/VLOOKUP($C126,#REF!,4,0))*100</f>
        <v>#REF!</v>
      </c>
      <c r="V128" s="577"/>
      <c r="W128" s="19"/>
      <c r="X128" s="621"/>
      <c r="Y128" s="28"/>
      <c r="AA128" s="27"/>
      <c r="AD128" s="33" t="str">
        <f>C126&amp;F128</f>
        <v>Peru% GDP</v>
      </c>
    </row>
    <row r="129" spans="1:30" ht="40" customHeight="1">
      <c r="A129" s="638">
        <v>0</v>
      </c>
      <c r="B129" s="638" t="s">
        <v>861</v>
      </c>
      <c r="C129" s="632" t="s">
        <v>556</v>
      </c>
      <c r="D129" s="629" t="s">
        <v>571</v>
      </c>
      <c r="E129" s="6"/>
      <c r="F129" s="37" t="s">
        <v>115</v>
      </c>
      <c r="G129" s="81">
        <v>421.9</v>
      </c>
      <c r="H129" s="81">
        <v>64.099999999999994</v>
      </c>
      <c r="I129" s="575" t="s">
        <v>790</v>
      </c>
      <c r="J129" s="81">
        <f>315.8+42</f>
        <v>357.8</v>
      </c>
      <c r="K129" s="575" t="s">
        <v>743</v>
      </c>
      <c r="L129" s="69"/>
      <c r="M129" s="28"/>
      <c r="N129" s="6"/>
      <c r="O129" s="37" t="s">
        <v>115</v>
      </c>
      <c r="P129" s="264">
        <f t="shared" si="7"/>
        <v>193.8</v>
      </c>
      <c r="Q129" s="69">
        <f>2.8+70</f>
        <v>72.8</v>
      </c>
      <c r="R129" s="575" t="s">
        <v>810</v>
      </c>
      <c r="S129" s="6"/>
      <c r="T129" s="37" t="s">
        <v>115</v>
      </c>
      <c r="U129" s="81">
        <v>120</v>
      </c>
      <c r="V129" s="575" t="s">
        <v>579</v>
      </c>
      <c r="W129" s="69">
        <v>1</v>
      </c>
      <c r="X129" s="575" t="s">
        <v>580</v>
      </c>
      <c r="Y129" s="28"/>
      <c r="AA129" s="27"/>
      <c r="AD129" s="33" t="str">
        <f>C129&amp;F129</f>
        <v>PhilippinesLC bn</v>
      </c>
    </row>
    <row r="130" spans="1:30" ht="40" customHeight="1">
      <c r="A130" s="638"/>
      <c r="B130" s="638"/>
      <c r="C130" s="632"/>
      <c r="D130" s="629"/>
      <c r="E130" s="6"/>
      <c r="F130" s="32" t="s">
        <v>116</v>
      </c>
      <c r="G130" s="69" t="e">
        <f>G129/VLOOKUP($C129,#REF!,7,0)</f>
        <v>#REF!</v>
      </c>
      <c r="H130" s="69" t="e">
        <f>H129/VLOOKUP($C129,#REF!,7,0)</f>
        <v>#REF!</v>
      </c>
      <c r="I130" s="576"/>
      <c r="J130" s="69" t="e">
        <f>J129/VLOOKUP($C129,#REF!,7,0)</f>
        <v>#REF!</v>
      </c>
      <c r="K130" s="576"/>
      <c r="L130" s="69"/>
      <c r="M130" s="28"/>
      <c r="N130" s="6"/>
      <c r="O130" s="32" t="s">
        <v>116</v>
      </c>
      <c r="P130" s="248" t="e">
        <f t="shared" si="7"/>
        <v>#REF!</v>
      </c>
      <c r="Q130" s="69" t="e">
        <f>Q129/VLOOKUP($C129,#REF!,7,0)</f>
        <v>#REF!</v>
      </c>
      <c r="R130" s="576"/>
      <c r="S130" s="6"/>
      <c r="T130" s="32" t="s">
        <v>116</v>
      </c>
      <c r="U130" s="69" t="e">
        <f>U129/VLOOKUP($C129,#REF!,7,0)</f>
        <v>#REF!</v>
      </c>
      <c r="V130" s="576"/>
      <c r="W130" s="69" t="e">
        <f>W129/VLOOKUP($C129,#REF!,7,0)</f>
        <v>#REF!</v>
      </c>
      <c r="X130" s="576"/>
      <c r="Y130" s="28"/>
      <c r="AA130" s="27"/>
      <c r="AD130" s="33" t="str">
        <f>C129&amp;F130</f>
        <v>PhilippinesUSD bn</v>
      </c>
    </row>
    <row r="131" spans="1:30" ht="40" customHeight="1">
      <c r="A131" s="638"/>
      <c r="B131" s="638"/>
      <c r="C131" s="633"/>
      <c r="D131" s="630"/>
      <c r="E131" s="6"/>
      <c r="F131" s="31" t="s">
        <v>117</v>
      </c>
      <c r="G131" s="17" t="e">
        <f>(G129/VLOOKUP($C129,#REF!,4,0))*100</f>
        <v>#REF!</v>
      </c>
      <c r="H131" s="17" t="e">
        <f>(H129/VLOOKUP($C129,#REF!,4,0))*100</f>
        <v>#REF!</v>
      </c>
      <c r="I131" s="577"/>
      <c r="J131" s="17" t="e">
        <f>(J129/VLOOKUP($C129,#REF!,4,0))*100</f>
        <v>#REF!</v>
      </c>
      <c r="K131" s="577"/>
      <c r="L131" s="17"/>
      <c r="M131" s="28"/>
      <c r="N131" s="6"/>
      <c r="O131" s="31" t="s">
        <v>117</v>
      </c>
      <c r="P131" s="267" t="e">
        <f t="shared" si="7"/>
        <v>#REF!</v>
      </c>
      <c r="Q131" s="17" t="e">
        <f>(Q129/VLOOKUP($C129,#REF!,4,0))*100</f>
        <v>#REF!</v>
      </c>
      <c r="R131" s="577"/>
      <c r="S131" s="6"/>
      <c r="T131" s="31" t="s">
        <v>117</v>
      </c>
      <c r="U131" s="17" t="e">
        <f>(U129/VLOOKUP($C129,#REF!,4,0))*100</f>
        <v>#REF!</v>
      </c>
      <c r="V131" s="577"/>
      <c r="W131" s="17" t="e">
        <f>(W129/VLOOKUP($C129,#REF!,4,0))*100</f>
        <v>#REF!</v>
      </c>
      <c r="X131" s="577"/>
      <c r="Y131" s="28"/>
      <c r="AA131" s="27"/>
      <c r="AD131" s="33" t="str">
        <f>C129&amp;F131</f>
        <v>Philippines% GDP</v>
      </c>
    </row>
    <row r="132" spans="1:30" s="10" customFormat="1" ht="60" customHeight="1">
      <c r="A132" s="638">
        <v>0</v>
      </c>
      <c r="B132" s="638" t="s">
        <v>861</v>
      </c>
      <c r="C132" s="632" t="s">
        <v>22</v>
      </c>
      <c r="D132" s="628" t="s">
        <v>570</v>
      </c>
      <c r="E132" s="13"/>
      <c r="F132" s="37" t="s">
        <v>115</v>
      </c>
      <c r="G132" s="93">
        <f>H132+J132</f>
        <v>165.9</v>
      </c>
      <c r="H132" s="53">
        <v>8.5</v>
      </c>
      <c r="I132" s="575" t="s">
        <v>643</v>
      </c>
      <c r="J132" s="93">
        <f>95.5+61.9</f>
        <v>157.4</v>
      </c>
      <c r="K132" s="575" t="s">
        <v>817</v>
      </c>
      <c r="L132" s="74" t="s">
        <v>84</v>
      </c>
      <c r="M132" s="575" t="s">
        <v>656</v>
      </c>
      <c r="N132" s="13"/>
      <c r="O132" s="32" t="s">
        <v>115</v>
      </c>
      <c r="P132" s="264">
        <f t="shared" si="7"/>
        <v>112.1</v>
      </c>
      <c r="Q132" s="177"/>
      <c r="R132" s="575"/>
      <c r="S132" s="13"/>
      <c r="T132" s="293" t="s">
        <v>115</v>
      </c>
      <c r="U132" s="94">
        <f>74</f>
        <v>74</v>
      </c>
      <c r="V132" s="575" t="s">
        <v>622</v>
      </c>
      <c r="W132" s="94">
        <f>100-61.9</f>
        <v>38.1</v>
      </c>
      <c r="X132" s="575" t="s">
        <v>779</v>
      </c>
      <c r="Y132" s="138" t="s">
        <v>189</v>
      </c>
      <c r="Z132" s="13"/>
      <c r="AA132" s="137" t="s">
        <v>188</v>
      </c>
      <c r="AD132" s="33" t="str">
        <f>C132&amp;F132</f>
        <v>PolandLC bn</v>
      </c>
    </row>
    <row r="133" spans="1:30" s="10" customFormat="1" ht="60" customHeight="1">
      <c r="A133" s="638"/>
      <c r="B133" s="638"/>
      <c r="C133" s="632"/>
      <c r="D133" s="629"/>
      <c r="F133" s="32" t="s">
        <v>116</v>
      </c>
      <c r="G133" s="81" t="e">
        <f>G132/VLOOKUP(C132,#REF!,7,0)</f>
        <v>#REF!</v>
      </c>
      <c r="H133" s="69" t="e">
        <f>H132/VLOOKUP($C132,#REF!,7,0)</f>
        <v>#REF!</v>
      </c>
      <c r="I133" s="576"/>
      <c r="J133" s="81" t="e">
        <f>J132/VLOOKUP($C132,#REF!,7,0)</f>
        <v>#REF!</v>
      </c>
      <c r="K133" s="576"/>
      <c r="L133" s="28"/>
      <c r="M133" s="576"/>
      <c r="O133" s="32" t="s">
        <v>116</v>
      </c>
      <c r="P133" s="265" t="e">
        <f t="shared" si="7"/>
        <v>#REF!</v>
      </c>
      <c r="Q133" s="178"/>
      <c r="R133" s="576"/>
      <c r="T133" s="32" t="s">
        <v>116</v>
      </c>
      <c r="U133" s="185" t="e">
        <f>U132/VLOOKUP(C132,#REF!,7,0)</f>
        <v>#REF!</v>
      </c>
      <c r="V133" s="576"/>
      <c r="W133" s="81" t="e">
        <f>W132/VLOOKUP($C132,#REF!,7,0)</f>
        <v>#REF!</v>
      </c>
      <c r="X133" s="576"/>
      <c r="Y133" s="28"/>
      <c r="AA133" s="28"/>
      <c r="AD133" s="33" t="str">
        <f>C132&amp;F133</f>
        <v>PolandUSD bn</v>
      </c>
    </row>
    <row r="134" spans="1:30" ht="69.650000000000006" customHeight="1">
      <c r="A134" s="638"/>
      <c r="B134" s="638"/>
      <c r="C134" s="633"/>
      <c r="D134" s="630"/>
      <c r="E134" s="12"/>
      <c r="F134" s="31" t="s">
        <v>117</v>
      </c>
      <c r="G134" s="17" t="e">
        <f>(G132/VLOOKUP(C132,#REF!,4,0))*100</f>
        <v>#REF!</v>
      </c>
      <c r="H134" s="17" t="e">
        <f>(H132/VLOOKUP($C132,#REF!,4,0))*100</f>
        <v>#REF!</v>
      </c>
      <c r="I134" s="577"/>
      <c r="J134" s="17" t="e">
        <f>(J132/VLOOKUP($C132,#REF!,4,0))*100</f>
        <v>#REF!</v>
      </c>
      <c r="K134" s="577"/>
      <c r="L134" s="19"/>
      <c r="M134" s="577"/>
      <c r="N134" s="12"/>
      <c r="O134" s="31" t="s">
        <v>117</v>
      </c>
      <c r="P134" s="267" t="e">
        <f t="shared" si="7"/>
        <v>#REF!</v>
      </c>
      <c r="Q134" s="168"/>
      <c r="R134" s="577"/>
      <c r="S134" s="12"/>
      <c r="T134" s="31" t="s">
        <v>117</v>
      </c>
      <c r="U134" s="65" t="e">
        <f>(U132/VLOOKUP(C132,#REF!,4,0))*100</f>
        <v>#REF!</v>
      </c>
      <c r="V134" s="577"/>
      <c r="W134" s="17" t="e">
        <f>(W132/VLOOKUP($C132,#REF!,4,0))*100</f>
        <v>#REF!</v>
      </c>
      <c r="X134" s="577"/>
      <c r="Y134" s="19"/>
      <c r="Z134" s="1"/>
      <c r="AA134" s="26"/>
      <c r="AD134" s="33" t="str">
        <f>C132&amp;F134</f>
        <v>Poland% GDP</v>
      </c>
    </row>
    <row r="135" spans="1:30" ht="60" customHeight="1">
      <c r="A135" s="638">
        <v>0</v>
      </c>
      <c r="B135" s="638" t="s">
        <v>861</v>
      </c>
      <c r="C135" s="632" t="s">
        <v>557</v>
      </c>
      <c r="D135" s="628" t="s">
        <v>571</v>
      </c>
      <c r="E135" s="6"/>
      <c r="F135" s="37" t="s">
        <v>115</v>
      </c>
      <c r="G135" s="81">
        <v>16.7</v>
      </c>
      <c r="H135" s="190">
        <v>6.4</v>
      </c>
      <c r="I135" s="575" t="s">
        <v>744</v>
      </c>
      <c r="J135" s="95">
        <f>G135-H135</f>
        <v>10.299999999999999</v>
      </c>
      <c r="K135" s="575" t="s">
        <v>745</v>
      </c>
      <c r="L135" s="75"/>
      <c r="M135" s="581" t="s">
        <v>746</v>
      </c>
      <c r="N135" s="6"/>
      <c r="O135" s="32" t="s">
        <v>115</v>
      </c>
      <c r="P135" s="264">
        <f t="shared" si="7"/>
        <v>31.7</v>
      </c>
      <c r="Q135" s="170">
        <v>1.7</v>
      </c>
      <c r="R135" s="575" t="s">
        <v>644</v>
      </c>
      <c r="S135" s="6"/>
      <c r="T135" s="32" t="s">
        <v>115</v>
      </c>
      <c r="U135" s="185">
        <v>30</v>
      </c>
      <c r="V135" s="590" t="s">
        <v>582</v>
      </c>
      <c r="W135" s="28"/>
      <c r="X135" s="28"/>
      <c r="Y135" s="28"/>
      <c r="AA135" s="27"/>
      <c r="AD135" s="33" t="str">
        <f>C135&amp;F135</f>
        <v>RomaniaLC bn</v>
      </c>
    </row>
    <row r="136" spans="1:30" ht="60" customHeight="1">
      <c r="A136" s="638"/>
      <c r="B136" s="638"/>
      <c r="C136" s="632"/>
      <c r="D136" s="629"/>
      <c r="E136" s="6"/>
      <c r="F136" s="32" t="s">
        <v>116</v>
      </c>
      <c r="G136" s="69" t="e">
        <f>G135/VLOOKUP($C135,#REF!,7,0)</f>
        <v>#REF!</v>
      </c>
      <c r="H136" s="69" t="e">
        <f>H135/VLOOKUP($C135,#REF!,7,0)</f>
        <v>#REF!</v>
      </c>
      <c r="I136" s="576"/>
      <c r="J136" s="69" t="e">
        <f>J135/VLOOKUP($C135,#REF!,7,0)</f>
        <v>#REF!</v>
      </c>
      <c r="K136" s="576"/>
      <c r="L136" s="69"/>
      <c r="M136" s="582"/>
      <c r="N136" s="6"/>
      <c r="O136" s="32" t="s">
        <v>116</v>
      </c>
      <c r="P136" s="248" t="e">
        <f t="shared" si="7"/>
        <v>#REF!</v>
      </c>
      <c r="Q136" s="69" t="e">
        <f>Q135/VLOOKUP($C135,#REF!,7,0)</f>
        <v>#REF!</v>
      </c>
      <c r="R136" s="576"/>
      <c r="S136" s="6"/>
      <c r="T136" s="32" t="s">
        <v>116</v>
      </c>
      <c r="U136" s="69" t="e">
        <f>U135/VLOOKUP($C135,#REF!,7,0)</f>
        <v>#REF!</v>
      </c>
      <c r="V136" s="576"/>
      <c r="W136" s="28"/>
      <c r="X136" s="28"/>
      <c r="Y136" s="28"/>
      <c r="AA136" s="27"/>
      <c r="AD136" s="33" t="str">
        <f>C135&amp;F136</f>
        <v>RomaniaUSD bn</v>
      </c>
    </row>
    <row r="137" spans="1:30" ht="54" customHeight="1">
      <c r="A137" s="638"/>
      <c r="B137" s="638"/>
      <c r="C137" s="633"/>
      <c r="D137" s="630"/>
      <c r="E137" s="6"/>
      <c r="F137" s="31" t="s">
        <v>117</v>
      </c>
      <c r="G137" s="17" t="e">
        <f>(G135/VLOOKUP($C135,#REF!,4,0))*100</f>
        <v>#REF!</v>
      </c>
      <c r="H137" s="17" t="e">
        <f>(H135/VLOOKUP($C135,#REF!,4,0))*100</f>
        <v>#REF!</v>
      </c>
      <c r="I137" s="577"/>
      <c r="J137" s="17" t="e">
        <f>(J135/VLOOKUP($C135,#REF!,4,0))*100</f>
        <v>#REF!</v>
      </c>
      <c r="K137" s="577"/>
      <c r="L137" s="17"/>
      <c r="M137" s="583"/>
      <c r="N137" s="12"/>
      <c r="O137" s="31" t="s">
        <v>117</v>
      </c>
      <c r="P137" s="267" t="e">
        <f t="shared" si="7"/>
        <v>#REF!</v>
      </c>
      <c r="Q137" s="17" t="e">
        <f>(Q135/VLOOKUP($C135,#REF!,4,0))*100</f>
        <v>#REF!</v>
      </c>
      <c r="R137" s="577"/>
      <c r="S137" s="12"/>
      <c r="T137" s="31" t="s">
        <v>117</v>
      </c>
      <c r="U137" s="17" t="e">
        <f>(U135/VLOOKUP($C135,#REF!,4,0))*100</f>
        <v>#REF!</v>
      </c>
      <c r="V137" s="577"/>
      <c r="W137" s="19"/>
      <c r="X137" s="19"/>
      <c r="Y137" s="28"/>
      <c r="AA137" s="27"/>
      <c r="AD137" s="33" t="str">
        <f>C135&amp;F137</f>
        <v>Romania% GDP</v>
      </c>
    </row>
    <row r="138" spans="1:30" ht="98.5" customHeight="1">
      <c r="A138" s="638">
        <v>0</v>
      </c>
      <c r="B138" s="638" t="s">
        <v>861</v>
      </c>
      <c r="C138" s="632" t="s">
        <v>559</v>
      </c>
      <c r="D138" s="629" t="s">
        <v>572</v>
      </c>
      <c r="E138" s="6"/>
      <c r="F138" s="37" t="s">
        <v>115</v>
      </c>
      <c r="G138" s="127">
        <v>1277</v>
      </c>
      <c r="H138" s="69" t="s">
        <v>84</v>
      </c>
      <c r="I138" s="575" t="s">
        <v>645</v>
      </c>
      <c r="J138" s="69" t="s">
        <v>84</v>
      </c>
      <c r="K138" s="575" t="s">
        <v>811</v>
      </c>
      <c r="L138" s="69"/>
      <c r="M138" s="575" t="s">
        <v>812</v>
      </c>
      <c r="N138" s="6"/>
      <c r="O138" s="32" t="s">
        <v>115</v>
      </c>
      <c r="P138" s="264">
        <f t="shared" si="7"/>
        <v>565</v>
      </c>
      <c r="Q138" s="81">
        <v>90</v>
      </c>
      <c r="R138" s="590" t="s">
        <v>736</v>
      </c>
      <c r="S138" s="6"/>
      <c r="T138" s="32" t="s">
        <v>115</v>
      </c>
      <c r="U138" s="81">
        <v>325</v>
      </c>
      <c r="V138" s="575" t="s">
        <v>567</v>
      </c>
      <c r="W138" s="81">
        <v>150</v>
      </c>
      <c r="X138" s="575" t="s">
        <v>737</v>
      </c>
      <c r="Y138" s="28"/>
      <c r="AA138" s="27"/>
      <c r="AD138" s="33" t="str">
        <f>C138&amp;F138</f>
        <v>ThailandLC bn</v>
      </c>
    </row>
    <row r="139" spans="1:30" ht="110.15" customHeight="1">
      <c r="A139" s="638"/>
      <c r="B139" s="638"/>
      <c r="C139" s="632"/>
      <c r="D139" s="629"/>
      <c r="E139" s="6"/>
      <c r="F139" s="32" t="s">
        <v>116</v>
      </c>
      <c r="G139" s="81" t="e">
        <f>G138/VLOOKUP($C138,#REF!,7,0)</f>
        <v>#REF!</v>
      </c>
      <c r="H139" s="69"/>
      <c r="I139" s="576"/>
      <c r="J139" s="69"/>
      <c r="K139" s="576"/>
      <c r="L139" s="69"/>
      <c r="M139" s="576"/>
      <c r="N139" s="6"/>
      <c r="O139" s="32" t="s">
        <v>116</v>
      </c>
      <c r="P139" s="265" t="e">
        <f t="shared" si="7"/>
        <v>#REF!</v>
      </c>
      <c r="Q139" s="69" t="e">
        <f>Q138/VLOOKUP($C138,#REF!,7,0)</f>
        <v>#REF!</v>
      </c>
      <c r="R139" s="591"/>
      <c r="S139" s="6"/>
      <c r="T139" s="32" t="s">
        <v>116</v>
      </c>
      <c r="U139" s="81" t="e">
        <f>U138/VLOOKUP($C138,#REF!,7,0)</f>
        <v>#REF!</v>
      </c>
      <c r="V139" s="576"/>
      <c r="W139" s="69" t="e">
        <f>W138/VLOOKUP($C138,#REF!,7,0)</f>
        <v>#REF!</v>
      </c>
      <c r="X139" s="576"/>
      <c r="Y139" s="28"/>
      <c r="AA139" s="27"/>
      <c r="AD139" s="33" t="str">
        <f>C138&amp;F139</f>
        <v>ThailandUSD bn</v>
      </c>
    </row>
    <row r="140" spans="1:30" ht="110.15" customHeight="1">
      <c r="A140" s="638"/>
      <c r="B140" s="638"/>
      <c r="C140" s="633"/>
      <c r="D140" s="630"/>
      <c r="E140" s="6"/>
      <c r="F140" s="31" t="s">
        <v>117</v>
      </c>
      <c r="G140" s="17" t="e">
        <f>(G138/VLOOKUP($C138,#REF!,4,0))*100</f>
        <v>#REF!</v>
      </c>
      <c r="H140" s="17"/>
      <c r="I140" s="577"/>
      <c r="J140" s="17"/>
      <c r="K140" s="577"/>
      <c r="L140" s="17"/>
      <c r="M140" s="577"/>
      <c r="N140" s="12"/>
      <c r="O140" s="31" t="s">
        <v>117</v>
      </c>
      <c r="P140" s="267" t="e">
        <f t="shared" si="7"/>
        <v>#REF!</v>
      </c>
      <c r="Q140" s="17" t="e">
        <f>(Q138/VLOOKUP($C138,#REF!,4,0))*100</f>
        <v>#REF!</v>
      </c>
      <c r="R140" s="592"/>
      <c r="S140" s="12"/>
      <c r="T140" s="31" t="s">
        <v>117</v>
      </c>
      <c r="U140" s="17" t="e">
        <f>(U138/VLOOKUP($C138,#REF!,4,0))*100</f>
        <v>#REF!</v>
      </c>
      <c r="V140" s="577"/>
      <c r="W140" s="17" t="e">
        <f>(W138/VLOOKUP($C138,#REF!,4,0))*100</f>
        <v>#REF!</v>
      </c>
      <c r="X140" s="577"/>
      <c r="Y140" s="28"/>
      <c r="AA140" s="27"/>
      <c r="AD140" s="33" t="str">
        <f>C138&amp;F140</f>
        <v>Thailand% GDP</v>
      </c>
    </row>
    <row r="141" spans="1:30" s="10" customFormat="1" ht="58" customHeight="1">
      <c r="A141" s="638">
        <v>0</v>
      </c>
      <c r="B141" s="638" t="s">
        <v>861</v>
      </c>
      <c r="C141" s="632" t="s">
        <v>30</v>
      </c>
      <c r="D141" s="629" t="s">
        <v>570</v>
      </c>
      <c r="E141" s="13"/>
      <c r="F141" s="37" t="s">
        <v>115</v>
      </c>
      <c r="G141" s="53">
        <f>H141+J141</f>
        <v>1.84</v>
      </c>
      <c r="H141" s="53">
        <v>0.33</v>
      </c>
      <c r="I141" s="575" t="s">
        <v>792</v>
      </c>
      <c r="J141" s="53">
        <f>1.48+0.03</f>
        <v>1.51</v>
      </c>
      <c r="K141" s="575" t="s">
        <v>793</v>
      </c>
      <c r="L141" s="53">
        <f>0.2+0.01</f>
        <v>0.21000000000000002</v>
      </c>
      <c r="M141" s="575" t="s">
        <v>794</v>
      </c>
      <c r="N141" s="13"/>
      <c r="O141" s="32" t="s">
        <v>115</v>
      </c>
      <c r="P141" s="266">
        <f t="shared" si="7"/>
        <v>1.272</v>
      </c>
      <c r="Q141" s="177">
        <f>0.3+0.04+0.5+0.1+0.132</f>
        <v>1.0720000000000001</v>
      </c>
      <c r="R141" s="575" t="s">
        <v>795</v>
      </c>
      <c r="S141" s="13"/>
      <c r="T141" s="32" t="s">
        <v>115</v>
      </c>
      <c r="U141" s="53">
        <v>0.2</v>
      </c>
      <c r="V141" s="575" t="s">
        <v>614</v>
      </c>
      <c r="W141" s="18"/>
      <c r="X141" s="18"/>
      <c r="Y141" s="575" t="s">
        <v>83</v>
      </c>
      <c r="Z141" s="13"/>
      <c r="AA141" s="18"/>
      <c r="AD141" s="33" t="str">
        <f>C141&amp;F141</f>
        <v>TunisiaLC bn</v>
      </c>
    </row>
    <row r="142" spans="1:30" s="10" customFormat="1" ht="52" customHeight="1">
      <c r="A142" s="638"/>
      <c r="B142" s="638"/>
      <c r="C142" s="632"/>
      <c r="D142" s="629"/>
      <c r="F142" s="32" t="s">
        <v>116</v>
      </c>
      <c r="G142" s="69" t="e">
        <f>G141/VLOOKUP(C141,#REF!,7,0)</f>
        <v>#REF!</v>
      </c>
      <c r="H142" s="69" t="e">
        <f>H141/VLOOKUP($C141,#REF!,7,0)</f>
        <v>#REF!</v>
      </c>
      <c r="I142" s="576"/>
      <c r="J142" s="69" t="e">
        <f>J141/VLOOKUP($C141,#REF!,7,0)</f>
        <v>#REF!</v>
      </c>
      <c r="K142" s="576"/>
      <c r="L142" s="69" t="e">
        <f>L141/VLOOKUP($C141,#REF!,7,0)</f>
        <v>#REF!</v>
      </c>
      <c r="M142" s="576"/>
      <c r="O142" s="32" t="s">
        <v>116</v>
      </c>
      <c r="P142" s="248" t="e">
        <f t="shared" si="7"/>
        <v>#REF!</v>
      </c>
      <c r="Q142" s="170" t="e">
        <f>Q141/VLOOKUP(C141,#REF!,7,0)</f>
        <v>#REF!</v>
      </c>
      <c r="R142" s="576"/>
      <c r="T142" s="32" t="s">
        <v>116</v>
      </c>
      <c r="U142" s="69" t="e">
        <f>U141/VLOOKUP(C141,#REF!,7,0)</f>
        <v>#REF!</v>
      </c>
      <c r="V142" s="576"/>
      <c r="W142" s="28"/>
      <c r="X142" s="28"/>
      <c r="Y142" s="576"/>
      <c r="AA142" s="28"/>
      <c r="AD142" s="33" t="str">
        <f>C141&amp;F142</f>
        <v>TunisiaUSD bn</v>
      </c>
    </row>
    <row r="143" spans="1:30" ht="108.65" customHeight="1">
      <c r="A143" s="638"/>
      <c r="B143" s="638"/>
      <c r="C143" s="633"/>
      <c r="D143" s="630"/>
      <c r="E143" s="12"/>
      <c r="F143" s="31" t="s">
        <v>117</v>
      </c>
      <c r="G143" s="17" t="e">
        <f>(G141/VLOOKUP(C141,#REF!,4,0))*100</f>
        <v>#REF!</v>
      </c>
      <c r="H143" s="17" t="e">
        <f>(H141/VLOOKUP($C141,#REF!,4,0))*100</f>
        <v>#REF!</v>
      </c>
      <c r="I143" s="577"/>
      <c r="J143" s="17" t="e">
        <f>(J141/VLOOKUP($C141,#REF!,4,0))*100</f>
        <v>#REF!</v>
      </c>
      <c r="K143" s="577"/>
      <c r="L143" s="17" t="e">
        <f>(L141/VLOOKUP($C141,#REF!,4,0))*100</f>
        <v>#REF!</v>
      </c>
      <c r="M143" s="577"/>
      <c r="N143" s="12"/>
      <c r="O143" s="31" t="s">
        <v>117</v>
      </c>
      <c r="P143" s="267" t="e">
        <f t="shared" si="7"/>
        <v>#REF!</v>
      </c>
      <c r="Q143" s="168" t="e">
        <f>(Q141/VLOOKUP(C141,#REF!,4,0))*100</f>
        <v>#REF!</v>
      </c>
      <c r="R143" s="577"/>
      <c r="S143" s="12"/>
      <c r="T143" s="31" t="s">
        <v>117</v>
      </c>
      <c r="U143" s="17" t="e">
        <f>(U141/VLOOKUP(C141,#REF!,4,0))*100</f>
        <v>#REF!</v>
      </c>
      <c r="V143" s="577"/>
      <c r="W143" s="19"/>
      <c r="X143" s="19"/>
      <c r="Y143" s="577"/>
      <c r="Z143" s="1"/>
      <c r="AA143" s="26"/>
      <c r="AD143" s="33" t="str">
        <f>C141&amp;F143</f>
        <v>Tunisia% GDP</v>
      </c>
    </row>
    <row r="144" spans="1:30" s="10" customFormat="1" ht="60" customHeight="1">
      <c r="A144" s="638">
        <v>0</v>
      </c>
      <c r="B144" s="638" t="s">
        <v>861</v>
      </c>
      <c r="C144" s="632" t="s">
        <v>56</v>
      </c>
      <c r="D144" s="629" t="s">
        <v>570</v>
      </c>
      <c r="E144" s="13"/>
      <c r="F144" s="37" t="s">
        <v>115</v>
      </c>
      <c r="G144" s="93">
        <v>25.4</v>
      </c>
      <c r="H144" s="74" t="s">
        <v>84</v>
      </c>
      <c r="I144" s="575" t="s">
        <v>646</v>
      </c>
      <c r="J144" s="69" t="s">
        <v>84</v>
      </c>
      <c r="K144" s="575" t="s">
        <v>747</v>
      </c>
      <c r="L144" s="18"/>
      <c r="M144" s="18"/>
      <c r="N144" s="13"/>
      <c r="O144" s="32" t="s">
        <v>115</v>
      </c>
      <c r="P144" s="66" t="s">
        <v>84</v>
      </c>
      <c r="Q144" s="66" t="s">
        <v>84</v>
      </c>
      <c r="R144" s="575" t="s">
        <v>308</v>
      </c>
      <c r="S144" s="13"/>
      <c r="T144" s="32" t="s">
        <v>115</v>
      </c>
      <c r="U144" s="66" t="s">
        <v>84</v>
      </c>
      <c r="V144" s="575" t="s">
        <v>343</v>
      </c>
      <c r="W144" s="66" t="s">
        <v>84</v>
      </c>
      <c r="X144" s="575" t="s">
        <v>750</v>
      </c>
      <c r="Y144" s="18"/>
      <c r="Z144" s="13"/>
      <c r="AA144" s="25" t="s">
        <v>51</v>
      </c>
      <c r="AD144" s="33" t="str">
        <f>C144&amp;F144</f>
        <v>United Arab EmiratesLC bn</v>
      </c>
    </row>
    <row r="145" spans="1:30" s="10" customFormat="1" ht="60" customHeight="1">
      <c r="A145" s="638"/>
      <c r="B145" s="638"/>
      <c r="C145" s="632"/>
      <c r="D145" s="629"/>
      <c r="F145" s="32" t="s">
        <v>116</v>
      </c>
      <c r="G145" s="69" t="e">
        <f>G144/VLOOKUP(C144,#REF!,7,0)</f>
        <v>#REF!</v>
      </c>
      <c r="H145" s="30"/>
      <c r="I145" s="576"/>
      <c r="J145" s="75"/>
      <c r="K145" s="576"/>
      <c r="L145" s="28"/>
      <c r="M145" s="28"/>
      <c r="O145" s="32" t="s">
        <v>116</v>
      </c>
      <c r="P145" s="28"/>
      <c r="Q145" s="178"/>
      <c r="R145" s="576"/>
      <c r="T145" s="32" t="s">
        <v>116</v>
      </c>
      <c r="U145" s="56"/>
      <c r="V145" s="576"/>
      <c r="W145" s="28"/>
      <c r="X145" s="576"/>
      <c r="Y145" s="28"/>
      <c r="AA145" s="27" t="s">
        <v>52</v>
      </c>
      <c r="AD145" s="33" t="str">
        <f>C144&amp;F145</f>
        <v>United Arab EmiratesUSD bn</v>
      </c>
    </row>
    <row r="146" spans="1:30" ht="60" customHeight="1">
      <c r="A146" s="638"/>
      <c r="B146" s="638"/>
      <c r="C146" s="633"/>
      <c r="D146" s="630"/>
      <c r="E146" s="12"/>
      <c r="F146" s="31" t="s">
        <v>117</v>
      </c>
      <c r="G146" s="17" t="e">
        <f>(G144/VLOOKUP(C144,#REF!,4,0))*100</f>
        <v>#REF!</v>
      </c>
      <c r="H146" s="78"/>
      <c r="I146" s="577"/>
      <c r="J146" s="68"/>
      <c r="K146" s="577"/>
      <c r="L146" s="19"/>
      <c r="M146" s="19"/>
      <c r="N146" s="12"/>
      <c r="O146" s="31" t="s">
        <v>117</v>
      </c>
      <c r="P146" s="23"/>
      <c r="Q146" s="168"/>
      <c r="R146" s="577"/>
      <c r="S146" s="12"/>
      <c r="T146" s="31" t="s">
        <v>117</v>
      </c>
      <c r="U146" s="17"/>
      <c r="V146" s="577"/>
      <c r="W146" s="19"/>
      <c r="X146" s="577"/>
      <c r="Y146" s="19"/>
      <c r="Z146" s="1"/>
      <c r="AA146" s="26"/>
      <c r="AD146" s="33" t="str">
        <f>C144&amp;F146</f>
        <v>United Arab Emirates% GDP</v>
      </c>
    </row>
    <row r="147" spans="1:30" s="10" customFormat="1" ht="50.15" customHeight="1">
      <c r="A147" s="638">
        <v>0</v>
      </c>
      <c r="B147" s="638" t="s">
        <v>862</v>
      </c>
      <c r="C147" s="632" t="s">
        <v>37</v>
      </c>
      <c r="D147" s="629" t="s">
        <v>571</v>
      </c>
      <c r="F147" s="32" t="s">
        <v>115</v>
      </c>
      <c r="G147" s="93">
        <v>295</v>
      </c>
      <c r="H147" s="93">
        <v>20.2</v>
      </c>
      <c r="I147" s="581" t="s">
        <v>782</v>
      </c>
      <c r="J147" s="93">
        <v>275</v>
      </c>
      <c r="K147" s="581" t="s">
        <v>822</v>
      </c>
      <c r="L147" s="18"/>
      <c r="M147" s="18"/>
      <c r="N147" s="13"/>
      <c r="O147" s="37" t="s">
        <v>115</v>
      </c>
      <c r="P147" s="266"/>
      <c r="Q147" s="175"/>
      <c r="R147" s="575"/>
      <c r="S147" s="13"/>
      <c r="T147" s="37" t="s">
        <v>115</v>
      </c>
      <c r="U147" s="53"/>
      <c r="V147" s="18"/>
      <c r="W147" s="18"/>
      <c r="X147" s="18"/>
      <c r="Y147" s="18"/>
      <c r="Z147" s="13"/>
      <c r="AA147" s="18"/>
      <c r="AD147" s="33" t="str">
        <f>C147&amp;F147</f>
        <v>BangladeshLC bn</v>
      </c>
    </row>
    <row r="148" spans="1:30" s="36" customFormat="1" ht="57" customHeight="1">
      <c r="A148" s="638"/>
      <c r="B148" s="638"/>
      <c r="C148" s="632"/>
      <c r="D148" s="629"/>
      <c r="E148" s="10"/>
      <c r="F148" s="32" t="s">
        <v>116</v>
      </c>
      <c r="G148" s="69" t="e">
        <f>G147/VLOOKUP(C147,#REF!,7,0)</f>
        <v>#REF!</v>
      </c>
      <c r="H148" s="69" t="e">
        <f>H147/VLOOKUP($C147,#REF!,7,0)</f>
        <v>#REF!</v>
      </c>
      <c r="I148" s="582"/>
      <c r="J148" s="69" t="e">
        <f>J147/VLOOKUP($C147,#REF!,7,0)</f>
        <v>#REF!</v>
      </c>
      <c r="K148" s="582"/>
      <c r="L148" s="28"/>
      <c r="M148" s="28"/>
      <c r="N148" s="10"/>
      <c r="O148" s="32" t="s">
        <v>116</v>
      </c>
      <c r="P148" s="248"/>
      <c r="Q148" s="170"/>
      <c r="R148" s="576"/>
      <c r="S148" s="10"/>
      <c r="T148" s="32" t="s">
        <v>116</v>
      </c>
      <c r="U148" s="56"/>
      <c r="V148" s="28"/>
      <c r="W148" s="28"/>
      <c r="X148" s="28"/>
      <c r="Y148" s="28"/>
      <c r="Z148" s="10"/>
      <c r="AA148" s="28"/>
      <c r="AD148" s="33" t="str">
        <f>C147&amp;F148</f>
        <v>BangladeshUSD bn</v>
      </c>
    </row>
    <row r="149" spans="1:30" ht="60.65" customHeight="1">
      <c r="A149" s="638"/>
      <c r="B149" s="638"/>
      <c r="C149" s="633"/>
      <c r="D149" s="630"/>
      <c r="E149" s="12"/>
      <c r="F149" s="31" t="s">
        <v>117</v>
      </c>
      <c r="G149" s="17" t="e">
        <f>(G147/VLOOKUP(C147,#REF!,4,0))*100</f>
        <v>#REF!</v>
      </c>
      <c r="H149" s="17" t="e">
        <f>(H147/VLOOKUP($C147,#REF!,4,0))*100</f>
        <v>#REF!</v>
      </c>
      <c r="I149" s="583"/>
      <c r="J149" s="17" t="e">
        <f>(J147/VLOOKUP($C147,#REF!,4,0))*100</f>
        <v>#REF!</v>
      </c>
      <c r="K149" s="583"/>
      <c r="L149" s="19"/>
      <c r="M149" s="19"/>
      <c r="N149" s="12"/>
      <c r="O149" s="31" t="s">
        <v>117</v>
      </c>
      <c r="P149" s="267"/>
      <c r="Q149" s="168"/>
      <c r="R149" s="577"/>
      <c r="S149" s="12"/>
      <c r="T149" s="31" t="s">
        <v>117</v>
      </c>
      <c r="U149" s="17"/>
      <c r="V149" s="19"/>
      <c r="W149" s="19"/>
      <c r="X149" s="19"/>
      <c r="Y149" s="28"/>
      <c r="AA149" s="27"/>
      <c r="AD149" s="33" t="str">
        <f>C147&amp;F149</f>
        <v>Bangladesh% GDP</v>
      </c>
    </row>
    <row r="150" spans="1:30" ht="50.15" customHeight="1">
      <c r="A150" s="638">
        <v>0</v>
      </c>
      <c r="B150" s="638" t="s">
        <v>862</v>
      </c>
      <c r="C150" s="632" t="s">
        <v>548</v>
      </c>
      <c r="D150" s="629" t="s">
        <v>571</v>
      </c>
      <c r="E150" s="6"/>
      <c r="F150" s="32" t="s">
        <v>115</v>
      </c>
      <c r="G150" s="81">
        <f>H150+J150</f>
        <v>60.8</v>
      </c>
      <c r="H150" s="95">
        <v>19.8</v>
      </c>
      <c r="I150" s="575" t="s">
        <v>647</v>
      </c>
      <c r="J150" s="95">
        <v>41</v>
      </c>
      <c r="K150" s="575" t="s">
        <v>748</v>
      </c>
      <c r="L150" s="28"/>
      <c r="M150" s="28"/>
      <c r="N150" s="6"/>
      <c r="O150" s="37" t="s">
        <v>115</v>
      </c>
      <c r="P150" s="264">
        <f t="shared" ref="P150:P161" si="8">Q150+U150+W150</f>
        <v>21</v>
      </c>
      <c r="Q150" s="167">
        <v>21</v>
      </c>
      <c r="R150" s="575" t="s">
        <v>751</v>
      </c>
      <c r="S150" s="6"/>
      <c r="T150" s="37" t="s">
        <v>115</v>
      </c>
      <c r="U150" s="69"/>
      <c r="V150" s="28"/>
      <c r="W150" s="28"/>
      <c r="X150" s="28"/>
      <c r="Y150" s="28"/>
      <c r="AA150" s="27"/>
      <c r="AD150" s="33" t="str">
        <f>C150&amp;F150</f>
        <v>EthiopiaLC bn</v>
      </c>
    </row>
    <row r="151" spans="1:30" ht="50.15" customHeight="1">
      <c r="A151" s="638"/>
      <c r="B151" s="638"/>
      <c r="C151" s="632"/>
      <c r="D151" s="629"/>
      <c r="E151" s="6"/>
      <c r="F151" s="32" t="s">
        <v>116</v>
      </c>
      <c r="G151" s="69" t="e">
        <f>G150/VLOOKUP(C150,#REF!,7,0)</f>
        <v>#REF!</v>
      </c>
      <c r="H151" s="69" t="e">
        <f>H150/VLOOKUP($C150,#REF!,7,0)</f>
        <v>#REF!</v>
      </c>
      <c r="I151" s="576"/>
      <c r="J151" s="69" t="e">
        <f>J150/VLOOKUP($C150,#REF!,7,0)</f>
        <v>#REF!</v>
      </c>
      <c r="K151" s="576"/>
      <c r="L151" s="69"/>
      <c r="M151" s="28"/>
      <c r="N151" s="6"/>
      <c r="O151" s="32" t="s">
        <v>116</v>
      </c>
      <c r="P151" s="248" t="e">
        <f t="shared" si="8"/>
        <v>#REF!</v>
      </c>
      <c r="Q151" s="170" t="e">
        <f>Q150/VLOOKUP(C150,#REF!,7,0)</f>
        <v>#REF!</v>
      </c>
      <c r="R151" s="576"/>
      <c r="S151" s="6"/>
      <c r="T151" s="32" t="s">
        <v>116</v>
      </c>
      <c r="U151" s="69"/>
      <c r="V151" s="28"/>
      <c r="W151" s="28"/>
      <c r="X151" s="28"/>
      <c r="Y151" s="28"/>
      <c r="AA151" s="27"/>
      <c r="AD151" s="33" t="str">
        <f>C150&amp;F151</f>
        <v>EthiopiaUSD bn</v>
      </c>
    </row>
    <row r="152" spans="1:30" ht="58.5" customHeight="1">
      <c r="A152" s="638"/>
      <c r="B152" s="638"/>
      <c r="C152" s="633"/>
      <c r="D152" s="630"/>
      <c r="E152" s="12"/>
      <c r="F152" s="31" t="s">
        <v>117</v>
      </c>
      <c r="G152" s="17" t="e">
        <f>(G150/VLOOKUP(C150,#REF!,4,0))*100</f>
        <v>#REF!</v>
      </c>
      <c r="H152" s="17" t="e">
        <f>(H150/VLOOKUP($C150,#REF!,4,0))*100</f>
        <v>#REF!</v>
      </c>
      <c r="I152" s="577"/>
      <c r="J152" s="17" t="e">
        <f>(J150/VLOOKUP($C150,#REF!,4,0))*100</f>
        <v>#REF!</v>
      </c>
      <c r="K152" s="577"/>
      <c r="L152" s="17"/>
      <c r="M152" s="19"/>
      <c r="N152" s="12"/>
      <c r="O152" s="31" t="s">
        <v>117</v>
      </c>
      <c r="P152" s="267" t="e">
        <f t="shared" si="8"/>
        <v>#REF!</v>
      </c>
      <c r="Q152" s="168" t="e">
        <f>(Q150/VLOOKUP(C150,#REF!,4,0))*100</f>
        <v>#REF!</v>
      </c>
      <c r="R152" s="577"/>
      <c r="S152" s="12"/>
      <c r="T152" s="31" t="s">
        <v>117</v>
      </c>
      <c r="U152" s="17"/>
      <c r="V152" s="19"/>
      <c r="W152" s="19"/>
      <c r="X152" s="19"/>
      <c r="Y152" s="28"/>
      <c r="AA152" s="27"/>
      <c r="AD152" s="33" t="str">
        <f>C150&amp;F152</f>
        <v>Ethiopia% GDP</v>
      </c>
    </row>
    <row r="153" spans="1:30" ht="50.15" customHeight="1">
      <c r="A153" s="638">
        <v>0</v>
      </c>
      <c r="B153" s="638" t="s">
        <v>862</v>
      </c>
      <c r="C153" s="632" t="s">
        <v>550</v>
      </c>
      <c r="D153" s="629" t="s">
        <v>571</v>
      </c>
      <c r="E153" s="6"/>
      <c r="F153" s="32" t="s">
        <v>115</v>
      </c>
      <c r="G153" s="69">
        <v>1.8</v>
      </c>
      <c r="H153" s="56">
        <f>0.572</f>
        <v>0.57199999999999995</v>
      </c>
      <c r="I153" s="575" t="s">
        <v>648</v>
      </c>
      <c r="J153" s="69">
        <f>G153-H153</f>
        <v>1.2280000000000002</v>
      </c>
      <c r="K153" s="575" t="s">
        <v>788</v>
      </c>
      <c r="L153" s="28"/>
      <c r="M153" s="575" t="s">
        <v>621</v>
      </c>
      <c r="N153" s="6"/>
      <c r="O153" s="37" t="s">
        <v>115</v>
      </c>
      <c r="P153" s="266">
        <f t="shared" si="8"/>
        <v>1.2</v>
      </c>
      <c r="Q153" s="274">
        <v>1.2</v>
      </c>
      <c r="R153" s="581" t="s">
        <v>752</v>
      </c>
      <c r="S153" s="6"/>
      <c r="T153" s="37" t="s">
        <v>115</v>
      </c>
      <c r="U153" s="69"/>
      <c r="V153" s="28"/>
      <c r="W153" s="28"/>
      <c r="X153" s="28"/>
      <c r="Y153" s="28"/>
      <c r="AA153" s="27"/>
      <c r="AD153" s="33" t="str">
        <f>C153&amp;F153</f>
        <v>GhanaLC bn</v>
      </c>
    </row>
    <row r="154" spans="1:30" ht="40.5" customHeight="1">
      <c r="A154" s="638"/>
      <c r="B154" s="638"/>
      <c r="C154" s="632"/>
      <c r="D154" s="629"/>
      <c r="E154" s="6"/>
      <c r="F154" s="32" t="s">
        <v>116</v>
      </c>
      <c r="G154" s="69" t="e">
        <f>G153/VLOOKUP(C153,#REF!,7,0)</f>
        <v>#REF!</v>
      </c>
      <c r="H154" s="69" t="e">
        <f>H153/VLOOKUP($C153,#REF!,7,0)</f>
        <v>#REF!</v>
      </c>
      <c r="I154" s="576"/>
      <c r="J154" s="69" t="e">
        <f>J153/VLOOKUP($C153,#REF!,7,0)</f>
        <v>#REF!</v>
      </c>
      <c r="K154" s="576"/>
      <c r="L154" s="69"/>
      <c r="M154" s="576"/>
      <c r="N154" s="6"/>
      <c r="O154" s="32" t="s">
        <v>116</v>
      </c>
      <c r="P154" s="248" t="e">
        <f t="shared" si="8"/>
        <v>#REF!</v>
      </c>
      <c r="Q154" s="69" t="e">
        <f>Q153/VLOOKUP($C153,#REF!,7,0)</f>
        <v>#REF!</v>
      </c>
      <c r="R154" s="582"/>
      <c r="S154" s="6"/>
      <c r="T154" s="32" t="s">
        <v>116</v>
      </c>
      <c r="U154" s="69"/>
      <c r="V154" s="28"/>
      <c r="W154" s="28"/>
      <c r="X154" s="28"/>
      <c r="Y154" s="28"/>
      <c r="AA154" s="27"/>
      <c r="AD154" s="33" t="str">
        <f>C153&amp;F154</f>
        <v>GhanaUSD bn</v>
      </c>
    </row>
    <row r="155" spans="1:30" ht="53.15" customHeight="1">
      <c r="A155" s="638"/>
      <c r="B155" s="638"/>
      <c r="C155" s="633"/>
      <c r="D155" s="630"/>
      <c r="E155" s="12"/>
      <c r="F155" s="31" t="s">
        <v>117</v>
      </c>
      <c r="G155" s="17" t="e">
        <f>(G153/VLOOKUP(C153,#REF!,4,0))*100</f>
        <v>#REF!</v>
      </c>
      <c r="H155" s="17" t="e">
        <f>(H153/VLOOKUP($C153,#REF!,4,0))*100</f>
        <v>#REF!</v>
      </c>
      <c r="I155" s="577"/>
      <c r="J155" s="17" t="e">
        <f>(J153/VLOOKUP($C153,#REF!,4,0))*100</f>
        <v>#REF!</v>
      </c>
      <c r="K155" s="577"/>
      <c r="L155" s="17"/>
      <c r="M155" s="577"/>
      <c r="N155" s="12"/>
      <c r="O155" s="31" t="s">
        <v>117</v>
      </c>
      <c r="P155" s="267" t="e">
        <f t="shared" si="8"/>
        <v>#REF!</v>
      </c>
      <c r="Q155" s="17" t="e">
        <f>(Q153/VLOOKUP($C153,#REF!,4,0))*100</f>
        <v>#REF!</v>
      </c>
      <c r="R155" s="583"/>
      <c r="S155" s="12"/>
      <c r="T155" s="31" t="s">
        <v>117</v>
      </c>
      <c r="U155" s="17"/>
      <c r="V155" s="19"/>
      <c r="W155" s="19"/>
      <c r="X155" s="19"/>
      <c r="Y155" s="28"/>
      <c r="AA155" s="27"/>
      <c r="AD155" s="33" t="str">
        <f>C153&amp;F155</f>
        <v>Ghana% GDP</v>
      </c>
    </row>
    <row r="156" spans="1:30" ht="32.5" customHeight="1">
      <c r="A156" s="638">
        <v>0</v>
      </c>
      <c r="B156" s="638" t="s">
        <v>862</v>
      </c>
      <c r="C156" s="632" t="s">
        <v>566</v>
      </c>
      <c r="D156" s="628" t="s">
        <v>571</v>
      </c>
      <c r="E156" s="6"/>
      <c r="F156" s="32" t="s">
        <v>115</v>
      </c>
      <c r="G156" s="81">
        <v>16.2</v>
      </c>
      <c r="H156" s="98">
        <v>10.7</v>
      </c>
      <c r="I156" s="639" t="s">
        <v>649</v>
      </c>
      <c r="J156" s="69">
        <v>5.5</v>
      </c>
      <c r="K156" s="581" t="s">
        <v>650</v>
      </c>
      <c r="L156" s="28"/>
      <c r="M156" s="28"/>
      <c r="N156" s="6"/>
      <c r="O156" s="37" t="s">
        <v>115</v>
      </c>
      <c r="P156" s="264">
        <f t="shared" si="8"/>
        <v>17.7</v>
      </c>
      <c r="Q156" s="81">
        <v>17.7</v>
      </c>
      <c r="R156" s="575" t="s">
        <v>813</v>
      </c>
      <c r="S156" s="6"/>
      <c r="T156" s="37" t="s">
        <v>115</v>
      </c>
      <c r="U156" s="69"/>
      <c r="V156" s="28"/>
      <c r="W156" s="28"/>
      <c r="X156" s="28"/>
      <c r="Y156" s="28"/>
      <c r="AA156" s="27"/>
      <c r="AD156" s="33" t="str">
        <f>C156&amp;F156</f>
        <v>Guinea-BissauLC bn</v>
      </c>
    </row>
    <row r="157" spans="1:30" ht="38.5" customHeight="1">
      <c r="A157" s="638"/>
      <c r="B157" s="638"/>
      <c r="C157" s="632"/>
      <c r="D157" s="629"/>
      <c r="E157" s="6"/>
      <c r="F157" s="32" t="s">
        <v>116</v>
      </c>
      <c r="G157" s="69" t="e">
        <f>G156/VLOOKUP($C156,#REF!,7,0)</f>
        <v>#REF!</v>
      </c>
      <c r="H157" s="69" t="e">
        <f>H156/VLOOKUP($C156,#REF!,7,0)</f>
        <v>#REF!</v>
      </c>
      <c r="I157" s="664"/>
      <c r="J157" s="69" t="e">
        <f>J156/VLOOKUP($C156,#REF!,7,0)</f>
        <v>#REF!</v>
      </c>
      <c r="K157" s="576"/>
      <c r="L157" s="69"/>
      <c r="M157" s="28"/>
      <c r="N157" s="6"/>
      <c r="O157" s="32" t="s">
        <v>116</v>
      </c>
      <c r="P157" s="248" t="e">
        <f t="shared" si="8"/>
        <v>#REF!</v>
      </c>
      <c r="Q157" s="69" t="e">
        <f>Q156/VLOOKUP($C156,#REF!,7,0)</f>
        <v>#REF!</v>
      </c>
      <c r="R157" s="576"/>
      <c r="S157" s="6"/>
      <c r="T157" s="32" t="s">
        <v>116</v>
      </c>
      <c r="U157" s="69"/>
      <c r="V157" s="28"/>
      <c r="W157" s="28"/>
      <c r="X157" s="28"/>
      <c r="Y157" s="28"/>
      <c r="AA157" s="27"/>
      <c r="AD157" s="33" t="str">
        <f>C156&amp;F157</f>
        <v>Guinea-BissauUSD bn</v>
      </c>
    </row>
    <row r="158" spans="1:30" ht="40" customHeight="1">
      <c r="A158" s="638"/>
      <c r="B158" s="638"/>
      <c r="C158" s="633"/>
      <c r="D158" s="630"/>
      <c r="E158" s="6"/>
      <c r="F158" s="32" t="s">
        <v>117</v>
      </c>
      <c r="G158" s="69" t="e">
        <f>(G156/VLOOKUP($C156,#REF!,4,0))*100</f>
        <v>#REF!</v>
      </c>
      <c r="H158" s="69" t="e">
        <f>(H156/VLOOKUP($C156,#REF!,4,0))*100</f>
        <v>#REF!</v>
      </c>
      <c r="I158" s="669"/>
      <c r="J158" s="69" t="e">
        <f>(J156/VLOOKUP($C156,#REF!,4,0))*100</f>
        <v>#REF!</v>
      </c>
      <c r="K158" s="577"/>
      <c r="L158" s="69"/>
      <c r="M158" s="28"/>
      <c r="N158" s="6"/>
      <c r="O158" s="31" t="s">
        <v>117</v>
      </c>
      <c r="P158" s="267" t="e">
        <f t="shared" si="8"/>
        <v>#REF!</v>
      </c>
      <c r="Q158" s="69" t="e">
        <f>(Q156/VLOOKUP($C156,#REF!,4,0))*100</f>
        <v>#REF!</v>
      </c>
      <c r="R158" s="577"/>
      <c r="S158" s="6"/>
      <c r="T158" s="31" t="s">
        <v>117</v>
      </c>
      <c r="U158" s="69"/>
      <c r="V158" s="28"/>
      <c r="W158" s="28"/>
      <c r="X158" s="28"/>
      <c r="Y158" s="28"/>
      <c r="AA158" s="27"/>
      <c r="AD158" s="33" t="str">
        <f>C156&amp;F158</f>
        <v>Guinea-Bissau% GDP</v>
      </c>
    </row>
    <row r="159" spans="1:30" s="13" customFormat="1" ht="36" customHeight="1">
      <c r="A159" s="638">
        <v>0</v>
      </c>
      <c r="B159" s="638" t="s">
        <v>862</v>
      </c>
      <c r="C159" s="632" t="s">
        <v>38</v>
      </c>
      <c r="D159" s="629" t="s">
        <v>571</v>
      </c>
      <c r="E159" s="158"/>
      <c r="F159" s="37" t="s">
        <v>115</v>
      </c>
      <c r="G159" s="93">
        <f>H159+J159</f>
        <v>13.6</v>
      </c>
      <c r="H159" s="74">
        <v>5.6</v>
      </c>
      <c r="I159" s="600" t="s">
        <v>651</v>
      </c>
      <c r="J159" s="53">
        <v>8</v>
      </c>
      <c r="K159" s="575" t="s">
        <v>749</v>
      </c>
      <c r="L159" s="18"/>
      <c r="M159" s="575" t="s">
        <v>652</v>
      </c>
      <c r="N159" s="158"/>
      <c r="O159" s="37" t="s">
        <v>115</v>
      </c>
      <c r="P159" s="264">
        <f t="shared" si="8"/>
        <v>12.475</v>
      </c>
      <c r="Q159" s="177"/>
      <c r="R159" s="18"/>
      <c r="S159" s="158"/>
      <c r="T159" s="37" t="s">
        <v>115</v>
      </c>
      <c r="U159" s="53">
        <v>6.875</v>
      </c>
      <c r="V159" s="575" t="s">
        <v>753</v>
      </c>
      <c r="W159" s="74">
        <v>5.6</v>
      </c>
      <c r="X159" s="575" t="s">
        <v>754</v>
      </c>
      <c r="Y159" s="18"/>
      <c r="Z159" s="14"/>
      <c r="AA159" s="18"/>
      <c r="AD159" s="33" t="str">
        <f>C159&amp;F159</f>
        <v>HondurasLC bn</v>
      </c>
    </row>
    <row r="160" spans="1:30" ht="40" customHeight="1">
      <c r="A160" s="638"/>
      <c r="B160" s="638"/>
      <c r="C160" s="632"/>
      <c r="D160" s="629"/>
      <c r="E160" s="6"/>
      <c r="F160" s="32" t="s">
        <v>116</v>
      </c>
      <c r="G160" s="69" t="e">
        <f>G159/#REF!</f>
        <v>#REF!</v>
      </c>
      <c r="H160" s="69" t="e">
        <f>H159/VLOOKUP($C159,#REF!,7,0)</f>
        <v>#REF!</v>
      </c>
      <c r="I160" s="601"/>
      <c r="J160" s="69" t="e">
        <f>J159/VLOOKUP($C159,#REF!,7,0)</f>
        <v>#REF!</v>
      </c>
      <c r="K160" s="576"/>
      <c r="L160" s="28"/>
      <c r="M160" s="576"/>
      <c r="N160" s="6"/>
      <c r="O160" s="32" t="s">
        <v>116</v>
      </c>
      <c r="P160" s="248" t="e">
        <f t="shared" si="8"/>
        <v>#REF!</v>
      </c>
      <c r="Q160" s="170"/>
      <c r="R160" s="28"/>
      <c r="S160" s="6"/>
      <c r="T160" s="32" t="s">
        <v>116</v>
      </c>
      <c r="U160" s="69" t="e">
        <f>U159/VLOOKUP($C159,#REF!,7,0)</f>
        <v>#REF!</v>
      </c>
      <c r="V160" s="576"/>
      <c r="W160" s="69" t="e">
        <f>W159/VLOOKUP($C159,#REF!,7,0)</f>
        <v>#REF!</v>
      </c>
      <c r="X160" s="576"/>
      <c r="Y160" s="28"/>
      <c r="AA160" s="27"/>
      <c r="AD160" s="33" t="str">
        <f>C159&amp;F160</f>
        <v>HondurasUSD bn</v>
      </c>
    </row>
    <row r="161" spans="1:30" ht="40" customHeight="1">
      <c r="A161" s="638"/>
      <c r="B161" s="638"/>
      <c r="C161" s="633"/>
      <c r="D161" s="630"/>
      <c r="E161" s="12"/>
      <c r="F161" s="31" t="s">
        <v>117</v>
      </c>
      <c r="G161" s="17" t="e">
        <f>G159/#REF!*100</f>
        <v>#REF!</v>
      </c>
      <c r="H161" s="17" t="e">
        <f>(H159/VLOOKUP($C159,#REF!,4,0))*100</f>
        <v>#REF!</v>
      </c>
      <c r="I161" s="602"/>
      <c r="J161" s="17" t="e">
        <f>(J159/VLOOKUP($C159,#REF!,4,0))*100</f>
        <v>#REF!</v>
      </c>
      <c r="K161" s="577"/>
      <c r="L161" s="19"/>
      <c r="M161" s="577"/>
      <c r="N161" s="12"/>
      <c r="O161" s="31" t="s">
        <v>117</v>
      </c>
      <c r="P161" s="267" t="e">
        <f t="shared" si="8"/>
        <v>#REF!</v>
      </c>
      <c r="Q161" s="168"/>
      <c r="R161" s="19"/>
      <c r="S161" s="12"/>
      <c r="T161" s="31" t="s">
        <v>117</v>
      </c>
      <c r="U161" s="17" t="e">
        <f>(U159/VLOOKUP($C159,#REF!,4,0))*100</f>
        <v>#REF!</v>
      </c>
      <c r="V161" s="577"/>
      <c r="W161" s="17" t="e">
        <f>(W159/VLOOKUP($C159,#REF!,4,0))*100</f>
        <v>#REF!</v>
      </c>
      <c r="X161" s="577"/>
      <c r="Y161" s="19"/>
      <c r="Z161" s="1"/>
      <c r="AA161" s="26"/>
      <c r="AD161" s="33" t="str">
        <f>C159&amp;F161</f>
        <v>Honduras% GDP</v>
      </c>
    </row>
    <row r="162" spans="1:30" ht="53.15" customHeight="1">
      <c r="A162" s="638">
        <v>0</v>
      </c>
      <c r="B162" s="638" t="s">
        <v>862</v>
      </c>
      <c r="C162" s="632" t="s">
        <v>552</v>
      </c>
      <c r="D162" s="629" t="s">
        <v>571</v>
      </c>
      <c r="E162" s="6"/>
      <c r="F162" s="37" t="s">
        <v>115</v>
      </c>
      <c r="G162" s="81">
        <f>80-L162</f>
        <v>57</v>
      </c>
      <c r="H162" s="69">
        <v>5.9</v>
      </c>
      <c r="I162" s="575" t="s">
        <v>653</v>
      </c>
      <c r="J162" s="95">
        <f>11.1+40</f>
        <v>51.1</v>
      </c>
      <c r="K162" s="575" t="s">
        <v>755</v>
      </c>
      <c r="L162" s="75">
        <v>23</v>
      </c>
      <c r="M162" s="575" t="s">
        <v>789</v>
      </c>
      <c r="N162" s="6"/>
      <c r="O162" s="37" t="s">
        <v>115</v>
      </c>
      <c r="P162" s="266"/>
      <c r="Q162" s="170"/>
      <c r="R162" s="28"/>
      <c r="S162" s="6"/>
      <c r="T162" s="37" t="s">
        <v>115</v>
      </c>
      <c r="U162" s="69"/>
      <c r="V162" s="28"/>
      <c r="W162" s="28"/>
      <c r="X162" s="28"/>
      <c r="Y162" s="28"/>
      <c r="AA162" s="27"/>
      <c r="AD162" s="33" t="str">
        <f>C162&amp;F162</f>
        <v>KenyaLC bn</v>
      </c>
    </row>
    <row r="163" spans="1:30" ht="46.5" customHeight="1">
      <c r="A163" s="638"/>
      <c r="B163" s="638"/>
      <c r="C163" s="632"/>
      <c r="D163" s="629"/>
      <c r="E163" s="6"/>
      <c r="F163" s="32" t="s">
        <v>116</v>
      </c>
      <c r="G163" s="69" t="e">
        <f>G162/VLOOKUP($C162,#REF!,7,0)</f>
        <v>#REF!</v>
      </c>
      <c r="H163" s="69" t="e">
        <f>H162/VLOOKUP($C162,#REF!,7,0)</f>
        <v>#REF!</v>
      </c>
      <c r="I163" s="576"/>
      <c r="J163" s="69" t="e">
        <f>J162/VLOOKUP($C162,#REF!,7,0)</f>
        <v>#REF!</v>
      </c>
      <c r="K163" s="576"/>
      <c r="L163" s="69" t="e">
        <f>L162/VLOOKUP($C162,#REF!,7,0)</f>
        <v>#REF!</v>
      </c>
      <c r="M163" s="576"/>
      <c r="N163" s="6"/>
      <c r="O163" s="32" t="s">
        <v>116</v>
      </c>
      <c r="P163" s="248"/>
      <c r="Q163" s="69"/>
      <c r="R163" s="28"/>
      <c r="S163" s="6"/>
      <c r="T163" s="32" t="s">
        <v>116</v>
      </c>
      <c r="U163" s="69"/>
      <c r="V163" s="28"/>
      <c r="W163" s="28"/>
      <c r="X163" s="28"/>
      <c r="Y163" s="28"/>
      <c r="AA163" s="27"/>
      <c r="AD163" s="33" t="str">
        <f>C162&amp;F163</f>
        <v>KenyaUSD bn</v>
      </c>
    </row>
    <row r="164" spans="1:30" ht="52" customHeight="1">
      <c r="A164" s="638"/>
      <c r="B164" s="638"/>
      <c r="C164" s="633"/>
      <c r="D164" s="630"/>
      <c r="E164" s="6"/>
      <c r="F164" s="31" t="s">
        <v>117</v>
      </c>
      <c r="G164" s="69" t="e">
        <f>(G162/VLOOKUP($C162,#REF!,4,0))*100</f>
        <v>#REF!</v>
      </c>
      <c r="H164" s="69" t="e">
        <f>(H162/VLOOKUP($C162,#REF!,4,0))*100</f>
        <v>#REF!</v>
      </c>
      <c r="I164" s="577"/>
      <c r="J164" s="69" t="e">
        <f>(J162/VLOOKUP($C162,#REF!,4,0))*100</f>
        <v>#REF!</v>
      </c>
      <c r="K164" s="577"/>
      <c r="L164" s="69" t="e">
        <f>(L162/VLOOKUP($C162,#REF!,4,0))*100</f>
        <v>#REF!</v>
      </c>
      <c r="M164" s="577"/>
      <c r="N164" s="6"/>
      <c r="O164" s="31" t="s">
        <v>117</v>
      </c>
      <c r="P164" s="267"/>
      <c r="Q164" s="69"/>
      <c r="R164" s="28"/>
      <c r="S164" s="6"/>
      <c r="T164" s="31" t="s">
        <v>117</v>
      </c>
      <c r="U164" s="69"/>
      <c r="V164" s="28"/>
      <c r="W164" s="28"/>
      <c r="X164" s="28"/>
      <c r="Y164" s="28"/>
      <c r="AA164" s="27"/>
      <c r="AD164" s="33" t="str">
        <f>C162&amp;F164</f>
        <v>Kenya% GDP</v>
      </c>
    </row>
    <row r="165" spans="1:30" s="10" customFormat="1" ht="38.5" customHeight="1">
      <c r="A165" s="638">
        <v>0</v>
      </c>
      <c r="B165" s="638" t="s">
        <v>862</v>
      </c>
      <c r="C165" s="632" t="s">
        <v>29</v>
      </c>
      <c r="D165" s="335"/>
      <c r="E165" s="13"/>
      <c r="F165" s="37" t="s">
        <v>115</v>
      </c>
      <c r="G165" s="93">
        <v>636</v>
      </c>
      <c r="H165" s="74">
        <v>500</v>
      </c>
      <c r="I165" s="575" t="s">
        <v>730</v>
      </c>
      <c r="J165" s="93">
        <f>G165-H165</f>
        <v>136</v>
      </c>
      <c r="K165" s="575" t="s">
        <v>756</v>
      </c>
      <c r="L165" s="18"/>
      <c r="M165" s="18"/>
      <c r="N165" s="13"/>
      <c r="O165" s="32" t="s">
        <v>115</v>
      </c>
      <c r="P165" s="18"/>
      <c r="Q165" s="177"/>
      <c r="R165" s="18"/>
      <c r="S165" s="13"/>
      <c r="T165" s="32" t="s">
        <v>115</v>
      </c>
      <c r="U165" s="53"/>
      <c r="V165" s="18"/>
      <c r="W165" s="18"/>
      <c r="X165" s="18"/>
      <c r="Y165" s="18"/>
      <c r="Z165" s="13"/>
      <c r="AA165" s="18"/>
      <c r="AD165" s="33" t="str">
        <f>C165&amp;F165</f>
        <v>NigeriaLC bn</v>
      </c>
    </row>
    <row r="166" spans="1:30" s="36" customFormat="1" ht="47.5" customHeight="1">
      <c r="A166" s="638"/>
      <c r="B166" s="638"/>
      <c r="C166" s="632"/>
      <c r="D166" s="335"/>
      <c r="E166" s="10"/>
      <c r="F166" s="32" t="s">
        <v>116</v>
      </c>
      <c r="G166" s="56" t="e">
        <f>G165/VLOOKUP($C165,#REF!,7,0)</f>
        <v>#REF!</v>
      </c>
      <c r="H166" s="69" t="e">
        <f>H165/VLOOKUP($C165,#REF!,7,0)</f>
        <v>#REF!</v>
      </c>
      <c r="I166" s="576"/>
      <c r="J166" s="56" t="e">
        <f>J165/VLOOKUP($C165,#REF!,7,0)</f>
        <v>#REF!</v>
      </c>
      <c r="K166" s="576"/>
      <c r="L166" s="28"/>
      <c r="M166" s="28"/>
      <c r="N166" s="10"/>
      <c r="O166" s="32" t="s">
        <v>116</v>
      </c>
      <c r="P166" s="28"/>
      <c r="Q166" s="178"/>
      <c r="R166" s="28"/>
      <c r="S166" s="10"/>
      <c r="T166" s="32" t="s">
        <v>116</v>
      </c>
      <c r="U166" s="56"/>
      <c r="V166" s="28"/>
      <c r="W166" s="28"/>
      <c r="X166" s="28"/>
      <c r="Y166" s="28"/>
      <c r="Z166" s="10"/>
      <c r="AA166" s="28"/>
      <c r="AD166" s="33" t="str">
        <f>C165&amp;F166</f>
        <v>NigeriaUSD bn</v>
      </c>
    </row>
    <row r="167" spans="1:30" ht="34" customHeight="1">
      <c r="A167" s="638"/>
      <c r="B167" s="638"/>
      <c r="C167" s="633"/>
      <c r="D167" s="336"/>
      <c r="E167" s="12"/>
      <c r="F167" s="31" t="s">
        <v>117</v>
      </c>
      <c r="G167" s="17" t="e">
        <f>(G165/VLOOKUP($C165,#REF!,4,0))*100</f>
        <v>#REF!</v>
      </c>
      <c r="H167" s="17" t="e">
        <f>(H165/VLOOKUP($C165,#REF!,4,0))*100</f>
        <v>#REF!</v>
      </c>
      <c r="I167" s="577"/>
      <c r="J167" s="17" t="e">
        <f>(J165/VLOOKUP($C165,#REF!,4,0))*100</f>
        <v>#REF!</v>
      </c>
      <c r="K167" s="577"/>
      <c r="L167" s="19"/>
      <c r="M167" s="19"/>
      <c r="N167" s="12"/>
      <c r="O167" s="31" t="s">
        <v>117</v>
      </c>
      <c r="P167" s="23"/>
      <c r="Q167" s="168"/>
      <c r="R167" s="23"/>
      <c r="S167" s="12"/>
      <c r="T167" s="31" t="s">
        <v>117</v>
      </c>
      <c r="U167" s="17"/>
      <c r="V167" s="19"/>
      <c r="W167" s="19"/>
      <c r="X167" s="19"/>
      <c r="Y167" s="19"/>
      <c r="Z167" s="1"/>
      <c r="AA167" s="26"/>
      <c r="AD167" s="33" t="str">
        <f>C165&amp;F167</f>
        <v>Nigeria% GDP</v>
      </c>
    </row>
    <row r="168" spans="1:30" ht="47.15" customHeight="1">
      <c r="A168" s="638">
        <v>0</v>
      </c>
      <c r="B168" s="638" t="s">
        <v>862</v>
      </c>
      <c r="C168" s="632" t="s">
        <v>93</v>
      </c>
      <c r="D168" s="629" t="s">
        <v>571</v>
      </c>
      <c r="E168" s="14"/>
      <c r="F168" s="37" t="s">
        <v>115</v>
      </c>
      <c r="G168" s="93">
        <f>H168+J168</f>
        <v>396</v>
      </c>
      <c r="H168" s="93">
        <v>79</v>
      </c>
      <c r="I168" s="575" t="s">
        <v>654</v>
      </c>
      <c r="J168" s="74">
        <v>317</v>
      </c>
      <c r="K168" s="575" t="s">
        <v>791</v>
      </c>
      <c r="L168" s="74">
        <v>15</v>
      </c>
      <c r="M168" s="575" t="s">
        <v>584</v>
      </c>
      <c r="N168" s="14"/>
      <c r="O168" s="32" t="s">
        <v>115</v>
      </c>
      <c r="P168" s="93">
        <f>Q168+U168+W168</f>
        <v>70</v>
      </c>
      <c r="Q168" s="183"/>
      <c r="R168" s="581"/>
      <c r="S168" s="14"/>
      <c r="T168" s="32" t="s">
        <v>115</v>
      </c>
      <c r="U168" s="93">
        <v>70</v>
      </c>
      <c r="V168" s="575" t="s">
        <v>814</v>
      </c>
      <c r="W168" s="18"/>
      <c r="X168" s="18"/>
      <c r="Y168" s="18"/>
      <c r="Z168" s="14"/>
      <c r="AA168" s="18"/>
      <c r="AD168" s="33" t="str">
        <f>C168&amp;F168</f>
        <v>SenegalLC bn</v>
      </c>
    </row>
    <row r="169" spans="1:30" ht="39.65" customHeight="1">
      <c r="A169" s="638"/>
      <c r="B169" s="638"/>
      <c r="C169" s="632"/>
      <c r="D169" s="629"/>
      <c r="E169" s="36"/>
      <c r="F169" s="32" t="s">
        <v>116</v>
      </c>
      <c r="G169" s="69" t="e">
        <f>G168/VLOOKUP($C168,#REF!,7,0)</f>
        <v>#REF!</v>
      </c>
      <c r="H169" s="69" t="e">
        <f>H168/VLOOKUP($C168,#REF!,7,0)</f>
        <v>#REF!</v>
      </c>
      <c r="I169" s="576"/>
      <c r="J169" s="69" t="e">
        <f>J168/VLOOKUP($C168,#REF!,7,0)</f>
        <v>#REF!</v>
      </c>
      <c r="K169" s="576"/>
      <c r="L169" s="69" t="e">
        <f>L168/VLOOKUP($C168,#REF!,7,0)</f>
        <v>#REF!</v>
      </c>
      <c r="M169" s="576"/>
      <c r="N169" s="36"/>
      <c r="O169" s="32" t="s">
        <v>116</v>
      </c>
      <c r="P169" s="170" t="e">
        <f>Q169+U169+W169</f>
        <v>#REF!</v>
      </c>
      <c r="Q169" s="170"/>
      <c r="R169" s="582"/>
      <c r="S169" s="36"/>
      <c r="T169" s="32" t="s">
        <v>116</v>
      </c>
      <c r="U169" s="69" t="e">
        <f>U168/VLOOKUP($C168,#REF!,7,0)</f>
        <v>#REF!</v>
      </c>
      <c r="V169" s="576"/>
      <c r="W169" s="28"/>
      <c r="X169" s="28"/>
      <c r="Y169" s="28"/>
      <c r="Z169" s="36"/>
      <c r="AA169" s="28"/>
      <c r="AD169" s="33" t="str">
        <f>C168&amp;F169</f>
        <v>SenegalUSD bn</v>
      </c>
    </row>
    <row r="170" spans="1:30" ht="70.5" customHeight="1">
      <c r="A170" s="638"/>
      <c r="B170" s="638"/>
      <c r="C170" s="633"/>
      <c r="D170" s="630"/>
      <c r="E170" s="12"/>
      <c r="F170" s="31" t="s">
        <v>117</v>
      </c>
      <c r="G170" s="17" t="e">
        <f>(G168/VLOOKUP($C168,#REF!,4,0))*100</f>
        <v>#REF!</v>
      </c>
      <c r="H170" s="17" t="e">
        <f>(H168/VLOOKUP($C168,#REF!,4,0))*100</f>
        <v>#REF!</v>
      </c>
      <c r="I170" s="577"/>
      <c r="J170" s="17" t="e">
        <f>(J168/VLOOKUP($C168,#REF!,4,0))*100</f>
        <v>#REF!</v>
      </c>
      <c r="K170" s="577"/>
      <c r="L170" s="17" t="e">
        <f>(L168/VLOOKUP($C168,#REF!,4,0))*100</f>
        <v>#REF!</v>
      </c>
      <c r="M170" s="577"/>
      <c r="N170" s="12"/>
      <c r="O170" s="31" t="s">
        <v>117</v>
      </c>
      <c r="P170" s="168" t="e">
        <f>Q170+U170+W170</f>
        <v>#REF!</v>
      </c>
      <c r="Q170" s="168"/>
      <c r="R170" s="583"/>
      <c r="S170" s="12"/>
      <c r="T170" s="31" t="s">
        <v>117</v>
      </c>
      <c r="U170" s="17" t="e">
        <f>(U168/VLOOKUP($C168,#REF!,4,0))*100</f>
        <v>#REF!</v>
      </c>
      <c r="V170" s="577"/>
      <c r="W170" s="19"/>
      <c r="X170" s="19"/>
      <c r="Y170" s="19"/>
      <c r="Z170" s="1"/>
      <c r="AA170" s="26"/>
      <c r="AD170" s="33" t="str">
        <f>C168&amp;F170</f>
        <v>Senegal% GDP</v>
      </c>
    </row>
    <row r="171" spans="1:30" ht="98.15" customHeight="1">
      <c r="A171" s="638">
        <v>0</v>
      </c>
      <c r="B171" s="638" t="s">
        <v>862</v>
      </c>
      <c r="C171" s="632" t="s">
        <v>33</v>
      </c>
      <c r="D171" s="629" t="s">
        <v>583</v>
      </c>
      <c r="E171" s="14"/>
      <c r="F171" s="37" t="s">
        <v>115</v>
      </c>
      <c r="G171" s="127">
        <v>86000</v>
      </c>
      <c r="H171" s="127">
        <v>16200</v>
      </c>
      <c r="I171" s="600" t="s">
        <v>757</v>
      </c>
      <c r="J171" s="261">
        <v>69800</v>
      </c>
      <c r="K171" s="575" t="s">
        <v>758</v>
      </c>
      <c r="L171" s="127">
        <v>189500</v>
      </c>
      <c r="M171" s="634" t="s">
        <v>759</v>
      </c>
      <c r="N171" s="14"/>
      <c r="O171" s="32" t="s">
        <v>115</v>
      </c>
      <c r="P171" s="127">
        <v>12000</v>
      </c>
      <c r="Q171" s="177"/>
      <c r="R171" s="18"/>
      <c r="S171" s="14"/>
      <c r="T171" s="32" t="s">
        <v>115</v>
      </c>
      <c r="U171" s="53"/>
      <c r="V171" s="18"/>
      <c r="W171" s="127">
        <v>12000</v>
      </c>
      <c r="X171" s="575" t="s">
        <v>760</v>
      </c>
      <c r="Y171" s="575" t="s">
        <v>295</v>
      </c>
      <c r="Z171" s="14"/>
      <c r="AA171" s="18"/>
      <c r="AD171" s="33" t="str">
        <f>C171&amp;F171</f>
        <v>VietnamLC bn</v>
      </c>
    </row>
    <row r="172" spans="1:30" ht="111.65" customHeight="1">
      <c r="A172" s="638"/>
      <c r="B172" s="638"/>
      <c r="C172" s="632"/>
      <c r="D172" s="629"/>
      <c r="E172" s="6"/>
      <c r="F172" s="32" t="s">
        <v>116</v>
      </c>
      <c r="G172" s="69" t="e">
        <f>G171/VLOOKUP($C171,#REF!,7,0)</f>
        <v>#REF!</v>
      </c>
      <c r="H172" s="69" t="e">
        <f>H171/VLOOKUP($C171,#REF!,7,0)</f>
        <v>#REF!</v>
      </c>
      <c r="I172" s="601"/>
      <c r="J172" s="69" t="e">
        <f>J171/VLOOKUP($C171,#REF!,7,0)</f>
        <v>#REF!</v>
      </c>
      <c r="K172" s="576"/>
      <c r="L172" s="69" t="e">
        <f>L171/VLOOKUP($C171,#REF!,7,0)</f>
        <v>#REF!</v>
      </c>
      <c r="M172" s="620"/>
      <c r="N172" s="6"/>
      <c r="O172" s="32" t="s">
        <v>116</v>
      </c>
      <c r="P172" s="258" t="e">
        <f>P171/VLOOKUP($C171,#REF!,7,0)</f>
        <v>#REF!</v>
      </c>
      <c r="Q172" s="170"/>
      <c r="R172" s="28"/>
      <c r="S172" s="6"/>
      <c r="T172" s="32" t="s">
        <v>116</v>
      </c>
      <c r="U172" s="69"/>
      <c r="V172" s="28"/>
      <c r="W172" s="258" t="e">
        <f>W171/VLOOKUP($C171,#REF!,7,0)</f>
        <v>#REF!</v>
      </c>
      <c r="X172" s="576"/>
      <c r="Y172" s="576"/>
      <c r="AA172" s="27"/>
      <c r="AD172" s="33" t="str">
        <f>C171&amp;F172</f>
        <v>VietnamUSD bn</v>
      </c>
    </row>
    <row r="173" spans="1:30" ht="97.5" customHeight="1">
      <c r="A173" s="638"/>
      <c r="B173" s="638"/>
      <c r="C173" s="633"/>
      <c r="D173" s="630"/>
      <c r="E173" s="12"/>
      <c r="F173" s="31" t="s">
        <v>117</v>
      </c>
      <c r="G173" s="17" t="e">
        <f>(G171/VLOOKUP($C171,#REF!,4,0))*100</f>
        <v>#REF!</v>
      </c>
      <c r="H173" s="17" t="e">
        <f>(H171/VLOOKUP($C171,#REF!,4,0))*100</f>
        <v>#REF!</v>
      </c>
      <c r="I173" s="602"/>
      <c r="J173" s="17" t="e">
        <f>(J171/VLOOKUP($C171,#REF!,4,0))*100</f>
        <v>#REF!</v>
      </c>
      <c r="K173" s="577"/>
      <c r="L173" s="17" t="e">
        <f>(L171/VLOOKUP($C171,#REF!,4,0))*100</f>
        <v>#REF!</v>
      </c>
      <c r="M173" s="621"/>
      <c r="N173" s="12"/>
      <c r="O173" s="31" t="s">
        <v>117</v>
      </c>
      <c r="P173" s="292" t="e">
        <f>(P171/VLOOKUP($C171,#REF!,4,0))*100</f>
        <v>#REF!</v>
      </c>
      <c r="Q173" s="168"/>
      <c r="R173" s="19"/>
      <c r="S173" s="12"/>
      <c r="T173" s="31" t="s">
        <v>117</v>
      </c>
      <c r="U173" s="17"/>
      <c r="V173" s="19"/>
      <c r="W173" s="292" t="e">
        <f>(W171/VLOOKUP($C171,#REF!,4,0))*100</f>
        <v>#REF!</v>
      </c>
      <c r="X173" s="577"/>
      <c r="Y173" s="577"/>
      <c r="Z173" s="1"/>
      <c r="AA173" s="26"/>
      <c r="AD173" s="33" t="str">
        <f>C171&amp;F173</f>
        <v>Vietnam% GDP</v>
      </c>
    </row>
    <row r="174" spans="1:30">
      <c r="C174" s="6" t="s">
        <v>108</v>
      </c>
    </row>
    <row r="175" spans="1:30" ht="32.15" customHeight="1">
      <c r="C175" s="623" t="s">
        <v>889</v>
      </c>
      <c r="D175" s="623"/>
      <c r="E175" s="623"/>
      <c r="F175" s="623"/>
      <c r="G175" s="623"/>
      <c r="H175" s="623"/>
      <c r="I175" s="623"/>
      <c r="J175" s="623"/>
      <c r="K175" s="623"/>
      <c r="L175" s="623"/>
      <c r="M175" s="623"/>
      <c r="N175" s="623"/>
      <c r="O175" s="623"/>
      <c r="P175" s="623"/>
      <c r="Q175" s="623"/>
      <c r="R175" s="623"/>
      <c r="S175" s="623"/>
      <c r="T175" s="623"/>
      <c r="U175" s="623"/>
      <c r="V175" s="623"/>
      <c r="W175" s="623"/>
      <c r="X175" s="623"/>
    </row>
    <row r="176" spans="1:30">
      <c r="C176" s="6" t="s">
        <v>873</v>
      </c>
    </row>
    <row r="177" spans="3:3">
      <c r="C177" s="40"/>
    </row>
  </sheetData>
  <autoFilter ref="A5:F5" xr:uid="{70D8D969-D19A-4A37-9D57-5E4D8D57F6B2}"/>
  <mergeCells count="537">
    <mergeCell ref="M171:M173"/>
    <mergeCell ref="X171:X173"/>
    <mergeCell ref="Y171:Y173"/>
    <mergeCell ref="C175:X175"/>
    <mergeCell ref="K168:K170"/>
    <mergeCell ref="M168:M170"/>
    <mergeCell ref="R168:R170"/>
    <mergeCell ref="V168:V170"/>
    <mergeCell ref="A171:A173"/>
    <mergeCell ref="B171:B173"/>
    <mergeCell ref="C171:C173"/>
    <mergeCell ref="D171:D173"/>
    <mergeCell ref="I171:I173"/>
    <mergeCell ref="K171:K173"/>
    <mergeCell ref="A165:A167"/>
    <mergeCell ref="B165:B167"/>
    <mergeCell ref="C165:C167"/>
    <mergeCell ref="I165:I167"/>
    <mergeCell ref="K165:K167"/>
    <mergeCell ref="A168:A170"/>
    <mergeCell ref="B168:B170"/>
    <mergeCell ref="C168:C170"/>
    <mergeCell ref="D168:D170"/>
    <mergeCell ref="I168:I170"/>
    <mergeCell ref="V159:V161"/>
    <mergeCell ref="X159:X161"/>
    <mergeCell ref="A162:A164"/>
    <mergeCell ref="B162:B164"/>
    <mergeCell ref="C162:C164"/>
    <mergeCell ref="D162:D164"/>
    <mergeCell ref="I162:I164"/>
    <mergeCell ref="K162:K164"/>
    <mergeCell ref="M162:M164"/>
    <mergeCell ref="R156:R158"/>
    <mergeCell ref="A159:A161"/>
    <mergeCell ref="B159:B161"/>
    <mergeCell ref="C159:C161"/>
    <mergeCell ref="D159:D161"/>
    <mergeCell ref="I159:I161"/>
    <mergeCell ref="K159:K161"/>
    <mergeCell ref="M159:M161"/>
    <mergeCell ref="A156:A158"/>
    <mergeCell ref="B156:B158"/>
    <mergeCell ref="C156:C158"/>
    <mergeCell ref="D156:D158"/>
    <mergeCell ref="I156:I158"/>
    <mergeCell ref="K156:K158"/>
    <mergeCell ref="A147:A149"/>
    <mergeCell ref="B147:B149"/>
    <mergeCell ref="C147:C149"/>
    <mergeCell ref="D147:D149"/>
    <mergeCell ref="I147:I149"/>
    <mergeCell ref="K147:K149"/>
    <mergeCell ref="R147:R149"/>
    <mergeCell ref="R150:R152"/>
    <mergeCell ref="A153:A155"/>
    <mergeCell ref="B153:B155"/>
    <mergeCell ref="C153:C155"/>
    <mergeCell ref="D153:D155"/>
    <mergeCell ref="I153:I155"/>
    <mergeCell ref="K153:K155"/>
    <mergeCell ref="M153:M155"/>
    <mergeCell ref="R153:R155"/>
    <mergeCell ref="A150:A152"/>
    <mergeCell ref="B150:B152"/>
    <mergeCell ref="C150:C152"/>
    <mergeCell ref="D150:D152"/>
    <mergeCell ref="I150:I152"/>
    <mergeCell ref="K150:K152"/>
    <mergeCell ref="Y141:Y143"/>
    <mergeCell ref="A144:A146"/>
    <mergeCell ref="B144:B146"/>
    <mergeCell ref="C144:C146"/>
    <mergeCell ref="D144:D146"/>
    <mergeCell ref="I144:I146"/>
    <mergeCell ref="K144:K146"/>
    <mergeCell ref="R144:R146"/>
    <mergeCell ref="V144:V146"/>
    <mergeCell ref="X144:X146"/>
    <mergeCell ref="X138:X140"/>
    <mergeCell ref="A141:A143"/>
    <mergeCell ref="B141:B143"/>
    <mergeCell ref="C141:C143"/>
    <mergeCell ref="D141:D143"/>
    <mergeCell ref="I141:I143"/>
    <mergeCell ref="K141:K143"/>
    <mergeCell ref="M141:M143"/>
    <mergeCell ref="R141:R143"/>
    <mergeCell ref="V141:V143"/>
    <mergeCell ref="A138:A140"/>
    <mergeCell ref="B138:B140"/>
    <mergeCell ref="C138:C140"/>
    <mergeCell ref="D138:D140"/>
    <mergeCell ref="I138:I140"/>
    <mergeCell ref="K138:K140"/>
    <mergeCell ref="M138:M140"/>
    <mergeCell ref="R138:R140"/>
    <mergeCell ref="V138:V140"/>
    <mergeCell ref="M132:M134"/>
    <mergeCell ref="R132:R134"/>
    <mergeCell ref="V132:V134"/>
    <mergeCell ref="X132:X134"/>
    <mergeCell ref="A135:A137"/>
    <mergeCell ref="B135:B137"/>
    <mergeCell ref="C135:C137"/>
    <mergeCell ref="D135:D137"/>
    <mergeCell ref="I135:I137"/>
    <mergeCell ref="K135:K137"/>
    <mergeCell ref="A132:A134"/>
    <mergeCell ref="B132:B134"/>
    <mergeCell ref="C132:C134"/>
    <mergeCell ref="D132:D134"/>
    <mergeCell ref="I132:I134"/>
    <mergeCell ref="K132:K134"/>
    <mergeCell ref="M135:M137"/>
    <mergeCell ref="R135:R137"/>
    <mergeCell ref="V135:V137"/>
    <mergeCell ref="A129:A131"/>
    <mergeCell ref="B129:B131"/>
    <mergeCell ref="C129:C131"/>
    <mergeCell ref="D129:D131"/>
    <mergeCell ref="I129:I131"/>
    <mergeCell ref="K129:K131"/>
    <mergeCell ref="R129:R131"/>
    <mergeCell ref="V129:V131"/>
    <mergeCell ref="X129:X131"/>
    <mergeCell ref="M123:M125"/>
    <mergeCell ref="X123:X125"/>
    <mergeCell ref="A126:A128"/>
    <mergeCell ref="B126:B128"/>
    <mergeCell ref="C126:C128"/>
    <mergeCell ref="D126:D128"/>
    <mergeCell ref="I126:I128"/>
    <mergeCell ref="K126:K128"/>
    <mergeCell ref="M126:M128"/>
    <mergeCell ref="V126:V128"/>
    <mergeCell ref="A123:A125"/>
    <mergeCell ref="B123:B125"/>
    <mergeCell ref="C123:C125"/>
    <mergeCell ref="D123:D125"/>
    <mergeCell ref="I123:I125"/>
    <mergeCell ref="K123:K125"/>
    <mergeCell ref="X126:X128"/>
    <mergeCell ref="X117:X119"/>
    <mergeCell ref="A120:A122"/>
    <mergeCell ref="B120:B122"/>
    <mergeCell ref="C120:C122"/>
    <mergeCell ref="D120:D122"/>
    <mergeCell ref="I120:I122"/>
    <mergeCell ref="K120:K122"/>
    <mergeCell ref="R120:R122"/>
    <mergeCell ref="V120:V122"/>
    <mergeCell ref="A117:A119"/>
    <mergeCell ref="B117:B119"/>
    <mergeCell ref="C117:C119"/>
    <mergeCell ref="D117:D119"/>
    <mergeCell ref="I117:I119"/>
    <mergeCell ref="K117:K119"/>
    <mergeCell ref="M117:M119"/>
    <mergeCell ref="R117:R119"/>
    <mergeCell ref="V117:V119"/>
    <mergeCell ref="M111:M113"/>
    <mergeCell ref="R111:R113"/>
    <mergeCell ref="V111:V113"/>
    <mergeCell ref="A114:A116"/>
    <mergeCell ref="B114:B116"/>
    <mergeCell ref="C114:C116"/>
    <mergeCell ref="D114:D116"/>
    <mergeCell ref="I114:I116"/>
    <mergeCell ref="K114:K116"/>
    <mergeCell ref="M114:M116"/>
    <mergeCell ref="A111:A113"/>
    <mergeCell ref="B111:B113"/>
    <mergeCell ref="C111:C113"/>
    <mergeCell ref="D111:D113"/>
    <mergeCell ref="I111:I113"/>
    <mergeCell ref="K111:K113"/>
    <mergeCell ref="R114:R116"/>
    <mergeCell ref="V114:V116"/>
    <mergeCell ref="AA105:AA107"/>
    <mergeCell ref="A108:A110"/>
    <mergeCell ref="B108:B110"/>
    <mergeCell ref="C108:C110"/>
    <mergeCell ref="D108:D110"/>
    <mergeCell ref="I108:I110"/>
    <mergeCell ref="K108:K110"/>
    <mergeCell ref="M108:M110"/>
    <mergeCell ref="R108:R110"/>
    <mergeCell ref="V108:V110"/>
    <mergeCell ref="K105:K107"/>
    <mergeCell ref="M105:M107"/>
    <mergeCell ref="R105:R107"/>
    <mergeCell ref="V105:V107"/>
    <mergeCell ref="X105:X107"/>
    <mergeCell ref="Y105:Y107"/>
    <mergeCell ref="M102:M104"/>
    <mergeCell ref="R102:R104"/>
    <mergeCell ref="V102:V104"/>
    <mergeCell ref="X102:X104"/>
    <mergeCell ref="Y102:Y104"/>
    <mergeCell ref="A105:A107"/>
    <mergeCell ref="B105:B107"/>
    <mergeCell ref="C105:C107"/>
    <mergeCell ref="D105:D107"/>
    <mergeCell ref="I105:I107"/>
    <mergeCell ref="A102:A104"/>
    <mergeCell ref="B102:B104"/>
    <mergeCell ref="C102:C104"/>
    <mergeCell ref="D102:D104"/>
    <mergeCell ref="I102:I104"/>
    <mergeCell ref="K102:K104"/>
    <mergeCell ref="M96:M98"/>
    <mergeCell ref="V96:V98"/>
    <mergeCell ref="A99:A101"/>
    <mergeCell ref="B99:B101"/>
    <mergeCell ref="C99:C101"/>
    <mergeCell ref="D99:D101"/>
    <mergeCell ref="I99:I101"/>
    <mergeCell ref="K99:K101"/>
    <mergeCell ref="M99:M101"/>
    <mergeCell ref="V99:V101"/>
    <mergeCell ref="A96:A98"/>
    <mergeCell ref="B96:B98"/>
    <mergeCell ref="C96:C98"/>
    <mergeCell ref="D96:D98"/>
    <mergeCell ref="I96:I98"/>
    <mergeCell ref="K96:K98"/>
    <mergeCell ref="A93:A95"/>
    <mergeCell ref="B93:B95"/>
    <mergeCell ref="C93:C95"/>
    <mergeCell ref="D93:D95"/>
    <mergeCell ref="I93:I95"/>
    <mergeCell ref="K93:K95"/>
    <mergeCell ref="M93:M95"/>
    <mergeCell ref="R93:R95"/>
    <mergeCell ref="V93:V95"/>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0:A62"/>
    <mergeCell ref="B60:B62"/>
    <mergeCell ref="C60:C62"/>
    <mergeCell ref="D60:D62"/>
    <mergeCell ref="I60:I62"/>
    <mergeCell ref="K60:K62"/>
    <mergeCell ref="M60:M62"/>
    <mergeCell ref="R60:R62"/>
    <mergeCell ref="AA60:AA61"/>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M27:M29"/>
    <mergeCell ref="R27:R29"/>
    <mergeCell ref="V27:V29"/>
    <mergeCell ref="X27:X29"/>
    <mergeCell ref="Y27:Y29"/>
    <mergeCell ref="AA27:AA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B9:AB11"/>
    <mergeCell ref="A12:A14"/>
    <mergeCell ref="B12:B14"/>
    <mergeCell ref="C12:C14"/>
    <mergeCell ref="D12:D14"/>
    <mergeCell ref="I12:I14"/>
    <mergeCell ref="K12:K14"/>
    <mergeCell ref="R12:R14"/>
    <mergeCell ref="V12:V14"/>
    <mergeCell ref="Y12:Y14"/>
    <mergeCell ref="Y6:Y8"/>
    <mergeCell ref="AA6:AA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hyperlinks>
    <hyperlink ref="AA48" r:id="rId1" xr:uid="{5D808FB5-7851-4FF8-8ABC-EAB906649927}"/>
    <hyperlink ref="AA60" r:id="rId2" xr:uid="{02A08C94-6C1D-4D67-B3A6-B089FF4B0BA6}"/>
    <hyperlink ref="AA9" r:id="rId3" xr:uid="{17A37857-330F-4F3C-961B-F95FC5276F7B}"/>
    <hyperlink ref="AA15" r:id="rId4" xr:uid="{ADA0E7D0-1B6E-4322-8645-6CE9F816C09B}"/>
    <hyperlink ref="AA21" r:id="rId5" xr:uid="{F469AD1A-B1B8-49C1-BC07-5D40D9CEEB31}"/>
    <hyperlink ref="AA18" r:id="rId6" xr:uid="{FDC80757-6B92-46F0-A802-351D14118684}"/>
    <hyperlink ref="AA27" r:id="rId7" xr:uid="{8D8B0471-6E47-4456-86EE-8B782F6D06B4}"/>
    <hyperlink ref="AA33" r:id="rId8" xr:uid="{9545FB1E-DC5F-4477-A5B1-0C067F54204F}"/>
    <hyperlink ref="AA78" r:id="rId9" xr:uid="{E7B876D6-D864-4733-83FE-95E2C9CD416A}"/>
    <hyperlink ref="AA81" r:id="rId10" xr:uid="{72385C64-8E5F-4F43-9198-4FF742A23FF0}"/>
    <hyperlink ref="AA87" r:id="rId11" xr:uid="{BF3313F1-7F66-4D44-96CB-4B0125915697}"/>
    <hyperlink ref="AA30" r:id="rId12" xr:uid="{A5C001F1-48CE-4344-A9EB-B1F1002BEA5F}"/>
    <hyperlink ref="AA105" r:id="rId13" xr:uid="{B4839A4B-4182-4148-AA00-AB8CBD93B2A3}"/>
    <hyperlink ref="AA144" r:id="rId14" xr:uid="{99CF8B70-079E-4A1D-B206-04657D6F7439}"/>
    <hyperlink ref="AA145" r:id="rId15" xr:uid="{A31522C6-0E8E-463B-91F3-D43AD822BBF8}"/>
    <hyperlink ref="AB6" r:id="rId16" display="https://treasury.gov.au/coronavirus" xr:uid="{605C707D-0B8D-467D-904D-00B8B558D0FC}"/>
    <hyperlink ref="AA6" r:id="rId17" xr:uid="{3FB7C706-1962-4B5E-ABDB-3276F78A53CD}"/>
    <hyperlink ref="AA22" r:id="rId18" xr:uid="{901B0884-C543-44A0-9D0C-6945BEBA03E5}"/>
    <hyperlink ref="AA132" r:id="rId19" display="https://urldefense.proofpoint.com/v2/url?u=https-3A__www.gov.pl_web_tarczaantykryzysowa&amp;d=DwMFBA&amp;c=G8CoXqdZ57E1EOn2t2CVrg&amp;r=1dNmfCwUPm-Zyfp8PIjgpWCvO5QO5p2LM0QGFAzgPvI&amp;m=nz2rsJenFWhU9KRBhOJ8maK12Et9Tar9PrzSGpsIzBw&amp;s=CAY3fc6DLo3KDD4wEX63BZhcse8VIq2LHFGPVw4INzI&amp;e=" xr:uid="{74758433-B210-42EA-82EC-AC866644290B}"/>
    <hyperlink ref="AA77" r:id="rId20" xr:uid="{F1C7B520-B4E7-48C5-A484-9497E51AFB12}"/>
    <hyperlink ref="AA75" r:id="rId21" xr:uid="{EDDCA4AE-4A39-47C1-8BA1-CCFE16F38155}"/>
    <hyperlink ref="AA76" r:id="rId22" xr:uid="{CFBE6494-B9A9-4754-846D-E32BAD191E77}"/>
    <hyperlink ref="AA54" r:id="rId23" display="http://www5.diputados.gob.mx/index.php/esl/Comunicacion/Boletines/2020/Marzo/18/3509-Aprueban-crear-el-Fondo-para-la-Prevencion-y-Atencion-de-Emergencias_x000a__x000a_" xr:uid="{BD7BBDB8-66FA-4D22-96B2-379802A6D688}"/>
  </hyperlinks>
  <pageMargins left="0.7" right="0.7" top="0.75" bottom="0.75" header="0.3" footer="0.3"/>
  <pageSetup scale="37" fitToHeight="0" orientation="landscape" r:id="rId24"/>
  <rowBreaks count="10" manualBreakCount="10">
    <brk id="23" min="2" max="23" man="1"/>
    <brk id="32" min="2" max="23" man="1"/>
    <brk id="41" min="2" max="23" man="1"/>
    <brk id="53" min="2" max="23" man="1"/>
    <brk id="80" min="2" max="23" man="1"/>
    <brk id="95" min="2" max="23" man="1"/>
    <brk id="110" min="2" max="23" man="1"/>
    <brk id="128" min="2" max="23" man="1"/>
    <brk id="146" min="2" max="23" man="1"/>
    <brk id="170" min="2" max="23" man="1"/>
  </rowBreaks>
  <colBreaks count="1" manualBreakCount="1">
    <brk id="2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7351-5341-4BBB-B642-5BD982FE2E84}">
  <sheetPr>
    <tabColor rgb="FFFF0000"/>
    <pageSetUpPr fitToPage="1"/>
  </sheetPr>
  <dimension ref="A2:AE207"/>
  <sheetViews>
    <sheetView view="pageBreakPreview" zoomScale="70" zoomScaleNormal="100" zoomScaleSheetLayoutView="70" workbookViewId="0">
      <pane ySplit="5" topLeftCell="A102" activePane="bottomLeft" state="frozen"/>
      <selection activeCell="H128" sqref="H128"/>
      <selection pane="bottomLeft" activeCell="A102" sqref="A102:XFD104"/>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27" t="s">
        <v>1212</v>
      </c>
      <c r="D3" s="627"/>
      <c r="E3" s="627"/>
      <c r="F3" s="627"/>
      <c r="G3" s="627"/>
      <c r="H3" s="627"/>
      <c r="I3" s="627"/>
      <c r="J3" s="627"/>
      <c r="K3" s="627"/>
      <c r="L3" s="627"/>
      <c r="M3" s="627"/>
      <c r="N3" s="627"/>
      <c r="O3" s="627"/>
      <c r="P3" s="627"/>
      <c r="Q3" s="627"/>
      <c r="R3" s="627"/>
      <c r="S3" s="627"/>
      <c r="T3" s="627"/>
      <c r="U3" s="627"/>
      <c r="V3" s="627"/>
      <c r="W3" s="627"/>
      <c r="X3" s="627"/>
    </row>
    <row r="4" spans="1:30" ht="13" customHeight="1">
      <c r="A4" s="14"/>
      <c r="B4" s="14"/>
      <c r="C4" s="327"/>
      <c r="D4" s="327"/>
      <c r="F4" s="327"/>
      <c r="G4" s="329"/>
      <c r="H4" s="613" t="s">
        <v>592</v>
      </c>
      <c r="I4" s="613"/>
      <c r="J4" s="613"/>
      <c r="K4" s="613"/>
      <c r="L4" s="613"/>
      <c r="M4" s="613"/>
      <c r="O4" s="327"/>
      <c r="P4" s="330"/>
      <c r="Q4" s="574" t="s">
        <v>593</v>
      </c>
      <c r="R4" s="574"/>
      <c r="T4" s="574" t="s">
        <v>594</v>
      </c>
      <c r="U4" s="574"/>
      <c r="V4" s="574"/>
      <c r="W4" s="574"/>
      <c r="X4" s="574"/>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00" customHeight="1">
      <c r="A6" s="638">
        <v>1</v>
      </c>
      <c r="B6" s="638" t="s">
        <v>858</v>
      </c>
      <c r="C6" s="631" t="s">
        <v>0</v>
      </c>
      <c r="D6" s="629" t="s">
        <v>570</v>
      </c>
      <c r="F6" s="32" t="s">
        <v>115</v>
      </c>
      <c r="G6" s="95">
        <f>H6+J6</f>
        <v>206.4</v>
      </c>
      <c r="H6" s="69">
        <v>9.4</v>
      </c>
      <c r="I6" s="582" t="s">
        <v>919</v>
      </c>
      <c r="J6" s="95">
        <v>197</v>
      </c>
      <c r="K6" s="581" t="s">
        <v>1006</v>
      </c>
      <c r="L6" s="269"/>
      <c r="M6" s="579"/>
      <c r="O6" s="32" t="s">
        <v>115</v>
      </c>
      <c r="P6" s="81">
        <f>Q6+U6</f>
        <v>35</v>
      </c>
      <c r="Q6" s="166">
        <v>15</v>
      </c>
      <c r="R6" s="576" t="s">
        <v>590</v>
      </c>
      <c r="T6" s="32" t="s">
        <v>115</v>
      </c>
      <c r="U6" s="95">
        <v>20</v>
      </c>
      <c r="V6" s="576" t="s">
        <v>591</v>
      </c>
      <c r="W6" s="28"/>
      <c r="X6" s="28"/>
      <c r="Y6" s="576" t="s">
        <v>62</v>
      </c>
      <c r="AA6" s="617" t="s">
        <v>61</v>
      </c>
      <c r="AD6" s="33" t="str">
        <f>C6&amp;F6</f>
        <v>AustraliaLC bn</v>
      </c>
    </row>
    <row r="7" spans="1:30" ht="70" customHeight="1">
      <c r="A7" s="638"/>
      <c r="B7" s="638"/>
      <c r="C7" s="632"/>
      <c r="D7" s="629"/>
      <c r="F7" s="32" t="s">
        <v>116</v>
      </c>
      <c r="G7" s="81" t="e">
        <f>G6/#REF!</f>
        <v>#REF!</v>
      </c>
      <c r="H7" s="69" t="e">
        <f>H6/#REF!</f>
        <v>#REF!</v>
      </c>
      <c r="I7" s="582"/>
      <c r="J7" s="81" t="e">
        <f>J6/VLOOKUP($C6,#REF!,7,0)</f>
        <v>#REF!</v>
      </c>
      <c r="K7" s="582"/>
      <c r="L7" s="186"/>
      <c r="M7" s="579"/>
      <c r="O7" s="32" t="s">
        <v>116</v>
      </c>
      <c r="P7" s="254" t="e">
        <f>P6/VLOOKUP(C6,#REF!,7,0)</f>
        <v>#REF!</v>
      </c>
      <c r="Q7" s="167" t="e">
        <f>Q6/VLOOKUP(C6,#REF!,7,0)</f>
        <v>#REF!</v>
      </c>
      <c r="R7" s="576"/>
      <c r="T7" s="32" t="s">
        <v>116</v>
      </c>
      <c r="U7" s="185" t="e">
        <f>P7-Q7</f>
        <v>#REF!</v>
      </c>
      <c r="V7" s="576"/>
      <c r="W7" s="28"/>
      <c r="X7" s="28"/>
      <c r="Y7" s="576"/>
      <c r="AA7" s="617"/>
      <c r="AD7" s="33" t="str">
        <f>C6&amp;F7</f>
        <v>AustraliaUSD bn</v>
      </c>
    </row>
    <row r="8" spans="1:30" ht="118" customHeight="1">
      <c r="A8" s="638"/>
      <c r="B8" s="638"/>
      <c r="C8" s="633"/>
      <c r="D8" s="630"/>
      <c r="E8" s="1"/>
      <c r="F8" s="31" t="s">
        <v>117</v>
      </c>
      <c r="G8" s="17" t="e">
        <f>(G6/VLOOKUP(C6,#REF!,4,0))*100</f>
        <v>#REF!</v>
      </c>
      <c r="H8" s="17" t="e">
        <f>(H6/VLOOKUP(C6,#REF!,4,0))*100</f>
        <v>#REF!</v>
      </c>
      <c r="I8" s="583"/>
      <c r="J8" s="17" t="e">
        <f>(J6/VLOOKUP($C6,#REF!,4,0))*100</f>
        <v>#REF!</v>
      </c>
      <c r="K8" s="583"/>
      <c r="L8" s="187"/>
      <c r="M8" s="580"/>
      <c r="N8" s="1"/>
      <c r="O8" s="31" t="s">
        <v>117</v>
      </c>
      <c r="P8" s="121" t="e">
        <f>(P6/VLOOKUP(C6,#REF!,4,0))*100</f>
        <v>#REF!</v>
      </c>
      <c r="Q8" s="168" t="e">
        <f>(Q6/VLOOKUP(C6,#REF!,4,0))*100</f>
        <v>#REF!</v>
      </c>
      <c r="R8" s="577"/>
      <c r="S8" s="1"/>
      <c r="T8" s="31" t="s">
        <v>117</v>
      </c>
      <c r="U8" s="64" t="e">
        <f>(U6/VLOOKUP(C6,#REF!,4,0))*100</f>
        <v>#REF!</v>
      </c>
      <c r="V8" s="577"/>
      <c r="W8" s="19"/>
      <c r="X8" s="19"/>
      <c r="Y8" s="577"/>
      <c r="Z8" s="1"/>
      <c r="AA8" s="618"/>
      <c r="AD8" s="33" t="str">
        <f>C6&amp;F8</f>
        <v>Australia% GDP</v>
      </c>
    </row>
    <row r="9" spans="1:30" ht="60" customHeight="1">
      <c r="A9" s="638">
        <v>1</v>
      </c>
      <c r="B9" s="638" t="s">
        <v>858</v>
      </c>
      <c r="C9" s="631" t="s">
        <v>1</v>
      </c>
      <c r="D9" s="629" t="s">
        <v>571</v>
      </c>
      <c r="E9" s="16"/>
      <c r="F9" s="37" t="s">
        <v>115</v>
      </c>
      <c r="G9" s="80">
        <v>232</v>
      </c>
      <c r="H9" s="80">
        <v>19.8</v>
      </c>
      <c r="I9" s="662" t="s">
        <v>1007</v>
      </c>
      <c r="J9" s="80">
        <v>212.2</v>
      </c>
      <c r="K9" s="575" t="s">
        <v>920</v>
      </c>
      <c r="L9" s="80">
        <v>85</v>
      </c>
      <c r="M9" s="575" t="s">
        <v>823</v>
      </c>
      <c r="N9" s="16"/>
      <c r="O9" s="37" t="s">
        <v>115</v>
      </c>
      <c r="P9" s="264">
        <f t="shared" ref="P9:P20" si="0">Q9+U9+W9</f>
        <v>91.7</v>
      </c>
      <c r="Q9" s="169">
        <v>5.2</v>
      </c>
      <c r="R9" s="575" t="s">
        <v>921</v>
      </c>
      <c r="S9" s="16"/>
      <c r="T9" s="37" t="s">
        <v>115</v>
      </c>
      <c r="U9" s="80">
        <v>86.5</v>
      </c>
      <c r="V9" s="575" t="s">
        <v>922</v>
      </c>
      <c r="W9" s="18"/>
      <c r="X9" s="18"/>
      <c r="Y9" s="18"/>
      <c r="Z9" s="15"/>
      <c r="AA9" s="25" t="s">
        <v>63</v>
      </c>
      <c r="AB9" s="596" t="s">
        <v>213</v>
      </c>
      <c r="AD9" s="33" t="str">
        <f>C9&amp;F9</f>
        <v>CanadaLC bn</v>
      </c>
    </row>
    <row r="10" spans="1:30" ht="60" customHeight="1">
      <c r="A10" s="638"/>
      <c r="B10" s="638"/>
      <c r="C10" s="632"/>
      <c r="D10" s="629"/>
      <c r="E10" s="6"/>
      <c r="F10" s="32" t="s">
        <v>116</v>
      </c>
      <c r="G10" s="81" t="e">
        <f>G9/VLOOKUP(C9,#REF!,7,0)</f>
        <v>#REF!</v>
      </c>
      <c r="H10" s="81" t="e">
        <f>H9/VLOOKUP(C9,#REF!,7,0)</f>
        <v>#REF!</v>
      </c>
      <c r="I10" s="601"/>
      <c r="J10" s="81" t="e">
        <f>J9/VLOOKUP($C9,#REF!,7,0)</f>
        <v>#REF!</v>
      </c>
      <c r="K10" s="576"/>
      <c r="L10" s="81" t="e">
        <f>L9/VLOOKUP($C9,#REF!,7,0)</f>
        <v>#REF!</v>
      </c>
      <c r="M10" s="576"/>
      <c r="N10" s="6"/>
      <c r="O10" s="32" t="s">
        <v>116</v>
      </c>
      <c r="P10" s="265" t="e">
        <f t="shared" si="0"/>
        <v>#REF!</v>
      </c>
      <c r="Q10" s="170" t="e">
        <f>Q9/VLOOKUP(C9,#REF!,7,0)</f>
        <v>#REF!</v>
      </c>
      <c r="R10" s="576"/>
      <c r="S10" s="6"/>
      <c r="T10" s="32" t="s">
        <v>116</v>
      </c>
      <c r="U10" s="81" t="e">
        <f>U9/VLOOKUP(C9,#REF!,7,0)</f>
        <v>#REF!</v>
      </c>
      <c r="V10" s="576"/>
      <c r="W10" s="28"/>
      <c r="X10" s="28"/>
      <c r="Y10" s="28"/>
      <c r="AA10" s="27"/>
      <c r="AB10" s="597"/>
      <c r="AD10" s="33" t="str">
        <f>C9&amp;F10</f>
        <v>CanadaUSD bn</v>
      </c>
    </row>
    <row r="11" spans="1:30" ht="112" customHeight="1">
      <c r="A11" s="638"/>
      <c r="B11" s="638"/>
      <c r="C11" s="633"/>
      <c r="D11" s="630"/>
      <c r="E11" s="12"/>
      <c r="F11" s="31" t="s">
        <v>117</v>
      </c>
      <c r="G11" s="17" t="e">
        <f>(G9/VLOOKUP(C9,#REF!,4,0))*100</f>
        <v>#REF!</v>
      </c>
      <c r="H11" s="17" t="e">
        <f>(H9/VLOOKUP(C9,#REF!,4,0))*100</f>
        <v>#REF!</v>
      </c>
      <c r="I11" s="602"/>
      <c r="J11" s="17" t="e">
        <f>(J9/VLOOKUP($C9,#REF!,4,0))*100</f>
        <v>#REF!</v>
      </c>
      <c r="K11" s="577"/>
      <c r="L11" s="17" t="e">
        <f>(L9/VLOOKUP($C9,#REF!,4,0))*100</f>
        <v>#REF!</v>
      </c>
      <c r="M11" s="577"/>
      <c r="N11" s="12"/>
      <c r="O11" s="31" t="s">
        <v>117</v>
      </c>
      <c r="P11" s="267" t="e">
        <f t="shared" si="0"/>
        <v>#REF!</v>
      </c>
      <c r="Q11" s="168" t="e">
        <f>(Q9/VLOOKUP(C9,#REF!,4,0))*100</f>
        <v>#REF!</v>
      </c>
      <c r="R11" s="577"/>
      <c r="S11" s="12"/>
      <c r="T11" s="31" t="s">
        <v>117</v>
      </c>
      <c r="U11" s="17" t="e">
        <f>(U9/VLOOKUP(C9,#REF!,4,0))*100</f>
        <v>#REF!</v>
      </c>
      <c r="V11" s="577"/>
      <c r="W11" s="19"/>
      <c r="X11" s="19"/>
      <c r="Y11" s="19"/>
      <c r="Z11" s="1"/>
      <c r="AA11" s="26"/>
      <c r="AB11" s="597"/>
      <c r="AD11" s="33" t="str">
        <f>C9&amp;F11</f>
        <v>Canada% GDP</v>
      </c>
    </row>
    <row r="12" spans="1:30" ht="91.5" customHeight="1">
      <c r="A12" s="638" t="s">
        <v>84</v>
      </c>
      <c r="B12" s="638" t="s">
        <v>84</v>
      </c>
      <c r="C12" s="631" t="s">
        <v>430</v>
      </c>
      <c r="D12" s="629"/>
      <c r="E12" s="16"/>
      <c r="F12" s="32" t="s">
        <v>115</v>
      </c>
      <c r="G12" s="80">
        <v>427.8</v>
      </c>
      <c r="H12" s="49">
        <v>0.05</v>
      </c>
      <c r="I12" s="600" t="s">
        <v>562</v>
      </c>
      <c r="J12" s="80">
        <v>427.8</v>
      </c>
      <c r="K12" s="575" t="s">
        <v>1008</v>
      </c>
      <c r="L12" s="18"/>
      <c r="M12" s="18"/>
      <c r="N12" s="16"/>
      <c r="O12" s="32" t="s">
        <v>115</v>
      </c>
      <c r="P12" s="264">
        <f t="shared" si="0"/>
        <v>765</v>
      </c>
      <c r="Q12" s="171">
        <v>700</v>
      </c>
      <c r="R12" s="581" t="s">
        <v>979</v>
      </c>
      <c r="S12" s="16"/>
      <c r="T12" s="32" t="s">
        <v>115</v>
      </c>
      <c r="U12" s="80">
        <v>65</v>
      </c>
      <c r="V12" s="575" t="s">
        <v>477</v>
      </c>
      <c r="W12" s="18"/>
      <c r="X12" s="18"/>
      <c r="Y12" s="575" t="s">
        <v>74</v>
      </c>
      <c r="Z12" s="15"/>
      <c r="AA12" s="22"/>
      <c r="AD12" s="33" t="str">
        <f>C12&amp;F12</f>
        <v>European UnionLC bn</v>
      </c>
    </row>
    <row r="13" spans="1:30" ht="115.5" customHeight="1">
      <c r="A13" s="638"/>
      <c r="B13" s="638"/>
      <c r="C13" s="632"/>
      <c r="D13" s="629"/>
      <c r="E13" s="6"/>
      <c r="F13" s="32" t="s">
        <v>116</v>
      </c>
      <c r="G13" s="81" t="e">
        <f>G12/VLOOKUP(C12,#REF!,6,0)</f>
        <v>#REF!</v>
      </c>
      <c r="H13" s="69" t="e">
        <f>H12/VLOOKUP($C12,#REF!,7,0)</f>
        <v>#REF!</v>
      </c>
      <c r="I13" s="601"/>
      <c r="J13" s="81" t="e">
        <f>J12/VLOOKUP($C12,#REF!,7,0)</f>
        <v>#REF!</v>
      </c>
      <c r="K13" s="576"/>
      <c r="L13" s="28"/>
      <c r="M13" s="28"/>
      <c r="N13" s="6"/>
      <c r="O13" s="32" t="s">
        <v>116</v>
      </c>
      <c r="P13" s="265" t="e">
        <f t="shared" si="0"/>
        <v>#REF!</v>
      </c>
      <c r="Q13" s="167" t="e">
        <f>Q12/VLOOKUP(C12,#REF!,7,0)</f>
        <v>#REF!</v>
      </c>
      <c r="R13" s="582"/>
      <c r="S13" s="6"/>
      <c r="T13" s="32" t="s">
        <v>116</v>
      </c>
      <c r="U13" s="81" t="e">
        <f>U12/VLOOKUP(C12,#REF!,7,0)</f>
        <v>#REF!</v>
      </c>
      <c r="V13" s="576"/>
      <c r="W13" s="28"/>
      <c r="X13" s="28"/>
      <c r="Y13" s="576"/>
      <c r="AA13" s="27"/>
      <c r="AD13" s="33" t="str">
        <f>C12&amp;F13</f>
        <v>European UnionUSD bn</v>
      </c>
    </row>
    <row r="14" spans="1:30" ht="104.15" customHeight="1">
      <c r="A14" s="638"/>
      <c r="B14" s="638"/>
      <c r="C14" s="633"/>
      <c r="D14" s="630"/>
      <c r="E14" s="12"/>
      <c r="F14" s="31" t="s">
        <v>117</v>
      </c>
      <c r="G14" s="17" t="e">
        <f>(G12/VLOOKUP(C12,#REF!,4,0))*100</f>
        <v>#REF!</v>
      </c>
      <c r="H14" s="17" t="e">
        <f>(H12/VLOOKUP($C12,#REF!,4,0))*100</f>
        <v>#REF!</v>
      </c>
      <c r="I14" s="602"/>
      <c r="J14" s="17" t="e">
        <f>(J12/VLOOKUP($C12,#REF!,4,0))*100</f>
        <v>#REF!</v>
      </c>
      <c r="K14" s="577"/>
      <c r="L14" s="19"/>
      <c r="M14" s="19"/>
      <c r="N14" s="12"/>
      <c r="O14" s="31" t="s">
        <v>117</v>
      </c>
      <c r="P14" s="267" t="e">
        <f t="shared" si="0"/>
        <v>#REF!</v>
      </c>
      <c r="Q14" s="168" t="e">
        <f>(Q12/VLOOKUP(C12,#REF!,4,0))*100</f>
        <v>#REF!</v>
      </c>
      <c r="R14" s="583"/>
      <c r="S14" s="12"/>
      <c r="T14" s="31" t="s">
        <v>117</v>
      </c>
      <c r="U14" s="17" t="e">
        <f>(U12/VLOOKUP(C12,#REF!,4,0))*100</f>
        <v>#REF!</v>
      </c>
      <c r="V14" s="577"/>
      <c r="W14" s="19"/>
      <c r="X14" s="19"/>
      <c r="Y14" s="577"/>
      <c r="Z14" s="1"/>
      <c r="AA14" s="26"/>
      <c r="AD14" s="33" t="str">
        <f>C12&amp;F14</f>
        <v>European Union% GDP</v>
      </c>
    </row>
    <row r="15" spans="1:30" ht="46" customHeight="1">
      <c r="A15" s="638">
        <v>1</v>
      </c>
      <c r="B15" s="638" t="s">
        <v>858</v>
      </c>
      <c r="C15" s="632" t="s">
        <v>2</v>
      </c>
      <c r="D15" s="629" t="s">
        <v>570</v>
      </c>
      <c r="E15" s="16"/>
      <c r="F15" s="32" t="s">
        <v>115</v>
      </c>
      <c r="G15" s="80">
        <f>H15+J15</f>
        <v>57.6</v>
      </c>
      <c r="H15" s="49">
        <v>8</v>
      </c>
      <c r="I15" s="575" t="s">
        <v>563</v>
      </c>
      <c r="J15" s="93">
        <f>46.2+3.4</f>
        <v>49.6</v>
      </c>
      <c r="K15" s="581" t="s">
        <v>980</v>
      </c>
      <c r="L15" s="93">
        <f>23+33.5</f>
        <v>56.5</v>
      </c>
      <c r="M15" s="581" t="s">
        <v>981</v>
      </c>
      <c r="N15" s="16"/>
      <c r="O15" s="32" t="s">
        <v>115</v>
      </c>
      <c r="P15" s="264">
        <f t="shared" si="0"/>
        <v>349</v>
      </c>
      <c r="Q15" s="171">
        <v>21</v>
      </c>
      <c r="R15" s="575" t="s">
        <v>545</v>
      </c>
      <c r="S15" s="16"/>
      <c r="T15" s="32" t="s">
        <v>115</v>
      </c>
      <c r="U15" s="80">
        <v>328</v>
      </c>
      <c r="V15" s="575" t="s">
        <v>982</v>
      </c>
      <c r="W15" s="18"/>
      <c r="X15" s="18"/>
      <c r="Y15" s="18" t="s">
        <v>214</v>
      </c>
      <c r="Z15" s="15"/>
      <c r="AA15" s="25" t="s">
        <v>64</v>
      </c>
      <c r="AD15" s="33" t="str">
        <f>C15&amp;F15</f>
        <v>FranceLC bn</v>
      </c>
    </row>
    <row r="16" spans="1:30" ht="40" customHeight="1">
      <c r="A16" s="638"/>
      <c r="B16" s="638"/>
      <c r="C16" s="632"/>
      <c r="D16" s="629"/>
      <c r="E16" s="6"/>
      <c r="F16" s="32" t="s">
        <v>116</v>
      </c>
      <c r="G16" s="81" t="e">
        <f>G15/VLOOKUP(C15,#REF!,7,0)</f>
        <v>#REF!</v>
      </c>
      <c r="H16" s="69" t="e">
        <f>H15/VLOOKUP(C15,#REF!,7,0)</f>
        <v>#REF!</v>
      </c>
      <c r="I16" s="576"/>
      <c r="J16" s="81" t="e">
        <f>J15/VLOOKUP($C15,#REF!,7,0)</f>
        <v>#REF!</v>
      </c>
      <c r="K16" s="582"/>
      <c r="L16" s="81" t="e">
        <f>L15/VLOOKUP($C15,#REF!,7,0)</f>
        <v>#REF!</v>
      </c>
      <c r="M16" s="582"/>
      <c r="N16" s="6"/>
      <c r="O16" s="32" t="s">
        <v>116</v>
      </c>
      <c r="P16" s="265" t="e">
        <f t="shared" si="0"/>
        <v>#REF!</v>
      </c>
      <c r="Q16" s="167" t="e">
        <f>Q15/VLOOKUP(C15,#REF!,7,0)</f>
        <v>#REF!</v>
      </c>
      <c r="R16" s="576"/>
      <c r="S16" s="6"/>
      <c r="T16" s="32" t="s">
        <v>116</v>
      </c>
      <c r="U16" s="81" t="e">
        <f>U15/VLOOKUP(C15,#REF!,7,0)</f>
        <v>#REF!</v>
      </c>
      <c r="V16" s="576"/>
      <c r="W16" s="28"/>
      <c r="X16" s="28"/>
      <c r="Y16" s="28"/>
      <c r="AA16" s="27"/>
      <c r="AD16" s="33" t="str">
        <f>C15&amp;F16</f>
        <v>FranceUSD bn</v>
      </c>
    </row>
    <row r="17" spans="1:30" s="2" customFormat="1" ht="43.5" customHeight="1">
      <c r="A17" s="638"/>
      <c r="B17" s="638"/>
      <c r="C17" s="633"/>
      <c r="D17" s="630"/>
      <c r="E17" s="12"/>
      <c r="F17" s="31" t="s">
        <v>117</v>
      </c>
      <c r="G17" s="17" t="e">
        <f>(G15/VLOOKUP(C15,#REF!,4,0))*100</f>
        <v>#REF!</v>
      </c>
      <c r="H17" s="17" t="e">
        <f>(H15/VLOOKUP(C15,#REF!,4,0))*100</f>
        <v>#REF!</v>
      </c>
      <c r="I17" s="577"/>
      <c r="J17" s="17" t="e">
        <f>(J15/VLOOKUP($C15,#REF!,4,0))*100</f>
        <v>#REF!</v>
      </c>
      <c r="K17" s="583"/>
      <c r="L17" s="17" t="e">
        <f>(L15/VLOOKUP($C15,#REF!,4,0))*100</f>
        <v>#REF!</v>
      </c>
      <c r="M17" s="583"/>
      <c r="N17" s="12"/>
      <c r="O17" s="31" t="s">
        <v>117</v>
      </c>
      <c r="P17" s="267" t="e">
        <f t="shared" si="0"/>
        <v>#REF!</v>
      </c>
      <c r="Q17" s="168" t="e">
        <f>(Q15/VLOOKUP(C15,#REF!,4,0))*100</f>
        <v>#REF!</v>
      </c>
      <c r="R17" s="577"/>
      <c r="S17" s="12"/>
      <c r="T17" s="31" t="s">
        <v>117</v>
      </c>
      <c r="U17" s="17" t="e">
        <f>(U15/VLOOKUP(C15,#REF!,4,0))*100</f>
        <v>#REF!</v>
      </c>
      <c r="V17" s="577"/>
      <c r="W17" s="19"/>
      <c r="X17" s="19"/>
      <c r="Y17" s="19"/>
      <c r="Z17" s="1"/>
      <c r="AA17" s="26"/>
      <c r="AD17" s="33" t="str">
        <f>C15&amp;F17</f>
        <v>France% GDP</v>
      </c>
    </row>
    <row r="18" spans="1:30" s="143" customFormat="1" ht="50.15" customHeight="1">
      <c r="A18" s="638">
        <v>1</v>
      </c>
      <c r="B18" s="638" t="s">
        <v>858</v>
      </c>
      <c r="C18" s="632" t="s">
        <v>3</v>
      </c>
      <c r="D18" s="643" t="s">
        <v>570</v>
      </c>
      <c r="E18" s="16"/>
      <c r="F18" s="37" t="s">
        <v>115</v>
      </c>
      <c r="G18" s="80">
        <f>H18+J18</f>
        <v>304</v>
      </c>
      <c r="H18" s="80">
        <v>23</v>
      </c>
      <c r="I18" s="600" t="s">
        <v>720</v>
      </c>
      <c r="J18" s="80">
        <v>281</v>
      </c>
      <c r="K18" s="575" t="s">
        <v>825</v>
      </c>
      <c r="L18" s="74"/>
      <c r="M18" s="575" t="s">
        <v>357</v>
      </c>
      <c r="N18" s="16"/>
      <c r="O18" s="37" t="s">
        <v>115</v>
      </c>
      <c r="P18" s="128">
        <f t="shared" si="0"/>
        <v>1020</v>
      </c>
      <c r="Q18" s="171">
        <v>200</v>
      </c>
      <c r="R18" s="575" t="s">
        <v>289</v>
      </c>
      <c r="S18" s="16"/>
      <c r="T18" s="37" t="s">
        <v>115</v>
      </c>
      <c r="U18" s="80">
        <v>820</v>
      </c>
      <c r="V18" s="575" t="s">
        <v>924</v>
      </c>
      <c r="W18" s="18"/>
      <c r="X18" s="18"/>
      <c r="Y18" s="575" t="s">
        <v>65</v>
      </c>
      <c r="Z18" s="15"/>
      <c r="AA18" s="605" t="s">
        <v>67</v>
      </c>
      <c r="AD18" s="33" t="str">
        <f>C18&amp;F18</f>
        <v>GermanyLC bn</v>
      </c>
    </row>
    <row r="19" spans="1:30" ht="50.15" customHeight="1">
      <c r="A19" s="638"/>
      <c r="B19" s="638"/>
      <c r="C19" s="632"/>
      <c r="D19" s="643"/>
      <c r="E19" s="6"/>
      <c r="F19" s="32" t="s">
        <v>116</v>
      </c>
      <c r="G19" s="81" t="e">
        <f>G18/VLOOKUP(C18,#REF!,7,0)</f>
        <v>#REF!</v>
      </c>
      <c r="H19" s="81" t="e">
        <f>H18/VLOOKUP(C18,#REF!,7,0)</f>
        <v>#REF!</v>
      </c>
      <c r="I19" s="601"/>
      <c r="J19" s="81" t="e">
        <f>J18/VLOOKUP($C18,#REF!,7,0)</f>
        <v>#REF!</v>
      </c>
      <c r="K19" s="576"/>
      <c r="L19" s="247"/>
      <c r="M19" s="576"/>
      <c r="N19" s="6"/>
      <c r="O19" s="32" t="s">
        <v>116</v>
      </c>
      <c r="P19" s="161" t="e">
        <f t="shared" si="0"/>
        <v>#REF!</v>
      </c>
      <c r="Q19" s="167" t="e">
        <f>Q18/VLOOKUP(C18,#REF!,7,0)</f>
        <v>#REF!</v>
      </c>
      <c r="R19" s="576"/>
      <c r="S19" s="6"/>
      <c r="T19" s="32" t="s">
        <v>116</v>
      </c>
      <c r="U19" s="81" t="e">
        <f>U18/VLOOKUP(C18,#REF!,7,0)</f>
        <v>#REF!</v>
      </c>
      <c r="V19" s="576"/>
      <c r="W19" s="28"/>
      <c r="X19" s="28"/>
      <c r="Y19" s="576"/>
      <c r="AA19" s="606"/>
      <c r="AD19" s="33" t="str">
        <f>C18&amp;F19</f>
        <v>GermanyUSD bn</v>
      </c>
    </row>
    <row r="20" spans="1:30" ht="58.5" customHeight="1">
      <c r="A20" s="638"/>
      <c r="B20" s="638"/>
      <c r="C20" s="633"/>
      <c r="D20" s="644"/>
      <c r="E20" s="12"/>
      <c r="F20" s="31" t="s">
        <v>117</v>
      </c>
      <c r="G20" s="17" t="e">
        <f>(G18/VLOOKUP(C18,#REF!,4,0))*100</f>
        <v>#REF!</v>
      </c>
      <c r="H20" s="17" t="e">
        <f>(H18/VLOOKUP(C18,#REF!,4,0))*100</f>
        <v>#REF!</v>
      </c>
      <c r="I20" s="602"/>
      <c r="J20" s="17" t="e">
        <f>(J18/VLOOKUP($C18,#REF!,4,0))*100</f>
        <v>#REF!</v>
      </c>
      <c r="K20" s="577"/>
      <c r="L20" s="246"/>
      <c r="M20" s="577"/>
      <c r="N20" s="12"/>
      <c r="O20" s="31" t="s">
        <v>117</v>
      </c>
      <c r="P20" s="267" t="e">
        <f t="shared" si="0"/>
        <v>#REF!</v>
      </c>
      <c r="Q20" s="168" t="e">
        <f>(Q18/VLOOKUP(C18,#REF!,4,0))*100</f>
        <v>#REF!</v>
      </c>
      <c r="R20" s="577"/>
      <c r="S20" s="12"/>
      <c r="T20" s="31" t="s">
        <v>117</v>
      </c>
      <c r="U20" s="17" t="e">
        <f>(U18/VLOOKUP(C18,#REF!,4,0))*100</f>
        <v>#REF!</v>
      </c>
      <c r="V20" s="577"/>
      <c r="W20" s="19"/>
      <c r="X20" s="19"/>
      <c r="Y20" s="577"/>
      <c r="Z20" s="1"/>
      <c r="AA20" s="607"/>
      <c r="AD20" s="33" t="str">
        <f>C18&amp;F20</f>
        <v>Germany% GDP</v>
      </c>
    </row>
    <row r="21" spans="1:30" ht="70" customHeight="1">
      <c r="A21" s="638">
        <v>1</v>
      </c>
      <c r="B21" s="638" t="s">
        <v>858</v>
      </c>
      <c r="C21" s="632" t="s">
        <v>4</v>
      </c>
      <c r="D21" s="629" t="s">
        <v>570</v>
      </c>
      <c r="E21" s="16"/>
      <c r="F21" s="32" t="s">
        <v>115</v>
      </c>
      <c r="G21" s="80">
        <v>80</v>
      </c>
      <c r="H21" s="49">
        <v>6.5</v>
      </c>
      <c r="I21" s="600" t="s">
        <v>826</v>
      </c>
      <c r="J21" s="80">
        <v>73.5</v>
      </c>
      <c r="K21" s="581" t="s">
        <v>925</v>
      </c>
      <c r="L21" s="49">
        <v>7</v>
      </c>
      <c r="M21" s="581" t="s">
        <v>828</v>
      </c>
      <c r="N21" s="16"/>
      <c r="O21" s="32" t="s">
        <v>115</v>
      </c>
      <c r="P21" s="80">
        <f>Q21+U21</f>
        <v>533.29999999999995</v>
      </c>
      <c r="Q21" s="169">
        <v>3.3</v>
      </c>
      <c r="R21" s="581" t="s">
        <v>604</v>
      </c>
      <c r="S21" s="16"/>
      <c r="T21" s="32" t="s">
        <v>115</v>
      </c>
      <c r="U21" s="80">
        <v>530</v>
      </c>
      <c r="V21" s="581" t="s">
        <v>605</v>
      </c>
      <c r="W21" s="140"/>
      <c r="X21" s="581"/>
      <c r="Y21" s="575" t="s">
        <v>216</v>
      </c>
      <c r="Z21" s="15"/>
      <c r="AA21" s="25" t="s">
        <v>66</v>
      </c>
      <c r="AD21" s="33" t="str">
        <f>C21&amp;F21</f>
        <v>ItalyLC bn</v>
      </c>
    </row>
    <row r="22" spans="1:30" ht="70" customHeight="1">
      <c r="A22" s="638"/>
      <c r="B22" s="638"/>
      <c r="C22" s="632"/>
      <c r="D22" s="629"/>
      <c r="E22" s="6"/>
      <c r="F22" s="32" t="s">
        <v>116</v>
      </c>
      <c r="G22" s="81" t="e">
        <f>G21/VLOOKUP(C21,#REF!,7,0)</f>
        <v>#REF!</v>
      </c>
      <c r="H22" s="69" t="e">
        <f>H21/VLOOKUP(C21,#REF!,7,0)</f>
        <v>#REF!</v>
      </c>
      <c r="I22" s="601"/>
      <c r="J22" s="81" t="e">
        <f>J21/VLOOKUP($C21,#REF!,7,0)</f>
        <v>#REF!</v>
      </c>
      <c r="K22" s="582"/>
      <c r="L22" s="69" t="e">
        <f>L21/VLOOKUP($C21,#REF!,7,0)</f>
        <v>#REF!</v>
      </c>
      <c r="M22" s="582"/>
      <c r="N22" s="6"/>
      <c r="O22" s="32" t="s">
        <v>116</v>
      </c>
      <c r="P22" s="81" t="e">
        <f>P21/VLOOKUP($C21,#REF!,7,0)</f>
        <v>#REF!</v>
      </c>
      <c r="Q22" s="69" t="e">
        <f>Q21/VLOOKUP($C21,#REF!,7,0)</f>
        <v>#REF!</v>
      </c>
      <c r="R22" s="582"/>
      <c r="S22" s="6"/>
      <c r="T22" s="32" t="s">
        <v>116</v>
      </c>
      <c r="U22" s="81" t="e">
        <f>U21/VLOOKUP(C21,#REF!,7,0)</f>
        <v>#REF!</v>
      </c>
      <c r="V22" s="582"/>
      <c r="W22" s="81"/>
      <c r="X22" s="582"/>
      <c r="Y22" s="576"/>
      <c r="AA22" s="136" t="s">
        <v>186</v>
      </c>
      <c r="AD22" s="33" t="str">
        <f>C21&amp;F22</f>
        <v>ItalyUSD bn</v>
      </c>
    </row>
    <row r="23" spans="1:30" ht="58.5" customHeight="1">
      <c r="A23" s="638"/>
      <c r="B23" s="638"/>
      <c r="C23" s="633"/>
      <c r="D23" s="630"/>
      <c r="E23" s="12"/>
      <c r="F23" s="31" t="s">
        <v>117</v>
      </c>
      <c r="G23" s="17" t="e">
        <f>(G21/VLOOKUP(C21,#REF!,4,0))*100</f>
        <v>#REF!</v>
      </c>
      <c r="H23" s="17" t="e">
        <f>(H21/VLOOKUP(C21,#REF!,4,0))*100</f>
        <v>#REF!</v>
      </c>
      <c r="I23" s="602"/>
      <c r="J23" s="17" t="e">
        <f>(J21/VLOOKUP($C21,#REF!,4,0))*100</f>
        <v>#REF!</v>
      </c>
      <c r="K23" s="583"/>
      <c r="L23" s="17" t="e">
        <f>(L21/VLOOKUP($C21,#REF!,4,0))*100</f>
        <v>#REF!</v>
      </c>
      <c r="M23" s="583"/>
      <c r="N23" s="12"/>
      <c r="O23" s="31" t="s">
        <v>117</v>
      </c>
      <c r="P23" s="17" t="e">
        <f>(P21/VLOOKUP($C21,#REF!,4,0))*100</f>
        <v>#REF!</v>
      </c>
      <c r="Q23" s="17" t="e">
        <f>(Q21/VLOOKUP($C21,#REF!,4,0))*100</f>
        <v>#REF!</v>
      </c>
      <c r="R23" s="583"/>
      <c r="S23" s="12"/>
      <c r="T23" s="31" t="s">
        <v>117</v>
      </c>
      <c r="U23" s="17" t="e">
        <f>(U21/VLOOKUP(C21,#REF!,4,0))*100</f>
        <v>#REF!</v>
      </c>
      <c r="V23" s="583"/>
      <c r="W23" s="17"/>
      <c r="X23" s="583"/>
      <c r="Y23" s="577"/>
      <c r="Z23" s="1"/>
      <c r="AA23" s="26"/>
      <c r="AD23" s="33" t="str">
        <f>C21&amp;F23</f>
        <v>Italy% GDP</v>
      </c>
    </row>
    <row r="24" spans="1:30" ht="105" customHeight="1">
      <c r="A24" s="638">
        <v>1</v>
      </c>
      <c r="B24" s="638" t="s">
        <v>858</v>
      </c>
      <c r="C24" s="660" t="s">
        <v>5</v>
      </c>
      <c r="D24" s="629" t="s">
        <v>570</v>
      </c>
      <c r="E24" s="16"/>
      <c r="F24" s="32" t="s">
        <v>115</v>
      </c>
      <c r="G24" s="128">
        <f>H24+J24</f>
        <v>58800</v>
      </c>
      <c r="H24" s="128">
        <v>4300</v>
      </c>
      <c r="I24" s="575" t="s">
        <v>926</v>
      </c>
      <c r="J24" s="128">
        <v>54500</v>
      </c>
      <c r="K24" s="575" t="s">
        <v>927</v>
      </c>
      <c r="L24" s="128">
        <v>26000</v>
      </c>
      <c r="M24" s="575" t="s">
        <v>546</v>
      </c>
      <c r="N24" s="16"/>
      <c r="O24" s="37" t="s">
        <v>115</v>
      </c>
      <c r="P24" s="245">
        <f>Q24+U24+W24</f>
        <v>124700</v>
      </c>
      <c r="Q24" s="275"/>
      <c r="R24" s="586"/>
      <c r="S24" s="16"/>
      <c r="T24" s="37" t="s">
        <v>115</v>
      </c>
      <c r="U24" s="128">
        <v>15700</v>
      </c>
      <c r="V24" s="586" t="s">
        <v>829</v>
      </c>
      <c r="W24" s="275">
        <v>109000</v>
      </c>
      <c r="X24" s="586" t="s">
        <v>830</v>
      </c>
      <c r="Y24" s="575" t="s">
        <v>298</v>
      </c>
      <c r="Z24" s="15"/>
      <c r="AA24" s="22"/>
      <c r="AD24" s="33" t="str">
        <f>C24&amp;F24</f>
        <v>JapanLC bn</v>
      </c>
    </row>
    <row r="25" spans="1:30" ht="82" customHeight="1">
      <c r="A25" s="638"/>
      <c r="B25" s="638"/>
      <c r="C25" s="660"/>
      <c r="D25" s="629"/>
      <c r="E25" s="6"/>
      <c r="F25" s="32" t="s">
        <v>116</v>
      </c>
      <c r="G25" s="81">
        <v>551.10682418759711</v>
      </c>
      <c r="H25" s="81">
        <v>40.302029659977343</v>
      </c>
      <c r="I25" s="584"/>
      <c r="J25" s="81">
        <v>510.80479452761978</v>
      </c>
      <c r="K25" s="576"/>
      <c r="L25" s="95">
        <v>243.68669096730486</v>
      </c>
      <c r="M25" s="576"/>
      <c r="N25" s="6"/>
      <c r="O25" s="32" t="s">
        <v>116</v>
      </c>
      <c r="P25" s="161">
        <f t="shared" ref="P25:P26" si="1">Q25+U25+W25</f>
        <v>1168.7588601393429</v>
      </c>
      <c r="Q25" s="276"/>
      <c r="R25" s="584"/>
      <c r="S25" s="6"/>
      <c r="T25" s="32" t="s">
        <v>116</v>
      </c>
      <c r="U25" s="81">
        <v>147.1492710841033</v>
      </c>
      <c r="V25" s="584"/>
      <c r="W25" s="161">
        <v>1021.6095890552396</v>
      </c>
      <c r="X25" s="584"/>
      <c r="Y25" s="576"/>
      <c r="AA25" s="27"/>
      <c r="AD25" s="33" t="str">
        <f>C24&amp;F25</f>
        <v>JapanUSD bn</v>
      </c>
    </row>
    <row r="26" spans="1:30" s="2" customFormat="1" ht="114" customHeight="1">
      <c r="A26" s="638"/>
      <c r="B26" s="638"/>
      <c r="C26" s="661"/>
      <c r="D26" s="630"/>
      <c r="E26" s="12"/>
      <c r="F26" s="31" t="s">
        <v>117</v>
      </c>
      <c r="G26" s="17">
        <v>11.330991365634006</v>
      </c>
      <c r="H26" s="17">
        <v>0.82862691959568413</v>
      </c>
      <c r="I26" s="585"/>
      <c r="J26" s="17">
        <v>10.502364446038321</v>
      </c>
      <c r="K26" s="577"/>
      <c r="L26" s="68">
        <v>5.0103023045320434</v>
      </c>
      <c r="M26" s="577"/>
      <c r="N26" s="12"/>
      <c r="O26" s="31" t="s">
        <v>117</v>
      </c>
      <c r="P26" s="17">
        <f t="shared" si="1"/>
        <v>24.030180668274838</v>
      </c>
      <c r="Q26" s="277"/>
      <c r="R26" s="585"/>
      <c r="S26" s="12"/>
      <c r="T26" s="31" t="s">
        <v>117</v>
      </c>
      <c r="U26" s="17">
        <v>3.0254517761981954</v>
      </c>
      <c r="V26" s="585"/>
      <c r="W26" s="277">
        <v>21.004728892076642</v>
      </c>
      <c r="X26" s="585"/>
      <c r="Y26" s="577"/>
      <c r="Z26" s="1"/>
      <c r="AA26" s="26"/>
      <c r="AD26" s="33" t="str">
        <f>C24&amp;F26</f>
        <v>Japan% GDP</v>
      </c>
    </row>
    <row r="27" spans="1:30" s="143" customFormat="1" ht="120" customHeight="1">
      <c r="A27" s="638">
        <v>1</v>
      </c>
      <c r="B27" s="638" t="s">
        <v>858</v>
      </c>
      <c r="C27" s="660" t="s">
        <v>6</v>
      </c>
      <c r="D27" s="629" t="s">
        <v>570</v>
      </c>
      <c r="E27" s="16"/>
      <c r="F27" s="37" t="s">
        <v>115</v>
      </c>
      <c r="G27" s="130">
        <f>H27+J27</f>
        <v>58100</v>
      </c>
      <c r="H27" s="290">
        <v>4600</v>
      </c>
      <c r="I27" s="645" t="s">
        <v>884</v>
      </c>
      <c r="J27" s="130">
        <v>53500</v>
      </c>
      <c r="K27" s="581" t="s">
        <v>928</v>
      </c>
      <c r="L27" s="130">
        <v>33000</v>
      </c>
      <c r="M27" s="581" t="s">
        <v>893</v>
      </c>
      <c r="N27" s="16"/>
      <c r="O27" s="37" t="s">
        <v>115</v>
      </c>
      <c r="P27" s="252">
        <f>Q27+U27+W27</f>
        <v>204100</v>
      </c>
      <c r="Q27" s="252"/>
      <c r="R27" s="575"/>
      <c r="S27" s="16"/>
      <c r="T27" s="37" t="s">
        <v>115</v>
      </c>
      <c r="U27" s="253">
        <v>34100</v>
      </c>
      <c r="V27" s="581" t="s">
        <v>890</v>
      </c>
      <c r="W27" s="253">
        <v>170000</v>
      </c>
      <c r="X27" s="575" t="s">
        <v>929</v>
      </c>
      <c r="Y27" s="575" t="s">
        <v>70</v>
      </c>
      <c r="Z27" s="15"/>
      <c r="AA27" s="605" t="s">
        <v>69</v>
      </c>
      <c r="AD27" s="33" t="str">
        <f>C27&amp;F27</f>
        <v>KoreaLC bn</v>
      </c>
    </row>
    <row r="28" spans="1:30" ht="120" customHeight="1">
      <c r="A28" s="638"/>
      <c r="B28" s="638"/>
      <c r="C28" s="660"/>
      <c r="D28" s="629"/>
      <c r="E28" s="6"/>
      <c r="F28" s="32" t="s">
        <v>116</v>
      </c>
      <c r="G28" s="254" t="e">
        <f>G27/VLOOKUP(C27,#REF!,7,0)</f>
        <v>#REF!</v>
      </c>
      <c r="H28" s="120" t="e">
        <f>H27/VLOOKUP(C27,#REF!,7,0)</f>
        <v>#REF!</v>
      </c>
      <c r="I28" s="646"/>
      <c r="J28" s="81" t="e">
        <f>J27/VLOOKUP($C27,#REF!,7,0)</f>
        <v>#REF!</v>
      </c>
      <c r="K28" s="582"/>
      <c r="L28" s="81" t="e">
        <f>L27/VLOOKUP($C27,#REF!,7,0)</f>
        <v>#REF!</v>
      </c>
      <c r="M28" s="582"/>
      <c r="N28" s="6"/>
      <c r="O28" s="32" t="s">
        <v>116</v>
      </c>
      <c r="P28" s="81" t="e">
        <f>P27/VLOOKUP($C27,#REF!,7,0)</f>
        <v>#REF!</v>
      </c>
      <c r="Q28" s="173"/>
      <c r="R28" s="576"/>
      <c r="S28" s="6"/>
      <c r="T28" s="32" t="s">
        <v>116</v>
      </c>
      <c r="U28" s="254" t="e">
        <f>U27/VLOOKUP(C27,#REF!,7,0)</f>
        <v>#REF!</v>
      </c>
      <c r="V28" s="582"/>
      <c r="W28" s="346" t="e">
        <f>W27/VLOOKUP(C27,#REF!,7,0)</f>
        <v>#REF!</v>
      </c>
      <c r="X28" s="576"/>
      <c r="Y28" s="576"/>
      <c r="AA28" s="606"/>
      <c r="AD28" s="33" t="str">
        <f>C27&amp;F28</f>
        <v>KoreaUSD bn</v>
      </c>
    </row>
    <row r="29" spans="1:30" ht="127" customHeight="1">
      <c r="A29" s="638"/>
      <c r="B29" s="638"/>
      <c r="C29" s="661"/>
      <c r="D29" s="630"/>
      <c r="E29" s="12"/>
      <c r="F29" s="31" t="s">
        <v>117</v>
      </c>
      <c r="G29" s="121" t="e">
        <f>(G27/VLOOKUP(C27,#REF!,4,0))*100</f>
        <v>#REF!</v>
      </c>
      <c r="H29" s="121" t="e">
        <f>(H27/VLOOKUP(C27,#REF!,4,0))*100</f>
        <v>#REF!</v>
      </c>
      <c r="I29" s="647"/>
      <c r="J29" s="17" t="e">
        <f>(J27/VLOOKUP($C27,#REF!,4,0))*100</f>
        <v>#REF!</v>
      </c>
      <c r="K29" s="583"/>
      <c r="L29" s="17" t="e">
        <f>(L27/VLOOKUP($C27,#REF!,4,0))*100</f>
        <v>#REF!</v>
      </c>
      <c r="M29" s="583"/>
      <c r="N29" s="12"/>
      <c r="O29" s="31" t="s">
        <v>117</v>
      </c>
      <c r="P29" s="17" t="e">
        <f>(P27/VLOOKUP($C27,#REF!,4,0))*100</f>
        <v>#REF!</v>
      </c>
      <c r="Q29" s="174"/>
      <c r="R29" s="577"/>
      <c r="S29" s="12"/>
      <c r="T29" s="31" t="s">
        <v>117</v>
      </c>
      <c r="U29" s="120" t="e">
        <f>(U27/VLOOKUP(C27,#REF!,4,0))*100</f>
        <v>#REF!</v>
      </c>
      <c r="V29" s="583"/>
      <c r="W29" s="347" t="e">
        <f>(W27/VLOOKUP(C27,#REF!,4,0))*100</f>
        <v>#REF!</v>
      </c>
      <c r="X29" s="577"/>
      <c r="Y29" s="577"/>
      <c r="Z29" s="1"/>
      <c r="AA29" s="607"/>
      <c r="AD29" s="33" t="str">
        <f>C27&amp;F29</f>
        <v>Korea% GDP</v>
      </c>
    </row>
    <row r="30" spans="1:30" s="10" customFormat="1" ht="127" customHeight="1">
      <c r="A30" s="638">
        <v>1</v>
      </c>
      <c r="B30" s="638" t="s">
        <v>858</v>
      </c>
      <c r="C30" s="660" t="s">
        <v>32</v>
      </c>
      <c r="D30" s="629" t="s">
        <v>570</v>
      </c>
      <c r="E30" s="13"/>
      <c r="F30" s="37" t="s">
        <v>115</v>
      </c>
      <c r="G30" s="93">
        <v>36.4</v>
      </c>
      <c r="H30" s="74">
        <v>4.3</v>
      </c>
      <c r="I30" s="600" t="s">
        <v>564</v>
      </c>
      <c r="J30" s="93">
        <v>32.1</v>
      </c>
      <c r="K30" s="581" t="s">
        <v>831</v>
      </c>
      <c r="L30" s="53"/>
      <c r="M30" s="575" t="s">
        <v>722</v>
      </c>
      <c r="N30" s="13"/>
      <c r="O30" s="32" t="s">
        <v>115</v>
      </c>
      <c r="P30" s="242">
        <f>Q30+U30+W30</f>
        <v>155.024</v>
      </c>
      <c r="Q30" s="177">
        <v>0.124</v>
      </c>
      <c r="R30" s="575" t="s">
        <v>875</v>
      </c>
      <c r="S30" s="13"/>
      <c r="T30" s="32" t="s">
        <v>115</v>
      </c>
      <c r="U30" s="93">
        <v>144.9</v>
      </c>
      <c r="V30" s="575" t="s">
        <v>930</v>
      </c>
      <c r="W30" s="93">
        <v>10</v>
      </c>
      <c r="X30" s="575" t="s">
        <v>219</v>
      </c>
      <c r="Y30" s="18"/>
      <c r="Z30" s="13"/>
      <c r="AA30" s="605" t="s">
        <v>49</v>
      </c>
      <c r="AB30" s="10">
        <f>849+223</f>
        <v>1072</v>
      </c>
      <c r="AD30" s="33" t="str">
        <f>C30&amp;F30</f>
        <v>SpainLC bn</v>
      </c>
    </row>
    <row r="31" spans="1:30" s="3" customFormat="1" ht="150" customHeight="1">
      <c r="A31" s="638"/>
      <c r="B31" s="638"/>
      <c r="C31" s="660"/>
      <c r="D31" s="629"/>
      <c r="E31" s="10"/>
      <c r="F31" s="32" t="s">
        <v>116</v>
      </c>
      <c r="G31" s="81" t="e">
        <f>G30/VLOOKUP(C30,#REF!,7,0)</f>
        <v>#REF!</v>
      </c>
      <c r="H31" s="56" t="e">
        <f>H30/VLOOKUP(C30,#REF!,7,0)</f>
        <v>#REF!</v>
      </c>
      <c r="I31" s="601"/>
      <c r="J31" s="81" t="e">
        <f>J30/VLOOKUP($C30,#REF!,7,0)</f>
        <v>#REF!</v>
      </c>
      <c r="K31" s="582"/>
      <c r="L31" s="69"/>
      <c r="M31" s="576"/>
      <c r="N31" s="10"/>
      <c r="O31" s="32" t="s">
        <v>116</v>
      </c>
      <c r="P31" s="243" t="e">
        <f>Q31+U31+W31</f>
        <v>#REF!</v>
      </c>
      <c r="Q31" s="180" t="e">
        <f>Q30/VLOOKUP(C30,#REF!,7,0)</f>
        <v>#REF!</v>
      </c>
      <c r="R31" s="576"/>
      <c r="S31" s="10"/>
      <c r="T31" s="32" t="s">
        <v>116</v>
      </c>
      <c r="U31" s="81" t="e">
        <f>U30/VLOOKUP(C30,#REF!,7,0)</f>
        <v>#REF!</v>
      </c>
      <c r="V31" s="576"/>
      <c r="W31" s="81" t="e">
        <f>W30/VLOOKUP($C30,#REF!,7,0)</f>
        <v>#REF!</v>
      </c>
      <c r="X31" s="576"/>
      <c r="Y31" s="28"/>
      <c r="Z31" s="10"/>
      <c r="AA31" s="606"/>
      <c r="AD31" s="33" t="str">
        <f>C30&amp;F31</f>
        <v>SpainUSD bn</v>
      </c>
    </row>
    <row r="32" spans="1:30" ht="177.65" customHeight="1">
      <c r="A32" s="638"/>
      <c r="B32" s="638"/>
      <c r="C32" s="661"/>
      <c r="D32" s="630"/>
      <c r="E32" s="12"/>
      <c r="F32" s="31" t="s">
        <v>117</v>
      </c>
      <c r="G32" s="17" t="e">
        <f>(G30/VLOOKUP(C30,#REF!,4,0))*100</f>
        <v>#REF!</v>
      </c>
      <c r="H32" s="68" t="e">
        <f>(H30/VLOOKUP(C30,#REF!,4,0))*100</f>
        <v>#REF!</v>
      </c>
      <c r="I32" s="602"/>
      <c r="J32" s="17" t="e">
        <f>(J30/VLOOKUP($C30,#REF!,4,0))*100</f>
        <v>#REF!</v>
      </c>
      <c r="K32" s="583"/>
      <c r="L32" s="17"/>
      <c r="M32" s="577"/>
      <c r="N32" s="12"/>
      <c r="O32" s="31" t="s">
        <v>117</v>
      </c>
      <c r="P32" s="247" t="e">
        <f>Q32+U32+W32</f>
        <v>#REF!</v>
      </c>
      <c r="Q32" s="168" t="e">
        <f>(Q30/VLOOKUP(C30,#REF!,4,0))*100</f>
        <v>#REF!</v>
      </c>
      <c r="R32" s="577"/>
      <c r="S32" s="12"/>
      <c r="T32" s="31" t="s">
        <v>117</v>
      </c>
      <c r="U32" s="17" t="e">
        <f>(U30/VLOOKUP(C30,#REF!,4,0))*100</f>
        <v>#REF!</v>
      </c>
      <c r="V32" s="577"/>
      <c r="W32" s="17" t="e">
        <f>(W30/VLOOKUP($C30,#REF!,4,0))*100</f>
        <v>#REF!</v>
      </c>
      <c r="X32" s="577"/>
      <c r="Y32" s="19"/>
      <c r="Z32" s="1"/>
      <c r="AA32" s="607"/>
      <c r="AD32" s="33" t="str">
        <f>C30&amp;F32</f>
        <v>Spain% GDP</v>
      </c>
    </row>
    <row r="33" spans="1:30" ht="100" customHeight="1">
      <c r="A33" s="638">
        <v>1</v>
      </c>
      <c r="B33" s="638" t="s">
        <v>858</v>
      </c>
      <c r="C33" s="632" t="s">
        <v>7</v>
      </c>
      <c r="D33" s="629" t="s">
        <v>571</v>
      </c>
      <c r="E33" s="16"/>
      <c r="F33" s="32" t="s">
        <v>115</v>
      </c>
      <c r="G33" s="80">
        <f>H33+J33</f>
        <v>188.40000000000003</v>
      </c>
      <c r="H33" s="80">
        <f>31.7+0.1</f>
        <v>31.8</v>
      </c>
      <c r="I33" s="600" t="s">
        <v>984</v>
      </c>
      <c r="J33" s="80">
        <f>140.8+15.8</f>
        <v>156.60000000000002</v>
      </c>
      <c r="K33" s="575" t="s">
        <v>983</v>
      </c>
      <c r="L33" s="53">
        <v>4</v>
      </c>
      <c r="M33" s="575" t="s">
        <v>939</v>
      </c>
      <c r="N33" s="16"/>
      <c r="O33" s="32" t="s">
        <v>115</v>
      </c>
      <c r="P33" s="80">
        <f>Q33+U33+W33</f>
        <v>341</v>
      </c>
      <c r="Q33" s="169">
        <v>1</v>
      </c>
      <c r="R33" s="581" t="s">
        <v>723</v>
      </c>
      <c r="S33" s="16"/>
      <c r="T33" s="32" t="s">
        <v>115</v>
      </c>
      <c r="U33" s="80">
        <v>340</v>
      </c>
      <c r="V33" s="581" t="s">
        <v>799</v>
      </c>
      <c r="W33" s="141"/>
      <c r="X33" s="575"/>
      <c r="Y33" s="622" t="s">
        <v>72</v>
      </c>
      <c r="Z33" s="15"/>
      <c r="AA33" s="614" t="s">
        <v>71</v>
      </c>
      <c r="AD33" s="33" t="str">
        <f>C33&amp;F33</f>
        <v>United KingdomLC bn</v>
      </c>
    </row>
    <row r="34" spans="1:30" ht="113.5" customHeight="1">
      <c r="A34" s="638"/>
      <c r="B34" s="638"/>
      <c r="C34" s="632"/>
      <c r="D34" s="629"/>
      <c r="E34" s="6"/>
      <c r="F34" s="32" t="s">
        <v>116</v>
      </c>
      <c r="G34" s="81" t="e">
        <f>G33/VLOOKUP(C33,#REF!,7,0)</f>
        <v>#REF!</v>
      </c>
      <c r="H34" s="81" t="e">
        <f>H33/VLOOKUP(C33,#REF!,7,0)</f>
        <v>#REF!</v>
      </c>
      <c r="I34" s="601"/>
      <c r="J34" s="95" t="e">
        <f>G34-H34</f>
        <v>#REF!</v>
      </c>
      <c r="K34" s="576"/>
      <c r="L34" s="53" t="e">
        <f>L33/VLOOKUP($C33,#REF!,7,0)</f>
        <v>#REF!</v>
      </c>
      <c r="M34" s="576"/>
      <c r="N34" s="6"/>
      <c r="O34" s="32" t="s">
        <v>116</v>
      </c>
      <c r="P34" s="81" t="e">
        <f>P33/VLOOKUP(C33,#REF!,7,0)</f>
        <v>#REF!</v>
      </c>
      <c r="Q34" s="170" t="e">
        <f>Q33/VLOOKUP(C33,#REF!,7,0)</f>
        <v>#REF!</v>
      </c>
      <c r="R34" s="582"/>
      <c r="S34" s="6"/>
      <c r="T34" s="32" t="s">
        <v>116</v>
      </c>
      <c r="U34" s="81" t="e">
        <f>U33/VLOOKUP(C33,#REF!,7,0)</f>
        <v>#REF!</v>
      </c>
      <c r="V34" s="582"/>
      <c r="W34" s="28"/>
      <c r="X34" s="576"/>
      <c r="Y34" s="623"/>
      <c r="AA34" s="615"/>
      <c r="AD34" s="33" t="str">
        <f>C33&amp;F34</f>
        <v>United KingdomUSD bn</v>
      </c>
    </row>
    <row r="35" spans="1:30" s="2" customFormat="1" ht="217" customHeight="1">
      <c r="A35" s="638"/>
      <c r="B35" s="638"/>
      <c r="C35" s="633"/>
      <c r="D35" s="630"/>
      <c r="E35" s="12"/>
      <c r="F35" s="31" t="s">
        <v>117</v>
      </c>
      <c r="G35" s="17" t="e">
        <f>(G33/VLOOKUP(C33,#REF!,4,0))*100</f>
        <v>#REF!</v>
      </c>
      <c r="H35" s="17" t="e">
        <f>(H33/VLOOKUP(C33,#REF!,4,0))*100</f>
        <v>#REF!</v>
      </c>
      <c r="I35" s="602"/>
      <c r="J35" s="68" t="e">
        <f>G35-H35</f>
        <v>#REF!</v>
      </c>
      <c r="K35" s="577"/>
      <c r="L35" s="68" t="e">
        <f>(L33/VLOOKUP($C33,#REF!,4,0))*100</f>
        <v>#REF!</v>
      </c>
      <c r="M35" s="577"/>
      <c r="N35" s="12"/>
      <c r="O35" s="31" t="s">
        <v>117</v>
      </c>
      <c r="P35" s="17" t="e">
        <f>(P33/VLOOKUP(C33,#REF!,4,0))*100</f>
        <v>#REF!</v>
      </c>
      <c r="Q35" s="168" t="e">
        <f>(Q33/VLOOKUP(C33,#REF!,4,0))*100</f>
        <v>#REF!</v>
      </c>
      <c r="R35" s="583"/>
      <c r="S35" s="12"/>
      <c r="T35" s="31" t="s">
        <v>117</v>
      </c>
      <c r="U35" s="17" t="e">
        <f>(U33/VLOOKUP(C33,#REF!,4,0))*100</f>
        <v>#REF!</v>
      </c>
      <c r="V35" s="583"/>
      <c r="W35" s="19"/>
      <c r="X35" s="577"/>
      <c r="Y35" s="624"/>
      <c r="Z35" s="1"/>
      <c r="AA35" s="616"/>
      <c r="AD35" s="33" t="str">
        <f>C33&amp;F35</f>
        <v>United Kingdom% GDP</v>
      </c>
    </row>
    <row r="36" spans="1:30" s="143" customFormat="1" ht="169" customHeight="1">
      <c r="A36" s="638">
        <v>1</v>
      </c>
      <c r="B36" s="638" t="s">
        <v>858</v>
      </c>
      <c r="C36" s="631" t="s">
        <v>8</v>
      </c>
      <c r="D36" s="628" t="s">
        <v>571</v>
      </c>
      <c r="E36" s="16"/>
      <c r="F36" s="37" t="s">
        <v>115</v>
      </c>
      <c r="G36" s="252">
        <f>H36+J36</f>
        <v>2431</v>
      </c>
      <c r="H36" s="80">
        <v>304</v>
      </c>
      <c r="I36" s="600" t="s">
        <v>833</v>
      </c>
      <c r="J36" s="252">
        <f>528+1599</f>
        <v>2127</v>
      </c>
      <c r="K36" s="575" t="s">
        <v>1009</v>
      </c>
      <c r="L36" s="74">
        <v>12</v>
      </c>
      <c r="M36" s="575" t="s">
        <v>807</v>
      </c>
      <c r="N36" s="16"/>
      <c r="O36" s="37" t="s">
        <v>115</v>
      </c>
      <c r="P36" s="264">
        <f t="shared" ref="P36:P38" si="2">Q36+U36+W36</f>
        <v>510</v>
      </c>
      <c r="Q36" s="256">
        <v>56</v>
      </c>
      <c r="R36" s="581" t="s">
        <v>608</v>
      </c>
      <c r="S36" s="16"/>
      <c r="T36" s="37" t="s">
        <v>115</v>
      </c>
      <c r="U36" s="80">
        <v>454</v>
      </c>
      <c r="V36" s="575" t="s">
        <v>275</v>
      </c>
      <c r="W36" s="18"/>
      <c r="X36" s="18"/>
      <c r="Y36" s="575" t="s">
        <v>73</v>
      </c>
      <c r="Z36" s="15"/>
      <c r="AA36" s="22"/>
      <c r="AD36" s="33" t="str">
        <f>C36&amp;F36</f>
        <v>United StatesLC bn</v>
      </c>
    </row>
    <row r="37" spans="1:30" ht="150" customHeight="1">
      <c r="A37" s="638"/>
      <c r="B37" s="638"/>
      <c r="C37" s="632"/>
      <c r="D37" s="629"/>
      <c r="E37" s="6"/>
      <c r="F37" s="32" t="s">
        <v>116</v>
      </c>
      <c r="G37" s="161" t="e">
        <f>G36/VLOOKUP(C36,#REF!,7,0)</f>
        <v>#REF!</v>
      </c>
      <c r="H37" s="81" t="e">
        <f>H36/VLOOKUP(C36,#REF!,7,0)</f>
        <v>#REF!</v>
      </c>
      <c r="I37" s="601"/>
      <c r="J37" s="161" t="e">
        <f>J36/VLOOKUP($C36,#REF!,7,0)</f>
        <v>#REF!</v>
      </c>
      <c r="K37" s="576"/>
      <c r="L37" s="75" t="e">
        <f>L36/VLOOKUP($C36,#REF!,7,0)</f>
        <v>#REF!</v>
      </c>
      <c r="M37" s="576"/>
      <c r="N37" s="6"/>
      <c r="O37" s="32" t="s">
        <v>116</v>
      </c>
      <c r="P37" s="265" t="e">
        <f t="shared" si="2"/>
        <v>#REF!</v>
      </c>
      <c r="Q37" s="167" t="e">
        <f>Q36/VLOOKUP(C36,#REF!,7,0)</f>
        <v>#REF!</v>
      </c>
      <c r="R37" s="582"/>
      <c r="S37" s="6"/>
      <c r="T37" s="32" t="s">
        <v>116</v>
      </c>
      <c r="U37" s="185" t="e">
        <f>U36/VLOOKUP(C36,#REF!,7,0)</f>
        <v>#REF!</v>
      </c>
      <c r="V37" s="576"/>
      <c r="W37" s="28"/>
      <c r="X37" s="28"/>
      <c r="Y37" s="576"/>
      <c r="AA37" s="27"/>
      <c r="AD37" s="33" t="str">
        <f>C36&amp;F37</f>
        <v>United StatesUSD bn</v>
      </c>
    </row>
    <row r="38" spans="1:30" ht="137.15" customHeight="1">
      <c r="A38" s="638"/>
      <c r="B38" s="638"/>
      <c r="C38" s="633"/>
      <c r="D38" s="630"/>
      <c r="E38" s="12"/>
      <c r="F38" s="31" t="s">
        <v>117</v>
      </c>
      <c r="G38" s="17" t="e">
        <f>(G36/VLOOKUP(C36,#REF!,4,0))*100</f>
        <v>#REF!</v>
      </c>
      <c r="H38" s="17" t="e">
        <f>(H36/VLOOKUP(C36,#REF!,4,0))*100</f>
        <v>#REF!</v>
      </c>
      <c r="I38" s="602"/>
      <c r="J38" s="17" t="e">
        <f>(J36/VLOOKUP($C36,#REF!,4,0))*100</f>
        <v>#REF!</v>
      </c>
      <c r="K38" s="577"/>
      <c r="L38" s="68" t="e">
        <f>(L36/VLOOKUP($C36,#REF!,4,0))*100</f>
        <v>#REF!</v>
      </c>
      <c r="M38" s="577"/>
      <c r="N38" s="12"/>
      <c r="O38" s="31" t="s">
        <v>117</v>
      </c>
      <c r="P38" s="267" t="e">
        <f t="shared" si="2"/>
        <v>#REF!</v>
      </c>
      <c r="Q38" s="168" t="e">
        <f>(Q36/VLOOKUP(C36,#REF!,4,0))*100</f>
        <v>#REF!</v>
      </c>
      <c r="R38" s="583"/>
      <c r="S38" s="12"/>
      <c r="T38" s="31" t="s">
        <v>117</v>
      </c>
      <c r="U38" s="65" t="e">
        <f>(U36/VLOOKUP(C36,#REF!,4,0))*100</f>
        <v>#REF!</v>
      </c>
      <c r="V38" s="577"/>
      <c r="W38" s="19"/>
      <c r="X38" s="19"/>
      <c r="Y38" s="577"/>
      <c r="Z38" s="1"/>
      <c r="AA38" s="26"/>
      <c r="AD38" s="33" t="str">
        <f>C36&amp;F38</f>
        <v>United States% GDP</v>
      </c>
    </row>
    <row r="39" spans="1:30" ht="103" customHeight="1">
      <c r="A39" s="638">
        <v>1</v>
      </c>
      <c r="B39" s="638" t="s">
        <v>861</v>
      </c>
      <c r="C39" s="632" t="s">
        <v>9</v>
      </c>
      <c r="D39" s="629" t="s">
        <v>571</v>
      </c>
      <c r="E39" s="6"/>
      <c r="F39" s="32" t="s">
        <v>115</v>
      </c>
      <c r="G39" s="98">
        <f>H39+J39</f>
        <v>834.2</v>
      </c>
      <c r="H39" s="81">
        <v>47.5</v>
      </c>
      <c r="I39" s="645" t="s">
        <v>1195</v>
      </c>
      <c r="J39" s="81">
        <f>707+79.7</f>
        <v>786.7</v>
      </c>
      <c r="K39" s="581" t="s">
        <v>940</v>
      </c>
      <c r="L39" s="81">
        <v>10</v>
      </c>
      <c r="M39" s="581" t="s">
        <v>835</v>
      </c>
      <c r="N39" s="6"/>
      <c r="O39" s="32" t="s">
        <v>115</v>
      </c>
      <c r="P39" s="81">
        <f>Q39+U39+W39</f>
        <v>571.79999999999995</v>
      </c>
      <c r="Q39" s="170"/>
      <c r="R39" s="581"/>
      <c r="S39" s="6"/>
      <c r="T39" s="32" t="s">
        <v>115</v>
      </c>
      <c r="U39" s="254">
        <v>571.79999999999995</v>
      </c>
      <c r="V39" s="581" t="s">
        <v>882</v>
      </c>
      <c r="W39" s="28"/>
      <c r="X39" s="575"/>
      <c r="Y39" s="35"/>
      <c r="AA39" s="35"/>
      <c r="AD39" s="33" t="str">
        <f>C39&amp;F39</f>
        <v>ArgentinaLC bn</v>
      </c>
    </row>
    <row r="40" spans="1:30" ht="120" customHeight="1">
      <c r="A40" s="638"/>
      <c r="B40" s="638"/>
      <c r="C40" s="632"/>
      <c r="D40" s="629"/>
      <c r="E40" s="6"/>
      <c r="F40" s="32" t="s">
        <v>116</v>
      </c>
      <c r="G40" s="95" t="e">
        <f>G39/VLOOKUP(C39,#REF!,7,0)</f>
        <v>#REF!</v>
      </c>
      <c r="H40" s="69" t="e">
        <f>H39/VLOOKUP(C39,#REF!,7,0)</f>
        <v>#REF!</v>
      </c>
      <c r="I40" s="646"/>
      <c r="J40" s="81" t="e">
        <f>G40-H40</f>
        <v>#REF!</v>
      </c>
      <c r="K40" s="582"/>
      <c r="L40" s="69" t="e">
        <f>L39/VLOOKUP($C39,#REF!,7,0)</f>
        <v>#REF!</v>
      </c>
      <c r="M40" s="582"/>
      <c r="N40" s="6"/>
      <c r="O40" s="32" t="s">
        <v>116</v>
      </c>
      <c r="P40" s="69" t="e">
        <f>P39/VLOOKUP($C39,#REF!,7,0)</f>
        <v>#REF!</v>
      </c>
      <c r="Q40" s="170"/>
      <c r="R40" s="582"/>
      <c r="S40" s="6"/>
      <c r="T40" s="32" t="s">
        <v>116</v>
      </c>
      <c r="U40" s="69" t="e">
        <f>U39/VLOOKUP($C39,#REF!,7,0)</f>
        <v>#REF!</v>
      </c>
      <c r="V40" s="582"/>
      <c r="W40" s="28"/>
      <c r="X40" s="576"/>
      <c r="Y40" s="28" t="s">
        <v>152</v>
      </c>
      <c r="AA40" s="27"/>
      <c r="AD40" s="33" t="str">
        <f>C39&amp;F40</f>
        <v>ArgentinaUSD bn</v>
      </c>
    </row>
    <row r="41" spans="1:30" ht="150" customHeight="1">
      <c r="A41" s="638"/>
      <c r="B41" s="638"/>
      <c r="C41" s="633"/>
      <c r="D41" s="630"/>
      <c r="E41" s="12"/>
      <c r="F41" s="31" t="s">
        <v>117</v>
      </c>
      <c r="G41" s="17" t="e">
        <f>(G39/VLOOKUP("Argentina",#REF!,4,0))*100</f>
        <v>#REF!</v>
      </c>
      <c r="H41" s="17" t="e">
        <f>(H39/VLOOKUP("Argentina",#REF!,4,0))*100</f>
        <v>#REF!</v>
      </c>
      <c r="I41" s="647"/>
      <c r="J41" s="17" t="e">
        <f>(J39/VLOOKUP($C39,#REF!,4,0))*100</f>
        <v>#REF!</v>
      </c>
      <c r="K41" s="583"/>
      <c r="L41" s="17" t="e">
        <f>(L39/VLOOKUP($C39,#REF!,4,0))*100</f>
        <v>#REF!</v>
      </c>
      <c r="M41" s="583"/>
      <c r="N41" s="12"/>
      <c r="O41" s="31" t="s">
        <v>117</v>
      </c>
      <c r="P41" s="17" t="e">
        <f>(P39/VLOOKUP($C39,#REF!,4,0))*100</f>
        <v>#REF!</v>
      </c>
      <c r="Q41" s="168"/>
      <c r="R41" s="583"/>
      <c r="S41" s="12"/>
      <c r="T41" s="31" t="s">
        <v>117</v>
      </c>
      <c r="U41" s="17" t="e">
        <f>(U39/VLOOKUP($C39,#REF!,4,0))*100</f>
        <v>#REF!</v>
      </c>
      <c r="V41" s="583"/>
      <c r="W41" s="19"/>
      <c r="X41" s="577"/>
      <c r="Y41" s="19"/>
      <c r="Z41" s="1"/>
      <c r="AA41" s="26"/>
      <c r="AD41" s="33" t="str">
        <f>C39&amp;F41</f>
        <v>Argentina% GDP</v>
      </c>
    </row>
    <row r="42" spans="1:30" ht="135" customHeight="1">
      <c r="A42" s="638">
        <v>1</v>
      </c>
      <c r="B42" s="638" t="s">
        <v>861</v>
      </c>
      <c r="C42" s="660" t="s">
        <v>10</v>
      </c>
      <c r="D42" s="629" t="s">
        <v>570</v>
      </c>
      <c r="E42" s="16"/>
      <c r="F42" s="32" t="s">
        <v>115</v>
      </c>
      <c r="G42" s="80">
        <f>J42+H42</f>
        <v>499.5</v>
      </c>
      <c r="H42" s="80">
        <f>54.2+6.5</f>
        <v>60.7</v>
      </c>
      <c r="I42" s="600" t="s">
        <v>878</v>
      </c>
      <c r="J42" s="80">
        <f>424.8+14</f>
        <v>438.8</v>
      </c>
      <c r="K42" s="575" t="s">
        <v>1010</v>
      </c>
      <c r="L42" s="80">
        <v>196</v>
      </c>
      <c r="M42" s="575" t="s">
        <v>880</v>
      </c>
      <c r="N42" s="16"/>
      <c r="O42" s="32" t="s">
        <v>115</v>
      </c>
      <c r="P42" s="80">
        <f>Q42+U42+W42</f>
        <v>383.9</v>
      </c>
      <c r="Q42" s="171">
        <v>74.900000000000006</v>
      </c>
      <c r="R42" s="575" t="s">
        <v>881</v>
      </c>
      <c r="S42" s="16"/>
      <c r="T42" s="32" t="s">
        <v>115</v>
      </c>
      <c r="U42" s="80"/>
      <c r="V42" s="575" t="s">
        <v>711</v>
      </c>
      <c r="W42" s="99">
        <v>309</v>
      </c>
      <c r="X42" s="575" t="s">
        <v>883</v>
      </c>
      <c r="Y42" s="575" t="s">
        <v>75</v>
      </c>
      <c r="Z42" s="15"/>
      <c r="AA42" s="22"/>
      <c r="AD42" s="33" t="str">
        <f>C42&amp;F42</f>
        <v>BrazilLC bn</v>
      </c>
    </row>
    <row r="43" spans="1:30" ht="128.15" customHeight="1">
      <c r="A43" s="638"/>
      <c r="B43" s="638"/>
      <c r="C43" s="660"/>
      <c r="D43" s="629"/>
      <c r="E43" s="6"/>
      <c r="F43" s="32" t="s">
        <v>116</v>
      </c>
      <c r="G43" s="81" t="e">
        <f>G42/VLOOKUP(C42,#REF!,7,0)</f>
        <v>#REF!</v>
      </c>
      <c r="H43" s="81" t="e">
        <f>H42/VLOOKUP($C42,#REF!,7,0)</f>
        <v>#REF!</v>
      </c>
      <c r="I43" s="601"/>
      <c r="J43" s="81" t="e">
        <f>J42/VLOOKUP($C42,#REF!,7,0)</f>
        <v>#REF!</v>
      </c>
      <c r="K43" s="576"/>
      <c r="L43" s="81" t="e">
        <f>L42/VLOOKUP($C42,#REF!,7,0)</f>
        <v>#REF!</v>
      </c>
      <c r="M43" s="576"/>
      <c r="N43" s="6"/>
      <c r="O43" s="32" t="s">
        <v>116</v>
      </c>
      <c r="P43" s="81" t="e">
        <f>P42/VLOOKUP(C42,#REF!,7,0)</f>
        <v>#REF!</v>
      </c>
      <c r="Q43" s="167" t="e">
        <f>Q42/VLOOKUP(C42,#REF!,7,0)</f>
        <v>#REF!</v>
      </c>
      <c r="R43" s="576"/>
      <c r="S43" s="6"/>
      <c r="T43" s="32" t="s">
        <v>116</v>
      </c>
      <c r="U43" s="69"/>
      <c r="V43" s="576"/>
      <c r="W43" s="81" t="e">
        <f>W42/VLOOKUP($C42,#REF!,7,0)</f>
        <v>#REF!</v>
      </c>
      <c r="X43" s="576"/>
      <c r="Y43" s="576"/>
      <c r="AA43" s="27"/>
      <c r="AD43" s="33" t="str">
        <f>C42&amp;F43</f>
        <v>BrazilUSD bn</v>
      </c>
    </row>
    <row r="44" spans="1:30" ht="109" customHeight="1">
      <c r="A44" s="638"/>
      <c r="B44" s="638"/>
      <c r="C44" s="661"/>
      <c r="D44" s="630"/>
      <c r="E44" s="6"/>
      <c r="F44" s="32" t="s">
        <v>117</v>
      </c>
      <c r="G44" s="69" t="e">
        <f>(G42/VLOOKUP(C42,#REF!,4,0))*100</f>
        <v>#REF!</v>
      </c>
      <c r="H44" s="17" t="e">
        <f>(H42/VLOOKUP($C42,#REF!,4,0))*100</f>
        <v>#REF!</v>
      </c>
      <c r="I44" s="602"/>
      <c r="J44" s="17" t="e">
        <f>(J42/VLOOKUP($C42,#REF!,4,0))*100</f>
        <v>#REF!</v>
      </c>
      <c r="K44" s="577"/>
      <c r="L44" s="17" t="e">
        <f>(L42/VLOOKUP($C42,#REF!,4,0))*100</f>
        <v>#REF!</v>
      </c>
      <c r="M44" s="577"/>
      <c r="N44" s="6"/>
      <c r="O44" s="32" t="s">
        <v>117</v>
      </c>
      <c r="P44" s="69" t="e">
        <f>(P42/VLOOKUP(C42,#REF!,4,0))*100</f>
        <v>#REF!</v>
      </c>
      <c r="Q44" s="170" t="e">
        <f>(Q42/VLOOKUP(C42,#REF!,4,0))*100</f>
        <v>#REF!</v>
      </c>
      <c r="R44" s="577"/>
      <c r="S44" s="6"/>
      <c r="T44" s="32" t="s">
        <v>117</v>
      </c>
      <c r="U44" s="69"/>
      <c r="V44" s="577"/>
      <c r="W44" s="17" t="e">
        <f>(W42/VLOOKUP($C42,#REF!,4,0))*100</f>
        <v>#REF!</v>
      </c>
      <c r="X44" s="577"/>
      <c r="Y44" s="577"/>
      <c r="AA44" s="27"/>
      <c r="AD44" s="33" t="str">
        <f>C42&amp;F44</f>
        <v>Brazil% GDP</v>
      </c>
    </row>
    <row r="45" spans="1:30" s="13" customFormat="1" ht="110.15" customHeight="1">
      <c r="A45" s="638">
        <v>1</v>
      </c>
      <c r="B45" s="638" t="s">
        <v>861</v>
      </c>
      <c r="C45" s="660" t="s">
        <v>11</v>
      </c>
      <c r="D45" s="629" t="s">
        <v>570</v>
      </c>
      <c r="F45" s="37" t="s">
        <v>115</v>
      </c>
      <c r="G45" s="127">
        <f>H45+J45</f>
        <v>4578</v>
      </c>
      <c r="H45" s="74">
        <v>147</v>
      </c>
      <c r="I45" s="600" t="s">
        <v>618</v>
      </c>
      <c r="J45" s="127">
        <v>4431</v>
      </c>
      <c r="K45" s="581" t="s">
        <v>943</v>
      </c>
      <c r="L45" s="127">
        <v>1600</v>
      </c>
      <c r="M45" s="581" t="s">
        <v>763</v>
      </c>
      <c r="O45" s="37" t="s">
        <v>115</v>
      </c>
      <c r="P45" s="264">
        <f>Q45+U45+W45</f>
        <v>1330</v>
      </c>
      <c r="Q45" s="175"/>
      <c r="R45" s="575" t="s">
        <v>947</v>
      </c>
      <c r="T45" s="37" t="s">
        <v>115</v>
      </c>
      <c r="U45" s="93">
        <v>400</v>
      </c>
      <c r="V45" s="575" t="s">
        <v>944</v>
      </c>
      <c r="W45" s="189">
        <v>930</v>
      </c>
      <c r="X45" s="581" t="s">
        <v>945</v>
      </c>
      <c r="Y45" s="575" t="s">
        <v>76</v>
      </c>
      <c r="AA45" s="18"/>
      <c r="AD45" s="33" t="str">
        <f>C45&amp;F45</f>
        <v>ChinaLC bn</v>
      </c>
    </row>
    <row r="46" spans="1:30" ht="129" customHeight="1">
      <c r="A46" s="638"/>
      <c r="B46" s="638"/>
      <c r="C46" s="660"/>
      <c r="D46" s="629"/>
      <c r="E46" s="6"/>
      <c r="F46" s="32" t="s">
        <v>116</v>
      </c>
      <c r="G46" s="81" t="e">
        <f>G45/VLOOKUP(C45,#REF!,7,0)</f>
        <v>#REF!</v>
      </c>
      <c r="H46" s="81" t="e">
        <f>H45/VLOOKUP($C45,#REF!,7,0)</f>
        <v>#REF!</v>
      </c>
      <c r="I46" s="601"/>
      <c r="J46" s="81" t="e">
        <f>J45/VLOOKUP($C45,#REF!,7,0)</f>
        <v>#REF!</v>
      </c>
      <c r="K46" s="582"/>
      <c r="L46" s="81" t="e">
        <f>L45/VLOOKUP($C45,#REF!,7,0)</f>
        <v>#REF!</v>
      </c>
      <c r="M46" s="582"/>
      <c r="N46" s="6"/>
      <c r="O46" s="32" t="s">
        <v>116</v>
      </c>
      <c r="P46" s="265" t="e">
        <f>Q46+U46+W46</f>
        <v>#REF!</v>
      </c>
      <c r="Q46" s="167"/>
      <c r="R46" s="576"/>
      <c r="S46" s="6"/>
      <c r="T46" s="32" t="s">
        <v>116</v>
      </c>
      <c r="U46" s="81" t="e">
        <f>U45/VLOOKUP(C45,#REF!,7,0)</f>
        <v>#REF!</v>
      </c>
      <c r="V46" s="576"/>
      <c r="W46" s="95" t="e">
        <f>W45/VLOOKUP($C45,#REF!,7,0)</f>
        <v>#REF!</v>
      </c>
      <c r="X46" s="582"/>
      <c r="Y46" s="576"/>
      <c r="AA46" s="27"/>
      <c r="AD46" s="33" t="str">
        <f>C45&amp;F46</f>
        <v>ChinaUSD bn</v>
      </c>
    </row>
    <row r="47" spans="1:30" ht="182.15" customHeight="1">
      <c r="A47" s="638"/>
      <c r="B47" s="638"/>
      <c r="C47" s="661"/>
      <c r="D47" s="630"/>
      <c r="E47" s="12"/>
      <c r="F47" s="31" t="s">
        <v>117</v>
      </c>
      <c r="G47" s="17" t="e">
        <f>(G45/VLOOKUP(C45,#REF!,4,0))*100</f>
        <v>#REF!</v>
      </c>
      <c r="H47" s="17" t="e">
        <f>(H45/VLOOKUP($C45,#REF!,4,0))*100</f>
        <v>#REF!</v>
      </c>
      <c r="I47" s="602"/>
      <c r="J47" s="17" t="e">
        <f>(J45/VLOOKUP($C45,#REF!,4,0))*100</f>
        <v>#REF!</v>
      </c>
      <c r="K47" s="583"/>
      <c r="L47" s="17" t="e">
        <f>(L45/VLOOKUP($C45,#REF!,4,0))*100</f>
        <v>#REF!</v>
      </c>
      <c r="M47" s="583"/>
      <c r="N47" s="12"/>
      <c r="O47" s="31" t="s">
        <v>117</v>
      </c>
      <c r="P47" s="267" t="e">
        <f t="shared" ref="P47" si="3">Q47+U47+W47</f>
        <v>#REF!</v>
      </c>
      <c r="Q47" s="168"/>
      <c r="R47" s="577"/>
      <c r="S47" s="12"/>
      <c r="T47" s="31" t="s">
        <v>117</v>
      </c>
      <c r="U47" s="17" t="e">
        <f>(U45/VLOOKUP(C45,#REF!,4,0))*100</f>
        <v>#REF!</v>
      </c>
      <c r="V47" s="577"/>
      <c r="W47" s="56" t="e">
        <f>(W45/VLOOKUP($C45,#REF!,4,0))*100</f>
        <v>#REF!</v>
      </c>
      <c r="X47" s="583"/>
      <c r="Y47" s="576"/>
      <c r="AA47" s="27"/>
      <c r="AD47" s="33" t="str">
        <f>C45&amp;F47</f>
        <v>China% GDP</v>
      </c>
    </row>
    <row r="48" spans="1:30" s="13" customFormat="1" ht="61" customHeight="1">
      <c r="A48" s="638">
        <v>1</v>
      </c>
      <c r="B48" s="638" t="s">
        <v>861</v>
      </c>
      <c r="C48" s="632" t="s">
        <v>12</v>
      </c>
      <c r="D48" s="629" t="s">
        <v>571</v>
      </c>
      <c r="F48" s="37" t="s">
        <v>115</v>
      </c>
      <c r="G48" s="127">
        <v>3342.5</v>
      </c>
      <c r="H48" s="74">
        <v>360</v>
      </c>
      <c r="I48" s="575" t="s">
        <v>985</v>
      </c>
      <c r="J48" s="127">
        <v>2983</v>
      </c>
      <c r="K48" s="581" t="s">
        <v>986</v>
      </c>
      <c r="L48" s="74">
        <v>680</v>
      </c>
      <c r="M48" s="581" t="s">
        <v>839</v>
      </c>
      <c r="O48" s="37" t="s">
        <v>115</v>
      </c>
      <c r="P48" s="127">
        <f>Q48+U48+W48</f>
        <v>9931</v>
      </c>
      <c r="Q48" s="74">
        <v>500</v>
      </c>
      <c r="R48" s="575" t="s">
        <v>620</v>
      </c>
      <c r="T48" s="37" t="s">
        <v>115</v>
      </c>
      <c r="U48" s="126">
        <v>8531</v>
      </c>
      <c r="V48" s="581" t="s">
        <v>840</v>
      </c>
      <c r="W48" s="74">
        <v>900</v>
      </c>
      <c r="X48" s="575" t="s">
        <v>619</v>
      </c>
      <c r="Y48" s="18"/>
      <c r="AA48" s="605" t="s">
        <v>57</v>
      </c>
      <c r="AD48" s="33" t="str">
        <f>C48&amp;F48</f>
        <v>IndiaLC bn</v>
      </c>
    </row>
    <row r="49" spans="1:30" s="10" customFormat="1" ht="60.65" customHeight="1">
      <c r="A49" s="638"/>
      <c r="B49" s="638"/>
      <c r="C49" s="632"/>
      <c r="D49" s="629"/>
      <c r="F49" s="32" t="s">
        <v>116</v>
      </c>
      <c r="G49" s="81" t="e">
        <f>G48/VLOOKUP(C48,#REF!,7,0)</f>
        <v>#REF!</v>
      </c>
      <c r="H49" s="69" t="e">
        <f>H48/VLOOKUP($C48,#REF!,7,0)</f>
        <v>#REF!</v>
      </c>
      <c r="I49" s="576"/>
      <c r="J49" s="81" t="e">
        <f>J48/VLOOKUP($C48,#REF!,7,0)</f>
        <v>#REF!</v>
      </c>
      <c r="K49" s="582"/>
      <c r="L49" s="69" t="e">
        <f>L48/VLOOKUP($C48,#REF!,7,0)</f>
        <v>#REF!</v>
      </c>
      <c r="M49" s="582"/>
      <c r="O49" s="32" t="s">
        <v>116</v>
      </c>
      <c r="P49" s="167" t="e">
        <f>P48/VLOOKUP($C48,#REF!,7,0)</f>
        <v>#REF!</v>
      </c>
      <c r="Q49" s="170" t="e">
        <f>Q48/VLOOKUP($C48,#REF!,7,0)</f>
        <v>#REF!</v>
      </c>
      <c r="R49" s="576"/>
      <c r="T49" s="32" t="s">
        <v>116</v>
      </c>
      <c r="U49" s="167" t="e">
        <f>U48/VLOOKUP($C48,#REF!,7,0)</f>
        <v>#REF!</v>
      </c>
      <c r="V49" s="582"/>
      <c r="W49" s="167" t="e">
        <f>W48/VLOOKUP($C48,#REF!,7,0)</f>
        <v>#REF!</v>
      </c>
      <c r="X49" s="576"/>
      <c r="Y49" s="28"/>
      <c r="AA49" s="606"/>
      <c r="AD49" s="33" t="str">
        <f>C48&amp;F49</f>
        <v>IndiaUSD bn</v>
      </c>
    </row>
    <row r="50" spans="1:30" ht="103" customHeight="1">
      <c r="A50" s="638"/>
      <c r="B50" s="638"/>
      <c r="C50" s="633"/>
      <c r="D50" s="630"/>
      <c r="E50" s="6"/>
      <c r="F50" s="32" t="s">
        <v>117</v>
      </c>
      <c r="G50" s="69" t="e">
        <f>(G48/VLOOKUP(C48,#REF!,4,0))*100</f>
        <v>#REF!</v>
      </c>
      <c r="H50" s="121" t="e">
        <f>(H48/VLOOKUP($C48,#REF!,4,0))*100</f>
        <v>#REF!</v>
      </c>
      <c r="I50" s="577"/>
      <c r="J50" s="121" t="e">
        <f>(J48/VLOOKUP($C48,#REF!,4,0))*100</f>
        <v>#REF!</v>
      </c>
      <c r="K50" s="583"/>
      <c r="L50" s="121" t="e">
        <f>(L48/VLOOKUP($C48,#REF!,4,0))*100</f>
        <v>#REF!</v>
      </c>
      <c r="M50" s="583"/>
      <c r="N50" s="6"/>
      <c r="O50" s="32" t="s">
        <v>117</v>
      </c>
      <c r="P50" s="121" t="e">
        <f>(P48/VLOOKUP($C48,#REF!,4,0))*100</f>
        <v>#REF!</v>
      </c>
      <c r="Q50" s="121" t="e">
        <f>(Q48/VLOOKUP($C48,#REF!,4,0))*100</f>
        <v>#REF!</v>
      </c>
      <c r="R50" s="577"/>
      <c r="S50" s="6"/>
      <c r="T50" s="32" t="s">
        <v>117</v>
      </c>
      <c r="U50" s="121" t="e">
        <f>(U48/VLOOKUP($C48,#REF!,4,0))*100</f>
        <v>#REF!</v>
      </c>
      <c r="V50" s="583"/>
      <c r="W50" s="121" t="e">
        <f>(W48/VLOOKUP($C48,#REF!,4,0))*100</f>
        <v>#REF!</v>
      </c>
      <c r="X50" s="577"/>
      <c r="Y50" s="28"/>
      <c r="AA50" s="607"/>
      <c r="AD50" s="33" t="str">
        <f>C48&amp;F50</f>
        <v>India% GDP</v>
      </c>
    </row>
    <row r="51" spans="1:30" s="13" customFormat="1" ht="73.5" customHeight="1">
      <c r="A51" s="638">
        <v>1</v>
      </c>
      <c r="B51" s="638" t="s">
        <v>861</v>
      </c>
      <c r="C51" s="632" t="s">
        <v>13</v>
      </c>
      <c r="D51" s="629" t="s">
        <v>571</v>
      </c>
      <c r="F51" s="37" t="s">
        <v>115</v>
      </c>
      <c r="G51" s="127">
        <f>H51+J51</f>
        <v>394600</v>
      </c>
      <c r="H51" s="259">
        <v>76000</v>
      </c>
      <c r="I51" s="575" t="s">
        <v>841</v>
      </c>
      <c r="J51" s="259">
        <f>222300+96300</f>
        <v>318600</v>
      </c>
      <c r="K51" s="575" t="s">
        <v>842</v>
      </c>
      <c r="L51" s="140"/>
      <c r="M51" s="581" t="s">
        <v>952</v>
      </c>
      <c r="O51" s="37" t="s">
        <v>115</v>
      </c>
      <c r="P51" s="260">
        <v>185200</v>
      </c>
      <c r="Q51" s="183">
        <v>35200</v>
      </c>
      <c r="R51" s="575" t="s">
        <v>660</v>
      </c>
      <c r="T51" s="37" t="s">
        <v>115</v>
      </c>
      <c r="U51" s="183">
        <v>150000</v>
      </c>
      <c r="V51" s="581" t="s">
        <v>987</v>
      </c>
      <c r="W51" s="278"/>
      <c r="X51" s="140"/>
      <c r="Y51" s="18"/>
      <c r="AA51" s="18"/>
      <c r="AD51" s="33" t="str">
        <f>C51&amp;F51</f>
        <v>IndonesiaLC bn</v>
      </c>
    </row>
    <row r="52" spans="1:30" s="10" customFormat="1" ht="100" customHeight="1">
      <c r="A52" s="638"/>
      <c r="B52" s="638"/>
      <c r="C52" s="632"/>
      <c r="D52" s="629"/>
      <c r="F52" s="32" t="s">
        <v>116</v>
      </c>
      <c r="G52" s="81" t="e">
        <f>G51/VLOOKUP(C51,#REF!,7,0)</f>
        <v>#REF!</v>
      </c>
      <c r="H52" s="69" t="e">
        <f>H51/VLOOKUP($C51,#REF!,7,0)</f>
        <v>#REF!</v>
      </c>
      <c r="I52" s="576"/>
      <c r="J52" s="254" t="e">
        <f>J51/VLOOKUP($C51,#REF!,7,0)</f>
        <v>#REF!</v>
      </c>
      <c r="K52" s="576"/>
      <c r="L52" s="186"/>
      <c r="M52" s="582"/>
      <c r="O52" s="32" t="s">
        <v>116</v>
      </c>
      <c r="P52" s="81" t="e">
        <f>P51/VLOOKUP($C51,#REF!,7,0)</f>
        <v>#REF!</v>
      </c>
      <c r="Q52" s="180" t="e">
        <f>Q51/VLOOKUP($C51,#REF!,7,0)</f>
        <v>#REF!</v>
      </c>
      <c r="R52" s="652"/>
      <c r="T52" s="32" t="s">
        <v>116</v>
      </c>
      <c r="U52" s="173" t="e">
        <f>U51/VLOOKUP($C51,#REF!,7,0)</f>
        <v>#REF!</v>
      </c>
      <c r="V52" s="582"/>
      <c r="W52" s="279"/>
      <c r="X52" s="29"/>
      <c r="Y52" s="28"/>
      <c r="AA52" s="28"/>
      <c r="AD52" s="33" t="str">
        <f>C51&amp;F52</f>
        <v>IndonesiaUSD bn</v>
      </c>
    </row>
    <row r="53" spans="1:30" s="2" customFormat="1" ht="137.5" customHeight="1">
      <c r="A53" s="638"/>
      <c r="B53" s="638"/>
      <c r="C53" s="633"/>
      <c r="D53" s="630"/>
      <c r="E53" s="12"/>
      <c r="F53" s="31" t="s">
        <v>117</v>
      </c>
      <c r="G53" s="17" t="e">
        <f>(G51/VLOOKUP(C51,#REF!,4,0))*100</f>
        <v>#REF!</v>
      </c>
      <c r="H53" s="17" t="e">
        <f>(H51/VLOOKUP($C51,#REF!,4,0))*100</f>
        <v>#REF!</v>
      </c>
      <c r="I53" s="577"/>
      <c r="J53" s="121" t="e">
        <f>(J51/VLOOKUP($C51,#REF!,4,0))*100</f>
        <v>#REF!</v>
      </c>
      <c r="K53" s="577"/>
      <c r="L53" s="187"/>
      <c r="M53" s="583"/>
      <c r="N53" s="12"/>
      <c r="O53" s="31" t="s">
        <v>117</v>
      </c>
      <c r="P53" s="17" t="e">
        <f>(P51/VLOOKUP($C51,#REF!,4,0))*100</f>
        <v>#REF!</v>
      </c>
      <c r="Q53" s="174" t="e">
        <f>(Q51/VLOOKUP($C51,#REF!,4,0))*100</f>
        <v>#REF!</v>
      </c>
      <c r="R53" s="653"/>
      <c r="S53" s="12"/>
      <c r="T53" s="31" t="s">
        <v>117</v>
      </c>
      <c r="U53" s="174" t="e">
        <f>(U51/VLOOKUP($C51,#REF!,4,0))*100</f>
        <v>#REF!</v>
      </c>
      <c r="V53" s="583"/>
      <c r="W53" s="280"/>
      <c r="X53" s="187"/>
      <c r="Y53" s="132" t="s">
        <v>296</v>
      </c>
      <c r="Z53" s="1"/>
      <c r="AA53" s="26"/>
      <c r="AD53" s="33" t="str">
        <f>C51&amp;F53</f>
        <v>Indonesia% GDP</v>
      </c>
    </row>
    <row r="54" spans="1:30" s="36" customFormat="1" ht="60" customHeight="1">
      <c r="A54" s="638">
        <v>1</v>
      </c>
      <c r="B54" s="638" t="s">
        <v>861</v>
      </c>
      <c r="C54" s="632" t="s">
        <v>14</v>
      </c>
      <c r="D54" s="629" t="s">
        <v>572</v>
      </c>
      <c r="F54" s="32" t="s">
        <v>115</v>
      </c>
      <c r="G54" s="95">
        <f>H54+J54</f>
        <v>147.30000000000001</v>
      </c>
      <c r="H54" s="75">
        <v>40</v>
      </c>
      <c r="I54" s="600" t="s">
        <v>864</v>
      </c>
      <c r="J54" s="95">
        <v>107.3</v>
      </c>
      <c r="K54" s="651" t="s">
        <v>867</v>
      </c>
      <c r="L54" s="95">
        <v>46.4</v>
      </c>
      <c r="M54" s="581" t="s">
        <v>865</v>
      </c>
      <c r="O54" s="32" t="s">
        <v>115</v>
      </c>
      <c r="P54" s="95">
        <f>SUM(Q54,U54,W54)</f>
        <v>103</v>
      </c>
      <c r="Q54" s="166">
        <v>38</v>
      </c>
      <c r="R54" s="575" t="s">
        <v>866</v>
      </c>
      <c r="T54" s="32" t="s">
        <v>115</v>
      </c>
      <c r="U54" s="56"/>
      <c r="V54" s="28"/>
      <c r="W54" s="166">
        <v>65</v>
      </c>
      <c r="X54" s="575" t="s">
        <v>573</v>
      </c>
      <c r="Y54" s="575" t="s">
        <v>77</v>
      </c>
      <c r="AA54" s="668" t="s">
        <v>868</v>
      </c>
      <c r="AD54" s="33" t="str">
        <f>C54&amp;F54</f>
        <v>MexicoLC bn</v>
      </c>
    </row>
    <row r="55" spans="1:30" s="36" customFormat="1" ht="60" customHeight="1">
      <c r="A55" s="638"/>
      <c r="B55" s="638"/>
      <c r="C55" s="632"/>
      <c r="D55" s="629"/>
      <c r="F55" s="32" t="s">
        <v>116</v>
      </c>
      <c r="G55" s="69" t="e">
        <f>G54/VLOOKUP(C54,#REF!,7,0)</f>
        <v>#REF!</v>
      </c>
      <c r="H55" s="69" t="e">
        <f>H54/VLOOKUP($C54,#REF!,7,0)</f>
        <v>#REF!</v>
      </c>
      <c r="I55" s="601"/>
      <c r="J55" s="69" t="e">
        <f>J54/VLOOKUP($C54,#REF!,7,0)</f>
        <v>#REF!</v>
      </c>
      <c r="K55" s="582"/>
      <c r="L55" s="69" t="e">
        <f>L54/VLOOKUP($C54,#REF!,7,0)</f>
        <v>#REF!</v>
      </c>
      <c r="M55" s="582"/>
      <c r="O55" s="32" t="s">
        <v>116</v>
      </c>
      <c r="P55" s="69" t="e">
        <f>P54/VLOOKUP($C54,#REF!,7,0)</f>
        <v>#REF!</v>
      </c>
      <c r="Q55" s="69" t="e">
        <f>Q54/VLOOKUP($C54,#REF!,7,0)</f>
        <v>#REF!</v>
      </c>
      <c r="R55" s="576"/>
      <c r="T55" s="32" t="s">
        <v>116</v>
      </c>
      <c r="U55" s="56"/>
      <c r="V55" s="28"/>
      <c r="W55" s="69" t="e">
        <f>W54/VLOOKUP($C54,#REF!,7,0)</f>
        <v>#REF!</v>
      </c>
      <c r="X55" s="576"/>
      <c r="Y55" s="576"/>
      <c r="AA55" s="655"/>
      <c r="AD55" s="33" t="str">
        <f>C54&amp;F55</f>
        <v>MexicoUSD bn</v>
      </c>
    </row>
    <row r="56" spans="1:30" s="4" customFormat="1" ht="75" customHeight="1">
      <c r="A56" s="638"/>
      <c r="B56" s="638"/>
      <c r="C56" s="633"/>
      <c r="D56" s="630"/>
      <c r="F56" s="31" t="s">
        <v>117</v>
      </c>
      <c r="G56" s="17" t="e">
        <f>(G54/VLOOKUP(C54,#REF!,4,0))*100</f>
        <v>#REF!</v>
      </c>
      <c r="H56" s="17" t="e">
        <f>(H54/VLOOKUP($C54,#REF!,4,0))*100</f>
        <v>#REF!</v>
      </c>
      <c r="I56" s="602"/>
      <c r="J56" s="17" t="e">
        <f>(J54/VLOOKUP($C54,#REF!,4,0))*100</f>
        <v>#REF!</v>
      </c>
      <c r="K56" s="583"/>
      <c r="L56" s="17" t="e">
        <f>(L54/VLOOKUP($C54,#REF!,4,0))*100</f>
        <v>#REF!</v>
      </c>
      <c r="M56" s="583"/>
      <c r="O56" s="31" t="s">
        <v>117</v>
      </c>
      <c r="P56" s="17" t="e">
        <f>(P54/VLOOKUP($C54,#REF!,4,0))*100</f>
        <v>#REF!</v>
      </c>
      <c r="Q56" s="17" t="e">
        <f>(Q54/VLOOKUP($C54,#REF!,4,0))*100</f>
        <v>#REF!</v>
      </c>
      <c r="R56" s="577"/>
      <c r="T56" s="31" t="s">
        <v>117</v>
      </c>
      <c r="U56" s="68"/>
      <c r="V56" s="19"/>
      <c r="W56" s="17" t="e">
        <f>(W54/VLOOKUP($C54,#REF!,4,0))*100</f>
        <v>#REF!</v>
      </c>
      <c r="X56" s="577"/>
      <c r="Y56" s="577"/>
      <c r="AA56" s="656"/>
      <c r="AD56" s="33" t="str">
        <f>C54&amp;F56</f>
        <v>Mexico% GDP</v>
      </c>
    </row>
    <row r="57" spans="1:30" s="10" customFormat="1" ht="133.5" customHeight="1">
      <c r="A57" s="638">
        <v>1</v>
      </c>
      <c r="B57" s="638" t="s">
        <v>861</v>
      </c>
      <c r="C57" s="632" t="s">
        <v>15</v>
      </c>
      <c r="D57" s="629" t="s">
        <v>571</v>
      </c>
      <c r="E57" s="13"/>
      <c r="F57" s="32" t="s">
        <v>115</v>
      </c>
      <c r="G57" s="127">
        <v>2457</v>
      </c>
      <c r="H57" s="74">
        <v>232</v>
      </c>
      <c r="I57" s="575" t="s">
        <v>975</v>
      </c>
      <c r="J57" s="127">
        <f>1750+474</f>
        <v>2224</v>
      </c>
      <c r="K57" s="581" t="s">
        <v>976</v>
      </c>
      <c r="L57" s="74">
        <v>432</v>
      </c>
      <c r="M57" s="575" t="s">
        <v>805</v>
      </c>
      <c r="N57" s="13"/>
      <c r="O57" s="32" t="s">
        <v>115</v>
      </c>
      <c r="P57" s="127">
        <f>Q57+U57+W57</f>
        <v>1070</v>
      </c>
      <c r="Q57" s="166">
        <v>70</v>
      </c>
      <c r="R57" s="575" t="s">
        <v>574</v>
      </c>
      <c r="S57" s="13"/>
      <c r="T57" s="32" t="s">
        <v>115</v>
      </c>
      <c r="U57" s="95">
        <v>500</v>
      </c>
      <c r="V57" s="575" t="s">
        <v>978</v>
      </c>
      <c r="W57" s="189">
        <v>500</v>
      </c>
      <c r="X57" s="581" t="s">
        <v>806</v>
      </c>
      <c r="Y57" s="18"/>
      <c r="Z57" s="13"/>
      <c r="AA57" s="18"/>
      <c r="AD57" s="33" t="str">
        <f>C57&amp;F57</f>
        <v>RussiaLC bn</v>
      </c>
    </row>
    <row r="58" spans="1:30" s="10" customFormat="1" ht="178" customHeight="1">
      <c r="A58" s="638"/>
      <c r="B58" s="638"/>
      <c r="C58" s="632"/>
      <c r="D58" s="629"/>
      <c r="F58" s="32" t="s">
        <v>116</v>
      </c>
      <c r="G58" s="81" t="e">
        <f>G57/VLOOKUP(C57,#REF!,7,0)</f>
        <v>#REF!</v>
      </c>
      <c r="H58" s="56" t="e">
        <f>H57/VLOOKUP(C57,#REF!,7,0)</f>
        <v>#REF!</v>
      </c>
      <c r="I58" s="576"/>
      <c r="J58" s="254" t="e">
        <f>J57/VLOOKUP($C57,#REF!,7,0)</f>
        <v>#REF!</v>
      </c>
      <c r="K58" s="582"/>
      <c r="L58" s="120" t="e">
        <f>L57/VLOOKUP($C57,#REF!,7,0)</f>
        <v>#REF!</v>
      </c>
      <c r="M58" s="576"/>
      <c r="O58" s="32" t="s">
        <v>116</v>
      </c>
      <c r="P58" s="81" t="e">
        <f>P57/VLOOKUP($C57,#REF!,7,0)</f>
        <v>#REF!</v>
      </c>
      <c r="Q58" s="69" t="e">
        <f>Q57/VLOOKUP($C57,#REF!,7,0)</f>
        <v>#REF!</v>
      </c>
      <c r="R58" s="576"/>
      <c r="T58" s="32" t="s">
        <v>116</v>
      </c>
      <c r="U58" s="69" t="e">
        <f>U57/VLOOKUP($C57,#REF!,7,0)</f>
        <v>#REF!</v>
      </c>
      <c r="V58" s="576"/>
      <c r="W58" s="69" t="e">
        <f>W57/VLOOKUP($C57,#REF!,7,0)</f>
        <v>#REF!</v>
      </c>
      <c r="X58" s="582"/>
      <c r="Y58" s="28"/>
      <c r="AA58" s="28"/>
      <c r="AD58" s="33" t="str">
        <f>C57&amp;F58</f>
        <v>RussiaUSD bn</v>
      </c>
    </row>
    <row r="59" spans="1:30" ht="164.15" customHeight="1">
      <c r="A59" s="638"/>
      <c r="B59" s="638"/>
      <c r="C59" s="633"/>
      <c r="D59" s="630"/>
      <c r="E59" s="6"/>
      <c r="F59" s="32" t="s">
        <v>117</v>
      </c>
      <c r="G59" s="69" t="e">
        <f>(G57/VLOOKUP(C57,#REF!,4,0))*100</f>
        <v>#REF!</v>
      </c>
      <c r="H59" s="263" t="e">
        <f>(H57/VLOOKUP(C57,#REF!,4,0))*100</f>
        <v>#REF!</v>
      </c>
      <c r="I59" s="577"/>
      <c r="J59" s="121" t="e">
        <f>(J57/VLOOKUP($C57,#REF!,4,0))*100</f>
        <v>#REF!</v>
      </c>
      <c r="K59" s="583"/>
      <c r="L59" s="121" t="e">
        <f>(L57/VLOOKUP($C57,#REF!,4,0))*100</f>
        <v>#REF!</v>
      </c>
      <c r="M59" s="577"/>
      <c r="N59" s="6"/>
      <c r="O59" s="32" t="s">
        <v>117</v>
      </c>
      <c r="P59" s="17" t="e">
        <f>P57/VLOOKUP($C57,#REF!,4,0)*100</f>
        <v>#REF!</v>
      </c>
      <c r="Q59" s="17" t="e">
        <f>Q57/VLOOKUP($C57,#REF!,4,0)*100</f>
        <v>#REF!</v>
      </c>
      <c r="R59" s="577"/>
      <c r="S59" s="6"/>
      <c r="T59" s="32" t="s">
        <v>117</v>
      </c>
      <c r="U59" s="17" t="e">
        <f>(U57/VLOOKUP($C57,#REF!,4,0))*100</f>
        <v>#REF!</v>
      </c>
      <c r="V59" s="577"/>
      <c r="W59" s="17" t="e">
        <f>(W57/VLOOKUP($C57,#REF!,4,0))*100</f>
        <v>#REF!</v>
      </c>
      <c r="X59" s="583"/>
      <c r="Y59" s="28"/>
      <c r="AA59" s="27"/>
      <c r="AD59" s="33" t="str">
        <f>C57&amp;F59</f>
        <v>Russia% GDP</v>
      </c>
    </row>
    <row r="60" spans="1:30" s="13" customFormat="1" ht="39.65" customHeight="1">
      <c r="A60" s="638">
        <v>1</v>
      </c>
      <c r="B60" s="638" t="s">
        <v>861</v>
      </c>
      <c r="C60" s="632" t="s">
        <v>16</v>
      </c>
      <c r="D60" s="629" t="s">
        <v>570</v>
      </c>
      <c r="F60" s="37" t="s">
        <v>115</v>
      </c>
      <c r="G60" s="93">
        <f>H60+J60</f>
        <v>57.6</v>
      </c>
      <c r="H60" s="74">
        <v>47</v>
      </c>
      <c r="I60" s="575" t="s">
        <v>949</v>
      </c>
      <c r="J60" s="53">
        <v>10.6</v>
      </c>
      <c r="K60" s="575" t="s">
        <v>950</v>
      </c>
      <c r="L60" s="74">
        <v>48</v>
      </c>
      <c r="M60" s="575" t="s">
        <v>624</v>
      </c>
      <c r="O60" s="37" t="s">
        <v>115</v>
      </c>
      <c r="P60" s="264">
        <f t="shared" ref="P60:P62" si="4">Q60+U60+W60</f>
        <v>22</v>
      </c>
      <c r="Q60" s="175">
        <v>22</v>
      </c>
      <c r="R60" s="575" t="s">
        <v>739</v>
      </c>
      <c r="T60" s="37" t="s">
        <v>115</v>
      </c>
      <c r="U60" s="53"/>
      <c r="V60" s="18"/>
      <c r="W60" s="18"/>
      <c r="X60" s="18"/>
      <c r="Y60" s="18"/>
      <c r="AA60" s="605" t="s">
        <v>59</v>
      </c>
      <c r="AD60" s="33" t="str">
        <f>C60&amp;F60</f>
        <v>Saudi ArabiaLC bn</v>
      </c>
    </row>
    <row r="61" spans="1:30" s="10" customFormat="1" ht="50.15" customHeight="1">
      <c r="A61" s="638"/>
      <c r="B61" s="638"/>
      <c r="C61" s="632"/>
      <c r="D61" s="629"/>
      <c r="F61" s="32" t="s">
        <v>116</v>
      </c>
      <c r="G61" s="81" t="e">
        <f>G60/#REF!</f>
        <v>#REF!</v>
      </c>
      <c r="H61" s="81" t="e">
        <f>H60/VLOOKUP($C60,#REF!,7,0)</f>
        <v>#REF!</v>
      </c>
      <c r="I61" s="576"/>
      <c r="J61" s="69" t="e">
        <f>J60/VLOOKUP($C60,#REF!,7,0)</f>
        <v>#REF!</v>
      </c>
      <c r="K61" s="576"/>
      <c r="L61" s="81" t="e">
        <f>L60/VLOOKUP($C60,#REF!,7,0)</f>
        <v>#REF!</v>
      </c>
      <c r="M61" s="576"/>
      <c r="O61" s="32" t="s">
        <v>116</v>
      </c>
      <c r="P61" s="248" t="e">
        <f t="shared" si="4"/>
        <v>#REF!</v>
      </c>
      <c r="Q61" s="170" t="e">
        <f>Q60/VLOOKUP(C60,#REF!,7,0)</f>
        <v>#REF!</v>
      </c>
      <c r="R61" s="576"/>
      <c r="T61" s="32" t="s">
        <v>116</v>
      </c>
      <c r="U61" s="56"/>
      <c r="V61" s="28"/>
      <c r="W61" s="28"/>
      <c r="X61" s="28"/>
      <c r="Y61" s="28"/>
      <c r="AA61" s="606"/>
      <c r="AD61" s="33" t="str">
        <f>C60&amp;F61</f>
        <v>Saudi ArabiaUSD bn</v>
      </c>
    </row>
    <row r="62" spans="1:30" ht="50.5" customHeight="1">
      <c r="A62" s="638"/>
      <c r="B62" s="638"/>
      <c r="C62" s="633"/>
      <c r="D62" s="630"/>
      <c r="E62" s="12"/>
      <c r="F62" s="31" t="s">
        <v>117</v>
      </c>
      <c r="G62" s="17" t="e">
        <f>G60/#REF!*100</f>
        <v>#REF!</v>
      </c>
      <c r="H62" s="17" t="e">
        <f>(H60/VLOOKUP($C60,#REF!,4,0))*100</f>
        <v>#REF!</v>
      </c>
      <c r="I62" s="577"/>
      <c r="J62" s="17" t="e">
        <f>(J60/VLOOKUP($C60,#REF!,4,0))*100</f>
        <v>#REF!</v>
      </c>
      <c r="K62" s="577"/>
      <c r="L62" s="17" t="e">
        <f>(L60/VLOOKUP($C60,#REF!,4,0))*100</f>
        <v>#REF!</v>
      </c>
      <c r="M62" s="577"/>
      <c r="N62" s="12"/>
      <c r="O62" s="31" t="s">
        <v>117</v>
      </c>
      <c r="P62" s="267" t="e">
        <f t="shared" si="4"/>
        <v>#REF!</v>
      </c>
      <c r="Q62" s="168" t="e">
        <f>(Q60/VLOOKUP(C60,#REF!,4,0))*100</f>
        <v>#REF!</v>
      </c>
      <c r="R62" s="577"/>
      <c r="S62" s="12"/>
      <c r="T62" s="31" t="s">
        <v>117</v>
      </c>
      <c r="U62" s="17"/>
      <c r="V62" s="19"/>
      <c r="W62" s="19"/>
      <c r="X62" s="19"/>
      <c r="Y62" s="19"/>
      <c r="Z62" s="1"/>
      <c r="AA62" s="26"/>
      <c r="AD62" s="33" t="str">
        <f>C60&amp;F62</f>
        <v>Saudi Arabia% GDP</v>
      </c>
    </row>
    <row r="63" spans="1:30" s="10" customFormat="1" ht="96" customHeight="1">
      <c r="A63" s="638">
        <v>1</v>
      </c>
      <c r="B63" s="638" t="s">
        <v>861</v>
      </c>
      <c r="C63" s="632" t="s">
        <v>17</v>
      </c>
      <c r="D63" s="629" t="s">
        <v>570</v>
      </c>
      <c r="E63" s="13"/>
      <c r="F63" s="32" t="s">
        <v>115</v>
      </c>
      <c r="G63" s="93">
        <f>H63+J63</f>
        <v>257</v>
      </c>
      <c r="H63" s="93">
        <v>20</v>
      </c>
      <c r="I63" s="575" t="s">
        <v>844</v>
      </c>
      <c r="J63" s="93">
        <v>237</v>
      </c>
      <c r="K63" s="581" t="s">
        <v>948</v>
      </c>
      <c r="L63" s="93">
        <v>44</v>
      </c>
      <c r="M63" s="581" t="s">
        <v>846</v>
      </c>
      <c r="N63" s="13"/>
      <c r="O63" s="32" t="s">
        <v>115</v>
      </c>
      <c r="P63" s="93">
        <f>SUM(Q63,U63,W63)</f>
        <v>203</v>
      </c>
      <c r="Q63" s="175"/>
      <c r="R63" s="575"/>
      <c r="S63" s="13"/>
      <c r="T63" s="32" t="s">
        <v>115</v>
      </c>
      <c r="U63" s="93">
        <v>200</v>
      </c>
      <c r="V63" s="581" t="s">
        <v>847</v>
      </c>
      <c r="W63" s="53">
        <v>3</v>
      </c>
      <c r="X63" s="581" t="s">
        <v>575</v>
      </c>
      <c r="Y63" s="18"/>
      <c r="Z63" s="13"/>
      <c r="AA63" s="18"/>
      <c r="AD63" s="33" t="str">
        <f>C63&amp;F63</f>
        <v>South AfricaLC bn</v>
      </c>
    </row>
    <row r="64" spans="1:30" s="10" customFormat="1" ht="110.15" customHeight="1">
      <c r="A64" s="638"/>
      <c r="B64" s="638"/>
      <c r="C64" s="632"/>
      <c r="D64" s="629"/>
      <c r="F64" s="32" t="s">
        <v>116</v>
      </c>
      <c r="G64" s="81" t="e">
        <f>G63/#REF!</f>
        <v>#REF!</v>
      </c>
      <c r="H64" s="69" t="e">
        <f>H63/VLOOKUP($C63,#REF!,7,0)</f>
        <v>#REF!</v>
      </c>
      <c r="I64" s="576"/>
      <c r="J64" s="254" t="e">
        <f>J63/VLOOKUP($C63,#REF!,7,0)</f>
        <v>#REF!</v>
      </c>
      <c r="K64" s="582"/>
      <c r="L64" s="120" t="e">
        <f>L63/VLOOKUP($C63,#REF!,7,0)</f>
        <v>#REF!</v>
      </c>
      <c r="M64" s="582"/>
      <c r="O64" s="32" t="s">
        <v>116</v>
      </c>
      <c r="P64" s="95" t="e">
        <f>SUM(Q64,U64, W64)</f>
        <v>#REF!</v>
      </c>
      <c r="Q64" s="170"/>
      <c r="R64" s="576"/>
      <c r="T64" s="32" t="s">
        <v>116</v>
      </c>
      <c r="U64" s="95" t="e">
        <f>U63/VLOOKUP(C63,#REF!,7,0)</f>
        <v>#REF!</v>
      </c>
      <c r="V64" s="582"/>
      <c r="W64" s="56" t="e">
        <f>W63/VLOOKUP(C63,#REF!,7,0)</f>
        <v>#REF!</v>
      </c>
      <c r="X64" s="582"/>
      <c r="Y64" s="28"/>
      <c r="AA64" s="28"/>
      <c r="AD64" s="33" t="str">
        <f>C63&amp;F64</f>
        <v>South AfricaUSD bn</v>
      </c>
    </row>
    <row r="65" spans="1:30" ht="132.65" customHeight="1">
      <c r="A65" s="638"/>
      <c r="B65" s="638"/>
      <c r="C65" s="633"/>
      <c r="D65" s="630"/>
      <c r="E65" s="12"/>
      <c r="F65" s="31" t="s">
        <v>117</v>
      </c>
      <c r="G65" s="17" t="e">
        <f>G63/#REF!*100</f>
        <v>#REF!</v>
      </c>
      <c r="H65" s="17" t="e">
        <f>(H63/VLOOKUP($C63,#REF!,4,0))*100</f>
        <v>#REF!</v>
      </c>
      <c r="I65" s="577"/>
      <c r="J65" s="121" t="e">
        <f>(J63/VLOOKUP($C63,#REF!,4,0))*100</f>
        <v>#REF!</v>
      </c>
      <c r="K65" s="583"/>
      <c r="L65" s="121" t="e">
        <f>(L63/VLOOKUP($C63,#REF!,4,0))*100</f>
        <v>#REF!</v>
      </c>
      <c r="M65" s="583"/>
      <c r="N65" s="12"/>
      <c r="O65" s="31" t="s">
        <v>117</v>
      </c>
      <c r="P65" s="17" t="e">
        <f>SUM(Q65,U65, W64)</f>
        <v>#REF!</v>
      </c>
      <c r="Q65" s="168"/>
      <c r="R65" s="577"/>
      <c r="S65" s="12"/>
      <c r="T65" s="31" t="s">
        <v>117</v>
      </c>
      <c r="U65" s="17" t="e">
        <f>(U63/VLOOKUP(C63,#REF!,4,0))*100</f>
        <v>#REF!</v>
      </c>
      <c r="V65" s="583"/>
      <c r="W65" s="68" t="e">
        <f>(W63/VLOOKUP(C63,#REF!,4,0))*100</f>
        <v>#REF!</v>
      </c>
      <c r="X65" s="583"/>
      <c r="Y65" s="19"/>
      <c r="Z65" s="1"/>
      <c r="AA65" s="26"/>
      <c r="AD65" s="33" t="str">
        <f>C63&amp;F65</f>
        <v>South Africa% GDP</v>
      </c>
    </row>
    <row r="66" spans="1:30" s="36" customFormat="1" ht="88.5" customHeight="1">
      <c r="A66" s="638">
        <v>1</v>
      </c>
      <c r="B66" s="638" t="s">
        <v>861</v>
      </c>
      <c r="C66" s="632" t="s">
        <v>18</v>
      </c>
      <c r="D66" s="629" t="s">
        <v>572</v>
      </c>
      <c r="E66" s="14"/>
      <c r="F66" s="32" t="s">
        <v>115</v>
      </c>
      <c r="G66" s="93">
        <v>33.9</v>
      </c>
      <c r="H66" s="74">
        <v>13.5</v>
      </c>
      <c r="I66" s="581" t="s">
        <v>1003</v>
      </c>
      <c r="J66" s="96">
        <f>G66-H66</f>
        <v>20.399999999999999</v>
      </c>
      <c r="K66" s="581" t="s">
        <v>1002</v>
      </c>
      <c r="L66" s="96">
        <v>66.5</v>
      </c>
      <c r="M66" s="581" t="s">
        <v>1004</v>
      </c>
      <c r="N66" s="14"/>
      <c r="O66" s="32" t="s">
        <v>115</v>
      </c>
      <c r="P66" s="93">
        <f>Q66+U66+W66</f>
        <v>583.6</v>
      </c>
      <c r="Q66" s="175">
        <v>20</v>
      </c>
      <c r="R66" s="575" t="s">
        <v>848</v>
      </c>
      <c r="S66" s="14"/>
      <c r="T66" s="32" t="s">
        <v>115</v>
      </c>
      <c r="U66" s="93">
        <v>457.7</v>
      </c>
      <c r="V66" s="575" t="s">
        <v>988</v>
      </c>
      <c r="W66" s="93">
        <v>105.9</v>
      </c>
      <c r="X66" s="575" t="s">
        <v>1005</v>
      </c>
      <c r="Y66" s="18"/>
      <c r="Z66" s="14"/>
      <c r="AA66" s="18"/>
      <c r="AD66" s="33" t="str">
        <f>C66&amp;F66</f>
        <v>TurkeyLC bn</v>
      </c>
    </row>
    <row r="67" spans="1:30" s="36" customFormat="1" ht="110.15" customHeight="1">
      <c r="A67" s="638"/>
      <c r="B67" s="638"/>
      <c r="C67" s="632"/>
      <c r="D67" s="629"/>
      <c r="F67" s="32" t="s">
        <v>116</v>
      </c>
      <c r="G67" s="69" t="e">
        <f>G66/VLOOKUP(C66,#REF!,7,0)</f>
        <v>#REF!</v>
      </c>
      <c r="H67" s="56" t="e">
        <f>H66/VLOOKUP($C66,#REF!,7,0)</f>
        <v>#REF!</v>
      </c>
      <c r="I67" s="582"/>
      <c r="J67" s="120" t="e">
        <f>J66/VLOOKUP($C66,#REF!,7,0)</f>
        <v>#REF!</v>
      </c>
      <c r="K67" s="582"/>
      <c r="L67" s="120" t="e">
        <f>L66/VLOOKUP($C66,#REF!,7,0)</f>
        <v>#REF!</v>
      </c>
      <c r="M67" s="582"/>
      <c r="O67" s="32" t="s">
        <v>116</v>
      </c>
      <c r="P67" s="254" t="e">
        <f>P66/VLOOKUP($C66,#REF!,7,0)</f>
        <v>#REF!</v>
      </c>
      <c r="Q67" s="120" t="e">
        <f>Q66/VLOOKUP($C66,#REF!,7,0)</f>
        <v>#REF!</v>
      </c>
      <c r="R67" s="576"/>
      <c r="T67" s="32" t="s">
        <v>116</v>
      </c>
      <c r="U67" s="81" t="e">
        <f>U66/VLOOKUP(C66,#REF!,7,0)</f>
        <v>#REF!</v>
      </c>
      <c r="V67" s="576"/>
      <c r="W67" s="81" t="e">
        <f>W66/VLOOKUP(C66,#REF!,7,0)</f>
        <v>#REF!</v>
      </c>
      <c r="X67" s="576"/>
      <c r="Y67" s="28"/>
      <c r="AA67" s="28"/>
      <c r="AD67" s="33" t="str">
        <f>C66&amp;F67</f>
        <v>TurkeyUSD bn</v>
      </c>
    </row>
    <row r="68" spans="1:30" ht="119.5" customHeight="1">
      <c r="A68" s="638"/>
      <c r="B68" s="638"/>
      <c r="C68" s="633"/>
      <c r="D68" s="630"/>
      <c r="E68" s="12"/>
      <c r="F68" s="31" t="s">
        <v>117</v>
      </c>
      <c r="G68" s="17" t="e">
        <f>(G66/VLOOKUP(C66,#REF!,4,0))*100</f>
        <v>#REF!</v>
      </c>
      <c r="H68" s="402" t="e">
        <f>(H66/VLOOKUP($C66,#REF!,4,0))*100</f>
        <v>#REF!</v>
      </c>
      <c r="I68" s="583"/>
      <c r="J68" s="121" t="e">
        <f>(J66/VLOOKUP($C66,#REF!,4,0))*100</f>
        <v>#REF!</v>
      </c>
      <c r="K68" s="583"/>
      <c r="L68" s="121" t="e">
        <f>(L66/VLOOKUP($C66,#REF!,4,0))*100</f>
        <v>#REF!</v>
      </c>
      <c r="M68" s="583"/>
      <c r="N68" s="12"/>
      <c r="O68" s="31" t="s">
        <v>117</v>
      </c>
      <c r="P68" s="121" t="e">
        <f>(P66/VLOOKUP($C66,#REF!,4,0))*100</f>
        <v>#REF!</v>
      </c>
      <c r="Q68" s="121" t="e">
        <f>(Q66/VLOOKUP($C66,#REF!,4,0))*100</f>
        <v>#REF!</v>
      </c>
      <c r="R68" s="577"/>
      <c r="S68" s="12"/>
      <c r="T68" s="31" t="s">
        <v>117</v>
      </c>
      <c r="U68" s="17" t="e">
        <f>(U66/VLOOKUP(C66,#REF!,4,0))*100</f>
        <v>#REF!</v>
      </c>
      <c r="V68" s="577"/>
      <c r="W68" s="17" t="e">
        <f>(W66/VLOOKUP(C66,#REF!,4,0))*100</f>
        <v>#REF!</v>
      </c>
      <c r="X68" s="577"/>
      <c r="Y68" s="19"/>
      <c r="Z68" s="1"/>
      <c r="AA68" s="26"/>
      <c r="AD68" s="33" t="str">
        <f>C66&amp;F68</f>
        <v>Turkey% GDP</v>
      </c>
    </row>
    <row r="69" spans="1:30" ht="66" customHeight="1">
      <c r="A69" s="638">
        <v>0</v>
      </c>
      <c r="B69" s="638" t="s">
        <v>858</v>
      </c>
      <c r="C69" s="632" t="s">
        <v>547</v>
      </c>
      <c r="D69" s="629" t="s">
        <v>570</v>
      </c>
      <c r="F69" s="32" t="s">
        <v>115</v>
      </c>
      <c r="G69" s="81">
        <f>H69+J69</f>
        <v>15.7</v>
      </c>
      <c r="H69" s="69">
        <v>3.3</v>
      </c>
      <c r="I69" s="664" t="s">
        <v>990</v>
      </c>
      <c r="J69" s="81">
        <v>12.4</v>
      </c>
      <c r="K69" s="581" t="s">
        <v>851</v>
      </c>
      <c r="L69" s="81">
        <v>14.8</v>
      </c>
      <c r="M69" s="575" t="s">
        <v>991</v>
      </c>
      <c r="O69" s="32" t="s">
        <v>115</v>
      </c>
      <c r="P69" s="264">
        <f t="shared" ref="P69:P80" si="5">Q69+U69+W69</f>
        <v>52</v>
      </c>
      <c r="Q69" s="170"/>
      <c r="R69" s="35"/>
      <c r="T69" s="32" t="s">
        <v>115</v>
      </c>
      <c r="U69" s="81">
        <v>52</v>
      </c>
      <c r="V69" s="575" t="s">
        <v>992</v>
      </c>
      <c r="W69" s="35"/>
      <c r="X69" s="35"/>
      <c r="AD69" s="33" t="str">
        <f>C69&amp;F69</f>
        <v>BelgiumLC bn</v>
      </c>
    </row>
    <row r="70" spans="1:30" ht="99.65" customHeight="1">
      <c r="A70" s="638"/>
      <c r="B70" s="638"/>
      <c r="C70" s="632"/>
      <c r="D70" s="629"/>
      <c r="F70" s="32" t="s">
        <v>116</v>
      </c>
      <c r="G70" s="81" t="e">
        <f>G69/VLOOKUP($C69,#REF!,7,0)</f>
        <v>#REF!</v>
      </c>
      <c r="H70" s="69" t="e">
        <f>H69/VLOOKUP($C69,#REF!,7,0)</f>
        <v>#REF!</v>
      </c>
      <c r="I70" s="576"/>
      <c r="J70" s="81" t="e">
        <f>J69/VLOOKUP($C69,#REF!,7,0)</f>
        <v>#REF!</v>
      </c>
      <c r="K70" s="582"/>
      <c r="L70" s="81" t="e">
        <f>L69/VLOOKUP($C69,#REF!,7,0)</f>
        <v>#REF!</v>
      </c>
      <c r="M70" s="576"/>
      <c r="O70" s="32" t="s">
        <v>116</v>
      </c>
      <c r="P70" s="265" t="e">
        <f t="shared" si="5"/>
        <v>#REF!</v>
      </c>
      <c r="Q70" s="81"/>
      <c r="R70" s="35"/>
      <c r="T70" s="32" t="s">
        <v>116</v>
      </c>
      <c r="U70" s="81" t="e">
        <f>U69/VLOOKUP($C69,#REF!,7,0)</f>
        <v>#REF!</v>
      </c>
      <c r="V70" s="576"/>
      <c r="W70" s="35"/>
      <c r="X70" s="35"/>
      <c r="AD70" s="33" t="str">
        <f>C69&amp;F70</f>
        <v>BelgiumUSD bn</v>
      </c>
    </row>
    <row r="71" spans="1:30" ht="169.5" customHeight="1">
      <c r="A71" s="638"/>
      <c r="B71" s="638"/>
      <c r="C71" s="633"/>
      <c r="D71" s="630"/>
      <c r="F71" s="31" t="s">
        <v>117</v>
      </c>
      <c r="G71" s="17" t="e">
        <f>G69/VLOOKUP($C69,#REF!,4,0)*100</f>
        <v>#REF!</v>
      </c>
      <c r="H71" s="17" t="e">
        <f>H69/VLOOKUP($C69,#REF!,4,0)*100</f>
        <v>#REF!</v>
      </c>
      <c r="I71" s="577"/>
      <c r="J71" s="17" t="e">
        <f>J69/VLOOKUP($C69,#REF!,4,0)*100</f>
        <v>#REF!</v>
      </c>
      <c r="K71" s="583"/>
      <c r="L71" s="17" t="e">
        <f>L69/VLOOKUP($C69,#REF!,4,0)*100</f>
        <v>#REF!</v>
      </c>
      <c r="M71" s="577"/>
      <c r="O71" s="31" t="s">
        <v>117</v>
      </c>
      <c r="P71" s="267" t="e">
        <f t="shared" si="5"/>
        <v>#REF!</v>
      </c>
      <c r="Q71" s="17"/>
      <c r="R71" s="35"/>
      <c r="T71" s="31" t="s">
        <v>117</v>
      </c>
      <c r="U71" s="17" t="e">
        <f>U69/VLOOKUP($C69,#REF!,4,0)*100</f>
        <v>#REF!</v>
      </c>
      <c r="V71" s="577"/>
      <c r="W71" s="35"/>
      <c r="X71" s="35"/>
      <c r="AD71" s="33" t="str">
        <f>C69&amp;F71</f>
        <v>Belgium% GDP</v>
      </c>
    </row>
    <row r="72" spans="1:30" ht="159.65" customHeight="1">
      <c r="A72" s="638">
        <v>0</v>
      </c>
      <c r="B72" s="638" t="s">
        <v>858</v>
      </c>
      <c r="C72" s="632" t="s">
        <v>542</v>
      </c>
      <c r="D72" s="629" t="s">
        <v>570</v>
      </c>
      <c r="E72" s="15"/>
      <c r="F72" s="32" t="s">
        <v>115</v>
      </c>
      <c r="G72" s="93">
        <f>H72+J72</f>
        <v>220</v>
      </c>
      <c r="H72" s="74">
        <v>47</v>
      </c>
      <c r="I72" s="581" t="s">
        <v>717</v>
      </c>
      <c r="J72" s="93">
        <v>173</v>
      </c>
      <c r="K72" s="581" t="s">
        <v>761</v>
      </c>
      <c r="L72" s="140"/>
      <c r="M72" s="581" t="s">
        <v>718</v>
      </c>
      <c r="N72" s="14"/>
      <c r="O72" s="32" t="s">
        <v>115</v>
      </c>
      <c r="P72" s="264">
        <f t="shared" si="5"/>
        <v>830.8</v>
      </c>
      <c r="Q72" s="177">
        <v>0.8</v>
      </c>
      <c r="R72" s="581" t="s">
        <v>719</v>
      </c>
      <c r="S72" s="14"/>
      <c r="T72" s="32" t="s">
        <v>115</v>
      </c>
      <c r="U72" s="93">
        <v>830</v>
      </c>
      <c r="V72" s="575" t="s">
        <v>1162</v>
      </c>
      <c r="W72" s="93"/>
      <c r="X72" s="575"/>
      <c r="AD72" s="33" t="str">
        <f>C72&amp;F72</f>
        <v>Czech RepublicLC bn</v>
      </c>
    </row>
    <row r="73" spans="1:30" ht="182.15" customHeight="1">
      <c r="A73" s="638"/>
      <c r="B73" s="638"/>
      <c r="C73" s="632"/>
      <c r="D73" s="629"/>
      <c r="F73" s="32" t="s">
        <v>116</v>
      </c>
      <c r="G73" s="81" t="e">
        <f>G72/VLOOKUP($C72,#REF!,7,0)</f>
        <v>#REF!</v>
      </c>
      <c r="H73" s="56" t="e">
        <f>H72/VLOOKUP($C72,#REF!,7,0)</f>
        <v>#REF!</v>
      </c>
      <c r="I73" s="582"/>
      <c r="J73" s="69" t="e">
        <f>J72/VLOOKUP($C72,#REF!,7,0)</f>
        <v>#REF!</v>
      </c>
      <c r="K73" s="582"/>
      <c r="L73" s="186"/>
      <c r="M73" s="582"/>
      <c r="N73" s="36"/>
      <c r="O73" s="32" t="s">
        <v>116</v>
      </c>
      <c r="P73" s="265" t="e">
        <f t="shared" si="5"/>
        <v>#REF!</v>
      </c>
      <c r="Q73" s="178" t="e">
        <f>Q72/VLOOKUP($C72,#REF!,7,0)</f>
        <v>#REF!</v>
      </c>
      <c r="R73" s="582"/>
      <c r="S73" s="36"/>
      <c r="T73" s="32" t="s">
        <v>116</v>
      </c>
      <c r="U73" s="81" t="e">
        <f>U72/VLOOKUP($C72,#REF!,7,0)</f>
        <v>#REF!</v>
      </c>
      <c r="V73" s="576"/>
      <c r="W73" s="69"/>
      <c r="X73" s="576"/>
      <c r="AD73" s="33" t="str">
        <f>C72&amp;F73</f>
        <v>Czech RepublicUSD bn</v>
      </c>
    </row>
    <row r="74" spans="1:30" ht="165" customHeight="1">
      <c r="A74" s="638"/>
      <c r="B74" s="638"/>
      <c r="C74" s="633"/>
      <c r="D74" s="630"/>
      <c r="F74" s="31" t="s">
        <v>117</v>
      </c>
      <c r="G74" s="17" t="e">
        <f>G72/VLOOKUP($C72,#REF!,4,0)*100</f>
        <v>#REF!</v>
      </c>
      <c r="H74" s="68" t="e">
        <f>H72/VLOOKUP($C72,#REF!,4,0)*100</f>
        <v>#REF!</v>
      </c>
      <c r="I74" s="583"/>
      <c r="J74" s="17" t="e">
        <f>J72/VLOOKUP($C72,#REF!,4,0)*100</f>
        <v>#REF!</v>
      </c>
      <c r="K74" s="583"/>
      <c r="L74" s="187"/>
      <c r="M74" s="583"/>
      <c r="N74" s="12"/>
      <c r="O74" s="31" t="s">
        <v>117</v>
      </c>
      <c r="P74" s="267" t="e">
        <f t="shared" si="5"/>
        <v>#REF!</v>
      </c>
      <c r="Q74" s="168" t="e">
        <f>Q72/VLOOKUP($C72,#REF!,4,0)*100</f>
        <v>#REF!</v>
      </c>
      <c r="R74" s="583"/>
      <c r="S74" s="12"/>
      <c r="T74" s="31" t="s">
        <v>117</v>
      </c>
      <c r="U74" s="17" t="e">
        <f>U72/VLOOKUP($C72,#REF!,4,0)*100</f>
        <v>#REF!</v>
      </c>
      <c r="V74" s="577"/>
      <c r="W74" s="17"/>
      <c r="X74" s="577"/>
      <c r="AD74" s="33" t="str">
        <f>C72&amp;F74</f>
        <v>Czech Republic% GDP</v>
      </c>
    </row>
    <row r="75" spans="1:30" s="10" customFormat="1" ht="57.65" customHeight="1">
      <c r="A75" s="638">
        <v>0</v>
      </c>
      <c r="B75" s="638" t="s">
        <v>858</v>
      </c>
      <c r="C75" s="632" t="s">
        <v>19</v>
      </c>
      <c r="D75" s="629" t="s">
        <v>570</v>
      </c>
      <c r="E75" s="13"/>
      <c r="F75" s="32" t="s">
        <v>115</v>
      </c>
      <c r="G75" s="95">
        <v>131.4</v>
      </c>
      <c r="H75" s="75">
        <v>0.8</v>
      </c>
      <c r="I75" s="601" t="s">
        <v>785</v>
      </c>
      <c r="J75" s="95">
        <f>G75-H75</f>
        <v>130.6</v>
      </c>
      <c r="K75" s="581" t="s">
        <v>1140</v>
      </c>
      <c r="L75" s="95">
        <v>175.4</v>
      </c>
      <c r="M75" s="576" t="s">
        <v>1141</v>
      </c>
      <c r="O75" s="32" t="s">
        <v>115</v>
      </c>
      <c r="P75" s="264">
        <f t="shared" si="5"/>
        <v>201.20000000000002</v>
      </c>
      <c r="Q75" s="166">
        <v>58.9</v>
      </c>
      <c r="R75" s="576" t="s">
        <v>1142</v>
      </c>
      <c r="T75" s="32" t="s">
        <v>115</v>
      </c>
      <c r="U75" s="95">
        <v>142.30000000000001</v>
      </c>
      <c r="V75" s="576" t="s">
        <v>1143</v>
      </c>
      <c r="W75" s="28"/>
      <c r="X75" s="28"/>
      <c r="Y75" s="576" t="s">
        <v>109</v>
      </c>
      <c r="AA75" s="273" t="s">
        <v>611</v>
      </c>
      <c r="AD75" s="33" t="str">
        <f>C75&amp;F75</f>
        <v>DenmarkLC bn</v>
      </c>
    </row>
    <row r="76" spans="1:30" ht="104.15" customHeight="1">
      <c r="A76" s="638"/>
      <c r="B76" s="638"/>
      <c r="C76" s="632"/>
      <c r="D76" s="629"/>
      <c r="E76" s="6"/>
      <c r="F76" s="32" t="s">
        <v>116</v>
      </c>
      <c r="G76" s="81" t="e">
        <f>G75/VLOOKUP(C75,#REF!,7,0)</f>
        <v>#REF!</v>
      </c>
      <c r="H76" s="263" t="e">
        <f>H75/VLOOKUP(C75,#REF!,7,0)</f>
        <v>#REF!</v>
      </c>
      <c r="I76" s="601"/>
      <c r="J76" s="81" t="e">
        <f>J75/VLOOKUP($C75,#REF!,7,0)</f>
        <v>#REF!</v>
      </c>
      <c r="K76" s="582"/>
      <c r="L76" s="81" t="e">
        <f>L75/VLOOKUP($C75,#REF!,7,0)</f>
        <v>#REF!</v>
      </c>
      <c r="M76" s="576"/>
      <c r="N76" s="6"/>
      <c r="O76" s="32" t="s">
        <v>116</v>
      </c>
      <c r="P76" s="265" t="e">
        <f t="shared" si="5"/>
        <v>#REF!</v>
      </c>
      <c r="Q76" s="170" t="e">
        <f>Q75/VLOOKUP(C75,#REF!,7,0)</f>
        <v>#REF!</v>
      </c>
      <c r="R76" s="591"/>
      <c r="S76" s="6"/>
      <c r="T76" s="32" t="s">
        <v>116</v>
      </c>
      <c r="U76" s="81" t="e">
        <f>U75/VLOOKUP(C75,#REF!,7,0)</f>
        <v>#REF!</v>
      </c>
      <c r="V76" s="576"/>
      <c r="W76" s="28"/>
      <c r="X76" s="28"/>
      <c r="Y76" s="576"/>
      <c r="AA76" s="273" t="s">
        <v>612</v>
      </c>
      <c r="AD76" s="33" t="str">
        <f>C75&amp;F76</f>
        <v>DenmarkUSD bn</v>
      </c>
    </row>
    <row r="77" spans="1:30" ht="170.15" customHeight="1">
      <c r="A77" s="638"/>
      <c r="B77" s="638"/>
      <c r="C77" s="633"/>
      <c r="D77" s="630"/>
      <c r="E77" s="6"/>
      <c r="F77" s="32" t="s">
        <v>117</v>
      </c>
      <c r="G77" s="69" t="e">
        <f>(G75/VLOOKUP(C75,#REF!,4,0))*100</f>
        <v>#REF!</v>
      </c>
      <c r="H77" s="263" t="e">
        <f>(H75/VLOOKUP(C75,#REF!,4,0))*100</f>
        <v>#REF!</v>
      </c>
      <c r="I77" s="602"/>
      <c r="J77" s="17" t="e">
        <f>J75/VLOOKUP($C75,#REF!,4,0)*100</f>
        <v>#REF!</v>
      </c>
      <c r="K77" s="583"/>
      <c r="L77" s="17" t="e">
        <f>L75/VLOOKUP($C75,#REF!,4,0)*100</f>
        <v>#REF!</v>
      </c>
      <c r="M77" s="577"/>
      <c r="N77" s="6"/>
      <c r="O77" s="32" t="s">
        <v>117</v>
      </c>
      <c r="P77" s="267" t="e">
        <f t="shared" si="5"/>
        <v>#REF!</v>
      </c>
      <c r="Q77" s="170" t="e">
        <f>(Q75/VLOOKUP(C75,#REF!,4,0))*100</f>
        <v>#REF!</v>
      </c>
      <c r="R77" s="592"/>
      <c r="S77" s="6"/>
      <c r="T77" s="32" t="s">
        <v>117</v>
      </c>
      <c r="U77" s="69" t="e">
        <f>(U75/VLOOKUP(C75,#REF!,4,0))*100</f>
        <v>#REF!</v>
      </c>
      <c r="V77" s="577"/>
      <c r="W77" s="28"/>
      <c r="X77" s="28"/>
      <c r="Y77" s="577"/>
      <c r="AA77" s="273" t="s">
        <v>613</v>
      </c>
      <c r="AD77" s="33" t="str">
        <f>C75&amp;F77</f>
        <v>Denmark% GDP</v>
      </c>
    </row>
    <row r="78" spans="1:30" s="15" customFormat="1" ht="50.15" customHeight="1">
      <c r="A78" s="638">
        <v>0</v>
      </c>
      <c r="B78" s="638" t="s">
        <v>858</v>
      </c>
      <c r="C78" s="632" t="s">
        <v>20</v>
      </c>
      <c r="D78" s="629" t="s">
        <v>570</v>
      </c>
      <c r="F78" s="37" t="s">
        <v>115</v>
      </c>
      <c r="G78" s="53">
        <f>H78+J78</f>
        <v>6.9590000000000005</v>
      </c>
      <c r="H78" s="53">
        <v>1.4610000000000001</v>
      </c>
      <c r="I78" s="575" t="s">
        <v>714</v>
      </c>
      <c r="J78" s="272">
        <v>5.4980000000000002</v>
      </c>
      <c r="K78" s="575" t="s">
        <v>741</v>
      </c>
      <c r="L78" s="291">
        <v>5.25</v>
      </c>
      <c r="M78" s="600" t="s">
        <v>715</v>
      </c>
      <c r="O78" s="37" t="s">
        <v>115</v>
      </c>
      <c r="P78" s="264">
        <f t="shared" si="5"/>
        <v>16.32</v>
      </c>
      <c r="Q78" s="169">
        <f>0.85+0.5+1.07</f>
        <v>2.42</v>
      </c>
      <c r="R78" s="581" t="s">
        <v>716</v>
      </c>
      <c r="T78" s="37" t="s">
        <v>115</v>
      </c>
      <c r="U78" s="83">
        <v>12.9</v>
      </c>
      <c r="V78" s="575" t="s">
        <v>609</v>
      </c>
      <c r="W78" s="53">
        <v>1</v>
      </c>
      <c r="X78" s="575" t="s">
        <v>230</v>
      </c>
      <c r="Y78" s="575" t="s">
        <v>233</v>
      </c>
      <c r="AA78" s="116" t="s">
        <v>46</v>
      </c>
      <c r="AD78" s="33" t="str">
        <f>C78&amp;F78</f>
        <v>FinlandLC bn</v>
      </c>
    </row>
    <row r="79" spans="1:30" s="3" customFormat="1" ht="72" customHeight="1">
      <c r="A79" s="638"/>
      <c r="B79" s="638"/>
      <c r="C79" s="632"/>
      <c r="D79" s="629"/>
      <c r="F79" s="32" t="s">
        <v>116</v>
      </c>
      <c r="G79" s="69" t="e">
        <f>G78/VLOOKUP(C78,#REF!,7,0)</f>
        <v>#REF!</v>
      </c>
      <c r="H79" s="69" t="e">
        <f>H78/VLOOKUP($C78,#REF!,7,0)</f>
        <v>#REF!</v>
      </c>
      <c r="I79" s="591"/>
      <c r="J79" s="69" t="e">
        <f>J78/VLOOKUP($C78,#REF!,7,0)</f>
        <v>#REF!</v>
      </c>
      <c r="K79" s="576"/>
      <c r="L79" s="247" t="e">
        <f>L78/VLOOKUP($C78,#REF!,7,0)</f>
        <v>#REF!</v>
      </c>
      <c r="M79" s="601"/>
      <c r="O79" s="32" t="s">
        <v>116</v>
      </c>
      <c r="P79" s="265" t="e">
        <f t="shared" si="5"/>
        <v>#REF!</v>
      </c>
      <c r="Q79" s="170" t="e">
        <f>Q78/VLOOKUP(C78,#REF!,7,0)</f>
        <v>#REF!</v>
      </c>
      <c r="R79" s="582"/>
      <c r="T79" s="32" t="s">
        <v>116</v>
      </c>
      <c r="U79" s="81" t="e">
        <f>U78/VLOOKUP(C78,#REF!,7,0)</f>
        <v>#REF!</v>
      </c>
      <c r="V79" s="576"/>
      <c r="W79" s="56" t="e">
        <f>W78/VLOOKUP($C78,#REF!,7,0)</f>
        <v>#REF!</v>
      </c>
      <c r="X79" s="576"/>
      <c r="Y79" s="577"/>
      <c r="AA79" s="117"/>
      <c r="AD79" s="33" t="str">
        <f>C78&amp;F79</f>
        <v>FinlandUSD bn</v>
      </c>
    </row>
    <row r="80" spans="1:30" ht="117.65" customHeight="1">
      <c r="A80" s="638"/>
      <c r="B80" s="638"/>
      <c r="C80" s="633"/>
      <c r="D80" s="630"/>
      <c r="E80" s="12"/>
      <c r="F80" s="31" t="s">
        <v>117</v>
      </c>
      <c r="G80" s="17" t="e">
        <f>(G78/VLOOKUP(C78,#REF!,4,0))*100</f>
        <v>#REF!</v>
      </c>
      <c r="H80" s="17" t="e">
        <f>(H78/VLOOKUP($C78,#REF!,4,0))*100</f>
        <v>#REF!</v>
      </c>
      <c r="I80" s="592"/>
      <c r="J80" s="17" t="e">
        <f>J78/VLOOKUP($C78,#REF!,4,0)*100</f>
        <v>#REF!</v>
      </c>
      <c r="K80" s="577"/>
      <c r="L80" s="246" t="e">
        <f>(L78/VLOOKUP($C78,#REF!,4,0))*100</f>
        <v>#REF!</v>
      </c>
      <c r="M80" s="602"/>
      <c r="N80" s="12"/>
      <c r="O80" s="31" t="s">
        <v>117</v>
      </c>
      <c r="P80" s="267" t="e">
        <f t="shared" si="5"/>
        <v>#REF!</v>
      </c>
      <c r="Q80" s="168" t="e">
        <f>(Q78/VLOOKUP(C78,#REF!,4,0))*100</f>
        <v>#REF!</v>
      </c>
      <c r="R80" s="583"/>
      <c r="S80" s="12"/>
      <c r="T80" s="31" t="s">
        <v>117</v>
      </c>
      <c r="U80" s="17" t="e">
        <f>(U78/VLOOKUP(C78,#REF!,4,0))*100</f>
        <v>#REF!</v>
      </c>
      <c r="V80" s="577"/>
      <c r="W80" s="68" t="e">
        <f>(W78/VLOOKUP($C78,#REF!,4,0))*100</f>
        <v>#REF!</v>
      </c>
      <c r="X80" s="577"/>
      <c r="Y80" s="20" t="s">
        <v>234</v>
      </c>
      <c r="Z80" s="1"/>
      <c r="AA80" s="118"/>
      <c r="AD80" s="33" t="str">
        <f>C78&amp;F80</f>
        <v>Finland% GDP</v>
      </c>
    </row>
    <row r="81" spans="1:30" ht="105" customHeight="1">
      <c r="A81" s="638">
        <v>0</v>
      </c>
      <c r="B81" s="638" t="s">
        <v>858</v>
      </c>
      <c r="C81" s="632" t="s">
        <v>184</v>
      </c>
      <c r="D81" s="628" t="s">
        <v>570</v>
      </c>
      <c r="E81" s="14"/>
      <c r="F81" s="37" t="s">
        <v>115</v>
      </c>
      <c r="G81" s="93">
        <f>H81+J81</f>
        <v>36.599999999999994</v>
      </c>
      <c r="H81" s="69">
        <v>2.2999999999999998</v>
      </c>
      <c r="I81" s="575" t="s">
        <v>599</v>
      </c>
      <c r="J81" s="93">
        <v>34.299999999999997</v>
      </c>
      <c r="K81" s="575" t="s">
        <v>997</v>
      </c>
      <c r="L81" s="93">
        <v>27</v>
      </c>
      <c r="M81" s="575" t="s">
        <v>998</v>
      </c>
      <c r="N81" s="14"/>
      <c r="O81" s="32" t="s">
        <v>115</v>
      </c>
      <c r="P81" s="93">
        <f>Q81+U81+W81</f>
        <v>33</v>
      </c>
      <c r="Q81" s="177"/>
      <c r="R81" s="575"/>
      <c r="S81" s="14"/>
      <c r="T81" s="32" t="s">
        <v>115</v>
      </c>
      <c r="U81" s="93">
        <v>33</v>
      </c>
      <c r="V81" s="575" t="s">
        <v>600</v>
      </c>
      <c r="W81" s="18"/>
      <c r="X81" s="18"/>
      <c r="Y81" s="575" t="s">
        <v>110</v>
      </c>
      <c r="Z81" s="14"/>
      <c r="AA81" s="605" t="s">
        <v>47</v>
      </c>
      <c r="AD81" s="33" t="str">
        <f>C81&amp;F81</f>
        <v>The NetherlandsLC bn</v>
      </c>
    </row>
    <row r="82" spans="1:30" ht="101.5" customHeight="1">
      <c r="A82" s="638"/>
      <c r="B82" s="638"/>
      <c r="C82" s="632"/>
      <c r="D82" s="629"/>
      <c r="E82" s="36"/>
      <c r="F82" s="32" t="s">
        <v>116</v>
      </c>
      <c r="G82" s="81" t="e">
        <f>G81/VLOOKUP(C81,#REF!,7,0)</f>
        <v>#REF!</v>
      </c>
      <c r="H82" s="69" t="e">
        <f>H81/VLOOKUP($C81,#REF!,7,0)</f>
        <v>#REF!</v>
      </c>
      <c r="I82" s="591"/>
      <c r="J82" s="81" t="e">
        <f>J81/VLOOKUP($C81,#REF!,7,0)</f>
        <v>#REF!</v>
      </c>
      <c r="K82" s="576"/>
      <c r="L82" s="81" t="e">
        <f>L81/VLOOKUP($C81,#REF!,7,0)</f>
        <v>#REF!</v>
      </c>
      <c r="M82" s="576"/>
      <c r="N82" s="36"/>
      <c r="O82" s="32" t="s">
        <v>116</v>
      </c>
      <c r="P82" s="95" t="e">
        <f>P81/VLOOKUP($C81,#REF!,7,0)</f>
        <v>#REF!</v>
      </c>
      <c r="Q82" s="178"/>
      <c r="R82" s="576"/>
      <c r="S82" s="36"/>
      <c r="T82" s="32" t="s">
        <v>116</v>
      </c>
      <c r="U82" s="95" t="e">
        <f>U81/VLOOKUP($C81,#REF!,7,0)</f>
        <v>#REF!</v>
      </c>
      <c r="V82" s="576"/>
      <c r="W82" s="28"/>
      <c r="X82" s="28"/>
      <c r="Y82" s="576"/>
      <c r="Z82" s="36"/>
      <c r="AA82" s="606"/>
      <c r="AD82" s="33" t="str">
        <f>C81&amp;F82</f>
        <v>The NetherlandsUSD bn</v>
      </c>
    </row>
    <row r="83" spans="1:30" ht="105" customHeight="1">
      <c r="A83" s="638"/>
      <c r="B83" s="638"/>
      <c r="C83" s="633"/>
      <c r="D83" s="630"/>
      <c r="E83" s="12"/>
      <c r="F83" s="31" t="s">
        <v>117</v>
      </c>
      <c r="G83" s="17" t="e">
        <f>(G81/VLOOKUP(C81,#REF!,4,0))*100</f>
        <v>#REF!</v>
      </c>
      <c r="H83" s="17" t="e">
        <f>(H81/VLOOKUP($C81,#REF!,4,0))*100</f>
        <v>#REF!</v>
      </c>
      <c r="I83" s="592"/>
      <c r="J83" s="17" t="e">
        <f>J81/VLOOKUP($C81,#REF!,4,0)*100</f>
        <v>#REF!</v>
      </c>
      <c r="K83" s="577"/>
      <c r="L83" s="17" t="e">
        <f>L81/VLOOKUP($C81,#REF!,4,0)*100</f>
        <v>#REF!</v>
      </c>
      <c r="M83" s="577"/>
      <c r="N83" s="12"/>
      <c r="O83" s="31" t="s">
        <v>117</v>
      </c>
      <c r="P83" s="17" t="e">
        <f>P81/VLOOKUP($C81,#REF!,4,0)*100</f>
        <v>#REF!</v>
      </c>
      <c r="Q83" s="168"/>
      <c r="R83" s="577"/>
      <c r="S83" s="12"/>
      <c r="T83" s="31" t="s">
        <v>117</v>
      </c>
      <c r="U83" s="68" t="e">
        <f>U81/VLOOKUP($C81,#REF!,4,0)*100</f>
        <v>#REF!</v>
      </c>
      <c r="V83" s="577"/>
      <c r="W83" s="19"/>
      <c r="X83" s="19"/>
      <c r="Y83" s="577"/>
      <c r="Z83" s="1"/>
      <c r="AA83" s="607"/>
      <c r="AD83" s="33" t="str">
        <f>C81&amp;F83</f>
        <v>The Netherlands% GDP</v>
      </c>
    </row>
    <row r="84" spans="1:30" ht="130" customHeight="1">
      <c r="A84" s="638">
        <v>0</v>
      </c>
      <c r="B84" s="638" t="s">
        <v>858</v>
      </c>
      <c r="C84" s="632" t="s">
        <v>553</v>
      </c>
      <c r="D84" s="629" t="s">
        <v>571</v>
      </c>
      <c r="E84" s="14"/>
      <c r="F84" s="37" t="s">
        <v>115</v>
      </c>
      <c r="G84" s="81">
        <v>62.1</v>
      </c>
      <c r="H84" s="190">
        <v>0.8</v>
      </c>
      <c r="I84" s="575" t="s">
        <v>601</v>
      </c>
      <c r="J84" s="98">
        <f>G84-H84</f>
        <v>61.300000000000004</v>
      </c>
      <c r="K84" s="634" t="s">
        <v>1135</v>
      </c>
      <c r="L84" s="193"/>
      <c r="M84" s="193"/>
      <c r="N84" s="6"/>
      <c r="O84" s="32" t="s">
        <v>115</v>
      </c>
      <c r="P84" s="93">
        <f t="shared" ref="P84:P110" si="6">Q84+U84+W84</f>
        <v>12.35</v>
      </c>
      <c r="Q84" s="271">
        <v>6.1</v>
      </c>
      <c r="R84" s="575" t="s">
        <v>735</v>
      </c>
      <c r="S84" s="6"/>
      <c r="T84" s="32" t="s">
        <v>115</v>
      </c>
      <c r="U84" s="56">
        <v>6.25</v>
      </c>
      <c r="V84" s="575" t="s">
        <v>565</v>
      </c>
      <c r="W84" s="28"/>
      <c r="X84" s="619"/>
      <c r="Y84" s="28"/>
      <c r="AA84" s="27"/>
      <c r="AD84" s="33" t="str">
        <f>C84&amp;F84</f>
        <v>New ZealandLC bn</v>
      </c>
    </row>
    <row r="85" spans="1:30" ht="131.5" customHeight="1">
      <c r="A85" s="638"/>
      <c r="B85" s="638"/>
      <c r="C85" s="632"/>
      <c r="D85" s="629"/>
      <c r="E85" s="36"/>
      <c r="F85" s="32" t="s">
        <v>116</v>
      </c>
      <c r="G85" s="81" t="e">
        <f>G84/VLOOKUP($C84,#REF!,7,0)</f>
        <v>#REF!</v>
      </c>
      <c r="H85" s="69" t="e">
        <f>H84/VLOOKUP($C84,#REF!,7,0)</f>
        <v>#REF!</v>
      </c>
      <c r="I85" s="591"/>
      <c r="J85" s="81" t="e">
        <f>J84/VLOOKUP($C84,#REF!,7,0)</f>
        <v>#REF!</v>
      </c>
      <c r="K85" s="582"/>
      <c r="L85" s="193"/>
      <c r="M85" s="193"/>
      <c r="N85" s="6"/>
      <c r="O85" s="32" t="s">
        <v>116</v>
      </c>
      <c r="P85" s="56" t="e">
        <f t="shared" si="6"/>
        <v>#REF!</v>
      </c>
      <c r="Q85" s="69" t="e">
        <f>Q84/VLOOKUP($C84,#REF!,7,0)</f>
        <v>#REF!</v>
      </c>
      <c r="R85" s="576"/>
      <c r="S85" s="6"/>
      <c r="T85" s="32" t="s">
        <v>116</v>
      </c>
      <c r="U85" s="69" t="e">
        <f>U84/VLOOKUP($C84,#REF!,7,0)</f>
        <v>#REF!</v>
      </c>
      <c r="V85" s="576"/>
      <c r="W85" s="28"/>
      <c r="X85" s="620"/>
      <c r="Y85" s="28"/>
      <c r="AA85" s="27"/>
      <c r="AD85" s="33" t="str">
        <f>C84&amp;F85</f>
        <v>New ZealandUSD bn</v>
      </c>
    </row>
    <row r="86" spans="1:30" ht="111.65" customHeight="1">
      <c r="A86" s="638"/>
      <c r="B86" s="638"/>
      <c r="C86" s="633"/>
      <c r="D86" s="630"/>
      <c r="E86" s="12"/>
      <c r="F86" s="31" t="s">
        <v>117</v>
      </c>
      <c r="G86" s="17" t="e">
        <f>(G84/VLOOKUP($C84,#REF!,4,0))*100</f>
        <v>#REF!</v>
      </c>
      <c r="H86" s="17" t="e">
        <f>(H84/VLOOKUP($C84,#REF!,4,0))*100</f>
        <v>#REF!</v>
      </c>
      <c r="I86" s="592"/>
      <c r="J86" s="17" t="e">
        <f>(J84/VLOOKUP($C84,#REF!,4,0))*100</f>
        <v>#REF!</v>
      </c>
      <c r="K86" s="583"/>
      <c r="L86" s="193"/>
      <c r="M86" s="193"/>
      <c r="N86" s="6"/>
      <c r="O86" s="31" t="s">
        <v>117</v>
      </c>
      <c r="P86" s="17" t="e">
        <f t="shared" si="6"/>
        <v>#REF!</v>
      </c>
      <c r="Q86" s="17" t="e">
        <f>(Q84/VLOOKUP($C84,#REF!,4,0))*100</f>
        <v>#REF!</v>
      </c>
      <c r="R86" s="577"/>
      <c r="S86" s="6"/>
      <c r="T86" s="31" t="s">
        <v>117</v>
      </c>
      <c r="U86" s="17" t="e">
        <f>(U84/VLOOKUP($C84,#REF!,4,0))*100</f>
        <v>#REF!</v>
      </c>
      <c r="V86" s="577"/>
      <c r="W86" s="28"/>
      <c r="X86" s="621"/>
      <c r="Y86" s="28"/>
      <c r="AA86" s="27"/>
      <c r="AD86" s="33" t="str">
        <f>C84&amp;F86</f>
        <v>New Zealand% GDP</v>
      </c>
    </row>
    <row r="87" spans="1:30" s="36" customFormat="1" ht="93" customHeight="1">
      <c r="A87" s="638">
        <v>0</v>
      </c>
      <c r="B87" s="638" t="s">
        <v>858</v>
      </c>
      <c r="C87" s="632" t="s">
        <v>36</v>
      </c>
      <c r="D87" s="629" t="s">
        <v>571</v>
      </c>
      <c r="E87" s="14"/>
      <c r="F87" s="37" t="s">
        <v>115</v>
      </c>
      <c r="G87" s="93">
        <v>162</v>
      </c>
      <c r="H87" s="74" t="s">
        <v>84</v>
      </c>
      <c r="I87" s="575" t="s">
        <v>786</v>
      </c>
      <c r="J87" s="74" t="s">
        <v>84</v>
      </c>
      <c r="K87" s="575" t="s">
        <v>787</v>
      </c>
      <c r="L87" s="74" t="s">
        <v>84</v>
      </c>
      <c r="M87" s="575" t="s">
        <v>626</v>
      </c>
      <c r="N87" s="14"/>
      <c r="O87" s="32" t="s">
        <v>115</v>
      </c>
      <c r="P87" s="93">
        <f t="shared" si="6"/>
        <v>179.6</v>
      </c>
      <c r="Q87" s="175">
        <v>50</v>
      </c>
      <c r="R87" s="575" t="s">
        <v>336</v>
      </c>
      <c r="S87" s="14"/>
      <c r="T87" s="32" t="s">
        <v>115</v>
      </c>
      <c r="U87" s="93">
        <v>129.6</v>
      </c>
      <c r="V87" s="575" t="s">
        <v>581</v>
      </c>
      <c r="W87" s="18"/>
      <c r="X87" s="18"/>
      <c r="Y87" s="575" t="s">
        <v>127</v>
      </c>
      <c r="Z87" s="14"/>
      <c r="AA87" s="605" t="s">
        <v>48</v>
      </c>
      <c r="AD87" s="33" t="str">
        <f>C87&amp;F87</f>
        <v>NorwayLC bn</v>
      </c>
    </row>
    <row r="88" spans="1:30" s="36" customFormat="1" ht="70" customHeight="1">
      <c r="A88" s="638"/>
      <c r="B88" s="638"/>
      <c r="C88" s="632"/>
      <c r="D88" s="629"/>
      <c r="F88" s="32" t="s">
        <v>116</v>
      </c>
      <c r="G88" s="81" t="e">
        <f>G87/VLOOKUP(C87,#REF!,7,0)</f>
        <v>#REF!</v>
      </c>
      <c r="H88" s="30"/>
      <c r="I88" s="576"/>
      <c r="J88" s="75"/>
      <c r="K88" s="576"/>
      <c r="L88" s="28"/>
      <c r="M88" s="576"/>
      <c r="O88" s="32" t="s">
        <v>116</v>
      </c>
      <c r="P88" s="95" t="e">
        <f t="shared" si="6"/>
        <v>#REF!</v>
      </c>
      <c r="Q88" s="180" t="e">
        <f>Q87/VLOOKUP(C87,#REF!,7,0)</f>
        <v>#REF!</v>
      </c>
      <c r="R88" s="576"/>
      <c r="T88" s="32" t="s">
        <v>116</v>
      </c>
      <c r="U88" s="95" t="e">
        <f>U87/VLOOKUP(C87,#REF!,7,0)</f>
        <v>#REF!</v>
      </c>
      <c r="V88" s="576"/>
      <c r="W88" s="28"/>
      <c r="X88" s="28"/>
      <c r="Y88" s="576"/>
      <c r="AA88" s="606"/>
      <c r="AD88" s="33" t="str">
        <f>C87&amp;F88</f>
        <v>NorwayUSD bn</v>
      </c>
    </row>
    <row r="89" spans="1:30" ht="70" customHeight="1">
      <c r="A89" s="638"/>
      <c r="B89" s="638"/>
      <c r="C89" s="633"/>
      <c r="D89" s="630"/>
      <c r="E89" s="12"/>
      <c r="F89" s="31" t="s">
        <v>117</v>
      </c>
      <c r="G89" s="17" t="e">
        <f>((G87/#REF!))*100</f>
        <v>#REF!</v>
      </c>
      <c r="H89" s="78"/>
      <c r="I89" s="577"/>
      <c r="J89" s="68"/>
      <c r="K89" s="577"/>
      <c r="L89" s="19"/>
      <c r="M89" s="577"/>
      <c r="N89" s="12"/>
      <c r="O89" s="31" t="s">
        <v>117</v>
      </c>
      <c r="P89" s="82" t="e">
        <f t="shared" si="6"/>
        <v>#REF!</v>
      </c>
      <c r="Q89" s="174" t="e">
        <f>((Q87/#REF!))*100</f>
        <v>#REF!</v>
      </c>
      <c r="R89" s="577"/>
      <c r="S89" s="12"/>
      <c r="T89" s="31" t="s">
        <v>117</v>
      </c>
      <c r="U89" s="17" t="e">
        <f>((U87/#REF!))*100</f>
        <v>#REF!</v>
      </c>
      <c r="V89" s="577"/>
      <c r="W89" s="19"/>
      <c r="X89" s="19"/>
      <c r="Y89" s="577"/>
      <c r="Z89" s="1"/>
      <c r="AA89" s="607"/>
      <c r="AD89" s="33" t="str">
        <f>C87&amp;F89</f>
        <v>Norway% GDP</v>
      </c>
    </row>
    <row r="90" spans="1:30" s="36" customFormat="1" ht="75" customHeight="1">
      <c r="A90" s="638">
        <v>0</v>
      </c>
      <c r="B90" s="638" t="s">
        <v>858</v>
      </c>
      <c r="C90" s="632" t="s">
        <v>31</v>
      </c>
      <c r="D90" s="629" t="s">
        <v>571</v>
      </c>
      <c r="E90" s="14"/>
      <c r="F90" s="37" t="s">
        <v>115</v>
      </c>
      <c r="G90" s="93">
        <f>H90+J90</f>
        <v>72.8</v>
      </c>
      <c r="H90" s="74">
        <v>0.8</v>
      </c>
      <c r="I90" s="575" t="s">
        <v>627</v>
      </c>
      <c r="J90" s="93">
        <v>72</v>
      </c>
      <c r="K90" s="575" t="s">
        <v>863</v>
      </c>
      <c r="L90" s="18"/>
      <c r="M90" s="18"/>
      <c r="N90" s="14"/>
      <c r="O90" s="32" t="s">
        <v>115</v>
      </c>
      <c r="P90" s="93">
        <f t="shared" si="6"/>
        <v>20</v>
      </c>
      <c r="Q90" s="175">
        <v>20</v>
      </c>
      <c r="R90" s="575" t="s">
        <v>724</v>
      </c>
      <c r="S90" s="14"/>
      <c r="T90" s="32" t="s">
        <v>115</v>
      </c>
      <c r="U90" s="53"/>
      <c r="V90" s="575"/>
      <c r="W90" s="18"/>
      <c r="X90" s="18"/>
      <c r="Y90" s="18"/>
      <c r="Z90" s="14"/>
      <c r="AA90" s="18"/>
      <c r="AD90" s="33" t="str">
        <f>C90&amp;F90</f>
        <v>SingaporeLC bn</v>
      </c>
    </row>
    <row r="91" spans="1:30" s="10" customFormat="1" ht="75" customHeight="1">
      <c r="A91" s="638"/>
      <c r="B91" s="638"/>
      <c r="C91" s="632"/>
      <c r="D91" s="629"/>
      <c r="E91" s="36"/>
      <c r="F91" s="32" t="s">
        <v>116</v>
      </c>
      <c r="G91" s="81" t="e">
        <f>G90/VLOOKUP(C90,#REF!,7,0)</f>
        <v>#REF!</v>
      </c>
      <c r="H91" s="69" t="e">
        <f>H90/VLOOKUP($C90,#REF!,7,0)</f>
        <v>#REF!</v>
      </c>
      <c r="I91" s="576"/>
      <c r="J91" s="81" t="e">
        <f>J90/VLOOKUP($C90,#REF!,7,0)</f>
        <v>#REF!</v>
      </c>
      <c r="K91" s="576"/>
      <c r="L91" s="28"/>
      <c r="M91" s="28"/>
      <c r="N91" s="36"/>
      <c r="O91" s="32" t="s">
        <v>116</v>
      </c>
      <c r="P91" s="95" t="e">
        <f t="shared" si="6"/>
        <v>#REF!</v>
      </c>
      <c r="Q91" s="167" t="e">
        <f>Q90/VLOOKUP(C90,#REF!,7,0)</f>
        <v>#REF!</v>
      </c>
      <c r="R91" s="576"/>
      <c r="S91" s="36"/>
      <c r="T91" s="32" t="s">
        <v>116</v>
      </c>
      <c r="U91" s="56"/>
      <c r="V91" s="576"/>
      <c r="W91" s="28"/>
      <c r="X91" s="28"/>
      <c r="Y91" s="28"/>
      <c r="Z91" s="36"/>
      <c r="AA91" s="28"/>
      <c r="AD91" s="33" t="str">
        <f>C90&amp;F91</f>
        <v>SingaporeUSD bn</v>
      </c>
    </row>
    <row r="92" spans="1:30" ht="75" customHeight="1">
      <c r="A92" s="638"/>
      <c r="B92" s="638"/>
      <c r="C92" s="633"/>
      <c r="D92" s="630"/>
      <c r="E92" s="6"/>
      <c r="F92" s="32" t="s">
        <v>117</v>
      </c>
      <c r="G92" s="69" t="e">
        <f>(G90/VLOOKUP(C90,#REF!,4,0))*100</f>
        <v>#REF!</v>
      </c>
      <c r="H92" s="17" t="e">
        <f>(H90/VLOOKUP($C90,#REF!,4,0))*100</f>
        <v>#REF!</v>
      </c>
      <c r="I92" s="577"/>
      <c r="J92" s="17" t="e">
        <f>J90/VLOOKUP($C90,#REF!,4,0)*100</f>
        <v>#REF!</v>
      </c>
      <c r="K92" s="577"/>
      <c r="L92" s="28"/>
      <c r="M92" s="28"/>
      <c r="N92" s="6"/>
      <c r="O92" s="32" t="s">
        <v>117</v>
      </c>
      <c r="P92" s="17" t="e">
        <f t="shared" si="6"/>
        <v>#REF!</v>
      </c>
      <c r="Q92" s="170" t="e">
        <f>(Q90/VLOOKUP(C90,#REF!,4,0))*100</f>
        <v>#REF!</v>
      </c>
      <c r="R92" s="577"/>
      <c r="S92" s="6"/>
      <c r="T92" s="32" t="s">
        <v>117</v>
      </c>
      <c r="U92" s="69"/>
      <c r="V92" s="577"/>
      <c r="W92" s="28"/>
      <c r="X92" s="28"/>
      <c r="Y92" s="28"/>
      <c r="AA92" s="27"/>
      <c r="AD92" s="33" t="str">
        <f>C90&amp;F92</f>
        <v>Singapore% GDP</v>
      </c>
    </row>
    <row r="93" spans="1:30" s="15" customFormat="1" ht="70" customHeight="1">
      <c r="A93" s="638">
        <v>0</v>
      </c>
      <c r="B93" s="638" t="s">
        <v>858</v>
      </c>
      <c r="C93" s="632" t="s">
        <v>21</v>
      </c>
      <c r="D93" s="628" t="s">
        <v>571</v>
      </c>
      <c r="F93" s="37" t="s">
        <v>115</v>
      </c>
      <c r="G93" s="93">
        <v>258.7</v>
      </c>
      <c r="H93" s="74">
        <v>8.1999999999999993</v>
      </c>
      <c r="I93" s="600" t="s">
        <v>1144</v>
      </c>
      <c r="J93" s="80">
        <f>217.5+33</f>
        <v>250.5</v>
      </c>
      <c r="K93" s="575" t="s">
        <v>1145</v>
      </c>
      <c r="L93" s="74">
        <v>315</v>
      </c>
      <c r="M93" s="639" t="s">
        <v>1146</v>
      </c>
      <c r="O93" s="37" t="s">
        <v>115</v>
      </c>
      <c r="P93" s="93">
        <f t="shared" si="6"/>
        <v>238.3</v>
      </c>
      <c r="Q93" s="169">
        <v>8.3000000000000007</v>
      </c>
      <c r="R93" s="575" t="s">
        <v>1147</v>
      </c>
      <c r="T93" s="37" t="s">
        <v>115</v>
      </c>
      <c r="U93" s="80">
        <v>230</v>
      </c>
      <c r="V93" s="575" t="s">
        <v>659</v>
      </c>
      <c r="W93" s="18"/>
      <c r="X93" s="18"/>
      <c r="Y93" s="22"/>
      <c r="AA93" s="18"/>
      <c r="AD93" s="33" t="str">
        <f>C93&amp;F93</f>
        <v>SwedenLC bn</v>
      </c>
    </row>
    <row r="94" spans="1:30" s="36" customFormat="1" ht="70" customHeight="1">
      <c r="A94" s="638"/>
      <c r="B94" s="638"/>
      <c r="C94" s="632"/>
      <c r="D94" s="629"/>
      <c r="E94" s="3"/>
      <c r="F94" s="32" t="s">
        <v>116</v>
      </c>
      <c r="G94" s="81" t="e">
        <f>G93/VLOOKUP($C93,#REF!,7,0)</f>
        <v>#REF!</v>
      </c>
      <c r="H94" s="69" t="e">
        <f>H93/VLOOKUP($C93,#REF!,7,0)</f>
        <v>#REF!</v>
      </c>
      <c r="I94" s="601"/>
      <c r="J94" s="81" t="e">
        <f>J93/VLOOKUP($C93,#REF!,7,0)</f>
        <v>#REF!</v>
      </c>
      <c r="K94" s="576"/>
      <c r="L94" s="95" t="e">
        <f>L93/VLOOKUP(C93,#REF!,7,0)</f>
        <v>#REF!</v>
      </c>
      <c r="M94" s="576"/>
      <c r="N94" s="3"/>
      <c r="O94" s="32" t="s">
        <v>116</v>
      </c>
      <c r="P94" s="95" t="e">
        <f t="shared" si="6"/>
        <v>#REF!</v>
      </c>
      <c r="Q94" s="81"/>
      <c r="R94" s="576"/>
      <c r="S94" s="3"/>
      <c r="T94" s="32" t="s">
        <v>116</v>
      </c>
      <c r="U94" s="81" t="e">
        <f>U93/VLOOKUP($C93,#REF!,7,0)</f>
        <v>#REF!</v>
      </c>
      <c r="V94" s="576"/>
      <c r="W94" s="28"/>
      <c r="X94" s="28"/>
      <c r="Y94" s="35"/>
      <c r="Z94" s="3"/>
      <c r="AA94" s="28"/>
      <c r="AD94" s="33" t="str">
        <f>C93&amp;F94</f>
        <v>SwedenUSD bn</v>
      </c>
    </row>
    <row r="95" spans="1:30" ht="78" customHeight="1">
      <c r="A95" s="638"/>
      <c r="B95" s="638"/>
      <c r="C95" s="633"/>
      <c r="D95" s="630"/>
      <c r="E95" s="12"/>
      <c r="F95" s="31" t="s">
        <v>117</v>
      </c>
      <c r="G95" s="17" t="e">
        <f>(G93/VLOOKUP($C93,#REF!,4,0))*100</f>
        <v>#REF!</v>
      </c>
      <c r="H95" s="17" t="e">
        <f>(H93/VLOOKUP($C93,#REF!,4,0))*100</f>
        <v>#REF!</v>
      </c>
      <c r="I95" s="602"/>
      <c r="J95" s="17" t="e">
        <f>(J93/VLOOKUP($C93,#REF!,4,0))*100</f>
        <v>#REF!</v>
      </c>
      <c r="K95" s="577"/>
      <c r="L95" s="68" t="e">
        <f>(L93/VLOOKUP(C93,#REF!,4,0))*100</f>
        <v>#REF!</v>
      </c>
      <c r="M95" s="577"/>
      <c r="N95" s="12"/>
      <c r="O95" s="31" t="s">
        <v>117</v>
      </c>
      <c r="P95" s="17" t="e">
        <f t="shared" si="6"/>
        <v>#REF!</v>
      </c>
      <c r="Q95" s="17"/>
      <c r="R95" s="577"/>
      <c r="S95" s="12"/>
      <c r="T95" s="31" t="s">
        <v>117</v>
      </c>
      <c r="U95" s="17" t="e">
        <f>(U93/VLOOKUP($C93,#REF!,4,0))*100</f>
        <v>#REF!</v>
      </c>
      <c r="V95" s="577"/>
      <c r="W95" s="19"/>
      <c r="X95" s="19"/>
      <c r="Y95" s="19"/>
      <c r="Z95" s="1"/>
      <c r="AA95" s="26"/>
      <c r="AD95" s="33" t="str">
        <f>C93&amp;F95</f>
        <v>Sweden% GDP</v>
      </c>
    </row>
    <row r="96" spans="1:30" ht="54.65" customHeight="1">
      <c r="A96" s="638">
        <v>0</v>
      </c>
      <c r="B96" s="638" t="s">
        <v>858</v>
      </c>
      <c r="C96" s="632" t="s">
        <v>558</v>
      </c>
      <c r="D96" s="628" t="s">
        <v>571</v>
      </c>
      <c r="E96" s="15"/>
      <c r="F96" s="37" t="s">
        <v>115</v>
      </c>
      <c r="G96" s="81">
        <f>H96+J96</f>
        <v>31.6</v>
      </c>
      <c r="H96" s="190">
        <v>2.6</v>
      </c>
      <c r="I96" s="575" t="s">
        <v>1148</v>
      </c>
      <c r="J96" s="95">
        <v>29</v>
      </c>
      <c r="K96" s="575" t="s">
        <v>1150</v>
      </c>
      <c r="L96" s="247"/>
      <c r="M96" s="575"/>
      <c r="N96" s="6"/>
      <c r="O96" s="37" t="s">
        <v>115</v>
      </c>
      <c r="P96" s="93">
        <f t="shared" si="6"/>
        <v>41.949999999999996</v>
      </c>
      <c r="Q96" s="170">
        <v>0.55000000000000004</v>
      </c>
      <c r="R96" s="590" t="s">
        <v>1149</v>
      </c>
      <c r="S96" s="6"/>
      <c r="T96" s="37" t="s">
        <v>115</v>
      </c>
      <c r="U96" s="81">
        <v>41.4</v>
      </c>
      <c r="V96" s="590" t="s">
        <v>712</v>
      </c>
      <c r="W96" s="28"/>
      <c r="X96" s="28"/>
      <c r="Y96" s="28"/>
      <c r="AA96" s="27"/>
      <c r="AD96" s="33" t="str">
        <f>C96&amp;F96</f>
        <v>SwitzerlandLC bn</v>
      </c>
    </row>
    <row r="97" spans="1:30" ht="38.5" customHeight="1">
      <c r="A97" s="638"/>
      <c r="B97" s="638"/>
      <c r="C97" s="632"/>
      <c r="D97" s="629"/>
      <c r="F97" s="32" t="s">
        <v>116</v>
      </c>
      <c r="G97" s="81" t="e">
        <f>G96/VLOOKUP($C96,#REF!,7,0)</f>
        <v>#REF!</v>
      </c>
      <c r="H97" s="69" t="e">
        <f>H96/VLOOKUP($C96,#REF!,7,0)</f>
        <v>#REF!</v>
      </c>
      <c r="I97" s="576"/>
      <c r="J97" s="81" t="e">
        <f>J96/VLOOKUP($C96,#REF!,7,0)</f>
        <v>#REF!</v>
      </c>
      <c r="K97" s="576"/>
      <c r="L97" s="81"/>
      <c r="M97" s="576"/>
      <c r="N97" s="6"/>
      <c r="O97" s="32" t="s">
        <v>116</v>
      </c>
      <c r="P97" s="95" t="e">
        <f t="shared" si="6"/>
        <v>#REF!</v>
      </c>
      <c r="Q97" s="69" t="e">
        <f>Q96/VLOOKUP($C96,#REF!,7,0)</f>
        <v>#REF!</v>
      </c>
      <c r="R97" s="576"/>
      <c r="S97" s="6"/>
      <c r="T97" s="32" t="s">
        <v>116</v>
      </c>
      <c r="U97" s="81" t="e">
        <f>U96/VLOOKUP($C96,#REF!,7,0)</f>
        <v>#REF!</v>
      </c>
      <c r="V97" s="591"/>
      <c r="W97" s="28"/>
      <c r="X97" s="28"/>
      <c r="Y97" s="28"/>
      <c r="AA97" s="27"/>
      <c r="AD97" s="33" t="str">
        <f>C96&amp;F97</f>
        <v>SwitzerlandUSD bn</v>
      </c>
    </row>
    <row r="98" spans="1:30" ht="47.15" customHeight="1">
      <c r="A98" s="638"/>
      <c r="B98" s="638"/>
      <c r="C98" s="633"/>
      <c r="D98" s="630"/>
      <c r="E98" s="12"/>
      <c r="F98" s="31" t="s">
        <v>117</v>
      </c>
      <c r="G98" s="17" t="e">
        <f>(G96/VLOOKUP($C96,#REF!,4,0))*100</f>
        <v>#REF!</v>
      </c>
      <c r="H98" s="17" t="e">
        <f>(H96/VLOOKUP($C96,#REF!,4,0))*100</f>
        <v>#REF!</v>
      </c>
      <c r="I98" s="577"/>
      <c r="J98" s="17" t="e">
        <f>(J96/VLOOKUP($C96,#REF!,4,0))*100</f>
        <v>#REF!</v>
      </c>
      <c r="K98" s="577"/>
      <c r="L98" s="17"/>
      <c r="M98" s="577"/>
      <c r="N98" s="12"/>
      <c r="O98" s="31" t="s">
        <v>117</v>
      </c>
      <c r="P98" s="17" t="e">
        <f t="shared" si="6"/>
        <v>#REF!</v>
      </c>
      <c r="Q98" s="17" t="e">
        <f>(Q96/VLOOKUP($C96,#REF!,4,0))*100</f>
        <v>#REF!</v>
      </c>
      <c r="R98" s="577"/>
      <c r="S98" s="12"/>
      <c r="T98" s="31" t="s">
        <v>117</v>
      </c>
      <c r="U98" s="17" t="e">
        <f>(U96/VLOOKUP($C96,#REF!,4,0))*100</f>
        <v>#REF!</v>
      </c>
      <c r="V98" s="592"/>
      <c r="W98" s="19"/>
      <c r="X98" s="19"/>
      <c r="Y98" s="28"/>
      <c r="AA98" s="27"/>
      <c r="AD98" s="33" t="str">
        <f>C96&amp;F98</f>
        <v>Switzerland% GDP</v>
      </c>
    </row>
    <row r="99" spans="1:30" s="36" customFormat="1" ht="102" customHeight="1">
      <c r="A99" s="638">
        <v>0</v>
      </c>
      <c r="B99" s="638" t="s">
        <v>861</v>
      </c>
      <c r="C99" s="632" t="s">
        <v>41</v>
      </c>
      <c r="D99" s="628" t="s">
        <v>570</v>
      </c>
      <c r="F99" s="32" t="s">
        <v>115</v>
      </c>
      <c r="G99" s="95">
        <v>19</v>
      </c>
      <c r="H99" s="74">
        <v>2.5</v>
      </c>
      <c r="I99" s="600" t="s">
        <v>631</v>
      </c>
      <c r="J99" s="95">
        <v>16.5</v>
      </c>
      <c r="K99" s="581" t="s">
        <v>1136</v>
      </c>
      <c r="L99" s="28"/>
      <c r="M99" s="575" t="s">
        <v>765</v>
      </c>
      <c r="O99" s="32" t="s">
        <v>115</v>
      </c>
      <c r="P99" s="264">
        <f t="shared" si="6"/>
        <v>26</v>
      </c>
      <c r="Q99" s="178"/>
      <c r="R99" s="28"/>
      <c r="T99" s="32" t="s">
        <v>115</v>
      </c>
      <c r="U99" s="95">
        <v>26</v>
      </c>
      <c r="V99" s="575" t="s">
        <v>1213</v>
      </c>
      <c r="W99" s="28"/>
      <c r="X99" s="28"/>
      <c r="Y99" s="28"/>
      <c r="AA99" s="28"/>
      <c r="AD99" s="33" t="str">
        <f>C99&amp;F99</f>
        <v>AlbaniaLC bn</v>
      </c>
    </row>
    <row r="100" spans="1:30" ht="90" customHeight="1">
      <c r="A100" s="638"/>
      <c r="B100" s="638"/>
      <c r="C100" s="632"/>
      <c r="D100" s="629"/>
      <c r="E100" s="36"/>
      <c r="F100" s="32" t="s">
        <v>116</v>
      </c>
      <c r="G100" s="69" t="e">
        <f>G99/VLOOKUP(C99,#REF!,7,0)</f>
        <v>#REF!</v>
      </c>
      <c r="H100" s="69" t="e">
        <f>H99/VLOOKUP($C99,#REF!,7,0)</f>
        <v>#REF!</v>
      </c>
      <c r="I100" s="601"/>
      <c r="J100" s="69" t="e">
        <f>J99/VLOOKUP($C99,#REF!,7,0)</f>
        <v>#REF!</v>
      </c>
      <c r="K100" s="582"/>
      <c r="L100" s="28"/>
      <c r="M100" s="576"/>
      <c r="N100" s="36"/>
      <c r="O100" s="32" t="s">
        <v>116</v>
      </c>
      <c r="P100" s="248" t="e">
        <f t="shared" si="6"/>
        <v>#REF!</v>
      </c>
      <c r="Q100" s="178"/>
      <c r="R100" s="28"/>
      <c r="S100" s="36"/>
      <c r="T100" s="32" t="s">
        <v>116</v>
      </c>
      <c r="U100" s="69" t="e">
        <f>U99/VLOOKUP(C99,#REF!,7,0)</f>
        <v>#REF!</v>
      </c>
      <c r="V100" s="576"/>
      <c r="W100" s="28"/>
      <c r="X100" s="28"/>
      <c r="Y100" s="28"/>
      <c r="Z100" s="36"/>
      <c r="AA100" s="28"/>
      <c r="AD100" s="33" t="str">
        <f>C99&amp;F100</f>
        <v>AlbaniaUSD bn</v>
      </c>
    </row>
    <row r="101" spans="1:30" ht="90" customHeight="1">
      <c r="A101" s="638"/>
      <c r="B101" s="638"/>
      <c r="C101" s="633"/>
      <c r="D101" s="630"/>
      <c r="E101" s="12"/>
      <c r="F101" s="31" t="s">
        <v>117</v>
      </c>
      <c r="G101" s="17" t="e">
        <f>(G99/VLOOKUP(C99,#REF!,4,0))*100</f>
        <v>#REF!</v>
      </c>
      <c r="H101" s="17" t="e">
        <f>(H99/VLOOKUP($C99,#REF!,4,0))*100</f>
        <v>#REF!</v>
      </c>
      <c r="I101" s="602"/>
      <c r="J101" s="17" t="e">
        <f>J99/VLOOKUP($C99,#REF!,4,0)*100</f>
        <v>#REF!</v>
      </c>
      <c r="K101" s="583"/>
      <c r="L101" s="19"/>
      <c r="M101" s="577"/>
      <c r="N101" s="12"/>
      <c r="O101" s="31" t="s">
        <v>117</v>
      </c>
      <c r="P101" s="267" t="e">
        <f t="shared" si="6"/>
        <v>#REF!</v>
      </c>
      <c r="Q101" s="168"/>
      <c r="R101" s="23"/>
      <c r="S101" s="12"/>
      <c r="T101" s="31" t="s">
        <v>117</v>
      </c>
      <c r="U101" s="17" t="e">
        <f>(U99/VLOOKUP(C99,#REF!,4,0))*100</f>
        <v>#REF!</v>
      </c>
      <c r="V101" s="577"/>
      <c r="W101" s="19"/>
      <c r="X101" s="19"/>
      <c r="Y101" s="19"/>
      <c r="Z101" s="1"/>
      <c r="AA101" s="26"/>
      <c r="AD101" s="33" t="str">
        <f>C99&amp;F101</f>
        <v>Albania% GDP</v>
      </c>
    </row>
    <row r="102" spans="1:30" ht="90" customHeight="1">
      <c r="A102" s="40"/>
      <c r="B102" s="40"/>
      <c r="C102" s="631" t="s">
        <v>1039</v>
      </c>
      <c r="D102" s="628" t="s">
        <v>570</v>
      </c>
      <c r="E102" s="36"/>
      <c r="F102" s="32" t="s">
        <v>115</v>
      </c>
      <c r="G102" s="56">
        <v>1.2</v>
      </c>
      <c r="H102" s="74">
        <v>1.2</v>
      </c>
      <c r="I102" s="600" t="s">
        <v>1188</v>
      </c>
      <c r="J102" s="56">
        <v>1.2</v>
      </c>
      <c r="K102" s="581" t="s">
        <v>1189</v>
      </c>
      <c r="L102" s="28"/>
      <c r="M102" s="575"/>
      <c r="N102" s="36"/>
      <c r="O102" s="32" t="s">
        <v>115</v>
      </c>
      <c r="P102" s="266">
        <f t="shared" si="6"/>
        <v>0.9</v>
      </c>
      <c r="Q102" s="178"/>
      <c r="R102" s="28"/>
      <c r="S102" s="36"/>
      <c r="T102" s="32" t="s">
        <v>115</v>
      </c>
      <c r="U102" s="56">
        <v>0.9</v>
      </c>
      <c r="V102" s="575" t="s">
        <v>1190</v>
      </c>
      <c r="W102" s="28"/>
      <c r="X102" s="28"/>
      <c r="Y102" s="28"/>
      <c r="AA102" s="27"/>
      <c r="AD102" s="33" t="str">
        <f>C102&amp;F102</f>
        <v>Bosnia and HerzegovinaLC bn</v>
      </c>
    </row>
    <row r="103" spans="1:30" ht="90" customHeight="1">
      <c r="A103" s="40">
        <v>0</v>
      </c>
      <c r="B103" s="40" t="s">
        <v>861</v>
      </c>
      <c r="C103" s="632"/>
      <c r="D103" s="629"/>
      <c r="E103" s="36"/>
      <c r="F103" s="32" t="s">
        <v>116</v>
      </c>
      <c r="G103" s="69" t="e">
        <f>G102/VLOOKUP(C102,#REF!,7,0)</f>
        <v>#REF!</v>
      </c>
      <c r="H103" s="69" t="e">
        <f>H102/VLOOKUP($C102,#REF!,7,0)</f>
        <v>#REF!</v>
      </c>
      <c r="I103" s="601"/>
      <c r="J103" s="69" t="e">
        <f>J102/VLOOKUP($C102,#REF!,7,0)</f>
        <v>#REF!</v>
      </c>
      <c r="K103" s="582"/>
      <c r="L103" s="28"/>
      <c r="M103" s="576"/>
      <c r="N103" s="36"/>
      <c r="O103" s="32" t="s">
        <v>116</v>
      </c>
      <c r="P103" s="248" t="e">
        <f>Q103+U103+W103</f>
        <v>#REF!</v>
      </c>
      <c r="Q103" s="178"/>
      <c r="R103" s="28"/>
      <c r="S103" s="36"/>
      <c r="T103" s="32" t="s">
        <v>116</v>
      </c>
      <c r="U103" s="69" t="e">
        <f>U102/VLOOKUP(C102,#REF!,7,0)</f>
        <v>#REF!</v>
      </c>
      <c r="V103" s="576"/>
      <c r="W103" s="28"/>
      <c r="X103" s="28"/>
      <c r="Y103" s="28"/>
      <c r="AA103" s="27"/>
      <c r="AD103" s="33" t="str">
        <f>C102&amp;F103</f>
        <v>Bosnia and HerzegovinaUSD bn</v>
      </c>
    </row>
    <row r="104" spans="1:30" ht="157" customHeight="1">
      <c r="A104" s="40"/>
      <c r="B104" s="40"/>
      <c r="C104" s="633"/>
      <c r="D104" s="630"/>
      <c r="E104" s="12"/>
      <c r="F104" s="31" t="s">
        <v>117</v>
      </c>
      <c r="G104" s="17" t="e">
        <f>(G102/VLOOKUP(C102,#REF!,4,0))*100</f>
        <v>#REF!</v>
      </c>
      <c r="H104" s="17" t="e">
        <f>(H102/VLOOKUP($C102,#REF!,4,0))*100</f>
        <v>#REF!</v>
      </c>
      <c r="I104" s="602"/>
      <c r="J104" s="17" t="e">
        <f>J102/VLOOKUP($C102,#REF!,4,0)*100</f>
        <v>#REF!</v>
      </c>
      <c r="K104" s="583"/>
      <c r="L104" s="19"/>
      <c r="M104" s="577"/>
      <c r="N104" s="12"/>
      <c r="O104" s="31" t="s">
        <v>117</v>
      </c>
      <c r="P104" s="267" t="e">
        <f t="shared" ref="P104" si="7">Q104+U104+W104</f>
        <v>#REF!</v>
      </c>
      <c r="Q104" s="168"/>
      <c r="R104" s="23"/>
      <c r="S104" s="12"/>
      <c r="T104" s="31" t="s">
        <v>117</v>
      </c>
      <c r="U104" s="17" t="e">
        <f>(U102/VLOOKUP(C102,#REF!,4,0))*100</f>
        <v>#REF!</v>
      </c>
      <c r="V104" s="577"/>
      <c r="W104" s="19"/>
      <c r="X104" s="19"/>
      <c r="Y104" s="28"/>
      <c r="AA104" s="27"/>
      <c r="AD104" s="33" t="str">
        <f>C102&amp;F104</f>
        <v>Bosnia and Herzegovina% GDP</v>
      </c>
    </row>
    <row r="105" spans="1:30" ht="130" customHeight="1">
      <c r="A105" s="638">
        <v>0</v>
      </c>
      <c r="B105" s="638" t="s">
        <v>861</v>
      </c>
      <c r="C105" s="632" t="s">
        <v>27</v>
      </c>
      <c r="D105" s="628" t="s">
        <v>570</v>
      </c>
      <c r="E105" s="15"/>
      <c r="F105" s="37" t="s">
        <v>115</v>
      </c>
      <c r="G105" s="53">
        <f>H105+J105</f>
        <v>3.1417999999999999</v>
      </c>
      <c r="H105" s="53">
        <v>0.77400000000000002</v>
      </c>
      <c r="I105" s="575" t="s">
        <v>1154</v>
      </c>
      <c r="J105" s="49">
        <v>2.3677999999999999</v>
      </c>
      <c r="K105" s="581" t="s">
        <v>1155</v>
      </c>
      <c r="L105" s="74">
        <v>0.6</v>
      </c>
      <c r="M105" s="575" t="s">
        <v>633</v>
      </c>
      <c r="N105" s="15"/>
      <c r="O105" s="32" t="s">
        <v>115</v>
      </c>
      <c r="P105" s="53">
        <f>Q105+U105+W105</f>
        <v>4.6295999999999999</v>
      </c>
      <c r="Q105" s="169">
        <f>0.7+0.344+0.16+0.418</f>
        <v>1.6219999999999999</v>
      </c>
      <c r="R105" s="575" t="s">
        <v>732</v>
      </c>
      <c r="S105" s="15"/>
      <c r="T105" s="32" t="s">
        <v>115</v>
      </c>
      <c r="U105" s="49"/>
      <c r="V105" s="575"/>
      <c r="W105" s="49">
        <f>1.5+0.68+0.72+0.004+0.0036+0.1</f>
        <v>3.0076000000000005</v>
      </c>
      <c r="X105" s="575" t="s">
        <v>733</v>
      </c>
      <c r="Y105" s="575" t="s">
        <v>78</v>
      </c>
      <c r="Z105" s="15"/>
      <c r="AA105" s="18"/>
      <c r="AD105" s="33" t="str">
        <f>C105&amp;F105</f>
        <v>BulgariaLC bn</v>
      </c>
    </row>
    <row r="106" spans="1:30" s="6" customFormat="1" ht="130" customHeight="1">
      <c r="A106" s="638"/>
      <c r="B106" s="638"/>
      <c r="C106" s="632"/>
      <c r="D106" s="629"/>
      <c r="E106" s="3"/>
      <c r="F106" s="32" t="s">
        <v>116</v>
      </c>
      <c r="G106" s="69" t="e">
        <f>G105/VLOOKUP($C105,#REF!,7,0)</f>
        <v>#REF!</v>
      </c>
      <c r="H106" s="69" t="e">
        <f>H105/VLOOKUP($C105,#REF!,7,0)</f>
        <v>#REF!</v>
      </c>
      <c r="I106" s="591"/>
      <c r="J106" s="69" t="e">
        <f>J105/VLOOKUP($C105,#REF!,7,0)</f>
        <v>#REF!</v>
      </c>
      <c r="K106" s="582"/>
      <c r="L106" s="69" t="e">
        <f>L105/VLOOKUP($C105,#REF!,7,0)</f>
        <v>#REF!</v>
      </c>
      <c r="M106" s="576"/>
      <c r="N106" s="3"/>
      <c r="O106" s="32" t="s">
        <v>116</v>
      </c>
      <c r="P106" s="69" t="e">
        <f>Q106+U106+W106</f>
        <v>#REF!</v>
      </c>
      <c r="Q106" s="170" t="e">
        <f>Q105/VLOOKUP(C105,#REF!,7,0)</f>
        <v>#REF!</v>
      </c>
      <c r="R106" s="576"/>
      <c r="S106" s="3"/>
      <c r="T106" s="32" t="s">
        <v>116</v>
      </c>
      <c r="U106" s="69"/>
      <c r="V106" s="576"/>
      <c r="W106" s="69" t="e">
        <f>W105/VLOOKUP($C105,#REF!,7,0)</f>
        <v>#REF!</v>
      </c>
      <c r="X106" s="576"/>
      <c r="Y106" s="576"/>
      <c r="Z106" s="3"/>
      <c r="AA106" s="28"/>
      <c r="AD106" s="33" t="str">
        <f>C105&amp;F106</f>
        <v>BulgariaUSD bn</v>
      </c>
    </row>
    <row r="107" spans="1:30" ht="243.65" customHeight="1">
      <c r="A107" s="638"/>
      <c r="B107" s="638"/>
      <c r="C107" s="633"/>
      <c r="D107" s="630"/>
      <c r="E107" s="12"/>
      <c r="F107" s="31" t="s">
        <v>117</v>
      </c>
      <c r="G107" s="17" t="e">
        <f>(G105/VLOOKUP($C105,#REF!,4,0))*100</f>
        <v>#REF!</v>
      </c>
      <c r="H107" s="17" t="e">
        <f>(H105/VLOOKUP($C105,#REF!,4,0))*100</f>
        <v>#REF!</v>
      </c>
      <c r="I107" s="592"/>
      <c r="J107" s="17" t="e">
        <f>(J105/VLOOKUP($C105,#REF!,4,0))*100</f>
        <v>#REF!</v>
      </c>
      <c r="K107" s="583"/>
      <c r="L107" s="17" t="e">
        <f>(L105/VLOOKUP($C105,#REF!,4,0))*100</f>
        <v>#REF!</v>
      </c>
      <c r="M107" s="577"/>
      <c r="N107" s="12"/>
      <c r="O107" s="31" t="s">
        <v>117</v>
      </c>
      <c r="P107" s="17" t="e">
        <f>Q107+U107+W107</f>
        <v>#REF!</v>
      </c>
      <c r="Q107" s="17" t="e">
        <f>(Q105/VLOOKUP($C105,#REF!,4,0))*100</f>
        <v>#REF!</v>
      </c>
      <c r="R107" s="577"/>
      <c r="S107" s="12"/>
      <c r="T107" s="31" t="s">
        <v>117</v>
      </c>
      <c r="U107" s="17"/>
      <c r="V107" s="577"/>
      <c r="W107" s="17" t="e">
        <f>(W105/VLOOKUP($C105,#REF!,4,0))*100</f>
        <v>#REF!</v>
      </c>
      <c r="X107" s="577"/>
      <c r="Y107" s="577"/>
      <c r="Z107" s="1"/>
      <c r="AA107" s="26"/>
      <c r="AD107" s="33" t="str">
        <f>C105&amp;F107</f>
        <v>Bulgaria% GDP</v>
      </c>
    </row>
    <row r="108" spans="1:30" s="6" customFormat="1" ht="37" customHeight="1">
      <c r="A108" s="638">
        <v>0</v>
      </c>
      <c r="B108" s="638" t="s">
        <v>861</v>
      </c>
      <c r="C108" s="632" t="s">
        <v>42</v>
      </c>
      <c r="D108" s="629" t="s">
        <v>571</v>
      </c>
      <c r="E108" s="16"/>
      <c r="F108" s="37" t="s">
        <v>115</v>
      </c>
      <c r="G108" s="182">
        <v>16000</v>
      </c>
      <c r="H108" s="183">
        <v>1400</v>
      </c>
      <c r="I108" s="645" t="s">
        <v>634</v>
      </c>
      <c r="J108" s="183">
        <f>G108-H108</f>
        <v>14600</v>
      </c>
      <c r="K108" s="581" t="s">
        <v>872</v>
      </c>
      <c r="L108" s="183">
        <v>4400</v>
      </c>
      <c r="M108" s="582" t="s">
        <v>1158</v>
      </c>
      <c r="N108" s="16"/>
      <c r="O108" s="32" t="s">
        <v>115</v>
      </c>
      <c r="P108" s="183">
        <f t="shared" si="6"/>
        <v>4100</v>
      </c>
      <c r="Q108" s="183"/>
      <c r="R108" s="582"/>
      <c r="S108" s="16"/>
      <c r="T108" s="32" t="s">
        <v>115</v>
      </c>
      <c r="U108" s="183"/>
      <c r="V108" s="582"/>
      <c r="W108" s="80">
        <v>4100</v>
      </c>
      <c r="X108" s="600" t="s">
        <v>1159</v>
      </c>
      <c r="Y108" s="575" t="s">
        <v>244</v>
      </c>
      <c r="Z108" s="16"/>
      <c r="AA108" s="605" t="s">
        <v>50</v>
      </c>
      <c r="AD108" s="33" t="str">
        <f>C108&amp;F108</f>
        <v>ChileLC bn</v>
      </c>
    </row>
    <row r="109" spans="1:30" s="36" customFormat="1" ht="42.65" customHeight="1">
      <c r="A109" s="638"/>
      <c r="B109" s="638"/>
      <c r="C109" s="632"/>
      <c r="D109" s="629"/>
      <c r="E109" s="6"/>
      <c r="F109" s="32" t="s">
        <v>116</v>
      </c>
      <c r="G109" s="81" t="e">
        <f>G108/VLOOKUP($C108,#REF!,7,0)</f>
        <v>#REF!</v>
      </c>
      <c r="H109" s="69" t="e">
        <f>H108/VLOOKUP($C108,#REF!,7,0)</f>
        <v>#REF!</v>
      </c>
      <c r="I109" s="646"/>
      <c r="J109" s="81" t="e">
        <f>J108/VLOOKUP($C108,#REF!,7,0)</f>
        <v>#REF!</v>
      </c>
      <c r="K109" s="582"/>
      <c r="L109" s="69" t="e">
        <f>L108/VLOOKUP($C108,#REF!,7,0)</f>
        <v>#REF!</v>
      </c>
      <c r="M109" s="582"/>
      <c r="N109" s="6"/>
      <c r="O109" s="32" t="s">
        <v>116</v>
      </c>
      <c r="P109" s="248" t="e">
        <f t="shared" si="6"/>
        <v>#REF!</v>
      </c>
      <c r="Q109" s="69"/>
      <c r="R109" s="582"/>
      <c r="S109" s="6"/>
      <c r="T109" s="32" t="s">
        <v>116</v>
      </c>
      <c r="U109" s="69"/>
      <c r="V109" s="582"/>
      <c r="W109" s="69" t="e">
        <f>W108/VLOOKUP($C108,#REF!,7,0)</f>
        <v>#REF!</v>
      </c>
      <c r="X109" s="601"/>
      <c r="Y109" s="576"/>
      <c r="Z109" s="6"/>
      <c r="AA109" s="606"/>
      <c r="AD109" s="33" t="str">
        <f>C108&amp;F109</f>
        <v>ChileUSD bn</v>
      </c>
    </row>
    <row r="110" spans="1:30" ht="43" customHeight="1">
      <c r="A110" s="638"/>
      <c r="B110" s="638"/>
      <c r="C110" s="633"/>
      <c r="D110" s="630"/>
      <c r="E110" s="12"/>
      <c r="F110" s="31" t="s">
        <v>117</v>
      </c>
      <c r="G110" s="17" t="e">
        <f>(G108/VLOOKUP($C108,#REF!,4,0))*100</f>
        <v>#REF!</v>
      </c>
      <c r="H110" s="17" t="e">
        <f>(H108/VLOOKUP($C108,#REF!,4,0))*100</f>
        <v>#REF!</v>
      </c>
      <c r="I110" s="647"/>
      <c r="J110" s="17" t="e">
        <f>(J108/VLOOKUP($C108,#REF!,4,0))*100</f>
        <v>#REF!</v>
      </c>
      <c r="K110" s="583"/>
      <c r="L110" s="68" t="e">
        <f>(L108/VLOOKUP(C108,#REF!,4,0))*100</f>
        <v>#REF!</v>
      </c>
      <c r="M110" s="583"/>
      <c r="N110" s="12"/>
      <c r="O110" s="31" t="s">
        <v>117</v>
      </c>
      <c r="P110" s="267" t="e">
        <f t="shared" si="6"/>
        <v>#REF!</v>
      </c>
      <c r="Q110" s="17"/>
      <c r="R110" s="583"/>
      <c r="S110" s="12"/>
      <c r="T110" s="31" t="s">
        <v>117</v>
      </c>
      <c r="U110" s="17"/>
      <c r="V110" s="583"/>
      <c r="W110" s="17" t="e">
        <f>(W108/VLOOKUP($C108,#REF!,4,0))*100</f>
        <v>#REF!</v>
      </c>
      <c r="X110" s="602"/>
      <c r="Y110" s="577"/>
      <c r="Z110" s="1"/>
      <c r="AA110" s="607"/>
      <c r="AD110" s="33" t="str">
        <f>C108&amp;F110</f>
        <v>Chile% GDP</v>
      </c>
    </row>
    <row r="111" spans="1:30" s="6" customFormat="1" ht="108.65" customHeight="1">
      <c r="A111" s="638">
        <v>0</v>
      </c>
      <c r="B111" s="638" t="s">
        <v>861</v>
      </c>
      <c r="C111" s="632" t="s">
        <v>34</v>
      </c>
      <c r="D111" s="628" t="s">
        <v>570</v>
      </c>
      <c r="E111" s="16"/>
      <c r="F111" s="37" t="s">
        <v>115</v>
      </c>
      <c r="G111" s="127">
        <v>20276</v>
      </c>
      <c r="H111" s="127">
        <v>8243</v>
      </c>
      <c r="I111" s="600" t="s">
        <v>1160</v>
      </c>
      <c r="J111" s="127">
        <v>12033</v>
      </c>
      <c r="K111" s="575" t="s">
        <v>1161</v>
      </c>
      <c r="L111" s="74">
        <v>400</v>
      </c>
      <c r="M111" s="575" t="s">
        <v>766</v>
      </c>
      <c r="N111" s="16"/>
      <c r="O111" s="32" t="s">
        <v>115</v>
      </c>
      <c r="P111" s="127">
        <f>Q111+U111+W111</f>
        <v>3755</v>
      </c>
      <c r="Q111" s="127">
        <v>3755</v>
      </c>
      <c r="R111" s="608" t="s">
        <v>713</v>
      </c>
      <c r="S111" s="16"/>
      <c r="T111" s="32" t="s">
        <v>115</v>
      </c>
      <c r="U111" s="49"/>
      <c r="V111" s="575"/>
      <c r="W111" s="22"/>
      <c r="X111" s="22"/>
      <c r="Y111" s="22"/>
      <c r="Z111" s="16"/>
      <c r="AA111" s="18"/>
      <c r="AD111" s="33" t="str">
        <f>C111&amp;F111</f>
        <v>ColombiaLC bn</v>
      </c>
    </row>
    <row r="112" spans="1:30" s="6" customFormat="1" ht="109" customHeight="1">
      <c r="A112" s="638"/>
      <c r="B112" s="638"/>
      <c r="C112" s="632"/>
      <c r="D112" s="629"/>
      <c r="F112" s="32" t="s">
        <v>116</v>
      </c>
      <c r="G112" s="69" t="e">
        <f>G111/VLOOKUP($C111,#REF!,7,0)</f>
        <v>#REF!</v>
      </c>
      <c r="H112" s="69" t="e">
        <f>H111/VLOOKUP($C111,#REF!,7,0)</f>
        <v>#REF!</v>
      </c>
      <c r="I112" s="601"/>
      <c r="J112" s="69" t="e">
        <f>J111/VLOOKUP($C111,#REF!,7,0)</f>
        <v>#REF!</v>
      </c>
      <c r="K112" s="576"/>
      <c r="L112" s="69" t="e">
        <f>L111/VLOOKUP($C111,#REF!,7,0)</f>
        <v>#REF!</v>
      </c>
      <c r="M112" s="576"/>
      <c r="O112" s="32" t="s">
        <v>116</v>
      </c>
      <c r="P112" s="56" t="e">
        <f>Q112+U112+W112</f>
        <v>#REF!</v>
      </c>
      <c r="Q112" s="170" t="e">
        <f>Q111/#REF!</f>
        <v>#REF!</v>
      </c>
      <c r="R112" s="576"/>
      <c r="T112" s="32" t="s">
        <v>116</v>
      </c>
      <c r="U112" s="69"/>
      <c r="V112" s="576"/>
      <c r="W112" s="35"/>
      <c r="X112" s="35"/>
      <c r="Y112" s="35"/>
      <c r="AA112" s="28"/>
      <c r="AD112" s="33" t="str">
        <f>C111&amp;F112</f>
        <v>ColombiaUSD bn</v>
      </c>
    </row>
    <row r="113" spans="1:30" ht="148.5" customHeight="1">
      <c r="A113" s="638"/>
      <c r="B113" s="638"/>
      <c r="C113" s="633"/>
      <c r="D113" s="630"/>
      <c r="E113" s="12"/>
      <c r="F113" s="31" t="s">
        <v>117</v>
      </c>
      <c r="G113" s="17" t="e">
        <f>(G111/VLOOKUP($C111,#REF!,4,0))*100</f>
        <v>#REF!</v>
      </c>
      <c r="H113" s="17" t="e">
        <f>(H111/VLOOKUP($C111,#REF!,4,0))*100</f>
        <v>#REF!</v>
      </c>
      <c r="I113" s="602"/>
      <c r="J113" s="17" t="e">
        <f>(J111/VLOOKUP($C111,#REF!,4,0))*100</f>
        <v>#REF!</v>
      </c>
      <c r="K113" s="577"/>
      <c r="L113" s="17" t="e">
        <f>(L111/VLOOKUP($C111,#REF!,4,0))*100</f>
        <v>#REF!</v>
      </c>
      <c r="M113" s="577"/>
      <c r="N113" s="12"/>
      <c r="O113" s="31" t="s">
        <v>117</v>
      </c>
      <c r="P113" s="17" t="e">
        <f>Q113+U113+W113</f>
        <v>#REF!</v>
      </c>
      <c r="Q113" s="168" t="e">
        <f>Q111/#REF!*100</f>
        <v>#REF!</v>
      </c>
      <c r="R113" s="577"/>
      <c r="S113" s="12"/>
      <c r="T113" s="31" t="s">
        <v>117</v>
      </c>
      <c r="U113" s="17"/>
      <c r="V113" s="577"/>
      <c r="W113" s="19"/>
      <c r="X113" s="19"/>
      <c r="Y113" s="19"/>
      <c r="Z113" s="1"/>
      <c r="AA113" s="26"/>
      <c r="AD113" s="33" t="str">
        <f>C111&amp;F113</f>
        <v>Colombia% GDP</v>
      </c>
    </row>
    <row r="114" spans="1:30" s="36" customFormat="1" ht="99.65" customHeight="1">
      <c r="A114" s="638">
        <v>0</v>
      </c>
      <c r="B114" s="638" t="s">
        <v>861</v>
      </c>
      <c r="C114" s="632" t="s">
        <v>23</v>
      </c>
      <c r="D114" s="628" t="s">
        <v>571</v>
      </c>
      <c r="E114" s="14"/>
      <c r="F114" s="37" t="s">
        <v>115</v>
      </c>
      <c r="G114" s="93">
        <v>100</v>
      </c>
      <c r="H114" s="74">
        <v>8.3000000000000007</v>
      </c>
      <c r="I114" s="575" t="s">
        <v>1151</v>
      </c>
      <c r="J114" s="93">
        <f>G114-H114</f>
        <v>91.7</v>
      </c>
      <c r="K114" s="575" t="s">
        <v>1152</v>
      </c>
      <c r="L114" s="18"/>
      <c r="M114" s="575" t="s">
        <v>637</v>
      </c>
      <c r="N114" s="14"/>
      <c r="O114" s="32" t="s">
        <v>115</v>
      </c>
      <c r="P114" s="53">
        <f>U114</f>
        <v>3</v>
      </c>
      <c r="Q114" s="94" t="s">
        <v>84</v>
      </c>
      <c r="R114" s="590" t="s">
        <v>322</v>
      </c>
      <c r="S114" s="14"/>
      <c r="T114" s="32" t="s">
        <v>115</v>
      </c>
      <c r="U114" s="53">
        <v>3</v>
      </c>
      <c r="V114" s="575" t="s">
        <v>560</v>
      </c>
      <c r="W114" s="18"/>
      <c r="X114" s="18"/>
      <c r="Y114" s="18"/>
      <c r="Z114" s="14"/>
      <c r="AA114" s="18"/>
      <c r="AD114" s="33" t="str">
        <f>C114&amp;F114</f>
        <v>EgyptLC bn</v>
      </c>
    </row>
    <row r="115" spans="1:30" s="36" customFormat="1" ht="95.15" customHeight="1">
      <c r="A115" s="638"/>
      <c r="B115" s="638"/>
      <c r="C115" s="632"/>
      <c r="D115" s="629"/>
      <c r="F115" s="32" t="s">
        <v>116</v>
      </c>
      <c r="G115" s="69" t="e">
        <f>G114/VLOOKUP(C114,#REF!,7,0)</f>
        <v>#REF!</v>
      </c>
      <c r="H115" s="69" t="e">
        <f>H114/VLOOKUP($C114,#REF!,7,0)</f>
        <v>#REF!</v>
      </c>
      <c r="I115" s="591"/>
      <c r="J115" s="56" t="e">
        <f>J114/VLOOKUP(C114,#REF!,7,0)</f>
        <v>#REF!</v>
      </c>
      <c r="K115" s="576"/>
      <c r="L115" s="28"/>
      <c r="M115" s="576"/>
      <c r="O115" s="32" t="s">
        <v>116</v>
      </c>
      <c r="P115" s="56" t="e">
        <f t="shared" ref="P115:P158" si="8">Q115+U115+W115</f>
        <v>#REF!</v>
      </c>
      <c r="Q115" s="178"/>
      <c r="R115" s="591"/>
      <c r="T115" s="32" t="s">
        <v>116</v>
      </c>
      <c r="U115" s="56" t="e">
        <f>U114/VLOOKUP(C114,#REF!,7,0)</f>
        <v>#REF!</v>
      </c>
      <c r="V115" s="576"/>
      <c r="W115" s="28"/>
      <c r="X115" s="28"/>
      <c r="Y115" s="28"/>
      <c r="AA115" s="28"/>
      <c r="AD115" s="33" t="str">
        <f>C114&amp;F115</f>
        <v>EgyptUSD bn</v>
      </c>
    </row>
    <row r="116" spans="1:30" ht="181.5" customHeight="1">
      <c r="A116" s="638"/>
      <c r="B116" s="638"/>
      <c r="C116" s="633"/>
      <c r="D116" s="630"/>
      <c r="E116" s="12"/>
      <c r="F116" s="31" t="s">
        <v>117</v>
      </c>
      <c r="G116" s="17" t="e">
        <f>(G114/VLOOKUP(C114,#REF!,4,0))*100</f>
        <v>#REF!</v>
      </c>
      <c r="H116" s="17" t="e">
        <f>(H114/VLOOKUP($C114,#REF!,4,0))*100</f>
        <v>#REF!</v>
      </c>
      <c r="I116" s="592"/>
      <c r="J116" s="68" t="e">
        <f>(J114/VLOOKUP(C114,#REF!,4,0))*100</f>
        <v>#REF!</v>
      </c>
      <c r="K116" s="577"/>
      <c r="L116" s="19"/>
      <c r="M116" s="577"/>
      <c r="N116" s="12"/>
      <c r="O116" s="31" t="s">
        <v>117</v>
      </c>
      <c r="P116" s="17" t="e">
        <f t="shared" si="8"/>
        <v>#REF!</v>
      </c>
      <c r="Q116" s="168"/>
      <c r="R116" s="592"/>
      <c r="S116" s="12"/>
      <c r="T116" s="31" t="s">
        <v>117</v>
      </c>
      <c r="U116" s="17" t="e">
        <f>(U114/VLOOKUP(C114,#REF!,4,0))*100</f>
        <v>#REF!</v>
      </c>
      <c r="V116" s="577"/>
      <c r="W116" s="19"/>
      <c r="X116" s="19"/>
      <c r="Y116" s="19"/>
      <c r="Z116" s="1"/>
      <c r="AA116" s="26"/>
      <c r="AD116" s="33" t="str">
        <f>C114&amp;F116</f>
        <v>Egypt% GDP</v>
      </c>
    </row>
    <row r="117" spans="1:30" ht="108" customHeight="1">
      <c r="A117" s="638">
        <v>0</v>
      </c>
      <c r="B117" s="638" t="s">
        <v>861</v>
      </c>
      <c r="C117" s="632" t="s">
        <v>549</v>
      </c>
      <c r="D117" s="629" t="s">
        <v>570</v>
      </c>
      <c r="E117" s="6"/>
      <c r="F117" s="37" t="s">
        <v>115</v>
      </c>
      <c r="G117" s="69">
        <v>2</v>
      </c>
      <c r="H117" s="56">
        <v>0.52300000000000002</v>
      </c>
      <c r="I117" s="639" t="s">
        <v>781</v>
      </c>
      <c r="J117" s="56">
        <f>G117-H117</f>
        <v>1.4769999999999999</v>
      </c>
      <c r="K117" s="575" t="s">
        <v>1197</v>
      </c>
      <c r="L117" s="28"/>
      <c r="M117" s="575" t="s">
        <v>816</v>
      </c>
      <c r="N117" s="6"/>
      <c r="O117" s="32" t="s">
        <v>115</v>
      </c>
      <c r="P117" s="69">
        <f>Q117+U117+W117</f>
        <v>7.0000000000000007E-2</v>
      </c>
      <c r="Q117" s="69">
        <v>7.0000000000000007E-2</v>
      </c>
      <c r="R117" s="575" t="s">
        <v>784</v>
      </c>
      <c r="S117" s="6"/>
      <c r="T117" s="32" t="s">
        <v>115</v>
      </c>
      <c r="U117" s="262"/>
      <c r="V117" s="619"/>
      <c r="W117" s="28"/>
      <c r="X117" s="28"/>
      <c r="Y117" s="28"/>
      <c r="AA117" s="27"/>
      <c r="AD117" s="33" t="str">
        <f>C117&amp;F117</f>
        <v>GeorgiaLC bn</v>
      </c>
    </row>
    <row r="118" spans="1:30" ht="108" customHeight="1">
      <c r="A118" s="638"/>
      <c r="B118" s="638"/>
      <c r="C118" s="632"/>
      <c r="D118" s="629"/>
      <c r="E118" s="6"/>
      <c r="F118" s="32" t="s">
        <v>116</v>
      </c>
      <c r="G118" s="69" t="e">
        <f>G117/VLOOKUP($C117,#REF!,7,0)</f>
        <v>#REF!</v>
      </c>
      <c r="H118" s="69" t="e">
        <f>H117/VLOOKUP($C117,#REF!,7,0)</f>
        <v>#REF!</v>
      </c>
      <c r="I118" s="576"/>
      <c r="J118" s="69" t="e">
        <f>J117/VLOOKUP($C117,#REF!,7,0)</f>
        <v>#REF!</v>
      </c>
      <c r="K118" s="576"/>
      <c r="L118" s="69"/>
      <c r="M118" s="576"/>
      <c r="N118" s="6"/>
      <c r="O118" s="32" t="s">
        <v>116</v>
      </c>
      <c r="P118" s="56" t="e">
        <f>Q118+U118+W118</f>
        <v>#REF!</v>
      </c>
      <c r="Q118" s="64" t="e">
        <f>Q117/#REF!</f>
        <v>#REF!</v>
      </c>
      <c r="R118" s="576"/>
      <c r="S118" s="6"/>
      <c r="T118" s="32" t="s">
        <v>116</v>
      </c>
      <c r="U118" s="69"/>
      <c r="V118" s="620"/>
      <c r="W118" s="28"/>
      <c r="X118" s="28"/>
      <c r="Y118" s="28"/>
      <c r="AA118" s="27"/>
      <c r="AD118" s="33" t="str">
        <f>C117&amp;F118</f>
        <v>GeorgiaUSD bn</v>
      </c>
    </row>
    <row r="119" spans="1:30" ht="108" customHeight="1">
      <c r="A119" s="638"/>
      <c r="B119" s="638"/>
      <c r="C119" s="633"/>
      <c r="D119" s="630"/>
      <c r="E119" s="6"/>
      <c r="F119" s="31" t="s">
        <v>117</v>
      </c>
      <c r="G119" s="17" t="e">
        <f>(G117/VLOOKUP($C117,#REF!,4,0))*100</f>
        <v>#REF!</v>
      </c>
      <c r="H119" s="17" t="e">
        <f>(H117/VLOOKUP($C117,#REF!,4,0))*100</f>
        <v>#REF!</v>
      </c>
      <c r="I119" s="577"/>
      <c r="J119" s="17" t="e">
        <f>(J117/VLOOKUP($C117,#REF!,4,0))*100</f>
        <v>#REF!</v>
      </c>
      <c r="K119" s="577"/>
      <c r="L119" s="17"/>
      <c r="M119" s="577"/>
      <c r="N119" s="6"/>
      <c r="O119" s="31" t="s">
        <v>117</v>
      </c>
      <c r="P119" s="17" t="e">
        <f>Q119+U119+W119</f>
        <v>#REF!</v>
      </c>
      <c r="Q119" s="65" t="e">
        <f>Q117/#REF!*100</f>
        <v>#REF!</v>
      </c>
      <c r="R119" s="577"/>
      <c r="S119" s="6"/>
      <c r="T119" s="31" t="s">
        <v>117</v>
      </c>
      <c r="U119" s="17"/>
      <c r="V119" s="621"/>
      <c r="W119" s="28"/>
      <c r="X119" s="28"/>
      <c r="Y119" s="28"/>
      <c r="AA119" s="27"/>
      <c r="AD119" s="33" t="str">
        <f>C117&amp;F119</f>
        <v>Georgia% GDP</v>
      </c>
    </row>
    <row r="120" spans="1:30" s="10" customFormat="1" ht="84.65" customHeight="1">
      <c r="A120" s="638">
        <v>0</v>
      </c>
      <c r="B120" s="638" t="s">
        <v>861</v>
      </c>
      <c r="C120" s="632" t="s">
        <v>35</v>
      </c>
      <c r="D120" s="629" t="s">
        <v>571</v>
      </c>
      <c r="E120" s="13"/>
      <c r="F120" s="37" t="s">
        <v>115</v>
      </c>
      <c r="G120" s="127">
        <v>1400</v>
      </c>
      <c r="H120" s="74" t="s">
        <v>84</v>
      </c>
      <c r="I120" s="575" t="s">
        <v>638</v>
      </c>
      <c r="J120" s="74" t="s">
        <v>84</v>
      </c>
      <c r="K120" s="575" t="s">
        <v>1198</v>
      </c>
      <c r="L120" s="74" t="s">
        <v>84</v>
      </c>
      <c r="M120" s="575" t="s">
        <v>809</v>
      </c>
      <c r="N120" s="13"/>
      <c r="O120" s="37" t="s">
        <v>115</v>
      </c>
      <c r="P120" s="127">
        <f>Q120+W120</f>
        <v>1900</v>
      </c>
      <c r="Q120" s="127">
        <v>1300</v>
      </c>
      <c r="R120" s="575" t="s">
        <v>655</v>
      </c>
      <c r="S120" s="13"/>
      <c r="T120" s="37" t="s">
        <v>115</v>
      </c>
      <c r="U120" s="93"/>
      <c r="V120" s="575" t="s">
        <v>576</v>
      </c>
      <c r="W120" s="74">
        <v>600</v>
      </c>
      <c r="X120" s="575" t="s">
        <v>577</v>
      </c>
      <c r="Y120" s="18"/>
      <c r="Z120" s="13"/>
      <c r="AA120" s="18"/>
      <c r="AD120" s="33" t="str">
        <f>C120&amp;F120</f>
        <v>KazakhstanLC bn</v>
      </c>
    </row>
    <row r="121" spans="1:30" s="10" customFormat="1" ht="84.65" customHeight="1">
      <c r="A121" s="638"/>
      <c r="B121" s="638"/>
      <c r="C121" s="632"/>
      <c r="D121" s="629"/>
      <c r="F121" s="32" t="s">
        <v>116</v>
      </c>
      <c r="G121" s="69" t="e">
        <f>G120/VLOOKUP($C120,#REF!,7,0)</f>
        <v>#REF!</v>
      </c>
      <c r="H121" s="75"/>
      <c r="I121" s="576"/>
      <c r="J121" s="75"/>
      <c r="K121" s="576"/>
      <c r="L121" s="28"/>
      <c r="M121" s="576"/>
      <c r="O121" s="32" t="s">
        <v>116</v>
      </c>
      <c r="P121" s="248" t="e">
        <f t="shared" si="8"/>
        <v>#REF!</v>
      </c>
      <c r="Q121" s="69" t="e">
        <f>Q120/VLOOKUP($C120,#REF!,7,0)</f>
        <v>#REF!</v>
      </c>
      <c r="R121" s="576"/>
      <c r="T121" s="32" t="s">
        <v>116</v>
      </c>
      <c r="U121" s="56"/>
      <c r="V121" s="576"/>
      <c r="W121" s="69" t="e">
        <f>W120/VLOOKUP($C120,#REF!,7,0)</f>
        <v>#REF!</v>
      </c>
      <c r="X121" s="576"/>
      <c r="Y121" s="28"/>
      <c r="AA121" s="28"/>
      <c r="AD121" s="33" t="str">
        <f>C120&amp;F121</f>
        <v>KazakhstanUSD bn</v>
      </c>
    </row>
    <row r="122" spans="1:30" ht="84.65" customHeight="1">
      <c r="A122" s="638"/>
      <c r="B122" s="638"/>
      <c r="C122" s="633"/>
      <c r="D122" s="630"/>
      <c r="E122" s="12"/>
      <c r="F122" s="31" t="s">
        <v>117</v>
      </c>
      <c r="G122" s="17" t="e">
        <f>(G120/VLOOKUP($C120,#REF!,4,0))*100</f>
        <v>#REF!</v>
      </c>
      <c r="H122" s="76"/>
      <c r="I122" s="577"/>
      <c r="J122" s="68"/>
      <c r="K122" s="577"/>
      <c r="L122" s="19"/>
      <c r="M122" s="577"/>
      <c r="N122" s="12"/>
      <c r="O122" s="31" t="s">
        <v>117</v>
      </c>
      <c r="P122" s="267" t="e">
        <f t="shared" si="8"/>
        <v>#REF!</v>
      </c>
      <c r="Q122" s="17" t="e">
        <f>(Q120/VLOOKUP($C120,#REF!,4,0))*100</f>
        <v>#REF!</v>
      </c>
      <c r="R122" s="577"/>
      <c r="S122" s="12"/>
      <c r="T122" s="31" t="s">
        <v>117</v>
      </c>
      <c r="U122" s="17"/>
      <c r="V122" s="577"/>
      <c r="W122" s="17" t="e">
        <f>(W120/VLOOKUP($C120,#REF!,4,0))*100</f>
        <v>#REF!</v>
      </c>
      <c r="X122" s="577"/>
      <c r="Y122" s="19"/>
      <c r="Z122" s="1"/>
      <c r="AA122" s="26"/>
      <c r="AD122" s="33" t="str">
        <f>C120&amp;F122</f>
        <v>Kazakhstan% GDP</v>
      </c>
    </row>
    <row r="123" spans="1:30" ht="90" customHeight="1">
      <c r="A123" s="40"/>
      <c r="B123" s="40"/>
      <c r="C123" s="631" t="s">
        <v>970</v>
      </c>
      <c r="D123" s="628" t="s">
        <v>570</v>
      </c>
      <c r="E123" s="36"/>
      <c r="F123" s="32" t="s">
        <v>115</v>
      </c>
      <c r="G123" s="56">
        <f>H123+J123</f>
        <v>0.4</v>
      </c>
      <c r="H123" s="74">
        <v>0.2</v>
      </c>
      <c r="I123" s="600" t="s">
        <v>1191</v>
      </c>
      <c r="J123" s="56">
        <v>0.2</v>
      </c>
      <c r="K123" s="581" t="s">
        <v>1192</v>
      </c>
      <c r="L123" s="28"/>
      <c r="M123" s="575"/>
      <c r="N123" s="36"/>
      <c r="O123" s="32" t="s">
        <v>115</v>
      </c>
      <c r="P123" s="266">
        <f t="shared" si="8"/>
        <v>3.5000000000000003E-2</v>
      </c>
      <c r="Q123" s="178">
        <v>0.02</v>
      </c>
      <c r="R123" s="575" t="s">
        <v>1193</v>
      </c>
      <c r="S123" s="36"/>
      <c r="T123" s="32" t="s">
        <v>115</v>
      </c>
      <c r="U123" s="56">
        <v>1.4999999999999999E-2</v>
      </c>
      <c r="V123" s="575" t="s">
        <v>1194</v>
      </c>
      <c r="W123" s="28"/>
      <c r="X123" s="28"/>
      <c r="Y123" s="28"/>
      <c r="AA123" s="27"/>
      <c r="AD123" s="33" t="str">
        <f t="shared" ref="AD123" si="9">C123&amp;F123</f>
        <v>KosovoLC bn</v>
      </c>
    </row>
    <row r="124" spans="1:30" ht="90" customHeight="1">
      <c r="A124" s="40">
        <v>0</v>
      </c>
      <c r="B124" s="40" t="s">
        <v>861</v>
      </c>
      <c r="C124" s="632"/>
      <c r="D124" s="629"/>
      <c r="E124" s="36"/>
      <c r="F124" s="32" t="s">
        <v>116</v>
      </c>
      <c r="G124" s="69" t="e">
        <f>G123/VLOOKUP(C123,#REF!,7,0)</f>
        <v>#REF!</v>
      </c>
      <c r="H124" s="69" t="e">
        <f>H123/VLOOKUP($C123,#REF!,7,0)</f>
        <v>#REF!</v>
      </c>
      <c r="I124" s="601"/>
      <c r="J124" s="69" t="e">
        <f>J123/VLOOKUP($C123,#REF!,7,0)</f>
        <v>#REF!</v>
      </c>
      <c r="K124" s="582"/>
      <c r="L124" s="28"/>
      <c r="M124" s="576"/>
      <c r="N124" s="36"/>
      <c r="O124" s="32" t="s">
        <v>116</v>
      </c>
      <c r="P124" s="248" t="e">
        <f t="shared" si="8"/>
        <v>#REF!</v>
      </c>
      <c r="Q124" s="417"/>
      <c r="R124" s="576"/>
      <c r="S124" s="36"/>
      <c r="T124" s="32" t="s">
        <v>116</v>
      </c>
      <c r="U124" s="69" t="e">
        <f>U123/VLOOKUP(C123,#REF!,7,0)</f>
        <v>#REF!</v>
      </c>
      <c r="V124" s="576"/>
      <c r="W124" s="28"/>
      <c r="X124" s="28"/>
      <c r="Y124" s="28"/>
      <c r="AA124" s="27"/>
      <c r="AD124" s="33" t="str">
        <f t="shared" ref="AD124" si="10">C123&amp;F124</f>
        <v>KosovoUSD bn</v>
      </c>
    </row>
    <row r="125" spans="1:30" ht="90" customHeight="1">
      <c r="A125" s="40"/>
      <c r="B125" s="40"/>
      <c r="C125" s="633"/>
      <c r="D125" s="630"/>
      <c r="E125" s="12"/>
      <c r="F125" s="31" t="s">
        <v>117</v>
      </c>
      <c r="G125" s="17" t="e">
        <f>(G123/VLOOKUP(C123,#REF!,4,0))*100</f>
        <v>#REF!</v>
      </c>
      <c r="H125" s="17" t="e">
        <f>(H123/VLOOKUP($C123,#REF!,4,0))*100</f>
        <v>#REF!</v>
      </c>
      <c r="I125" s="602"/>
      <c r="J125" s="17" t="e">
        <f>J123/VLOOKUP($C123,#REF!,4,0)*100</f>
        <v>#REF!</v>
      </c>
      <c r="K125" s="583"/>
      <c r="L125" s="19"/>
      <c r="M125" s="577"/>
      <c r="N125" s="12"/>
      <c r="O125" s="31" t="s">
        <v>117</v>
      </c>
      <c r="P125" s="267" t="e">
        <f t="shared" si="8"/>
        <v>#REF!</v>
      </c>
      <c r="Q125" s="418"/>
      <c r="R125" s="577"/>
      <c r="S125" s="12"/>
      <c r="T125" s="31" t="s">
        <v>117</v>
      </c>
      <c r="U125" s="17" t="e">
        <f>(U123/VLOOKUP(C123,#REF!,4,0))*100</f>
        <v>#REF!</v>
      </c>
      <c r="V125" s="577"/>
      <c r="W125" s="19"/>
      <c r="X125" s="19"/>
      <c r="Y125" s="19"/>
      <c r="AA125" s="27"/>
      <c r="AD125" s="33" t="str">
        <f t="shared" ref="AD125" si="11">C123&amp;F125</f>
        <v>Kosovo% GDP</v>
      </c>
    </row>
    <row r="126" spans="1:30" ht="46.5" customHeight="1">
      <c r="A126" s="638">
        <v>0</v>
      </c>
      <c r="B126" s="638" t="s">
        <v>861</v>
      </c>
      <c r="C126" s="632" t="s">
        <v>92</v>
      </c>
      <c r="D126" s="629" t="s">
        <v>570</v>
      </c>
      <c r="E126" s="13"/>
      <c r="F126" s="37" t="s">
        <v>115</v>
      </c>
      <c r="G126" s="53">
        <f>H126+J126</f>
        <v>8.0500000000000007</v>
      </c>
      <c r="H126" s="74">
        <v>1.3</v>
      </c>
      <c r="I126" s="575" t="s">
        <v>639</v>
      </c>
      <c r="J126" s="53">
        <v>6.75</v>
      </c>
      <c r="K126" s="575" t="s">
        <v>1199</v>
      </c>
      <c r="L126" s="18"/>
      <c r="M126" s="18"/>
      <c r="N126" s="13"/>
      <c r="O126" s="32" t="s">
        <v>115</v>
      </c>
      <c r="P126" s="266">
        <f t="shared" si="8"/>
        <v>4.3449999999999998</v>
      </c>
      <c r="Q126" s="177">
        <f>4+0.2+0.145</f>
        <v>4.3449999999999998</v>
      </c>
      <c r="R126" s="575" t="s">
        <v>729</v>
      </c>
      <c r="S126" s="13"/>
      <c r="T126" s="32" t="s">
        <v>115</v>
      </c>
      <c r="U126" s="53"/>
      <c r="V126" s="575"/>
      <c r="W126" s="18"/>
      <c r="X126" s="18"/>
      <c r="Y126" s="18"/>
      <c r="Z126" s="13"/>
      <c r="AA126" s="18"/>
      <c r="AD126" s="33" t="str">
        <f>C126&amp;F126</f>
        <v>MauritiusLC bn</v>
      </c>
    </row>
    <row r="127" spans="1:30" ht="42.65" customHeight="1">
      <c r="A127" s="638"/>
      <c r="B127" s="638"/>
      <c r="C127" s="632"/>
      <c r="D127" s="629"/>
      <c r="E127" s="10"/>
      <c r="F127" s="32" t="s">
        <v>116</v>
      </c>
      <c r="G127" s="69" t="e">
        <f>G126/VLOOKUP(C126,#REF!,7,0)</f>
        <v>#REF!</v>
      </c>
      <c r="H127" s="69" t="e">
        <f>H126/VLOOKUP($C126,#REF!,7,0)</f>
        <v>#REF!</v>
      </c>
      <c r="I127" s="576"/>
      <c r="J127" s="69" t="e">
        <f>J126/VLOOKUP($C126,#REF!,7,0)</f>
        <v>#REF!</v>
      </c>
      <c r="K127" s="576"/>
      <c r="L127" s="28"/>
      <c r="M127" s="28"/>
      <c r="N127" s="10"/>
      <c r="O127" s="32" t="s">
        <v>116</v>
      </c>
      <c r="P127" s="248" t="e">
        <f t="shared" si="8"/>
        <v>#REF!</v>
      </c>
      <c r="Q127" s="170" t="e">
        <f>Q126/VLOOKUP(C126,#REF!,7,0)</f>
        <v>#REF!</v>
      </c>
      <c r="R127" s="576"/>
      <c r="S127" s="10"/>
      <c r="T127" s="32" t="s">
        <v>116</v>
      </c>
      <c r="U127" s="56"/>
      <c r="V127" s="576"/>
      <c r="W127" s="28"/>
      <c r="X127" s="28"/>
      <c r="Y127" s="28"/>
      <c r="Z127" s="10"/>
      <c r="AA127" s="28"/>
      <c r="AD127" s="33" t="str">
        <f>C126&amp;F127</f>
        <v>MauritiusUSD bn</v>
      </c>
    </row>
    <row r="128" spans="1:30" ht="56.5" customHeight="1">
      <c r="A128" s="638"/>
      <c r="B128" s="638"/>
      <c r="C128" s="633"/>
      <c r="D128" s="630"/>
      <c r="E128" s="12"/>
      <c r="F128" s="31" t="s">
        <v>117</v>
      </c>
      <c r="G128" s="17" t="e">
        <f>(G126/VLOOKUP(C126,#REF!,4,0))*100</f>
        <v>#REF!</v>
      </c>
      <c r="H128" s="17" t="e">
        <f>(H126/VLOOKUP($C126,#REF!,4,0))*100</f>
        <v>#REF!</v>
      </c>
      <c r="I128" s="577"/>
      <c r="J128" s="17" t="e">
        <f>J126/VLOOKUP($C126,#REF!,4,0)*100</f>
        <v>#REF!</v>
      </c>
      <c r="K128" s="577"/>
      <c r="L128" s="19"/>
      <c r="M128" s="19"/>
      <c r="N128" s="12"/>
      <c r="O128" s="31" t="s">
        <v>117</v>
      </c>
      <c r="P128" s="267" t="e">
        <f t="shared" si="8"/>
        <v>#REF!</v>
      </c>
      <c r="Q128" s="168" t="e">
        <f>(Q126/VLOOKUP(C126,#REF!,4,0))*100</f>
        <v>#REF!</v>
      </c>
      <c r="R128" s="577"/>
      <c r="S128" s="12"/>
      <c r="T128" s="31" t="s">
        <v>117</v>
      </c>
      <c r="U128" s="17"/>
      <c r="V128" s="577"/>
      <c r="W128" s="19"/>
      <c r="X128" s="19"/>
      <c r="Y128" s="19"/>
      <c r="Z128" s="1"/>
      <c r="AA128" s="26"/>
      <c r="AD128" s="33" t="str">
        <f>C126&amp;F128</f>
        <v>Mauritius% GDP</v>
      </c>
    </row>
    <row r="129" spans="1:30" ht="90" customHeight="1">
      <c r="A129" s="40"/>
      <c r="B129" s="40"/>
      <c r="C129" s="631" t="s">
        <v>1064</v>
      </c>
      <c r="D129" s="628" t="s">
        <v>570</v>
      </c>
      <c r="E129" s="36"/>
      <c r="F129" s="32" t="s">
        <v>115</v>
      </c>
      <c r="G129" s="56">
        <f>H129+J129</f>
        <v>0.2</v>
      </c>
      <c r="H129" s="74">
        <v>0.1</v>
      </c>
      <c r="I129" s="600" t="s">
        <v>1179</v>
      </c>
      <c r="J129" s="56">
        <v>0.1</v>
      </c>
      <c r="K129" s="581" t="s">
        <v>1196</v>
      </c>
      <c r="L129" s="28"/>
      <c r="M129" s="575"/>
      <c r="N129" s="36"/>
      <c r="O129" s="32" t="s">
        <v>115</v>
      </c>
      <c r="P129" s="266">
        <f t="shared" si="8"/>
        <v>0.1</v>
      </c>
      <c r="Q129" s="178"/>
      <c r="R129" s="28"/>
      <c r="S129" s="36"/>
      <c r="T129" s="32" t="s">
        <v>115</v>
      </c>
      <c r="U129" s="56">
        <v>0.05</v>
      </c>
      <c r="V129" s="575" t="s">
        <v>1180</v>
      </c>
      <c r="W129" s="247">
        <v>0.05</v>
      </c>
      <c r="X129" s="28"/>
      <c r="Y129" s="28"/>
      <c r="AA129" s="27"/>
      <c r="AD129" s="33" t="str">
        <f t="shared" ref="AD129" si="12">C129&amp;F129</f>
        <v>Montenegro, Rep. ofLC bn</v>
      </c>
    </row>
    <row r="130" spans="1:30" ht="90" customHeight="1">
      <c r="A130" s="40">
        <v>0</v>
      </c>
      <c r="B130" s="40" t="s">
        <v>861</v>
      </c>
      <c r="C130" s="632"/>
      <c r="D130" s="629"/>
      <c r="E130" s="36"/>
      <c r="F130" s="32" t="s">
        <v>116</v>
      </c>
      <c r="G130" s="69" t="e">
        <f>G129/VLOOKUP($C129,#REF!,7,0)</f>
        <v>#REF!</v>
      </c>
      <c r="H130" s="69" t="e">
        <f>H129/VLOOKUP($C129,#REF!,7,0)</f>
        <v>#REF!</v>
      </c>
      <c r="I130" s="601"/>
      <c r="J130" s="69" t="e">
        <f>J129/VLOOKUP($C129,#REF!,7,0)</f>
        <v>#REF!</v>
      </c>
      <c r="K130" s="582"/>
      <c r="L130" s="28"/>
      <c r="M130" s="576"/>
      <c r="N130" s="36"/>
      <c r="O130" s="32" t="s">
        <v>116</v>
      </c>
      <c r="P130" s="248" t="e">
        <f t="shared" si="8"/>
        <v>#REF!</v>
      </c>
      <c r="Q130" s="178"/>
      <c r="R130" s="28"/>
      <c r="S130" s="36"/>
      <c r="T130" s="32" t="s">
        <v>116</v>
      </c>
      <c r="U130" s="69" t="e">
        <f>U129/VLOOKUP(C129,#REF!,7,0)</f>
        <v>#REF!</v>
      </c>
      <c r="V130" s="576"/>
      <c r="W130" s="421"/>
      <c r="X130" s="28" t="s">
        <v>1216</v>
      </c>
      <c r="Y130" s="28"/>
      <c r="AA130" s="27"/>
      <c r="AD130" s="33" t="str">
        <f t="shared" ref="AD130" si="13">C129&amp;F130</f>
        <v>Montenegro, Rep. ofUSD bn</v>
      </c>
    </row>
    <row r="131" spans="1:30" ht="73" customHeight="1">
      <c r="A131" s="40"/>
      <c r="B131" s="40"/>
      <c r="C131" s="633"/>
      <c r="D131" s="630"/>
      <c r="E131" s="12"/>
      <c r="F131" s="31" t="s">
        <v>117</v>
      </c>
      <c r="G131" s="17" t="e">
        <f>(G129/VLOOKUP(C129,#REF!,4,0))*100</f>
        <v>#REF!</v>
      </c>
      <c r="H131" s="17" t="e">
        <f>(H129/VLOOKUP($C129,#REF!,4,0))*100</f>
        <v>#REF!</v>
      </c>
      <c r="I131" s="602"/>
      <c r="J131" s="17" t="e">
        <f>J129/VLOOKUP($C129,#REF!,4,0)*100</f>
        <v>#REF!</v>
      </c>
      <c r="K131" s="583"/>
      <c r="L131" s="19"/>
      <c r="M131" s="577"/>
      <c r="N131" s="12"/>
      <c r="O131" s="31" t="s">
        <v>117</v>
      </c>
      <c r="P131" s="267" t="e">
        <f t="shared" si="8"/>
        <v>#REF!</v>
      </c>
      <c r="Q131" s="168"/>
      <c r="R131" s="23"/>
      <c r="S131" s="12"/>
      <c r="T131" s="31" t="s">
        <v>117</v>
      </c>
      <c r="U131" s="17" t="e">
        <f>(U129/VLOOKUP(C129,#REF!,4,0))*100</f>
        <v>#REF!</v>
      </c>
      <c r="V131" s="577"/>
      <c r="W131" s="422"/>
      <c r="X131" s="19"/>
      <c r="Y131" s="28"/>
      <c r="AA131" s="27"/>
      <c r="AD131" s="33" t="str">
        <f t="shared" ref="AD131" si="14">C129&amp;F131</f>
        <v>Montenegro, Rep. of% GDP</v>
      </c>
    </row>
    <row r="132" spans="1:30" ht="90" customHeight="1">
      <c r="A132" s="40"/>
      <c r="B132" s="40"/>
      <c r="C132" s="631" t="s">
        <v>963</v>
      </c>
      <c r="D132" s="628" t="s">
        <v>570</v>
      </c>
      <c r="E132" s="36"/>
      <c r="F132" s="32" t="s">
        <v>115</v>
      </c>
      <c r="G132" s="95">
        <f>H132+J132</f>
        <v>13.7</v>
      </c>
      <c r="H132" s="74"/>
      <c r="I132" s="600" t="s">
        <v>1184</v>
      </c>
      <c r="J132" s="95">
        <v>13.7</v>
      </c>
      <c r="K132" s="581" t="s">
        <v>1185</v>
      </c>
      <c r="L132" s="28"/>
      <c r="M132" s="575"/>
      <c r="N132" s="36"/>
      <c r="O132" s="32" t="s">
        <v>115</v>
      </c>
      <c r="P132" s="266">
        <f t="shared" si="8"/>
        <v>3.9000000000000004</v>
      </c>
      <c r="Q132" s="178"/>
      <c r="R132" s="28"/>
      <c r="S132" s="36"/>
      <c r="T132" s="32" t="s">
        <v>115</v>
      </c>
      <c r="U132" s="56">
        <v>0.8</v>
      </c>
      <c r="V132" s="575" t="s">
        <v>1186</v>
      </c>
      <c r="W132" s="28">
        <v>3.1</v>
      </c>
      <c r="X132" s="28"/>
      <c r="Y132" s="28"/>
      <c r="AA132" s="27"/>
      <c r="AD132" s="33" t="str">
        <f t="shared" ref="AD132" si="15">C132&amp;F132</f>
        <v>North MacedoniaLC bn</v>
      </c>
    </row>
    <row r="133" spans="1:30" ht="90" customHeight="1">
      <c r="A133" s="40">
        <v>0</v>
      </c>
      <c r="B133" s="40" t="s">
        <v>861</v>
      </c>
      <c r="C133" s="632"/>
      <c r="D133" s="629"/>
      <c r="E133" s="36"/>
      <c r="F133" s="32" t="s">
        <v>116</v>
      </c>
      <c r="G133" s="69" t="e">
        <f>G132/VLOOKUP(C132,#REF!,7,0)</f>
        <v>#REF!</v>
      </c>
      <c r="H133" s="69"/>
      <c r="I133" s="601"/>
      <c r="J133" s="69" t="e">
        <f>J132/VLOOKUP($C132,#REF!,7,0)</f>
        <v>#REF!</v>
      </c>
      <c r="K133" s="582"/>
      <c r="L133" s="28"/>
      <c r="M133" s="576"/>
      <c r="N133" s="36"/>
      <c r="O133" s="32" t="s">
        <v>116</v>
      </c>
      <c r="P133" s="248" t="e">
        <f t="shared" si="8"/>
        <v>#REF!</v>
      </c>
      <c r="Q133" s="178"/>
      <c r="R133" s="28"/>
      <c r="S133" s="36"/>
      <c r="T133" s="32" t="s">
        <v>116</v>
      </c>
      <c r="U133" s="69" t="e">
        <f>U132/VLOOKUP(C132,#REF!,7,0)</f>
        <v>#REF!</v>
      </c>
      <c r="V133" s="576"/>
      <c r="W133" s="421"/>
      <c r="X133" s="28" t="s">
        <v>1187</v>
      </c>
      <c r="Y133" s="28"/>
      <c r="AA133" s="27"/>
      <c r="AD133" s="33" t="str">
        <f t="shared" ref="AD133" si="16">C132&amp;F133</f>
        <v>North MacedoniaUSD bn</v>
      </c>
    </row>
    <row r="134" spans="1:30" ht="90" customHeight="1">
      <c r="A134" s="40"/>
      <c r="B134" s="40"/>
      <c r="C134" s="633"/>
      <c r="D134" s="630"/>
      <c r="E134" s="12"/>
      <c r="F134" s="31" t="s">
        <v>117</v>
      </c>
      <c r="G134" s="17" t="e">
        <f>(G132/VLOOKUP(C132,#REF!,4,0))*100</f>
        <v>#REF!</v>
      </c>
      <c r="H134" s="17"/>
      <c r="I134" s="602"/>
      <c r="J134" s="17" t="e">
        <f>J132/VLOOKUP($C132,#REF!,4,0)*100</f>
        <v>#REF!</v>
      </c>
      <c r="K134" s="583"/>
      <c r="L134" s="19"/>
      <c r="M134" s="577"/>
      <c r="N134" s="12"/>
      <c r="O134" s="31" t="s">
        <v>117</v>
      </c>
      <c r="P134" s="267" t="e">
        <f t="shared" si="8"/>
        <v>#REF!</v>
      </c>
      <c r="Q134" s="168"/>
      <c r="R134" s="23"/>
      <c r="S134" s="12"/>
      <c r="T134" s="31" t="s">
        <v>117</v>
      </c>
      <c r="U134" s="17" t="e">
        <f>(U132/VLOOKUP(C132,#REF!,4,0))*100</f>
        <v>#REF!</v>
      </c>
      <c r="V134" s="577"/>
      <c r="W134" s="422"/>
      <c r="X134" s="19"/>
      <c r="Y134" s="28"/>
      <c r="AA134" s="27"/>
      <c r="AD134" s="33" t="str">
        <f t="shared" ref="AD134" si="17">C132&amp;F134</f>
        <v>North Macedonia% GDP</v>
      </c>
    </row>
    <row r="135" spans="1:30" ht="82.5" customHeight="1">
      <c r="A135" s="638">
        <v>0</v>
      </c>
      <c r="B135" s="638" t="s">
        <v>861</v>
      </c>
      <c r="C135" s="632" t="s">
        <v>554</v>
      </c>
      <c r="D135" s="629" t="s">
        <v>571</v>
      </c>
      <c r="E135" s="6"/>
      <c r="F135" s="37" t="s">
        <v>115</v>
      </c>
      <c r="G135" s="81">
        <f>H135+J135</f>
        <v>828</v>
      </c>
      <c r="H135" s="81">
        <v>178</v>
      </c>
      <c r="I135" s="575" t="s">
        <v>725</v>
      </c>
      <c r="J135" s="95">
        <f>600+50</f>
        <v>650</v>
      </c>
      <c r="K135" s="575" t="s">
        <v>726</v>
      </c>
      <c r="L135" s="95">
        <v>480</v>
      </c>
      <c r="M135" s="575" t="s">
        <v>727</v>
      </c>
      <c r="N135" s="6"/>
      <c r="O135" s="37" t="s">
        <v>115</v>
      </c>
      <c r="P135" s="53" t="s">
        <v>84</v>
      </c>
      <c r="Q135" s="170"/>
      <c r="R135" s="28"/>
      <c r="S135" s="6"/>
      <c r="T135" s="37" t="s">
        <v>115</v>
      </c>
      <c r="U135" s="69"/>
      <c r="V135" s="28"/>
      <c r="W135" s="28" t="s">
        <v>84</v>
      </c>
      <c r="X135" s="590" t="s">
        <v>728</v>
      </c>
      <c r="Y135" s="28"/>
      <c r="AA135" s="27"/>
      <c r="AD135" s="33" t="str">
        <f>C135&amp;F135</f>
        <v>PakistanLC bn</v>
      </c>
    </row>
    <row r="136" spans="1:30" ht="96.65" customHeight="1">
      <c r="A136" s="638"/>
      <c r="B136" s="638"/>
      <c r="C136" s="632"/>
      <c r="D136" s="629"/>
      <c r="E136" s="6"/>
      <c r="F136" s="32" t="s">
        <v>116</v>
      </c>
      <c r="G136" s="69" t="e">
        <f>G135/VLOOKUP($C135,#REF!,7,0)</f>
        <v>#REF!</v>
      </c>
      <c r="H136" s="69" t="e">
        <f>H135/VLOOKUP($C135,#REF!,7,0)</f>
        <v>#REF!</v>
      </c>
      <c r="I136" s="576"/>
      <c r="J136" s="69" t="e">
        <f>J135/VLOOKUP($C135,#REF!,7,0)</f>
        <v>#REF!</v>
      </c>
      <c r="K136" s="576"/>
      <c r="L136" s="69" t="e">
        <f>L135/VLOOKUP($C135,#REF!,7,0)</f>
        <v>#REF!</v>
      </c>
      <c r="M136" s="576"/>
      <c r="N136" s="6"/>
      <c r="O136" s="32" t="s">
        <v>116</v>
      </c>
      <c r="P136" s="248"/>
      <c r="Q136" s="69"/>
      <c r="R136" s="28"/>
      <c r="S136" s="6"/>
      <c r="T136" s="32" t="s">
        <v>116</v>
      </c>
      <c r="U136" s="69"/>
      <c r="V136" s="28"/>
      <c r="W136" s="28"/>
      <c r="X136" s="591"/>
      <c r="Y136" s="28"/>
      <c r="AA136" s="27"/>
      <c r="AD136" s="33" t="str">
        <f>C135&amp;F136</f>
        <v>PakistanUSD bn</v>
      </c>
    </row>
    <row r="137" spans="1:30" ht="92.5" customHeight="1">
      <c r="A137" s="638"/>
      <c r="B137" s="638"/>
      <c r="C137" s="633"/>
      <c r="D137" s="630"/>
      <c r="E137" s="6"/>
      <c r="F137" s="31" t="s">
        <v>117</v>
      </c>
      <c r="G137" s="17" t="e">
        <f>(G135/VLOOKUP($C135,#REF!,4,0))*100</f>
        <v>#REF!</v>
      </c>
      <c r="H137" s="17" t="e">
        <f>(H135/VLOOKUP($C135,#REF!,4,0))*100</f>
        <v>#REF!</v>
      </c>
      <c r="I137" s="577"/>
      <c r="J137" s="17" t="e">
        <f>(J135/VLOOKUP($C135,#REF!,4,0))*100</f>
        <v>#REF!</v>
      </c>
      <c r="K137" s="577"/>
      <c r="L137" s="17" t="e">
        <f>(L135/VLOOKUP($C135,#REF!,4,0))*100</f>
        <v>#REF!</v>
      </c>
      <c r="M137" s="577"/>
      <c r="N137" s="12"/>
      <c r="O137" s="31" t="s">
        <v>117</v>
      </c>
      <c r="P137" s="267"/>
      <c r="Q137" s="17"/>
      <c r="R137" s="19"/>
      <c r="S137" s="12"/>
      <c r="T137" s="31" t="s">
        <v>117</v>
      </c>
      <c r="U137" s="17"/>
      <c r="V137" s="19"/>
      <c r="W137" s="19"/>
      <c r="X137" s="592"/>
      <c r="Y137" s="28"/>
      <c r="AA137" s="27"/>
      <c r="AD137" s="33" t="str">
        <f>C135&amp;F137</f>
        <v>Pakistan% GDP</v>
      </c>
    </row>
    <row r="138" spans="1:30" ht="42.65" customHeight="1">
      <c r="A138" s="638">
        <v>0</v>
      </c>
      <c r="B138" s="638" t="s">
        <v>861</v>
      </c>
      <c r="C138" s="632" t="s">
        <v>555</v>
      </c>
      <c r="D138" s="629" t="s">
        <v>570</v>
      </c>
      <c r="E138" s="6"/>
      <c r="F138" s="37" t="s">
        <v>115</v>
      </c>
      <c r="G138" s="81">
        <v>55</v>
      </c>
      <c r="H138" s="69">
        <f>3+0.033</f>
        <v>3.0329999999999999</v>
      </c>
      <c r="I138" s="575" t="s">
        <v>641</v>
      </c>
      <c r="J138" s="81">
        <v>42</v>
      </c>
      <c r="K138" s="575" t="s">
        <v>1200</v>
      </c>
      <c r="L138" s="81">
        <v>13.6</v>
      </c>
      <c r="M138" s="575" t="s">
        <v>585</v>
      </c>
      <c r="N138" s="6"/>
      <c r="O138" s="37" t="s">
        <v>115</v>
      </c>
      <c r="P138" s="264">
        <f t="shared" si="8"/>
        <v>62.8</v>
      </c>
      <c r="Q138" s="69"/>
      <c r="R138" s="28"/>
      <c r="S138" s="6"/>
      <c r="T138" s="37" t="s">
        <v>115</v>
      </c>
      <c r="U138" s="81">
        <v>62.8</v>
      </c>
      <c r="V138" s="575" t="s">
        <v>1201</v>
      </c>
      <c r="W138" s="69"/>
      <c r="X138" s="619"/>
      <c r="Y138" s="28"/>
      <c r="AA138" s="27"/>
      <c r="AD138" s="33" t="str">
        <f>C138&amp;F138</f>
        <v>PeruLC bn</v>
      </c>
    </row>
    <row r="139" spans="1:30" ht="37" customHeight="1">
      <c r="A139" s="638"/>
      <c r="B139" s="638"/>
      <c r="C139" s="632"/>
      <c r="D139" s="629"/>
      <c r="E139" s="6"/>
      <c r="F139" s="32" t="s">
        <v>116</v>
      </c>
      <c r="G139" s="81" t="e">
        <f>G138/VLOOKUP($C138,#REF!,7,0)</f>
        <v>#REF!</v>
      </c>
      <c r="H139" s="69" t="e">
        <f>H138/VLOOKUP($C138,#REF!,7,0)</f>
        <v>#REF!</v>
      </c>
      <c r="I139" s="576"/>
      <c r="J139" s="81" t="e">
        <f>J138/VLOOKUP($C138,#REF!,7,0)</f>
        <v>#REF!</v>
      </c>
      <c r="K139" s="576"/>
      <c r="L139" s="69" t="e">
        <f>L138/VLOOKUP($C138,#REF!,7,0)</f>
        <v>#REF!</v>
      </c>
      <c r="M139" s="576"/>
      <c r="N139" s="6"/>
      <c r="O139" s="32" t="s">
        <v>116</v>
      </c>
      <c r="P139" s="265" t="e">
        <f t="shared" si="8"/>
        <v>#REF!</v>
      </c>
      <c r="Q139" s="69"/>
      <c r="R139" s="28"/>
      <c r="S139" s="6"/>
      <c r="T139" s="32" t="s">
        <v>116</v>
      </c>
      <c r="U139" s="81" t="e">
        <f>U138/VLOOKUP($C138,#REF!,7,0)</f>
        <v>#REF!</v>
      </c>
      <c r="V139" s="576"/>
      <c r="W139" s="28"/>
      <c r="X139" s="620"/>
      <c r="Y139" s="28"/>
      <c r="AA139" s="27"/>
      <c r="AD139" s="33" t="str">
        <f>C138&amp;F139</f>
        <v>PeruUSD bn</v>
      </c>
    </row>
    <row r="140" spans="1:30" ht="44.5" customHeight="1">
      <c r="A140" s="638"/>
      <c r="B140" s="638"/>
      <c r="C140" s="633"/>
      <c r="D140" s="630"/>
      <c r="E140" s="6"/>
      <c r="F140" s="31" t="s">
        <v>117</v>
      </c>
      <c r="G140" s="17" t="e">
        <f>(G138/VLOOKUP($C138,#REF!,4,0))*100</f>
        <v>#REF!</v>
      </c>
      <c r="H140" s="17" t="e">
        <f>(H138/VLOOKUP($C138,#REF!,4,0))*100</f>
        <v>#REF!</v>
      </c>
      <c r="I140" s="577"/>
      <c r="J140" s="17" t="e">
        <f>(J138/VLOOKUP($C138,#REF!,4,0))*100</f>
        <v>#REF!</v>
      </c>
      <c r="K140" s="577"/>
      <c r="L140" s="17" t="e">
        <f>(L138/VLOOKUP($C138,#REF!,4,0))*100</f>
        <v>#REF!</v>
      </c>
      <c r="M140" s="577"/>
      <c r="N140" s="12"/>
      <c r="O140" s="31" t="s">
        <v>117</v>
      </c>
      <c r="P140" s="267" t="e">
        <f t="shared" si="8"/>
        <v>#REF!</v>
      </c>
      <c r="Q140" s="17"/>
      <c r="R140" s="19"/>
      <c r="S140" s="12"/>
      <c r="T140" s="31" t="s">
        <v>117</v>
      </c>
      <c r="U140" s="17" t="e">
        <f>(U138/VLOOKUP($C138,#REF!,4,0))*100</f>
        <v>#REF!</v>
      </c>
      <c r="V140" s="577"/>
      <c r="W140" s="19"/>
      <c r="X140" s="621"/>
      <c r="Y140" s="28"/>
      <c r="AA140" s="27"/>
      <c r="AD140" s="33" t="str">
        <f>C138&amp;F140</f>
        <v>Peru% GDP</v>
      </c>
    </row>
    <row r="141" spans="1:30" ht="40" customHeight="1">
      <c r="A141" s="638">
        <v>0</v>
      </c>
      <c r="B141" s="638" t="s">
        <v>861</v>
      </c>
      <c r="C141" s="632" t="s">
        <v>556</v>
      </c>
      <c r="D141" s="629" t="s">
        <v>571</v>
      </c>
      <c r="E141" s="6"/>
      <c r="F141" s="37" t="s">
        <v>115</v>
      </c>
      <c r="G141" s="81">
        <v>421.9</v>
      </c>
      <c r="H141" s="81">
        <v>64.099999999999994</v>
      </c>
      <c r="I141" s="575" t="s">
        <v>790</v>
      </c>
      <c r="J141" s="81">
        <f>315.8+42</f>
        <v>357.8</v>
      </c>
      <c r="K141" s="575" t="s">
        <v>743</v>
      </c>
      <c r="L141" s="69"/>
      <c r="M141" s="28"/>
      <c r="N141" s="6"/>
      <c r="O141" s="37" t="s">
        <v>115</v>
      </c>
      <c r="P141" s="264">
        <f t="shared" si="8"/>
        <v>193.8</v>
      </c>
      <c r="Q141" s="69">
        <f>2.8+70</f>
        <v>72.8</v>
      </c>
      <c r="R141" s="575" t="s">
        <v>810</v>
      </c>
      <c r="S141" s="6"/>
      <c r="T141" s="37" t="s">
        <v>115</v>
      </c>
      <c r="U141" s="81">
        <v>120</v>
      </c>
      <c r="V141" s="575" t="s">
        <v>579</v>
      </c>
      <c r="W141" s="69">
        <v>1</v>
      </c>
      <c r="X141" s="575" t="s">
        <v>580</v>
      </c>
      <c r="Y141" s="28"/>
      <c r="AA141" s="27"/>
      <c r="AD141" s="33" t="str">
        <f>C141&amp;F141</f>
        <v>PhilippinesLC bn</v>
      </c>
    </row>
    <row r="142" spans="1:30" ht="40" customHeight="1">
      <c r="A142" s="638"/>
      <c r="B142" s="638"/>
      <c r="C142" s="632"/>
      <c r="D142" s="629"/>
      <c r="E142" s="6"/>
      <c r="F142" s="32" t="s">
        <v>116</v>
      </c>
      <c r="G142" s="69" t="e">
        <f>G141/VLOOKUP($C141,#REF!,7,0)</f>
        <v>#REF!</v>
      </c>
      <c r="H142" s="69" t="e">
        <f>H141/VLOOKUP($C141,#REF!,7,0)</f>
        <v>#REF!</v>
      </c>
      <c r="I142" s="576"/>
      <c r="J142" s="69" t="e">
        <f>J141/VLOOKUP($C141,#REF!,7,0)</f>
        <v>#REF!</v>
      </c>
      <c r="K142" s="576"/>
      <c r="L142" s="69"/>
      <c r="M142" s="28"/>
      <c r="N142" s="6"/>
      <c r="O142" s="32" t="s">
        <v>116</v>
      </c>
      <c r="P142" s="248" t="e">
        <f t="shared" si="8"/>
        <v>#REF!</v>
      </c>
      <c r="Q142" s="69" t="e">
        <f>Q141/VLOOKUP($C141,#REF!,7,0)</f>
        <v>#REF!</v>
      </c>
      <c r="R142" s="576"/>
      <c r="S142" s="6"/>
      <c r="T142" s="32" t="s">
        <v>116</v>
      </c>
      <c r="U142" s="69" t="e">
        <f>U141/VLOOKUP($C141,#REF!,7,0)</f>
        <v>#REF!</v>
      </c>
      <c r="V142" s="576"/>
      <c r="W142" s="69" t="e">
        <f>W141/VLOOKUP($C141,#REF!,7,0)</f>
        <v>#REF!</v>
      </c>
      <c r="X142" s="576"/>
      <c r="Y142" s="28"/>
      <c r="AA142" s="27"/>
      <c r="AD142" s="33" t="str">
        <f>C141&amp;F142</f>
        <v>PhilippinesUSD bn</v>
      </c>
    </row>
    <row r="143" spans="1:30" ht="40" customHeight="1">
      <c r="A143" s="638"/>
      <c r="B143" s="638"/>
      <c r="C143" s="633"/>
      <c r="D143" s="630"/>
      <c r="E143" s="6"/>
      <c r="F143" s="31" t="s">
        <v>117</v>
      </c>
      <c r="G143" s="17" t="e">
        <f>(G141/VLOOKUP($C141,#REF!,4,0))*100</f>
        <v>#REF!</v>
      </c>
      <c r="H143" s="17" t="e">
        <f>(H141/VLOOKUP($C141,#REF!,4,0))*100</f>
        <v>#REF!</v>
      </c>
      <c r="I143" s="577"/>
      <c r="J143" s="17" t="e">
        <f>(J141/VLOOKUP($C141,#REF!,4,0))*100</f>
        <v>#REF!</v>
      </c>
      <c r="K143" s="577"/>
      <c r="L143" s="17"/>
      <c r="M143" s="28"/>
      <c r="N143" s="6"/>
      <c r="O143" s="31" t="s">
        <v>117</v>
      </c>
      <c r="P143" s="267" t="e">
        <f t="shared" si="8"/>
        <v>#REF!</v>
      </c>
      <c r="Q143" s="17" t="e">
        <f>(Q141/VLOOKUP($C141,#REF!,4,0))*100</f>
        <v>#REF!</v>
      </c>
      <c r="R143" s="577"/>
      <c r="S143" s="6"/>
      <c r="T143" s="31" t="s">
        <v>117</v>
      </c>
      <c r="U143" s="17" t="e">
        <f>(U141/VLOOKUP($C141,#REF!,4,0))*100</f>
        <v>#REF!</v>
      </c>
      <c r="V143" s="577"/>
      <c r="W143" s="17" t="e">
        <f>(W141/VLOOKUP($C141,#REF!,4,0))*100</f>
        <v>#REF!</v>
      </c>
      <c r="X143" s="577"/>
      <c r="Y143" s="28"/>
      <c r="AA143" s="27"/>
      <c r="AD143" s="33" t="str">
        <f>C141&amp;F143</f>
        <v>Philippines% GDP</v>
      </c>
    </row>
    <row r="144" spans="1:30" s="10" customFormat="1" ht="60" customHeight="1">
      <c r="A144" s="638">
        <v>0</v>
      </c>
      <c r="B144" s="638" t="s">
        <v>861</v>
      </c>
      <c r="C144" s="632" t="s">
        <v>22</v>
      </c>
      <c r="D144" s="628" t="s">
        <v>570</v>
      </c>
      <c r="E144" s="13"/>
      <c r="F144" s="37" t="s">
        <v>115</v>
      </c>
      <c r="G144" s="93">
        <f>H144+J144</f>
        <v>165.9</v>
      </c>
      <c r="H144" s="53">
        <v>8.5</v>
      </c>
      <c r="I144" s="575" t="s">
        <v>643</v>
      </c>
      <c r="J144" s="93">
        <f>95.5+61.9</f>
        <v>157.4</v>
      </c>
      <c r="K144" s="575" t="s">
        <v>817</v>
      </c>
      <c r="L144" s="74" t="s">
        <v>84</v>
      </c>
      <c r="M144" s="575" t="s">
        <v>656</v>
      </c>
      <c r="N144" s="13"/>
      <c r="O144" s="32" t="s">
        <v>115</v>
      </c>
      <c r="P144" s="264">
        <f t="shared" si="8"/>
        <v>112.1</v>
      </c>
      <c r="Q144" s="177"/>
      <c r="R144" s="575"/>
      <c r="S144" s="13"/>
      <c r="T144" s="293" t="s">
        <v>115</v>
      </c>
      <c r="U144" s="94">
        <f>74</f>
        <v>74</v>
      </c>
      <c r="V144" s="575" t="s">
        <v>622</v>
      </c>
      <c r="W144" s="94">
        <f>100-61.9</f>
        <v>38.1</v>
      </c>
      <c r="X144" s="575" t="s">
        <v>779</v>
      </c>
      <c r="Y144" s="138" t="s">
        <v>189</v>
      </c>
      <c r="Z144" s="13"/>
      <c r="AA144" s="137" t="s">
        <v>188</v>
      </c>
      <c r="AD144" s="33" t="str">
        <f>C144&amp;F144</f>
        <v>PolandLC bn</v>
      </c>
    </row>
    <row r="145" spans="1:30" s="10" customFormat="1" ht="60" customHeight="1">
      <c r="A145" s="638"/>
      <c r="B145" s="638"/>
      <c r="C145" s="632"/>
      <c r="D145" s="629"/>
      <c r="F145" s="32" t="s">
        <v>116</v>
      </c>
      <c r="G145" s="81" t="e">
        <f>G144/VLOOKUP(C144,#REF!,7,0)</f>
        <v>#REF!</v>
      </c>
      <c r="H145" s="69" t="e">
        <f>H144/VLOOKUP($C144,#REF!,7,0)</f>
        <v>#REF!</v>
      </c>
      <c r="I145" s="576"/>
      <c r="J145" s="81" t="e">
        <f>J144/VLOOKUP($C144,#REF!,7,0)</f>
        <v>#REF!</v>
      </c>
      <c r="K145" s="576"/>
      <c r="L145" s="28"/>
      <c r="M145" s="576"/>
      <c r="O145" s="32" t="s">
        <v>116</v>
      </c>
      <c r="P145" s="265" t="e">
        <f t="shared" si="8"/>
        <v>#REF!</v>
      </c>
      <c r="Q145" s="178"/>
      <c r="R145" s="576"/>
      <c r="T145" s="32" t="s">
        <v>116</v>
      </c>
      <c r="U145" s="185" t="e">
        <f>U144/VLOOKUP(C144,#REF!,7,0)</f>
        <v>#REF!</v>
      </c>
      <c r="V145" s="576"/>
      <c r="W145" s="81" t="e">
        <f>W144/VLOOKUP($C144,#REF!,7,0)</f>
        <v>#REF!</v>
      </c>
      <c r="X145" s="576"/>
      <c r="Y145" s="28"/>
      <c r="AA145" s="28"/>
      <c r="AD145" s="33" t="str">
        <f>C144&amp;F145</f>
        <v>PolandUSD bn</v>
      </c>
    </row>
    <row r="146" spans="1:30" ht="81.650000000000006" customHeight="1">
      <c r="A146" s="638"/>
      <c r="B146" s="638"/>
      <c r="C146" s="633"/>
      <c r="D146" s="630"/>
      <c r="E146" s="12"/>
      <c r="F146" s="31" t="s">
        <v>117</v>
      </c>
      <c r="G146" s="17" t="e">
        <f>(G144/VLOOKUP(C144,#REF!,4,0))*100</f>
        <v>#REF!</v>
      </c>
      <c r="H146" s="17" t="e">
        <f>(H144/VLOOKUP($C144,#REF!,4,0))*100</f>
        <v>#REF!</v>
      </c>
      <c r="I146" s="577"/>
      <c r="J146" s="17" t="e">
        <f>(J144/VLOOKUP($C144,#REF!,4,0))*100</f>
        <v>#REF!</v>
      </c>
      <c r="K146" s="577"/>
      <c r="L146" s="19"/>
      <c r="M146" s="577"/>
      <c r="N146" s="12"/>
      <c r="O146" s="31" t="s">
        <v>117</v>
      </c>
      <c r="P146" s="267" t="e">
        <f t="shared" si="8"/>
        <v>#REF!</v>
      </c>
      <c r="Q146" s="168"/>
      <c r="R146" s="577"/>
      <c r="S146" s="12"/>
      <c r="T146" s="31" t="s">
        <v>117</v>
      </c>
      <c r="U146" s="65" t="e">
        <f>(U144/VLOOKUP(C144,#REF!,4,0))*100</f>
        <v>#REF!</v>
      </c>
      <c r="V146" s="577"/>
      <c r="W146" s="17" t="e">
        <f>(W144/VLOOKUP($C144,#REF!,4,0))*100</f>
        <v>#REF!</v>
      </c>
      <c r="X146" s="577"/>
      <c r="Y146" s="19"/>
      <c r="Z146" s="1"/>
      <c r="AA146" s="26"/>
      <c r="AD146" s="33" t="str">
        <f>C144&amp;F146</f>
        <v>Poland% GDP</v>
      </c>
    </row>
    <row r="147" spans="1:30" ht="60" customHeight="1">
      <c r="A147" s="638">
        <v>0</v>
      </c>
      <c r="B147" s="638" t="s">
        <v>861</v>
      </c>
      <c r="C147" s="632" t="s">
        <v>557</v>
      </c>
      <c r="D147" s="628" t="s">
        <v>571</v>
      </c>
      <c r="E147" s="6"/>
      <c r="F147" s="37" t="s">
        <v>115</v>
      </c>
      <c r="G147" s="81">
        <v>16.7</v>
      </c>
      <c r="H147" s="190">
        <v>6.4</v>
      </c>
      <c r="I147" s="575" t="s">
        <v>744</v>
      </c>
      <c r="J147" s="95">
        <f>G147-H147</f>
        <v>10.299999999999999</v>
      </c>
      <c r="K147" s="575" t="s">
        <v>1137</v>
      </c>
      <c r="L147" s="75"/>
      <c r="M147" s="581" t="s">
        <v>746</v>
      </c>
      <c r="N147" s="6"/>
      <c r="O147" s="32" t="s">
        <v>115</v>
      </c>
      <c r="P147" s="264">
        <f t="shared" si="8"/>
        <v>18.2</v>
      </c>
      <c r="Q147" s="170">
        <v>1.7</v>
      </c>
      <c r="R147" s="575" t="s">
        <v>1138</v>
      </c>
      <c r="S147" s="6"/>
      <c r="T147" s="32" t="s">
        <v>115</v>
      </c>
      <c r="U147" s="185">
        <v>16.5</v>
      </c>
      <c r="V147" s="590" t="s">
        <v>1139</v>
      </c>
      <c r="W147" s="28"/>
      <c r="X147" s="28"/>
      <c r="Y147" s="28"/>
      <c r="AA147" s="27"/>
      <c r="AD147" s="33" t="str">
        <f>C147&amp;F147</f>
        <v>RomaniaLC bn</v>
      </c>
    </row>
    <row r="148" spans="1:30" ht="80.150000000000006" customHeight="1">
      <c r="A148" s="638"/>
      <c r="B148" s="638"/>
      <c r="C148" s="632"/>
      <c r="D148" s="629"/>
      <c r="E148" s="6"/>
      <c r="F148" s="32" t="s">
        <v>116</v>
      </c>
      <c r="G148" s="69" t="e">
        <f>G147/VLOOKUP($C147,#REF!,7,0)</f>
        <v>#REF!</v>
      </c>
      <c r="H148" s="69" t="e">
        <f>H147/VLOOKUP($C147,#REF!,7,0)</f>
        <v>#REF!</v>
      </c>
      <c r="I148" s="576"/>
      <c r="J148" s="69" t="e">
        <f>J147/VLOOKUP($C147,#REF!,7,0)</f>
        <v>#REF!</v>
      </c>
      <c r="K148" s="576"/>
      <c r="L148" s="69"/>
      <c r="M148" s="582"/>
      <c r="N148" s="6"/>
      <c r="O148" s="32" t="s">
        <v>116</v>
      </c>
      <c r="P148" s="248" t="e">
        <f t="shared" si="8"/>
        <v>#REF!</v>
      </c>
      <c r="Q148" s="69" t="e">
        <f>Q147/VLOOKUP($C147,#REF!,7,0)</f>
        <v>#REF!</v>
      </c>
      <c r="R148" s="576"/>
      <c r="S148" s="6"/>
      <c r="T148" s="32" t="s">
        <v>116</v>
      </c>
      <c r="U148" s="69" t="e">
        <f>U147/VLOOKUP($C147,#REF!,7,0)</f>
        <v>#REF!</v>
      </c>
      <c r="V148" s="576"/>
      <c r="W148" s="28"/>
      <c r="X148" s="28"/>
      <c r="Y148" s="28"/>
      <c r="AA148" s="27"/>
      <c r="AD148" s="33" t="str">
        <f>C147&amp;F148</f>
        <v>RomaniaUSD bn</v>
      </c>
    </row>
    <row r="149" spans="1:30" ht="126.65" customHeight="1">
      <c r="A149" s="638"/>
      <c r="B149" s="638"/>
      <c r="C149" s="633"/>
      <c r="D149" s="630"/>
      <c r="E149" s="6"/>
      <c r="F149" s="31" t="s">
        <v>117</v>
      </c>
      <c r="G149" s="17" t="e">
        <f>(G147/VLOOKUP($C147,#REF!,4,0))*100</f>
        <v>#REF!</v>
      </c>
      <c r="H149" s="17" t="e">
        <f>(H147/VLOOKUP($C147,#REF!,4,0))*100</f>
        <v>#REF!</v>
      </c>
      <c r="I149" s="577"/>
      <c r="J149" s="17" t="e">
        <f>(J147/VLOOKUP($C147,#REF!,4,0))*100</f>
        <v>#REF!</v>
      </c>
      <c r="K149" s="577"/>
      <c r="L149" s="17"/>
      <c r="M149" s="583"/>
      <c r="N149" s="12"/>
      <c r="O149" s="31" t="s">
        <v>117</v>
      </c>
      <c r="P149" s="267" t="e">
        <f t="shared" si="8"/>
        <v>#REF!</v>
      </c>
      <c r="Q149" s="17" t="e">
        <f>(Q147/VLOOKUP($C147,#REF!,4,0))*100</f>
        <v>#REF!</v>
      </c>
      <c r="R149" s="577"/>
      <c r="S149" s="12"/>
      <c r="T149" s="31" t="s">
        <v>117</v>
      </c>
      <c r="U149" s="17" t="e">
        <f>(U147/VLOOKUP($C147,#REF!,4,0))*100</f>
        <v>#REF!</v>
      </c>
      <c r="V149" s="577"/>
      <c r="W149" s="19"/>
      <c r="X149" s="19"/>
      <c r="Y149" s="28"/>
      <c r="AA149" s="27"/>
      <c r="AD149" s="33" t="str">
        <f>C147&amp;F149</f>
        <v>Romania% GDP</v>
      </c>
    </row>
    <row r="150" spans="1:30" ht="90" customHeight="1">
      <c r="A150" s="40"/>
      <c r="B150" s="40"/>
      <c r="C150" s="631" t="s">
        <v>953</v>
      </c>
      <c r="D150" s="628" t="s">
        <v>570</v>
      </c>
      <c r="E150" s="36"/>
      <c r="F150" s="32" t="s">
        <v>115</v>
      </c>
      <c r="G150" s="95">
        <v>317</v>
      </c>
      <c r="H150" s="74">
        <v>317</v>
      </c>
      <c r="I150" s="600" t="s">
        <v>1181</v>
      </c>
      <c r="J150" s="95">
        <v>16.5</v>
      </c>
      <c r="K150" s="581" t="s">
        <v>1182</v>
      </c>
      <c r="L150" s="28"/>
      <c r="M150" s="575"/>
      <c r="N150" s="36"/>
      <c r="O150" s="32" t="s">
        <v>115</v>
      </c>
      <c r="P150" s="264">
        <f t="shared" si="8"/>
        <v>56.5</v>
      </c>
      <c r="Q150" s="178"/>
      <c r="R150" s="28"/>
      <c r="S150" s="36"/>
      <c r="T150" s="32" t="s">
        <v>115</v>
      </c>
      <c r="U150" s="95">
        <v>56.5</v>
      </c>
      <c r="V150" s="575" t="s">
        <v>1183</v>
      </c>
      <c r="W150" s="28"/>
      <c r="X150" s="28"/>
      <c r="Y150" s="28"/>
      <c r="AA150" s="27"/>
      <c r="AD150" s="33" t="str">
        <f t="shared" ref="AD150" si="18">C150&amp;F150</f>
        <v>SerbiaLC bn</v>
      </c>
    </row>
    <row r="151" spans="1:30" ht="90" customHeight="1">
      <c r="A151" s="40">
        <v>0</v>
      </c>
      <c r="B151" s="40" t="s">
        <v>861</v>
      </c>
      <c r="C151" s="632"/>
      <c r="D151" s="629"/>
      <c r="E151" s="36"/>
      <c r="F151" s="32" t="s">
        <v>116</v>
      </c>
      <c r="G151" s="69" t="e">
        <f>G150/VLOOKUP(C150,#REF!,7,0)</f>
        <v>#REF!</v>
      </c>
      <c r="H151" s="69" t="e">
        <f>H150/VLOOKUP($C150,#REF!,7,0)</f>
        <v>#REF!</v>
      </c>
      <c r="I151" s="601"/>
      <c r="J151" s="69" t="e">
        <f>J150/VLOOKUP($C150,#REF!,7,0)</f>
        <v>#REF!</v>
      </c>
      <c r="K151" s="582"/>
      <c r="L151" s="28"/>
      <c r="M151" s="576"/>
      <c r="N151" s="36"/>
      <c r="O151" s="32" t="s">
        <v>116</v>
      </c>
      <c r="P151" s="248" t="e">
        <f t="shared" si="8"/>
        <v>#REF!</v>
      </c>
      <c r="Q151" s="178"/>
      <c r="R151" s="28"/>
      <c r="S151" s="36"/>
      <c r="T151" s="32" t="s">
        <v>116</v>
      </c>
      <c r="U151" s="69" t="e">
        <f>U150/VLOOKUP(C150,#REF!,7,0)</f>
        <v>#REF!</v>
      </c>
      <c r="V151" s="576"/>
      <c r="W151" s="28"/>
      <c r="X151" s="28"/>
      <c r="Y151" s="28"/>
      <c r="AA151" s="27"/>
      <c r="AD151" s="33" t="str">
        <f t="shared" ref="AD151" si="19">C150&amp;F151</f>
        <v>SerbiaUSD bn</v>
      </c>
    </row>
    <row r="152" spans="1:30" ht="90" customHeight="1">
      <c r="A152" s="40"/>
      <c r="B152" s="40"/>
      <c r="C152" s="633"/>
      <c r="D152" s="630"/>
      <c r="E152" s="12"/>
      <c r="F152" s="31" t="s">
        <v>117</v>
      </c>
      <c r="G152" s="17" t="e">
        <f>(G150/VLOOKUP(C150,#REF!,4,0))*100</f>
        <v>#REF!</v>
      </c>
      <c r="H152" s="17" t="e">
        <f>(H150/VLOOKUP($C150,#REF!,4,0))*100</f>
        <v>#REF!</v>
      </c>
      <c r="I152" s="602"/>
      <c r="J152" s="17" t="e">
        <f>J150/VLOOKUP($C150,#REF!,4,0)*100</f>
        <v>#REF!</v>
      </c>
      <c r="K152" s="583"/>
      <c r="L152" s="19"/>
      <c r="M152" s="577"/>
      <c r="N152" s="12"/>
      <c r="O152" s="31" t="s">
        <v>117</v>
      </c>
      <c r="P152" s="267" t="e">
        <f t="shared" si="8"/>
        <v>#REF!</v>
      </c>
      <c r="Q152" s="168"/>
      <c r="R152" s="23"/>
      <c r="S152" s="12"/>
      <c r="T152" s="31" t="s">
        <v>117</v>
      </c>
      <c r="U152" s="17" t="e">
        <f>(U150/VLOOKUP(C150,#REF!,4,0))*100</f>
        <v>#REF!</v>
      </c>
      <c r="V152" s="577"/>
      <c r="W152" s="19"/>
      <c r="X152" s="19"/>
      <c r="Y152" s="28"/>
      <c r="AA152" s="27"/>
      <c r="AD152" s="33" t="str">
        <f t="shared" ref="AD152" si="20">C150&amp;F152</f>
        <v>Serbia% GDP</v>
      </c>
    </row>
    <row r="153" spans="1:30" ht="133.5" customHeight="1">
      <c r="A153" s="638">
        <v>0</v>
      </c>
      <c r="B153" s="638" t="s">
        <v>861</v>
      </c>
      <c r="C153" s="632" t="s">
        <v>559</v>
      </c>
      <c r="D153" s="629" t="s">
        <v>572</v>
      </c>
      <c r="E153" s="6"/>
      <c r="F153" s="37" t="s">
        <v>115</v>
      </c>
      <c r="G153" s="127">
        <v>1277</v>
      </c>
      <c r="H153" s="69" t="s">
        <v>84</v>
      </c>
      <c r="I153" s="575" t="s">
        <v>645</v>
      </c>
      <c r="J153" s="69" t="s">
        <v>84</v>
      </c>
      <c r="K153" s="639" t="s">
        <v>999</v>
      </c>
      <c r="L153" s="69"/>
      <c r="M153" s="575" t="s">
        <v>1000</v>
      </c>
      <c r="N153" s="6"/>
      <c r="O153" s="32" t="s">
        <v>115</v>
      </c>
      <c r="P153" s="264">
        <f t="shared" si="8"/>
        <v>665</v>
      </c>
      <c r="Q153" s="81">
        <v>90</v>
      </c>
      <c r="R153" s="590" t="s">
        <v>736</v>
      </c>
      <c r="S153" s="6"/>
      <c r="T153" s="32" t="s">
        <v>115</v>
      </c>
      <c r="U153" s="81">
        <v>325</v>
      </c>
      <c r="V153" s="575" t="s">
        <v>567</v>
      </c>
      <c r="W153" s="81">
        <v>250</v>
      </c>
      <c r="X153" s="575" t="s">
        <v>1001</v>
      </c>
      <c r="Y153" s="28"/>
      <c r="AA153" s="27"/>
      <c r="AD153" s="33" t="str">
        <f t="shared" ref="AD153" si="21">C153&amp;F153</f>
        <v>ThailandLC bn</v>
      </c>
    </row>
    <row r="154" spans="1:30" ht="130" customHeight="1">
      <c r="A154" s="638"/>
      <c r="B154" s="638"/>
      <c r="C154" s="632"/>
      <c r="D154" s="629"/>
      <c r="E154" s="6"/>
      <c r="F154" s="32" t="s">
        <v>116</v>
      </c>
      <c r="G154" s="81" t="e">
        <f>G153/VLOOKUP($C153,#REF!,7,0)</f>
        <v>#REF!</v>
      </c>
      <c r="H154" s="69"/>
      <c r="I154" s="576"/>
      <c r="J154" s="69"/>
      <c r="K154" s="576"/>
      <c r="L154" s="69"/>
      <c r="M154" s="576"/>
      <c r="N154" s="6"/>
      <c r="O154" s="32" t="s">
        <v>116</v>
      </c>
      <c r="P154" s="265" t="e">
        <f t="shared" si="8"/>
        <v>#REF!</v>
      </c>
      <c r="Q154" s="69" t="e">
        <f>Q153/VLOOKUP($C153,#REF!,7,0)</f>
        <v>#REF!</v>
      </c>
      <c r="R154" s="591"/>
      <c r="S154" s="6"/>
      <c r="T154" s="32" t="s">
        <v>116</v>
      </c>
      <c r="U154" s="81" t="e">
        <f>U153/VLOOKUP($C153,#REF!,7,0)</f>
        <v>#REF!</v>
      </c>
      <c r="V154" s="576"/>
      <c r="W154" s="69" t="e">
        <f>W153/VLOOKUP($C153,#REF!,7,0)</f>
        <v>#REF!</v>
      </c>
      <c r="X154" s="576"/>
      <c r="Y154" s="28"/>
      <c r="AA154" s="27"/>
      <c r="AD154" s="33" t="str">
        <f t="shared" ref="AD154" si="22">C153&amp;F154</f>
        <v>ThailandUSD bn</v>
      </c>
    </row>
    <row r="155" spans="1:30" ht="229" customHeight="1">
      <c r="A155" s="638"/>
      <c r="B155" s="638"/>
      <c r="C155" s="633"/>
      <c r="D155" s="630"/>
      <c r="E155" s="6"/>
      <c r="F155" s="31" t="s">
        <v>117</v>
      </c>
      <c r="G155" s="17" t="e">
        <f>(G153/VLOOKUP($C153,#REF!,4,0))*100</f>
        <v>#REF!</v>
      </c>
      <c r="H155" s="17"/>
      <c r="I155" s="577"/>
      <c r="J155" s="17"/>
      <c r="K155" s="577"/>
      <c r="L155" s="17"/>
      <c r="M155" s="577"/>
      <c r="N155" s="12"/>
      <c r="O155" s="31" t="s">
        <v>117</v>
      </c>
      <c r="P155" s="267" t="e">
        <f t="shared" si="8"/>
        <v>#REF!</v>
      </c>
      <c r="Q155" s="17" t="e">
        <f>(Q153/VLOOKUP($C153,#REF!,4,0))*100</f>
        <v>#REF!</v>
      </c>
      <c r="R155" s="592"/>
      <c r="S155" s="12"/>
      <c r="T155" s="31" t="s">
        <v>117</v>
      </c>
      <c r="U155" s="17" t="e">
        <f>(U153/VLOOKUP($C153,#REF!,4,0))*100</f>
        <v>#REF!</v>
      </c>
      <c r="V155" s="577"/>
      <c r="W155" s="17" t="e">
        <f>(W153/VLOOKUP($C153,#REF!,4,0))*100</f>
        <v>#REF!</v>
      </c>
      <c r="X155" s="577"/>
      <c r="Y155" s="28"/>
      <c r="AA155" s="27"/>
      <c r="AD155" s="33" t="str">
        <f t="shared" ref="AD155" si="23">C153&amp;F155</f>
        <v>Thailand% GDP</v>
      </c>
    </row>
    <row r="156" spans="1:30" s="10" customFormat="1" ht="79.5" customHeight="1">
      <c r="A156" s="638">
        <v>0</v>
      </c>
      <c r="B156" s="638" t="s">
        <v>861</v>
      </c>
      <c r="C156" s="632" t="s">
        <v>30</v>
      </c>
      <c r="D156" s="629" t="s">
        <v>570</v>
      </c>
      <c r="E156" s="13"/>
      <c r="F156" s="37" t="s">
        <v>115</v>
      </c>
      <c r="G156" s="53">
        <f>H156+J156</f>
        <v>1.8650000000000002</v>
      </c>
      <c r="H156" s="53">
        <v>0.33</v>
      </c>
      <c r="I156" s="575" t="s">
        <v>792</v>
      </c>
      <c r="J156" s="53">
        <f>1.705+0.03-0.2</f>
        <v>1.5350000000000001</v>
      </c>
      <c r="K156" s="575" t="s">
        <v>1202</v>
      </c>
      <c r="L156" s="53">
        <f>0.545+0.01</f>
        <v>0.55500000000000005</v>
      </c>
      <c r="M156" s="575" t="s">
        <v>794</v>
      </c>
      <c r="N156" s="13"/>
      <c r="O156" s="32" t="s">
        <v>115</v>
      </c>
      <c r="P156" s="266">
        <f t="shared" si="8"/>
        <v>1.3259999999999998</v>
      </c>
      <c r="Q156" s="177">
        <f>0.3+0.04+0.5+0.1+0.186</f>
        <v>1.1259999999999999</v>
      </c>
      <c r="R156" s="674" t="s">
        <v>1203</v>
      </c>
      <c r="S156" s="408"/>
      <c r="T156" s="409" t="s">
        <v>115</v>
      </c>
      <c r="U156" s="410">
        <v>0.2</v>
      </c>
      <c r="V156" s="674" t="s">
        <v>614</v>
      </c>
      <c r="W156" s="18"/>
      <c r="X156" s="18"/>
      <c r="Y156" s="575" t="s">
        <v>83</v>
      </c>
      <c r="Z156" s="13"/>
      <c r="AA156" s="18"/>
      <c r="AD156" s="33" t="str">
        <f>C156&amp;F156</f>
        <v>TunisiaLC bn</v>
      </c>
    </row>
    <row r="157" spans="1:30" s="10" customFormat="1" ht="107.5" customHeight="1">
      <c r="A157" s="638"/>
      <c r="B157" s="638"/>
      <c r="C157" s="632"/>
      <c r="D157" s="629"/>
      <c r="F157" s="32" t="s">
        <v>116</v>
      </c>
      <c r="G157" s="69" t="e">
        <f>G156/VLOOKUP(C156,#REF!,7,0)</f>
        <v>#REF!</v>
      </c>
      <c r="H157" s="69" t="e">
        <f>H156/VLOOKUP($C156,#REF!,7,0)</f>
        <v>#REF!</v>
      </c>
      <c r="I157" s="576"/>
      <c r="J157" s="69" t="e">
        <f>J156/VLOOKUP($C156,#REF!,7,0)</f>
        <v>#REF!</v>
      </c>
      <c r="K157" s="576"/>
      <c r="L157" s="69" t="e">
        <f>L156/VLOOKUP($C156,#REF!,7,0)</f>
        <v>#REF!</v>
      </c>
      <c r="M157" s="576"/>
      <c r="O157" s="32" t="s">
        <v>116</v>
      </c>
      <c r="P157" s="248" t="e">
        <f t="shared" si="8"/>
        <v>#REF!</v>
      </c>
      <c r="Q157" s="170" t="e">
        <f>Q156/VLOOKUP(C156,#REF!,7,0)</f>
        <v>#REF!</v>
      </c>
      <c r="R157" s="652"/>
      <c r="S157" s="411"/>
      <c r="T157" s="409" t="s">
        <v>116</v>
      </c>
      <c r="U157" s="180" t="e">
        <f>U156/VLOOKUP(C156,#REF!,7,0)</f>
        <v>#REF!</v>
      </c>
      <c r="V157" s="652"/>
      <c r="W157" s="28"/>
      <c r="X157" s="28"/>
      <c r="Y157" s="576"/>
      <c r="AA157" s="28"/>
      <c r="AD157" s="33" t="str">
        <f>C156&amp;F157</f>
        <v>TunisiaUSD bn</v>
      </c>
    </row>
    <row r="158" spans="1:30" ht="79.5" customHeight="1">
      <c r="A158" s="638"/>
      <c r="B158" s="638"/>
      <c r="C158" s="633"/>
      <c r="D158" s="630"/>
      <c r="E158" s="12"/>
      <c r="F158" s="31" t="s">
        <v>117</v>
      </c>
      <c r="G158" s="17" t="e">
        <f>(G156/VLOOKUP(C156,#REF!,4,0))*100</f>
        <v>#REF!</v>
      </c>
      <c r="H158" s="17" t="e">
        <f>(H156/VLOOKUP($C156,#REF!,4,0))*100</f>
        <v>#REF!</v>
      </c>
      <c r="I158" s="577"/>
      <c r="J158" s="17" t="e">
        <f>(J156/VLOOKUP($C156,#REF!,4,0))*100</f>
        <v>#REF!</v>
      </c>
      <c r="K158" s="577"/>
      <c r="L158" s="17" t="e">
        <f>(L156/VLOOKUP($C156,#REF!,4,0))*100</f>
        <v>#REF!</v>
      </c>
      <c r="M158" s="577"/>
      <c r="N158" s="12"/>
      <c r="O158" s="31" t="s">
        <v>117</v>
      </c>
      <c r="P158" s="267" t="e">
        <f t="shared" si="8"/>
        <v>#REF!</v>
      </c>
      <c r="Q158" s="168" t="e">
        <f>(Q156/VLOOKUP(C156,#REF!,4,0))*100</f>
        <v>#REF!</v>
      </c>
      <c r="R158" s="653"/>
      <c r="S158" s="412"/>
      <c r="T158" s="413" t="s">
        <v>117</v>
      </c>
      <c r="U158" s="174" t="e">
        <f>(U156/VLOOKUP(C156,#REF!,4,0))*100</f>
        <v>#REF!</v>
      </c>
      <c r="V158" s="653"/>
      <c r="W158" s="19"/>
      <c r="X158" s="19"/>
      <c r="Y158" s="577"/>
      <c r="Z158" s="1"/>
      <c r="AA158" s="26"/>
      <c r="AD158" s="33" t="str">
        <f>C156&amp;F158</f>
        <v>Tunisia% GDP</v>
      </c>
    </row>
    <row r="159" spans="1:30" s="10" customFormat="1" ht="60" customHeight="1">
      <c r="A159" s="638">
        <v>0</v>
      </c>
      <c r="B159" s="638" t="s">
        <v>861</v>
      </c>
      <c r="C159" s="632" t="s">
        <v>56</v>
      </c>
      <c r="D159" s="629" t="s">
        <v>570</v>
      </c>
      <c r="E159" s="13"/>
      <c r="F159" s="37" t="s">
        <v>115</v>
      </c>
      <c r="G159" s="93">
        <v>27</v>
      </c>
      <c r="H159" s="74" t="s">
        <v>84</v>
      </c>
      <c r="I159" s="575" t="s">
        <v>646</v>
      </c>
      <c r="J159" s="69" t="s">
        <v>84</v>
      </c>
      <c r="K159" s="575" t="s">
        <v>747</v>
      </c>
      <c r="L159" s="18"/>
      <c r="M159" s="18"/>
      <c r="N159" s="13"/>
      <c r="O159" s="32" t="s">
        <v>115</v>
      </c>
      <c r="P159" s="66" t="s">
        <v>84</v>
      </c>
      <c r="Q159" s="66" t="s">
        <v>84</v>
      </c>
      <c r="R159" s="575" t="s">
        <v>308</v>
      </c>
      <c r="S159" s="13"/>
      <c r="T159" s="32" t="s">
        <v>115</v>
      </c>
      <c r="U159" s="66" t="s">
        <v>84</v>
      </c>
      <c r="V159" s="575" t="s">
        <v>343</v>
      </c>
      <c r="W159" s="66" t="s">
        <v>84</v>
      </c>
      <c r="X159" s="575" t="s">
        <v>750</v>
      </c>
      <c r="Y159" s="18"/>
      <c r="Z159" s="13"/>
      <c r="AA159" s="25" t="s">
        <v>51</v>
      </c>
      <c r="AD159" s="33" t="str">
        <f>C159&amp;F159</f>
        <v>United Arab EmiratesLC bn</v>
      </c>
    </row>
    <row r="160" spans="1:30" s="10" customFormat="1" ht="60" customHeight="1">
      <c r="A160" s="638"/>
      <c r="B160" s="638"/>
      <c r="C160" s="632"/>
      <c r="D160" s="629"/>
      <c r="F160" s="32" t="s">
        <v>116</v>
      </c>
      <c r="G160" s="69" t="e">
        <f>G159/VLOOKUP(C159,#REF!,7,0)</f>
        <v>#REF!</v>
      </c>
      <c r="H160" s="30"/>
      <c r="I160" s="576"/>
      <c r="J160" s="75"/>
      <c r="K160" s="576"/>
      <c r="L160" s="28"/>
      <c r="M160" s="28"/>
      <c r="O160" s="32" t="s">
        <v>116</v>
      </c>
      <c r="P160" s="28"/>
      <c r="Q160" s="178"/>
      <c r="R160" s="576"/>
      <c r="T160" s="32" t="s">
        <v>116</v>
      </c>
      <c r="U160" s="56"/>
      <c r="V160" s="576"/>
      <c r="W160" s="28"/>
      <c r="X160" s="576"/>
      <c r="Y160" s="28"/>
      <c r="AA160" s="27" t="s">
        <v>52</v>
      </c>
      <c r="AD160" s="33" t="str">
        <f>C159&amp;F160</f>
        <v>United Arab EmiratesUSD bn</v>
      </c>
    </row>
    <row r="161" spans="1:30" ht="78" customHeight="1">
      <c r="A161" s="638"/>
      <c r="B161" s="638"/>
      <c r="C161" s="633"/>
      <c r="D161" s="630"/>
      <c r="E161" s="12"/>
      <c r="F161" s="31" t="s">
        <v>117</v>
      </c>
      <c r="G161" s="17" t="e">
        <f>(G159/VLOOKUP(C159,#REF!,4,0))*100</f>
        <v>#REF!</v>
      </c>
      <c r="H161" s="76"/>
      <c r="I161" s="577"/>
      <c r="J161" s="68"/>
      <c r="K161" s="577"/>
      <c r="L161" s="19"/>
      <c r="M161" s="19"/>
      <c r="N161" s="12"/>
      <c r="O161" s="31" t="s">
        <v>117</v>
      </c>
      <c r="P161" s="23"/>
      <c r="Q161" s="168"/>
      <c r="R161" s="577"/>
      <c r="S161" s="12"/>
      <c r="T161" s="31" t="s">
        <v>117</v>
      </c>
      <c r="U161" s="17"/>
      <c r="V161" s="577"/>
      <c r="W161" s="19"/>
      <c r="X161" s="577"/>
      <c r="Y161" s="19"/>
      <c r="Z161" s="1"/>
      <c r="AA161" s="26"/>
      <c r="AD161" s="33" t="str">
        <f>C159&amp;F161</f>
        <v>United Arab Emirates% GDP</v>
      </c>
    </row>
    <row r="162" spans="1:30" s="10" customFormat="1" ht="140.5" customHeight="1">
      <c r="A162" s="638">
        <v>0</v>
      </c>
      <c r="B162" s="638" t="s">
        <v>862</v>
      </c>
      <c r="C162" s="632" t="s">
        <v>37</v>
      </c>
      <c r="D162" s="629" t="s">
        <v>571</v>
      </c>
      <c r="F162" s="32" t="s">
        <v>115</v>
      </c>
      <c r="G162" s="93">
        <v>295</v>
      </c>
      <c r="H162" s="93">
        <v>20.2</v>
      </c>
      <c r="I162" s="575" t="s">
        <v>1215</v>
      </c>
      <c r="J162" s="93">
        <v>275</v>
      </c>
      <c r="K162" s="575" t="s">
        <v>1204</v>
      </c>
      <c r="L162" s="18"/>
      <c r="M162" s="18"/>
      <c r="N162" s="13"/>
      <c r="O162" s="37" t="s">
        <v>115</v>
      </c>
      <c r="P162" s="266"/>
      <c r="Q162" s="175"/>
      <c r="R162" s="575"/>
      <c r="S162" s="13"/>
      <c r="T162" s="37" t="s">
        <v>115</v>
      </c>
      <c r="U162" s="53"/>
      <c r="V162" s="18"/>
      <c r="W162" s="18"/>
      <c r="X162" s="18"/>
      <c r="Y162" s="18"/>
      <c r="Z162" s="13"/>
      <c r="AA162" s="18"/>
      <c r="AD162" s="33" t="str">
        <f>C162&amp;F162</f>
        <v>BangladeshLC bn</v>
      </c>
    </row>
    <row r="163" spans="1:30" s="36" customFormat="1" ht="140.5" customHeight="1">
      <c r="A163" s="638"/>
      <c r="B163" s="638"/>
      <c r="C163" s="632"/>
      <c r="D163" s="629"/>
      <c r="E163" s="10"/>
      <c r="F163" s="32" t="s">
        <v>116</v>
      </c>
      <c r="G163" s="69" t="e">
        <f>G162/VLOOKUP(C162,#REF!,7,0)</f>
        <v>#REF!</v>
      </c>
      <c r="H163" s="69" t="e">
        <f>H162/VLOOKUP($C162,#REF!,7,0)</f>
        <v>#REF!</v>
      </c>
      <c r="I163" s="576"/>
      <c r="J163" s="69" t="e">
        <f>J162/VLOOKUP($C162,#REF!,7,0)</f>
        <v>#REF!</v>
      </c>
      <c r="K163" s="576"/>
      <c r="L163" s="28"/>
      <c r="M163" s="28"/>
      <c r="N163" s="10"/>
      <c r="O163" s="32" t="s">
        <v>116</v>
      </c>
      <c r="P163" s="248"/>
      <c r="Q163" s="170"/>
      <c r="R163" s="576"/>
      <c r="S163" s="10"/>
      <c r="T163" s="32" t="s">
        <v>116</v>
      </c>
      <c r="U163" s="56"/>
      <c r="V163" s="28"/>
      <c r="W163" s="28"/>
      <c r="X163" s="28"/>
      <c r="Y163" s="28"/>
      <c r="Z163" s="10"/>
      <c r="AA163" s="28"/>
      <c r="AD163" s="33" t="str">
        <f>C162&amp;F163</f>
        <v>BangladeshUSD bn</v>
      </c>
    </row>
    <row r="164" spans="1:30" ht="163.5" customHeight="1">
      <c r="A164" s="638"/>
      <c r="B164" s="638"/>
      <c r="C164" s="633"/>
      <c r="D164" s="630"/>
      <c r="E164" s="12"/>
      <c r="F164" s="31" t="s">
        <v>117</v>
      </c>
      <c r="G164" s="17" t="e">
        <f>(G162/VLOOKUP(C162,#REF!,4,0))*100</f>
        <v>#REF!</v>
      </c>
      <c r="H164" s="17" t="e">
        <f>(H162/VLOOKUP($C162,#REF!,4,0))*100</f>
        <v>#REF!</v>
      </c>
      <c r="I164" s="577"/>
      <c r="J164" s="17" t="e">
        <f>(J162/VLOOKUP($C162,#REF!,4,0))*100</f>
        <v>#REF!</v>
      </c>
      <c r="K164" s="577"/>
      <c r="L164" s="19"/>
      <c r="M164" s="19"/>
      <c r="N164" s="12"/>
      <c r="O164" s="31" t="s">
        <v>117</v>
      </c>
      <c r="P164" s="267"/>
      <c r="Q164" s="168"/>
      <c r="R164" s="577"/>
      <c r="S164" s="12"/>
      <c r="T164" s="31" t="s">
        <v>117</v>
      </c>
      <c r="U164" s="17"/>
      <c r="V164" s="19"/>
      <c r="W164" s="19"/>
      <c r="X164" s="19"/>
      <c r="Y164" s="28"/>
      <c r="AA164" s="27"/>
      <c r="AD164" s="33" t="str">
        <f>C162&amp;F164</f>
        <v>Bangladesh% GDP</v>
      </c>
    </row>
    <row r="165" spans="1:30" ht="50.15" customHeight="1">
      <c r="A165" s="638">
        <v>0</v>
      </c>
      <c r="B165" s="638" t="s">
        <v>862</v>
      </c>
      <c r="C165" s="632" t="s">
        <v>548</v>
      </c>
      <c r="D165" s="629" t="s">
        <v>571</v>
      </c>
      <c r="E165" s="6"/>
      <c r="F165" s="32" t="s">
        <v>115</v>
      </c>
      <c r="G165" s="81">
        <f>H165+J165</f>
        <v>60.8</v>
      </c>
      <c r="H165" s="95">
        <v>19.8</v>
      </c>
      <c r="I165" s="575" t="s">
        <v>647</v>
      </c>
      <c r="J165" s="95">
        <v>41</v>
      </c>
      <c r="K165" s="575" t="s">
        <v>748</v>
      </c>
      <c r="L165" s="28"/>
      <c r="M165" s="28"/>
      <c r="N165" s="6"/>
      <c r="O165" s="37" t="s">
        <v>115</v>
      </c>
      <c r="P165" s="264">
        <f t="shared" ref="P165:P176" si="24">Q165+U165+W165</f>
        <v>21</v>
      </c>
      <c r="Q165" s="167">
        <v>21</v>
      </c>
      <c r="R165" s="575" t="s">
        <v>751</v>
      </c>
      <c r="S165" s="6"/>
      <c r="T165" s="37" t="s">
        <v>115</v>
      </c>
      <c r="U165" s="69"/>
      <c r="V165" s="28"/>
      <c r="W165" s="28"/>
      <c r="X165" s="28"/>
      <c r="Y165" s="28"/>
      <c r="AA165" s="27"/>
      <c r="AD165" s="33" t="str">
        <f>C165&amp;F165</f>
        <v>EthiopiaLC bn</v>
      </c>
    </row>
    <row r="166" spans="1:30" ht="50.15" customHeight="1">
      <c r="A166" s="638"/>
      <c r="B166" s="638"/>
      <c r="C166" s="632"/>
      <c r="D166" s="629"/>
      <c r="E166" s="6"/>
      <c r="F166" s="32" t="s">
        <v>116</v>
      </c>
      <c r="G166" s="69" t="e">
        <f>G165/VLOOKUP(C165,#REF!,7,0)</f>
        <v>#REF!</v>
      </c>
      <c r="H166" s="69" t="e">
        <f>H165/VLOOKUP($C165,#REF!,7,0)</f>
        <v>#REF!</v>
      </c>
      <c r="I166" s="576"/>
      <c r="J166" s="69" t="e">
        <f>J165/VLOOKUP($C165,#REF!,7,0)</f>
        <v>#REF!</v>
      </c>
      <c r="K166" s="576"/>
      <c r="L166" s="69"/>
      <c r="M166" s="28"/>
      <c r="N166" s="6"/>
      <c r="O166" s="32" t="s">
        <v>116</v>
      </c>
      <c r="P166" s="248" t="e">
        <f t="shared" si="24"/>
        <v>#REF!</v>
      </c>
      <c r="Q166" s="170" t="e">
        <f>Q165/VLOOKUP(C165,#REF!,7,0)</f>
        <v>#REF!</v>
      </c>
      <c r="R166" s="576"/>
      <c r="S166" s="6"/>
      <c r="T166" s="32" t="s">
        <v>116</v>
      </c>
      <c r="U166" s="69"/>
      <c r="V166" s="28"/>
      <c r="W166" s="28"/>
      <c r="X166" s="28"/>
      <c r="Y166" s="28"/>
      <c r="AA166" s="27"/>
      <c r="AD166" s="33" t="str">
        <f>C165&amp;F166</f>
        <v>EthiopiaUSD bn</v>
      </c>
    </row>
    <row r="167" spans="1:30" ht="58.5" customHeight="1">
      <c r="A167" s="638"/>
      <c r="B167" s="638"/>
      <c r="C167" s="633"/>
      <c r="D167" s="630"/>
      <c r="E167" s="12"/>
      <c r="F167" s="31" t="s">
        <v>117</v>
      </c>
      <c r="G167" s="17" t="e">
        <f>(G165/VLOOKUP(C165,#REF!,4,0))*100</f>
        <v>#REF!</v>
      </c>
      <c r="H167" s="17" t="e">
        <f>(H165/VLOOKUP($C165,#REF!,4,0))*100</f>
        <v>#REF!</v>
      </c>
      <c r="I167" s="577"/>
      <c r="J167" s="17" t="e">
        <f>(J165/VLOOKUP($C165,#REF!,4,0))*100</f>
        <v>#REF!</v>
      </c>
      <c r="K167" s="577"/>
      <c r="L167" s="17"/>
      <c r="M167" s="19"/>
      <c r="N167" s="12"/>
      <c r="O167" s="31" t="s">
        <v>117</v>
      </c>
      <c r="P167" s="267" t="e">
        <f t="shared" si="24"/>
        <v>#REF!</v>
      </c>
      <c r="Q167" s="168" t="e">
        <f>(Q165/VLOOKUP(C165,#REF!,4,0))*100</f>
        <v>#REF!</v>
      </c>
      <c r="R167" s="577"/>
      <c r="S167" s="12"/>
      <c r="T167" s="31" t="s">
        <v>117</v>
      </c>
      <c r="U167" s="17"/>
      <c r="V167" s="19"/>
      <c r="W167" s="19"/>
      <c r="X167" s="19"/>
      <c r="Y167" s="28"/>
      <c r="AA167" s="27"/>
      <c r="AD167" s="33" t="str">
        <f>C165&amp;F167</f>
        <v>Ethiopia% GDP</v>
      </c>
    </row>
    <row r="168" spans="1:30" ht="50.15" customHeight="1">
      <c r="A168" s="638">
        <v>0</v>
      </c>
      <c r="B168" s="638" t="s">
        <v>862</v>
      </c>
      <c r="C168" s="632" t="s">
        <v>550</v>
      </c>
      <c r="D168" s="629" t="s">
        <v>571</v>
      </c>
      <c r="E168" s="6"/>
      <c r="F168" s="32" t="s">
        <v>115</v>
      </c>
      <c r="G168" s="69">
        <v>11.2</v>
      </c>
      <c r="H168" s="56">
        <f>0.572</f>
        <v>0.57199999999999995</v>
      </c>
      <c r="I168" s="575" t="s">
        <v>648</v>
      </c>
      <c r="J168" s="69">
        <f>G168-H168</f>
        <v>10.628</v>
      </c>
      <c r="K168" s="575" t="s">
        <v>788</v>
      </c>
      <c r="L168" s="28" t="s">
        <v>84</v>
      </c>
      <c r="M168" s="575" t="s">
        <v>621</v>
      </c>
      <c r="N168" s="6"/>
      <c r="O168" s="37" t="s">
        <v>115</v>
      </c>
      <c r="P168" s="266">
        <f t="shared" si="24"/>
        <v>1.2</v>
      </c>
      <c r="Q168" s="274">
        <v>1.2</v>
      </c>
      <c r="R168" s="581" t="s">
        <v>752</v>
      </c>
      <c r="S168" s="6"/>
      <c r="T168" s="37" t="s">
        <v>115</v>
      </c>
      <c r="U168" s="69"/>
      <c r="V168" s="28"/>
      <c r="W168" s="28"/>
      <c r="X168" s="28"/>
      <c r="Y168" s="28"/>
      <c r="AA168" s="27"/>
      <c r="AD168" s="33" t="str">
        <f>C168&amp;F168</f>
        <v>GhanaLC bn</v>
      </c>
    </row>
    <row r="169" spans="1:30" ht="40.5" customHeight="1">
      <c r="A169" s="638"/>
      <c r="B169" s="638"/>
      <c r="C169" s="632"/>
      <c r="D169" s="629"/>
      <c r="E169" s="6"/>
      <c r="F169" s="32" t="s">
        <v>116</v>
      </c>
      <c r="G169" s="69" t="e">
        <f>G168/VLOOKUP(C168,#REF!,7,0)</f>
        <v>#REF!</v>
      </c>
      <c r="H169" s="69" t="e">
        <f>H168/VLOOKUP($C168,#REF!,7,0)</f>
        <v>#REF!</v>
      </c>
      <c r="I169" s="576"/>
      <c r="J169" s="69" t="e">
        <f>J168/VLOOKUP($C168,#REF!,7,0)</f>
        <v>#REF!</v>
      </c>
      <c r="K169" s="576"/>
      <c r="L169" s="69"/>
      <c r="M169" s="576"/>
      <c r="N169" s="6"/>
      <c r="O169" s="32" t="s">
        <v>116</v>
      </c>
      <c r="P169" s="248" t="e">
        <f t="shared" si="24"/>
        <v>#REF!</v>
      </c>
      <c r="Q169" s="69" t="e">
        <f>Q168/VLOOKUP($C168,#REF!,7,0)</f>
        <v>#REF!</v>
      </c>
      <c r="R169" s="582"/>
      <c r="S169" s="6"/>
      <c r="T169" s="32" t="s">
        <v>116</v>
      </c>
      <c r="U169" s="69"/>
      <c r="V169" s="28"/>
      <c r="W169" s="28"/>
      <c r="X169" s="28"/>
      <c r="Y169" s="28"/>
      <c r="AA169" s="27"/>
      <c r="AD169" s="33" t="str">
        <f>C168&amp;F169</f>
        <v>GhanaUSD bn</v>
      </c>
    </row>
    <row r="170" spans="1:30" ht="53.15" customHeight="1">
      <c r="A170" s="638"/>
      <c r="B170" s="638"/>
      <c r="C170" s="633"/>
      <c r="D170" s="630"/>
      <c r="E170" s="12"/>
      <c r="F170" s="31" t="s">
        <v>117</v>
      </c>
      <c r="G170" s="17" t="e">
        <f>(G168/VLOOKUP(C168,#REF!,4,0))*100</f>
        <v>#REF!</v>
      </c>
      <c r="H170" s="17" t="e">
        <f>(H168/VLOOKUP($C168,#REF!,4,0))*100</f>
        <v>#REF!</v>
      </c>
      <c r="I170" s="577"/>
      <c r="J170" s="17" t="e">
        <f>(J168/VLOOKUP($C168,#REF!,4,0))*100</f>
        <v>#REF!</v>
      </c>
      <c r="K170" s="577"/>
      <c r="L170" s="17"/>
      <c r="M170" s="577"/>
      <c r="N170" s="12"/>
      <c r="O170" s="31" t="s">
        <v>117</v>
      </c>
      <c r="P170" s="267" t="e">
        <f t="shared" si="24"/>
        <v>#REF!</v>
      </c>
      <c r="Q170" s="17" t="e">
        <f>(Q168/VLOOKUP($C168,#REF!,4,0))*100</f>
        <v>#REF!</v>
      </c>
      <c r="R170" s="583"/>
      <c r="S170" s="12"/>
      <c r="T170" s="31" t="s">
        <v>117</v>
      </c>
      <c r="U170" s="17"/>
      <c r="V170" s="19"/>
      <c r="W170" s="19"/>
      <c r="X170" s="19"/>
      <c r="Y170" s="28"/>
      <c r="AA170" s="27"/>
      <c r="AD170" s="33" t="str">
        <f>C168&amp;F170</f>
        <v>Ghana% GDP</v>
      </c>
    </row>
    <row r="171" spans="1:30" ht="32.5" customHeight="1">
      <c r="A171" s="638">
        <v>0</v>
      </c>
      <c r="B171" s="638" t="s">
        <v>862</v>
      </c>
      <c r="C171" s="632" t="s">
        <v>566</v>
      </c>
      <c r="D171" s="628" t="s">
        <v>571</v>
      </c>
      <c r="E171" s="6"/>
      <c r="F171" s="32" t="s">
        <v>115</v>
      </c>
      <c r="G171" s="81">
        <v>13.7</v>
      </c>
      <c r="H171" s="98">
        <v>10.7</v>
      </c>
      <c r="I171" s="639" t="s">
        <v>649</v>
      </c>
      <c r="J171" s="69">
        <v>3</v>
      </c>
      <c r="K171" s="581" t="s">
        <v>993</v>
      </c>
      <c r="L171" s="28"/>
      <c r="M171" s="28"/>
      <c r="N171" s="6"/>
      <c r="O171" s="37" t="s">
        <v>115</v>
      </c>
      <c r="P171" s="264"/>
      <c r="Q171" s="81"/>
      <c r="R171" s="575"/>
      <c r="S171" s="6"/>
      <c r="T171" s="37" t="s">
        <v>115</v>
      </c>
      <c r="U171" s="69"/>
      <c r="V171" s="28"/>
      <c r="W171" s="28"/>
      <c r="X171" s="28"/>
      <c r="Y171" s="28"/>
      <c r="AA171" s="27"/>
      <c r="AD171" s="33" t="str">
        <f>C171&amp;F171</f>
        <v>Guinea-BissauLC bn</v>
      </c>
    </row>
    <row r="172" spans="1:30" ht="38.5" customHeight="1">
      <c r="A172" s="638"/>
      <c r="B172" s="638"/>
      <c r="C172" s="632"/>
      <c r="D172" s="629"/>
      <c r="E172" s="6"/>
      <c r="F172" s="32" t="s">
        <v>116</v>
      </c>
      <c r="G172" s="69" t="e">
        <f>G171/VLOOKUP($C171,#REF!,7,0)</f>
        <v>#REF!</v>
      </c>
      <c r="H172" s="69" t="e">
        <f>H171/VLOOKUP($C171,#REF!,7,0)</f>
        <v>#REF!</v>
      </c>
      <c r="I172" s="664"/>
      <c r="J172" s="69" t="e">
        <f>J171/VLOOKUP($C171,#REF!,7,0)</f>
        <v>#REF!</v>
      </c>
      <c r="K172" s="576"/>
      <c r="L172" s="69"/>
      <c r="M172" s="28"/>
      <c r="N172" s="6"/>
      <c r="O172" s="32" t="s">
        <v>116</v>
      </c>
      <c r="P172" s="248"/>
      <c r="Q172" s="69"/>
      <c r="R172" s="576"/>
      <c r="S172" s="6"/>
      <c r="T172" s="32" t="s">
        <v>116</v>
      </c>
      <c r="U172" s="69"/>
      <c r="V172" s="28"/>
      <c r="W172" s="28"/>
      <c r="X172" s="28"/>
      <c r="Y172" s="28"/>
      <c r="AA172" s="27"/>
      <c r="AD172" s="33" t="str">
        <f>C171&amp;F172</f>
        <v>Guinea-BissauUSD bn</v>
      </c>
    </row>
    <row r="173" spans="1:30" ht="40" customHeight="1">
      <c r="A173" s="638"/>
      <c r="B173" s="638"/>
      <c r="C173" s="633"/>
      <c r="D173" s="630"/>
      <c r="E173" s="6"/>
      <c r="F173" s="32" t="s">
        <v>117</v>
      </c>
      <c r="G173" s="69" t="e">
        <f>(G171/VLOOKUP($C171,#REF!,4,0))*100</f>
        <v>#REF!</v>
      </c>
      <c r="H173" s="69" t="e">
        <f>(H171/VLOOKUP($C171,#REF!,4,0))*100</f>
        <v>#REF!</v>
      </c>
      <c r="I173" s="669"/>
      <c r="J173" s="69" t="e">
        <f>(J171/VLOOKUP($C171,#REF!,4,0))*100</f>
        <v>#REF!</v>
      </c>
      <c r="K173" s="577"/>
      <c r="L173" s="69"/>
      <c r="M173" s="28"/>
      <c r="N173" s="6"/>
      <c r="O173" s="31" t="s">
        <v>117</v>
      </c>
      <c r="P173" s="267"/>
      <c r="Q173" s="69"/>
      <c r="R173" s="577"/>
      <c r="S173" s="6"/>
      <c r="T173" s="31" t="s">
        <v>117</v>
      </c>
      <c r="U173" s="69"/>
      <c r="V173" s="28"/>
      <c r="W173" s="28"/>
      <c r="X173" s="28"/>
      <c r="Y173" s="28"/>
      <c r="AA173" s="27"/>
      <c r="AD173" s="33" t="str">
        <f>C171&amp;F173</f>
        <v>Guinea-Bissau% GDP</v>
      </c>
    </row>
    <row r="174" spans="1:30" s="13" customFormat="1" ht="36" customHeight="1">
      <c r="A174" s="638">
        <v>0</v>
      </c>
      <c r="B174" s="638" t="s">
        <v>862</v>
      </c>
      <c r="C174" s="632" t="s">
        <v>38</v>
      </c>
      <c r="D174" s="629" t="s">
        <v>571</v>
      </c>
      <c r="E174" s="158"/>
      <c r="F174" s="37" t="s">
        <v>115</v>
      </c>
      <c r="G174" s="93">
        <f>H174+J174</f>
        <v>13.6</v>
      </c>
      <c r="H174" s="74">
        <v>5.6</v>
      </c>
      <c r="I174" s="600" t="s">
        <v>994</v>
      </c>
      <c r="J174" s="53">
        <v>8</v>
      </c>
      <c r="K174" s="575" t="s">
        <v>749</v>
      </c>
      <c r="L174" s="18"/>
      <c r="M174" s="575" t="s">
        <v>995</v>
      </c>
      <c r="N174" s="158"/>
      <c r="O174" s="37" t="s">
        <v>115</v>
      </c>
      <c r="P174" s="264">
        <f t="shared" si="24"/>
        <v>12.475</v>
      </c>
      <c r="Q174" s="177"/>
      <c r="R174" s="18"/>
      <c r="S174" s="158"/>
      <c r="T174" s="37" t="s">
        <v>115</v>
      </c>
      <c r="U174" s="53">
        <v>6.875</v>
      </c>
      <c r="V174" s="575" t="s">
        <v>753</v>
      </c>
      <c r="W174" s="74">
        <v>5.6</v>
      </c>
      <c r="X174" s="575" t="s">
        <v>754</v>
      </c>
      <c r="Y174" s="18"/>
      <c r="Z174" s="14"/>
      <c r="AA174" s="18"/>
      <c r="AD174" s="33" t="str">
        <f>C174&amp;F174</f>
        <v>HondurasLC bn</v>
      </c>
    </row>
    <row r="175" spans="1:30" ht="40" customHeight="1">
      <c r="A175" s="638"/>
      <c r="B175" s="638"/>
      <c r="C175" s="632"/>
      <c r="D175" s="629"/>
      <c r="E175" s="6"/>
      <c r="F175" s="32" t="s">
        <v>116</v>
      </c>
      <c r="G175" s="69" t="e">
        <f>G174/#REF!</f>
        <v>#REF!</v>
      </c>
      <c r="H175" s="69" t="e">
        <f>H174/VLOOKUP($C174,#REF!,7,0)</f>
        <v>#REF!</v>
      </c>
      <c r="I175" s="601"/>
      <c r="J175" s="69" t="e">
        <f>J174/VLOOKUP($C174,#REF!,7,0)</f>
        <v>#REF!</v>
      </c>
      <c r="K175" s="576"/>
      <c r="L175" s="28"/>
      <c r="M175" s="576"/>
      <c r="N175" s="6"/>
      <c r="O175" s="32" t="s">
        <v>116</v>
      </c>
      <c r="P175" s="248" t="e">
        <f t="shared" si="24"/>
        <v>#REF!</v>
      </c>
      <c r="Q175" s="170"/>
      <c r="R175" s="28"/>
      <c r="S175" s="6"/>
      <c r="T175" s="32" t="s">
        <v>116</v>
      </c>
      <c r="U175" s="69" t="e">
        <f>U174/VLOOKUP($C174,#REF!,7,0)</f>
        <v>#REF!</v>
      </c>
      <c r="V175" s="576"/>
      <c r="W175" s="69" t="e">
        <f>W174/VLOOKUP($C174,#REF!,7,0)</f>
        <v>#REF!</v>
      </c>
      <c r="X175" s="576"/>
      <c r="Y175" s="28"/>
      <c r="AA175" s="27"/>
      <c r="AD175" s="33" t="str">
        <f>C174&amp;F175</f>
        <v>HondurasUSD bn</v>
      </c>
    </row>
    <row r="176" spans="1:30" ht="40" customHeight="1">
      <c r="A176" s="638"/>
      <c r="B176" s="638"/>
      <c r="C176" s="633"/>
      <c r="D176" s="630"/>
      <c r="E176" s="12"/>
      <c r="F176" s="31" t="s">
        <v>117</v>
      </c>
      <c r="G176" s="17" t="e">
        <f>G174/#REF!*100</f>
        <v>#REF!</v>
      </c>
      <c r="H176" s="17" t="e">
        <f>(H174/VLOOKUP($C174,#REF!,4,0))*100</f>
        <v>#REF!</v>
      </c>
      <c r="I176" s="602"/>
      <c r="J176" s="17" t="e">
        <f>(J174/VLOOKUP($C174,#REF!,4,0))*100</f>
        <v>#REF!</v>
      </c>
      <c r="K176" s="577"/>
      <c r="L176" s="19"/>
      <c r="M176" s="577"/>
      <c r="N176" s="12"/>
      <c r="O176" s="31" t="s">
        <v>117</v>
      </c>
      <c r="P176" s="267" t="e">
        <f t="shared" si="24"/>
        <v>#REF!</v>
      </c>
      <c r="Q176" s="168"/>
      <c r="R176" s="19"/>
      <c r="S176" s="12"/>
      <c r="T176" s="31" t="s">
        <v>117</v>
      </c>
      <c r="U176" s="17" t="e">
        <f>(U174/VLOOKUP($C174,#REF!,4,0))*100</f>
        <v>#REF!</v>
      </c>
      <c r="V176" s="577"/>
      <c r="W176" s="17" t="e">
        <f>(W174/VLOOKUP($C174,#REF!,4,0))*100</f>
        <v>#REF!</v>
      </c>
      <c r="X176" s="577"/>
      <c r="Y176" s="19"/>
      <c r="Z176" s="1"/>
      <c r="AA176" s="26"/>
      <c r="AD176" s="33" t="str">
        <f>C174&amp;F176</f>
        <v>Honduras% GDP</v>
      </c>
    </row>
    <row r="177" spans="1:31" ht="61" customHeight="1">
      <c r="A177" s="638">
        <v>0</v>
      </c>
      <c r="B177" s="638" t="s">
        <v>862</v>
      </c>
      <c r="C177" s="632" t="s">
        <v>552</v>
      </c>
      <c r="D177" s="629" t="s">
        <v>571</v>
      </c>
      <c r="E177" s="6"/>
      <c r="F177" s="37" t="s">
        <v>115</v>
      </c>
      <c r="G177" s="81">
        <f>80-L177</f>
        <v>47</v>
      </c>
      <c r="H177" s="69">
        <v>7.6</v>
      </c>
      <c r="I177" s="575" t="s">
        <v>1205</v>
      </c>
      <c r="J177" s="95">
        <f>56+40</f>
        <v>96</v>
      </c>
      <c r="K177" s="575" t="s">
        <v>1206</v>
      </c>
      <c r="L177" s="75">
        <v>33</v>
      </c>
      <c r="M177" s="575" t="s">
        <v>789</v>
      </c>
      <c r="N177" s="6"/>
      <c r="O177" s="37" t="s">
        <v>115</v>
      </c>
      <c r="P177" s="266"/>
      <c r="Q177" s="64"/>
      <c r="R177" s="28"/>
      <c r="S177" s="6"/>
      <c r="T177" s="37" t="s">
        <v>115</v>
      </c>
      <c r="U177" s="69"/>
      <c r="V177" s="28"/>
      <c r="W177" s="28"/>
      <c r="X177" s="28"/>
      <c r="Y177" s="28"/>
      <c r="AA177" s="27"/>
      <c r="AD177" s="33" t="str">
        <f>C177&amp;F177</f>
        <v>KenyaLC bn</v>
      </c>
    </row>
    <row r="178" spans="1:31" ht="88" customHeight="1">
      <c r="A178" s="638"/>
      <c r="B178" s="638"/>
      <c r="C178" s="632"/>
      <c r="D178" s="629"/>
      <c r="E178" s="6"/>
      <c r="F178" s="32" t="s">
        <v>116</v>
      </c>
      <c r="G178" s="69" t="e">
        <f>G177/VLOOKUP($C177,#REF!,7,0)</f>
        <v>#REF!</v>
      </c>
      <c r="H178" s="69" t="e">
        <f>H177/VLOOKUP($C177,#REF!,7,0)</f>
        <v>#REF!</v>
      </c>
      <c r="I178" s="576"/>
      <c r="J178" s="69" t="e">
        <f>J177/VLOOKUP($C177,#REF!,7,0)</f>
        <v>#REF!</v>
      </c>
      <c r="K178" s="576"/>
      <c r="L178" s="69" t="e">
        <f>L177/VLOOKUP($C177,#REF!,7,0)</f>
        <v>#REF!</v>
      </c>
      <c r="M178" s="576"/>
      <c r="N178" s="6"/>
      <c r="O178" s="32" t="s">
        <v>116</v>
      </c>
      <c r="P178" s="248"/>
      <c r="Q178" s="69"/>
      <c r="R178" s="28"/>
      <c r="S178" s="6"/>
      <c r="T178" s="32" t="s">
        <v>116</v>
      </c>
      <c r="U178" s="69"/>
      <c r="V178" s="28"/>
      <c r="W178" s="28"/>
      <c r="X178" s="28"/>
      <c r="Y178" s="28"/>
      <c r="AA178" s="27"/>
      <c r="AD178" s="33" t="str">
        <f>C177&amp;F178</f>
        <v>KenyaUSD bn</v>
      </c>
    </row>
    <row r="179" spans="1:31" ht="61" customHeight="1">
      <c r="A179" s="638"/>
      <c r="B179" s="638"/>
      <c r="C179" s="633"/>
      <c r="D179" s="630"/>
      <c r="E179" s="12"/>
      <c r="F179" s="31" t="s">
        <v>117</v>
      </c>
      <c r="G179" s="17" t="e">
        <f>(G177/VLOOKUP($C177,#REF!,4,0))*100</f>
        <v>#REF!</v>
      </c>
      <c r="H179" s="17" t="e">
        <f>(H177/VLOOKUP($C177,#REF!,4,0))*100</f>
        <v>#REF!</v>
      </c>
      <c r="I179" s="577"/>
      <c r="J179" s="17" t="e">
        <f>(J177/VLOOKUP($C177,#REF!,4,0))*100</f>
        <v>#REF!</v>
      </c>
      <c r="K179" s="577"/>
      <c r="L179" s="17" t="e">
        <f>(L177/VLOOKUP($C177,#REF!,4,0))*100</f>
        <v>#REF!</v>
      </c>
      <c r="M179" s="577"/>
      <c r="N179" s="6"/>
      <c r="O179" s="31" t="s">
        <v>117</v>
      </c>
      <c r="P179" s="267"/>
      <c r="Q179" s="17"/>
      <c r="R179" s="19"/>
      <c r="S179" s="12"/>
      <c r="T179" s="31" t="s">
        <v>117</v>
      </c>
      <c r="U179" s="17"/>
      <c r="V179" s="19"/>
      <c r="W179" s="19"/>
      <c r="X179" s="19"/>
      <c r="Y179" s="28"/>
      <c r="AA179" s="27"/>
      <c r="AD179" s="33" t="str">
        <f>C177&amp;F179</f>
        <v>Kenya% GDP</v>
      </c>
    </row>
    <row r="180" spans="1:31" ht="61" customHeight="1">
      <c r="A180" s="638">
        <v>0</v>
      </c>
      <c r="B180" s="638" t="s">
        <v>862</v>
      </c>
      <c r="C180" s="631" t="s">
        <v>912</v>
      </c>
      <c r="D180" s="628" t="s">
        <v>572</v>
      </c>
      <c r="E180" s="6"/>
      <c r="F180" s="37" t="s">
        <v>115</v>
      </c>
      <c r="G180" s="81">
        <v>832</v>
      </c>
      <c r="H180" s="81">
        <v>185</v>
      </c>
      <c r="I180" s="590" t="s">
        <v>1163</v>
      </c>
      <c r="J180" s="81">
        <v>647</v>
      </c>
      <c r="K180" s="575" t="s">
        <v>1208</v>
      </c>
      <c r="L180" s="69"/>
      <c r="M180" s="28"/>
      <c r="N180" s="6"/>
      <c r="O180" s="37" t="s">
        <v>115</v>
      </c>
      <c r="P180" s="414">
        <f t="shared" ref="P180:P185" si="25">Q180+U180</f>
        <v>300</v>
      </c>
      <c r="Q180" s="81">
        <v>300</v>
      </c>
      <c r="R180" s="575" t="s">
        <v>1164</v>
      </c>
      <c r="S180" s="6"/>
      <c r="T180" s="37" t="s">
        <v>115</v>
      </c>
      <c r="U180" s="69"/>
      <c r="V180" s="28"/>
      <c r="W180" s="28"/>
      <c r="X180" s="28"/>
      <c r="Y180" s="28"/>
      <c r="AA180" s="27"/>
      <c r="AD180" s="33" t="str">
        <f t="shared" ref="AD180" si="26">C180&amp;F180</f>
        <v>MyanmarLC bn</v>
      </c>
    </row>
    <row r="181" spans="1:31" ht="79" customHeight="1">
      <c r="A181" s="638"/>
      <c r="B181" s="638"/>
      <c r="C181" s="632"/>
      <c r="D181" s="629"/>
      <c r="E181" s="6"/>
      <c r="F181" s="32" t="s">
        <v>116</v>
      </c>
      <c r="G181" s="69" t="e">
        <f>G180/VLOOKUP($C180,#REF!,7,0)</f>
        <v>#REF!</v>
      </c>
      <c r="H181" s="69" t="e">
        <f>H180/VLOOKUP($C180,#REF!,7,0)</f>
        <v>#REF!</v>
      </c>
      <c r="I181" s="576"/>
      <c r="J181" s="69" t="e">
        <f>J180/VLOOKUP($C180,#REF!,7,0)</f>
        <v>#REF!</v>
      </c>
      <c r="K181" s="576"/>
      <c r="L181" s="69"/>
      <c r="M181" s="28"/>
      <c r="N181" s="6"/>
      <c r="O181" s="32" t="s">
        <v>116</v>
      </c>
      <c r="P181" s="406" t="e">
        <f t="shared" si="25"/>
        <v>#REF!</v>
      </c>
      <c r="Q181" s="69" t="e">
        <f>Q180/VLOOKUP($C180,#REF!,7,0)</f>
        <v>#REF!</v>
      </c>
      <c r="R181" s="576"/>
      <c r="S181" s="6"/>
      <c r="T181" s="32" t="s">
        <v>116</v>
      </c>
      <c r="U181" s="69"/>
      <c r="V181" s="28"/>
      <c r="W181" s="28"/>
      <c r="X181" s="28"/>
      <c r="Y181" s="28"/>
      <c r="AA181" s="27"/>
      <c r="AD181" s="33" t="str">
        <f t="shared" ref="AD181" si="27">C180&amp;F181</f>
        <v>MyanmarUSD bn</v>
      </c>
    </row>
    <row r="182" spans="1:31" ht="96" customHeight="1">
      <c r="A182" s="638"/>
      <c r="B182" s="638"/>
      <c r="C182" s="633"/>
      <c r="D182" s="630"/>
      <c r="E182" s="12"/>
      <c r="F182" s="31" t="s">
        <v>117</v>
      </c>
      <c r="G182" s="17" t="e">
        <f>(G180/VLOOKUP($C180,#REF!,4,0))*100</f>
        <v>#REF!</v>
      </c>
      <c r="H182" s="17" t="e">
        <f>(H180/VLOOKUP($C180,#REF!,4,0))*100</f>
        <v>#REF!</v>
      </c>
      <c r="I182" s="577"/>
      <c r="J182" s="17" t="e">
        <f>(J180/VLOOKUP($C180,#REF!,4,0))*100</f>
        <v>#REF!</v>
      </c>
      <c r="K182" s="577"/>
      <c r="L182" s="17"/>
      <c r="M182" s="19"/>
      <c r="N182" s="12"/>
      <c r="O182" s="31" t="s">
        <v>117</v>
      </c>
      <c r="P182" s="267" t="e">
        <f t="shared" si="25"/>
        <v>#REF!</v>
      </c>
      <c r="Q182" s="17" t="e">
        <f>(Q180/VLOOKUP($C180,#REF!,4,0))*100</f>
        <v>#REF!</v>
      </c>
      <c r="R182" s="577"/>
      <c r="S182" s="12"/>
      <c r="T182" s="31" t="s">
        <v>117</v>
      </c>
      <c r="U182" s="17"/>
      <c r="V182" s="19"/>
      <c r="W182" s="19"/>
      <c r="X182" s="19"/>
      <c r="Y182" s="28"/>
      <c r="AA182" s="27"/>
      <c r="AD182" s="33" t="str">
        <f t="shared" ref="AD182" si="28">C180&amp;F182</f>
        <v>Myanmar% GDP</v>
      </c>
    </row>
    <row r="183" spans="1:31" ht="115.5" customHeight="1">
      <c r="A183" s="638">
        <v>0</v>
      </c>
      <c r="B183" s="638" t="s">
        <v>862</v>
      </c>
      <c r="C183" s="631" t="s">
        <v>914</v>
      </c>
      <c r="D183" s="628" t="s">
        <v>570</v>
      </c>
      <c r="E183" s="16"/>
      <c r="F183" s="37" t="s">
        <v>115</v>
      </c>
      <c r="G183" s="80">
        <v>100</v>
      </c>
      <c r="H183" s="80">
        <v>50</v>
      </c>
      <c r="I183" s="673" t="s">
        <v>1166</v>
      </c>
      <c r="J183" s="80">
        <f>G183-H183</f>
        <v>50</v>
      </c>
      <c r="K183" s="575" t="s">
        <v>1209</v>
      </c>
      <c r="L183" s="49"/>
      <c r="M183" s="18"/>
      <c r="N183" s="16"/>
      <c r="O183" s="37" t="s">
        <v>115</v>
      </c>
      <c r="P183" s="414">
        <f t="shared" si="25"/>
        <v>50</v>
      </c>
      <c r="Q183" s="49">
        <v>50</v>
      </c>
      <c r="R183" s="18" t="s">
        <v>1167</v>
      </c>
      <c r="S183" s="16"/>
      <c r="T183" s="37" t="s">
        <v>115</v>
      </c>
      <c r="U183" s="49"/>
      <c r="V183" s="18"/>
      <c r="W183" s="18"/>
      <c r="X183" s="18"/>
      <c r="Y183" s="28"/>
      <c r="AA183" s="27"/>
      <c r="AD183" s="33" t="str">
        <f t="shared" ref="AD183" si="29">C183&amp;F183</f>
        <v>NepalLC bn</v>
      </c>
    </row>
    <row r="184" spans="1:31" ht="87.65" customHeight="1">
      <c r="A184" s="638"/>
      <c r="B184" s="638"/>
      <c r="C184" s="632"/>
      <c r="D184" s="629"/>
      <c r="E184" s="6"/>
      <c r="F184" s="32" t="s">
        <v>116</v>
      </c>
      <c r="G184" s="69" t="e">
        <f>G183/VLOOKUP($C183,#REF!,7,0)</f>
        <v>#REF!</v>
      </c>
      <c r="H184" s="69" t="e">
        <f>H183/VLOOKUP($C183,#REF!,7,0)</f>
        <v>#REF!</v>
      </c>
      <c r="I184" s="671"/>
      <c r="J184" s="69" t="e">
        <f>J183/VLOOKUP($C183,#REF!,7,0)</f>
        <v>#REF!</v>
      </c>
      <c r="K184" s="576"/>
      <c r="L184" s="69"/>
      <c r="M184" s="28"/>
      <c r="N184" s="6"/>
      <c r="O184" s="32" t="s">
        <v>116</v>
      </c>
      <c r="P184" s="406" t="e">
        <f t="shared" si="25"/>
        <v>#REF!</v>
      </c>
      <c r="Q184" s="69" t="e">
        <f>Q183/VLOOKUP($C183,#REF!,7,0)</f>
        <v>#REF!</v>
      </c>
      <c r="R184" s="28"/>
      <c r="S184" s="6"/>
      <c r="T184" s="32" t="s">
        <v>116</v>
      </c>
      <c r="U184" s="69"/>
      <c r="V184" s="28"/>
      <c r="W184" s="28"/>
      <c r="X184" s="28"/>
      <c r="Y184" s="28"/>
      <c r="AA184" s="27"/>
      <c r="AD184" s="33" t="str">
        <f t="shared" ref="AD184" si="30">C183&amp;F184</f>
        <v>NepalUSD bn</v>
      </c>
    </row>
    <row r="185" spans="1:31" ht="87.65" customHeight="1">
      <c r="A185" s="638"/>
      <c r="B185" s="638"/>
      <c r="C185" s="633"/>
      <c r="D185" s="630"/>
      <c r="E185" s="12"/>
      <c r="F185" s="31" t="s">
        <v>117</v>
      </c>
      <c r="G185" s="17" t="e">
        <f>(G183/VLOOKUP($C183,#REF!,4,0))*100</f>
        <v>#REF!</v>
      </c>
      <c r="H185" s="17" t="e">
        <f>(H183/VLOOKUP($C183,#REF!,4,0))*100</f>
        <v>#REF!</v>
      </c>
      <c r="I185" s="672"/>
      <c r="J185" s="17" t="e">
        <f>(J183/VLOOKUP($C183,#REF!,4,0))*100</f>
        <v>#REF!</v>
      </c>
      <c r="K185" s="577"/>
      <c r="L185" s="17"/>
      <c r="M185" s="19"/>
      <c r="N185" s="12"/>
      <c r="O185" s="31" t="s">
        <v>117</v>
      </c>
      <c r="P185" s="267" t="e">
        <f t="shared" si="25"/>
        <v>#REF!</v>
      </c>
      <c r="Q185" s="17" t="e">
        <f>(Q183/VLOOKUP($C183,#REF!,4,0))*100</f>
        <v>#REF!</v>
      </c>
      <c r="R185" s="19"/>
      <c r="S185" s="12"/>
      <c r="T185" s="31" t="s">
        <v>117</v>
      </c>
      <c r="U185" s="17"/>
      <c r="V185" s="19"/>
      <c r="W185" s="19"/>
      <c r="X185" s="19"/>
      <c r="Y185" s="28"/>
      <c r="AA185" s="27"/>
      <c r="AD185" s="33" t="str">
        <f t="shared" ref="AD185" si="31">C183&amp;F185</f>
        <v>Nepal% GDP</v>
      </c>
    </row>
    <row r="186" spans="1:31" ht="126.65" customHeight="1">
      <c r="A186" s="638">
        <v>0</v>
      </c>
      <c r="B186" s="638" t="s">
        <v>862</v>
      </c>
      <c r="C186" s="631" t="s">
        <v>915</v>
      </c>
      <c r="D186" s="628" t="s">
        <v>571</v>
      </c>
      <c r="E186" s="16"/>
      <c r="F186" s="37" t="s">
        <v>115</v>
      </c>
      <c r="G186" s="80">
        <v>58.49</v>
      </c>
      <c r="H186" s="80">
        <v>25.75</v>
      </c>
      <c r="I186" s="670" t="s">
        <v>1168</v>
      </c>
      <c r="J186" s="80">
        <f>G186-H186</f>
        <v>32.74</v>
      </c>
      <c r="K186" s="608" t="s">
        <v>1169</v>
      </c>
      <c r="L186" s="49"/>
      <c r="M186" s="18"/>
      <c r="N186" s="16"/>
      <c r="O186" s="37" t="s">
        <v>115</v>
      </c>
      <c r="P186" s="420">
        <f>SUM(Q186,U186)</f>
        <v>100</v>
      </c>
      <c r="Q186" s="80">
        <v>50</v>
      </c>
      <c r="R186" s="18" t="s">
        <v>1170</v>
      </c>
      <c r="S186" s="16"/>
      <c r="T186" s="37" t="s">
        <v>115</v>
      </c>
      <c r="U186" s="80">
        <v>50</v>
      </c>
      <c r="V186" s="18" t="s">
        <v>1171</v>
      </c>
      <c r="W186" s="18"/>
      <c r="X186" s="18"/>
      <c r="Y186" s="28"/>
      <c r="AA186" s="27"/>
      <c r="AD186" s="33" t="str">
        <f t="shared" ref="AD186" si="32">C186&amp;F186</f>
        <v>NigerLC bn</v>
      </c>
    </row>
    <row r="187" spans="1:31" ht="87.65" customHeight="1">
      <c r="A187" s="638"/>
      <c r="B187" s="638"/>
      <c r="C187" s="632"/>
      <c r="D187" s="629"/>
      <c r="E187" s="6"/>
      <c r="F187" s="32" t="s">
        <v>116</v>
      </c>
      <c r="G187" s="69" t="e">
        <f>G186/VLOOKUP($C186,#REF!,7,0)</f>
        <v>#REF!</v>
      </c>
      <c r="H187" s="69" t="e">
        <f>H186/VLOOKUP($C186,#REF!,7,0)</f>
        <v>#REF!</v>
      </c>
      <c r="I187" s="671"/>
      <c r="J187" s="69" t="e">
        <f>J186/VLOOKUP($C186,#REF!,7,0)</f>
        <v>#REF!</v>
      </c>
      <c r="K187" s="576"/>
      <c r="L187" s="69"/>
      <c r="M187" s="28"/>
      <c r="N187" s="6"/>
      <c r="O187" s="32" t="s">
        <v>116</v>
      </c>
      <c r="P187" s="406" t="e">
        <f>SUM(Q187,U187)</f>
        <v>#REF!</v>
      </c>
      <c r="Q187" s="69" t="e">
        <f>Q186/VLOOKUP($C186,#REF!,7,0)</f>
        <v>#REF!</v>
      </c>
      <c r="R187" s="28"/>
      <c r="S187" s="6"/>
      <c r="T187" s="32" t="s">
        <v>116</v>
      </c>
      <c r="U187" s="69" t="e">
        <f>U186/VLOOKUP($C186,#REF!,7,0)</f>
        <v>#REF!</v>
      </c>
      <c r="V187" s="28"/>
      <c r="W187" s="28"/>
      <c r="X187" s="28"/>
      <c r="Y187" s="28"/>
      <c r="AA187" s="27"/>
      <c r="AD187" s="33" t="str">
        <f t="shared" ref="AD187" si="33">C186&amp;F187</f>
        <v>NigerUSD bn</v>
      </c>
    </row>
    <row r="188" spans="1:31" ht="87.65" customHeight="1">
      <c r="A188" s="638"/>
      <c r="B188" s="638"/>
      <c r="C188" s="633"/>
      <c r="D188" s="630"/>
      <c r="E188" s="12"/>
      <c r="F188" s="31" t="s">
        <v>117</v>
      </c>
      <c r="G188" s="17" t="e">
        <f>(G186/VLOOKUP($C186,#REF!,4,0))*100</f>
        <v>#REF!</v>
      </c>
      <c r="H188" s="17" t="e">
        <f>(H186/VLOOKUP($C186,#REF!,4,0))*100</f>
        <v>#REF!</v>
      </c>
      <c r="I188" s="672"/>
      <c r="J188" s="17" t="e">
        <f>(J186/VLOOKUP($C186,#REF!,4,0))*100</f>
        <v>#REF!</v>
      </c>
      <c r="K188" s="577"/>
      <c r="L188" s="17"/>
      <c r="M188" s="19"/>
      <c r="N188" s="12"/>
      <c r="O188" s="31" t="s">
        <v>117</v>
      </c>
      <c r="P188" s="267" t="e">
        <f>SUM(Q188,U188)</f>
        <v>#REF!</v>
      </c>
      <c r="Q188" s="17" t="e">
        <f>(Q186/VLOOKUP($C186,#REF!,4,0))*100</f>
        <v>#REF!</v>
      </c>
      <c r="R188" s="19"/>
      <c r="S188" s="12"/>
      <c r="T188" s="31" t="s">
        <v>117</v>
      </c>
      <c r="U188" s="17" t="e">
        <f>(U186/VLOOKUP($C186,#REF!,4,0))*100</f>
        <v>#REF!</v>
      </c>
      <c r="V188" s="19"/>
      <c r="W188" s="19"/>
      <c r="X188" s="19"/>
      <c r="Y188" s="28"/>
      <c r="AA188" s="27"/>
      <c r="AD188" s="33" t="str">
        <f t="shared" ref="AD188" si="34">C186&amp;F188</f>
        <v>Niger% GDP</v>
      </c>
    </row>
    <row r="189" spans="1:31" s="10" customFormat="1" ht="56.15" customHeight="1">
      <c r="A189" s="638">
        <v>0</v>
      </c>
      <c r="B189" s="638" t="s">
        <v>862</v>
      </c>
      <c r="C189" s="632" t="s">
        <v>29</v>
      </c>
      <c r="D189" s="335"/>
      <c r="F189" s="32" t="s">
        <v>115</v>
      </c>
      <c r="G189" s="127">
        <v>2300</v>
      </c>
      <c r="H189" s="75">
        <v>500</v>
      </c>
      <c r="I189" s="576" t="s">
        <v>730</v>
      </c>
      <c r="J189" s="127">
        <f>G189-H189</f>
        <v>1800</v>
      </c>
      <c r="K189" s="576" t="s">
        <v>1157</v>
      </c>
      <c r="L189" s="28"/>
      <c r="M189" s="28"/>
      <c r="O189" s="32" t="s">
        <v>115</v>
      </c>
      <c r="P189" s="28"/>
      <c r="Q189" s="178"/>
      <c r="R189" s="28"/>
      <c r="T189" s="32" t="s">
        <v>115</v>
      </c>
      <c r="U189" s="56"/>
      <c r="V189" s="28"/>
      <c r="W189" s="28"/>
      <c r="X189" s="28"/>
      <c r="Y189" s="18"/>
      <c r="Z189" s="13"/>
      <c r="AA189" s="18"/>
      <c r="AD189" s="33" t="str">
        <f t="shared" ref="AD189" si="35">C189&amp;F189</f>
        <v>NigeriaLC bn</v>
      </c>
      <c r="AE189" s="33"/>
    </row>
    <row r="190" spans="1:31" s="36" customFormat="1" ht="89.5" customHeight="1">
      <c r="A190" s="638"/>
      <c r="B190" s="638"/>
      <c r="C190" s="632"/>
      <c r="D190" s="335"/>
      <c r="E190" s="10"/>
      <c r="F190" s="32" t="s">
        <v>116</v>
      </c>
      <c r="G190" s="56" t="e">
        <f>G189/VLOOKUP($C189,#REF!,7,0)</f>
        <v>#REF!</v>
      </c>
      <c r="H190" s="69" t="e">
        <f>H189/VLOOKUP($C189,#REF!,7,0)</f>
        <v>#REF!</v>
      </c>
      <c r="I190" s="576"/>
      <c r="J190" s="56" t="e">
        <f>J189/VLOOKUP($C189,#REF!,7,0)</f>
        <v>#REF!</v>
      </c>
      <c r="K190" s="576"/>
      <c r="L190" s="28"/>
      <c r="M190" s="28"/>
      <c r="N190" s="10"/>
      <c r="O190" s="32" t="s">
        <v>116</v>
      </c>
      <c r="P190" s="28"/>
      <c r="Q190" s="178"/>
      <c r="R190" s="28"/>
      <c r="S190" s="10"/>
      <c r="T190" s="32" t="s">
        <v>116</v>
      </c>
      <c r="U190" s="56"/>
      <c r="V190" s="28"/>
      <c r="W190" s="28"/>
      <c r="X190" s="28"/>
      <c r="Y190" s="28"/>
      <c r="Z190" s="10"/>
      <c r="AA190" s="28"/>
      <c r="AD190" s="33" t="str">
        <f t="shared" ref="AD190" si="36">C189&amp;F190</f>
        <v>NigeriaUSD bn</v>
      </c>
      <c r="AE190" s="33"/>
    </row>
    <row r="191" spans="1:31" ht="80.5" customHeight="1">
      <c r="A191" s="638"/>
      <c r="B191" s="638"/>
      <c r="C191" s="633"/>
      <c r="D191" s="336"/>
      <c r="E191" s="12"/>
      <c r="F191" s="31" t="s">
        <v>117</v>
      </c>
      <c r="G191" s="17" t="e">
        <f>(G189/VLOOKUP($C189,#REF!,4,0))*100</f>
        <v>#REF!</v>
      </c>
      <c r="H191" s="17" t="e">
        <f>(H189/VLOOKUP($C189,#REF!,4,0))*100</f>
        <v>#REF!</v>
      </c>
      <c r="I191" s="577"/>
      <c r="J191" s="17" t="e">
        <f>(J189/VLOOKUP($C189,#REF!,4,0))*100</f>
        <v>#REF!</v>
      </c>
      <c r="K191" s="577"/>
      <c r="L191" s="19"/>
      <c r="M191" s="19"/>
      <c r="N191" s="12"/>
      <c r="O191" s="31" t="s">
        <v>117</v>
      </c>
      <c r="P191" s="23"/>
      <c r="Q191" s="168"/>
      <c r="R191" s="23"/>
      <c r="S191" s="12"/>
      <c r="T191" s="31" t="s">
        <v>117</v>
      </c>
      <c r="U191" s="17"/>
      <c r="V191" s="19"/>
      <c r="W191" s="19"/>
      <c r="X191" s="19"/>
      <c r="Y191" s="19"/>
      <c r="Z191" s="1"/>
      <c r="AA191" s="26"/>
      <c r="AD191" s="33" t="str">
        <f t="shared" ref="AD191" si="37">C189&amp;F191</f>
        <v>Nigeria% GDP</v>
      </c>
    </row>
    <row r="192" spans="1:31" ht="60.65" customHeight="1">
      <c r="A192" s="638">
        <v>0</v>
      </c>
      <c r="B192" s="638" t="s">
        <v>862</v>
      </c>
      <c r="C192" s="632" t="s">
        <v>93</v>
      </c>
      <c r="D192" s="629" t="s">
        <v>571</v>
      </c>
      <c r="E192" s="14"/>
      <c r="F192" s="37" t="s">
        <v>115</v>
      </c>
      <c r="G192" s="93">
        <f>H192+J192</f>
        <v>446</v>
      </c>
      <c r="H192" s="93">
        <v>79</v>
      </c>
      <c r="I192" s="575" t="s">
        <v>654</v>
      </c>
      <c r="J192" s="74">
        <f>327+40</f>
        <v>367</v>
      </c>
      <c r="K192" s="575" t="s">
        <v>1210</v>
      </c>
      <c r="L192" s="74">
        <v>15</v>
      </c>
      <c r="M192" s="575" t="s">
        <v>584</v>
      </c>
      <c r="N192" s="14"/>
      <c r="O192" s="32" t="s">
        <v>115</v>
      </c>
      <c r="P192" s="93">
        <f>Q192+U192+W192</f>
        <v>70</v>
      </c>
      <c r="Q192" s="183"/>
      <c r="R192" s="581"/>
      <c r="S192" s="14"/>
      <c r="T192" s="32" t="s">
        <v>115</v>
      </c>
      <c r="U192" s="93">
        <v>70</v>
      </c>
      <c r="V192" s="575" t="s">
        <v>814</v>
      </c>
      <c r="W192" s="18"/>
      <c r="X192" s="18"/>
      <c r="Y192" s="18"/>
      <c r="Z192" s="14"/>
      <c r="AA192" s="18"/>
      <c r="AD192" s="33" t="str">
        <f t="shared" ref="AD192" si="38">C192&amp;F192</f>
        <v>SenegalLC bn</v>
      </c>
    </row>
    <row r="193" spans="1:30" ht="60.65" customHeight="1">
      <c r="A193" s="638"/>
      <c r="B193" s="638"/>
      <c r="C193" s="632"/>
      <c r="D193" s="629"/>
      <c r="E193" s="36"/>
      <c r="F193" s="32" t="s">
        <v>116</v>
      </c>
      <c r="G193" s="69" t="e">
        <f>G192/VLOOKUP($C192,#REF!,7,0)</f>
        <v>#REF!</v>
      </c>
      <c r="H193" s="69" t="e">
        <f>H192/VLOOKUP($C192,#REF!,7,0)</f>
        <v>#REF!</v>
      </c>
      <c r="I193" s="576"/>
      <c r="J193" s="69" t="e">
        <f>J192/VLOOKUP($C192,#REF!,7,0)</f>
        <v>#REF!</v>
      </c>
      <c r="K193" s="576"/>
      <c r="L193" s="69" t="e">
        <f>L192/VLOOKUP($C192,#REF!,7,0)</f>
        <v>#REF!</v>
      </c>
      <c r="M193" s="576"/>
      <c r="N193" s="36"/>
      <c r="O193" s="32" t="s">
        <v>116</v>
      </c>
      <c r="P193" s="170" t="e">
        <f>Q193+U193+W193</f>
        <v>#REF!</v>
      </c>
      <c r="Q193" s="170"/>
      <c r="R193" s="582"/>
      <c r="S193" s="36"/>
      <c r="T193" s="32" t="s">
        <v>116</v>
      </c>
      <c r="U193" s="69" t="e">
        <f>U192/VLOOKUP($C192,#REF!,7,0)</f>
        <v>#REF!</v>
      </c>
      <c r="V193" s="576"/>
      <c r="W193" s="28"/>
      <c r="X193" s="28"/>
      <c r="Y193" s="28"/>
      <c r="Z193" s="36"/>
      <c r="AA193" s="28"/>
      <c r="AD193" s="33" t="str">
        <f t="shared" ref="AD193" si="39">C192&amp;F193</f>
        <v>SenegalUSD bn</v>
      </c>
    </row>
    <row r="194" spans="1:30" ht="60.65" customHeight="1">
      <c r="A194" s="638"/>
      <c r="B194" s="638"/>
      <c r="C194" s="633"/>
      <c r="D194" s="630"/>
      <c r="E194" s="12"/>
      <c r="F194" s="31" t="s">
        <v>117</v>
      </c>
      <c r="G194" s="17" t="e">
        <f>(G192/VLOOKUP($C192,#REF!,4,0))*100</f>
        <v>#REF!</v>
      </c>
      <c r="H194" s="17" t="e">
        <f>(H192/VLOOKUP($C192,#REF!,4,0))*100</f>
        <v>#REF!</v>
      </c>
      <c r="I194" s="577"/>
      <c r="J194" s="17" t="e">
        <f>(J192/VLOOKUP($C192,#REF!,4,0))*100</f>
        <v>#REF!</v>
      </c>
      <c r="K194" s="577"/>
      <c r="L194" s="17" t="e">
        <f>(L192/VLOOKUP($C192,#REF!,4,0))*100</f>
        <v>#REF!</v>
      </c>
      <c r="M194" s="577"/>
      <c r="N194" s="12"/>
      <c r="O194" s="31" t="s">
        <v>117</v>
      </c>
      <c r="P194" s="168" t="e">
        <f>Q194+U194+W194</f>
        <v>#REF!</v>
      </c>
      <c r="Q194" s="168"/>
      <c r="R194" s="583"/>
      <c r="S194" s="12"/>
      <c r="T194" s="31" t="s">
        <v>117</v>
      </c>
      <c r="U194" s="17" t="e">
        <f>(U192/VLOOKUP($C192,#REF!,4,0))*100</f>
        <v>#REF!</v>
      </c>
      <c r="V194" s="577"/>
      <c r="W194" s="19"/>
      <c r="X194" s="19"/>
      <c r="Y194" s="19"/>
      <c r="Z194" s="1"/>
      <c r="AA194" s="26"/>
      <c r="AD194" s="33" t="str">
        <f t="shared" ref="AD194" si="40">C192&amp;F194</f>
        <v>Senegal% GDP</v>
      </c>
    </row>
    <row r="195" spans="1:30" ht="174" customHeight="1">
      <c r="A195" s="638">
        <v>0</v>
      </c>
      <c r="B195" s="638" t="s">
        <v>862</v>
      </c>
      <c r="C195" s="631" t="s">
        <v>913</v>
      </c>
      <c r="D195" s="628" t="s">
        <v>570</v>
      </c>
      <c r="E195" s="6"/>
      <c r="F195" s="37" t="s">
        <v>115</v>
      </c>
      <c r="G195" s="127">
        <v>15000</v>
      </c>
      <c r="H195" s="127">
        <v>1625</v>
      </c>
      <c r="I195" s="575" t="s">
        <v>1173</v>
      </c>
      <c r="J195" s="127">
        <f>G195-H195</f>
        <v>13375</v>
      </c>
      <c r="K195" s="575" t="s">
        <v>1174</v>
      </c>
      <c r="L195" s="69"/>
      <c r="M195" s="28"/>
      <c r="N195" s="6"/>
      <c r="O195" s="37" t="s">
        <v>115</v>
      </c>
      <c r="P195" s="127">
        <f>Q195+U195</f>
        <v>2000</v>
      </c>
      <c r="Q195" s="127">
        <v>2000</v>
      </c>
      <c r="R195" s="186" t="s">
        <v>1175</v>
      </c>
      <c r="S195" s="6"/>
      <c r="T195" s="37" t="s">
        <v>115</v>
      </c>
      <c r="U195" s="69"/>
      <c r="V195" s="28"/>
      <c r="W195" s="28"/>
      <c r="X195" s="28"/>
      <c r="Y195" s="28"/>
      <c r="AA195" s="27"/>
      <c r="AD195" s="33" t="str">
        <f t="shared" ref="AD195" si="41">C195&amp;F195</f>
        <v>UzbekistanLC bn</v>
      </c>
    </row>
    <row r="196" spans="1:30" ht="139.5" customHeight="1">
      <c r="A196" s="638"/>
      <c r="B196" s="638"/>
      <c r="C196" s="632"/>
      <c r="D196" s="629"/>
      <c r="E196" s="6"/>
      <c r="F196" s="32" t="s">
        <v>116</v>
      </c>
      <c r="G196" s="69" t="e">
        <f>G195/VLOOKUP($C195,#REF!,7,0)</f>
        <v>#REF!</v>
      </c>
      <c r="H196" s="69" t="e">
        <f>H195/VLOOKUP($C195,#REF!,7,0)</f>
        <v>#REF!</v>
      </c>
      <c r="I196" s="576"/>
      <c r="J196" s="69" t="e">
        <f>J195/VLOOKUP($C195,#REF!,7,0)</f>
        <v>#REF!</v>
      </c>
      <c r="K196" s="576"/>
      <c r="L196" s="69"/>
      <c r="M196" s="28"/>
      <c r="N196" s="6"/>
      <c r="O196" s="32" t="s">
        <v>116</v>
      </c>
      <c r="P196" s="170" t="e">
        <f>Q196+U196</f>
        <v>#REF!</v>
      </c>
      <c r="Q196" s="69" t="e">
        <f>Q195/VLOOKUP($C195,#REF!,7,0)</f>
        <v>#REF!</v>
      </c>
      <c r="R196" s="186"/>
      <c r="S196" s="6"/>
      <c r="T196" s="32" t="s">
        <v>116</v>
      </c>
      <c r="U196" s="69"/>
      <c r="V196" s="28"/>
      <c r="W196" s="28"/>
      <c r="X196" s="28"/>
      <c r="Y196" s="28"/>
      <c r="AA196" s="27"/>
      <c r="AD196" s="33" t="str">
        <f t="shared" ref="AD196" si="42">C195&amp;F196</f>
        <v>UzbekistanUSD bn</v>
      </c>
    </row>
    <row r="197" spans="1:30" ht="151.5" customHeight="1">
      <c r="A197" s="638"/>
      <c r="B197" s="638"/>
      <c r="C197" s="633"/>
      <c r="D197" s="630"/>
      <c r="E197" s="6"/>
      <c r="F197" s="31" t="s">
        <v>117</v>
      </c>
      <c r="G197" s="69" t="e">
        <f>(G195/VLOOKUP($C195,#REF!,4,0))*100</f>
        <v>#REF!</v>
      </c>
      <c r="H197" s="69" t="e">
        <f>(H195/VLOOKUP($C195,#REF!,4,0))*100</f>
        <v>#REF!</v>
      </c>
      <c r="I197" s="577"/>
      <c r="J197" s="69" t="e">
        <f>(J195/VLOOKUP($C195,#REF!,4,0))*100</f>
        <v>#REF!</v>
      </c>
      <c r="K197" s="577"/>
      <c r="L197" s="69"/>
      <c r="M197" s="28"/>
      <c r="N197" s="6"/>
      <c r="O197" s="31" t="s">
        <v>117</v>
      </c>
      <c r="P197" s="170" t="e">
        <f>Q197+U197</f>
        <v>#REF!</v>
      </c>
      <c r="Q197" s="69" t="e">
        <f>(Q195/VLOOKUP($C195,#REF!,4,0))*100</f>
        <v>#REF!</v>
      </c>
      <c r="R197" s="186"/>
      <c r="S197" s="6"/>
      <c r="T197" s="31" t="s">
        <v>117</v>
      </c>
      <c r="U197" s="69"/>
      <c r="V197" s="28"/>
      <c r="W197" s="28"/>
      <c r="X197" s="28"/>
      <c r="Y197" s="28"/>
      <c r="AA197" s="27"/>
      <c r="AD197" s="33" t="str">
        <f t="shared" ref="AD197" si="43">C195&amp;F197</f>
        <v>Uzbekistan% GDP</v>
      </c>
    </row>
    <row r="198" spans="1:30" ht="98.15" customHeight="1">
      <c r="A198" s="638">
        <v>0</v>
      </c>
      <c r="B198" s="638" t="s">
        <v>862</v>
      </c>
      <c r="C198" s="632" t="s">
        <v>33</v>
      </c>
      <c r="D198" s="629" t="s">
        <v>583</v>
      </c>
      <c r="E198" s="14"/>
      <c r="F198" s="37" t="s">
        <v>115</v>
      </c>
      <c r="G198" s="127">
        <f>278500-L198</f>
        <v>98500</v>
      </c>
      <c r="H198" s="127">
        <v>16200</v>
      </c>
      <c r="I198" s="600" t="s">
        <v>757</v>
      </c>
      <c r="J198" s="261">
        <f>G198-H198</f>
        <v>82300</v>
      </c>
      <c r="K198" s="575" t="s">
        <v>758</v>
      </c>
      <c r="L198" s="127">
        <v>180000</v>
      </c>
      <c r="M198" s="634" t="s">
        <v>759</v>
      </c>
      <c r="N198" s="14"/>
      <c r="O198" s="32" t="s">
        <v>115</v>
      </c>
      <c r="P198" s="127">
        <f>SUM(Q198,W198)</f>
        <v>21500</v>
      </c>
      <c r="Q198" s="127">
        <v>9500</v>
      </c>
      <c r="R198" s="18" t="s">
        <v>1172</v>
      </c>
      <c r="S198" s="14"/>
      <c r="T198" s="32" t="s">
        <v>115</v>
      </c>
      <c r="U198" s="53"/>
      <c r="V198" s="18"/>
      <c r="W198" s="127">
        <v>12000</v>
      </c>
      <c r="X198" s="575" t="s">
        <v>760</v>
      </c>
      <c r="Y198" s="575" t="s">
        <v>295</v>
      </c>
      <c r="Z198" s="14"/>
      <c r="AA198" s="18"/>
      <c r="AD198" s="33" t="str">
        <f t="shared" ref="AD198" si="44">C198&amp;F198</f>
        <v>VietnamLC bn</v>
      </c>
    </row>
    <row r="199" spans="1:30" ht="111.65" customHeight="1">
      <c r="A199" s="638"/>
      <c r="B199" s="638"/>
      <c r="C199" s="632"/>
      <c r="D199" s="629"/>
      <c r="E199" s="6"/>
      <c r="F199" s="32" t="s">
        <v>116</v>
      </c>
      <c r="G199" s="69" t="e">
        <f>G198/VLOOKUP($C198,#REF!,7,0)</f>
        <v>#REF!</v>
      </c>
      <c r="H199" s="69" t="e">
        <f>H198/VLOOKUP($C198,#REF!,7,0)</f>
        <v>#REF!</v>
      </c>
      <c r="I199" s="601"/>
      <c r="J199" s="69" t="e">
        <f>J198/VLOOKUP($C198,#REF!,7,0)</f>
        <v>#REF!</v>
      </c>
      <c r="K199" s="576"/>
      <c r="L199" s="69" t="e">
        <f>L198/VLOOKUP($C198,#REF!,7,0)</f>
        <v>#REF!</v>
      </c>
      <c r="M199" s="620"/>
      <c r="N199" s="6"/>
      <c r="O199" s="32" t="s">
        <v>116</v>
      </c>
      <c r="P199" s="258" t="e">
        <f>P198/VLOOKUP($C198,#REF!,7,0)</f>
        <v>#REF!</v>
      </c>
      <c r="Q199" s="258" t="e">
        <f>Q198/VLOOKUP($C198,#REF!,7,0)</f>
        <v>#REF!</v>
      </c>
      <c r="R199" s="28"/>
      <c r="S199" s="6"/>
      <c r="T199" s="32" t="s">
        <v>116</v>
      </c>
      <c r="U199" s="69"/>
      <c r="V199" s="28"/>
      <c r="W199" s="258" t="e">
        <f>W198/VLOOKUP($C198,#REF!,7,0)</f>
        <v>#REF!</v>
      </c>
      <c r="X199" s="576"/>
      <c r="Y199" s="576"/>
      <c r="AA199" s="27"/>
      <c r="AD199" s="33" t="str">
        <f t="shared" ref="AD199" si="45">C198&amp;F199</f>
        <v>VietnamUSD bn</v>
      </c>
    </row>
    <row r="200" spans="1:30" ht="97.5" customHeight="1">
      <c r="A200" s="638"/>
      <c r="B200" s="638"/>
      <c r="C200" s="633"/>
      <c r="D200" s="630"/>
      <c r="E200" s="12"/>
      <c r="F200" s="31" t="s">
        <v>117</v>
      </c>
      <c r="G200" s="17" t="e">
        <f>(G198/VLOOKUP($C198,#REF!,4,0))*100</f>
        <v>#REF!</v>
      </c>
      <c r="H200" s="17" t="e">
        <f>(H198/VLOOKUP($C198,#REF!,4,0))*100</f>
        <v>#REF!</v>
      </c>
      <c r="I200" s="602"/>
      <c r="J200" s="17" t="e">
        <f>(J198/VLOOKUP($C198,#REF!,4,0))*100</f>
        <v>#REF!</v>
      </c>
      <c r="K200" s="577"/>
      <c r="L200" s="17" t="e">
        <f>(L198/VLOOKUP($C198,#REF!,4,0))*100</f>
        <v>#REF!</v>
      </c>
      <c r="M200" s="621"/>
      <c r="N200" s="12"/>
      <c r="O200" s="31" t="s">
        <v>117</v>
      </c>
      <c r="P200" s="292" t="e">
        <f>(P198/VLOOKUP($C198,#REF!,4,0))*100</f>
        <v>#REF!</v>
      </c>
      <c r="Q200" s="292" t="e">
        <f>(Q198/VLOOKUP($C198,#REF!,4,0))*100</f>
        <v>#REF!</v>
      </c>
      <c r="R200" s="19"/>
      <c r="S200" s="12"/>
      <c r="T200" s="31" t="s">
        <v>117</v>
      </c>
      <c r="U200" s="17"/>
      <c r="V200" s="19"/>
      <c r="W200" s="292" t="e">
        <f>(W198/VLOOKUP($C198,#REF!,4,0))*100</f>
        <v>#REF!</v>
      </c>
      <c r="X200" s="577"/>
      <c r="Y200" s="577"/>
      <c r="Z200" s="1"/>
      <c r="AA200" s="26"/>
      <c r="AD200" s="33" t="str">
        <f t="shared" ref="AD200" si="46">C198&amp;F200</f>
        <v>Vietnam% GDP</v>
      </c>
    </row>
    <row r="201" spans="1:30" ht="58.5" customHeight="1">
      <c r="A201" s="638">
        <v>0</v>
      </c>
      <c r="B201" s="638" t="s">
        <v>862</v>
      </c>
      <c r="C201" s="631" t="s">
        <v>916</v>
      </c>
      <c r="D201" s="628" t="s">
        <v>571</v>
      </c>
      <c r="E201" s="16"/>
      <c r="F201" s="37" t="s">
        <v>115</v>
      </c>
      <c r="G201" s="49">
        <v>7.1</v>
      </c>
      <c r="H201" s="49">
        <v>1</v>
      </c>
      <c r="I201" s="575" t="s">
        <v>1176</v>
      </c>
      <c r="J201" s="49">
        <v>6.1</v>
      </c>
      <c r="K201" s="575" t="s">
        <v>1177</v>
      </c>
      <c r="L201" s="49"/>
      <c r="M201" s="141"/>
      <c r="N201" s="16"/>
      <c r="O201" s="37" t="s">
        <v>115</v>
      </c>
      <c r="P201" s="407">
        <f>Q201+U201+W201</f>
        <v>0.9</v>
      </c>
      <c r="Q201" s="407">
        <v>0.9</v>
      </c>
      <c r="R201" s="18" t="s">
        <v>1178</v>
      </c>
      <c r="S201" s="16"/>
      <c r="T201" s="37" t="s">
        <v>115</v>
      </c>
      <c r="U201" s="49"/>
      <c r="V201" s="18"/>
      <c r="W201" s="407"/>
      <c r="X201" s="18"/>
      <c r="Y201" s="28"/>
      <c r="AA201" s="27"/>
      <c r="AD201" s="33" t="str">
        <f t="shared" ref="AD201" si="47">C201&amp;F201</f>
        <v>ZambiaLC bn</v>
      </c>
    </row>
    <row r="202" spans="1:30" ht="82" customHeight="1">
      <c r="A202" s="638"/>
      <c r="B202" s="638"/>
      <c r="C202" s="632"/>
      <c r="D202" s="629"/>
      <c r="E202" s="6"/>
      <c r="F202" s="32" t="s">
        <v>116</v>
      </c>
      <c r="G202" s="69" t="e">
        <f>G201/VLOOKUP($C201,#REF!,7,0)</f>
        <v>#REF!</v>
      </c>
      <c r="H202" s="69" t="e">
        <f>H201/VLOOKUP($C201,#REF!,7,0)</f>
        <v>#REF!</v>
      </c>
      <c r="I202" s="576"/>
      <c r="J202" s="69" t="e">
        <f>J201/VLOOKUP($C201,#REF!,7,0)</f>
        <v>#REF!</v>
      </c>
      <c r="K202" s="576"/>
      <c r="L202" s="69"/>
      <c r="M202" s="29"/>
      <c r="N202" s="6"/>
      <c r="O202" s="32" t="s">
        <v>116</v>
      </c>
      <c r="P202" s="258" t="e">
        <f>SUM(Q202,U202,W202)</f>
        <v>#REF!</v>
      </c>
      <c r="Q202" s="69" t="e">
        <f>Q201/VLOOKUP($C201,#REF!,7,0)</f>
        <v>#REF!</v>
      </c>
      <c r="R202" s="28"/>
      <c r="S202" s="6"/>
      <c r="T202" s="32" t="s">
        <v>116</v>
      </c>
      <c r="U202" s="69"/>
      <c r="V202" s="28"/>
      <c r="W202" s="258"/>
      <c r="X202" s="28"/>
      <c r="Y202" s="28"/>
      <c r="AA202" s="27"/>
      <c r="AD202" s="33" t="str">
        <f t="shared" ref="AD202" si="48">C201&amp;F202</f>
        <v>ZambiaUSD bn</v>
      </c>
    </row>
    <row r="203" spans="1:30" ht="47.5" customHeight="1">
      <c r="A203" s="638"/>
      <c r="B203" s="638"/>
      <c r="C203" s="633"/>
      <c r="D203" s="630"/>
      <c r="E203" s="12"/>
      <c r="F203" s="31" t="s">
        <v>117</v>
      </c>
      <c r="G203" s="17" t="e">
        <f>(G201/VLOOKUP($C201,#REF!,4,0))*100</f>
        <v>#REF!</v>
      </c>
      <c r="H203" s="17" t="e">
        <f>(H201/VLOOKUP($C201,#REF!,4,0))*100</f>
        <v>#REF!</v>
      </c>
      <c r="I203" s="577"/>
      <c r="J203" s="17" t="e">
        <f>(J201/VLOOKUP($C201,#REF!,4,0))*100</f>
        <v>#REF!</v>
      </c>
      <c r="K203" s="577"/>
      <c r="L203" s="17"/>
      <c r="M203" s="24"/>
      <c r="N203" s="12"/>
      <c r="O203" s="31" t="s">
        <v>117</v>
      </c>
      <c r="P203" s="292" t="e">
        <f>Q203+U203+W203</f>
        <v>#REF!</v>
      </c>
      <c r="Q203" s="17" t="e">
        <f>(Q201/VLOOKUP($C201,#REF!,4,0))*100</f>
        <v>#REF!</v>
      </c>
      <c r="R203" s="19"/>
      <c r="S203" s="12"/>
      <c r="T203" s="31" t="s">
        <v>117</v>
      </c>
      <c r="U203" s="17"/>
      <c r="V203" s="19"/>
      <c r="W203" s="292"/>
      <c r="X203" s="19"/>
      <c r="Y203" s="28"/>
      <c r="AA203" s="27"/>
      <c r="AD203" s="33" t="str">
        <f t="shared" ref="AD203" si="49">C201&amp;F203</f>
        <v>Zambia% GDP</v>
      </c>
    </row>
    <row r="204" spans="1:30">
      <c r="C204" s="6" t="s">
        <v>108</v>
      </c>
    </row>
    <row r="205" spans="1:30" ht="32.15" customHeight="1">
      <c r="C205" s="623" t="s">
        <v>1211</v>
      </c>
      <c r="D205" s="623"/>
      <c r="E205" s="623"/>
      <c r="F205" s="623"/>
      <c r="G205" s="623"/>
      <c r="H205" s="623"/>
      <c r="I205" s="623"/>
      <c r="J205" s="623"/>
      <c r="K205" s="623"/>
      <c r="L205" s="623"/>
      <c r="M205" s="623"/>
      <c r="N205" s="623"/>
      <c r="O205" s="623"/>
      <c r="P205" s="623"/>
      <c r="Q205" s="623"/>
      <c r="R205" s="623"/>
      <c r="S205" s="623"/>
      <c r="T205" s="623"/>
      <c r="U205" s="623"/>
      <c r="V205" s="623"/>
      <c r="W205" s="623"/>
      <c r="X205" s="623"/>
    </row>
    <row r="206" spans="1:30">
      <c r="C206" s="6" t="s">
        <v>873</v>
      </c>
    </row>
    <row r="207" spans="1:30">
      <c r="C207" s="40"/>
    </row>
  </sheetData>
  <autoFilter ref="A5:F206" xr:uid="{70D8D969-D19A-4A37-9D57-5E4D8D57F6B2}"/>
  <mergeCells count="600">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72:X74"/>
    <mergeCell ref="A75:A77"/>
    <mergeCell ref="B75:B77"/>
    <mergeCell ref="C75:C77"/>
    <mergeCell ref="D75:D77"/>
    <mergeCell ref="I75:I77"/>
    <mergeCell ref="K75:K77"/>
    <mergeCell ref="M75:M77"/>
    <mergeCell ref="R75:R77"/>
    <mergeCell ref="V75:V77"/>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9:A101"/>
    <mergeCell ref="B99:B101"/>
    <mergeCell ref="C99:C101"/>
    <mergeCell ref="D99:D101"/>
    <mergeCell ref="I99:I101"/>
    <mergeCell ref="K99:K101"/>
    <mergeCell ref="M99:M101"/>
    <mergeCell ref="A96:A98"/>
    <mergeCell ref="B96:B98"/>
    <mergeCell ref="C96:C98"/>
    <mergeCell ref="D96:D98"/>
    <mergeCell ref="I96:I98"/>
    <mergeCell ref="K96:K98"/>
    <mergeCell ref="V99:V101"/>
    <mergeCell ref="C102:C104"/>
    <mergeCell ref="D102:D104"/>
    <mergeCell ref="I102:I104"/>
    <mergeCell ref="K102:K104"/>
    <mergeCell ref="M102:M104"/>
    <mergeCell ref="V102:V104"/>
    <mergeCell ref="M96:M98"/>
    <mergeCell ref="R96:R98"/>
    <mergeCell ref="V96:V98"/>
    <mergeCell ref="M105:M107"/>
    <mergeCell ref="R105:R107"/>
    <mergeCell ref="V105:V107"/>
    <mergeCell ref="X105:X107"/>
    <mergeCell ref="Y105:Y107"/>
    <mergeCell ref="A108:A110"/>
    <mergeCell ref="B108:B110"/>
    <mergeCell ref="C108:C110"/>
    <mergeCell ref="D108:D110"/>
    <mergeCell ref="I108:I110"/>
    <mergeCell ref="A105:A107"/>
    <mergeCell ref="B105:B107"/>
    <mergeCell ref="C105:C107"/>
    <mergeCell ref="D105:D107"/>
    <mergeCell ref="I105:I107"/>
    <mergeCell ref="K105:K107"/>
    <mergeCell ref="AA108:AA110"/>
    <mergeCell ref="A111:A113"/>
    <mergeCell ref="B111:B113"/>
    <mergeCell ref="C111:C113"/>
    <mergeCell ref="D111:D113"/>
    <mergeCell ref="I111:I113"/>
    <mergeCell ref="K111:K113"/>
    <mergeCell ref="M111:M113"/>
    <mergeCell ref="R111:R113"/>
    <mergeCell ref="V111:V113"/>
    <mergeCell ref="K108:K110"/>
    <mergeCell ref="M108:M110"/>
    <mergeCell ref="R108:R110"/>
    <mergeCell ref="V108:V110"/>
    <mergeCell ref="X108:X110"/>
    <mergeCell ref="Y108:Y110"/>
    <mergeCell ref="M114:M116"/>
    <mergeCell ref="R114:R116"/>
    <mergeCell ref="V114:V116"/>
    <mergeCell ref="A117:A119"/>
    <mergeCell ref="B117:B119"/>
    <mergeCell ref="C117:C119"/>
    <mergeCell ref="D117:D119"/>
    <mergeCell ref="I117:I119"/>
    <mergeCell ref="K117:K119"/>
    <mergeCell ref="M117:M119"/>
    <mergeCell ref="A114:A116"/>
    <mergeCell ref="B114:B116"/>
    <mergeCell ref="C114:C116"/>
    <mergeCell ref="D114:D116"/>
    <mergeCell ref="I114:I116"/>
    <mergeCell ref="K114:K116"/>
    <mergeCell ref="R117:R119"/>
    <mergeCell ref="V117:V119"/>
    <mergeCell ref="A120:A122"/>
    <mergeCell ref="B120:B122"/>
    <mergeCell ref="C120:C122"/>
    <mergeCell ref="D120:D122"/>
    <mergeCell ref="I120:I122"/>
    <mergeCell ref="K120:K122"/>
    <mergeCell ref="M120:M122"/>
    <mergeCell ref="R120:R122"/>
    <mergeCell ref="A126:A128"/>
    <mergeCell ref="B126:B128"/>
    <mergeCell ref="C126:C128"/>
    <mergeCell ref="D126:D128"/>
    <mergeCell ref="I126:I128"/>
    <mergeCell ref="K126:K128"/>
    <mergeCell ref="V120:V122"/>
    <mergeCell ref="X120:X122"/>
    <mergeCell ref="C123:C125"/>
    <mergeCell ref="D123:D125"/>
    <mergeCell ref="I123:I125"/>
    <mergeCell ref="K123:K125"/>
    <mergeCell ref="M123:M125"/>
    <mergeCell ref="R123:R125"/>
    <mergeCell ref="V123:V125"/>
    <mergeCell ref="C132:C134"/>
    <mergeCell ref="D132:D134"/>
    <mergeCell ref="I132:I134"/>
    <mergeCell ref="K132:K134"/>
    <mergeCell ref="M132:M134"/>
    <mergeCell ref="V132:V134"/>
    <mergeCell ref="R126:R128"/>
    <mergeCell ref="V126:V128"/>
    <mergeCell ref="C129:C131"/>
    <mergeCell ref="D129:D131"/>
    <mergeCell ref="I129:I131"/>
    <mergeCell ref="K129:K131"/>
    <mergeCell ref="M129:M131"/>
    <mergeCell ref="V129:V131"/>
    <mergeCell ref="M135:M137"/>
    <mergeCell ref="X135:X137"/>
    <mergeCell ref="A138:A140"/>
    <mergeCell ref="B138:B140"/>
    <mergeCell ref="C138:C140"/>
    <mergeCell ref="D138:D140"/>
    <mergeCell ref="I138:I140"/>
    <mergeCell ref="K138:K140"/>
    <mergeCell ref="M138:M140"/>
    <mergeCell ref="V138:V140"/>
    <mergeCell ref="A135:A137"/>
    <mergeCell ref="B135:B137"/>
    <mergeCell ref="C135:C137"/>
    <mergeCell ref="D135:D137"/>
    <mergeCell ref="I135:I137"/>
    <mergeCell ref="K135:K137"/>
    <mergeCell ref="X138:X140"/>
    <mergeCell ref="A141:A143"/>
    <mergeCell ref="B141:B143"/>
    <mergeCell ref="C141:C143"/>
    <mergeCell ref="D141:D143"/>
    <mergeCell ref="I141:I143"/>
    <mergeCell ref="K141:K143"/>
    <mergeCell ref="R141:R143"/>
    <mergeCell ref="V141:V143"/>
    <mergeCell ref="X141:X143"/>
    <mergeCell ref="M144:M146"/>
    <mergeCell ref="R144:R146"/>
    <mergeCell ref="V144:V146"/>
    <mergeCell ref="X144:X146"/>
    <mergeCell ref="A147:A149"/>
    <mergeCell ref="B147:B149"/>
    <mergeCell ref="C147:C149"/>
    <mergeCell ref="D147:D149"/>
    <mergeCell ref="I147:I149"/>
    <mergeCell ref="K147:K149"/>
    <mergeCell ref="A144:A146"/>
    <mergeCell ref="B144:B146"/>
    <mergeCell ref="C144:C146"/>
    <mergeCell ref="D144:D146"/>
    <mergeCell ref="I144:I146"/>
    <mergeCell ref="K144:K146"/>
    <mergeCell ref="M147:M149"/>
    <mergeCell ref="R147:R149"/>
    <mergeCell ref="V147:V149"/>
    <mergeCell ref="C150:C152"/>
    <mergeCell ref="D150:D152"/>
    <mergeCell ref="I150:I152"/>
    <mergeCell ref="K150:K152"/>
    <mergeCell ref="M150:M152"/>
    <mergeCell ref="V150:V152"/>
    <mergeCell ref="M153:M155"/>
    <mergeCell ref="R153:R155"/>
    <mergeCell ref="V153:V155"/>
    <mergeCell ref="X153:X155"/>
    <mergeCell ref="A156:A158"/>
    <mergeCell ref="B156:B158"/>
    <mergeCell ref="C156:C158"/>
    <mergeCell ref="D156:D158"/>
    <mergeCell ref="I156:I158"/>
    <mergeCell ref="K156:K158"/>
    <mergeCell ref="A153:A155"/>
    <mergeCell ref="B153:B155"/>
    <mergeCell ref="C153:C155"/>
    <mergeCell ref="D153:D155"/>
    <mergeCell ref="I153:I155"/>
    <mergeCell ref="K153:K155"/>
    <mergeCell ref="M156:M158"/>
    <mergeCell ref="R156:R158"/>
    <mergeCell ref="V156:V158"/>
    <mergeCell ref="Y156:Y158"/>
    <mergeCell ref="A159:A161"/>
    <mergeCell ref="B159:B161"/>
    <mergeCell ref="C159:C161"/>
    <mergeCell ref="D159:D161"/>
    <mergeCell ref="I159:I161"/>
    <mergeCell ref="K159:K161"/>
    <mergeCell ref="R159:R161"/>
    <mergeCell ref="V159:V161"/>
    <mergeCell ref="X159:X161"/>
    <mergeCell ref="A162:A164"/>
    <mergeCell ref="B162:B164"/>
    <mergeCell ref="C162:C164"/>
    <mergeCell ref="D162:D164"/>
    <mergeCell ref="I162:I164"/>
    <mergeCell ref="K162:K164"/>
    <mergeCell ref="R162:R164"/>
    <mergeCell ref="R165:R167"/>
    <mergeCell ref="A168:A170"/>
    <mergeCell ref="B168:B170"/>
    <mergeCell ref="C168:C170"/>
    <mergeCell ref="D168:D170"/>
    <mergeCell ref="I168:I170"/>
    <mergeCell ref="K168:K170"/>
    <mergeCell ref="M168:M170"/>
    <mergeCell ref="R168:R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M174:M176"/>
    <mergeCell ref="A171:A173"/>
    <mergeCell ref="B171:B173"/>
    <mergeCell ref="C171:C173"/>
    <mergeCell ref="D171:D173"/>
    <mergeCell ref="I171:I173"/>
    <mergeCell ref="K171:K173"/>
    <mergeCell ref="V174:V176"/>
    <mergeCell ref="X174:X176"/>
    <mergeCell ref="A177:A179"/>
    <mergeCell ref="B177:B179"/>
    <mergeCell ref="C177:C179"/>
    <mergeCell ref="D177:D179"/>
    <mergeCell ref="I177:I179"/>
    <mergeCell ref="K177:K179"/>
    <mergeCell ref="M177:M179"/>
    <mergeCell ref="A186:A188"/>
    <mergeCell ref="B186:B188"/>
    <mergeCell ref="C186:C188"/>
    <mergeCell ref="D186:D188"/>
    <mergeCell ref="I186:I188"/>
    <mergeCell ref="K186:K188"/>
    <mergeCell ref="R180:R182"/>
    <mergeCell ref="A183:A185"/>
    <mergeCell ref="B183:B185"/>
    <mergeCell ref="C183:C185"/>
    <mergeCell ref="D183:D185"/>
    <mergeCell ref="I183:I185"/>
    <mergeCell ref="K183:K185"/>
    <mergeCell ref="A180:A182"/>
    <mergeCell ref="B180:B182"/>
    <mergeCell ref="C180:C182"/>
    <mergeCell ref="D180:D182"/>
    <mergeCell ref="I180:I182"/>
    <mergeCell ref="K180:K182"/>
    <mergeCell ref="A189:A191"/>
    <mergeCell ref="B189:B191"/>
    <mergeCell ref="C189:C191"/>
    <mergeCell ref="I189:I191"/>
    <mergeCell ref="K189:K191"/>
    <mergeCell ref="A192:A194"/>
    <mergeCell ref="B192:B194"/>
    <mergeCell ref="C192:C194"/>
    <mergeCell ref="D192:D194"/>
    <mergeCell ref="I192:I194"/>
    <mergeCell ref="K192:K194"/>
    <mergeCell ref="M192:M194"/>
    <mergeCell ref="R192:R194"/>
    <mergeCell ref="V192:V194"/>
    <mergeCell ref="A195:A197"/>
    <mergeCell ref="B195:B197"/>
    <mergeCell ref="C195:C197"/>
    <mergeCell ref="D195:D197"/>
    <mergeCell ref="I195:I197"/>
    <mergeCell ref="K195:K197"/>
    <mergeCell ref="C205:X205"/>
    <mergeCell ref="M198:M200"/>
    <mergeCell ref="X198:X200"/>
    <mergeCell ref="Y198:Y200"/>
    <mergeCell ref="A201:A203"/>
    <mergeCell ref="B201:B203"/>
    <mergeCell ref="C201:C203"/>
    <mergeCell ref="D201:D203"/>
    <mergeCell ref="I201:I203"/>
    <mergeCell ref="K201:K203"/>
    <mergeCell ref="A198:A200"/>
    <mergeCell ref="B198:B200"/>
    <mergeCell ref="C198:C200"/>
    <mergeCell ref="D198:D200"/>
    <mergeCell ref="I198:I200"/>
    <mergeCell ref="K198:K200"/>
  </mergeCells>
  <hyperlinks>
    <hyperlink ref="AA48" r:id="rId1" xr:uid="{F753FBDB-1344-4020-80A2-247CB354525A}"/>
    <hyperlink ref="AA60" r:id="rId2" xr:uid="{BF6ECF32-B165-4ADD-B2D5-1EFB662B1C35}"/>
    <hyperlink ref="AA9" r:id="rId3" xr:uid="{729A230C-4564-41C8-8E8C-03EB6BE8C6D1}"/>
    <hyperlink ref="AA15" r:id="rId4" xr:uid="{4E0A727E-4DA1-4C64-8208-B14857AC5B1E}"/>
    <hyperlink ref="AA21" r:id="rId5" xr:uid="{093C54F6-FEC8-4ADC-AD53-4A5C3A22F5CF}"/>
    <hyperlink ref="AA18" r:id="rId6" xr:uid="{2AF915C2-D641-48D3-968C-BF9E65423820}"/>
    <hyperlink ref="AA27" r:id="rId7" xr:uid="{DC36CFBB-3848-4882-AE4C-BECA4768920E}"/>
    <hyperlink ref="AA33" r:id="rId8" xr:uid="{844409F3-DE1C-4449-B428-F03809D9C6C9}"/>
    <hyperlink ref="AA78" r:id="rId9" xr:uid="{FBFBF83B-1EF2-4BE8-B698-FD57B8B6971F}"/>
    <hyperlink ref="AA81" r:id="rId10" xr:uid="{C9B2F04A-078F-442E-A017-36F04A4D5061}"/>
    <hyperlink ref="AA87" r:id="rId11" xr:uid="{0EF0B9AB-CAE2-4A5A-A2E8-9CCBEC7E4846}"/>
    <hyperlink ref="AA30" r:id="rId12" xr:uid="{5F57FAB1-7E48-4222-8399-E707F3AFBD39}"/>
    <hyperlink ref="AA108" r:id="rId13" xr:uid="{5A805E1E-7785-4C7E-B269-B0C9E95D1EC7}"/>
    <hyperlink ref="AA159" r:id="rId14" xr:uid="{373F81D1-61D7-48FD-94D1-2CA9E0354ADA}"/>
    <hyperlink ref="AA160" r:id="rId15" xr:uid="{D86A72CE-4497-45D0-9A1C-A7C2FB866E47}"/>
    <hyperlink ref="AB6" r:id="rId16" display="https://treasury.gov.au/coronavirus" xr:uid="{5E55CFDA-F21B-454A-B9B1-1466871D3FB5}"/>
    <hyperlink ref="AA6" r:id="rId17" xr:uid="{0DDF6678-39B2-43DC-8545-D0097F5289CF}"/>
    <hyperlink ref="AA22" r:id="rId18" xr:uid="{B675E32F-7B9E-49F7-B09A-B45AD4A3181C}"/>
    <hyperlink ref="AA144" r:id="rId19" display="https://urldefense.proofpoint.com/v2/url?u=https-3A__www.gov.pl_web_tarczaantykryzysowa&amp;d=DwMFBA&amp;c=G8CoXqdZ57E1EOn2t2CVrg&amp;r=1dNmfCwUPm-Zyfp8PIjgpWCvO5QO5p2LM0QGFAzgPvI&amp;m=nz2rsJenFWhU9KRBhOJ8maK12Et9Tar9PrzSGpsIzBw&amp;s=CAY3fc6DLo3KDD4wEX63BZhcse8VIq2LHFGPVw4INzI&amp;e=" xr:uid="{BE680998-C003-4ABD-B72F-77301487446F}"/>
    <hyperlink ref="AA77" r:id="rId20" xr:uid="{713FCFD5-AD71-4974-AD8A-E706DB808610}"/>
    <hyperlink ref="AA75" r:id="rId21" xr:uid="{5B74D859-07AC-4743-B556-F23CB1C897E5}"/>
    <hyperlink ref="AA76" r:id="rId22" xr:uid="{41424C1A-E9D8-4204-9527-6B7F765338B9}"/>
    <hyperlink ref="AA54" r:id="rId23" display="http://www5.diputados.gob.mx/index.php/esl/Comunicacion/Boletines/2020/Marzo/18/3509-Aprueban-crear-el-Fondo-para-la-Prevencion-y-Atencion-de-Emergencias_x000a__x000a_" xr:uid="{9ED69AEA-FF9E-4475-89AD-67C1069BA28A}"/>
  </hyperlinks>
  <pageMargins left="0.7" right="0.7" top="0.75" bottom="0.75" header="0.3" footer="0.3"/>
  <pageSetup scale="37" fitToHeight="0" orientation="landscape" r:id="rId24"/>
  <rowBreaks count="16" manualBreakCount="16">
    <brk id="20" min="2" max="23" man="1"/>
    <brk id="29" min="2" max="23" man="1"/>
    <brk id="35" min="2" max="23" man="1"/>
    <brk id="44" min="2" max="23" man="1"/>
    <brk id="56" min="2" max="23" man="1"/>
    <brk id="65" min="2" max="23" man="1"/>
    <brk id="74" min="2" max="23" man="1"/>
    <brk id="86" min="2" max="23" man="1"/>
    <brk id="101" min="2" max="23" man="1"/>
    <brk id="110" min="2" max="23" man="1"/>
    <brk id="119" min="2" max="23" man="1"/>
    <brk id="134" min="2" max="23" man="1"/>
    <brk id="152" min="2" max="23" man="1"/>
    <brk id="161" min="2" max="23" man="1"/>
    <brk id="179" min="2" max="23" man="1"/>
    <brk id="194" min="2" max="23" man="1"/>
  </rowBreaks>
  <colBreaks count="1" manualBreakCount="1">
    <brk id="2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3FA3-9E1B-47BE-A866-24D3D45510FC}">
  <dimension ref="B1:N71"/>
  <sheetViews>
    <sheetView workbookViewId="0">
      <pane ySplit="2" topLeftCell="A12" activePane="bottomLeft" state="frozen"/>
      <selection pane="bottomLeft" activeCell="C42" sqref="C42"/>
    </sheetView>
  </sheetViews>
  <sheetFormatPr defaultColWidth="8.81640625" defaultRowHeight="12.5" outlineLevelCol="1"/>
  <cols>
    <col min="3" max="3" width="15" customWidth="1"/>
    <col min="4" max="4" width="8.81640625" customWidth="1"/>
    <col min="5" max="5" width="15" customWidth="1"/>
    <col min="6" max="6" width="12.1796875" bestFit="1" customWidth="1"/>
    <col min="7" max="7" width="5.1796875" customWidth="1"/>
    <col min="8" max="8" width="32.81640625" customWidth="1"/>
    <col min="9" max="9" width="8.81640625" style="495" customWidth="1" outlineLevel="1"/>
    <col min="10" max="10" width="8.81640625" customWidth="1" outlineLevel="1"/>
    <col min="11" max="11" width="12.1796875" customWidth="1" outlineLevel="1"/>
    <col min="12" max="12" width="5.1796875" customWidth="1" outlineLevel="1"/>
    <col min="13" max="13" width="25.54296875" customWidth="1" outlineLevel="1"/>
  </cols>
  <sheetData>
    <row r="1" spans="2:13" ht="13">
      <c r="D1" s="504" t="s">
        <v>1366</v>
      </c>
      <c r="I1" s="503" t="s">
        <v>1365</v>
      </c>
    </row>
    <row r="2" spans="2:13" ht="13">
      <c r="B2" t="s">
        <v>899</v>
      </c>
      <c r="C2" s="208" t="s">
        <v>54</v>
      </c>
      <c r="D2" s="208" t="s">
        <v>900</v>
      </c>
      <c r="E2" s="208" t="s">
        <v>901</v>
      </c>
      <c r="F2" s="208" t="s">
        <v>902</v>
      </c>
      <c r="G2" s="208" t="s">
        <v>903</v>
      </c>
      <c r="H2" s="208" t="s">
        <v>904</v>
      </c>
      <c r="I2" s="496" t="s">
        <v>900</v>
      </c>
      <c r="J2" s="208" t="s">
        <v>901</v>
      </c>
      <c r="K2" s="208" t="s">
        <v>902</v>
      </c>
      <c r="L2" s="208" t="s">
        <v>903</v>
      </c>
      <c r="M2" s="208" t="s">
        <v>904</v>
      </c>
    </row>
    <row r="3" spans="2:13" ht="14.5">
      <c r="C3" s="337" t="s">
        <v>1</v>
      </c>
      <c r="D3" s="337"/>
      <c r="E3" s="337"/>
      <c r="F3" s="340"/>
      <c r="H3" s="255"/>
      <c r="I3" s="497" t="s">
        <v>905</v>
      </c>
      <c r="J3" s="339" t="s">
        <v>906</v>
      </c>
      <c r="K3" s="340">
        <v>44041</v>
      </c>
      <c r="L3" t="s">
        <v>906</v>
      </c>
      <c r="M3" s="255" t="s">
        <v>934</v>
      </c>
    </row>
    <row r="4" spans="2:13" ht="14.5">
      <c r="C4" s="337" t="s">
        <v>2</v>
      </c>
      <c r="D4" s="337"/>
      <c r="E4" s="337"/>
      <c r="F4" s="340"/>
      <c r="I4" s="497" t="s">
        <v>905</v>
      </c>
      <c r="J4" s="339" t="s">
        <v>906</v>
      </c>
      <c r="K4" s="340">
        <v>44041</v>
      </c>
      <c r="L4" t="s">
        <v>906</v>
      </c>
      <c r="M4" t="s">
        <v>923</v>
      </c>
    </row>
    <row r="5" spans="2:13" ht="14.5">
      <c r="C5" s="337" t="s">
        <v>3</v>
      </c>
      <c r="D5" s="337"/>
      <c r="E5" s="337"/>
      <c r="F5" s="340"/>
      <c r="I5" s="497" t="s">
        <v>905</v>
      </c>
      <c r="J5" s="339" t="s">
        <v>906</v>
      </c>
      <c r="K5" s="340">
        <v>44041</v>
      </c>
      <c r="L5" t="s">
        <v>906</v>
      </c>
      <c r="M5" t="s">
        <v>923</v>
      </c>
    </row>
    <row r="6" spans="2:13" ht="14.5">
      <c r="C6" s="337" t="s">
        <v>4</v>
      </c>
      <c r="D6" s="337"/>
      <c r="E6" s="337"/>
      <c r="F6" s="340"/>
      <c r="H6" s="255"/>
      <c r="I6" s="497" t="s">
        <v>905</v>
      </c>
      <c r="J6" s="339" t="s">
        <v>906</v>
      </c>
      <c r="K6" s="340">
        <v>44041</v>
      </c>
      <c r="L6" t="s">
        <v>906</v>
      </c>
      <c r="M6" s="255" t="s">
        <v>932</v>
      </c>
    </row>
    <row r="7" spans="2:13" ht="14.5">
      <c r="C7" s="337" t="s">
        <v>5</v>
      </c>
      <c r="D7" s="337"/>
      <c r="E7" s="337"/>
      <c r="F7" s="340"/>
      <c r="I7" s="497" t="s">
        <v>905</v>
      </c>
      <c r="J7" s="339" t="s">
        <v>906</v>
      </c>
      <c r="K7" s="340">
        <v>44041</v>
      </c>
      <c r="L7" t="s">
        <v>906</v>
      </c>
      <c r="M7" t="s">
        <v>936</v>
      </c>
    </row>
    <row r="8" spans="2:13" ht="14.5">
      <c r="C8" s="337" t="s">
        <v>7</v>
      </c>
      <c r="D8" s="337"/>
      <c r="E8" s="337"/>
      <c r="F8" s="340"/>
      <c r="I8" s="498" t="s">
        <v>906</v>
      </c>
      <c r="J8" s="338" t="s">
        <v>905</v>
      </c>
      <c r="K8" s="340">
        <v>44041</v>
      </c>
      <c r="L8" t="s">
        <v>906</v>
      </c>
      <c r="M8" t="s">
        <v>938</v>
      </c>
    </row>
    <row r="9" spans="2:13" ht="14.5">
      <c r="C9" s="337" t="s">
        <v>8</v>
      </c>
      <c r="D9" s="337"/>
      <c r="E9" s="337"/>
      <c r="F9" s="340"/>
      <c r="I9" s="498" t="s">
        <v>906</v>
      </c>
      <c r="J9" s="338" t="s">
        <v>905</v>
      </c>
      <c r="K9" s="340">
        <v>44041</v>
      </c>
      <c r="L9" t="s">
        <v>906</v>
      </c>
      <c r="M9" t="s">
        <v>923</v>
      </c>
    </row>
    <row r="10" spans="2:13" ht="14.5">
      <c r="C10" s="337" t="s">
        <v>0</v>
      </c>
      <c r="D10" s="337"/>
      <c r="E10" s="337"/>
      <c r="F10" s="340"/>
      <c r="I10" s="497" t="s">
        <v>905</v>
      </c>
      <c r="J10" s="339" t="s">
        <v>906</v>
      </c>
      <c r="K10" s="340">
        <v>44041</v>
      </c>
      <c r="L10" t="s">
        <v>906</v>
      </c>
      <c r="M10" t="s">
        <v>931</v>
      </c>
    </row>
    <row r="11" spans="2:13" ht="14.5">
      <c r="C11" s="337" t="s">
        <v>6</v>
      </c>
      <c r="D11" s="337"/>
      <c r="E11" s="337"/>
      <c r="F11" s="340"/>
      <c r="I11" s="498" t="s">
        <v>906</v>
      </c>
      <c r="J11" s="338" t="s">
        <v>905</v>
      </c>
      <c r="K11" s="340">
        <v>44041</v>
      </c>
      <c r="L11" t="s">
        <v>906</v>
      </c>
      <c r="M11" t="s">
        <v>933</v>
      </c>
    </row>
    <row r="12" spans="2:13" ht="14.5">
      <c r="C12" s="337" t="s">
        <v>9</v>
      </c>
      <c r="D12" s="337"/>
      <c r="E12" s="337"/>
      <c r="F12" s="340"/>
      <c r="I12" s="497" t="s">
        <v>905</v>
      </c>
      <c r="J12" s="339" t="s">
        <v>906</v>
      </c>
      <c r="K12" s="340">
        <v>44042</v>
      </c>
      <c r="L12" t="s">
        <v>906</v>
      </c>
      <c r="M12" t="s">
        <v>941</v>
      </c>
    </row>
    <row r="13" spans="2:13" ht="14.5">
      <c r="C13" s="337" t="s">
        <v>10</v>
      </c>
      <c r="D13" s="337"/>
      <c r="E13" s="337"/>
      <c r="F13" s="340"/>
      <c r="I13" s="497" t="s">
        <v>905</v>
      </c>
      <c r="J13" s="339" t="s">
        <v>906</v>
      </c>
      <c r="K13" s="340">
        <v>44042</v>
      </c>
      <c r="L13" t="s">
        <v>906</v>
      </c>
      <c r="M13" t="s">
        <v>942</v>
      </c>
    </row>
    <row r="14" spans="2:13" ht="14.5">
      <c r="C14" s="337" t="s">
        <v>11</v>
      </c>
      <c r="D14" s="337"/>
      <c r="E14" s="337"/>
      <c r="F14" s="340"/>
      <c r="I14" s="498" t="s">
        <v>906</v>
      </c>
      <c r="J14" s="338" t="s">
        <v>905</v>
      </c>
      <c r="K14" s="340">
        <v>44042</v>
      </c>
      <c r="L14" t="s">
        <v>906</v>
      </c>
      <c r="M14" t="s">
        <v>946</v>
      </c>
    </row>
    <row r="15" spans="2:13" ht="14.5">
      <c r="C15" s="337" t="s">
        <v>12</v>
      </c>
      <c r="D15" s="337"/>
      <c r="E15" s="337"/>
      <c r="F15" s="340"/>
      <c r="I15" s="497" t="s">
        <v>905</v>
      </c>
      <c r="J15" s="339" t="s">
        <v>906</v>
      </c>
      <c r="K15" s="340">
        <v>44043</v>
      </c>
      <c r="L15" t="s">
        <v>906</v>
      </c>
      <c r="M15" t="s">
        <v>974</v>
      </c>
    </row>
    <row r="16" spans="2:13" ht="14.5">
      <c r="C16" s="337" t="s">
        <v>13</v>
      </c>
      <c r="D16" s="500" t="s">
        <v>909</v>
      </c>
      <c r="E16" s="337"/>
      <c r="F16" s="340">
        <v>44179</v>
      </c>
      <c r="H16" s="255" t="s">
        <v>1370</v>
      </c>
      <c r="I16" s="498" t="s">
        <v>906</v>
      </c>
      <c r="J16" s="338" t="s">
        <v>905</v>
      </c>
      <c r="K16" s="340">
        <v>44043</v>
      </c>
      <c r="L16" t="s">
        <v>906</v>
      </c>
      <c r="M16" s="255" t="s">
        <v>923</v>
      </c>
    </row>
    <row r="17" spans="3:13" ht="14.5">
      <c r="C17" s="337" t="s">
        <v>14</v>
      </c>
      <c r="D17" s="337"/>
      <c r="E17" s="337"/>
      <c r="F17" s="340"/>
      <c r="I17" s="497" t="s">
        <v>905</v>
      </c>
      <c r="J17" s="339" t="s">
        <v>906</v>
      </c>
      <c r="K17" s="340">
        <v>44042</v>
      </c>
      <c r="L17" t="s">
        <v>906</v>
      </c>
      <c r="M17" t="s">
        <v>923</v>
      </c>
    </row>
    <row r="18" spans="3:13" ht="14.5">
      <c r="C18" s="337" t="s">
        <v>15</v>
      </c>
      <c r="D18" s="500" t="s">
        <v>909</v>
      </c>
      <c r="E18" s="337"/>
      <c r="F18" s="340">
        <v>44174</v>
      </c>
      <c r="H18" t="s">
        <v>1367</v>
      </c>
      <c r="I18" s="497" t="s">
        <v>905</v>
      </c>
      <c r="J18" s="339" t="s">
        <v>906</v>
      </c>
      <c r="K18" s="340">
        <v>44043</v>
      </c>
      <c r="L18" t="s">
        <v>906</v>
      </c>
      <c r="M18" t="s">
        <v>977</v>
      </c>
    </row>
    <row r="19" spans="3:13" ht="14.5">
      <c r="C19" s="337" t="s">
        <v>16</v>
      </c>
      <c r="D19" s="500" t="s">
        <v>909</v>
      </c>
      <c r="E19" s="337"/>
      <c r="F19" s="340">
        <v>44174</v>
      </c>
      <c r="H19" t="s">
        <v>1371</v>
      </c>
      <c r="I19" s="497" t="s">
        <v>905</v>
      </c>
      <c r="J19" s="339" t="s">
        <v>906</v>
      </c>
      <c r="K19" s="340">
        <v>44042</v>
      </c>
      <c r="L19" t="s">
        <v>906</v>
      </c>
      <c r="M19" t="s">
        <v>951</v>
      </c>
    </row>
    <row r="20" spans="3:13" ht="14.5">
      <c r="C20" s="337" t="s">
        <v>17</v>
      </c>
      <c r="D20" s="337"/>
      <c r="E20" s="337"/>
      <c r="F20" s="340"/>
      <c r="I20" s="498" t="s">
        <v>906</v>
      </c>
      <c r="J20" s="338" t="s">
        <v>905</v>
      </c>
      <c r="K20" s="340">
        <v>44042</v>
      </c>
      <c r="L20" t="s">
        <v>906</v>
      </c>
      <c r="M20" t="s">
        <v>923</v>
      </c>
    </row>
    <row r="21" spans="3:13" ht="14.5">
      <c r="C21" s="337" t="s">
        <v>18</v>
      </c>
      <c r="D21" s="500" t="s">
        <v>909</v>
      </c>
      <c r="E21" s="337"/>
      <c r="F21" s="340">
        <v>44174</v>
      </c>
      <c r="H21" s="255" t="s">
        <v>1367</v>
      </c>
      <c r="I21" s="497" t="s">
        <v>905</v>
      </c>
      <c r="J21" s="339" t="s">
        <v>906</v>
      </c>
      <c r="K21" s="340">
        <v>44044</v>
      </c>
      <c r="L21" t="s">
        <v>906</v>
      </c>
      <c r="M21" s="255" t="s">
        <v>989</v>
      </c>
    </row>
    <row r="22" spans="3:13" ht="14.5">
      <c r="C22" s="337" t="s">
        <v>32</v>
      </c>
      <c r="D22" s="337"/>
      <c r="E22" s="337"/>
      <c r="F22" s="340"/>
      <c r="I22" s="497" t="s">
        <v>905</v>
      </c>
      <c r="J22" s="341" t="s">
        <v>907</v>
      </c>
      <c r="K22" s="340">
        <v>44041</v>
      </c>
      <c r="L22" t="s">
        <v>906</v>
      </c>
      <c r="M22" t="s">
        <v>935</v>
      </c>
    </row>
    <row r="23" spans="3:13" ht="14.5">
      <c r="C23" s="337" t="s">
        <v>908</v>
      </c>
      <c r="D23" s="337"/>
      <c r="E23" s="337"/>
      <c r="F23" s="340"/>
      <c r="I23" s="497" t="s">
        <v>905</v>
      </c>
      <c r="J23" s="341" t="s">
        <v>907</v>
      </c>
      <c r="K23" s="340">
        <v>44041</v>
      </c>
      <c r="L23" t="s">
        <v>906</v>
      </c>
      <c r="M23" t="s">
        <v>937</v>
      </c>
    </row>
    <row r="25" spans="3:13" ht="14.5">
      <c r="C25" s="337" t="s">
        <v>41</v>
      </c>
      <c r="D25" t="s">
        <v>1364</v>
      </c>
      <c r="E25" s="337"/>
      <c r="F25" s="340"/>
      <c r="G25" t="s">
        <v>1364</v>
      </c>
      <c r="I25" s="499" t="s">
        <v>907</v>
      </c>
      <c r="J25" s="342" t="s">
        <v>909</v>
      </c>
      <c r="K25" s="340">
        <v>44045</v>
      </c>
      <c r="L25" t="s">
        <v>907</v>
      </c>
      <c r="M25" t="s">
        <v>1226</v>
      </c>
    </row>
    <row r="26" spans="3:13" ht="14.5">
      <c r="C26" s="337" t="s">
        <v>37</v>
      </c>
      <c r="D26" s="122" t="s">
        <v>910</v>
      </c>
      <c r="E26" s="337"/>
      <c r="F26" s="340"/>
      <c r="G26" t="s">
        <v>909</v>
      </c>
      <c r="I26" s="500" t="s">
        <v>909</v>
      </c>
      <c r="J26" s="341" t="s">
        <v>907</v>
      </c>
      <c r="K26" s="340">
        <v>44042</v>
      </c>
      <c r="L26" t="s">
        <v>909</v>
      </c>
      <c r="M26" t="s">
        <v>1132</v>
      </c>
    </row>
    <row r="27" spans="3:13" ht="14.5">
      <c r="C27" s="337" t="s">
        <v>547</v>
      </c>
      <c r="E27" s="337"/>
      <c r="F27" s="340"/>
      <c r="I27" s="499" t="s">
        <v>907</v>
      </c>
      <c r="J27" s="338" t="s">
        <v>905</v>
      </c>
      <c r="K27" s="340">
        <v>44067</v>
      </c>
      <c r="L27" t="s">
        <v>907</v>
      </c>
      <c r="M27" t="s">
        <v>1233</v>
      </c>
    </row>
    <row r="28" spans="3:13" ht="14.5">
      <c r="C28" s="337" t="s">
        <v>27</v>
      </c>
      <c r="D28" t="s">
        <v>1364</v>
      </c>
      <c r="E28" s="337"/>
      <c r="F28" s="340"/>
      <c r="G28" t="s">
        <v>1364</v>
      </c>
      <c r="I28" s="499" t="s">
        <v>907</v>
      </c>
      <c r="J28" s="122" t="s">
        <v>910</v>
      </c>
      <c r="K28" s="340">
        <v>44048</v>
      </c>
      <c r="L28" t="s">
        <v>907</v>
      </c>
      <c r="M28" t="s">
        <v>1227</v>
      </c>
    </row>
    <row r="29" spans="3:13" ht="14.5">
      <c r="C29" s="337" t="s">
        <v>42</v>
      </c>
      <c r="D29" t="s">
        <v>1364</v>
      </c>
      <c r="E29" s="337"/>
      <c r="F29" s="340"/>
      <c r="G29" t="s">
        <v>1364</v>
      </c>
      <c r="I29" s="501" t="s">
        <v>910</v>
      </c>
      <c r="J29" s="342" t="s">
        <v>909</v>
      </c>
      <c r="K29" s="340">
        <v>44054</v>
      </c>
      <c r="L29" t="s">
        <v>910</v>
      </c>
    </row>
    <row r="30" spans="3:13" ht="14.5">
      <c r="C30" s="337" t="s">
        <v>34</v>
      </c>
      <c r="D30" s="500" t="s">
        <v>909</v>
      </c>
      <c r="E30" s="337"/>
      <c r="F30" s="340">
        <v>44179</v>
      </c>
      <c r="G30" t="s">
        <v>1364</v>
      </c>
      <c r="I30" s="501" t="s">
        <v>910</v>
      </c>
      <c r="J30" s="341" t="s">
        <v>907</v>
      </c>
      <c r="K30" s="340">
        <v>44054</v>
      </c>
      <c r="L30" t="s">
        <v>910</v>
      </c>
    </row>
    <row r="31" spans="3:13" ht="14.5">
      <c r="C31" s="337" t="s">
        <v>542</v>
      </c>
      <c r="E31" s="337"/>
      <c r="F31" s="340"/>
      <c r="I31" s="501" t="s">
        <v>910</v>
      </c>
      <c r="J31" s="341" t="s">
        <v>907</v>
      </c>
      <c r="K31" s="340">
        <v>44054</v>
      </c>
      <c r="L31" t="s">
        <v>910</v>
      </c>
    </row>
    <row r="32" spans="3:13" ht="14.5">
      <c r="C32" s="337" t="s">
        <v>19</v>
      </c>
      <c r="E32" s="337"/>
      <c r="F32" s="340"/>
      <c r="I32" s="499" t="s">
        <v>907</v>
      </c>
      <c r="J32" s="338" t="s">
        <v>905</v>
      </c>
      <c r="K32" s="340">
        <v>44047</v>
      </c>
      <c r="L32" t="s">
        <v>907</v>
      </c>
      <c r="M32" t="s">
        <v>1228</v>
      </c>
    </row>
    <row r="33" spans="2:14" ht="14.5">
      <c r="C33" s="337" t="s">
        <v>23</v>
      </c>
      <c r="D33" t="s">
        <v>1364</v>
      </c>
      <c r="E33" s="337"/>
      <c r="F33" s="340"/>
      <c r="G33" t="s">
        <v>1364</v>
      </c>
      <c r="I33" s="499" t="s">
        <v>907</v>
      </c>
      <c r="J33" s="122" t="s">
        <v>910</v>
      </c>
      <c r="K33" s="340">
        <v>44048</v>
      </c>
      <c r="L33" t="s">
        <v>907</v>
      </c>
      <c r="M33" s="122" t="s">
        <v>1153</v>
      </c>
    </row>
    <row r="34" spans="2:14">
      <c r="C34" s="343" t="s">
        <v>548</v>
      </c>
      <c r="D34" s="122" t="s">
        <v>910</v>
      </c>
      <c r="E34" s="343"/>
      <c r="F34" s="340"/>
      <c r="G34" t="s">
        <v>909</v>
      </c>
      <c r="I34" s="500" t="s">
        <v>909</v>
      </c>
      <c r="J34" s="122" t="s">
        <v>910</v>
      </c>
      <c r="K34" s="340">
        <v>44042</v>
      </c>
      <c r="L34" t="s">
        <v>909</v>
      </c>
      <c r="M34" t="s">
        <v>1131</v>
      </c>
    </row>
    <row r="35" spans="2:14" ht="14.5">
      <c r="C35" s="337" t="s">
        <v>20</v>
      </c>
      <c r="E35" s="337"/>
      <c r="F35" s="340"/>
      <c r="I35" s="499" t="s">
        <v>907</v>
      </c>
      <c r="J35" s="338" t="s">
        <v>905</v>
      </c>
      <c r="K35" s="340">
        <v>44045</v>
      </c>
      <c r="L35" t="s">
        <v>907</v>
      </c>
      <c r="M35" t="s">
        <v>1229</v>
      </c>
    </row>
    <row r="36" spans="2:14" ht="14.5">
      <c r="C36" s="337" t="s">
        <v>549</v>
      </c>
      <c r="D36" s="500" t="s">
        <v>909</v>
      </c>
      <c r="E36" s="337"/>
      <c r="F36" s="340">
        <v>44179</v>
      </c>
      <c r="G36" t="s">
        <v>909</v>
      </c>
      <c r="I36" s="500" t="s">
        <v>909</v>
      </c>
      <c r="J36" s="122" t="s">
        <v>910</v>
      </c>
      <c r="K36" s="340">
        <v>44041</v>
      </c>
      <c r="L36" t="s">
        <v>909</v>
      </c>
      <c r="M36" t="s">
        <v>1230</v>
      </c>
    </row>
    <row r="37" spans="2:14" ht="14.5">
      <c r="C37" s="337" t="s">
        <v>550</v>
      </c>
      <c r="D37" s="122" t="s">
        <v>910</v>
      </c>
      <c r="E37" s="337"/>
      <c r="F37" s="340"/>
      <c r="G37" t="s">
        <v>909</v>
      </c>
      <c r="I37" s="500" t="s">
        <v>909</v>
      </c>
      <c r="J37" s="122" t="s">
        <v>910</v>
      </c>
      <c r="K37" s="340">
        <v>44043</v>
      </c>
      <c r="L37" t="s">
        <v>909</v>
      </c>
      <c r="M37" t="s">
        <v>1156</v>
      </c>
      <c r="N37" s="344"/>
    </row>
    <row r="38" spans="2:14" ht="14.5">
      <c r="C38" s="337" t="s">
        <v>551</v>
      </c>
      <c r="D38" s="122" t="s">
        <v>910</v>
      </c>
      <c r="E38" s="337"/>
      <c r="F38" s="340"/>
      <c r="G38" t="s">
        <v>1364</v>
      </c>
      <c r="I38" s="499" t="s">
        <v>907</v>
      </c>
      <c r="J38" s="342" t="s">
        <v>909</v>
      </c>
      <c r="K38" s="340">
        <v>44045</v>
      </c>
      <c r="L38" t="s">
        <v>907</v>
      </c>
      <c r="M38" t="s">
        <v>1237</v>
      </c>
    </row>
    <row r="39" spans="2:14" ht="14.5">
      <c r="C39" s="337" t="s">
        <v>38</v>
      </c>
      <c r="D39" s="122" t="s">
        <v>910</v>
      </c>
      <c r="E39" s="337"/>
      <c r="F39" s="340"/>
      <c r="G39" t="s">
        <v>1364</v>
      </c>
      <c r="H39" s="255"/>
      <c r="I39" s="499" t="s">
        <v>907</v>
      </c>
      <c r="J39" s="342" t="s">
        <v>909</v>
      </c>
      <c r="K39" s="340">
        <v>44045</v>
      </c>
      <c r="L39" t="s">
        <v>907</v>
      </c>
      <c r="M39" s="255" t="s">
        <v>996</v>
      </c>
    </row>
    <row r="40" spans="2:14" ht="14.5">
      <c r="C40" s="337" t="s">
        <v>35</v>
      </c>
      <c r="D40" s="500" t="s">
        <v>909</v>
      </c>
      <c r="E40" s="337"/>
      <c r="F40" s="340">
        <v>44179</v>
      </c>
      <c r="G40" t="s">
        <v>909</v>
      </c>
      <c r="I40" s="500" t="s">
        <v>909</v>
      </c>
      <c r="J40" s="341" t="s">
        <v>907</v>
      </c>
      <c r="K40" s="340">
        <v>44041</v>
      </c>
      <c r="L40" t="s">
        <v>909</v>
      </c>
      <c r="M40" t="s">
        <v>1133</v>
      </c>
    </row>
    <row r="41" spans="2:14">
      <c r="C41" s="343" t="s">
        <v>552</v>
      </c>
      <c r="D41" s="122" t="s">
        <v>910</v>
      </c>
      <c r="E41" s="343"/>
      <c r="F41" s="340"/>
      <c r="G41" t="s">
        <v>909</v>
      </c>
      <c r="I41" s="500" t="s">
        <v>909</v>
      </c>
      <c r="J41" s="122" t="s">
        <v>910</v>
      </c>
      <c r="K41" s="340">
        <v>44042</v>
      </c>
      <c r="L41" t="s">
        <v>909</v>
      </c>
      <c r="M41" s="452" t="s">
        <v>1238</v>
      </c>
    </row>
    <row r="42" spans="2:14" ht="14.5">
      <c r="C42" s="337" t="s">
        <v>92</v>
      </c>
      <c r="D42" s="500" t="s">
        <v>909</v>
      </c>
      <c r="E42" s="337"/>
      <c r="F42" s="340">
        <v>44179</v>
      </c>
      <c r="G42" t="s">
        <v>909</v>
      </c>
      <c r="I42" s="500" t="s">
        <v>909</v>
      </c>
      <c r="J42" s="122" t="s">
        <v>910</v>
      </c>
      <c r="K42" s="340">
        <v>44041</v>
      </c>
      <c r="L42" t="s">
        <v>909</v>
      </c>
      <c r="M42" t="s">
        <v>1133</v>
      </c>
    </row>
    <row r="43" spans="2:14">
      <c r="B43" t="s">
        <v>917</v>
      </c>
      <c r="C43" s="138" t="s">
        <v>912</v>
      </c>
      <c r="D43" s="122" t="s">
        <v>910</v>
      </c>
      <c r="E43" s="138"/>
      <c r="F43" s="340"/>
      <c r="G43" t="s">
        <v>1364</v>
      </c>
      <c r="I43" s="502" t="s">
        <v>918</v>
      </c>
      <c r="J43" s="345" t="s">
        <v>918</v>
      </c>
      <c r="K43" s="340">
        <v>44054</v>
      </c>
      <c r="M43" t="s">
        <v>1165</v>
      </c>
    </row>
    <row r="44" spans="2:14">
      <c r="B44" t="s">
        <v>917</v>
      </c>
      <c r="C44" s="138" t="s">
        <v>914</v>
      </c>
      <c r="D44" s="122" t="s">
        <v>910</v>
      </c>
      <c r="E44" s="138"/>
      <c r="F44" s="340"/>
      <c r="G44" t="s">
        <v>1364</v>
      </c>
      <c r="I44" s="502" t="s">
        <v>918</v>
      </c>
      <c r="J44" s="345" t="s">
        <v>918</v>
      </c>
      <c r="K44" s="340">
        <v>44054</v>
      </c>
      <c r="M44" t="s">
        <v>1165</v>
      </c>
    </row>
    <row r="45" spans="2:14" ht="14.5">
      <c r="C45" s="337" t="s">
        <v>55</v>
      </c>
      <c r="E45" s="337"/>
      <c r="F45" s="340"/>
      <c r="I45" s="499" t="s">
        <v>907</v>
      </c>
      <c r="J45" s="338" t="s">
        <v>905</v>
      </c>
      <c r="K45" s="340">
        <v>44045</v>
      </c>
      <c r="L45" t="s">
        <v>907</v>
      </c>
      <c r="M45" t="s">
        <v>1232</v>
      </c>
    </row>
    <row r="46" spans="2:14" ht="14.5">
      <c r="C46" s="337" t="s">
        <v>553</v>
      </c>
      <c r="E46" s="337"/>
      <c r="F46" s="340"/>
      <c r="I46" s="499" t="s">
        <v>907</v>
      </c>
      <c r="J46" s="338" t="s">
        <v>905</v>
      </c>
      <c r="K46" s="340">
        <v>44067</v>
      </c>
      <c r="L46" t="s">
        <v>907</v>
      </c>
      <c r="M46" t="s">
        <v>1235</v>
      </c>
    </row>
    <row r="47" spans="2:14">
      <c r="B47" t="s">
        <v>917</v>
      </c>
      <c r="C47" s="138" t="s">
        <v>915</v>
      </c>
      <c r="D47" s="122" t="s">
        <v>910</v>
      </c>
      <c r="E47" s="138"/>
      <c r="F47" s="340"/>
      <c r="G47" t="s">
        <v>909</v>
      </c>
      <c r="I47" s="502" t="s">
        <v>918</v>
      </c>
      <c r="J47" s="345" t="s">
        <v>918</v>
      </c>
      <c r="K47" s="340">
        <v>44054</v>
      </c>
      <c r="M47" t="s">
        <v>1165</v>
      </c>
    </row>
    <row r="48" spans="2:14" ht="14.5">
      <c r="C48" s="337" t="s">
        <v>29</v>
      </c>
      <c r="D48" s="122" t="s">
        <v>910</v>
      </c>
      <c r="E48" s="337"/>
      <c r="F48" s="340"/>
      <c r="G48" t="s">
        <v>1364</v>
      </c>
      <c r="H48" s="294"/>
      <c r="I48" s="501" t="s">
        <v>910</v>
      </c>
      <c r="J48" s="342" t="s">
        <v>909</v>
      </c>
      <c r="K48" s="340">
        <v>44054</v>
      </c>
      <c r="L48" t="s">
        <v>910</v>
      </c>
      <c r="M48" s="294"/>
    </row>
    <row r="49" spans="2:13" ht="14.5">
      <c r="C49" s="337" t="s">
        <v>36</v>
      </c>
      <c r="E49" s="337"/>
      <c r="F49" s="340"/>
      <c r="I49" s="499" t="s">
        <v>907</v>
      </c>
      <c r="J49" s="122" t="s">
        <v>910</v>
      </c>
      <c r="K49" s="340">
        <v>44047</v>
      </c>
      <c r="L49" t="s">
        <v>907</v>
      </c>
      <c r="M49" t="s">
        <v>1231</v>
      </c>
    </row>
    <row r="50" spans="2:13">
      <c r="C50" s="343" t="s">
        <v>554</v>
      </c>
      <c r="D50" s="500" t="s">
        <v>909</v>
      </c>
      <c r="E50" s="343"/>
      <c r="F50" s="340">
        <v>44179</v>
      </c>
      <c r="G50" t="s">
        <v>909</v>
      </c>
      <c r="H50" t="s">
        <v>1369</v>
      </c>
      <c r="I50" s="500" t="s">
        <v>909</v>
      </c>
      <c r="J50" s="122" t="s">
        <v>910</v>
      </c>
      <c r="K50" s="340">
        <v>44042</v>
      </c>
      <c r="L50" t="s">
        <v>909</v>
      </c>
      <c r="M50" t="s">
        <v>1131</v>
      </c>
    </row>
    <row r="51" spans="2:13" ht="14.5">
      <c r="C51" s="337" t="s">
        <v>555</v>
      </c>
      <c r="D51" s="500" t="s">
        <v>909</v>
      </c>
      <c r="E51" s="337"/>
      <c r="F51" s="340">
        <v>44179</v>
      </c>
      <c r="G51" t="s">
        <v>909</v>
      </c>
      <c r="I51" s="500" t="s">
        <v>909</v>
      </c>
      <c r="J51" s="122" t="s">
        <v>910</v>
      </c>
      <c r="K51" s="340">
        <v>44042</v>
      </c>
      <c r="L51" t="s">
        <v>909</v>
      </c>
      <c r="M51" s="452" t="s">
        <v>1239</v>
      </c>
    </row>
    <row r="52" spans="2:13" ht="14.5">
      <c r="C52" s="337" t="s">
        <v>556</v>
      </c>
      <c r="D52" s="500" t="s">
        <v>909</v>
      </c>
      <c r="E52" s="337"/>
      <c r="F52" s="340">
        <v>44179</v>
      </c>
      <c r="G52" t="s">
        <v>909</v>
      </c>
      <c r="I52" s="500" t="s">
        <v>909</v>
      </c>
      <c r="J52" s="122" t="s">
        <v>910</v>
      </c>
      <c r="K52" s="340">
        <v>44041</v>
      </c>
      <c r="L52" t="s">
        <v>909</v>
      </c>
      <c r="M52" t="s">
        <v>1131</v>
      </c>
    </row>
    <row r="53" spans="2:13" ht="14.5">
      <c r="C53" s="337" t="s">
        <v>22</v>
      </c>
      <c r="D53" t="s">
        <v>1364</v>
      </c>
      <c r="E53" s="337"/>
      <c r="F53" s="340"/>
      <c r="G53" t="s">
        <v>1364</v>
      </c>
      <c r="H53" s="294"/>
      <c r="I53" s="501" t="s">
        <v>910</v>
      </c>
      <c r="J53" s="341" t="s">
        <v>907</v>
      </c>
      <c r="K53" s="340">
        <v>44054</v>
      </c>
      <c r="L53" t="s">
        <v>910</v>
      </c>
      <c r="M53" s="294"/>
    </row>
    <row r="54" spans="2:13" ht="14.5">
      <c r="C54" s="337" t="s">
        <v>557</v>
      </c>
      <c r="D54" t="s">
        <v>1364</v>
      </c>
      <c r="E54" s="337"/>
      <c r="F54" s="340"/>
      <c r="G54" t="s">
        <v>1364</v>
      </c>
      <c r="I54" s="499" t="s">
        <v>907</v>
      </c>
      <c r="J54" s="122" t="s">
        <v>910</v>
      </c>
      <c r="K54" s="340">
        <v>44047</v>
      </c>
      <c r="L54" t="s">
        <v>907</v>
      </c>
      <c r="M54" t="s">
        <v>1236</v>
      </c>
    </row>
    <row r="55" spans="2:13" ht="14.5">
      <c r="C55" s="337" t="s">
        <v>93</v>
      </c>
      <c r="D55" s="122" t="s">
        <v>910</v>
      </c>
      <c r="E55" s="337"/>
      <c r="F55" s="340"/>
      <c r="G55" t="s">
        <v>909</v>
      </c>
      <c r="I55" s="500" t="s">
        <v>909</v>
      </c>
      <c r="J55" s="341" t="s">
        <v>907</v>
      </c>
      <c r="K55" s="340">
        <v>44042</v>
      </c>
      <c r="L55" t="s">
        <v>909</v>
      </c>
      <c r="M55" s="452" t="s">
        <v>1240</v>
      </c>
    </row>
    <row r="56" spans="2:13" ht="14.5">
      <c r="C56" s="337" t="s">
        <v>31</v>
      </c>
      <c r="E56" s="337"/>
      <c r="F56" s="340"/>
      <c r="I56" s="500" t="s">
        <v>909</v>
      </c>
      <c r="J56" s="122" t="s">
        <v>910</v>
      </c>
      <c r="K56" s="340">
        <v>44042</v>
      </c>
      <c r="L56" t="s">
        <v>909</v>
      </c>
      <c r="M56" t="s">
        <v>1131</v>
      </c>
    </row>
    <row r="57" spans="2:13" ht="14.5">
      <c r="C57" s="337" t="s">
        <v>21</v>
      </c>
      <c r="E57" s="337"/>
      <c r="F57" s="340"/>
      <c r="I57" s="499" t="s">
        <v>907</v>
      </c>
      <c r="J57" s="122" t="s">
        <v>910</v>
      </c>
      <c r="K57" s="340">
        <v>44067</v>
      </c>
      <c r="L57" t="s">
        <v>907</v>
      </c>
      <c r="M57" t="s">
        <v>1224</v>
      </c>
    </row>
    <row r="58" spans="2:13" ht="14.5">
      <c r="C58" s="337" t="s">
        <v>558</v>
      </c>
      <c r="E58" s="337"/>
      <c r="F58" s="340"/>
      <c r="I58" s="499" t="s">
        <v>907</v>
      </c>
      <c r="J58" s="122" t="s">
        <v>910</v>
      </c>
      <c r="K58" s="340">
        <v>44067</v>
      </c>
      <c r="L58" t="s">
        <v>907</v>
      </c>
      <c r="M58" t="s">
        <v>1225</v>
      </c>
    </row>
    <row r="59" spans="2:13" ht="14.5">
      <c r="C59" s="337" t="s">
        <v>559</v>
      </c>
      <c r="D59" t="s">
        <v>1364</v>
      </c>
      <c r="E59" s="337"/>
      <c r="F59" s="340"/>
      <c r="G59" t="s">
        <v>1364</v>
      </c>
      <c r="I59" s="499" t="s">
        <v>907</v>
      </c>
      <c r="J59" s="122" t="s">
        <v>910</v>
      </c>
      <c r="K59" s="340">
        <v>44045</v>
      </c>
      <c r="L59" t="s">
        <v>907</v>
      </c>
      <c r="M59" t="s">
        <v>1234</v>
      </c>
    </row>
    <row r="60" spans="2:13" ht="14.5">
      <c r="C60" s="337" t="s">
        <v>30</v>
      </c>
      <c r="D60" s="500" t="s">
        <v>909</v>
      </c>
      <c r="E60" s="337"/>
      <c r="F60" s="340">
        <v>44179</v>
      </c>
      <c r="G60" t="s">
        <v>909</v>
      </c>
      <c r="I60" s="500" t="s">
        <v>909</v>
      </c>
      <c r="J60" s="122" t="s">
        <v>910</v>
      </c>
      <c r="K60" s="340">
        <v>44042</v>
      </c>
      <c r="L60" t="s">
        <v>909</v>
      </c>
      <c r="M60" s="452" t="s">
        <v>1241</v>
      </c>
    </row>
    <row r="61" spans="2:13" ht="14.5">
      <c r="C61" s="337" t="s">
        <v>56</v>
      </c>
      <c r="D61" s="500" t="s">
        <v>909</v>
      </c>
      <c r="E61" s="337"/>
      <c r="F61" s="340">
        <v>44179</v>
      </c>
      <c r="G61" t="s">
        <v>909</v>
      </c>
      <c r="I61" s="500" t="s">
        <v>909</v>
      </c>
      <c r="J61" s="122" t="s">
        <v>910</v>
      </c>
      <c r="K61" s="340">
        <v>44042</v>
      </c>
      <c r="L61" t="s">
        <v>909</v>
      </c>
      <c r="M61" t="s">
        <v>1134</v>
      </c>
    </row>
    <row r="62" spans="2:13">
      <c r="B62" t="s">
        <v>917</v>
      </c>
      <c r="C62" s="138" t="s">
        <v>913</v>
      </c>
      <c r="D62" s="138"/>
      <c r="E62" s="138"/>
      <c r="F62" s="340"/>
      <c r="I62" s="502" t="s">
        <v>918</v>
      </c>
      <c r="J62" s="345" t="s">
        <v>918</v>
      </c>
      <c r="K62" s="340">
        <v>44054</v>
      </c>
      <c r="M62" t="s">
        <v>1165</v>
      </c>
    </row>
    <row r="63" spans="2:13" ht="14.5">
      <c r="C63" s="337" t="s">
        <v>33</v>
      </c>
      <c r="D63" s="337"/>
      <c r="E63" s="337"/>
      <c r="F63" s="340"/>
      <c r="I63" s="501" t="s">
        <v>910</v>
      </c>
      <c r="J63" s="342" t="s">
        <v>909</v>
      </c>
      <c r="K63" s="340">
        <v>44054</v>
      </c>
      <c r="L63" t="s">
        <v>910</v>
      </c>
    </row>
    <row r="64" spans="2:13">
      <c r="B64" t="s">
        <v>917</v>
      </c>
      <c r="C64" s="138" t="s">
        <v>916</v>
      </c>
      <c r="D64" s="138"/>
      <c r="E64" s="138"/>
      <c r="F64" s="340"/>
      <c r="I64" s="502" t="s">
        <v>918</v>
      </c>
      <c r="J64" s="345" t="s">
        <v>918</v>
      </c>
      <c r="K64" s="340">
        <v>44054</v>
      </c>
      <c r="M64" t="s">
        <v>1165</v>
      </c>
    </row>
    <row r="66" spans="2:10">
      <c r="B66" t="s">
        <v>973</v>
      </c>
      <c r="C66" t="s">
        <v>953</v>
      </c>
      <c r="I66" s="502" t="s">
        <v>918</v>
      </c>
      <c r="J66" s="345" t="s">
        <v>918</v>
      </c>
    </row>
    <row r="67" spans="2:10">
      <c r="B67" t="s">
        <v>973</v>
      </c>
      <c r="C67" t="s">
        <v>962</v>
      </c>
      <c r="I67" s="502" t="s">
        <v>918</v>
      </c>
      <c r="J67" s="345" t="s">
        <v>918</v>
      </c>
    </row>
    <row r="68" spans="2:10">
      <c r="B68" t="s">
        <v>973</v>
      </c>
      <c r="C68" t="s">
        <v>963</v>
      </c>
      <c r="I68" s="502" t="s">
        <v>918</v>
      </c>
      <c r="J68" s="345" t="s">
        <v>918</v>
      </c>
    </row>
    <row r="69" spans="2:10">
      <c r="B69" t="s">
        <v>973</v>
      </c>
      <c r="C69" t="s">
        <v>972</v>
      </c>
      <c r="I69" s="502" t="s">
        <v>918</v>
      </c>
      <c r="J69" s="345" t="s">
        <v>918</v>
      </c>
    </row>
    <row r="70" spans="2:10">
      <c r="B70" t="s">
        <v>973</v>
      </c>
      <c r="C70" t="s">
        <v>41</v>
      </c>
      <c r="I70" s="502" t="s">
        <v>918</v>
      </c>
      <c r="J70" s="345" t="s">
        <v>918</v>
      </c>
    </row>
    <row r="71" spans="2:10">
      <c r="B71" t="s">
        <v>973</v>
      </c>
      <c r="C71" t="s">
        <v>970</v>
      </c>
      <c r="I71" s="502" t="s">
        <v>918</v>
      </c>
      <c r="J71" s="345" t="s">
        <v>918</v>
      </c>
    </row>
  </sheetData>
  <sortState xmlns:xlrd2="http://schemas.microsoft.com/office/spreadsheetml/2017/richdata2" ref="C25:J64">
    <sortCondition ref="C25:C64"/>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172F-B8FD-451C-B06D-83F0BA3A6C57}">
  <sheetPr>
    <tabColor rgb="FFFF0000"/>
    <pageSetUpPr fitToPage="1"/>
  </sheetPr>
  <dimension ref="A1:AY51"/>
  <sheetViews>
    <sheetView showGridLines="0" zoomScale="109" zoomScaleNormal="115" zoomScaleSheetLayoutView="100" workbookViewId="0">
      <pane xSplit="2" ySplit="8" topLeftCell="M9" activePane="bottomRight" state="frozen"/>
      <selection activeCell="I6" sqref="I6:I8"/>
      <selection pane="topRight" activeCell="I6" sqref="I6:I8"/>
      <selection pane="bottomLeft" activeCell="I6" sqref="I6:I8"/>
      <selection pane="bottomRight" activeCell="A15" sqref="A15:XFD15"/>
    </sheetView>
  </sheetViews>
  <sheetFormatPr defaultColWidth="9.1796875" defaultRowHeight="12.5"/>
  <cols>
    <col min="1" max="1" width="10.1796875" customWidth="1"/>
    <col min="2" max="2" width="26.54296875" style="33" customWidth="1"/>
    <col min="3" max="3" width="10.7265625" style="33" customWidth="1"/>
    <col min="4" max="4" width="11" style="33" customWidth="1"/>
    <col min="5" max="5" width="9" style="33" bestFit="1" customWidth="1"/>
    <col min="6" max="6" width="9.81640625" style="33" customWidth="1"/>
    <col min="7" max="7" width="13.54296875" style="33" customWidth="1"/>
    <col min="8" max="8" width="18.36328125" style="33" customWidth="1"/>
    <col min="9" max="9" width="9.1796875" style="33" customWidth="1"/>
    <col min="10" max="10" width="11.1796875" style="33" customWidth="1"/>
    <col min="11" max="11" width="6.81640625" style="33" customWidth="1"/>
    <col min="12" max="12" width="10" style="33" customWidth="1"/>
    <col min="13" max="13" width="7.90625" style="33" bestFit="1" customWidth="1"/>
    <col min="14" max="14" width="9.81640625" style="33" customWidth="1"/>
    <col min="15" max="15" width="6.81640625" style="33" customWidth="1"/>
    <col min="16" max="16" width="32.90625" style="33" customWidth="1"/>
    <col min="17" max="17" width="15.81640625" style="33" customWidth="1"/>
    <col min="18" max="18" width="11.90625" style="33" customWidth="1"/>
    <col min="19" max="19" width="18.1796875" style="33" customWidth="1"/>
    <col min="20" max="20" width="18.81640625" style="33" customWidth="1"/>
    <col min="21" max="21" width="8.81640625" style="33" customWidth="1"/>
    <col min="22" max="22" width="18.81640625" style="33" customWidth="1"/>
    <col min="23" max="23" width="1.54296875" customWidth="1"/>
    <col min="25" max="25" width="11.453125" bestFit="1" customWidth="1"/>
    <col min="27" max="27" width="26.54296875" customWidth="1"/>
  </cols>
  <sheetData>
    <row r="1" spans="1:51">
      <c r="B1" s="2"/>
      <c r="C1" s="2"/>
      <c r="S1" s="567"/>
    </row>
    <row r="2" spans="1:51" ht="15.75" customHeight="1">
      <c r="B2" s="423" t="s">
        <v>1483</v>
      </c>
      <c r="AA2" s="295"/>
    </row>
    <row r="3" spans="1:51" ht="15.75" customHeight="1">
      <c r="B3" s="424" t="s">
        <v>1474</v>
      </c>
      <c r="L3" s="567"/>
      <c r="S3" s="33">
        <f>((G11+C11)/S11)*100</f>
        <v>2624.4160302394603</v>
      </c>
      <c r="AA3" s="305"/>
      <c r="AC3" s="208"/>
    </row>
    <row r="4" spans="1:51" ht="15.75" customHeight="1">
      <c r="B4" s="675" t="s">
        <v>437</v>
      </c>
      <c r="C4" s="676"/>
      <c r="D4" s="676"/>
      <c r="E4" s="676"/>
      <c r="F4" s="676"/>
      <c r="G4" s="676"/>
      <c r="H4" s="676"/>
      <c r="I4" s="676"/>
      <c r="J4" s="676"/>
      <c r="K4" s="676"/>
      <c r="L4" s="676"/>
      <c r="M4" s="676"/>
      <c r="N4" s="676"/>
      <c r="O4" s="676"/>
      <c r="P4" s="676"/>
      <c r="Q4" s="676"/>
      <c r="R4" s="676"/>
      <c r="S4" s="676"/>
      <c r="T4" s="676"/>
      <c r="U4" s="676"/>
      <c r="V4" s="676"/>
      <c r="AC4" s="677"/>
      <c r="AD4" s="678"/>
      <c r="AE4" s="678"/>
      <c r="AF4" s="678"/>
      <c r="AG4" s="678"/>
      <c r="AH4" s="678"/>
      <c r="AI4" s="678"/>
      <c r="AJ4" s="678"/>
      <c r="AK4" s="678"/>
      <c r="AL4" s="678"/>
      <c r="AM4" s="678"/>
      <c r="AN4" s="544"/>
      <c r="AO4" s="677"/>
      <c r="AP4" s="678"/>
      <c r="AQ4" s="678"/>
      <c r="AR4" s="678"/>
      <c r="AS4" s="678"/>
      <c r="AT4" s="678"/>
      <c r="AU4" s="678"/>
      <c r="AV4" s="678"/>
      <c r="AW4" s="678"/>
      <c r="AX4" s="678"/>
      <c r="AY4" s="678"/>
    </row>
    <row r="5" spans="1:51" ht="11.15" customHeight="1">
      <c r="A5" s="296"/>
      <c r="B5" s="426"/>
      <c r="C5" s="679" t="s">
        <v>586</v>
      </c>
      <c r="D5" s="679"/>
      <c r="E5" s="679"/>
      <c r="F5" s="679"/>
      <c r="G5" s="680" t="s">
        <v>773</v>
      </c>
      <c r="H5" s="680"/>
      <c r="I5" s="680"/>
      <c r="J5" s="680"/>
      <c r="K5" s="679" t="s">
        <v>586</v>
      </c>
      <c r="L5" s="679"/>
      <c r="M5" s="679"/>
      <c r="N5" s="679"/>
      <c r="O5" s="680" t="s">
        <v>773</v>
      </c>
      <c r="P5" s="680"/>
      <c r="Q5" s="680"/>
      <c r="R5" s="680"/>
      <c r="S5" s="680"/>
      <c r="T5" s="680"/>
      <c r="U5" s="680"/>
      <c r="V5" s="680"/>
      <c r="AA5" s="307"/>
      <c r="AC5" s="426"/>
      <c r="AD5" s="681"/>
      <c r="AE5" s="681"/>
      <c r="AF5" s="681"/>
      <c r="AG5" s="681"/>
      <c r="AH5" s="427"/>
      <c r="AI5" s="682"/>
      <c r="AJ5" s="682"/>
      <c r="AK5" s="682"/>
      <c r="AL5" s="682"/>
      <c r="AM5" s="682"/>
      <c r="AN5" s="427"/>
      <c r="AO5" s="427"/>
      <c r="AP5" s="681"/>
      <c r="AQ5" s="681"/>
      <c r="AR5" s="681"/>
      <c r="AS5" s="681"/>
      <c r="AT5" s="427"/>
      <c r="AU5" s="682"/>
      <c r="AV5" s="682"/>
      <c r="AW5" s="682"/>
      <c r="AX5" s="682"/>
      <c r="AY5" s="682"/>
    </row>
    <row r="6" spans="1:51">
      <c r="A6" s="296"/>
      <c r="B6" s="426"/>
      <c r="C6" s="680" t="s">
        <v>770</v>
      </c>
      <c r="D6" s="680"/>
      <c r="E6" s="680"/>
      <c r="F6" s="683" t="s">
        <v>771</v>
      </c>
      <c r="G6" s="429"/>
      <c r="H6" s="685" t="s">
        <v>778</v>
      </c>
      <c r="I6" s="679" t="s">
        <v>211</v>
      </c>
      <c r="J6" s="679"/>
      <c r="K6" s="680" t="s">
        <v>770</v>
      </c>
      <c r="L6" s="680"/>
      <c r="M6" s="680"/>
      <c r="N6" s="683" t="s">
        <v>771</v>
      </c>
      <c r="O6" s="429"/>
      <c r="P6" s="429"/>
      <c r="Q6" s="429"/>
      <c r="R6" s="429"/>
      <c r="S6" s="429"/>
      <c r="T6" s="685" t="s">
        <v>778</v>
      </c>
      <c r="U6" s="679" t="s">
        <v>211</v>
      </c>
      <c r="V6" s="679"/>
      <c r="AA6" s="307"/>
      <c r="AC6" s="426"/>
      <c r="AD6" s="682"/>
      <c r="AE6" s="682"/>
      <c r="AF6" s="682"/>
      <c r="AG6" s="687"/>
      <c r="AH6" s="427"/>
      <c r="AI6" s="429"/>
      <c r="AJ6" s="685"/>
      <c r="AK6" s="429"/>
      <c r="AL6" s="681"/>
      <c r="AM6" s="681"/>
      <c r="AN6" s="427"/>
      <c r="AO6" s="427"/>
      <c r="AP6" s="682"/>
      <c r="AQ6" s="682"/>
      <c r="AR6" s="682"/>
      <c r="AS6" s="687"/>
      <c r="AT6" s="427"/>
      <c r="AU6" s="429"/>
      <c r="AV6" s="685"/>
      <c r="AW6" s="429"/>
      <c r="AX6" s="681"/>
      <c r="AY6" s="681"/>
    </row>
    <row r="7" spans="1:51" ht="22">
      <c r="A7" s="296"/>
      <c r="B7" s="566"/>
      <c r="C7" s="312" t="s">
        <v>429</v>
      </c>
      <c r="D7" s="313" t="s">
        <v>769</v>
      </c>
      <c r="E7" s="313" t="s">
        <v>772</v>
      </c>
      <c r="F7" s="684"/>
      <c r="G7" s="315" t="s">
        <v>429</v>
      </c>
      <c r="H7" s="686"/>
      <c r="I7" s="316" t="s">
        <v>587</v>
      </c>
      <c r="J7" s="316" t="s">
        <v>588</v>
      </c>
      <c r="K7" s="312" t="s">
        <v>429</v>
      </c>
      <c r="L7" s="313" t="s">
        <v>769</v>
      </c>
      <c r="M7" s="313" t="s">
        <v>772</v>
      </c>
      <c r="N7" s="684"/>
      <c r="O7" s="315" t="s">
        <v>429</v>
      </c>
      <c r="P7" s="315" t="s">
        <v>1775</v>
      </c>
      <c r="Q7" s="315" t="s">
        <v>1776</v>
      </c>
      <c r="R7" s="315"/>
      <c r="S7" s="315"/>
      <c r="T7" s="686"/>
      <c r="U7" s="316" t="s">
        <v>587</v>
      </c>
      <c r="V7" s="313" t="s">
        <v>588</v>
      </c>
      <c r="AA7" s="545"/>
      <c r="AC7" s="544"/>
      <c r="AD7" s="546"/>
      <c r="AE7" s="559"/>
      <c r="AF7" s="559"/>
      <c r="AG7" s="687"/>
      <c r="AH7" s="432"/>
      <c r="AI7" s="547"/>
      <c r="AJ7" s="685"/>
      <c r="AK7" s="548"/>
      <c r="AL7" s="548"/>
      <c r="AM7" s="548"/>
      <c r="AN7" s="432"/>
      <c r="AO7" s="432"/>
      <c r="AP7" s="546"/>
      <c r="AQ7" s="559"/>
      <c r="AR7" s="559"/>
      <c r="AS7" s="687"/>
      <c r="AT7" s="432"/>
      <c r="AU7" s="547"/>
      <c r="AV7" s="685"/>
      <c r="AW7" s="548"/>
      <c r="AX7" s="548"/>
      <c r="AY7" s="559"/>
    </row>
    <row r="8" spans="1:51" ht="0.5" customHeight="1">
      <c r="A8" s="434"/>
      <c r="B8" s="434"/>
      <c r="C8" s="435"/>
      <c r="D8" s="435"/>
      <c r="E8" s="435"/>
      <c r="F8" s="435"/>
      <c r="G8" s="435"/>
      <c r="H8" s="435"/>
      <c r="I8" s="435"/>
      <c r="J8" s="435"/>
      <c r="AA8" s="298"/>
      <c r="AC8" s="434"/>
      <c r="AD8" s="435"/>
      <c r="AE8" s="435"/>
      <c r="AF8" s="435"/>
      <c r="AG8" s="435"/>
      <c r="AH8" s="435"/>
      <c r="AI8" s="435"/>
      <c r="AJ8" s="435"/>
      <c r="AK8" s="435"/>
      <c r="AL8" s="435"/>
      <c r="AM8" s="435"/>
      <c r="AN8" s="33"/>
      <c r="AO8" s="33"/>
      <c r="AP8" s="33"/>
      <c r="AQ8" s="33"/>
      <c r="AR8" s="33"/>
      <c r="AS8" s="33"/>
      <c r="AT8" s="33"/>
      <c r="AU8" s="33"/>
      <c r="AV8" s="33"/>
      <c r="AW8" s="33"/>
      <c r="AX8" s="33"/>
      <c r="AY8" s="33"/>
    </row>
    <row r="9" spans="1:51" ht="22.5" customHeight="1">
      <c r="A9" s="415"/>
      <c r="B9" s="415" t="s">
        <v>0</v>
      </c>
      <c r="C9" s="563">
        <v>249.72579708899613</v>
      </c>
      <c r="D9" s="564">
        <v>13.808448829914081</v>
      </c>
      <c r="E9" s="564">
        <v>235.91734825908208</v>
      </c>
      <c r="F9" s="564" t="s">
        <v>452</v>
      </c>
      <c r="G9" s="565">
        <v>24.164785452349641</v>
      </c>
      <c r="H9" s="564">
        <v>10.356336622435562</v>
      </c>
      <c r="I9" s="564">
        <v>13.808448829914079</v>
      </c>
      <c r="J9" s="564" t="s">
        <v>452</v>
      </c>
      <c r="K9" s="565">
        <v>18.370673152863606</v>
      </c>
      <c r="L9" s="564">
        <v>1.0157961378415044</v>
      </c>
      <c r="M9" s="564">
        <v>17.354877015022101</v>
      </c>
      <c r="N9" s="564" t="s">
        <v>452</v>
      </c>
      <c r="O9" s="565">
        <v>1.7776432412226328</v>
      </c>
      <c r="P9">
        <v>1492.84787402389</v>
      </c>
      <c r="Q9" s="568">
        <f>(C9+G9)/P9</f>
        <v>0.1834685149820984</v>
      </c>
      <c r="R9" s="568">
        <v>0.16600000000000001</v>
      </c>
      <c r="S9" s="565">
        <f>K9+O9</f>
        <v>20.14831639408624</v>
      </c>
      <c r="T9" s="564">
        <v>0.76184710338112827</v>
      </c>
      <c r="U9" s="564">
        <v>1.0157961378415044</v>
      </c>
      <c r="V9" s="564" t="s">
        <v>452</v>
      </c>
      <c r="X9" s="490"/>
      <c r="AA9" s="549"/>
      <c r="AB9" s="550"/>
      <c r="AC9" s="415"/>
      <c r="AD9" s="551"/>
      <c r="AE9" s="552"/>
      <c r="AF9" s="552"/>
      <c r="AG9" s="552"/>
      <c r="AH9" s="553"/>
      <c r="AI9" s="551"/>
      <c r="AJ9" s="552"/>
      <c r="AK9" s="554"/>
      <c r="AL9" s="552"/>
      <c r="AM9" s="552"/>
      <c r="AN9" s="331"/>
      <c r="AO9" s="331"/>
      <c r="AP9" s="551"/>
      <c r="AQ9" s="552"/>
      <c r="AR9" s="552"/>
      <c r="AS9" s="552"/>
      <c r="AT9" s="553"/>
      <c r="AU9" s="551"/>
      <c r="AV9" s="552"/>
      <c r="AW9" s="554"/>
      <c r="AX9" s="552"/>
      <c r="AY9" s="552"/>
    </row>
    <row r="10" spans="1:51">
      <c r="A10" s="415"/>
      <c r="B10" s="415" t="s">
        <v>1</v>
      </c>
      <c r="C10" s="563">
        <v>261.78973301959445</v>
      </c>
      <c r="D10" s="564">
        <v>45.632388666474455</v>
      </c>
      <c r="E10" s="564">
        <v>216.15734435311998</v>
      </c>
      <c r="F10" s="564">
        <v>68.027303732528338</v>
      </c>
      <c r="G10" s="565">
        <v>64.944134850488979</v>
      </c>
      <c r="H10" s="564">
        <v>3.8772617821187447</v>
      </c>
      <c r="I10" s="564">
        <v>61.066873068370228</v>
      </c>
      <c r="J10" s="564" t="s">
        <v>452</v>
      </c>
      <c r="K10" s="565">
        <v>15.923588544631171</v>
      </c>
      <c r="L10" s="564">
        <v>2.77562978903853</v>
      </c>
      <c r="M10" s="564">
        <v>13.147958755592642</v>
      </c>
      <c r="N10" s="564">
        <v>3.8595767164571715</v>
      </c>
      <c r="O10" s="565">
        <v>3.9502835723081042</v>
      </c>
      <c r="P10">
        <v>1696.61</v>
      </c>
      <c r="Q10" s="568">
        <f t="shared" ref="Q10:Q46" si="0">(C10+G10)/P10</f>
        <v>0.19258042088051081</v>
      </c>
      <c r="R10" s="568">
        <v>0.2127</v>
      </c>
      <c r="S10" s="565">
        <f t="shared" ref="S10:S46" si="1">K10+O10</f>
        <v>19.873872116939275</v>
      </c>
      <c r="T10" s="564">
        <v>0.23583782521242411</v>
      </c>
      <c r="U10" s="564">
        <v>3.71444574709568</v>
      </c>
      <c r="V10" s="564" t="s">
        <v>452</v>
      </c>
      <c r="X10" s="490"/>
      <c r="AA10" s="549"/>
      <c r="AB10" s="550"/>
      <c r="AC10" s="415"/>
      <c r="AD10" s="551"/>
      <c r="AE10" s="552"/>
      <c r="AF10" s="552"/>
      <c r="AG10" s="552"/>
      <c r="AH10" s="553"/>
      <c r="AI10" s="551"/>
      <c r="AJ10" s="552"/>
      <c r="AK10" s="554"/>
      <c r="AL10" s="552"/>
      <c r="AM10" s="552"/>
      <c r="AN10" s="331"/>
      <c r="AO10" s="331"/>
      <c r="AP10" s="551"/>
      <c r="AQ10" s="552"/>
      <c r="AR10" s="552"/>
      <c r="AS10" s="552"/>
      <c r="AT10" s="553"/>
      <c r="AU10" s="551"/>
      <c r="AV10" s="552"/>
      <c r="AW10" s="554"/>
      <c r="AX10" s="552"/>
      <c r="AY10" s="552"/>
    </row>
    <row r="11" spans="1:51">
      <c r="A11" s="415"/>
      <c r="B11" s="415" t="s">
        <v>2</v>
      </c>
      <c r="C11" s="563">
        <v>252.88463784604201</v>
      </c>
      <c r="D11" s="564">
        <v>38.633570180174964</v>
      </c>
      <c r="E11" s="564">
        <v>214.25106766586705</v>
      </c>
      <c r="F11" s="564">
        <v>79.204517036051911</v>
      </c>
      <c r="G11" s="565">
        <v>399.21355852847461</v>
      </c>
      <c r="H11" s="564">
        <v>18.006206750642018</v>
      </c>
      <c r="I11" s="564">
        <v>381.20735177783257</v>
      </c>
      <c r="J11" s="564" t="s">
        <v>452</v>
      </c>
      <c r="K11" s="565">
        <v>9.6358441242628725</v>
      </c>
      <c r="L11" s="564">
        <v>1.4720825408405198</v>
      </c>
      <c r="M11" s="564">
        <v>8.1637615834223514</v>
      </c>
      <c r="N11" s="564">
        <v>3.017986330041774</v>
      </c>
      <c r="O11" s="565">
        <v>15.211519588685375</v>
      </c>
      <c r="P11">
        <v>2608.04</v>
      </c>
      <c r="Q11" s="568">
        <f>(C11+G11)/P11</f>
        <v>0.25003381710959827</v>
      </c>
      <c r="R11" s="568">
        <v>0.26119999999999999</v>
      </c>
      <c r="S11" s="565">
        <f t="shared" si="1"/>
        <v>24.847363712948248</v>
      </c>
      <c r="T11" s="564">
        <v>0.68610336711741049</v>
      </c>
      <c r="U11" s="564">
        <v>14.525416221567964</v>
      </c>
      <c r="V11" s="564" t="s">
        <v>452</v>
      </c>
      <c r="X11" s="490"/>
      <c r="AA11" s="549"/>
      <c r="AB11" s="550"/>
      <c r="AC11" s="415"/>
      <c r="AD11" s="551"/>
      <c r="AE11" s="552"/>
      <c r="AF11" s="552"/>
      <c r="AG11" s="552"/>
      <c r="AH11" s="553"/>
      <c r="AI11" s="551"/>
      <c r="AJ11" s="552"/>
      <c r="AK11" s="554"/>
      <c r="AL11" s="552"/>
      <c r="AM11" s="552"/>
      <c r="AN11" s="331"/>
      <c r="AO11" s="331"/>
      <c r="AP11" s="551"/>
      <c r="AQ11" s="552"/>
      <c r="AR11" s="552"/>
      <c r="AS11" s="552"/>
      <c r="AT11" s="553"/>
      <c r="AU11" s="551"/>
      <c r="AV11" s="552"/>
      <c r="AW11" s="554"/>
      <c r="AX11" s="552"/>
      <c r="AY11" s="552"/>
    </row>
    <row r="12" spans="1:51">
      <c r="A12" s="415"/>
      <c r="B12" s="415" t="s">
        <v>3</v>
      </c>
      <c r="C12" s="563">
        <v>588.90143942687689</v>
      </c>
      <c r="D12" s="564">
        <v>69.618193420619164</v>
      </c>
      <c r="E12" s="564">
        <v>519.28324600625774</v>
      </c>
      <c r="F12" s="564" t="s">
        <v>452</v>
      </c>
      <c r="G12" s="565">
        <v>1057.9682836215404</v>
      </c>
      <c r="H12" s="564">
        <v>114.12818593544125</v>
      </c>
      <c r="I12" s="564">
        <v>943.84009768609917</v>
      </c>
      <c r="J12" s="564" t="s">
        <v>452</v>
      </c>
      <c r="K12" s="565">
        <v>15.322666856715248</v>
      </c>
      <c r="L12" s="564">
        <v>1.8114005392628492</v>
      </c>
      <c r="M12" s="564">
        <v>13.638352846668944</v>
      </c>
      <c r="N12" s="564" t="s">
        <v>452</v>
      </c>
      <c r="O12" s="565">
        <v>27.786270524971673</v>
      </c>
      <c r="P12">
        <v>3673.34</v>
      </c>
      <c r="Q12" s="568">
        <f t="shared" si="0"/>
        <v>0.44833032690913915</v>
      </c>
      <c r="R12" s="568">
        <v>0.45950000000000002</v>
      </c>
      <c r="S12" s="565">
        <f t="shared" si="1"/>
        <v>43.108937381686921</v>
      </c>
      <c r="T12" s="564">
        <v>2.9974401860810866</v>
      </c>
      <c r="U12" s="564">
        <v>24.788830338890588</v>
      </c>
      <c r="V12" s="564" t="s">
        <v>452</v>
      </c>
      <c r="X12" s="490"/>
      <c r="AA12" s="549"/>
      <c r="AB12" s="550"/>
      <c r="AC12" s="415"/>
      <c r="AD12" s="551"/>
      <c r="AE12" s="552"/>
      <c r="AF12" s="552"/>
      <c r="AG12" s="552"/>
      <c r="AH12" s="553"/>
      <c r="AI12" s="551"/>
      <c r="AJ12" s="552"/>
      <c r="AK12" s="554"/>
      <c r="AL12" s="552"/>
      <c r="AM12" s="552"/>
      <c r="AN12" s="331"/>
      <c r="AO12" s="331"/>
      <c r="AP12" s="551"/>
      <c r="AQ12" s="552"/>
      <c r="AR12" s="552"/>
      <c r="AS12" s="552"/>
      <c r="AT12" s="553"/>
      <c r="AU12" s="551"/>
      <c r="AV12" s="552"/>
      <c r="AW12" s="554"/>
      <c r="AX12" s="552"/>
      <c r="AY12" s="552"/>
    </row>
    <row r="13" spans="1:51">
      <c r="A13" s="415"/>
      <c r="B13" s="415" t="s">
        <v>4</v>
      </c>
      <c r="C13" s="563">
        <v>205.43073468379424</v>
      </c>
      <c r="D13" s="564">
        <v>22.825637187088251</v>
      </c>
      <c r="E13" s="564">
        <v>182.60509749670601</v>
      </c>
      <c r="F13" s="564">
        <v>7.9889730154808873</v>
      </c>
      <c r="G13" s="565">
        <v>664.51136260910664</v>
      </c>
      <c r="H13" s="564">
        <v>3.7091660429018405</v>
      </c>
      <c r="I13" s="564">
        <v>660.80219656620488</v>
      </c>
      <c r="J13" s="564" t="s">
        <v>452</v>
      </c>
      <c r="K13" s="565">
        <v>10.898555638640223</v>
      </c>
      <c r="L13" s="564">
        <v>1.2109506265155805</v>
      </c>
      <c r="M13" s="564">
        <v>9.687605012124644</v>
      </c>
      <c r="N13" s="564">
        <v>0.42383271928045313</v>
      </c>
      <c r="O13" s="565">
        <v>35.253800114434839</v>
      </c>
      <c r="P13">
        <v>1922.11</v>
      </c>
      <c r="Q13" s="568">
        <f>(C13+G13)/P13</f>
        <v>0.45259745659348366</v>
      </c>
      <c r="R13" s="568">
        <v>0.32519999999999999</v>
      </c>
      <c r="S13" s="565">
        <f t="shared" si="1"/>
        <v>46.152355753075064</v>
      </c>
      <c r="T13" s="564">
        <v>0.19677947680878183</v>
      </c>
      <c r="U13" s="564">
        <v>35.057020637626053</v>
      </c>
      <c r="V13" s="564" t="s">
        <v>452</v>
      </c>
      <c r="X13" s="490"/>
      <c r="AA13" s="549"/>
      <c r="AB13" s="550"/>
      <c r="AC13" s="415"/>
      <c r="AD13" s="551"/>
      <c r="AE13" s="552"/>
      <c r="AF13" s="552"/>
      <c r="AG13" s="552"/>
      <c r="AH13" s="553"/>
      <c r="AI13" s="551"/>
      <c r="AJ13" s="552"/>
      <c r="AK13" s="554"/>
      <c r="AL13" s="552"/>
      <c r="AM13" s="552"/>
      <c r="AN13" s="331"/>
      <c r="AO13" s="331"/>
      <c r="AP13" s="551"/>
      <c r="AQ13" s="552"/>
      <c r="AR13" s="552"/>
      <c r="AS13" s="552"/>
      <c r="AT13" s="553"/>
      <c r="AU13" s="551"/>
      <c r="AV13" s="552"/>
      <c r="AW13" s="554"/>
      <c r="AX13" s="552"/>
      <c r="AY13" s="552"/>
    </row>
    <row r="14" spans="1:51">
      <c r="A14" s="415"/>
      <c r="B14" s="415" t="s">
        <v>5</v>
      </c>
      <c r="C14" s="563">
        <v>843.8337860086101</v>
      </c>
      <c r="D14" s="564">
        <v>104.89387795001592</v>
      </c>
      <c r="E14" s="564">
        <v>738.93990805859426</v>
      </c>
      <c r="F14" s="564">
        <v>27.16002196920055</v>
      </c>
      <c r="G14" s="565">
        <v>1429.1790870689667</v>
      </c>
      <c r="H14" s="564" t="s">
        <v>452</v>
      </c>
      <c r="I14" s="564">
        <v>147.0387396263616</v>
      </c>
      <c r="J14" s="564">
        <v>1282.1403474426052</v>
      </c>
      <c r="K14" s="565">
        <v>16.725807215115971</v>
      </c>
      <c r="L14" s="564">
        <v>2.0791236493817857</v>
      </c>
      <c r="M14" s="564">
        <v>14.646683565734186</v>
      </c>
      <c r="N14" s="564">
        <v>0.5383445163577838</v>
      </c>
      <c r="O14" s="565">
        <v>28.328059722826826</v>
      </c>
      <c r="P14">
        <v>4564.33</v>
      </c>
      <c r="Q14" s="568">
        <f t="shared" si="0"/>
        <v>0.49799485862713189</v>
      </c>
      <c r="R14" s="568">
        <v>0.4138</v>
      </c>
      <c r="S14" s="565">
        <f t="shared" si="1"/>
        <v>45.0538669379428</v>
      </c>
      <c r="T14" s="564" t="s">
        <v>452</v>
      </c>
      <c r="U14" s="564">
        <v>2.9144858299369676</v>
      </c>
      <c r="V14" s="564">
        <v>25.413573892889861</v>
      </c>
      <c r="X14" s="490"/>
      <c r="AA14" s="549"/>
      <c r="AB14" s="550"/>
      <c r="AC14" s="415"/>
      <c r="AD14" s="551"/>
      <c r="AE14" s="552"/>
      <c r="AF14" s="552"/>
      <c r="AG14" s="552"/>
      <c r="AH14" s="553"/>
      <c r="AI14" s="551"/>
      <c r="AJ14" s="552"/>
      <c r="AK14" s="554"/>
      <c r="AL14" s="552"/>
      <c r="AM14" s="552"/>
      <c r="AN14" s="331"/>
      <c r="AO14" s="331"/>
      <c r="AP14" s="551"/>
      <c r="AQ14" s="552"/>
      <c r="AR14" s="552"/>
      <c r="AS14" s="552"/>
      <c r="AT14" s="553"/>
      <c r="AU14" s="551"/>
      <c r="AV14" s="552"/>
      <c r="AW14" s="554"/>
      <c r="AX14" s="552"/>
      <c r="AY14" s="552"/>
    </row>
    <row r="15" spans="1:51">
      <c r="A15" s="415"/>
      <c r="B15" s="415" t="s">
        <v>6</v>
      </c>
      <c r="C15" s="563">
        <v>104.83004568682564</v>
      </c>
      <c r="D15" s="564">
        <v>11.949099791303487</v>
      </c>
      <c r="E15" s="564">
        <v>92.880945895522146</v>
      </c>
      <c r="F15" s="564">
        <v>27.965978234965611</v>
      </c>
      <c r="G15" s="565">
        <v>166.01621624938676</v>
      </c>
      <c r="H15" s="564" t="s">
        <v>452</v>
      </c>
      <c r="I15" s="564">
        <v>60.08448051088066</v>
      </c>
      <c r="J15" s="564">
        <v>105.93173573850609</v>
      </c>
      <c r="K15" s="565">
        <v>6.3988747084813387</v>
      </c>
      <c r="L15" s="564">
        <v>0.7293786046045827</v>
      </c>
      <c r="M15" s="564">
        <v>5.6694961038767557</v>
      </c>
      <c r="N15" s="564">
        <v>1.7070563086490231</v>
      </c>
      <c r="O15" s="565">
        <v>10.133706995889202</v>
      </c>
      <c r="P15">
        <v>1638.15</v>
      </c>
      <c r="Q15" s="568">
        <f t="shared" si="0"/>
        <v>0.16533666754339491</v>
      </c>
      <c r="R15" s="568">
        <v>0.1512</v>
      </c>
      <c r="S15" s="565">
        <f t="shared" si="1"/>
        <v>16.532581704370543</v>
      </c>
      <c r="T15" s="564" t="s">
        <v>452</v>
      </c>
      <c r="U15" s="564">
        <v>3.6675846146429012</v>
      </c>
      <c r="V15" s="564">
        <v>6.4661223812463007</v>
      </c>
      <c r="X15" s="490"/>
      <c r="AA15" s="549"/>
      <c r="AB15" s="550"/>
      <c r="AC15" s="415"/>
      <c r="AD15" s="551"/>
      <c r="AE15" s="552"/>
      <c r="AF15" s="552"/>
      <c r="AG15" s="552"/>
      <c r="AH15" s="553"/>
      <c r="AI15" s="551"/>
      <c r="AJ15" s="552"/>
      <c r="AK15" s="554"/>
      <c r="AL15" s="552"/>
      <c r="AM15" s="552"/>
      <c r="AN15" s="331"/>
      <c r="AO15" s="331"/>
      <c r="AP15" s="551"/>
      <c r="AQ15" s="552"/>
      <c r="AR15" s="552"/>
      <c r="AS15" s="552"/>
      <c r="AT15" s="553"/>
      <c r="AU15" s="551"/>
      <c r="AV15" s="552"/>
      <c r="AW15" s="554"/>
      <c r="AX15" s="552"/>
      <c r="AY15" s="552"/>
    </row>
    <row r="16" spans="1:51">
      <c r="A16" s="415"/>
      <c r="B16" s="415" t="s">
        <v>32</v>
      </c>
      <c r="C16" s="563">
        <v>107.45168705821794</v>
      </c>
      <c r="D16" s="564">
        <v>21.924024518198266</v>
      </c>
      <c r="E16" s="564">
        <v>85.527662540019676</v>
      </c>
      <c r="F16" s="564">
        <v>5.1357683670948562E-2</v>
      </c>
      <c r="G16" s="565">
        <v>184.01914572044612</v>
      </c>
      <c r="H16" s="564">
        <v>0.72927910812746966</v>
      </c>
      <c r="I16" s="564">
        <v>171.87704801877453</v>
      </c>
      <c r="J16" s="564">
        <v>11.412818593544126</v>
      </c>
      <c r="K16" s="565">
        <v>8.3916545151825215</v>
      </c>
      <c r="L16" s="564">
        <v>1.7122005654451007</v>
      </c>
      <c r="M16" s="564">
        <v>6.6794539497374199</v>
      </c>
      <c r="N16" s="564">
        <v>4.010881074702214E-3</v>
      </c>
      <c r="O16" s="565">
        <v>14.371343413420227</v>
      </c>
      <c r="P16">
        <v>1333.52</v>
      </c>
      <c r="Q16" s="568">
        <f t="shared" si="0"/>
        <v>0.21857252443057779</v>
      </c>
      <c r="R16" s="568">
        <v>0.22570000000000001</v>
      </c>
      <c r="S16" s="565">
        <f t="shared" si="1"/>
        <v>22.762997928602751</v>
      </c>
      <c r="T16" s="564">
        <v>5.6954511260771438E-2</v>
      </c>
      <c r="U16" s="564">
        <v>13.423081996670074</v>
      </c>
      <c r="V16" s="564">
        <v>0.89130690548938096</v>
      </c>
      <c r="X16" s="490"/>
      <c r="AA16" s="549"/>
      <c r="AB16" s="550"/>
      <c r="AC16" s="415"/>
      <c r="AD16" s="551"/>
      <c r="AE16" s="552"/>
      <c r="AF16" s="552"/>
      <c r="AG16" s="552"/>
      <c r="AH16" s="553"/>
      <c r="AI16" s="551"/>
      <c r="AJ16" s="552"/>
      <c r="AK16" s="554"/>
      <c r="AL16" s="552"/>
      <c r="AM16" s="552"/>
      <c r="AN16" s="331"/>
      <c r="AO16" s="331"/>
      <c r="AP16" s="551"/>
      <c r="AQ16" s="552"/>
      <c r="AR16" s="552"/>
      <c r="AS16" s="552"/>
      <c r="AT16" s="553"/>
      <c r="AU16" s="551"/>
      <c r="AV16" s="552"/>
      <c r="AW16" s="554"/>
      <c r="AX16" s="552"/>
      <c r="AY16" s="552"/>
    </row>
    <row r="17" spans="1:51">
      <c r="A17" s="415"/>
      <c r="B17" s="415" t="s">
        <v>7</v>
      </c>
      <c r="C17" s="563">
        <v>522.16796884260248</v>
      </c>
      <c r="D17" s="564">
        <v>130.8627342062542</v>
      </c>
      <c r="E17" s="564">
        <v>391.30523463634825</v>
      </c>
      <c r="F17" s="564">
        <v>16.03709978017821</v>
      </c>
      <c r="G17" s="565">
        <v>452.92618683170508</v>
      </c>
      <c r="H17" s="564">
        <v>1.3214570218866846</v>
      </c>
      <c r="I17" s="564">
        <v>451.60472980981842</v>
      </c>
      <c r="J17" s="564" t="s">
        <v>452</v>
      </c>
      <c r="K17" s="565">
        <v>19.27047748644793</v>
      </c>
      <c r="L17" s="564">
        <v>4.8294562742449347</v>
      </c>
      <c r="M17" s="564">
        <v>14.441021212202996</v>
      </c>
      <c r="N17" s="564">
        <v>0.59184513164766361</v>
      </c>
      <c r="O17" s="565">
        <v>16.715126946045974</v>
      </c>
      <c r="P17">
        <v>3156.96</v>
      </c>
      <c r="Q17" s="568">
        <f t="shared" si="0"/>
        <v>0.30887124185111864</v>
      </c>
      <c r="R17" s="568">
        <v>0.33339999999999997</v>
      </c>
      <c r="S17" s="565">
        <f t="shared" si="1"/>
        <v>35.985604432493901</v>
      </c>
      <c r="T17" s="564">
        <v>4.8768038847767488E-2</v>
      </c>
      <c r="U17" s="564">
        <v>16.666358907198209</v>
      </c>
      <c r="V17" s="564" t="s">
        <v>452</v>
      </c>
      <c r="X17" s="490"/>
      <c r="AA17" s="549"/>
      <c r="AB17" s="550"/>
      <c r="AC17" s="415"/>
      <c r="AD17" s="551"/>
      <c r="AE17" s="552"/>
      <c r="AF17" s="552"/>
      <c r="AG17" s="552"/>
      <c r="AH17" s="553"/>
      <c r="AI17" s="551"/>
      <c r="AJ17" s="552"/>
      <c r="AK17" s="554"/>
      <c r="AL17" s="552"/>
      <c r="AM17" s="552"/>
      <c r="AN17" s="331"/>
      <c r="AO17" s="331"/>
      <c r="AP17" s="551"/>
      <c r="AQ17" s="552"/>
      <c r="AR17" s="552"/>
      <c r="AS17" s="552"/>
      <c r="AT17" s="553"/>
      <c r="AU17" s="551"/>
      <c r="AV17" s="552"/>
      <c r="AW17" s="554"/>
      <c r="AX17" s="552"/>
      <c r="AY17" s="552"/>
    </row>
    <row r="18" spans="1:51">
      <c r="A18" s="415"/>
      <c r="B18" s="415" t="s">
        <v>8</v>
      </c>
      <c r="C18" s="563">
        <v>5328.3</v>
      </c>
      <c r="D18" s="564">
        <v>687.3</v>
      </c>
      <c r="E18" s="564">
        <v>4641</v>
      </c>
      <c r="F18" s="564">
        <v>17.98</v>
      </c>
      <c r="G18" s="565">
        <v>510</v>
      </c>
      <c r="H18" s="564">
        <v>56</v>
      </c>
      <c r="I18" s="564">
        <v>454</v>
      </c>
      <c r="J18" s="564" t="s">
        <v>452</v>
      </c>
      <c r="K18" s="565">
        <v>25.501884534848941</v>
      </c>
      <c r="L18" s="564">
        <v>3.2895004486987736</v>
      </c>
      <c r="M18" s="564">
        <v>22.212384086150163</v>
      </c>
      <c r="N18" s="564">
        <v>8.6054442117858218E-2</v>
      </c>
      <c r="O18" s="565">
        <v>2.4409213281483697</v>
      </c>
      <c r="P18">
        <v>20159.599999999999</v>
      </c>
      <c r="Q18" s="568">
        <f t="shared" si="0"/>
        <v>0.28960396039603964</v>
      </c>
      <c r="R18" s="568">
        <v>0.26640000000000003</v>
      </c>
      <c r="S18" s="565">
        <f t="shared" si="1"/>
        <v>27.942805862997311</v>
      </c>
      <c r="T18" s="564">
        <v>0.26802273407119354</v>
      </c>
      <c r="U18" s="564">
        <v>2.1728985940771763</v>
      </c>
      <c r="V18" s="564" t="s">
        <v>452</v>
      </c>
      <c r="X18" s="490"/>
      <c r="AA18" s="549"/>
      <c r="AB18" s="550"/>
      <c r="AC18" s="415"/>
      <c r="AD18" s="551"/>
      <c r="AE18" s="552"/>
      <c r="AF18" s="552"/>
      <c r="AG18" s="552"/>
      <c r="AH18" s="553"/>
      <c r="AI18" s="551"/>
      <c r="AJ18" s="552"/>
      <c r="AK18" s="554"/>
      <c r="AL18" s="552"/>
      <c r="AM18" s="552"/>
      <c r="AN18" s="331"/>
      <c r="AO18" s="331"/>
      <c r="AP18" s="551"/>
      <c r="AQ18" s="552"/>
      <c r="AR18" s="552"/>
      <c r="AS18" s="552"/>
      <c r="AT18" s="553"/>
      <c r="AU18" s="551"/>
      <c r="AV18" s="552"/>
      <c r="AW18" s="554"/>
      <c r="AX18" s="552"/>
      <c r="AY18" s="552"/>
    </row>
    <row r="19" spans="1:51">
      <c r="A19" s="415"/>
      <c r="B19" s="415" t="s">
        <v>14</v>
      </c>
      <c r="C19" s="563">
        <v>7.0279601888550927</v>
      </c>
      <c r="D19" s="564">
        <v>4.8032151754294405</v>
      </c>
      <c r="E19" s="564">
        <v>2.2247450134256517</v>
      </c>
      <c r="F19" s="564">
        <v>4.2819360091037648</v>
      </c>
      <c r="G19" s="565">
        <v>13.41362997634462</v>
      </c>
      <c r="H19" s="564">
        <v>0.89362142798687272</v>
      </c>
      <c r="I19" s="564">
        <v>0.27925669624589772</v>
      </c>
      <c r="J19" s="564">
        <v>12.240751852111851</v>
      </c>
      <c r="K19" s="565">
        <v>0.65442396745349374</v>
      </c>
      <c r="L19" s="564">
        <v>0.44726194331920904</v>
      </c>
      <c r="M19" s="564">
        <v>0.20716202413428478</v>
      </c>
      <c r="N19" s="564">
        <v>0.39872188745510878</v>
      </c>
      <c r="O19" s="565">
        <v>1.2490396517887212</v>
      </c>
      <c r="P19">
        <v>1277.68</v>
      </c>
      <c r="Q19" s="568">
        <f t="shared" si="0"/>
        <v>1.5998990486819634E-2</v>
      </c>
      <c r="R19" s="568">
        <v>1.9789999999999999E-2</v>
      </c>
      <c r="S19" s="565">
        <f t="shared" si="1"/>
        <v>1.903463619242215</v>
      </c>
      <c r="T19" s="564">
        <v>8.3211524338457493E-2</v>
      </c>
      <c r="U19" s="564">
        <v>2.6003601355767965E-2</v>
      </c>
      <c r="V19" s="564">
        <v>1.1398245260944957</v>
      </c>
      <c r="X19" s="490"/>
      <c r="AA19" s="549"/>
      <c r="AB19" s="550"/>
      <c r="AC19" s="415"/>
      <c r="AD19" s="551"/>
      <c r="AE19" s="552"/>
      <c r="AF19" s="552"/>
      <c r="AG19" s="552"/>
      <c r="AH19" s="553"/>
      <c r="AI19" s="551"/>
      <c r="AJ19" s="552"/>
      <c r="AK19" s="554"/>
      <c r="AL19" s="552"/>
      <c r="AM19" s="552"/>
      <c r="AN19" s="331"/>
      <c r="AO19" s="331"/>
      <c r="AP19" s="551"/>
      <c r="AQ19" s="552"/>
      <c r="AR19" s="552"/>
      <c r="AS19" s="552"/>
      <c r="AT19" s="553"/>
      <c r="AU19" s="551"/>
      <c r="AV19" s="552"/>
      <c r="AW19" s="554"/>
      <c r="AX19" s="552"/>
      <c r="AY19" s="552"/>
    </row>
    <row r="20" spans="1:51">
      <c r="A20" s="415"/>
      <c r="B20" s="415" t="s">
        <v>18</v>
      </c>
      <c r="C20" s="563">
        <v>25.234121210982789</v>
      </c>
      <c r="D20" s="564">
        <v>2.7673372045961901</v>
      </c>
      <c r="E20" s="564">
        <v>22.466784006386597</v>
      </c>
      <c r="F20" s="564">
        <v>10.01376658570374</v>
      </c>
      <c r="G20" s="565">
        <v>69.354605612096279</v>
      </c>
      <c r="H20" s="564">
        <v>2.995571200851546</v>
      </c>
      <c r="I20" s="564">
        <v>45.932091746390377</v>
      </c>
      <c r="J20" s="564">
        <v>20.426942664854352</v>
      </c>
      <c r="K20" s="565">
        <v>3.5051335544057456</v>
      </c>
      <c r="L20" s="564">
        <v>0.3843956526595334</v>
      </c>
      <c r="M20" s="564">
        <v>3.120737901746212</v>
      </c>
      <c r="N20" s="564">
        <v>1.3909574647783118</v>
      </c>
      <c r="O20" s="565">
        <v>9.6336683671683065</v>
      </c>
      <c r="P20">
        <v>997.053</v>
      </c>
      <c r="Q20" s="568">
        <f t="shared" si="0"/>
        <v>9.4868303714124594E-2</v>
      </c>
      <c r="R20" s="568">
        <v>0.13439999999999999</v>
      </c>
      <c r="S20" s="565">
        <f t="shared" si="1"/>
        <v>13.138801921574052</v>
      </c>
      <c r="T20" s="564">
        <v>0.41609838689949497</v>
      </c>
      <c r="U20" s="564">
        <v>6.3801752657922552</v>
      </c>
      <c r="V20" s="564">
        <v>2.8373947144765559</v>
      </c>
      <c r="X20" s="490"/>
      <c r="AA20" s="549"/>
      <c r="AB20" s="550"/>
      <c r="AC20" s="415"/>
      <c r="AD20" s="551"/>
      <c r="AE20" s="552"/>
      <c r="AF20" s="552"/>
      <c r="AG20" s="552"/>
      <c r="AH20" s="553"/>
      <c r="AI20" s="551"/>
      <c r="AJ20" s="552"/>
      <c r="AK20" s="554"/>
      <c r="AL20" s="552"/>
      <c r="AM20" s="552"/>
      <c r="AN20" s="331"/>
      <c r="AO20" s="331"/>
      <c r="AP20" s="551"/>
      <c r="AQ20" s="552"/>
      <c r="AR20" s="552"/>
      <c r="AS20" s="552"/>
      <c r="AT20" s="553"/>
      <c r="AU20" s="551"/>
      <c r="AV20" s="552"/>
      <c r="AW20" s="554"/>
      <c r="AX20" s="552"/>
      <c r="AY20" s="552"/>
    </row>
    <row r="21" spans="1:51">
      <c r="A21" s="294"/>
      <c r="B21" s="294" t="s">
        <v>1011</v>
      </c>
      <c r="C21" s="563">
        <v>65.737835098814159</v>
      </c>
      <c r="D21" s="564">
        <v>7.6465884576745644</v>
      </c>
      <c r="E21" s="564">
        <v>58.091246641139598</v>
      </c>
      <c r="F21" s="564" t="s">
        <v>452</v>
      </c>
      <c r="G21" s="565">
        <v>12.211715895092214</v>
      </c>
      <c r="H21" s="564" t="s">
        <v>452</v>
      </c>
      <c r="I21" s="564">
        <v>12.211715895092214</v>
      </c>
      <c r="J21" s="564" t="s">
        <v>452</v>
      </c>
      <c r="K21" s="565">
        <v>15.198667161326993</v>
      </c>
      <c r="L21" s="564">
        <v>1.7679005205015772</v>
      </c>
      <c r="M21" s="564">
        <v>13.4307666408254</v>
      </c>
      <c r="N21" s="564" t="s">
        <v>452</v>
      </c>
      <c r="O21" s="565">
        <v>2.8233635178159515</v>
      </c>
      <c r="P21">
        <v>413.36500000000001</v>
      </c>
      <c r="Q21" s="568">
        <f>(C21+G21)/P21</f>
        <v>0.18857317623385234</v>
      </c>
      <c r="R21" s="568">
        <v>0.1404</v>
      </c>
      <c r="S21" s="565">
        <f>K21+O21</f>
        <v>18.022030679142944</v>
      </c>
      <c r="T21" s="564" t="s">
        <v>452</v>
      </c>
      <c r="U21" s="564">
        <v>2.8233635178159515</v>
      </c>
      <c r="V21" s="564" t="s">
        <v>452</v>
      </c>
      <c r="X21" s="490"/>
      <c r="AA21" s="549"/>
      <c r="AB21" s="550"/>
      <c r="AC21" s="294"/>
      <c r="AD21" s="555"/>
      <c r="AE21" s="556"/>
      <c r="AF21" s="556"/>
      <c r="AG21" s="556"/>
      <c r="AH21" s="557"/>
      <c r="AI21" s="555"/>
      <c r="AJ21" s="556"/>
      <c r="AK21" s="558"/>
      <c r="AL21" s="556"/>
      <c r="AM21" s="556"/>
      <c r="AN21" s="220"/>
      <c r="AO21" s="220"/>
      <c r="AP21" s="555"/>
      <c r="AQ21" s="556"/>
      <c r="AR21" s="556"/>
      <c r="AS21" s="556"/>
      <c r="AT21" s="557"/>
      <c r="AU21" s="555"/>
      <c r="AV21" s="556"/>
      <c r="AW21" s="558"/>
      <c r="AX21" s="556"/>
      <c r="AY21" s="556"/>
    </row>
    <row r="22" spans="1:51">
      <c r="A22" s="415"/>
      <c r="B22" s="299" t="s">
        <v>547</v>
      </c>
      <c r="C22" s="563">
        <v>42.113300610177824</v>
      </c>
      <c r="D22" s="564">
        <v>10.95630584980236</v>
      </c>
      <c r="E22" s="564">
        <v>31.156994760375461</v>
      </c>
      <c r="F22" s="564">
        <v>14.722535985671922</v>
      </c>
      <c r="G22" s="565">
        <v>61.172707661396508</v>
      </c>
      <c r="H22" s="564">
        <v>1.8260509749670601</v>
      </c>
      <c r="I22" s="564">
        <v>59.346656686429448</v>
      </c>
      <c r="J22" s="564" t="s">
        <v>452</v>
      </c>
      <c r="K22" s="565">
        <v>8.1786083953747628</v>
      </c>
      <c r="L22" s="564">
        <v>2.127768037821077</v>
      </c>
      <c r="M22" s="564">
        <v>6.0508403575536853</v>
      </c>
      <c r="N22" s="564">
        <v>2.8591883008220722</v>
      </c>
      <c r="O22" s="565">
        <v>11.880038211167678</v>
      </c>
      <c r="P22">
        <v>494.1</v>
      </c>
      <c r="Q22" s="568">
        <f t="shared" si="0"/>
        <v>0.20903867288317007</v>
      </c>
      <c r="R22" s="568">
        <v>0.214</v>
      </c>
      <c r="S22" s="565">
        <f t="shared" si="1"/>
        <v>20.058646606542439</v>
      </c>
      <c r="T22" s="564">
        <v>0.35462800630351282</v>
      </c>
      <c r="U22" s="564">
        <v>11.525410204864166</v>
      </c>
      <c r="V22" s="564" t="s">
        <v>452</v>
      </c>
      <c r="X22" s="490"/>
      <c r="AA22" s="549"/>
      <c r="AB22" s="550"/>
      <c r="AC22" s="415"/>
      <c r="AD22" s="551"/>
      <c r="AE22" s="552"/>
      <c r="AF22" s="552"/>
      <c r="AG22" s="552"/>
      <c r="AH22" s="553"/>
      <c r="AI22" s="551"/>
      <c r="AJ22" s="552"/>
      <c r="AK22" s="554"/>
      <c r="AL22" s="552"/>
      <c r="AM22" s="552"/>
      <c r="AN22" s="331"/>
      <c r="AO22" s="331"/>
      <c r="AP22" s="551"/>
      <c r="AQ22" s="552"/>
      <c r="AR22" s="552"/>
      <c r="AS22" s="552"/>
      <c r="AT22" s="553"/>
      <c r="AU22" s="551"/>
      <c r="AV22" s="552"/>
      <c r="AW22" s="554"/>
      <c r="AX22" s="552"/>
      <c r="AY22" s="552"/>
    </row>
    <row r="23" spans="1:51">
      <c r="A23" s="7"/>
      <c r="B23" s="7" t="s">
        <v>541</v>
      </c>
      <c r="C23" s="563">
        <v>22.550381835611422</v>
      </c>
      <c r="D23" s="564">
        <v>6.3937269094473352</v>
      </c>
      <c r="E23" s="564">
        <v>16.156654926164087</v>
      </c>
      <c r="F23" s="564">
        <v>0.61610710785105727</v>
      </c>
      <c r="G23" s="565">
        <v>37.970293297142426</v>
      </c>
      <c r="H23" s="564">
        <v>3.8775971822793812E-2</v>
      </c>
      <c r="I23" s="564">
        <v>37.931517325319632</v>
      </c>
      <c r="J23" s="564" t="s">
        <v>452</v>
      </c>
      <c r="K23" s="565">
        <v>9.1911264362891103</v>
      </c>
      <c r="L23" s="564">
        <v>2.6059670675301949</v>
      </c>
      <c r="M23" s="564">
        <v>6.5851593687589149</v>
      </c>
      <c r="N23" s="564">
        <v>0.25111407726200669</v>
      </c>
      <c r="O23" s="565">
        <v>15.476002537832619</v>
      </c>
      <c r="P23">
        <v>217.28</v>
      </c>
      <c r="Q23" s="568">
        <f t="shared" si="0"/>
        <v>0.27853771692173163</v>
      </c>
      <c r="R23" s="568">
        <v>0.24640000000000001</v>
      </c>
      <c r="S23" s="565">
        <f t="shared" si="1"/>
        <v>24.667128974121731</v>
      </c>
      <c r="T23" s="564">
        <v>1.5804382485021397E-2</v>
      </c>
      <c r="U23" s="564">
        <v>15.460198155347598</v>
      </c>
      <c r="V23" s="564" t="s">
        <v>452</v>
      </c>
      <c r="X23" s="490"/>
      <c r="Z23" s="478"/>
      <c r="AA23" s="549"/>
      <c r="AB23" s="550"/>
      <c r="AC23" s="7"/>
      <c r="AD23" s="551"/>
      <c r="AE23" s="552"/>
      <c r="AF23" s="552"/>
      <c r="AG23" s="552"/>
      <c r="AH23" s="553"/>
      <c r="AI23" s="551"/>
      <c r="AJ23" s="552"/>
      <c r="AK23" s="554"/>
      <c r="AL23" s="552"/>
      <c r="AM23" s="552"/>
      <c r="AN23" s="331"/>
      <c r="AO23" s="331"/>
      <c r="AP23" s="551"/>
      <c r="AQ23" s="552"/>
      <c r="AR23" s="552"/>
      <c r="AS23" s="552"/>
      <c r="AT23" s="553"/>
      <c r="AU23" s="551"/>
      <c r="AV23" s="552"/>
      <c r="AW23" s="554"/>
      <c r="AX23" s="552"/>
      <c r="AY23" s="552"/>
    </row>
    <row r="24" spans="1:51">
      <c r="A24" s="7"/>
      <c r="B24" s="7" t="s">
        <v>19</v>
      </c>
      <c r="C24" s="563">
        <v>12.151964295383831</v>
      </c>
      <c r="D24" s="564" t="s">
        <v>452</v>
      </c>
      <c r="E24" s="564">
        <v>12.151964295383831</v>
      </c>
      <c r="F24" s="564">
        <v>48.730141098973149</v>
      </c>
      <c r="G24" s="565">
        <v>55.669753413569694</v>
      </c>
      <c r="H24" s="564">
        <v>43.105080896833208</v>
      </c>
      <c r="I24" s="564">
        <v>12.56467251673649</v>
      </c>
      <c r="J24" s="564" t="s">
        <v>452</v>
      </c>
      <c r="K24" s="565">
        <v>3.412660153565414</v>
      </c>
      <c r="L24" s="564" t="s">
        <v>452</v>
      </c>
      <c r="M24" s="564">
        <v>3.412660153565414</v>
      </c>
      <c r="N24" s="564">
        <v>13.684981848511372</v>
      </c>
      <c r="O24" s="565">
        <v>15.633846892182691</v>
      </c>
      <c r="P24">
        <v>332.089</v>
      </c>
      <c r="Q24" s="568">
        <f t="shared" si="0"/>
        <v>0.20422753451319836</v>
      </c>
      <c r="R24" s="568">
        <v>0.33450000000000002</v>
      </c>
      <c r="S24" s="565">
        <f t="shared" si="1"/>
        <v>19.046507045748104</v>
      </c>
      <c r="T24" s="564">
        <v>12.105285073024488</v>
      </c>
      <c r="U24" s="564">
        <v>3.528561819158202</v>
      </c>
      <c r="V24" s="564" t="s">
        <v>452</v>
      </c>
      <c r="X24" s="490"/>
      <c r="AA24" s="549"/>
      <c r="AB24" s="550"/>
      <c r="AC24" s="7"/>
      <c r="AD24" s="551"/>
      <c r="AE24" s="552"/>
      <c r="AF24" s="552"/>
      <c r="AG24" s="552"/>
      <c r="AH24" s="553"/>
      <c r="AI24" s="551"/>
      <c r="AJ24" s="552"/>
      <c r="AK24" s="554"/>
      <c r="AL24" s="552"/>
      <c r="AM24" s="552"/>
      <c r="AN24" s="331"/>
      <c r="AO24" s="331"/>
      <c r="AP24" s="551"/>
      <c r="AQ24" s="552"/>
      <c r="AR24" s="552"/>
      <c r="AS24" s="552"/>
      <c r="AT24" s="553"/>
      <c r="AU24" s="551"/>
      <c r="AV24" s="552"/>
      <c r="AW24" s="554"/>
      <c r="AX24" s="552"/>
      <c r="AY24" s="552"/>
    </row>
    <row r="25" spans="1:51">
      <c r="A25" s="7"/>
      <c r="B25" s="294" t="s">
        <v>1013</v>
      </c>
      <c r="C25" s="563">
        <v>1.5871</v>
      </c>
      <c r="D25" s="564">
        <v>0.435</v>
      </c>
      <c r="E25" s="564">
        <v>1.1520999999999999</v>
      </c>
      <c r="F25" s="564" t="s">
        <v>452</v>
      </c>
      <c r="G25" s="565">
        <v>1.3769999999999998</v>
      </c>
      <c r="H25" s="564">
        <v>1.0269999999999999</v>
      </c>
      <c r="I25" s="564">
        <v>0.35</v>
      </c>
      <c r="J25" s="564" t="s">
        <v>452</v>
      </c>
      <c r="K25" s="565">
        <v>5.8</v>
      </c>
      <c r="L25" s="564">
        <v>1.6</v>
      </c>
      <c r="M25" s="564">
        <v>4.1999999999999993</v>
      </c>
      <c r="N25" s="564" t="s">
        <v>452</v>
      </c>
      <c r="O25" s="565">
        <v>5.0883310701650863</v>
      </c>
      <c r="P25">
        <v>27.307395871000001</v>
      </c>
      <c r="Q25" s="568">
        <f t="shared" si="0"/>
        <v>0.1085456853521439</v>
      </c>
      <c r="R25" s="568">
        <v>0.1663</v>
      </c>
      <c r="S25" s="565">
        <f t="shared" si="1"/>
        <v>10.888331070165087</v>
      </c>
      <c r="T25" s="564">
        <v>3.8</v>
      </c>
      <c r="U25" s="564">
        <v>1.2883310701650865</v>
      </c>
      <c r="V25" s="564" t="s">
        <v>452</v>
      </c>
      <c r="X25" s="490"/>
      <c r="AA25" s="549"/>
      <c r="AB25" s="550"/>
      <c r="AC25" s="7"/>
      <c r="AD25" s="551"/>
      <c r="AE25" s="552"/>
      <c r="AF25" s="552"/>
      <c r="AG25" s="552"/>
      <c r="AH25" s="553"/>
      <c r="AI25" s="551"/>
      <c r="AJ25" s="552"/>
      <c r="AK25" s="554"/>
      <c r="AL25" s="552"/>
      <c r="AM25" s="552"/>
      <c r="AN25" s="331"/>
      <c r="AO25" s="331"/>
      <c r="AP25" s="551"/>
      <c r="AQ25" s="552"/>
      <c r="AR25" s="552"/>
      <c r="AS25" s="552"/>
      <c r="AT25" s="553"/>
      <c r="AU25" s="551"/>
      <c r="AV25" s="552"/>
      <c r="AW25" s="554"/>
      <c r="AX25" s="552"/>
      <c r="AY25" s="552"/>
    </row>
    <row r="26" spans="1:51">
      <c r="A26" s="7"/>
      <c r="B26" s="294" t="s">
        <v>20</v>
      </c>
      <c r="C26" s="563">
        <v>12.896485010704863</v>
      </c>
      <c r="D26" s="564">
        <v>4.6792556233530913</v>
      </c>
      <c r="E26" s="564">
        <v>8.2172293873517699</v>
      </c>
      <c r="F26" s="564">
        <v>0.57064092967720625</v>
      </c>
      <c r="G26" s="565">
        <v>19.858304352766776</v>
      </c>
      <c r="H26" s="564">
        <v>1.3695382312252951</v>
      </c>
      <c r="I26" s="564">
        <v>13.923638684123832</v>
      </c>
      <c r="J26" s="564">
        <v>4.56512743741765</v>
      </c>
      <c r="K26" s="565">
        <v>4.7843243517875598</v>
      </c>
      <c r="L26" s="564">
        <v>1.7359052957813266</v>
      </c>
      <c r="M26" s="564">
        <v>3.0484190560062325</v>
      </c>
      <c r="N26" s="564">
        <v>0.21169576777821061</v>
      </c>
      <c r="O26" s="565">
        <v>7.3670127186817282</v>
      </c>
      <c r="P26">
        <v>253.434</v>
      </c>
      <c r="Q26" s="568">
        <f t="shared" si="0"/>
        <v>0.12924386374153285</v>
      </c>
      <c r="R26" s="568">
        <v>0.1598</v>
      </c>
      <c r="S26" s="565">
        <f t="shared" si="1"/>
        <v>12.151337070469289</v>
      </c>
      <c r="T26" s="564">
        <v>0.50806984266770538</v>
      </c>
      <c r="U26" s="564">
        <v>5.1653767337883378</v>
      </c>
      <c r="V26" s="564">
        <v>1.6935661422256849</v>
      </c>
      <c r="X26" s="490"/>
      <c r="AA26" s="549"/>
      <c r="AB26" s="550"/>
      <c r="AC26" s="7"/>
      <c r="AD26" s="551"/>
      <c r="AE26" s="552"/>
      <c r="AF26" s="552"/>
      <c r="AG26" s="552"/>
      <c r="AH26" s="553"/>
      <c r="AI26" s="551"/>
      <c r="AJ26" s="552"/>
      <c r="AK26" s="554"/>
      <c r="AL26" s="552"/>
      <c r="AM26" s="552"/>
      <c r="AN26" s="331"/>
      <c r="AO26" s="331"/>
      <c r="AP26" s="551"/>
      <c r="AQ26" s="552"/>
      <c r="AR26" s="552"/>
      <c r="AS26" s="552"/>
      <c r="AT26" s="553"/>
      <c r="AU26" s="551"/>
      <c r="AV26" s="552"/>
      <c r="AW26" s="554"/>
      <c r="AX26" s="552"/>
      <c r="AY26" s="552"/>
    </row>
    <row r="27" spans="1:51">
      <c r="A27" s="7"/>
      <c r="B27" s="294" t="s">
        <v>1014</v>
      </c>
      <c r="C27" s="563">
        <v>33.097173921277964</v>
      </c>
      <c r="D27" s="564">
        <v>1.55</v>
      </c>
      <c r="E27" s="564">
        <v>31.547173921277963</v>
      </c>
      <c r="F27" s="564">
        <v>1.9401791609025012</v>
      </c>
      <c r="G27" s="565">
        <v>6.9618193420619159</v>
      </c>
      <c r="H27" s="564">
        <v>3.7662301358695611</v>
      </c>
      <c r="I27" s="564">
        <v>3.1955892061923548</v>
      </c>
      <c r="J27" s="564" t="s">
        <v>452</v>
      </c>
      <c r="K27" s="565">
        <v>17.5</v>
      </c>
      <c r="L27" s="564">
        <v>0.8</v>
      </c>
      <c r="M27" s="564">
        <v>16.7</v>
      </c>
      <c r="N27" s="564">
        <v>1.0251462340951576</v>
      </c>
      <c r="O27" s="565">
        <v>3.6884761502743775</v>
      </c>
      <c r="P27">
        <v>206.03299999999999</v>
      </c>
      <c r="Q27" s="568">
        <f t="shared" si="0"/>
        <v>0.19442998579518758</v>
      </c>
      <c r="R27" s="568">
        <v>0.183</v>
      </c>
      <c r="S27" s="565">
        <f t="shared" si="1"/>
        <v>21.188476150274376</v>
      </c>
      <c r="T27" s="564">
        <v>2</v>
      </c>
      <c r="U27" s="564">
        <v>1.6884761502743773</v>
      </c>
      <c r="V27" s="564" t="s">
        <v>452</v>
      </c>
      <c r="X27" s="490"/>
      <c r="Z27" s="478"/>
      <c r="AA27" s="549"/>
      <c r="AB27" s="550"/>
      <c r="AC27" s="7"/>
      <c r="AD27" s="551"/>
      <c r="AE27" s="552"/>
      <c r="AF27" s="552"/>
      <c r="AG27" s="552"/>
      <c r="AH27" s="553"/>
      <c r="AI27" s="551"/>
      <c r="AJ27" s="552"/>
      <c r="AK27" s="554"/>
      <c r="AL27" s="552"/>
      <c r="AM27" s="552"/>
      <c r="AN27" s="331"/>
      <c r="AO27" s="331"/>
      <c r="AP27" s="551"/>
      <c r="AQ27" s="552"/>
      <c r="AR27" s="552"/>
      <c r="AS27" s="552"/>
      <c r="AT27" s="553"/>
      <c r="AU27" s="551"/>
      <c r="AV27" s="552"/>
      <c r="AW27" s="554"/>
      <c r="AX27" s="552"/>
      <c r="AY27" s="552"/>
    </row>
    <row r="28" spans="1:51">
      <c r="A28" s="294"/>
      <c r="B28" s="294" t="s">
        <v>1015</v>
      </c>
      <c r="C28" s="563">
        <v>2.2042255736459442</v>
      </c>
      <c r="D28" s="564">
        <v>0.12491350018021706</v>
      </c>
      <c r="E28" s="564">
        <v>2.0793120734657271</v>
      </c>
      <c r="F28" s="564">
        <v>7.5320270858253366E-2</v>
      </c>
      <c r="G28" s="565">
        <v>0.23482202091102522</v>
      </c>
      <c r="H28" s="564" t="s">
        <v>452</v>
      </c>
      <c r="I28" s="564">
        <v>0.23482202091102522</v>
      </c>
      <c r="J28" s="564" t="s">
        <v>452</v>
      </c>
      <c r="K28" s="565">
        <v>10.149267331701516</v>
      </c>
      <c r="L28" s="564">
        <v>0.57515914969200288</v>
      </c>
      <c r="M28" s="564">
        <v>9.574108182009514</v>
      </c>
      <c r="N28" s="564">
        <v>0.34680913495261462</v>
      </c>
      <c r="O28" s="565">
        <v>1.0812284795581515</v>
      </c>
      <c r="P28">
        <v>20.729999825</v>
      </c>
      <c r="Q28" s="568">
        <f t="shared" si="0"/>
        <v>0.11765786855509389</v>
      </c>
      <c r="R28" s="568">
        <v>9.7299999999999998E-2</v>
      </c>
      <c r="S28" s="565">
        <f t="shared" si="1"/>
        <v>11.230495811259667</v>
      </c>
      <c r="T28" s="564" t="s">
        <v>452</v>
      </c>
      <c r="U28" s="564">
        <v>1.0812284795581515</v>
      </c>
      <c r="V28" s="564" t="s">
        <v>452</v>
      </c>
      <c r="X28" s="490"/>
      <c r="AA28" s="549"/>
      <c r="AB28" s="550"/>
      <c r="AC28" s="294"/>
      <c r="AD28" s="555"/>
      <c r="AE28" s="556"/>
      <c r="AF28" s="556"/>
      <c r="AG28" s="556"/>
      <c r="AH28" s="557"/>
      <c r="AI28" s="555"/>
      <c r="AJ28" s="556"/>
      <c r="AK28" s="558"/>
      <c r="AL28" s="556"/>
      <c r="AM28" s="556"/>
      <c r="AN28" s="220"/>
      <c r="AO28" s="220"/>
      <c r="AP28" s="555"/>
      <c r="AQ28" s="556"/>
      <c r="AR28" s="556"/>
      <c r="AS28" s="556"/>
      <c r="AT28" s="557"/>
      <c r="AU28" s="555"/>
      <c r="AV28" s="556"/>
      <c r="AW28" s="558"/>
      <c r="AX28" s="556"/>
      <c r="AY28" s="556"/>
    </row>
    <row r="29" spans="1:51">
      <c r="A29" s="7"/>
      <c r="B29" s="294" t="s">
        <v>1016</v>
      </c>
      <c r="C29" s="563">
        <v>49.143596863801008</v>
      </c>
      <c r="D29" s="564">
        <v>5.1357683670948564</v>
      </c>
      <c r="E29" s="564">
        <v>44.007828496706153</v>
      </c>
      <c r="F29" s="564">
        <v>3.309717392127796</v>
      </c>
      <c r="G29" s="565">
        <v>11.412818593544126</v>
      </c>
      <c r="H29" s="564">
        <v>5.7064092967720628</v>
      </c>
      <c r="I29" s="564">
        <v>5.7064092967720628</v>
      </c>
      <c r="J29" s="564" t="s">
        <v>452</v>
      </c>
      <c r="K29" s="565">
        <v>11.548291759304206</v>
      </c>
      <c r="L29" s="564">
        <v>1.2068581727094501</v>
      </c>
      <c r="M29" s="564">
        <v>10.341433586594755</v>
      </c>
      <c r="N29" s="564">
        <v>0.77775304463497896</v>
      </c>
      <c r="O29" s="565">
        <v>2.6819070504654445</v>
      </c>
      <c r="P29">
        <v>380.52199999999999</v>
      </c>
      <c r="Q29" s="568">
        <f t="shared" si="0"/>
        <v>0.1591403794191798</v>
      </c>
      <c r="R29" s="568">
        <v>0.1429</v>
      </c>
      <c r="S29" s="565">
        <f>K29+O29</f>
        <v>14.23019880976965</v>
      </c>
      <c r="T29" s="564">
        <v>1.34095352523272</v>
      </c>
      <c r="U29" s="564">
        <v>1.3409535252327223</v>
      </c>
      <c r="V29" s="564" t="s">
        <v>452</v>
      </c>
      <c r="X29" s="490"/>
      <c r="AA29" s="549"/>
      <c r="AB29" s="550"/>
      <c r="AC29" s="7"/>
      <c r="AD29" s="551"/>
      <c r="AE29" s="552"/>
      <c r="AF29" s="552"/>
      <c r="AG29" s="552"/>
      <c r="AH29" s="553"/>
      <c r="AI29" s="551"/>
      <c r="AJ29" s="552"/>
      <c r="AK29" s="554"/>
      <c r="AL29" s="552"/>
      <c r="AM29" s="552"/>
      <c r="AN29" s="331"/>
      <c r="AO29" s="331"/>
      <c r="AP29" s="551"/>
      <c r="AQ29" s="552"/>
      <c r="AR29" s="552"/>
      <c r="AS29" s="552"/>
      <c r="AT29" s="553"/>
      <c r="AU29" s="551"/>
      <c r="AV29" s="552"/>
      <c r="AW29" s="554"/>
      <c r="AX29" s="552"/>
      <c r="AY29" s="552"/>
    </row>
    <row r="30" spans="1:51">
      <c r="A30" s="7"/>
      <c r="B30" s="7" t="s">
        <v>1017</v>
      </c>
      <c r="C30" s="563">
        <v>42.9</v>
      </c>
      <c r="D30" s="564">
        <v>9.4</v>
      </c>
      <c r="E30" s="564">
        <v>33.5</v>
      </c>
      <c r="F30" s="564">
        <v>2.1</v>
      </c>
      <c r="G30" s="565">
        <v>15.3</v>
      </c>
      <c r="H30" s="564">
        <v>2</v>
      </c>
      <c r="I30" s="564">
        <v>13.3</v>
      </c>
      <c r="J30" s="564" t="s">
        <v>452</v>
      </c>
      <c r="K30" s="565">
        <v>10.3</v>
      </c>
      <c r="L30" s="564">
        <v>2.2000000000000002</v>
      </c>
      <c r="M30" s="564">
        <v>8.1000000000000014</v>
      </c>
      <c r="N30" s="564">
        <v>0.5</v>
      </c>
      <c r="O30" s="565">
        <v>3.7</v>
      </c>
      <c r="P30">
        <v>356.79300000000001</v>
      </c>
      <c r="Q30" s="568">
        <f t="shared" si="0"/>
        <v>0.16311979214838856</v>
      </c>
      <c r="R30" s="568">
        <v>0.13750000000000001</v>
      </c>
      <c r="S30" s="565">
        <f t="shared" si="1"/>
        <v>14</v>
      </c>
      <c r="T30" s="564">
        <v>0.5</v>
      </c>
      <c r="U30" s="564">
        <v>3.2</v>
      </c>
      <c r="V30" s="564" t="s">
        <v>452</v>
      </c>
      <c r="X30" s="490"/>
      <c r="AA30" s="549"/>
      <c r="AB30" s="550"/>
      <c r="AC30" s="7"/>
      <c r="AD30" s="551"/>
      <c r="AE30" s="552"/>
      <c r="AF30" s="552"/>
      <c r="AG30" s="552"/>
      <c r="AH30" s="553"/>
      <c r="AI30" s="551"/>
      <c r="AJ30" s="552"/>
      <c r="AK30" s="554"/>
      <c r="AL30" s="552"/>
      <c r="AM30" s="552"/>
      <c r="AN30" s="331"/>
      <c r="AO30" s="331"/>
      <c r="AP30" s="551"/>
      <c r="AQ30" s="552"/>
      <c r="AR30" s="552"/>
      <c r="AS30" s="552"/>
      <c r="AT30" s="553"/>
      <c r="AU30" s="551"/>
      <c r="AV30" s="552"/>
      <c r="AW30" s="554"/>
      <c r="AX30" s="552"/>
      <c r="AY30" s="552"/>
    </row>
    <row r="31" spans="1:51">
      <c r="A31" s="294"/>
      <c r="B31" s="294" t="s">
        <v>1018</v>
      </c>
      <c r="C31" s="563">
        <v>3.5487068625075562</v>
      </c>
      <c r="D31" s="564">
        <v>0.67911263411214207</v>
      </c>
      <c r="E31" s="564">
        <v>2.8695942283954139</v>
      </c>
      <c r="F31" s="564" t="s">
        <v>452</v>
      </c>
      <c r="G31" s="565">
        <v>0.66956733254859557</v>
      </c>
      <c r="H31" s="564">
        <v>0.26782693301943822</v>
      </c>
      <c r="I31" s="564">
        <v>0.4017403995291573</v>
      </c>
      <c r="J31" s="564">
        <v>0</v>
      </c>
      <c r="K31" s="565">
        <v>10.6</v>
      </c>
      <c r="L31" s="564">
        <v>2.028511849666303</v>
      </c>
      <c r="M31" s="564">
        <v>8.6</v>
      </c>
      <c r="N31" s="564">
        <v>0</v>
      </c>
      <c r="O31" s="565">
        <v>2</v>
      </c>
      <c r="P31">
        <v>29.335802339000001</v>
      </c>
      <c r="Q31" s="568">
        <f t="shared" si="0"/>
        <v>0.14379269897957542</v>
      </c>
      <c r="R31" s="568">
        <v>0.152</v>
      </c>
      <c r="S31" s="565">
        <f t="shared" si="1"/>
        <v>12.6</v>
      </c>
      <c r="T31" s="564">
        <v>0.8</v>
      </c>
      <c r="U31" s="564">
        <v>1.2</v>
      </c>
      <c r="V31" s="564">
        <v>0</v>
      </c>
      <c r="X31" s="490"/>
      <c r="Z31" s="478"/>
      <c r="AA31" s="549"/>
      <c r="AB31" s="550"/>
      <c r="AC31" s="294"/>
      <c r="AD31" s="551"/>
      <c r="AE31" s="552"/>
      <c r="AF31" s="552"/>
      <c r="AG31" s="552"/>
      <c r="AH31" s="553"/>
      <c r="AI31" s="551"/>
      <c r="AJ31" s="552"/>
      <c r="AK31" s="554"/>
      <c r="AL31" s="552"/>
      <c r="AM31" s="552"/>
      <c r="AN31" s="331"/>
      <c r="AO31" s="331"/>
      <c r="AP31" s="551"/>
      <c r="AQ31" s="552"/>
      <c r="AR31" s="552"/>
      <c r="AS31" s="552"/>
      <c r="AT31" s="553"/>
      <c r="AU31" s="551"/>
      <c r="AV31" s="552"/>
      <c r="AW31" s="554"/>
      <c r="AX31" s="552"/>
      <c r="AY31" s="552"/>
    </row>
    <row r="32" spans="1:51">
      <c r="A32" s="7"/>
      <c r="B32" s="7" t="s">
        <v>1019</v>
      </c>
      <c r="C32" s="563">
        <v>4.4000000000000004</v>
      </c>
      <c r="D32" s="564">
        <v>1.1000000000000001</v>
      </c>
      <c r="E32" s="564">
        <v>3.3000000000000003</v>
      </c>
      <c r="F32" s="564">
        <v>1.6</v>
      </c>
      <c r="G32" s="565">
        <v>1.5749689659090893</v>
      </c>
      <c r="H32" s="564">
        <v>0.43368710655467674</v>
      </c>
      <c r="I32" s="564">
        <v>1.1412818593544125</v>
      </c>
      <c r="J32" s="564" t="s">
        <v>452</v>
      </c>
      <c r="K32" s="565">
        <v>7.9</v>
      </c>
      <c r="L32" s="564">
        <v>1.9572000000000001</v>
      </c>
      <c r="M32" s="564">
        <v>5.9428000000000001</v>
      </c>
      <c r="N32" s="564">
        <v>2.8794</v>
      </c>
      <c r="O32" s="565">
        <v>2.8203729023476543</v>
      </c>
      <c r="P32">
        <v>49.002127328999997</v>
      </c>
      <c r="Q32" s="568">
        <f t="shared" si="0"/>
        <v>0.1219328484617246</v>
      </c>
      <c r="R32" s="568">
        <v>0.14699999999999999</v>
      </c>
      <c r="S32" s="565">
        <f t="shared" si="1"/>
        <v>10.720372902347655</v>
      </c>
      <c r="T32" s="564">
        <v>0.77662442238558593</v>
      </c>
      <c r="U32" s="564">
        <v>2.0437484799620682</v>
      </c>
      <c r="V32" s="564" t="s">
        <v>452</v>
      </c>
      <c r="X32" s="490"/>
      <c r="AA32" s="549"/>
      <c r="AB32" s="550"/>
      <c r="AC32" s="7"/>
      <c r="AD32" s="551"/>
      <c r="AE32" s="552"/>
      <c r="AF32" s="552"/>
      <c r="AG32" s="552"/>
      <c r="AH32" s="553"/>
      <c r="AI32" s="551"/>
      <c r="AJ32" s="552"/>
      <c r="AK32" s="554"/>
      <c r="AL32" s="552"/>
      <c r="AM32" s="552"/>
      <c r="AN32" s="331"/>
      <c r="AO32" s="331"/>
      <c r="AP32" s="551"/>
      <c r="AQ32" s="552"/>
      <c r="AR32" s="552"/>
      <c r="AS32" s="552"/>
      <c r="AT32" s="553"/>
      <c r="AU32" s="551"/>
      <c r="AV32" s="552"/>
      <c r="AW32" s="554"/>
      <c r="AX32" s="552"/>
      <c r="AY32" s="552"/>
    </row>
    <row r="33" spans="1:51">
      <c r="A33" s="7"/>
      <c r="B33" s="294" t="s">
        <v>1020</v>
      </c>
      <c r="C33" s="563">
        <v>3.0814610202569139</v>
      </c>
      <c r="D33" s="564">
        <v>0.34238455780632376</v>
      </c>
      <c r="E33" s="564">
        <v>2.7390764624505901</v>
      </c>
      <c r="F33" s="564">
        <v>5.2384837344367536</v>
      </c>
      <c r="G33" s="565">
        <v>4.3254582469532235</v>
      </c>
      <c r="H33" s="564">
        <v>0.45651274374176504</v>
      </c>
      <c r="I33" s="564">
        <v>2.8532046483860314</v>
      </c>
      <c r="J33" s="564">
        <v>1.0157408548254272</v>
      </c>
      <c r="K33" s="565">
        <v>4.2093447453346426</v>
      </c>
      <c r="L33" s="564">
        <v>0.46770497170384917</v>
      </c>
      <c r="M33" s="564">
        <v>3.7416397736307934</v>
      </c>
      <c r="N33" s="564">
        <v>7.1558860670688924</v>
      </c>
      <c r="O33" s="565">
        <v>5.9086728091919616</v>
      </c>
      <c r="P33">
        <v>66.707126419000005</v>
      </c>
      <c r="Q33" s="568">
        <f t="shared" si="0"/>
        <v>0.11103640142862524</v>
      </c>
      <c r="R33" s="568">
        <v>9.5600000000000004E-2</v>
      </c>
      <c r="S33" s="565">
        <f t="shared" si="1"/>
        <v>10.118017554526604</v>
      </c>
      <c r="T33" s="564">
        <v>0.62360662893846563</v>
      </c>
      <c r="U33" s="564">
        <v>3.8975414308654104</v>
      </c>
      <c r="V33" s="564">
        <v>1.387524749388086</v>
      </c>
      <c r="X33" s="490"/>
      <c r="AA33" s="549"/>
      <c r="AB33" s="550"/>
      <c r="AC33" s="7"/>
      <c r="AD33" s="551"/>
      <c r="AE33" s="552"/>
      <c r="AF33" s="552"/>
      <c r="AG33" s="552"/>
      <c r="AH33" s="553"/>
      <c r="AI33" s="551"/>
      <c r="AJ33" s="552"/>
      <c r="AK33" s="554"/>
      <c r="AL33" s="552"/>
      <c r="AM33" s="552"/>
      <c r="AN33" s="331"/>
      <c r="AO33" s="331"/>
      <c r="AP33" s="551"/>
      <c r="AQ33" s="552"/>
      <c r="AR33" s="552"/>
      <c r="AS33" s="552"/>
      <c r="AT33" s="553"/>
      <c r="AU33" s="551"/>
      <c r="AV33" s="552"/>
      <c r="AW33" s="554"/>
      <c r="AX33" s="552"/>
      <c r="AY33" s="552"/>
    </row>
    <row r="34" spans="1:51">
      <c r="A34" s="7"/>
      <c r="B34" s="294" t="s">
        <v>184</v>
      </c>
      <c r="C34" s="563">
        <v>93.92749702486816</v>
      </c>
      <c r="D34" s="564">
        <v>18.94527886528325</v>
      </c>
      <c r="E34" s="564">
        <v>74.982218159584903</v>
      </c>
      <c r="F34" s="564">
        <v>13.124741382575744</v>
      </c>
      <c r="G34" s="565">
        <v>39.716608705533552</v>
      </c>
      <c r="H34" s="564" t="s">
        <v>452</v>
      </c>
      <c r="I34" s="564">
        <v>39.716608705533552</v>
      </c>
      <c r="J34" s="564" t="s">
        <v>452</v>
      </c>
      <c r="K34" s="565">
        <v>10.2862785044276</v>
      </c>
      <c r="L34" s="564">
        <v>2.0747536230072678</v>
      </c>
      <c r="M34" s="564">
        <v>8.2115248814203312</v>
      </c>
      <c r="N34" s="564">
        <v>1.4373293171435892</v>
      </c>
      <c r="O34" s="565">
        <v>4.3494834988345135</v>
      </c>
      <c r="P34">
        <v>854.30499999999995</v>
      </c>
      <c r="Q34" s="568">
        <f t="shared" si="0"/>
        <v>0.15643605706439939</v>
      </c>
      <c r="R34" s="568">
        <v>0.1447</v>
      </c>
      <c r="S34" s="565">
        <f t="shared" si="1"/>
        <v>14.635762003262112</v>
      </c>
      <c r="T34" s="564" t="s">
        <v>452</v>
      </c>
      <c r="U34" s="564">
        <v>4.3494834988345135</v>
      </c>
      <c r="V34" s="564" t="s">
        <v>452</v>
      </c>
      <c r="X34" s="490"/>
      <c r="AA34" s="549"/>
      <c r="AB34" s="550"/>
      <c r="AC34" s="7"/>
      <c r="AD34" s="551"/>
      <c r="AE34" s="552"/>
      <c r="AF34" s="552"/>
      <c r="AG34" s="552"/>
      <c r="AH34" s="553"/>
      <c r="AI34" s="551"/>
      <c r="AJ34" s="552"/>
      <c r="AK34" s="554"/>
      <c r="AL34" s="552"/>
      <c r="AM34" s="552"/>
      <c r="AN34" s="331"/>
      <c r="AO34" s="331"/>
      <c r="AP34" s="551"/>
      <c r="AQ34" s="552"/>
      <c r="AR34" s="552"/>
      <c r="AS34" s="552"/>
      <c r="AT34" s="553"/>
      <c r="AU34" s="551"/>
      <c r="AV34" s="552"/>
      <c r="AW34" s="554"/>
      <c r="AX34" s="552"/>
      <c r="AY34" s="552"/>
    </row>
    <row r="35" spans="1:51">
      <c r="A35" s="7"/>
      <c r="B35" s="294" t="s">
        <v>553</v>
      </c>
      <c r="C35" s="563">
        <v>40.366333649903929</v>
      </c>
      <c r="D35" s="564">
        <v>3.3151095268037039</v>
      </c>
      <c r="E35" s="564">
        <v>37.051224123100226</v>
      </c>
      <c r="F35" s="564" t="s">
        <v>452</v>
      </c>
      <c r="G35" s="565">
        <v>4.0951352978163404</v>
      </c>
      <c r="H35" s="564">
        <v>2.2100730178691359</v>
      </c>
      <c r="I35" s="564">
        <v>1.8850622799472043</v>
      </c>
      <c r="J35" s="564" t="s">
        <v>452</v>
      </c>
      <c r="K35" s="565">
        <v>19.27864943902545</v>
      </c>
      <c r="L35" s="564">
        <v>1.5832707268764863</v>
      </c>
      <c r="M35" s="564">
        <v>17.695378712148965</v>
      </c>
      <c r="N35" s="564" t="s">
        <v>452</v>
      </c>
      <c r="O35" s="565">
        <v>1.9558050155533067</v>
      </c>
      <c r="P35">
        <v>202.43</v>
      </c>
      <c r="Q35" s="568">
        <f t="shared" si="0"/>
        <v>0.21963873411905482</v>
      </c>
      <c r="R35" s="568">
        <v>0.2059</v>
      </c>
      <c r="S35" s="565">
        <f t="shared" si="1"/>
        <v>21.234454454578756</v>
      </c>
      <c r="T35" s="564">
        <v>1.0555138179176575</v>
      </c>
      <c r="U35" s="564">
        <v>0.90029119763564913</v>
      </c>
      <c r="V35" s="564" t="s">
        <v>452</v>
      </c>
      <c r="X35" s="490"/>
      <c r="AA35" s="549"/>
      <c r="AB35" s="550"/>
      <c r="AC35" s="7"/>
      <c r="AD35" s="551"/>
      <c r="AE35" s="552"/>
      <c r="AF35" s="552"/>
      <c r="AG35" s="552"/>
      <c r="AH35" s="553"/>
      <c r="AI35" s="551"/>
      <c r="AJ35" s="552"/>
      <c r="AK35" s="554"/>
      <c r="AL35" s="552"/>
      <c r="AM35" s="552"/>
      <c r="AN35" s="331"/>
      <c r="AO35" s="331"/>
      <c r="AP35" s="551"/>
      <c r="AQ35" s="552"/>
      <c r="AR35" s="552"/>
      <c r="AS35" s="552"/>
      <c r="AT35" s="553"/>
      <c r="AU35" s="551"/>
      <c r="AV35" s="552"/>
      <c r="AW35" s="554"/>
      <c r="AX35" s="552"/>
      <c r="AY35" s="552"/>
    </row>
    <row r="36" spans="1:51">
      <c r="A36" s="7"/>
      <c r="B36" s="294" t="s">
        <v>36</v>
      </c>
      <c r="C36" s="563">
        <v>23.917160810691193</v>
      </c>
      <c r="D36" s="564">
        <v>2.6232409947782966</v>
      </c>
      <c r="E36" s="564">
        <v>21.293919815912897</v>
      </c>
      <c r="F36" s="564" t="s">
        <v>452</v>
      </c>
      <c r="G36" s="565">
        <v>14.603062217895378</v>
      </c>
      <c r="H36" s="564">
        <v>6.3191432870165452</v>
      </c>
      <c r="I36" s="564">
        <v>8.2839189308788317</v>
      </c>
      <c r="J36" s="564" t="s">
        <v>452</v>
      </c>
      <c r="K36" s="565">
        <v>7.4022943167997903</v>
      </c>
      <c r="L36" s="564">
        <v>0.81188574433816507</v>
      </c>
      <c r="M36" s="564">
        <v>6.5904085724616239</v>
      </c>
      <c r="N36" s="564" t="s">
        <v>452</v>
      </c>
      <c r="O36" s="565">
        <v>4.5196068763764252</v>
      </c>
      <c r="P36">
        <v>410.24900000000002</v>
      </c>
      <c r="Q36" s="568">
        <f t="shared" si="0"/>
        <v>9.3894739605913893E-2</v>
      </c>
      <c r="R36" s="568">
        <v>9.8799999999999999E-2</v>
      </c>
      <c r="S36" s="565">
        <f t="shared" si="1"/>
        <v>11.921901193176215</v>
      </c>
      <c r="T36" s="564">
        <v>1.9557571574137986</v>
      </c>
      <c r="U36" s="564">
        <v>2.563849718962627</v>
      </c>
      <c r="V36" s="564" t="s">
        <v>452</v>
      </c>
      <c r="X36" s="490"/>
      <c r="Z36" s="270"/>
      <c r="AA36" s="549"/>
      <c r="AB36" s="550"/>
      <c r="AC36" s="7"/>
      <c r="AD36" s="551"/>
      <c r="AE36" s="552"/>
      <c r="AF36" s="552"/>
      <c r="AG36" s="552"/>
      <c r="AH36" s="553"/>
      <c r="AI36" s="551"/>
      <c r="AJ36" s="552"/>
      <c r="AK36" s="554"/>
      <c r="AL36" s="552"/>
      <c r="AM36" s="552"/>
      <c r="AN36" s="331"/>
      <c r="AO36" s="331"/>
      <c r="AP36" s="551"/>
      <c r="AQ36" s="552"/>
      <c r="AR36" s="552"/>
      <c r="AS36" s="552"/>
      <c r="AT36" s="553"/>
      <c r="AU36" s="551"/>
      <c r="AV36" s="552"/>
      <c r="AW36" s="554"/>
      <c r="AX36" s="552"/>
      <c r="AY36" s="552"/>
    </row>
    <row r="37" spans="1:51">
      <c r="A37" s="7"/>
      <c r="B37" s="294" t="s">
        <v>1023</v>
      </c>
      <c r="C37" s="563">
        <v>13.809510498188393</v>
      </c>
      <c r="D37" s="564">
        <v>2.5108200905797076</v>
      </c>
      <c r="E37" s="564">
        <v>11.298690407608685</v>
      </c>
      <c r="F37" s="564">
        <v>1.2554100452898538</v>
      </c>
      <c r="G37" s="565">
        <v>13.124741382575744</v>
      </c>
      <c r="H37" s="564" t="s">
        <v>452</v>
      </c>
      <c r="I37" s="564">
        <v>13.124741382575744</v>
      </c>
      <c r="J37" s="564" t="s">
        <v>452</v>
      </c>
      <c r="K37" s="565">
        <v>6.047351260148055</v>
      </c>
      <c r="L37" s="564">
        <v>1.0995184109360101</v>
      </c>
      <c r="M37" s="564">
        <v>4.9478328492120447</v>
      </c>
      <c r="N37" s="564">
        <v>0.54975920546800505</v>
      </c>
      <c r="O37" s="565">
        <v>5.7474826026200523</v>
      </c>
      <c r="P37">
        <v>221.86600000000001</v>
      </c>
      <c r="Q37" s="568">
        <f t="shared" si="0"/>
        <v>0.12139873563666419</v>
      </c>
      <c r="R37" s="568">
        <v>0.16339999999999999</v>
      </c>
      <c r="S37" s="565">
        <f t="shared" si="1"/>
        <v>11.794833862768108</v>
      </c>
      <c r="T37" s="564" t="s">
        <v>452</v>
      </c>
      <c r="U37" s="564">
        <v>5.7474826026200523</v>
      </c>
      <c r="V37" s="564" t="s">
        <v>452</v>
      </c>
      <c r="X37" s="490"/>
      <c r="Z37" s="485"/>
      <c r="AA37" s="549"/>
      <c r="AB37" s="550"/>
      <c r="AC37" s="7"/>
      <c r="AD37" s="551"/>
      <c r="AE37" s="552"/>
      <c r="AF37" s="552"/>
      <c r="AG37" s="552"/>
      <c r="AH37" s="553"/>
      <c r="AI37" s="551"/>
      <c r="AJ37" s="552"/>
      <c r="AK37" s="554"/>
      <c r="AL37" s="552"/>
      <c r="AM37" s="552"/>
      <c r="AN37" s="331"/>
      <c r="AO37" s="331"/>
      <c r="AP37" s="551"/>
      <c r="AQ37" s="552"/>
      <c r="AR37" s="552"/>
      <c r="AS37" s="552"/>
      <c r="AT37" s="553"/>
      <c r="AU37" s="551"/>
      <c r="AV37" s="552"/>
      <c r="AW37" s="554"/>
      <c r="AX37" s="552"/>
      <c r="AY37" s="552"/>
    </row>
    <row r="38" spans="1:51">
      <c r="A38" s="7"/>
      <c r="B38" s="7" t="s">
        <v>1025</v>
      </c>
      <c r="C38" s="563">
        <v>6.3</v>
      </c>
      <c r="D38" s="564">
        <v>1.3</v>
      </c>
      <c r="E38" s="564">
        <v>5</v>
      </c>
      <c r="F38" s="564">
        <v>0.6006120601465349</v>
      </c>
      <c r="G38" s="565">
        <v>1.8</v>
      </c>
      <c r="H38" s="564">
        <v>0</v>
      </c>
      <c r="I38" s="564">
        <v>1.8</v>
      </c>
      <c r="J38" s="564" t="s">
        <v>452</v>
      </c>
      <c r="K38" s="565">
        <v>5.9</v>
      </c>
      <c r="L38" s="564">
        <v>1.2</v>
      </c>
      <c r="M38" s="564">
        <v>4.7</v>
      </c>
      <c r="N38" s="564">
        <v>0.57700693861006003</v>
      </c>
      <c r="O38" s="565">
        <v>1.7</v>
      </c>
      <c r="P38">
        <v>99.543529164000006</v>
      </c>
      <c r="Q38" s="568">
        <f t="shared" si="0"/>
        <v>8.1371436878183045E-2</v>
      </c>
      <c r="R38" s="568">
        <v>7.0709999999999995E-2</v>
      </c>
      <c r="S38" s="565">
        <f t="shared" si="1"/>
        <v>7.6000000000000005</v>
      </c>
      <c r="T38" s="564">
        <v>0</v>
      </c>
      <c r="U38" s="564">
        <v>1.7</v>
      </c>
      <c r="V38" s="564" t="s">
        <v>452</v>
      </c>
      <c r="X38" s="490"/>
      <c r="AA38" s="549"/>
      <c r="AB38" s="550"/>
      <c r="AC38" s="7"/>
      <c r="AD38" s="551"/>
      <c r="AE38" s="552"/>
      <c r="AF38" s="552"/>
      <c r="AG38" s="552"/>
      <c r="AH38" s="553"/>
      <c r="AI38" s="551"/>
      <c r="AJ38" s="552"/>
      <c r="AK38" s="554"/>
      <c r="AL38" s="552"/>
      <c r="AM38" s="552"/>
      <c r="AN38" s="331"/>
      <c r="AO38" s="331"/>
      <c r="AP38" s="551"/>
      <c r="AQ38" s="552"/>
      <c r="AR38" s="552"/>
      <c r="AS38" s="552"/>
      <c r="AT38" s="553"/>
      <c r="AU38" s="551"/>
      <c r="AV38" s="552"/>
      <c r="AW38" s="554"/>
      <c r="AX38" s="552"/>
      <c r="AY38" s="552"/>
    </row>
    <row r="39" spans="1:51">
      <c r="A39" s="7"/>
      <c r="B39" s="7" t="s">
        <v>1026</v>
      </c>
      <c r="C39" s="563">
        <v>5.2</v>
      </c>
      <c r="D39" s="564">
        <v>0.4</v>
      </c>
      <c r="E39" s="564">
        <v>4.8</v>
      </c>
      <c r="F39" s="564">
        <v>0.47399999999999998</v>
      </c>
      <c r="G39" s="565">
        <v>3.5</v>
      </c>
      <c r="H39" s="564">
        <v>1</v>
      </c>
      <c r="I39" s="564">
        <v>2.5</v>
      </c>
      <c r="J39" s="564" t="s">
        <v>452</v>
      </c>
      <c r="K39" s="565">
        <v>9.4</v>
      </c>
      <c r="L39" s="564">
        <v>0.8</v>
      </c>
      <c r="M39" s="564">
        <v>8.6</v>
      </c>
      <c r="N39" s="564">
        <v>0.9</v>
      </c>
      <c r="O39" s="565">
        <v>6.6</v>
      </c>
      <c r="P39">
        <v>50.002578163000003</v>
      </c>
      <c r="Q39" s="568">
        <f t="shared" si="0"/>
        <v>0.17399102845536207</v>
      </c>
      <c r="R39" s="568">
        <v>0.1769</v>
      </c>
      <c r="S39" s="565">
        <f t="shared" si="1"/>
        <v>16</v>
      </c>
      <c r="T39" s="564">
        <v>1.9</v>
      </c>
      <c r="U39" s="564">
        <v>4.7</v>
      </c>
      <c r="V39" s="564" t="s">
        <v>452</v>
      </c>
      <c r="X39" s="490"/>
      <c r="AA39" s="549"/>
      <c r="AB39" s="550"/>
      <c r="AC39" s="7"/>
      <c r="AD39" s="551"/>
      <c r="AE39" s="552"/>
      <c r="AF39" s="552"/>
      <c r="AG39" s="552"/>
      <c r="AH39" s="553"/>
      <c r="AI39" s="551"/>
      <c r="AJ39" s="552"/>
      <c r="AK39" s="554"/>
      <c r="AL39" s="552"/>
      <c r="AM39" s="552"/>
      <c r="AN39" s="331"/>
      <c r="AO39" s="331"/>
      <c r="AP39" s="551"/>
      <c r="AQ39" s="552"/>
      <c r="AR39" s="552"/>
      <c r="AS39" s="552"/>
      <c r="AT39" s="553"/>
      <c r="AU39" s="551"/>
      <c r="AV39" s="552"/>
      <c r="AW39" s="554"/>
      <c r="AX39" s="552"/>
      <c r="AY39" s="552"/>
    </row>
    <row r="40" spans="1:51">
      <c r="A40" s="7"/>
      <c r="B40" s="7" t="s">
        <v>21</v>
      </c>
      <c r="C40" s="563">
        <v>22.474815922163589</v>
      </c>
      <c r="D40" s="564">
        <v>4.125811618561432</v>
      </c>
      <c r="E40" s="564">
        <v>18.349004303602158</v>
      </c>
      <c r="F40" s="564">
        <v>36.372286637317892</v>
      </c>
      <c r="G40" s="565">
        <v>28.413813173092809</v>
      </c>
      <c r="H40" s="564">
        <v>1.2703156825570725</v>
      </c>
      <c r="I40" s="564">
        <v>27.143497490535736</v>
      </c>
      <c r="J40" s="564" t="s">
        <v>452</v>
      </c>
      <c r="K40" s="565">
        <v>4.1538214254109116</v>
      </c>
      <c r="L40" s="564">
        <v>0.76253726650055398</v>
      </c>
      <c r="M40" s="564">
        <v>3.3912841589103584</v>
      </c>
      <c r="N40" s="564">
        <v>6.7223680073075149</v>
      </c>
      <c r="O40" s="565">
        <v>5.2514737537682885</v>
      </c>
      <c r="P40">
        <v>546.39300000000003</v>
      </c>
      <c r="Q40" s="568">
        <f t="shared" si="0"/>
        <v>9.313558024216341E-2</v>
      </c>
      <c r="R40" s="568">
        <v>0.124</v>
      </c>
      <c r="S40" s="565">
        <f t="shared" si="1"/>
        <v>9.4052951791792001</v>
      </c>
      <c r="T40" s="564">
        <v>0.2347812110014863</v>
      </c>
      <c r="U40" s="564">
        <v>5.0166925427668021</v>
      </c>
      <c r="V40" s="564" t="s">
        <v>452</v>
      </c>
      <c r="X40" s="490"/>
      <c r="AA40" s="549"/>
      <c r="AB40" s="550"/>
      <c r="AC40" s="7"/>
      <c r="AD40" s="551"/>
      <c r="AE40" s="552"/>
      <c r="AF40" s="552"/>
      <c r="AG40" s="552"/>
      <c r="AH40" s="553"/>
      <c r="AI40" s="551"/>
      <c r="AJ40" s="552"/>
      <c r="AK40" s="554"/>
      <c r="AL40" s="552"/>
      <c r="AM40" s="552"/>
      <c r="AN40" s="331"/>
      <c r="AO40" s="331"/>
      <c r="AP40" s="551"/>
      <c r="AQ40" s="552"/>
      <c r="AR40" s="552"/>
      <c r="AS40" s="552"/>
      <c r="AT40" s="553"/>
      <c r="AU40" s="551"/>
      <c r="AV40" s="552"/>
      <c r="AW40" s="554"/>
      <c r="AX40" s="552"/>
      <c r="AY40" s="552"/>
    </row>
    <row r="41" spans="1:51">
      <c r="A41" s="7"/>
      <c r="B41" s="7" t="s">
        <v>558</v>
      </c>
      <c r="C41" s="563">
        <v>59.481808256628398</v>
      </c>
      <c r="D41" s="564">
        <v>7.6892624776985965</v>
      </c>
      <c r="E41" s="564">
        <v>51.792545778929799</v>
      </c>
      <c r="F41" s="564" t="s">
        <v>452</v>
      </c>
      <c r="G41" s="565">
        <v>46.733119713121745</v>
      </c>
      <c r="H41" s="564">
        <v>1.1716565626081807</v>
      </c>
      <c r="I41" s="564">
        <v>45.561463150513568</v>
      </c>
      <c r="J41" s="564" t="s">
        <v>452</v>
      </c>
      <c r="K41" s="565">
        <v>7.9111095244692748</v>
      </c>
      <c r="L41" s="564">
        <v>1.0226756617925596</v>
      </c>
      <c r="M41" s="564">
        <v>6.8884338626767159</v>
      </c>
      <c r="N41" s="564" t="s">
        <v>452</v>
      </c>
      <c r="O41" s="565">
        <v>6.2155277269910725</v>
      </c>
      <c r="P41">
        <v>747.11</v>
      </c>
      <c r="Q41" s="568">
        <f t="shared" si="0"/>
        <v>0.1421677235878922</v>
      </c>
      <c r="R41" s="568">
        <v>0.1205</v>
      </c>
      <c r="S41" s="565">
        <f t="shared" si="1"/>
        <v>14.126637251460348</v>
      </c>
      <c r="T41" s="564">
        <v>0.15583089457983315</v>
      </c>
      <c r="U41" s="564">
        <v>6.0596968324112392</v>
      </c>
      <c r="V41" s="564" t="s">
        <v>452</v>
      </c>
      <c r="X41" s="490"/>
      <c r="AA41" s="549"/>
      <c r="AB41" s="550"/>
      <c r="AC41" s="7"/>
      <c r="AD41" s="551"/>
      <c r="AE41" s="552"/>
      <c r="AF41" s="552"/>
      <c r="AG41" s="552"/>
      <c r="AH41" s="553"/>
      <c r="AI41" s="551"/>
      <c r="AJ41" s="552"/>
      <c r="AK41" s="554"/>
      <c r="AL41" s="552"/>
      <c r="AM41" s="552"/>
      <c r="AN41" s="331"/>
      <c r="AO41" s="331"/>
      <c r="AP41" s="551"/>
      <c r="AQ41" s="552"/>
      <c r="AR41" s="552"/>
      <c r="AS41" s="552"/>
      <c r="AT41" s="553"/>
      <c r="AU41" s="551"/>
      <c r="AV41" s="552"/>
      <c r="AW41" s="554"/>
      <c r="AX41" s="552"/>
      <c r="AY41" s="552"/>
    </row>
    <row r="42" spans="1:51">
      <c r="A42" s="415"/>
      <c r="B42" s="415" t="s">
        <v>42</v>
      </c>
      <c r="C42" s="563">
        <v>32.063993334728984</v>
      </c>
      <c r="D42" s="564">
        <v>1.5165334699489497</v>
      </c>
      <c r="E42" s="564">
        <v>30.547459864780031</v>
      </c>
      <c r="F42" s="564">
        <v>4.0446076631681755</v>
      </c>
      <c r="G42" s="565">
        <v>6.3189963380984064</v>
      </c>
      <c r="H42" s="564">
        <v>3.2859281358385646</v>
      </c>
      <c r="I42" s="564" t="s">
        <v>452</v>
      </c>
      <c r="J42" s="564">
        <v>3.0330682022598419</v>
      </c>
      <c r="K42" s="565">
        <v>12.682470249573225</v>
      </c>
      <c r="L42" s="564">
        <v>0.59984389387573989</v>
      </c>
      <c r="M42" s="564">
        <v>12.082626355697483</v>
      </c>
      <c r="N42" s="564">
        <v>1.5997887669146695</v>
      </c>
      <c r="O42" s="565">
        <v>2.4993918327164151</v>
      </c>
      <c r="P42">
        <v>261.67700000000002</v>
      </c>
      <c r="Q42" s="568">
        <f t="shared" si="0"/>
        <v>0.14668079224703504</v>
      </c>
      <c r="R42" s="568">
        <v>0.27700000000000002</v>
      </c>
      <c r="S42" s="565">
        <f t="shared" si="1"/>
        <v>15.181862082289641</v>
      </c>
      <c r="T42" s="564">
        <v>1.2997035456550827</v>
      </c>
      <c r="U42" s="564" t="s">
        <v>452</v>
      </c>
      <c r="V42" s="564">
        <v>1.1996882870613323</v>
      </c>
      <c r="X42" s="490"/>
      <c r="AA42" s="549"/>
      <c r="AB42" s="550"/>
      <c r="AD42" s="551"/>
      <c r="AE42" s="552"/>
      <c r="AF42" s="552"/>
      <c r="AG42" s="552"/>
      <c r="AH42" s="553"/>
      <c r="AI42" s="551"/>
      <c r="AJ42" s="552"/>
      <c r="AK42" s="554"/>
      <c r="AL42" s="552"/>
      <c r="AM42" s="552"/>
      <c r="AN42" s="331"/>
      <c r="AO42" s="331"/>
      <c r="AP42" s="551"/>
      <c r="AQ42" s="552"/>
      <c r="AR42" s="552"/>
      <c r="AS42" s="552"/>
      <c r="AT42" s="553"/>
      <c r="AU42" s="551"/>
      <c r="AV42" s="552"/>
      <c r="AW42" s="554"/>
      <c r="AX42" s="552"/>
      <c r="AY42" s="552"/>
    </row>
    <row r="43" spans="1:51">
      <c r="A43" s="415"/>
      <c r="B43" s="415" t="s">
        <v>34</v>
      </c>
      <c r="C43" s="563">
        <v>12.537379304867349</v>
      </c>
      <c r="D43" s="564">
        <v>3.8751505833461795</v>
      </c>
      <c r="E43" s="564">
        <v>8.6622287215211689</v>
      </c>
      <c r="F43" s="564">
        <v>0.4819569618750838</v>
      </c>
      <c r="G43" s="565">
        <v>14.618458635750434</v>
      </c>
      <c r="H43" s="564">
        <v>7.6937118380227556</v>
      </c>
      <c r="I43" s="564">
        <v>6.9247467977276784</v>
      </c>
      <c r="J43" s="564" t="s">
        <v>452</v>
      </c>
      <c r="K43" s="565">
        <v>4.6169047873067024</v>
      </c>
      <c r="L43" s="564">
        <v>1.4270287948327041</v>
      </c>
      <c r="M43" s="564">
        <v>3.1898759924739983</v>
      </c>
      <c r="N43" s="564">
        <v>0.17748122238696293</v>
      </c>
      <c r="O43" s="565">
        <v>5.3832647172315324</v>
      </c>
      <c r="P43">
        <v>321.40600000000001</v>
      </c>
      <c r="Q43" s="568">
        <f t="shared" si="0"/>
        <v>8.4490762277673048E-2</v>
      </c>
      <c r="R43" s="568">
        <v>7.1800000000000003E-2</v>
      </c>
      <c r="S43" s="565">
        <f t="shared" si="1"/>
        <v>10.000169504538235</v>
      </c>
      <c r="T43" s="564">
        <v>2.8332185023177257</v>
      </c>
      <c r="U43" s="564">
        <v>2.5500462149138068</v>
      </c>
      <c r="V43" s="564" t="s">
        <v>452</v>
      </c>
      <c r="X43" s="490"/>
      <c r="AA43" s="549"/>
      <c r="AB43" s="550"/>
      <c r="AD43" s="551"/>
      <c r="AE43" s="552"/>
      <c r="AF43" s="552"/>
      <c r="AG43" s="552"/>
      <c r="AH43" s="553"/>
      <c r="AI43" s="551"/>
      <c r="AJ43" s="552"/>
      <c r="AK43" s="554"/>
      <c r="AL43" s="552"/>
      <c r="AM43" s="552"/>
      <c r="AN43" s="331"/>
      <c r="AO43" s="331"/>
      <c r="AP43" s="551"/>
      <c r="AQ43" s="552"/>
      <c r="AR43" s="552"/>
      <c r="AS43" s="552"/>
      <c r="AT43" s="553"/>
      <c r="AU43" s="551"/>
      <c r="AV43" s="552"/>
      <c r="AW43" s="554"/>
      <c r="AX43" s="552"/>
      <c r="AY43" s="552"/>
    </row>
    <row r="44" spans="1:51">
      <c r="A44" s="415"/>
      <c r="B44" s="415" t="s">
        <v>1043</v>
      </c>
      <c r="C44" s="563">
        <v>1</v>
      </c>
      <c r="D44" s="564">
        <v>0.2</v>
      </c>
      <c r="E44" s="564">
        <v>0.8</v>
      </c>
      <c r="F44" s="564">
        <v>0</v>
      </c>
      <c r="G44" s="565">
        <v>0</v>
      </c>
      <c r="H44" s="564" t="s">
        <v>452</v>
      </c>
      <c r="I44" s="564" t="s">
        <v>452</v>
      </c>
      <c r="J44" s="564" t="s">
        <v>452</v>
      </c>
      <c r="K44" s="565">
        <v>1.6</v>
      </c>
      <c r="L44" s="564">
        <v>0.3</v>
      </c>
      <c r="M44" s="564">
        <v>1.3</v>
      </c>
      <c r="N44" s="564">
        <v>0</v>
      </c>
      <c r="O44" s="565">
        <v>0</v>
      </c>
      <c r="P44">
        <v>64.382494195999996</v>
      </c>
      <c r="Q44" s="568">
        <f t="shared" si="0"/>
        <v>1.5532172409408282E-2</v>
      </c>
      <c r="R44" s="568">
        <v>9.2200000000000004E-2</v>
      </c>
      <c r="S44" s="565">
        <f t="shared" si="1"/>
        <v>1.6</v>
      </c>
      <c r="T44" s="564" t="s">
        <v>452</v>
      </c>
      <c r="U44" s="564" t="s">
        <v>452</v>
      </c>
      <c r="V44" s="564" t="s">
        <v>452</v>
      </c>
      <c r="X44" s="490"/>
      <c r="AA44" s="549"/>
      <c r="AB44" s="550"/>
      <c r="AD44" s="551"/>
      <c r="AE44" s="552"/>
      <c r="AF44" s="552"/>
      <c r="AG44" s="552"/>
      <c r="AH44" s="553"/>
      <c r="AI44" s="551"/>
      <c r="AJ44" s="552"/>
      <c r="AK44" s="554"/>
      <c r="AL44" s="552"/>
      <c r="AM44" s="552"/>
      <c r="AN44" s="331"/>
      <c r="AO44" s="331"/>
      <c r="AP44" s="551"/>
      <c r="AQ44" s="552"/>
      <c r="AR44" s="552"/>
      <c r="AS44" s="552"/>
      <c r="AT44" s="553"/>
      <c r="AU44" s="551"/>
      <c r="AV44" s="552"/>
      <c r="AW44" s="554"/>
      <c r="AX44" s="552"/>
      <c r="AY44" s="552"/>
    </row>
    <row r="45" spans="1:51">
      <c r="A45" s="415"/>
      <c r="B45" s="415" t="s">
        <v>40</v>
      </c>
      <c r="C45" s="563">
        <v>17.8</v>
      </c>
      <c r="D45" s="564">
        <v>7.7</v>
      </c>
      <c r="E45" s="564">
        <v>10.100000000000001</v>
      </c>
      <c r="F45" s="564" t="s">
        <v>452</v>
      </c>
      <c r="G45" s="565">
        <v>6.5</v>
      </c>
      <c r="H45" s="564" t="s">
        <v>452</v>
      </c>
      <c r="I45" s="564">
        <v>6.5</v>
      </c>
      <c r="J45" s="564" t="s">
        <v>452</v>
      </c>
      <c r="K45" s="565">
        <v>11.5</v>
      </c>
      <c r="L45" s="564">
        <v>4.9000000000000004</v>
      </c>
      <c r="M45" s="564">
        <v>6.6</v>
      </c>
      <c r="N45" s="564" t="s">
        <v>452</v>
      </c>
      <c r="O45" s="565">
        <v>4.2</v>
      </c>
      <c r="P45">
        <v>148.24199999999999</v>
      </c>
      <c r="Q45" s="568">
        <f t="shared" si="0"/>
        <v>0.16392115594770715</v>
      </c>
      <c r="R45" s="568">
        <v>0.15590000000000001</v>
      </c>
      <c r="S45" s="565">
        <f t="shared" si="1"/>
        <v>15.7</v>
      </c>
      <c r="T45" s="564" t="s">
        <v>452</v>
      </c>
      <c r="U45" s="564">
        <v>4.2</v>
      </c>
      <c r="V45" s="564" t="s">
        <v>452</v>
      </c>
      <c r="X45" s="490"/>
      <c r="AA45" s="549"/>
      <c r="AB45" s="550"/>
      <c r="AD45" s="551"/>
      <c r="AE45" s="552"/>
      <c r="AF45" s="552"/>
      <c r="AG45" s="552"/>
      <c r="AH45" s="553"/>
      <c r="AI45" s="551"/>
      <c r="AJ45" s="552"/>
      <c r="AK45" s="554"/>
      <c r="AL45" s="552"/>
      <c r="AM45" s="552"/>
      <c r="AN45" s="331"/>
      <c r="AO45" s="331"/>
      <c r="AP45" s="551"/>
      <c r="AQ45" s="552"/>
      <c r="AR45" s="552"/>
      <c r="AS45" s="552"/>
      <c r="AT45" s="553"/>
      <c r="AU45" s="551"/>
      <c r="AV45" s="552"/>
      <c r="AW45" s="554"/>
      <c r="AX45" s="552"/>
      <c r="AY45" s="552"/>
    </row>
    <row r="46" spans="1:51">
      <c r="A46" s="415"/>
      <c r="B46" s="415" t="s">
        <v>22</v>
      </c>
      <c r="C46" s="563">
        <v>38.516359409090974</v>
      </c>
      <c r="D46" s="564">
        <v>3.7695771192652283</v>
      </c>
      <c r="E46" s="564">
        <v>34.746782289825745</v>
      </c>
      <c r="F46" s="564"/>
      <c r="G46" s="565">
        <v>28.720587575354124</v>
      </c>
      <c r="H46" s="564">
        <v>9.7444850702094339</v>
      </c>
      <c r="I46" s="564">
        <v>18.976102505144688</v>
      </c>
      <c r="J46" s="564" t="s">
        <v>452</v>
      </c>
      <c r="K46" s="565">
        <v>6.463386978297736</v>
      </c>
      <c r="L46" s="564">
        <v>0.63256849920756808</v>
      </c>
      <c r="M46" s="564">
        <v>5.8308184790901691</v>
      </c>
      <c r="N46" s="564" t="s">
        <v>452</v>
      </c>
      <c r="O46" s="565">
        <v>4.8195695177719475</v>
      </c>
      <c r="P46">
        <v>577.88400000000001</v>
      </c>
      <c r="Q46" s="568">
        <f t="shared" si="0"/>
        <v>0.11635024846586009</v>
      </c>
      <c r="R46" s="568">
        <v>0.1303</v>
      </c>
      <c r="S46" s="565">
        <f t="shared" si="1"/>
        <v>11.282956496069684</v>
      </c>
      <c r="T46" s="564">
        <v>1.6352110863869107</v>
      </c>
      <c r="U46" s="564">
        <v>3.184358431385037</v>
      </c>
      <c r="V46" s="564" t="s">
        <v>452</v>
      </c>
      <c r="X46" s="490"/>
      <c r="Z46" s="478"/>
      <c r="AA46" s="549"/>
      <c r="AB46" s="550"/>
      <c r="AD46" s="551"/>
      <c r="AE46" s="552"/>
      <c r="AF46" s="552"/>
      <c r="AG46" s="552"/>
      <c r="AH46" s="553"/>
      <c r="AI46" s="551"/>
      <c r="AJ46" s="552"/>
      <c r="AK46" s="554"/>
      <c r="AL46" s="552"/>
      <c r="AM46" s="552"/>
      <c r="AN46" s="331"/>
      <c r="AO46" s="331"/>
      <c r="AP46" s="551"/>
      <c r="AQ46" s="552"/>
      <c r="AR46" s="552"/>
      <c r="AS46" s="552"/>
      <c r="AT46" s="553"/>
      <c r="AU46" s="551"/>
      <c r="AV46" s="552"/>
      <c r="AW46" s="554"/>
      <c r="AX46" s="552"/>
      <c r="AY46" s="552"/>
    </row>
    <row r="47" spans="1:51">
      <c r="C47" s="484"/>
      <c r="D47" s="484"/>
      <c r="E47" s="484"/>
      <c r="F47" s="484"/>
      <c r="G47" s="484"/>
      <c r="H47" s="484"/>
      <c r="I47" s="484"/>
      <c r="J47" s="484"/>
      <c r="K47" s="484"/>
    </row>
    <row r="48" spans="1:51">
      <c r="C48" s="560"/>
      <c r="D48" s="560"/>
      <c r="E48" s="560"/>
      <c r="F48" s="560"/>
      <c r="G48" s="560"/>
      <c r="H48" s="560"/>
      <c r="I48" s="560"/>
      <c r="J48" s="560"/>
      <c r="K48" s="199"/>
      <c r="L48" s="484"/>
    </row>
    <row r="49" spans="3:11">
      <c r="C49" s="561"/>
      <c r="D49" s="561"/>
      <c r="E49" s="561"/>
      <c r="F49" s="561"/>
      <c r="G49" s="484"/>
      <c r="H49" s="484"/>
      <c r="I49" s="484"/>
      <c r="J49" s="484"/>
      <c r="K49" s="484"/>
    </row>
    <row r="50" spans="3:11">
      <c r="C50" s="562"/>
      <c r="D50" s="562"/>
      <c r="E50" s="562"/>
      <c r="F50" s="562"/>
      <c r="G50" s="562"/>
      <c r="H50" s="562"/>
      <c r="I50" s="562"/>
      <c r="J50" s="562"/>
    </row>
    <row r="51" spans="3:11">
      <c r="C51" s="484"/>
    </row>
  </sheetData>
  <mergeCells count="28">
    <mergeCell ref="N6:N7"/>
    <mergeCell ref="T6:T7"/>
    <mergeCell ref="U6:V6"/>
    <mergeCell ref="AV6:AV7"/>
    <mergeCell ref="AX6:AY6"/>
    <mergeCell ref="AD6:AF6"/>
    <mergeCell ref="AG6:AG7"/>
    <mergeCell ref="AJ6:AJ7"/>
    <mergeCell ref="AL6:AM6"/>
    <mergeCell ref="AP6:AR6"/>
    <mergeCell ref="AS6:AS7"/>
    <mergeCell ref="C6:E6"/>
    <mergeCell ref="F6:F7"/>
    <mergeCell ref="H6:H7"/>
    <mergeCell ref="I6:J6"/>
    <mergeCell ref="K6:M6"/>
    <mergeCell ref="B4:J4"/>
    <mergeCell ref="K4:V4"/>
    <mergeCell ref="AC4:AM4"/>
    <mergeCell ref="AO4:AY4"/>
    <mergeCell ref="C5:F5"/>
    <mergeCell ref="G5:J5"/>
    <mergeCell ref="K5:N5"/>
    <mergeCell ref="O5:V5"/>
    <mergeCell ref="AD5:AG5"/>
    <mergeCell ref="AI5:AM5"/>
    <mergeCell ref="AP5:AS5"/>
    <mergeCell ref="AU5:AY5"/>
  </mergeCells>
  <conditionalFormatting sqref="AB9:AB46">
    <cfRule type="colorScale" priority="21">
      <colorScale>
        <cfvo type="min"/>
        <cfvo type="percentile" val="50"/>
        <cfvo type="max"/>
        <color rgb="FFF8696B"/>
        <color rgb="FFFCFCFF"/>
        <color rgb="FF5A8AC6"/>
      </colorScale>
    </cfRule>
  </conditionalFormatting>
  <pageMargins left="0.7" right="0.7" top="0.75" bottom="0.75" header="0.3" footer="0.3"/>
  <pageSetup scale="42"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6A1E-F84A-4FCE-B2C5-FB0203AD1120}">
  <dimension ref="A7:AR267"/>
  <sheetViews>
    <sheetView topLeftCell="E9" zoomScale="110" workbookViewId="0">
      <selection activeCell="I37" sqref="I37"/>
    </sheetView>
  </sheetViews>
  <sheetFormatPr defaultColWidth="8.7265625" defaultRowHeight="12.5"/>
  <cols>
    <col min="1" max="2" width="8.7265625" style="33"/>
    <col min="3" max="3" width="15.90625" style="33" customWidth="1"/>
    <col min="4" max="4" width="19.54296875" style="33" customWidth="1"/>
    <col min="5" max="5" width="26.6328125" style="33" customWidth="1"/>
    <col min="6" max="44" width="8.7265625" style="33"/>
  </cols>
  <sheetData>
    <row r="7" spans="2:7" ht="13">
      <c r="B7" s="528" t="s">
        <v>1680</v>
      </c>
    </row>
    <row r="8" spans="2:7" ht="14.5">
      <c r="B8" s="529" t="s">
        <v>1681</v>
      </c>
      <c r="C8" s="143" t="s">
        <v>818</v>
      </c>
      <c r="D8" s="143" t="s">
        <v>821</v>
      </c>
      <c r="E8" s="143" t="s">
        <v>1682</v>
      </c>
      <c r="F8" s="530"/>
      <c r="G8" s="531"/>
    </row>
    <row r="9" spans="2:7">
      <c r="B9" s="532" t="s">
        <v>1683</v>
      </c>
      <c r="C9" s="479" t="s">
        <v>19</v>
      </c>
      <c r="D9" s="479">
        <v>3.412660153565414</v>
      </c>
      <c r="E9" s="479">
        <v>15.633846892182691</v>
      </c>
      <c r="G9" s="533"/>
    </row>
    <row r="10" spans="2:7">
      <c r="B10" s="532" t="s">
        <v>1684</v>
      </c>
      <c r="C10" s="479" t="s">
        <v>21</v>
      </c>
      <c r="D10" s="479">
        <v>4.1538214254109116</v>
      </c>
      <c r="E10" s="479">
        <v>5.2514737537682885</v>
      </c>
      <c r="G10" s="533"/>
    </row>
    <row r="11" spans="2:7">
      <c r="B11" s="532" t="s">
        <v>1685</v>
      </c>
      <c r="C11" s="479" t="s">
        <v>20</v>
      </c>
      <c r="D11" s="479">
        <v>4.7843243517875598</v>
      </c>
      <c r="E11" s="479">
        <v>7.3670127186817282</v>
      </c>
      <c r="G11" s="533"/>
    </row>
    <row r="12" spans="2:7">
      <c r="B12" s="534" t="s">
        <v>1686</v>
      </c>
      <c r="C12" s="33" t="s">
        <v>1023</v>
      </c>
      <c r="D12" s="331">
        <v>6.047351260148055</v>
      </c>
      <c r="E12" s="331">
        <v>5.7474826026200523</v>
      </c>
      <c r="G12" s="533"/>
    </row>
    <row r="13" spans="2:7">
      <c r="B13" s="532" t="s">
        <v>1687</v>
      </c>
      <c r="C13" s="479" t="s">
        <v>6</v>
      </c>
      <c r="D13" s="479">
        <v>6.3988747084813387</v>
      </c>
      <c r="E13" s="479">
        <v>10.133706995889202</v>
      </c>
      <c r="G13" s="533"/>
    </row>
    <row r="14" spans="2:7">
      <c r="B14" s="532" t="s">
        <v>1688</v>
      </c>
      <c r="C14" s="479" t="s">
        <v>36</v>
      </c>
      <c r="D14" s="479">
        <v>7.4022943167997886</v>
      </c>
      <c r="E14" s="479">
        <v>4.5196068763764252</v>
      </c>
      <c r="G14" s="533"/>
    </row>
    <row r="15" spans="2:7">
      <c r="B15" s="532" t="s">
        <v>1689</v>
      </c>
      <c r="C15" s="479" t="s">
        <v>558</v>
      </c>
      <c r="D15" s="479">
        <v>7.9111095244692748</v>
      </c>
      <c r="E15" s="479">
        <v>6.2155277269910725</v>
      </c>
      <c r="G15" s="533"/>
    </row>
    <row r="16" spans="2:7">
      <c r="B16" s="532" t="s">
        <v>1690</v>
      </c>
      <c r="C16" s="479" t="s">
        <v>547</v>
      </c>
      <c r="D16" s="479">
        <v>8.1786083953747628</v>
      </c>
      <c r="E16" s="479">
        <v>11.880038211167678</v>
      </c>
      <c r="G16" s="533"/>
    </row>
    <row r="17" spans="2:8">
      <c r="B17" s="534" t="s">
        <v>1691</v>
      </c>
      <c r="C17" s="33" t="s">
        <v>32</v>
      </c>
      <c r="D17" s="331">
        <v>8.3916545151825215</v>
      </c>
      <c r="E17" s="331">
        <v>14.371343413420227</v>
      </c>
      <c r="G17" s="533"/>
    </row>
    <row r="18" spans="2:8">
      <c r="B18" s="534" t="s">
        <v>1692</v>
      </c>
      <c r="C18" s="33" t="s">
        <v>541</v>
      </c>
      <c r="D18" s="331">
        <v>9.1911264362891103</v>
      </c>
      <c r="E18" s="331">
        <v>15.476002537832619</v>
      </c>
      <c r="G18" s="533"/>
    </row>
    <row r="19" spans="2:8">
      <c r="B19" s="534" t="s">
        <v>1693</v>
      </c>
      <c r="C19" s="33" t="s">
        <v>2</v>
      </c>
      <c r="D19" s="331">
        <v>9.6358441242628725</v>
      </c>
      <c r="E19" s="331">
        <v>15.211519588685375</v>
      </c>
      <c r="G19" s="533"/>
    </row>
    <row r="20" spans="2:8">
      <c r="B20" s="534" t="s">
        <v>1694</v>
      </c>
      <c r="C20" s="33" t="s">
        <v>184</v>
      </c>
      <c r="D20" s="331">
        <v>10.2862785044276</v>
      </c>
      <c r="E20" s="331">
        <v>4.3494834988345135</v>
      </c>
      <c r="G20" s="533"/>
    </row>
    <row r="21" spans="2:8">
      <c r="B21" s="534" t="s">
        <v>1695</v>
      </c>
      <c r="C21" s="33" t="s">
        <v>4</v>
      </c>
      <c r="D21" s="331">
        <v>10.898555638640223</v>
      </c>
      <c r="E21" s="331">
        <v>35.253800114434831</v>
      </c>
      <c r="G21" s="533"/>
    </row>
    <row r="22" spans="2:8">
      <c r="B22" s="534" t="s">
        <v>820</v>
      </c>
      <c r="C22" s="33" t="s">
        <v>820</v>
      </c>
      <c r="D22" s="331">
        <v>11.689682936652421</v>
      </c>
      <c r="E22" s="331">
        <v>11.383563231643752</v>
      </c>
      <c r="G22" s="533"/>
      <c r="H22" s="479"/>
    </row>
    <row r="23" spans="2:8">
      <c r="B23" s="534" t="s">
        <v>1696</v>
      </c>
      <c r="C23" s="33" t="s">
        <v>3</v>
      </c>
      <c r="D23" s="331">
        <v>15.322666856715248</v>
      </c>
      <c r="E23" s="331">
        <v>27.786270524971673</v>
      </c>
      <c r="G23" s="533"/>
    </row>
    <row r="24" spans="2:8">
      <c r="B24" s="534" t="s">
        <v>1697</v>
      </c>
      <c r="C24" s="535" t="s">
        <v>1</v>
      </c>
      <c r="D24" s="479">
        <v>15.923588544631171</v>
      </c>
      <c r="E24" s="331">
        <v>3.9502835723081042</v>
      </c>
      <c r="G24" s="533"/>
    </row>
    <row r="25" spans="2:8">
      <c r="B25" s="534" t="s">
        <v>1698</v>
      </c>
      <c r="C25" s="33" t="s">
        <v>5</v>
      </c>
      <c r="D25" s="331">
        <v>16.725807215115971</v>
      </c>
      <c r="E25" s="331">
        <v>28.328059722826829</v>
      </c>
      <c r="G25" s="533"/>
    </row>
    <row r="26" spans="2:8">
      <c r="B26" s="534" t="s">
        <v>1699</v>
      </c>
      <c r="C26" s="33" t="s">
        <v>0</v>
      </c>
      <c r="D26" s="479">
        <v>18.370673152863606</v>
      </c>
      <c r="E26" s="331">
        <v>1.7776432412226326</v>
      </c>
      <c r="G26" s="533"/>
    </row>
    <row r="27" spans="2:8">
      <c r="B27" s="534" t="s">
        <v>1700</v>
      </c>
      <c r="C27" s="33" t="s">
        <v>31</v>
      </c>
      <c r="D27" s="331">
        <v>18.39709108521307</v>
      </c>
      <c r="E27" s="331">
        <v>4.6898725825572125</v>
      </c>
      <c r="G27" s="533"/>
    </row>
    <row r="28" spans="2:8">
      <c r="B28" s="534" t="s">
        <v>1701</v>
      </c>
      <c r="C28" s="33" t="s">
        <v>7</v>
      </c>
      <c r="D28" s="331">
        <v>19.27047748644793</v>
      </c>
      <c r="E28" s="331">
        <v>16.715126946045977</v>
      </c>
      <c r="G28" s="533"/>
    </row>
    <row r="29" spans="2:8">
      <c r="B29" s="534" t="s">
        <v>1702</v>
      </c>
      <c r="C29" s="33" t="s">
        <v>553</v>
      </c>
      <c r="D29" s="331">
        <v>19.27864943902545</v>
      </c>
      <c r="E29" s="331">
        <v>1.9558050155533067</v>
      </c>
      <c r="G29" s="533"/>
    </row>
    <row r="30" spans="2:8">
      <c r="B30" s="536" t="s">
        <v>1703</v>
      </c>
      <c r="C30" s="2" t="s">
        <v>8</v>
      </c>
      <c r="D30" s="537">
        <v>25.501884534848941</v>
      </c>
      <c r="E30" s="537">
        <v>2.4409213281483697</v>
      </c>
      <c r="F30" s="2"/>
      <c r="G30" s="538"/>
    </row>
    <row r="32" spans="2:8" ht="13">
      <c r="B32" s="528" t="s">
        <v>1704</v>
      </c>
    </row>
    <row r="33" spans="2:6">
      <c r="B33" s="529" t="s">
        <v>1681</v>
      </c>
      <c r="C33" s="143" t="s">
        <v>818</v>
      </c>
      <c r="D33" s="143" t="s">
        <v>821</v>
      </c>
      <c r="E33" s="143" t="s">
        <v>1682</v>
      </c>
      <c r="F33" s="539"/>
    </row>
    <row r="34" spans="2:6">
      <c r="B34" s="534" t="s">
        <v>1705</v>
      </c>
      <c r="C34" s="33" t="s">
        <v>14</v>
      </c>
      <c r="D34" s="479">
        <v>0.65442396745349374</v>
      </c>
      <c r="E34" s="479">
        <v>1.1974658424331148</v>
      </c>
      <c r="F34" s="533"/>
    </row>
    <row r="35" spans="2:6">
      <c r="B35" s="534" t="s">
        <v>1706</v>
      </c>
      <c r="C35" s="33" t="s">
        <v>23</v>
      </c>
      <c r="D35" s="479">
        <v>1.5680273855370135</v>
      </c>
      <c r="E35" s="479">
        <v>0.12734274711168164</v>
      </c>
      <c r="F35" s="533"/>
    </row>
    <row r="36" spans="2:6">
      <c r="B36" s="534" t="s">
        <v>1707</v>
      </c>
      <c r="C36" s="33" t="s">
        <v>554</v>
      </c>
      <c r="D36" s="479">
        <v>1.9924764282578782</v>
      </c>
      <c r="E36" s="479"/>
      <c r="F36" s="533"/>
    </row>
    <row r="37" spans="2:6">
      <c r="B37" s="534" t="s">
        <v>1708</v>
      </c>
      <c r="C37" s="33" t="s">
        <v>41</v>
      </c>
      <c r="D37" s="479">
        <v>2.2512745821149296</v>
      </c>
      <c r="E37" s="479">
        <v>1.6169375451654189</v>
      </c>
      <c r="F37" s="533"/>
    </row>
    <row r="38" spans="2:6">
      <c r="B38" s="534" t="s">
        <v>1709</v>
      </c>
      <c r="C38" s="33" t="s">
        <v>56</v>
      </c>
      <c r="D38" s="479">
        <v>2.4280205714042915</v>
      </c>
      <c r="E38" s="479"/>
      <c r="F38" s="533"/>
    </row>
    <row r="39" spans="2:6">
      <c r="B39" s="534" t="s">
        <v>1710</v>
      </c>
      <c r="C39" s="33" t="s">
        <v>16</v>
      </c>
      <c r="D39" s="479">
        <v>2.5748045471962433</v>
      </c>
      <c r="E39" s="479">
        <v>0.97888278462693656</v>
      </c>
      <c r="F39" s="533"/>
    </row>
    <row r="40" spans="2:6">
      <c r="B40" s="534" t="s">
        <v>1711</v>
      </c>
      <c r="C40" s="33" t="s">
        <v>30</v>
      </c>
      <c r="D40" s="479">
        <v>2.7063675838678867</v>
      </c>
      <c r="E40" s="479">
        <v>0.81599022629182516</v>
      </c>
      <c r="F40" s="533"/>
    </row>
    <row r="41" spans="2:6">
      <c r="B41" s="534" t="s">
        <v>1712</v>
      </c>
      <c r="C41" s="33" t="s">
        <v>557</v>
      </c>
      <c r="D41" s="479">
        <v>3.4105481432975906</v>
      </c>
      <c r="E41" s="479">
        <v>4.1779214755395486</v>
      </c>
      <c r="F41" s="533"/>
    </row>
    <row r="42" spans="2:6">
      <c r="B42" s="534" t="s">
        <v>1713</v>
      </c>
      <c r="C42" s="33" t="s">
        <v>18</v>
      </c>
      <c r="D42" s="479">
        <v>3.5051335544057456</v>
      </c>
      <c r="E42" s="479">
        <v>9.6336683671683065</v>
      </c>
      <c r="F42" s="533"/>
    </row>
    <row r="43" spans="2:6">
      <c r="B43" s="534" t="s">
        <v>1714</v>
      </c>
      <c r="C43" s="33" t="s">
        <v>1054</v>
      </c>
      <c r="D43" s="479">
        <v>3.6</v>
      </c>
      <c r="E43" s="479"/>
      <c r="F43" s="533"/>
    </row>
    <row r="44" spans="2:6">
      <c r="B44" s="534" t="s">
        <v>1715</v>
      </c>
      <c r="C44" s="33" t="s">
        <v>12</v>
      </c>
      <c r="D44" s="479">
        <v>4.0942849748831005</v>
      </c>
      <c r="E44" s="479">
        <v>6.2246558359377007</v>
      </c>
      <c r="F44" s="533"/>
    </row>
    <row r="45" spans="2:6">
      <c r="B45" s="534" t="s">
        <v>1716</v>
      </c>
      <c r="C45" s="33" t="s">
        <v>556</v>
      </c>
      <c r="D45" s="479">
        <v>4.4540862311094349</v>
      </c>
      <c r="E45" s="479">
        <v>0.58533048093428119</v>
      </c>
      <c r="F45" s="533"/>
    </row>
    <row r="46" spans="2:6">
      <c r="B46" s="534" t="s">
        <v>1717</v>
      </c>
      <c r="C46" s="33" t="s">
        <v>34</v>
      </c>
      <c r="D46" s="479">
        <v>4.6169047873067024</v>
      </c>
      <c r="E46" s="479">
        <v>5.3832647172315324</v>
      </c>
      <c r="F46" s="533"/>
    </row>
    <row r="47" spans="2:6">
      <c r="B47" s="534" t="s">
        <v>1718</v>
      </c>
      <c r="C47" s="33" t="s">
        <v>11</v>
      </c>
      <c r="D47" s="479">
        <v>4.7801156546253365</v>
      </c>
      <c r="E47" s="479">
        <v>1.296401676315599</v>
      </c>
      <c r="F47" s="533"/>
    </row>
    <row r="48" spans="2:6">
      <c r="B48" s="534" t="s">
        <v>1719</v>
      </c>
      <c r="C48" s="33" t="s">
        <v>963</v>
      </c>
      <c r="D48" s="479">
        <v>4.9999322298342346</v>
      </c>
      <c r="E48" s="479">
        <v>3.0150193747373906</v>
      </c>
      <c r="F48" s="533"/>
    </row>
    <row r="49" spans="2:6">
      <c r="B49" s="534" t="s">
        <v>1720</v>
      </c>
      <c r="C49" s="33" t="s">
        <v>15</v>
      </c>
      <c r="D49" s="479">
        <v>5.0052604782800296</v>
      </c>
      <c r="E49" s="479">
        <v>1.464931484771163</v>
      </c>
      <c r="F49" s="533"/>
    </row>
    <row r="50" spans="2:6">
      <c r="B50" s="534" t="s">
        <v>1721</v>
      </c>
      <c r="C50" s="33" t="s">
        <v>17</v>
      </c>
      <c r="D50" s="479">
        <v>5.2761463161134641</v>
      </c>
      <c r="E50" s="479">
        <v>4.0820635535067034</v>
      </c>
      <c r="F50" s="533"/>
    </row>
    <row r="51" spans="2:6">
      <c r="B51" s="534" t="s">
        <v>1722</v>
      </c>
      <c r="C51" s="33" t="s">
        <v>27</v>
      </c>
      <c r="D51" s="479">
        <v>5.2881375195675631</v>
      </c>
      <c r="E51" s="479">
        <v>3.8969661376660198</v>
      </c>
      <c r="F51" s="533"/>
    </row>
    <row r="52" spans="2:6">
      <c r="B52" s="534" t="s">
        <v>1723</v>
      </c>
      <c r="C52" s="33" t="s">
        <v>9</v>
      </c>
      <c r="D52" s="479">
        <v>5.3494285646507498</v>
      </c>
      <c r="E52" s="479">
        <v>2.5591817628180888</v>
      </c>
      <c r="F52" s="533"/>
    </row>
    <row r="53" spans="2:6">
      <c r="B53" s="534" t="s">
        <v>1724</v>
      </c>
      <c r="C53" s="33" t="s">
        <v>35</v>
      </c>
      <c r="D53" s="479">
        <v>5.4981978129390923</v>
      </c>
      <c r="E53" s="479">
        <v>2.8523315300149559</v>
      </c>
      <c r="F53" s="533"/>
    </row>
    <row r="54" spans="2:6">
      <c r="B54" s="534" t="s">
        <v>1725</v>
      </c>
      <c r="C54" s="33" t="s">
        <v>1725</v>
      </c>
      <c r="D54" s="479">
        <v>5.6698092972075358</v>
      </c>
      <c r="E54" s="479">
        <v>4.2361312566225386</v>
      </c>
      <c r="F54" s="533"/>
    </row>
    <row r="55" spans="2:6">
      <c r="B55" s="534" t="s">
        <v>1726</v>
      </c>
      <c r="C55" s="33" t="s">
        <v>22</v>
      </c>
      <c r="D55" s="479">
        <v>6.463386978297736</v>
      </c>
      <c r="E55" s="479">
        <v>4.8195695177719475</v>
      </c>
      <c r="F55" s="533"/>
    </row>
    <row r="56" spans="2:6">
      <c r="B56" s="534" t="s">
        <v>1727</v>
      </c>
      <c r="C56" s="33" t="s">
        <v>549</v>
      </c>
      <c r="D56" s="479">
        <v>7.1244589204446775</v>
      </c>
      <c r="E56" s="479">
        <v>0</v>
      </c>
      <c r="F56" s="533"/>
    </row>
    <row r="57" spans="2:6">
      <c r="B57" s="534" t="s">
        <v>1728</v>
      </c>
      <c r="C57" s="33" t="s">
        <v>92</v>
      </c>
      <c r="D57" s="479">
        <v>9.1999999999999993</v>
      </c>
      <c r="E57" s="479">
        <v>37.268193384223913</v>
      </c>
      <c r="F57" s="533"/>
    </row>
    <row r="58" spans="2:6">
      <c r="B58" s="534" t="s">
        <v>1729</v>
      </c>
      <c r="C58" s="33" t="s">
        <v>10</v>
      </c>
      <c r="D58" s="479">
        <v>9.2362126130761357</v>
      </c>
      <c r="E58" s="479">
        <v>6.1507617357903435</v>
      </c>
      <c r="F58" s="533"/>
    </row>
    <row r="59" spans="2:6">
      <c r="B59" s="534" t="s">
        <v>1730</v>
      </c>
      <c r="C59" s="33" t="s">
        <v>13</v>
      </c>
      <c r="D59" s="479">
        <v>9.3296348167315557</v>
      </c>
      <c r="E59" s="479">
        <v>0.87565550573371964</v>
      </c>
      <c r="F59" s="533"/>
    </row>
    <row r="60" spans="2:6">
      <c r="B60" s="534" t="s">
        <v>1731</v>
      </c>
      <c r="C60" s="33" t="s">
        <v>555</v>
      </c>
      <c r="D60" s="479">
        <v>9.5938667869694285</v>
      </c>
      <c r="E60" s="479">
        <v>9.6353601006978682</v>
      </c>
      <c r="F60" s="533"/>
    </row>
    <row r="61" spans="2:6">
      <c r="B61" s="534" t="s">
        <v>1732</v>
      </c>
      <c r="C61" s="33" t="s">
        <v>953</v>
      </c>
      <c r="D61" s="479">
        <v>12.153288105042478</v>
      </c>
      <c r="E61" s="479">
        <v>3.203050328889208</v>
      </c>
      <c r="F61" s="533"/>
    </row>
    <row r="62" spans="2:6">
      <c r="B62" s="534" t="s">
        <v>1733</v>
      </c>
      <c r="C62" s="33" t="s">
        <v>42</v>
      </c>
      <c r="D62" s="479">
        <v>12.682470249573225</v>
      </c>
      <c r="E62" s="479">
        <v>2.4993918327164151</v>
      </c>
      <c r="F62" s="533"/>
    </row>
    <row r="63" spans="2:6">
      <c r="B63" s="536" t="s">
        <v>1734</v>
      </c>
      <c r="C63" s="2" t="s">
        <v>559</v>
      </c>
      <c r="D63" s="540">
        <v>14.587579816038515</v>
      </c>
      <c r="E63" s="540">
        <v>4.2361312566225386</v>
      </c>
      <c r="F63" s="538"/>
    </row>
    <row r="65" spans="2:12" ht="13">
      <c r="B65" s="528" t="s">
        <v>1735</v>
      </c>
    </row>
    <row r="66" spans="2:12">
      <c r="B66" s="529" t="s">
        <v>1681</v>
      </c>
      <c r="C66" s="143" t="s">
        <v>818</v>
      </c>
      <c r="D66" s="143" t="s">
        <v>821</v>
      </c>
      <c r="E66" s="539" t="s">
        <v>1682</v>
      </c>
    </row>
    <row r="67" spans="2:12">
      <c r="B67" s="534" t="s">
        <v>1736</v>
      </c>
      <c r="C67" s="33" t="s">
        <v>912</v>
      </c>
      <c r="D67" s="479">
        <v>0.72281351560912455</v>
      </c>
      <c r="E67" s="541">
        <v>0.26062987341675165</v>
      </c>
    </row>
    <row r="68" spans="2:12">
      <c r="B68" s="534" t="s">
        <v>1737</v>
      </c>
      <c r="C68" s="33" t="s">
        <v>915</v>
      </c>
      <c r="D68" s="479">
        <v>0.73950497267868009</v>
      </c>
      <c r="E68" s="541">
        <v>1.2643271887137633</v>
      </c>
    </row>
    <row r="69" spans="2:12">
      <c r="B69" s="534" t="s">
        <v>1738</v>
      </c>
      <c r="C69" s="33" t="s">
        <v>33</v>
      </c>
      <c r="D69" s="479">
        <v>1.7703277371912942</v>
      </c>
      <c r="E69" s="541">
        <v>0.95527150819157258</v>
      </c>
    </row>
    <row r="70" spans="2:12">
      <c r="B70" s="534" t="s">
        <v>1739</v>
      </c>
      <c r="C70" s="33" t="s">
        <v>916</v>
      </c>
      <c r="D70" s="479">
        <v>2.0034076510126715</v>
      </c>
      <c r="E70" s="541">
        <v>0.25395308252273302</v>
      </c>
    </row>
    <row r="71" spans="2:12">
      <c r="B71" s="534" t="s">
        <v>1740</v>
      </c>
      <c r="C71" s="33" t="s">
        <v>37</v>
      </c>
      <c r="D71" s="479">
        <v>2.3031524031183657</v>
      </c>
      <c r="E71" s="541">
        <v>7.3010489709098458E-2</v>
      </c>
    </row>
    <row r="72" spans="2:12">
      <c r="B72" s="534" t="s">
        <v>1741</v>
      </c>
      <c r="C72" s="33" t="s">
        <v>29</v>
      </c>
      <c r="D72" s="479">
        <v>2.3707909284496753</v>
      </c>
      <c r="E72" s="541"/>
    </row>
    <row r="73" spans="2:12">
      <c r="B73" s="534" t="s">
        <v>1742</v>
      </c>
      <c r="C73" s="33" t="s">
        <v>552</v>
      </c>
      <c r="D73" s="479">
        <v>2.4514108377373729</v>
      </c>
      <c r="E73" s="541"/>
    </row>
    <row r="74" spans="2:12" ht="13">
      <c r="B74" s="534" t="s">
        <v>1743</v>
      </c>
      <c r="C74" s="33" t="s">
        <v>548</v>
      </c>
      <c r="D74" s="479">
        <v>2.5012230728926022</v>
      </c>
      <c r="E74" s="541">
        <v>0.62234223377659526</v>
      </c>
      <c r="L74" s="542"/>
    </row>
    <row r="75" spans="2:12" ht="13">
      <c r="B75" s="534" t="s">
        <v>819</v>
      </c>
      <c r="C75" s="33" t="s">
        <v>819</v>
      </c>
      <c r="D75" s="479">
        <v>3.1979067729239525</v>
      </c>
      <c r="E75" s="541">
        <v>0.85001052979939085</v>
      </c>
      <c r="L75" s="542"/>
    </row>
    <row r="76" spans="2:12" ht="13">
      <c r="B76" s="534" t="s">
        <v>1744</v>
      </c>
      <c r="C76" s="33" t="s">
        <v>550</v>
      </c>
      <c r="D76" s="479">
        <v>3.2595714054750369</v>
      </c>
      <c r="E76" s="541">
        <v>0.31291885492560356</v>
      </c>
      <c r="L76" s="542"/>
    </row>
    <row r="77" spans="2:12" ht="13">
      <c r="B77" s="534" t="s">
        <v>1745</v>
      </c>
      <c r="C77" s="33" t="s">
        <v>38</v>
      </c>
      <c r="D77" s="479">
        <v>3.4</v>
      </c>
      <c r="E77" s="541">
        <v>1.173741782953889</v>
      </c>
      <c r="L77" s="542"/>
    </row>
    <row r="78" spans="2:12" ht="13">
      <c r="B78" s="534" t="s">
        <v>1746</v>
      </c>
      <c r="C78" s="33" t="s">
        <v>1095</v>
      </c>
      <c r="D78" s="479">
        <v>5.2826581188893638</v>
      </c>
      <c r="E78" s="541">
        <v>0</v>
      </c>
      <c r="L78" s="542"/>
    </row>
    <row r="79" spans="2:12" ht="13">
      <c r="B79" s="534" t="s">
        <v>1747</v>
      </c>
      <c r="C79" s="33" t="s">
        <v>93</v>
      </c>
      <c r="D79" s="479">
        <v>5.6043392101381073</v>
      </c>
      <c r="E79" s="541">
        <v>1.4098966566385176</v>
      </c>
      <c r="L79" s="542"/>
    </row>
    <row r="80" spans="2:12" ht="13">
      <c r="B80" s="534" t="s">
        <v>1748</v>
      </c>
      <c r="C80" s="33" t="s">
        <v>913</v>
      </c>
      <c r="D80" s="479">
        <v>5.6592682383610757</v>
      </c>
      <c r="E80" s="541">
        <v>2.0537666994052293</v>
      </c>
      <c r="L80" s="542"/>
    </row>
    <row r="81" spans="2:12" ht="13">
      <c r="B81" s="536" t="s">
        <v>1749</v>
      </c>
      <c r="C81" s="2" t="s">
        <v>566</v>
      </c>
      <c r="D81" s="540">
        <v>6.702226729381966</v>
      </c>
      <c r="E81" s="543">
        <v>1.8202679873389367</v>
      </c>
      <c r="L81" s="542"/>
    </row>
    <row r="82" spans="2:12" ht="13">
      <c r="L82" s="542"/>
    </row>
    <row r="83" spans="2:12" ht="13">
      <c r="L83" s="542"/>
    </row>
    <row r="84" spans="2:12" ht="13">
      <c r="D84" s="479"/>
      <c r="E84" s="479"/>
      <c r="L84" s="542"/>
    </row>
    <row r="85" spans="2:12" ht="13">
      <c r="L85" s="542"/>
    </row>
    <row r="86" spans="2:12" ht="13">
      <c r="L86" s="542"/>
    </row>
    <row r="87" spans="2:12" ht="13">
      <c r="L87" s="542"/>
    </row>
    <row r="88" spans="2:12" ht="13">
      <c r="L88" s="542"/>
    </row>
    <row r="89" spans="2:12" ht="13">
      <c r="L89" s="542"/>
    </row>
    <row r="90" spans="2:12" ht="13">
      <c r="L90" s="542"/>
    </row>
    <row r="91" spans="2:12" ht="13">
      <c r="L91" s="542"/>
    </row>
    <row r="92" spans="2:12" ht="13">
      <c r="L92" s="542"/>
    </row>
    <row r="93" spans="2:12" ht="13">
      <c r="L93" s="542"/>
    </row>
    <row r="94" spans="2:12" ht="13">
      <c r="L94" s="542"/>
    </row>
    <row r="95" spans="2:12" ht="13">
      <c r="L95" s="542"/>
    </row>
    <row r="96" spans="2:12" ht="13">
      <c r="L96" s="542"/>
    </row>
    <row r="97" spans="12:12" ht="13">
      <c r="L97" s="542"/>
    </row>
    <row r="98" spans="12:12" ht="13">
      <c r="L98" s="542"/>
    </row>
    <row r="99" spans="12:12" ht="13">
      <c r="L99" s="542"/>
    </row>
    <row r="100" spans="12:12" ht="13">
      <c r="L100" s="542"/>
    </row>
    <row r="101" spans="12:12" ht="13">
      <c r="L101" s="542"/>
    </row>
    <row r="102" spans="12:12" ht="13">
      <c r="L102" s="542"/>
    </row>
    <row r="103" spans="12:12" ht="13">
      <c r="L103" s="542"/>
    </row>
    <row r="104" spans="12:12" ht="13">
      <c r="L104" s="542"/>
    </row>
    <row r="105" spans="12:12" ht="13">
      <c r="L105" s="542"/>
    </row>
    <row r="106" spans="12:12" ht="13">
      <c r="L106" s="542"/>
    </row>
    <row r="107" spans="12:12" ht="13">
      <c r="L107" s="542"/>
    </row>
    <row r="108" spans="12:12" ht="13">
      <c r="L108" s="542"/>
    </row>
    <row r="109" spans="12:12" ht="13">
      <c r="L109" s="542"/>
    </row>
    <row r="110" spans="12:12" ht="13">
      <c r="L110" s="542"/>
    </row>
    <row r="111" spans="12:12" ht="13">
      <c r="L111" s="542"/>
    </row>
    <row r="112" spans="12:12" ht="13">
      <c r="L112" s="542"/>
    </row>
    <row r="113" spans="12:12" ht="13">
      <c r="L113" s="542"/>
    </row>
    <row r="114" spans="12:12" ht="13">
      <c r="L114" s="542"/>
    </row>
    <row r="115" spans="12:12" ht="13">
      <c r="L115" s="542"/>
    </row>
    <row r="116" spans="12:12" ht="13">
      <c r="L116" s="542"/>
    </row>
    <row r="117" spans="12:12" ht="13">
      <c r="L117" s="542"/>
    </row>
    <row r="118" spans="12:12" ht="13">
      <c r="L118" s="542"/>
    </row>
    <row r="119" spans="12:12" ht="13">
      <c r="L119" s="542"/>
    </row>
    <row r="120" spans="12:12" ht="13">
      <c r="L120" s="542"/>
    </row>
    <row r="121" spans="12:12" ht="13">
      <c r="L121" s="542"/>
    </row>
    <row r="122" spans="12:12" ht="13">
      <c r="L122" s="542"/>
    </row>
    <row r="123" spans="12:12" ht="13">
      <c r="L123" s="542"/>
    </row>
    <row r="124" spans="12:12" ht="13">
      <c r="L124" s="542"/>
    </row>
    <row r="125" spans="12:12" ht="13">
      <c r="L125" s="542"/>
    </row>
    <row r="126" spans="12:12" ht="13">
      <c r="L126" s="542"/>
    </row>
    <row r="127" spans="12:12" ht="13">
      <c r="L127" s="542"/>
    </row>
    <row r="128" spans="12:12" ht="13">
      <c r="L128" s="542"/>
    </row>
    <row r="129" spans="12:12" ht="13">
      <c r="L129" s="542"/>
    </row>
    <row r="130" spans="12:12" ht="13">
      <c r="L130" s="542"/>
    </row>
    <row r="131" spans="12:12" ht="13">
      <c r="L131" s="542"/>
    </row>
    <row r="132" spans="12:12" ht="13">
      <c r="L132" s="542"/>
    </row>
    <row r="133" spans="12:12" ht="13">
      <c r="L133" s="542"/>
    </row>
    <row r="134" spans="12:12" ht="13">
      <c r="L134" s="542"/>
    </row>
    <row r="135" spans="12:12" ht="13">
      <c r="L135" s="542"/>
    </row>
    <row r="136" spans="12:12" ht="13">
      <c r="L136" s="542"/>
    </row>
    <row r="137" spans="12:12" ht="13">
      <c r="L137" s="542"/>
    </row>
    <row r="138" spans="12:12" ht="13">
      <c r="L138" s="542"/>
    </row>
    <row r="139" spans="12:12" ht="13">
      <c r="L139" s="542"/>
    </row>
    <row r="140" spans="12:12" ht="13">
      <c r="L140" s="542"/>
    </row>
    <row r="141" spans="12:12" ht="13">
      <c r="L141" s="542"/>
    </row>
    <row r="142" spans="12:12" ht="13">
      <c r="L142" s="542"/>
    </row>
    <row r="143" spans="12:12" ht="13">
      <c r="L143" s="542"/>
    </row>
    <row r="144" spans="12:12" ht="13">
      <c r="L144" s="542"/>
    </row>
    <row r="145" spans="12:12" ht="13">
      <c r="L145" s="542"/>
    </row>
    <row r="146" spans="12:12" ht="13">
      <c r="L146" s="542"/>
    </row>
    <row r="147" spans="12:12" ht="13">
      <c r="L147" s="542"/>
    </row>
    <row r="148" spans="12:12" ht="13">
      <c r="L148" s="542"/>
    </row>
    <row r="149" spans="12:12" ht="13">
      <c r="L149" s="542"/>
    </row>
    <row r="150" spans="12:12" ht="13">
      <c r="L150" s="542"/>
    </row>
    <row r="151" spans="12:12" ht="13">
      <c r="L151" s="542"/>
    </row>
    <row r="152" spans="12:12" ht="13">
      <c r="L152" s="542"/>
    </row>
    <row r="153" spans="12:12" ht="13">
      <c r="L153" s="542"/>
    </row>
    <row r="154" spans="12:12" ht="13">
      <c r="L154" s="542"/>
    </row>
    <row r="155" spans="12:12" ht="13">
      <c r="L155" s="542"/>
    </row>
    <row r="156" spans="12:12" ht="13">
      <c r="L156" s="542"/>
    </row>
    <row r="157" spans="12:12" ht="13">
      <c r="L157" s="542"/>
    </row>
    <row r="158" spans="12:12" ht="13">
      <c r="L158" s="542"/>
    </row>
    <row r="159" spans="12:12" ht="13">
      <c r="L159" s="542"/>
    </row>
    <row r="160" spans="12:12" ht="13">
      <c r="L160" s="542"/>
    </row>
    <row r="161" spans="12:12" ht="13">
      <c r="L161" s="542"/>
    </row>
    <row r="162" spans="12:12" ht="13">
      <c r="L162" s="542"/>
    </row>
    <row r="163" spans="12:12" ht="13">
      <c r="L163" s="542"/>
    </row>
    <row r="164" spans="12:12" ht="13">
      <c r="L164" s="542"/>
    </row>
    <row r="165" spans="12:12" ht="13">
      <c r="L165" s="542"/>
    </row>
    <row r="166" spans="12:12" ht="13">
      <c r="L166" s="542"/>
    </row>
    <row r="167" spans="12:12" ht="13">
      <c r="L167" s="542"/>
    </row>
    <row r="168" spans="12:12" ht="13">
      <c r="L168" s="542"/>
    </row>
    <row r="169" spans="12:12" ht="13">
      <c r="L169" s="542"/>
    </row>
    <row r="170" spans="12:12" ht="13">
      <c r="L170" s="542"/>
    </row>
    <row r="171" spans="12:12" ht="13">
      <c r="L171" s="542"/>
    </row>
    <row r="172" spans="12:12" ht="13">
      <c r="L172" s="542"/>
    </row>
    <row r="173" spans="12:12" ht="13">
      <c r="L173" s="542"/>
    </row>
    <row r="174" spans="12:12" ht="13">
      <c r="L174" s="542"/>
    </row>
    <row r="175" spans="12:12" ht="13">
      <c r="L175" s="542"/>
    </row>
    <row r="176" spans="12:12" ht="13">
      <c r="L176" s="542"/>
    </row>
    <row r="177" spans="12:12" ht="13">
      <c r="L177" s="542"/>
    </row>
    <row r="178" spans="12:12" ht="13">
      <c r="L178" s="542"/>
    </row>
    <row r="179" spans="12:12" ht="13">
      <c r="L179" s="542"/>
    </row>
    <row r="180" spans="12:12" ht="13">
      <c r="L180" s="542"/>
    </row>
    <row r="181" spans="12:12" ht="13">
      <c r="L181" s="542"/>
    </row>
    <row r="182" spans="12:12" ht="13">
      <c r="L182" s="542"/>
    </row>
    <row r="183" spans="12:12" ht="13">
      <c r="L183" s="542"/>
    </row>
    <row r="184" spans="12:12" ht="13">
      <c r="L184" s="542"/>
    </row>
    <row r="185" spans="12:12" ht="13">
      <c r="L185" s="542"/>
    </row>
    <row r="186" spans="12:12" ht="13">
      <c r="L186" s="542"/>
    </row>
    <row r="187" spans="12:12" ht="13">
      <c r="L187" s="542"/>
    </row>
    <row r="188" spans="12:12" ht="13">
      <c r="L188" s="542"/>
    </row>
    <row r="189" spans="12:12" ht="13">
      <c r="L189" s="542"/>
    </row>
    <row r="190" spans="12:12" ht="13">
      <c r="L190" s="542"/>
    </row>
    <row r="191" spans="12:12" ht="13">
      <c r="L191" s="542"/>
    </row>
    <row r="192" spans="12:12" ht="13">
      <c r="L192" s="542"/>
    </row>
    <row r="193" spans="12:12" ht="13">
      <c r="L193" s="542"/>
    </row>
    <row r="194" spans="12:12" ht="13">
      <c r="L194" s="542"/>
    </row>
    <row r="195" spans="12:12" ht="13">
      <c r="L195" s="542"/>
    </row>
    <row r="196" spans="12:12" ht="13">
      <c r="L196" s="542"/>
    </row>
    <row r="197" spans="12:12" ht="13">
      <c r="L197" s="542"/>
    </row>
    <row r="198" spans="12:12" ht="13">
      <c r="L198" s="542"/>
    </row>
    <row r="199" spans="12:12" ht="13">
      <c r="L199" s="542"/>
    </row>
    <row r="200" spans="12:12" ht="13">
      <c r="L200" s="542"/>
    </row>
    <row r="201" spans="12:12" ht="13">
      <c r="L201" s="542"/>
    </row>
    <row r="202" spans="12:12" ht="13">
      <c r="L202" s="542"/>
    </row>
    <row r="203" spans="12:12" ht="13">
      <c r="L203" s="542"/>
    </row>
    <row r="204" spans="12:12" ht="13">
      <c r="L204" s="542"/>
    </row>
    <row r="205" spans="12:12" ht="13">
      <c r="L205" s="542"/>
    </row>
    <row r="206" spans="12:12" ht="13">
      <c r="L206" s="542"/>
    </row>
    <row r="207" spans="12:12" ht="13">
      <c r="L207" s="542"/>
    </row>
    <row r="208" spans="12:12" ht="13">
      <c r="L208" s="542"/>
    </row>
    <row r="209" spans="12:12" ht="13">
      <c r="L209" s="542"/>
    </row>
    <row r="210" spans="12:12" ht="13">
      <c r="L210" s="542"/>
    </row>
    <row r="211" spans="12:12" ht="13">
      <c r="L211" s="542"/>
    </row>
    <row r="212" spans="12:12" ht="13">
      <c r="L212" s="542"/>
    </row>
    <row r="213" spans="12:12" ht="13">
      <c r="L213" s="542"/>
    </row>
    <row r="214" spans="12:12" ht="13">
      <c r="L214" s="542"/>
    </row>
    <row r="215" spans="12:12" ht="13">
      <c r="L215" s="542"/>
    </row>
    <row r="216" spans="12:12" ht="13">
      <c r="L216" s="542"/>
    </row>
    <row r="217" spans="12:12" ht="13">
      <c r="L217" s="542"/>
    </row>
    <row r="218" spans="12:12" ht="13">
      <c r="L218" s="542"/>
    </row>
    <row r="219" spans="12:12" ht="13">
      <c r="L219" s="542"/>
    </row>
    <row r="220" spans="12:12" ht="13">
      <c r="L220" s="542"/>
    </row>
    <row r="221" spans="12:12" ht="13">
      <c r="L221" s="542"/>
    </row>
    <row r="222" spans="12:12" ht="13">
      <c r="L222" s="542"/>
    </row>
    <row r="223" spans="12:12" ht="13">
      <c r="L223" s="542"/>
    </row>
    <row r="224" spans="12:12" ht="13">
      <c r="L224" s="542"/>
    </row>
    <row r="225" spans="12:12" ht="13">
      <c r="L225" s="542"/>
    </row>
    <row r="226" spans="12:12" ht="13">
      <c r="L226" s="542"/>
    </row>
    <row r="227" spans="12:12" ht="13">
      <c r="L227" s="542"/>
    </row>
    <row r="228" spans="12:12" ht="13">
      <c r="L228" s="542"/>
    </row>
    <row r="229" spans="12:12" ht="13">
      <c r="L229" s="542"/>
    </row>
    <row r="230" spans="12:12" ht="13">
      <c r="L230" s="542"/>
    </row>
    <row r="231" spans="12:12" ht="13">
      <c r="L231" s="542"/>
    </row>
    <row r="232" spans="12:12" ht="13">
      <c r="L232" s="542"/>
    </row>
    <row r="233" spans="12:12" ht="13">
      <c r="L233" s="542"/>
    </row>
    <row r="234" spans="12:12" ht="13">
      <c r="L234" s="542"/>
    </row>
    <row r="235" spans="12:12" ht="13">
      <c r="L235" s="542"/>
    </row>
    <row r="236" spans="12:12" ht="13">
      <c r="L236" s="542"/>
    </row>
    <row r="237" spans="12:12" ht="13">
      <c r="L237" s="542"/>
    </row>
    <row r="238" spans="12:12" ht="13">
      <c r="L238" s="542"/>
    </row>
    <row r="239" spans="12:12" ht="13">
      <c r="L239" s="542"/>
    </row>
    <row r="240" spans="12:12" ht="13">
      <c r="L240" s="542"/>
    </row>
    <row r="241" spans="12:12" ht="13">
      <c r="L241" s="542"/>
    </row>
    <row r="242" spans="12:12" ht="13">
      <c r="L242" s="542"/>
    </row>
    <row r="243" spans="12:12" ht="13">
      <c r="L243" s="542"/>
    </row>
    <row r="244" spans="12:12" ht="13">
      <c r="L244" s="542"/>
    </row>
    <row r="245" spans="12:12" ht="13">
      <c r="L245" s="542"/>
    </row>
    <row r="246" spans="12:12" ht="13">
      <c r="L246" s="542"/>
    </row>
    <row r="247" spans="12:12" ht="13">
      <c r="L247" s="542"/>
    </row>
    <row r="248" spans="12:12" ht="13">
      <c r="L248" s="542"/>
    </row>
    <row r="249" spans="12:12" ht="13">
      <c r="L249" s="542"/>
    </row>
    <row r="250" spans="12:12" ht="13">
      <c r="L250" s="542"/>
    </row>
    <row r="251" spans="12:12" ht="13">
      <c r="L251" s="542"/>
    </row>
    <row r="252" spans="12:12" ht="13">
      <c r="L252" s="542"/>
    </row>
    <row r="253" spans="12:12" ht="13">
      <c r="L253" s="542"/>
    </row>
    <row r="254" spans="12:12" ht="13">
      <c r="L254" s="542"/>
    </row>
    <row r="255" spans="12:12" ht="13">
      <c r="L255" s="542"/>
    </row>
    <row r="256" spans="12:12" ht="13">
      <c r="L256" s="542"/>
    </row>
    <row r="257" spans="12:12" ht="13">
      <c r="L257" s="542"/>
    </row>
    <row r="258" spans="12:12" ht="13">
      <c r="L258" s="542"/>
    </row>
    <row r="259" spans="12:12" ht="13">
      <c r="L259" s="542"/>
    </row>
    <row r="260" spans="12:12" ht="13">
      <c r="L260" s="542"/>
    </row>
    <row r="261" spans="12:12" ht="13">
      <c r="L261" s="542"/>
    </row>
    <row r="262" spans="12:12" ht="13">
      <c r="L262" s="542"/>
    </row>
    <row r="263" spans="12:12" ht="13">
      <c r="L263" s="542"/>
    </row>
    <row r="264" spans="12:12" ht="13">
      <c r="L264" s="542"/>
    </row>
    <row r="265" spans="12:12" ht="13">
      <c r="L265" s="542"/>
    </row>
    <row r="266" spans="12:12" ht="13">
      <c r="L266" s="542"/>
    </row>
    <row r="267" spans="12:12" ht="13">
      <c r="L267" s="542"/>
    </row>
  </sheetData>
  <pageMargins left="0.7" right="0.7" top="0.75" bottom="0.75" header="0.3" footer="0.3"/>
  <pageSetup orientation="portrait" horizontalDpi="90" verticalDpi="9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22CD-CB61-40B2-98EA-FCE7A2B54126}">
  <sheetPr>
    <tabColor rgb="FFFF0000"/>
    <pageSetUpPr fitToPage="1"/>
  </sheetPr>
  <dimension ref="A2:AE198"/>
  <sheetViews>
    <sheetView view="pageBreakPreview" zoomScale="77" zoomScaleNormal="100" zoomScaleSheetLayoutView="77" workbookViewId="0">
      <pane ySplit="5" topLeftCell="A131" activePane="bottomLeft" state="frozen"/>
      <selection activeCell="D123" sqref="D123:D125"/>
      <selection pane="bottomLeft" activeCell="D123" sqref="D123:D125"/>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9.54296875"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27" t="s">
        <v>1398</v>
      </c>
      <c r="D3" s="627"/>
      <c r="E3" s="627"/>
      <c r="F3" s="627"/>
      <c r="G3" s="627"/>
      <c r="H3" s="627"/>
      <c r="I3" s="627"/>
      <c r="J3" s="627"/>
      <c r="K3" s="627"/>
      <c r="L3" s="627"/>
      <c r="M3" s="627"/>
      <c r="N3" s="627"/>
      <c r="O3" s="627"/>
      <c r="P3" s="627"/>
      <c r="Q3" s="627"/>
      <c r="R3" s="627"/>
      <c r="S3" s="627"/>
      <c r="T3" s="627"/>
      <c r="U3" s="627"/>
      <c r="V3" s="627"/>
      <c r="W3" s="627"/>
      <c r="X3" s="627"/>
    </row>
    <row r="4" spans="1:30" ht="13" customHeight="1">
      <c r="A4" s="14"/>
      <c r="B4" s="14"/>
      <c r="C4" s="327"/>
      <c r="D4" s="327"/>
      <c r="F4" s="327"/>
      <c r="G4" s="329"/>
      <c r="H4" s="613" t="s">
        <v>592</v>
      </c>
      <c r="I4" s="613"/>
      <c r="J4" s="613"/>
      <c r="K4" s="613"/>
      <c r="L4" s="613"/>
      <c r="M4" s="613"/>
      <c r="O4" s="327"/>
      <c r="P4" s="330"/>
      <c r="Q4" s="574" t="s">
        <v>593</v>
      </c>
      <c r="R4" s="574"/>
      <c r="T4" s="574" t="s">
        <v>594</v>
      </c>
      <c r="U4" s="574"/>
      <c r="V4" s="574"/>
      <c r="W4" s="574"/>
      <c r="X4" s="574"/>
      <c r="Y4" s="45" t="s">
        <v>60</v>
      </c>
      <c r="AA4" s="44" t="s">
        <v>43</v>
      </c>
    </row>
    <row r="5" spans="1:30" s="5" customFormat="1" ht="50">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52.5" customHeight="1">
      <c r="A6" s="641">
        <v>1</v>
      </c>
      <c r="B6" s="638" t="s">
        <v>858</v>
      </c>
      <c r="C6" s="631" t="s">
        <v>0</v>
      </c>
      <c r="D6" s="628" t="s">
        <v>570</v>
      </c>
      <c r="F6" s="32" t="s">
        <v>115</v>
      </c>
      <c r="G6" s="95">
        <f>H6+J6</f>
        <v>316.40000000000003</v>
      </c>
      <c r="H6" s="69">
        <v>16.600000000000001</v>
      </c>
      <c r="I6" s="634" t="s">
        <v>1413</v>
      </c>
      <c r="J6" s="95">
        <f>226.1+73.7</f>
        <v>299.8</v>
      </c>
      <c r="K6" s="575" t="s">
        <v>1414</v>
      </c>
      <c r="L6" s="269"/>
      <c r="M6" s="578"/>
      <c r="O6" s="32" t="s">
        <v>115</v>
      </c>
      <c r="P6" s="81">
        <f>Q6+U6</f>
        <v>35</v>
      </c>
      <c r="Q6" s="166">
        <v>15</v>
      </c>
      <c r="R6" s="575" t="s">
        <v>1256</v>
      </c>
      <c r="T6" s="32" t="s">
        <v>115</v>
      </c>
      <c r="U6" s="95">
        <v>20</v>
      </c>
      <c r="V6" s="575" t="s">
        <v>1220</v>
      </c>
      <c r="W6" s="28"/>
      <c r="X6" s="28"/>
      <c r="Y6" s="576" t="s">
        <v>62</v>
      </c>
      <c r="AA6" s="617" t="s">
        <v>61</v>
      </c>
      <c r="AD6" s="33" t="str">
        <f>C6&amp;F6</f>
        <v>AustraliaLC bn</v>
      </c>
    </row>
    <row r="7" spans="1:30" ht="105" customHeight="1">
      <c r="A7" s="638"/>
      <c r="B7" s="638"/>
      <c r="C7" s="632"/>
      <c r="D7" s="629"/>
      <c r="F7" s="32" t="s">
        <v>116</v>
      </c>
      <c r="G7" s="81" t="e">
        <f>G6/#REF!</f>
        <v>#REF!</v>
      </c>
      <c r="H7" s="69" t="e">
        <f>H6/#REF!</f>
        <v>#REF!</v>
      </c>
      <c r="I7" s="582"/>
      <c r="J7" s="81" t="e">
        <f>J6/#REF!</f>
        <v>#REF!</v>
      </c>
      <c r="K7" s="576"/>
      <c r="L7" s="186"/>
      <c r="M7" s="579"/>
      <c r="O7" s="32" t="s">
        <v>116</v>
      </c>
      <c r="P7" s="254" t="e">
        <f>P6/#REF!</f>
        <v>#REF!</v>
      </c>
      <c r="Q7" s="254" t="e">
        <f>Q6/#REF!</f>
        <v>#REF!</v>
      </c>
      <c r="R7" s="576"/>
      <c r="T7" s="32" t="s">
        <v>116</v>
      </c>
      <c r="U7" s="185" t="e">
        <f>P7-Q7</f>
        <v>#REF!</v>
      </c>
      <c r="V7" s="576"/>
      <c r="W7" s="28"/>
      <c r="X7" s="28"/>
      <c r="Y7" s="576"/>
      <c r="AA7" s="617"/>
      <c r="AD7" s="33" t="str">
        <f>C6&amp;F7</f>
        <v>AustraliaUSD bn</v>
      </c>
    </row>
    <row r="8" spans="1:30" ht="248.5" customHeight="1">
      <c r="A8" s="638"/>
      <c r="B8" s="638"/>
      <c r="C8" s="633"/>
      <c r="D8" s="630"/>
      <c r="E8" s="1"/>
      <c r="F8" s="31" t="s">
        <v>117</v>
      </c>
      <c r="G8" s="17" t="e">
        <f>(G6/VLOOKUP(C6,#REF!,4,0))*100</f>
        <v>#REF!</v>
      </c>
      <c r="H8" s="17" t="e">
        <f>(H6/VLOOKUP(C6,#REF!,4,0))*100</f>
        <v>#REF!</v>
      </c>
      <c r="I8" s="583"/>
      <c r="J8" s="17" t="e">
        <f>(J6/VLOOKUP($C6,#REF!,4,0))*100</f>
        <v>#REF!</v>
      </c>
      <c r="K8" s="577"/>
      <c r="L8" s="187"/>
      <c r="M8" s="580"/>
      <c r="N8" s="1"/>
      <c r="O8" s="31" t="s">
        <v>117</v>
      </c>
      <c r="P8" s="121" t="e">
        <f>(P6/VLOOKUP(C6,#REF!,4,0))*100</f>
        <v>#REF!</v>
      </c>
      <c r="Q8" s="168" t="e">
        <f>(Q6/VLOOKUP(C6,#REF!,4,0))*100</f>
        <v>#REF!</v>
      </c>
      <c r="R8" s="577"/>
      <c r="S8" s="1"/>
      <c r="T8" s="31" t="s">
        <v>117</v>
      </c>
      <c r="U8" s="64" t="e">
        <f>(U6/VLOOKUP(C6,#REF!,4,0))*100</f>
        <v>#REF!</v>
      </c>
      <c r="V8" s="577"/>
      <c r="W8" s="19"/>
      <c r="X8" s="19"/>
      <c r="Y8" s="577"/>
      <c r="Z8" s="1"/>
      <c r="AA8" s="618"/>
      <c r="AD8" s="33" t="str">
        <f>C6&amp;F8</f>
        <v>Australia% GDP</v>
      </c>
    </row>
    <row r="9" spans="1:30" ht="89.5" customHeight="1">
      <c r="A9" s="638">
        <v>1</v>
      </c>
      <c r="B9" s="638" t="s">
        <v>858</v>
      </c>
      <c r="C9" s="631" t="s">
        <v>1</v>
      </c>
      <c r="D9" s="629" t="s">
        <v>571</v>
      </c>
      <c r="E9" s="16"/>
      <c r="F9" s="37" t="s">
        <v>115</v>
      </c>
      <c r="G9" s="80">
        <f>H9+J9</f>
        <v>322.7</v>
      </c>
      <c r="H9" s="80">
        <v>52.7</v>
      </c>
      <c r="I9" s="600" t="s">
        <v>1338</v>
      </c>
      <c r="J9" s="80">
        <v>270</v>
      </c>
      <c r="K9" s="575" t="s">
        <v>1339</v>
      </c>
      <c r="L9" s="80">
        <v>85</v>
      </c>
      <c r="M9" s="575" t="s">
        <v>823</v>
      </c>
      <c r="N9" s="16"/>
      <c r="O9" s="37" t="s">
        <v>115</v>
      </c>
      <c r="P9" s="264">
        <f t="shared" ref="P9:P20" si="0">Q9+U9+W9</f>
        <v>88.600000000000009</v>
      </c>
      <c r="Q9" s="169">
        <v>5.2</v>
      </c>
      <c r="R9" s="575" t="s">
        <v>921</v>
      </c>
      <c r="S9" s="16"/>
      <c r="T9" s="37" t="s">
        <v>115</v>
      </c>
      <c r="U9" s="49">
        <v>83.4</v>
      </c>
      <c r="V9" s="575" t="s">
        <v>1412</v>
      </c>
      <c r="W9" s="18"/>
      <c r="X9" s="18"/>
      <c r="Y9" s="18"/>
      <c r="Z9" s="15"/>
      <c r="AA9" s="25" t="s">
        <v>63</v>
      </c>
      <c r="AB9" s="596" t="s">
        <v>213</v>
      </c>
      <c r="AD9" s="33" t="str">
        <f>C9&amp;F9</f>
        <v>CanadaLC bn</v>
      </c>
    </row>
    <row r="10" spans="1:30" ht="98.5" customHeight="1">
      <c r="A10" s="638"/>
      <c r="B10" s="638"/>
      <c r="C10" s="632"/>
      <c r="D10" s="629"/>
      <c r="E10" s="6"/>
      <c r="F10" s="32" t="s">
        <v>116</v>
      </c>
      <c r="G10" s="81" t="e">
        <f>G9/VLOOKUP(C9,#REF!,8,0)</f>
        <v>#REF!</v>
      </c>
      <c r="H10" s="81" t="e">
        <f>H9/VLOOKUP(C9,#REF!,8,0)</f>
        <v>#REF!</v>
      </c>
      <c r="I10" s="601"/>
      <c r="J10" s="81" t="e">
        <f>J9/VLOOKUP($C9,#REF!,8,0)</f>
        <v>#REF!</v>
      </c>
      <c r="K10" s="576"/>
      <c r="L10" s="81" t="e">
        <f>L9/VLOOKUP($C9,#REF!,8,0)</f>
        <v>#REF!</v>
      </c>
      <c r="M10" s="576"/>
      <c r="N10" s="6"/>
      <c r="O10" s="32" t="s">
        <v>116</v>
      </c>
      <c r="P10" s="265" t="e">
        <f t="shared" si="0"/>
        <v>#REF!</v>
      </c>
      <c r="Q10" s="170" t="e">
        <f>Q9/VLOOKUP(C9,#REF!,8,0)</f>
        <v>#REF!</v>
      </c>
      <c r="R10" s="576"/>
      <c r="S10" s="6"/>
      <c r="T10" s="32" t="s">
        <v>116</v>
      </c>
      <c r="U10" s="81" t="e">
        <f>U9/VLOOKUP(C9,#REF!,8,0)</f>
        <v>#REF!</v>
      </c>
      <c r="V10" s="576"/>
      <c r="W10" s="28"/>
      <c r="X10" s="28"/>
      <c r="Y10" s="28"/>
      <c r="AA10" s="27"/>
      <c r="AB10" s="597"/>
      <c r="AD10" s="33" t="str">
        <f>C9&amp;F10</f>
        <v>CanadaUSD bn</v>
      </c>
    </row>
    <row r="11" spans="1:30" ht="91.5" customHeight="1">
      <c r="A11" s="638"/>
      <c r="B11" s="638"/>
      <c r="C11" s="633"/>
      <c r="D11" s="630"/>
      <c r="E11" s="12"/>
      <c r="F11" s="31" t="s">
        <v>117</v>
      </c>
      <c r="G11" s="17" t="e">
        <f>(G9/VLOOKUP(C9,#REF!,4,0))*100</f>
        <v>#REF!</v>
      </c>
      <c r="H11" s="17" t="e">
        <f>(H9/VLOOKUP(C9,#REF!,4,0))*100</f>
        <v>#REF!</v>
      </c>
      <c r="I11" s="602"/>
      <c r="J11" s="17" t="e">
        <f>(J9/VLOOKUP($C9,#REF!,4,0))*100</f>
        <v>#REF!</v>
      </c>
      <c r="K11" s="577"/>
      <c r="L11" s="17" t="e">
        <f>(L9/VLOOKUP($C9,#REF!,4,0))*100</f>
        <v>#REF!</v>
      </c>
      <c r="M11" s="577"/>
      <c r="N11" s="12"/>
      <c r="O11" s="31" t="s">
        <v>117</v>
      </c>
      <c r="P11" s="267" t="e">
        <f t="shared" si="0"/>
        <v>#REF!</v>
      </c>
      <c r="Q11" s="168" t="e">
        <f>(Q9/VLOOKUP(C9,#REF!,4,0))*100</f>
        <v>#REF!</v>
      </c>
      <c r="R11" s="577"/>
      <c r="S11" s="12"/>
      <c r="T11" s="31" t="s">
        <v>117</v>
      </c>
      <c r="U11" s="17" t="e">
        <f>(U9/VLOOKUP(C9,#REF!,4,0))*100</f>
        <v>#REF!</v>
      </c>
      <c r="V11" s="577"/>
      <c r="W11" s="19"/>
      <c r="X11" s="19"/>
      <c r="Y11" s="19"/>
      <c r="Z11" s="1"/>
      <c r="AA11" s="26"/>
      <c r="AB11" s="597"/>
      <c r="AD11" s="33" t="str">
        <f>C9&amp;F11</f>
        <v>Canada% GDP</v>
      </c>
    </row>
    <row r="12" spans="1:30" ht="169.5" customHeight="1">
      <c r="A12" s="638" t="s">
        <v>84</v>
      </c>
      <c r="B12" s="638" t="s">
        <v>84</v>
      </c>
      <c r="C12" s="631" t="s">
        <v>430</v>
      </c>
      <c r="D12" s="629"/>
      <c r="E12" s="16"/>
      <c r="F12" s="32" t="s">
        <v>115</v>
      </c>
      <c r="G12" s="80">
        <v>427.85</v>
      </c>
      <c r="H12" s="49">
        <v>0.05</v>
      </c>
      <c r="I12" s="600" t="s">
        <v>1257</v>
      </c>
      <c r="J12" s="80">
        <v>427.8</v>
      </c>
      <c r="K12" s="575" t="s">
        <v>1426</v>
      </c>
      <c r="L12" s="18"/>
      <c r="M12" s="18"/>
      <c r="N12" s="16"/>
      <c r="O12" s="32" t="s">
        <v>115</v>
      </c>
      <c r="P12" s="264">
        <f t="shared" si="0"/>
        <v>765</v>
      </c>
      <c r="Q12" s="171">
        <v>700</v>
      </c>
      <c r="R12" s="581" t="s">
        <v>1452</v>
      </c>
      <c r="S12" s="16"/>
      <c r="T12" s="32" t="s">
        <v>115</v>
      </c>
      <c r="U12" s="80">
        <v>65</v>
      </c>
      <c r="V12" s="575" t="s">
        <v>1427</v>
      </c>
      <c r="W12" s="18"/>
      <c r="X12" s="18"/>
      <c r="Y12" s="575" t="s">
        <v>74</v>
      </c>
      <c r="Z12" s="15"/>
      <c r="AA12" s="22"/>
      <c r="AD12" s="33" t="str">
        <f>C12&amp;F12</f>
        <v>European UnionLC bn</v>
      </c>
    </row>
    <row r="13" spans="1:30" ht="138" customHeight="1">
      <c r="A13" s="638"/>
      <c r="B13" s="638"/>
      <c r="C13" s="632"/>
      <c r="D13" s="629"/>
      <c r="E13" s="6"/>
      <c r="F13" s="32" t="s">
        <v>116</v>
      </c>
      <c r="G13" s="81" t="e">
        <f>G12/VLOOKUP(C12,#REF!,8,0)</f>
        <v>#REF!</v>
      </c>
      <c r="H13" s="69" t="e">
        <f>H12/VLOOKUP($C12,#REF!,8,0)</f>
        <v>#REF!</v>
      </c>
      <c r="I13" s="601"/>
      <c r="J13" s="81" t="e">
        <f>J12/VLOOKUP($C12,#REF!,8,0)</f>
        <v>#REF!</v>
      </c>
      <c r="K13" s="576"/>
      <c r="L13" s="28"/>
      <c r="M13" s="28"/>
      <c r="N13" s="6"/>
      <c r="O13" s="32" t="s">
        <v>116</v>
      </c>
      <c r="P13" s="265" t="e">
        <f t="shared" si="0"/>
        <v>#REF!</v>
      </c>
      <c r="Q13" s="167" t="e">
        <f>Q12/VLOOKUP(C12,#REF!,8,0)</f>
        <v>#REF!</v>
      </c>
      <c r="R13" s="582"/>
      <c r="S13" s="6"/>
      <c r="T13" s="32" t="s">
        <v>116</v>
      </c>
      <c r="U13" s="81" t="e">
        <f>U12/VLOOKUP(C12,#REF!,8,0)</f>
        <v>#REF!</v>
      </c>
      <c r="V13" s="576"/>
      <c r="W13" s="28"/>
      <c r="X13" s="28"/>
      <c r="Y13" s="576"/>
      <c r="AA13" s="27"/>
      <c r="AD13" s="33" t="str">
        <f>C12&amp;F13</f>
        <v>European UnionUSD bn</v>
      </c>
    </row>
    <row r="14" spans="1:30" ht="138.75" customHeight="1">
      <c r="A14" s="638"/>
      <c r="B14" s="638"/>
      <c r="C14" s="633"/>
      <c r="D14" s="630"/>
      <c r="E14" s="12"/>
      <c r="F14" s="31" t="s">
        <v>117</v>
      </c>
      <c r="G14" s="17" t="e">
        <f>(G12/VLOOKUP(C12,#REF!,4,0))*100</f>
        <v>#REF!</v>
      </c>
      <c r="H14" s="17" t="e">
        <f>(H12/VLOOKUP($C12,#REF!,4,0))*100</f>
        <v>#REF!</v>
      </c>
      <c r="I14" s="602"/>
      <c r="J14" s="17" t="e">
        <f>(J12/VLOOKUP($C12,#REF!,4,0))*100</f>
        <v>#REF!</v>
      </c>
      <c r="K14" s="577"/>
      <c r="L14" s="19"/>
      <c r="M14" s="19"/>
      <c r="N14" s="12"/>
      <c r="O14" s="31" t="s">
        <v>117</v>
      </c>
      <c r="P14" s="267" t="e">
        <f t="shared" si="0"/>
        <v>#REF!</v>
      </c>
      <c r="Q14" s="168" t="e">
        <f>(Q12/VLOOKUP(C12,#REF!,4,0))*100</f>
        <v>#REF!</v>
      </c>
      <c r="R14" s="583"/>
      <c r="S14" s="12"/>
      <c r="T14" s="31" t="s">
        <v>117</v>
      </c>
      <c r="U14" s="17" t="e">
        <f>(U12/VLOOKUP(C12,#REF!,4,0))*100</f>
        <v>#REF!</v>
      </c>
      <c r="V14" s="577"/>
      <c r="W14" s="19"/>
      <c r="X14" s="19"/>
      <c r="Y14" s="577"/>
      <c r="Z14" s="1"/>
      <c r="AA14" s="26"/>
      <c r="AD14" s="33" t="str">
        <f>C12&amp;F14</f>
        <v>European Union% GDP</v>
      </c>
    </row>
    <row r="15" spans="1:30" ht="132.65" customHeight="1">
      <c r="A15" s="638">
        <v>1</v>
      </c>
      <c r="B15" s="638" t="s">
        <v>858</v>
      </c>
      <c r="C15" s="632" t="s">
        <v>2</v>
      </c>
      <c r="D15" s="629" t="s">
        <v>570</v>
      </c>
      <c r="E15" s="16"/>
      <c r="F15" s="32" t="s">
        <v>115</v>
      </c>
      <c r="G15" s="80">
        <f>H15+J15</f>
        <v>174</v>
      </c>
      <c r="H15" s="80">
        <v>17.8</v>
      </c>
      <c r="I15" s="575" t="s">
        <v>1420</v>
      </c>
      <c r="J15" s="93">
        <f>126.5+29.7</f>
        <v>156.19999999999999</v>
      </c>
      <c r="K15" s="581" t="s">
        <v>1421</v>
      </c>
      <c r="L15" s="93">
        <f>17+38</f>
        <v>55</v>
      </c>
      <c r="M15" s="581" t="s">
        <v>1422</v>
      </c>
      <c r="N15" s="16"/>
      <c r="O15" s="32" t="s">
        <v>115</v>
      </c>
      <c r="P15" s="264">
        <f t="shared" si="0"/>
        <v>355.5</v>
      </c>
      <c r="Q15" s="171">
        <v>21</v>
      </c>
      <c r="R15" s="575" t="s">
        <v>1423</v>
      </c>
      <c r="S15" s="16"/>
      <c r="T15" s="32" t="s">
        <v>115</v>
      </c>
      <c r="U15" s="80">
        <v>334.5</v>
      </c>
      <c r="V15" s="575" t="s">
        <v>1323</v>
      </c>
      <c r="W15" s="18"/>
      <c r="X15" s="18"/>
      <c r="Y15" s="18" t="s">
        <v>214</v>
      </c>
      <c r="Z15" s="15"/>
      <c r="AA15" s="25" t="s">
        <v>64</v>
      </c>
      <c r="AD15" s="33" t="str">
        <f>C15&amp;F15</f>
        <v>FranceLC bn</v>
      </c>
    </row>
    <row r="16" spans="1:30" ht="105.65" customHeight="1">
      <c r="A16" s="638"/>
      <c r="B16" s="638"/>
      <c r="C16" s="632"/>
      <c r="D16" s="629"/>
      <c r="E16" s="6"/>
      <c r="F16" s="32" t="s">
        <v>116</v>
      </c>
      <c r="G16" s="81" t="e">
        <f>G15/VLOOKUP(C15,#REF!,8,0)</f>
        <v>#REF!</v>
      </c>
      <c r="H16" s="81" t="e">
        <f>H15/VLOOKUP(C15,#REF!,8,0)</f>
        <v>#REF!</v>
      </c>
      <c r="I16" s="576"/>
      <c r="J16" s="81" t="e">
        <f>J15/VLOOKUP($C15,#REF!,8,0)</f>
        <v>#REF!</v>
      </c>
      <c r="K16" s="582"/>
      <c r="L16" s="81" t="e">
        <f>L15/VLOOKUP($C15,#REF!,8,0)</f>
        <v>#REF!</v>
      </c>
      <c r="M16" s="582"/>
      <c r="N16" s="6"/>
      <c r="O16" s="32" t="s">
        <v>116</v>
      </c>
      <c r="P16" s="265" t="e">
        <f t="shared" si="0"/>
        <v>#REF!</v>
      </c>
      <c r="Q16" s="167" t="e">
        <f>Q15/VLOOKUP(C15,#REF!,8,0)</f>
        <v>#REF!</v>
      </c>
      <c r="R16" s="576"/>
      <c r="S16" s="6"/>
      <c r="T16" s="32" t="s">
        <v>116</v>
      </c>
      <c r="U16" s="81" t="e">
        <f>U15/VLOOKUP(C15,#REF!,8,0)</f>
        <v>#REF!</v>
      </c>
      <c r="V16" s="576"/>
      <c r="W16" s="28"/>
      <c r="X16" s="28"/>
      <c r="Y16" s="28"/>
      <c r="AA16" s="27"/>
      <c r="AD16" s="33" t="str">
        <f>C15&amp;F16</f>
        <v>FranceUSD bn</v>
      </c>
    </row>
    <row r="17" spans="1:30" s="2" customFormat="1" ht="171" customHeight="1">
      <c r="A17" s="638"/>
      <c r="B17" s="638"/>
      <c r="C17" s="633"/>
      <c r="D17" s="630"/>
      <c r="E17" s="12"/>
      <c r="F17" s="31" t="s">
        <v>117</v>
      </c>
      <c r="G17" s="17" t="e">
        <f>(G15/VLOOKUP(C15,#REF!,4,0))*100</f>
        <v>#REF!</v>
      </c>
      <c r="H17" s="17" t="e">
        <f>(H15/VLOOKUP(C15,#REF!,4,0))*100</f>
        <v>#REF!</v>
      </c>
      <c r="I17" s="577"/>
      <c r="J17" s="17" t="e">
        <f>(J15/VLOOKUP($C15,#REF!,4,0))*100</f>
        <v>#REF!</v>
      </c>
      <c r="K17" s="583"/>
      <c r="L17" s="17" t="e">
        <f>(L15/VLOOKUP($C15,#REF!,4,0))*100</f>
        <v>#REF!</v>
      </c>
      <c r="M17" s="583"/>
      <c r="N17" s="12"/>
      <c r="O17" s="31" t="s">
        <v>117</v>
      </c>
      <c r="P17" s="267" t="e">
        <f t="shared" si="0"/>
        <v>#REF!</v>
      </c>
      <c r="Q17" s="168" t="e">
        <f>(Q15/VLOOKUP(C15,#REF!,4,0))*100</f>
        <v>#REF!</v>
      </c>
      <c r="R17" s="577"/>
      <c r="S17" s="12"/>
      <c r="T17" s="31" t="s">
        <v>117</v>
      </c>
      <c r="U17" s="17" t="e">
        <f>(U15/VLOOKUP(C15,#REF!,4,0))*100</f>
        <v>#REF!</v>
      </c>
      <c r="V17" s="577"/>
      <c r="W17" s="19"/>
      <c r="X17" s="19"/>
      <c r="Y17" s="19"/>
      <c r="Z17" s="1"/>
      <c r="AA17" s="26"/>
      <c r="AD17" s="33" t="str">
        <f>C15&amp;F17</f>
        <v>France% GDP</v>
      </c>
    </row>
    <row r="18" spans="1:30" s="143" customFormat="1" ht="52.5" customHeight="1">
      <c r="A18" s="638">
        <v>1</v>
      </c>
      <c r="B18" s="638" t="s">
        <v>858</v>
      </c>
      <c r="C18" s="632" t="s">
        <v>3</v>
      </c>
      <c r="D18" s="643" t="s">
        <v>570</v>
      </c>
      <c r="E18" s="16"/>
      <c r="F18" s="37" t="s">
        <v>115</v>
      </c>
      <c r="G18" s="80">
        <v>367</v>
      </c>
      <c r="H18" s="80">
        <v>40</v>
      </c>
      <c r="I18" s="600" t="s">
        <v>1424</v>
      </c>
      <c r="J18" s="80">
        <f>G18-H18</f>
        <v>327</v>
      </c>
      <c r="K18" s="575" t="s">
        <v>1425</v>
      </c>
      <c r="L18" s="74"/>
      <c r="M18" s="575" t="s">
        <v>357</v>
      </c>
      <c r="N18" s="16"/>
      <c r="O18" s="37" t="s">
        <v>115</v>
      </c>
      <c r="P18" s="128">
        <f t="shared" si="0"/>
        <v>926.3</v>
      </c>
      <c r="Q18" s="171">
        <v>100</v>
      </c>
      <c r="R18" s="575" t="s">
        <v>289</v>
      </c>
      <c r="S18" s="16"/>
      <c r="T18" s="37" t="s">
        <v>115</v>
      </c>
      <c r="U18" s="80">
        <f>400+357+69.3</f>
        <v>826.3</v>
      </c>
      <c r="V18" s="575" t="s">
        <v>1346</v>
      </c>
      <c r="W18" s="18"/>
      <c r="X18" s="18"/>
      <c r="Y18" s="575" t="s">
        <v>65</v>
      </c>
      <c r="Z18" s="15"/>
      <c r="AA18" s="605" t="s">
        <v>67</v>
      </c>
      <c r="AD18" s="33" t="str">
        <f>C18&amp;F18</f>
        <v>GermanyLC bn</v>
      </c>
    </row>
    <row r="19" spans="1:30" ht="54.65" customHeight="1">
      <c r="A19" s="638"/>
      <c r="B19" s="638"/>
      <c r="C19" s="632"/>
      <c r="D19" s="643"/>
      <c r="E19" s="6"/>
      <c r="F19" s="32" t="s">
        <v>116</v>
      </c>
      <c r="G19" s="81" t="e">
        <f>G18/VLOOKUP(C18,#REF!,8,0)</f>
        <v>#REF!</v>
      </c>
      <c r="H19" s="81" t="e">
        <f>H18/VLOOKUP(C18,#REF!,8,0)</f>
        <v>#REF!</v>
      </c>
      <c r="I19" s="601"/>
      <c r="J19" s="81" t="e">
        <f>J18/VLOOKUP($C18,#REF!,8,0)</f>
        <v>#REF!</v>
      </c>
      <c r="K19" s="576"/>
      <c r="L19" s="247"/>
      <c r="M19" s="576"/>
      <c r="N19" s="6"/>
      <c r="O19" s="32" t="s">
        <v>116</v>
      </c>
      <c r="P19" s="161" t="e">
        <f t="shared" si="0"/>
        <v>#REF!</v>
      </c>
      <c r="Q19" s="167" t="e">
        <f>Q18/VLOOKUP(C18,#REF!,8,0)</f>
        <v>#REF!</v>
      </c>
      <c r="R19" s="576"/>
      <c r="S19" s="6"/>
      <c r="T19" s="32" t="s">
        <v>116</v>
      </c>
      <c r="U19" s="81" t="e">
        <f>U18/VLOOKUP(C18,#REF!,8,0)</f>
        <v>#REF!</v>
      </c>
      <c r="V19" s="576"/>
      <c r="W19" s="28"/>
      <c r="X19" s="28"/>
      <c r="Y19" s="576"/>
      <c r="AA19" s="606"/>
      <c r="AD19" s="33" t="str">
        <f>C18&amp;F19</f>
        <v>GermanyUSD bn</v>
      </c>
    </row>
    <row r="20" spans="1:30" ht="85.5" customHeight="1">
      <c r="A20" s="638"/>
      <c r="B20" s="638"/>
      <c r="C20" s="633"/>
      <c r="D20" s="644"/>
      <c r="E20" s="12"/>
      <c r="F20" s="31" t="s">
        <v>117</v>
      </c>
      <c r="G20" s="17" t="e">
        <f>(G18/VLOOKUP(C18,#REF!,4,0))*100</f>
        <v>#REF!</v>
      </c>
      <c r="H20" s="17" t="e">
        <f>(H18/VLOOKUP(C18,#REF!,4,0))*100</f>
        <v>#REF!</v>
      </c>
      <c r="I20" s="602"/>
      <c r="J20" s="17" t="e">
        <f>(J18/VLOOKUP($C18,#REF!,4,0))*100</f>
        <v>#REF!</v>
      </c>
      <c r="K20" s="577"/>
      <c r="L20" s="246"/>
      <c r="M20" s="577"/>
      <c r="N20" s="12"/>
      <c r="O20" s="31" t="s">
        <v>117</v>
      </c>
      <c r="P20" s="267" t="e">
        <f t="shared" si="0"/>
        <v>#REF!</v>
      </c>
      <c r="Q20" s="168" t="e">
        <f>(Q18/VLOOKUP(C18,#REF!,4,0))*100</f>
        <v>#REF!</v>
      </c>
      <c r="R20" s="577"/>
      <c r="S20" s="12"/>
      <c r="T20" s="31" t="s">
        <v>117</v>
      </c>
      <c r="U20" s="17" t="e">
        <f>(U18/VLOOKUP(C18,#REF!,4,0))*100</f>
        <v>#REF!</v>
      </c>
      <c r="V20" s="577"/>
      <c r="W20" s="19"/>
      <c r="X20" s="19"/>
      <c r="Y20" s="577"/>
      <c r="Z20" s="1"/>
      <c r="AA20" s="607"/>
      <c r="AD20" s="33" t="str">
        <f>C18&amp;F20</f>
        <v>Germany% GDP</v>
      </c>
    </row>
    <row r="21" spans="1:30" ht="30.5">
      <c r="A21" s="638">
        <v>1</v>
      </c>
      <c r="B21" s="638" t="s">
        <v>858</v>
      </c>
      <c r="C21" s="632" t="s">
        <v>4</v>
      </c>
      <c r="D21" s="629" t="s">
        <v>570</v>
      </c>
      <c r="E21" s="16"/>
      <c r="F21" s="32" t="s">
        <v>115</v>
      </c>
      <c r="G21" s="80">
        <f>H21+J21</f>
        <v>112</v>
      </c>
      <c r="H21" s="49">
        <f>9+0.5</f>
        <v>9.5</v>
      </c>
      <c r="I21" s="600" t="s">
        <v>1429</v>
      </c>
      <c r="J21" s="80">
        <f>93.5+9</f>
        <v>102.5</v>
      </c>
      <c r="K21" s="581" t="s">
        <v>1430</v>
      </c>
      <c r="L21" s="49">
        <v>7</v>
      </c>
      <c r="M21" s="581" t="s">
        <v>1326</v>
      </c>
      <c r="N21" s="16"/>
      <c r="O21" s="32" t="s">
        <v>115</v>
      </c>
      <c r="P21" s="80">
        <f>Q21+U21</f>
        <v>582.25</v>
      </c>
      <c r="Q21" s="169">
        <v>3.25</v>
      </c>
      <c r="R21" s="581" t="s">
        <v>604</v>
      </c>
      <c r="S21" s="16"/>
      <c r="T21" s="32" t="s">
        <v>115</v>
      </c>
      <c r="U21" s="80">
        <v>579</v>
      </c>
      <c r="V21" s="581" t="s">
        <v>1327</v>
      </c>
      <c r="W21" s="140"/>
      <c r="X21" s="581"/>
      <c r="Y21" s="575" t="s">
        <v>216</v>
      </c>
      <c r="Z21" s="15"/>
      <c r="AA21" s="25" t="s">
        <v>66</v>
      </c>
      <c r="AD21" s="33" t="str">
        <f>C21&amp;F21</f>
        <v>ItalyLC bn</v>
      </c>
    </row>
    <row r="22" spans="1:30" ht="38">
      <c r="A22" s="638"/>
      <c r="B22" s="638"/>
      <c r="C22" s="632"/>
      <c r="D22" s="629"/>
      <c r="E22" s="6"/>
      <c r="F22" s="32" t="s">
        <v>116</v>
      </c>
      <c r="G22" s="81" t="e">
        <f>G21/VLOOKUP(C21,#REF!,8,0)</f>
        <v>#REF!</v>
      </c>
      <c r="H22" s="69" t="e">
        <f>H21/VLOOKUP(C21,#REF!,8,0)</f>
        <v>#REF!</v>
      </c>
      <c r="I22" s="601"/>
      <c r="J22" s="81" t="e">
        <f>J21/VLOOKUP($C21,#REF!,8,0)</f>
        <v>#REF!</v>
      </c>
      <c r="K22" s="582"/>
      <c r="L22" s="69" t="e">
        <f>L21/VLOOKUP($C21,#REF!,8,0)</f>
        <v>#REF!</v>
      </c>
      <c r="M22" s="582"/>
      <c r="N22" s="6"/>
      <c r="O22" s="32" t="s">
        <v>116</v>
      </c>
      <c r="P22" s="81" t="e">
        <f>P21/VLOOKUP($C21,#REF!,8,0)</f>
        <v>#REF!</v>
      </c>
      <c r="Q22" s="69" t="e">
        <f>Q21/VLOOKUP($C21,#REF!,8,0)</f>
        <v>#REF!</v>
      </c>
      <c r="R22" s="582"/>
      <c r="S22" s="6"/>
      <c r="T22" s="32" t="s">
        <v>116</v>
      </c>
      <c r="U22" s="81" t="e">
        <f>U21/VLOOKUP(C21,#REF!,8,0)</f>
        <v>#REF!</v>
      </c>
      <c r="V22" s="582"/>
      <c r="W22" s="81"/>
      <c r="X22" s="582"/>
      <c r="Y22" s="576"/>
      <c r="AA22" s="136" t="s">
        <v>186</v>
      </c>
      <c r="AD22" s="33" t="str">
        <f>C21&amp;F22</f>
        <v>ItalyUSD bn</v>
      </c>
    </row>
    <row r="23" spans="1:30" ht="63.75" customHeight="1">
      <c r="A23" s="638"/>
      <c r="B23" s="638"/>
      <c r="C23" s="633"/>
      <c r="D23" s="630"/>
      <c r="E23" s="12"/>
      <c r="F23" s="31" t="s">
        <v>117</v>
      </c>
      <c r="G23" s="17" t="e">
        <f>(G21/VLOOKUP(C21,#REF!,4,0))*100</f>
        <v>#REF!</v>
      </c>
      <c r="H23" s="17" t="e">
        <f>(H21/VLOOKUP(C21,#REF!,4,0))*100</f>
        <v>#REF!</v>
      </c>
      <c r="I23" s="602"/>
      <c r="J23" s="17" t="e">
        <f>(J21/VLOOKUP($C21,#REF!,4,0))*100</f>
        <v>#REF!</v>
      </c>
      <c r="K23" s="583"/>
      <c r="L23" s="17" t="e">
        <f>(L21/VLOOKUP($C21,#REF!,4,0))*100</f>
        <v>#REF!</v>
      </c>
      <c r="M23" s="583"/>
      <c r="N23" s="12"/>
      <c r="O23" s="31" t="s">
        <v>117</v>
      </c>
      <c r="P23" s="17" t="e">
        <f>(P21/VLOOKUP($C21,#REF!,4,0))*100</f>
        <v>#REF!</v>
      </c>
      <c r="Q23" s="17" t="e">
        <f>(Q21/VLOOKUP($C21,#REF!,4,0))*100</f>
        <v>#REF!</v>
      </c>
      <c r="R23" s="583"/>
      <c r="S23" s="12"/>
      <c r="T23" s="31" t="s">
        <v>117</v>
      </c>
      <c r="U23" s="17" t="e">
        <f>(U21/VLOOKUP(C21,#REF!,4,0))*100</f>
        <v>#REF!</v>
      </c>
      <c r="V23" s="583"/>
      <c r="W23" s="486"/>
      <c r="X23" s="583"/>
      <c r="Y23" s="577"/>
      <c r="Z23" s="1"/>
      <c r="AA23" s="26"/>
      <c r="AD23" s="33" t="str">
        <f>C21&amp;F23</f>
        <v>Italy% GDP</v>
      </c>
    </row>
    <row r="24" spans="1:30" ht="130.5" customHeight="1">
      <c r="A24" s="638">
        <v>1</v>
      </c>
      <c r="B24" s="638" t="s">
        <v>858</v>
      </c>
      <c r="C24" s="660" t="s">
        <v>5</v>
      </c>
      <c r="D24" s="629" t="s">
        <v>570</v>
      </c>
      <c r="E24" s="16"/>
      <c r="F24" s="32" t="s">
        <v>115</v>
      </c>
      <c r="G24" s="128">
        <f>H24+J24</f>
        <v>84100</v>
      </c>
      <c r="H24" s="128">
        <v>9300</v>
      </c>
      <c r="I24" s="575" t="s">
        <v>1456</v>
      </c>
      <c r="J24" s="128">
        <v>74800</v>
      </c>
      <c r="K24" s="639" t="s">
        <v>1455</v>
      </c>
      <c r="L24" s="128">
        <v>26000</v>
      </c>
      <c r="M24" s="575" t="s">
        <v>546</v>
      </c>
      <c r="N24" s="16"/>
      <c r="O24" s="37" t="s">
        <v>115</v>
      </c>
      <c r="P24" s="509">
        <f>Q24+U24+W24</f>
        <v>158600</v>
      </c>
      <c r="Q24" s="275"/>
      <c r="R24" s="586"/>
      <c r="S24" s="16"/>
      <c r="T24" s="37" t="s">
        <v>115</v>
      </c>
      <c r="U24" s="128">
        <v>15700</v>
      </c>
      <c r="V24" s="586" t="s">
        <v>829</v>
      </c>
      <c r="W24" s="252">
        <v>142900</v>
      </c>
      <c r="X24" s="651" t="s">
        <v>1454</v>
      </c>
      <c r="Y24" s="575" t="s">
        <v>298</v>
      </c>
      <c r="Z24" s="15"/>
      <c r="AA24" s="22"/>
      <c r="AD24" s="33" t="str">
        <f>C24&amp;F24</f>
        <v>JapanLC bn</v>
      </c>
    </row>
    <row r="25" spans="1:30" ht="243.75" customHeight="1">
      <c r="A25" s="638"/>
      <c r="B25" s="638"/>
      <c r="C25" s="660"/>
      <c r="D25" s="629"/>
      <c r="E25" s="6"/>
      <c r="F25" s="32" t="s">
        <v>116</v>
      </c>
      <c r="G25" s="81" t="e">
        <f>G24/VLOOKUP(C24,#REF!,8,0)</f>
        <v>#REF!</v>
      </c>
      <c r="H25" s="69" t="e">
        <f>H24/VLOOKUP(C24,#REF!,8,0)</f>
        <v>#REF!</v>
      </c>
      <c r="I25" s="584"/>
      <c r="J25" s="81" t="e">
        <f>J24/VLOOKUP($C24,#REF!,8,0)</f>
        <v>#REF!</v>
      </c>
      <c r="K25" s="576"/>
      <c r="L25" s="81" t="e">
        <f>L24/VLOOKUP($C24,#REF!,8,0)</f>
        <v>#REF!</v>
      </c>
      <c r="M25" s="576"/>
      <c r="N25" s="6"/>
      <c r="O25" s="32" t="s">
        <v>116</v>
      </c>
      <c r="P25" s="81" t="e">
        <f>P24/VLOOKUP($C24,#REF!,8,0)</f>
        <v>#REF!</v>
      </c>
      <c r="Q25" s="276"/>
      <c r="R25" s="584"/>
      <c r="S25" s="6"/>
      <c r="T25" s="32" t="s">
        <v>116</v>
      </c>
      <c r="U25" s="81" t="e">
        <f>U24/VLOOKUP(C24,#REF!,8,0)</f>
        <v>#REF!</v>
      </c>
      <c r="V25" s="584"/>
      <c r="W25" s="346" t="e">
        <f>W24/VLOOKUP(C24,#REF!,8,0)</f>
        <v>#REF!</v>
      </c>
      <c r="X25" s="666"/>
      <c r="Y25" s="576"/>
      <c r="AA25" s="27"/>
      <c r="AD25" s="33" t="str">
        <f>C24&amp;F25</f>
        <v>JapanUSD bn</v>
      </c>
    </row>
    <row r="26" spans="1:30" s="2" customFormat="1" ht="309.75" customHeight="1">
      <c r="A26" s="638"/>
      <c r="B26" s="638"/>
      <c r="C26" s="661"/>
      <c r="D26" s="630"/>
      <c r="E26" s="12"/>
      <c r="F26" s="31" t="s">
        <v>117</v>
      </c>
      <c r="G26" s="17" t="e">
        <f>(G24/VLOOKUP(C24,#REF!,4,0))*100</f>
        <v>#REF!</v>
      </c>
      <c r="H26" s="17" t="e">
        <f>(H24/VLOOKUP(C24,#REF!,4,0))*100</f>
        <v>#REF!</v>
      </c>
      <c r="I26" s="585"/>
      <c r="J26" s="17" t="e">
        <f>(J24/VLOOKUP($C24,#REF!,4,0))*100</f>
        <v>#REF!</v>
      </c>
      <c r="K26" s="577"/>
      <c r="L26" s="17" t="e">
        <f>(L24/VLOOKUP($C24,#REF!,4,0))*100</f>
        <v>#REF!</v>
      </c>
      <c r="M26" s="577"/>
      <c r="N26" s="12"/>
      <c r="O26" s="31" t="s">
        <v>117</v>
      </c>
      <c r="P26" s="17" t="e">
        <f>(P24/VLOOKUP($C24,#REF!,4,0))*100</f>
        <v>#REF!</v>
      </c>
      <c r="Q26" s="277"/>
      <c r="R26" s="585"/>
      <c r="S26" s="12"/>
      <c r="T26" s="31" t="s">
        <v>117</v>
      </c>
      <c r="U26" s="17" t="e">
        <f>(U24/VLOOKUP(C24,#REF!,4,0))*100</f>
        <v>#REF!</v>
      </c>
      <c r="V26" s="585"/>
      <c r="W26" s="347" t="e">
        <f>(W24/VLOOKUP(C24,#REF!,4,0))*100</f>
        <v>#REF!</v>
      </c>
      <c r="X26" s="667"/>
      <c r="Y26" s="577"/>
      <c r="Z26" s="1"/>
      <c r="AA26" s="26"/>
      <c r="AD26" s="33" t="str">
        <f>C24&amp;F26</f>
        <v>Japan% GDP</v>
      </c>
    </row>
    <row r="27" spans="1:30" s="143" customFormat="1" ht="153" customHeight="1">
      <c r="A27" s="638">
        <v>1</v>
      </c>
      <c r="B27" s="638" t="s">
        <v>858</v>
      </c>
      <c r="C27" s="663" t="s">
        <v>6</v>
      </c>
      <c r="D27" s="628" t="s">
        <v>570</v>
      </c>
      <c r="E27" s="16"/>
      <c r="F27" s="37" t="s">
        <v>115</v>
      </c>
      <c r="G27" s="130">
        <f>H27+J27</f>
        <v>66300</v>
      </c>
      <c r="H27" s="290">
        <v>5100</v>
      </c>
      <c r="I27" s="645" t="s">
        <v>1321</v>
      </c>
      <c r="J27" s="130">
        <f>57800+3400</f>
        <v>61200</v>
      </c>
      <c r="K27" s="581" t="s">
        <v>1322</v>
      </c>
      <c r="L27" s="130">
        <f>3300+29700</f>
        <v>33000</v>
      </c>
      <c r="M27" s="581" t="s">
        <v>893</v>
      </c>
      <c r="N27" s="16"/>
      <c r="O27" s="37" t="s">
        <v>115</v>
      </c>
      <c r="P27" s="252">
        <f>Q27+U27+W27</f>
        <v>195900</v>
      </c>
      <c r="Q27" s="252"/>
      <c r="R27" s="575"/>
      <c r="S27" s="16"/>
      <c r="T27" s="37" t="s">
        <v>115</v>
      </c>
      <c r="U27" s="253">
        <v>70900</v>
      </c>
      <c r="V27" s="581" t="s">
        <v>1311</v>
      </c>
      <c r="W27" s="253">
        <v>125000</v>
      </c>
      <c r="X27" s="586" t="s">
        <v>1453</v>
      </c>
      <c r="Y27" s="575" t="s">
        <v>70</v>
      </c>
      <c r="Z27" s="15"/>
      <c r="AA27" s="605" t="s">
        <v>69</v>
      </c>
      <c r="AD27" s="33" t="str">
        <f>C27&amp;F27</f>
        <v>KoreaLC bn</v>
      </c>
    </row>
    <row r="28" spans="1:30" ht="153" customHeight="1">
      <c r="A28" s="638"/>
      <c r="B28" s="638"/>
      <c r="C28" s="660"/>
      <c r="D28" s="629"/>
      <c r="E28" s="6"/>
      <c r="F28" s="32" t="s">
        <v>116</v>
      </c>
      <c r="G28" s="254" t="e">
        <f>G27/VLOOKUP(C27,#REF!,8,0)</f>
        <v>#REF!</v>
      </c>
      <c r="H28" s="120" t="e">
        <f>H27/VLOOKUP(C27,#REF!,8,0)</f>
        <v>#REF!</v>
      </c>
      <c r="I28" s="646"/>
      <c r="J28" s="81" t="e">
        <f>J27/VLOOKUP($C27,#REF!,8,0)</f>
        <v>#REF!</v>
      </c>
      <c r="K28" s="582"/>
      <c r="L28" s="81" t="e">
        <f>L27/VLOOKUP($C27,#REF!,8,0)</f>
        <v>#REF!</v>
      </c>
      <c r="M28" s="582"/>
      <c r="N28" s="6"/>
      <c r="O28" s="32" t="s">
        <v>116</v>
      </c>
      <c r="P28" s="81" t="e">
        <f>P27/VLOOKUP($C27,#REF!,8,0)</f>
        <v>#REF!</v>
      </c>
      <c r="Q28" s="173"/>
      <c r="R28" s="576"/>
      <c r="S28" s="6"/>
      <c r="T28" s="32" t="s">
        <v>116</v>
      </c>
      <c r="U28" s="254" t="e">
        <f>U27/VLOOKUP(C27,#REF!,8,0)</f>
        <v>#REF!</v>
      </c>
      <c r="V28" s="582"/>
      <c r="W28" s="346" t="e">
        <f>W27/VLOOKUP(C27,#REF!,8,0)</f>
        <v>#REF!</v>
      </c>
      <c r="X28" s="576"/>
      <c r="Y28" s="576"/>
      <c r="AA28" s="606"/>
      <c r="AD28" s="33" t="str">
        <f>C27&amp;F28</f>
        <v>KoreaUSD bn</v>
      </c>
    </row>
    <row r="29" spans="1:30" ht="185.15" customHeight="1">
      <c r="A29" s="638"/>
      <c r="B29" s="638"/>
      <c r="C29" s="661"/>
      <c r="D29" s="630"/>
      <c r="E29" s="12"/>
      <c r="F29" s="31" t="s">
        <v>117</v>
      </c>
      <c r="G29" s="121" t="e">
        <f>(G27/VLOOKUP(C27,#REF!,4,0))*100</f>
        <v>#REF!</v>
      </c>
      <c r="H29" s="121" t="e">
        <f>(H27/VLOOKUP(C27,#REF!,4,0))*100</f>
        <v>#REF!</v>
      </c>
      <c r="I29" s="647"/>
      <c r="J29" s="17" t="e">
        <f>(J27/VLOOKUP($C27,#REF!,4,0))*100</f>
        <v>#REF!</v>
      </c>
      <c r="K29" s="583"/>
      <c r="L29" s="17" t="e">
        <f>(L27/VLOOKUP($C27,#REF!,4,0))*100</f>
        <v>#REF!</v>
      </c>
      <c r="M29" s="583"/>
      <c r="N29" s="12"/>
      <c r="O29" s="31" t="s">
        <v>117</v>
      </c>
      <c r="P29" s="17" t="e">
        <f>(P27/VLOOKUP($C27,#REF!,4,0))*100</f>
        <v>#REF!</v>
      </c>
      <c r="Q29" s="174"/>
      <c r="R29" s="577"/>
      <c r="S29" s="12"/>
      <c r="T29" s="31" t="s">
        <v>117</v>
      </c>
      <c r="U29" s="121" t="e">
        <f>(U27/VLOOKUP(C27,#REF!,4,0))*100</f>
        <v>#REF!</v>
      </c>
      <c r="V29" s="583"/>
      <c r="W29" s="491" t="e">
        <f>(W27/VLOOKUP(C27,#REF!,4,0))*100</f>
        <v>#REF!</v>
      </c>
      <c r="X29" s="577"/>
      <c r="Y29" s="577"/>
      <c r="Z29" s="1"/>
      <c r="AA29" s="607"/>
      <c r="AD29" s="33" t="str">
        <f>C27&amp;F29</f>
        <v>Korea% GDP</v>
      </c>
    </row>
    <row r="30" spans="1:30" s="10" customFormat="1" ht="235.5" customHeight="1">
      <c r="A30" s="638">
        <v>1</v>
      </c>
      <c r="B30" s="638" t="s">
        <v>858</v>
      </c>
      <c r="C30" s="660" t="s">
        <v>32</v>
      </c>
      <c r="D30" s="629" t="s">
        <v>570</v>
      </c>
      <c r="E30" s="13"/>
      <c r="F30" s="37" t="s">
        <v>115</v>
      </c>
      <c r="G30" s="93">
        <f>H30+J30</f>
        <v>46.1</v>
      </c>
      <c r="H30" s="74">
        <v>4.4000000000000004</v>
      </c>
      <c r="I30" s="600" t="s">
        <v>1418</v>
      </c>
      <c r="J30" s="93">
        <f>40.6+1.1</f>
        <v>41.7</v>
      </c>
      <c r="K30" s="581" t="s">
        <v>1419</v>
      </c>
      <c r="L30" s="53">
        <v>0.54</v>
      </c>
      <c r="M30" s="575" t="s">
        <v>1324</v>
      </c>
      <c r="N30" s="13"/>
      <c r="O30" s="32" t="s">
        <v>115</v>
      </c>
      <c r="P30" s="242">
        <f>Q30+U30+W30</f>
        <v>161.239</v>
      </c>
      <c r="Q30" s="177">
        <v>0.63900000000000001</v>
      </c>
      <c r="R30" s="575" t="s">
        <v>1309</v>
      </c>
      <c r="S30" s="13"/>
      <c r="T30" s="32" t="s">
        <v>115</v>
      </c>
      <c r="U30" s="93">
        <v>150.6</v>
      </c>
      <c r="V30" s="575" t="s">
        <v>1325</v>
      </c>
      <c r="W30" s="93">
        <v>10</v>
      </c>
      <c r="X30" s="575" t="s">
        <v>219</v>
      </c>
      <c r="Y30" s="18"/>
      <c r="Z30" s="13"/>
      <c r="AA30" s="605" t="s">
        <v>49</v>
      </c>
      <c r="AB30" s="10">
        <f>849+223</f>
        <v>1072</v>
      </c>
      <c r="AD30" s="33" t="str">
        <f>C30&amp;F30</f>
        <v>SpainLC bn</v>
      </c>
    </row>
    <row r="31" spans="1:30" s="3" customFormat="1" ht="206.25" customHeight="1">
      <c r="A31" s="638"/>
      <c r="B31" s="638"/>
      <c r="C31" s="660"/>
      <c r="D31" s="629"/>
      <c r="E31" s="10"/>
      <c r="F31" s="32" t="s">
        <v>116</v>
      </c>
      <c r="G31" s="81" t="e">
        <f>G30/VLOOKUP(C30,#REF!,8,0)</f>
        <v>#REF!</v>
      </c>
      <c r="H31" s="56" t="e">
        <f>H30/VLOOKUP(C30,#REF!,8,0)</f>
        <v>#REF!</v>
      </c>
      <c r="I31" s="601"/>
      <c r="J31" s="81" t="e">
        <f>J30/VLOOKUP($C30,#REF!,8,0)</f>
        <v>#REF!</v>
      </c>
      <c r="K31" s="582"/>
      <c r="L31" s="69" t="e">
        <f>L30/VLOOKUP(C30,#REF!,8,0)</f>
        <v>#REF!</v>
      </c>
      <c r="M31" s="576"/>
      <c r="N31" s="10"/>
      <c r="O31" s="32" t="s">
        <v>116</v>
      </c>
      <c r="P31" s="243" t="e">
        <f>Q31+U31+W31</f>
        <v>#REF!</v>
      </c>
      <c r="Q31" s="180" t="e">
        <f>Q30/VLOOKUP(C30,#REF!,8,0)</f>
        <v>#REF!</v>
      </c>
      <c r="R31" s="576"/>
      <c r="S31" s="10"/>
      <c r="T31" s="32" t="s">
        <v>116</v>
      </c>
      <c r="U31" s="81" t="e">
        <f>U30/VLOOKUP(C30,#REF!,8,0)</f>
        <v>#REF!</v>
      </c>
      <c r="V31" s="576"/>
      <c r="W31" s="81" t="e">
        <f>W30/VLOOKUP($C30,#REF!,8,0)</f>
        <v>#REF!</v>
      </c>
      <c r="X31" s="576"/>
      <c r="Y31" s="28"/>
      <c r="Z31" s="10"/>
      <c r="AA31" s="606"/>
      <c r="AD31" s="33" t="str">
        <f>C30&amp;F31</f>
        <v>SpainUSD bn</v>
      </c>
    </row>
    <row r="32" spans="1:30" ht="162" customHeight="1">
      <c r="A32" s="638"/>
      <c r="B32" s="638"/>
      <c r="C32" s="661"/>
      <c r="D32" s="630"/>
      <c r="E32" s="12"/>
      <c r="F32" s="31" t="s">
        <v>117</v>
      </c>
      <c r="G32" s="17" t="e">
        <f>(G30/VLOOKUP(C30,#REF!,4,0))*100</f>
        <v>#REF!</v>
      </c>
      <c r="H32" s="68" t="e">
        <f>(H30/VLOOKUP(C30,#REF!,4,0))*100</f>
        <v>#REF!</v>
      </c>
      <c r="I32" s="602"/>
      <c r="J32" s="17" t="e">
        <f>(J30/VLOOKUP($C30,#REF!,4,0))*100</f>
        <v>#REF!</v>
      </c>
      <c r="K32" s="583"/>
      <c r="L32" s="17" t="e">
        <f>(L30/VLOOKUP(C30,#REF!,4,0))*100</f>
        <v>#REF!</v>
      </c>
      <c r="M32" s="577"/>
      <c r="N32" s="12"/>
      <c r="O32" s="31" t="s">
        <v>117</v>
      </c>
      <c r="P32" s="247" t="e">
        <f>Q32+U32+W32</f>
        <v>#REF!</v>
      </c>
      <c r="Q32" s="168" t="e">
        <f>(Q30/VLOOKUP(C30,#REF!,4,0))*100</f>
        <v>#REF!</v>
      </c>
      <c r="R32" s="577"/>
      <c r="S32" s="12"/>
      <c r="T32" s="31" t="s">
        <v>117</v>
      </c>
      <c r="U32" s="17" t="e">
        <f>(U30/VLOOKUP(C30,#REF!,4,0))*100</f>
        <v>#REF!</v>
      </c>
      <c r="V32" s="577"/>
      <c r="W32" s="17" t="e">
        <f>(W30/VLOOKUP($C30,#REF!,4,0))*100</f>
        <v>#REF!</v>
      </c>
      <c r="X32" s="577"/>
      <c r="Y32" s="19"/>
      <c r="Z32" s="1"/>
      <c r="AA32" s="607"/>
      <c r="AD32" s="33" t="str">
        <f>C30&amp;F32</f>
        <v>Spain% GDP</v>
      </c>
    </row>
    <row r="33" spans="1:30" ht="149.5" customHeight="1">
      <c r="A33" s="638">
        <v>1</v>
      </c>
      <c r="B33" s="638" t="s">
        <v>858</v>
      </c>
      <c r="C33" s="632" t="s">
        <v>7</v>
      </c>
      <c r="D33" s="629" t="s">
        <v>571</v>
      </c>
      <c r="E33" s="16"/>
      <c r="F33" s="32" t="s">
        <v>115</v>
      </c>
      <c r="G33" s="80">
        <f>H33+J33</f>
        <v>344</v>
      </c>
      <c r="H33" s="80">
        <v>113</v>
      </c>
      <c r="I33" s="600" t="s">
        <v>1335</v>
      </c>
      <c r="J33" s="80">
        <f>211.3+19.7</f>
        <v>231</v>
      </c>
      <c r="K33" s="575" t="s">
        <v>1428</v>
      </c>
      <c r="L33" s="169">
        <v>7</v>
      </c>
      <c r="M33" s="575" t="s">
        <v>1336</v>
      </c>
      <c r="N33" s="16"/>
      <c r="O33" s="32" t="s">
        <v>115</v>
      </c>
      <c r="P33" s="80">
        <f>Q33+U33+W33</f>
        <v>341</v>
      </c>
      <c r="Q33" s="169">
        <v>1</v>
      </c>
      <c r="R33" s="581" t="s">
        <v>1258</v>
      </c>
      <c r="S33" s="16"/>
      <c r="T33" s="32" t="s">
        <v>115</v>
      </c>
      <c r="U33" s="80">
        <v>340</v>
      </c>
      <c r="V33" s="581" t="s">
        <v>799</v>
      </c>
      <c r="W33" s="141"/>
      <c r="X33" s="575"/>
      <c r="Y33" s="622" t="s">
        <v>72</v>
      </c>
      <c r="Z33" s="15"/>
      <c r="AA33" s="614" t="s">
        <v>71</v>
      </c>
      <c r="AD33" s="33" t="str">
        <f>C33&amp;F33</f>
        <v>United KingdomLC bn</v>
      </c>
    </row>
    <row r="34" spans="1:30" ht="175" customHeight="1">
      <c r="A34" s="638"/>
      <c r="B34" s="638"/>
      <c r="C34" s="632"/>
      <c r="D34" s="629"/>
      <c r="E34" s="6"/>
      <c r="F34" s="32" t="s">
        <v>116</v>
      </c>
      <c r="G34" s="81" t="e">
        <f>G33/VLOOKUP(C33,#REF!,8,0)</f>
        <v>#REF!</v>
      </c>
      <c r="H34" s="81" t="e">
        <f>H33/VLOOKUP(C33,#REF!,8,0)</f>
        <v>#REF!</v>
      </c>
      <c r="I34" s="601"/>
      <c r="J34" s="95" t="e">
        <f>G34-H34</f>
        <v>#REF!</v>
      </c>
      <c r="K34" s="576"/>
      <c r="L34" s="170" t="e">
        <f>L33/VLOOKUP($C33,#REF!,8,0)</f>
        <v>#REF!</v>
      </c>
      <c r="M34" s="576"/>
      <c r="N34" s="6"/>
      <c r="O34" s="32" t="s">
        <v>116</v>
      </c>
      <c r="P34" s="81" t="e">
        <f>P33/VLOOKUP(C33,#REF!,8,0)</f>
        <v>#REF!</v>
      </c>
      <c r="Q34" s="170" t="e">
        <f>Q33/VLOOKUP(C33,#REF!,8,0)</f>
        <v>#REF!</v>
      </c>
      <c r="R34" s="582"/>
      <c r="S34" s="6"/>
      <c r="T34" s="32" t="s">
        <v>116</v>
      </c>
      <c r="U34" s="81" t="e">
        <f>U33/VLOOKUP(C33,#REF!,8,0)</f>
        <v>#REF!</v>
      </c>
      <c r="V34" s="582"/>
      <c r="W34" s="28"/>
      <c r="X34" s="576"/>
      <c r="Y34" s="623"/>
      <c r="AA34" s="615"/>
      <c r="AD34" s="33" t="str">
        <f>C33&amp;F34</f>
        <v>United KingdomUSD bn</v>
      </c>
    </row>
    <row r="35" spans="1:30" s="2" customFormat="1" ht="213" customHeight="1">
      <c r="A35" s="638"/>
      <c r="B35" s="638"/>
      <c r="C35" s="633"/>
      <c r="D35" s="630"/>
      <c r="E35" s="12"/>
      <c r="F35" s="31" t="s">
        <v>117</v>
      </c>
      <c r="G35" s="17" t="e">
        <f>(G33/VLOOKUP(C33,#REF!,4,0))*100</f>
        <v>#REF!</v>
      </c>
      <c r="H35" s="17" t="e">
        <f>(H33/VLOOKUP(C33,#REF!,4,0))*100</f>
        <v>#REF!</v>
      </c>
      <c r="I35" s="602"/>
      <c r="J35" s="68" t="e">
        <f>G35-H35</f>
        <v>#REF!</v>
      </c>
      <c r="K35" s="577"/>
      <c r="L35" s="68" t="e">
        <f>(L33/VLOOKUP($C33,#REF!,4,0))*100</f>
        <v>#REF!</v>
      </c>
      <c r="M35" s="577"/>
      <c r="N35" s="12"/>
      <c r="O35" s="31" t="s">
        <v>117</v>
      </c>
      <c r="P35" s="17" t="e">
        <f>(P33/VLOOKUP(C33,#REF!,4,0))*100</f>
        <v>#REF!</v>
      </c>
      <c r="Q35" s="168" t="e">
        <f>(Q33/VLOOKUP(C33,#REF!,4,0))*100</f>
        <v>#REF!</v>
      </c>
      <c r="R35" s="583"/>
      <c r="S35" s="12"/>
      <c r="T35" s="31" t="s">
        <v>117</v>
      </c>
      <c r="U35" s="17" t="e">
        <f>(U33/VLOOKUP(C33,#REF!,4,0))*100</f>
        <v>#REF!</v>
      </c>
      <c r="V35" s="583"/>
      <c r="W35" s="19"/>
      <c r="X35" s="577"/>
      <c r="Y35" s="624"/>
      <c r="Z35" s="1"/>
      <c r="AA35" s="616"/>
      <c r="AD35" s="33" t="str">
        <f>C33&amp;F35</f>
        <v>United Kingdom% GDP</v>
      </c>
    </row>
    <row r="36" spans="1:30" s="143" customFormat="1" ht="226.5" customHeight="1">
      <c r="A36" s="638">
        <v>1</v>
      </c>
      <c r="B36" s="638" t="s">
        <v>858</v>
      </c>
      <c r="C36" s="631" t="s">
        <v>8</v>
      </c>
      <c r="D36" s="628" t="s">
        <v>571</v>
      </c>
      <c r="E36" s="16"/>
      <c r="F36" s="37" t="s">
        <v>115</v>
      </c>
      <c r="G36" s="252">
        <f>H36+J36</f>
        <v>3503.3</v>
      </c>
      <c r="H36" s="80">
        <f>474.8+9</f>
        <v>483.8</v>
      </c>
      <c r="I36" s="600" t="s">
        <v>1460</v>
      </c>
      <c r="J36" s="252">
        <f>2637+382.5</f>
        <v>3019.5</v>
      </c>
      <c r="K36" s="575" t="s">
        <v>1411</v>
      </c>
      <c r="L36" s="74">
        <v>18</v>
      </c>
      <c r="M36" s="575" t="s">
        <v>1259</v>
      </c>
      <c r="N36" s="16"/>
      <c r="O36" s="37" t="s">
        <v>115</v>
      </c>
      <c r="P36" s="264">
        <f t="shared" ref="P36:P38" si="1">Q36+U36+W36</f>
        <v>510</v>
      </c>
      <c r="Q36" s="256">
        <v>56</v>
      </c>
      <c r="R36" s="581" t="s">
        <v>608</v>
      </c>
      <c r="S36" s="16"/>
      <c r="T36" s="37" t="s">
        <v>115</v>
      </c>
      <c r="U36" s="80">
        <v>454</v>
      </c>
      <c r="V36" s="575" t="s">
        <v>275</v>
      </c>
      <c r="W36" s="18"/>
      <c r="X36" s="18"/>
      <c r="Y36" s="575" t="s">
        <v>73</v>
      </c>
      <c r="Z36" s="15"/>
      <c r="AA36" s="22"/>
      <c r="AD36" s="33" t="str">
        <f>C36&amp;F36</f>
        <v>United StatesLC bn</v>
      </c>
    </row>
    <row r="37" spans="1:30" ht="143.5" customHeight="1">
      <c r="A37" s="638"/>
      <c r="B37" s="638"/>
      <c r="C37" s="632"/>
      <c r="D37" s="629"/>
      <c r="E37" s="6"/>
      <c r="F37" s="32" t="s">
        <v>116</v>
      </c>
      <c r="G37" s="161" t="e">
        <f>G36/VLOOKUP(C36,#REF!,8,0)</f>
        <v>#REF!</v>
      </c>
      <c r="H37" s="81" t="e">
        <f>H36/VLOOKUP(C36,#REF!,8,0)</f>
        <v>#REF!</v>
      </c>
      <c r="I37" s="601"/>
      <c r="J37" s="161" t="e">
        <f>J36/VLOOKUP($C36,#REF!,8,0)</f>
        <v>#REF!</v>
      </c>
      <c r="K37" s="576"/>
      <c r="L37" s="75" t="e">
        <f>L36/VLOOKUP($C36,#REF!,8,0)</f>
        <v>#REF!</v>
      </c>
      <c r="M37" s="576"/>
      <c r="N37" s="6"/>
      <c r="O37" s="32" t="s">
        <v>116</v>
      </c>
      <c r="P37" s="265" t="e">
        <f t="shared" si="1"/>
        <v>#REF!</v>
      </c>
      <c r="Q37" s="167" t="e">
        <f>Q36/VLOOKUP(C36,#REF!,8,0)</f>
        <v>#REF!</v>
      </c>
      <c r="R37" s="582"/>
      <c r="S37" s="6"/>
      <c r="T37" s="32" t="s">
        <v>116</v>
      </c>
      <c r="U37" s="185" t="e">
        <f>U36/VLOOKUP(C36,#REF!,8,0)</f>
        <v>#REF!</v>
      </c>
      <c r="V37" s="576"/>
      <c r="W37" s="28"/>
      <c r="X37" s="28"/>
      <c r="Y37" s="576"/>
      <c r="AA37" s="27"/>
      <c r="AD37" s="33" t="str">
        <f>C36&amp;F37</f>
        <v>United StatesUSD bn</v>
      </c>
    </row>
    <row r="38" spans="1:30" ht="204" customHeight="1">
      <c r="A38" s="638"/>
      <c r="B38" s="638"/>
      <c r="C38" s="633"/>
      <c r="D38" s="630"/>
      <c r="E38" s="12"/>
      <c r="F38" s="31" t="s">
        <v>117</v>
      </c>
      <c r="G38" s="17" t="e">
        <f>(G36/VLOOKUP(C36,#REF!,4,0))*100</f>
        <v>#REF!</v>
      </c>
      <c r="H38" s="17" t="e">
        <f>(H36/VLOOKUP(C36,#REF!,4,0))*100</f>
        <v>#REF!</v>
      </c>
      <c r="I38" s="602"/>
      <c r="J38" s="17" t="e">
        <f>(J36/VLOOKUP($C36,#REF!,4,0))*100</f>
        <v>#REF!</v>
      </c>
      <c r="K38" s="577"/>
      <c r="L38" s="68" t="e">
        <f>(L36/VLOOKUP($C36,#REF!,4,0))*100</f>
        <v>#REF!</v>
      </c>
      <c r="M38" s="577"/>
      <c r="N38" s="12"/>
      <c r="O38" s="31" t="s">
        <v>117</v>
      </c>
      <c r="P38" s="267" t="e">
        <f t="shared" si="1"/>
        <v>#REF!</v>
      </c>
      <c r="Q38" s="168" t="e">
        <f>(Q36/VLOOKUP(C36,#REF!,4,0))*100</f>
        <v>#REF!</v>
      </c>
      <c r="R38" s="583"/>
      <c r="S38" s="12"/>
      <c r="T38" s="31" t="s">
        <v>117</v>
      </c>
      <c r="U38" s="65" t="e">
        <f>(U36/VLOOKUP(C36,#REF!,4,0))*100</f>
        <v>#REF!</v>
      </c>
      <c r="V38" s="577"/>
      <c r="W38" s="19"/>
      <c r="X38" s="19"/>
      <c r="Y38" s="577"/>
      <c r="Z38" s="1"/>
      <c r="AA38" s="26"/>
      <c r="AD38" s="33" t="str">
        <f>C36&amp;F38</f>
        <v>United States% GDP</v>
      </c>
    </row>
    <row r="39" spans="1:30" ht="139.5" customHeight="1">
      <c r="A39" s="638">
        <v>1</v>
      </c>
      <c r="B39" s="638" t="s">
        <v>861</v>
      </c>
      <c r="C39" s="632" t="s">
        <v>9</v>
      </c>
      <c r="D39" s="629" t="s">
        <v>571</v>
      </c>
      <c r="E39" s="6"/>
      <c r="F39" s="32" t="s">
        <v>115</v>
      </c>
      <c r="G39" s="98">
        <f>H39+J39</f>
        <v>1037.5</v>
      </c>
      <c r="H39" s="81">
        <f>48.9+29.1</f>
        <v>78</v>
      </c>
      <c r="I39" s="645" t="s">
        <v>1361</v>
      </c>
      <c r="J39" s="81">
        <f>892.4+67.1</f>
        <v>959.5</v>
      </c>
      <c r="K39" s="581" t="s">
        <v>1362</v>
      </c>
      <c r="L39" s="81">
        <v>10</v>
      </c>
      <c r="M39" s="581" t="s">
        <v>835</v>
      </c>
      <c r="N39" s="6"/>
      <c r="O39" s="32" t="s">
        <v>115</v>
      </c>
      <c r="P39" s="81">
        <f>Q39+U39+W39</f>
        <v>530.1</v>
      </c>
      <c r="Q39" s="170"/>
      <c r="R39" s="581"/>
      <c r="S39" s="6"/>
      <c r="T39" s="32" t="s">
        <v>115</v>
      </c>
      <c r="U39" s="254">
        <v>530.1</v>
      </c>
      <c r="V39" s="581" t="s">
        <v>1363</v>
      </c>
      <c r="W39" s="28"/>
      <c r="X39" s="575"/>
      <c r="Y39" s="35"/>
      <c r="AA39" s="35"/>
      <c r="AD39" s="33" t="str">
        <f>C39&amp;F39</f>
        <v>ArgentinaLC bn</v>
      </c>
    </row>
    <row r="40" spans="1:30" ht="139.5" customHeight="1">
      <c r="A40" s="638"/>
      <c r="B40" s="638"/>
      <c r="C40" s="632"/>
      <c r="D40" s="629"/>
      <c r="E40" s="6"/>
      <c r="F40" s="32" t="s">
        <v>116</v>
      </c>
      <c r="G40" s="95" t="e">
        <f>G39/VLOOKUP(C39,#REF!,8,0)</f>
        <v>#REF!</v>
      </c>
      <c r="H40" s="69" t="e">
        <f>H39/VLOOKUP(C39,#REF!,8,0)</f>
        <v>#REF!</v>
      </c>
      <c r="I40" s="646"/>
      <c r="J40" s="81" t="e">
        <f>G40-H40</f>
        <v>#REF!</v>
      </c>
      <c r="K40" s="582"/>
      <c r="L40" s="69" t="e">
        <f>L39/VLOOKUP($C39,#REF!,8,0)</f>
        <v>#REF!</v>
      </c>
      <c r="M40" s="582"/>
      <c r="N40" s="6"/>
      <c r="O40" s="32" t="s">
        <v>116</v>
      </c>
      <c r="P40" s="69" t="e">
        <f>P39/VLOOKUP($C39,#REF!,8,0)</f>
        <v>#REF!</v>
      </c>
      <c r="Q40" s="170"/>
      <c r="R40" s="582"/>
      <c r="S40" s="6"/>
      <c r="T40" s="32" t="s">
        <v>116</v>
      </c>
      <c r="U40" s="69" t="e">
        <f>U39/VLOOKUP($C39,#REF!,8,0)</f>
        <v>#REF!</v>
      </c>
      <c r="V40" s="582"/>
      <c r="W40" s="28"/>
      <c r="X40" s="576"/>
      <c r="Y40" s="28" t="s">
        <v>152</v>
      </c>
      <c r="AA40" s="27"/>
      <c r="AD40" s="33" t="str">
        <f>C39&amp;F40</f>
        <v>ArgentinaUSD bn</v>
      </c>
    </row>
    <row r="41" spans="1:30" ht="159" customHeight="1">
      <c r="A41" s="638"/>
      <c r="B41" s="638"/>
      <c r="C41" s="633"/>
      <c r="D41" s="630"/>
      <c r="E41" s="12"/>
      <c r="F41" s="31" t="s">
        <v>117</v>
      </c>
      <c r="G41" s="17" t="e">
        <f>(G39/VLOOKUP("Argentina",#REF!,4,0))*100</f>
        <v>#REF!</v>
      </c>
      <c r="H41" s="17" t="e">
        <f>(H39/VLOOKUP("Argentina",#REF!,4,0))*100</f>
        <v>#REF!</v>
      </c>
      <c r="I41" s="647"/>
      <c r="J41" s="17" t="e">
        <f>(J39/VLOOKUP($C39,#REF!,4,0))*100</f>
        <v>#REF!</v>
      </c>
      <c r="K41" s="583"/>
      <c r="L41" s="17" t="e">
        <f>(L39/VLOOKUP($C39,#REF!,4,0))*100</f>
        <v>#REF!</v>
      </c>
      <c r="M41" s="583"/>
      <c r="N41" s="12"/>
      <c r="O41" s="31" t="s">
        <v>117</v>
      </c>
      <c r="P41" s="17" t="e">
        <f>(P39/VLOOKUP($C39,#REF!,4,0))*100</f>
        <v>#REF!</v>
      </c>
      <c r="Q41" s="168"/>
      <c r="R41" s="583"/>
      <c r="S41" s="12"/>
      <c r="T41" s="31" t="s">
        <v>117</v>
      </c>
      <c r="U41" s="17" t="e">
        <f>(U39/VLOOKUP($C39,#REF!,4,0))*100</f>
        <v>#REF!</v>
      </c>
      <c r="V41" s="583"/>
      <c r="W41" s="19"/>
      <c r="X41" s="577"/>
      <c r="Y41" s="19"/>
      <c r="Z41" s="1"/>
      <c r="AA41" s="26"/>
      <c r="AD41" s="33" t="str">
        <f>C39&amp;F41</f>
        <v>Argentina% GDP</v>
      </c>
    </row>
    <row r="42" spans="1:30" ht="121.5" customHeight="1">
      <c r="A42" s="638">
        <v>1</v>
      </c>
      <c r="B42" s="638" t="s">
        <v>861</v>
      </c>
      <c r="C42" s="660" t="s">
        <v>10</v>
      </c>
      <c r="D42" s="629" t="s">
        <v>570</v>
      </c>
      <c r="E42" s="16"/>
      <c r="F42" s="32" t="s">
        <v>115</v>
      </c>
      <c r="G42" s="80">
        <f>J42+H42</f>
        <v>610.20000000000005</v>
      </c>
      <c r="H42" s="80">
        <f>59.3+7.1+20</f>
        <v>86.399999999999991</v>
      </c>
      <c r="I42" s="662" t="s">
        <v>1431</v>
      </c>
      <c r="J42" s="80">
        <f>504.7+20.4-1.3</f>
        <v>523.80000000000007</v>
      </c>
      <c r="K42" s="575" t="s">
        <v>1432</v>
      </c>
      <c r="L42" s="80">
        <f>58.7+143.1</f>
        <v>201.8</v>
      </c>
      <c r="M42" s="581" t="s">
        <v>1328</v>
      </c>
      <c r="N42" s="16"/>
      <c r="O42" s="32" t="s">
        <v>115</v>
      </c>
      <c r="P42" s="80">
        <f>Q42+U42+W42</f>
        <v>457.69999999999993</v>
      </c>
      <c r="Q42" s="171">
        <f>69.7+10.2</f>
        <v>79.900000000000006</v>
      </c>
      <c r="R42" s="575" t="s">
        <v>1433</v>
      </c>
      <c r="S42" s="16"/>
      <c r="T42" s="32" t="s">
        <v>115</v>
      </c>
      <c r="U42" s="80"/>
      <c r="V42" s="575" t="s">
        <v>711</v>
      </c>
      <c r="W42" s="99">
        <f>309.4+32.2+36.2</f>
        <v>377.79999999999995</v>
      </c>
      <c r="X42" s="575" t="s">
        <v>1329</v>
      </c>
      <c r="Y42" s="575" t="s">
        <v>75</v>
      </c>
      <c r="Z42" s="15"/>
      <c r="AA42" s="22"/>
      <c r="AD42" s="33" t="str">
        <f>C42&amp;F42</f>
        <v>BrazilLC bn</v>
      </c>
    </row>
    <row r="43" spans="1:30" ht="127" customHeight="1">
      <c r="A43" s="638"/>
      <c r="B43" s="638"/>
      <c r="C43" s="660"/>
      <c r="D43" s="629"/>
      <c r="E43" s="6"/>
      <c r="F43" s="32" t="s">
        <v>116</v>
      </c>
      <c r="G43" s="81" t="e">
        <f>G42/VLOOKUP(C42,#REF!,8,0)</f>
        <v>#REF!</v>
      </c>
      <c r="H43" s="81" t="e">
        <f>H42/VLOOKUP($C42,#REF!,8,0)</f>
        <v>#REF!</v>
      </c>
      <c r="I43" s="601"/>
      <c r="J43" s="81" t="e">
        <f>J42/VLOOKUP($C42,#REF!,8,0)</f>
        <v>#REF!</v>
      </c>
      <c r="K43" s="576"/>
      <c r="L43" s="81" t="e">
        <f>L42/VLOOKUP($C42,#REF!,8,0)</f>
        <v>#REF!</v>
      </c>
      <c r="M43" s="582"/>
      <c r="N43" s="6"/>
      <c r="O43" s="32" t="s">
        <v>116</v>
      </c>
      <c r="P43" s="81" t="e">
        <f>P42/VLOOKUP(C42,#REF!,8,0)</f>
        <v>#REF!</v>
      </c>
      <c r="Q43" s="167" t="e">
        <f>Q42/VLOOKUP(C42,#REF!,8,0)</f>
        <v>#REF!</v>
      </c>
      <c r="R43" s="576"/>
      <c r="S43" s="6"/>
      <c r="T43" s="32" t="s">
        <v>116</v>
      </c>
      <c r="U43" s="69"/>
      <c r="V43" s="576"/>
      <c r="W43" s="81" t="e">
        <f>W42/VLOOKUP($C42,#REF!,8,0)</f>
        <v>#REF!</v>
      </c>
      <c r="X43" s="576"/>
      <c r="Y43" s="576"/>
      <c r="AA43" s="27"/>
      <c r="AD43" s="33" t="str">
        <f>C42&amp;F43</f>
        <v>BrazilUSD bn</v>
      </c>
    </row>
    <row r="44" spans="1:30" ht="232" customHeight="1">
      <c r="A44" s="638"/>
      <c r="B44" s="638"/>
      <c r="C44" s="661"/>
      <c r="D44" s="630"/>
      <c r="E44" s="6"/>
      <c r="F44" s="32" t="s">
        <v>117</v>
      </c>
      <c r="G44" s="69" t="e">
        <f>(G42/VLOOKUP(C42,#REF!,4,0))*100</f>
        <v>#REF!</v>
      </c>
      <c r="H44" s="17" t="e">
        <f>(H42/VLOOKUP($C42,#REF!,4,0))*100</f>
        <v>#REF!</v>
      </c>
      <c r="I44" s="602"/>
      <c r="J44" s="17" t="e">
        <f>(J42/VLOOKUP($C42,#REF!,4,0))*100</f>
        <v>#REF!</v>
      </c>
      <c r="K44" s="577"/>
      <c r="L44" s="17" t="e">
        <f>(L42/VLOOKUP($C42,#REF!,4,0))*100</f>
        <v>#REF!</v>
      </c>
      <c r="M44" s="583"/>
      <c r="N44" s="6"/>
      <c r="O44" s="32" t="s">
        <v>117</v>
      </c>
      <c r="P44" s="69" t="e">
        <f>(P42/VLOOKUP(C42,#REF!,4,0))*100</f>
        <v>#REF!</v>
      </c>
      <c r="Q44" s="170" t="e">
        <f>(Q42/VLOOKUP(C42,#REF!,4,0))*100</f>
        <v>#REF!</v>
      </c>
      <c r="R44" s="577"/>
      <c r="S44" s="6"/>
      <c r="T44" s="32" t="s">
        <v>117</v>
      </c>
      <c r="U44" s="69"/>
      <c r="V44" s="577"/>
      <c r="W44" s="17" t="e">
        <f>(W42/VLOOKUP($C42,#REF!,4,0))*100</f>
        <v>#REF!</v>
      </c>
      <c r="X44" s="577"/>
      <c r="Y44" s="577"/>
      <c r="AA44" s="27"/>
      <c r="AD44" s="33" t="str">
        <f>C42&amp;F44</f>
        <v>Brazil% GDP</v>
      </c>
    </row>
    <row r="45" spans="1:30" s="13" customFormat="1" ht="137.5" customHeight="1">
      <c r="A45" s="638">
        <v>1</v>
      </c>
      <c r="B45" s="638" t="s">
        <v>861</v>
      </c>
      <c r="C45" s="660" t="s">
        <v>11</v>
      </c>
      <c r="D45" s="629" t="s">
        <v>570</v>
      </c>
      <c r="F45" s="37" t="s">
        <v>115</v>
      </c>
      <c r="G45" s="127">
        <f>H45+J45</f>
        <v>4904</v>
      </c>
      <c r="H45" s="74">
        <v>147</v>
      </c>
      <c r="I45" s="600" t="s">
        <v>618</v>
      </c>
      <c r="J45" s="127">
        <f>3001+1756</f>
        <v>4757</v>
      </c>
      <c r="K45" s="581" t="s">
        <v>1434</v>
      </c>
      <c r="L45" s="127">
        <v>1600</v>
      </c>
      <c r="M45" s="581" t="s">
        <v>1260</v>
      </c>
      <c r="O45" s="37" t="s">
        <v>115</v>
      </c>
      <c r="P45" s="264">
        <f>Q45+U45+W45</f>
        <v>1330</v>
      </c>
      <c r="Q45" s="175">
        <v>0</v>
      </c>
      <c r="R45" s="575" t="s">
        <v>1221</v>
      </c>
      <c r="T45" s="37" t="s">
        <v>115</v>
      </c>
      <c r="U45" s="93">
        <v>400</v>
      </c>
      <c r="V45" s="575" t="s">
        <v>944</v>
      </c>
      <c r="W45" s="189">
        <v>930</v>
      </c>
      <c r="X45" s="581" t="s">
        <v>1461</v>
      </c>
      <c r="Y45" s="575" t="s">
        <v>76</v>
      </c>
      <c r="AA45" s="18"/>
      <c r="AD45" s="33" t="str">
        <f>C45&amp;F45</f>
        <v>ChinaLC bn</v>
      </c>
    </row>
    <row r="46" spans="1:30" ht="137.5" customHeight="1">
      <c r="A46" s="638"/>
      <c r="B46" s="638"/>
      <c r="C46" s="660"/>
      <c r="D46" s="629"/>
      <c r="E46" s="6"/>
      <c r="F46" s="32" t="s">
        <v>116</v>
      </c>
      <c r="G46" s="81" t="e">
        <f>G45/VLOOKUP(C45,#REF!,8,0)</f>
        <v>#REF!</v>
      </c>
      <c r="H46" s="81" t="e">
        <f>H45/VLOOKUP($C45,#REF!,8,0)</f>
        <v>#REF!</v>
      </c>
      <c r="I46" s="601"/>
      <c r="J46" s="81" t="e">
        <f>J45/VLOOKUP($C45,#REF!,8,0)</f>
        <v>#REF!</v>
      </c>
      <c r="K46" s="582"/>
      <c r="L46" s="81" t="e">
        <f>L45/VLOOKUP($C45,#REF!,8,0)</f>
        <v>#REF!</v>
      </c>
      <c r="M46" s="582"/>
      <c r="N46" s="6"/>
      <c r="O46" s="32" t="s">
        <v>116</v>
      </c>
      <c r="P46" s="265" t="e">
        <f>Q46+U46+W46</f>
        <v>#REF!</v>
      </c>
      <c r="Q46" s="167"/>
      <c r="R46" s="576"/>
      <c r="S46" s="6"/>
      <c r="T46" s="32" t="s">
        <v>116</v>
      </c>
      <c r="U46" s="81" t="e">
        <f>U45/VLOOKUP(C45,#REF!,8,0)</f>
        <v>#REF!</v>
      </c>
      <c r="V46" s="576"/>
      <c r="W46" s="95" t="e">
        <f>W45/VLOOKUP($C45,#REF!,8,0)</f>
        <v>#REF!</v>
      </c>
      <c r="X46" s="582"/>
      <c r="Y46" s="576"/>
      <c r="AA46" s="27"/>
      <c r="AD46" s="33" t="str">
        <f>C45&amp;F46</f>
        <v>ChinaUSD bn</v>
      </c>
    </row>
    <row r="47" spans="1:30" ht="141" customHeight="1">
      <c r="A47" s="638"/>
      <c r="B47" s="638"/>
      <c r="C47" s="661"/>
      <c r="D47" s="630"/>
      <c r="E47" s="12"/>
      <c r="F47" s="31" t="s">
        <v>117</v>
      </c>
      <c r="G47" s="17" t="e">
        <f>(G45/VLOOKUP(C45,#REF!,4,0))*100</f>
        <v>#REF!</v>
      </c>
      <c r="H47" s="17" t="e">
        <f>(H45/VLOOKUP($C45,#REF!,4,0))*100</f>
        <v>#REF!</v>
      </c>
      <c r="I47" s="602"/>
      <c r="J47" s="17" t="e">
        <f>(J45/VLOOKUP($C45,#REF!,4,0))*100</f>
        <v>#REF!</v>
      </c>
      <c r="K47" s="583"/>
      <c r="L47" s="17" t="e">
        <f>(L45/VLOOKUP($C45,#REF!,4,0))*100</f>
        <v>#REF!</v>
      </c>
      <c r="M47" s="583"/>
      <c r="N47" s="12"/>
      <c r="O47" s="31" t="s">
        <v>117</v>
      </c>
      <c r="P47" s="267" t="e">
        <f t="shared" ref="P47" si="2">Q47+U47+W47</f>
        <v>#REF!</v>
      </c>
      <c r="Q47" s="168"/>
      <c r="R47" s="577"/>
      <c r="S47" s="12"/>
      <c r="T47" s="31" t="s">
        <v>117</v>
      </c>
      <c r="U47" s="17" t="e">
        <f>(U45/VLOOKUP(C45,#REF!,4,0))*100</f>
        <v>#REF!</v>
      </c>
      <c r="V47" s="577"/>
      <c r="W47" s="56" t="e">
        <f>(W45/VLOOKUP($C45,#REF!,4,0))*100</f>
        <v>#REF!</v>
      </c>
      <c r="X47" s="583"/>
      <c r="Y47" s="576"/>
      <c r="AA47" s="27"/>
      <c r="AD47" s="33" t="str">
        <f>C45&amp;F47</f>
        <v>China% GDP</v>
      </c>
    </row>
    <row r="48" spans="1:30" s="13" customFormat="1" ht="191.5" customHeight="1">
      <c r="A48" s="638">
        <v>1</v>
      </c>
      <c r="B48" s="638" t="s">
        <v>861</v>
      </c>
      <c r="C48" s="632" t="s">
        <v>12</v>
      </c>
      <c r="D48" s="629" t="s">
        <v>571</v>
      </c>
      <c r="F48" s="37" t="s">
        <v>115</v>
      </c>
      <c r="G48" s="127">
        <f>H48+J48</f>
        <v>5998.7</v>
      </c>
      <c r="H48" s="74">
        <v>360</v>
      </c>
      <c r="I48" s="575" t="s">
        <v>1330</v>
      </c>
      <c r="J48" s="127">
        <v>5638.7</v>
      </c>
      <c r="K48" s="581" t="s">
        <v>1394</v>
      </c>
      <c r="L48" s="74">
        <f>660+680</f>
        <v>1340</v>
      </c>
      <c r="M48" s="581" t="s">
        <v>1331</v>
      </c>
      <c r="O48" s="37" t="s">
        <v>115</v>
      </c>
      <c r="P48" s="127">
        <f>Q48+U48+W48</f>
        <v>9991</v>
      </c>
      <c r="Q48" s="74">
        <v>641</v>
      </c>
      <c r="R48" s="575" t="s">
        <v>1332</v>
      </c>
      <c r="T48" s="37" t="s">
        <v>115</v>
      </c>
      <c r="U48" s="126">
        <v>8450</v>
      </c>
      <c r="V48" s="581" t="s">
        <v>1333</v>
      </c>
      <c r="W48" s="74">
        <v>900</v>
      </c>
      <c r="X48" s="575" t="s">
        <v>1334</v>
      </c>
      <c r="Y48" s="18"/>
      <c r="AA48" s="605" t="s">
        <v>57</v>
      </c>
      <c r="AD48" s="33" t="str">
        <f>C48&amp;F48</f>
        <v>IndiaLC bn</v>
      </c>
    </row>
    <row r="49" spans="1:30" s="10" customFormat="1" ht="170.5" customHeight="1">
      <c r="A49" s="638"/>
      <c r="B49" s="638"/>
      <c r="C49" s="632"/>
      <c r="D49" s="629"/>
      <c r="F49" s="32" t="s">
        <v>116</v>
      </c>
      <c r="G49" s="81" t="e">
        <f>G48/VLOOKUP(C48,#REF!,8,0)</f>
        <v>#REF!</v>
      </c>
      <c r="H49" s="69" t="e">
        <f>H48/VLOOKUP($C48,#REF!,8,0)</f>
        <v>#REF!</v>
      </c>
      <c r="I49" s="576"/>
      <c r="J49" s="81" t="e">
        <f>J48/VLOOKUP($C48,#REF!,8,0)</f>
        <v>#REF!</v>
      </c>
      <c r="K49" s="582"/>
      <c r="L49" s="69" t="e">
        <f>L48/VLOOKUP($C48,#REF!,8,0)</f>
        <v>#REF!</v>
      </c>
      <c r="M49" s="582"/>
      <c r="O49" s="32" t="s">
        <v>116</v>
      </c>
      <c r="P49" s="167" t="e">
        <f>P48/VLOOKUP($C48,#REF!,8,0)</f>
        <v>#REF!</v>
      </c>
      <c r="Q49" s="170" t="e">
        <f>Q48/VLOOKUP($C48,#REF!,8,0)</f>
        <v>#REF!</v>
      </c>
      <c r="R49" s="576"/>
      <c r="T49" s="32" t="s">
        <v>116</v>
      </c>
      <c r="U49" s="167" t="e">
        <f>U48/VLOOKUP($C48,#REF!,8,0)</f>
        <v>#REF!</v>
      </c>
      <c r="V49" s="582"/>
      <c r="W49" s="167" t="e">
        <f>W48/VLOOKUP($C48,#REF!,8,0)</f>
        <v>#REF!</v>
      </c>
      <c r="X49" s="576"/>
      <c r="Y49" s="28"/>
      <c r="AA49" s="606"/>
      <c r="AD49" s="33" t="str">
        <f>C48&amp;F49</f>
        <v>IndiaUSD bn</v>
      </c>
    </row>
    <row r="50" spans="1:30" ht="171" customHeight="1">
      <c r="A50" s="638"/>
      <c r="B50" s="638"/>
      <c r="C50" s="633"/>
      <c r="D50" s="630"/>
      <c r="E50" s="6"/>
      <c r="F50" s="32" t="s">
        <v>117</v>
      </c>
      <c r="G50" s="69" t="e">
        <f>(G48/VLOOKUP(C48,#REF!,4,0))*100</f>
        <v>#REF!</v>
      </c>
      <c r="H50" s="121" t="e">
        <f>(H48/VLOOKUP($C48,#REF!,4,0))*100</f>
        <v>#REF!</v>
      </c>
      <c r="I50" s="577"/>
      <c r="J50" s="121" t="e">
        <f>(J48/VLOOKUP($C48,#REF!,4,0))*100</f>
        <v>#REF!</v>
      </c>
      <c r="K50" s="583"/>
      <c r="L50" s="121" t="e">
        <f>(L48/VLOOKUP($C48,#REF!,4,0))*100</f>
        <v>#REF!</v>
      </c>
      <c r="M50" s="583"/>
      <c r="N50" s="6"/>
      <c r="O50" s="32" t="s">
        <v>117</v>
      </c>
      <c r="P50" s="121" t="e">
        <f>(P48/VLOOKUP($C48,#REF!,4,0))*100</f>
        <v>#REF!</v>
      </c>
      <c r="Q50" s="121" t="e">
        <f>(Q48/VLOOKUP($C48,#REF!,4,0))*100</f>
        <v>#REF!</v>
      </c>
      <c r="R50" s="577"/>
      <c r="S50" s="6"/>
      <c r="T50" s="32" t="s">
        <v>117</v>
      </c>
      <c r="U50" s="121" t="e">
        <f>(U48/VLOOKUP($C48,#REF!,4,0))*100</f>
        <v>#REF!</v>
      </c>
      <c r="V50" s="583"/>
      <c r="W50" s="121" t="e">
        <f>(W48/VLOOKUP($C48,#REF!,4,0))*100</f>
        <v>#REF!</v>
      </c>
      <c r="X50" s="577"/>
      <c r="Y50" s="28"/>
      <c r="AA50" s="607"/>
      <c r="AD50" s="33" t="str">
        <f>C48&amp;F50</f>
        <v>India% GDP</v>
      </c>
    </row>
    <row r="51" spans="1:30" s="13" customFormat="1" ht="92.5" customHeight="1">
      <c r="A51" s="638">
        <v>1</v>
      </c>
      <c r="B51" s="638" t="s">
        <v>861</v>
      </c>
      <c r="C51" s="632" t="s">
        <v>13</v>
      </c>
      <c r="D51" s="629" t="s">
        <v>571</v>
      </c>
      <c r="F51" s="37" t="s">
        <v>115</v>
      </c>
      <c r="G51" s="127">
        <f>H51+J51</f>
        <v>424500</v>
      </c>
      <c r="H51" s="259">
        <v>76000</v>
      </c>
      <c r="I51" s="575" t="s">
        <v>841</v>
      </c>
      <c r="J51" s="259">
        <f>252200+96300</f>
        <v>348500</v>
      </c>
      <c r="K51" s="575" t="s">
        <v>1254</v>
      </c>
      <c r="L51" s="140"/>
      <c r="M51" s="581" t="s">
        <v>1261</v>
      </c>
      <c r="O51" s="37" t="s">
        <v>115</v>
      </c>
      <c r="P51" s="260">
        <f>Q51+U51+W51</f>
        <v>135150</v>
      </c>
      <c r="Q51" s="183">
        <v>35150</v>
      </c>
      <c r="R51" s="575" t="s">
        <v>1255</v>
      </c>
      <c r="T51" s="37" t="s">
        <v>115</v>
      </c>
      <c r="U51" s="183">
        <v>100000</v>
      </c>
      <c r="V51" s="581" t="s">
        <v>1303</v>
      </c>
      <c r="W51" s="278"/>
      <c r="X51" s="140"/>
      <c r="Y51" s="18"/>
      <c r="AA51" s="18"/>
      <c r="AD51" s="33" t="str">
        <f>C51&amp;F51</f>
        <v>IndonesiaLC bn</v>
      </c>
    </row>
    <row r="52" spans="1:30" s="10" customFormat="1" ht="109" customHeight="1">
      <c r="A52" s="638"/>
      <c r="B52" s="638"/>
      <c r="C52" s="632"/>
      <c r="D52" s="629"/>
      <c r="F52" s="32" t="s">
        <v>116</v>
      </c>
      <c r="G52" s="81" t="e">
        <f>G51/VLOOKUP(C51,#REF!,8,0)</f>
        <v>#REF!</v>
      </c>
      <c r="H52" s="69" t="e">
        <f>H51/VLOOKUP($C51,#REF!,8,0)</f>
        <v>#REF!</v>
      </c>
      <c r="I52" s="576"/>
      <c r="J52" s="254" t="e">
        <f>J51/VLOOKUP($C51,#REF!,8,0)</f>
        <v>#REF!</v>
      </c>
      <c r="K52" s="576"/>
      <c r="L52" s="186"/>
      <c r="M52" s="582"/>
      <c r="O52" s="32" t="s">
        <v>116</v>
      </c>
      <c r="P52" s="81" t="e">
        <f>P51/VLOOKUP($C51,#REF!,8,0)</f>
        <v>#REF!</v>
      </c>
      <c r="Q52" s="180" t="e">
        <f>Q51/VLOOKUP($C51,#REF!,8,0)</f>
        <v>#REF!</v>
      </c>
      <c r="R52" s="652"/>
      <c r="T52" s="32" t="s">
        <v>116</v>
      </c>
      <c r="U52" s="173" t="e">
        <f>U51/VLOOKUP($C51,#REF!,8,0)</f>
        <v>#REF!</v>
      </c>
      <c r="V52" s="582"/>
      <c r="W52" s="279"/>
      <c r="X52" s="29"/>
      <c r="Y52" s="28"/>
      <c r="AA52" s="28"/>
      <c r="AD52" s="33" t="str">
        <f>C51&amp;F52</f>
        <v>IndonesiaUSD bn</v>
      </c>
    </row>
    <row r="53" spans="1:30" s="2" customFormat="1" ht="102.65" customHeight="1">
      <c r="A53" s="638"/>
      <c r="B53" s="638"/>
      <c r="C53" s="633"/>
      <c r="D53" s="630"/>
      <c r="E53" s="12"/>
      <c r="F53" s="31" t="s">
        <v>117</v>
      </c>
      <c r="G53" s="17" t="e">
        <f>(G51/VLOOKUP(C51,#REF!,4,0))*100</f>
        <v>#REF!</v>
      </c>
      <c r="H53" s="17" t="e">
        <f>(H51/VLOOKUP($C51,#REF!,4,0))*100</f>
        <v>#REF!</v>
      </c>
      <c r="I53" s="577"/>
      <c r="J53" s="121" t="e">
        <f>(J51/VLOOKUP($C51,#REF!,4,0))*100</f>
        <v>#REF!</v>
      </c>
      <c r="K53" s="577"/>
      <c r="L53" s="187"/>
      <c r="M53" s="583"/>
      <c r="N53" s="12"/>
      <c r="O53" s="31" t="s">
        <v>117</v>
      </c>
      <c r="P53" s="17" t="e">
        <f>(P51/VLOOKUP($C51,#REF!,4,0))*100</f>
        <v>#REF!</v>
      </c>
      <c r="Q53" s="174" t="e">
        <f>(Q51/VLOOKUP($C51,#REF!,4,0))*100</f>
        <v>#REF!</v>
      </c>
      <c r="R53" s="653"/>
      <c r="S53" s="12"/>
      <c r="T53" s="31" t="s">
        <v>117</v>
      </c>
      <c r="U53" s="174" t="e">
        <f>(U51/VLOOKUP($C51,#REF!,4,0))*100</f>
        <v>#REF!</v>
      </c>
      <c r="V53" s="583"/>
      <c r="W53" s="280"/>
      <c r="X53" s="187"/>
      <c r="Y53" s="132" t="s">
        <v>296</v>
      </c>
      <c r="Z53" s="1"/>
      <c r="AA53" s="26"/>
      <c r="AD53" s="33" t="str">
        <f>C51&amp;F53</f>
        <v>Indonesia% GDP</v>
      </c>
    </row>
    <row r="54" spans="1:30" s="36" customFormat="1" ht="58.5" customHeight="1">
      <c r="A54" s="638">
        <v>1</v>
      </c>
      <c r="B54" s="638" t="s">
        <v>861</v>
      </c>
      <c r="C54" s="632" t="s">
        <v>14</v>
      </c>
      <c r="D54" s="629" t="s">
        <v>572</v>
      </c>
      <c r="F54" s="32" t="s">
        <v>115</v>
      </c>
      <c r="G54" s="95">
        <f>H54+J54</f>
        <v>154</v>
      </c>
      <c r="H54" s="75">
        <v>50</v>
      </c>
      <c r="I54" s="650" t="s">
        <v>1350</v>
      </c>
      <c r="J54" s="95">
        <v>104</v>
      </c>
      <c r="K54" s="651" t="s">
        <v>1347</v>
      </c>
      <c r="L54" s="95">
        <v>92</v>
      </c>
      <c r="M54" s="581" t="s">
        <v>1348</v>
      </c>
      <c r="O54" s="32" t="s">
        <v>115</v>
      </c>
      <c r="P54" s="95">
        <f>SUM(Q54,U54,W54)</f>
        <v>289.512</v>
      </c>
      <c r="Q54" s="166">
        <f>34.3+3+2</f>
        <v>39.299999999999997</v>
      </c>
      <c r="R54" s="575" t="s">
        <v>1349</v>
      </c>
      <c r="T54" s="32" t="s">
        <v>115</v>
      </c>
      <c r="U54" s="56">
        <v>24.512</v>
      </c>
      <c r="V54" s="28" t="s">
        <v>1435</v>
      </c>
      <c r="W54" s="166">
        <v>225.7</v>
      </c>
      <c r="X54" s="575" t="s">
        <v>1436</v>
      </c>
      <c r="Y54" s="575" t="s">
        <v>77</v>
      </c>
      <c r="AA54" s="654" t="s">
        <v>1437</v>
      </c>
      <c r="AD54" s="33" t="str">
        <f>C54&amp;F54</f>
        <v>MexicoLC bn</v>
      </c>
    </row>
    <row r="55" spans="1:30" s="36" customFormat="1" ht="58.5" customHeight="1">
      <c r="A55" s="638"/>
      <c r="B55" s="638"/>
      <c r="C55" s="632"/>
      <c r="D55" s="629"/>
      <c r="F55" s="32" t="s">
        <v>116</v>
      </c>
      <c r="G55" s="69" t="e">
        <f>G54/VLOOKUP(C54,#REF!,8,0)</f>
        <v>#REF!</v>
      </c>
      <c r="H55" s="69" t="e">
        <f>H54/VLOOKUP($C54,#REF!,8,0)</f>
        <v>#REF!</v>
      </c>
      <c r="I55" s="601"/>
      <c r="J55" s="69" t="e">
        <f>J54/VLOOKUP($C54,#REF!,8,0)</f>
        <v>#REF!</v>
      </c>
      <c r="K55" s="582"/>
      <c r="L55" s="69" t="e">
        <f>L54/VLOOKUP($C54,#REF!,8,0)</f>
        <v>#REF!</v>
      </c>
      <c r="M55" s="582"/>
      <c r="O55" s="32" t="s">
        <v>116</v>
      </c>
      <c r="P55" s="69" t="e">
        <f>P54/VLOOKUP($C54,#REF!,8,0)</f>
        <v>#REF!</v>
      </c>
      <c r="Q55" s="69" t="e">
        <f>Q54/VLOOKUP($C54,#REF!,8,0)</f>
        <v>#REF!</v>
      </c>
      <c r="R55" s="576"/>
      <c r="T55" s="32" t="s">
        <v>116</v>
      </c>
      <c r="U55" s="56" t="e">
        <f>U54/VLOOKUP($C54,#REF!,8,0)</f>
        <v>#REF!</v>
      </c>
      <c r="V55" s="28"/>
      <c r="W55" s="69" t="e">
        <f>W54/VLOOKUP($C54,#REF!,8,0)</f>
        <v>#REF!</v>
      </c>
      <c r="X55" s="576"/>
      <c r="Y55" s="576"/>
      <c r="AA55" s="655"/>
      <c r="AD55" s="33" t="str">
        <f>C54&amp;F55</f>
        <v>MexicoUSD bn</v>
      </c>
    </row>
    <row r="56" spans="1:30" s="4" customFormat="1" ht="58.5" customHeight="1">
      <c r="A56" s="638"/>
      <c r="B56" s="638"/>
      <c r="C56" s="633"/>
      <c r="D56" s="630"/>
      <c r="F56" s="31" t="s">
        <v>117</v>
      </c>
      <c r="G56" s="17" t="e">
        <f>(G54/VLOOKUP(C54,#REF!,4,0))*100</f>
        <v>#REF!</v>
      </c>
      <c r="H56" s="17" t="e">
        <f>(H54/VLOOKUP($C54,#REF!,4,0))*100</f>
        <v>#REF!</v>
      </c>
      <c r="I56" s="602"/>
      <c r="J56" s="17" t="e">
        <f>(J54/VLOOKUP($C54,#REF!,4,0))*100</f>
        <v>#REF!</v>
      </c>
      <c r="K56" s="583"/>
      <c r="L56" s="17" t="e">
        <f>(L54/VLOOKUP($C54,#REF!,4,0))*100</f>
        <v>#REF!</v>
      </c>
      <c r="M56" s="583"/>
      <c r="O56" s="31" t="s">
        <v>117</v>
      </c>
      <c r="P56" s="17" t="e">
        <f>(P54/VLOOKUP($C54,#REF!,4,0))*100</f>
        <v>#REF!</v>
      </c>
      <c r="Q56" s="17" t="e">
        <f>(Q54/VLOOKUP($C54,#REF!,4,0))*100</f>
        <v>#REF!</v>
      </c>
      <c r="R56" s="577"/>
      <c r="T56" s="31" t="s">
        <v>117</v>
      </c>
      <c r="U56" s="68" t="e">
        <f>(U54/VLOOKUP($C54,#REF!,4,0))*100</f>
        <v>#REF!</v>
      </c>
      <c r="V56" s="19"/>
      <c r="W56" s="17" t="e">
        <f>(W54/VLOOKUP($C54,#REF!,4,0))*100</f>
        <v>#REF!</v>
      </c>
      <c r="X56" s="577"/>
      <c r="Y56" s="577"/>
      <c r="AA56" s="656"/>
      <c r="AD56" s="33" t="str">
        <f>C54&amp;F56</f>
        <v>Mexico% GDP</v>
      </c>
    </row>
    <row r="57" spans="1:30" s="10" customFormat="1" ht="320.14999999999998" customHeight="1">
      <c r="A57" s="638">
        <v>1</v>
      </c>
      <c r="B57" s="638" t="s">
        <v>861</v>
      </c>
      <c r="C57" s="632" t="s">
        <v>15</v>
      </c>
      <c r="D57" s="629" t="s">
        <v>571</v>
      </c>
      <c r="E57" s="13"/>
      <c r="F57" s="32" t="s">
        <v>115</v>
      </c>
      <c r="G57" s="127">
        <f>H57+J57</f>
        <v>3012</v>
      </c>
      <c r="H57" s="74">
        <v>634</v>
      </c>
      <c r="I57" s="575" t="s">
        <v>975</v>
      </c>
      <c r="J57" s="127">
        <v>2378</v>
      </c>
      <c r="K57" s="581" t="s">
        <v>1439</v>
      </c>
      <c r="L57" s="74">
        <v>460</v>
      </c>
      <c r="M57" s="575" t="s">
        <v>805</v>
      </c>
      <c r="N57" s="13"/>
      <c r="O57" s="32" t="s">
        <v>115</v>
      </c>
      <c r="P57" s="127">
        <f>Q57+U57+W57</f>
        <v>1567</v>
      </c>
      <c r="Q57" s="166">
        <v>567</v>
      </c>
      <c r="R57" s="575" t="s">
        <v>574</v>
      </c>
      <c r="S57" s="13"/>
      <c r="T57" s="32" t="s">
        <v>115</v>
      </c>
      <c r="U57" s="95">
        <v>500</v>
      </c>
      <c r="V57" s="575" t="s">
        <v>978</v>
      </c>
      <c r="W57" s="189">
        <v>500</v>
      </c>
      <c r="X57" s="581" t="s">
        <v>806</v>
      </c>
      <c r="Y57" s="18"/>
      <c r="Z57" s="13"/>
      <c r="AA57" s="18"/>
      <c r="AD57" s="33" t="str">
        <f>C57&amp;F57</f>
        <v>RussiaLC bn</v>
      </c>
    </row>
    <row r="58" spans="1:30" s="10" customFormat="1" ht="384.65" customHeight="1">
      <c r="A58" s="638"/>
      <c r="B58" s="638"/>
      <c r="C58" s="632"/>
      <c r="D58" s="629"/>
      <c r="F58" s="32" t="s">
        <v>116</v>
      </c>
      <c r="G58" s="81" t="e">
        <f>G57/VLOOKUP(C57,#REF!,8,0)</f>
        <v>#REF!</v>
      </c>
      <c r="H58" s="56" t="e">
        <f>H57/VLOOKUP(C57,#REF!,8,0)</f>
        <v>#REF!</v>
      </c>
      <c r="I58" s="576"/>
      <c r="J58" s="254" t="e">
        <f>J57/VLOOKUP($C57,#REF!,8,0)</f>
        <v>#REF!</v>
      </c>
      <c r="K58" s="582"/>
      <c r="L58" s="120" t="e">
        <f>L57/VLOOKUP($C57,#REF!,8,0)</f>
        <v>#REF!</v>
      </c>
      <c r="M58" s="576"/>
      <c r="O58" s="32" t="s">
        <v>116</v>
      </c>
      <c r="P58" s="81" t="e">
        <f>P57/VLOOKUP($C57,#REF!,8,0)</f>
        <v>#REF!</v>
      </c>
      <c r="Q58" s="69" t="e">
        <f>Q57/VLOOKUP($C57,#REF!,8,0)</f>
        <v>#REF!</v>
      </c>
      <c r="R58" s="576"/>
      <c r="T58" s="32" t="s">
        <v>116</v>
      </c>
      <c r="U58" s="69" t="e">
        <f>U57/VLOOKUP($C57,#REF!,8,0)</f>
        <v>#REF!</v>
      </c>
      <c r="V58" s="576"/>
      <c r="W58" s="69" t="e">
        <f>W57/VLOOKUP($C57,#REF!,8,0)</f>
        <v>#REF!</v>
      </c>
      <c r="X58" s="582"/>
      <c r="Y58" s="28"/>
      <c r="AA58" s="28"/>
      <c r="AD58" s="33" t="str">
        <f>C57&amp;F58</f>
        <v>RussiaUSD bn</v>
      </c>
    </row>
    <row r="59" spans="1:30" ht="245.15" customHeight="1">
      <c r="A59" s="638"/>
      <c r="B59" s="638"/>
      <c r="C59" s="633"/>
      <c r="D59" s="630"/>
      <c r="E59" s="6"/>
      <c r="F59" s="32" t="s">
        <v>117</v>
      </c>
      <c r="G59" s="69" t="e">
        <f>(G57/VLOOKUP(C57,#REF!,4,0))*100</f>
        <v>#REF!</v>
      </c>
      <c r="H59" s="263" t="e">
        <f>(H57/VLOOKUP(C57,#REF!,4,0))*100</f>
        <v>#REF!</v>
      </c>
      <c r="I59" s="577"/>
      <c r="J59" s="121" t="e">
        <f>(J57/VLOOKUP($C57,#REF!,4,0))*100</f>
        <v>#REF!</v>
      </c>
      <c r="K59" s="583"/>
      <c r="L59" s="121" t="e">
        <f>(L57/VLOOKUP($C57,#REF!,4,0))*100</f>
        <v>#REF!</v>
      </c>
      <c r="M59" s="577"/>
      <c r="N59" s="6"/>
      <c r="O59" s="32" t="s">
        <v>117</v>
      </c>
      <c r="P59" s="17" t="e">
        <f>P57/VLOOKUP($C57,#REF!,4,0)*100</f>
        <v>#REF!</v>
      </c>
      <c r="Q59" s="17" t="e">
        <f>Q57/VLOOKUP($C57,#REF!,4,0)*100</f>
        <v>#REF!</v>
      </c>
      <c r="R59" s="577"/>
      <c r="S59" s="6"/>
      <c r="T59" s="32" t="s">
        <v>117</v>
      </c>
      <c r="U59" s="17" t="e">
        <f>(U57/VLOOKUP($C57,#REF!,4,0))*100</f>
        <v>#REF!</v>
      </c>
      <c r="V59" s="577"/>
      <c r="W59" s="17" t="e">
        <f>(W57/VLOOKUP($C57,#REF!,4,0))*100</f>
        <v>#REF!</v>
      </c>
      <c r="X59" s="583"/>
      <c r="Y59" s="28"/>
      <c r="AA59" s="27"/>
      <c r="AD59" s="33" t="str">
        <f>C57&amp;F59</f>
        <v>Russia% GDP</v>
      </c>
    </row>
    <row r="60" spans="1:30" s="13" customFormat="1" ht="43.5" customHeight="1">
      <c r="A60" s="638">
        <v>1</v>
      </c>
      <c r="B60" s="638" t="s">
        <v>861</v>
      </c>
      <c r="C60" s="632" t="s">
        <v>16</v>
      </c>
      <c r="D60" s="629" t="s">
        <v>570</v>
      </c>
      <c r="F60" s="37" t="s">
        <v>115</v>
      </c>
      <c r="G60" s="93">
        <f>H60+J60</f>
        <v>57.6</v>
      </c>
      <c r="H60" s="74">
        <v>47</v>
      </c>
      <c r="I60" s="575" t="s">
        <v>949</v>
      </c>
      <c r="J60" s="53">
        <v>10.6</v>
      </c>
      <c r="K60" s="575" t="s">
        <v>1262</v>
      </c>
      <c r="L60" s="74">
        <v>56</v>
      </c>
      <c r="M60" s="575" t="s">
        <v>1342</v>
      </c>
      <c r="O60" s="37" t="s">
        <v>115</v>
      </c>
      <c r="P60" s="264">
        <f t="shared" ref="P60:P62" si="3">Q60+U60+W60</f>
        <v>22</v>
      </c>
      <c r="Q60" s="175">
        <v>22</v>
      </c>
      <c r="R60" s="575" t="s">
        <v>739</v>
      </c>
      <c r="T60" s="37" t="s">
        <v>115</v>
      </c>
      <c r="U60" s="53"/>
      <c r="V60" s="18"/>
      <c r="W60" s="18"/>
      <c r="X60" s="18"/>
      <c r="Y60" s="18"/>
      <c r="AA60" s="605" t="s">
        <v>59</v>
      </c>
      <c r="AD60" s="33" t="str">
        <f>C60&amp;F60</f>
        <v>Saudi ArabiaLC bn</v>
      </c>
    </row>
    <row r="61" spans="1:30" s="10" customFormat="1" ht="58.5" customHeight="1">
      <c r="A61" s="638"/>
      <c r="B61" s="638"/>
      <c r="C61" s="632"/>
      <c r="D61" s="629"/>
      <c r="F61" s="32" t="s">
        <v>116</v>
      </c>
      <c r="G61" s="81" t="e">
        <f>G60/#REF!</f>
        <v>#REF!</v>
      </c>
      <c r="H61" s="81" t="e">
        <f>H60/VLOOKUP($C60,#REF!,8,0)</f>
        <v>#REF!</v>
      </c>
      <c r="I61" s="576"/>
      <c r="J61" s="69" t="e">
        <f>J60/VLOOKUP($C60,#REF!,8,0)</f>
        <v>#REF!</v>
      </c>
      <c r="K61" s="576"/>
      <c r="L61" s="81" t="e">
        <f>L60/VLOOKUP($C60,#REF!,8,0)</f>
        <v>#REF!</v>
      </c>
      <c r="M61" s="576"/>
      <c r="O61" s="32" t="s">
        <v>116</v>
      </c>
      <c r="P61" s="248" t="e">
        <f t="shared" si="3"/>
        <v>#REF!</v>
      </c>
      <c r="Q61" s="170" t="e">
        <f>Q60/VLOOKUP(C60,#REF!,8,0)</f>
        <v>#REF!</v>
      </c>
      <c r="R61" s="576"/>
      <c r="T61" s="32" t="s">
        <v>116</v>
      </c>
      <c r="U61" s="56"/>
      <c r="V61" s="28"/>
      <c r="W61" s="28"/>
      <c r="X61" s="28"/>
      <c r="Y61" s="28"/>
      <c r="AA61" s="606"/>
      <c r="AD61" s="33" t="str">
        <f>C60&amp;F61</f>
        <v>Saudi ArabiaUSD bn</v>
      </c>
    </row>
    <row r="62" spans="1:30" ht="58.5" customHeight="1">
      <c r="A62" s="638"/>
      <c r="B62" s="638"/>
      <c r="C62" s="633"/>
      <c r="D62" s="630"/>
      <c r="E62" s="12"/>
      <c r="F62" s="31" t="s">
        <v>117</v>
      </c>
      <c r="G62" s="17" t="e">
        <f>G60/#REF!*100</f>
        <v>#REF!</v>
      </c>
      <c r="H62" s="17" t="e">
        <f>(H60/VLOOKUP($C60,#REF!,4,0))*100</f>
        <v>#REF!</v>
      </c>
      <c r="I62" s="577"/>
      <c r="J62" s="17" t="e">
        <f>(J60/VLOOKUP($C60,#REF!,4,0))*100</f>
        <v>#REF!</v>
      </c>
      <c r="K62" s="577"/>
      <c r="L62" s="17" t="e">
        <f>(L60/VLOOKUP($C60,#REF!,4,0))*100</f>
        <v>#REF!</v>
      </c>
      <c r="M62" s="577"/>
      <c r="N62" s="12"/>
      <c r="O62" s="31" t="s">
        <v>117</v>
      </c>
      <c r="P62" s="267" t="e">
        <f t="shared" si="3"/>
        <v>#REF!</v>
      </c>
      <c r="Q62" s="168" t="e">
        <f>(Q60/VLOOKUP(C60,#REF!,4,0))*100</f>
        <v>#REF!</v>
      </c>
      <c r="R62" s="577"/>
      <c r="S62" s="12"/>
      <c r="T62" s="31" t="s">
        <v>117</v>
      </c>
      <c r="U62" s="17"/>
      <c r="V62" s="19"/>
      <c r="W62" s="19"/>
      <c r="X62" s="19"/>
      <c r="Y62" s="19"/>
      <c r="Z62" s="1"/>
      <c r="AA62" s="26"/>
      <c r="AD62" s="33" t="str">
        <f>C60&amp;F62</f>
        <v>Saudi Arabia% GDP</v>
      </c>
    </row>
    <row r="63" spans="1:30" s="10" customFormat="1" ht="143.5" customHeight="1">
      <c r="A63" s="638">
        <v>1</v>
      </c>
      <c r="B63" s="638" t="s">
        <v>861</v>
      </c>
      <c r="C63" s="632" t="s">
        <v>17</v>
      </c>
      <c r="D63" s="629" t="s">
        <v>570</v>
      </c>
      <c r="E63" s="13"/>
      <c r="F63" s="32" t="s">
        <v>115</v>
      </c>
      <c r="G63" s="93">
        <f>H63+J63</f>
        <v>266</v>
      </c>
      <c r="H63" s="93">
        <v>20</v>
      </c>
      <c r="I63" s="575" t="s">
        <v>844</v>
      </c>
      <c r="J63" s="93">
        <f>220+26</f>
        <v>246</v>
      </c>
      <c r="K63" s="581" t="s">
        <v>1438</v>
      </c>
      <c r="L63" s="93">
        <v>44</v>
      </c>
      <c r="M63" s="581" t="s">
        <v>846</v>
      </c>
      <c r="N63" s="13"/>
      <c r="O63" s="32" t="s">
        <v>115</v>
      </c>
      <c r="P63" s="93">
        <f>SUM(Q63,U63,W63)</f>
        <v>203</v>
      </c>
      <c r="Q63" s="175"/>
      <c r="R63" s="575"/>
      <c r="S63" s="13"/>
      <c r="T63" s="32" t="s">
        <v>115</v>
      </c>
      <c r="U63" s="93">
        <v>200</v>
      </c>
      <c r="V63" s="581" t="s">
        <v>1351</v>
      </c>
      <c r="W63" s="53">
        <v>3</v>
      </c>
      <c r="X63" s="581" t="s">
        <v>575</v>
      </c>
      <c r="Y63" s="18"/>
      <c r="Z63" s="13"/>
      <c r="AA63" s="18"/>
      <c r="AD63" s="33" t="str">
        <f>C63&amp;F63</f>
        <v>South AfricaLC bn</v>
      </c>
    </row>
    <row r="64" spans="1:30" s="10" customFormat="1" ht="97.5" customHeight="1">
      <c r="A64" s="638"/>
      <c r="B64" s="638"/>
      <c r="C64" s="632"/>
      <c r="D64" s="629"/>
      <c r="F64" s="32" t="s">
        <v>116</v>
      </c>
      <c r="G64" s="81" t="e">
        <f>G63/#REF!</f>
        <v>#REF!</v>
      </c>
      <c r="H64" s="69" t="e">
        <f>H63/VLOOKUP($C63,#REF!,8,0)</f>
        <v>#REF!</v>
      </c>
      <c r="I64" s="576"/>
      <c r="J64" s="254" t="e">
        <f>J63/VLOOKUP($C63,#REF!,8,0)</f>
        <v>#REF!</v>
      </c>
      <c r="K64" s="582"/>
      <c r="L64" s="120" t="e">
        <f>L63/VLOOKUP($C63,#REF!,8,0)</f>
        <v>#REF!</v>
      </c>
      <c r="M64" s="582"/>
      <c r="O64" s="32" t="s">
        <v>116</v>
      </c>
      <c r="P64" s="95" t="e">
        <f>SUM(Q64,U64, W64)</f>
        <v>#REF!</v>
      </c>
      <c r="Q64" s="170"/>
      <c r="R64" s="576"/>
      <c r="T64" s="32" t="s">
        <v>116</v>
      </c>
      <c r="U64" s="95" t="e">
        <f>U63/VLOOKUP(C63,#REF!,8,0)</f>
        <v>#REF!</v>
      </c>
      <c r="V64" s="582"/>
      <c r="W64" s="56" t="e">
        <f>W63/VLOOKUP(C63,#REF!,8,0)</f>
        <v>#REF!</v>
      </c>
      <c r="X64" s="582"/>
      <c r="Y64" s="28"/>
      <c r="AA64" s="28"/>
      <c r="AD64" s="33" t="str">
        <f>C63&amp;F64</f>
        <v>South AfricaUSD bn</v>
      </c>
    </row>
    <row r="65" spans="1:30" ht="100.5" customHeight="1">
      <c r="A65" s="638"/>
      <c r="B65" s="638"/>
      <c r="C65" s="633"/>
      <c r="D65" s="630"/>
      <c r="E65" s="12"/>
      <c r="F65" s="31" t="s">
        <v>117</v>
      </c>
      <c r="G65" s="17" t="e">
        <f>G63/#REF!*100</f>
        <v>#REF!</v>
      </c>
      <c r="H65" s="17" t="e">
        <f>(H63/VLOOKUP($C63,#REF!,4,0))*100</f>
        <v>#REF!</v>
      </c>
      <c r="I65" s="577"/>
      <c r="J65" s="121" t="e">
        <f>(J63/VLOOKUP($C63,#REF!,4,0))*100</f>
        <v>#REF!</v>
      </c>
      <c r="K65" s="583"/>
      <c r="L65" s="121" t="e">
        <f>(L63/VLOOKUP($C63,#REF!,4,0))*100</f>
        <v>#REF!</v>
      </c>
      <c r="M65" s="583"/>
      <c r="N65" s="12"/>
      <c r="O65" s="31" t="s">
        <v>117</v>
      </c>
      <c r="P65" s="17" t="e">
        <f>SUM(Q65,U65, W64)</f>
        <v>#REF!</v>
      </c>
      <c r="Q65" s="168"/>
      <c r="R65" s="577"/>
      <c r="S65" s="12"/>
      <c r="T65" s="31" t="s">
        <v>117</v>
      </c>
      <c r="U65" s="17" t="e">
        <f>(U63/VLOOKUP(C63,#REF!,4,0))*100</f>
        <v>#REF!</v>
      </c>
      <c r="V65" s="583"/>
      <c r="W65" s="68" t="e">
        <f>(W63/VLOOKUP(C63,#REF!,4,0))*100</f>
        <v>#REF!</v>
      </c>
      <c r="X65" s="583"/>
      <c r="Y65" s="19"/>
      <c r="Z65" s="1"/>
      <c r="AA65" s="26"/>
      <c r="AD65" s="33" t="str">
        <f>C63&amp;F65</f>
        <v>South Africa% GDP</v>
      </c>
    </row>
    <row r="66" spans="1:30" s="36" customFormat="1" ht="92.15" customHeight="1">
      <c r="A66" s="638">
        <v>1</v>
      </c>
      <c r="B66" s="638" t="s">
        <v>861</v>
      </c>
      <c r="C66" s="632" t="s">
        <v>18</v>
      </c>
      <c r="D66" s="629" t="s">
        <v>572</v>
      </c>
      <c r="E66" s="14"/>
      <c r="F66" s="32" t="s">
        <v>115</v>
      </c>
      <c r="G66" s="93">
        <v>53.6</v>
      </c>
      <c r="H66" s="74">
        <v>14.2</v>
      </c>
      <c r="I66" s="581" t="s">
        <v>1305</v>
      </c>
      <c r="J66" s="96">
        <f>G66-H66</f>
        <v>39.400000000000006</v>
      </c>
      <c r="K66" s="581" t="s">
        <v>1306</v>
      </c>
      <c r="L66" s="96">
        <v>69.5</v>
      </c>
      <c r="M66" s="581" t="s">
        <v>1307</v>
      </c>
      <c r="N66" s="14"/>
      <c r="O66" s="32" t="s">
        <v>115</v>
      </c>
      <c r="P66" s="93">
        <f>Q66+U66+W66</f>
        <v>450.6</v>
      </c>
      <c r="Q66" s="175">
        <v>21</v>
      </c>
      <c r="R66" s="575" t="s">
        <v>848</v>
      </c>
      <c r="S66" s="14"/>
      <c r="T66" s="32" t="s">
        <v>115</v>
      </c>
      <c r="U66" s="93">
        <v>306</v>
      </c>
      <c r="V66" s="575" t="s">
        <v>1337</v>
      </c>
      <c r="W66" s="93">
        <v>123.6</v>
      </c>
      <c r="X66" s="575" t="s">
        <v>1005</v>
      </c>
      <c r="Y66" s="18"/>
      <c r="Z66" s="14"/>
      <c r="AA66" s="18"/>
      <c r="AD66" s="33" t="str">
        <f>C66&amp;F66</f>
        <v>TurkeyLC bn</v>
      </c>
    </row>
    <row r="67" spans="1:30" s="36" customFormat="1" ht="106" customHeight="1">
      <c r="A67" s="638"/>
      <c r="B67" s="638"/>
      <c r="C67" s="632"/>
      <c r="D67" s="629"/>
      <c r="F67" s="32" t="s">
        <v>116</v>
      </c>
      <c r="G67" s="69" t="e">
        <f>G66/VLOOKUP(C66,#REF!,8,0)</f>
        <v>#REF!</v>
      </c>
      <c r="H67" s="56" t="e">
        <f>H66/VLOOKUP($C66,#REF!,8,0)</f>
        <v>#REF!</v>
      </c>
      <c r="I67" s="582"/>
      <c r="J67" s="120" t="e">
        <f>J66/VLOOKUP($C66,#REF!,8,0)</f>
        <v>#REF!</v>
      </c>
      <c r="K67" s="582"/>
      <c r="L67" s="120" t="e">
        <f>L66/VLOOKUP($C66,#REF!,8,0)</f>
        <v>#REF!</v>
      </c>
      <c r="M67" s="582"/>
      <c r="O67" s="32" t="s">
        <v>116</v>
      </c>
      <c r="P67" s="254" t="e">
        <f>P66/VLOOKUP($C66,#REF!,8,0)</f>
        <v>#REF!</v>
      </c>
      <c r="Q67" s="120" t="e">
        <f>Q66/VLOOKUP($C66,#REF!,8,0)</f>
        <v>#REF!</v>
      </c>
      <c r="R67" s="576"/>
      <c r="T67" s="32" t="s">
        <v>116</v>
      </c>
      <c r="U67" s="81" t="e">
        <f>U66/VLOOKUP(C66,#REF!,8,0)</f>
        <v>#REF!</v>
      </c>
      <c r="V67" s="576"/>
      <c r="W67" s="81" t="e">
        <f>W66/VLOOKUP(C66,#REF!,8,0)</f>
        <v>#REF!</v>
      </c>
      <c r="X67" s="576"/>
      <c r="Y67" s="28"/>
      <c r="AA67" s="28"/>
      <c r="AD67" s="33" t="str">
        <f>C66&amp;F67</f>
        <v>TurkeyUSD bn</v>
      </c>
    </row>
    <row r="68" spans="1:30" ht="88" customHeight="1">
      <c r="A68" s="638"/>
      <c r="B68" s="638"/>
      <c r="C68" s="633"/>
      <c r="D68" s="630"/>
      <c r="E68" s="12"/>
      <c r="F68" s="31" t="s">
        <v>117</v>
      </c>
      <c r="G68" s="17" t="e">
        <f>(G66/VLOOKUP(C66,#REF!,4,0))*100</f>
        <v>#REF!</v>
      </c>
      <c r="H68" s="402" t="e">
        <f>(H66/VLOOKUP($C66,#REF!,4,0))*100</f>
        <v>#REF!</v>
      </c>
      <c r="I68" s="583"/>
      <c r="J68" s="121" t="e">
        <f>(J66/VLOOKUP($C66,#REF!,4,0))*100</f>
        <v>#REF!</v>
      </c>
      <c r="K68" s="583"/>
      <c r="L68" s="121" t="e">
        <f>(L66/VLOOKUP($C66,#REF!,4,0))*100</f>
        <v>#REF!</v>
      </c>
      <c r="M68" s="583"/>
      <c r="N68" s="12"/>
      <c r="O68" s="31" t="s">
        <v>117</v>
      </c>
      <c r="P68" s="121" t="e">
        <f>(P66/VLOOKUP($C66,#REF!,4,0))*100</f>
        <v>#REF!</v>
      </c>
      <c r="Q68" s="121" t="e">
        <f>(Q66/VLOOKUP($C66,#REF!,4,0))*100</f>
        <v>#REF!</v>
      </c>
      <c r="R68" s="577"/>
      <c r="S68" s="12"/>
      <c r="T68" s="31" t="s">
        <v>117</v>
      </c>
      <c r="U68" s="17" t="e">
        <f>(U66/VLOOKUP(C66,#REF!,4,0))*100</f>
        <v>#REF!</v>
      </c>
      <c r="V68" s="577"/>
      <c r="W68" s="17" t="e">
        <f>(W66/VLOOKUP(C66,#REF!,4,0))*100</f>
        <v>#REF!</v>
      </c>
      <c r="X68" s="577"/>
      <c r="Y68" s="19"/>
      <c r="Z68" s="1"/>
      <c r="AA68" s="26"/>
      <c r="AD68" s="33" t="str">
        <f>C66&amp;F68</f>
        <v>Turkey% GDP</v>
      </c>
    </row>
    <row r="69" spans="1:30" ht="109.5" customHeight="1">
      <c r="A69" s="638">
        <v>0</v>
      </c>
      <c r="B69" s="638" t="s">
        <v>858</v>
      </c>
      <c r="C69" s="632" t="s">
        <v>547</v>
      </c>
      <c r="D69" s="629" t="s">
        <v>570</v>
      </c>
      <c r="F69" s="32" t="s">
        <v>115</v>
      </c>
      <c r="G69" s="81">
        <f>H69+J69</f>
        <v>32.1</v>
      </c>
      <c r="H69" s="69">
        <v>8.1</v>
      </c>
      <c r="I69" s="664" t="s">
        <v>1404</v>
      </c>
      <c r="J69" s="81">
        <v>24</v>
      </c>
      <c r="K69" s="581" t="s">
        <v>1405</v>
      </c>
      <c r="L69" s="81">
        <v>13.8</v>
      </c>
      <c r="M69" s="575" t="s">
        <v>1340</v>
      </c>
      <c r="O69" s="32" t="s">
        <v>115</v>
      </c>
      <c r="P69" s="264">
        <f t="shared" ref="P69:P80" si="4">Q69+U69+W69</f>
        <v>53</v>
      </c>
      <c r="Q69" s="170">
        <v>1</v>
      </c>
      <c r="R69" s="581" t="s">
        <v>1341</v>
      </c>
      <c r="T69" s="32" t="s">
        <v>115</v>
      </c>
      <c r="U69" s="81">
        <v>52</v>
      </c>
      <c r="V69" s="575" t="s">
        <v>1406</v>
      </c>
      <c r="W69" s="35"/>
      <c r="X69" s="35"/>
      <c r="AD69" s="33" t="str">
        <f>C69&amp;F69</f>
        <v>BelgiumLC bn</v>
      </c>
    </row>
    <row r="70" spans="1:30" ht="185.15" customHeight="1">
      <c r="A70" s="638"/>
      <c r="B70" s="638"/>
      <c r="C70" s="632"/>
      <c r="D70" s="629"/>
      <c r="F70" s="32" t="s">
        <v>116</v>
      </c>
      <c r="G70" s="81" t="e">
        <f>G69/VLOOKUP($C69,#REF!,8,0)</f>
        <v>#REF!</v>
      </c>
      <c r="H70" s="69" t="e">
        <f>H69/VLOOKUP($C69,#REF!,8,0)</f>
        <v>#REF!</v>
      </c>
      <c r="I70" s="576"/>
      <c r="J70" s="81" t="e">
        <f>J69/VLOOKUP($C69,#REF!,8,0)</f>
        <v>#REF!</v>
      </c>
      <c r="K70" s="582"/>
      <c r="L70" s="81" t="e">
        <f>L69/VLOOKUP($C69,#REF!,8,0)</f>
        <v>#REF!</v>
      </c>
      <c r="M70" s="576"/>
      <c r="O70" s="32" t="s">
        <v>116</v>
      </c>
      <c r="P70" s="265" t="e">
        <f t="shared" si="4"/>
        <v>#REF!</v>
      </c>
      <c r="Q70" s="69" t="e">
        <f>Q69/VLOOKUP($C69,#REF!,8,0)</f>
        <v>#REF!</v>
      </c>
      <c r="R70" s="582"/>
      <c r="T70" s="32" t="s">
        <v>116</v>
      </c>
      <c r="U70" s="81" t="e">
        <f>U69/VLOOKUP($C69,#REF!,8,0)</f>
        <v>#REF!</v>
      </c>
      <c r="V70" s="576"/>
      <c r="W70" s="35"/>
      <c r="X70" s="35"/>
      <c r="AD70" s="33" t="str">
        <f>C69&amp;F70</f>
        <v>BelgiumUSD bn</v>
      </c>
    </row>
    <row r="71" spans="1:30" ht="201.65" customHeight="1">
      <c r="A71" s="638"/>
      <c r="B71" s="638"/>
      <c r="C71" s="633"/>
      <c r="D71" s="630"/>
      <c r="F71" s="31" t="s">
        <v>117</v>
      </c>
      <c r="G71" s="17" t="e">
        <f>G69/VLOOKUP($C69,#REF!,4,0)*100</f>
        <v>#REF!</v>
      </c>
      <c r="H71" s="17" t="e">
        <f>H69/VLOOKUP($C69,#REF!,4,0)*100</f>
        <v>#REF!</v>
      </c>
      <c r="I71" s="577"/>
      <c r="J71" s="17" t="e">
        <f>J69/VLOOKUP($C69,#REF!,4,0)*100</f>
        <v>#REF!</v>
      </c>
      <c r="K71" s="583"/>
      <c r="L71" s="17" t="e">
        <f>L69/VLOOKUP($C69,#REF!,4,0)*100</f>
        <v>#REF!</v>
      </c>
      <c r="M71" s="577"/>
      <c r="O71" s="31" t="s">
        <v>117</v>
      </c>
      <c r="P71" s="267" t="e">
        <f t="shared" si="4"/>
        <v>#REF!</v>
      </c>
      <c r="Q71" s="17" t="e">
        <f>Q69/VLOOKUP($C69,#REF!,4,0)*100</f>
        <v>#REF!</v>
      </c>
      <c r="R71" s="583"/>
      <c r="T71" s="31" t="s">
        <v>117</v>
      </c>
      <c r="U71" s="17" t="e">
        <f>U69/VLOOKUP($C69,#REF!,4,0)*100</f>
        <v>#REF!</v>
      </c>
      <c r="V71" s="577"/>
      <c r="W71" s="35"/>
      <c r="X71" s="35"/>
      <c r="AD71" s="33" t="str">
        <f>C69&amp;F71</f>
        <v>Belgium% GDP</v>
      </c>
    </row>
    <row r="72" spans="1:30" ht="272.5" customHeight="1">
      <c r="A72" s="638">
        <v>0</v>
      </c>
      <c r="B72" s="638" t="s">
        <v>858</v>
      </c>
      <c r="C72" s="632" t="s">
        <v>542</v>
      </c>
      <c r="D72" s="629" t="s">
        <v>570</v>
      </c>
      <c r="E72" s="15"/>
      <c r="F72" s="32" t="s">
        <v>115</v>
      </c>
      <c r="G72" s="93">
        <f>H72+J72</f>
        <v>304.39999999999998</v>
      </c>
      <c r="H72" s="477">
        <v>66.599999999999994</v>
      </c>
      <c r="I72" s="634" t="s">
        <v>1402</v>
      </c>
      <c r="J72" s="476">
        <v>237.8</v>
      </c>
      <c r="K72" s="581" t="s">
        <v>1403</v>
      </c>
      <c r="L72" s="476">
        <v>36.299999999999997</v>
      </c>
      <c r="M72" s="634" t="s">
        <v>1372</v>
      </c>
      <c r="N72" s="14"/>
      <c r="O72" s="32" t="s">
        <v>115</v>
      </c>
      <c r="P72" s="264">
        <f t="shared" si="4"/>
        <v>865</v>
      </c>
      <c r="Q72" s="177">
        <v>1</v>
      </c>
      <c r="R72" s="581" t="s">
        <v>1373</v>
      </c>
      <c r="S72" s="14"/>
      <c r="T72" s="32" t="s">
        <v>115</v>
      </c>
      <c r="U72" s="93">
        <v>864</v>
      </c>
      <c r="V72" s="575" t="s">
        <v>1374</v>
      </c>
      <c r="W72" s="93"/>
      <c r="X72" s="575"/>
      <c r="AD72" s="33" t="str">
        <f>C72&amp;F72</f>
        <v>Czech RepublicLC bn</v>
      </c>
    </row>
    <row r="73" spans="1:30" ht="194.5" customHeight="1">
      <c r="A73" s="638"/>
      <c r="B73" s="638"/>
      <c r="C73" s="632"/>
      <c r="D73" s="629"/>
      <c r="F73" s="32" t="s">
        <v>116</v>
      </c>
      <c r="G73" s="81" t="e">
        <f>G72/VLOOKUP($C72,#REF!,8,0)</f>
        <v>#REF!</v>
      </c>
      <c r="H73" s="56" t="e">
        <f>H72/VLOOKUP($C72,#REF!,8,0)</f>
        <v>#REF!</v>
      </c>
      <c r="I73" s="582"/>
      <c r="J73" s="69" t="e">
        <f>J72/VLOOKUP($C72,#REF!,8,0)</f>
        <v>#REF!</v>
      </c>
      <c r="K73" s="582"/>
      <c r="L73" s="69" t="e">
        <f>L72/VLOOKUP($C72,#REF!,8,0)</f>
        <v>#REF!</v>
      </c>
      <c r="M73" s="582"/>
      <c r="N73" s="36"/>
      <c r="O73" s="32" t="s">
        <v>116</v>
      </c>
      <c r="P73" s="265" t="e">
        <f t="shared" si="4"/>
        <v>#REF!</v>
      </c>
      <c r="Q73" s="178" t="e">
        <f>Q72/VLOOKUP($C72,#REF!,8,0)</f>
        <v>#REF!</v>
      </c>
      <c r="R73" s="582"/>
      <c r="S73" s="36"/>
      <c r="T73" s="32" t="s">
        <v>116</v>
      </c>
      <c r="U73" s="81" t="e">
        <f>U72/VLOOKUP($C72,#REF!,8,0)</f>
        <v>#REF!</v>
      </c>
      <c r="V73" s="576"/>
      <c r="W73" s="69"/>
      <c r="X73" s="576"/>
      <c r="AD73" s="33" t="str">
        <f>C72&amp;F73</f>
        <v>Czech RepublicUSD bn</v>
      </c>
    </row>
    <row r="74" spans="1:30" ht="263.5" customHeight="1">
      <c r="A74" s="638"/>
      <c r="B74" s="638"/>
      <c r="C74" s="633"/>
      <c r="D74" s="630"/>
      <c r="F74" s="31" t="s">
        <v>117</v>
      </c>
      <c r="G74" s="17" t="e">
        <f>G72/VLOOKUP($C72,#REF!,4,0)*100</f>
        <v>#REF!</v>
      </c>
      <c r="H74" s="68" t="e">
        <f>H72/VLOOKUP($C72,#REF!,4,0)*100</f>
        <v>#REF!</v>
      </c>
      <c r="I74" s="583"/>
      <c r="J74" s="17" t="e">
        <f>J72/VLOOKUP($C72,#REF!,4,0)*100</f>
        <v>#REF!</v>
      </c>
      <c r="K74" s="583"/>
      <c r="L74" s="17" t="e">
        <f>L72/VLOOKUP($C72,#REF!,4,0)*100</f>
        <v>#REF!</v>
      </c>
      <c r="M74" s="583"/>
      <c r="N74" s="12"/>
      <c r="O74" s="31" t="s">
        <v>117</v>
      </c>
      <c r="P74" s="267" t="e">
        <f t="shared" si="4"/>
        <v>#REF!</v>
      </c>
      <c r="Q74" s="168" t="e">
        <f>Q72/VLOOKUP($C72,#REF!,4,0)*100</f>
        <v>#REF!</v>
      </c>
      <c r="R74" s="583"/>
      <c r="S74" s="12"/>
      <c r="T74" s="31" t="s">
        <v>117</v>
      </c>
      <c r="U74" s="17" t="e">
        <f>U72/VLOOKUP($C72,#REF!,4,0)*100</f>
        <v>#REF!</v>
      </c>
      <c r="V74" s="577"/>
      <c r="W74" s="17"/>
      <c r="X74" s="577"/>
      <c r="AD74" s="33" t="str">
        <f>C72&amp;F74</f>
        <v>Czech Republic% GDP</v>
      </c>
    </row>
    <row r="75" spans="1:30" s="10" customFormat="1" ht="124.5" customHeight="1">
      <c r="A75" s="638">
        <v>0</v>
      </c>
      <c r="B75" s="638" t="s">
        <v>858</v>
      </c>
      <c r="C75" s="632" t="s">
        <v>19</v>
      </c>
      <c r="D75" s="629" t="s">
        <v>570</v>
      </c>
      <c r="E75" s="13"/>
      <c r="F75" s="32" t="s">
        <v>115</v>
      </c>
      <c r="G75" s="56">
        <f>SUM(H75,J75)</f>
        <v>40.299999999999997</v>
      </c>
      <c r="H75" s="75">
        <v>0.8</v>
      </c>
      <c r="I75" s="601" t="s">
        <v>1352</v>
      </c>
      <c r="J75" s="95">
        <v>39.5</v>
      </c>
      <c r="K75" s="581" t="s">
        <v>1449</v>
      </c>
      <c r="L75" s="95">
        <v>175.4</v>
      </c>
      <c r="M75" s="576" t="s">
        <v>1141</v>
      </c>
      <c r="O75" s="32" t="s">
        <v>115</v>
      </c>
      <c r="P75" s="264">
        <f t="shared" si="4"/>
        <v>96.995999999999995</v>
      </c>
      <c r="Q75" s="166">
        <v>57.082999999999998</v>
      </c>
      <c r="R75" s="582" t="s">
        <v>1450</v>
      </c>
      <c r="T75" s="32" t="s">
        <v>115</v>
      </c>
      <c r="U75" s="95">
        <v>39.912999999999997</v>
      </c>
      <c r="V75" s="582" t="s">
        <v>1451</v>
      </c>
      <c r="W75" s="28"/>
      <c r="X75" s="28"/>
      <c r="Y75" s="576" t="s">
        <v>1289</v>
      </c>
      <c r="AA75" s="273" t="s">
        <v>611</v>
      </c>
      <c r="AD75" s="33" t="str">
        <f>C75&amp;F75</f>
        <v>DenmarkLC bn</v>
      </c>
    </row>
    <row r="76" spans="1:30" ht="104.5" customHeight="1">
      <c r="A76" s="638"/>
      <c r="B76" s="638"/>
      <c r="C76" s="632"/>
      <c r="D76" s="629"/>
      <c r="E76" s="6"/>
      <c r="F76" s="32" t="s">
        <v>116</v>
      </c>
      <c r="G76" s="81" t="e">
        <f>G75/VLOOKUP(C75,#REF!,8,0)</f>
        <v>#REF!</v>
      </c>
      <c r="H76" s="263" t="e">
        <f>H75/VLOOKUP(C75,#REF!,8,0)</f>
        <v>#REF!</v>
      </c>
      <c r="I76" s="601"/>
      <c r="J76" s="81" t="e">
        <f>J75/VLOOKUP($C75,#REF!,8,0)</f>
        <v>#REF!</v>
      </c>
      <c r="K76" s="582"/>
      <c r="L76" s="81" t="e">
        <f>L75/VLOOKUP($C75,#REF!,8,0)</f>
        <v>#REF!</v>
      </c>
      <c r="M76" s="576"/>
      <c r="N76" s="6"/>
      <c r="O76" s="32" t="s">
        <v>116</v>
      </c>
      <c r="P76" s="265" t="e">
        <f t="shared" si="4"/>
        <v>#REF!</v>
      </c>
      <c r="Q76" s="170" t="e">
        <f>Q75/VLOOKUP(C75,#REF!,8,0)</f>
        <v>#REF!</v>
      </c>
      <c r="R76" s="582"/>
      <c r="S76" s="6"/>
      <c r="T76" s="32" t="s">
        <v>116</v>
      </c>
      <c r="U76" s="81" t="e">
        <f>U75/VLOOKUP(C75,#REF!,8,0)</f>
        <v>#REF!</v>
      </c>
      <c r="V76" s="576"/>
      <c r="W76" s="28"/>
      <c r="X76" s="28"/>
      <c r="Y76" s="576"/>
      <c r="AA76" s="273" t="s">
        <v>612</v>
      </c>
      <c r="AD76" s="33" t="str">
        <f>C75&amp;F76</f>
        <v>DenmarkUSD bn</v>
      </c>
    </row>
    <row r="77" spans="1:30" ht="128.5" customHeight="1">
      <c r="A77" s="638"/>
      <c r="B77" s="638"/>
      <c r="C77" s="633"/>
      <c r="D77" s="630"/>
      <c r="E77" s="6"/>
      <c r="F77" s="32" t="s">
        <v>117</v>
      </c>
      <c r="G77" s="69" t="e">
        <f>(G75/VLOOKUP(C75,#REF!,4,0))*100</f>
        <v>#REF!</v>
      </c>
      <c r="H77" s="263" t="e">
        <f>(H75/VLOOKUP(C75,#REF!,4,0))*100</f>
        <v>#REF!</v>
      </c>
      <c r="I77" s="602"/>
      <c r="J77" s="17" t="e">
        <f>J75/VLOOKUP($C75,#REF!,4,0)*100</f>
        <v>#REF!</v>
      </c>
      <c r="K77" s="583"/>
      <c r="L77" s="17" t="e">
        <f>L75/VLOOKUP($C75,#REF!,4,0)*100</f>
        <v>#REF!</v>
      </c>
      <c r="M77" s="577"/>
      <c r="N77" s="6"/>
      <c r="O77" s="32" t="s">
        <v>117</v>
      </c>
      <c r="P77" s="267" t="e">
        <f t="shared" si="4"/>
        <v>#REF!</v>
      </c>
      <c r="Q77" s="170" t="e">
        <f>(Q75/VLOOKUP(C75,#REF!,4,0))*100</f>
        <v>#REF!</v>
      </c>
      <c r="R77" s="583"/>
      <c r="S77" s="6"/>
      <c r="T77" s="32" t="s">
        <v>117</v>
      </c>
      <c r="U77" s="69" t="e">
        <f>(U75/VLOOKUP(C75,#REF!,4,0))*100</f>
        <v>#REF!</v>
      </c>
      <c r="V77" s="577"/>
      <c r="W77" s="28"/>
      <c r="X77" s="28"/>
      <c r="Y77" s="577"/>
      <c r="AA77" s="273" t="s">
        <v>613</v>
      </c>
      <c r="AD77" s="33" t="str">
        <f>C75&amp;F77</f>
        <v>Denmark% GDP</v>
      </c>
    </row>
    <row r="78" spans="1:30" s="15" customFormat="1" ht="104.5" customHeight="1">
      <c r="A78" s="638">
        <v>0</v>
      </c>
      <c r="B78" s="638" t="s">
        <v>858</v>
      </c>
      <c r="C78" s="632" t="s">
        <v>20</v>
      </c>
      <c r="D78" s="629" t="s">
        <v>570</v>
      </c>
      <c r="F78" s="37" t="s">
        <v>115</v>
      </c>
      <c r="G78" s="53">
        <f>H78+J78</f>
        <v>6.9499999999999993</v>
      </c>
      <c r="H78" s="53">
        <v>1.85</v>
      </c>
      <c r="I78" s="575" t="s">
        <v>1353</v>
      </c>
      <c r="J78" s="272">
        <f>4.05+1.05</f>
        <v>5.0999999999999996</v>
      </c>
      <c r="K78" s="575" t="s">
        <v>1354</v>
      </c>
      <c r="L78" s="53">
        <v>4.25</v>
      </c>
      <c r="M78" s="600" t="s">
        <v>1355</v>
      </c>
      <c r="O78" s="37" t="s">
        <v>115</v>
      </c>
      <c r="P78" s="264">
        <f t="shared" si="4"/>
        <v>16.32</v>
      </c>
      <c r="Q78" s="169">
        <f>0.85+0.5+1.07</f>
        <v>2.42</v>
      </c>
      <c r="R78" s="581" t="s">
        <v>1356</v>
      </c>
      <c r="T78" s="37" t="s">
        <v>115</v>
      </c>
      <c r="U78" s="83">
        <v>12.9</v>
      </c>
      <c r="V78" s="575" t="s">
        <v>1357</v>
      </c>
      <c r="W78" s="53">
        <v>1</v>
      </c>
      <c r="X78" s="575" t="s">
        <v>230</v>
      </c>
      <c r="Y78" s="575" t="s">
        <v>233</v>
      </c>
      <c r="AA78" s="116" t="s">
        <v>46</v>
      </c>
      <c r="AD78" s="33" t="str">
        <f>C78&amp;F78</f>
        <v>FinlandLC bn</v>
      </c>
    </row>
    <row r="79" spans="1:30" s="3" customFormat="1" ht="164.5" customHeight="1">
      <c r="A79" s="638"/>
      <c r="B79" s="638"/>
      <c r="C79" s="632"/>
      <c r="D79" s="629"/>
      <c r="F79" s="32" t="s">
        <v>116</v>
      </c>
      <c r="G79" s="69" t="e">
        <f>G78/VLOOKUP(C78,#REF!,8,0)</f>
        <v>#REF!</v>
      </c>
      <c r="H79" s="69" t="e">
        <f>H78/VLOOKUP($C78,#REF!,8,0)</f>
        <v>#REF!</v>
      </c>
      <c r="I79" s="591"/>
      <c r="J79" s="69" t="e">
        <f>J78/VLOOKUP($C78,#REF!,8,0)</f>
        <v>#REF!</v>
      </c>
      <c r="K79" s="576"/>
      <c r="L79" s="56" t="e">
        <f>L78/VLOOKUP($C78,#REF!,8,0)</f>
        <v>#REF!</v>
      </c>
      <c r="M79" s="601"/>
      <c r="O79" s="32" t="s">
        <v>116</v>
      </c>
      <c r="P79" s="265" t="e">
        <f t="shared" si="4"/>
        <v>#REF!</v>
      </c>
      <c r="Q79" s="170" t="e">
        <f>Q78/VLOOKUP(C78,#REF!,8,0)</f>
        <v>#REF!</v>
      </c>
      <c r="R79" s="582"/>
      <c r="T79" s="32" t="s">
        <v>116</v>
      </c>
      <c r="U79" s="81" t="e">
        <f>U78/VLOOKUP(C78,#REF!,8,0)</f>
        <v>#REF!</v>
      </c>
      <c r="V79" s="576"/>
      <c r="W79" s="56" t="e">
        <f>W78/VLOOKUP($C78,#REF!,8,0)</f>
        <v>#REF!</v>
      </c>
      <c r="X79" s="576"/>
      <c r="Y79" s="577"/>
      <c r="AA79" s="117"/>
      <c r="AD79" s="33" t="str">
        <f>C78&amp;F79</f>
        <v>FinlandUSD bn</v>
      </c>
    </row>
    <row r="80" spans="1:30" ht="206.5" customHeight="1">
      <c r="A80" s="638"/>
      <c r="B80" s="638"/>
      <c r="C80" s="633"/>
      <c r="D80" s="630"/>
      <c r="E80" s="12"/>
      <c r="F80" s="31" t="s">
        <v>117</v>
      </c>
      <c r="G80" s="17" t="e">
        <f>(G78/VLOOKUP(C78,#REF!,4,0))*100</f>
        <v>#REF!</v>
      </c>
      <c r="H80" s="17" t="e">
        <f>(H78/VLOOKUP($C78,#REF!,4,0))*100</f>
        <v>#REF!</v>
      </c>
      <c r="I80" s="592"/>
      <c r="J80" s="17" t="e">
        <f>J78/VLOOKUP($C78,#REF!,4,0)*100</f>
        <v>#REF!</v>
      </c>
      <c r="K80" s="577"/>
      <c r="L80" s="68" t="e">
        <f>(L78/VLOOKUP($C78,#REF!,4,0))*100</f>
        <v>#REF!</v>
      </c>
      <c r="M80" s="602"/>
      <c r="N80" s="12"/>
      <c r="O80" s="31" t="s">
        <v>117</v>
      </c>
      <c r="P80" s="267" t="e">
        <f t="shared" si="4"/>
        <v>#REF!</v>
      </c>
      <c r="Q80" s="168" t="e">
        <f>(Q78/VLOOKUP(C78,#REF!,4,0))*100</f>
        <v>#REF!</v>
      </c>
      <c r="R80" s="583"/>
      <c r="S80" s="12"/>
      <c r="T80" s="31" t="s">
        <v>117</v>
      </c>
      <c r="U80" s="17" t="e">
        <f>(U78/VLOOKUP(C78,#REF!,4,0))*100</f>
        <v>#REF!</v>
      </c>
      <c r="V80" s="577"/>
      <c r="W80" s="68" t="e">
        <f>(W78/VLOOKUP($C78,#REF!,4,0))*100</f>
        <v>#REF!</v>
      </c>
      <c r="X80" s="577"/>
      <c r="Y80" s="20" t="s">
        <v>234</v>
      </c>
      <c r="Z80" s="1"/>
      <c r="AA80" s="118"/>
      <c r="AD80" s="33" t="str">
        <f>C78&amp;F80</f>
        <v>Finland% GDP</v>
      </c>
    </row>
    <row r="81" spans="1:30" ht="134.5" customHeight="1">
      <c r="A81" s="638">
        <v>0</v>
      </c>
      <c r="B81" s="638" t="s">
        <v>858</v>
      </c>
      <c r="C81" s="632" t="s">
        <v>184</v>
      </c>
      <c r="D81" s="628" t="s">
        <v>570</v>
      </c>
      <c r="E81" s="14"/>
      <c r="F81" s="37" t="s">
        <v>115</v>
      </c>
      <c r="G81" s="93">
        <v>35.6</v>
      </c>
      <c r="H81" s="69">
        <v>5.9</v>
      </c>
      <c r="I81" s="575" t="s">
        <v>599</v>
      </c>
      <c r="J81" s="93">
        <f>G81-H81</f>
        <v>29.700000000000003</v>
      </c>
      <c r="K81" s="575" t="s">
        <v>1304</v>
      </c>
      <c r="L81" s="93">
        <v>12.6</v>
      </c>
      <c r="M81" s="575" t="s">
        <v>1358</v>
      </c>
      <c r="N81" s="14"/>
      <c r="O81" s="32" t="s">
        <v>115</v>
      </c>
      <c r="P81" s="93">
        <f>Q81+U81+W81</f>
        <v>65</v>
      </c>
      <c r="Q81" s="177"/>
      <c r="R81" s="575"/>
      <c r="S81" s="14"/>
      <c r="T81" s="32" t="s">
        <v>115</v>
      </c>
      <c r="U81" s="93">
        <v>65</v>
      </c>
      <c r="V81" s="575" t="s">
        <v>1359</v>
      </c>
      <c r="W81" s="18"/>
      <c r="X81" s="18"/>
      <c r="Y81" s="575" t="s">
        <v>110</v>
      </c>
      <c r="Z81" s="14"/>
      <c r="AA81" s="605" t="s">
        <v>47</v>
      </c>
      <c r="AD81" s="33" t="str">
        <f>C81&amp;F81</f>
        <v>The NetherlandsLC bn</v>
      </c>
    </row>
    <row r="82" spans="1:30" ht="98.5" customHeight="1">
      <c r="A82" s="638"/>
      <c r="B82" s="638"/>
      <c r="C82" s="632"/>
      <c r="D82" s="629"/>
      <c r="E82" s="36"/>
      <c r="F82" s="32" t="s">
        <v>116</v>
      </c>
      <c r="G82" s="81" t="e">
        <f>G81/VLOOKUP(C81,#REF!,8,0)</f>
        <v>#REF!</v>
      </c>
      <c r="H82" s="69" t="e">
        <f>H81/VLOOKUP($C81,#REF!,8,0)</f>
        <v>#REF!</v>
      </c>
      <c r="I82" s="591"/>
      <c r="J82" s="81" t="e">
        <f>J81/VLOOKUP($C81,#REF!,8,0)</f>
        <v>#REF!</v>
      </c>
      <c r="K82" s="576"/>
      <c r="L82" s="81" t="e">
        <f>L81/VLOOKUP($C81,#REF!,8,0)</f>
        <v>#REF!</v>
      </c>
      <c r="M82" s="576"/>
      <c r="N82" s="36"/>
      <c r="O82" s="32" t="s">
        <v>116</v>
      </c>
      <c r="P82" s="95" t="e">
        <f>P81/VLOOKUP($C81,#REF!,8,0)</f>
        <v>#REF!</v>
      </c>
      <c r="Q82" s="178"/>
      <c r="R82" s="576"/>
      <c r="S82" s="36"/>
      <c r="T82" s="32" t="s">
        <v>116</v>
      </c>
      <c r="U82" s="95" t="e">
        <f>U81/VLOOKUP($C81,#REF!,8,0)</f>
        <v>#REF!</v>
      </c>
      <c r="V82" s="576"/>
      <c r="W82" s="28"/>
      <c r="X82" s="28"/>
      <c r="Y82" s="576"/>
      <c r="Z82" s="36"/>
      <c r="AA82" s="606"/>
      <c r="AD82" s="33" t="str">
        <f>C81&amp;F82</f>
        <v>The NetherlandsUSD bn</v>
      </c>
    </row>
    <row r="83" spans="1:30" ht="131.5" customHeight="1">
      <c r="A83" s="638"/>
      <c r="B83" s="638"/>
      <c r="C83" s="633"/>
      <c r="D83" s="630"/>
      <c r="E83" s="12"/>
      <c r="F83" s="31" t="s">
        <v>117</v>
      </c>
      <c r="G83" s="17" t="e">
        <f>(G81/VLOOKUP(C81,#REF!,4,0))*100</f>
        <v>#REF!</v>
      </c>
      <c r="H83" s="17" t="e">
        <f>(H81/VLOOKUP($C81,#REF!,4,0))*100</f>
        <v>#REF!</v>
      </c>
      <c r="I83" s="592"/>
      <c r="J83" s="17" t="e">
        <f>J81/VLOOKUP($C81,#REF!,4,0)*100</f>
        <v>#REF!</v>
      </c>
      <c r="K83" s="577"/>
      <c r="L83" s="17" t="e">
        <f>L81/VLOOKUP($C81,#REF!,4,0)*100</f>
        <v>#REF!</v>
      </c>
      <c r="M83" s="577"/>
      <c r="N83" s="12"/>
      <c r="O83" s="31" t="s">
        <v>117</v>
      </c>
      <c r="P83" s="17" t="e">
        <f>P81/VLOOKUP($C81,#REF!,4,0)*100</f>
        <v>#REF!</v>
      </c>
      <c r="Q83" s="168"/>
      <c r="R83" s="577"/>
      <c r="S83" s="12"/>
      <c r="T83" s="31" t="s">
        <v>117</v>
      </c>
      <c r="U83" s="68" t="e">
        <f>U81/VLOOKUP($C81,#REF!,4,0)*100</f>
        <v>#REF!</v>
      </c>
      <c r="V83" s="577"/>
      <c r="W83" s="19"/>
      <c r="X83" s="19"/>
      <c r="Y83" s="577"/>
      <c r="Z83" s="1"/>
      <c r="AA83" s="607"/>
      <c r="AD83" s="33" t="str">
        <f>C81&amp;F83</f>
        <v>The Netherlands% GDP</v>
      </c>
    </row>
    <row r="84" spans="1:30" ht="111.65" customHeight="1">
      <c r="A84" s="638">
        <v>0</v>
      </c>
      <c r="B84" s="638" t="s">
        <v>858</v>
      </c>
      <c r="C84" s="632" t="s">
        <v>553</v>
      </c>
      <c r="D84" s="629" t="s">
        <v>571</v>
      </c>
      <c r="E84" s="14"/>
      <c r="F84" s="37" t="s">
        <v>115</v>
      </c>
      <c r="G84" s="81">
        <f>H84+J84</f>
        <v>61.6</v>
      </c>
      <c r="H84" s="190">
        <v>3.9</v>
      </c>
      <c r="I84" s="575" t="s">
        <v>1396</v>
      </c>
      <c r="J84" s="98">
        <v>57.7</v>
      </c>
      <c r="K84" s="634" t="s">
        <v>1397</v>
      </c>
      <c r="L84" s="193"/>
      <c r="M84" s="193"/>
      <c r="N84" s="6"/>
      <c r="O84" s="32" t="s">
        <v>115</v>
      </c>
      <c r="P84" s="93">
        <f t="shared" ref="P84:P107" si="5">Q84+U84+W84</f>
        <v>8.75</v>
      </c>
      <c r="Q84" s="271">
        <v>2.5</v>
      </c>
      <c r="R84" s="581" t="s">
        <v>1375</v>
      </c>
      <c r="S84" s="6"/>
      <c r="T84" s="32" t="s">
        <v>115</v>
      </c>
      <c r="U84" s="56">
        <v>6.25</v>
      </c>
      <c r="V84" s="581" t="s">
        <v>1376</v>
      </c>
      <c r="W84" s="28"/>
      <c r="X84" s="619"/>
      <c r="Y84" s="28"/>
      <c r="AA84" s="27"/>
      <c r="AD84" s="33" t="str">
        <f>C84&amp;F84</f>
        <v>New ZealandLC bn</v>
      </c>
    </row>
    <row r="85" spans="1:30" ht="120.65" customHeight="1">
      <c r="A85" s="638"/>
      <c r="B85" s="638"/>
      <c r="C85" s="632"/>
      <c r="D85" s="629"/>
      <c r="E85" s="36"/>
      <c r="F85" s="32" t="s">
        <v>116</v>
      </c>
      <c r="G85" s="81" t="e">
        <f>G84/VLOOKUP($C84,#REF!,8,0)</f>
        <v>#REF!</v>
      </c>
      <c r="H85" s="69" t="e">
        <f>H84/VLOOKUP($C84,#REF!,8,0)</f>
        <v>#REF!</v>
      </c>
      <c r="I85" s="591"/>
      <c r="J85" s="81" t="e">
        <f>J84/VLOOKUP($C84,#REF!,8,0)</f>
        <v>#REF!</v>
      </c>
      <c r="K85" s="582"/>
      <c r="L85" s="193"/>
      <c r="M85" s="193"/>
      <c r="N85" s="6"/>
      <c r="O85" s="32" t="s">
        <v>116</v>
      </c>
      <c r="P85" s="56" t="e">
        <f t="shared" si="5"/>
        <v>#REF!</v>
      </c>
      <c r="Q85" s="69" t="e">
        <f>Q84/VLOOKUP($C84,#REF!,8,0)</f>
        <v>#REF!</v>
      </c>
      <c r="R85" s="582"/>
      <c r="S85" s="6"/>
      <c r="T85" s="32" t="s">
        <v>116</v>
      </c>
      <c r="U85" s="69" t="e">
        <f>U84/VLOOKUP($C84,#REF!,8,0)</f>
        <v>#REF!</v>
      </c>
      <c r="V85" s="582"/>
      <c r="W85" s="28"/>
      <c r="X85" s="620"/>
      <c r="Y85" s="28"/>
      <c r="AA85" s="27"/>
      <c r="AD85" s="33" t="str">
        <f>C84&amp;F85</f>
        <v>New ZealandUSD bn</v>
      </c>
    </row>
    <row r="86" spans="1:30" ht="136.5" customHeight="1">
      <c r="A86" s="638"/>
      <c r="B86" s="638"/>
      <c r="C86" s="633"/>
      <c r="D86" s="630"/>
      <c r="E86" s="12"/>
      <c r="F86" s="31" t="s">
        <v>117</v>
      </c>
      <c r="G86" s="17" t="e">
        <f>(G84/VLOOKUP($C84,#REF!,4,0))*100</f>
        <v>#REF!</v>
      </c>
      <c r="H86" s="17" t="e">
        <f>(H84/VLOOKUP($C84,#REF!,4,0))*100</f>
        <v>#REF!</v>
      </c>
      <c r="I86" s="592"/>
      <c r="J86" s="17" t="e">
        <f>(J84/VLOOKUP($C84,#REF!,4,0))*100</f>
        <v>#REF!</v>
      </c>
      <c r="K86" s="583"/>
      <c r="L86" s="193"/>
      <c r="M86" s="193"/>
      <c r="N86" s="6"/>
      <c r="O86" s="31" t="s">
        <v>117</v>
      </c>
      <c r="P86" s="17" t="e">
        <f t="shared" si="5"/>
        <v>#REF!</v>
      </c>
      <c r="Q86" s="17" t="e">
        <f>(Q84/VLOOKUP($C84,#REF!,4,0))*100</f>
        <v>#REF!</v>
      </c>
      <c r="R86" s="583"/>
      <c r="S86" s="6"/>
      <c r="T86" s="31" t="s">
        <v>117</v>
      </c>
      <c r="U86" s="17" t="e">
        <f>(U84/VLOOKUP($C84,#REF!,4,0))*100</f>
        <v>#REF!</v>
      </c>
      <c r="V86" s="583"/>
      <c r="W86" s="28"/>
      <c r="X86" s="621"/>
      <c r="Y86" s="28"/>
      <c r="AA86" s="27"/>
      <c r="AD86" s="33" t="str">
        <f>C84&amp;F86</f>
        <v>New Zealand% GDP</v>
      </c>
    </row>
    <row r="87" spans="1:30" s="36" customFormat="1" ht="58.5" customHeight="1">
      <c r="A87" s="638">
        <v>0</v>
      </c>
      <c r="B87" s="638" t="s">
        <v>858</v>
      </c>
      <c r="C87" s="632" t="s">
        <v>36</v>
      </c>
      <c r="D87" s="629" t="s">
        <v>571</v>
      </c>
      <c r="E87" s="14"/>
      <c r="F87" s="37" t="s">
        <v>115</v>
      </c>
      <c r="G87" s="93">
        <v>126.3</v>
      </c>
      <c r="H87" s="74">
        <v>10.8</v>
      </c>
      <c r="I87" s="575" t="s">
        <v>1377</v>
      </c>
      <c r="J87" s="53">
        <f>G87-H87</f>
        <v>115.5</v>
      </c>
      <c r="K87" s="575" t="s">
        <v>1395</v>
      </c>
      <c r="L87" s="74"/>
      <c r="M87" s="575" t="s">
        <v>1378</v>
      </c>
      <c r="N87" s="14"/>
      <c r="O87" s="32" t="s">
        <v>115</v>
      </c>
      <c r="P87" s="93">
        <f t="shared" si="5"/>
        <v>130</v>
      </c>
      <c r="Q87" s="175">
        <v>52</v>
      </c>
      <c r="R87" s="575" t="s">
        <v>1415</v>
      </c>
      <c r="S87" s="14"/>
      <c r="T87" s="32" t="s">
        <v>115</v>
      </c>
      <c r="U87" s="93">
        <v>78</v>
      </c>
      <c r="V87" s="575" t="s">
        <v>1416</v>
      </c>
      <c r="W87" s="18"/>
      <c r="X87" s="18"/>
      <c r="Y87" s="575" t="s">
        <v>127</v>
      </c>
      <c r="Z87" s="14"/>
      <c r="AA87" s="605" t="s">
        <v>48</v>
      </c>
      <c r="AD87" s="33" t="str">
        <f>C87&amp;F87</f>
        <v>NorwayLC bn</v>
      </c>
    </row>
    <row r="88" spans="1:30" s="36" customFormat="1" ht="62.5" customHeight="1">
      <c r="A88" s="638"/>
      <c r="B88" s="638"/>
      <c r="C88" s="632"/>
      <c r="D88" s="629"/>
      <c r="F88" s="32" t="s">
        <v>116</v>
      </c>
      <c r="G88" s="81" t="e">
        <f>G87/#REF!</f>
        <v>#REF!</v>
      </c>
      <c r="H88" s="56" t="e">
        <f>H87/VLOOKUP($C87,#REF!,8,0)</f>
        <v>#REF!</v>
      </c>
      <c r="I88" s="576"/>
      <c r="J88" s="56" t="e">
        <f>J87/VLOOKUP($C87,#REF!,8,0)</f>
        <v>#REF!</v>
      </c>
      <c r="K88" s="576"/>
      <c r="L88" s="28"/>
      <c r="M88" s="576"/>
      <c r="O88" s="32" t="s">
        <v>116</v>
      </c>
      <c r="P88" s="95" t="e">
        <f t="shared" si="5"/>
        <v>#REF!</v>
      </c>
      <c r="Q88" s="180" t="e">
        <f>Q87/#REF!</f>
        <v>#REF!</v>
      </c>
      <c r="R88" s="576"/>
      <c r="T88" s="32" t="s">
        <v>116</v>
      </c>
      <c r="U88" s="95" t="e">
        <f>U87/#REF!</f>
        <v>#REF!</v>
      </c>
      <c r="V88" s="576"/>
      <c r="W88" s="28"/>
      <c r="X88" s="28"/>
      <c r="Y88" s="576"/>
      <c r="AA88" s="606"/>
      <c r="AD88" s="33" t="str">
        <f>C87&amp;F88</f>
        <v>NorwayUSD bn</v>
      </c>
    </row>
    <row r="89" spans="1:30" ht="129.65" customHeight="1">
      <c r="A89" s="638"/>
      <c r="B89" s="638"/>
      <c r="C89" s="633"/>
      <c r="D89" s="630"/>
      <c r="E89" s="12"/>
      <c r="F89" s="31" t="s">
        <v>117</v>
      </c>
      <c r="G89" s="17" t="e">
        <f>((G87/#REF!))*100</f>
        <v>#REF!</v>
      </c>
      <c r="H89" s="402" t="e">
        <f>(H87/VLOOKUP($C87,#REF!,4,0))*100</f>
        <v>#REF!</v>
      </c>
      <c r="I89" s="577"/>
      <c r="J89" s="68" t="e">
        <f>(J87/VLOOKUP($C87,#REF!,4,0))*100</f>
        <v>#REF!</v>
      </c>
      <c r="K89" s="577"/>
      <c r="L89" s="19"/>
      <c r="M89" s="577"/>
      <c r="N89" s="12"/>
      <c r="O89" s="31" t="s">
        <v>117</v>
      </c>
      <c r="P89" s="82" t="e">
        <f t="shared" si="5"/>
        <v>#REF!</v>
      </c>
      <c r="Q89" s="174" t="e">
        <f>((Q87/#REF!))*100</f>
        <v>#REF!</v>
      </c>
      <c r="R89" s="577"/>
      <c r="S89" s="12"/>
      <c r="T89" s="31" t="s">
        <v>117</v>
      </c>
      <c r="U89" s="17" t="e">
        <f>((U87/#REF!))*100</f>
        <v>#REF!</v>
      </c>
      <c r="V89" s="577"/>
      <c r="W89" s="19"/>
      <c r="X89" s="19"/>
      <c r="Y89" s="577"/>
      <c r="Z89" s="1"/>
      <c r="AA89" s="607"/>
      <c r="AD89" s="33" t="str">
        <f>C87&amp;F89</f>
        <v>Norway% GDP</v>
      </c>
    </row>
    <row r="90" spans="1:30" s="36" customFormat="1" ht="99.65" customHeight="1">
      <c r="A90" s="638">
        <v>0</v>
      </c>
      <c r="B90" s="638" t="s">
        <v>858</v>
      </c>
      <c r="C90" s="632" t="s">
        <v>31</v>
      </c>
      <c r="D90" s="629" t="s">
        <v>571</v>
      </c>
      <c r="E90" s="14"/>
      <c r="F90" s="37" t="s">
        <v>115</v>
      </c>
      <c r="G90" s="93">
        <f>H90+J90</f>
        <v>75.2</v>
      </c>
      <c r="H90" s="74">
        <v>0.8</v>
      </c>
      <c r="I90" s="575" t="s">
        <v>627</v>
      </c>
      <c r="J90" s="93">
        <v>74.400000000000006</v>
      </c>
      <c r="K90" s="575" t="s">
        <v>1310</v>
      </c>
      <c r="L90" s="18"/>
      <c r="M90" s="18"/>
      <c r="N90" s="14"/>
      <c r="O90" s="32" t="s">
        <v>115</v>
      </c>
      <c r="P90" s="93">
        <f t="shared" si="5"/>
        <v>22</v>
      </c>
      <c r="Q90" s="175">
        <v>22</v>
      </c>
      <c r="R90" s="575" t="s">
        <v>1417</v>
      </c>
      <c r="S90" s="14"/>
      <c r="T90" s="32" t="s">
        <v>115</v>
      </c>
      <c r="U90" s="53"/>
      <c r="V90" s="575"/>
      <c r="W90" s="18"/>
      <c r="X90" s="18"/>
      <c r="Y90" s="18"/>
      <c r="Z90" s="14"/>
      <c r="AA90" s="18"/>
      <c r="AD90" s="33" t="str">
        <f>C90&amp;F90</f>
        <v>SingaporeLC bn</v>
      </c>
    </row>
    <row r="91" spans="1:30" s="10" customFormat="1" ht="58.5" customHeight="1">
      <c r="A91" s="638"/>
      <c r="B91" s="638"/>
      <c r="C91" s="632"/>
      <c r="D91" s="629"/>
      <c r="E91" s="36"/>
      <c r="F91" s="32" t="s">
        <v>116</v>
      </c>
      <c r="G91" s="81" t="e">
        <f>G90/VLOOKUP(C90,#REF!,8,0)</f>
        <v>#REF!</v>
      </c>
      <c r="H91" s="69" t="e">
        <f>H90/VLOOKUP($C90,#REF!,8,0)</f>
        <v>#REF!</v>
      </c>
      <c r="I91" s="576"/>
      <c r="J91" s="81" t="e">
        <f>J90/VLOOKUP($C90,#REF!,8,0)</f>
        <v>#REF!</v>
      </c>
      <c r="K91" s="576"/>
      <c r="L91" s="28"/>
      <c r="M91" s="28"/>
      <c r="N91" s="36"/>
      <c r="O91" s="32" t="s">
        <v>116</v>
      </c>
      <c r="P91" s="95" t="e">
        <f t="shared" si="5"/>
        <v>#REF!</v>
      </c>
      <c r="Q91" s="167" t="e">
        <f>Q90/VLOOKUP(C90,#REF!,8,0)</f>
        <v>#REF!</v>
      </c>
      <c r="R91" s="576"/>
      <c r="S91" s="36"/>
      <c r="T91" s="32" t="s">
        <v>116</v>
      </c>
      <c r="U91" s="56"/>
      <c r="V91" s="576"/>
      <c r="W91" s="28"/>
      <c r="X91" s="28"/>
      <c r="Y91" s="28"/>
      <c r="Z91" s="36"/>
      <c r="AA91" s="28"/>
      <c r="AD91" s="33" t="str">
        <f>C90&amp;F91</f>
        <v>SingaporeUSD bn</v>
      </c>
    </row>
    <row r="92" spans="1:30" ht="42.65" customHeight="1">
      <c r="A92" s="638"/>
      <c r="B92" s="638"/>
      <c r="C92" s="633"/>
      <c r="D92" s="630"/>
      <c r="E92" s="6"/>
      <c r="F92" s="32" t="s">
        <v>117</v>
      </c>
      <c r="G92" s="69" t="e">
        <f>(G90/VLOOKUP(C90,#REF!,4,0))*100</f>
        <v>#REF!</v>
      </c>
      <c r="H92" s="17" t="e">
        <f>(H90/VLOOKUP($C90,#REF!,4,0))*100</f>
        <v>#REF!</v>
      </c>
      <c r="I92" s="577"/>
      <c r="J92" s="17" t="e">
        <f>J90/VLOOKUP($C90,#REF!,4,0)*100</f>
        <v>#REF!</v>
      </c>
      <c r="K92" s="577"/>
      <c r="L92" s="28"/>
      <c r="M92" s="28"/>
      <c r="N92" s="6"/>
      <c r="O92" s="32" t="s">
        <v>117</v>
      </c>
      <c r="P92" s="17" t="e">
        <f t="shared" si="5"/>
        <v>#REF!</v>
      </c>
      <c r="Q92" s="170" t="e">
        <f>(Q90/VLOOKUP(C90,#REF!,4,0))*100</f>
        <v>#REF!</v>
      </c>
      <c r="R92" s="577"/>
      <c r="S92" s="6"/>
      <c r="T92" s="32" t="s">
        <v>117</v>
      </c>
      <c r="U92" s="69"/>
      <c r="V92" s="577"/>
      <c r="W92" s="28"/>
      <c r="X92" s="28"/>
      <c r="Y92" s="28"/>
      <c r="AA92" s="27"/>
      <c r="AD92" s="33" t="str">
        <f>C90&amp;F92</f>
        <v>Singapore% GDP</v>
      </c>
    </row>
    <row r="93" spans="1:30" s="15" customFormat="1" ht="90.75" customHeight="1">
      <c r="A93" s="638">
        <v>0</v>
      </c>
      <c r="B93" s="638" t="s">
        <v>858</v>
      </c>
      <c r="C93" s="632" t="s">
        <v>21</v>
      </c>
      <c r="D93" s="628" t="s">
        <v>571</v>
      </c>
      <c r="F93" s="37" t="s">
        <v>115</v>
      </c>
      <c r="G93" s="93">
        <f>H93+J93</f>
        <v>206.26</v>
      </c>
      <c r="H93" s="53">
        <v>37.659999999999997</v>
      </c>
      <c r="I93" s="645" t="s">
        <v>1343</v>
      </c>
      <c r="J93" s="49">
        <v>168.6</v>
      </c>
      <c r="K93" s="581" t="s">
        <v>1344</v>
      </c>
      <c r="L93" s="74">
        <v>335</v>
      </c>
      <c r="M93" s="639" t="s">
        <v>1345</v>
      </c>
      <c r="O93" s="37" t="s">
        <v>115</v>
      </c>
      <c r="P93" s="93">
        <f t="shared" si="5"/>
        <v>261.7</v>
      </c>
      <c r="Q93" s="169">
        <v>11.7</v>
      </c>
      <c r="R93" s="581" t="s">
        <v>1222</v>
      </c>
      <c r="T93" s="37" t="s">
        <v>115</v>
      </c>
      <c r="U93" s="80">
        <v>250</v>
      </c>
      <c r="V93" s="581" t="s">
        <v>1223</v>
      </c>
      <c r="W93" s="18"/>
      <c r="X93" s="18"/>
      <c r="Y93" s="22"/>
      <c r="AA93" s="18"/>
      <c r="AD93" s="33" t="str">
        <f>C93&amp;F93</f>
        <v>SwedenLC bn</v>
      </c>
    </row>
    <row r="94" spans="1:30" s="36" customFormat="1" ht="110.15" customHeight="1">
      <c r="A94" s="638"/>
      <c r="B94" s="638"/>
      <c r="C94" s="632"/>
      <c r="D94" s="629"/>
      <c r="E94" s="3"/>
      <c r="F94" s="32" t="s">
        <v>116</v>
      </c>
      <c r="G94" s="81" t="e">
        <f>G93/VLOOKUP($C93,#REF!,8,0)</f>
        <v>#REF!</v>
      </c>
      <c r="H94" s="69" t="e">
        <f>H93/VLOOKUP($C93,#REF!,8,0)</f>
        <v>#REF!</v>
      </c>
      <c r="I94" s="646"/>
      <c r="J94" s="81" t="e">
        <f>J93/VLOOKUP($C93,#REF!,8,0)</f>
        <v>#REF!</v>
      </c>
      <c r="K94" s="582"/>
      <c r="L94" s="95" t="e">
        <f>L93/VLOOKUP(C93,#REF!,8,0)</f>
        <v>#REF!</v>
      </c>
      <c r="M94" s="576"/>
      <c r="N94" s="3"/>
      <c r="O94" s="32" t="s">
        <v>116</v>
      </c>
      <c r="P94" s="95" t="e">
        <f t="shared" si="5"/>
        <v>#REF!</v>
      </c>
      <c r="Q94" s="69" t="e">
        <f>Q93/VLOOKUP($C93,#REF!,8,0)</f>
        <v>#REF!</v>
      </c>
      <c r="R94" s="582"/>
      <c r="S94" s="3"/>
      <c r="T94" s="32" t="s">
        <v>116</v>
      </c>
      <c r="U94" s="81" t="e">
        <f>U93/VLOOKUP($C93,#REF!,8,0)</f>
        <v>#REF!</v>
      </c>
      <c r="V94" s="582"/>
      <c r="W94" s="28"/>
      <c r="X94" s="28"/>
      <c r="Y94" s="35"/>
      <c r="Z94" s="3"/>
      <c r="AA94" s="28"/>
      <c r="AD94" s="33" t="str">
        <f>C93&amp;F94</f>
        <v>SwedenUSD bn</v>
      </c>
    </row>
    <row r="95" spans="1:30" ht="93" customHeight="1">
      <c r="A95" s="638"/>
      <c r="B95" s="638"/>
      <c r="C95" s="633"/>
      <c r="D95" s="630"/>
      <c r="E95" s="12"/>
      <c r="F95" s="31" t="s">
        <v>117</v>
      </c>
      <c r="G95" s="17" t="e">
        <f>(G93/VLOOKUP($C93,#REF!,4,0))*100</f>
        <v>#REF!</v>
      </c>
      <c r="H95" s="17" t="e">
        <f>(H93/VLOOKUP($C93,#REF!,4,0))*100</f>
        <v>#REF!</v>
      </c>
      <c r="I95" s="647"/>
      <c r="J95" s="17" t="e">
        <f>(J93/VLOOKUP($C93,#REF!,4,0))*100</f>
        <v>#REF!</v>
      </c>
      <c r="K95" s="583"/>
      <c r="L95" s="68" t="e">
        <f>(L93/VLOOKUP(C93,#REF!,4,0))*100</f>
        <v>#REF!</v>
      </c>
      <c r="M95" s="577"/>
      <c r="N95" s="12"/>
      <c r="O95" s="31" t="s">
        <v>117</v>
      </c>
      <c r="P95" s="17" t="e">
        <f t="shared" si="5"/>
        <v>#REF!</v>
      </c>
      <c r="Q95" s="17" t="e">
        <f>(Q93/VLOOKUP($C93,#REF!,4,0))*100</f>
        <v>#REF!</v>
      </c>
      <c r="R95" s="583"/>
      <c r="S95" s="12"/>
      <c r="T95" s="31" t="s">
        <v>117</v>
      </c>
      <c r="U95" s="17" t="e">
        <f>(U93/VLOOKUP($C93,#REF!,4,0))*100</f>
        <v>#REF!</v>
      </c>
      <c r="V95" s="583"/>
      <c r="W95" s="19"/>
      <c r="X95" s="19"/>
      <c r="Y95" s="19"/>
      <c r="Z95" s="1"/>
      <c r="AA95" s="26"/>
      <c r="AD95" s="33" t="str">
        <f>C93&amp;F95</f>
        <v>Sweden% GDP</v>
      </c>
    </row>
    <row r="96" spans="1:30" ht="58.5" customHeight="1">
      <c r="A96" s="638">
        <v>0</v>
      </c>
      <c r="B96" s="638" t="s">
        <v>858</v>
      </c>
      <c r="C96" s="632" t="s">
        <v>558</v>
      </c>
      <c r="D96" s="628" t="s">
        <v>571</v>
      </c>
      <c r="E96" s="15"/>
      <c r="F96" s="37" t="s">
        <v>115</v>
      </c>
      <c r="G96" s="81">
        <f>H96+J96</f>
        <v>37.143999999999998</v>
      </c>
      <c r="H96" s="190">
        <v>3</v>
      </c>
      <c r="I96" s="581" t="s">
        <v>1360</v>
      </c>
      <c r="J96" s="95">
        <v>34.143999999999998</v>
      </c>
      <c r="K96" s="634" t="s">
        <v>1390</v>
      </c>
      <c r="L96" s="247"/>
      <c r="M96" s="575"/>
      <c r="N96" s="6"/>
      <c r="O96" s="37" t="s">
        <v>115</v>
      </c>
      <c r="P96" s="93">
        <f t="shared" si="5"/>
        <v>42.199999999999996</v>
      </c>
      <c r="Q96" s="170">
        <v>0.8</v>
      </c>
      <c r="R96" s="688" t="s">
        <v>1391</v>
      </c>
      <c r="S96" s="6"/>
      <c r="T96" s="37" t="s">
        <v>115</v>
      </c>
      <c r="U96" s="81">
        <v>41.4</v>
      </c>
      <c r="V96" s="688" t="s">
        <v>1392</v>
      </c>
      <c r="W96" s="28"/>
      <c r="X96" s="28"/>
      <c r="Y96" s="28"/>
      <c r="AA96" s="27"/>
      <c r="AD96" s="33" t="str">
        <f>C96&amp;F96</f>
        <v>SwitzerlandLC bn</v>
      </c>
    </row>
    <row r="97" spans="1:30" ht="58.5" customHeight="1">
      <c r="A97" s="638"/>
      <c r="B97" s="638"/>
      <c r="C97" s="632"/>
      <c r="D97" s="629"/>
      <c r="F97" s="32" t="s">
        <v>116</v>
      </c>
      <c r="G97" s="81" t="e">
        <f>G96/VLOOKUP($C96,#REF!,8,0)</f>
        <v>#REF!</v>
      </c>
      <c r="H97" s="69" t="e">
        <f>H96/VLOOKUP($C96,#REF!,8,0)</f>
        <v>#REF!</v>
      </c>
      <c r="I97" s="582"/>
      <c r="J97" s="81" t="e">
        <f>J96/VLOOKUP($C96,#REF!,8,0)</f>
        <v>#REF!</v>
      </c>
      <c r="K97" s="582"/>
      <c r="L97" s="81"/>
      <c r="M97" s="576"/>
      <c r="N97" s="6"/>
      <c r="O97" s="32" t="s">
        <v>116</v>
      </c>
      <c r="P97" s="95" t="e">
        <f t="shared" si="5"/>
        <v>#REF!</v>
      </c>
      <c r="Q97" s="69" t="e">
        <f>Q96/VLOOKUP($C96,#REF!,8,0)</f>
        <v>#REF!</v>
      </c>
      <c r="R97" s="576"/>
      <c r="S97" s="6"/>
      <c r="T97" s="32" t="s">
        <v>116</v>
      </c>
      <c r="U97" s="81" t="e">
        <f>U96/VLOOKUP($C96,#REF!,8,0)</f>
        <v>#REF!</v>
      </c>
      <c r="V97" s="591"/>
      <c r="W97" s="28"/>
      <c r="X97" s="28"/>
      <c r="Y97" s="28"/>
      <c r="AA97" s="27"/>
      <c r="AD97" s="33" t="str">
        <f>C96&amp;F97</f>
        <v>SwitzerlandUSD bn</v>
      </c>
    </row>
    <row r="98" spans="1:30" ht="58.5" customHeight="1">
      <c r="A98" s="638"/>
      <c r="B98" s="638"/>
      <c r="C98" s="633"/>
      <c r="D98" s="630"/>
      <c r="E98" s="12"/>
      <c r="F98" s="31" t="s">
        <v>117</v>
      </c>
      <c r="G98" s="17" t="e">
        <f>(G96/VLOOKUP($C96,#REF!,4,0))*100</f>
        <v>#REF!</v>
      </c>
      <c r="H98" s="17" t="e">
        <f>(H96/VLOOKUP($C96,#REF!,4,0))*100</f>
        <v>#REF!</v>
      </c>
      <c r="I98" s="583"/>
      <c r="J98" s="17" t="e">
        <f>(J96/VLOOKUP($C96,#REF!,4,0))*100</f>
        <v>#REF!</v>
      </c>
      <c r="K98" s="583"/>
      <c r="L98" s="17"/>
      <c r="M98" s="577"/>
      <c r="N98" s="12"/>
      <c r="O98" s="31" t="s">
        <v>117</v>
      </c>
      <c r="P98" s="17" t="e">
        <f t="shared" si="5"/>
        <v>#REF!</v>
      </c>
      <c r="Q98" s="17" t="e">
        <f>(Q96/VLOOKUP($C96,#REF!,4,0))*100</f>
        <v>#REF!</v>
      </c>
      <c r="R98" s="577"/>
      <c r="S98" s="12"/>
      <c r="T98" s="31" t="s">
        <v>117</v>
      </c>
      <c r="U98" s="17" t="e">
        <f>(U96/VLOOKUP($C96,#REF!,4,0))*100</f>
        <v>#REF!</v>
      </c>
      <c r="V98" s="592"/>
      <c r="W98" s="19"/>
      <c r="X98" s="19"/>
      <c r="Y98" s="28"/>
      <c r="AA98" s="27"/>
      <c r="AD98" s="33" t="str">
        <f>C96&amp;F98</f>
        <v>Switzerland% GDP</v>
      </c>
    </row>
    <row r="99" spans="1:30" s="36" customFormat="1" ht="90.65" customHeight="1">
      <c r="A99" s="638">
        <v>0</v>
      </c>
      <c r="B99" s="638" t="s">
        <v>861</v>
      </c>
      <c r="C99" s="632" t="s">
        <v>41</v>
      </c>
      <c r="D99" s="628" t="s">
        <v>570</v>
      </c>
      <c r="F99" s="32" t="s">
        <v>115</v>
      </c>
      <c r="G99" s="95">
        <v>19.135000000000002</v>
      </c>
      <c r="H99" s="74">
        <v>2.5</v>
      </c>
      <c r="I99" s="600" t="s">
        <v>1379</v>
      </c>
      <c r="J99" s="95">
        <f>13.635+0.081</f>
        <v>13.715999999999999</v>
      </c>
      <c r="K99" s="581" t="s">
        <v>1393</v>
      </c>
      <c r="L99" s="75"/>
      <c r="M99" s="575" t="s">
        <v>1380</v>
      </c>
      <c r="O99" s="32" t="s">
        <v>115</v>
      </c>
      <c r="P99" s="264">
        <f t="shared" si="5"/>
        <v>26</v>
      </c>
      <c r="Q99" s="178"/>
      <c r="R99" s="28"/>
      <c r="T99" s="32" t="s">
        <v>115</v>
      </c>
      <c r="U99" s="95">
        <v>26</v>
      </c>
      <c r="V99" s="575" t="s">
        <v>1213</v>
      </c>
      <c r="W99" s="75"/>
      <c r="X99" s="28"/>
      <c r="Y99" s="28"/>
      <c r="AA99" s="28"/>
      <c r="AD99" s="33" t="str">
        <f>C99&amp;F99</f>
        <v>AlbaniaLC bn</v>
      </c>
    </row>
    <row r="100" spans="1:30" ht="83.5" customHeight="1">
      <c r="A100" s="638"/>
      <c r="B100" s="638"/>
      <c r="C100" s="632"/>
      <c r="D100" s="629"/>
      <c r="E100" s="36"/>
      <c r="F100" s="32" t="s">
        <v>116</v>
      </c>
      <c r="G100" s="69" t="e">
        <f>G99/VLOOKUP(C99,#REF!,8,0)</f>
        <v>#REF!</v>
      </c>
      <c r="H100" s="69" t="e">
        <f>H99/VLOOKUP($C99,#REF!,8,0)</f>
        <v>#REF!</v>
      </c>
      <c r="I100" s="601"/>
      <c r="J100" s="69" t="e">
        <f>J99/VLOOKUP($C99,#REF!,8,0)</f>
        <v>#REF!</v>
      </c>
      <c r="K100" s="582"/>
      <c r="L100" s="28"/>
      <c r="M100" s="576"/>
      <c r="N100" s="36"/>
      <c r="O100" s="32" t="s">
        <v>116</v>
      </c>
      <c r="P100" s="248" t="e">
        <f t="shared" si="5"/>
        <v>#REF!</v>
      </c>
      <c r="Q100" s="178"/>
      <c r="R100" s="28"/>
      <c r="S100" s="36"/>
      <c r="T100" s="32" t="s">
        <v>116</v>
      </c>
      <c r="U100" s="69" t="e">
        <f>U99/VLOOKUP(C99,#REF!,8,0)</f>
        <v>#REF!</v>
      </c>
      <c r="V100" s="576"/>
      <c r="W100" s="28"/>
      <c r="X100" s="28"/>
      <c r="Y100" s="28"/>
      <c r="Z100" s="36"/>
      <c r="AA100" s="28"/>
      <c r="AD100" s="33" t="str">
        <f>C99&amp;F100</f>
        <v>AlbaniaUSD bn</v>
      </c>
    </row>
    <row r="101" spans="1:30" ht="106.5" customHeight="1">
      <c r="A101" s="638"/>
      <c r="B101" s="638"/>
      <c r="C101" s="633"/>
      <c r="D101" s="630"/>
      <c r="E101" s="12"/>
      <c r="F101" s="31" t="s">
        <v>117</v>
      </c>
      <c r="G101" s="17" t="e">
        <f>(G99/VLOOKUP(C99,#REF!,4,0))*100</f>
        <v>#REF!</v>
      </c>
      <c r="H101" s="17" t="e">
        <f>(H99/VLOOKUP($C99,#REF!,4,0))*100</f>
        <v>#REF!</v>
      </c>
      <c r="I101" s="602"/>
      <c r="J101" s="17" t="e">
        <f>J99/VLOOKUP($C99,#REF!,4,0)*100</f>
        <v>#REF!</v>
      </c>
      <c r="K101" s="583"/>
      <c r="L101" s="19"/>
      <c r="M101" s="577"/>
      <c r="N101" s="12"/>
      <c r="O101" s="31" t="s">
        <v>117</v>
      </c>
      <c r="P101" s="267" t="e">
        <f t="shared" si="5"/>
        <v>#REF!</v>
      </c>
      <c r="Q101" s="168"/>
      <c r="R101" s="23"/>
      <c r="S101" s="12"/>
      <c r="T101" s="31" t="s">
        <v>117</v>
      </c>
      <c r="U101" s="17" t="e">
        <f>(U99/VLOOKUP(C99,#REF!,4,0))*100</f>
        <v>#REF!</v>
      </c>
      <c r="V101" s="577"/>
      <c r="W101" s="19"/>
      <c r="X101" s="19"/>
      <c r="Y101" s="19"/>
      <c r="Z101" s="1"/>
      <c r="AA101" s="26"/>
      <c r="AD101" s="33" t="str">
        <f>C99&amp;F101</f>
        <v>Albania% GDP</v>
      </c>
    </row>
    <row r="102" spans="1:30" ht="243.65" customHeight="1">
      <c r="A102" s="638">
        <v>0</v>
      </c>
      <c r="B102" s="638" t="s">
        <v>861</v>
      </c>
      <c r="C102" s="632" t="s">
        <v>27</v>
      </c>
      <c r="D102" s="628" t="s">
        <v>570</v>
      </c>
      <c r="E102" s="15"/>
      <c r="F102" s="37" t="s">
        <v>115</v>
      </c>
      <c r="G102" s="53">
        <f>H102+J102</f>
        <v>5.0966000000000005</v>
      </c>
      <c r="H102" s="53">
        <v>1.5596000000000001</v>
      </c>
      <c r="I102" s="639" t="s">
        <v>1401</v>
      </c>
      <c r="J102" s="49">
        <v>3.5369999999999999</v>
      </c>
      <c r="K102" s="634" t="s">
        <v>1463</v>
      </c>
      <c r="L102" s="74">
        <v>0.6</v>
      </c>
      <c r="M102" s="575" t="s">
        <v>633</v>
      </c>
      <c r="N102" s="15"/>
      <c r="O102" s="32" t="s">
        <v>115</v>
      </c>
      <c r="P102" s="53">
        <f>Q102+U102+W102</f>
        <v>4.5620000000000003</v>
      </c>
      <c r="Q102" s="169">
        <f>0.7+0.344+0.16+0.418</f>
        <v>1.6219999999999999</v>
      </c>
      <c r="R102" s="575" t="s">
        <v>1399</v>
      </c>
      <c r="S102" s="15"/>
      <c r="T102" s="32" t="s">
        <v>115</v>
      </c>
      <c r="U102" s="49"/>
      <c r="V102" s="575"/>
      <c r="W102" s="49">
        <f>1.5+0.68+0.72+0.04</f>
        <v>2.9400000000000004</v>
      </c>
      <c r="X102" s="575" t="s">
        <v>1400</v>
      </c>
      <c r="Y102" s="575" t="s">
        <v>78</v>
      </c>
      <c r="Z102" s="15"/>
      <c r="AA102" s="18"/>
      <c r="AD102" s="33" t="str">
        <f>C102&amp;F102</f>
        <v>BulgariaLC bn</v>
      </c>
    </row>
    <row r="103" spans="1:30" s="6" customFormat="1" ht="219.65" customHeight="1">
      <c r="A103" s="638"/>
      <c r="B103" s="638"/>
      <c r="C103" s="632"/>
      <c r="D103" s="629"/>
      <c r="E103" s="3"/>
      <c r="F103" s="32" t="s">
        <v>116</v>
      </c>
      <c r="G103" s="69" t="e">
        <f>G102/VLOOKUP($C102,#REF!,8,0)</f>
        <v>#REF!</v>
      </c>
      <c r="H103" s="69" t="e">
        <f>H102/VLOOKUP($C102,#REF!,8,0)</f>
        <v>#REF!</v>
      </c>
      <c r="I103" s="591"/>
      <c r="J103" s="69" t="e">
        <f>J102/VLOOKUP($C102,#REF!,8,0)</f>
        <v>#REF!</v>
      </c>
      <c r="K103" s="582"/>
      <c r="L103" s="69" t="e">
        <f>L102/VLOOKUP($C102,#REF!,8,0)</f>
        <v>#REF!</v>
      </c>
      <c r="M103" s="576"/>
      <c r="N103" s="3"/>
      <c r="O103" s="32" t="s">
        <v>116</v>
      </c>
      <c r="P103" s="69" t="e">
        <f>Q103+U103+W103</f>
        <v>#REF!</v>
      </c>
      <c r="Q103" s="170" t="e">
        <f>Q102/VLOOKUP(C102,#REF!,8,0)</f>
        <v>#REF!</v>
      </c>
      <c r="R103" s="576"/>
      <c r="S103" s="3"/>
      <c r="T103" s="32" t="s">
        <v>116</v>
      </c>
      <c r="U103" s="69"/>
      <c r="V103" s="576"/>
      <c r="W103" s="69" t="e">
        <f>W102/VLOOKUP($C102,#REF!,8,0)</f>
        <v>#REF!</v>
      </c>
      <c r="X103" s="576"/>
      <c r="Y103" s="576"/>
      <c r="Z103" s="3"/>
      <c r="AA103" s="28"/>
      <c r="AD103" s="33" t="str">
        <f>C102&amp;F103</f>
        <v>BulgariaUSD bn</v>
      </c>
    </row>
    <row r="104" spans="1:30" ht="202.5" customHeight="1">
      <c r="A104" s="638"/>
      <c r="B104" s="638"/>
      <c r="C104" s="633"/>
      <c r="D104" s="630"/>
      <c r="E104" s="12"/>
      <c r="F104" s="31" t="s">
        <v>117</v>
      </c>
      <c r="G104" s="17" t="e">
        <f>(G102/VLOOKUP($C102,#REF!,4,0))*100</f>
        <v>#REF!</v>
      </c>
      <c r="H104" s="17" t="e">
        <f>(H102/VLOOKUP($C102,#REF!,4,0))*100</f>
        <v>#REF!</v>
      </c>
      <c r="I104" s="592"/>
      <c r="J104" s="17" t="e">
        <f>(J102/VLOOKUP($C102,#REF!,4,0))*100</f>
        <v>#REF!</v>
      </c>
      <c r="K104" s="583"/>
      <c r="L104" s="17" t="e">
        <f>(L102/VLOOKUP($C102,#REF!,4,0))*100</f>
        <v>#REF!</v>
      </c>
      <c r="M104" s="577"/>
      <c r="N104" s="12"/>
      <c r="O104" s="31" t="s">
        <v>117</v>
      </c>
      <c r="P104" s="17" t="e">
        <f>Q104+U104+W104</f>
        <v>#REF!</v>
      </c>
      <c r="Q104" s="17" t="e">
        <f>(Q102/VLOOKUP($C102,#REF!,4,0))*100</f>
        <v>#REF!</v>
      </c>
      <c r="R104" s="577"/>
      <c r="S104" s="12"/>
      <c r="T104" s="31" t="s">
        <v>117</v>
      </c>
      <c r="U104" s="17"/>
      <c r="V104" s="577"/>
      <c r="W104" s="17" t="e">
        <f>(W102/VLOOKUP($C102,#REF!,4,0))*100</f>
        <v>#REF!</v>
      </c>
      <c r="X104" s="577"/>
      <c r="Y104" s="577"/>
      <c r="Z104" s="1"/>
      <c r="AA104" s="26"/>
      <c r="AD104" s="33" t="str">
        <f>C102&amp;F104</f>
        <v>Bulgaria% GDP</v>
      </c>
    </row>
    <row r="105" spans="1:30" s="6" customFormat="1" ht="50.5" customHeight="1">
      <c r="A105" s="638">
        <v>0</v>
      </c>
      <c r="B105" s="638" t="s">
        <v>861</v>
      </c>
      <c r="C105" s="632" t="s">
        <v>42</v>
      </c>
      <c r="D105" s="629" t="s">
        <v>571</v>
      </c>
      <c r="E105" s="16"/>
      <c r="F105" s="37" t="s">
        <v>115</v>
      </c>
      <c r="G105" s="182">
        <f>H105+J105</f>
        <v>20735</v>
      </c>
      <c r="H105" s="183">
        <v>2215</v>
      </c>
      <c r="I105" s="645" t="s">
        <v>634</v>
      </c>
      <c r="J105" s="183">
        <v>18520</v>
      </c>
      <c r="K105" s="581" t="s">
        <v>872</v>
      </c>
      <c r="L105" s="183">
        <v>3040</v>
      </c>
      <c r="M105" s="582" t="s">
        <v>1158</v>
      </c>
      <c r="N105" s="16"/>
      <c r="O105" s="32" t="s">
        <v>115</v>
      </c>
      <c r="P105" s="183">
        <f t="shared" si="5"/>
        <v>4500</v>
      </c>
      <c r="Q105" s="183"/>
      <c r="R105" s="582"/>
      <c r="S105" s="16"/>
      <c r="T105" s="32" t="s">
        <v>115</v>
      </c>
      <c r="U105" s="183"/>
      <c r="V105" s="582"/>
      <c r="W105" s="80">
        <v>4500</v>
      </c>
      <c r="X105" s="600" t="s">
        <v>1159</v>
      </c>
      <c r="Y105" s="575" t="s">
        <v>244</v>
      </c>
      <c r="Z105" s="16"/>
      <c r="AA105" s="605" t="s">
        <v>50</v>
      </c>
      <c r="AD105" s="33" t="str">
        <f>C105&amp;F105</f>
        <v>ChileLC bn</v>
      </c>
    </row>
    <row r="106" spans="1:30" s="36" customFormat="1" ht="45.65" customHeight="1">
      <c r="A106" s="638"/>
      <c r="B106" s="638"/>
      <c r="C106" s="632"/>
      <c r="D106" s="629"/>
      <c r="E106" s="6"/>
      <c r="F106" s="32" t="s">
        <v>116</v>
      </c>
      <c r="G106" s="81" t="e">
        <f>G105/VLOOKUP($C105,#REF!,8,0)</f>
        <v>#REF!</v>
      </c>
      <c r="H106" s="69" t="e">
        <f>H105/VLOOKUP($C105,#REF!,8,0)</f>
        <v>#REF!</v>
      </c>
      <c r="I106" s="646"/>
      <c r="J106" s="81" t="e">
        <f>J105/VLOOKUP($C105,#REF!,8,0)</f>
        <v>#REF!</v>
      </c>
      <c r="K106" s="582"/>
      <c r="L106" s="69" t="e">
        <f>L105/VLOOKUP($C105,#REF!,8,0)</f>
        <v>#REF!</v>
      </c>
      <c r="M106" s="582"/>
      <c r="N106" s="6"/>
      <c r="O106" s="32" t="s">
        <v>116</v>
      </c>
      <c r="P106" s="248" t="e">
        <f t="shared" si="5"/>
        <v>#REF!</v>
      </c>
      <c r="Q106" s="69"/>
      <c r="R106" s="582"/>
      <c r="S106" s="6"/>
      <c r="T106" s="32" t="s">
        <v>116</v>
      </c>
      <c r="U106" s="69"/>
      <c r="V106" s="582"/>
      <c r="W106" s="69" t="e">
        <f>W105/VLOOKUP($C105,#REF!,8,0)</f>
        <v>#REF!</v>
      </c>
      <c r="X106" s="601"/>
      <c r="Y106" s="576"/>
      <c r="Z106" s="6"/>
      <c r="AA106" s="606"/>
      <c r="AD106" s="33" t="str">
        <f>C105&amp;F106</f>
        <v>ChileUSD bn</v>
      </c>
    </row>
    <row r="107" spans="1:30" ht="42.65" customHeight="1">
      <c r="A107" s="638"/>
      <c r="B107" s="638"/>
      <c r="C107" s="633"/>
      <c r="D107" s="630"/>
      <c r="E107" s="12"/>
      <c r="F107" s="31" t="s">
        <v>117</v>
      </c>
      <c r="G107" s="17" t="e">
        <f>(G105/VLOOKUP($C105,#REF!,4,0))*100</f>
        <v>#REF!</v>
      </c>
      <c r="H107" s="17" t="e">
        <f>(H105/VLOOKUP($C105,#REF!,4,0))*100</f>
        <v>#REF!</v>
      </c>
      <c r="I107" s="647"/>
      <c r="J107" s="17" t="e">
        <f>(J105/VLOOKUP($C105,#REF!,4,0))*100</f>
        <v>#REF!</v>
      </c>
      <c r="K107" s="583"/>
      <c r="L107" s="68" t="e">
        <f>(L105/VLOOKUP(C105,#REF!,4,0))*100</f>
        <v>#REF!</v>
      </c>
      <c r="M107" s="583"/>
      <c r="N107" s="12"/>
      <c r="O107" s="31" t="s">
        <v>117</v>
      </c>
      <c r="P107" s="267" t="e">
        <f t="shared" si="5"/>
        <v>#REF!</v>
      </c>
      <c r="Q107" s="17"/>
      <c r="R107" s="583"/>
      <c r="S107" s="12"/>
      <c r="T107" s="31" t="s">
        <v>117</v>
      </c>
      <c r="U107" s="17"/>
      <c r="V107" s="583"/>
      <c r="W107" s="17" t="e">
        <f>(W105/VLOOKUP($C105,#REF!,4,0))*100</f>
        <v>#REF!</v>
      </c>
      <c r="X107" s="602"/>
      <c r="Y107" s="577"/>
      <c r="Z107" s="1"/>
      <c r="AA107" s="607"/>
      <c r="AD107" s="33" t="str">
        <f>C105&amp;F107</f>
        <v>Chile% GDP</v>
      </c>
    </row>
    <row r="108" spans="1:30" s="6" customFormat="1" ht="115.5" customHeight="1">
      <c r="A108" s="638">
        <v>0</v>
      </c>
      <c r="B108" s="638" t="s">
        <v>861</v>
      </c>
      <c r="C108" s="632" t="s">
        <v>34</v>
      </c>
      <c r="D108" s="628" t="s">
        <v>570</v>
      </c>
      <c r="E108" s="16"/>
      <c r="F108" s="37" t="s">
        <v>115</v>
      </c>
      <c r="G108" s="127">
        <v>41130.1</v>
      </c>
      <c r="H108" s="127">
        <v>10834.8</v>
      </c>
      <c r="I108" s="600" t="s">
        <v>1446</v>
      </c>
      <c r="J108" s="127">
        <f>G108-H108</f>
        <v>30295.3</v>
      </c>
      <c r="K108" s="575" t="s">
        <v>1447</v>
      </c>
      <c r="L108" s="74">
        <v>400</v>
      </c>
      <c r="M108" s="575" t="s">
        <v>766</v>
      </c>
      <c r="N108" s="16"/>
      <c r="O108" s="32" t="s">
        <v>115</v>
      </c>
      <c r="P108" s="127">
        <f>Q108+U108+W108</f>
        <v>57312</v>
      </c>
      <c r="Q108" s="183">
        <v>31745</v>
      </c>
      <c r="R108" s="608" t="s">
        <v>1247</v>
      </c>
      <c r="S108" s="16"/>
      <c r="T108" s="32" t="s">
        <v>115</v>
      </c>
      <c r="U108" s="127">
        <v>25567</v>
      </c>
      <c r="V108" s="575" t="s">
        <v>1448</v>
      </c>
      <c r="W108" s="22"/>
      <c r="X108" s="22"/>
      <c r="Y108" s="22"/>
      <c r="Z108" s="16"/>
      <c r="AA108" s="18"/>
      <c r="AD108" s="33" t="str">
        <f>C108&amp;F108</f>
        <v>ColombiaLC bn</v>
      </c>
    </row>
    <row r="109" spans="1:30" s="6" customFormat="1" ht="115.5" customHeight="1">
      <c r="A109" s="638"/>
      <c r="B109" s="638"/>
      <c r="C109" s="632"/>
      <c r="D109" s="629"/>
      <c r="F109" s="32" t="s">
        <v>116</v>
      </c>
      <c r="G109" s="69" t="e">
        <f>G108/VLOOKUP($C108,#REF!,8,0)</f>
        <v>#REF!</v>
      </c>
      <c r="H109" s="69" t="e">
        <f>H108/VLOOKUP($C108,#REF!,8,0)</f>
        <v>#REF!</v>
      </c>
      <c r="I109" s="601"/>
      <c r="J109" s="69" t="e">
        <f>J108/VLOOKUP($C108,#REF!,8,0)</f>
        <v>#REF!</v>
      </c>
      <c r="K109" s="576"/>
      <c r="L109" s="69" t="e">
        <f>L108/VLOOKUP($C108,#REF!,8,0)</f>
        <v>#REF!</v>
      </c>
      <c r="M109" s="576"/>
      <c r="O109" s="32" t="s">
        <v>116</v>
      </c>
      <c r="P109" s="56" t="e">
        <f>Q109+U109+W109</f>
        <v>#REF!</v>
      </c>
      <c r="Q109" s="170" t="e">
        <f>Q108/#REF!</f>
        <v>#REF!</v>
      </c>
      <c r="R109" s="576"/>
      <c r="T109" s="32" t="s">
        <v>116</v>
      </c>
      <c r="U109" s="69" t="e">
        <f>U108/#REF!</f>
        <v>#REF!</v>
      </c>
      <c r="V109" s="576"/>
      <c r="W109" s="35"/>
      <c r="X109" s="35"/>
      <c r="Y109" s="35"/>
      <c r="AA109" s="28"/>
      <c r="AD109" s="33" t="str">
        <f>C108&amp;F109</f>
        <v>ColombiaUSD bn</v>
      </c>
    </row>
    <row r="110" spans="1:30" ht="78.650000000000006" customHeight="1">
      <c r="A110" s="638"/>
      <c r="B110" s="638"/>
      <c r="C110" s="633"/>
      <c r="D110" s="630"/>
      <c r="E110" s="12"/>
      <c r="F110" s="31" t="s">
        <v>117</v>
      </c>
      <c r="G110" s="17" t="e">
        <f>(G108/VLOOKUP($C108,#REF!,4,0))*100</f>
        <v>#REF!</v>
      </c>
      <c r="H110" s="17" t="e">
        <f>(H108/VLOOKUP($C108,#REF!,4,0))*100</f>
        <v>#REF!</v>
      </c>
      <c r="I110" s="602"/>
      <c r="J110" s="17" t="e">
        <f>(J108/VLOOKUP($C108,#REF!,4,0))*100</f>
        <v>#REF!</v>
      </c>
      <c r="K110" s="577"/>
      <c r="L110" s="17" t="e">
        <f>(L108/VLOOKUP($C108,#REF!,4,0))*100</f>
        <v>#REF!</v>
      </c>
      <c r="M110" s="577"/>
      <c r="N110" s="12"/>
      <c r="O110" s="31" t="s">
        <v>117</v>
      </c>
      <c r="P110" s="17" t="e">
        <f>Q110+U110+W110</f>
        <v>#REF!</v>
      </c>
      <c r="Q110" s="168" t="e">
        <f>Q108/#REF!*100</f>
        <v>#REF!</v>
      </c>
      <c r="R110" s="577"/>
      <c r="S110" s="12"/>
      <c r="T110" s="31" t="s">
        <v>117</v>
      </c>
      <c r="U110" s="17" t="e">
        <f>U108/#REF!*100</f>
        <v>#REF!</v>
      </c>
      <c r="V110" s="577"/>
      <c r="W110" s="19"/>
      <c r="X110" s="19"/>
      <c r="Y110" s="19"/>
      <c r="Z110" s="1"/>
      <c r="AA110" s="26"/>
      <c r="AD110" s="33" t="str">
        <f>C108&amp;F110</f>
        <v>Colombia% GDP</v>
      </c>
    </row>
    <row r="111" spans="1:30" s="36" customFormat="1" ht="112.5" customHeight="1">
      <c r="A111" s="638">
        <v>0</v>
      </c>
      <c r="B111" s="638" t="s">
        <v>861</v>
      </c>
      <c r="C111" s="632" t="s">
        <v>23</v>
      </c>
      <c r="D111" s="628" t="s">
        <v>571</v>
      </c>
      <c r="E111" s="14"/>
      <c r="F111" s="37" t="s">
        <v>115</v>
      </c>
      <c r="G111" s="53">
        <v>91.612000000000009</v>
      </c>
      <c r="H111" s="53">
        <v>12.941000000000001</v>
      </c>
      <c r="I111" s="575" t="s">
        <v>1308</v>
      </c>
      <c r="J111" s="53">
        <f>G111-H111</f>
        <v>78.671000000000006</v>
      </c>
      <c r="K111" s="639" t="s">
        <v>1381</v>
      </c>
      <c r="L111" s="18"/>
      <c r="M111" s="575" t="s">
        <v>1382</v>
      </c>
      <c r="N111" s="14"/>
      <c r="O111" s="32" t="s">
        <v>115</v>
      </c>
      <c r="P111" s="53">
        <f>Q111+U111+W111</f>
        <v>7.44</v>
      </c>
      <c r="Q111" s="177">
        <v>7.44</v>
      </c>
      <c r="R111" s="590"/>
      <c r="S111" s="14"/>
      <c r="T111" s="32" t="s">
        <v>115</v>
      </c>
      <c r="U111" s="53"/>
      <c r="V111" s="575" t="s">
        <v>560</v>
      </c>
      <c r="W111" s="18"/>
      <c r="X111" s="18" t="s">
        <v>1383</v>
      </c>
      <c r="Y111" s="18"/>
      <c r="Z111" s="14"/>
      <c r="AA111" s="18"/>
      <c r="AD111" s="33" t="str">
        <f>C111&amp;F111</f>
        <v>EgyptLC bn</v>
      </c>
    </row>
    <row r="112" spans="1:30" s="36" customFormat="1" ht="127.5" customHeight="1">
      <c r="A112" s="638"/>
      <c r="B112" s="638"/>
      <c r="C112" s="632"/>
      <c r="D112" s="629"/>
      <c r="F112" s="32" t="s">
        <v>116</v>
      </c>
      <c r="G112" s="69" t="e">
        <f>G111/VLOOKUP(C111,#REF!,8,0)</f>
        <v>#REF!</v>
      </c>
      <c r="H112" s="69" t="e">
        <f>H111/VLOOKUP($C111,#REF!,8,0)</f>
        <v>#REF!</v>
      </c>
      <c r="I112" s="576"/>
      <c r="J112" s="56" t="e">
        <f>J111/VLOOKUP(C111,#REF!,8,0)</f>
        <v>#REF!</v>
      </c>
      <c r="K112" s="576"/>
      <c r="L112" s="28"/>
      <c r="M112" s="576"/>
      <c r="O112" s="32" t="s">
        <v>116</v>
      </c>
      <c r="P112" s="56" t="e">
        <f t="shared" ref="P112:P149" si="6">Q112+U112+W112</f>
        <v>#REF!</v>
      </c>
      <c r="Q112" s="56" t="e">
        <f>Q111/VLOOKUP($C111,#REF!,8,0)</f>
        <v>#REF!</v>
      </c>
      <c r="R112" s="591"/>
      <c r="T112" s="32" t="s">
        <v>116</v>
      </c>
      <c r="U112" s="56"/>
      <c r="V112" s="576"/>
      <c r="W112" s="28"/>
      <c r="X112" s="28"/>
      <c r="Y112" s="28"/>
      <c r="AA112" s="28"/>
      <c r="AD112" s="33" t="str">
        <f>C111&amp;F112</f>
        <v>EgyptUSD bn</v>
      </c>
    </row>
    <row r="113" spans="1:30" ht="107.5" customHeight="1">
      <c r="A113" s="638"/>
      <c r="B113" s="638"/>
      <c r="C113" s="633"/>
      <c r="D113" s="630"/>
      <c r="E113" s="12"/>
      <c r="F113" s="31" t="s">
        <v>117</v>
      </c>
      <c r="G113" s="17" t="e">
        <f>(G111/VLOOKUP(C111,#REF!,4,0))*100</f>
        <v>#REF!</v>
      </c>
      <c r="H113" s="17" t="e">
        <f>(H111/VLOOKUP($C111,#REF!,4,0))*100</f>
        <v>#REF!</v>
      </c>
      <c r="I113" s="577"/>
      <c r="J113" s="68" t="e">
        <f>(J111/VLOOKUP(C111,#REF!,4,0))*100</f>
        <v>#REF!</v>
      </c>
      <c r="K113" s="577"/>
      <c r="L113" s="19"/>
      <c r="M113" s="577"/>
      <c r="N113" s="12"/>
      <c r="O113" s="31" t="s">
        <v>117</v>
      </c>
      <c r="P113" s="17" t="e">
        <f t="shared" si="6"/>
        <v>#REF!</v>
      </c>
      <c r="Q113" s="17" t="e">
        <f>(Q111/VLOOKUP($C111,#REF!,4,0))*100</f>
        <v>#REF!</v>
      </c>
      <c r="R113" s="592"/>
      <c r="S113" s="12"/>
      <c r="T113" s="31" t="s">
        <v>117</v>
      </c>
      <c r="U113" s="17"/>
      <c r="V113" s="577"/>
      <c r="W113" s="19"/>
      <c r="X113" s="19"/>
      <c r="Y113" s="19"/>
      <c r="Z113" s="1"/>
      <c r="AA113" s="26"/>
      <c r="AD113" s="33" t="str">
        <f>C111&amp;F113</f>
        <v>Egypt% GDP</v>
      </c>
    </row>
    <row r="114" spans="1:30" ht="125.5" customHeight="1">
      <c r="A114" s="638">
        <v>0</v>
      </c>
      <c r="B114" s="638" t="s">
        <v>861</v>
      </c>
      <c r="C114" s="632" t="s">
        <v>549</v>
      </c>
      <c r="D114" s="629" t="s">
        <v>570</v>
      </c>
      <c r="E114" s="6"/>
      <c r="F114" s="37" t="s">
        <v>115</v>
      </c>
      <c r="G114" s="69">
        <f>2.06+1.142</f>
        <v>3.202</v>
      </c>
      <c r="H114" s="56">
        <f>0.523+0.45</f>
        <v>0.97300000000000009</v>
      </c>
      <c r="I114" s="639" t="s">
        <v>781</v>
      </c>
      <c r="J114" s="56">
        <f>G114-H114</f>
        <v>2.2290000000000001</v>
      </c>
      <c r="K114" s="575" t="s">
        <v>1385</v>
      </c>
      <c r="L114" s="28"/>
      <c r="M114" s="575" t="s">
        <v>816</v>
      </c>
      <c r="N114" s="6"/>
      <c r="O114" s="32" t="s">
        <v>115</v>
      </c>
      <c r="P114" s="69">
        <f>Q114+U114+W114</f>
        <v>7.0000000000000007E-2</v>
      </c>
      <c r="Q114" s="69">
        <v>7.0000000000000007E-2</v>
      </c>
      <c r="R114" s="575" t="s">
        <v>784</v>
      </c>
      <c r="S114" s="6"/>
      <c r="T114" s="32" t="s">
        <v>115</v>
      </c>
      <c r="U114" s="262"/>
      <c r="V114" s="575" t="s">
        <v>1368</v>
      </c>
      <c r="W114" s="28"/>
      <c r="X114" s="28"/>
      <c r="Y114" s="28"/>
      <c r="AA114" s="27"/>
      <c r="AD114" s="33" t="str">
        <f>C114&amp;F114</f>
        <v>GeorgiaLC bn</v>
      </c>
    </row>
    <row r="115" spans="1:30" ht="131.5" customHeight="1">
      <c r="A115" s="638"/>
      <c r="B115" s="638"/>
      <c r="C115" s="632"/>
      <c r="D115" s="629"/>
      <c r="E115" s="6"/>
      <c r="F115" s="32" t="s">
        <v>116</v>
      </c>
      <c r="G115" s="69" t="e">
        <f>G114/VLOOKUP($C114,#REF!,8,0)</f>
        <v>#REF!</v>
      </c>
      <c r="H115" s="69" t="e">
        <f>H114/VLOOKUP($C114,#REF!,8,0)</f>
        <v>#REF!</v>
      </c>
      <c r="I115" s="576"/>
      <c r="J115" s="69" t="e">
        <f>J114/VLOOKUP($C114,#REF!,8,0)</f>
        <v>#REF!</v>
      </c>
      <c r="K115" s="576"/>
      <c r="L115" s="69"/>
      <c r="M115" s="576"/>
      <c r="N115" s="6"/>
      <c r="O115" s="32" t="s">
        <v>116</v>
      </c>
      <c r="P115" s="56" t="e">
        <f>Q115+U115+W115</f>
        <v>#REF!</v>
      </c>
      <c r="Q115" s="64" t="e">
        <f>Q114/#REF!</f>
        <v>#REF!</v>
      </c>
      <c r="R115" s="576"/>
      <c r="S115" s="6"/>
      <c r="T115" s="32" t="s">
        <v>116</v>
      </c>
      <c r="U115" s="69"/>
      <c r="V115" s="576"/>
      <c r="W115" s="28"/>
      <c r="X115" s="28"/>
      <c r="Y115" s="28"/>
      <c r="AA115" s="27"/>
      <c r="AD115" s="33" t="str">
        <f>C114&amp;F115</f>
        <v>GeorgiaUSD bn</v>
      </c>
    </row>
    <row r="116" spans="1:30" ht="129.65" customHeight="1">
      <c r="A116" s="638"/>
      <c r="B116" s="638"/>
      <c r="C116" s="633"/>
      <c r="D116" s="630"/>
      <c r="E116" s="6"/>
      <c r="F116" s="31" t="s">
        <v>117</v>
      </c>
      <c r="G116" s="17" t="e">
        <f>(G114/VLOOKUP($C114,#REF!,4,0))*100</f>
        <v>#REF!</v>
      </c>
      <c r="H116" s="17" t="e">
        <f>(H114/VLOOKUP($C114,#REF!,4,0))*100</f>
        <v>#REF!</v>
      </c>
      <c r="I116" s="577"/>
      <c r="J116" s="17" t="e">
        <f>(J114/VLOOKUP($C114,#REF!,4,0))*100</f>
        <v>#REF!</v>
      </c>
      <c r="K116" s="577"/>
      <c r="L116" s="17"/>
      <c r="M116" s="577"/>
      <c r="N116" s="6"/>
      <c r="O116" s="31" t="s">
        <v>117</v>
      </c>
      <c r="P116" s="17" t="e">
        <f>Q116+U116+W116</f>
        <v>#REF!</v>
      </c>
      <c r="Q116" s="65" t="e">
        <f>Q114/#REF!*100</f>
        <v>#REF!</v>
      </c>
      <c r="R116" s="577"/>
      <c r="S116" s="6"/>
      <c r="T116" s="31" t="s">
        <v>117</v>
      </c>
      <c r="U116" s="17"/>
      <c r="V116" s="577"/>
      <c r="W116" s="28"/>
      <c r="X116" s="28"/>
      <c r="Y116" s="28"/>
      <c r="AA116" s="27"/>
      <c r="AD116" s="33" t="str">
        <f>C114&amp;F116</f>
        <v>Georgia% GDP</v>
      </c>
    </row>
    <row r="117" spans="1:30" s="10" customFormat="1" ht="88" customHeight="1">
      <c r="A117" s="638">
        <v>0</v>
      </c>
      <c r="B117" s="638" t="s">
        <v>861</v>
      </c>
      <c r="C117" s="632" t="s">
        <v>35</v>
      </c>
      <c r="D117" s="629" t="s">
        <v>571</v>
      </c>
      <c r="E117" s="13"/>
      <c r="F117" s="37" t="s">
        <v>115</v>
      </c>
      <c r="G117" s="127">
        <v>1638</v>
      </c>
      <c r="H117" s="74" t="s">
        <v>84</v>
      </c>
      <c r="I117" s="575" t="s">
        <v>638</v>
      </c>
      <c r="J117" s="74" t="s">
        <v>84</v>
      </c>
      <c r="K117" s="575" t="s">
        <v>1198</v>
      </c>
      <c r="L117" s="74" t="s">
        <v>84</v>
      </c>
      <c r="M117" s="575" t="s">
        <v>809</v>
      </c>
      <c r="N117" s="13"/>
      <c r="O117" s="37" t="s">
        <v>115</v>
      </c>
      <c r="P117" s="127">
        <f>Q117+W117</f>
        <v>2100</v>
      </c>
      <c r="Q117" s="127">
        <v>1300</v>
      </c>
      <c r="R117" s="575" t="s">
        <v>655</v>
      </c>
      <c r="S117" s="13"/>
      <c r="T117" s="37" t="s">
        <v>115</v>
      </c>
      <c r="U117" s="93"/>
      <c r="V117" s="575" t="s">
        <v>576</v>
      </c>
      <c r="W117" s="74">
        <v>800</v>
      </c>
      <c r="X117" s="575" t="s">
        <v>1386</v>
      </c>
      <c r="Y117" s="18"/>
      <c r="Z117" s="13"/>
      <c r="AA117" s="18"/>
      <c r="AD117" s="33" t="str">
        <f>C117&amp;F117</f>
        <v>KazakhstanLC bn</v>
      </c>
    </row>
    <row r="118" spans="1:30" s="10" customFormat="1" ht="88" customHeight="1">
      <c r="A118" s="638"/>
      <c r="B118" s="638"/>
      <c r="C118" s="632"/>
      <c r="D118" s="629"/>
      <c r="F118" s="32" t="s">
        <v>116</v>
      </c>
      <c r="G118" s="69" t="e">
        <f>G117/VLOOKUP($C117,#REF!,8,0)</f>
        <v>#REF!</v>
      </c>
      <c r="H118" s="75"/>
      <c r="I118" s="576"/>
      <c r="J118" s="75"/>
      <c r="K118" s="576"/>
      <c r="L118" s="28"/>
      <c r="M118" s="576"/>
      <c r="O118" s="32" t="s">
        <v>116</v>
      </c>
      <c r="P118" s="248" t="e">
        <f t="shared" si="6"/>
        <v>#REF!</v>
      </c>
      <c r="Q118" s="69" t="e">
        <f>Q117/VLOOKUP($C117,#REF!,8,0)</f>
        <v>#REF!</v>
      </c>
      <c r="R118" s="576"/>
      <c r="T118" s="32" t="s">
        <v>116</v>
      </c>
      <c r="U118" s="56"/>
      <c r="V118" s="576"/>
      <c r="W118" s="69" t="e">
        <f>W117/VLOOKUP($C117,#REF!,8,0)</f>
        <v>#REF!</v>
      </c>
      <c r="X118" s="576"/>
      <c r="Y118" s="28"/>
      <c r="AA118" s="28"/>
      <c r="AD118" s="33" t="str">
        <f>C117&amp;F118</f>
        <v>KazakhstanUSD bn</v>
      </c>
    </row>
    <row r="119" spans="1:30" ht="88" customHeight="1">
      <c r="A119" s="638"/>
      <c r="B119" s="638"/>
      <c r="C119" s="633"/>
      <c r="D119" s="630"/>
      <c r="E119" s="12"/>
      <c r="F119" s="31" t="s">
        <v>117</v>
      </c>
      <c r="G119" s="17" t="e">
        <f>(G117/VLOOKUP($C117,#REF!,4,0))*100</f>
        <v>#REF!</v>
      </c>
      <c r="H119" s="76"/>
      <c r="I119" s="577"/>
      <c r="J119" s="68"/>
      <c r="K119" s="577"/>
      <c r="L119" s="19"/>
      <c r="M119" s="577"/>
      <c r="N119" s="12"/>
      <c r="O119" s="31" t="s">
        <v>117</v>
      </c>
      <c r="P119" s="267" t="e">
        <f t="shared" si="6"/>
        <v>#REF!</v>
      </c>
      <c r="Q119" s="17" t="e">
        <f>(Q117/VLOOKUP($C117,#REF!,4,0))*100</f>
        <v>#REF!</v>
      </c>
      <c r="R119" s="577"/>
      <c r="S119" s="12"/>
      <c r="T119" s="31" t="s">
        <v>117</v>
      </c>
      <c r="U119" s="17"/>
      <c r="V119" s="577"/>
      <c r="W119" s="17" t="e">
        <f>(W117/VLOOKUP($C117,#REF!,4,0))*100</f>
        <v>#REF!</v>
      </c>
      <c r="X119" s="577"/>
      <c r="Y119" s="19"/>
      <c r="Z119" s="1"/>
      <c r="AA119" s="26"/>
      <c r="AD119" s="33" t="str">
        <f>C117&amp;F119</f>
        <v>Kazakhstan% GDP</v>
      </c>
    </row>
    <row r="120" spans="1:30" ht="116.15" customHeight="1">
      <c r="A120" s="638">
        <v>0</v>
      </c>
      <c r="B120" s="638" t="s">
        <v>861</v>
      </c>
      <c r="C120" s="632" t="s">
        <v>92</v>
      </c>
      <c r="D120" s="629" t="s">
        <v>570</v>
      </c>
      <c r="E120" s="13"/>
      <c r="F120" s="37" t="s">
        <v>115</v>
      </c>
      <c r="G120" s="53">
        <f>H120+J120</f>
        <v>44.3</v>
      </c>
      <c r="H120" s="74">
        <v>1.3</v>
      </c>
      <c r="I120" s="575" t="s">
        <v>639</v>
      </c>
      <c r="J120" s="53">
        <v>43</v>
      </c>
      <c r="K120" s="575" t="s">
        <v>1444</v>
      </c>
      <c r="L120" s="18"/>
      <c r="M120" s="18"/>
      <c r="N120" s="13"/>
      <c r="O120" s="32" t="s">
        <v>115</v>
      </c>
      <c r="P120" s="264">
        <f t="shared" si="6"/>
        <v>149.19999999999999</v>
      </c>
      <c r="Q120" s="177">
        <f>4+0.2</f>
        <v>4.2</v>
      </c>
      <c r="R120" s="575" t="s">
        <v>729</v>
      </c>
      <c r="S120" s="13"/>
      <c r="T120" s="32" t="s">
        <v>115</v>
      </c>
      <c r="U120" s="93"/>
      <c r="V120" s="575"/>
      <c r="W120" s="18">
        <v>145</v>
      </c>
      <c r="X120" s="575" t="s">
        <v>1445</v>
      </c>
      <c r="Y120" s="18"/>
      <c r="Z120" s="13"/>
      <c r="AA120" s="18"/>
      <c r="AD120" s="33" t="str">
        <f>C120&amp;F120</f>
        <v>MauritiusLC bn</v>
      </c>
    </row>
    <row r="121" spans="1:30" ht="121" customHeight="1">
      <c r="A121" s="638"/>
      <c r="B121" s="638"/>
      <c r="C121" s="632"/>
      <c r="D121" s="629"/>
      <c r="E121" s="10"/>
      <c r="F121" s="32" t="s">
        <v>116</v>
      </c>
      <c r="G121" s="69" t="e">
        <f>G120/VLOOKUP(C120,#REF!,8,0)</f>
        <v>#REF!</v>
      </c>
      <c r="H121" s="69" t="e">
        <f>H120/VLOOKUP($C120,#REF!,8,0)</f>
        <v>#REF!</v>
      </c>
      <c r="I121" s="576"/>
      <c r="J121" s="69" t="e">
        <f>J120/VLOOKUP($C120,#REF!,8,0)</f>
        <v>#REF!</v>
      </c>
      <c r="K121" s="576"/>
      <c r="L121" s="28"/>
      <c r="M121" s="28"/>
      <c r="N121" s="10"/>
      <c r="O121" s="32" t="s">
        <v>116</v>
      </c>
      <c r="P121" s="248" t="e">
        <f t="shared" si="6"/>
        <v>#REF!</v>
      </c>
      <c r="Q121" s="170" t="e">
        <f>Q120/VLOOKUP(C120,#REF!,8,0)</f>
        <v>#REF!</v>
      </c>
      <c r="R121" s="576"/>
      <c r="S121" s="10"/>
      <c r="T121" s="32" t="s">
        <v>116</v>
      </c>
      <c r="U121" s="170"/>
      <c r="V121" s="576"/>
      <c r="W121" s="247" t="e">
        <f>W120/VLOOKUP(C120,#REF!,8,0)</f>
        <v>#REF!</v>
      </c>
      <c r="X121" s="576"/>
      <c r="Y121" s="28"/>
      <c r="Z121" s="10"/>
      <c r="AA121" s="28"/>
      <c r="AD121" s="33" t="str">
        <f>C120&amp;F121</f>
        <v>MauritiusUSD bn</v>
      </c>
    </row>
    <row r="122" spans="1:30" ht="127" customHeight="1">
      <c r="A122" s="638"/>
      <c r="B122" s="638"/>
      <c r="C122" s="633"/>
      <c r="D122" s="630"/>
      <c r="E122" s="12"/>
      <c r="F122" s="31" t="s">
        <v>117</v>
      </c>
      <c r="G122" s="17" t="e">
        <f>(G120/VLOOKUP(C120,#REF!,4,0))*100</f>
        <v>#REF!</v>
      </c>
      <c r="H122" s="17" t="e">
        <f>(H120/VLOOKUP($C120,#REF!,4,0))*100</f>
        <v>#REF!</v>
      </c>
      <c r="I122" s="577"/>
      <c r="J122" s="17" t="e">
        <f>J120/VLOOKUP($C120,#REF!,4,0)*100</f>
        <v>#REF!</v>
      </c>
      <c r="K122" s="577"/>
      <c r="L122" s="19"/>
      <c r="M122" s="19"/>
      <c r="N122" s="12"/>
      <c r="O122" s="31" t="s">
        <v>117</v>
      </c>
      <c r="P122" s="267" t="e">
        <f t="shared" si="6"/>
        <v>#REF!</v>
      </c>
      <c r="Q122" s="168" t="e">
        <f>(Q120/VLOOKUP(C120,#REF!,4,0))*100</f>
        <v>#REF!</v>
      </c>
      <c r="R122" s="577"/>
      <c r="S122" s="12"/>
      <c r="T122" s="31" t="s">
        <v>117</v>
      </c>
      <c r="U122" s="168"/>
      <c r="V122" s="577"/>
      <c r="W122" s="246" t="e">
        <f>(W120/VLOOKUP(C120,#REF!,4,0))*100</f>
        <v>#REF!</v>
      </c>
      <c r="X122" s="577"/>
      <c r="Y122" s="19"/>
      <c r="Z122" s="1"/>
      <c r="AA122" s="26"/>
      <c r="AD122" s="33" t="str">
        <f>C120&amp;F122</f>
        <v>Mauritius% GDP</v>
      </c>
    </row>
    <row r="123" spans="1:30" ht="83.5" customHeight="1">
      <c r="A123" s="40"/>
      <c r="B123" s="40"/>
      <c r="C123" s="631" t="s">
        <v>963</v>
      </c>
      <c r="D123" s="628" t="s">
        <v>570</v>
      </c>
      <c r="E123" s="36"/>
      <c r="F123" s="32" t="s">
        <v>115</v>
      </c>
      <c r="G123" s="56">
        <f>H123+J123</f>
        <v>19.510953139008002</v>
      </c>
      <c r="H123" s="506">
        <v>0.67279148755200013</v>
      </c>
      <c r="I123" s="600" t="s">
        <v>1280</v>
      </c>
      <c r="J123" s="507">
        <v>18.838161651456002</v>
      </c>
      <c r="K123" s="581" t="s">
        <v>1252</v>
      </c>
      <c r="L123" s="28"/>
      <c r="M123" s="575"/>
      <c r="N123" s="36"/>
      <c r="O123" s="32" t="s">
        <v>115</v>
      </c>
      <c r="P123" s="508">
        <f t="shared" si="6"/>
        <v>19.510953139007999</v>
      </c>
      <c r="Q123" s="178"/>
      <c r="R123" s="28"/>
      <c r="S123" s="36"/>
      <c r="T123" s="32" t="s">
        <v>115</v>
      </c>
      <c r="U123" s="56"/>
      <c r="V123" s="575"/>
      <c r="W123" s="262">
        <v>19.510953139007999</v>
      </c>
      <c r="X123" s="28"/>
      <c r="Y123" s="28"/>
      <c r="AA123" s="27"/>
      <c r="AD123" s="33" t="str">
        <f t="shared" ref="AD123" si="7">C123&amp;F123</f>
        <v>North MacedoniaLC bn</v>
      </c>
    </row>
    <row r="124" spans="1:30" ht="67.5" customHeight="1">
      <c r="A124" s="40">
        <v>0</v>
      </c>
      <c r="B124" s="40" t="s">
        <v>861</v>
      </c>
      <c r="C124" s="632"/>
      <c r="D124" s="629"/>
      <c r="E124" s="36"/>
      <c r="F124" s="32" t="s">
        <v>116</v>
      </c>
      <c r="G124" s="69" t="e">
        <f>G123/VLOOKUP($C123,#REF!,8,0)</f>
        <v>#REF!</v>
      </c>
      <c r="H124" s="69" t="e">
        <f>H123/VLOOKUP($C123,#REF!,8,0)</f>
        <v>#REF!</v>
      </c>
      <c r="I124" s="601"/>
      <c r="J124" s="69" t="e">
        <f>J123/VLOOKUP($C123,#REF!,8,0)</f>
        <v>#REF!</v>
      </c>
      <c r="K124" s="582"/>
      <c r="L124" s="28"/>
      <c r="M124" s="576"/>
      <c r="N124" s="36"/>
      <c r="O124" s="32" t="s">
        <v>116</v>
      </c>
      <c r="P124" s="248" t="e">
        <f t="shared" si="6"/>
        <v>#REF!</v>
      </c>
      <c r="Q124" s="178"/>
      <c r="R124" s="28"/>
      <c r="S124" s="36"/>
      <c r="T124" s="32" t="s">
        <v>116</v>
      </c>
      <c r="U124" s="69"/>
      <c r="V124" s="576"/>
      <c r="W124" s="69" t="e">
        <f>W123/VLOOKUP($C123,#REF!,8,0)</f>
        <v>#REF!</v>
      </c>
      <c r="X124" s="28" t="s">
        <v>1281</v>
      </c>
      <c r="Y124" s="28"/>
      <c r="AA124" s="27"/>
      <c r="AD124" s="33" t="str">
        <f t="shared" ref="AD124" si="8">C123&amp;F124</f>
        <v>North MacedoniaUSD bn</v>
      </c>
    </row>
    <row r="125" spans="1:30" ht="58.5" customHeight="1">
      <c r="A125" s="40"/>
      <c r="B125" s="40"/>
      <c r="C125" s="633"/>
      <c r="D125" s="630"/>
      <c r="E125" s="12"/>
      <c r="F125" s="31" t="s">
        <v>117</v>
      </c>
      <c r="G125" s="17" t="e">
        <f>(G123/VLOOKUP($C123,#REF!,4,0))*100</f>
        <v>#REF!</v>
      </c>
      <c r="H125" s="17" t="e">
        <f>(H123/VLOOKUP($C123,#REF!,4,0))*100</f>
        <v>#REF!</v>
      </c>
      <c r="I125" s="602"/>
      <c r="J125" s="17" t="e">
        <f>J123/VLOOKUP($C123,#REF!,4,0)*100</f>
        <v>#REF!</v>
      </c>
      <c r="K125" s="583"/>
      <c r="L125" s="19"/>
      <c r="M125" s="577"/>
      <c r="N125" s="12"/>
      <c r="O125" s="31" t="s">
        <v>117</v>
      </c>
      <c r="P125" s="267" t="e">
        <f t="shared" si="6"/>
        <v>#REF!</v>
      </c>
      <c r="Q125" s="168"/>
      <c r="R125" s="23"/>
      <c r="S125" s="12"/>
      <c r="T125" s="31" t="s">
        <v>117</v>
      </c>
      <c r="U125" s="17"/>
      <c r="V125" s="577"/>
      <c r="W125" s="17" t="e">
        <f>(W123/VLOOKUP($C123,#REF!,4,0))*100</f>
        <v>#REF!</v>
      </c>
      <c r="X125" s="19"/>
      <c r="Y125" s="28"/>
      <c r="AA125" s="27"/>
      <c r="AD125" s="33" t="str">
        <f t="shared" ref="AD125" si="9">C123&amp;F125</f>
        <v>North Macedonia% GDP</v>
      </c>
    </row>
    <row r="126" spans="1:30" ht="83.5" customHeight="1">
      <c r="A126" s="638">
        <v>0</v>
      </c>
      <c r="B126" s="638" t="s">
        <v>861</v>
      </c>
      <c r="C126" s="632" t="s">
        <v>554</v>
      </c>
      <c r="D126" s="629" t="s">
        <v>571</v>
      </c>
      <c r="E126" s="6"/>
      <c r="F126" s="37" t="s">
        <v>115</v>
      </c>
      <c r="G126" s="81">
        <f>H126+J126</f>
        <v>828</v>
      </c>
      <c r="H126" s="81">
        <v>178</v>
      </c>
      <c r="I126" s="575" t="s">
        <v>725</v>
      </c>
      <c r="J126" s="95">
        <f>600+50</f>
        <v>650</v>
      </c>
      <c r="K126" s="575" t="s">
        <v>1443</v>
      </c>
      <c r="L126" s="95">
        <v>480</v>
      </c>
      <c r="M126" s="575" t="s">
        <v>727</v>
      </c>
      <c r="N126" s="6"/>
      <c r="O126" s="37" t="s">
        <v>115</v>
      </c>
      <c r="P126" s="53" t="s">
        <v>84</v>
      </c>
      <c r="Q126" s="170"/>
      <c r="R126" s="28"/>
      <c r="S126" s="6"/>
      <c r="T126" s="37" t="s">
        <v>115</v>
      </c>
      <c r="U126" s="69" t="s">
        <v>84</v>
      </c>
      <c r="V126" s="575" t="s">
        <v>1387</v>
      </c>
      <c r="W126" s="28" t="s">
        <v>84</v>
      </c>
      <c r="X126" s="590"/>
      <c r="Y126" s="28"/>
      <c r="AA126" s="27"/>
      <c r="AD126" s="33" t="str">
        <f>C126&amp;F126</f>
        <v>PakistanLC bn</v>
      </c>
    </row>
    <row r="127" spans="1:30" ht="58.5" customHeight="1">
      <c r="A127" s="638"/>
      <c r="B127" s="638"/>
      <c r="C127" s="632"/>
      <c r="D127" s="629"/>
      <c r="E127" s="6"/>
      <c r="F127" s="32" t="s">
        <v>116</v>
      </c>
      <c r="G127" s="69" t="e">
        <f>G126/VLOOKUP($C126,#REF!,8,0)</f>
        <v>#REF!</v>
      </c>
      <c r="H127" s="69" t="e">
        <f>H126/VLOOKUP($C126,#REF!,8,0)</f>
        <v>#REF!</v>
      </c>
      <c r="I127" s="576"/>
      <c r="J127" s="69" t="e">
        <f>J126/VLOOKUP($C126,#REF!,8,0)</f>
        <v>#REF!</v>
      </c>
      <c r="K127" s="576"/>
      <c r="L127" s="69" t="e">
        <f>L126/VLOOKUP($C126,#REF!,8,0)</f>
        <v>#REF!</v>
      </c>
      <c r="M127" s="576"/>
      <c r="N127" s="6"/>
      <c r="O127" s="32" t="s">
        <v>116</v>
      </c>
      <c r="P127" s="248"/>
      <c r="Q127" s="69"/>
      <c r="R127" s="28"/>
      <c r="S127" s="6"/>
      <c r="T127" s="32" t="s">
        <v>116</v>
      </c>
      <c r="U127" s="69"/>
      <c r="V127" s="576"/>
      <c r="W127" s="28"/>
      <c r="X127" s="591"/>
      <c r="Y127" s="28"/>
      <c r="AA127" s="27"/>
      <c r="AD127" s="33" t="str">
        <f>C126&amp;F127</f>
        <v>PakistanUSD bn</v>
      </c>
    </row>
    <row r="128" spans="1:30" ht="58.5" customHeight="1">
      <c r="A128" s="638"/>
      <c r="B128" s="638"/>
      <c r="C128" s="633"/>
      <c r="D128" s="630"/>
      <c r="E128" s="6"/>
      <c r="F128" s="31" t="s">
        <v>117</v>
      </c>
      <c r="G128" s="17" t="e">
        <f>(G126/VLOOKUP($C126,#REF!,4,0))*100</f>
        <v>#REF!</v>
      </c>
      <c r="H128" s="17" t="e">
        <f>(H126/VLOOKUP($C126,#REF!,4,0))*100</f>
        <v>#REF!</v>
      </c>
      <c r="I128" s="577"/>
      <c r="J128" s="17" t="e">
        <f>(J126/VLOOKUP($C126,#REF!,4,0))*100</f>
        <v>#REF!</v>
      </c>
      <c r="K128" s="577"/>
      <c r="L128" s="17" t="e">
        <f>(L126/VLOOKUP($C126,#REF!,4,0))*100</f>
        <v>#REF!</v>
      </c>
      <c r="M128" s="577"/>
      <c r="N128" s="12"/>
      <c r="O128" s="31" t="s">
        <v>117</v>
      </c>
      <c r="P128" s="267"/>
      <c r="Q128" s="17"/>
      <c r="R128" s="19"/>
      <c r="S128" s="12"/>
      <c r="T128" s="31" t="s">
        <v>117</v>
      </c>
      <c r="U128" s="17"/>
      <c r="V128" s="577"/>
      <c r="W128" s="19"/>
      <c r="X128" s="592"/>
      <c r="Y128" s="28"/>
      <c r="AA128" s="27"/>
      <c r="AD128" s="33" t="str">
        <f>C126&amp;F128</f>
        <v>Pakistan% GDP</v>
      </c>
    </row>
    <row r="129" spans="1:30" ht="48.65" customHeight="1">
      <c r="A129" s="638">
        <v>0</v>
      </c>
      <c r="B129" s="638" t="s">
        <v>861</v>
      </c>
      <c r="C129" s="632" t="s">
        <v>555</v>
      </c>
      <c r="D129" s="629" t="s">
        <v>570</v>
      </c>
      <c r="E129" s="6"/>
      <c r="F129" s="37" t="s">
        <v>115</v>
      </c>
      <c r="G129" s="81">
        <f>H129+J129</f>
        <v>37.332999999999998</v>
      </c>
      <c r="H129" s="69">
        <v>5.3330000000000002</v>
      </c>
      <c r="I129" s="575" t="s">
        <v>641</v>
      </c>
      <c r="J129" s="81">
        <v>32</v>
      </c>
      <c r="K129" s="575" t="s">
        <v>1200</v>
      </c>
      <c r="L129" s="81">
        <v>12</v>
      </c>
      <c r="M129" s="575" t="s">
        <v>1246</v>
      </c>
      <c r="N129" s="6"/>
      <c r="O129" s="37" t="s">
        <v>115</v>
      </c>
      <c r="P129" s="264">
        <f t="shared" si="6"/>
        <v>75.599999999999994</v>
      </c>
      <c r="Q129" s="69">
        <v>8.6</v>
      </c>
      <c r="R129" s="28"/>
      <c r="S129" s="6"/>
      <c r="T129" s="37" t="s">
        <v>115</v>
      </c>
      <c r="U129" s="81">
        <v>67</v>
      </c>
      <c r="V129" s="575" t="s">
        <v>1201</v>
      </c>
      <c r="W129" s="69"/>
      <c r="X129" s="619"/>
      <c r="Y129" s="28"/>
      <c r="AA129" s="27"/>
      <c r="AD129" s="33" t="str">
        <f>C129&amp;F129</f>
        <v>PeruLC bn</v>
      </c>
    </row>
    <row r="130" spans="1:30" ht="48.65" customHeight="1">
      <c r="A130" s="638"/>
      <c r="B130" s="638"/>
      <c r="C130" s="632"/>
      <c r="D130" s="629"/>
      <c r="E130" s="6"/>
      <c r="F130" s="32" t="s">
        <v>116</v>
      </c>
      <c r="G130" s="81" t="e">
        <f>G129/VLOOKUP($C129,#REF!,8,0)</f>
        <v>#REF!</v>
      </c>
      <c r="H130" s="69" t="e">
        <f>H129/VLOOKUP($C129,#REF!,8,0)</f>
        <v>#REF!</v>
      </c>
      <c r="I130" s="576"/>
      <c r="J130" s="81" t="e">
        <f>J129/VLOOKUP($C129,#REF!,8,0)</f>
        <v>#REF!</v>
      </c>
      <c r="K130" s="576"/>
      <c r="L130" s="69" t="e">
        <f>L129/VLOOKUP($C129,#REF!,8,0)</f>
        <v>#REF!</v>
      </c>
      <c r="M130" s="576"/>
      <c r="N130" s="6"/>
      <c r="O130" s="32" t="s">
        <v>116</v>
      </c>
      <c r="P130" s="265" t="e">
        <f t="shared" si="6"/>
        <v>#REF!</v>
      </c>
      <c r="Q130" s="69"/>
      <c r="R130" s="28"/>
      <c r="S130" s="6"/>
      <c r="T130" s="32" t="s">
        <v>116</v>
      </c>
      <c r="U130" s="81" t="e">
        <f>U129/VLOOKUP($C129,#REF!,8,0)</f>
        <v>#REF!</v>
      </c>
      <c r="V130" s="576"/>
      <c r="W130" s="28"/>
      <c r="X130" s="620"/>
      <c r="Y130" s="28"/>
      <c r="AA130" s="27"/>
      <c r="AD130" s="33" t="str">
        <f>C129&amp;F130</f>
        <v>PeruUSD bn</v>
      </c>
    </row>
    <row r="131" spans="1:30" ht="49.5" customHeight="1">
      <c r="A131" s="638"/>
      <c r="B131" s="638"/>
      <c r="C131" s="633"/>
      <c r="D131" s="630"/>
      <c r="E131" s="6"/>
      <c r="F131" s="31" t="s">
        <v>117</v>
      </c>
      <c r="G131" s="17" t="e">
        <f>(G129/VLOOKUP($C129,#REF!,4,0))*100</f>
        <v>#REF!</v>
      </c>
      <c r="H131" s="17" t="e">
        <f>(H129/VLOOKUP($C129,#REF!,4,0))*100</f>
        <v>#REF!</v>
      </c>
      <c r="I131" s="577"/>
      <c r="J131" s="17" t="e">
        <f>(J129/VLOOKUP($C129,#REF!,4,0))*100</f>
        <v>#REF!</v>
      </c>
      <c r="K131" s="577"/>
      <c r="L131" s="17" t="e">
        <f>(L129/VLOOKUP($C129,#REF!,4,0))*100</f>
        <v>#REF!</v>
      </c>
      <c r="M131" s="577"/>
      <c r="N131" s="12"/>
      <c r="O131" s="31" t="s">
        <v>117</v>
      </c>
      <c r="P131" s="267" t="e">
        <f t="shared" si="6"/>
        <v>#REF!</v>
      </c>
      <c r="Q131" s="17"/>
      <c r="R131" s="19"/>
      <c r="S131" s="12"/>
      <c r="T131" s="31" t="s">
        <v>117</v>
      </c>
      <c r="U131" s="17" t="e">
        <f>(U129/VLOOKUP($C129,#REF!,4,0))*100</f>
        <v>#REF!</v>
      </c>
      <c r="V131" s="577"/>
      <c r="W131" s="19"/>
      <c r="X131" s="621"/>
      <c r="Y131" s="28"/>
      <c r="AA131" s="27"/>
      <c r="AD131" s="33" t="str">
        <f>C129&amp;F131</f>
        <v>Peru% GDP</v>
      </c>
    </row>
    <row r="132" spans="1:30" ht="58.5" customHeight="1">
      <c r="A132" s="638">
        <v>0</v>
      </c>
      <c r="B132" s="638" t="s">
        <v>861</v>
      </c>
      <c r="C132" s="632" t="s">
        <v>556</v>
      </c>
      <c r="D132" s="629" t="s">
        <v>571</v>
      </c>
      <c r="E132" s="6"/>
      <c r="F132" s="37" t="s">
        <v>115</v>
      </c>
      <c r="G132" s="81">
        <f>H132+J132</f>
        <v>457.6</v>
      </c>
      <c r="H132" s="81">
        <v>84.6</v>
      </c>
      <c r="I132" s="575" t="s">
        <v>790</v>
      </c>
      <c r="J132" s="81">
        <v>373</v>
      </c>
      <c r="K132" s="575" t="s">
        <v>1464</v>
      </c>
      <c r="L132" s="69"/>
      <c r="M132" s="28"/>
      <c r="N132" s="6"/>
      <c r="O132" s="37" t="s">
        <v>115</v>
      </c>
      <c r="P132" s="264">
        <f t="shared" si="6"/>
        <v>165.8</v>
      </c>
      <c r="Q132" s="81">
        <v>45.8</v>
      </c>
      <c r="R132" s="575" t="s">
        <v>810</v>
      </c>
      <c r="S132" s="6"/>
      <c r="T132" s="37" t="s">
        <v>115</v>
      </c>
      <c r="U132" s="81">
        <v>120</v>
      </c>
      <c r="V132" s="575" t="s">
        <v>579</v>
      </c>
      <c r="W132" s="69"/>
      <c r="X132" s="575" t="s">
        <v>580</v>
      </c>
      <c r="Y132" s="28"/>
      <c r="AA132" s="27"/>
      <c r="AD132" s="33" t="str">
        <f>C132&amp;F132</f>
        <v>PhilippinesLC bn</v>
      </c>
    </row>
    <row r="133" spans="1:30" ht="43.5" customHeight="1">
      <c r="A133" s="638"/>
      <c r="B133" s="638"/>
      <c r="C133" s="632"/>
      <c r="D133" s="629"/>
      <c r="E133" s="6"/>
      <c r="F133" s="32" t="s">
        <v>116</v>
      </c>
      <c r="G133" s="69" t="e">
        <f>G132/VLOOKUP($C132,#REF!,8,0)</f>
        <v>#REF!</v>
      </c>
      <c r="H133" s="69" t="e">
        <f>H132/VLOOKUP($C132,#REF!,8,0)</f>
        <v>#REF!</v>
      </c>
      <c r="I133" s="576"/>
      <c r="J133" s="69" t="e">
        <f>J132/VLOOKUP($C132,#REF!,8,0)</f>
        <v>#REF!</v>
      </c>
      <c r="K133" s="576"/>
      <c r="L133" s="69"/>
      <c r="M133" s="28"/>
      <c r="N133" s="6"/>
      <c r="O133" s="32" t="s">
        <v>116</v>
      </c>
      <c r="P133" s="248" t="e">
        <f t="shared" si="6"/>
        <v>#REF!</v>
      </c>
      <c r="Q133" s="69" t="e">
        <f>Q132/VLOOKUP($C132,#REF!,8,0)</f>
        <v>#REF!</v>
      </c>
      <c r="R133" s="576"/>
      <c r="S133" s="6"/>
      <c r="T133" s="32" t="s">
        <v>116</v>
      </c>
      <c r="U133" s="69" t="e">
        <f>U132/VLOOKUP($C132,#REF!,8,0)</f>
        <v>#REF!</v>
      </c>
      <c r="V133" s="576"/>
      <c r="W133" s="69"/>
      <c r="X133" s="576"/>
      <c r="Y133" s="28"/>
      <c r="AA133" s="27"/>
      <c r="AD133" s="33" t="str">
        <f>C132&amp;F133</f>
        <v>PhilippinesUSD bn</v>
      </c>
    </row>
    <row r="134" spans="1:30" ht="48.65" customHeight="1">
      <c r="A134" s="638"/>
      <c r="B134" s="638"/>
      <c r="C134" s="633"/>
      <c r="D134" s="630"/>
      <c r="E134" s="6"/>
      <c r="F134" s="31" t="s">
        <v>117</v>
      </c>
      <c r="G134" s="17" t="e">
        <f>(G132/VLOOKUP($C132,#REF!,4,0))*100</f>
        <v>#REF!</v>
      </c>
      <c r="H134" s="17" t="e">
        <f>(H132/VLOOKUP($C132,#REF!,4,0))*100</f>
        <v>#REF!</v>
      </c>
      <c r="I134" s="577"/>
      <c r="J134" s="17" t="e">
        <f>(J132/VLOOKUP($C132,#REF!,4,0))*100</f>
        <v>#REF!</v>
      </c>
      <c r="K134" s="577"/>
      <c r="L134" s="17"/>
      <c r="M134" s="28"/>
      <c r="N134" s="6"/>
      <c r="O134" s="31" t="s">
        <v>117</v>
      </c>
      <c r="P134" s="267" t="e">
        <f t="shared" si="6"/>
        <v>#REF!</v>
      </c>
      <c r="Q134" s="17" t="e">
        <f>(Q132/VLOOKUP($C132,#REF!,4,0))*100</f>
        <v>#REF!</v>
      </c>
      <c r="R134" s="577"/>
      <c r="S134" s="6"/>
      <c r="T134" s="31" t="s">
        <v>117</v>
      </c>
      <c r="U134" s="17" t="e">
        <f>(U132/VLOOKUP($C132,#REF!,4,0))*100</f>
        <v>#REF!</v>
      </c>
      <c r="V134" s="577"/>
      <c r="W134" s="17"/>
      <c r="X134" s="577"/>
      <c r="Y134" s="28"/>
      <c r="AA134" s="27"/>
      <c r="AD134" s="33" t="str">
        <f>C132&amp;F134</f>
        <v>Philippines% GDP</v>
      </c>
    </row>
    <row r="135" spans="1:30" s="10" customFormat="1" ht="76.5" customHeight="1">
      <c r="A135" s="638">
        <v>0</v>
      </c>
      <c r="B135" s="638" t="s">
        <v>861</v>
      </c>
      <c r="C135" s="632" t="s">
        <v>22</v>
      </c>
      <c r="D135" s="628" t="s">
        <v>570</v>
      </c>
      <c r="E135" s="13"/>
      <c r="F135" s="37" t="s">
        <v>115</v>
      </c>
      <c r="G135" s="93">
        <f>H135+J135</f>
        <v>175.5</v>
      </c>
      <c r="H135" s="53">
        <v>8.5</v>
      </c>
      <c r="I135" s="575" t="s">
        <v>643</v>
      </c>
      <c r="J135" s="93">
        <v>167</v>
      </c>
      <c r="K135" s="575" t="s">
        <v>1440</v>
      </c>
      <c r="L135" s="74" t="s">
        <v>84</v>
      </c>
      <c r="M135" s="575" t="s">
        <v>656</v>
      </c>
      <c r="N135" s="13"/>
      <c r="O135" s="32" t="s">
        <v>115</v>
      </c>
      <c r="P135" s="264">
        <f t="shared" si="6"/>
        <v>124</v>
      </c>
      <c r="Q135" s="175">
        <v>50</v>
      </c>
      <c r="R135" s="575" t="s">
        <v>1441</v>
      </c>
      <c r="S135" s="13"/>
      <c r="T135" s="293" t="s">
        <v>115</v>
      </c>
      <c r="U135" s="94">
        <f>74</f>
        <v>74</v>
      </c>
      <c r="V135" s="575" t="s">
        <v>1442</v>
      </c>
      <c r="W135" s="94"/>
      <c r="X135" s="575"/>
      <c r="Y135" s="138" t="s">
        <v>189</v>
      </c>
      <c r="Z135" s="13"/>
      <c r="AA135" s="137" t="s">
        <v>188</v>
      </c>
      <c r="AD135" s="33" t="str">
        <f>C135&amp;F135</f>
        <v>PolandLC bn</v>
      </c>
    </row>
    <row r="136" spans="1:30" s="10" customFormat="1" ht="76.5" customHeight="1">
      <c r="A136" s="638"/>
      <c r="B136" s="638"/>
      <c r="C136" s="632"/>
      <c r="D136" s="629"/>
      <c r="F136" s="32" t="s">
        <v>116</v>
      </c>
      <c r="G136" s="81" t="e">
        <f>G135/VLOOKUP(C135,#REF!,8,0)</f>
        <v>#REF!</v>
      </c>
      <c r="H136" s="69" t="e">
        <f>H135/VLOOKUP($C135,#REF!,8,0)</f>
        <v>#REF!</v>
      </c>
      <c r="I136" s="576"/>
      <c r="J136" s="81" t="e">
        <f>J135/VLOOKUP($C135,#REF!,8,0)</f>
        <v>#REF!</v>
      </c>
      <c r="K136" s="576"/>
      <c r="L136" s="28"/>
      <c r="M136" s="576"/>
      <c r="O136" s="32" t="s">
        <v>116</v>
      </c>
      <c r="P136" s="265" t="e">
        <f t="shared" si="6"/>
        <v>#REF!</v>
      </c>
      <c r="Q136" s="166" t="e">
        <f>Q135/VLOOKUP(C135,#REF!,8,0)</f>
        <v>#REF!</v>
      </c>
      <c r="R136" s="576"/>
      <c r="T136" s="32" t="s">
        <v>116</v>
      </c>
      <c r="U136" s="185" t="e">
        <f>U135/VLOOKUP(C135,#REF!,8,0)</f>
        <v>#REF!</v>
      </c>
      <c r="V136" s="576"/>
      <c r="W136" s="81"/>
      <c r="X136" s="576"/>
      <c r="Y136" s="28"/>
      <c r="AA136" s="28"/>
      <c r="AD136" s="33" t="str">
        <f>C135&amp;F136</f>
        <v>PolandUSD bn</v>
      </c>
    </row>
    <row r="137" spans="1:30" ht="58.5" customHeight="1">
      <c r="A137" s="638"/>
      <c r="B137" s="638"/>
      <c r="C137" s="633"/>
      <c r="D137" s="630"/>
      <c r="E137" s="12"/>
      <c r="F137" s="31" t="s">
        <v>117</v>
      </c>
      <c r="G137" s="17" t="e">
        <f>(G135/VLOOKUP(C135,#REF!,4,0))*100</f>
        <v>#REF!</v>
      </c>
      <c r="H137" s="17" t="e">
        <f>(H135/VLOOKUP($C135,#REF!,4,0))*100</f>
        <v>#REF!</v>
      </c>
      <c r="I137" s="577"/>
      <c r="J137" s="17" t="e">
        <f>(J135/VLOOKUP($C135,#REF!,4,0))*100</f>
        <v>#REF!</v>
      </c>
      <c r="K137" s="577"/>
      <c r="L137" s="19"/>
      <c r="M137" s="577"/>
      <c r="N137" s="12"/>
      <c r="O137" s="31" t="s">
        <v>117</v>
      </c>
      <c r="P137" s="267" t="e">
        <f t="shared" si="6"/>
        <v>#REF!</v>
      </c>
      <c r="Q137" s="168" t="e">
        <f>(Q135/VLOOKUP(C135,#REF!,4,0))*100</f>
        <v>#REF!</v>
      </c>
      <c r="R137" s="577"/>
      <c r="S137" s="12"/>
      <c r="T137" s="31" t="s">
        <v>117</v>
      </c>
      <c r="U137" s="65" t="e">
        <f>(U135/VLOOKUP(C135,#REF!,4,0))*100</f>
        <v>#REF!</v>
      </c>
      <c r="V137" s="577"/>
      <c r="W137" s="17"/>
      <c r="X137" s="577"/>
      <c r="Y137" s="19"/>
      <c r="Z137" s="1"/>
      <c r="AA137" s="26"/>
      <c r="AD137" s="33" t="str">
        <f>C135&amp;F137</f>
        <v>Poland% GDP</v>
      </c>
    </row>
    <row r="138" spans="1:30" ht="131.5" customHeight="1">
      <c r="A138" s="638">
        <v>0</v>
      </c>
      <c r="B138" s="638" t="s">
        <v>861</v>
      </c>
      <c r="C138" s="632" t="s">
        <v>557</v>
      </c>
      <c r="D138" s="628" t="s">
        <v>571</v>
      </c>
      <c r="E138" s="6"/>
      <c r="F138" s="37" t="s">
        <v>115</v>
      </c>
      <c r="G138" s="81">
        <f>H138+J138</f>
        <v>23.8</v>
      </c>
      <c r="H138" s="190">
        <v>12.8</v>
      </c>
      <c r="I138" s="575" t="s">
        <v>1263</v>
      </c>
      <c r="J138" s="95">
        <v>11</v>
      </c>
      <c r="K138" s="575" t="s">
        <v>1300</v>
      </c>
      <c r="L138" s="75"/>
      <c r="M138" s="581" t="s">
        <v>746</v>
      </c>
      <c r="N138" s="6"/>
      <c r="O138" s="32" t="s">
        <v>115</v>
      </c>
      <c r="P138" s="264">
        <f t="shared" si="6"/>
        <v>33.700000000000003</v>
      </c>
      <c r="Q138" s="170">
        <v>1.7</v>
      </c>
      <c r="R138" s="575" t="s">
        <v>1138</v>
      </c>
      <c r="S138" s="6"/>
      <c r="T138" s="32" t="s">
        <v>115</v>
      </c>
      <c r="U138" s="185">
        <v>32</v>
      </c>
      <c r="V138" s="590" t="s">
        <v>1264</v>
      </c>
      <c r="W138" s="28"/>
      <c r="X138" s="28"/>
      <c r="Y138" s="28"/>
      <c r="AA138" s="27"/>
      <c r="AD138" s="33" t="str">
        <f>C138&amp;F138</f>
        <v>RomaniaLC bn</v>
      </c>
    </row>
    <row r="139" spans="1:30" ht="105.65" customHeight="1">
      <c r="A139" s="638"/>
      <c r="B139" s="638"/>
      <c r="C139" s="632"/>
      <c r="D139" s="629"/>
      <c r="E139" s="6"/>
      <c r="F139" s="32" t="s">
        <v>116</v>
      </c>
      <c r="G139" s="69" t="e">
        <f>G138/VLOOKUP($C138,#REF!,8,0)</f>
        <v>#REF!</v>
      </c>
      <c r="H139" s="69" t="e">
        <f>H138/VLOOKUP($C138,#REF!,8,0)</f>
        <v>#REF!</v>
      </c>
      <c r="I139" s="576"/>
      <c r="J139" s="69" t="e">
        <f>J138/VLOOKUP($C138,#REF!,8,0)</f>
        <v>#REF!</v>
      </c>
      <c r="K139" s="576"/>
      <c r="L139" s="69"/>
      <c r="M139" s="582"/>
      <c r="N139" s="6"/>
      <c r="O139" s="32" t="s">
        <v>116</v>
      </c>
      <c r="P139" s="248" t="e">
        <f t="shared" si="6"/>
        <v>#REF!</v>
      </c>
      <c r="Q139" s="69" t="e">
        <f>Q138/VLOOKUP($C138,#REF!,8,0)</f>
        <v>#REF!</v>
      </c>
      <c r="R139" s="576"/>
      <c r="S139" s="6"/>
      <c r="T139" s="32" t="s">
        <v>116</v>
      </c>
      <c r="U139" s="69" t="e">
        <f>U138/VLOOKUP($C138,#REF!,8,0)</f>
        <v>#REF!</v>
      </c>
      <c r="V139" s="576"/>
      <c r="W139" s="28"/>
      <c r="X139" s="28"/>
      <c r="Y139" s="28"/>
      <c r="AA139" s="27"/>
      <c r="AD139" s="33" t="str">
        <f>C138&amp;F139</f>
        <v>RomaniaUSD bn</v>
      </c>
    </row>
    <row r="140" spans="1:30" ht="126.65" customHeight="1">
      <c r="A140" s="638"/>
      <c r="B140" s="638"/>
      <c r="C140" s="633"/>
      <c r="D140" s="630"/>
      <c r="E140" s="6"/>
      <c r="F140" s="31" t="s">
        <v>117</v>
      </c>
      <c r="G140" s="17" t="e">
        <f>(G138/VLOOKUP($C138,#REF!,4,0))*100</f>
        <v>#REF!</v>
      </c>
      <c r="H140" s="17" t="e">
        <f>(H138/VLOOKUP($C138,#REF!,4,0))*100</f>
        <v>#REF!</v>
      </c>
      <c r="I140" s="577"/>
      <c r="J140" s="17" t="e">
        <f>(J138/VLOOKUP($C138,#REF!,4,0))*100</f>
        <v>#REF!</v>
      </c>
      <c r="K140" s="577"/>
      <c r="L140" s="17"/>
      <c r="M140" s="583"/>
      <c r="N140" s="12"/>
      <c r="O140" s="31" t="s">
        <v>117</v>
      </c>
      <c r="P140" s="267" t="e">
        <f t="shared" si="6"/>
        <v>#REF!</v>
      </c>
      <c r="Q140" s="17" t="e">
        <f>(Q138/VLOOKUP($C138,#REF!,4,0))*100</f>
        <v>#REF!</v>
      </c>
      <c r="R140" s="577"/>
      <c r="S140" s="12"/>
      <c r="T140" s="31" t="s">
        <v>117</v>
      </c>
      <c r="U140" s="17" t="e">
        <f>(U138/VLOOKUP($C138,#REF!,4,0))*100</f>
        <v>#REF!</v>
      </c>
      <c r="V140" s="577"/>
      <c r="W140" s="19"/>
      <c r="X140" s="19"/>
      <c r="Y140" s="28"/>
      <c r="AA140" s="27"/>
      <c r="AD140" s="33" t="str">
        <f>C138&amp;F140</f>
        <v>Romania% GDP</v>
      </c>
    </row>
    <row r="141" spans="1:30" ht="69.650000000000006" customHeight="1">
      <c r="A141" s="40"/>
      <c r="B141" s="40"/>
      <c r="C141" s="631" t="s">
        <v>953</v>
      </c>
      <c r="D141" s="628" t="s">
        <v>570</v>
      </c>
      <c r="E141" s="36"/>
      <c r="F141" s="32" t="s">
        <v>115</v>
      </c>
      <c r="G141" s="95">
        <v>308</v>
      </c>
      <c r="H141" s="74">
        <v>73</v>
      </c>
      <c r="I141" s="600" t="s">
        <v>1181</v>
      </c>
      <c r="J141" s="95">
        <f>G141-H141</f>
        <v>235</v>
      </c>
      <c r="K141" s="581" t="s">
        <v>1301</v>
      </c>
      <c r="L141" s="95">
        <v>151</v>
      </c>
      <c r="M141" s="575" t="s">
        <v>1217</v>
      </c>
      <c r="N141" s="36"/>
      <c r="O141" s="32" t="s">
        <v>115</v>
      </c>
      <c r="P141" s="264">
        <f t="shared" si="6"/>
        <v>76.5</v>
      </c>
      <c r="Q141" s="178"/>
      <c r="R141" s="28"/>
      <c r="S141" s="36"/>
      <c r="T141" s="32" t="s">
        <v>115</v>
      </c>
      <c r="U141" s="95">
        <v>56.5</v>
      </c>
      <c r="V141" s="575" t="s">
        <v>1183</v>
      </c>
      <c r="W141" s="81">
        <v>20</v>
      </c>
      <c r="X141" s="575" t="s">
        <v>1218</v>
      </c>
      <c r="Y141" s="28"/>
      <c r="AA141" s="27"/>
      <c r="AD141" s="33" t="str">
        <f t="shared" ref="AD141" si="10">C141&amp;F141</f>
        <v>SerbiaLC bn</v>
      </c>
    </row>
    <row r="142" spans="1:30" ht="69.650000000000006" customHeight="1">
      <c r="A142" s="40">
        <v>0</v>
      </c>
      <c r="B142" s="40" t="s">
        <v>861</v>
      </c>
      <c r="C142" s="632"/>
      <c r="D142" s="629"/>
      <c r="E142" s="36"/>
      <c r="F142" s="32" t="s">
        <v>116</v>
      </c>
      <c r="G142" s="69" t="e">
        <f>G141/VLOOKUP(C141,#REF!,8,0)</f>
        <v>#REF!</v>
      </c>
      <c r="H142" s="69" t="e">
        <f>H141/VLOOKUP($C141,#REF!,8,0)</f>
        <v>#REF!</v>
      </c>
      <c r="I142" s="601"/>
      <c r="J142" s="69" t="e">
        <f>J141/VLOOKUP($C141,#REF!,8,0)</f>
        <v>#REF!</v>
      </c>
      <c r="K142" s="582"/>
      <c r="L142" s="69" t="e">
        <f>L141/VLOOKUP($C141,#REF!,8,0)</f>
        <v>#REF!</v>
      </c>
      <c r="M142" s="576"/>
      <c r="N142" s="36"/>
      <c r="O142" s="32" t="s">
        <v>116</v>
      </c>
      <c r="P142" s="248" t="e">
        <f t="shared" si="6"/>
        <v>#REF!</v>
      </c>
      <c r="Q142" s="178"/>
      <c r="R142" s="28"/>
      <c r="S142" s="36"/>
      <c r="T142" s="32" t="s">
        <v>116</v>
      </c>
      <c r="U142" s="69" t="e">
        <f>U141/VLOOKUP(C141,#REF!,8,0)</f>
        <v>#REF!</v>
      </c>
      <c r="V142" s="576"/>
      <c r="W142" s="69" t="e">
        <f>W141/VLOOKUP($C141,#REF!,8,0)</f>
        <v>#REF!</v>
      </c>
      <c r="X142" s="576"/>
      <c r="Y142" s="28"/>
      <c r="AA142" s="27"/>
      <c r="AD142" s="33" t="str">
        <f t="shared" ref="AD142" si="11">C141&amp;F142</f>
        <v>SerbiaUSD bn</v>
      </c>
    </row>
    <row r="143" spans="1:30" ht="69.650000000000006" customHeight="1">
      <c r="A143" s="40"/>
      <c r="B143" s="40"/>
      <c r="C143" s="633"/>
      <c r="D143" s="630"/>
      <c r="E143" s="12"/>
      <c r="F143" s="31" t="s">
        <v>117</v>
      </c>
      <c r="G143" s="17" t="e">
        <f>(G141/VLOOKUP(C141,#REF!,4,0))*100</f>
        <v>#REF!</v>
      </c>
      <c r="H143" s="17" t="e">
        <f>(H141/VLOOKUP($C141,#REF!,4,0))*100</f>
        <v>#REF!</v>
      </c>
      <c r="I143" s="602"/>
      <c r="J143" s="17" t="e">
        <f>J141/VLOOKUP($C141,#REF!,4,0)*100</f>
        <v>#REF!</v>
      </c>
      <c r="K143" s="583"/>
      <c r="L143" s="17" t="e">
        <f>L141/VLOOKUP($C141,#REF!,4,0)*100</f>
        <v>#REF!</v>
      </c>
      <c r="M143" s="577"/>
      <c r="N143" s="12"/>
      <c r="O143" s="31" t="s">
        <v>117</v>
      </c>
      <c r="P143" s="267" t="e">
        <f t="shared" si="6"/>
        <v>#REF!</v>
      </c>
      <c r="Q143" s="168"/>
      <c r="R143" s="23"/>
      <c r="S143" s="12"/>
      <c r="T143" s="31" t="s">
        <v>117</v>
      </c>
      <c r="U143" s="17" t="e">
        <f>(U141/VLOOKUP(C141,#REF!,4,0))*100</f>
        <v>#REF!</v>
      </c>
      <c r="V143" s="577"/>
      <c r="W143" s="17" t="e">
        <f>W141/VLOOKUP($C141,#REF!,4,0)*100</f>
        <v>#REF!</v>
      </c>
      <c r="X143" s="577"/>
      <c r="Y143" s="28"/>
      <c r="AA143" s="27"/>
      <c r="AD143" s="33" t="str">
        <f t="shared" ref="AD143" si="12">C141&amp;F143</f>
        <v>Serbia% GDP</v>
      </c>
    </row>
    <row r="144" spans="1:30" ht="247.5" customHeight="1">
      <c r="A144" s="638">
        <v>0</v>
      </c>
      <c r="B144" s="638" t="s">
        <v>861</v>
      </c>
      <c r="C144" s="632" t="s">
        <v>559</v>
      </c>
      <c r="D144" s="629" t="s">
        <v>572</v>
      </c>
      <c r="E144" s="6"/>
      <c r="F144" s="37" t="s">
        <v>115</v>
      </c>
      <c r="G144" s="127">
        <v>1290</v>
      </c>
      <c r="H144" s="69" t="s">
        <v>84</v>
      </c>
      <c r="I144" s="575" t="s">
        <v>645</v>
      </c>
      <c r="J144" s="69" t="s">
        <v>84</v>
      </c>
      <c r="K144" s="639" t="s">
        <v>1384</v>
      </c>
      <c r="L144" s="69"/>
      <c r="M144" s="575" t="s">
        <v>1000</v>
      </c>
      <c r="N144" s="6"/>
      <c r="O144" s="32" t="s">
        <v>115</v>
      </c>
      <c r="P144" s="264">
        <f t="shared" si="6"/>
        <v>665</v>
      </c>
      <c r="Q144" s="81">
        <v>90</v>
      </c>
      <c r="R144" s="590" t="s">
        <v>736</v>
      </c>
      <c r="S144" s="6"/>
      <c r="T144" s="32" t="s">
        <v>115</v>
      </c>
      <c r="U144" s="81">
        <v>325</v>
      </c>
      <c r="V144" s="575" t="s">
        <v>567</v>
      </c>
      <c r="W144" s="81">
        <v>250</v>
      </c>
      <c r="X144" s="575" t="s">
        <v>1001</v>
      </c>
      <c r="Y144" s="28"/>
      <c r="AA144" s="27"/>
      <c r="AD144" s="33" t="str">
        <f t="shared" ref="AD144" si="13">C144&amp;F144</f>
        <v>ThailandLC bn</v>
      </c>
    </row>
    <row r="145" spans="1:30" ht="161.5" customHeight="1">
      <c r="A145" s="638"/>
      <c r="B145" s="638"/>
      <c r="C145" s="632"/>
      <c r="D145" s="629"/>
      <c r="E145" s="6"/>
      <c r="F145" s="32" t="s">
        <v>116</v>
      </c>
      <c r="G145" s="81" t="e">
        <f>G144/VLOOKUP($C144,#REF!,8,0)</f>
        <v>#REF!</v>
      </c>
      <c r="H145" s="69"/>
      <c r="I145" s="576"/>
      <c r="J145" s="69"/>
      <c r="K145" s="576"/>
      <c r="L145" s="69"/>
      <c r="M145" s="576"/>
      <c r="N145" s="6"/>
      <c r="O145" s="32" t="s">
        <v>116</v>
      </c>
      <c r="P145" s="265" t="e">
        <f t="shared" si="6"/>
        <v>#REF!</v>
      </c>
      <c r="Q145" s="69" t="e">
        <f>Q144/VLOOKUP($C144,#REF!,8,0)</f>
        <v>#REF!</v>
      </c>
      <c r="R145" s="591"/>
      <c r="S145" s="6"/>
      <c r="T145" s="32" t="s">
        <v>116</v>
      </c>
      <c r="U145" s="81" t="e">
        <f>U144/VLOOKUP($C144,#REF!,8,0)</f>
        <v>#REF!</v>
      </c>
      <c r="V145" s="576"/>
      <c r="W145" s="69" t="e">
        <f>W144/VLOOKUP($C144,#REF!,8,0)</f>
        <v>#REF!</v>
      </c>
      <c r="X145" s="576"/>
      <c r="Y145" s="28"/>
      <c r="AA145" s="27"/>
      <c r="AD145" s="33" t="str">
        <f t="shared" ref="AD145" si="14">C144&amp;F145</f>
        <v>ThailandUSD bn</v>
      </c>
    </row>
    <row r="146" spans="1:30" ht="267.64999999999998" customHeight="1">
      <c r="A146" s="638"/>
      <c r="B146" s="638"/>
      <c r="C146" s="633"/>
      <c r="D146" s="630"/>
      <c r="E146" s="6"/>
      <c r="F146" s="31" t="s">
        <v>117</v>
      </c>
      <c r="G146" s="17" t="e">
        <f>(G144/VLOOKUP($C144,#REF!,4,0))*100</f>
        <v>#REF!</v>
      </c>
      <c r="H146" s="17"/>
      <c r="I146" s="577"/>
      <c r="J146" s="17"/>
      <c r="K146" s="577"/>
      <c r="L146" s="17"/>
      <c r="M146" s="577"/>
      <c r="N146" s="12"/>
      <c r="O146" s="31" t="s">
        <v>117</v>
      </c>
      <c r="P146" s="267" t="e">
        <f t="shared" si="6"/>
        <v>#REF!</v>
      </c>
      <c r="Q146" s="17" t="e">
        <f>(Q144/VLOOKUP($C144,#REF!,4,0))*100</f>
        <v>#REF!</v>
      </c>
      <c r="R146" s="592"/>
      <c r="S146" s="12"/>
      <c r="T146" s="31" t="s">
        <v>117</v>
      </c>
      <c r="U146" s="17" t="e">
        <f>(U144/VLOOKUP($C144,#REF!,4,0))*100</f>
        <v>#REF!</v>
      </c>
      <c r="V146" s="577"/>
      <c r="W146" s="17" t="e">
        <f>(W144/VLOOKUP($C144,#REF!,4,0))*100</f>
        <v>#REF!</v>
      </c>
      <c r="X146" s="577"/>
      <c r="Y146" s="28"/>
      <c r="AA146" s="27"/>
      <c r="AD146" s="33" t="str">
        <f t="shared" ref="AD146" si="15">C144&amp;F146</f>
        <v>Thailand% GDP</v>
      </c>
    </row>
    <row r="147" spans="1:30" s="10" customFormat="1" ht="88" customHeight="1">
      <c r="A147" s="638">
        <v>0</v>
      </c>
      <c r="B147" s="638" t="s">
        <v>861</v>
      </c>
      <c r="C147" s="631" t="s">
        <v>30</v>
      </c>
      <c r="D147" s="628" t="s">
        <v>570</v>
      </c>
      <c r="E147" s="13"/>
      <c r="F147" s="37" t="s">
        <v>115</v>
      </c>
      <c r="G147" s="53">
        <v>2.6859999999999999</v>
      </c>
      <c r="H147" s="53">
        <v>0.4</v>
      </c>
      <c r="I147" s="575" t="s">
        <v>1388</v>
      </c>
      <c r="J147" s="53">
        <f>G147-H147</f>
        <v>2.286</v>
      </c>
      <c r="K147" s="639" t="s">
        <v>1389</v>
      </c>
      <c r="L147" s="53">
        <f>0.545+0.01</f>
        <v>0.55500000000000005</v>
      </c>
      <c r="M147" s="575" t="s">
        <v>794</v>
      </c>
      <c r="N147" s="13"/>
      <c r="O147" s="37" t="s">
        <v>115</v>
      </c>
      <c r="P147" s="266">
        <f t="shared" si="6"/>
        <v>0.5</v>
      </c>
      <c r="Q147" s="66">
        <v>0.3</v>
      </c>
      <c r="R147" s="575" t="s">
        <v>1314</v>
      </c>
      <c r="S147" s="13"/>
      <c r="T147" s="37" t="s">
        <v>115</v>
      </c>
      <c r="U147" s="53">
        <v>0.2</v>
      </c>
      <c r="V147" s="575" t="s">
        <v>614</v>
      </c>
      <c r="W147" s="18"/>
      <c r="X147" s="18"/>
      <c r="Y147" s="575" t="s">
        <v>83</v>
      </c>
      <c r="Z147" s="13"/>
      <c r="AA147" s="18"/>
      <c r="AD147" s="33" t="str">
        <f>C147&amp;F147</f>
        <v>TunisiaLC bn</v>
      </c>
    </row>
    <row r="148" spans="1:30" s="10" customFormat="1" ht="88" customHeight="1">
      <c r="A148" s="638"/>
      <c r="B148" s="638"/>
      <c r="C148" s="632"/>
      <c r="D148" s="629"/>
      <c r="F148" s="32" t="s">
        <v>116</v>
      </c>
      <c r="G148" s="69" t="e">
        <f>G147/VLOOKUP(C147,#REF!,8,0)</f>
        <v>#REF!</v>
      </c>
      <c r="H148" s="69" t="e">
        <f>H147/VLOOKUP($C147,#REF!,8,0)</f>
        <v>#REF!</v>
      </c>
      <c r="I148" s="576"/>
      <c r="J148" s="69" t="e">
        <f>J147/VLOOKUP($C147,#REF!,8,0)</f>
        <v>#REF!</v>
      </c>
      <c r="K148" s="576"/>
      <c r="L148" s="69" t="e">
        <f>L147/VLOOKUP($C147,#REF!,8,0)</f>
        <v>#REF!</v>
      </c>
      <c r="M148" s="576"/>
      <c r="O148" s="32" t="s">
        <v>116</v>
      </c>
      <c r="P148" s="248" t="e">
        <f t="shared" si="6"/>
        <v>#REF!</v>
      </c>
      <c r="Q148" s="64" t="e">
        <f>Q147/VLOOKUP(C147,#REF!,8,0)</f>
        <v>#REF!</v>
      </c>
      <c r="R148" s="576"/>
      <c r="T148" s="32" t="s">
        <v>116</v>
      </c>
      <c r="U148" s="69" t="e">
        <f>U147/VLOOKUP(C147,#REF!,8,0)</f>
        <v>#REF!</v>
      </c>
      <c r="V148" s="576"/>
      <c r="W148" s="28"/>
      <c r="X148" s="28"/>
      <c r="Y148" s="576"/>
      <c r="AA148" s="28"/>
      <c r="AD148" s="33" t="str">
        <f>C147&amp;F148</f>
        <v>TunisiaUSD bn</v>
      </c>
    </row>
    <row r="149" spans="1:30" ht="88" customHeight="1">
      <c r="A149" s="638"/>
      <c r="B149" s="638"/>
      <c r="C149" s="633"/>
      <c r="D149" s="630"/>
      <c r="E149" s="12"/>
      <c r="F149" s="31" t="s">
        <v>117</v>
      </c>
      <c r="G149" s="17" t="e">
        <f>(G147/VLOOKUP(C147,#REF!,4,0))*100</f>
        <v>#REF!</v>
      </c>
      <c r="H149" s="17" t="e">
        <f>(H147/VLOOKUP($C147,#REF!,4,0))*100</f>
        <v>#REF!</v>
      </c>
      <c r="I149" s="577"/>
      <c r="J149" s="17" t="e">
        <f>(J147/VLOOKUP($C147,#REF!,4,0))*100</f>
        <v>#REF!</v>
      </c>
      <c r="K149" s="577"/>
      <c r="L149" s="17" t="e">
        <f>(L147/VLOOKUP($C147,#REF!,4,0))*100</f>
        <v>#REF!</v>
      </c>
      <c r="M149" s="577"/>
      <c r="N149" s="12"/>
      <c r="O149" s="31" t="s">
        <v>117</v>
      </c>
      <c r="P149" s="267" t="e">
        <f t="shared" si="6"/>
        <v>#REF!</v>
      </c>
      <c r="Q149" s="65" t="e">
        <f>(Q147/VLOOKUP(C147,#REF!,4,0))*100</f>
        <v>#REF!</v>
      </c>
      <c r="R149" s="577"/>
      <c r="S149" s="12"/>
      <c r="T149" s="31" t="s">
        <v>117</v>
      </c>
      <c r="U149" s="17" t="e">
        <f>(U147/VLOOKUP(C147,#REF!,4,0))*100</f>
        <v>#REF!</v>
      </c>
      <c r="V149" s="577"/>
      <c r="W149" s="19"/>
      <c r="X149" s="19"/>
      <c r="Y149" s="577"/>
      <c r="Z149" s="1"/>
      <c r="AA149" s="26"/>
      <c r="AD149" s="33" t="str">
        <f>C147&amp;F149</f>
        <v>Tunisia% GDP</v>
      </c>
    </row>
    <row r="150" spans="1:30" s="10" customFormat="1" ht="68.5" customHeight="1">
      <c r="A150" s="638">
        <v>0</v>
      </c>
      <c r="B150" s="638" t="s">
        <v>861</v>
      </c>
      <c r="C150" s="631" t="s">
        <v>56</v>
      </c>
      <c r="D150" s="628" t="s">
        <v>570</v>
      </c>
      <c r="E150" s="13"/>
      <c r="F150" s="37" t="s">
        <v>115</v>
      </c>
      <c r="G150" s="93">
        <v>32</v>
      </c>
      <c r="H150" s="74" t="s">
        <v>84</v>
      </c>
      <c r="I150" s="575" t="s">
        <v>646</v>
      </c>
      <c r="J150" s="49" t="s">
        <v>84</v>
      </c>
      <c r="K150" s="575" t="s">
        <v>747</v>
      </c>
      <c r="L150" s="18"/>
      <c r="M150" s="18"/>
      <c r="N150" s="13"/>
      <c r="O150" s="37" t="s">
        <v>115</v>
      </c>
      <c r="P150" s="66" t="s">
        <v>84</v>
      </c>
      <c r="Q150" s="66" t="s">
        <v>84</v>
      </c>
      <c r="R150" s="575" t="s">
        <v>308</v>
      </c>
      <c r="S150" s="13"/>
      <c r="T150" s="37" t="s">
        <v>115</v>
      </c>
      <c r="U150" s="66" t="s">
        <v>84</v>
      </c>
      <c r="V150" s="575" t="s">
        <v>343</v>
      </c>
      <c r="W150" s="66" t="s">
        <v>84</v>
      </c>
      <c r="X150" s="575" t="s">
        <v>750</v>
      </c>
      <c r="Y150" s="18"/>
      <c r="Z150" s="13"/>
      <c r="AA150" s="25" t="s">
        <v>51</v>
      </c>
      <c r="AD150" s="33" t="str">
        <f>C150&amp;F150</f>
        <v>United Arab EmiratesLC bn</v>
      </c>
    </row>
    <row r="151" spans="1:30" s="10" customFormat="1" ht="69.650000000000006" customHeight="1">
      <c r="A151" s="638"/>
      <c r="B151" s="638"/>
      <c r="C151" s="632"/>
      <c r="D151" s="629"/>
      <c r="F151" s="32" t="s">
        <v>116</v>
      </c>
      <c r="G151" s="69" t="e">
        <f>G150/VLOOKUP(C150,#REF!,8,0)</f>
        <v>#REF!</v>
      </c>
      <c r="H151" s="30"/>
      <c r="I151" s="576"/>
      <c r="J151" s="75"/>
      <c r="K151" s="576"/>
      <c r="L151" s="28"/>
      <c r="M151" s="28"/>
      <c r="O151" s="32" t="s">
        <v>116</v>
      </c>
      <c r="P151" s="28"/>
      <c r="Q151" s="178"/>
      <c r="R151" s="576"/>
      <c r="T151" s="32" t="s">
        <v>116</v>
      </c>
      <c r="U151" s="56"/>
      <c r="V151" s="576"/>
      <c r="W151" s="28"/>
      <c r="X151" s="576"/>
      <c r="Y151" s="28"/>
      <c r="AA151" s="27" t="s">
        <v>52</v>
      </c>
      <c r="AD151" s="33" t="str">
        <f>C150&amp;F151</f>
        <v>United Arab EmiratesUSD bn</v>
      </c>
    </row>
    <row r="152" spans="1:30" ht="62.5" customHeight="1">
      <c r="A152" s="638"/>
      <c r="B152" s="638"/>
      <c r="C152" s="633"/>
      <c r="D152" s="630"/>
      <c r="E152" s="12"/>
      <c r="F152" s="31" t="s">
        <v>117</v>
      </c>
      <c r="G152" s="17" t="e">
        <f>(G150/VLOOKUP(C150,#REF!,4,0))*100</f>
        <v>#REF!</v>
      </c>
      <c r="H152" s="76"/>
      <c r="I152" s="577"/>
      <c r="J152" s="68"/>
      <c r="K152" s="577"/>
      <c r="L152" s="19"/>
      <c r="M152" s="19"/>
      <c r="N152" s="12"/>
      <c r="O152" s="31" t="s">
        <v>117</v>
      </c>
      <c r="P152" s="23"/>
      <c r="Q152" s="168"/>
      <c r="R152" s="577"/>
      <c r="S152" s="12"/>
      <c r="T152" s="31" t="s">
        <v>117</v>
      </c>
      <c r="U152" s="17"/>
      <c r="V152" s="577"/>
      <c r="W152" s="19"/>
      <c r="X152" s="577"/>
      <c r="Y152" s="19"/>
      <c r="Z152" s="1"/>
      <c r="AA152" s="26"/>
      <c r="AD152" s="33" t="str">
        <f>C150&amp;F152</f>
        <v>United Arab Emirates% GDP</v>
      </c>
    </row>
    <row r="153" spans="1:30" s="10" customFormat="1" ht="128.5" customHeight="1">
      <c r="A153" s="638">
        <v>0</v>
      </c>
      <c r="B153" s="638" t="s">
        <v>862</v>
      </c>
      <c r="C153" s="631" t="s">
        <v>37</v>
      </c>
      <c r="D153" s="628" t="s">
        <v>571</v>
      </c>
      <c r="E153" s="13"/>
      <c r="F153" s="37" t="s">
        <v>115</v>
      </c>
      <c r="G153" s="96">
        <f>H153+J153</f>
        <v>353.14</v>
      </c>
      <c r="H153" s="96">
        <v>25.61</v>
      </c>
      <c r="I153" s="575" t="s">
        <v>1215</v>
      </c>
      <c r="J153" s="96">
        <v>327.52999999999997</v>
      </c>
      <c r="K153" s="575" t="s">
        <v>1320</v>
      </c>
      <c r="L153" s="18"/>
      <c r="M153" s="18"/>
      <c r="N153" s="13"/>
      <c r="O153" s="37" t="s">
        <v>115</v>
      </c>
      <c r="P153" s="266"/>
      <c r="Q153" s="175"/>
      <c r="R153" s="575"/>
      <c r="S153" s="13"/>
      <c r="T153" s="37" t="s">
        <v>115</v>
      </c>
      <c r="U153" s="53"/>
      <c r="V153" s="18"/>
      <c r="W153" s="18"/>
      <c r="X153" s="18"/>
      <c r="Y153" s="18"/>
      <c r="Z153" s="13"/>
      <c r="AA153" s="18"/>
      <c r="AD153" s="33" t="str">
        <f>C153&amp;F153</f>
        <v>BangladeshLC bn</v>
      </c>
    </row>
    <row r="154" spans="1:30" s="36" customFormat="1" ht="135.65" customHeight="1">
      <c r="A154" s="638"/>
      <c r="B154" s="638"/>
      <c r="C154" s="632"/>
      <c r="D154" s="629"/>
      <c r="E154" s="10"/>
      <c r="F154" s="32" t="s">
        <v>116</v>
      </c>
      <c r="G154" s="69" t="e">
        <f>G153/VLOOKUP(C153,#REF!,8,0)</f>
        <v>#REF!</v>
      </c>
      <c r="H154" s="69" t="e">
        <f>H153/VLOOKUP($C153,#REF!,8,0)</f>
        <v>#REF!</v>
      </c>
      <c r="I154" s="576"/>
      <c r="J154" s="69" t="e">
        <f>J153/VLOOKUP($C153,#REF!,8,0)</f>
        <v>#REF!</v>
      </c>
      <c r="K154" s="576"/>
      <c r="L154" s="28"/>
      <c r="M154" s="28"/>
      <c r="N154" s="10"/>
      <c r="O154" s="32" t="s">
        <v>116</v>
      </c>
      <c r="P154" s="248"/>
      <c r="Q154" s="170"/>
      <c r="R154" s="576"/>
      <c r="S154" s="10"/>
      <c r="T154" s="32" t="s">
        <v>116</v>
      </c>
      <c r="U154" s="56"/>
      <c r="V154" s="28"/>
      <c r="W154" s="28"/>
      <c r="X154" s="28"/>
      <c r="Y154" s="28"/>
      <c r="Z154" s="10"/>
      <c r="AA154" s="28"/>
      <c r="AD154" s="33" t="str">
        <f>C153&amp;F154</f>
        <v>BangladeshUSD bn</v>
      </c>
    </row>
    <row r="155" spans="1:30" ht="166.5" customHeight="1">
      <c r="A155" s="638"/>
      <c r="B155" s="638"/>
      <c r="C155" s="633"/>
      <c r="D155" s="630"/>
      <c r="E155" s="12"/>
      <c r="F155" s="31" t="s">
        <v>117</v>
      </c>
      <c r="G155" s="17" t="e">
        <f>(G153/VLOOKUP(C153,#REF!,4,0))*100</f>
        <v>#REF!</v>
      </c>
      <c r="H155" s="17" t="e">
        <f>(H153/VLOOKUP($C153,#REF!,4,0))*100</f>
        <v>#REF!</v>
      </c>
      <c r="I155" s="577"/>
      <c r="J155" s="17" t="e">
        <f>(J153/VLOOKUP($C153,#REF!,4,0))*100</f>
        <v>#REF!</v>
      </c>
      <c r="K155" s="577"/>
      <c r="L155" s="19"/>
      <c r="M155" s="19"/>
      <c r="N155" s="12"/>
      <c r="O155" s="31" t="s">
        <v>117</v>
      </c>
      <c r="P155" s="267"/>
      <c r="Q155" s="168"/>
      <c r="R155" s="577"/>
      <c r="S155" s="12"/>
      <c r="T155" s="31" t="s">
        <v>117</v>
      </c>
      <c r="U155" s="17"/>
      <c r="V155" s="19"/>
      <c r="W155" s="19"/>
      <c r="X155" s="19"/>
      <c r="Y155" s="28"/>
      <c r="AA155" s="27"/>
      <c r="AD155" s="33" t="str">
        <f>C153&amp;F155</f>
        <v>Bangladesh% GDP</v>
      </c>
    </row>
    <row r="156" spans="1:30" ht="58.5" customHeight="1">
      <c r="A156" s="638">
        <v>0</v>
      </c>
      <c r="B156" s="638" t="s">
        <v>862</v>
      </c>
      <c r="C156" s="632" t="s">
        <v>548</v>
      </c>
      <c r="D156" s="629" t="s">
        <v>571</v>
      </c>
      <c r="E156" s="6"/>
      <c r="F156" s="32" t="s">
        <v>115</v>
      </c>
      <c r="G156" s="81">
        <v>52</v>
      </c>
      <c r="H156" s="95">
        <v>16</v>
      </c>
      <c r="I156" s="575" t="s">
        <v>647</v>
      </c>
      <c r="J156" s="95">
        <v>35</v>
      </c>
      <c r="K156" s="575" t="s">
        <v>748</v>
      </c>
      <c r="L156" s="28"/>
      <c r="M156" s="28"/>
      <c r="N156" s="6"/>
      <c r="O156" s="37" t="s">
        <v>115</v>
      </c>
      <c r="P156" s="264">
        <f t="shared" ref="P156:P167" si="16">Q156+U156+W156</f>
        <v>21</v>
      </c>
      <c r="Q156" s="167">
        <v>21</v>
      </c>
      <c r="R156" s="575" t="s">
        <v>751</v>
      </c>
      <c r="S156" s="6"/>
      <c r="T156" s="37" t="s">
        <v>115</v>
      </c>
      <c r="U156" s="69"/>
      <c r="V156" s="28"/>
      <c r="W156" s="28"/>
      <c r="X156" s="28"/>
      <c r="Y156" s="28"/>
      <c r="AA156" s="27"/>
      <c r="AD156" s="33" t="str">
        <f>C156&amp;F156</f>
        <v>EthiopiaLC bn</v>
      </c>
    </row>
    <row r="157" spans="1:30" ht="58.5" customHeight="1">
      <c r="A157" s="638"/>
      <c r="B157" s="638"/>
      <c r="C157" s="632"/>
      <c r="D157" s="629"/>
      <c r="E157" s="6"/>
      <c r="F157" s="32" t="s">
        <v>116</v>
      </c>
      <c r="G157" s="69" t="e">
        <f>G156/VLOOKUP(C156,#REF!,8,0)</f>
        <v>#REF!</v>
      </c>
      <c r="H157" s="69" t="e">
        <f>H156/VLOOKUP($C156,#REF!,8,0)</f>
        <v>#REF!</v>
      </c>
      <c r="I157" s="576"/>
      <c r="J157" s="69" t="e">
        <f>J156/VLOOKUP($C156,#REF!,8,0)</f>
        <v>#REF!</v>
      </c>
      <c r="K157" s="576"/>
      <c r="L157" s="69"/>
      <c r="M157" s="28"/>
      <c r="N157" s="6"/>
      <c r="O157" s="32" t="s">
        <v>116</v>
      </c>
      <c r="P157" s="248" t="e">
        <f t="shared" si="16"/>
        <v>#REF!</v>
      </c>
      <c r="Q157" s="170" t="e">
        <f>Q156/VLOOKUP(C156,#REF!,8,0)</f>
        <v>#REF!</v>
      </c>
      <c r="R157" s="576"/>
      <c r="S157" s="6"/>
      <c r="T157" s="32" t="s">
        <v>116</v>
      </c>
      <c r="U157" s="69"/>
      <c r="V157" s="28"/>
      <c r="W157" s="28"/>
      <c r="X157" s="28"/>
      <c r="Y157" s="28"/>
      <c r="AA157" s="27"/>
      <c r="AD157" s="33" t="str">
        <f>C156&amp;F157</f>
        <v>EthiopiaUSD bn</v>
      </c>
    </row>
    <row r="158" spans="1:30" ht="58.5" customHeight="1">
      <c r="A158" s="638"/>
      <c r="B158" s="638"/>
      <c r="C158" s="633"/>
      <c r="D158" s="630"/>
      <c r="E158" s="12"/>
      <c r="F158" s="31" t="s">
        <v>117</v>
      </c>
      <c r="G158" s="17" t="e">
        <f>(G156/VLOOKUP(C156,#REF!,4,0))*100</f>
        <v>#REF!</v>
      </c>
      <c r="H158" s="17" t="e">
        <f>(H156/VLOOKUP($C156,#REF!,4,0))*100</f>
        <v>#REF!</v>
      </c>
      <c r="I158" s="577"/>
      <c r="J158" s="17" t="e">
        <f>(J156/VLOOKUP($C156,#REF!,4,0))*100</f>
        <v>#REF!</v>
      </c>
      <c r="K158" s="577"/>
      <c r="L158" s="17"/>
      <c r="M158" s="19"/>
      <c r="N158" s="12"/>
      <c r="O158" s="31" t="s">
        <v>117</v>
      </c>
      <c r="P158" s="267" t="e">
        <f t="shared" si="16"/>
        <v>#REF!</v>
      </c>
      <c r="Q158" s="168" t="e">
        <f>(Q156/VLOOKUP(C156,#REF!,4,0))*100</f>
        <v>#REF!</v>
      </c>
      <c r="R158" s="577"/>
      <c r="S158" s="12"/>
      <c r="T158" s="31" t="s">
        <v>117</v>
      </c>
      <c r="U158" s="17"/>
      <c r="V158" s="19"/>
      <c r="W158" s="19"/>
      <c r="X158" s="19"/>
      <c r="Y158" s="28"/>
      <c r="AA158" s="27"/>
      <c r="AD158" s="33" t="str">
        <f>C156&amp;F158</f>
        <v>Ethiopia% GDP</v>
      </c>
    </row>
    <row r="159" spans="1:30" ht="58.5" customHeight="1">
      <c r="A159" s="638">
        <v>0</v>
      </c>
      <c r="B159" s="638" t="s">
        <v>862</v>
      </c>
      <c r="C159" s="632" t="s">
        <v>550</v>
      </c>
      <c r="D159" s="629" t="s">
        <v>571</v>
      </c>
      <c r="E159" s="6"/>
      <c r="F159" s="32" t="s">
        <v>115</v>
      </c>
      <c r="G159" s="69">
        <v>11.2</v>
      </c>
      <c r="H159" s="56">
        <f>0.572</f>
        <v>0.57199999999999995</v>
      </c>
      <c r="I159" s="575" t="s">
        <v>648</v>
      </c>
      <c r="J159" s="69">
        <f>G159-H159</f>
        <v>10.628</v>
      </c>
      <c r="K159" s="575" t="s">
        <v>788</v>
      </c>
      <c r="L159" s="28" t="s">
        <v>84</v>
      </c>
      <c r="M159" s="575" t="s">
        <v>621</v>
      </c>
      <c r="N159" s="6"/>
      <c r="O159" s="37" t="s">
        <v>115</v>
      </c>
      <c r="P159" s="266">
        <f t="shared" si="16"/>
        <v>1.2</v>
      </c>
      <c r="Q159" s="274">
        <v>1.2</v>
      </c>
      <c r="R159" s="581" t="s">
        <v>752</v>
      </c>
      <c r="S159" s="6"/>
      <c r="T159" s="37" t="s">
        <v>115</v>
      </c>
      <c r="U159" s="69"/>
      <c r="V159" s="28"/>
      <c r="W159" s="28"/>
      <c r="X159" s="28"/>
      <c r="Y159" s="28"/>
      <c r="AA159" s="27"/>
      <c r="AD159" s="33" t="str">
        <f>C159&amp;F159</f>
        <v>GhanaLC bn</v>
      </c>
    </row>
    <row r="160" spans="1:30" ht="58.5" customHeight="1">
      <c r="A160" s="638"/>
      <c r="B160" s="638"/>
      <c r="C160" s="632"/>
      <c r="D160" s="629"/>
      <c r="E160" s="6"/>
      <c r="F160" s="32" t="s">
        <v>116</v>
      </c>
      <c r="G160" s="69" t="e">
        <f>G159/VLOOKUP(C159,#REF!,8,0)</f>
        <v>#REF!</v>
      </c>
      <c r="H160" s="69" t="e">
        <f>H159/VLOOKUP($C159,#REF!,8,0)</f>
        <v>#REF!</v>
      </c>
      <c r="I160" s="576"/>
      <c r="J160" s="69" t="e">
        <f>J159/VLOOKUP($C159,#REF!,8,0)</f>
        <v>#REF!</v>
      </c>
      <c r="K160" s="576"/>
      <c r="L160" s="69"/>
      <c r="M160" s="576"/>
      <c r="N160" s="6"/>
      <c r="O160" s="32" t="s">
        <v>116</v>
      </c>
      <c r="P160" s="248" t="e">
        <f t="shared" si="16"/>
        <v>#REF!</v>
      </c>
      <c r="Q160" s="69" t="e">
        <f>Q159/VLOOKUP($C159,#REF!,8,0)</f>
        <v>#REF!</v>
      </c>
      <c r="R160" s="582"/>
      <c r="S160" s="6"/>
      <c r="T160" s="32" t="s">
        <v>116</v>
      </c>
      <c r="U160" s="69"/>
      <c r="V160" s="28"/>
      <c r="W160" s="28"/>
      <c r="X160" s="28"/>
      <c r="Y160" s="28"/>
      <c r="AA160" s="27"/>
      <c r="AD160" s="33" t="str">
        <f>C159&amp;F160</f>
        <v>GhanaUSD bn</v>
      </c>
    </row>
    <row r="161" spans="1:30" ht="58.5" customHeight="1">
      <c r="A161" s="638"/>
      <c r="B161" s="638"/>
      <c r="C161" s="633"/>
      <c r="D161" s="630"/>
      <c r="E161" s="12"/>
      <c r="F161" s="31" t="s">
        <v>117</v>
      </c>
      <c r="G161" s="17" t="e">
        <f>(G159/VLOOKUP(C159,#REF!,4,0))*100</f>
        <v>#REF!</v>
      </c>
      <c r="H161" s="17" t="e">
        <f>(H159/VLOOKUP($C159,#REF!,4,0))*100</f>
        <v>#REF!</v>
      </c>
      <c r="I161" s="577"/>
      <c r="J161" s="17" t="e">
        <f>(J159/VLOOKUP($C159,#REF!,4,0))*100</f>
        <v>#REF!</v>
      </c>
      <c r="K161" s="577"/>
      <c r="L161" s="17"/>
      <c r="M161" s="577"/>
      <c r="N161" s="12"/>
      <c r="O161" s="31" t="s">
        <v>117</v>
      </c>
      <c r="P161" s="267" t="e">
        <f t="shared" si="16"/>
        <v>#REF!</v>
      </c>
      <c r="Q161" s="17" t="e">
        <f>(Q159/VLOOKUP($C159,#REF!,4,0))*100</f>
        <v>#REF!</v>
      </c>
      <c r="R161" s="583"/>
      <c r="S161" s="12"/>
      <c r="T161" s="31" t="s">
        <v>117</v>
      </c>
      <c r="U161" s="17"/>
      <c r="V161" s="19"/>
      <c r="W161" s="19"/>
      <c r="X161" s="19"/>
      <c r="Y161" s="28"/>
      <c r="AA161" s="27"/>
      <c r="AD161" s="33" t="str">
        <f>C159&amp;F161</f>
        <v>Ghana% GDP</v>
      </c>
    </row>
    <row r="162" spans="1:30" ht="58.5" customHeight="1">
      <c r="A162" s="638">
        <v>0</v>
      </c>
      <c r="B162" s="638" t="s">
        <v>862</v>
      </c>
      <c r="C162" s="631" t="s">
        <v>566</v>
      </c>
      <c r="D162" s="628" t="s">
        <v>571</v>
      </c>
      <c r="E162" s="16"/>
      <c r="F162" s="37" t="s">
        <v>115</v>
      </c>
      <c r="G162" s="80">
        <f>H162+J162</f>
        <v>41.980000000000004</v>
      </c>
      <c r="H162" s="96">
        <v>35.06</v>
      </c>
      <c r="I162" s="639" t="s">
        <v>1407</v>
      </c>
      <c r="J162" s="49">
        <v>6.92</v>
      </c>
      <c r="K162" s="581" t="s">
        <v>1408</v>
      </c>
      <c r="L162" s="18"/>
      <c r="M162" s="18"/>
      <c r="N162" s="16"/>
      <c r="O162" s="37" t="s">
        <v>115</v>
      </c>
      <c r="P162" s="264">
        <f>Q162</f>
        <v>15</v>
      </c>
      <c r="Q162" s="80">
        <v>15</v>
      </c>
      <c r="R162" s="575" t="s">
        <v>1290</v>
      </c>
      <c r="S162" s="16"/>
      <c r="T162" s="37" t="s">
        <v>115</v>
      </c>
      <c r="U162" s="49"/>
      <c r="V162" s="18"/>
      <c r="W162" s="18"/>
      <c r="X162" s="18"/>
      <c r="Y162" s="28"/>
      <c r="AA162" s="27"/>
      <c r="AD162" s="33" t="str">
        <f>C162&amp;F162</f>
        <v>Guinea-BissauLC bn</v>
      </c>
    </row>
    <row r="163" spans="1:30" ht="58.5" customHeight="1">
      <c r="A163" s="638"/>
      <c r="B163" s="638"/>
      <c r="C163" s="632"/>
      <c r="D163" s="629"/>
      <c r="E163" s="6"/>
      <c r="F163" s="32" t="s">
        <v>116</v>
      </c>
      <c r="G163" s="69" t="e">
        <f>G162/VLOOKUP($C162,#REF!,8,0)</f>
        <v>#REF!</v>
      </c>
      <c r="H163" s="69" t="e">
        <f>H162/VLOOKUP($C162,#REF!,8,0)</f>
        <v>#REF!</v>
      </c>
      <c r="I163" s="664"/>
      <c r="J163" s="69" t="e">
        <f>J162/VLOOKUP($C162,#REF!,8,0)</f>
        <v>#REF!</v>
      </c>
      <c r="K163" s="576"/>
      <c r="L163" s="69"/>
      <c r="M163" s="28"/>
      <c r="N163" s="6"/>
      <c r="O163" s="32" t="s">
        <v>116</v>
      </c>
      <c r="P163" s="248" t="e">
        <f>Q163</f>
        <v>#REF!</v>
      </c>
      <c r="Q163" s="69" t="e">
        <f>Q162/VLOOKUP($C162,#REF!,8,0)</f>
        <v>#REF!</v>
      </c>
      <c r="R163" s="576"/>
      <c r="S163" s="6"/>
      <c r="T163" s="32" t="s">
        <v>116</v>
      </c>
      <c r="U163" s="69"/>
      <c r="V163" s="28"/>
      <c r="W163" s="28"/>
      <c r="X163" s="28"/>
      <c r="Y163" s="28"/>
      <c r="AA163" s="27"/>
      <c r="AD163" s="33" t="str">
        <f>C162&amp;F163</f>
        <v>Guinea-BissauUSD bn</v>
      </c>
    </row>
    <row r="164" spans="1:30" ht="58.5" customHeight="1">
      <c r="A164" s="638"/>
      <c r="B164" s="638"/>
      <c r="C164" s="633"/>
      <c r="D164" s="630"/>
      <c r="E164" s="12"/>
      <c r="F164" s="31" t="s">
        <v>117</v>
      </c>
      <c r="G164" s="17" t="e">
        <f>(G162/VLOOKUP($C162,#REF!,4,0))*100</f>
        <v>#REF!</v>
      </c>
      <c r="H164" s="17" t="e">
        <f>(H162/VLOOKUP($C162,#REF!,4,0))*100</f>
        <v>#REF!</v>
      </c>
      <c r="I164" s="669"/>
      <c r="J164" s="17" t="e">
        <f>(J162/VLOOKUP($C162,#REF!,4,0))*100</f>
        <v>#REF!</v>
      </c>
      <c r="K164" s="577"/>
      <c r="L164" s="17"/>
      <c r="M164" s="19"/>
      <c r="N164" s="12"/>
      <c r="O164" s="31" t="s">
        <v>117</v>
      </c>
      <c r="P164" s="267" t="e">
        <f>Q164</f>
        <v>#REF!</v>
      </c>
      <c r="Q164" s="17" t="e">
        <f>(Q162/VLOOKUP($C162,#REF!,4,0))*100</f>
        <v>#REF!</v>
      </c>
      <c r="R164" s="577"/>
      <c r="S164" s="12"/>
      <c r="T164" s="31" t="s">
        <v>117</v>
      </c>
      <c r="U164" s="17"/>
      <c r="V164" s="19"/>
      <c r="W164" s="19"/>
      <c r="X164" s="19"/>
      <c r="Y164" s="28"/>
      <c r="AA164" s="27"/>
      <c r="AD164" s="33" t="str">
        <f>C162&amp;F164</f>
        <v>Guinea-Bissau% GDP</v>
      </c>
    </row>
    <row r="165" spans="1:30" s="13" customFormat="1" ht="58.5" customHeight="1">
      <c r="A165" s="638">
        <v>0</v>
      </c>
      <c r="B165" s="638" t="s">
        <v>862</v>
      </c>
      <c r="C165" s="631" t="s">
        <v>38</v>
      </c>
      <c r="D165" s="628" t="s">
        <v>571</v>
      </c>
      <c r="E165" s="158"/>
      <c r="F165" s="37" t="s">
        <v>115</v>
      </c>
      <c r="G165" s="93">
        <f>H165+J165</f>
        <v>13.6</v>
      </c>
      <c r="H165" s="74">
        <v>5.6</v>
      </c>
      <c r="I165" s="600" t="s">
        <v>994</v>
      </c>
      <c r="J165" s="53">
        <v>8</v>
      </c>
      <c r="K165" s="575" t="s">
        <v>749</v>
      </c>
      <c r="L165" s="18"/>
      <c r="M165" s="575" t="s">
        <v>995</v>
      </c>
      <c r="N165" s="158"/>
      <c r="O165" s="37" t="s">
        <v>115</v>
      </c>
      <c r="P165" s="264">
        <f t="shared" si="16"/>
        <v>12.475</v>
      </c>
      <c r="Q165" s="177"/>
      <c r="R165" s="18"/>
      <c r="S165" s="158"/>
      <c r="T165" s="37" t="s">
        <v>115</v>
      </c>
      <c r="U165" s="53">
        <v>6.875</v>
      </c>
      <c r="V165" s="575" t="s">
        <v>753</v>
      </c>
      <c r="W165" s="74">
        <v>5.6</v>
      </c>
      <c r="X165" s="575" t="s">
        <v>754</v>
      </c>
      <c r="Y165" s="18"/>
      <c r="Z165" s="14"/>
      <c r="AA165" s="18"/>
      <c r="AD165" s="33" t="str">
        <f>C165&amp;F165</f>
        <v>HondurasLC bn</v>
      </c>
    </row>
    <row r="166" spans="1:30" ht="58.5" customHeight="1">
      <c r="A166" s="638"/>
      <c r="B166" s="638"/>
      <c r="C166" s="632"/>
      <c r="D166" s="629"/>
      <c r="E166" s="6"/>
      <c r="F166" s="32" t="s">
        <v>116</v>
      </c>
      <c r="G166" s="69" t="e">
        <f>G165/#REF!</f>
        <v>#REF!</v>
      </c>
      <c r="H166" s="69" t="e">
        <f>H165/VLOOKUP($C165,#REF!,8,0)</f>
        <v>#REF!</v>
      </c>
      <c r="I166" s="601"/>
      <c r="J166" s="69" t="e">
        <f>J165/VLOOKUP($C165,#REF!,8,0)</f>
        <v>#REF!</v>
      </c>
      <c r="K166" s="576"/>
      <c r="L166" s="28"/>
      <c r="M166" s="576"/>
      <c r="N166" s="6"/>
      <c r="O166" s="32" t="s">
        <v>116</v>
      </c>
      <c r="P166" s="248" t="e">
        <f t="shared" si="16"/>
        <v>#REF!</v>
      </c>
      <c r="Q166" s="170"/>
      <c r="R166" s="28"/>
      <c r="S166" s="6"/>
      <c r="T166" s="32" t="s">
        <v>116</v>
      </c>
      <c r="U166" s="69" t="e">
        <f>U165/VLOOKUP($C165,#REF!,8,0)</f>
        <v>#REF!</v>
      </c>
      <c r="V166" s="576"/>
      <c r="W166" s="69" t="e">
        <f>W165/VLOOKUP($C165,#REF!,8,0)</f>
        <v>#REF!</v>
      </c>
      <c r="X166" s="576"/>
      <c r="Y166" s="28"/>
      <c r="AA166" s="27"/>
      <c r="AD166" s="33" t="str">
        <f>C165&amp;F166</f>
        <v>HondurasUSD bn</v>
      </c>
    </row>
    <row r="167" spans="1:30" ht="58.5" customHeight="1">
      <c r="A167" s="638"/>
      <c r="B167" s="638"/>
      <c r="C167" s="633"/>
      <c r="D167" s="630"/>
      <c r="E167" s="12"/>
      <c r="F167" s="31" t="s">
        <v>117</v>
      </c>
      <c r="G167" s="17" t="e">
        <f>G165/#REF!*100</f>
        <v>#REF!</v>
      </c>
      <c r="H167" s="17" t="e">
        <f>(H165/VLOOKUP($C165,#REF!,4,0))*100</f>
        <v>#REF!</v>
      </c>
      <c r="I167" s="602"/>
      <c r="J167" s="17" t="e">
        <f>(J165/VLOOKUP($C165,#REF!,4,0))*100</f>
        <v>#REF!</v>
      </c>
      <c r="K167" s="577"/>
      <c r="L167" s="19"/>
      <c r="M167" s="577"/>
      <c r="N167" s="12"/>
      <c r="O167" s="31" t="s">
        <v>117</v>
      </c>
      <c r="P167" s="267" t="e">
        <f t="shared" si="16"/>
        <v>#REF!</v>
      </c>
      <c r="Q167" s="168"/>
      <c r="R167" s="19"/>
      <c r="S167" s="12"/>
      <c r="T167" s="31" t="s">
        <v>117</v>
      </c>
      <c r="U167" s="17" t="e">
        <f>(U165/VLOOKUP($C165,#REF!,4,0))*100</f>
        <v>#REF!</v>
      </c>
      <c r="V167" s="577"/>
      <c r="W167" s="17" t="e">
        <f>(W165/VLOOKUP($C165,#REF!,4,0))*100</f>
        <v>#REF!</v>
      </c>
      <c r="X167" s="577"/>
      <c r="Y167" s="19"/>
      <c r="Z167" s="1"/>
      <c r="AA167" s="26"/>
      <c r="AD167" s="33" t="str">
        <f>C165&amp;F167</f>
        <v>Honduras% GDP</v>
      </c>
    </row>
    <row r="168" spans="1:30" ht="58.5" customHeight="1">
      <c r="A168" s="638">
        <v>0</v>
      </c>
      <c r="B168" s="638" t="s">
        <v>862</v>
      </c>
      <c r="C168" s="632" t="s">
        <v>552</v>
      </c>
      <c r="D168" s="629" t="s">
        <v>571</v>
      </c>
      <c r="E168" s="6"/>
      <c r="F168" s="37" t="s">
        <v>115</v>
      </c>
      <c r="G168" s="81">
        <f>H168+J168</f>
        <v>249.6</v>
      </c>
      <c r="H168" s="69">
        <v>7.6</v>
      </c>
      <c r="I168" s="575" t="s">
        <v>1205</v>
      </c>
      <c r="J168" s="95">
        <f>56+186</f>
        <v>242</v>
      </c>
      <c r="K168" s="575" t="s">
        <v>1253</v>
      </c>
      <c r="L168" s="75">
        <v>33</v>
      </c>
      <c r="M168" s="575" t="s">
        <v>789</v>
      </c>
      <c r="N168" s="6"/>
      <c r="O168" s="37" t="s">
        <v>115</v>
      </c>
      <c r="P168" s="266"/>
      <c r="Q168" s="64"/>
      <c r="R168" s="28"/>
      <c r="S168" s="6"/>
      <c r="T168" s="37" t="s">
        <v>115</v>
      </c>
      <c r="U168" s="69"/>
      <c r="V168" s="28"/>
      <c r="W168" s="28"/>
      <c r="X168" s="28"/>
      <c r="Y168" s="28"/>
      <c r="AA168" s="27"/>
      <c r="AD168" s="33" t="str">
        <f>C168&amp;F168</f>
        <v>KenyaLC bn</v>
      </c>
    </row>
    <row r="169" spans="1:30" ht="58.5" customHeight="1">
      <c r="A169" s="638"/>
      <c r="B169" s="638"/>
      <c r="C169" s="632"/>
      <c r="D169" s="629"/>
      <c r="E169" s="6"/>
      <c r="F169" s="32" t="s">
        <v>116</v>
      </c>
      <c r="G169" s="69" t="e">
        <f>G168/VLOOKUP($C168,#REF!,8,0)</f>
        <v>#REF!</v>
      </c>
      <c r="H169" s="69" t="e">
        <f>H168/VLOOKUP($C168,#REF!,8,0)</f>
        <v>#REF!</v>
      </c>
      <c r="I169" s="576"/>
      <c r="J169" s="69" t="e">
        <f>J168/VLOOKUP($C168,#REF!,8,0)</f>
        <v>#REF!</v>
      </c>
      <c r="K169" s="576"/>
      <c r="L169" s="69" t="e">
        <f>L168/VLOOKUP($C168,#REF!,8,0)</f>
        <v>#REF!</v>
      </c>
      <c r="M169" s="576"/>
      <c r="N169" s="6"/>
      <c r="O169" s="32" t="s">
        <v>116</v>
      </c>
      <c r="P169" s="248"/>
      <c r="Q169" s="69"/>
      <c r="R169" s="28"/>
      <c r="S169" s="6"/>
      <c r="T169" s="32" t="s">
        <v>116</v>
      </c>
      <c r="U169" s="69"/>
      <c r="V169" s="28"/>
      <c r="W169" s="28"/>
      <c r="X169" s="28"/>
      <c r="Y169" s="28"/>
      <c r="AA169" s="27"/>
      <c r="AD169" s="33" t="str">
        <f>C168&amp;F169</f>
        <v>KenyaUSD bn</v>
      </c>
    </row>
    <row r="170" spans="1:30" ht="91.5" customHeight="1">
      <c r="A170" s="638"/>
      <c r="B170" s="638"/>
      <c r="C170" s="633"/>
      <c r="D170" s="630"/>
      <c r="E170" s="12"/>
      <c r="F170" s="31" t="s">
        <v>117</v>
      </c>
      <c r="G170" s="17" t="e">
        <f>(G168/VLOOKUP($C168,#REF!,4,0))*100</f>
        <v>#REF!</v>
      </c>
      <c r="H170" s="17" t="e">
        <f>(H168/VLOOKUP($C168,#REF!,4,0))*100</f>
        <v>#REF!</v>
      </c>
      <c r="I170" s="577"/>
      <c r="J170" s="17" t="e">
        <f>(J168/VLOOKUP($C168,#REF!,4,0))*100</f>
        <v>#REF!</v>
      </c>
      <c r="K170" s="577"/>
      <c r="L170" s="17" t="e">
        <f>(L168/VLOOKUP($C168,#REF!,4,0))*100</f>
        <v>#REF!</v>
      </c>
      <c r="M170" s="577"/>
      <c r="N170" s="6"/>
      <c r="O170" s="31" t="s">
        <v>117</v>
      </c>
      <c r="P170" s="267"/>
      <c r="Q170" s="17"/>
      <c r="R170" s="19"/>
      <c r="S170" s="12"/>
      <c r="T170" s="31" t="s">
        <v>117</v>
      </c>
      <c r="U170" s="17"/>
      <c r="V170" s="19"/>
      <c r="W170" s="19"/>
      <c r="X170" s="19"/>
      <c r="Y170" s="28"/>
      <c r="AA170" s="27"/>
      <c r="AD170" s="33" t="str">
        <f>C168&amp;F170</f>
        <v>Kenya% GDP</v>
      </c>
    </row>
    <row r="171" spans="1:30" ht="98.5" customHeight="1">
      <c r="A171" s="638">
        <v>0</v>
      </c>
      <c r="B171" s="638" t="s">
        <v>862</v>
      </c>
      <c r="C171" s="631" t="s">
        <v>912</v>
      </c>
      <c r="D171" s="628" t="s">
        <v>572</v>
      </c>
      <c r="E171" s="6"/>
      <c r="F171" s="37" t="s">
        <v>115</v>
      </c>
      <c r="G171" s="81">
        <f>H171+J171</f>
        <v>992</v>
      </c>
      <c r="H171" s="81">
        <v>185</v>
      </c>
      <c r="I171" s="590" t="s">
        <v>1163</v>
      </c>
      <c r="J171" s="81">
        <f>647+160</f>
        <v>807</v>
      </c>
      <c r="K171" s="575" t="s">
        <v>1208</v>
      </c>
      <c r="L171" s="69"/>
      <c r="M171" s="28"/>
      <c r="N171" s="6"/>
      <c r="O171" s="37" t="s">
        <v>115</v>
      </c>
      <c r="P171" s="414">
        <f t="shared" ref="P171:P176" si="17">Q171+U171</f>
        <v>300</v>
      </c>
      <c r="Q171" s="81">
        <v>300</v>
      </c>
      <c r="R171" s="575" t="s">
        <v>1164</v>
      </c>
      <c r="S171" s="6"/>
      <c r="T171" s="37" t="s">
        <v>115</v>
      </c>
      <c r="U171" s="69"/>
      <c r="V171" s="28"/>
      <c r="W171" s="28"/>
      <c r="X171" s="28"/>
      <c r="Y171" s="28"/>
      <c r="AA171" s="27"/>
      <c r="AD171" s="33" t="str">
        <f t="shared" ref="AD171" si="18">C171&amp;F171</f>
        <v>MyanmarLC bn</v>
      </c>
    </row>
    <row r="172" spans="1:30" ht="84.65" customHeight="1">
      <c r="A172" s="638"/>
      <c r="B172" s="638"/>
      <c r="C172" s="632"/>
      <c r="D172" s="629"/>
      <c r="E172" s="6"/>
      <c r="F172" s="32" t="s">
        <v>116</v>
      </c>
      <c r="G172" s="69" t="e">
        <f>G171/VLOOKUP($C171,#REF!,8,0)</f>
        <v>#REF!</v>
      </c>
      <c r="H172" s="69" t="e">
        <f>H171/VLOOKUP($C171,#REF!,8,0)</f>
        <v>#REF!</v>
      </c>
      <c r="I172" s="576"/>
      <c r="J172" s="69" t="e">
        <f>J171/VLOOKUP($C171,#REF!,8,0)</f>
        <v>#REF!</v>
      </c>
      <c r="K172" s="576"/>
      <c r="L172" s="69"/>
      <c r="M172" s="28"/>
      <c r="N172" s="6"/>
      <c r="O172" s="32" t="s">
        <v>116</v>
      </c>
      <c r="P172" s="406" t="e">
        <f t="shared" si="17"/>
        <v>#REF!</v>
      </c>
      <c r="Q172" s="69" t="e">
        <f>Q171/VLOOKUP($C171,#REF!,8,0)</f>
        <v>#REF!</v>
      </c>
      <c r="R172" s="576"/>
      <c r="S172" s="6"/>
      <c r="T172" s="32" t="s">
        <v>116</v>
      </c>
      <c r="U172" s="69"/>
      <c r="V172" s="28"/>
      <c r="W172" s="28"/>
      <c r="X172" s="28"/>
      <c r="Y172" s="28"/>
      <c r="AA172" s="27"/>
      <c r="AD172" s="33" t="str">
        <f t="shared" ref="AD172" si="19">C171&amp;F172</f>
        <v>MyanmarUSD bn</v>
      </c>
    </row>
    <row r="173" spans="1:30" ht="58.5" customHeight="1">
      <c r="A173" s="638"/>
      <c r="B173" s="638"/>
      <c r="C173" s="633"/>
      <c r="D173" s="630"/>
      <c r="E173" s="12"/>
      <c r="F173" s="31" t="s">
        <v>117</v>
      </c>
      <c r="G173" s="17" t="e">
        <f>(G171/VLOOKUP($C171,#REF!,4,0))*100</f>
        <v>#REF!</v>
      </c>
      <c r="H173" s="17" t="e">
        <f>(H171/VLOOKUP($C171,#REF!,4,0))*100</f>
        <v>#REF!</v>
      </c>
      <c r="I173" s="577"/>
      <c r="J173" s="17" t="e">
        <f>(J171/VLOOKUP($C171,#REF!,4,0))*100</f>
        <v>#REF!</v>
      </c>
      <c r="K173" s="577"/>
      <c r="L173" s="17"/>
      <c r="M173" s="19"/>
      <c r="N173" s="12"/>
      <c r="O173" s="31" t="s">
        <v>117</v>
      </c>
      <c r="P173" s="267" t="e">
        <f t="shared" si="17"/>
        <v>#REF!</v>
      </c>
      <c r="Q173" s="17" t="e">
        <f>(Q171/VLOOKUP($C171,#REF!,4,0))*100</f>
        <v>#REF!</v>
      </c>
      <c r="R173" s="577"/>
      <c r="S173" s="12"/>
      <c r="T173" s="31" t="s">
        <v>117</v>
      </c>
      <c r="U173" s="17"/>
      <c r="V173" s="19"/>
      <c r="W173" s="19"/>
      <c r="X173" s="19"/>
      <c r="Y173" s="28"/>
      <c r="AA173" s="27"/>
      <c r="AD173" s="33" t="str">
        <f t="shared" ref="AD173" si="20">C171&amp;F173</f>
        <v>Myanmar% GDP</v>
      </c>
    </row>
    <row r="174" spans="1:30" ht="58.5" customHeight="1">
      <c r="A174" s="638">
        <v>0</v>
      </c>
      <c r="B174" s="638" t="s">
        <v>862</v>
      </c>
      <c r="C174" s="631" t="s">
        <v>914</v>
      </c>
      <c r="D174" s="628" t="s">
        <v>570</v>
      </c>
      <c r="E174" s="16"/>
      <c r="F174" s="37" t="s">
        <v>115</v>
      </c>
      <c r="G174" s="80">
        <v>67.5</v>
      </c>
      <c r="H174" s="80">
        <v>49.6</v>
      </c>
      <c r="I174" s="673" t="s">
        <v>1312</v>
      </c>
      <c r="J174" s="80">
        <v>17.899999999999999</v>
      </c>
      <c r="K174" s="575" t="s">
        <v>1319</v>
      </c>
      <c r="L174" s="49"/>
      <c r="M174" s="18"/>
      <c r="N174" s="16"/>
      <c r="O174" s="37" t="s">
        <v>115</v>
      </c>
      <c r="P174" s="414">
        <f t="shared" si="17"/>
        <v>50.5</v>
      </c>
      <c r="Q174" s="80">
        <v>50.5</v>
      </c>
      <c r="R174" s="575" t="s">
        <v>1248</v>
      </c>
      <c r="S174" s="16"/>
      <c r="T174" s="37" t="s">
        <v>115</v>
      </c>
      <c r="U174" s="49"/>
      <c r="V174" s="18"/>
      <c r="W174" s="18"/>
      <c r="X174" s="18"/>
      <c r="Y174" s="28"/>
      <c r="AA174" s="27"/>
      <c r="AD174" s="33" t="str">
        <f t="shared" ref="AD174" si="21">C174&amp;F174</f>
        <v>NepalLC bn</v>
      </c>
    </row>
    <row r="175" spans="1:30" ht="58.5" customHeight="1">
      <c r="A175" s="638"/>
      <c r="B175" s="638"/>
      <c r="C175" s="632"/>
      <c r="D175" s="629"/>
      <c r="E175" s="6"/>
      <c r="F175" s="32" t="s">
        <v>116</v>
      </c>
      <c r="G175" s="69" t="e">
        <f>G174/VLOOKUP($C174,#REF!,8,0)</f>
        <v>#REF!</v>
      </c>
      <c r="H175" s="69" t="e">
        <f>H174/VLOOKUP($C174,#REF!,8,0)</f>
        <v>#REF!</v>
      </c>
      <c r="I175" s="671"/>
      <c r="J175" s="69" t="e">
        <f>J174/VLOOKUP($C174,#REF!,8,0)</f>
        <v>#REF!</v>
      </c>
      <c r="K175" s="576"/>
      <c r="L175" s="69"/>
      <c r="M175" s="28"/>
      <c r="N175" s="6"/>
      <c r="O175" s="32" t="s">
        <v>116</v>
      </c>
      <c r="P175" s="406" t="e">
        <f t="shared" si="17"/>
        <v>#REF!</v>
      </c>
      <c r="Q175" s="69" t="e">
        <f>Q174/VLOOKUP($C174,#REF!,8,0)</f>
        <v>#REF!</v>
      </c>
      <c r="R175" s="576"/>
      <c r="S175" s="6"/>
      <c r="T175" s="32" t="s">
        <v>116</v>
      </c>
      <c r="U175" s="69"/>
      <c r="V175" s="28"/>
      <c r="W175" s="28"/>
      <c r="X175" s="28"/>
      <c r="Y175" s="28"/>
      <c r="AA175" s="27"/>
      <c r="AD175" s="33" t="str">
        <f t="shared" ref="AD175" si="22">C174&amp;F175</f>
        <v>NepalUSD bn</v>
      </c>
    </row>
    <row r="176" spans="1:30" ht="58.5" customHeight="1">
      <c r="A176" s="638"/>
      <c r="B176" s="638"/>
      <c r="C176" s="633"/>
      <c r="D176" s="630"/>
      <c r="E176" s="12"/>
      <c r="F176" s="31" t="s">
        <v>117</v>
      </c>
      <c r="G176" s="17" t="e">
        <f>(G174/VLOOKUP($C174,#REF!,4,0))*100</f>
        <v>#REF!</v>
      </c>
      <c r="H176" s="17" t="e">
        <f>(H174/VLOOKUP($C174,#REF!,4,0))*100</f>
        <v>#REF!</v>
      </c>
      <c r="I176" s="672"/>
      <c r="J176" s="17" t="e">
        <f>(J174/VLOOKUP($C174,#REF!,4,0))*100</f>
        <v>#REF!</v>
      </c>
      <c r="K176" s="577"/>
      <c r="L176" s="17"/>
      <c r="M176" s="19"/>
      <c r="N176" s="12"/>
      <c r="O176" s="31" t="s">
        <v>117</v>
      </c>
      <c r="P176" s="267" t="e">
        <f t="shared" si="17"/>
        <v>#REF!</v>
      </c>
      <c r="Q176" s="17" t="e">
        <f>(Q174/VLOOKUP($C174,#REF!,4,0))*100</f>
        <v>#REF!</v>
      </c>
      <c r="R176" s="577"/>
      <c r="S176" s="12"/>
      <c r="T176" s="31" t="s">
        <v>117</v>
      </c>
      <c r="U176" s="17"/>
      <c r="V176" s="19"/>
      <c r="W176" s="19"/>
      <c r="X176" s="19"/>
      <c r="Y176" s="28"/>
      <c r="AA176" s="27"/>
      <c r="AD176" s="33" t="str">
        <f t="shared" ref="AD176" si="23">C174&amp;F176</f>
        <v>Nepal% GDP</v>
      </c>
    </row>
    <row r="177" spans="1:31" ht="107.5" customHeight="1">
      <c r="A177" s="638">
        <v>0</v>
      </c>
      <c r="B177" s="638" t="s">
        <v>862</v>
      </c>
      <c r="C177" s="631" t="s">
        <v>915</v>
      </c>
      <c r="D177" s="628" t="s">
        <v>571</v>
      </c>
      <c r="E177" s="16"/>
      <c r="F177" s="37" t="s">
        <v>115</v>
      </c>
      <c r="G177" s="80">
        <v>58.49</v>
      </c>
      <c r="H177" s="80">
        <v>25.75</v>
      </c>
      <c r="I177" s="670" t="s">
        <v>1168</v>
      </c>
      <c r="J177" s="80">
        <f>G177-H177</f>
        <v>32.74</v>
      </c>
      <c r="K177" s="608" t="s">
        <v>1169</v>
      </c>
      <c r="L177" s="49"/>
      <c r="M177" s="18"/>
      <c r="N177" s="16"/>
      <c r="O177" s="37" t="s">
        <v>115</v>
      </c>
      <c r="P177" s="420">
        <f>SUM(Q177,U177)</f>
        <v>100</v>
      </c>
      <c r="Q177" s="80">
        <v>50</v>
      </c>
      <c r="R177" s="575" t="s">
        <v>1170</v>
      </c>
      <c r="S177" s="16"/>
      <c r="T177" s="37" t="s">
        <v>115</v>
      </c>
      <c r="U177" s="80">
        <v>50</v>
      </c>
      <c r="V177" s="575" t="s">
        <v>1302</v>
      </c>
      <c r="W177" s="18"/>
      <c r="X177" s="18"/>
      <c r="Y177" s="28"/>
      <c r="AA177" s="27"/>
      <c r="AD177" s="33" t="str">
        <f t="shared" ref="AD177" si="24">C177&amp;F177</f>
        <v>NigerLC bn</v>
      </c>
    </row>
    <row r="178" spans="1:31" ht="91.5" customHeight="1">
      <c r="A178" s="638"/>
      <c r="B178" s="638"/>
      <c r="C178" s="632"/>
      <c r="D178" s="629"/>
      <c r="E178" s="6"/>
      <c r="F178" s="32" t="s">
        <v>116</v>
      </c>
      <c r="G178" s="69" t="e">
        <f>G177/VLOOKUP($C177,#REF!,8,0)</f>
        <v>#REF!</v>
      </c>
      <c r="H178" s="69" t="e">
        <f>H177/VLOOKUP($C177,#REF!,8,0)</f>
        <v>#REF!</v>
      </c>
      <c r="I178" s="671"/>
      <c r="J178" s="69" t="e">
        <f>J177/VLOOKUP($C177,#REF!,8,0)</f>
        <v>#REF!</v>
      </c>
      <c r="K178" s="576"/>
      <c r="L178" s="69"/>
      <c r="M178" s="28"/>
      <c r="N178" s="6"/>
      <c r="O178" s="32" t="s">
        <v>116</v>
      </c>
      <c r="P178" s="406" t="e">
        <f>SUM(Q178,U178)</f>
        <v>#REF!</v>
      </c>
      <c r="Q178" s="69" t="e">
        <f>Q177/VLOOKUP($C177,#REF!,8,0)</f>
        <v>#REF!</v>
      </c>
      <c r="R178" s="576"/>
      <c r="S178" s="6"/>
      <c r="T178" s="32" t="s">
        <v>116</v>
      </c>
      <c r="U178" s="69" t="e">
        <f>U177/VLOOKUP($C177,#REF!,8,0)</f>
        <v>#REF!</v>
      </c>
      <c r="V178" s="576"/>
      <c r="W178" s="28"/>
      <c r="X178" s="28"/>
      <c r="Y178" s="28"/>
      <c r="AA178" s="27"/>
      <c r="AD178" s="33" t="str">
        <f t="shared" ref="AD178" si="25">C177&amp;F178</f>
        <v>NigerUSD bn</v>
      </c>
    </row>
    <row r="179" spans="1:31" ht="99.65" customHeight="1">
      <c r="A179" s="638"/>
      <c r="B179" s="638"/>
      <c r="C179" s="633"/>
      <c r="D179" s="630"/>
      <c r="E179" s="12"/>
      <c r="F179" s="31" t="s">
        <v>117</v>
      </c>
      <c r="G179" s="17" t="e">
        <f>(G177/VLOOKUP($C177,#REF!,4,0))*100</f>
        <v>#REF!</v>
      </c>
      <c r="H179" s="17" t="e">
        <f>(H177/VLOOKUP($C177,#REF!,4,0))*100</f>
        <v>#REF!</v>
      </c>
      <c r="I179" s="672"/>
      <c r="J179" s="17" t="e">
        <f>(J177/VLOOKUP($C177,#REF!,4,0))*100</f>
        <v>#REF!</v>
      </c>
      <c r="K179" s="577"/>
      <c r="L179" s="17"/>
      <c r="M179" s="19"/>
      <c r="N179" s="12"/>
      <c r="O179" s="31" t="s">
        <v>117</v>
      </c>
      <c r="P179" s="267" t="e">
        <f>SUM(Q179,U179)</f>
        <v>#REF!</v>
      </c>
      <c r="Q179" s="17" t="e">
        <f>(Q177/VLOOKUP($C177,#REF!,4,0))*100</f>
        <v>#REF!</v>
      </c>
      <c r="R179" s="577"/>
      <c r="S179" s="12"/>
      <c r="T179" s="31" t="s">
        <v>117</v>
      </c>
      <c r="U179" s="17" t="e">
        <f>(U177/VLOOKUP($C177,#REF!,4,0))*100</f>
        <v>#REF!</v>
      </c>
      <c r="V179" s="577"/>
      <c r="W179" s="19"/>
      <c r="X179" s="19"/>
      <c r="Y179" s="28"/>
      <c r="AA179" s="27"/>
      <c r="AD179" s="33" t="str">
        <f t="shared" ref="AD179" si="26">C177&amp;F179</f>
        <v>Niger% GDP</v>
      </c>
    </row>
    <row r="180" spans="1:31" s="10" customFormat="1" ht="74.5" customHeight="1">
      <c r="A180" s="638">
        <v>0</v>
      </c>
      <c r="B180" s="638" t="s">
        <v>862</v>
      </c>
      <c r="C180" s="632" t="s">
        <v>29</v>
      </c>
      <c r="D180" s="628" t="s">
        <v>570</v>
      </c>
      <c r="F180" s="32" t="s">
        <v>115</v>
      </c>
      <c r="G180" s="505">
        <v>2300</v>
      </c>
      <c r="H180" s="75">
        <v>500</v>
      </c>
      <c r="I180" s="576" t="s">
        <v>730</v>
      </c>
      <c r="J180" s="127">
        <f>G180-H180</f>
        <v>1800</v>
      </c>
      <c r="K180" s="576" t="s">
        <v>1157</v>
      </c>
      <c r="L180" s="28"/>
      <c r="M180" s="28"/>
      <c r="O180" s="32" t="s">
        <v>115</v>
      </c>
      <c r="P180" s="28"/>
      <c r="Q180" s="178"/>
      <c r="R180" s="28"/>
      <c r="T180" s="32" t="s">
        <v>115</v>
      </c>
      <c r="U180" s="56"/>
      <c r="V180" s="28"/>
      <c r="W180" s="28"/>
      <c r="X180" s="28"/>
      <c r="Y180" s="18"/>
      <c r="Z180" s="13"/>
      <c r="AA180" s="18"/>
      <c r="AD180" s="33" t="str">
        <f t="shared" ref="AD180" si="27">C180&amp;F180</f>
        <v>NigeriaLC bn</v>
      </c>
      <c r="AE180" s="33"/>
    </row>
    <row r="181" spans="1:31" s="36" customFormat="1" ht="73.5" customHeight="1">
      <c r="A181" s="638"/>
      <c r="B181" s="638"/>
      <c r="C181" s="632"/>
      <c r="D181" s="629"/>
      <c r="E181" s="10"/>
      <c r="F181" s="32" t="s">
        <v>116</v>
      </c>
      <c r="G181" s="56" t="e">
        <f>G180/VLOOKUP($C180,#REF!,8,0)</f>
        <v>#REF!</v>
      </c>
      <c r="H181" s="69" t="e">
        <f>H180/VLOOKUP($C180,#REF!,8,0)</f>
        <v>#REF!</v>
      </c>
      <c r="I181" s="576"/>
      <c r="J181" s="56" t="e">
        <f>J180/VLOOKUP($C180,#REF!,8,0)</f>
        <v>#REF!</v>
      </c>
      <c r="K181" s="576"/>
      <c r="L181" s="28"/>
      <c r="M181" s="28"/>
      <c r="N181" s="10"/>
      <c r="O181" s="32" t="s">
        <v>116</v>
      </c>
      <c r="P181" s="28"/>
      <c r="Q181" s="178"/>
      <c r="R181" s="28"/>
      <c r="S181" s="10"/>
      <c r="T181" s="32" t="s">
        <v>116</v>
      </c>
      <c r="U181" s="56"/>
      <c r="V181" s="28"/>
      <c r="W181" s="28"/>
      <c r="X181" s="28"/>
      <c r="Y181" s="28"/>
      <c r="Z181" s="10"/>
      <c r="AA181" s="28"/>
      <c r="AD181" s="33" t="str">
        <f t="shared" ref="AD181" si="28">C180&amp;F181</f>
        <v>NigeriaUSD bn</v>
      </c>
      <c r="AE181" s="33"/>
    </row>
    <row r="182" spans="1:31" ht="71.5" customHeight="1">
      <c r="A182" s="638"/>
      <c r="B182" s="638"/>
      <c r="C182" s="633"/>
      <c r="D182" s="630"/>
      <c r="E182" s="12"/>
      <c r="F182" s="31" t="s">
        <v>117</v>
      </c>
      <c r="G182" s="17" t="e">
        <f>(G180/VLOOKUP($C180,#REF!,4,0))*100</f>
        <v>#REF!</v>
      </c>
      <c r="H182" s="17" t="e">
        <f>(H180/VLOOKUP($C180,#REF!,4,0))*100</f>
        <v>#REF!</v>
      </c>
      <c r="I182" s="577"/>
      <c r="J182" s="17" t="e">
        <f>(J180/VLOOKUP($C180,#REF!,4,0))*100</f>
        <v>#REF!</v>
      </c>
      <c r="K182" s="577"/>
      <c r="L182" s="19"/>
      <c r="M182" s="19"/>
      <c r="N182" s="12"/>
      <c r="O182" s="31" t="s">
        <v>117</v>
      </c>
      <c r="P182" s="23"/>
      <c r="Q182" s="168"/>
      <c r="R182" s="23"/>
      <c r="S182" s="12"/>
      <c r="T182" s="31" t="s">
        <v>117</v>
      </c>
      <c r="U182" s="17"/>
      <c r="V182" s="19"/>
      <c r="W182" s="19"/>
      <c r="X182" s="19"/>
      <c r="Y182" s="19"/>
      <c r="Z182" s="1"/>
      <c r="AA182" s="26"/>
      <c r="AD182" s="33" t="str">
        <f t="shared" ref="AD182" si="29">C180&amp;F182</f>
        <v>Nigeria% GDP</v>
      </c>
    </row>
    <row r="183" spans="1:31" ht="58.5" customHeight="1">
      <c r="A183" s="638">
        <v>0</v>
      </c>
      <c r="B183" s="638" t="s">
        <v>862</v>
      </c>
      <c r="C183" s="632" t="s">
        <v>93</v>
      </c>
      <c r="D183" s="629" t="s">
        <v>571</v>
      </c>
      <c r="E183" s="14"/>
      <c r="F183" s="37" t="s">
        <v>115</v>
      </c>
      <c r="G183" s="93">
        <f>H183+J183</f>
        <v>443</v>
      </c>
      <c r="H183" s="93">
        <v>79</v>
      </c>
      <c r="I183" s="575" t="s">
        <v>654</v>
      </c>
      <c r="J183" s="74">
        <v>364</v>
      </c>
      <c r="K183" s="575" t="s">
        <v>1409</v>
      </c>
      <c r="L183" s="74">
        <v>15</v>
      </c>
      <c r="M183" s="575" t="s">
        <v>1410</v>
      </c>
      <c r="N183" s="14"/>
      <c r="O183" s="32" t="s">
        <v>115</v>
      </c>
      <c r="P183" s="93">
        <f>Q183+U183+W183</f>
        <v>70</v>
      </c>
      <c r="Q183" s="183"/>
      <c r="R183" s="581"/>
      <c r="S183" s="14"/>
      <c r="T183" s="32" t="s">
        <v>115</v>
      </c>
      <c r="U183" s="93">
        <v>70</v>
      </c>
      <c r="V183" s="575" t="s">
        <v>814</v>
      </c>
      <c r="W183" s="18"/>
      <c r="X183" s="18"/>
      <c r="Y183" s="18"/>
      <c r="Z183" s="14"/>
      <c r="AA183" s="18"/>
      <c r="AD183" s="33" t="str">
        <f t="shared" ref="AD183" si="30">C183&amp;F183</f>
        <v>SenegalLC bn</v>
      </c>
    </row>
    <row r="184" spans="1:31" ht="58.5" customHeight="1">
      <c r="A184" s="638"/>
      <c r="B184" s="638"/>
      <c r="C184" s="632"/>
      <c r="D184" s="629"/>
      <c r="E184" s="36"/>
      <c r="F184" s="32" t="s">
        <v>116</v>
      </c>
      <c r="G184" s="69" t="e">
        <f>G183/VLOOKUP($C183,#REF!,8,0)</f>
        <v>#REF!</v>
      </c>
      <c r="H184" s="69" t="e">
        <f>H183/VLOOKUP($C183,#REF!,8,0)</f>
        <v>#REF!</v>
      </c>
      <c r="I184" s="576"/>
      <c r="J184" s="69" t="e">
        <f>J183/VLOOKUP($C183,#REF!,8,0)</f>
        <v>#REF!</v>
      </c>
      <c r="K184" s="576"/>
      <c r="L184" s="69" t="e">
        <f>L183/VLOOKUP($C183,#REF!,8,0)</f>
        <v>#REF!</v>
      </c>
      <c r="M184" s="576"/>
      <c r="N184" s="36"/>
      <c r="O184" s="32" t="s">
        <v>116</v>
      </c>
      <c r="P184" s="170" t="e">
        <f>Q184+U184+W184</f>
        <v>#REF!</v>
      </c>
      <c r="Q184" s="170"/>
      <c r="R184" s="582"/>
      <c r="S184" s="36"/>
      <c r="T184" s="32" t="s">
        <v>116</v>
      </c>
      <c r="U184" s="69" t="e">
        <f>U183/VLOOKUP($C183,#REF!,8,0)</f>
        <v>#REF!</v>
      </c>
      <c r="V184" s="576"/>
      <c r="W184" s="28"/>
      <c r="X184" s="28"/>
      <c r="Y184" s="28"/>
      <c r="Z184" s="36"/>
      <c r="AA184" s="28"/>
      <c r="AD184" s="33" t="str">
        <f t="shared" ref="AD184" si="31">C183&amp;F184</f>
        <v>SenegalUSD bn</v>
      </c>
    </row>
    <row r="185" spans="1:31" ht="74.5" customHeight="1">
      <c r="A185" s="638"/>
      <c r="B185" s="638"/>
      <c r="C185" s="633"/>
      <c r="D185" s="630"/>
      <c r="E185" s="12"/>
      <c r="F185" s="31" t="s">
        <v>117</v>
      </c>
      <c r="G185" s="17" t="e">
        <f>(G183/VLOOKUP($C183,#REF!,4,0))*100</f>
        <v>#REF!</v>
      </c>
      <c r="H185" s="17" t="e">
        <f>(H183/VLOOKUP($C183,#REF!,4,0))*100</f>
        <v>#REF!</v>
      </c>
      <c r="I185" s="577"/>
      <c r="J185" s="17" t="e">
        <f>(J183/VLOOKUP($C183,#REF!,4,0))*100</f>
        <v>#REF!</v>
      </c>
      <c r="K185" s="577"/>
      <c r="L185" s="17" t="e">
        <f>(L183/VLOOKUP($C183,#REF!,4,0))*100</f>
        <v>#REF!</v>
      </c>
      <c r="M185" s="577"/>
      <c r="N185" s="12"/>
      <c r="O185" s="31" t="s">
        <v>117</v>
      </c>
      <c r="P185" s="168" t="e">
        <f>Q185+U185+W185</f>
        <v>#REF!</v>
      </c>
      <c r="Q185" s="168"/>
      <c r="R185" s="583"/>
      <c r="S185" s="12"/>
      <c r="T185" s="31" t="s">
        <v>117</v>
      </c>
      <c r="U185" s="17" t="e">
        <f>(U183/VLOOKUP($C183,#REF!,4,0))*100</f>
        <v>#REF!</v>
      </c>
      <c r="V185" s="577"/>
      <c r="W185" s="19"/>
      <c r="X185" s="19"/>
      <c r="Y185" s="19"/>
      <c r="Z185" s="1"/>
      <c r="AA185" s="26"/>
      <c r="AD185" s="33" t="str">
        <f t="shared" ref="AD185" si="32">C183&amp;F185</f>
        <v>Senegal% GDP</v>
      </c>
    </row>
    <row r="186" spans="1:31" ht="152.5" customHeight="1">
      <c r="A186" s="638">
        <v>0</v>
      </c>
      <c r="B186" s="638" t="s">
        <v>862</v>
      </c>
      <c r="C186" s="631" t="s">
        <v>913</v>
      </c>
      <c r="D186" s="628" t="s">
        <v>570</v>
      </c>
      <c r="E186" s="6"/>
      <c r="F186" s="37" t="s">
        <v>115</v>
      </c>
      <c r="G186" s="127">
        <v>22200</v>
      </c>
      <c r="H186" s="127">
        <v>4500</v>
      </c>
      <c r="I186" s="575" t="s">
        <v>1173</v>
      </c>
      <c r="J186" s="127">
        <f>G186-H186</f>
        <v>17700</v>
      </c>
      <c r="K186" s="575" t="s">
        <v>1315</v>
      </c>
      <c r="L186" s="69"/>
      <c r="M186" s="28"/>
      <c r="N186" s="6"/>
      <c r="O186" s="37" t="s">
        <v>115</v>
      </c>
      <c r="P186" s="127">
        <f>Q186+U186</f>
        <v>14575</v>
      </c>
      <c r="Q186" s="127">
        <v>14575</v>
      </c>
      <c r="R186" s="581" t="s">
        <v>1316</v>
      </c>
      <c r="S186" s="6"/>
      <c r="T186" s="37" t="s">
        <v>115</v>
      </c>
      <c r="U186" s="69"/>
      <c r="V186" s="28"/>
      <c r="W186" s="28"/>
      <c r="X186" s="28"/>
      <c r="Y186" s="28"/>
      <c r="AA186" s="27"/>
      <c r="AD186" s="33" t="str">
        <f t="shared" ref="AD186" si="33">C186&amp;F186</f>
        <v>UzbekistanLC bn</v>
      </c>
    </row>
    <row r="187" spans="1:31" ht="152.5" customHeight="1">
      <c r="A187" s="638"/>
      <c r="B187" s="638"/>
      <c r="C187" s="632"/>
      <c r="D187" s="629"/>
      <c r="E187" s="6"/>
      <c r="F187" s="32" t="s">
        <v>116</v>
      </c>
      <c r="G187" s="69" t="e">
        <f>G186/VLOOKUP($C186,#REF!,8,0)</f>
        <v>#REF!</v>
      </c>
      <c r="H187" s="69" t="e">
        <f>H186/VLOOKUP($C186,#REF!,8,0)</f>
        <v>#REF!</v>
      </c>
      <c r="I187" s="576"/>
      <c r="J187" s="69" t="e">
        <f>J186/VLOOKUP($C186,#REF!,8,0)</f>
        <v>#REF!</v>
      </c>
      <c r="K187" s="576"/>
      <c r="L187" s="69"/>
      <c r="M187" s="28"/>
      <c r="N187" s="6"/>
      <c r="O187" s="32" t="s">
        <v>116</v>
      </c>
      <c r="P187" s="170" t="e">
        <f>Q187+U187</f>
        <v>#REF!</v>
      </c>
      <c r="Q187" s="69" t="e">
        <f>Q186/VLOOKUP($C186,#REF!,8,0)</f>
        <v>#REF!</v>
      </c>
      <c r="R187" s="582"/>
      <c r="S187" s="6"/>
      <c r="T187" s="32" t="s">
        <v>116</v>
      </c>
      <c r="U187" s="69"/>
      <c r="V187" s="28"/>
      <c r="W187" s="28"/>
      <c r="X187" s="28"/>
      <c r="Y187" s="28"/>
      <c r="AA187" s="27"/>
      <c r="AD187" s="33" t="str">
        <f t="shared" ref="AD187" si="34">C186&amp;F187</f>
        <v>UzbekistanUSD bn</v>
      </c>
    </row>
    <row r="188" spans="1:31" ht="142.5" customHeight="1">
      <c r="A188" s="638"/>
      <c r="B188" s="638"/>
      <c r="C188" s="633"/>
      <c r="D188" s="630"/>
      <c r="E188" s="6"/>
      <c r="F188" s="31" t="s">
        <v>117</v>
      </c>
      <c r="G188" s="69" t="e">
        <f>(G186/VLOOKUP($C186,#REF!,4,0))*100</f>
        <v>#REF!</v>
      </c>
      <c r="H188" s="69" t="e">
        <f>(H186/VLOOKUP($C186,#REF!,4,0))*100</f>
        <v>#REF!</v>
      </c>
      <c r="I188" s="577"/>
      <c r="J188" s="69" t="e">
        <f>(J186/VLOOKUP($C186,#REF!,4,0))*100</f>
        <v>#REF!</v>
      </c>
      <c r="K188" s="577"/>
      <c r="L188" s="69"/>
      <c r="M188" s="28"/>
      <c r="N188" s="6"/>
      <c r="O188" s="31" t="s">
        <v>117</v>
      </c>
      <c r="P188" s="170" t="e">
        <f>Q188+U188</f>
        <v>#REF!</v>
      </c>
      <c r="Q188" s="69" t="e">
        <f>(Q186/VLOOKUP($C186,#REF!,4,0))*100</f>
        <v>#REF!</v>
      </c>
      <c r="R188" s="583"/>
      <c r="S188" s="6"/>
      <c r="T188" s="31" t="s">
        <v>117</v>
      </c>
      <c r="U188" s="69"/>
      <c r="V188" s="28"/>
      <c r="W188" s="28"/>
      <c r="X188" s="28"/>
      <c r="Y188" s="28"/>
      <c r="AA188" s="27"/>
      <c r="AD188" s="33" t="str">
        <f t="shared" ref="AD188" si="35">C186&amp;F188</f>
        <v>Uzbekistan% GDP</v>
      </c>
    </row>
    <row r="189" spans="1:31" ht="96.65" customHeight="1">
      <c r="A189" s="638">
        <v>0</v>
      </c>
      <c r="B189" s="638" t="s">
        <v>862</v>
      </c>
      <c r="C189" s="632" t="s">
        <v>33</v>
      </c>
      <c r="D189" s="629" t="s">
        <v>583</v>
      </c>
      <c r="E189" s="14"/>
      <c r="F189" s="37" t="s">
        <v>115</v>
      </c>
      <c r="G189" s="127">
        <f>H189+J189</f>
        <v>42700</v>
      </c>
      <c r="H189" s="127">
        <v>6700</v>
      </c>
      <c r="I189" s="600" t="s">
        <v>757</v>
      </c>
      <c r="J189" s="261">
        <v>36000</v>
      </c>
      <c r="K189" s="575" t="s">
        <v>758</v>
      </c>
      <c r="L189" s="127">
        <v>180000</v>
      </c>
      <c r="M189" s="634" t="s">
        <v>759</v>
      </c>
      <c r="N189" s="14"/>
      <c r="O189" s="32" t="s">
        <v>115</v>
      </c>
      <c r="P189" s="127">
        <f>SUM(Q189,W189)</f>
        <v>37500</v>
      </c>
      <c r="Q189" s="127">
        <v>9500</v>
      </c>
      <c r="R189" s="575" t="s">
        <v>1172</v>
      </c>
      <c r="S189" s="14"/>
      <c r="T189" s="32" t="s">
        <v>115</v>
      </c>
      <c r="U189" s="53"/>
      <c r="V189" s="18"/>
      <c r="W189" s="127">
        <v>28000</v>
      </c>
      <c r="X189" s="575" t="s">
        <v>1249</v>
      </c>
      <c r="Y189" s="575" t="s">
        <v>295</v>
      </c>
      <c r="Z189" s="14"/>
      <c r="AA189" s="18"/>
      <c r="AD189" s="33" t="str">
        <f t="shared" ref="AD189" si="36">C189&amp;F189</f>
        <v>VietnamLC bn</v>
      </c>
    </row>
    <row r="190" spans="1:31" ht="95.5" customHeight="1">
      <c r="A190" s="638"/>
      <c r="B190" s="638"/>
      <c r="C190" s="632"/>
      <c r="D190" s="629"/>
      <c r="E190" s="6"/>
      <c r="F190" s="32" t="s">
        <v>116</v>
      </c>
      <c r="G190" s="69" t="e">
        <f>G189/VLOOKUP($C189,#REF!,8,0)</f>
        <v>#REF!</v>
      </c>
      <c r="H190" s="69" t="e">
        <f>H189/VLOOKUP($C189,#REF!,8,0)</f>
        <v>#REF!</v>
      </c>
      <c r="I190" s="601"/>
      <c r="J190" s="69" t="e">
        <f>J189/VLOOKUP($C189,#REF!,8,0)</f>
        <v>#REF!</v>
      </c>
      <c r="K190" s="576"/>
      <c r="L190" s="69" t="e">
        <f>L189/VLOOKUP($C189,#REF!,8,0)</f>
        <v>#REF!</v>
      </c>
      <c r="M190" s="620"/>
      <c r="N190" s="6"/>
      <c r="O190" s="32" t="s">
        <v>116</v>
      </c>
      <c r="P190" s="258" t="e">
        <f>P189/VLOOKUP($C189,#REF!,8,0)</f>
        <v>#REF!</v>
      </c>
      <c r="Q190" s="258" t="e">
        <f>Q189/VLOOKUP($C189,#REF!,8,0)</f>
        <v>#REF!</v>
      </c>
      <c r="R190" s="576"/>
      <c r="S190" s="6"/>
      <c r="T190" s="32" t="s">
        <v>116</v>
      </c>
      <c r="U190" s="69"/>
      <c r="V190" s="28"/>
      <c r="W190" s="258" t="e">
        <f>W189/VLOOKUP($C189,#REF!,8,0)</f>
        <v>#REF!</v>
      </c>
      <c r="X190" s="576"/>
      <c r="Y190" s="576"/>
      <c r="AA190" s="27"/>
      <c r="AD190" s="33" t="str">
        <f t="shared" ref="AD190" si="37">C189&amp;F190</f>
        <v>VietnamUSD bn</v>
      </c>
    </row>
    <row r="191" spans="1:31" ht="107.5" customHeight="1">
      <c r="A191" s="638"/>
      <c r="B191" s="638"/>
      <c r="C191" s="633"/>
      <c r="D191" s="630"/>
      <c r="E191" s="12"/>
      <c r="F191" s="31" t="s">
        <v>117</v>
      </c>
      <c r="G191" s="17" t="e">
        <f>(G189/VLOOKUP($C189,#REF!,4,0))*100</f>
        <v>#REF!</v>
      </c>
      <c r="H191" s="17" t="e">
        <f>(H189/VLOOKUP($C189,#REF!,4,0))*100</f>
        <v>#REF!</v>
      </c>
      <c r="I191" s="602"/>
      <c r="J191" s="17" t="e">
        <f>(J189/VLOOKUP($C189,#REF!,4,0))*100</f>
        <v>#REF!</v>
      </c>
      <c r="K191" s="577"/>
      <c r="L191" s="17" t="e">
        <f>(L189/VLOOKUP($C189,#REF!,4,0))*100</f>
        <v>#REF!</v>
      </c>
      <c r="M191" s="621"/>
      <c r="N191" s="12"/>
      <c r="O191" s="31" t="s">
        <v>117</v>
      </c>
      <c r="P191" s="292" t="e">
        <f>(P189/VLOOKUP($C189,#REF!,4,0))*100</f>
        <v>#REF!</v>
      </c>
      <c r="Q191" s="292" t="e">
        <f>(Q189/VLOOKUP($C189,#REF!,4,0))*100</f>
        <v>#REF!</v>
      </c>
      <c r="R191" s="577"/>
      <c r="S191" s="12"/>
      <c r="T191" s="31" t="s">
        <v>117</v>
      </c>
      <c r="U191" s="17"/>
      <c r="V191" s="19"/>
      <c r="W191" s="292" t="e">
        <f>(W189/VLOOKUP($C189,#REF!,4,0))*100</f>
        <v>#REF!</v>
      </c>
      <c r="X191" s="577"/>
      <c r="Y191" s="577"/>
      <c r="Z191" s="1"/>
      <c r="AA191" s="26"/>
      <c r="AD191" s="33" t="str">
        <f t="shared" ref="AD191" si="38">C189&amp;F191</f>
        <v>Vietnam% GDP</v>
      </c>
    </row>
    <row r="192" spans="1:31" ht="58.5" customHeight="1">
      <c r="A192" s="638">
        <v>0</v>
      </c>
      <c r="B192" s="638" t="s">
        <v>862</v>
      </c>
      <c r="C192" s="631" t="s">
        <v>916</v>
      </c>
      <c r="D192" s="628" t="s">
        <v>571</v>
      </c>
      <c r="E192" s="16"/>
      <c r="F192" s="37" t="s">
        <v>115</v>
      </c>
      <c r="G192" s="49">
        <v>7.1</v>
      </c>
      <c r="H192" s="49">
        <v>1</v>
      </c>
      <c r="I192" s="575" t="s">
        <v>1176</v>
      </c>
      <c r="J192" s="49">
        <v>6.1</v>
      </c>
      <c r="K192" s="575" t="s">
        <v>1177</v>
      </c>
      <c r="L192" s="49"/>
      <c r="M192" s="141"/>
      <c r="N192" s="16"/>
      <c r="O192" s="37" t="s">
        <v>115</v>
      </c>
      <c r="P192" s="407">
        <f>Q192+U192+W192</f>
        <v>0.9</v>
      </c>
      <c r="Q192" s="407">
        <v>0.9</v>
      </c>
      <c r="R192" s="575" t="s">
        <v>1178</v>
      </c>
      <c r="S192" s="16"/>
      <c r="T192" s="37" t="s">
        <v>115</v>
      </c>
      <c r="U192" s="49"/>
      <c r="V192" s="18"/>
      <c r="W192" s="407"/>
      <c r="X192" s="18"/>
      <c r="Y192" s="28"/>
      <c r="AA192" s="27"/>
      <c r="AD192" s="33" t="str">
        <f t="shared" ref="AD192" si="39">C192&amp;F192</f>
        <v>ZambiaLC bn</v>
      </c>
    </row>
    <row r="193" spans="1:30" ht="58.5" customHeight="1">
      <c r="A193" s="638"/>
      <c r="B193" s="638"/>
      <c r="C193" s="632"/>
      <c r="D193" s="629"/>
      <c r="E193" s="6"/>
      <c r="F193" s="32" t="s">
        <v>116</v>
      </c>
      <c r="G193" s="69" t="e">
        <f>G192/VLOOKUP($C192,#REF!,8,0)</f>
        <v>#REF!</v>
      </c>
      <c r="H193" s="69" t="e">
        <f>H192/VLOOKUP($C192,#REF!,8,0)</f>
        <v>#REF!</v>
      </c>
      <c r="I193" s="576"/>
      <c r="J193" s="69" t="e">
        <f>J192/VLOOKUP($C192,#REF!,8,0)</f>
        <v>#REF!</v>
      </c>
      <c r="K193" s="576"/>
      <c r="L193" s="69"/>
      <c r="M193" s="29"/>
      <c r="N193" s="6"/>
      <c r="O193" s="32" t="s">
        <v>116</v>
      </c>
      <c r="P193" s="258" t="e">
        <f>Q193+U193+W193</f>
        <v>#REF!</v>
      </c>
      <c r="Q193" s="69" t="e">
        <f>Q192/VLOOKUP($C192,#REF!,8,0)</f>
        <v>#REF!</v>
      </c>
      <c r="R193" s="576"/>
      <c r="S193" s="6"/>
      <c r="T193" s="32" t="s">
        <v>116</v>
      </c>
      <c r="U193" s="69"/>
      <c r="V193" s="28"/>
      <c r="W193" s="258"/>
      <c r="X193" s="28"/>
      <c r="Y193" s="28"/>
      <c r="AA193" s="27"/>
      <c r="AD193" s="33" t="str">
        <f t="shared" ref="AD193" si="40">C192&amp;F193</f>
        <v>ZambiaUSD bn</v>
      </c>
    </row>
    <row r="194" spans="1:30" ht="58.5" customHeight="1">
      <c r="A194" s="638"/>
      <c r="B194" s="638"/>
      <c r="C194" s="633"/>
      <c r="D194" s="630"/>
      <c r="E194" s="12"/>
      <c r="F194" s="31" t="s">
        <v>117</v>
      </c>
      <c r="G194" s="17" t="e">
        <f>(G192/VLOOKUP($C192,#REF!,4,0))*100</f>
        <v>#REF!</v>
      </c>
      <c r="H194" s="17" t="e">
        <f>(H192/VLOOKUP($C192,#REF!,4,0))*100</f>
        <v>#REF!</v>
      </c>
      <c r="I194" s="577"/>
      <c r="J194" s="17" t="e">
        <f>(J192/VLOOKUP($C192,#REF!,4,0))*100</f>
        <v>#REF!</v>
      </c>
      <c r="K194" s="577"/>
      <c r="L194" s="17"/>
      <c r="M194" s="24"/>
      <c r="N194" s="12"/>
      <c r="O194" s="31" t="s">
        <v>117</v>
      </c>
      <c r="P194" s="292" t="e">
        <f>Q194+U194+W194</f>
        <v>#REF!</v>
      </c>
      <c r="Q194" s="17" t="e">
        <f>(Q192/VLOOKUP($C192,#REF!,4,0))*100</f>
        <v>#REF!</v>
      </c>
      <c r="R194" s="577"/>
      <c r="S194" s="12"/>
      <c r="T194" s="31" t="s">
        <v>117</v>
      </c>
      <c r="U194" s="17"/>
      <c r="V194" s="19"/>
      <c r="W194" s="292"/>
      <c r="X194" s="19"/>
      <c r="Y194" s="28"/>
      <c r="AA194" s="27"/>
      <c r="AD194" s="33" t="str">
        <f t="shared" ref="AD194" si="41">C192&amp;F194</f>
        <v>Zambia% GDP</v>
      </c>
    </row>
    <row r="195" spans="1:30" ht="21.65" customHeight="1">
      <c r="C195" s="6" t="s">
        <v>108</v>
      </c>
    </row>
    <row r="196" spans="1:30" ht="44.5" customHeight="1">
      <c r="C196" s="623" t="s">
        <v>1459</v>
      </c>
      <c r="D196" s="623"/>
      <c r="E196" s="623"/>
      <c r="F196" s="623"/>
      <c r="G196" s="623"/>
      <c r="H196" s="623"/>
      <c r="I196" s="623"/>
      <c r="J196" s="623"/>
      <c r="K196" s="623"/>
      <c r="L196" s="623"/>
      <c r="M196" s="623"/>
      <c r="N196" s="623"/>
      <c r="O196" s="623"/>
      <c r="P196" s="623"/>
      <c r="Q196" s="623"/>
      <c r="R196" s="623"/>
      <c r="S196" s="623"/>
      <c r="T196" s="623"/>
      <c r="U196" s="623"/>
      <c r="V196" s="623"/>
      <c r="W196" s="623"/>
      <c r="X196" s="623"/>
    </row>
    <row r="197" spans="1:30" ht="23.5" customHeight="1">
      <c r="C197" s="6" t="s">
        <v>1219</v>
      </c>
    </row>
    <row r="198" spans="1:30" ht="15.65" customHeight="1">
      <c r="C198" s="40"/>
    </row>
  </sheetData>
  <autoFilter ref="A5:F197" xr:uid="{70D8D969-D19A-4A37-9D57-5E4D8D57F6B2}"/>
  <mergeCells count="592">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6:A98"/>
    <mergeCell ref="B96:B98"/>
    <mergeCell ref="C96:C98"/>
    <mergeCell ref="D96:D98"/>
    <mergeCell ref="I96:I98"/>
    <mergeCell ref="K96:K98"/>
    <mergeCell ref="M96:M98"/>
    <mergeCell ref="R96:R98"/>
    <mergeCell ref="V96:V98"/>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111:M113"/>
    <mergeCell ref="R111:R113"/>
    <mergeCell ref="V111:V113"/>
    <mergeCell ref="AA105:AA107"/>
    <mergeCell ref="A108:A110"/>
    <mergeCell ref="B108:B110"/>
    <mergeCell ref="C108:C110"/>
    <mergeCell ref="D108:D110"/>
    <mergeCell ref="I108:I110"/>
    <mergeCell ref="K108:K110"/>
    <mergeCell ref="M108:M110"/>
    <mergeCell ref="R108:R110"/>
    <mergeCell ref="V108:V110"/>
    <mergeCell ref="A120:A122"/>
    <mergeCell ref="B120:B122"/>
    <mergeCell ref="C120:C122"/>
    <mergeCell ref="D120:D122"/>
    <mergeCell ref="I120:I122"/>
    <mergeCell ref="K120:K122"/>
    <mergeCell ref="A111:A113"/>
    <mergeCell ref="B111:B113"/>
    <mergeCell ref="C111:C113"/>
    <mergeCell ref="D111:D113"/>
    <mergeCell ref="I111:I113"/>
    <mergeCell ref="K111:K113"/>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X120:X122"/>
    <mergeCell ref="C123:C125"/>
    <mergeCell ref="D123:D125"/>
    <mergeCell ref="I123:I125"/>
    <mergeCell ref="K123:K125"/>
    <mergeCell ref="M123:M125"/>
    <mergeCell ref="V123:V125"/>
    <mergeCell ref="V117:V119"/>
    <mergeCell ref="X117:X119"/>
    <mergeCell ref="R120:R122"/>
    <mergeCell ref="V120:V122"/>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A132:A134"/>
    <mergeCell ref="B132:B134"/>
    <mergeCell ref="C132:C134"/>
    <mergeCell ref="D132:D134"/>
    <mergeCell ref="I132:I134"/>
    <mergeCell ref="K132:K134"/>
    <mergeCell ref="R132:R134"/>
    <mergeCell ref="V132:V134"/>
    <mergeCell ref="X132:X134"/>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s>
  <hyperlinks>
    <hyperlink ref="AA48" r:id="rId1" xr:uid="{A31F2EE5-C8A5-4393-8C6A-7226E2CBC608}"/>
    <hyperlink ref="AA60" r:id="rId2" xr:uid="{571BA647-A523-4A0C-9DB5-04684889ED7F}"/>
    <hyperlink ref="AA9" r:id="rId3" xr:uid="{A14CDEDC-35DC-4516-9465-F93600608F41}"/>
    <hyperlink ref="AA15" r:id="rId4" xr:uid="{5CDA1200-8B7C-4C66-BF8D-AFD7E4497971}"/>
    <hyperlink ref="AA21" r:id="rId5" xr:uid="{7B7A7433-0B1F-4E3F-8170-CCD58BB5857A}"/>
    <hyperlink ref="AA18" r:id="rId6" xr:uid="{9FB8D401-A159-451D-83DA-8D4449452CBF}"/>
    <hyperlink ref="AA27" r:id="rId7" xr:uid="{B14EF026-7A15-4F9B-B841-6885400A79E8}"/>
    <hyperlink ref="AA33" r:id="rId8" xr:uid="{2554E92A-43CB-44D0-94E1-71479E54622F}"/>
    <hyperlink ref="AA78" r:id="rId9" display="https://fm.dk/nyheder/nyhedsarkiv/2020/april/regeringen-og-alle-folketingets-partier-er-enige-om-at-justere-og-udvide-hjaelpepakker-til-dansk-oekonomi/" xr:uid="{3708B308-8EA4-44FE-AFDB-A3266F75E91B}"/>
    <hyperlink ref="AA81" r:id="rId10" xr:uid="{C742A480-D24E-49FD-8987-BA057DA55B80}"/>
    <hyperlink ref="AA87" r:id="rId11" xr:uid="{F5ADE9BE-E3DB-4898-B2B8-9F3EA2F38516}"/>
    <hyperlink ref="AA30" r:id="rId12" display="http://www.governo.it/it/articolo/comunicato-stampa-del-consiglio-dei-ministri-n-39/14417" xr:uid="{B66111B2-E887-4E06-B101-7919FD61F793}"/>
    <hyperlink ref="AA105" r:id="rId13" xr:uid="{53F08750-9268-409D-B705-14F60C598B76}"/>
    <hyperlink ref="AA150" r:id="rId14" xr:uid="{461FD56E-EEC4-4E7B-90BE-B58FA814AB11}"/>
    <hyperlink ref="AA151" r:id="rId15" xr:uid="{E05F063C-670D-498D-BE62-3C78B9A446EE}"/>
    <hyperlink ref="AB6" r:id="rId16" display="https://treasury.gov.au/coronavirus" xr:uid="{EBB43200-84C3-4B70-A546-4A3E74A54C9F}"/>
    <hyperlink ref="AA6" r:id="rId17" xr:uid="{82FFC0DB-EF71-48B1-A964-0C2A14B5964A}"/>
    <hyperlink ref="AA22" r:id="rId18" display="http://www.mef.gov.it/en/inevidenza/Protect-health-support-the-economy-preserve-employment-levels-and-incomes-00001/" xr:uid="{274B68C8-EA50-46AE-88B3-96FE81D181FF}"/>
    <hyperlink ref="AA135" r:id="rId19" display="https://urldefense.proofpoint.com/v2/url?u=https-3A__www.gov.pl_web_tarczaantykryzysowa&amp;d=DwMFBA&amp;c=G8CoXqdZ57E1EOn2t2CVrg&amp;r=1dNmfCwUPm-Zyfp8PIjgpWCvO5QO5p2LM0QGFAzgPvI&amp;m=nz2rsJenFWhU9KRBhOJ8maK12Et9Tar9PrzSGpsIzBw&amp;s=CAY3fc6DLo3KDD4wEX63BZhcse8VIq2LHFGPVw4INzI&amp;e=" xr:uid="{8DF697C3-DCC8-4188-8ECF-CE832A1057C3}"/>
    <hyperlink ref="AA77" r:id="rId20" display="https://fm.dk/nyheder/nyhedsarkiv/2020/marts/regeringen-og-arbejdsmarkedets-parter-styrker-trepartsaftalen-om-midlertidig-loenkompensation/" xr:uid="{30102518-006C-4E7A-8694-E2709E40DEE3}"/>
    <hyperlink ref="AA75" r:id="rId21" xr:uid="{DC75A91B-3609-4621-A1A3-11294B014794}"/>
    <hyperlink ref="AA76" r:id="rId22" display="https://fm.dk/nyheder/nyhedsarkiv/2020/marts/regeringen-og-alle-folketingets-partier-er-enige-om-omfattende-hjaelpepakke-til-dansk-oekonomi/" xr:uid="{787C5338-894F-49FC-BEB7-5468A7E3728B}"/>
    <hyperlink ref="AA54" r:id="rId23" display="http://www5.diputados.gob.mx/index.php/esl/Comunicacion/Boletines/2020/Marzo/18/3509-Aprueban-crear-el-Fondo-para-la-Prevencion-y-Atencion-de-Emergencias_x000a__x000a_" xr:uid="{2CDE2718-8C5A-4418-A9ED-85E51A8ACB4F}"/>
    <hyperlink ref="AA140" r:id="rId24" display="https://gulfnews.com/uae/revealed-15-point-economic-stimulus-package-in-abu-dhabi-1.1584340605165" xr:uid="{2AFF7A95-5B5C-461A-9CF4-F45D53C0F4D2}"/>
    <hyperlink ref="AA127" r:id="rId25" display="https://urldefense.proofpoint.com/v2/url?u=https-3A__www.gov.pl_web_tarczaantykryzysowa&amp;d=DwMFBA&amp;c=G8CoXqdZ57E1EOn2t2CVrg&amp;r=1dNmfCwUPm-Zyfp8PIjgpWCvO5QO5p2LM0QGFAzgPvI&amp;m=nz2rsJenFWhU9KRBhOJ8maK12Et9Tar9PrzSGpsIzBw&amp;s=CAY3fc6DLo3KDD4wEX63BZhcse8VIq2LHFGPVw4INzI&amp;e=" xr:uid="{5CFBA9A3-FCF3-45DB-998C-04ED4B2E7F75}"/>
    <hyperlink ref="AA49" r:id="rId26" display="https://pib.gov.in/PressReleseDetail.aspx?PRID=1607911" xr:uid="{F16F604D-02A1-469D-B826-072830742DBF}"/>
    <hyperlink ref="AA61" r:id="rId27" display="https://www.mof.gov.sa/en/MediaCenter/news/Pages/News_20032020.aspx" xr:uid="{5DE991A4-ACAA-43B3-B471-1AE43FF0FDB5}"/>
    <hyperlink ref="AA10" r:id="rId28" display="https://www.canada.ca/en/public-health/services/diseases/coronavirus-disease-covid-19.html" xr:uid="{4A41B9E0-BCAA-490E-A99F-FE12F158CF6F}"/>
    <hyperlink ref="AA16" r:id="rId29" display="https://www.economie.gouv.fr/coronavirus-soutien-entreprises#" xr:uid="{809E1C44-1707-4AEC-8E6C-AE64A9F3E698}"/>
    <hyperlink ref="AA19" r:id="rId30" display="https://www.bundesregierung.de/breg-de/themen/coronavirus" xr:uid="{8CC37A54-D20A-481E-8C16-043370C192B6}"/>
    <hyperlink ref="AA28" r:id="rId31" display="https://english.moef.go.kr/pc/selectTbPressCenterDtl.do?boardCd=N0001&amp;seq=4860" xr:uid="{32F5D228-D65D-4F83-AF78-F6B206F444D8}"/>
    <hyperlink ref="AA34" r:id="rId32" display="https://www.gov.uk/government/publications/guidance-to-employers-and-businesses-about-covid-19/covid-19-support-for-businesses" xr:uid="{4373E518-7B8E-46D7-A9E7-BA3CBCF9DC8B}"/>
    <hyperlink ref="AA79" r:id="rId33" display="https://valtioneuvosto.fi/artikkeli/-/asset_publisher/10616/hallitus-antoi-eduskunnalle-lisatalousarvioesityksen-koronaviruksen-vuoksi" xr:uid="{B19F31FE-C9C7-45BD-836F-84BEEED1800B}"/>
    <hyperlink ref="AA82" r:id="rId34" display="https://www.rijksoverheid.nl/actueel/nieuws/2020/03/17/coronavirus-kabinet-neemt-pakket-nieuwe-maatregelen-voor-banen-en-economie" xr:uid="{CEEF8067-2D63-4F80-ADEE-154F179A291F}"/>
    <hyperlink ref="AA88" r:id="rId35" display="https://www.regjeringen.no/en/aktuelt/economic-measures-in-norway-in-response-to-covid-19/id2694274/" xr:uid="{1399801C-639E-4EB2-86E2-4CFD47B3EC88}"/>
    <hyperlink ref="AA31" r:id="rId36" display="https://www.lamoncloa.gob.es/consejodeministros/resumenes/Paginas/2020/170320-pg-consejo.aspx" xr:uid="{56330C9F-6A6C-41F8-9BD2-474E4CFC37E7}"/>
    <hyperlink ref="AA106" r:id="rId37" display="https://prensa.presidencia.cl/comunicado.aspx?id=148684" xr:uid="{294834C3-8EEA-47E7-A553-E63485B5B098}"/>
    <hyperlink ref="AA141" r:id="rId38" display="https://gulfnews.com/uae/revealed-15-point-economic-stimulus-package-in-abu-dhabi-1.1584340605165" xr:uid="{4BEF4BD8-E786-48E2-9026-7C1ED4EE0A86}"/>
    <hyperlink ref="AB7" r:id="rId39" display="https://treasury.gov.au/coronavirus" xr:uid="{42A59C1B-CD41-4981-BAB4-A4B36B32721E}"/>
    <hyperlink ref="AA7" r:id="rId40" display="https://treasury.gov.au/coronavirus" xr:uid="{60749E91-04AD-463F-8BE7-4F17E5E2DBB7}"/>
    <hyperlink ref="AA23" r:id="rId41" display="https://www.economie.gouv.fr/coronavirus-soutien-entreprises#" xr:uid="{5986EAC3-2EC5-4559-ABBE-6E5DE1F2775C}"/>
    <hyperlink ref="AA128" r:id="rId42" display="https://urldefense.proofpoint.com/v2/url?u=https-3A__www.gov.pl_web_tarczaantykryzysowa&amp;d=DwMFBA&amp;c=G8CoXqdZ57E1EOn2t2CVrg&amp;r=1dNmfCwUPm-Zyfp8PIjgpWCvO5QO5p2LM0QGFAzgPvI&amp;m=nz2rsJenFWhU9KRBhOJ8maK12Et9Tar9PrzSGpsIzBw&amp;s=CAY3fc6DLo3KDD4wEX63BZhcse8VIq2LHFGPVw4INzI&amp;e=" xr:uid="{C95BA120-CB8A-4B7D-8A8F-D93843C325AB}"/>
    <hyperlink ref="AA55" r:id="rId43" display="http://www5.diputados.gob.mx/index.php/esl/Comunicacion/Boletines/2020/Marzo/18/3509-Aprueban-crear-el-Fondo-para-la-Prevencion-y-Atencion-de-Emergencias_x000a__x000a_" xr:uid="{57F43158-6ED6-4070-8D4A-E88F42618FA7}"/>
    <hyperlink ref="AA56" r:id="rId44" display="https://pib.gov.in/PressReleseDetail.aspx?PRID=1607911" xr:uid="{5504BE67-8224-4661-A498-6101893CF81C}"/>
    <hyperlink ref="AA68" r:id="rId45" display="https://www.mof.gov.sa/en/MediaCenter/news/Pages/News_20032020.aspx" xr:uid="{10365945-DCF3-49B7-84FA-09C0083DEF8F}"/>
    <hyperlink ref="AA17" r:id="rId46" display="https://www.canada.ca/en/public-health/services/diseases/coronavirus-disease-covid-19.html" xr:uid="{D0456B87-D71F-4362-BD6C-ACD31DF335A0}"/>
    <hyperlink ref="AA29" r:id="rId47" display="http://www.mef.gov.it/en/inevidenza/Protect-health-support-the-economy-preserve-employment-levels-and-incomes-00001/" xr:uid="{4252164E-A7E6-43D2-BBDB-4CE159BD2742}"/>
    <hyperlink ref="AA26" r:id="rId48" display="https://www.bundesregierung.de/breg-de/themen/coronavirus" xr:uid="{19AE1EF9-D5FE-4581-A5E9-61CE76A56B6B}"/>
    <hyperlink ref="AA35" r:id="rId49" display="https://english.moef.go.kr/pc/selectTbPressCenterDtl.do?boardCd=N0001&amp;seq=4860" xr:uid="{86064A10-E2A4-435E-A4E1-4B1B040B1D23}"/>
    <hyperlink ref="AA41" r:id="rId50" display="https://www.gov.uk/government/publications/guidance-to-employers-and-businesses-about-covid-19/covid-19-support-for-businesses" xr:uid="{0C7A75F4-01BF-4575-92DA-03F591715AC9}"/>
    <hyperlink ref="AA86" r:id="rId51" display="https://valtioneuvosto.fi/artikkeli/-/asset_publisher/10616/hallitus-antoi-eduskunnalle-lisatalousarvioesityksen-koronaviruksen-vuoksi" xr:uid="{6B57779F-494E-43E5-AA15-020A190AF6FF}"/>
    <hyperlink ref="AA89" r:id="rId52" display="https://www.rijksoverheid.nl/actueel/nieuws/2020/03/17/coronavirus-kabinet-neemt-pakket-nieuwe-maatregelen-voor-banen-en-economie" xr:uid="{3A218BE6-4ED1-470F-B79A-DE1F081073EB}"/>
    <hyperlink ref="AA95" r:id="rId53" display="https://www.regjeringen.no/en/aktuelt/economic-measures-in-norway-in-response-to-covid-19/id2694274/" xr:uid="{A58E0523-252A-4614-A5EE-35A8AFB3AA94}"/>
    <hyperlink ref="AA38" r:id="rId54" display="https://www.lamoncloa.gob.es/consejodeministros/resumenes/Paginas/2020/170320-pg-consejo.aspx" xr:uid="{5E868B55-013D-40A5-A3ED-C02B89623B70}"/>
    <hyperlink ref="AA113" r:id="rId55" display="https://prensa.presidencia.cl/comunicado.aspx?id=148684" xr:uid="{CA86E326-07D1-4FDD-BD4D-EF088164A8ED}"/>
    <hyperlink ref="AA148" r:id="rId56" display="https://gulfnews.com/uae/revealed-15-point-economic-stimulus-package-in-abu-dhabi-1.1584340605165" xr:uid="{CEA9A1BF-E8FC-43C6-93C8-AA5E2546C5E1}"/>
    <hyperlink ref="AB14" r:id="rId57" display="https://treasury.gov.au/coronavirus" xr:uid="{0CF76D6C-14F8-4CC6-BB2C-7CB9057253BA}"/>
    <hyperlink ref="AA14" r:id="rId58" display="https://treasury.gov.au/coronavirus" xr:uid="{4286B0D0-80D6-46D5-AE8D-B28A4B80F217}"/>
    <hyperlink ref="AA85" r:id="rId59" display="https://fm.dk/nyheder/nyhedsarkiv/2020/april/regeringen-og-alle-folketingets-partier-er-enige-om-at-justere-og-udvide-hjaelpepakker-til-dansk-oekonomi/" xr:uid="{6491CF8F-C724-4501-9864-0EAD649D4621}"/>
    <hyperlink ref="AA83" r:id="rId60" display="https://fm.dk/nyheder/nyhedsarkiv/2020/marts/regeringen-og-alle-folketingets-partier-er-enige-om-omfattende-hjaelpepakke-til-dansk-oekonomi/" xr:uid="{48924049-AED9-4FE3-918B-281880C4FF28}"/>
    <hyperlink ref="AA84" r:id="rId61" display="https://fm.dk/nyheder/nyhedsarkiv/2020/marts/regeringen-og-arbejdsmarkedets-parter-styrker-trepartsaftalen-om-midlertidig-loenkompensation/" xr:uid="{4DFDC483-233B-4362-8495-6D429EE60CEB}"/>
    <hyperlink ref="AA62" r:id="rId62" display="http://www5.diputados.gob.mx/index.php/esl/Comunicacion/Boletines/2020/Marzo/18/3509-Aprueban-crear-el-Fondo-para-la-Prevencion-y-Atencion-de-Emergencias_x000a__x000a_" xr:uid="{3148CA64-21AE-4ABB-82E2-79EFA96D5DFC}"/>
  </hyperlinks>
  <pageMargins left="0.7" right="0.7" top="0.75" bottom="0.75" header="0.3" footer="0.3"/>
  <pageSetup scale="37" fitToHeight="0" orientation="landscape" r:id="rId63"/>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6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311F-A208-41D3-92BB-D5F495C161CC}">
  <sheetPr>
    <tabColor rgb="FFFF0000"/>
    <pageSetUpPr fitToPage="1"/>
  </sheetPr>
  <dimension ref="A1:BA214"/>
  <sheetViews>
    <sheetView showGridLines="0" view="pageBreakPreview" zoomScaleNormal="100" zoomScaleSheetLayoutView="100" workbookViewId="0">
      <pane xSplit="2" ySplit="7" topLeftCell="C113" activePane="bottomRight" state="frozen"/>
      <selection activeCell="D123" sqref="D123:D125"/>
      <selection pane="topRight" activeCell="D123" sqref="D123:D125"/>
      <selection pane="bottomLeft" activeCell="D123" sqref="D123:D125"/>
      <selection pane="bottomRight" activeCell="D123" sqref="D123:D125"/>
    </sheetView>
  </sheetViews>
  <sheetFormatPr defaultColWidth="9.1796875" defaultRowHeight="12.5"/>
  <cols>
    <col min="1" max="1" width="10.1796875" customWidth="1"/>
    <col min="2" max="2" width="26.54296875" style="33" customWidth="1"/>
    <col min="3" max="3" width="8" style="33" customWidth="1"/>
    <col min="4" max="4" width="6.453125" style="33" customWidth="1"/>
    <col min="5" max="5" width="8.179687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10.81640625" style="33" customWidth="1"/>
    <col min="25" max="25" width="1.54296875" customWidth="1"/>
    <col min="27" max="27" width="11.453125" bestFit="1" customWidth="1"/>
    <col min="29" max="29" width="26.54296875" customWidth="1"/>
  </cols>
  <sheetData>
    <row r="1" spans="1:53" ht="15.75" customHeight="1">
      <c r="B1" s="423" t="s">
        <v>898</v>
      </c>
      <c r="AA1" t="s">
        <v>1268</v>
      </c>
      <c r="AB1" t="s">
        <v>1266</v>
      </c>
      <c r="AC1" s="295"/>
    </row>
    <row r="2" spans="1:53" ht="15.75" customHeight="1">
      <c r="B2" s="424" t="s">
        <v>774</v>
      </c>
      <c r="AC2" s="305"/>
      <c r="AE2" s="208" t="s">
        <v>1297</v>
      </c>
    </row>
    <row r="3" spans="1:53" ht="15.75" customHeight="1">
      <c r="B3" s="691" t="s">
        <v>437</v>
      </c>
      <c r="C3" s="692"/>
      <c r="D3" s="692"/>
      <c r="E3" s="692"/>
      <c r="F3" s="692"/>
      <c r="G3" s="692"/>
      <c r="H3" s="692"/>
      <c r="I3" s="692"/>
      <c r="J3" s="692"/>
      <c r="K3" s="692"/>
      <c r="L3" s="692"/>
      <c r="M3" s="425"/>
      <c r="N3" s="691" t="s">
        <v>456</v>
      </c>
      <c r="O3" s="692"/>
      <c r="P3" s="692"/>
      <c r="Q3" s="692"/>
      <c r="R3" s="692"/>
      <c r="S3" s="692"/>
      <c r="T3" s="692"/>
      <c r="U3" s="692"/>
      <c r="V3" s="692"/>
      <c r="W3" s="692"/>
      <c r="X3" s="692"/>
      <c r="AE3" s="691" t="s">
        <v>437</v>
      </c>
      <c r="AF3" s="692"/>
      <c r="AG3" s="692"/>
      <c r="AH3" s="692"/>
      <c r="AI3" s="692"/>
      <c r="AJ3" s="692"/>
      <c r="AK3" s="692"/>
      <c r="AL3" s="692"/>
      <c r="AM3" s="692"/>
      <c r="AN3" s="692"/>
      <c r="AO3" s="692"/>
      <c r="AP3" s="425"/>
      <c r="AQ3" s="691" t="s">
        <v>456</v>
      </c>
      <c r="AR3" s="692"/>
      <c r="AS3" s="692"/>
      <c r="AT3" s="692"/>
      <c r="AU3" s="692"/>
      <c r="AV3" s="692"/>
      <c r="AW3" s="692"/>
      <c r="AX3" s="692"/>
      <c r="AY3" s="692"/>
      <c r="AZ3" s="692"/>
      <c r="BA3" s="692"/>
    </row>
    <row r="4" spans="1:53" ht="11.15" customHeight="1">
      <c r="A4" s="296"/>
      <c r="B4" s="426"/>
      <c r="C4" s="679" t="s">
        <v>586</v>
      </c>
      <c r="D4" s="679"/>
      <c r="E4" s="679"/>
      <c r="F4" s="679"/>
      <c r="G4" s="427"/>
      <c r="H4" s="689" t="s">
        <v>773</v>
      </c>
      <c r="I4" s="689"/>
      <c r="J4" s="689"/>
      <c r="K4" s="689"/>
      <c r="L4" s="689"/>
      <c r="M4" s="427"/>
      <c r="N4" s="428"/>
      <c r="O4" s="679" t="s">
        <v>586</v>
      </c>
      <c r="P4" s="679"/>
      <c r="Q4" s="679"/>
      <c r="R4" s="679"/>
      <c r="S4" s="427"/>
      <c r="T4" s="689" t="s">
        <v>773</v>
      </c>
      <c r="U4" s="689"/>
      <c r="V4" s="689"/>
      <c r="W4" s="689"/>
      <c r="X4" s="689"/>
      <c r="AC4" s="307"/>
      <c r="AE4" s="426"/>
      <c r="AF4" s="679" t="s">
        <v>586</v>
      </c>
      <c r="AG4" s="679"/>
      <c r="AH4" s="679"/>
      <c r="AI4" s="679"/>
      <c r="AJ4" s="427"/>
      <c r="AK4" s="689" t="s">
        <v>773</v>
      </c>
      <c r="AL4" s="689"/>
      <c r="AM4" s="689"/>
      <c r="AN4" s="689"/>
      <c r="AO4" s="689"/>
      <c r="AP4" s="427"/>
      <c r="AQ4" s="428"/>
      <c r="AR4" s="679" t="s">
        <v>586</v>
      </c>
      <c r="AS4" s="679"/>
      <c r="AT4" s="679"/>
      <c r="AU4" s="679"/>
      <c r="AV4" s="427"/>
      <c r="AW4" s="689" t="s">
        <v>773</v>
      </c>
      <c r="AX4" s="689"/>
      <c r="AY4" s="689"/>
      <c r="AZ4" s="689"/>
      <c r="BA4" s="689"/>
    </row>
    <row r="5" spans="1:53" ht="27" customHeight="1">
      <c r="A5" s="296"/>
      <c r="B5" s="426"/>
      <c r="C5" s="689" t="s">
        <v>770</v>
      </c>
      <c r="D5" s="689"/>
      <c r="E5" s="689"/>
      <c r="F5" s="690" t="s">
        <v>771</v>
      </c>
      <c r="G5" s="427"/>
      <c r="H5" s="429"/>
      <c r="I5" s="685" t="s">
        <v>778</v>
      </c>
      <c r="J5" s="429"/>
      <c r="K5" s="679" t="s">
        <v>211</v>
      </c>
      <c r="L5" s="679"/>
      <c r="M5" s="427"/>
      <c r="N5" s="428"/>
      <c r="O5" s="689" t="s">
        <v>770</v>
      </c>
      <c r="P5" s="689"/>
      <c r="Q5" s="689"/>
      <c r="R5" s="690" t="s">
        <v>771</v>
      </c>
      <c r="S5" s="427"/>
      <c r="T5" s="429"/>
      <c r="U5" s="685" t="s">
        <v>778</v>
      </c>
      <c r="V5" s="429"/>
      <c r="W5" s="679" t="s">
        <v>211</v>
      </c>
      <c r="X5" s="679"/>
      <c r="AC5" s="307"/>
      <c r="AE5" s="426"/>
      <c r="AF5" s="689" t="s">
        <v>770</v>
      </c>
      <c r="AG5" s="689"/>
      <c r="AH5" s="689"/>
      <c r="AI5" s="690" t="s">
        <v>771</v>
      </c>
      <c r="AJ5" s="427"/>
      <c r="AK5" s="429"/>
      <c r="AL5" s="685" t="s">
        <v>778</v>
      </c>
      <c r="AM5" s="429"/>
      <c r="AN5" s="679" t="s">
        <v>211</v>
      </c>
      <c r="AO5" s="679"/>
      <c r="AP5" s="427"/>
      <c r="AQ5" s="428"/>
      <c r="AR5" s="689" t="s">
        <v>770</v>
      </c>
      <c r="AS5" s="689"/>
      <c r="AT5" s="689"/>
      <c r="AU5" s="690" t="s">
        <v>771</v>
      </c>
      <c r="AV5" s="427"/>
      <c r="AW5" s="429"/>
      <c r="AX5" s="685" t="s">
        <v>778</v>
      </c>
      <c r="AY5" s="429"/>
      <c r="AZ5" s="679" t="s">
        <v>211</v>
      </c>
      <c r="BA5" s="679"/>
    </row>
    <row r="6" spans="1:53" ht="29.5" customHeight="1">
      <c r="A6" s="296"/>
      <c r="B6" s="430"/>
      <c r="C6" s="312" t="s">
        <v>429</v>
      </c>
      <c r="D6" s="313" t="s">
        <v>769</v>
      </c>
      <c r="E6" s="313" t="s">
        <v>772</v>
      </c>
      <c r="F6" s="684"/>
      <c r="G6" s="431"/>
      <c r="H6" s="315" t="s">
        <v>429</v>
      </c>
      <c r="I6" s="686"/>
      <c r="J6" s="316"/>
      <c r="K6" s="316" t="s">
        <v>587</v>
      </c>
      <c r="L6" s="316" t="s">
        <v>588</v>
      </c>
      <c r="M6" s="432"/>
      <c r="N6" s="433"/>
      <c r="O6" s="312" t="s">
        <v>429</v>
      </c>
      <c r="P6" s="313" t="s">
        <v>769</v>
      </c>
      <c r="Q6" s="313" t="s">
        <v>772</v>
      </c>
      <c r="R6" s="684"/>
      <c r="S6" s="431"/>
      <c r="T6" s="315" t="s">
        <v>429</v>
      </c>
      <c r="U6" s="686"/>
      <c r="V6" s="316"/>
      <c r="W6" s="316" t="s">
        <v>587</v>
      </c>
      <c r="X6" s="313" t="s">
        <v>588</v>
      </c>
      <c r="AC6" s="311"/>
      <c r="AE6" s="430"/>
      <c r="AF6" s="312" t="s">
        <v>429</v>
      </c>
      <c r="AG6" s="313" t="s">
        <v>769</v>
      </c>
      <c r="AH6" s="313" t="s">
        <v>772</v>
      </c>
      <c r="AI6" s="684"/>
      <c r="AJ6" s="431"/>
      <c r="AK6" s="315" t="s">
        <v>429</v>
      </c>
      <c r="AL6" s="686"/>
      <c r="AM6" s="316"/>
      <c r="AN6" s="316" t="s">
        <v>587</v>
      </c>
      <c r="AO6" s="316" t="s">
        <v>588</v>
      </c>
      <c r="AP6" s="432"/>
      <c r="AQ6" s="433"/>
      <c r="AR6" s="312" t="s">
        <v>429</v>
      </c>
      <c r="AS6" s="313" t="s">
        <v>769</v>
      </c>
      <c r="AT6" s="313" t="s">
        <v>772</v>
      </c>
      <c r="AU6" s="684"/>
      <c r="AV6" s="431"/>
      <c r="AW6" s="315" t="s">
        <v>429</v>
      </c>
      <c r="AX6" s="686"/>
      <c r="AY6" s="316"/>
      <c r="AZ6" s="316" t="s">
        <v>587</v>
      </c>
      <c r="BA6" s="313" t="s">
        <v>588</v>
      </c>
    </row>
    <row r="7" spans="1:53">
      <c r="A7" s="434" t="s">
        <v>775</v>
      </c>
      <c r="B7" s="434" t="s">
        <v>775</v>
      </c>
      <c r="C7" s="435"/>
      <c r="D7" s="435"/>
      <c r="E7" s="435"/>
      <c r="F7" s="435"/>
      <c r="G7" s="435"/>
      <c r="H7" s="435"/>
      <c r="I7" s="435"/>
      <c r="J7" s="435"/>
      <c r="K7" s="435"/>
      <c r="L7" s="435"/>
      <c r="AC7" s="298"/>
      <c r="AE7" s="434" t="s">
        <v>775</v>
      </c>
      <c r="AF7" s="435"/>
      <c r="AG7" s="435"/>
      <c r="AH7" s="435"/>
      <c r="AI7" s="435"/>
      <c r="AJ7" s="435"/>
      <c r="AK7" s="435"/>
      <c r="AL7" s="435"/>
      <c r="AM7" s="435"/>
      <c r="AN7" s="435"/>
      <c r="AO7" s="435"/>
      <c r="AP7" s="33"/>
      <c r="AQ7" s="33"/>
      <c r="AR7" s="33"/>
      <c r="AS7" s="33"/>
      <c r="AT7" s="33"/>
      <c r="AU7" s="33"/>
      <c r="AV7" s="33"/>
      <c r="AW7" s="33"/>
      <c r="AX7" s="33"/>
      <c r="AY7" s="33"/>
      <c r="AZ7" s="33"/>
      <c r="BA7" s="33"/>
    </row>
    <row r="8" spans="1:53">
      <c r="A8" s="415" t="s">
        <v>0</v>
      </c>
      <c r="B8" s="415" t="s">
        <v>0</v>
      </c>
      <c r="C8" s="492" t="str">
        <f>IF(ISNUMBER(INDEX('Database.Jan 12 to SEC'!$G$6:$G$191, MATCH($A8&amp;"USD bn", 'Database.Jan 12 to SEC'!$AD$6:$AD$191, 0))), INDEX('Database.Jan 12 to SEC'!$G$6:$G$191, MATCH($A8&amp;"USD bn", 'Database.Jan 12 to SEC'!$AD$6:$AD$191, 0)), "")</f>
        <v/>
      </c>
      <c r="D8" s="493" t="str">
        <f>IF(ISNUMBER(INDEX('Database.Jan 12 to SEC'!$H$6:$H$191, MATCH($A8&amp;"USD bn", 'Database.Jan 12 to SEC'!$AD$6:$AD$191, 0))), INDEX('Database.Jan 12 to SEC'!$H$6:$H$191, MATCH($A8&amp;"USD bn", 'Database.Jan 12 to SEC'!$AD$6:$AD$191, 0)), "")</f>
        <v/>
      </c>
      <c r="E8" s="493" t="str">
        <f>IF(ISNUMBER(INDEX('Database.Jan 12 to SEC'!$J$6:$J$191, MATCH($A8&amp;"USD bn", 'Database.Jan 12 to SEC'!$AD$6:$AD$191, 0))), INDEX('Database.Jan 12 to SEC'!$J$6:$J$191, MATCH($A8&amp;"USD bn", 'Database.Jan 12 to SEC'!$AD$6:$AD$191, 0)), "")</f>
        <v/>
      </c>
      <c r="F8" s="493" t="str">
        <f>IF(ISNUMBER(INDEX('Database.Jan 12 to SEC'!$L$6:$L$191, MATCH($A8&amp;"USD bn", 'Database.Jan 12 to SEC'!$AD$6:$AD$191, 0))), INDEX('Database.Jan 12 to SEC'!$L$6:$L$191, MATCH($A8&amp;"USD bn", 'Database.Jan 12 to SEC'!$AD$6:$AD$191, 0)), "")</f>
        <v/>
      </c>
      <c r="G8" s="493"/>
      <c r="H8" s="494" t="str">
        <f>IF(ISNUMBER(INDEX('Database.Jan 12 to SEC'!$P$6:$P$191, MATCH($A8&amp;"USD bn", 'Database.Jan 12 to SEC'!$AD$6:$AD$191, 0))), INDEX('Database.Jan 12 to SEC'!$P$6:$P$191, MATCH($A8&amp;"USD bn", 'Database.Jan 12 to SEC'!$AD$6:$AD$191, 0)), "")</f>
        <v/>
      </c>
      <c r="I8" s="493" t="str">
        <f>IF(ISNUMBER(INDEX('Database.Jan 12 to SEC'!$Q$6:$Q$191, MATCH($A8&amp;"USD bn", 'Database.Jan 12 to SEC'!$AD$6:$AD$191, 0))), INDEX('Database.Jan 12 to SEC'!$Q$6:$Q$191, MATCH($A8&amp;"USD bn", 'Database.Jan 12 to SEC'!$AD$6:$AD$191, 0)), "")</f>
        <v/>
      </c>
      <c r="J8" s="493"/>
      <c r="K8" s="493" t="str">
        <f>IF(ISNUMBER(INDEX('Database.Jan 12 to SEC'!$U$6:$U$191, MATCH($A8&amp;"USD bn", 'Database.Jan 12 to SEC'!$AD$6:$AD$191, 0))), INDEX('Database.Jan 12 to SEC'!$U$6:$U$191, MATCH($A8&amp;"USD bn", 'Database.Jan 12 to SEC'!$AD$6:$AD$191, 0)), "")</f>
        <v/>
      </c>
      <c r="L8" s="493" t="str">
        <f>IF(ISNUMBER(INDEX('Database.Jan 12 to SEC'!$W$6:$W$191, MATCH($A8&amp;"USD bn", 'Database.Jan 12 to SEC'!$AD$6:$AD$191, 0))), INDEX('Database.Jan 12 to SEC'!$W$6:$W$191, MATCH($A8&amp;"USD bn", 'Database.Jan 12 to SEC'!$AD$6:$AD$191, 0)), "")</f>
        <v/>
      </c>
      <c r="M8"/>
      <c r="N8"/>
      <c r="O8" s="481" t="str">
        <f>IF(ISNUMBER(INDEX('Database.Jan 12 to SEC'!$G$6:$G$191, MATCH($A8&amp;"% GDP", 'Database.Jan 12 to SEC'!$AD$6:$AD$191, 0))), INDEX('Database.Jan 12 to SEC'!$G$6:$G$191, MATCH($A8&amp;"% GDP", 'Database.Jan 12 to SEC'!$AD$6:$AD$191, 0)), "")</f>
        <v/>
      </c>
      <c r="P8" s="480" t="str">
        <f>IF(ISNUMBER(INDEX('Database.Jan 12 to SEC'!$H$6:$H$191, MATCH($A8&amp;"% GDP", 'Database.Jan 12 to SEC'!$AD$6:$AD$191, 0))), INDEX('Database.Jan 12 to SEC'!$H$6:$H$191, MATCH($A8&amp;"% GDP", 'Database.Jan 12 to SEC'!$AD$6:$AD$191, 0)), "")</f>
        <v/>
      </c>
      <c r="Q8" s="480" t="str">
        <f>IF(ISNUMBER(INDEX('Database.Jan 12 to SEC'!$J$6:$J$191, MATCH($A8&amp;"% GDP", 'Database.Jan 12 to SEC'!$AD$6:$AD$191, 0))), INDEX('Database.Jan 12 to SEC'!$J$6:$J$191, MATCH($A8&amp;"% GDP", 'Database.Jan 12 to SEC'!$AD$6:$AD$191, 0)), "")</f>
        <v/>
      </c>
      <c r="R8" s="480" t="str">
        <f>IF(ISNUMBER(INDEX('Database.Jan 12 to SEC'!$L$6:$L$191, MATCH($A8&amp;"% GDP", 'Database.Jan 12 to SEC'!$AD$6:$AD$191, 0))), INDEX('Database.Jan 12 to SEC'!$L$6:$L$191, MATCH($A8&amp;"% GDP", 'Database.Jan 12 to SEC'!$AD$6:$AD$191, 0)), "")</f>
        <v/>
      </c>
      <c r="S8" s="482"/>
      <c r="T8" s="481" t="str">
        <f>IF(ISNUMBER(INDEX('Database.Jan 12 to SEC'!$P$6:$P$191, MATCH($A8&amp;"% GDP", 'Database.Jan 12 to SEC'!$AD$6:$AD$191, 0))), INDEX('Database.Jan 12 to SEC'!$P$6:$P$191, MATCH($A8&amp;"% GDP", 'Database.Jan 12 to SEC'!$AD$6:$AD$191, 0)), "")</f>
        <v/>
      </c>
      <c r="U8" s="480" t="str">
        <f>IF(ISNUMBER(INDEX('Database.Jan 12 to SEC'!$Q$6:$Q$191, MATCH($A8&amp;"% GDP", 'Database.Jan 12 to SEC'!$AD$6:$AD$191, 0))), INDEX('Database.Jan 12 to SEC'!$Q$6:$Q$191, MATCH($A8&amp;"% GDP", 'Database.Jan 12 to SEC'!$AD$6:$AD$191, 0)), "")</f>
        <v/>
      </c>
      <c r="V8" s="483"/>
      <c r="W8" s="480" t="str">
        <f>IF(ISNUMBER(INDEX('Database.Jan 12 to SEC'!$U$6:$U$191, MATCH($A8&amp;"% GDP", 'Database.Jan 12 to SEC'!$AD$6:$AD$191, 0))), INDEX('Database.Jan 12 to SEC'!$U$6:$U$191, MATCH($A8&amp;"% GDP", 'Database.Jan 12 to SEC'!$AD$6:$AD$191, 0)), "")</f>
        <v/>
      </c>
      <c r="X8" s="480" t="str">
        <f>IF(ISNUMBER(INDEX('Database.Jan 12 to SEC'!$W$6:$W$191, MATCH($A8&amp;"% GDP", 'Database.Jan 12 to SEC'!$AD$6:$AD$191, 0))), INDEX('Database.Jan 12 to SEC'!$W$6:$W$191, MATCH($A8&amp;"% GDP", 'Database.Jan 12 to SEC'!$AD$6:$AD$191, 0)), "")</f>
        <v/>
      </c>
      <c r="Z8" s="490"/>
      <c r="AC8" s="299"/>
      <c r="AE8" s="415" t="s">
        <v>0</v>
      </c>
      <c r="AF8" s="443">
        <v>249.72579708899613</v>
      </c>
      <c r="AG8" s="438">
        <v>13.808448829914081</v>
      </c>
      <c r="AH8" s="438">
        <v>235.91734825908205</v>
      </c>
      <c r="AI8" s="438" t="s">
        <v>452</v>
      </c>
      <c r="AJ8" s="437"/>
      <c r="AK8" s="443">
        <v>24.164785452349641</v>
      </c>
      <c r="AL8" s="438">
        <v>10.356336622435562</v>
      </c>
      <c r="AM8" s="441"/>
      <c r="AN8" s="438">
        <v>13.808448829914079</v>
      </c>
      <c r="AO8" s="438" t="s">
        <v>452</v>
      </c>
      <c r="AP8" s="331"/>
      <c r="AQ8" s="331"/>
      <c r="AR8" s="443">
        <v>18.370673152863606</v>
      </c>
      <c r="AS8" s="438">
        <v>1.0157961378415044</v>
      </c>
      <c r="AT8" s="438">
        <v>17.354877015022101</v>
      </c>
      <c r="AU8" s="438" t="s">
        <v>452</v>
      </c>
      <c r="AV8" s="437"/>
      <c r="AW8" s="443">
        <v>1.7776432412226326</v>
      </c>
      <c r="AX8" s="438">
        <v>0.76184710338112827</v>
      </c>
      <c r="AY8" s="441"/>
      <c r="AZ8" s="438">
        <v>1.0157961378415044</v>
      </c>
      <c r="BA8" s="438" t="s">
        <v>452</v>
      </c>
    </row>
    <row r="9" spans="1:53">
      <c r="A9" s="415" t="s">
        <v>1</v>
      </c>
      <c r="B9" s="415" t="s">
        <v>1</v>
      </c>
      <c r="C9" s="492" t="str">
        <f>IF(ISNUMBER(INDEX('Database.Jan 12 to SEC'!$G$6:$G$191, MATCH($A9&amp;"USD bn", 'Database.Jan 12 to SEC'!$AD$6:$AD$191, 0))), INDEX('Database.Jan 12 to SEC'!$G$6:$G$191, MATCH($A9&amp;"USD bn", 'Database.Jan 12 to SEC'!$AD$6:$AD$191, 0)), "")</f>
        <v/>
      </c>
      <c r="D9" s="493" t="str">
        <f>IF(ISNUMBER(INDEX('Database.Jan 12 to SEC'!$H$6:$H$191, MATCH($A9&amp;"USD bn", 'Database.Jan 12 to SEC'!$AD$6:$AD$191, 0))), INDEX('Database.Jan 12 to SEC'!$H$6:$H$191, MATCH($A9&amp;"USD bn", 'Database.Jan 12 to SEC'!$AD$6:$AD$191, 0)), "")</f>
        <v/>
      </c>
      <c r="E9" s="493" t="str">
        <f>IF(ISNUMBER(INDEX('Database.Jan 12 to SEC'!$J$6:$J$191, MATCH($A9&amp;"USD bn", 'Database.Jan 12 to SEC'!$AD$6:$AD$191, 0))), INDEX('Database.Jan 12 to SEC'!$J$6:$J$191, MATCH($A9&amp;"USD bn", 'Database.Jan 12 to SEC'!$AD$6:$AD$191, 0)), "")</f>
        <v/>
      </c>
      <c r="F9" s="493" t="str">
        <f>IF(ISNUMBER(INDEX('Database.Jan 12 to SEC'!$L$6:$L$191, MATCH($A9&amp;"USD bn", 'Database.Jan 12 to SEC'!$AD$6:$AD$191, 0))), INDEX('Database.Jan 12 to SEC'!$L$6:$L$191, MATCH($A9&amp;"USD bn", 'Database.Jan 12 to SEC'!$AD$6:$AD$191, 0)), "")</f>
        <v/>
      </c>
      <c r="G9" s="493"/>
      <c r="H9" s="494" t="str">
        <f>IF(ISNUMBER(INDEX('Database.Jan 12 to SEC'!$P$6:$P$191, MATCH($A9&amp;"USD bn", 'Database.Jan 12 to SEC'!$AD$6:$AD$191, 0))), INDEX('Database.Jan 12 to SEC'!$P$6:$P$191, MATCH($A9&amp;"USD bn", 'Database.Jan 12 to SEC'!$AD$6:$AD$191, 0)), "")</f>
        <v/>
      </c>
      <c r="I9" s="493" t="str">
        <f>IF(ISNUMBER(INDEX('Database.Jan 12 to SEC'!$Q$6:$Q$191, MATCH($A9&amp;"USD bn", 'Database.Jan 12 to SEC'!$AD$6:$AD$191, 0))), INDEX('Database.Jan 12 to SEC'!$Q$6:$Q$191, MATCH($A9&amp;"USD bn", 'Database.Jan 12 to SEC'!$AD$6:$AD$191, 0)), "")</f>
        <v/>
      </c>
      <c r="J9" s="493"/>
      <c r="K9" s="493" t="str">
        <f>IF(ISNUMBER(INDEX('Database.Jan 12 to SEC'!$U$6:$U$191, MATCH($A9&amp;"USD bn", 'Database.Jan 12 to SEC'!$AD$6:$AD$191, 0))), INDEX('Database.Jan 12 to SEC'!$U$6:$U$191, MATCH($A9&amp;"USD bn", 'Database.Jan 12 to SEC'!$AD$6:$AD$191, 0)), "")</f>
        <v/>
      </c>
      <c r="L9" s="493" t="str">
        <f>IF(ISNUMBER(INDEX('Database.Jan 12 to SEC'!$W$6:$W$191, MATCH($A9&amp;"USD bn", 'Database.Jan 12 to SEC'!$AD$6:$AD$191, 0))), INDEX('Database.Jan 12 to SEC'!$W$6:$W$191, MATCH($A9&amp;"USD bn", 'Database.Jan 12 to SEC'!$AD$6:$AD$191, 0)), "")</f>
        <v/>
      </c>
      <c r="M9"/>
      <c r="N9"/>
      <c r="O9" s="481" t="str">
        <f>IF(ISNUMBER(INDEX('Database.Jan 12 to SEC'!$G$6:$G$191, MATCH($A9&amp;"% GDP", 'Database.Jan 12 to SEC'!$AD$6:$AD$191, 0))), INDEX('Database.Jan 12 to SEC'!$G$6:$G$191, MATCH($A9&amp;"% GDP", 'Database.Jan 12 to SEC'!$AD$6:$AD$191, 0)), "")</f>
        <v/>
      </c>
      <c r="P9" s="480" t="str">
        <f>IF(ISNUMBER(INDEX('Database.Jan 12 to SEC'!$H$6:$H$191, MATCH($A9&amp;"% GDP", 'Database.Jan 12 to SEC'!$AD$6:$AD$191, 0))), INDEX('Database.Jan 12 to SEC'!$H$6:$H$191, MATCH($A9&amp;"% GDP", 'Database.Jan 12 to SEC'!$AD$6:$AD$191, 0)), "")</f>
        <v/>
      </c>
      <c r="Q9" s="480" t="str">
        <f>IF(ISNUMBER(INDEX('Database.Jan 12 to SEC'!$J$6:$J$191, MATCH($A9&amp;"% GDP", 'Database.Jan 12 to SEC'!$AD$6:$AD$191, 0))), INDEX('Database.Jan 12 to SEC'!$J$6:$J$191, MATCH($A9&amp;"% GDP", 'Database.Jan 12 to SEC'!$AD$6:$AD$191, 0)), "")</f>
        <v/>
      </c>
      <c r="R9" s="480" t="str">
        <f>IF(ISNUMBER(INDEX('Database.Jan 12 to SEC'!$L$6:$L$191, MATCH($A9&amp;"% GDP", 'Database.Jan 12 to SEC'!$AD$6:$AD$191, 0))), INDEX('Database.Jan 12 to SEC'!$L$6:$L$191, MATCH($A9&amp;"% GDP", 'Database.Jan 12 to SEC'!$AD$6:$AD$191, 0)), "")</f>
        <v/>
      </c>
      <c r="S9" s="482"/>
      <c r="T9" s="481" t="str">
        <f>IF(ISNUMBER(INDEX('Database.Jan 12 to SEC'!$P$6:$P$191, MATCH($A9&amp;"% GDP", 'Database.Jan 12 to SEC'!$AD$6:$AD$191, 0))), INDEX('Database.Jan 12 to SEC'!$P$6:$P$191, MATCH($A9&amp;"% GDP", 'Database.Jan 12 to SEC'!$AD$6:$AD$191, 0)), "")</f>
        <v/>
      </c>
      <c r="U9" s="480" t="str">
        <f>IF(ISNUMBER(INDEX('Database.Jan 12 to SEC'!$Q$6:$Q$191, MATCH($A9&amp;"% GDP", 'Database.Jan 12 to SEC'!$AD$6:$AD$191, 0))), INDEX('Database.Jan 12 to SEC'!$Q$6:$Q$191, MATCH($A9&amp;"% GDP", 'Database.Jan 12 to SEC'!$AD$6:$AD$191, 0)), "")</f>
        <v/>
      </c>
      <c r="V9" s="483"/>
      <c r="W9" s="480" t="str">
        <f>IF(ISNUMBER(INDEX('Database.Jan 12 to SEC'!$U$6:$U$191, MATCH($A9&amp;"% GDP", 'Database.Jan 12 to SEC'!$AD$6:$AD$191, 0))), INDEX('Database.Jan 12 to SEC'!$U$6:$U$191, MATCH($A9&amp;"% GDP", 'Database.Jan 12 to SEC'!$AD$6:$AD$191, 0)), "")</f>
        <v/>
      </c>
      <c r="X9" s="480" t="str">
        <f>IF(ISNUMBER(INDEX('Database.Jan 12 to SEC'!$W$6:$W$191, MATCH($A9&amp;"% GDP", 'Database.Jan 12 to SEC'!$AD$6:$AD$191, 0))), INDEX('Database.Jan 12 to SEC'!$W$6:$W$191, MATCH($A9&amp;"% GDP", 'Database.Jan 12 to SEC'!$AD$6:$AD$191, 0)), "")</f>
        <v/>
      </c>
      <c r="Z9" s="490"/>
      <c r="AC9" s="299"/>
      <c r="AE9" s="415" t="s">
        <v>1</v>
      </c>
      <c r="AF9" s="443">
        <v>261.78973301959445</v>
      </c>
      <c r="AG9" s="438">
        <v>45.632388666474455</v>
      </c>
      <c r="AH9" s="438">
        <v>216.15734435311998</v>
      </c>
      <c r="AI9" s="438">
        <v>68.027303732528338</v>
      </c>
      <c r="AJ9" s="437"/>
      <c r="AK9" s="443">
        <v>64.944134850488979</v>
      </c>
      <c r="AL9" s="438">
        <v>3.8772617821187447</v>
      </c>
      <c r="AM9" s="441"/>
      <c r="AN9" s="438">
        <v>61.066873068370228</v>
      </c>
      <c r="AO9" s="438" t="s">
        <v>452</v>
      </c>
      <c r="AP9" s="331"/>
      <c r="AQ9" s="331"/>
      <c r="AR9" s="443">
        <v>15.923588544631171</v>
      </c>
      <c r="AS9" s="438">
        <v>2.77562978903853</v>
      </c>
      <c r="AT9" s="438">
        <v>13.14795875559264</v>
      </c>
      <c r="AU9" s="438">
        <v>3.8595767164571715</v>
      </c>
      <c r="AV9" s="437"/>
      <c r="AW9" s="443">
        <v>3.9502835723081042</v>
      </c>
      <c r="AX9" s="438">
        <v>0.23583782521242411</v>
      </c>
      <c r="AY9" s="441"/>
      <c r="AZ9" s="438">
        <v>3.71444574709568</v>
      </c>
      <c r="BA9" s="438" t="s">
        <v>452</v>
      </c>
    </row>
    <row r="10" spans="1:53">
      <c r="A10" s="415" t="s">
        <v>430</v>
      </c>
      <c r="B10" s="415" t="s">
        <v>430</v>
      </c>
      <c r="C10" s="492" t="str">
        <f>IF(ISNUMBER(INDEX('Database.Jan 12 to SEC'!$G$6:$G$191, MATCH($A10&amp;"USD bn", 'Database.Jan 12 to SEC'!$AD$6:$AD$191, 0))), INDEX('Database.Jan 12 to SEC'!$G$6:$G$191, MATCH($A10&amp;"USD bn", 'Database.Jan 12 to SEC'!$AD$6:$AD$191, 0)), "")</f>
        <v/>
      </c>
      <c r="D10" s="493" t="str">
        <f>IF(ISNUMBER(INDEX('Database.Jan 12 to SEC'!$H$6:$H$191, MATCH($A10&amp;"USD bn", 'Database.Jan 12 to SEC'!$AD$6:$AD$191, 0))), INDEX('Database.Jan 12 to SEC'!$H$6:$H$191, MATCH($A10&amp;"USD bn", 'Database.Jan 12 to SEC'!$AD$6:$AD$191, 0)), "")</f>
        <v/>
      </c>
      <c r="E10" s="493" t="str">
        <f>IF(ISNUMBER(INDEX('Database.Jan 12 to SEC'!$J$6:$J$191, MATCH($A10&amp;"USD bn", 'Database.Jan 12 to SEC'!$AD$6:$AD$191, 0))), INDEX('Database.Jan 12 to SEC'!$J$6:$J$191, MATCH($A10&amp;"USD bn", 'Database.Jan 12 to SEC'!$AD$6:$AD$191, 0)), "")</f>
        <v/>
      </c>
      <c r="F10" s="493" t="str">
        <f>IF(ISNUMBER(INDEX('Database.Jan 12 to SEC'!$L$6:$L$191, MATCH($A10&amp;"USD bn", 'Database.Jan 12 to SEC'!$AD$6:$AD$191, 0))), INDEX('Database.Jan 12 to SEC'!$L$6:$L$191, MATCH($A10&amp;"USD bn", 'Database.Jan 12 to SEC'!$AD$6:$AD$191, 0)), "")</f>
        <v/>
      </c>
      <c r="G10" s="493"/>
      <c r="H10" s="494" t="str">
        <f>IF(ISNUMBER(INDEX('Database.Jan 12 to SEC'!$P$6:$P$191, MATCH($A10&amp;"USD bn", 'Database.Jan 12 to SEC'!$AD$6:$AD$191, 0))), INDEX('Database.Jan 12 to SEC'!$P$6:$P$191, MATCH($A10&amp;"USD bn", 'Database.Jan 12 to SEC'!$AD$6:$AD$191, 0)), "")</f>
        <v/>
      </c>
      <c r="I10" s="493" t="str">
        <f>IF(ISNUMBER(INDEX('Database.Jan 12 to SEC'!$Q$6:$Q$191, MATCH($A10&amp;"USD bn", 'Database.Jan 12 to SEC'!$AD$6:$AD$191, 0))), INDEX('Database.Jan 12 to SEC'!$Q$6:$Q$191, MATCH($A10&amp;"USD bn", 'Database.Jan 12 to SEC'!$AD$6:$AD$191, 0)), "")</f>
        <v/>
      </c>
      <c r="J10" s="493"/>
      <c r="K10" s="493" t="str">
        <f>IF(ISNUMBER(INDEX('Database.Jan 12 to SEC'!$U$6:$U$191, MATCH($A10&amp;"USD bn", 'Database.Jan 12 to SEC'!$AD$6:$AD$191, 0))), INDEX('Database.Jan 12 to SEC'!$U$6:$U$191, MATCH($A10&amp;"USD bn", 'Database.Jan 12 to SEC'!$AD$6:$AD$191, 0)), "")</f>
        <v/>
      </c>
      <c r="L10" s="493" t="str">
        <f>IF(ISNUMBER(INDEX('Database.Jan 12 to SEC'!$W$6:$W$191, MATCH($A10&amp;"USD bn", 'Database.Jan 12 to SEC'!$AD$6:$AD$191, 0))), INDEX('Database.Jan 12 to SEC'!$W$6:$W$191, MATCH($A10&amp;"USD bn", 'Database.Jan 12 to SEC'!$AD$6:$AD$191, 0)), "")</f>
        <v/>
      </c>
      <c r="M10"/>
      <c r="N10"/>
      <c r="O10" s="481" t="str">
        <f>IF(ISNUMBER(INDEX('Database.Jan 12 to SEC'!$G$6:$G$191, MATCH($A10&amp;"% GDP", 'Database.Jan 12 to SEC'!$AD$6:$AD$191, 0))), INDEX('Database.Jan 12 to SEC'!$G$6:$G$191, MATCH($A10&amp;"% GDP", 'Database.Jan 12 to SEC'!$AD$6:$AD$191, 0)), "")</f>
        <v/>
      </c>
      <c r="P10" s="480" t="str">
        <f>IF(ISNUMBER(INDEX('Database.Jan 12 to SEC'!$H$6:$H$191, MATCH($A10&amp;"% GDP", 'Database.Jan 12 to SEC'!$AD$6:$AD$191, 0))), INDEX('Database.Jan 12 to SEC'!$H$6:$H$191, MATCH($A10&amp;"% GDP", 'Database.Jan 12 to SEC'!$AD$6:$AD$191, 0)), "")</f>
        <v/>
      </c>
      <c r="Q10" s="480" t="str">
        <f>IF(ISNUMBER(INDEX('Database.Jan 12 to SEC'!$J$6:$J$191, MATCH($A10&amp;"% GDP", 'Database.Jan 12 to SEC'!$AD$6:$AD$191, 0))), INDEX('Database.Jan 12 to SEC'!$J$6:$J$191, MATCH($A10&amp;"% GDP", 'Database.Jan 12 to SEC'!$AD$6:$AD$191, 0)), "")</f>
        <v/>
      </c>
      <c r="R10" s="480" t="str">
        <f>IF(ISNUMBER(INDEX('Database.Jan 12 to SEC'!$L$6:$L$191, MATCH($A10&amp;"% GDP", 'Database.Jan 12 to SEC'!$AD$6:$AD$191, 0))), INDEX('Database.Jan 12 to SEC'!$L$6:$L$191, MATCH($A10&amp;"% GDP", 'Database.Jan 12 to SEC'!$AD$6:$AD$191, 0)), "")</f>
        <v/>
      </c>
      <c r="S10" s="482"/>
      <c r="T10" s="481" t="str">
        <f>IF(ISNUMBER(INDEX('Database.Jan 12 to SEC'!$P$6:$P$191, MATCH($A10&amp;"% GDP", 'Database.Jan 12 to SEC'!$AD$6:$AD$191, 0))), INDEX('Database.Jan 12 to SEC'!$P$6:$P$191, MATCH($A10&amp;"% GDP", 'Database.Jan 12 to SEC'!$AD$6:$AD$191, 0)), "")</f>
        <v/>
      </c>
      <c r="U10" s="480" t="str">
        <f>IF(ISNUMBER(INDEX('Database.Jan 12 to SEC'!$Q$6:$Q$191, MATCH($A10&amp;"% GDP", 'Database.Jan 12 to SEC'!$AD$6:$AD$191, 0))), INDEX('Database.Jan 12 to SEC'!$Q$6:$Q$191, MATCH($A10&amp;"% GDP", 'Database.Jan 12 to SEC'!$AD$6:$AD$191, 0)), "")</f>
        <v/>
      </c>
      <c r="V10" s="483"/>
      <c r="W10" s="480" t="str">
        <f>IF(ISNUMBER(INDEX('Database.Jan 12 to SEC'!$U$6:$U$191, MATCH($A10&amp;"% GDP", 'Database.Jan 12 to SEC'!$AD$6:$AD$191, 0))), INDEX('Database.Jan 12 to SEC'!$U$6:$U$191, MATCH($A10&amp;"% GDP", 'Database.Jan 12 to SEC'!$AD$6:$AD$191, 0)), "")</f>
        <v/>
      </c>
      <c r="X10" s="480" t="str">
        <f>IF(ISNUMBER(INDEX('Database.Jan 12 to SEC'!$W$6:$W$191, MATCH($A10&amp;"% GDP", 'Database.Jan 12 to SEC'!$AD$6:$AD$191, 0))), INDEX('Database.Jan 12 to SEC'!$W$6:$W$191, MATCH($A10&amp;"% GDP", 'Database.Jan 12 to SEC'!$AD$6:$AD$191, 0)), "")</f>
        <v/>
      </c>
      <c r="Z10" s="490"/>
      <c r="AC10" s="299"/>
      <c r="AE10" s="415" t="s">
        <v>430</v>
      </c>
      <c r="AF10" s="443" t="s">
        <v>452</v>
      </c>
      <c r="AG10" s="438" t="s">
        <v>452</v>
      </c>
      <c r="AH10" s="438" t="s">
        <v>452</v>
      </c>
      <c r="AI10" s="438" t="s">
        <v>452</v>
      </c>
      <c r="AJ10" s="437"/>
      <c r="AK10" s="443"/>
      <c r="AL10" s="438"/>
      <c r="AM10" s="441"/>
      <c r="AN10" s="438"/>
      <c r="AO10" s="438"/>
      <c r="AP10" s="331"/>
      <c r="AQ10" s="331"/>
      <c r="AR10" s="443"/>
      <c r="AS10" s="438"/>
      <c r="AT10" s="438"/>
      <c r="AU10" s="438"/>
      <c r="AV10" s="437"/>
      <c r="AW10" s="443"/>
      <c r="AX10" s="438" t="s">
        <v>452</v>
      </c>
      <c r="AY10" s="441"/>
      <c r="AZ10" s="438" t="s">
        <v>452</v>
      </c>
      <c r="BA10" s="438" t="s">
        <v>452</v>
      </c>
    </row>
    <row r="11" spans="1:53">
      <c r="A11" s="415" t="s">
        <v>2</v>
      </c>
      <c r="B11" s="415" t="s">
        <v>2</v>
      </c>
      <c r="C11" s="492" t="str">
        <f>IF(ISNUMBER(INDEX('Database.Jan 12 to SEC'!$G$6:$G$191, MATCH($A11&amp;"USD bn", 'Database.Jan 12 to SEC'!$AD$6:$AD$191, 0))), INDEX('Database.Jan 12 to SEC'!$G$6:$G$191, MATCH($A11&amp;"USD bn", 'Database.Jan 12 to SEC'!$AD$6:$AD$191, 0)), "")</f>
        <v/>
      </c>
      <c r="D11" s="493" t="str">
        <f>IF(ISNUMBER(INDEX('Database.Jan 12 to SEC'!$H$6:$H$191, MATCH($A11&amp;"USD bn", 'Database.Jan 12 to SEC'!$AD$6:$AD$191, 0))), INDEX('Database.Jan 12 to SEC'!$H$6:$H$191, MATCH($A11&amp;"USD bn", 'Database.Jan 12 to SEC'!$AD$6:$AD$191, 0)), "")</f>
        <v/>
      </c>
      <c r="E11" s="493" t="str">
        <f>IF(ISNUMBER(INDEX('Database.Jan 12 to SEC'!$J$6:$J$191, MATCH($A11&amp;"USD bn", 'Database.Jan 12 to SEC'!$AD$6:$AD$191, 0))), INDEX('Database.Jan 12 to SEC'!$J$6:$J$191, MATCH($A11&amp;"USD bn", 'Database.Jan 12 to SEC'!$AD$6:$AD$191, 0)), "")</f>
        <v/>
      </c>
      <c r="F11" s="493" t="str">
        <f>IF(ISNUMBER(INDEX('Database.Jan 12 to SEC'!$L$6:$L$191, MATCH($A11&amp;"USD bn", 'Database.Jan 12 to SEC'!$AD$6:$AD$191, 0))), INDEX('Database.Jan 12 to SEC'!$L$6:$L$191, MATCH($A11&amp;"USD bn", 'Database.Jan 12 to SEC'!$AD$6:$AD$191, 0)), "")</f>
        <v/>
      </c>
      <c r="G11" s="493"/>
      <c r="H11" s="494" t="str">
        <f>IF(ISNUMBER(INDEX('Database.Jan 12 to SEC'!$P$6:$P$191, MATCH($A11&amp;"USD bn", 'Database.Jan 12 to SEC'!$AD$6:$AD$191, 0))), INDEX('Database.Jan 12 to SEC'!$P$6:$P$191, MATCH($A11&amp;"USD bn", 'Database.Jan 12 to SEC'!$AD$6:$AD$191, 0)), "")</f>
        <v/>
      </c>
      <c r="I11" s="493" t="str">
        <f>IF(ISNUMBER(INDEX('Database.Jan 12 to SEC'!$Q$6:$Q$191, MATCH($A11&amp;"USD bn", 'Database.Jan 12 to SEC'!$AD$6:$AD$191, 0))), INDEX('Database.Jan 12 to SEC'!$Q$6:$Q$191, MATCH($A11&amp;"USD bn", 'Database.Jan 12 to SEC'!$AD$6:$AD$191, 0)), "")</f>
        <v/>
      </c>
      <c r="J11" s="493"/>
      <c r="K11" s="493" t="str">
        <f>IF(ISNUMBER(INDEX('Database.Jan 12 to SEC'!$U$6:$U$191, MATCH($A11&amp;"USD bn", 'Database.Jan 12 to SEC'!$AD$6:$AD$191, 0))), INDEX('Database.Jan 12 to SEC'!$U$6:$U$191, MATCH($A11&amp;"USD bn", 'Database.Jan 12 to SEC'!$AD$6:$AD$191, 0)), "")</f>
        <v/>
      </c>
      <c r="L11" s="493" t="str">
        <f>IF(ISNUMBER(INDEX('Database.Jan 12 to SEC'!$W$6:$W$191, MATCH($A11&amp;"USD bn", 'Database.Jan 12 to SEC'!$AD$6:$AD$191, 0))), INDEX('Database.Jan 12 to SEC'!$W$6:$W$191, MATCH($A11&amp;"USD bn", 'Database.Jan 12 to SEC'!$AD$6:$AD$191, 0)), "")</f>
        <v/>
      </c>
      <c r="M11"/>
      <c r="N11"/>
      <c r="O11" s="481" t="str">
        <f>IF(ISNUMBER(INDEX('Database.Jan 12 to SEC'!$G$6:$G$191, MATCH($A11&amp;"% GDP", 'Database.Jan 12 to SEC'!$AD$6:$AD$191, 0))), INDEX('Database.Jan 12 to SEC'!$G$6:$G$191, MATCH($A11&amp;"% GDP", 'Database.Jan 12 to SEC'!$AD$6:$AD$191, 0)), "")</f>
        <v/>
      </c>
      <c r="P11" s="480" t="str">
        <f>IF(ISNUMBER(INDEX('Database.Jan 12 to SEC'!$H$6:$H$191, MATCH($A11&amp;"% GDP", 'Database.Jan 12 to SEC'!$AD$6:$AD$191, 0))), INDEX('Database.Jan 12 to SEC'!$H$6:$H$191, MATCH($A11&amp;"% GDP", 'Database.Jan 12 to SEC'!$AD$6:$AD$191, 0)), "")</f>
        <v/>
      </c>
      <c r="Q11" s="480" t="str">
        <f>IF(ISNUMBER(INDEX('Database.Jan 12 to SEC'!$J$6:$J$191, MATCH($A11&amp;"% GDP", 'Database.Jan 12 to SEC'!$AD$6:$AD$191, 0))), INDEX('Database.Jan 12 to SEC'!$J$6:$J$191, MATCH($A11&amp;"% GDP", 'Database.Jan 12 to SEC'!$AD$6:$AD$191, 0)), "")</f>
        <v/>
      </c>
      <c r="R11" s="480" t="str">
        <f>IF(ISNUMBER(INDEX('Database.Jan 12 to SEC'!$L$6:$L$191, MATCH($A11&amp;"% GDP", 'Database.Jan 12 to SEC'!$AD$6:$AD$191, 0))), INDEX('Database.Jan 12 to SEC'!$L$6:$L$191, MATCH($A11&amp;"% GDP", 'Database.Jan 12 to SEC'!$AD$6:$AD$191, 0)), "")</f>
        <v/>
      </c>
      <c r="S11" s="482"/>
      <c r="T11" s="481" t="str">
        <f>IF(ISNUMBER(INDEX('Database.Jan 12 to SEC'!$P$6:$P$191, MATCH($A11&amp;"% GDP", 'Database.Jan 12 to SEC'!$AD$6:$AD$191, 0))), INDEX('Database.Jan 12 to SEC'!$P$6:$P$191, MATCH($A11&amp;"% GDP", 'Database.Jan 12 to SEC'!$AD$6:$AD$191, 0)), "")</f>
        <v/>
      </c>
      <c r="U11" s="480" t="str">
        <f>IF(ISNUMBER(INDEX('Database.Jan 12 to SEC'!$Q$6:$Q$191, MATCH($A11&amp;"% GDP", 'Database.Jan 12 to SEC'!$AD$6:$AD$191, 0))), INDEX('Database.Jan 12 to SEC'!$Q$6:$Q$191, MATCH($A11&amp;"% GDP", 'Database.Jan 12 to SEC'!$AD$6:$AD$191, 0)), "")</f>
        <v/>
      </c>
      <c r="V11" s="483"/>
      <c r="W11" s="480" t="str">
        <f>IF(ISNUMBER(INDEX('Database.Jan 12 to SEC'!$U$6:$U$191, MATCH($A11&amp;"% GDP", 'Database.Jan 12 to SEC'!$AD$6:$AD$191, 0))), INDEX('Database.Jan 12 to SEC'!$U$6:$U$191, MATCH($A11&amp;"% GDP", 'Database.Jan 12 to SEC'!$AD$6:$AD$191, 0)), "")</f>
        <v/>
      </c>
      <c r="X11" s="480" t="str">
        <f>IF(ISNUMBER(INDEX('Database.Jan 12 to SEC'!$W$6:$W$191, MATCH($A11&amp;"% GDP", 'Database.Jan 12 to SEC'!$AD$6:$AD$191, 0))), INDEX('Database.Jan 12 to SEC'!$W$6:$W$191, MATCH($A11&amp;"% GDP", 'Database.Jan 12 to SEC'!$AD$6:$AD$191, 0)), "")</f>
        <v/>
      </c>
      <c r="Z11" s="490"/>
      <c r="AC11" s="299"/>
      <c r="AE11" s="415" t="s">
        <v>2</v>
      </c>
      <c r="AF11" s="443">
        <v>252.88463784604201</v>
      </c>
      <c r="AG11" s="438">
        <v>38.633570180174964</v>
      </c>
      <c r="AH11" s="438">
        <v>214.25106766586705</v>
      </c>
      <c r="AI11" s="438">
        <v>79.204517036051911</v>
      </c>
      <c r="AJ11" s="437"/>
      <c r="AK11" s="443">
        <v>399.21355852847461</v>
      </c>
      <c r="AL11" s="438">
        <v>18.006206750642018</v>
      </c>
      <c r="AM11" s="441"/>
      <c r="AN11" s="438">
        <v>381.20735177783257</v>
      </c>
      <c r="AO11" s="438" t="s">
        <v>452</v>
      </c>
      <c r="AP11" s="331"/>
      <c r="AQ11" s="331"/>
      <c r="AR11" s="443">
        <v>9.6358441242628725</v>
      </c>
      <c r="AS11" s="438">
        <v>1.4720825408405198</v>
      </c>
      <c r="AT11" s="438">
        <v>8.1637615834223531</v>
      </c>
      <c r="AU11" s="438">
        <v>3.017986330041774</v>
      </c>
      <c r="AV11" s="437"/>
      <c r="AW11" s="443">
        <v>15.211519588685375</v>
      </c>
      <c r="AX11" s="438">
        <v>0.68610336711741049</v>
      </c>
      <c r="AY11" s="441"/>
      <c r="AZ11" s="438">
        <v>14.525416221567964</v>
      </c>
      <c r="BA11" s="438" t="s">
        <v>452</v>
      </c>
    </row>
    <row r="12" spans="1:53">
      <c r="A12" s="415" t="s">
        <v>3</v>
      </c>
      <c r="B12" s="415" t="s">
        <v>3</v>
      </c>
      <c r="C12" s="492" t="str">
        <f>IF(ISNUMBER(INDEX('Database.Jan 12 to SEC'!$G$6:$G$191, MATCH($A12&amp;"USD bn", 'Database.Jan 12 to SEC'!$AD$6:$AD$191, 0))), INDEX('Database.Jan 12 to SEC'!$G$6:$G$191, MATCH($A12&amp;"USD bn", 'Database.Jan 12 to SEC'!$AD$6:$AD$191, 0)), "")</f>
        <v/>
      </c>
      <c r="D12" s="493" t="str">
        <f>IF(ISNUMBER(INDEX('Database.Jan 12 to SEC'!$H$6:$H$191, MATCH($A12&amp;"USD bn", 'Database.Jan 12 to SEC'!$AD$6:$AD$191, 0))), INDEX('Database.Jan 12 to SEC'!$H$6:$H$191, MATCH($A12&amp;"USD bn", 'Database.Jan 12 to SEC'!$AD$6:$AD$191, 0)), "")</f>
        <v/>
      </c>
      <c r="E12" s="493" t="str">
        <f>IF(ISNUMBER(INDEX('Database.Jan 12 to SEC'!$J$6:$J$191, MATCH($A12&amp;"USD bn", 'Database.Jan 12 to SEC'!$AD$6:$AD$191, 0))), INDEX('Database.Jan 12 to SEC'!$J$6:$J$191, MATCH($A12&amp;"USD bn", 'Database.Jan 12 to SEC'!$AD$6:$AD$191, 0)), "")</f>
        <v/>
      </c>
      <c r="F12" s="493" t="str">
        <f>IF(ISNUMBER(INDEX('Database.Jan 12 to SEC'!$L$6:$L$191, MATCH($A12&amp;"USD bn", 'Database.Jan 12 to SEC'!$AD$6:$AD$191, 0))), INDEX('Database.Jan 12 to SEC'!$L$6:$L$191, MATCH($A12&amp;"USD bn", 'Database.Jan 12 to SEC'!$AD$6:$AD$191, 0)), "")</f>
        <v/>
      </c>
      <c r="G12" s="493"/>
      <c r="H12" s="494" t="str">
        <f>IF(ISNUMBER(INDEX('Database.Jan 12 to SEC'!$P$6:$P$191, MATCH($A12&amp;"USD bn", 'Database.Jan 12 to SEC'!$AD$6:$AD$191, 0))), INDEX('Database.Jan 12 to SEC'!$P$6:$P$191, MATCH($A12&amp;"USD bn", 'Database.Jan 12 to SEC'!$AD$6:$AD$191, 0)), "")</f>
        <v/>
      </c>
      <c r="I12" s="493" t="str">
        <f>IF(ISNUMBER(INDEX('Database.Jan 12 to SEC'!$Q$6:$Q$191, MATCH($A12&amp;"USD bn", 'Database.Jan 12 to SEC'!$AD$6:$AD$191, 0))), INDEX('Database.Jan 12 to SEC'!$Q$6:$Q$191, MATCH($A12&amp;"USD bn", 'Database.Jan 12 to SEC'!$AD$6:$AD$191, 0)), "")</f>
        <v/>
      </c>
      <c r="J12" s="493"/>
      <c r="K12" s="493" t="str">
        <f>IF(ISNUMBER(INDEX('Database.Jan 12 to SEC'!$U$6:$U$191, MATCH($A12&amp;"USD bn", 'Database.Jan 12 to SEC'!$AD$6:$AD$191, 0))), INDEX('Database.Jan 12 to SEC'!$U$6:$U$191, MATCH($A12&amp;"USD bn", 'Database.Jan 12 to SEC'!$AD$6:$AD$191, 0)), "")</f>
        <v/>
      </c>
      <c r="L12" s="493" t="str">
        <f>IF(ISNUMBER(INDEX('Database.Jan 12 to SEC'!$W$6:$W$191, MATCH($A12&amp;"USD bn", 'Database.Jan 12 to SEC'!$AD$6:$AD$191, 0))), INDEX('Database.Jan 12 to SEC'!$W$6:$W$191, MATCH($A12&amp;"USD bn", 'Database.Jan 12 to SEC'!$AD$6:$AD$191, 0)), "")</f>
        <v/>
      </c>
      <c r="M12"/>
      <c r="N12"/>
      <c r="O12" s="481" t="str">
        <f>IF(ISNUMBER(INDEX('Database.Jan 12 to SEC'!$G$6:$G$191, MATCH($A12&amp;"% GDP", 'Database.Jan 12 to SEC'!$AD$6:$AD$191, 0))), INDEX('Database.Jan 12 to SEC'!$G$6:$G$191, MATCH($A12&amp;"% GDP", 'Database.Jan 12 to SEC'!$AD$6:$AD$191, 0)), "")</f>
        <v/>
      </c>
      <c r="P12" s="480" t="str">
        <f>IF(ISNUMBER(INDEX('Database.Jan 12 to SEC'!$H$6:$H$191, MATCH($A12&amp;"% GDP", 'Database.Jan 12 to SEC'!$AD$6:$AD$191, 0))), INDEX('Database.Jan 12 to SEC'!$H$6:$H$191, MATCH($A12&amp;"% GDP", 'Database.Jan 12 to SEC'!$AD$6:$AD$191, 0)), "")</f>
        <v/>
      </c>
      <c r="Q12" s="480" t="str">
        <f>IF(ISNUMBER(INDEX('Database.Jan 12 to SEC'!$J$6:$J$191, MATCH($A12&amp;"% GDP", 'Database.Jan 12 to SEC'!$AD$6:$AD$191, 0))), INDEX('Database.Jan 12 to SEC'!$J$6:$J$191, MATCH($A12&amp;"% GDP", 'Database.Jan 12 to SEC'!$AD$6:$AD$191, 0)), "")</f>
        <v/>
      </c>
      <c r="R12" s="480" t="str">
        <f>IF(ISNUMBER(INDEX('Database.Jan 12 to SEC'!$L$6:$L$191, MATCH($A12&amp;"% GDP", 'Database.Jan 12 to SEC'!$AD$6:$AD$191, 0))), INDEX('Database.Jan 12 to SEC'!$L$6:$L$191, MATCH($A12&amp;"% GDP", 'Database.Jan 12 to SEC'!$AD$6:$AD$191, 0)), "")</f>
        <v/>
      </c>
      <c r="S12" s="482"/>
      <c r="T12" s="481" t="str">
        <f>IF(ISNUMBER(INDEX('Database.Jan 12 to SEC'!$P$6:$P$191, MATCH($A12&amp;"% GDP", 'Database.Jan 12 to SEC'!$AD$6:$AD$191, 0))), INDEX('Database.Jan 12 to SEC'!$P$6:$P$191, MATCH($A12&amp;"% GDP", 'Database.Jan 12 to SEC'!$AD$6:$AD$191, 0)), "")</f>
        <v/>
      </c>
      <c r="U12" s="480" t="str">
        <f>IF(ISNUMBER(INDEX('Database.Jan 12 to SEC'!$Q$6:$Q$191, MATCH($A12&amp;"% GDP", 'Database.Jan 12 to SEC'!$AD$6:$AD$191, 0))), INDEX('Database.Jan 12 to SEC'!$Q$6:$Q$191, MATCH($A12&amp;"% GDP", 'Database.Jan 12 to SEC'!$AD$6:$AD$191, 0)), "")</f>
        <v/>
      </c>
      <c r="V12" s="483"/>
      <c r="W12" s="480" t="str">
        <f>IF(ISNUMBER(INDEX('Database.Jan 12 to SEC'!$U$6:$U$191, MATCH($A12&amp;"% GDP", 'Database.Jan 12 to SEC'!$AD$6:$AD$191, 0))), INDEX('Database.Jan 12 to SEC'!$U$6:$U$191, MATCH($A12&amp;"% GDP", 'Database.Jan 12 to SEC'!$AD$6:$AD$191, 0)), "")</f>
        <v/>
      </c>
      <c r="X12" s="480" t="str">
        <f>IF(ISNUMBER(INDEX('Database.Jan 12 to SEC'!$W$6:$W$191, MATCH($A12&amp;"% GDP", 'Database.Jan 12 to SEC'!$AD$6:$AD$191, 0))), INDEX('Database.Jan 12 to SEC'!$W$6:$W$191, MATCH($A12&amp;"% GDP", 'Database.Jan 12 to SEC'!$AD$6:$AD$191, 0)), "")</f>
        <v/>
      </c>
      <c r="Z12" s="490"/>
      <c r="AC12" s="299"/>
      <c r="AE12" s="415" t="s">
        <v>3</v>
      </c>
      <c r="AF12" s="443">
        <v>588.90143942687689</v>
      </c>
      <c r="AG12" s="438">
        <v>69.618193420619164</v>
      </c>
      <c r="AH12" s="438">
        <v>519.28324600625774</v>
      </c>
      <c r="AI12" s="438" t="s">
        <v>452</v>
      </c>
      <c r="AJ12" s="437"/>
      <c r="AK12" s="443">
        <v>1057.9682836215404</v>
      </c>
      <c r="AL12" s="438">
        <v>114.12818593544125</v>
      </c>
      <c r="AM12" s="441"/>
      <c r="AN12" s="438">
        <v>943.84009768609917</v>
      </c>
      <c r="AO12" s="438" t="s">
        <v>452</v>
      </c>
      <c r="AP12" s="331"/>
      <c r="AQ12" s="331"/>
      <c r="AR12" s="443">
        <v>15.322666856715248</v>
      </c>
      <c r="AS12" s="438">
        <v>1.8114005392628492</v>
      </c>
      <c r="AT12" s="438">
        <v>13.511266317452399</v>
      </c>
      <c r="AU12" s="438" t="s">
        <v>452</v>
      </c>
      <c r="AV12" s="437"/>
      <c r="AW12" s="443">
        <v>27.786270524971673</v>
      </c>
      <c r="AX12" s="438">
        <v>2.9974401860810866</v>
      </c>
      <c r="AY12" s="441"/>
      <c r="AZ12" s="438">
        <v>24.788830338890588</v>
      </c>
      <c r="BA12" s="438" t="s">
        <v>452</v>
      </c>
    </row>
    <row r="13" spans="1:53">
      <c r="A13" s="415" t="s">
        <v>4</v>
      </c>
      <c r="B13" s="415" t="s">
        <v>4</v>
      </c>
      <c r="C13" s="492" t="str">
        <f>IF(ISNUMBER(INDEX('Database.Jan 12 to SEC'!$G$6:$G$191, MATCH($A13&amp;"USD bn", 'Database.Jan 12 to SEC'!$AD$6:$AD$191, 0))), INDEX('Database.Jan 12 to SEC'!$G$6:$G$191, MATCH($A13&amp;"USD bn", 'Database.Jan 12 to SEC'!$AD$6:$AD$191, 0)), "")</f>
        <v/>
      </c>
      <c r="D13" s="493" t="str">
        <f>IF(ISNUMBER(INDEX('Database.Jan 12 to SEC'!$H$6:$H$191, MATCH($A13&amp;"USD bn", 'Database.Jan 12 to SEC'!$AD$6:$AD$191, 0))), INDEX('Database.Jan 12 to SEC'!$H$6:$H$191, MATCH($A13&amp;"USD bn", 'Database.Jan 12 to SEC'!$AD$6:$AD$191, 0)), "")</f>
        <v/>
      </c>
      <c r="E13" s="493" t="str">
        <f>IF(ISNUMBER(INDEX('Database.Jan 12 to SEC'!$J$6:$J$191, MATCH($A13&amp;"USD bn", 'Database.Jan 12 to SEC'!$AD$6:$AD$191, 0))), INDEX('Database.Jan 12 to SEC'!$J$6:$J$191, MATCH($A13&amp;"USD bn", 'Database.Jan 12 to SEC'!$AD$6:$AD$191, 0)), "")</f>
        <v/>
      </c>
      <c r="F13" s="493" t="str">
        <f>IF(ISNUMBER(INDEX('Database.Jan 12 to SEC'!$L$6:$L$191, MATCH($A13&amp;"USD bn", 'Database.Jan 12 to SEC'!$AD$6:$AD$191, 0))), INDEX('Database.Jan 12 to SEC'!$L$6:$L$191, MATCH($A13&amp;"USD bn", 'Database.Jan 12 to SEC'!$AD$6:$AD$191, 0)), "")</f>
        <v/>
      </c>
      <c r="G13" s="493"/>
      <c r="H13" s="494" t="str">
        <f>IF(ISNUMBER(INDEX('Database.Jan 12 to SEC'!$P$6:$P$191, MATCH($A13&amp;"USD bn", 'Database.Jan 12 to SEC'!$AD$6:$AD$191, 0))), INDEX('Database.Jan 12 to SEC'!$P$6:$P$191, MATCH($A13&amp;"USD bn", 'Database.Jan 12 to SEC'!$AD$6:$AD$191, 0)), "")</f>
        <v/>
      </c>
      <c r="I13" s="493" t="str">
        <f>IF(ISNUMBER(INDEX('Database.Jan 12 to SEC'!$Q$6:$Q$191, MATCH($A13&amp;"USD bn", 'Database.Jan 12 to SEC'!$AD$6:$AD$191, 0))), INDEX('Database.Jan 12 to SEC'!$Q$6:$Q$191, MATCH($A13&amp;"USD bn", 'Database.Jan 12 to SEC'!$AD$6:$AD$191, 0)), "")</f>
        <v/>
      </c>
      <c r="J13" s="493"/>
      <c r="K13" s="493" t="str">
        <f>IF(ISNUMBER(INDEX('Database.Jan 12 to SEC'!$U$6:$U$191, MATCH($A13&amp;"USD bn", 'Database.Jan 12 to SEC'!$AD$6:$AD$191, 0))), INDEX('Database.Jan 12 to SEC'!$U$6:$U$191, MATCH($A13&amp;"USD bn", 'Database.Jan 12 to SEC'!$AD$6:$AD$191, 0)), "")</f>
        <v/>
      </c>
      <c r="L13" s="493" t="str">
        <f>IF(ISNUMBER(INDEX('Database.Jan 12 to SEC'!$W$6:$W$191, MATCH($A13&amp;"USD bn", 'Database.Jan 12 to SEC'!$AD$6:$AD$191, 0))), INDEX('Database.Jan 12 to SEC'!$W$6:$W$191, MATCH($A13&amp;"USD bn", 'Database.Jan 12 to SEC'!$AD$6:$AD$191, 0)), "")</f>
        <v/>
      </c>
      <c r="M13"/>
      <c r="N13"/>
      <c r="O13" s="481" t="str">
        <f>IF(ISNUMBER(INDEX('Database.Jan 12 to SEC'!$G$6:$G$191, MATCH($A13&amp;"% GDP", 'Database.Jan 12 to SEC'!$AD$6:$AD$191, 0))), INDEX('Database.Jan 12 to SEC'!$G$6:$G$191, MATCH($A13&amp;"% GDP", 'Database.Jan 12 to SEC'!$AD$6:$AD$191, 0)), "")</f>
        <v/>
      </c>
      <c r="P13" s="480" t="str">
        <f>IF(ISNUMBER(INDEX('Database.Jan 12 to SEC'!$H$6:$H$191, MATCH($A13&amp;"% GDP", 'Database.Jan 12 to SEC'!$AD$6:$AD$191, 0))), INDEX('Database.Jan 12 to SEC'!$H$6:$H$191, MATCH($A13&amp;"% GDP", 'Database.Jan 12 to SEC'!$AD$6:$AD$191, 0)), "")</f>
        <v/>
      </c>
      <c r="Q13" s="480" t="str">
        <f>IF(ISNUMBER(INDEX('Database.Jan 12 to SEC'!$J$6:$J$191, MATCH($A13&amp;"% GDP", 'Database.Jan 12 to SEC'!$AD$6:$AD$191, 0))), INDEX('Database.Jan 12 to SEC'!$J$6:$J$191, MATCH($A13&amp;"% GDP", 'Database.Jan 12 to SEC'!$AD$6:$AD$191, 0)), "")</f>
        <v/>
      </c>
      <c r="R13" s="480" t="str">
        <f>IF(ISNUMBER(INDEX('Database.Jan 12 to SEC'!$L$6:$L$191, MATCH($A13&amp;"% GDP", 'Database.Jan 12 to SEC'!$AD$6:$AD$191, 0))), INDEX('Database.Jan 12 to SEC'!$L$6:$L$191, MATCH($A13&amp;"% GDP", 'Database.Jan 12 to SEC'!$AD$6:$AD$191, 0)), "")</f>
        <v/>
      </c>
      <c r="S13" s="482"/>
      <c r="T13" s="481" t="str">
        <f>IF(ISNUMBER(INDEX('Database.Jan 12 to SEC'!$P$6:$P$191, MATCH($A13&amp;"% GDP", 'Database.Jan 12 to SEC'!$AD$6:$AD$191, 0))), INDEX('Database.Jan 12 to SEC'!$P$6:$P$191, MATCH($A13&amp;"% GDP", 'Database.Jan 12 to SEC'!$AD$6:$AD$191, 0)), "")</f>
        <v/>
      </c>
      <c r="U13" s="480" t="str">
        <f>IF(ISNUMBER(INDEX('Database.Jan 12 to SEC'!$Q$6:$Q$191, MATCH($A13&amp;"% GDP", 'Database.Jan 12 to SEC'!$AD$6:$AD$191, 0))), INDEX('Database.Jan 12 to SEC'!$Q$6:$Q$191, MATCH($A13&amp;"% GDP", 'Database.Jan 12 to SEC'!$AD$6:$AD$191, 0)), "")</f>
        <v/>
      </c>
      <c r="V13" s="483"/>
      <c r="W13" s="480" t="str">
        <f>IF(ISNUMBER(INDEX('Database.Jan 12 to SEC'!$U$6:$U$191, MATCH($A13&amp;"% GDP", 'Database.Jan 12 to SEC'!$AD$6:$AD$191, 0))), INDEX('Database.Jan 12 to SEC'!$U$6:$U$191, MATCH($A13&amp;"% GDP", 'Database.Jan 12 to SEC'!$AD$6:$AD$191, 0)), "")</f>
        <v/>
      </c>
      <c r="X13" s="480" t="str">
        <f>IF(ISNUMBER(INDEX('Database.Jan 12 to SEC'!$W$6:$W$191, MATCH($A13&amp;"% GDP", 'Database.Jan 12 to SEC'!$AD$6:$AD$191, 0))), INDEX('Database.Jan 12 to SEC'!$W$6:$W$191, MATCH($A13&amp;"% GDP", 'Database.Jan 12 to SEC'!$AD$6:$AD$191, 0)), "")</f>
        <v/>
      </c>
      <c r="Z13" s="490"/>
      <c r="AC13" s="299"/>
      <c r="AE13" s="415" t="s">
        <v>4</v>
      </c>
      <c r="AF13" s="443">
        <v>205.43073468379424</v>
      </c>
      <c r="AG13" s="438">
        <v>22.825637187088251</v>
      </c>
      <c r="AH13" s="438">
        <v>182.60509749670598</v>
      </c>
      <c r="AI13" s="438">
        <v>7.9889730154808873</v>
      </c>
      <c r="AJ13" s="437"/>
      <c r="AK13" s="443">
        <v>664.51136260910675</v>
      </c>
      <c r="AL13" s="438">
        <v>3.7091660429018405</v>
      </c>
      <c r="AM13" s="441"/>
      <c r="AN13" s="438">
        <v>660.80219656620488</v>
      </c>
      <c r="AO13" s="438" t="s">
        <v>452</v>
      </c>
      <c r="AP13" s="331"/>
      <c r="AQ13" s="331"/>
      <c r="AR13" s="443">
        <v>10.898555638640223</v>
      </c>
      <c r="AS13" s="438">
        <v>1.2109506265155805</v>
      </c>
      <c r="AT13" s="438">
        <v>9.6876050121246422</v>
      </c>
      <c r="AU13" s="438">
        <v>0.42383271928045313</v>
      </c>
      <c r="AV13" s="437"/>
      <c r="AW13" s="443">
        <v>35.253800114434831</v>
      </c>
      <c r="AX13" s="438">
        <v>0.19677947680878183</v>
      </c>
      <c r="AY13" s="441"/>
      <c r="AZ13" s="438">
        <v>35.057020637626053</v>
      </c>
      <c r="BA13" s="438" t="s">
        <v>452</v>
      </c>
    </row>
    <row r="14" spans="1:53">
      <c r="A14" s="415" t="s">
        <v>5</v>
      </c>
      <c r="B14" s="415" t="s">
        <v>5</v>
      </c>
      <c r="C14" s="492" t="str">
        <f>IF(ISNUMBER(INDEX('Database.Jan 12 to SEC'!$G$6:$G$191, MATCH($A14&amp;"USD bn", 'Database.Jan 12 to SEC'!$AD$6:$AD$191, 0))), INDEX('Database.Jan 12 to SEC'!$G$6:$G$191, MATCH($A14&amp;"USD bn", 'Database.Jan 12 to SEC'!$AD$6:$AD$191, 0)), "")</f>
        <v/>
      </c>
      <c r="D14" s="493" t="str">
        <f>IF(ISNUMBER(INDEX('Database.Jan 12 to SEC'!$H$6:$H$191, MATCH($A14&amp;"USD bn", 'Database.Jan 12 to SEC'!$AD$6:$AD$191, 0))), INDEX('Database.Jan 12 to SEC'!$H$6:$H$191, MATCH($A14&amp;"USD bn", 'Database.Jan 12 to SEC'!$AD$6:$AD$191, 0)), "")</f>
        <v/>
      </c>
      <c r="E14" s="493" t="str">
        <f>IF(ISNUMBER(INDEX('Database.Jan 12 to SEC'!$J$6:$J$191, MATCH($A14&amp;"USD bn", 'Database.Jan 12 to SEC'!$AD$6:$AD$191, 0))), INDEX('Database.Jan 12 to SEC'!$J$6:$J$191, MATCH($A14&amp;"USD bn", 'Database.Jan 12 to SEC'!$AD$6:$AD$191, 0)), "")</f>
        <v/>
      </c>
      <c r="F14" s="493" t="str">
        <f>IF(ISNUMBER(INDEX('Database.Jan 12 to SEC'!$L$6:$L$191, MATCH($A14&amp;"USD bn", 'Database.Jan 12 to SEC'!$AD$6:$AD$191, 0))), INDEX('Database.Jan 12 to SEC'!$L$6:$L$191, MATCH($A14&amp;"USD bn", 'Database.Jan 12 to SEC'!$AD$6:$AD$191, 0)), "")</f>
        <v/>
      </c>
      <c r="G14" s="493"/>
      <c r="H14" s="494" t="str">
        <f>IF(ISNUMBER(INDEX('Database.Jan 12 to SEC'!$P$6:$P$191, MATCH($A14&amp;"USD bn", 'Database.Jan 12 to SEC'!$AD$6:$AD$191, 0))), INDEX('Database.Jan 12 to SEC'!$P$6:$P$191, MATCH($A14&amp;"USD bn", 'Database.Jan 12 to SEC'!$AD$6:$AD$191, 0)), "")</f>
        <v/>
      </c>
      <c r="I14" s="493" t="str">
        <f>IF(ISNUMBER(INDEX('Database.Jan 12 to SEC'!$Q$6:$Q$191, MATCH($A14&amp;"USD bn", 'Database.Jan 12 to SEC'!$AD$6:$AD$191, 0))), INDEX('Database.Jan 12 to SEC'!$Q$6:$Q$191, MATCH($A14&amp;"USD bn", 'Database.Jan 12 to SEC'!$AD$6:$AD$191, 0)), "")</f>
        <v/>
      </c>
      <c r="J14" s="493"/>
      <c r="K14" s="493" t="str">
        <f>IF(ISNUMBER(INDEX('Database.Jan 12 to SEC'!$U$6:$U$191, MATCH($A14&amp;"USD bn", 'Database.Jan 12 to SEC'!$AD$6:$AD$191, 0))), INDEX('Database.Jan 12 to SEC'!$U$6:$U$191, MATCH($A14&amp;"USD bn", 'Database.Jan 12 to SEC'!$AD$6:$AD$191, 0)), "")</f>
        <v/>
      </c>
      <c r="L14" s="493" t="str">
        <f>IF(ISNUMBER(INDEX('Database.Jan 12 to SEC'!$W$6:$W$191, MATCH($A14&amp;"USD bn", 'Database.Jan 12 to SEC'!$AD$6:$AD$191, 0))), INDEX('Database.Jan 12 to SEC'!$W$6:$W$191, MATCH($A14&amp;"USD bn", 'Database.Jan 12 to SEC'!$AD$6:$AD$191, 0)), "")</f>
        <v/>
      </c>
      <c r="M14"/>
      <c r="N14"/>
      <c r="O14" s="481" t="str">
        <f>IF(ISNUMBER(INDEX('Database.Jan 12 to SEC'!$G$6:$G$191, MATCH($A14&amp;"% GDP", 'Database.Jan 12 to SEC'!$AD$6:$AD$191, 0))), INDEX('Database.Jan 12 to SEC'!$G$6:$G$191, MATCH($A14&amp;"% GDP", 'Database.Jan 12 to SEC'!$AD$6:$AD$191, 0)), "")</f>
        <v/>
      </c>
      <c r="P14" s="480" t="str">
        <f>IF(ISNUMBER(INDEX('Database.Jan 12 to SEC'!$H$6:$H$191, MATCH($A14&amp;"% GDP", 'Database.Jan 12 to SEC'!$AD$6:$AD$191, 0))), INDEX('Database.Jan 12 to SEC'!$H$6:$H$191, MATCH($A14&amp;"% GDP", 'Database.Jan 12 to SEC'!$AD$6:$AD$191, 0)), "")</f>
        <v/>
      </c>
      <c r="Q14" s="480" t="str">
        <f>IF(ISNUMBER(INDEX('Database.Jan 12 to SEC'!$J$6:$J$191, MATCH($A14&amp;"% GDP", 'Database.Jan 12 to SEC'!$AD$6:$AD$191, 0))), INDEX('Database.Jan 12 to SEC'!$J$6:$J$191, MATCH($A14&amp;"% GDP", 'Database.Jan 12 to SEC'!$AD$6:$AD$191, 0)), "")</f>
        <v/>
      </c>
      <c r="R14" s="480" t="str">
        <f>IF(ISNUMBER(INDEX('Database.Jan 12 to SEC'!$L$6:$L$191, MATCH($A14&amp;"% GDP", 'Database.Jan 12 to SEC'!$AD$6:$AD$191, 0))), INDEX('Database.Jan 12 to SEC'!$L$6:$L$191, MATCH($A14&amp;"% GDP", 'Database.Jan 12 to SEC'!$AD$6:$AD$191, 0)), "")</f>
        <v/>
      </c>
      <c r="S14" s="482"/>
      <c r="T14" s="481" t="str">
        <f>IF(ISNUMBER(INDEX('Database.Jan 12 to SEC'!$P$6:$P$191, MATCH($A14&amp;"% GDP", 'Database.Jan 12 to SEC'!$AD$6:$AD$191, 0))), INDEX('Database.Jan 12 to SEC'!$P$6:$P$191, MATCH($A14&amp;"% GDP", 'Database.Jan 12 to SEC'!$AD$6:$AD$191, 0)), "")</f>
        <v/>
      </c>
      <c r="U14" s="480" t="str">
        <f>IF(ISNUMBER(INDEX('Database.Jan 12 to SEC'!$Q$6:$Q$191, MATCH($A14&amp;"% GDP", 'Database.Jan 12 to SEC'!$AD$6:$AD$191, 0))), INDEX('Database.Jan 12 to SEC'!$Q$6:$Q$191, MATCH($A14&amp;"% GDP", 'Database.Jan 12 to SEC'!$AD$6:$AD$191, 0)), "")</f>
        <v/>
      </c>
      <c r="V14" s="483"/>
      <c r="W14" s="480" t="str">
        <f>IF(ISNUMBER(INDEX('Database.Jan 12 to SEC'!$U$6:$U$191, MATCH($A14&amp;"% GDP", 'Database.Jan 12 to SEC'!$AD$6:$AD$191, 0))), INDEX('Database.Jan 12 to SEC'!$U$6:$U$191, MATCH($A14&amp;"% GDP", 'Database.Jan 12 to SEC'!$AD$6:$AD$191, 0)), "")</f>
        <v/>
      </c>
      <c r="X14" s="480" t="str">
        <f>IF(ISNUMBER(INDEX('Database.Jan 12 to SEC'!$W$6:$W$191, MATCH($A14&amp;"% GDP", 'Database.Jan 12 to SEC'!$AD$6:$AD$191, 0))), INDEX('Database.Jan 12 to SEC'!$W$6:$W$191, MATCH($A14&amp;"% GDP", 'Database.Jan 12 to SEC'!$AD$6:$AD$191, 0)), "")</f>
        <v/>
      </c>
      <c r="Z14" s="490"/>
      <c r="AC14" s="299"/>
      <c r="AE14" s="415" t="s">
        <v>5</v>
      </c>
      <c r="AF14" s="443">
        <v>843.8337860086101</v>
      </c>
      <c r="AG14" s="438">
        <v>104.89387795001592</v>
      </c>
      <c r="AH14" s="438">
        <v>738.93990805859414</v>
      </c>
      <c r="AI14" s="438">
        <v>27.16002196920055</v>
      </c>
      <c r="AJ14" s="437"/>
      <c r="AK14" s="443">
        <v>1429.1790870689667</v>
      </c>
      <c r="AL14" s="438" t="s">
        <v>452</v>
      </c>
      <c r="AM14" s="441"/>
      <c r="AN14" s="438">
        <v>147.0387396263616</v>
      </c>
      <c r="AO14" s="438">
        <v>1282.1403474426052</v>
      </c>
      <c r="AP14" s="331"/>
      <c r="AQ14" s="331"/>
      <c r="AR14" s="443">
        <v>16.725807215115971</v>
      </c>
      <c r="AS14" s="438">
        <v>2.0791236493817857</v>
      </c>
      <c r="AT14" s="438">
        <v>14.646683565734186</v>
      </c>
      <c r="AU14" s="438">
        <v>0.5383445163577838</v>
      </c>
      <c r="AV14" s="437"/>
      <c r="AW14" s="443">
        <v>28.328059722826829</v>
      </c>
      <c r="AX14" s="438" t="s">
        <v>452</v>
      </c>
      <c r="AY14" s="441"/>
      <c r="AZ14" s="438">
        <v>2.9144858299369676</v>
      </c>
      <c r="BA14" s="438">
        <v>25.413573892889861</v>
      </c>
    </row>
    <row r="15" spans="1:53">
      <c r="A15" s="415" t="s">
        <v>6</v>
      </c>
      <c r="B15" s="415" t="s">
        <v>6</v>
      </c>
      <c r="C15" s="492" t="str">
        <f>IF(ISNUMBER(INDEX('Database.Jan 12 to SEC'!$G$6:$G$191, MATCH($A15&amp;"USD bn", 'Database.Jan 12 to SEC'!$AD$6:$AD$191, 0))), INDEX('Database.Jan 12 to SEC'!$G$6:$G$191, MATCH($A15&amp;"USD bn", 'Database.Jan 12 to SEC'!$AD$6:$AD$191, 0)), "")</f>
        <v/>
      </c>
      <c r="D15" s="493" t="str">
        <f>IF(ISNUMBER(INDEX('Database.Jan 12 to SEC'!$H$6:$H$191, MATCH($A15&amp;"USD bn", 'Database.Jan 12 to SEC'!$AD$6:$AD$191, 0))), INDEX('Database.Jan 12 to SEC'!$H$6:$H$191, MATCH($A15&amp;"USD bn", 'Database.Jan 12 to SEC'!$AD$6:$AD$191, 0)), "")</f>
        <v/>
      </c>
      <c r="E15" s="493" t="str">
        <f>IF(ISNUMBER(INDEX('Database.Jan 12 to SEC'!$J$6:$J$191, MATCH($A15&amp;"USD bn", 'Database.Jan 12 to SEC'!$AD$6:$AD$191, 0))), INDEX('Database.Jan 12 to SEC'!$J$6:$J$191, MATCH($A15&amp;"USD bn", 'Database.Jan 12 to SEC'!$AD$6:$AD$191, 0)), "")</f>
        <v/>
      </c>
      <c r="F15" s="493" t="str">
        <f>IF(ISNUMBER(INDEX('Database.Jan 12 to SEC'!$L$6:$L$191, MATCH($A15&amp;"USD bn", 'Database.Jan 12 to SEC'!$AD$6:$AD$191, 0))), INDEX('Database.Jan 12 to SEC'!$L$6:$L$191, MATCH($A15&amp;"USD bn", 'Database.Jan 12 to SEC'!$AD$6:$AD$191, 0)), "")</f>
        <v/>
      </c>
      <c r="G15" s="493"/>
      <c r="H15" s="494" t="str">
        <f>IF(ISNUMBER(INDEX('Database.Jan 12 to SEC'!$P$6:$P$191, MATCH($A15&amp;"USD bn", 'Database.Jan 12 to SEC'!$AD$6:$AD$191, 0))), INDEX('Database.Jan 12 to SEC'!$P$6:$P$191, MATCH($A15&amp;"USD bn", 'Database.Jan 12 to SEC'!$AD$6:$AD$191, 0)), "")</f>
        <v/>
      </c>
      <c r="I15" s="493" t="str">
        <f>IF(ISNUMBER(INDEX('Database.Jan 12 to SEC'!$Q$6:$Q$191, MATCH($A15&amp;"USD bn", 'Database.Jan 12 to SEC'!$AD$6:$AD$191, 0))), INDEX('Database.Jan 12 to SEC'!$Q$6:$Q$191, MATCH($A15&amp;"USD bn", 'Database.Jan 12 to SEC'!$AD$6:$AD$191, 0)), "")</f>
        <v/>
      </c>
      <c r="J15" s="493"/>
      <c r="K15" s="493" t="str">
        <f>IF(ISNUMBER(INDEX('Database.Jan 12 to SEC'!$U$6:$U$191, MATCH($A15&amp;"USD bn", 'Database.Jan 12 to SEC'!$AD$6:$AD$191, 0))), INDEX('Database.Jan 12 to SEC'!$U$6:$U$191, MATCH($A15&amp;"USD bn", 'Database.Jan 12 to SEC'!$AD$6:$AD$191, 0)), "")</f>
        <v/>
      </c>
      <c r="L15" s="493" t="str">
        <f>IF(ISNUMBER(INDEX('Database.Jan 12 to SEC'!$W$6:$W$191, MATCH($A15&amp;"USD bn", 'Database.Jan 12 to SEC'!$AD$6:$AD$191, 0))), INDEX('Database.Jan 12 to SEC'!$W$6:$W$191, MATCH($A15&amp;"USD bn", 'Database.Jan 12 to SEC'!$AD$6:$AD$191, 0)), "")</f>
        <v/>
      </c>
      <c r="M15"/>
      <c r="N15"/>
      <c r="O15" s="481" t="str">
        <f>IF(ISNUMBER(INDEX('Database.Jan 12 to SEC'!$G$6:$G$191, MATCH($A15&amp;"% GDP", 'Database.Jan 12 to SEC'!$AD$6:$AD$191, 0))), INDEX('Database.Jan 12 to SEC'!$G$6:$G$191, MATCH($A15&amp;"% GDP", 'Database.Jan 12 to SEC'!$AD$6:$AD$191, 0)), "")</f>
        <v/>
      </c>
      <c r="P15" s="480" t="str">
        <f>IF(ISNUMBER(INDEX('Database.Jan 12 to SEC'!$H$6:$H$191, MATCH($A15&amp;"% GDP", 'Database.Jan 12 to SEC'!$AD$6:$AD$191, 0))), INDEX('Database.Jan 12 to SEC'!$H$6:$H$191, MATCH($A15&amp;"% GDP", 'Database.Jan 12 to SEC'!$AD$6:$AD$191, 0)), "")</f>
        <v/>
      </c>
      <c r="Q15" s="480" t="str">
        <f>IF(ISNUMBER(INDEX('Database.Jan 12 to SEC'!$J$6:$J$191, MATCH($A15&amp;"% GDP", 'Database.Jan 12 to SEC'!$AD$6:$AD$191, 0))), INDEX('Database.Jan 12 to SEC'!$J$6:$J$191, MATCH($A15&amp;"% GDP", 'Database.Jan 12 to SEC'!$AD$6:$AD$191, 0)), "")</f>
        <v/>
      </c>
      <c r="R15" s="480" t="str">
        <f>IF(ISNUMBER(INDEX('Database.Jan 12 to SEC'!$L$6:$L$191, MATCH($A15&amp;"% GDP", 'Database.Jan 12 to SEC'!$AD$6:$AD$191, 0))), INDEX('Database.Jan 12 to SEC'!$L$6:$L$191, MATCH($A15&amp;"% GDP", 'Database.Jan 12 to SEC'!$AD$6:$AD$191, 0)), "")</f>
        <v/>
      </c>
      <c r="S15" s="482"/>
      <c r="T15" s="481" t="str">
        <f>IF(ISNUMBER(INDEX('Database.Jan 12 to SEC'!$P$6:$P$191, MATCH($A15&amp;"% GDP", 'Database.Jan 12 to SEC'!$AD$6:$AD$191, 0))), INDEX('Database.Jan 12 to SEC'!$P$6:$P$191, MATCH($A15&amp;"% GDP", 'Database.Jan 12 to SEC'!$AD$6:$AD$191, 0)), "")</f>
        <v/>
      </c>
      <c r="U15" s="480" t="str">
        <f>IF(ISNUMBER(INDEX('Database.Jan 12 to SEC'!$Q$6:$Q$191, MATCH($A15&amp;"% GDP", 'Database.Jan 12 to SEC'!$AD$6:$AD$191, 0))), INDEX('Database.Jan 12 to SEC'!$Q$6:$Q$191, MATCH($A15&amp;"% GDP", 'Database.Jan 12 to SEC'!$AD$6:$AD$191, 0)), "")</f>
        <v/>
      </c>
      <c r="V15" s="483"/>
      <c r="W15" s="480" t="str">
        <f>IF(ISNUMBER(INDEX('Database.Jan 12 to SEC'!$U$6:$U$191, MATCH($A15&amp;"% GDP", 'Database.Jan 12 to SEC'!$AD$6:$AD$191, 0))), INDEX('Database.Jan 12 to SEC'!$U$6:$U$191, MATCH($A15&amp;"% GDP", 'Database.Jan 12 to SEC'!$AD$6:$AD$191, 0)), "")</f>
        <v/>
      </c>
      <c r="X15" s="480" t="str">
        <f>IF(ISNUMBER(INDEX('Database.Jan 12 to SEC'!$W$6:$W$191, MATCH($A15&amp;"% GDP", 'Database.Jan 12 to SEC'!$AD$6:$AD$191, 0))), INDEX('Database.Jan 12 to SEC'!$W$6:$W$191, MATCH($A15&amp;"% GDP", 'Database.Jan 12 to SEC'!$AD$6:$AD$191, 0)), "")</f>
        <v/>
      </c>
      <c r="Z15" s="490"/>
      <c r="AC15" s="299"/>
      <c r="AE15" s="415" t="s">
        <v>6</v>
      </c>
      <c r="AF15" s="443">
        <v>104.83004568682564</v>
      </c>
      <c r="AG15" s="438">
        <v>11.949099791303487</v>
      </c>
      <c r="AH15" s="438">
        <v>92.88094589552216</v>
      </c>
      <c r="AI15" s="438">
        <v>27.965978234965611</v>
      </c>
      <c r="AJ15" s="437"/>
      <c r="AK15" s="443">
        <v>166.01621624938676</v>
      </c>
      <c r="AL15" s="438" t="s">
        <v>452</v>
      </c>
      <c r="AM15" s="441"/>
      <c r="AN15" s="438">
        <v>60.08448051088066</v>
      </c>
      <c r="AO15" s="438">
        <v>105.93173573850609</v>
      </c>
      <c r="AP15" s="331"/>
      <c r="AQ15" s="331"/>
      <c r="AR15" s="443">
        <v>6.3988747084813387</v>
      </c>
      <c r="AS15" s="438">
        <v>0.7293786046045827</v>
      </c>
      <c r="AT15" s="438">
        <v>5.6694961038767557</v>
      </c>
      <c r="AU15" s="438">
        <v>1.7070563086490231</v>
      </c>
      <c r="AV15" s="437"/>
      <c r="AW15" s="443">
        <v>10.133706995889202</v>
      </c>
      <c r="AX15" s="438" t="s">
        <v>452</v>
      </c>
      <c r="AY15" s="441"/>
      <c r="AZ15" s="438">
        <v>3.6675846146429012</v>
      </c>
      <c r="BA15" s="438">
        <v>6.4661223812463007</v>
      </c>
    </row>
    <row r="16" spans="1:53">
      <c r="A16" s="415" t="s">
        <v>32</v>
      </c>
      <c r="B16" s="415" t="s">
        <v>32</v>
      </c>
      <c r="C16" s="492" t="str">
        <f>IF(ISNUMBER(INDEX('Database.Jan 12 to SEC'!$G$6:$G$191, MATCH($A16&amp;"USD bn", 'Database.Jan 12 to SEC'!$AD$6:$AD$191, 0))), INDEX('Database.Jan 12 to SEC'!$G$6:$G$191, MATCH($A16&amp;"USD bn", 'Database.Jan 12 to SEC'!$AD$6:$AD$191, 0)), "")</f>
        <v/>
      </c>
      <c r="D16" s="493" t="str">
        <f>IF(ISNUMBER(INDEX('Database.Jan 12 to SEC'!$H$6:$H$191, MATCH($A16&amp;"USD bn", 'Database.Jan 12 to SEC'!$AD$6:$AD$191, 0))), INDEX('Database.Jan 12 to SEC'!$H$6:$H$191, MATCH($A16&amp;"USD bn", 'Database.Jan 12 to SEC'!$AD$6:$AD$191, 0)), "")</f>
        <v/>
      </c>
      <c r="E16" s="493" t="str">
        <f>IF(ISNUMBER(INDEX('Database.Jan 12 to SEC'!$J$6:$J$191, MATCH($A16&amp;"USD bn", 'Database.Jan 12 to SEC'!$AD$6:$AD$191, 0))), INDEX('Database.Jan 12 to SEC'!$J$6:$J$191, MATCH($A16&amp;"USD bn", 'Database.Jan 12 to SEC'!$AD$6:$AD$191, 0)), "")</f>
        <v/>
      </c>
      <c r="F16" s="493" t="str">
        <f>IF(ISNUMBER(INDEX('Database.Jan 12 to SEC'!$L$6:$L$191, MATCH($A16&amp;"USD bn", 'Database.Jan 12 to SEC'!$AD$6:$AD$191, 0))), INDEX('Database.Jan 12 to SEC'!$L$6:$L$191, MATCH($A16&amp;"USD bn", 'Database.Jan 12 to SEC'!$AD$6:$AD$191, 0)), "")</f>
        <v/>
      </c>
      <c r="G16" s="493"/>
      <c r="H16" s="494" t="str">
        <f>IF(ISNUMBER(INDEX('Database.Jan 12 to SEC'!$P$6:$P$191, MATCH($A16&amp;"USD bn", 'Database.Jan 12 to SEC'!$AD$6:$AD$191, 0))), INDEX('Database.Jan 12 to SEC'!$P$6:$P$191, MATCH($A16&amp;"USD bn", 'Database.Jan 12 to SEC'!$AD$6:$AD$191, 0)), "")</f>
        <v/>
      </c>
      <c r="I16" s="493" t="str">
        <f>IF(ISNUMBER(INDEX('Database.Jan 12 to SEC'!$Q$6:$Q$191, MATCH($A16&amp;"USD bn", 'Database.Jan 12 to SEC'!$AD$6:$AD$191, 0))), INDEX('Database.Jan 12 to SEC'!$Q$6:$Q$191, MATCH($A16&amp;"USD bn", 'Database.Jan 12 to SEC'!$AD$6:$AD$191, 0)), "")</f>
        <v/>
      </c>
      <c r="J16" s="493"/>
      <c r="K16" s="493" t="str">
        <f>IF(ISNUMBER(INDEX('Database.Jan 12 to SEC'!$U$6:$U$191, MATCH($A16&amp;"USD bn", 'Database.Jan 12 to SEC'!$AD$6:$AD$191, 0))), INDEX('Database.Jan 12 to SEC'!$U$6:$U$191, MATCH($A16&amp;"USD bn", 'Database.Jan 12 to SEC'!$AD$6:$AD$191, 0)), "")</f>
        <v/>
      </c>
      <c r="L16" s="493" t="str">
        <f>IF(ISNUMBER(INDEX('Database.Jan 12 to SEC'!$W$6:$W$191, MATCH($A16&amp;"USD bn", 'Database.Jan 12 to SEC'!$AD$6:$AD$191, 0))), INDEX('Database.Jan 12 to SEC'!$W$6:$W$191, MATCH($A16&amp;"USD bn", 'Database.Jan 12 to SEC'!$AD$6:$AD$191, 0)), "")</f>
        <v/>
      </c>
      <c r="M16"/>
      <c r="N16"/>
      <c r="O16" s="481" t="str">
        <f>IF(ISNUMBER(INDEX('Database.Jan 12 to SEC'!$G$6:$G$191, MATCH($A16&amp;"% GDP", 'Database.Jan 12 to SEC'!$AD$6:$AD$191, 0))), INDEX('Database.Jan 12 to SEC'!$G$6:$G$191, MATCH($A16&amp;"% GDP", 'Database.Jan 12 to SEC'!$AD$6:$AD$191, 0)), "")</f>
        <v/>
      </c>
      <c r="P16" s="480" t="str">
        <f>IF(ISNUMBER(INDEX('Database.Jan 12 to SEC'!$H$6:$H$191, MATCH($A16&amp;"% GDP", 'Database.Jan 12 to SEC'!$AD$6:$AD$191, 0))), INDEX('Database.Jan 12 to SEC'!$H$6:$H$191, MATCH($A16&amp;"% GDP", 'Database.Jan 12 to SEC'!$AD$6:$AD$191, 0)), "")</f>
        <v/>
      </c>
      <c r="Q16" s="480" t="str">
        <f>IF(ISNUMBER(INDEX('Database.Jan 12 to SEC'!$J$6:$J$191, MATCH($A16&amp;"% GDP", 'Database.Jan 12 to SEC'!$AD$6:$AD$191, 0))), INDEX('Database.Jan 12 to SEC'!$J$6:$J$191, MATCH($A16&amp;"% GDP", 'Database.Jan 12 to SEC'!$AD$6:$AD$191, 0)), "")</f>
        <v/>
      </c>
      <c r="R16" s="480" t="str">
        <f>IF(ISNUMBER(INDEX('Database.Jan 12 to SEC'!$L$6:$L$191, MATCH($A16&amp;"% GDP", 'Database.Jan 12 to SEC'!$AD$6:$AD$191, 0))), INDEX('Database.Jan 12 to SEC'!$L$6:$L$191, MATCH($A16&amp;"% GDP", 'Database.Jan 12 to SEC'!$AD$6:$AD$191, 0)), "")</f>
        <v/>
      </c>
      <c r="S16" s="482"/>
      <c r="T16" s="481" t="str">
        <f>IF(ISNUMBER(INDEX('Database.Jan 12 to SEC'!$P$6:$P$191, MATCH($A16&amp;"% GDP", 'Database.Jan 12 to SEC'!$AD$6:$AD$191, 0))), INDEX('Database.Jan 12 to SEC'!$P$6:$P$191, MATCH($A16&amp;"% GDP", 'Database.Jan 12 to SEC'!$AD$6:$AD$191, 0)), "")</f>
        <v/>
      </c>
      <c r="U16" s="480" t="str">
        <f>IF(ISNUMBER(INDEX('Database.Jan 12 to SEC'!$Q$6:$Q$191, MATCH($A16&amp;"% GDP", 'Database.Jan 12 to SEC'!$AD$6:$AD$191, 0))), INDEX('Database.Jan 12 to SEC'!$Q$6:$Q$191, MATCH($A16&amp;"% GDP", 'Database.Jan 12 to SEC'!$AD$6:$AD$191, 0)), "")</f>
        <v/>
      </c>
      <c r="V16" s="483"/>
      <c r="W16" s="480" t="str">
        <f>IF(ISNUMBER(INDEX('Database.Jan 12 to SEC'!$U$6:$U$191, MATCH($A16&amp;"% GDP", 'Database.Jan 12 to SEC'!$AD$6:$AD$191, 0))), INDEX('Database.Jan 12 to SEC'!$U$6:$U$191, MATCH($A16&amp;"% GDP", 'Database.Jan 12 to SEC'!$AD$6:$AD$191, 0)), "")</f>
        <v/>
      </c>
      <c r="X16" s="480" t="str">
        <f>IF(ISNUMBER(INDEX('Database.Jan 12 to SEC'!$W$6:$W$191, MATCH($A16&amp;"% GDP", 'Database.Jan 12 to SEC'!$AD$6:$AD$191, 0))), INDEX('Database.Jan 12 to SEC'!$W$6:$W$191, MATCH($A16&amp;"% GDP", 'Database.Jan 12 to SEC'!$AD$6:$AD$191, 0)), "")</f>
        <v/>
      </c>
      <c r="Z16" s="490"/>
      <c r="AC16" s="299"/>
      <c r="AE16" s="415" t="s">
        <v>32</v>
      </c>
      <c r="AF16" s="443">
        <v>107.45168705821794</v>
      </c>
      <c r="AG16" s="438">
        <v>21.924024518198266</v>
      </c>
      <c r="AH16" s="438">
        <v>85.527662540019676</v>
      </c>
      <c r="AI16" s="438">
        <v>5.1357683670948562E-2</v>
      </c>
      <c r="AJ16" s="437"/>
      <c r="AK16" s="443">
        <v>184.01914572044612</v>
      </c>
      <c r="AL16" s="438">
        <v>0.72927910812746966</v>
      </c>
      <c r="AM16" s="441"/>
      <c r="AN16" s="438">
        <v>171.87704801877453</v>
      </c>
      <c r="AO16" s="438">
        <v>11.412818593544126</v>
      </c>
      <c r="AP16" s="331"/>
      <c r="AQ16" s="331"/>
      <c r="AR16" s="443">
        <v>8.3916545151825215</v>
      </c>
      <c r="AS16" s="438">
        <v>1.7122005654451007</v>
      </c>
      <c r="AT16" s="438">
        <v>6.6794539497374208</v>
      </c>
      <c r="AU16" s="438">
        <v>4.010881074702214E-3</v>
      </c>
      <c r="AV16" s="437"/>
      <c r="AW16" s="443">
        <v>14.371343413420227</v>
      </c>
      <c r="AX16" s="438">
        <v>5.6954511260771438E-2</v>
      </c>
      <c r="AY16" s="441"/>
      <c r="AZ16" s="438">
        <v>13.423081996670074</v>
      </c>
      <c r="BA16" s="438">
        <v>0.89130690548938096</v>
      </c>
    </row>
    <row r="17" spans="1:53">
      <c r="A17" s="415" t="s">
        <v>7</v>
      </c>
      <c r="B17" s="415" t="s">
        <v>7</v>
      </c>
      <c r="C17" s="492" t="str">
        <f>IF(ISNUMBER(INDEX('Database.Jan 12 to SEC'!$G$6:$G$191, MATCH($A17&amp;"USD bn", 'Database.Jan 12 to SEC'!$AD$6:$AD$191, 0))), INDEX('Database.Jan 12 to SEC'!$G$6:$G$191, MATCH($A17&amp;"USD bn", 'Database.Jan 12 to SEC'!$AD$6:$AD$191, 0)), "")</f>
        <v/>
      </c>
      <c r="D17" s="493" t="str">
        <f>IF(ISNUMBER(INDEX('Database.Jan 12 to SEC'!$H$6:$H$191, MATCH($A17&amp;"USD bn", 'Database.Jan 12 to SEC'!$AD$6:$AD$191, 0))), INDEX('Database.Jan 12 to SEC'!$H$6:$H$191, MATCH($A17&amp;"USD bn", 'Database.Jan 12 to SEC'!$AD$6:$AD$191, 0)), "")</f>
        <v/>
      </c>
      <c r="E17" s="493" t="str">
        <f>IF(ISNUMBER(INDEX('Database.Jan 12 to SEC'!$J$6:$J$191, MATCH($A17&amp;"USD bn", 'Database.Jan 12 to SEC'!$AD$6:$AD$191, 0))), INDEX('Database.Jan 12 to SEC'!$J$6:$J$191, MATCH($A17&amp;"USD bn", 'Database.Jan 12 to SEC'!$AD$6:$AD$191, 0)), "")</f>
        <v/>
      </c>
      <c r="F17" s="493" t="str">
        <f>IF(ISNUMBER(INDEX('Database.Jan 12 to SEC'!$L$6:$L$191, MATCH($A17&amp;"USD bn", 'Database.Jan 12 to SEC'!$AD$6:$AD$191, 0))), INDEX('Database.Jan 12 to SEC'!$L$6:$L$191, MATCH($A17&amp;"USD bn", 'Database.Jan 12 to SEC'!$AD$6:$AD$191, 0)), "")</f>
        <v/>
      </c>
      <c r="G17" s="493"/>
      <c r="H17" s="494" t="str">
        <f>IF(ISNUMBER(INDEX('Database.Jan 12 to SEC'!$P$6:$P$191, MATCH($A17&amp;"USD bn", 'Database.Jan 12 to SEC'!$AD$6:$AD$191, 0))), INDEX('Database.Jan 12 to SEC'!$P$6:$P$191, MATCH($A17&amp;"USD bn", 'Database.Jan 12 to SEC'!$AD$6:$AD$191, 0)), "")</f>
        <v/>
      </c>
      <c r="I17" s="493" t="str">
        <f>IF(ISNUMBER(INDEX('Database.Jan 12 to SEC'!$Q$6:$Q$191, MATCH($A17&amp;"USD bn", 'Database.Jan 12 to SEC'!$AD$6:$AD$191, 0))), INDEX('Database.Jan 12 to SEC'!$Q$6:$Q$191, MATCH($A17&amp;"USD bn", 'Database.Jan 12 to SEC'!$AD$6:$AD$191, 0)), "")</f>
        <v/>
      </c>
      <c r="J17" s="493"/>
      <c r="K17" s="493" t="str">
        <f>IF(ISNUMBER(INDEX('Database.Jan 12 to SEC'!$U$6:$U$191, MATCH($A17&amp;"USD bn", 'Database.Jan 12 to SEC'!$AD$6:$AD$191, 0))), INDEX('Database.Jan 12 to SEC'!$U$6:$U$191, MATCH($A17&amp;"USD bn", 'Database.Jan 12 to SEC'!$AD$6:$AD$191, 0)), "")</f>
        <v/>
      </c>
      <c r="L17" s="493" t="str">
        <f>IF(ISNUMBER(INDEX('Database.Jan 12 to SEC'!$W$6:$W$191, MATCH($A17&amp;"USD bn", 'Database.Jan 12 to SEC'!$AD$6:$AD$191, 0))), INDEX('Database.Jan 12 to SEC'!$W$6:$W$191, MATCH($A17&amp;"USD bn", 'Database.Jan 12 to SEC'!$AD$6:$AD$191, 0)), "")</f>
        <v/>
      </c>
      <c r="M17"/>
      <c r="N17"/>
      <c r="O17" s="481" t="str">
        <f>IF(ISNUMBER(INDEX('Database.Jan 12 to SEC'!$G$6:$G$191, MATCH($A17&amp;"% GDP", 'Database.Jan 12 to SEC'!$AD$6:$AD$191, 0))), INDEX('Database.Jan 12 to SEC'!$G$6:$G$191, MATCH($A17&amp;"% GDP", 'Database.Jan 12 to SEC'!$AD$6:$AD$191, 0)), "")</f>
        <v/>
      </c>
      <c r="P17" s="480" t="str">
        <f>IF(ISNUMBER(INDEX('Database.Jan 12 to SEC'!$H$6:$H$191, MATCH($A17&amp;"% GDP", 'Database.Jan 12 to SEC'!$AD$6:$AD$191, 0))), INDEX('Database.Jan 12 to SEC'!$H$6:$H$191, MATCH($A17&amp;"% GDP", 'Database.Jan 12 to SEC'!$AD$6:$AD$191, 0)), "")</f>
        <v/>
      </c>
      <c r="Q17" s="480" t="str">
        <f>IF(ISNUMBER(INDEX('Database.Jan 12 to SEC'!$J$6:$J$191, MATCH($A17&amp;"% GDP", 'Database.Jan 12 to SEC'!$AD$6:$AD$191, 0))), INDEX('Database.Jan 12 to SEC'!$J$6:$J$191, MATCH($A17&amp;"% GDP", 'Database.Jan 12 to SEC'!$AD$6:$AD$191, 0)), "")</f>
        <v/>
      </c>
      <c r="R17" s="480" t="str">
        <f>IF(ISNUMBER(INDEX('Database.Jan 12 to SEC'!$L$6:$L$191, MATCH($A17&amp;"% GDP", 'Database.Jan 12 to SEC'!$AD$6:$AD$191, 0))), INDEX('Database.Jan 12 to SEC'!$L$6:$L$191, MATCH($A17&amp;"% GDP", 'Database.Jan 12 to SEC'!$AD$6:$AD$191, 0)), "")</f>
        <v/>
      </c>
      <c r="S17" s="482"/>
      <c r="T17" s="481" t="str">
        <f>IF(ISNUMBER(INDEX('Database.Jan 12 to SEC'!$P$6:$P$191, MATCH($A17&amp;"% GDP", 'Database.Jan 12 to SEC'!$AD$6:$AD$191, 0))), INDEX('Database.Jan 12 to SEC'!$P$6:$P$191, MATCH($A17&amp;"% GDP", 'Database.Jan 12 to SEC'!$AD$6:$AD$191, 0)), "")</f>
        <v/>
      </c>
      <c r="U17" s="480" t="str">
        <f>IF(ISNUMBER(INDEX('Database.Jan 12 to SEC'!$Q$6:$Q$191, MATCH($A17&amp;"% GDP", 'Database.Jan 12 to SEC'!$AD$6:$AD$191, 0))), INDEX('Database.Jan 12 to SEC'!$Q$6:$Q$191, MATCH($A17&amp;"% GDP", 'Database.Jan 12 to SEC'!$AD$6:$AD$191, 0)), "")</f>
        <v/>
      </c>
      <c r="V17" s="483"/>
      <c r="W17" s="480" t="str">
        <f>IF(ISNUMBER(INDEX('Database.Jan 12 to SEC'!$U$6:$U$191, MATCH($A17&amp;"% GDP", 'Database.Jan 12 to SEC'!$AD$6:$AD$191, 0))), INDEX('Database.Jan 12 to SEC'!$U$6:$U$191, MATCH($A17&amp;"% GDP", 'Database.Jan 12 to SEC'!$AD$6:$AD$191, 0)), "")</f>
        <v/>
      </c>
      <c r="X17" s="480" t="str">
        <f>IF(ISNUMBER(INDEX('Database.Jan 12 to SEC'!$W$6:$W$191, MATCH($A17&amp;"% GDP", 'Database.Jan 12 to SEC'!$AD$6:$AD$191, 0))), INDEX('Database.Jan 12 to SEC'!$W$6:$W$191, MATCH($A17&amp;"% GDP", 'Database.Jan 12 to SEC'!$AD$6:$AD$191, 0)), "")</f>
        <v/>
      </c>
      <c r="Z17" s="490"/>
      <c r="AC17" s="299"/>
      <c r="AE17" s="415" t="s">
        <v>7</v>
      </c>
      <c r="AF17" s="443">
        <v>522.16796884260248</v>
      </c>
      <c r="AG17" s="438">
        <v>130.8627342062542</v>
      </c>
      <c r="AH17" s="438">
        <v>391.30523463634825</v>
      </c>
      <c r="AI17" s="438">
        <v>16.03709978017821</v>
      </c>
      <c r="AJ17" s="437"/>
      <c r="AK17" s="443">
        <v>452.92618683170508</v>
      </c>
      <c r="AL17" s="438">
        <v>1.3214570218866846</v>
      </c>
      <c r="AM17" s="441"/>
      <c r="AN17" s="438">
        <v>451.60472980981842</v>
      </c>
      <c r="AO17" s="438" t="s">
        <v>452</v>
      </c>
      <c r="AP17" s="331"/>
      <c r="AQ17" s="331"/>
      <c r="AR17" s="443">
        <v>19.27047748644793</v>
      </c>
      <c r="AS17" s="438">
        <v>4.8294562742449347</v>
      </c>
      <c r="AT17" s="438">
        <v>14.441021212202996</v>
      </c>
      <c r="AU17" s="438">
        <v>0.59184513164766361</v>
      </c>
      <c r="AV17" s="437"/>
      <c r="AW17" s="443">
        <v>16.715126946045977</v>
      </c>
      <c r="AX17" s="438">
        <v>4.8768038847767488E-2</v>
      </c>
      <c r="AY17" s="441"/>
      <c r="AZ17" s="438">
        <v>16.666358907198209</v>
      </c>
      <c r="BA17" s="438" t="s">
        <v>452</v>
      </c>
    </row>
    <row r="18" spans="1:53">
      <c r="A18" s="415" t="s">
        <v>8</v>
      </c>
      <c r="B18" s="415" t="s">
        <v>8</v>
      </c>
      <c r="C18" s="492" t="str">
        <f>IF(ISNUMBER(INDEX('Database.Jan 12 to SEC'!$G$6:$G$191, MATCH($A18&amp;"USD bn", 'Database.Jan 12 to SEC'!$AD$6:$AD$191, 0))), INDEX('Database.Jan 12 to SEC'!$G$6:$G$191, MATCH($A18&amp;"USD bn", 'Database.Jan 12 to SEC'!$AD$6:$AD$191, 0)), "")</f>
        <v/>
      </c>
      <c r="D18" s="493" t="str">
        <f>IF(ISNUMBER(INDEX('Database.Jan 12 to SEC'!$H$6:$H$191, MATCH($A18&amp;"USD bn", 'Database.Jan 12 to SEC'!$AD$6:$AD$191, 0))), INDEX('Database.Jan 12 to SEC'!$H$6:$H$191, MATCH($A18&amp;"USD bn", 'Database.Jan 12 to SEC'!$AD$6:$AD$191, 0)), "")</f>
        <v/>
      </c>
      <c r="E18" s="493" t="str">
        <f>IF(ISNUMBER(INDEX('Database.Jan 12 to SEC'!$J$6:$J$191, MATCH($A18&amp;"USD bn", 'Database.Jan 12 to SEC'!$AD$6:$AD$191, 0))), INDEX('Database.Jan 12 to SEC'!$J$6:$J$191, MATCH($A18&amp;"USD bn", 'Database.Jan 12 to SEC'!$AD$6:$AD$191, 0)), "")</f>
        <v/>
      </c>
      <c r="F18" s="493" t="str">
        <f>IF(ISNUMBER(INDEX('Database.Jan 12 to SEC'!$L$6:$L$191, MATCH($A18&amp;"USD bn", 'Database.Jan 12 to SEC'!$AD$6:$AD$191, 0))), INDEX('Database.Jan 12 to SEC'!$L$6:$L$191, MATCH($A18&amp;"USD bn", 'Database.Jan 12 to SEC'!$AD$6:$AD$191, 0)), "")</f>
        <v/>
      </c>
      <c r="G18" s="493"/>
      <c r="H18" s="494" t="str">
        <f>IF(ISNUMBER(INDEX('Database.Jan 12 to SEC'!$P$6:$P$191, MATCH($A18&amp;"USD bn", 'Database.Jan 12 to SEC'!$AD$6:$AD$191, 0))), INDEX('Database.Jan 12 to SEC'!$P$6:$P$191, MATCH($A18&amp;"USD bn", 'Database.Jan 12 to SEC'!$AD$6:$AD$191, 0)), "")</f>
        <v/>
      </c>
      <c r="I18" s="493" t="str">
        <f>IF(ISNUMBER(INDEX('Database.Jan 12 to SEC'!$Q$6:$Q$191, MATCH($A18&amp;"USD bn", 'Database.Jan 12 to SEC'!$AD$6:$AD$191, 0))), INDEX('Database.Jan 12 to SEC'!$Q$6:$Q$191, MATCH($A18&amp;"USD bn", 'Database.Jan 12 to SEC'!$AD$6:$AD$191, 0)), "")</f>
        <v/>
      </c>
      <c r="J18" s="493"/>
      <c r="K18" s="493" t="str">
        <f>IF(ISNUMBER(INDEX('Database.Jan 12 to SEC'!$U$6:$U$191, MATCH($A18&amp;"USD bn", 'Database.Jan 12 to SEC'!$AD$6:$AD$191, 0))), INDEX('Database.Jan 12 to SEC'!$U$6:$U$191, MATCH($A18&amp;"USD bn", 'Database.Jan 12 to SEC'!$AD$6:$AD$191, 0)), "")</f>
        <v/>
      </c>
      <c r="L18" s="493" t="str">
        <f>IF(ISNUMBER(INDEX('Database.Jan 12 to SEC'!$W$6:$W$191, MATCH($A18&amp;"USD bn", 'Database.Jan 12 to SEC'!$AD$6:$AD$191, 0))), INDEX('Database.Jan 12 to SEC'!$W$6:$W$191, MATCH($A18&amp;"USD bn", 'Database.Jan 12 to SEC'!$AD$6:$AD$191, 0)), "")</f>
        <v/>
      </c>
      <c r="M18"/>
      <c r="N18"/>
      <c r="O18" s="481" t="str">
        <f>IF(ISNUMBER(INDEX('Database.Jan 12 to SEC'!$G$6:$G$191, MATCH($A18&amp;"% GDP", 'Database.Jan 12 to SEC'!$AD$6:$AD$191, 0))), INDEX('Database.Jan 12 to SEC'!$G$6:$G$191, MATCH($A18&amp;"% GDP", 'Database.Jan 12 to SEC'!$AD$6:$AD$191, 0)), "")</f>
        <v/>
      </c>
      <c r="P18" s="480" t="str">
        <f>IF(ISNUMBER(INDEX('Database.Jan 12 to SEC'!$H$6:$H$191, MATCH($A18&amp;"% GDP", 'Database.Jan 12 to SEC'!$AD$6:$AD$191, 0))), INDEX('Database.Jan 12 to SEC'!$H$6:$H$191, MATCH($A18&amp;"% GDP", 'Database.Jan 12 to SEC'!$AD$6:$AD$191, 0)), "")</f>
        <v/>
      </c>
      <c r="Q18" s="480" t="str">
        <f>IF(ISNUMBER(INDEX('Database.Jan 12 to SEC'!$J$6:$J$191, MATCH($A18&amp;"% GDP", 'Database.Jan 12 to SEC'!$AD$6:$AD$191, 0))), INDEX('Database.Jan 12 to SEC'!$J$6:$J$191, MATCH($A18&amp;"% GDP", 'Database.Jan 12 to SEC'!$AD$6:$AD$191, 0)), "")</f>
        <v/>
      </c>
      <c r="R18" s="480" t="str">
        <f>IF(ISNUMBER(INDEX('Database.Jan 12 to SEC'!$L$6:$L$191, MATCH($A18&amp;"% GDP", 'Database.Jan 12 to SEC'!$AD$6:$AD$191, 0))), INDEX('Database.Jan 12 to SEC'!$L$6:$L$191, MATCH($A18&amp;"% GDP", 'Database.Jan 12 to SEC'!$AD$6:$AD$191, 0)), "")</f>
        <v/>
      </c>
      <c r="S18" s="482"/>
      <c r="T18" s="481" t="str">
        <f>IF(ISNUMBER(INDEX('Database.Jan 12 to SEC'!$P$6:$P$191, MATCH($A18&amp;"% GDP", 'Database.Jan 12 to SEC'!$AD$6:$AD$191, 0))), INDEX('Database.Jan 12 to SEC'!$P$6:$P$191, MATCH($A18&amp;"% GDP", 'Database.Jan 12 to SEC'!$AD$6:$AD$191, 0)), "")</f>
        <v/>
      </c>
      <c r="U18" s="480" t="str">
        <f>IF(ISNUMBER(INDEX('Database.Jan 12 to SEC'!$Q$6:$Q$191, MATCH($A18&amp;"% GDP", 'Database.Jan 12 to SEC'!$AD$6:$AD$191, 0))), INDEX('Database.Jan 12 to SEC'!$Q$6:$Q$191, MATCH($A18&amp;"% GDP", 'Database.Jan 12 to SEC'!$AD$6:$AD$191, 0)), "")</f>
        <v/>
      </c>
      <c r="V18" s="483"/>
      <c r="W18" s="480" t="str">
        <f>IF(ISNUMBER(INDEX('Database.Jan 12 to SEC'!$U$6:$U$191, MATCH($A18&amp;"% GDP", 'Database.Jan 12 to SEC'!$AD$6:$AD$191, 0))), INDEX('Database.Jan 12 to SEC'!$U$6:$U$191, MATCH($A18&amp;"% GDP", 'Database.Jan 12 to SEC'!$AD$6:$AD$191, 0)), "")</f>
        <v/>
      </c>
      <c r="X18" s="480" t="str">
        <f>IF(ISNUMBER(INDEX('Database.Jan 12 to SEC'!$W$6:$W$191, MATCH($A18&amp;"% GDP", 'Database.Jan 12 to SEC'!$AD$6:$AD$191, 0))), INDEX('Database.Jan 12 to SEC'!$W$6:$W$191, MATCH($A18&amp;"% GDP", 'Database.Jan 12 to SEC'!$AD$6:$AD$191, 0)), "")</f>
        <v/>
      </c>
      <c r="Z18" s="490"/>
      <c r="AC18" s="299"/>
      <c r="AE18" s="415" t="s">
        <v>8</v>
      </c>
      <c r="AF18" s="443">
        <v>5328.3</v>
      </c>
      <c r="AG18" s="438">
        <v>687.3</v>
      </c>
      <c r="AH18" s="438">
        <v>4641</v>
      </c>
      <c r="AI18" s="438">
        <v>17.98</v>
      </c>
      <c r="AJ18" s="437"/>
      <c r="AK18" s="443">
        <v>510</v>
      </c>
      <c r="AL18" s="438">
        <v>56</v>
      </c>
      <c r="AM18" s="441"/>
      <c r="AN18" s="438">
        <v>454</v>
      </c>
      <c r="AO18" s="438" t="s">
        <v>452</v>
      </c>
      <c r="AP18" s="331"/>
      <c r="AQ18" s="331"/>
      <c r="AR18" s="443">
        <v>25.501884534848941</v>
      </c>
      <c r="AS18" s="438">
        <v>3.2895004486987736</v>
      </c>
      <c r="AT18" s="438">
        <v>22.212384086150166</v>
      </c>
      <c r="AU18" s="438">
        <v>8.6054442117858218E-2</v>
      </c>
      <c r="AV18" s="437"/>
      <c r="AW18" s="443">
        <v>2.4409213281483697</v>
      </c>
      <c r="AX18" s="438">
        <v>0.26802273407119354</v>
      </c>
      <c r="AY18" s="441"/>
      <c r="AZ18" s="438">
        <v>2.1728985940771763</v>
      </c>
      <c r="BA18" s="438" t="s">
        <v>452</v>
      </c>
    </row>
    <row r="19" spans="1:53" ht="13.5" customHeight="1">
      <c r="A19" s="434" t="s">
        <v>869</v>
      </c>
      <c r="B19" s="434" t="s">
        <v>869</v>
      </c>
      <c r="C19" s="492" t="str">
        <f>IF(ISNUMBER(INDEX('Database.Jan 12 to SEC'!$G$6:$G$191, MATCH($A19&amp;"USD bn", 'Database.Jan 12 to SEC'!$AD$6:$AD$191, 0))), INDEX('Database.Jan 12 to SEC'!$G$6:$G$191, MATCH($A19&amp;"USD bn", 'Database.Jan 12 to SEC'!$AD$6:$AD$191, 0)), "")</f>
        <v/>
      </c>
      <c r="D19" s="493" t="str">
        <f>IF(ISNUMBER(INDEX('Database.Jan 12 to SEC'!$H$6:$H$191, MATCH($A19&amp;"USD bn", 'Database.Jan 12 to SEC'!$AD$6:$AD$191, 0))), INDEX('Database.Jan 12 to SEC'!$H$6:$H$191, MATCH($A19&amp;"USD bn", 'Database.Jan 12 to SEC'!$AD$6:$AD$191, 0)), "")</f>
        <v/>
      </c>
      <c r="E19" s="493" t="str">
        <f>IF(ISNUMBER(INDEX('Database.Jan 12 to SEC'!$J$6:$J$191, MATCH($A19&amp;"USD bn", 'Database.Jan 12 to SEC'!$AD$6:$AD$191, 0))), INDEX('Database.Jan 12 to SEC'!$J$6:$J$191, MATCH($A19&amp;"USD bn", 'Database.Jan 12 to SEC'!$AD$6:$AD$191, 0)), "")</f>
        <v/>
      </c>
      <c r="F19" s="493" t="str">
        <f>IF(ISNUMBER(INDEX('Database.Jan 12 to SEC'!$L$6:$L$191, MATCH($A19&amp;"USD bn", 'Database.Jan 12 to SEC'!$AD$6:$AD$191, 0))), INDEX('Database.Jan 12 to SEC'!$L$6:$L$191, MATCH($A19&amp;"USD bn", 'Database.Jan 12 to SEC'!$AD$6:$AD$191, 0)), "")</f>
        <v/>
      </c>
      <c r="G19" s="493"/>
      <c r="H19" s="494" t="str">
        <f>IF(ISNUMBER(INDEX('Database.Jan 12 to SEC'!$P$6:$P$191, MATCH($A19&amp;"USD bn", 'Database.Jan 12 to SEC'!$AD$6:$AD$191, 0))), INDEX('Database.Jan 12 to SEC'!$P$6:$P$191, MATCH($A19&amp;"USD bn", 'Database.Jan 12 to SEC'!$AD$6:$AD$191, 0)), "")</f>
        <v/>
      </c>
      <c r="I19" s="493" t="str">
        <f>IF(ISNUMBER(INDEX('Database.Jan 12 to SEC'!$Q$6:$Q$191, MATCH($A19&amp;"USD bn", 'Database.Jan 12 to SEC'!$AD$6:$AD$191, 0))), INDEX('Database.Jan 12 to SEC'!$Q$6:$Q$191, MATCH($A19&amp;"USD bn", 'Database.Jan 12 to SEC'!$AD$6:$AD$191, 0)), "")</f>
        <v/>
      </c>
      <c r="J19" s="493"/>
      <c r="K19" s="493" t="str">
        <f>IF(ISNUMBER(INDEX('Database.Jan 12 to SEC'!$U$6:$U$191, MATCH($A19&amp;"USD bn", 'Database.Jan 12 to SEC'!$AD$6:$AD$191, 0))), INDEX('Database.Jan 12 to SEC'!$U$6:$U$191, MATCH($A19&amp;"USD bn", 'Database.Jan 12 to SEC'!$AD$6:$AD$191, 0)), "")</f>
        <v/>
      </c>
      <c r="L19" s="493" t="str">
        <f>IF(ISNUMBER(INDEX('Database.Jan 12 to SEC'!$W$6:$W$191, MATCH($A19&amp;"USD bn", 'Database.Jan 12 to SEC'!$AD$6:$AD$191, 0))), INDEX('Database.Jan 12 to SEC'!$W$6:$W$191, MATCH($A19&amp;"USD bn", 'Database.Jan 12 to SEC'!$AD$6:$AD$191, 0)), "")</f>
        <v/>
      </c>
      <c r="M19"/>
      <c r="N19"/>
      <c r="O19" s="481" t="str">
        <f>IF(ISNUMBER(INDEX('Database.Jan 12 to SEC'!$G$6:$G$191, MATCH($A19&amp;"% GDP", 'Database.Jan 12 to SEC'!$AD$6:$AD$191, 0))), INDEX('Database.Jan 12 to SEC'!$G$6:$G$191, MATCH($A19&amp;"% GDP", 'Database.Jan 12 to SEC'!$AD$6:$AD$191, 0)), "")</f>
        <v/>
      </c>
      <c r="P19" s="480" t="str">
        <f>IF(ISNUMBER(INDEX('Database.Jan 12 to SEC'!$H$6:$H$191, MATCH($A19&amp;"% GDP", 'Database.Jan 12 to SEC'!$AD$6:$AD$191, 0))), INDEX('Database.Jan 12 to SEC'!$H$6:$H$191, MATCH($A19&amp;"% GDP", 'Database.Jan 12 to SEC'!$AD$6:$AD$191, 0)), "")</f>
        <v/>
      </c>
      <c r="Q19" s="480" t="str">
        <f>IF(ISNUMBER(INDEX('Database.Jan 12 to SEC'!$J$6:$J$191, MATCH($A19&amp;"% GDP", 'Database.Jan 12 to SEC'!$AD$6:$AD$191, 0))), INDEX('Database.Jan 12 to SEC'!$J$6:$J$191, MATCH($A19&amp;"% GDP", 'Database.Jan 12 to SEC'!$AD$6:$AD$191, 0)), "")</f>
        <v/>
      </c>
      <c r="R19" s="480" t="str">
        <f>IF(ISNUMBER(INDEX('Database.Jan 12 to SEC'!$L$6:$L$191, MATCH($A19&amp;"% GDP", 'Database.Jan 12 to SEC'!$AD$6:$AD$191, 0))), INDEX('Database.Jan 12 to SEC'!$L$6:$L$191, MATCH($A19&amp;"% GDP", 'Database.Jan 12 to SEC'!$AD$6:$AD$191, 0)), "")</f>
        <v/>
      </c>
      <c r="S19" s="482"/>
      <c r="T19" s="481" t="str">
        <f>IF(ISNUMBER(INDEX('Database.Jan 12 to SEC'!$P$6:$P$191, MATCH($A19&amp;"% GDP", 'Database.Jan 12 to SEC'!$AD$6:$AD$191, 0))), INDEX('Database.Jan 12 to SEC'!$P$6:$P$191, MATCH($A19&amp;"% GDP", 'Database.Jan 12 to SEC'!$AD$6:$AD$191, 0)), "")</f>
        <v/>
      </c>
      <c r="U19" s="480" t="str">
        <f>IF(ISNUMBER(INDEX('Database.Jan 12 to SEC'!$Q$6:$Q$191, MATCH($A19&amp;"% GDP", 'Database.Jan 12 to SEC'!$AD$6:$AD$191, 0))), INDEX('Database.Jan 12 to SEC'!$Q$6:$Q$191, MATCH($A19&amp;"% GDP", 'Database.Jan 12 to SEC'!$AD$6:$AD$191, 0)), "")</f>
        <v/>
      </c>
      <c r="V19" s="483"/>
      <c r="W19" s="480" t="str">
        <f>IF(ISNUMBER(INDEX('Database.Jan 12 to SEC'!$U$6:$U$191, MATCH($A19&amp;"% GDP", 'Database.Jan 12 to SEC'!$AD$6:$AD$191, 0))), INDEX('Database.Jan 12 to SEC'!$U$6:$U$191, MATCH($A19&amp;"% GDP", 'Database.Jan 12 to SEC'!$AD$6:$AD$191, 0)), "")</f>
        <v/>
      </c>
      <c r="X19" s="480" t="str">
        <f>IF(ISNUMBER(INDEX('Database.Jan 12 to SEC'!$W$6:$W$191, MATCH($A19&amp;"% GDP", 'Database.Jan 12 to SEC'!$AD$6:$AD$191, 0))), INDEX('Database.Jan 12 to SEC'!$W$6:$W$191, MATCH($A19&amp;"% GDP", 'Database.Jan 12 to SEC'!$AD$6:$AD$191, 0)), "")</f>
        <v/>
      </c>
      <c r="Z19" s="490"/>
      <c r="AC19" s="298"/>
      <c r="AE19" s="434" t="s">
        <v>869</v>
      </c>
      <c r="AF19" s="443" t="s">
        <v>452</v>
      </c>
      <c r="AG19" s="438" t="s">
        <v>452</v>
      </c>
      <c r="AH19" s="438" t="s">
        <v>452</v>
      </c>
      <c r="AI19" s="438" t="s">
        <v>452</v>
      </c>
      <c r="AJ19" s="437"/>
      <c r="AK19" s="443"/>
      <c r="AL19" s="438"/>
      <c r="AM19" s="441"/>
      <c r="AN19" s="438"/>
      <c r="AO19" s="438"/>
      <c r="AP19" s="331"/>
      <c r="AQ19" s="331"/>
      <c r="AR19" s="443"/>
      <c r="AS19" s="438"/>
      <c r="AT19" s="438"/>
      <c r="AU19" s="438"/>
      <c r="AV19" s="437"/>
      <c r="AW19" s="443"/>
      <c r="AX19" s="438" t="s">
        <v>452</v>
      </c>
      <c r="AY19" s="441"/>
      <c r="AZ19" s="438" t="s">
        <v>452</v>
      </c>
      <c r="BA19" s="438" t="s">
        <v>452</v>
      </c>
    </row>
    <row r="20" spans="1:53" ht="13.5" customHeight="1">
      <c r="A20" s="415" t="s">
        <v>9</v>
      </c>
      <c r="B20" s="415" t="s">
        <v>9</v>
      </c>
      <c r="C20" s="492" t="str">
        <f>IF(ISNUMBER(INDEX('Database.Jan 12 to SEC'!$G$6:$G$191, MATCH($A20&amp;"USD bn", 'Database.Jan 12 to SEC'!$AD$6:$AD$191, 0))), INDEX('Database.Jan 12 to SEC'!$G$6:$G$191, MATCH($A20&amp;"USD bn", 'Database.Jan 12 to SEC'!$AD$6:$AD$191, 0)), "")</f>
        <v/>
      </c>
      <c r="D20" s="493" t="str">
        <f>IF(ISNUMBER(INDEX('Database.Jan 12 to SEC'!$H$6:$H$191, MATCH($A20&amp;"USD bn", 'Database.Jan 12 to SEC'!$AD$6:$AD$191, 0))), INDEX('Database.Jan 12 to SEC'!$H$6:$H$191, MATCH($A20&amp;"USD bn", 'Database.Jan 12 to SEC'!$AD$6:$AD$191, 0)), "")</f>
        <v/>
      </c>
      <c r="E20" s="493" t="str">
        <f>IF(ISNUMBER(INDEX('Database.Jan 12 to SEC'!$J$6:$J$191, MATCH($A20&amp;"USD bn", 'Database.Jan 12 to SEC'!$AD$6:$AD$191, 0))), INDEX('Database.Jan 12 to SEC'!$J$6:$J$191, MATCH($A20&amp;"USD bn", 'Database.Jan 12 to SEC'!$AD$6:$AD$191, 0)), "")</f>
        <v/>
      </c>
      <c r="F20" s="493" t="str">
        <f>IF(ISNUMBER(INDEX('Database.Jan 12 to SEC'!$L$6:$L$191, MATCH($A20&amp;"USD bn", 'Database.Jan 12 to SEC'!$AD$6:$AD$191, 0))), INDEX('Database.Jan 12 to SEC'!$L$6:$L$191, MATCH($A20&amp;"USD bn", 'Database.Jan 12 to SEC'!$AD$6:$AD$191, 0)), "")</f>
        <v/>
      </c>
      <c r="G20" s="493"/>
      <c r="H20" s="494" t="str">
        <f>IF(ISNUMBER(INDEX('Database.Jan 12 to SEC'!$P$6:$P$191, MATCH($A20&amp;"USD bn", 'Database.Jan 12 to SEC'!$AD$6:$AD$191, 0))), INDEX('Database.Jan 12 to SEC'!$P$6:$P$191, MATCH($A20&amp;"USD bn", 'Database.Jan 12 to SEC'!$AD$6:$AD$191, 0)), "")</f>
        <v/>
      </c>
      <c r="I20" s="493" t="str">
        <f>IF(ISNUMBER(INDEX('Database.Jan 12 to SEC'!$Q$6:$Q$191, MATCH($A20&amp;"USD bn", 'Database.Jan 12 to SEC'!$AD$6:$AD$191, 0))), INDEX('Database.Jan 12 to SEC'!$Q$6:$Q$191, MATCH($A20&amp;"USD bn", 'Database.Jan 12 to SEC'!$AD$6:$AD$191, 0)), "")</f>
        <v/>
      </c>
      <c r="J20" s="493"/>
      <c r="K20" s="493" t="str">
        <f>IF(ISNUMBER(INDEX('Database.Jan 12 to SEC'!$U$6:$U$191, MATCH($A20&amp;"USD bn", 'Database.Jan 12 to SEC'!$AD$6:$AD$191, 0))), INDEX('Database.Jan 12 to SEC'!$U$6:$U$191, MATCH($A20&amp;"USD bn", 'Database.Jan 12 to SEC'!$AD$6:$AD$191, 0)), "")</f>
        <v/>
      </c>
      <c r="L20" s="493" t="str">
        <f>IF(ISNUMBER(INDEX('Database.Jan 12 to SEC'!$W$6:$W$191, MATCH($A20&amp;"USD bn", 'Database.Jan 12 to SEC'!$AD$6:$AD$191, 0))), INDEX('Database.Jan 12 to SEC'!$W$6:$W$191, MATCH($A20&amp;"USD bn", 'Database.Jan 12 to SEC'!$AD$6:$AD$191, 0)), "")</f>
        <v/>
      </c>
      <c r="M20"/>
      <c r="N20"/>
      <c r="O20" s="481" t="str">
        <f>IF(ISNUMBER(INDEX('Database.Jan 12 to SEC'!$G$6:$G$191, MATCH($A20&amp;"% GDP", 'Database.Jan 12 to SEC'!$AD$6:$AD$191, 0))), INDEX('Database.Jan 12 to SEC'!$G$6:$G$191, MATCH($A20&amp;"% GDP", 'Database.Jan 12 to SEC'!$AD$6:$AD$191, 0)), "")</f>
        <v/>
      </c>
      <c r="P20" s="480" t="str">
        <f>IF(ISNUMBER(INDEX('Database.Jan 12 to SEC'!$H$6:$H$191, MATCH($A20&amp;"% GDP", 'Database.Jan 12 to SEC'!$AD$6:$AD$191, 0))), INDEX('Database.Jan 12 to SEC'!$H$6:$H$191, MATCH($A20&amp;"% GDP", 'Database.Jan 12 to SEC'!$AD$6:$AD$191, 0)), "")</f>
        <v/>
      </c>
      <c r="Q20" s="480" t="str">
        <f>IF(ISNUMBER(INDEX('Database.Jan 12 to SEC'!$J$6:$J$191, MATCH($A20&amp;"% GDP", 'Database.Jan 12 to SEC'!$AD$6:$AD$191, 0))), INDEX('Database.Jan 12 to SEC'!$J$6:$J$191, MATCH($A20&amp;"% GDP", 'Database.Jan 12 to SEC'!$AD$6:$AD$191, 0)), "")</f>
        <v/>
      </c>
      <c r="R20" s="480" t="str">
        <f>IF(ISNUMBER(INDEX('Database.Jan 12 to SEC'!$L$6:$L$191, MATCH($A20&amp;"% GDP", 'Database.Jan 12 to SEC'!$AD$6:$AD$191, 0))), INDEX('Database.Jan 12 to SEC'!$L$6:$L$191, MATCH($A20&amp;"% GDP", 'Database.Jan 12 to SEC'!$AD$6:$AD$191, 0)), "")</f>
        <v/>
      </c>
      <c r="S20" s="482"/>
      <c r="T20" s="481" t="str">
        <f>IF(ISNUMBER(INDEX('Database.Jan 12 to SEC'!$P$6:$P$191, MATCH($A20&amp;"% GDP", 'Database.Jan 12 to SEC'!$AD$6:$AD$191, 0))), INDEX('Database.Jan 12 to SEC'!$P$6:$P$191, MATCH($A20&amp;"% GDP", 'Database.Jan 12 to SEC'!$AD$6:$AD$191, 0)), "")</f>
        <v/>
      </c>
      <c r="U20" s="480" t="str">
        <f>IF(ISNUMBER(INDEX('Database.Jan 12 to SEC'!$Q$6:$Q$191, MATCH($A20&amp;"% GDP", 'Database.Jan 12 to SEC'!$AD$6:$AD$191, 0))), INDEX('Database.Jan 12 to SEC'!$Q$6:$Q$191, MATCH($A20&amp;"% GDP", 'Database.Jan 12 to SEC'!$AD$6:$AD$191, 0)), "")</f>
        <v/>
      </c>
      <c r="V20" s="483"/>
      <c r="W20" s="480" t="str">
        <f>IF(ISNUMBER(INDEX('Database.Jan 12 to SEC'!$U$6:$U$191, MATCH($A20&amp;"% GDP", 'Database.Jan 12 to SEC'!$AD$6:$AD$191, 0))), INDEX('Database.Jan 12 to SEC'!$U$6:$U$191, MATCH($A20&amp;"% GDP", 'Database.Jan 12 to SEC'!$AD$6:$AD$191, 0)), "")</f>
        <v/>
      </c>
      <c r="X20" s="480" t="str">
        <f>IF(ISNUMBER(INDEX('Database.Jan 12 to SEC'!$W$6:$W$191, MATCH($A20&amp;"% GDP", 'Database.Jan 12 to SEC'!$AD$6:$AD$191, 0))), INDEX('Database.Jan 12 to SEC'!$W$6:$W$191, MATCH($A20&amp;"% GDP", 'Database.Jan 12 to SEC'!$AD$6:$AD$191, 0)), "")</f>
        <v/>
      </c>
      <c r="Z20" s="490"/>
      <c r="AC20" s="299"/>
      <c r="AE20" s="415" t="s">
        <v>9</v>
      </c>
      <c r="AF20" s="443">
        <v>20.812695929621835</v>
      </c>
      <c r="AG20" s="438">
        <v>4.9352464465452508</v>
      </c>
      <c r="AH20" s="438">
        <v>15.877449483076585</v>
      </c>
      <c r="AI20" s="438">
        <v>0.14157333466853844</v>
      </c>
      <c r="AJ20" s="437"/>
      <c r="AK20" s="443">
        <v>8.9615920845184842</v>
      </c>
      <c r="AL20" s="438" t="s">
        <v>452</v>
      </c>
      <c r="AM20" s="441"/>
      <c r="AN20" s="438">
        <v>8.9615920845184842</v>
      </c>
      <c r="AO20" s="438" t="s">
        <v>452</v>
      </c>
      <c r="AP20" s="331"/>
      <c r="AQ20" s="331"/>
      <c r="AR20" s="443">
        <v>5.3494285646507498</v>
      </c>
      <c r="AS20" s="438">
        <v>1.2684924818973211</v>
      </c>
      <c r="AT20" s="438">
        <v>4.0809360827534285</v>
      </c>
      <c r="AU20" s="438">
        <v>3.6388195120405073E-2</v>
      </c>
      <c r="AV20" s="437"/>
      <c r="AW20" s="443">
        <v>2.3033727511216413</v>
      </c>
      <c r="AX20" s="438" t="s">
        <v>452</v>
      </c>
      <c r="AY20" s="441"/>
      <c r="AZ20" s="438">
        <v>2.3033727511216413</v>
      </c>
      <c r="BA20" s="438" t="s">
        <v>452</v>
      </c>
    </row>
    <row r="21" spans="1:53">
      <c r="A21" s="415" t="s">
        <v>10</v>
      </c>
      <c r="B21" s="415" t="s">
        <v>10</v>
      </c>
      <c r="C21" s="492" t="str">
        <f>IF(ISNUMBER(INDEX('Database.Jan 12 to SEC'!$G$6:$G$191, MATCH($A21&amp;"USD bn", 'Database.Jan 12 to SEC'!$AD$6:$AD$191, 0))), INDEX('Database.Jan 12 to SEC'!$G$6:$G$191, MATCH($A21&amp;"USD bn", 'Database.Jan 12 to SEC'!$AD$6:$AD$191, 0)), "")</f>
        <v/>
      </c>
      <c r="D21" s="493" t="str">
        <f>IF(ISNUMBER(INDEX('Database.Jan 12 to SEC'!$H$6:$H$191, MATCH($A21&amp;"USD bn", 'Database.Jan 12 to SEC'!$AD$6:$AD$191, 0))), INDEX('Database.Jan 12 to SEC'!$H$6:$H$191, MATCH($A21&amp;"USD bn", 'Database.Jan 12 to SEC'!$AD$6:$AD$191, 0)), "")</f>
        <v/>
      </c>
      <c r="E21" s="493" t="str">
        <f>IF(ISNUMBER(INDEX('Database.Jan 12 to SEC'!$J$6:$J$191, MATCH($A21&amp;"USD bn", 'Database.Jan 12 to SEC'!$AD$6:$AD$191, 0))), INDEX('Database.Jan 12 to SEC'!$J$6:$J$191, MATCH($A21&amp;"USD bn", 'Database.Jan 12 to SEC'!$AD$6:$AD$191, 0)), "")</f>
        <v/>
      </c>
      <c r="F21" s="493" t="str">
        <f>IF(ISNUMBER(INDEX('Database.Jan 12 to SEC'!$L$6:$L$191, MATCH($A21&amp;"USD bn", 'Database.Jan 12 to SEC'!$AD$6:$AD$191, 0))), INDEX('Database.Jan 12 to SEC'!$L$6:$L$191, MATCH($A21&amp;"USD bn", 'Database.Jan 12 to SEC'!$AD$6:$AD$191, 0)), "")</f>
        <v/>
      </c>
      <c r="G21" s="493"/>
      <c r="H21" s="494" t="str">
        <f>IF(ISNUMBER(INDEX('Database.Jan 12 to SEC'!$P$6:$P$191, MATCH($A21&amp;"USD bn", 'Database.Jan 12 to SEC'!$AD$6:$AD$191, 0))), INDEX('Database.Jan 12 to SEC'!$P$6:$P$191, MATCH($A21&amp;"USD bn", 'Database.Jan 12 to SEC'!$AD$6:$AD$191, 0)), "")</f>
        <v/>
      </c>
      <c r="I21" s="493" t="str">
        <f>IF(ISNUMBER(INDEX('Database.Jan 12 to SEC'!$Q$6:$Q$191, MATCH($A21&amp;"USD bn", 'Database.Jan 12 to SEC'!$AD$6:$AD$191, 0))), INDEX('Database.Jan 12 to SEC'!$Q$6:$Q$191, MATCH($A21&amp;"USD bn", 'Database.Jan 12 to SEC'!$AD$6:$AD$191, 0)), "")</f>
        <v/>
      </c>
      <c r="J21" s="493"/>
      <c r="K21" s="493" t="str">
        <f>IF(ISNUMBER(INDEX('Database.Jan 12 to SEC'!$U$6:$U$191, MATCH($A21&amp;"USD bn", 'Database.Jan 12 to SEC'!$AD$6:$AD$191, 0))), INDEX('Database.Jan 12 to SEC'!$U$6:$U$191, MATCH($A21&amp;"USD bn", 'Database.Jan 12 to SEC'!$AD$6:$AD$191, 0)), "")</f>
        <v/>
      </c>
      <c r="L21" s="493" t="str">
        <f>IF(ISNUMBER(INDEX('Database.Jan 12 to SEC'!$W$6:$W$191, MATCH($A21&amp;"USD bn", 'Database.Jan 12 to SEC'!$AD$6:$AD$191, 0))), INDEX('Database.Jan 12 to SEC'!$W$6:$W$191, MATCH($A21&amp;"USD bn", 'Database.Jan 12 to SEC'!$AD$6:$AD$191, 0)), "")</f>
        <v/>
      </c>
      <c r="M21"/>
      <c r="N21"/>
      <c r="O21" s="481" t="str">
        <f>IF(ISNUMBER(INDEX('Database.Jan 12 to SEC'!$G$6:$G$191, MATCH($A21&amp;"% GDP", 'Database.Jan 12 to SEC'!$AD$6:$AD$191, 0))), INDEX('Database.Jan 12 to SEC'!$G$6:$G$191, MATCH($A21&amp;"% GDP", 'Database.Jan 12 to SEC'!$AD$6:$AD$191, 0)), "")</f>
        <v/>
      </c>
      <c r="P21" s="480" t="str">
        <f>IF(ISNUMBER(INDEX('Database.Jan 12 to SEC'!$H$6:$H$191, MATCH($A21&amp;"% GDP", 'Database.Jan 12 to SEC'!$AD$6:$AD$191, 0))), INDEX('Database.Jan 12 to SEC'!$H$6:$H$191, MATCH($A21&amp;"% GDP", 'Database.Jan 12 to SEC'!$AD$6:$AD$191, 0)), "")</f>
        <v/>
      </c>
      <c r="Q21" s="480" t="str">
        <f>IF(ISNUMBER(INDEX('Database.Jan 12 to SEC'!$J$6:$J$191, MATCH($A21&amp;"% GDP", 'Database.Jan 12 to SEC'!$AD$6:$AD$191, 0))), INDEX('Database.Jan 12 to SEC'!$J$6:$J$191, MATCH($A21&amp;"% GDP", 'Database.Jan 12 to SEC'!$AD$6:$AD$191, 0)), "")</f>
        <v/>
      </c>
      <c r="R21" s="480" t="str">
        <f>IF(ISNUMBER(INDEX('Database.Jan 12 to SEC'!$L$6:$L$191, MATCH($A21&amp;"% GDP", 'Database.Jan 12 to SEC'!$AD$6:$AD$191, 0))), INDEX('Database.Jan 12 to SEC'!$L$6:$L$191, MATCH($A21&amp;"% GDP", 'Database.Jan 12 to SEC'!$AD$6:$AD$191, 0)), "")</f>
        <v/>
      </c>
      <c r="S21" s="482"/>
      <c r="T21" s="481" t="str">
        <f>IF(ISNUMBER(INDEX('Database.Jan 12 to SEC'!$P$6:$P$191, MATCH($A21&amp;"% GDP", 'Database.Jan 12 to SEC'!$AD$6:$AD$191, 0))), INDEX('Database.Jan 12 to SEC'!$P$6:$P$191, MATCH($A21&amp;"% GDP", 'Database.Jan 12 to SEC'!$AD$6:$AD$191, 0)), "")</f>
        <v/>
      </c>
      <c r="U21" s="480" t="str">
        <f>IF(ISNUMBER(INDEX('Database.Jan 12 to SEC'!$Q$6:$Q$191, MATCH($A21&amp;"% GDP", 'Database.Jan 12 to SEC'!$AD$6:$AD$191, 0))), INDEX('Database.Jan 12 to SEC'!$Q$6:$Q$191, MATCH($A21&amp;"% GDP", 'Database.Jan 12 to SEC'!$AD$6:$AD$191, 0)), "")</f>
        <v/>
      </c>
      <c r="V21" s="483"/>
      <c r="W21" s="480" t="str">
        <f>IF(ISNUMBER(INDEX('Database.Jan 12 to SEC'!$U$6:$U$191, MATCH($A21&amp;"% GDP", 'Database.Jan 12 to SEC'!$AD$6:$AD$191, 0))), INDEX('Database.Jan 12 to SEC'!$U$6:$U$191, MATCH($A21&amp;"% GDP", 'Database.Jan 12 to SEC'!$AD$6:$AD$191, 0)), "")</f>
        <v/>
      </c>
      <c r="X21" s="480" t="str">
        <f>IF(ISNUMBER(INDEX('Database.Jan 12 to SEC'!$W$6:$W$191, MATCH($A21&amp;"% GDP", 'Database.Jan 12 to SEC'!$AD$6:$AD$191, 0))), INDEX('Database.Jan 12 to SEC'!$W$6:$W$191, MATCH($A21&amp;"% GDP", 'Database.Jan 12 to SEC'!$AD$6:$AD$191, 0)), "")</f>
        <v/>
      </c>
      <c r="Z21" s="490"/>
      <c r="AC21" s="299"/>
      <c r="AE21" s="415" t="s">
        <v>10</v>
      </c>
      <c r="AF21" s="443">
        <v>133.43721913654085</v>
      </c>
      <c r="AG21" s="438">
        <v>21.104767323819807</v>
      </c>
      <c r="AH21" s="438">
        <v>112.33245181272105</v>
      </c>
      <c r="AI21" s="438">
        <v>44.537266337766802</v>
      </c>
      <c r="AJ21" s="437"/>
      <c r="AK21" s="443">
        <v>88.861157270605275</v>
      </c>
      <c r="AL21" s="438">
        <v>15.498813503430172</v>
      </c>
      <c r="AM21" s="441"/>
      <c r="AN21" s="438" t="s">
        <v>452</v>
      </c>
      <c r="AO21" s="438">
        <v>73.362343767175105</v>
      </c>
      <c r="AP21" s="331"/>
      <c r="AQ21" s="331"/>
      <c r="AR21" s="443">
        <v>9.2362126130761357</v>
      </c>
      <c r="AS21" s="438">
        <v>1.460822695599191</v>
      </c>
      <c r="AT21" s="438">
        <v>7.7753899174769447</v>
      </c>
      <c r="AU21" s="438">
        <v>3.0827655414482935</v>
      </c>
      <c r="AV21" s="437"/>
      <c r="AW21" s="443">
        <v>6.1507617357903435</v>
      </c>
      <c r="AX21" s="438">
        <v>1.0727916670806561</v>
      </c>
      <c r="AY21" s="441"/>
      <c r="AZ21" s="438" t="s">
        <v>452</v>
      </c>
      <c r="BA21" s="438">
        <v>5.0779700687096874</v>
      </c>
    </row>
    <row r="22" spans="1:53">
      <c r="A22" s="415" t="s">
        <v>11</v>
      </c>
      <c r="B22" s="415" t="s">
        <v>11</v>
      </c>
      <c r="C22" s="492" t="str">
        <f>IF(ISNUMBER(INDEX('Database.Jan 12 to SEC'!$G$6:$G$191, MATCH($A22&amp;"USD bn", 'Database.Jan 12 to SEC'!$AD$6:$AD$191, 0))), INDEX('Database.Jan 12 to SEC'!$G$6:$G$191, MATCH($A22&amp;"USD bn", 'Database.Jan 12 to SEC'!$AD$6:$AD$191, 0)), "")</f>
        <v/>
      </c>
      <c r="D22" s="493" t="str">
        <f>IF(ISNUMBER(INDEX('Database.Jan 12 to SEC'!$H$6:$H$191, MATCH($A22&amp;"USD bn", 'Database.Jan 12 to SEC'!$AD$6:$AD$191, 0))), INDEX('Database.Jan 12 to SEC'!$H$6:$H$191, MATCH($A22&amp;"USD bn", 'Database.Jan 12 to SEC'!$AD$6:$AD$191, 0)), "")</f>
        <v/>
      </c>
      <c r="E22" s="493" t="str">
        <f>IF(ISNUMBER(INDEX('Database.Jan 12 to SEC'!$J$6:$J$191, MATCH($A22&amp;"USD bn", 'Database.Jan 12 to SEC'!$AD$6:$AD$191, 0))), INDEX('Database.Jan 12 to SEC'!$J$6:$J$191, MATCH($A22&amp;"USD bn", 'Database.Jan 12 to SEC'!$AD$6:$AD$191, 0)), "")</f>
        <v/>
      </c>
      <c r="F22" s="493" t="str">
        <f>IF(ISNUMBER(INDEX('Database.Jan 12 to SEC'!$L$6:$L$191, MATCH($A22&amp;"USD bn", 'Database.Jan 12 to SEC'!$AD$6:$AD$191, 0))), INDEX('Database.Jan 12 to SEC'!$L$6:$L$191, MATCH($A22&amp;"USD bn", 'Database.Jan 12 to SEC'!$AD$6:$AD$191, 0)), "")</f>
        <v/>
      </c>
      <c r="G22" s="493"/>
      <c r="H22" s="494" t="str">
        <f>IF(ISNUMBER(INDEX('Database.Jan 12 to SEC'!$P$6:$P$191, MATCH($A22&amp;"USD bn", 'Database.Jan 12 to SEC'!$AD$6:$AD$191, 0))), INDEX('Database.Jan 12 to SEC'!$P$6:$P$191, MATCH($A22&amp;"USD bn", 'Database.Jan 12 to SEC'!$AD$6:$AD$191, 0)), "")</f>
        <v/>
      </c>
      <c r="I22" s="493" t="str">
        <f>IF(ISNUMBER(INDEX('Database.Jan 12 to SEC'!$Q$6:$Q$191, MATCH($A22&amp;"USD bn", 'Database.Jan 12 to SEC'!$AD$6:$AD$191, 0))), INDEX('Database.Jan 12 to SEC'!$Q$6:$Q$191, MATCH($A22&amp;"USD bn", 'Database.Jan 12 to SEC'!$AD$6:$AD$191, 0)), "")</f>
        <v/>
      </c>
      <c r="J22" s="493"/>
      <c r="K22" s="493" t="str">
        <f>IF(ISNUMBER(INDEX('Database.Jan 12 to SEC'!$U$6:$U$191, MATCH($A22&amp;"USD bn", 'Database.Jan 12 to SEC'!$AD$6:$AD$191, 0))), INDEX('Database.Jan 12 to SEC'!$U$6:$U$191, MATCH($A22&amp;"USD bn", 'Database.Jan 12 to SEC'!$AD$6:$AD$191, 0)), "")</f>
        <v/>
      </c>
      <c r="L22" s="493" t="str">
        <f>IF(ISNUMBER(INDEX('Database.Jan 12 to SEC'!$W$6:$W$191, MATCH($A22&amp;"USD bn", 'Database.Jan 12 to SEC'!$AD$6:$AD$191, 0))), INDEX('Database.Jan 12 to SEC'!$W$6:$W$191, MATCH($A22&amp;"USD bn", 'Database.Jan 12 to SEC'!$AD$6:$AD$191, 0)), "")</f>
        <v/>
      </c>
      <c r="M22"/>
      <c r="N22"/>
      <c r="O22" s="481" t="str">
        <f>IF(ISNUMBER(INDEX('Database.Jan 12 to SEC'!$G$6:$G$191, MATCH($A22&amp;"% GDP", 'Database.Jan 12 to SEC'!$AD$6:$AD$191, 0))), INDEX('Database.Jan 12 to SEC'!$G$6:$G$191, MATCH($A22&amp;"% GDP", 'Database.Jan 12 to SEC'!$AD$6:$AD$191, 0)), "")</f>
        <v/>
      </c>
      <c r="P22" s="480" t="str">
        <f>IF(ISNUMBER(INDEX('Database.Jan 12 to SEC'!$H$6:$H$191, MATCH($A22&amp;"% GDP", 'Database.Jan 12 to SEC'!$AD$6:$AD$191, 0))), INDEX('Database.Jan 12 to SEC'!$H$6:$H$191, MATCH($A22&amp;"% GDP", 'Database.Jan 12 to SEC'!$AD$6:$AD$191, 0)), "")</f>
        <v/>
      </c>
      <c r="Q22" s="480" t="str">
        <f>IF(ISNUMBER(INDEX('Database.Jan 12 to SEC'!$J$6:$J$191, MATCH($A22&amp;"% GDP", 'Database.Jan 12 to SEC'!$AD$6:$AD$191, 0))), INDEX('Database.Jan 12 to SEC'!$J$6:$J$191, MATCH($A22&amp;"% GDP", 'Database.Jan 12 to SEC'!$AD$6:$AD$191, 0)), "")</f>
        <v/>
      </c>
      <c r="R22" s="480" t="str">
        <f>IF(ISNUMBER(INDEX('Database.Jan 12 to SEC'!$L$6:$L$191, MATCH($A22&amp;"% GDP", 'Database.Jan 12 to SEC'!$AD$6:$AD$191, 0))), INDEX('Database.Jan 12 to SEC'!$L$6:$L$191, MATCH($A22&amp;"% GDP", 'Database.Jan 12 to SEC'!$AD$6:$AD$191, 0)), "")</f>
        <v/>
      </c>
      <c r="S22" s="482"/>
      <c r="T22" s="481" t="str">
        <f>IF(ISNUMBER(INDEX('Database.Jan 12 to SEC'!$P$6:$P$191, MATCH($A22&amp;"% GDP", 'Database.Jan 12 to SEC'!$AD$6:$AD$191, 0))), INDEX('Database.Jan 12 to SEC'!$P$6:$P$191, MATCH($A22&amp;"% GDP", 'Database.Jan 12 to SEC'!$AD$6:$AD$191, 0)), "")</f>
        <v/>
      </c>
      <c r="U22" s="480" t="str">
        <f>IF(ISNUMBER(INDEX('Database.Jan 12 to SEC'!$Q$6:$Q$191, MATCH($A22&amp;"% GDP", 'Database.Jan 12 to SEC'!$AD$6:$AD$191, 0))), INDEX('Database.Jan 12 to SEC'!$Q$6:$Q$191, MATCH($A22&amp;"% GDP", 'Database.Jan 12 to SEC'!$AD$6:$AD$191, 0)), "")</f>
        <v/>
      </c>
      <c r="V22" s="483"/>
      <c r="W22" s="480" t="str">
        <f>IF(ISNUMBER(INDEX('Database.Jan 12 to SEC'!$U$6:$U$191, MATCH($A22&amp;"% GDP", 'Database.Jan 12 to SEC'!$AD$6:$AD$191, 0))), INDEX('Database.Jan 12 to SEC'!$U$6:$U$191, MATCH($A22&amp;"% GDP", 'Database.Jan 12 to SEC'!$AD$6:$AD$191, 0)), "")</f>
        <v/>
      </c>
      <c r="X22" s="480" t="str">
        <f>IF(ISNUMBER(INDEX('Database.Jan 12 to SEC'!$W$6:$W$191, MATCH($A22&amp;"% GDP", 'Database.Jan 12 to SEC'!$AD$6:$AD$191, 0))), INDEX('Database.Jan 12 to SEC'!$W$6:$W$191, MATCH($A22&amp;"% GDP", 'Database.Jan 12 to SEC'!$AD$6:$AD$191, 0)), "")</f>
        <v/>
      </c>
      <c r="Z22" s="490"/>
      <c r="AC22" s="299"/>
      <c r="AE22" s="415" t="s">
        <v>11</v>
      </c>
      <c r="AF22" s="443">
        <v>710.64739339926814</v>
      </c>
      <c r="AG22" s="438">
        <v>21.302032387783935</v>
      </c>
      <c r="AH22" s="438">
        <v>689.34536101148421</v>
      </c>
      <c r="AI22" s="438">
        <v>231.8588559214578</v>
      </c>
      <c r="AJ22" s="437"/>
      <c r="AK22" s="443">
        <v>192.73267398471179</v>
      </c>
      <c r="AL22" s="438" t="s">
        <v>452</v>
      </c>
      <c r="AM22" s="441"/>
      <c r="AN22" s="438">
        <v>57.964713980364451</v>
      </c>
      <c r="AO22" s="438">
        <v>134.76796000434734</v>
      </c>
      <c r="AP22" s="331"/>
      <c r="AQ22" s="331"/>
      <c r="AR22" s="443">
        <v>4.7801156546253365</v>
      </c>
      <c r="AS22" s="438">
        <v>0.14328650106646096</v>
      </c>
      <c r="AT22" s="438">
        <v>4.6368291535588755</v>
      </c>
      <c r="AU22" s="438">
        <v>1.5595809639886906</v>
      </c>
      <c r="AV22" s="437"/>
      <c r="AW22" s="443">
        <v>1.296401676315599</v>
      </c>
      <c r="AX22" s="438" t="s">
        <v>452</v>
      </c>
      <c r="AY22" s="441"/>
      <c r="AZ22" s="438">
        <v>0.38989524099717265</v>
      </c>
      <c r="BA22" s="438">
        <v>0.90650643531842645</v>
      </c>
    </row>
    <row r="23" spans="1:53">
      <c r="A23" s="415" t="s">
        <v>12</v>
      </c>
      <c r="B23" s="415" t="s">
        <v>12</v>
      </c>
      <c r="C23" s="492" t="str">
        <f>IF(ISNUMBER(INDEX('Database.Jan 12 to SEC'!$G$6:$G$191, MATCH($A23&amp;"USD bn", 'Database.Jan 12 to SEC'!$AD$6:$AD$191, 0))), INDEX('Database.Jan 12 to SEC'!$G$6:$G$191, MATCH($A23&amp;"USD bn", 'Database.Jan 12 to SEC'!$AD$6:$AD$191, 0)), "")</f>
        <v/>
      </c>
      <c r="D23" s="493" t="str">
        <f>IF(ISNUMBER(INDEX('Database.Jan 12 to SEC'!$H$6:$H$191, MATCH($A23&amp;"USD bn", 'Database.Jan 12 to SEC'!$AD$6:$AD$191, 0))), INDEX('Database.Jan 12 to SEC'!$H$6:$H$191, MATCH($A23&amp;"USD bn", 'Database.Jan 12 to SEC'!$AD$6:$AD$191, 0)), "")</f>
        <v/>
      </c>
      <c r="E23" s="493" t="str">
        <f>IF(ISNUMBER(INDEX('Database.Jan 12 to SEC'!$J$6:$J$191, MATCH($A23&amp;"USD bn", 'Database.Jan 12 to SEC'!$AD$6:$AD$191, 0))), INDEX('Database.Jan 12 to SEC'!$J$6:$J$191, MATCH($A23&amp;"USD bn", 'Database.Jan 12 to SEC'!$AD$6:$AD$191, 0)), "")</f>
        <v/>
      </c>
      <c r="F23" s="493" t="str">
        <f>IF(ISNUMBER(INDEX('Database.Jan 12 to SEC'!$L$6:$L$191, MATCH($A23&amp;"USD bn", 'Database.Jan 12 to SEC'!$AD$6:$AD$191, 0))), INDEX('Database.Jan 12 to SEC'!$L$6:$L$191, MATCH($A23&amp;"USD bn", 'Database.Jan 12 to SEC'!$AD$6:$AD$191, 0)), "")</f>
        <v/>
      </c>
      <c r="G23" s="493"/>
      <c r="H23" s="494" t="str">
        <f>IF(ISNUMBER(INDEX('Database.Jan 12 to SEC'!$P$6:$P$191, MATCH($A23&amp;"USD bn", 'Database.Jan 12 to SEC'!$AD$6:$AD$191, 0))), INDEX('Database.Jan 12 to SEC'!$P$6:$P$191, MATCH($A23&amp;"USD bn", 'Database.Jan 12 to SEC'!$AD$6:$AD$191, 0)), "")</f>
        <v/>
      </c>
      <c r="I23" s="493" t="str">
        <f>IF(ISNUMBER(INDEX('Database.Jan 12 to SEC'!$Q$6:$Q$191, MATCH($A23&amp;"USD bn", 'Database.Jan 12 to SEC'!$AD$6:$AD$191, 0))), INDEX('Database.Jan 12 to SEC'!$Q$6:$Q$191, MATCH($A23&amp;"USD bn", 'Database.Jan 12 to SEC'!$AD$6:$AD$191, 0)), "")</f>
        <v/>
      </c>
      <c r="J23" s="493"/>
      <c r="K23" s="493" t="str">
        <f>IF(ISNUMBER(INDEX('Database.Jan 12 to SEC'!$U$6:$U$191, MATCH($A23&amp;"USD bn", 'Database.Jan 12 to SEC'!$AD$6:$AD$191, 0))), INDEX('Database.Jan 12 to SEC'!$U$6:$U$191, MATCH($A23&amp;"USD bn", 'Database.Jan 12 to SEC'!$AD$6:$AD$191, 0)), "")</f>
        <v/>
      </c>
      <c r="L23" s="493" t="str">
        <f>IF(ISNUMBER(INDEX('Database.Jan 12 to SEC'!$W$6:$W$191, MATCH($A23&amp;"USD bn", 'Database.Jan 12 to SEC'!$AD$6:$AD$191, 0))), INDEX('Database.Jan 12 to SEC'!$W$6:$W$191, MATCH($A23&amp;"USD bn", 'Database.Jan 12 to SEC'!$AD$6:$AD$191, 0)), "")</f>
        <v/>
      </c>
      <c r="M23"/>
      <c r="N23"/>
      <c r="O23" s="481" t="str">
        <f>IF(ISNUMBER(INDEX('Database.Jan 12 to SEC'!$G$6:$G$191, MATCH($A23&amp;"% GDP", 'Database.Jan 12 to SEC'!$AD$6:$AD$191, 0))), INDEX('Database.Jan 12 to SEC'!$G$6:$G$191, MATCH($A23&amp;"% GDP", 'Database.Jan 12 to SEC'!$AD$6:$AD$191, 0)), "")</f>
        <v/>
      </c>
      <c r="P23" s="480" t="str">
        <f>IF(ISNUMBER(INDEX('Database.Jan 12 to SEC'!$H$6:$H$191, MATCH($A23&amp;"% GDP", 'Database.Jan 12 to SEC'!$AD$6:$AD$191, 0))), INDEX('Database.Jan 12 to SEC'!$H$6:$H$191, MATCH($A23&amp;"% GDP", 'Database.Jan 12 to SEC'!$AD$6:$AD$191, 0)), "")</f>
        <v/>
      </c>
      <c r="Q23" s="480" t="str">
        <f>IF(ISNUMBER(INDEX('Database.Jan 12 to SEC'!$J$6:$J$191, MATCH($A23&amp;"% GDP", 'Database.Jan 12 to SEC'!$AD$6:$AD$191, 0))), INDEX('Database.Jan 12 to SEC'!$J$6:$J$191, MATCH($A23&amp;"% GDP", 'Database.Jan 12 to SEC'!$AD$6:$AD$191, 0)), "")</f>
        <v/>
      </c>
      <c r="R23" s="480" t="str">
        <f>IF(ISNUMBER(INDEX('Database.Jan 12 to SEC'!$L$6:$L$191, MATCH($A23&amp;"% GDP", 'Database.Jan 12 to SEC'!$AD$6:$AD$191, 0))), INDEX('Database.Jan 12 to SEC'!$L$6:$L$191, MATCH($A23&amp;"% GDP", 'Database.Jan 12 to SEC'!$AD$6:$AD$191, 0)), "")</f>
        <v/>
      </c>
      <c r="S23" s="482"/>
      <c r="T23" s="481" t="str">
        <f>IF(ISNUMBER(INDEX('Database.Jan 12 to SEC'!$P$6:$P$191, MATCH($A23&amp;"% GDP", 'Database.Jan 12 to SEC'!$AD$6:$AD$191, 0))), INDEX('Database.Jan 12 to SEC'!$P$6:$P$191, MATCH($A23&amp;"% GDP", 'Database.Jan 12 to SEC'!$AD$6:$AD$191, 0)), "")</f>
        <v/>
      </c>
      <c r="U23" s="480" t="str">
        <f>IF(ISNUMBER(INDEX('Database.Jan 12 to SEC'!$Q$6:$Q$191, MATCH($A23&amp;"% GDP", 'Database.Jan 12 to SEC'!$AD$6:$AD$191, 0))), INDEX('Database.Jan 12 to SEC'!$Q$6:$Q$191, MATCH($A23&amp;"% GDP", 'Database.Jan 12 to SEC'!$AD$6:$AD$191, 0)), "")</f>
        <v/>
      </c>
      <c r="V23" s="483"/>
      <c r="W23" s="480" t="str">
        <f>IF(ISNUMBER(INDEX('Database.Jan 12 to SEC'!$U$6:$U$191, MATCH($A23&amp;"% GDP", 'Database.Jan 12 to SEC'!$AD$6:$AD$191, 0))), INDEX('Database.Jan 12 to SEC'!$U$6:$U$191, MATCH($A23&amp;"% GDP", 'Database.Jan 12 to SEC'!$AD$6:$AD$191, 0)), "")</f>
        <v/>
      </c>
      <c r="X23" s="480" t="str">
        <f>IF(ISNUMBER(INDEX('Database.Jan 12 to SEC'!$W$6:$W$191, MATCH($A23&amp;"% GDP", 'Database.Jan 12 to SEC'!$AD$6:$AD$191, 0))), INDEX('Database.Jan 12 to SEC'!$W$6:$W$191, MATCH($A23&amp;"% GDP", 'Database.Jan 12 to SEC'!$AD$6:$AD$191, 0)), "")</f>
        <v/>
      </c>
      <c r="Z23" s="490"/>
      <c r="AC23" s="299"/>
      <c r="AE23" s="415" t="s">
        <v>12</v>
      </c>
      <c r="AF23" s="443">
        <v>108.91796310307309</v>
      </c>
      <c r="AG23" s="438">
        <v>14.028015635197093</v>
      </c>
      <c r="AH23" s="438">
        <v>94.889947467875999</v>
      </c>
      <c r="AI23" s="438">
        <v>18.05320721758315</v>
      </c>
      <c r="AJ23" s="437"/>
      <c r="AK23" s="443">
        <v>165.59102232187649</v>
      </c>
      <c r="AL23" s="438">
        <v>8.6358998705005963</v>
      </c>
      <c r="AM23" s="441"/>
      <c r="AN23" s="438">
        <v>140.78807121174921</v>
      </c>
      <c r="AO23" s="438">
        <v>16.167051239626701</v>
      </c>
      <c r="AP23" s="331"/>
      <c r="AQ23" s="331"/>
      <c r="AR23" s="443">
        <v>4.0942849748831005</v>
      </c>
      <c r="AS23" s="438">
        <v>0.52732067334256061</v>
      </c>
      <c r="AT23" s="438">
        <v>3.5669643015405397</v>
      </c>
      <c r="AU23" s="438">
        <v>0.67862979579826865</v>
      </c>
      <c r="AV23" s="437"/>
      <c r="AW23" s="443">
        <v>6.2246558359377007</v>
      </c>
      <c r="AX23" s="438">
        <v>0.32462813366170912</v>
      </c>
      <c r="AY23" s="441"/>
      <c r="AZ23" s="438">
        <v>5.2922995269342588</v>
      </c>
      <c r="BA23" s="438">
        <v>0.60772817534173318</v>
      </c>
    </row>
    <row r="24" spans="1:53">
      <c r="A24" s="415" t="s">
        <v>13</v>
      </c>
      <c r="B24" s="415" t="s">
        <v>13</v>
      </c>
      <c r="C24" s="492" t="str">
        <f>IF(ISNUMBER(INDEX('Database.Jan 12 to SEC'!$G$6:$G$191, MATCH($A24&amp;"USD bn", 'Database.Jan 12 to SEC'!$AD$6:$AD$191, 0))), INDEX('Database.Jan 12 to SEC'!$G$6:$G$191, MATCH($A24&amp;"USD bn", 'Database.Jan 12 to SEC'!$AD$6:$AD$191, 0)), "")</f>
        <v/>
      </c>
      <c r="D24" s="493" t="str">
        <f>IF(ISNUMBER(INDEX('Database.Jan 12 to SEC'!$H$6:$H$191, MATCH($A24&amp;"USD bn", 'Database.Jan 12 to SEC'!$AD$6:$AD$191, 0))), INDEX('Database.Jan 12 to SEC'!$H$6:$H$191, MATCH($A24&amp;"USD bn", 'Database.Jan 12 to SEC'!$AD$6:$AD$191, 0)), "")</f>
        <v/>
      </c>
      <c r="E24" s="493" t="str">
        <f>IF(ISNUMBER(INDEX('Database.Jan 12 to SEC'!$J$6:$J$191, MATCH($A24&amp;"USD bn", 'Database.Jan 12 to SEC'!$AD$6:$AD$191, 0))), INDEX('Database.Jan 12 to SEC'!$J$6:$J$191, MATCH($A24&amp;"USD bn", 'Database.Jan 12 to SEC'!$AD$6:$AD$191, 0)), "")</f>
        <v/>
      </c>
      <c r="F24" s="493" t="str">
        <f>IF(ISNUMBER(INDEX('Database.Jan 12 to SEC'!$L$6:$L$191, MATCH($A24&amp;"USD bn", 'Database.Jan 12 to SEC'!$AD$6:$AD$191, 0))), INDEX('Database.Jan 12 to SEC'!$L$6:$L$191, MATCH($A24&amp;"USD bn", 'Database.Jan 12 to SEC'!$AD$6:$AD$191, 0)), "")</f>
        <v/>
      </c>
      <c r="G24" s="493"/>
      <c r="H24" s="494" t="str">
        <f>IF(ISNUMBER(INDEX('Database.Jan 12 to SEC'!$P$6:$P$191, MATCH($A24&amp;"USD bn", 'Database.Jan 12 to SEC'!$AD$6:$AD$191, 0))), INDEX('Database.Jan 12 to SEC'!$P$6:$P$191, MATCH($A24&amp;"USD bn", 'Database.Jan 12 to SEC'!$AD$6:$AD$191, 0)), "")</f>
        <v/>
      </c>
      <c r="I24" s="493" t="str">
        <f>IF(ISNUMBER(INDEX('Database.Jan 12 to SEC'!$Q$6:$Q$191, MATCH($A24&amp;"USD bn", 'Database.Jan 12 to SEC'!$AD$6:$AD$191, 0))), INDEX('Database.Jan 12 to SEC'!$Q$6:$Q$191, MATCH($A24&amp;"USD bn", 'Database.Jan 12 to SEC'!$AD$6:$AD$191, 0)), "")</f>
        <v/>
      </c>
      <c r="J24" s="493"/>
      <c r="K24" s="493" t="str">
        <f>IF(ISNUMBER(INDEX('Database.Jan 12 to SEC'!$U$6:$U$191, MATCH($A24&amp;"USD bn", 'Database.Jan 12 to SEC'!$AD$6:$AD$191, 0))), INDEX('Database.Jan 12 to SEC'!$U$6:$U$191, MATCH($A24&amp;"USD bn", 'Database.Jan 12 to SEC'!$AD$6:$AD$191, 0)), "")</f>
        <v/>
      </c>
      <c r="L24" s="493" t="str">
        <f>IF(ISNUMBER(INDEX('Database.Jan 12 to SEC'!$W$6:$W$191, MATCH($A24&amp;"USD bn", 'Database.Jan 12 to SEC'!$AD$6:$AD$191, 0))), INDEX('Database.Jan 12 to SEC'!$W$6:$W$191, MATCH($A24&amp;"USD bn", 'Database.Jan 12 to SEC'!$AD$6:$AD$191, 0)), "")</f>
        <v/>
      </c>
      <c r="M24"/>
      <c r="N24"/>
      <c r="O24" s="481" t="str">
        <f>IF(ISNUMBER(INDEX('Database.Jan 12 to SEC'!$G$6:$G$191, MATCH($A24&amp;"% GDP", 'Database.Jan 12 to SEC'!$AD$6:$AD$191, 0))), INDEX('Database.Jan 12 to SEC'!$G$6:$G$191, MATCH($A24&amp;"% GDP", 'Database.Jan 12 to SEC'!$AD$6:$AD$191, 0)), "")</f>
        <v/>
      </c>
      <c r="P24" s="480" t="str">
        <f>IF(ISNUMBER(INDEX('Database.Jan 12 to SEC'!$H$6:$H$191, MATCH($A24&amp;"% GDP", 'Database.Jan 12 to SEC'!$AD$6:$AD$191, 0))), INDEX('Database.Jan 12 to SEC'!$H$6:$H$191, MATCH($A24&amp;"% GDP", 'Database.Jan 12 to SEC'!$AD$6:$AD$191, 0)), "")</f>
        <v/>
      </c>
      <c r="Q24" s="480" t="str">
        <f>IF(ISNUMBER(INDEX('Database.Jan 12 to SEC'!$J$6:$J$191, MATCH($A24&amp;"% GDP", 'Database.Jan 12 to SEC'!$AD$6:$AD$191, 0))), INDEX('Database.Jan 12 to SEC'!$J$6:$J$191, MATCH($A24&amp;"% GDP", 'Database.Jan 12 to SEC'!$AD$6:$AD$191, 0)), "")</f>
        <v/>
      </c>
      <c r="R24" s="480" t="str">
        <f>IF(ISNUMBER(INDEX('Database.Jan 12 to SEC'!$L$6:$L$191, MATCH($A24&amp;"% GDP", 'Database.Jan 12 to SEC'!$AD$6:$AD$191, 0))), INDEX('Database.Jan 12 to SEC'!$L$6:$L$191, MATCH($A24&amp;"% GDP", 'Database.Jan 12 to SEC'!$AD$6:$AD$191, 0)), "")</f>
        <v/>
      </c>
      <c r="S24" s="482"/>
      <c r="T24" s="481" t="str">
        <f>IF(ISNUMBER(INDEX('Database.Jan 12 to SEC'!$P$6:$P$191, MATCH($A24&amp;"% GDP", 'Database.Jan 12 to SEC'!$AD$6:$AD$191, 0))), INDEX('Database.Jan 12 to SEC'!$P$6:$P$191, MATCH($A24&amp;"% GDP", 'Database.Jan 12 to SEC'!$AD$6:$AD$191, 0)), "")</f>
        <v/>
      </c>
      <c r="U24" s="480" t="str">
        <f>IF(ISNUMBER(INDEX('Database.Jan 12 to SEC'!$Q$6:$Q$191, MATCH($A24&amp;"% GDP", 'Database.Jan 12 to SEC'!$AD$6:$AD$191, 0))), INDEX('Database.Jan 12 to SEC'!$Q$6:$Q$191, MATCH($A24&amp;"% GDP", 'Database.Jan 12 to SEC'!$AD$6:$AD$191, 0)), "")</f>
        <v/>
      </c>
      <c r="V24" s="483"/>
      <c r="W24" s="480" t="str">
        <f>IF(ISNUMBER(INDEX('Database.Jan 12 to SEC'!$U$6:$U$191, MATCH($A24&amp;"% GDP", 'Database.Jan 12 to SEC'!$AD$6:$AD$191, 0))), INDEX('Database.Jan 12 to SEC'!$U$6:$U$191, MATCH($A24&amp;"% GDP", 'Database.Jan 12 to SEC'!$AD$6:$AD$191, 0)), "")</f>
        <v/>
      </c>
      <c r="X24" s="480" t="str">
        <f>IF(ISNUMBER(INDEX('Database.Jan 12 to SEC'!$W$6:$W$191, MATCH($A24&amp;"% GDP", 'Database.Jan 12 to SEC'!$AD$6:$AD$191, 0))), INDEX('Database.Jan 12 to SEC'!$W$6:$W$191, MATCH($A24&amp;"% GDP", 'Database.Jan 12 to SEC'!$AD$6:$AD$191, 0)), "")</f>
        <v/>
      </c>
      <c r="Z24" s="490"/>
      <c r="AC24" s="299"/>
      <c r="AE24" s="415" t="s">
        <v>13</v>
      </c>
      <c r="AF24" s="443">
        <v>98.860320620644671</v>
      </c>
      <c r="AG24" s="438">
        <v>21.588685592667606</v>
      </c>
      <c r="AH24" s="438">
        <v>77.271635027977069</v>
      </c>
      <c r="AI24" s="438" t="s">
        <v>452</v>
      </c>
      <c r="AJ24" s="437"/>
      <c r="AK24" s="443">
        <v>9.2787751879441149</v>
      </c>
      <c r="AL24" s="438">
        <v>2.4132367580927534</v>
      </c>
      <c r="AM24" s="441"/>
      <c r="AN24" s="438">
        <v>6.8655384298513615</v>
      </c>
      <c r="AO24" s="438" t="s">
        <v>452</v>
      </c>
      <c r="AP24" s="331"/>
      <c r="AQ24" s="331"/>
      <c r="AR24" s="443">
        <v>9.3296348167315557</v>
      </c>
      <c r="AS24" s="438">
        <v>2.037364955811825</v>
      </c>
      <c r="AT24" s="438">
        <v>7.2922698609197312</v>
      </c>
      <c r="AU24" s="438" t="s">
        <v>452</v>
      </c>
      <c r="AV24" s="437"/>
      <c r="AW24" s="443">
        <v>0.87565550573371964</v>
      </c>
      <c r="AX24" s="438">
        <v>0.22774170200917679</v>
      </c>
      <c r="AY24" s="441"/>
      <c r="AZ24" s="438">
        <v>0.64791380372454288</v>
      </c>
      <c r="BA24" s="438" t="s">
        <v>452</v>
      </c>
    </row>
    <row r="25" spans="1:53">
      <c r="A25" s="415" t="s">
        <v>14</v>
      </c>
      <c r="B25" s="415" t="s">
        <v>14</v>
      </c>
      <c r="C25" s="492" t="str">
        <f>IF(ISNUMBER(INDEX('Database.Jan 12 to SEC'!$G$6:$G$191, MATCH($A25&amp;"USD bn", 'Database.Jan 12 to SEC'!$AD$6:$AD$191, 0))), INDEX('Database.Jan 12 to SEC'!$G$6:$G$191, MATCH($A25&amp;"USD bn", 'Database.Jan 12 to SEC'!$AD$6:$AD$191, 0)), "")</f>
        <v/>
      </c>
      <c r="D25" s="493" t="str">
        <f>IF(ISNUMBER(INDEX('Database.Jan 12 to SEC'!$H$6:$H$191, MATCH($A25&amp;"USD bn", 'Database.Jan 12 to SEC'!$AD$6:$AD$191, 0))), INDEX('Database.Jan 12 to SEC'!$H$6:$H$191, MATCH($A25&amp;"USD bn", 'Database.Jan 12 to SEC'!$AD$6:$AD$191, 0)), "")</f>
        <v/>
      </c>
      <c r="E25" s="493" t="str">
        <f>IF(ISNUMBER(INDEX('Database.Jan 12 to SEC'!$J$6:$J$191, MATCH($A25&amp;"USD bn", 'Database.Jan 12 to SEC'!$AD$6:$AD$191, 0))), INDEX('Database.Jan 12 to SEC'!$J$6:$J$191, MATCH($A25&amp;"USD bn", 'Database.Jan 12 to SEC'!$AD$6:$AD$191, 0)), "")</f>
        <v/>
      </c>
      <c r="F25" s="493" t="str">
        <f>IF(ISNUMBER(INDEX('Database.Jan 12 to SEC'!$L$6:$L$191, MATCH($A25&amp;"USD bn", 'Database.Jan 12 to SEC'!$AD$6:$AD$191, 0))), INDEX('Database.Jan 12 to SEC'!$L$6:$L$191, MATCH($A25&amp;"USD bn", 'Database.Jan 12 to SEC'!$AD$6:$AD$191, 0)), "")</f>
        <v/>
      </c>
      <c r="G25" s="493"/>
      <c r="H25" s="494" t="str">
        <f>IF(ISNUMBER(INDEX('Database.Jan 12 to SEC'!$P$6:$P$191, MATCH($A25&amp;"USD bn", 'Database.Jan 12 to SEC'!$AD$6:$AD$191, 0))), INDEX('Database.Jan 12 to SEC'!$P$6:$P$191, MATCH($A25&amp;"USD bn", 'Database.Jan 12 to SEC'!$AD$6:$AD$191, 0)), "")</f>
        <v/>
      </c>
      <c r="I25" s="493" t="str">
        <f>IF(ISNUMBER(INDEX('Database.Jan 12 to SEC'!$Q$6:$Q$191, MATCH($A25&amp;"USD bn", 'Database.Jan 12 to SEC'!$AD$6:$AD$191, 0))), INDEX('Database.Jan 12 to SEC'!$Q$6:$Q$191, MATCH($A25&amp;"USD bn", 'Database.Jan 12 to SEC'!$AD$6:$AD$191, 0)), "")</f>
        <v/>
      </c>
      <c r="J25" s="493"/>
      <c r="K25" s="493" t="str">
        <f>IF(ISNUMBER(INDEX('Database.Jan 12 to SEC'!$U$6:$U$191, MATCH($A25&amp;"USD bn", 'Database.Jan 12 to SEC'!$AD$6:$AD$191, 0))), INDEX('Database.Jan 12 to SEC'!$U$6:$U$191, MATCH($A25&amp;"USD bn", 'Database.Jan 12 to SEC'!$AD$6:$AD$191, 0)), "")</f>
        <v/>
      </c>
      <c r="L25" s="493" t="str">
        <f>IF(ISNUMBER(INDEX('Database.Jan 12 to SEC'!$W$6:$W$191, MATCH($A25&amp;"USD bn", 'Database.Jan 12 to SEC'!$AD$6:$AD$191, 0))), INDEX('Database.Jan 12 to SEC'!$W$6:$W$191, MATCH($A25&amp;"USD bn", 'Database.Jan 12 to SEC'!$AD$6:$AD$191, 0)), "")</f>
        <v/>
      </c>
      <c r="M25"/>
      <c r="N25"/>
      <c r="O25" s="481" t="str">
        <f>IF(ISNUMBER(INDEX('Database.Jan 12 to SEC'!$G$6:$G$191, MATCH($A25&amp;"% GDP", 'Database.Jan 12 to SEC'!$AD$6:$AD$191, 0))), INDEX('Database.Jan 12 to SEC'!$G$6:$G$191, MATCH($A25&amp;"% GDP", 'Database.Jan 12 to SEC'!$AD$6:$AD$191, 0)), "")</f>
        <v/>
      </c>
      <c r="P25" s="480" t="str">
        <f>IF(ISNUMBER(INDEX('Database.Jan 12 to SEC'!$H$6:$H$191, MATCH($A25&amp;"% GDP", 'Database.Jan 12 to SEC'!$AD$6:$AD$191, 0))), INDEX('Database.Jan 12 to SEC'!$H$6:$H$191, MATCH($A25&amp;"% GDP", 'Database.Jan 12 to SEC'!$AD$6:$AD$191, 0)), "")</f>
        <v/>
      </c>
      <c r="Q25" s="480" t="str">
        <f>IF(ISNUMBER(INDEX('Database.Jan 12 to SEC'!$J$6:$J$191, MATCH($A25&amp;"% GDP", 'Database.Jan 12 to SEC'!$AD$6:$AD$191, 0))), INDEX('Database.Jan 12 to SEC'!$J$6:$J$191, MATCH($A25&amp;"% GDP", 'Database.Jan 12 to SEC'!$AD$6:$AD$191, 0)), "")</f>
        <v/>
      </c>
      <c r="R25" s="480" t="str">
        <f>IF(ISNUMBER(INDEX('Database.Jan 12 to SEC'!$L$6:$L$191, MATCH($A25&amp;"% GDP", 'Database.Jan 12 to SEC'!$AD$6:$AD$191, 0))), INDEX('Database.Jan 12 to SEC'!$L$6:$L$191, MATCH($A25&amp;"% GDP", 'Database.Jan 12 to SEC'!$AD$6:$AD$191, 0)), "")</f>
        <v/>
      </c>
      <c r="S25" s="482"/>
      <c r="T25" s="481" t="str">
        <f>IF(ISNUMBER(INDEX('Database.Jan 12 to SEC'!$P$6:$P$191, MATCH($A25&amp;"% GDP", 'Database.Jan 12 to SEC'!$AD$6:$AD$191, 0))), INDEX('Database.Jan 12 to SEC'!$P$6:$P$191, MATCH($A25&amp;"% GDP", 'Database.Jan 12 to SEC'!$AD$6:$AD$191, 0)), "")</f>
        <v/>
      </c>
      <c r="U25" s="480" t="str">
        <f>IF(ISNUMBER(INDEX('Database.Jan 12 to SEC'!$Q$6:$Q$191, MATCH($A25&amp;"% GDP", 'Database.Jan 12 to SEC'!$AD$6:$AD$191, 0))), INDEX('Database.Jan 12 to SEC'!$Q$6:$Q$191, MATCH($A25&amp;"% GDP", 'Database.Jan 12 to SEC'!$AD$6:$AD$191, 0)), "")</f>
        <v/>
      </c>
      <c r="V25" s="483"/>
      <c r="W25" s="480" t="str">
        <f>IF(ISNUMBER(INDEX('Database.Jan 12 to SEC'!$U$6:$U$191, MATCH($A25&amp;"% GDP", 'Database.Jan 12 to SEC'!$AD$6:$AD$191, 0))), INDEX('Database.Jan 12 to SEC'!$U$6:$U$191, MATCH($A25&amp;"% GDP", 'Database.Jan 12 to SEC'!$AD$6:$AD$191, 0)), "")</f>
        <v/>
      </c>
      <c r="X25" s="480" t="str">
        <f>IF(ISNUMBER(INDEX('Database.Jan 12 to SEC'!$W$6:$W$191, MATCH($A25&amp;"% GDP", 'Database.Jan 12 to SEC'!$AD$6:$AD$191, 0))), INDEX('Database.Jan 12 to SEC'!$W$6:$W$191, MATCH($A25&amp;"% GDP", 'Database.Jan 12 to SEC'!$AD$6:$AD$191, 0)), "")</f>
        <v/>
      </c>
      <c r="Z25" s="490"/>
      <c r="AC25" s="299"/>
      <c r="AE25" s="415" t="s">
        <v>14</v>
      </c>
      <c r="AF25" s="443">
        <v>7.0279601888550927</v>
      </c>
      <c r="AG25" s="438">
        <v>4.8032151754294405</v>
      </c>
      <c r="AH25" s="438">
        <v>2.2247450134256521</v>
      </c>
      <c r="AI25" s="438">
        <v>4.2819360091037648</v>
      </c>
      <c r="AJ25" s="437"/>
      <c r="AK25" s="443">
        <v>12.859770862123591</v>
      </c>
      <c r="AL25" s="438">
        <v>0.89362142798687272</v>
      </c>
      <c r="AM25" s="441"/>
      <c r="AN25" s="438">
        <v>0.17686257428906854</v>
      </c>
      <c r="AO25" s="438">
        <v>11.78928685984765</v>
      </c>
      <c r="AP25" s="331"/>
      <c r="AQ25" s="331"/>
      <c r="AR25" s="443">
        <v>0.65442396745349374</v>
      </c>
      <c r="AS25" s="438">
        <v>0.44726194331920904</v>
      </c>
      <c r="AT25" s="438">
        <v>0.20716202413428469</v>
      </c>
      <c r="AU25" s="438">
        <v>0.39872188745510878</v>
      </c>
      <c r="AV25" s="437"/>
      <c r="AW25" s="443">
        <v>1.1974658424331148</v>
      </c>
      <c r="AX25" s="438">
        <v>8.3211524338457493E-2</v>
      </c>
      <c r="AY25" s="441"/>
      <c r="AZ25" s="438">
        <v>1.6468947525319709E-2</v>
      </c>
      <c r="BA25" s="438">
        <v>1.0977853705693377</v>
      </c>
    </row>
    <row r="26" spans="1:53">
      <c r="A26" s="415" t="s">
        <v>15</v>
      </c>
      <c r="B26" s="415" t="s">
        <v>15</v>
      </c>
      <c r="C26" s="492" t="str">
        <f>IF(ISNUMBER(INDEX('Database.Jan 12 to SEC'!$G$6:$G$191, MATCH($A26&amp;"USD bn", 'Database.Jan 12 to SEC'!$AD$6:$AD$191, 0))), INDEX('Database.Jan 12 to SEC'!$G$6:$G$191, MATCH($A26&amp;"USD bn", 'Database.Jan 12 to SEC'!$AD$6:$AD$191, 0)), "")</f>
        <v/>
      </c>
      <c r="D26" s="493" t="str">
        <f>IF(ISNUMBER(INDEX('Database.Jan 12 to SEC'!$H$6:$H$191, MATCH($A26&amp;"USD bn", 'Database.Jan 12 to SEC'!$AD$6:$AD$191, 0))), INDEX('Database.Jan 12 to SEC'!$H$6:$H$191, MATCH($A26&amp;"USD bn", 'Database.Jan 12 to SEC'!$AD$6:$AD$191, 0)), "")</f>
        <v/>
      </c>
      <c r="E26" s="493" t="str">
        <f>IF(ISNUMBER(INDEX('Database.Jan 12 to SEC'!$J$6:$J$191, MATCH($A26&amp;"USD bn", 'Database.Jan 12 to SEC'!$AD$6:$AD$191, 0))), INDEX('Database.Jan 12 to SEC'!$J$6:$J$191, MATCH($A26&amp;"USD bn", 'Database.Jan 12 to SEC'!$AD$6:$AD$191, 0)), "")</f>
        <v/>
      </c>
      <c r="F26" s="493" t="str">
        <f>IF(ISNUMBER(INDEX('Database.Jan 12 to SEC'!$L$6:$L$191, MATCH($A26&amp;"USD bn", 'Database.Jan 12 to SEC'!$AD$6:$AD$191, 0))), INDEX('Database.Jan 12 to SEC'!$L$6:$L$191, MATCH($A26&amp;"USD bn", 'Database.Jan 12 to SEC'!$AD$6:$AD$191, 0)), "")</f>
        <v/>
      </c>
      <c r="G26" s="493"/>
      <c r="H26" s="494" t="str">
        <f>IF(ISNUMBER(INDEX('Database.Jan 12 to SEC'!$P$6:$P$191, MATCH($A26&amp;"USD bn", 'Database.Jan 12 to SEC'!$AD$6:$AD$191, 0))), INDEX('Database.Jan 12 to SEC'!$P$6:$P$191, MATCH($A26&amp;"USD bn", 'Database.Jan 12 to SEC'!$AD$6:$AD$191, 0)), "")</f>
        <v/>
      </c>
      <c r="I26" s="493" t="str">
        <f>IF(ISNUMBER(INDEX('Database.Jan 12 to SEC'!$Q$6:$Q$191, MATCH($A26&amp;"USD bn", 'Database.Jan 12 to SEC'!$AD$6:$AD$191, 0))), INDEX('Database.Jan 12 to SEC'!$Q$6:$Q$191, MATCH($A26&amp;"USD bn", 'Database.Jan 12 to SEC'!$AD$6:$AD$191, 0)), "")</f>
        <v/>
      </c>
      <c r="J26" s="493"/>
      <c r="K26" s="493" t="str">
        <f>IF(ISNUMBER(INDEX('Database.Jan 12 to SEC'!$U$6:$U$191, MATCH($A26&amp;"USD bn", 'Database.Jan 12 to SEC'!$AD$6:$AD$191, 0))), INDEX('Database.Jan 12 to SEC'!$U$6:$U$191, MATCH($A26&amp;"USD bn", 'Database.Jan 12 to SEC'!$AD$6:$AD$191, 0)), "")</f>
        <v/>
      </c>
      <c r="L26" s="493" t="str">
        <f>IF(ISNUMBER(INDEX('Database.Jan 12 to SEC'!$W$6:$W$191, MATCH($A26&amp;"USD bn", 'Database.Jan 12 to SEC'!$AD$6:$AD$191, 0))), INDEX('Database.Jan 12 to SEC'!$W$6:$W$191, MATCH($A26&amp;"USD bn", 'Database.Jan 12 to SEC'!$AD$6:$AD$191, 0)), "")</f>
        <v/>
      </c>
      <c r="M26"/>
      <c r="N26"/>
      <c r="O26" s="481" t="str">
        <f>IF(ISNUMBER(INDEX('Database.Jan 12 to SEC'!$G$6:$G$191, MATCH($A26&amp;"% GDP", 'Database.Jan 12 to SEC'!$AD$6:$AD$191, 0))), INDEX('Database.Jan 12 to SEC'!$G$6:$G$191, MATCH($A26&amp;"% GDP", 'Database.Jan 12 to SEC'!$AD$6:$AD$191, 0)), "")</f>
        <v/>
      </c>
      <c r="P26" s="480" t="str">
        <f>IF(ISNUMBER(INDEX('Database.Jan 12 to SEC'!$H$6:$H$191, MATCH($A26&amp;"% GDP", 'Database.Jan 12 to SEC'!$AD$6:$AD$191, 0))), INDEX('Database.Jan 12 to SEC'!$H$6:$H$191, MATCH($A26&amp;"% GDP", 'Database.Jan 12 to SEC'!$AD$6:$AD$191, 0)), "")</f>
        <v/>
      </c>
      <c r="Q26" s="480" t="str">
        <f>IF(ISNUMBER(INDEX('Database.Jan 12 to SEC'!$J$6:$J$191, MATCH($A26&amp;"% GDP", 'Database.Jan 12 to SEC'!$AD$6:$AD$191, 0))), INDEX('Database.Jan 12 to SEC'!$J$6:$J$191, MATCH($A26&amp;"% GDP", 'Database.Jan 12 to SEC'!$AD$6:$AD$191, 0)), "")</f>
        <v/>
      </c>
      <c r="R26" s="480" t="str">
        <f>IF(ISNUMBER(INDEX('Database.Jan 12 to SEC'!$L$6:$L$191, MATCH($A26&amp;"% GDP", 'Database.Jan 12 to SEC'!$AD$6:$AD$191, 0))), INDEX('Database.Jan 12 to SEC'!$L$6:$L$191, MATCH($A26&amp;"% GDP", 'Database.Jan 12 to SEC'!$AD$6:$AD$191, 0)), "")</f>
        <v/>
      </c>
      <c r="S26" s="482"/>
      <c r="T26" s="481" t="str">
        <f>IF(ISNUMBER(INDEX('Database.Jan 12 to SEC'!$P$6:$P$191, MATCH($A26&amp;"% GDP", 'Database.Jan 12 to SEC'!$AD$6:$AD$191, 0))), INDEX('Database.Jan 12 to SEC'!$P$6:$P$191, MATCH($A26&amp;"% GDP", 'Database.Jan 12 to SEC'!$AD$6:$AD$191, 0)), "")</f>
        <v/>
      </c>
      <c r="U26" s="480" t="str">
        <f>IF(ISNUMBER(INDEX('Database.Jan 12 to SEC'!$Q$6:$Q$191, MATCH($A26&amp;"% GDP", 'Database.Jan 12 to SEC'!$AD$6:$AD$191, 0))), INDEX('Database.Jan 12 to SEC'!$Q$6:$Q$191, MATCH($A26&amp;"% GDP", 'Database.Jan 12 to SEC'!$AD$6:$AD$191, 0)), "")</f>
        <v/>
      </c>
      <c r="V26" s="483"/>
      <c r="W26" s="480" t="str">
        <f>IF(ISNUMBER(INDEX('Database.Jan 12 to SEC'!$U$6:$U$191, MATCH($A26&amp;"% GDP", 'Database.Jan 12 to SEC'!$AD$6:$AD$191, 0))), INDEX('Database.Jan 12 to SEC'!$U$6:$U$191, MATCH($A26&amp;"% GDP", 'Database.Jan 12 to SEC'!$AD$6:$AD$191, 0)), "")</f>
        <v/>
      </c>
      <c r="X26" s="480" t="str">
        <f>IF(ISNUMBER(INDEX('Database.Jan 12 to SEC'!$W$6:$W$191, MATCH($A26&amp;"% GDP", 'Database.Jan 12 to SEC'!$AD$6:$AD$191, 0))), INDEX('Database.Jan 12 to SEC'!$W$6:$W$191, MATCH($A26&amp;"% GDP", 'Database.Jan 12 to SEC'!$AD$6:$AD$191, 0)), "")</f>
        <v/>
      </c>
      <c r="Z26" s="490"/>
      <c r="AC26" s="299"/>
      <c r="AE26" s="415" t="s">
        <v>15</v>
      </c>
      <c r="AF26" s="443">
        <v>74.006320564062733</v>
      </c>
      <c r="AG26" s="438">
        <v>10.712532393938853</v>
      </c>
      <c r="AH26" s="438">
        <v>63.293788170123882</v>
      </c>
      <c r="AI26" s="438">
        <v>6.3584063241443518</v>
      </c>
      <c r="AJ26" s="437"/>
      <c r="AK26" s="443">
        <v>21.660049369422172</v>
      </c>
      <c r="AL26" s="438">
        <v>7.837426925630103</v>
      </c>
      <c r="AM26" s="441"/>
      <c r="AN26" s="438">
        <v>6.9113112218960344</v>
      </c>
      <c r="AO26" s="438">
        <v>6.9113112218960344</v>
      </c>
      <c r="AP26" s="331"/>
      <c r="AQ26" s="331"/>
      <c r="AR26" s="443">
        <v>5.0052604782800296</v>
      </c>
      <c r="AS26" s="438">
        <v>0.72451940057284703</v>
      </c>
      <c r="AT26" s="438">
        <v>4.2807410777071828</v>
      </c>
      <c r="AU26" s="438">
        <v>0.43003732163033498</v>
      </c>
      <c r="AV26" s="437"/>
      <c r="AW26" s="443">
        <v>1.464931484771163</v>
      </c>
      <c r="AX26" s="438">
        <v>0.53006774209652163</v>
      </c>
      <c r="AY26" s="441"/>
      <c r="AZ26" s="438">
        <v>0.46743187133732073</v>
      </c>
      <c r="BA26" s="438">
        <v>0.46743187133732073</v>
      </c>
    </row>
    <row r="27" spans="1:53">
      <c r="A27" s="415" t="s">
        <v>16</v>
      </c>
      <c r="B27" s="415" t="s">
        <v>16</v>
      </c>
      <c r="C27" s="492" t="str">
        <f>IF(ISNUMBER(INDEX('Database.Jan 12 to SEC'!$G$6:$G$191, MATCH($A27&amp;"USD bn", 'Database.Jan 12 to SEC'!$AD$6:$AD$191, 0))), INDEX('Database.Jan 12 to SEC'!$G$6:$G$191, MATCH($A27&amp;"USD bn", 'Database.Jan 12 to SEC'!$AD$6:$AD$191, 0)), "")</f>
        <v/>
      </c>
      <c r="D27" s="493" t="str">
        <f>IF(ISNUMBER(INDEX('Database.Jan 12 to SEC'!$H$6:$H$191, MATCH($A27&amp;"USD bn", 'Database.Jan 12 to SEC'!$AD$6:$AD$191, 0))), INDEX('Database.Jan 12 to SEC'!$H$6:$H$191, MATCH($A27&amp;"USD bn", 'Database.Jan 12 to SEC'!$AD$6:$AD$191, 0)), "")</f>
        <v/>
      </c>
      <c r="E27" s="493" t="str">
        <f>IF(ISNUMBER(INDEX('Database.Jan 12 to SEC'!$J$6:$J$191, MATCH($A27&amp;"USD bn", 'Database.Jan 12 to SEC'!$AD$6:$AD$191, 0))), INDEX('Database.Jan 12 to SEC'!$J$6:$J$191, MATCH($A27&amp;"USD bn", 'Database.Jan 12 to SEC'!$AD$6:$AD$191, 0)), "")</f>
        <v/>
      </c>
      <c r="F27" s="493" t="str">
        <f>IF(ISNUMBER(INDEX('Database.Jan 12 to SEC'!$L$6:$L$191, MATCH($A27&amp;"USD bn", 'Database.Jan 12 to SEC'!$AD$6:$AD$191, 0))), INDEX('Database.Jan 12 to SEC'!$L$6:$L$191, MATCH($A27&amp;"USD bn", 'Database.Jan 12 to SEC'!$AD$6:$AD$191, 0)), "")</f>
        <v/>
      </c>
      <c r="G27" s="493"/>
      <c r="H27" s="494" t="str">
        <f>IF(ISNUMBER(INDEX('Database.Jan 12 to SEC'!$P$6:$P$191, MATCH($A27&amp;"USD bn", 'Database.Jan 12 to SEC'!$AD$6:$AD$191, 0))), INDEX('Database.Jan 12 to SEC'!$P$6:$P$191, MATCH($A27&amp;"USD bn", 'Database.Jan 12 to SEC'!$AD$6:$AD$191, 0)), "")</f>
        <v/>
      </c>
      <c r="I27" s="493" t="str">
        <f>IF(ISNUMBER(INDEX('Database.Jan 12 to SEC'!$Q$6:$Q$191, MATCH($A27&amp;"USD bn", 'Database.Jan 12 to SEC'!$AD$6:$AD$191, 0))), INDEX('Database.Jan 12 to SEC'!$Q$6:$Q$191, MATCH($A27&amp;"USD bn", 'Database.Jan 12 to SEC'!$AD$6:$AD$191, 0)), "")</f>
        <v/>
      </c>
      <c r="J27" s="493"/>
      <c r="K27" s="493" t="str">
        <f>IF(ISNUMBER(INDEX('Database.Jan 12 to SEC'!$U$6:$U$191, MATCH($A27&amp;"USD bn", 'Database.Jan 12 to SEC'!$AD$6:$AD$191, 0))), INDEX('Database.Jan 12 to SEC'!$U$6:$U$191, MATCH($A27&amp;"USD bn", 'Database.Jan 12 to SEC'!$AD$6:$AD$191, 0)), "")</f>
        <v/>
      </c>
      <c r="L27" s="493" t="str">
        <f>IF(ISNUMBER(INDEX('Database.Jan 12 to SEC'!$W$6:$W$191, MATCH($A27&amp;"USD bn", 'Database.Jan 12 to SEC'!$AD$6:$AD$191, 0))), INDEX('Database.Jan 12 to SEC'!$W$6:$W$191, MATCH($A27&amp;"USD bn", 'Database.Jan 12 to SEC'!$AD$6:$AD$191, 0)), "")</f>
        <v/>
      </c>
      <c r="M27"/>
      <c r="N27"/>
      <c r="O27" s="481" t="str">
        <f>IF(ISNUMBER(INDEX('Database.Jan 12 to SEC'!$G$6:$G$191, MATCH($A27&amp;"% GDP", 'Database.Jan 12 to SEC'!$AD$6:$AD$191, 0))), INDEX('Database.Jan 12 to SEC'!$G$6:$G$191, MATCH($A27&amp;"% GDP", 'Database.Jan 12 to SEC'!$AD$6:$AD$191, 0)), "")</f>
        <v/>
      </c>
      <c r="P27" s="480" t="str">
        <f>IF(ISNUMBER(INDEX('Database.Jan 12 to SEC'!$H$6:$H$191, MATCH($A27&amp;"% GDP", 'Database.Jan 12 to SEC'!$AD$6:$AD$191, 0))), INDEX('Database.Jan 12 to SEC'!$H$6:$H$191, MATCH($A27&amp;"% GDP", 'Database.Jan 12 to SEC'!$AD$6:$AD$191, 0)), "")</f>
        <v/>
      </c>
      <c r="Q27" s="480" t="str">
        <f>IF(ISNUMBER(INDEX('Database.Jan 12 to SEC'!$J$6:$J$191, MATCH($A27&amp;"% GDP", 'Database.Jan 12 to SEC'!$AD$6:$AD$191, 0))), INDEX('Database.Jan 12 to SEC'!$J$6:$J$191, MATCH($A27&amp;"% GDP", 'Database.Jan 12 to SEC'!$AD$6:$AD$191, 0)), "")</f>
        <v/>
      </c>
      <c r="R27" s="480" t="str">
        <f>IF(ISNUMBER(INDEX('Database.Jan 12 to SEC'!$L$6:$L$191, MATCH($A27&amp;"% GDP", 'Database.Jan 12 to SEC'!$AD$6:$AD$191, 0))), INDEX('Database.Jan 12 to SEC'!$L$6:$L$191, MATCH($A27&amp;"% GDP", 'Database.Jan 12 to SEC'!$AD$6:$AD$191, 0)), "")</f>
        <v/>
      </c>
      <c r="S27" s="482"/>
      <c r="T27" s="481" t="str">
        <f>IF(ISNUMBER(INDEX('Database.Jan 12 to SEC'!$P$6:$P$191, MATCH($A27&amp;"% GDP", 'Database.Jan 12 to SEC'!$AD$6:$AD$191, 0))), INDEX('Database.Jan 12 to SEC'!$P$6:$P$191, MATCH($A27&amp;"% GDP", 'Database.Jan 12 to SEC'!$AD$6:$AD$191, 0)), "")</f>
        <v/>
      </c>
      <c r="U27" s="480" t="str">
        <f>IF(ISNUMBER(INDEX('Database.Jan 12 to SEC'!$Q$6:$Q$191, MATCH($A27&amp;"% GDP", 'Database.Jan 12 to SEC'!$AD$6:$AD$191, 0))), INDEX('Database.Jan 12 to SEC'!$Q$6:$Q$191, MATCH($A27&amp;"% GDP", 'Database.Jan 12 to SEC'!$AD$6:$AD$191, 0)), "")</f>
        <v/>
      </c>
      <c r="V27" s="483"/>
      <c r="W27" s="480" t="str">
        <f>IF(ISNUMBER(INDEX('Database.Jan 12 to SEC'!$U$6:$U$191, MATCH($A27&amp;"% GDP", 'Database.Jan 12 to SEC'!$AD$6:$AD$191, 0))), INDEX('Database.Jan 12 to SEC'!$U$6:$U$191, MATCH($A27&amp;"% GDP", 'Database.Jan 12 to SEC'!$AD$6:$AD$191, 0)), "")</f>
        <v/>
      </c>
      <c r="X27" s="480" t="str">
        <f>IF(ISNUMBER(INDEX('Database.Jan 12 to SEC'!$W$6:$W$191, MATCH($A27&amp;"% GDP", 'Database.Jan 12 to SEC'!$AD$6:$AD$191, 0))), INDEX('Database.Jan 12 to SEC'!$W$6:$W$191, MATCH($A27&amp;"% GDP", 'Database.Jan 12 to SEC'!$AD$6:$AD$191, 0)), "")</f>
        <v/>
      </c>
      <c r="Z27" s="490"/>
      <c r="AC27" s="299"/>
      <c r="AE27" s="415" t="s">
        <v>16</v>
      </c>
      <c r="AF27" s="443">
        <v>18.026666666666664</v>
      </c>
      <c r="AG27" s="438">
        <v>14.4</v>
      </c>
      <c r="AH27" s="438">
        <v>3.6266666666666634</v>
      </c>
      <c r="AI27" s="438">
        <v>11.333333333333334</v>
      </c>
      <c r="AJ27" s="437"/>
      <c r="AK27" s="443">
        <v>6.8533333333333335</v>
      </c>
      <c r="AL27" s="438">
        <v>6.8533333333333335</v>
      </c>
      <c r="AM27" s="441"/>
      <c r="AN27" s="438" t="s">
        <v>452</v>
      </c>
      <c r="AO27" s="438" t="s">
        <v>452</v>
      </c>
      <c r="AP27" s="331"/>
      <c r="AQ27" s="331"/>
      <c r="AR27" s="443">
        <v>2.5748045471962433</v>
      </c>
      <c r="AS27" s="438">
        <v>2.0567965317839816</v>
      </c>
      <c r="AT27" s="438">
        <v>0.51800801541226171</v>
      </c>
      <c r="AU27" s="438">
        <v>1.6187750329433777</v>
      </c>
      <c r="AV27" s="437"/>
      <c r="AW27" s="443">
        <v>0.97888278462693656</v>
      </c>
      <c r="AX27" s="438">
        <v>0.97888278462693656</v>
      </c>
      <c r="AY27" s="441"/>
      <c r="AZ27" s="438" t="s">
        <v>452</v>
      </c>
      <c r="BA27" s="438" t="s">
        <v>452</v>
      </c>
    </row>
    <row r="28" spans="1:53">
      <c r="A28" s="415" t="s">
        <v>17</v>
      </c>
      <c r="B28" s="415" t="s">
        <v>17</v>
      </c>
      <c r="C28" s="492" t="str">
        <f>IF(ISNUMBER(INDEX('Database.Jan 12 to SEC'!$G$6:$G$191, MATCH($A28&amp;"USD bn", 'Database.Jan 12 to SEC'!$AD$6:$AD$191, 0))), INDEX('Database.Jan 12 to SEC'!$G$6:$G$191, MATCH($A28&amp;"USD bn", 'Database.Jan 12 to SEC'!$AD$6:$AD$191, 0)), "")</f>
        <v/>
      </c>
      <c r="D28" s="493" t="str">
        <f>IF(ISNUMBER(INDEX('Database.Jan 12 to SEC'!$H$6:$H$191, MATCH($A28&amp;"USD bn", 'Database.Jan 12 to SEC'!$AD$6:$AD$191, 0))), INDEX('Database.Jan 12 to SEC'!$H$6:$H$191, MATCH($A28&amp;"USD bn", 'Database.Jan 12 to SEC'!$AD$6:$AD$191, 0)), "")</f>
        <v/>
      </c>
      <c r="E28" s="493" t="str">
        <f>IF(ISNUMBER(INDEX('Database.Jan 12 to SEC'!$J$6:$J$191, MATCH($A28&amp;"USD bn", 'Database.Jan 12 to SEC'!$AD$6:$AD$191, 0))), INDEX('Database.Jan 12 to SEC'!$J$6:$J$191, MATCH($A28&amp;"USD bn", 'Database.Jan 12 to SEC'!$AD$6:$AD$191, 0)), "")</f>
        <v/>
      </c>
      <c r="F28" s="493" t="str">
        <f>IF(ISNUMBER(INDEX('Database.Jan 12 to SEC'!$L$6:$L$191, MATCH($A28&amp;"USD bn", 'Database.Jan 12 to SEC'!$AD$6:$AD$191, 0))), INDEX('Database.Jan 12 to SEC'!$L$6:$L$191, MATCH($A28&amp;"USD bn", 'Database.Jan 12 to SEC'!$AD$6:$AD$191, 0)), "")</f>
        <v/>
      </c>
      <c r="G28" s="493"/>
      <c r="H28" s="494" t="str">
        <f>IF(ISNUMBER(INDEX('Database.Jan 12 to SEC'!$P$6:$P$191, MATCH($A28&amp;"USD bn", 'Database.Jan 12 to SEC'!$AD$6:$AD$191, 0))), INDEX('Database.Jan 12 to SEC'!$P$6:$P$191, MATCH($A28&amp;"USD bn", 'Database.Jan 12 to SEC'!$AD$6:$AD$191, 0)), "")</f>
        <v/>
      </c>
      <c r="I28" s="493" t="str">
        <f>IF(ISNUMBER(INDEX('Database.Jan 12 to SEC'!$Q$6:$Q$191, MATCH($A28&amp;"USD bn", 'Database.Jan 12 to SEC'!$AD$6:$AD$191, 0))), INDEX('Database.Jan 12 to SEC'!$Q$6:$Q$191, MATCH($A28&amp;"USD bn", 'Database.Jan 12 to SEC'!$AD$6:$AD$191, 0)), "")</f>
        <v/>
      </c>
      <c r="J28" s="493"/>
      <c r="K28" s="493" t="str">
        <f>IF(ISNUMBER(INDEX('Database.Jan 12 to SEC'!$U$6:$U$191, MATCH($A28&amp;"USD bn", 'Database.Jan 12 to SEC'!$AD$6:$AD$191, 0))), INDEX('Database.Jan 12 to SEC'!$U$6:$U$191, MATCH($A28&amp;"USD bn", 'Database.Jan 12 to SEC'!$AD$6:$AD$191, 0)), "")</f>
        <v/>
      </c>
      <c r="L28" s="493" t="str">
        <f>IF(ISNUMBER(INDEX('Database.Jan 12 to SEC'!$W$6:$W$191, MATCH($A28&amp;"USD bn", 'Database.Jan 12 to SEC'!$AD$6:$AD$191, 0))), INDEX('Database.Jan 12 to SEC'!$W$6:$W$191, MATCH($A28&amp;"USD bn", 'Database.Jan 12 to SEC'!$AD$6:$AD$191, 0)), "")</f>
        <v/>
      </c>
      <c r="M28"/>
      <c r="N28"/>
      <c r="O28" s="481" t="str">
        <f>IF(ISNUMBER(INDEX('Database.Jan 12 to SEC'!$G$6:$G$191, MATCH($A28&amp;"% GDP", 'Database.Jan 12 to SEC'!$AD$6:$AD$191, 0))), INDEX('Database.Jan 12 to SEC'!$G$6:$G$191, MATCH($A28&amp;"% GDP", 'Database.Jan 12 to SEC'!$AD$6:$AD$191, 0)), "")</f>
        <v/>
      </c>
      <c r="P28" s="480" t="str">
        <f>IF(ISNUMBER(INDEX('Database.Jan 12 to SEC'!$H$6:$H$191, MATCH($A28&amp;"% GDP", 'Database.Jan 12 to SEC'!$AD$6:$AD$191, 0))), INDEX('Database.Jan 12 to SEC'!$H$6:$H$191, MATCH($A28&amp;"% GDP", 'Database.Jan 12 to SEC'!$AD$6:$AD$191, 0)), "")</f>
        <v/>
      </c>
      <c r="Q28" s="480" t="str">
        <f>IF(ISNUMBER(INDEX('Database.Jan 12 to SEC'!$J$6:$J$191, MATCH($A28&amp;"% GDP", 'Database.Jan 12 to SEC'!$AD$6:$AD$191, 0))), INDEX('Database.Jan 12 to SEC'!$J$6:$J$191, MATCH($A28&amp;"% GDP", 'Database.Jan 12 to SEC'!$AD$6:$AD$191, 0)), "")</f>
        <v/>
      </c>
      <c r="R28" s="480" t="str">
        <f>IF(ISNUMBER(INDEX('Database.Jan 12 to SEC'!$L$6:$L$191, MATCH($A28&amp;"% GDP", 'Database.Jan 12 to SEC'!$AD$6:$AD$191, 0))), INDEX('Database.Jan 12 to SEC'!$L$6:$L$191, MATCH($A28&amp;"% GDP", 'Database.Jan 12 to SEC'!$AD$6:$AD$191, 0)), "")</f>
        <v/>
      </c>
      <c r="S28" s="482"/>
      <c r="T28" s="481" t="str">
        <f>IF(ISNUMBER(INDEX('Database.Jan 12 to SEC'!$P$6:$P$191, MATCH($A28&amp;"% GDP", 'Database.Jan 12 to SEC'!$AD$6:$AD$191, 0))), INDEX('Database.Jan 12 to SEC'!$P$6:$P$191, MATCH($A28&amp;"% GDP", 'Database.Jan 12 to SEC'!$AD$6:$AD$191, 0)), "")</f>
        <v/>
      </c>
      <c r="U28" s="480" t="str">
        <f>IF(ISNUMBER(INDEX('Database.Jan 12 to SEC'!$Q$6:$Q$191, MATCH($A28&amp;"% GDP", 'Database.Jan 12 to SEC'!$AD$6:$AD$191, 0))), INDEX('Database.Jan 12 to SEC'!$Q$6:$Q$191, MATCH($A28&amp;"% GDP", 'Database.Jan 12 to SEC'!$AD$6:$AD$191, 0)), "")</f>
        <v/>
      </c>
      <c r="V28" s="483"/>
      <c r="W28" s="480" t="str">
        <f>IF(ISNUMBER(INDEX('Database.Jan 12 to SEC'!$U$6:$U$191, MATCH($A28&amp;"% GDP", 'Database.Jan 12 to SEC'!$AD$6:$AD$191, 0))), INDEX('Database.Jan 12 to SEC'!$U$6:$U$191, MATCH($A28&amp;"% GDP", 'Database.Jan 12 to SEC'!$AD$6:$AD$191, 0)), "")</f>
        <v/>
      </c>
      <c r="X28" s="480" t="str">
        <f>IF(ISNUMBER(INDEX('Database.Jan 12 to SEC'!$W$6:$W$191, MATCH($A28&amp;"% GDP", 'Database.Jan 12 to SEC'!$AD$6:$AD$191, 0))), INDEX('Database.Jan 12 to SEC'!$W$6:$W$191, MATCH($A28&amp;"% GDP", 'Database.Jan 12 to SEC'!$AD$6:$AD$191, 0)), "")</f>
        <v/>
      </c>
      <c r="Z28" s="490"/>
      <c r="AC28" s="299"/>
      <c r="AE28" s="415" t="s">
        <v>17</v>
      </c>
      <c r="AF28" s="443">
        <v>17.693238243228844</v>
      </c>
      <c r="AG28" s="438">
        <v>2.3262994325975441</v>
      </c>
      <c r="AH28" s="438">
        <v>15.3669388106313</v>
      </c>
      <c r="AI28" s="438">
        <v>2.6725110975010953</v>
      </c>
      <c r="AJ28" s="437"/>
      <c r="AK28" s="443">
        <v>12.32999438165278</v>
      </c>
      <c r="AL28" s="438" t="s">
        <v>452</v>
      </c>
      <c r="AM28" s="441"/>
      <c r="AN28" s="438">
        <v>12.147777715914069</v>
      </c>
      <c r="AO28" s="438">
        <v>0.18221666573871104</v>
      </c>
      <c r="AP28" s="331"/>
      <c r="AQ28" s="331"/>
      <c r="AR28" s="443">
        <v>5.2761463161134641</v>
      </c>
      <c r="AS28" s="438">
        <v>0.69370547170321195</v>
      </c>
      <c r="AT28" s="438">
        <v>4.582440844410252</v>
      </c>
      <c r="AU28" s="438">
        <v>0.88478224805071415</v>
      </c>
      <c r="AV28" s="437"/>
      <c r="AW28" s="443">
        <v>4.0820635535067034</v>
      </c>
      <c r="AX28" s="438" t="s">
        <v>452</v>
      </c>
      <c r="AY28" s="441"/>
      <c r="AZ28" s="438">
        <v>4.0217374911396089</v>
      </c>
      <c r="BA28" s="438">
        <v>6.032606236709414E-2</v>
      </c>
    </row>
    <row r="29" spans="1:53">
      <c r="A29" s="415" t="s">
        <v>18</v>
      </c>
      <c r="B29" s="415" t="s">
        <v>18</v>
      </c>
      <c r="C29" s="492" t="str">
        <f>IF(ISNUMBER(INDEX('Database.Jan 12 to SEC'!$G$6:$G$191, MATCH($A29&amp;"USD bn", 'Database.Jan 12 to SEC'!$AD$6:$AD$191, 0))), INDEX('Database.Jan 12 to SEC'!$G$6:$G$191, MATCH($A29&amp;"USD bn", 'Database.Jan 12 to SEC'!$AD$6:$AD$191, 0)), "")</f>
        <v/>
      </c>
      <c r="D29" s="493" t="str">
        <f>IF(ISNUMBER(INDEX('Database.Jan 12 to SEC'!$H$6:$H$191, MATCH($A29&amp;"USD bn", 'Database.Jan 12 to SEC'!$AD$6:$AD$191, 0))), INDEX('Database.Jan 12 to SEC'!$H$6:$H$191, MATCH($A29&amp;"USD bn", 'Database.Jan 12 to SEC'!$AD$6:$AD$191, 0)), "")</f>
        <v/>
      </c>
      <c r="E29" s="493" t="str">
        <f>IF(ISNUMBER(INDEX('Database.Jan 12 to SEC'!$J$6:$J$191, MATCH($A29&amp;"USD bn", 'Database.Jan 12 to SEC'!$AD$6:$AD$191, 0))), INDEX('Database.Jan 12 to SEC'!$J$6:$J$191, MATCH($A29&amp;"USD bn", 'Database.Jan 12 to SEC'!$AD$6:$AD$191, 0)), "")</f>
        <v/>
      </c>
      <c r="F29" s="493" t="str">
        <f>IF(ISNUMBER(INDEX('Database.Jan 12 to SEC'!$L$6:$L$191, MATCH($A29&amp;"USD bn", 'Database.Jan 12 to SEC'!$AD$6:$AD$191, 0))), INDEX('Database.Jan 12 to SEC'!$L$6:$L$191, MATCH($A29&amp;"USD bn", 'Database.Jan 12 to SEC'!$AD$6:$AD$191, 0)), "")</f>
        <v/>
      </c>
      <c r="G29" s="493"/>
      <c r="H29" s="494" t="str">
        <f>IF(ISNUMBER(INDEX('Database.Jan 12 to SEC'!$P$6:$P$191, MATCH($A29&amp;"USD bn", 'Database.Jan 12 to SEC'!$AD$6:$AD$191, 0))), INDEX('Database.Jan 12 to SEC'!$P$6:$P$191, MATCH($A29&amp;"USD bn", 'Database.Jan 12 to SEC'!$AD$6:$AD$191, 0)), "")</f>
        <v/>
      </c>
      <c r="I29" s="493" t="str">
        <f>IF(ISNUMBER(INDEX('Database.Jan 12 to SEC'!$Q$6:$Q$191, MATCH($A29&amp;"USD bn", 'Database.Jan 12 to SEC'!$AD$6:$AD$191, 0))), INDEX('Database.Jan 12 to SEC'!$Q$6:$Q$191, MATCH($A29&amp;"USD bn", 'Database.Jan 12 to SEC'!$AD$6:$AD$191, 0)), "")</f>
        <v/>
      </c>
      <c r="J29" s="493"/>
      <c r="K29" s="493" t="str">
        <f>IF(ISNUMBER(INDEX('Database.Jan 12 to SEC'!$U$6:$U$191, MATCH($A29&amp;"USD bn", 'Database.Jan 12 to SEC'!$AD$6:$AD$191, 0))), INDEX('Database.Jan 12 to SEC'!$U$6:$U$191, MATCH($A29&amp;"USD bn", 'Database.Jan 12 to SEC'!$AD$6:$AD$191, 0)), "")</f>
        <v/>
      </c>
      <c r="L29" s="493" t="str">
        <f>IF(ISNUMBER(INDEX('Database.Jan 12 to SEC'!$W$6:$W$191, MATCH($A29&amp;"USD bn", 'Database.Jan 12 to SEC'!$AD$6:$AD$191, 0))), INDEX('Database.Jan 12 to SEC'!$W$6:$W$191, MATCH($A29&amp;"USD bn", 'Database.Jan 12 to SEC'!$AD$6:$AD$191, 0)), "")</f>
        <v/>
      </c>
      <c r="M29"/>
      <c r="N29"/>
      <c r="O29" s="481" t="str">
        <f>IF(ISNUMBER(INDEX('Database.Jan 12 to SEC'!$G$6:$G$191, MATCH($A29&amp;"% GDP", 'Database.Jan 12 to SEC'!$AD$6:$AD$191, 0))), INDEX('Database.Jan 12 to SEC'!$G$6:$G$191, MATCH($A29&amp;"% GDP", 'Database.Jan 12 to SEC'!$AD$6:$AD$191, 0)), "")</f>
        <v/>
      </c>
      <c r="P29" s="480" t="str">
        <f>IF(ISNUMBER(INDEX('Database.Jan 12 to SEC'!$H$6:$H$191, MATCH($A29&amp;"% GDP", 'Database.Jan 12 to SEC'!$AD$6:$AD$191, 0))), INDEX('Database.Jan 12 to SEC'!$H$6:$H$191, MATCH($A29&amp;"% GDP", 'Database.Jan 12 to SEC'!$AD$6:$AD$191, 0)), "")</f>
        <v/>
      </c>
      <c r="Q29" s="480" t="str">
        <f>IF(ISNUMBER(INDEX('Database.Jan 12 to SEC'!$J$6:$J$191, MATCH($A29&amp;"% GDP", 'Database.Jan 12 to SEC'!$AD$6:$AD$191, 0))), INDEX('Database.Jan 12 to SEC'!$J$6:$J$191, MATCH($A29&amp;"% GDP", 'Database.Jan 12 to SEC'!$AD$6:$AD$191, 0)), "")</f>
        <v/>
      </c>
      <c r="R29" s="480" t="str">
        <f>IF(ISNUMBER(INDEX('Database.Jan 12 to SEC'!$L$6:$L$191, MATCH($A29&amp;"% GDP", 'Database.Jan 12 to SEC'!$AD$6:$AD$191, 0))), INDEX('Database.Jan 12 to SEC'!$L$6:$L$191, MATCH($A29&amp;"% GDP", 'Database.Jan 12 to SEC'!$AD$6:$AD$191, 0)), "")</f>
        <v/>
      </c>
      <c r="S29" s="482"/>
      <c r="T29" s="481" t="str">
        <f>IF(ISNUMBER(INDEX('Database.Jan 12 to SEC'!$P$6:$P$191, MATCH($A29&amp;"% GDP", 'Database.Jan 12 to SEC'!$AD$6:$AD$191, 0))), INDEX('Database.Jan 12 to SEC'!$P$6:$P$191, MATCH($A29&amp;"% GDP", 'Database.Jan 12 to SEC'!$AD$6:$AD$191, 0)), "")</f>
        <v/>
      </c>
      <c r="U29" s="480" t="str">
        <f>IF(ISNUMBER(INDEX('Database.Jan 12 to SEC'!$Q$6:$Q$191, MATCH($A29&amp;"% GDP", 'Database.Jan 12 to SEC'!$AD$6:$AD$191, 0))), INDEX('Database.Jan 12 to SEC'!$Q$6:$Q$191, MATCH($A29&amp;"% GDP", 'Database.Jan 12 to SEC'!$AD$6:$AD$191, 0)), "")</f>
        <v/>
      </c>
      <c r="V29" s="483"/>
      <c r="W29" s="480" t="str">
        <f>IF(ISNUMBER(INDEX('Database.Jan 12 to SEC'!$U$6:$U$191, MATCH($A29&amp;"% GDP", 'Database.Jan 12 to SEC'!$AD$6:$AD$191, 0))), INDEX('Database.Jan 12 to SEC'!$U$6:$U$191, MATCH($A29&amp;"% GDP", 'Database.Jan 12 to SEC'!$AD$6:$AD$191, 0)), "")</f>
        <v/>
      </c>
      <c r="X29" s="480" t="str">
        <f>IF(ISNUMBER(INDEX('Database.Jan 12 to SEC'!$W$6:$W$191, MATCH($A29&amp;"% GDP", 'Database.Jan 12 to SEC'!$AD$6:$AD$191, 0))), INDEX('Database.Jan 12 to SEC'!$W$6:$W$191, MATCH($A29&amp;"% GDP", 'Database.Jan 12 to SEC'!$AD$6:$AD$191, 0)), "")</f>
        <v/>
      </c>
      <c r="Z29" s="490"/>
      <c r="AC29" s="299"/>
      <c r="AE29" s="415" t="s">
        <v>18</v>
      </c>
      <c r="AF29" s="443">
        <v>25.234121210982789</v>
      </c>
      <c r="AG29" s="438">
        <v>2.7673372045961901</v>
      </c>
      <c r="AH29" s="438">
        <v>22.466784006386597</v>
      </c>
      <c r="AI29" s="438">
        <v>10.01376658570374</v>
      </c>
      <c r="AJ29" s="437"/>
      <c r="AK29" s="443">
        <v>69.354605612096265</v>
      </c>
      <c r="AL29" s="438">
        <v>2.995571200851546</v>
      </c>
      <c r="AM29" s="441"/>
      <c r="AN29" s="438">
        <v>45.932091746390377</v>
      </c>
      <c r="AO29" s="438">
        <v>20.426942664854352</v>
      </c>
      <c r="AP29" s="331"/>
      <c r="AQ29" s="331"/>
      <c r="AR29" s="443">
        <v>3.5051335544057456</v>
      </c>
      <c r="AS29" s="438">
        <v>0.3843956526595334</v>
      </c>
      <c r="AT29" s="438">
        <v>3.120737901746212</v>
      </c>
      <c r="AU29" s="438">
        <v>1.3909574647783118</v>
      </c>
      <c r="AV29" s="437"/>
      <c r="AW29" s="443">
        <v>9.6336683671683065</v>
      </c>
      <c r="AX29" s="438">
        <v>0.41609838689949497</v>
      </c>
      <c r="AY29" s="441"/>
      <c r="AZ29" s="438">
        <v>6.3801752657922552</v>
      </c>
      <c r="BA29" s="438">
        <v>2.8373947144765559</v>
      </c>
    </row>
    <row r="30" spans="1:53">
      <c r="A30" s="442" t="s">
        <v>776</v>
      </c>
      <c r="B30" s="442" t="s">
        <v>776</v>
      </c>
      <c r="C30" s="320"/>
      <c r="D30" s="300"/>
      <c r="E30" s="300"/>
      <c r="F30" s="300"/>
      <c r="G30"/>
      <c r="H30" s="320" t="str">
        <f>IF(ISNUMBER(INDEX('Database.Jan 12 to SEC'!$P$6:$P$191, MATCH($A30&amp;"USD bn", 'Database.Jan 12 to SEC'!$AD$6:$AD$191, 0))), INDEX('Database.Jan 12 to SEC'!$P$6:$P$191, MATCH($A30&amp;"USD bn", 'Database.Jan 12 to SEC'!$AD$6:$AD$191, 0)), "")</f>
        <v/>
      </c>
      <c r="I30" s="483" t="str">
        <f>IF(ISNUMBER(INDEX('Database.Jan 12 to SEC'!$Q$6:$Q$191, MATCH($A30&amp;"USD bn", 'Database.Jan 12 to SEC'!$AD$6:$AD$191, 0))), INDEX('Database.Jan 12 to SEC'!$Q$6:$Q$191, MATCH($A30&amp;"USD bn", 'Database.Jan 12 to SEC'!$AD$6:$AD$191, 0)), "")</f>
        <v/>
      </c>
      <c r="J30" s="483"/>
      <c r="K30" s="483" t="str">
        <f>IF(ISNUMBER(INDEX('Database.Jan 12 to SEC'!$U$6:$U$191, MATCH($A30&amp;"USD bn", 'Database.Jan 12 to SEC'!$AD$6:$AD$191, 0))), INDEX('Database.Jan 12 to SEC'!$U$6:$U$191, MATCH($A30&amp;"USD bn", 'Database.Jan 12 to SEC'!$AD$6:$AD$191, 0)), "")</f>
        <v/>
      </c>
      <c r="L30" s="483" t="str">
        <f>IF(ISNUMBER(INDEX('Database.Jan 12 to SEC'!$W$6:$W$191, MATCH($A30&amp;"USD bn", 'Database.Jan 12 to SEC'!$AD$6:$AD$191, 0))), INDEX('Database.Jan 12 to SEC'!$W$6:$W$191, MATCH($A30&amp;"USD bn", 'Database.Jan 12 to SEC'!$AD$6:$AD$191, 0)), "")</f>
        <v/>
      </c>
      <c r="M30"/>
      <c r="N30"/>
      <c r="O30" s="320" t="str">
        <f>IF(ISNUMBER(INDEX('Database.Jan 12 to SEC'!$G$6:$G$191, MATCH($A30&amp;"% GDP", 'Database.Jan 12 to SEC'!$AD$6:$AD$191, 0))), INDEX('Database.Jan 12 to SEC'!$G$6:$G$191, MATCH($A30&amp;"% GDP", 'Database.Jan 12 to SEC'!$AD$6:$AD$191, 0)), "")</f>
        <v/>
      </c>
      <c r="P30" s="300" t="str">
        <f>IF(ISNUMBER(INDEX('Database.Jan 12 to SEC'!$H$6:$H$191, MATCH($A30&amp;"% GDP", 'Database.Jan 12 to SEC'!$AD$6:$AD$191, 0))), INDEX('Database.Jan 12 to SEC'!$H$6:$H$191, MATCH($A30&amp;"% GDP", 'Database.Jan 12 to SEC'!$AD$6:$AD$191, 0)), "")</f>
        <v/>
      </c>
      <c r="Q30" s="300" t="str">
        <f>IF(ISNUMBER(INDEX('Database.Jan 12 to SEC'!$J$6:$J$191, MATCH($A30&amp;"% GDP", 'Database.Jan 12 to SEC'!$AD$6:$AD$191, 0))), INDEX('Database.Jan 12 to SEC'!$J$6:$J$191, MATCH($A30&amp;"% GDP", 'Database.Jan 12 to SEC'!$AD$6:$AD$191, 0)), "")</f>
        <v/>
      </c>
      <c r="R30" s="300" t="str">
        <f>IF(ISNUMBER(INDEX('Database.Jan 12 to SEC'!$L$6:$L$191, MATCH($A30&amp;"% GDP", 'Database.Jan 12 to SEC'!$AD$6:$AD$191, 0))), INDEX('Database.Jan 12 to SEC'!$L$6:$L$191, MATCH($A30&amp;"% GDP", 'Database.Jan 12 to SEC'!$AD$6:$AD$191, 0)), "")</f>
        <v/>
      </c>
      <c r="S30" s="300"/>
      <c r="T30" s="320" t="str">
        <f>IF(ISNUMBER(INDEX('Database.Jan 12 to SEC'!$P$6:$P$191, MATCH($A30&amp;"% GDP", 'Database.Jan 12 to SEC'!$AD$6:$AD$191, 0))), INDEX('Database.Jan 12 to SEC'!$P$6:$P$191, MATCH($A30&amp;"% GDP", 'Database.Jan 12 to SEC'!$AD$6:$AD$191, 0)), "")</f>
        <v/>
      </c>
      <c r="U30" s="300" t="str">
        <f>IF(ISNUMBER(INDEX('Database.Jan 12 to SEC'!$Q$6:$Q$191, MATCH($A30&amp;"% GDP", 'Database.Jan 12 to SEC'!$AD$6:$AD$191, 0))), INDEX('Database.Jan 12 to SEC'!$Q$6:$Q$191, MATCH($A30&amp;"% GDP", 'Database.Jan 12 to SEC'!$AD$6:$AD$191, 0)), "")</f>
        <v/>
      </c>
      <c r="V30" s="300"/>
      <c r="W30" s="300" t="str">
        <f>IF(ISNUMBER(INDEX('Database.Jan 12 to SEC'!$U$6:$U$191, MATCH($A30&amp;"% GDP", 'Database.Jan 12 to SEC'!$AD$6:$AD$191, 0))), INDEX('Database.Jan 12 to SEC'!$U$6:$U$191, MATCH($A30&amp;"% GDP", 'Database.Jan 12 to SEC'!$AD$6:$AD$191, 0)), "")</f>
        <v/>
      </c>
      <c r="X30" s="300" t="str">
        <f>IF(ISNUMBER(INDEX('Database.Jan 12 to SEC'!$W$6:$W$191, MATCH($A30&amp;"% GDP", 'Database.Jan 12 to SEC'!$AD$6:$AD$191, 0))), INDEX('Database.Jan 12 to SEC'!$W$6:$W$191, MATCH($A30&amp;"% GDP", 'Database.Jan 12 to SEC'!$AD$6:$AD$191, 0)), "")</f>
        <v/>
      </c>
      <c r="Z30" s="490"/>
      <c r="AC30" s="301"/>
      <c r="AE30" s="442" t="s">
        <v>776</v>
      </c>
      <c r="AF30" s="443" t="s">
        <v>452</v>
      </c>
      <c r="AG30" s="438" t="s">
        <v>452</v>
      </c>
      <c r="AH30" s="438" t="s">
        <v>452</v>
      </c>
      <c r="AI30" s="438" t="s">
        <v>452</v>
      </c>
      <c r="AJ30" s="437"/>
      <c r="AK30" s="443"/>
      <c r="AL30" s="438"/>
      <c r="AM30" s="441"/>
      <c r="AN30" s="438"/>
      <c r="AO30" s="438"/>
      <c r="AP30" s="331"/>
      <c r="AQ30" s="331"/>
      <c r="AR30" s="443"/>
      <c r="AS30" s="438"/>
      <c r="AT30" s="438"/>
      <c r="AU30" s="438"/>
      <c r="AV30" s="437"/>
      <c r="AW30" s="443"/>
      <c r="AX30" s="438" t="s">
        <v>452</v>
      </c>
      <c r="AY30" s="441"/>
      <c r="AZ30" s="438" t="s">
        <v>452</v>
      </c>
      <c r="BA30" s="438" t="s">
        <v>452</v>
      </c>
    </row>
    <row r="31" spans="1:53">
      <c r="A31" s="7" t="s">
        <v>1011</v>
      </c>
      <c r="B31" s="7" t="s">
        <v>1011</v>
      </c>
      <c r="C31" s="488">
        <v>65.737835098814159</v>
      </c>
      <c r="D31" s="480">
        <v>7.6465884576745644</v>
      </c>
      <c r="E31" s="480">
        <v>58.091246641139598</v>
      </c>
      <c r="F31" s="480" t="s">
        <v>452</v>
      </c>
      <c r="G31" s="482"/>
      <c r="H31" s="481">
        <v>12.211715895092214</v>
      </c>
      <c r="I31" s="480" t="s">
        <v>452</v>
      </c>
      <c r="J31" s="483"/>
      <c r="K31" s="480">
        <v>12.211715895092214</v>
      </c>
      <c r="L31" s="480" t="s">
        <v>452</v>
      </c>
      <c r="M31"/>
      <c r="N31"/>
      <c r="O31" s="481">
        <v>15.198667161326993</v>
      </c>
      <c r="P31" s="480">
        <v>1.7679005205015772</v>
      </c>
      <c r="Q31" s="480">
        <v>13.430766640825414</v>
      </c>
      <c r="R31" s="480" t="s">
        <v>452</v>
      </c>
      <c r="S31" s="482"/>
      <c r="T31" s="481">
        <v>2.8233635178159515</v>
      </c>
      <c r="U31" s="480" t="s">
        <v>452</v>
      </c>
      <c r="V31" s="483"/>
      <c r="W31" s="480">
        <v>2.8233635178159515</v>
      </c>
      <c r="X31" s="480" t="s">
        <v>452</v>
      </c>
      <c r="Z31" s="490"/>
      <c r="AA31" t="s">
        <v>1267</v>
      </c>
      <c r="AC31" s="404"/>
      <c r="AE31" s="7" t="s">
        <v>1011</v>
      </c>
      <c r="AF31" s="443">
        <v>65.737835098814159</v>
      </c>
      <c r="AG31" s="438">
        <v>7.6465884576745644</v>
      </c>
      <c r="AH31" s="438">
        <v>58.091246641139598</v>
      </c>
      <c r="AI31" s="438" t="s">
        <v>452</v>
      </c>
      <c r="AJ31" s="437"/>
      <c r="AK31" s="443">
        <v>12.211715895092214</v>
      </c>
      <c r="AL31" s="438" t="s">
        <v>452</v>
      </c>
      <c r="AM31" s="441"/>
      <c r="AN31" s="438">
        <v>12.211715895092214</v>
      </c>
      <c r="AO31" s="438" t="s">
        <v>452</v>
      </c>
      <c r="AP31" s="331"/>
      <c r="AQ31" s="331"/>
      <c r="AR31" s="443">
        <v>15.198667161326993</v>
      </c>
      <c r="AS31" s="438">
        <v>1.7679005205015772</v>
      </c>
      <c r="AT31" s="438">
        <v>13.430766640825414</v>
      </c>
      <c r="AU31" s="438" t="s">
        <v>452</v>
      </c>
      <c r="AV31" s="437"/>
      <c r="AW31" s="443">
        <v>2.8233635178159515</v>
      </c>
      <c r="AX31" s="438" t="s">
        <v>452</v>
      </c>
      <c r="AY31" s="441"/>
      <c r="AZ31" s="438">
        <v>2.8233635178159515</v>
      </c>
      <c r="BA31" s="438" t="s">
        <v>452</v>
      </c>
    </row>
    <row r="32" spans="1:53">
      <c r="A32" s="415" t="s">
        <v>547</v>
      </c>
      <c r="B32" s="415" t="s">
        <v>547</v>
      </c>
      <c r="C32" s="488" t="str">
        <f>IF(ISNUMBER(INDEX('Database.Jan 12 to SEC'!$G$6:$G$191, MATCH($A32&amp;"USD bn", 'Database.Jan 12 to SEC'!$AD$6:$AD$191, 0))), INDEX('Database.Jan 12 to SEC'!$G$6:$G$191, MATCH($A32&amp;"USD bn", 'Database.Jan 12 to SEC'!$AD$6:$AD$191, 0)), "")</f>
        <v/>
      </c>
      <c r="D32" s="480" t="str">
        <f>IF(ISNUMBER(INDEX('Database.Jan 12 to SEC'!$H$6:$H$191, MATCH($A32&amp;"USD bn", 'Database.Jan 12 to SEC'!$AD$6:$AD$191, 0))), INDEX('Database.Jan 12 to SEC'!$H$6:$H$191, MATCH($A32&amp;"USD bn", 'Database.Jan 12 to SEC'!$AD$6:$AD$191, 0)), "")</f>
        <v/>
      </c>
      <c r="E32" s="480" t="str">
        <f>IF(ISNUMBER(INDEX('Database.Jan 12 to SEC'!$J$6:$J$191, MATCH($A32&amp;"USD bn", 'Database.Jan 12 to SEC'!$AD$6:$AD$191, 0))), INDEX('Database.Jan 12 to SEC'!$J$6:$J$191, MATCH($A32&amp;"USD bn", 'Database.Jan 12 to SEC'!$AD$6:$AD$191, 0)), "")</f>
        <v/>
      </c>
      <c r="F32" s="480" t="str">
        <f>IF(ISNUMBER(INDEX('Database.Jan 12 to SEC'!$L$6:$L$191, MATCH($A32&amp;"USD bn", 'Database.Jan 12 to SEC'!$AD$6:$AD$191, 0))), INDEX('Database.Jan 12 to SEC'!$L$6:$L$191, MATCH($A32&amp;"USD bn", 'Database.Jan 12 to SEC'!$AD$6:$AD$191, 0)), "")</f>
        <v/>
      </c>
      <c r="G32" s="482"/>
      <c r="H32" s="481" t="str">
        <f>IF(ISNUMBER(INDEX('Database.Jan 12 to SEC'!$P$6:$P$191, MATCH($A32&amp;"USD bn", 'Database.Jan 12 to SEC'!$AD$6:$AD$191, 0))), INDEX('Database.Jan 12 to SEC'!$P$6:$P$191, MATCH($A32&amp;"USD bn", 'Database.Jan 12 to SEC'!$AD$6:$AD$191, 0)), "")</f>
        <v/>
      </c>
      <c r="I32" s="480" t="str">
        <f>IF(ISNUMBER(INDEX('Database.Jan 12 to SEC'!$Q$6:$Q$191, MATCH($A32&amp;"USD bn", 'Database.Jan 12 to SEC'!$AD$6:$AD$191, 0))), INDEX('Database.Jan 12 to SEC'!$Q$6:$Q$191, MATCH($A32&amp;"USD bn", 'Database.Jan 12 to SEC'!$AD$6:$AD$191, 0)), "")</f>
        <v/>
      </c>
      <c r="J32" s="483"/>
      <c r="K32" s="480" t="str">
        <f>IF(ISNUMBER(INDEX('Database.Jan 12 to SEC'!$U$6:$U$191, MATCH($A32&amp;"USD bn", 'Database.Jan 12 to SEC'!$AD$6:$AD$191, 0))), INDEX('Database.Jan 12 to SEC'!$U$6:$U$191, MATCH($A32&amp;"USD bn", 'Database.Jan 12 to SEC'!$AD$6:$AD$191, 0)), "")</f>
        <v/>
      </c>
      <c r="L32" s="480" t="str">
        <f>IF(ISNUMBER(INDEX('Database.Jan 12 to SEC'!$W$6:$W$191, MATCH($A32&amp;"USD bn", 'Database.Jan 12 to SEC'!$AD$6:$AD$191, 0))), INDEX('Database.Jan 12 to SEC'!$W$6:$W$191, MATCH($A32&amp;"USD bn", 'Database.Jan 12 to SEC'!$AD$6:$AD$191, 0)), "")</f>
        <v/>
      </c>
      <c r="M32"/>
      <c r="N32"/>
      <c r="O32" s="481" t="str">
        <f>IF(ISNUMBER(INDEX('Database.Jan 12 to SEC'!$G$6:$G$191, MATCH($A32&amp;"% GDP", 'Database.Jan 12 to SEC'!$AD$6:$AD$191, 0))), INDEX('Database.Jan 12 to SEC'!$G$6:$G$191, MATCH($A32&amp;"% GDP", 'Database.Jan 12 to SEC'!$AD$6:$AD$191, 0)), "")</f>
        <v/>
      </c>
      <c r="P32" s="480" t="str">
        <f>IF(ISNUMBER(INDEX('Database.Jan 12 to SEC'!$H$6:$H$191, MATCH($A32&amp;"% GDP", 'Database.Jan 12 to SEC'!$AD$6:$AD$191, 0))), INDEX('Database.Jan 12 to SEC'!$H$6:$H$191, MATCH($A32&amp;"% GDP", 'Database.Jan 12 to SEC'!$AD$6:$AD$191, 0)), "")</f>
        <v/>
      </c>
      <c r="Q32" s="480" t="str">
        <f>IF(ISNUMBER(INDEX('Database.Jan 12 to SEC'!$J$6:$J$191, MATCH($A32&amp;"% GDP", 'Database.Jan 12 to SEC'!$AD$6:$AD$191, 0))), INDEX('Database.Jan 12 to SEC'!$J$6:$J$191, MATCH($A32&amp;"% GDP", 'Database.Jan 12 to SEC'!$AD$6:$AD$191, 0)), "")</f>
        <v/>
      </c>
      <c r="R32" s="480" t="str">
        <f>IF(ISNUMBER(INDEX('Database.Jan 12 to SEC'!$L$6:$L$191, MATCH($A32&amp;"% GDP", 'Database.Jan 12 to SEC'!$AD$6:$AD$191, 0))), INDEX('Database.Jan 12 to SEC'!$L$6:$L$191, MATCH($A32&amp;"% GDP", 'Database.Jan 12 to SEC'!$AD$6:$AD$191, 0)), "")</f>
        <v/>
      </c>
      <c r="S32" s="482"/>
      <c r="T32" s="481" t="str">
        <f>IF(ISNUMBER(INDEX('Database.Jan 12 to SEC'!$P$6:$P$191, MATCH($A32&amp;"% GDP", 'Database.Jan 12 to SEC'!$AD$6:$AD$191, 0))), INDEX('Database.Jan 12 to SEC'!$P$6:$P$191, MATCH($A32&amp;"% GDP", 'Database.Jan 12 to SEC'!$AD$6:$AD$191, 0)), "")</f>
        <v/>
      </c>
      <c r="U32" s="480" t="str">
        <f>IF(ISNUMBER(INDEX('Database.Jan 12 to SEC'!$Q$6:$Q$191, MATCH($A32&amp;"% GDP", 'Database.Jan 12 to SEC'!$AD$6:$AD$191, 0))), INDEX('Database.Jan 12 to SEC'!$Q$6:$Q$191, MATCH($A32&amp;"% GDP", 'Database.Jan 12 to SEC'!$AD$6:$AD$191, 0)), "")</f>
        <v/>
      </c>
      <c r="V32" s="483"/>
      <c r="W32" s="480" t="str">
        <f>IF(ISNUMBER(INDEX('Database.Jan 12 to SEC'!$U$6:$U$191, MATCH($A32&amp;"% GDP", 'Database.Jan 12 to SEC'!$AD$6:$AD$191, 0))), INDEX('Database.Jan 12 to SEC'!$U$6:$U$191, MATCH($A32&amp;"% GDP", 'Database.Jan 12 to SEC'!$AD$6:$AD$191, 0)), "")</f>
        <v/>
      </c>
      <c r="X32" s="480" t="str">
        <f>IF(ISNUMBER(INDEX('Database.Jan 12 to SEC'!$W$6:$W$191, MATCH($A32&amp;"% GDP", 'Database.Jan 12 to SEC'!$AD$6:$AD$191, 0))), INDEX('Database.Jan 12 to SEC'!$W$6:$W$191, MATCH($A32&amp;"% GDP", 'Database.Jan 12 to SEC'!$AD$6:$AD$191, 0)), "")</f>
        <v/>
      </c>
      <c r="Z32" s="490"/>
      <c r="AA32" t="s">
        <v>1267</v>
      </c>
      <c r="AC32" s="299"/>
      <c r="AE32" s="415" t="s">
        <v>547</v>
      </c>
      <c r="AF32" s="443">
        <v>42.113300610177824</v>
      </c>
      <c r="AG32" s="438">
        <v>10.95630584980236</v>
      </c>
      <c r="AH32" s="438">
        <v>31.156994760375461</v>
      </c>
      <c r="AI32" s="438">
        <v>14.722535985671922</v>
      </c>
      <c r="AJ32" s="437"/>
      <c r="AK32" s="443">
        <v>61.172707661396508</v>
      </c>
      <c r="AL32" s="438">
        <v>1.8260509749670601</v>
      </c>
      <c r="AM32" s="441"/>
      <c r="AN32" s="438">
        <v>59.346656686429448</v>
      </c>
      <c r="AO32" s="438" t="s">
        <v>452</v>
      </c>
      <c r="AP32" s="331"/>
      <c r="AQ32" s="331"/>
      <c r="AR32" s="443">
        <v>8.1786083953747628</v>
      </c>
      <c r="AS32" s="438">
        <v>2.127768037821077</v>
      </c>
      <c r="AT32" s="438">
        <v>6.0508403575536853</v>
      </c>
      <c r="AU32" s="438">
        <v>2.8591883008220722</v>
      </c>
      <c r="AV32" s="437"/>
      <c r="AW32" s="443">
        <v>11.880038211167678</v>
      </c>
      <c r="AX32" s="438">
        <v>0.35462800630351282</v>
      </c>
      <c r="AY32" s="441"/>
      <c r="AZ32" s="438">
        <v>11.525410204864166</v>
      </c>
      <c r="BA32" s="438" t="s">
        <v>452</v>
      </c>
    </row>
    <row r="33" spans="1:53">
      <c r="A33" s="7" t="s">
        <v>1012</v>
      </c>
      <c r="B33" s="7" t="s">
        <v>1012</v>
      </c>
      <c r="C33" s="488">
        <v>1.9670000000000001</v>
      </c>
      <c r="D33" s="480">
        <v>0.18</v>
      </c>
      <c r="E33" s="480">
        <v>1.7870000000000001</v>
      </c>
      <c r="F33" s="480">
        <v>0.34699999999999998</v>
      </c>
      <c r="G33" s="482"/>
      <c r="H33" s="481">
        <v>2.2026739885540163</v>
      </c>
      <c r="I33" s="480">
        <v>0.45651274374176504</v>
      </c>
      <c r="J33" s="483"/>
      <c r="K33" s="480">
        <v>1.7461612448122512</v>
      </c>
      <c r="L33" s="480" t="s">
        <v>452</v>
      </c>
      <c r="M33"/>
      <c r="N33"/>
      <c r="O33" s="481">
        <v>8.27</v>
      </c>
      <c r="P33" s="480">
        <v>0.76</v>
      </c>
      <c r="Q33" s="480">
        <v>7.51</v>
      </c>
      <c r="R33" s="480">
        <v>1.46</v>
      </c>
      <c r="S33" s="482"/>
      <c r="T33" s="481">
        <v>9.2607254074959098</v>
      </c>
      <c r="U33" s="480">
        <v>1.9193213279784269</v>
      </c>
      <c r="V33" s="483"/>
      <c r="W33" s="480">
        <v>7.3414040795174831</v>
      </c>
      <c r="X33" s="480" t="s">
        <v>452</v>
      </c>
      <c r="Z33" s="490"/>
      <c r="AA33" t="s">
        <v>1267</v>
      </c>
      <c r="AC33" s="404"/>
      <c r="AE33" s="7" t="s">
        <v>1012</v>
      </c>
      <c r="AF33" s="443">
        <v>1.9670000000000001</v>
      </c>
      <c r="AG33" s="438">
        <v>0.18</v>
      </c>
      <c r="AH33" s="438">
        <v>1.7870000000000001</v>
      </c>
      <c r="AI33" s="438">
        <v>0.34699999999999998</v>
      </c>
      <c r="AJ33" s="437"/>
      <c r="AK33" s="443">
        <v>2.2026739885540163</v>
      </c>
      <c r="AL33" s="438">
        <v>0.45651274374176504</v>
      </c>
      <c r="AM33" s="441"/>
      <c r="AN33" s="438">
        <v>1.7461612448122512</v>
      </c>
      <c r="AO33" s="438" t="s">
        <v>452</v>
      </c>
      <c r="AP33" s="331"/>
      <c r="AQ33" s="331"/>
      <c r="AR33" s="443">
        <v>8.27</v>
      </c>
      <c r="AS33" s="438">
        <v>0.76</v>
      </c>
      <c r="AT33" s="438">
        <v>7.51</v>
      </c>
      <c r="AU33" s="438">
        <v>1.46</v>
      </c>
      <c r="AV33" s="437"/>
      <c r="AW33" s="443">
        <v>9.2607254074959098</v>
      </c>
      <c r="AX33" s="438">
        <v>1.9193213279784269</v>
      </c>
      <c r="AY33" s="441"/>
      <c r="AZ33" s="438">
        <v>7.3414040795174831</v>
      </c>
      <c r="BA33" s="438" t="s">
        <v>452</v>
      </c>
    </row>
    <row r="34" spans="1:53">
      <c r="A34" s="7" t="s">
        <v>541</v>
      </c>
      <c r="B34" s="7" t="s">
        <v>541</v>
      </c>
      <c r="C34" s="488" t="str">
        <f>IF(ISNUMBER(INDEX('Database.Jan 12 to SEC'!$G$6:$G$191, MATCH($A34&amp;"USD bn", 'Database.Jan 12 to SEC'!$AD$6:$AD$191, 0))), INDEX('Database.Jan 12 to SEC'!$G$6:$G$191, MATCH($A34&amp;"USD bn", 'Database.Jan 12 to SEC'!$AD$6:$AD$191, 0)), "")</f>
        <v/>
      </c>
      <c r="D34" s="480" t="str">
        <f>IF(ISNUMBER(INDEX('Database.Jan 12 to SEC'!$H$6:$H$191, MATCH($A34&amp;"USD bn", 'Database.Jan 12 to SEC'!$AD$6:$AD$191, 0))), INDEX('Database.Jan 12 to SEC'!$H$6:$H$191, MATCH($A34&amp;"USD bn", 'Database.Jan 12 to SEC'!$AD$6:$AD$191, 0)), "")</f>
        <v/>
      </c>
      <c r="E34" s="480" t="str">
        <f>IF(ISNUMBER(INDEX('Database.Jan 12 to SEC'!$J$6:$J$191, MATCH($A34&amp;"USD bn", 'Database.Jan 12 to SEC'!$AD$6:$AD$191, 0))), INDEX('Database.Jan 12 to SEC'!$J$6:$J$191, MATCH($A34&amp;"USD bn", 'Database.Jan 12 to SEC'!$AD$6:$AD$191, 0)), "")</f>
        <v/>
      </c>
      <c r="F34" s="480" t="str">
        <f>IF(ISNUMBER(INDEX('Database.Jan 12 to SEC'!$L$6:$L$191, MATCH($A34&amp;"USD bn", 'Database.Jan 12 to SEC'!$AD$6:$AD$191, 0))), INDEX('Database.Jan 12 to SEC'!$L$6:$L$191, MATCH($A34&amp;"USD bn", 'Database.Jan 12 to SEC'!$AD$6:$AD$191, 0)), "")</f>
        <v/>
      </c>
      <c r="G34" s="482"/>
      <c r="H34" s="481" t="str">
        <f>IF(ISNUMBER(INDEX('Database.Jan 12 to SEC'!$P$6:$P$191, MATCH($A34&amp;"USD bn", 'Database.Jan 12 to SEC'!$AD$6:$AD$191, 0))), INDEX('Database.Jan 12 to SEC'!$P$6:$P$191, MATCH($A34&amp;"USD bn", 'Database.Jan 12 to SEC'!$AD$6:$AD$191, 0)), "")</f>
        <v/>
      </c>
      <c r="I34" s="480" t="str">
        <f>IF(ISNUMBER(INDEX('Database.Jan 12 to SEC'!$Q$6:$Q$191, MATCH($A34&amp;"USD bn", 'Database.Jan 12 to SEC'!$AD$6:$AD$191, 0))), INDEX('Database.Jan 12 to SEC'!$Q$6:$Q$191, MATCH($A34&amp;"USD bn", 'Database.Jan 12 to SEC'!$AD$6:$AD$191, 0)), "")</f>
        <v/>
      </c>
      <c r="J34" s="483"/>
      <c r="K34" s="480" t="str">
        <f>IF(ISNUMBER(INDEX('Database.Jan 12 to SEC'!$U$6:$U$191, MATCH($A34&amp;"USD bn", 'Database.Jan 12 to SEC'!$AD$6:$AD$191, 0))), INDEX('Database.Jan 12 to SEC'!$U$6:$U$191, MATCH($A34&amp;"USD bn", 'Database.Jan 12 to SEC'!$AD$6:$AD$191, 0)), "")</f>
        <v/>
      </c>
      <c r="L34" s="480" t="str">
        <f>IF(ISNUMBER(INDEX('Database.Jan 12 to SEC'!$W$6:$W$191, MATCH($A34&amp;"USD bn", 'Database.Jan 12 to SEC'!$AD$6:$AD$191, 0))), INDEX('Database.Jan 12 to SEC'!$W$6:$W$191, MATCH($A34&amp;"USD bn", 'Database.Jan 12 to SEC'!$AD$6:$AD$191, 0)), "")</f>
        <v/>
      </c>
      <c r="M34"/>
      <c r="N34"/>
      <c r="O34" s="481" t="str">
        <f>IF(ISNUMBER(INDEX('Database.Jan 12 to SEC'!$G$6:$G$191, MATCH($A34&amp;"% GDP", 'Database.Jan 12 to SEC'!$AD$6:$AD$191, 0))), INDEX('Database.Jan 12 to SEC'!$G$6:$G$191, MATCH($A34&amp;"% GDP", 'Database.Jan 12 to SEC'!$AD$6:$AD$191, 0)), "")</f>
        <v/>
      </c>
      <c r="P34" s="480" t="str">
        <f>IF(ISNUMBER(INDEX('Database.Jan 12 to SEC'!$H$6:$H$191, MATCH($A34&amp;"% GDP", 'Database.Jan 12 to SEC'!$AD$6:$AD$191, 0))), INDEX('Database.Jan 12 to SEC'!$H$6:$H$191, MATCH($A34&amp;"% GDP", 'Database.Jan 12 to SEC'!$AD$6:$AD$191, 0)), "")</f>
        <v/>
      </c>
      <c r="Q34" s="480" t="str">
        <f>IF(ISNUMBER(INDEX('Database.Jan 12 to SEC'!$J$6:$J$191, MATCH($A34&amp;"% GDP", 'Database.Jan 12 to SEC'!$AD$6:$AD$191, 0))), INDEX('Database.Jan 12 to SEC'!$J$6:$J$191, MATCH($A34&amp;"% GDP", 'Database.Jan 12 to SEC'!$AD$6:$AD$191, 0)), "")</f>
        <v/>
      </c>
      <c r="R34" s="480" t="str">
        <f>IF(ISNUMBER(INDEX('Database.Jan 12 to SEC'!$L$6:$L$191, MATCH($A34&amp;"% GDP", 'Database.Jan 12 to SEC'!$AD$6:$AD$191, 0))), INDEX('Database.Jan 12 to SEC'!$L$6:$L$191, MATCH($A34&amp;"% GDP", 'Database.Jan 12 to SEC'!$AD$6:$AD$191, 0)), "")</f>
        <v/>
      </c>
      <c r="S34" s="482"/>
      <c r="T34" s="481" t="str">
        <f>IF(ISNUMBER(INDEX('Database.Jan 12 to SEC'!$P$6:$P$191, MATCH($A34&amp;"% GDP", 'Database.Jan 12 to SEC'!$AD$6:$AD$191, 0))), INDEX('Database.Jan 12 to SEC'!$P$6:$P$191, MATCH($A34&amp;"% GDP", 'Database.Jan 12 to SEC'!$AD$6:$AD$191, 0)), "")</f>
        <v/>
      </c>
      <c r="U34" s="480" t="str">
        <f>IF(ISNUMBER(INDEX('Database.Jan 12 to SEC'!$Q$6:$Q$191, MATCH($A34&amp;"% GDP", 'Database.Jan 12 to SEC'!$AD$6:$AD$191, 0))), INDEX('Database.Jan 12 to SEC'!$Q$6:$Q$191, MATCH($A34&amp;"% GDP", 'Database.Jan 12 to SEC'!$AD$6:$AD$191, 0)), "")</f>
        <v/>
      </c>
      <c r="V34" s="483"/>
      <c r="W34" s="480" t="str">
        <f>IF(ISNUMBER(INDEX('Database.Jan 12 to SEC'!$U$6:$U$191, MATCH($A34&amp;"% GDP", 'Database.Jan 12 to SEC'!$AD$6:$AD$191, 0))), INDEX('Database.Jan 12 to SEC'!$U$6:$U$191, MATCH($A34&amp;"% GDP", 'Database.Jan 12 to SEC'!$AD$6:$AD$191, 0)), "")</f>
        <v/>
      </c>
      <c r="X34" s="480" t="str">
        <f>IF(ISNUMBER(INDEX('Database.Jan 12 to SEC'!$W$6:$W$191, MATCH($A34&amp;"% GDP", 'Database.Jan 12 to SEC'!$AD$6:$AD$191, 0))), INDEX('Database.Jan 12 to SEC'!$W$6:$W$191, MATCH($A34&amp;"% GDP", 'Database.Jan 12 to SEC'!$AD$6:$AD$191, 0)), "")</f>
        <v/>
      </c>
      <c r="Z34" s="490"/>
      <c r="AB34" s="478" t="s">
        <v>1271</v>
      </c>
      <c r="AC34" s="294"/>
      <c r="AE34" s="7" t="s">
        <v>541</v>
      </c>
      <c r="AF34" s="443">
        <v>22.550381835611422</v>
      </c>
      <c r="AG34" s="438">
        <v>6.3937269094473352</v>
      </c>
      <c r="AH34" s="438">
        <v>16.156654926164087</v>
      </c>
      <c r="AI34" s="438">
        <v>0.61610710785105727</v>
      </c>
      <c r="AJ34" s="437"/>
      <c r="AK34" s="443">
        <v>37.970293297142426</v>
      </c>
      <c r="AL34" s="438">
        <v>3.8775971822793812E-2</v>
      </c>
      <c r="AM34" s="441"/>
      <c r="AN34" s="438">
        <v>37.931517325319632</v>
      </c>
      <c r="AO34" s="438" t="s">
        <v>452</v>
      </c>
      <c r="AP34" s="331"/>
      <c r="AQ34" s="331"/>
      <c r="AR34" s="443">
        <v>9.1911264362891103</v>
      </c>
      <c r="AS34" s="438">
        <v>2.6059670675301949</v>
      </c>
      <c r="AT34" s="438">
        <v>6.5851593687589158</v>
      </c>
      <c r="AU34" s="438">
        <v>0.25111407726200669</v>
      </c>
      <c r="AV34" s="437"/>
      <c r="AW34" s="443">
        <v>15.476002537832619</v>
      </c>
      <c r="AX34" s="438">
        <v>1.5804382485021397E-2</v>
      </c>
      <c r="AY34" s="441"/>
      <c r="AZ34" s="438">
        <v>15.460198155347598</v>
      </c>
      <c r="BA34" s="438" t="s">
        <v>452</v>
      </c>
    </row>
    <row r="35" spans="1:53">
      <c r="A35" s="7" t="s">
        <v>19</v>
      </c>
      <c r="B35" s="7" t="s">
        <v>19</v>
      </c>
      <c r="C35" s="488" t="str">
        <f>IF(ISNUMBER(INDEX('Database.Jan 12 to SEC'!$G$6:$G$191, MATCH($A35&amp;"USD bn", 'Database.Jan 12 to SEC'!$AD$6:$AD$191, 0))), INDEX('Database.Jan 12 to SEC'!$G$6:$G$191, MATCH($A35&amp;"USD bn", 'Database.Jan 12 to SEC'!$AD$6:$AD$191, 0)), "")</f>
        <v/>
      </c>
      <c r="D35" s="480" t="str">
        <f>IF(ISNUMBER(INDEX('Database.Jan 12 to SEC'!$H$6:$H$191, MATCH($A35&amp;"USD bn", 'Database.Jan 12 to SEC'!$AD$6:$AD$191, 0))), INDEX('Database.Jan 12 to SEC'!$H$6:$H$191, MATCH($A35&amp;"USD bn", 'Database.Jan 12 to SEC'!$AD$6:$AD$191, 0)), "")</f>
        <v/>
      </c>
      <c r="E35" s="480" t="str">
        <f>IF(ISNUMBER(INDEX('Database.Jan 12 to SEC'!$J$6:$J$191, MATCH($A35&amp;"USD bn", 'Database.Jan 12 to SEC'!$AD$6:$AD$191, 0))), INDEX('Database.Jan 12 to SEC'!$J$6:$J$191, MATCH($A35&amp;"USD bn", 'Database.Jan 12 to SEC'!$AD$6:$AD$191, 0)), "")</f>
        <v/>
      </c>
      <c r="F35" s="480" t="str">
        <f>IF(ISNUMBER(INDEX('Database.Jan 12 to SEC'!$L$6:$L$191, MATCH($A35&amp;"USD bn", 'Database.Jan 12 to SEC'!$AD$6:$AD$191, 0))), INDEX('Database.Jan 12 to SEC'!$L$6:$L$191, MATCH($A35&amp;"USD bn", 'Database.Jan 12 to SEC'!$AD$6:$AD$191, 0)), "")</f>
        <v/>
      </c>
      <c r="G35" s="482"/>
      <c r="H35" s="481" t="str">
        <f>IF(ISNUMBER(INDEX('Database.Jan 12 to SEC'!$P$6:$P$191, MATCH($A35&amp;"USD bn", 'Database.Jan 12 to SEC'!$AD$6:$AD$191, 0))), INDEX('Database.Jan 12 to SEC'!$P$6:$P$191, MATCH($A35&amp;"USD bn", 'Database.Jan 12 to SEC'!$AD$6:$AD$191, 0)), "")</f>
        <v/>
      </c>
      <c r="I35" s="480" t="str">
        <f>IF(ISNUMBER(INDEX('Database.Jan 12 to SEC'!$Q$6:$Q$191, MATCH($A35&amp;"USD bn", 'Database.Jan 12 to SEC'!$AD$6:$AD$191, 0))), INDEX('Database.Jan 12 to SEC'!$Q$6:$Q$191, MATCH($A35&amp;"USD bn", 'Database.Jan 12 to SEC'!$AD$6:$AD$191, 0)), "")</f>
        <v/>
      </c>
      <c r="J35" s="483"/>
      <c r="K35" s="480" t="str">
        <f>IF(ISNUMBER(INDEX('Database.Jan 12 to SEC'!$U$6:$U$191, MATCH($A35&amp;"USD bn", 'Database.Jan 12 to SEC'!$AD$6:$AD$191, 0))), INDEX('Database.Jan 12 to SEC'!$U$6:$U$191, MATCH($A35&amp;"USD bn", 'Database.Jan 12 to SEC'!$AD$6:$AD$191, 0)), "")</f>
        <v/>
      </c>
      <c r="L35" s="480" t="str">
        <f>IF(ISNUMBER(INDEX('Database.Jan 12 to SEC'!$W$6:$W$191, MATCH($A35&amp;"USD bn", 'Database.Jan 12 to SEC'!$AD$6:$AD$191, 0))), INDEX('Database.Jan 12 to SEC'!$W$6:$W$191, MATCH($A35&amp;"USD bn", 'Database.Jan 12 to SEC'!$AD$6:$AD$191, 0)), "")</f>
        <v/>
      </c>
      <c r="M35"/>
      <c r="N35"/>
      <c r="O35" s="481" t="str">
        <f>IF(ISNUMBER(INDEX('Database.Jan 12 to SEC'!$G$6:$G$191, MATCH($A35&amp;"% GDP", 'Database.Jan 12 to SEC'!$AD$6:$AD$191, 0))), INDEX('Database.Jan 12 to SEC'!$G$6:$G$191, MATCH($A35&amp;"% GDP", 'Database.Jan 12 to SEC'!$AD$6:$AD$191, 0)), "")</f>
        <v/>
      </c>
      <c r="P35" s="480" t="str">
        <f>IF(ISNUMBER(INDEX('Database.Jan 12 to SEC'!$H$6:$H$191, MATCH($A35&amp;"% GDP", 'Database.Jan 12 to SEC'!$AD$6:$AD$191, 0))), INDEX('Database.Jan 12 to SEC'!$H$6:$H$191, MATCH($A35&amp;"% GDP", 'Database.Jan 12 to SEC'!$AD$6:$AD$191, 0)), "")</f>
        <v/>
      </c>
      <c r="Q35" s="480" t="str">
        <f>IF(ISNUMBER(INDEX('Database.Jan 12 to SEC'!$J$6:$J$191, MATCH($A35&amp;"% GDP", 'Database.Jan 12 to SEC'!$AD$6:$AD$191, 0))), INDEX('Database.Jan 12 to SEC'!$J$6:$J$191, MATCH($A35&amp;"% GDP", 'Database.Jan 12 to SEC'!$AD$6:$AD$191, 0)), "")</f>
        <v/>
      </c>
      <c r="R35" s="480" t="str">
        <f>IF(ISNUMBER(INDEX('Database.Jan 12 to SEC'!$L$6:$L$191, MATCH($A35&amp;"% GDP", 'Database.Jan 12 to SEC'!$AD$6:$AD$191, 0))), INDEX('Database.Jan 12 to SEC'!$L$6:$L$191, MATCH($A35&amp;"% GDP", 'Database.Jan 12 to SEC'!$AD$6:$AD$191, 0)), "")</f>
        <v/>
      </c>
      <c r="S35" s="482"/>
      <c r="T35" s="481" t="str">
        <f>IF(ISNUMBER(INDEX('Database.Jan 12 to SEC'!$P$6:$P$191, MATCH($A35&amp;"% GDP", 'Database.Jan 12 to SEC'!$AD$6:$AD$191, 0))), INDEX('Database.Jan 12 to SEC'!$P$6:$P$191, MATCH($A35&amp;"% GDP", 'Database.Jan 12 to SEC'!$AD$6:$AD$191, 0)), "")</f>
        <v/>
      </c>
      <c r="U35" s="480" t="str">
        <f>IF(ISNUMBER(INDEX('Database.Jan 12 to SEC'!$Q$6:$Q$191, MATCH($A35&amp;"% GDP", 'Database.Jan 12 to SEC'!$AD$6:$AD$191, 0))), INDEX('Database.Jan 12 to SEC'!$Q$6:$Q$191, MATCH($A35&amp;"% GDP", 'Database.Jan 12 to SEC'!$AD$6:$AD$191, 0)), "")</f>
        <v/>
      </c>
      <c r="V35" s="483"/>
      <c r="W35" s="480" t="str">
        <f>IF(ISNUMBER(INDEX('Database.Jan 12 to SEC'!$U$6:$U$191, MATCH($A35&amp;"% GDP", 'Database.Jan 12 to SEC'!$AD$6:$AD$191, 0))), INDEX('Database.Jan 12 to SEC'!$U$6:$U$191, MATCH($A35&amp;"% GDP", 'Database.Jan 12 to SEC'!$AD$6:$AD$191, 0)), "")</f>
        <v/>
      </c>
      <c r="X35" s="480" t="str">
        <f>IF(ISNUMBER(INDEX('Database.Jan 12 to SEC'!$W$6:$W$191, MATCH($A35&amp;"% GDP", 'Database.Jan 12 to SEC'!$AD$6:$AD$191, 0))), INDEX('Database.Jan 12 to SEC'!$W$6:$W$191, MATCH($A35&amp;"% GDP", 'Database.Jan 12 to SEC'!$AD$6:$AD$191, 0)), "")</f>
        <v/>
      </c>
      <c r="Z35" s="490"/>
      <c r="AA35" t="s">
        <v>1267</v>
      </c>
      <c r="AC35" s="294"/>
      <c r="AE35" s="7" t="s">
        <v>19</v>
      </c>
      <c r="AF35" s="443">
        <v>12.151964295383831</v>
      </c>
      <c r="AG35" s="438" t="s">
        <v>452</v>
      </c>
      <c r="AH35" s="438">
        <v>12.151964295383831</v>
      </c>
      <c r="AI35" s="438">
        <v>48.730141098973149</v>
      </c>
      <c r="AJ35" s="437"/>
      <c r="AK35" s="443">
        <v>55.669753413569694</v>
      </c>
      <c r="AL35" s="438">
        <v>43.105080896833208</v>
      </c>
      <c r="AM35" s="441"/>
      <c r="AN35" s="438">
        <v>12.56467251673649</v>
      </c>
      <c r="AO35" s="438" t="s">
        <v>452</v>
      </c>
      <c r="AP35" s="331"/>
      <c r="AQ35" s="331"/>
      <c r="AR35" s="443">
        <v>3.412660153565414</v>
      </c>
      <c r="AS35" s="438" t="s">
        <v>452</v>
      </c>
      <c r="AT35" s="438">
        <v>3.412660153565414</v>
      </c>
      <c r="AU35" s="438">
        <v>13.684981848511372</v>
      </c>
      <c r="AV35" s="437"/>
      <c r="AW35" s="443">
        <v>15.633846892182691</v>
      </c>
      <c r="AX35" s="438">
        <v>12.105285073024488</v>
      </c>
      <c r="AY35" s="441"/>
      <c r="AZ35" s="438">
        <v>3.528561819158202</v>
      </c>
      <c r="BA35" s="438" t="s">
        <v>452</v>
      </c>
    </row>
    <row r="36" spans="1:53">
      <c r="A36" s="7" t="s">
        <v>1013</v>
      </c>
      <c r="B36" s="7" t="s">
        <v>1013</v>
      </c>
      <c r="C36" s="488">
        <v>1.5871</v>
      </c>
      <c r="D36" s="480">
        <v>0.435</v>
      </c>
      <c r="E36" s="480">
        <v>1.1520999999999999</v>
      </c>
      <c r="F36" s="480" t="s">
        <v>452</v>
      </c>
      <c r="G36" s="482"/>
      <c r="H36" s="481">
        <v>1.3769999999999998</v>
      </c>
      <c r="I36" s="480">
        <v>1.0269999999999999</v>
      </c>
      <c r="J36" s="483"/>
      <c r="K36" s="480">
        <v>0.35</v>
      </c>
      <c r="L36" s="480" t="s">
        <v>452</v>
      </c>
      <c r="M36"/>
      <c r="N36"/>
      <c r="O36" s="481">
        <v>5.8</v>
      </c>
      <c r="P36" s="480">
        <v>1.6</v>
      </c>
      <c r="Q36" s="480">
        <v>4.1999999999999993</v>
      </c>
      <c r="R36" s="480" t="s">
        <v>452</v>
      </c>
      <c r="S36" s="482"/>
      <c r="T36" s="481">
        <v>5.0883310701650863</v>
      </c>
      <c r="U36" s="480">
        <v>3.8</v>
      </c>
      <c r="V36" s="483"/>
      <c r="W36" s="480">
        <v>1.2883310701650865</v>
      </c>
      <c r="X36" s="480" t="s">
        <v>452</v>
      </c>
      <c r="Z36" s="490"/>
      <c r="AA36" t="s">
        <v>1267</v>
      </c>
      <c r="AC36" s="404"/>
      <c r="AE36" s="7" t="s">
        <v>1013</v>
      </c>
      <c r="AF36" s="443">
        <v>1.5871</v>
      </c>
      <c r="AG36" s="438">
        <v>0.435</v>
      </c>
      <c r="AH36" s="438">
        <v>1.1520999999999999</v>
      </c>
      <c r="AI36" s="438" t="s">
        <v>452</v>
      </c>
      <c r="AJ36" s="437"/>
      <c r="AK36" s="443">
        <v>1.3769999999999998</v>
      </c>
      <c r="AL36" s="438">
        <v>1.0269999999999999</v>
      </c>
      <c r="AM36" s="441"/>
      <c r="AN36" s="438">
        <v>0.35</v>
      </c>
      <c r="AO36" s="438" t="s">
        <v>452</v>
      </c>
      <c r="AP36" s="331"/>
      <c r="AQ36" s="331"/>
      <c r="AR36" s="443">
        <v>5.8</v>
      </c>
      <c r="AS36" s="438">
        <v>1.6</v>
      </c>
      <c r="AT36" s="438">
        <v>4.1999999999999993</v>
      </c>
      <c r="AU36" s="438" t="s">
        <v>452</v>
      </c>
      <c r="AV36" s="437"/>
      <c r="AW36" s="443">
        <v>5.0883310701650863</v>
      </c>
      <c r="AX36" s="438">
        <v>3.8</v>
      </c>
      <c r="AY36" s="441"/>
      <c r="AZ36" s="438">
        <v>1.2883310701650865</v>
      </c>
      <c r="BA36" s="438" t="s">
        <v>452</v>
      </c>
    </row>
    <row r="37" spans="1:53">
      <c r="A37" s="7" t="s">
        <v>20</v>
      </c>
      <c r="B37" s="7" t="s">
        <v>20</v>
      </c>
      <c r="C37" s="488" t="str">
        <f>IF(ISNUMBER(INDEX('Database.Jan 12 to SEC'!$G$6:$G$191, MATCH($A37&amp;"USD bn", 'Database.Jan 12 to SEC'!$AD$6:$AD$191, 0))), INDEX('Database.Jan 12 to SEC'!$G$6:$G$191, MATCH($A37&amp;"USD bn", 'Database.Jan 12 to SEC'!$AD$6:$AD$191, 0)), "")</f>
        <v/>
      </c>
      <c r="D37" s="480" t="str">
        <f>IF(ISNUMBER(INDEX('Database.Jan 12 to SEC'!$H$6:$H$191, MATCH($A37&amp;"USD bn", 'Database.Jan 12 to SEC'!$AD$6:$AD$191, 0))), INDEX('Database.Jan 12 to SEC'!$H$6:$H$191, MATCH($A37&amp;"USD bn", 'Database.Jan 12 to SEC'!$AD$6:$AD$191, 0)), "")</f>
        <v/>
      </c>
      <c r="E37" s="480" t="str">
        <f>IF(ISNUMBER(INDEX('Database.Jan 12 to SEC'!$J$6:$J$191, MATCH($A37&amp;"USD bn", 'Database.Jan 12 to SEC'!$AD$6:$AD$191, 0))), INDEX('Database.Jan 12 to SEC'!$J$6:$J$191, MATCH($A37&amp;"USD bn", 'Database.Jan 12 to SEC'!$AD$6:$AD$191, 0)), "")</f>
        <v/>
      </c>
      <c r="F37" s="480" t="str">
        <f>IF(ISNUMBER(INDEX('Database.Jan 12 to SEC'!$L$6:$L$191, MATCH($A37&amp;"USD bn", 'Database.Jan 12 to SEC'!$AD$6:$AD$191, 0))), INDEX('Database.Jan 12 to SEC'!$L$6:$L$191, MATCH($A37&amp;"USD bn", 'Database.Jan 12 to SEC'!$AD$6:$AD$191, 0)), "")</f>
        <v/>
      </c>
      <c r="G37" s="482"/>
      <c r="H37" s="481" t="str">
        <f>IF(ISNUMBER(INDEX('Database.Jan 12 to SEC'!$P$6:$P$191, MATCH($A37&amp;"USD bn", 'Database.Jan 12 to SEC'!$AD$6:$AD$191, 0))), INDEX('Database.Jan 12 to SEC'!$P$6:$P$191, MATCH($A37&amp;"USD bn", 'Database.Jan 12 to SEC'!$AD$6:$AD$191, 0)), "")</f>
        <v/>
      </c>
      <c r="I37" s="480" t="str">
        <f>IF(ISNUMBER(INDEX('Database.Jan 12 to SEC'!$Q$6:$Q$191, MATCH($A37&amp;"USD bn", 'Database.Jan 12 to SEC'!$AD$6:$AD$191, 0))), INDEX('Database.Jan 12 to SEC'!$Q$6:$Q$191, MATCH($A37&amp;"USD bn", 'Database.Jan 12 to SEC'!$AD$6:$AD$191, 0)), "")</f>
        <v/>
      </c>
      <c r="J37" s="483"/>
      <c r="K37" s="480" t="str">
        <f>IF(ISNUMBER(INDEX('Database.Jan 12 to SEC'!$U$6:$U$191, MATCH($A37&amp;"USD bn", 'Database.Jan 12 to SEC'!$AD$6:$AD$191, 0))), INDEX('Database.Jan 12 to SEC'!$U$6:$U$191, MATCH($A37&amp;"USD bn", 'Database.Jan 12 to SEC'!$AD$6:$AD$191, 0)), "")</f>
        <v/>
      </c>
      <c r="L37" s="480" t="str">
        <f>IF(ISNUMBER(INDEX('Database.Jan 12 to SEC'!$W$6:$W$191, MATCH($A37&amp;"USD bn", 'Database.Jan 12 to SEC'!$AD$6:$AD$191, 0))), INDEX('Database.Jan 12 to SEC'!$W$6:$W$191, MATCH($A37&amp;"USD bn", 'Database.Jan 12 to SEC'!$AD$6:$AD$191, 0)), "")</f>
        <v/>
      </c>
      <c r="M37"/>
      <c r="N37"/>
      <c r="O37" s="481" t="str">
        <f>IF(ISNUMBER(INDEX('Database.Jan 12 to SEC'!$G$6:$G$191, MATCH($A37&amp;"% GDP", 'Database.Jan 12 to SEC'!$AD$6:$AD$191, 0))), INDEX('Database.Jan 12 to SEC'!$G$6:$G$191, MATCH($A37&amp;"% GDP", 'Database.Jan 12 to SEC'!$AD$6:$AD$191, 0)), "")</f>
        <v/>
      </c>
      <c r="P37" s="480" t="str">
        <f>IF(ISNUMBER(INDEX('Database.Jan 12 to SEC'!$H$6:$H$191, MATCH($A37&amp;"% GDP", 'Database.Jan 12 to SEC'!$AD$6:$AD$191, 0))), INDEX('Database.Jan 12 to SEC'!$H$6:$H$191, MATCH($A37&amp;"% GDP", 'Database.Jan 12 to SEC'!$AD$6:$AD$191, 0)), "")</f>
        <v/>
      </c>
      <c r="Q37" s="480" t="str">
        <f>IF(ISNUMBER(INDEX('Database.Jan 12 to SEC'!$J$6:$J$191, MATCH($A37&amp;"% GDP", 'Database.Jan 12 to SEC'!$AD$6:$AD$191, 0))), INDEX('Database.Jan 12 to SEC'!$J$6:$J$191, MATCH($A37&amp;"% GDP", 'Database.Jan 12 to SEC'!$AD$6:$AD$191, 0)), "")</f>
        <v/>
      </c>
      <c r="R37" s="480" t="str">
        <f>IF(ISNUMBER(INDEX('Database.Jan 12 to SEC'!$L$6:$L$191, MATCH($A37&amp;"% GDP", 'Database.Jan 12 to SEC'!$AD$6:$AD$191, 0))), INDEX('Database.Jan 12 to SEC'!$L$6:$L$191, MATCH($A37&amp;"% GDP", 'Database.Jan 12 to SEC'!$AD$6:$AD$191, 0)), "")</f>
        <v/>
      </c>
      <c r="S37" s="482"/>
      <c r="T37" s="481" t="str">
        <f>IF(ISNUMBER(INDEX('Database.Jan 12 to SEC'!$P$6:$P$191, MATCH($A37&amp;"% GDP", 'Database.Jan 12 to SEC'!$AD$6:$AD$191, 0))), INDEX('Database.Jan 12 to SEC'!$P$6:$P$191, MATCH($A37&amp;"% GDP", 'Database.Jan 12 to SEC'!$AD$6:$AD$191, 0)), "")</f>
        <v/>
      </c>
      <c r="U37" s="480" t="str">
        <f>IF(ISNUMBER(INDEX('Database.Jan 12 to SEC'!$Q$6:$Q$191, MATCH($A37&amp;"% GDP", 'Database.Jan 12 to SEC'!$AD$6:$AD$191, 0))), INDEX('Database.Jan 12 to SEC'!$Q$6:$Q$191, MATCH($A37&amp;"% GDP", 'Database.Jan 12 to SEC'!$AD$6:$AD$191, 0)), "")</f>
        <v/>
      </c>
      <c r="V37" s="483"/>
      <c r="W37" s="480" t="str">
        <f>IF(ISNUMBER(INDEX('Database.Jan 12 to SEC'!$U$6:$U$191, MATCH($A37&amp;"% GDP", 'Database.Jan 12 to SEC'!$AD$6:$AD$191, 0))), INDEX('Database.Jan 12 to SEC'!$U$6:$U$191, MATCH($A37&amp;"% GDP", 'Database.Jan 12 to SEC'!$AD$6:$AD$191, 0)), "")</f>
        <v/>
      </c>
      <c r="X37" s="480" t="str">
        <f>IF(ISNUMBER(INDEX('Database.Jan 12 to SEC'!$W$6:$W$191, MATCH($A37&amp;"% GDP", 'Database.Jan 12 to SEC'!$AD$6:$AD$191, 0))), INDEX('Database.Jan 12 to SEC'!$W$6:$W$191, MATCH($A37&amp;"% GDP", 'Database.Jan 12 to SEC'!$AD$6:$AD$191, 0)), "")</f>
        <v/>
      </c>
      <c r="Z37" s="490"/>
      <c r="AA37" t="s">
        <v>1267</v>
      </c>
      <c r="AC37" s="294"/>
      <c r="AE37" s="7" t="s">
        <v>20</v>
      </c>
      <c r="AF37" s="443">
        <v>12.896485010704863</v>
      </c>
      <c r="AG37" s="438">
        <v>4.6792556233530913</v>
      </c>
      <c r="AH37" s="438">
        <v>8.2172293873517717</v>
      </c>
      <c r="AI37" s="438">
        <v>0.57064092967720625</v>
      </c>
      <c r="AJ37" s="437"/>
      <c r="AK37" s="443">
        <v>19.858304352766776</v>
      </c>
      <c r="AL37" s="438">
        <v>1.3695382312252951</v>
      </c>
      <c r="AM37" s="441"/>
      <c r="AN37" s="438">
        <v>13.923638684123832</v>
      </c>
      <c r="AO37" s="438">
        <v>4.56512743741765</v>
      </c>
      <c r="AP37" s="331"/>
      <c r="AQ37" s="331"/>
      <c r="AR37" s="443">
        <v>4.7843243517875598</v>
      </c>
      <c r="AS37" s="438">
        <v>1.7359052957813266</v>
      </c>
      <c r="AT37" s="438">
        <v>3.0484190560062334</v>
      </c>
      <c r="AU37" s="438">
        <v>0.21169576777821061</v>
      </c>
      <c r="AV37" s="437"/>
      <c r="AW37" s="443">
        <v>7.3670127186817282</v>
      </c>
      <c r="AX37" s="438">
        <v>0.50806984266770538</v>
      </c>
      <c r="AY37" s="441"/>
      <c r="AZ37" s="438">
        <v>5.1653767337883378</v>
      </c>
      <c r="BA37" s="438">
        <v>1.6935661422256849</v>
      </c>
    </row>
    <row r="38" spans="1:53">
      <c r="A38" s="7" t="s">
        <v>1014</v>
      </c>
      <c r="B38" s="7" t="s">
        <v>1014</v>
      </c>
      <c r="C38" s="488">
        <v>33.097173921277964</v>
      </c>
      <c r="D38" s="480">
        <v>1.55</v>
      </c>
      <c r="E38" s="480">
        <v>31.547173921277963</v>
      </c>
      <c r="F38" s="480">
        <v>1.9401791609025012</v>
      </c>
      <c r="G38" s="482"/>
      <c r="H38" s="481">
        <v>6.9618193420619159</v>
      </c>
      <c r="I38" s="480">
        <v>3.7662301358695611</v>
      </c>
      <c r="J38" s="483"/>
      <c r="K38" s="480">
        <v>3.1955892061923548</v>
      </c>
      <c r="L38" s="480" t="s">
        <v>452</v>
      </c>
      <c r="M38"/>
      <c r="N38"/>
      <c r="O38" s="481">
        <v>17.5</v>
      </c>
      <c r="P38" s="480">
        <v>0.8</v>
      </c>
      <c r="Q38" s="480">
        <v>16.7</v>
      </c>
      <c r="R38" s="480">
        <v>1.0251462340951576</v>
      </c>
      <c r="S38" s="482"/>
      <c r="T38" s="481">
        <v>3.6884761502743775</v>
      </c>
      <c r="U38" s="480">
        <v>2</v>
      </c>
      <c r="V38" s="483"/>
      <c r="W38" s="480">
        <v>1.6884761502743773</v>
      </c>
      <c r="X38" s="480" t="s">
        <v>452</v>
      </c>
      <c r="Z38" s="490"/>
      <c r="AB38" s="478" t="s">
        <v>1272</v>
      </c>
      <c r="AC38" s="404"/>
      <c r="AE38" s="7" t="s">
        <v>1014</v>
      </c>
      <c r="AF38" s="443">
        <v>33.097173921277964</v>
      </c>
      <c r="AG38" s="438">
        <v>1.55</v>
      </c>
      <c r="AH38" s="438">
        <v>31.547173921277963</v>
      </c>
      <c r="AI38" s="438">
        <v>1.9401791609025012</v>
      </c>
      <c r="AJ38" s="437"/>
      <c r="AK38" s="443">
        <v>6.9618193420619159</v>
      </c>
      <c r="AL38" s="438">
        <v>3.7662301358695611</v>
      </c>
      <c r="AM38" s="441"/>
      <c r="AN38" s="438">
        <v>3.1955892061923548</v>
      </c>
      <c r="AO38" s="438" t="s">
        <v>452</v>
      </c>
      <c r="AP38" s="331"/>
      <c r="AQ38" s="331"/>
      <c r="AR38" s="443">
        <v>17.5</v>
      </c>
      <c r="AS38" s="438">
        <v>0.8</v>
      </c>
      <c r="AT38" s="438">
        <v>16.7</v>
      </c>
      <c r="AU38" s="438">
        <v>1.0251462340951576</v>
      </c>
      <c r="AV38" s="437"/>
      <c r="AW38" s="443">
        <v>3.6884761502743775</v>
      </c>
      <c r="AX38" s="438">
        <v>2</v>
      </c>
      <c r="AY38" s="441"/>
      <c r="AZ38" s="438">
        <v>1.6884761502743773</v>
      </c>
      <c r="BA38" s="438" t="s">
        <v>452</v>
      </c>
    </row>
    <row r="39" spans="1:53">
      <c r="A39" s="7" t="s">
        <v>39</v>
      </c>
      <c r="B39" s="7" t="s">
        <v>39</v>
      </c>
      <c r="C39" s="488">
        <v>55.6</v>
      </c>
      <c r="D39" s="480">
        <v>4.5</v>
      </c>
      <c r="E39" s="480">
        <v>51.2</v>
      </c>
      <c r="F39" s="480" t="s">
        <v>452</v>
      </c>
      <c r="G39" s="482"/>
      <c r="H39" s="481">
        <v>11</v>
      </c>
      <c r="I39" s="480" t="s">
        <v>452</v>
      </c>
      <c r="J39" s="483"/>
      <c r="K39" s="480">
        <v>11</v>
      </c>
      <c r="L39" s="480" t="s">
        <v>452</v>
      </c>
      <c r="M39"/>
      <c r="N39"/>
      <c r="O39" s="481">
        <v>16</v>
      </c>
      <c r="P39" s="480">
        <v>1.3</v>
      </c>
      <c r="Q39" s="480">
        <v>14.7</v>
      </c>
      <c r="R39" s="480" t="s">
        <v>452</v>
      </c>
      <c r="S39" s="482"/>
      <c r="T39" s="481">
        <v>3.2</v>
      </c>
      <c r="U39" s="480" t="s">
        <v>452</v>
      </c>
      <c r="V39" s="483"/>
      <c r="W39" s="480">
        <v>3.2</v>
      </c>
      <c r="X39" s="480" t="s">
        <v>452</v>
      </c>
      <c r="Z39" s="490"/>
      <c r="AA39" t="s">
        <v>1267</v>
      </c>
      <c r="AC39" s="404"/>
      <c r="AE39" s="7" t="s">
        <v>39</v>
      </c>
      <c r="AF39" s="443">
        <v>55.6</v>
      </c>
      <c r="AG39" s="438">
        <v>4.5</v>
      </c>
      <c r="AH39" s="438">
        <v>51.2</v>
      </c>
      <c r="AI39" s="438" t="s">
        <v>452</v>
      </c>
      <c r="AJ39" s="437"/>
      <c r="AK39" s="443">
        <v>11</v>
      </c>
      <c r="AL39" s="438" t="s">
        <v>452</v>
      </c>
      <c r="AM39" s="441"/>
      <c r="AN39" s="438">
        <v>11</v>
      </c>
      <c r="AO39" s="438" t="s">
        <v>452</v>
      </c>
      <c r="AP39" s="331"/>
      <c r="AQ39" s="331"/>
      <c r="AR39" s="443">
        <v>16</v>
      </c>
      <c r="AS39" s="438">
        <v>1.3</v>
      </c>
      <c r="AT39" s="438">
        <v>14.7</v>
      </c>
      <c r="AU39" s="438" t="s">
        <v>452</v>
      </c>
      <c r="AV39" s="437"/>
      <c r="AW39" s="443">
        <v>3.2</v>
      </c>
      <c r="AX39" s="438" t="s">
        <v>452</v>
      </c>
      <c r="AY39" s="441"/>
      <c r="AZ39" s="438">
        <v>3.2</v>
      </c>
      <c r="BA39" s="438" t="s">
        <v>452</v>
      </c>
    </row>
    <row r="40" spans="1:53">
      <c r="A40" s="7" t="s">
        <v>1015</v>
      </c>
      <c r="B40" s="7" t="s">
        <v>1015</v>
      </c>
      <c r="C40" s="488">
        <v>2.2042255736459442</v>
      </c>
      <c r="D40" s="480">
        <v>0.12491350018021706</v>
      </c>
      <c r="E40" s="480">
        <v>2.0793120734657271</v>
      </c>
      <c r="F40" s="480">
        <v>7.5320270858253366E-2</v>
      </c>
      <c r="G40" s="482"/>
      <c r="H40" s="481">
        <v>0.23482202091102522</v>
      </c>
      <c r="I40" s="480" t="s">
        <v>452</v>
      </c>
      <c r="J40" s="483"/>
      <c r="K40" s="480">
        <v>0.23482202091102522</v>
      </c>
      <c r="L40" s="480" t="s">
        <v>452</v>
      </c>
      <c r="M40"/>
      <c r="N40"/>
      <c r="O40" s="481">
        <v>10.149267331701516</v>
      </c>
      <c r="P40" s="480">
        <v>0.57515914969200288</v>
      </c>
      <c r="Q40" s="480">
        <v>9.574108182009514</v>
      </c>
      <c r="R40" s="480">
        <v>0.34680913495261462</v>
      </c>
      <c r="S40" s="482"/>
      <c r="T40" s="481">
        <v>1.0812284795581515</v>
      </c>
      <c r="U40" s="480" t="s">
        <v>452</v>
      </c>
      <c r="V40" s="483"/>
      <c r="W40" s="480">
        <v>1.0812284795581515</v>
      </c>
      <c r="X40" s="480" t="s">
        <v>452</v>
      </c>
      <c r="Z40" s="490"/>
      <c r="AB40" t="s">
        <v>1269</v>
      </c>
      <c r="AC40" s="404"/>
      <c r="AE40" s="7" t="s">
        <v>1015</v>
      </c>
      <c r="AF40" s="443">
        <v>2.2042255736459442</v>
      </c>
      <c r="AG40" s="438">
        <v>0.12491350018021706</v>
      </c>
      <c r="AH40" s="438">
        <v>2.0793120734657271</v>
      </c>
      <c r="AI40" s="438">
        <v>7.5320270858253366E-2</v>
      </c>
      <c r="AJ40" s="437"/>
      <c r="AK40" s="443">
        <v>0.23482202091102522</v>
      </c>
      <c r="AL40" s="438" t="s">
        <v>452</v>
      </c>
      <c r="AM40" s="441"/>
      <c r="AN40" s="438">
        <v>0.23482202091102522</v>
      </c>
      <c r="AO40" s="438" t="s">
        <v>452</v>
      </c>
      <c r="AP40" s="331"/>
      <c r="AQ40" s="331"/>
      <c r="AR40" s="443">
        <v>10.149267331701516</v>
      </c>
      <c r="AS40" s="438">
        <v>0.57515914969200288</v>
      </c>
      <c r="AT40" s="438">
        <v>9.574108182009514</v>
      </c>
      <c r="AU40" s="438">
        <v>0.34680913495261462</v>
      </c>
      <c r="AV40" s="437"/>
      <c r="AW40" s="443">
        <v>1.0812284795581515</v>
      </c>
      <c r="AX40" s="438" t="s">
        <v>452</v>
      </c>
      <c r="AY40" s="441"/>
      <c r="AZ40" s="438">
        <v>1.0812284795581515</v>
      </c>
      <c r="BA40" s="438" t="s">
        <v>452</v>
      </c>
    </row>
    <row r="41" spans="1:53">
      <c r="A41" s="7" t="s">
        <v>1016</v>
      </c>
      <c r="B41" s="7" t="s">
        <v>1016</v>
      </c>
      <c r="C41" s="488">
        <v>49.143596863801008</v>
      </c>
      <c r="D41" s="480">
        <v>5.1357683670948564</v>
      </c>
      <c r="E41" s="480">
        <v>44.007828496706153</v>
      </c>
      <c r="F41" s="480">
        <v>3.309717392127796</v>
      </c>
      <c r="G41" s="482"/>
      <c r="H41" s="481">
        <v>11.412818593544126</v>
      </c>
      <c r="I41" s="480">
        <v>5.7064092967720628</v>
      </c>
      <c r="J41" s="483"/>
      <c r="K41" s="480">
        <v>5.7064092967720628</v>
      </c>
      <c r="L41" s="480" t="s">
        <v>452</v>
      </c>
      <c r="M41"/>
      <c r="N41"/>
      <c r="O41" s="481">
        <v>11.548291759304206</v>
      </c>
      <c r="P41" s="480">
        <v>1.2068581727094501</v>
      </c>
      <c r="Q41" s="480">
        <v>10.341433586594755</v>
      </c>
      <c r="R41" s="480">
        <v>0.77775304463497896</v>
      </c>
      <c r="S41" s="482"/>
      <c r="T41" s="481">
        <v>2.6819070504654445</v>
      </c>
      <c r="U41" s="480">
        <v>1.3409535252327223</v>
      </c>
      <c r="V41" s="483"/>
      <c r="W41" s="480">
        <v>1.3409535252327223</v>
      </c>
      <c r="X41" s="480" t="s">
        <v>452</v>
      </c>
      <c r="Z41" s="490"/>
      <c r="AA41" t="s">
        <v>1267</v>
      </c>
      <c r="AC41" s="404"/>
      <c r="AE41" s="7" t="s">
        <v>1016</v>
      </c>
      <c r="AF41" s="443">
        <v>49.143596863801008</v>
      </c>
      <c r="AG41" s="438">
        <v>5.1357683670948564</v>
      </c>
      <c r="AH41" s="438">
        <v>44.007828496706153</v>
      </c>
      <c r="AI41" s="438">
        <v>3.309717392127796</v>
      </c>
      <c r="AJ41" s="437"/>
      <c r="AK41" s="443">
        <v>11.412818593544126</v>
      </c>
      <c r="AL41" s="438">
        <v>5.7064092967720628</v>
      </c>
      <c r="AM41" s="441"/>
      <c r="AN41" s="438">
        <v>5.7064092967720628</v>
      </c>
      <c r="AO41" s="438" t="s">
        <v>452</v>
      </c>
      <c r="AP41" s="331"/>
      <c r="AQ41" s="331"/>
      <c r="AR41" s="443">
        <v>11.548291759304206</v>
      </c>
      <c r="AS41" s="438">
        <v>1.2068581727094501</v>
      </c>
      <c r="AT41" s="438">
        <v>10.341433586594755</v>
      </c>
      <c r="AU41" s="438">
        <v>0.77775304463497896</v>
      </c>
      <c r="AV41" s="437"/>
      <c r="AW41" s="443">
        <v>2.6819070504654445</v>
      </c>
      <c r="AX41" s="438">
        <v>1.3409535252327223</v>
      </c>
      <c r="AY41" s="441"/>
      <c r="AZ41" s="438">
        <v>1.3409535252327223</v>
      </c>
      <c r="BA41" s="438" t="s">
        <v>452</v>
      </c>
    </row>
    <row r="42" spans="1:53">
      <c r="A42" s="7" t="s">
        <v>1017</v>
      </c>
      <c r="B42" s="7" t="s">
        <v>1017</v>
      </c>
      <c r="C42" s="488">
        <v>42.9</v>
      </c>
      <c r="D42" s="480">
        <v>9.4</v>
      </c>
      <c r="E42" s="480">
        <v>33.5</v>
      </c>
      <c r="F42" s="480">
        <v>2.1</v>
      </c>
      <c r="G42" s="482"/>
      <c r="H42" s="481">
        <v>15.3</v>
      </c>
      <c r="I42" s="480">
        <v>2</v>
      </c>
      <c r="J42" s="483"/>
      <c r="K42" s="480">
        <v>13.3</v>
      </c>
      <c r="L42" s="480" t="s">
        <v>452</v>
      </c>
      <c r="M42"/>
      <c r="N42"/>
      <c r="O42" s="481">
        <v>10.3</v>
      </c>
      <c r="P42" s="480">
        <v>2.2000000000000002</v>
      </c>
      <c r="Q42" s="480">
        <v>8.1000000000000014</v>
      </c>
      <c r="R42" s="480">
        <v>0.5</v>
      </c>
      <c r="S42" s="482"/>
      <c r="T42" s="481">
        <v>3.7</v>
      </c>
      <c r="U42" s="480">
        <v>0.5</v>
      </c>
      <c r="V42" s="483"/>
      <c r="W42" s="480">
        <v>3.2</v>
      </c>
      <c r="X42" s="480" t="s">
        <v>452</v>
      </c>
      <c r="Z42" s="490"/>
      <c r="AA42" t="s">
        <v>1267</v>
      </c>
      <c r="AC42" s="404"/>
      <c r="AE42" s="7" t="s">
        <v>1017</v>
      </c>
      <c r="AF42" s="443">
        <v>42.9</v>
      </c>
      <c r="AG42" s="438">
        <v>9.4</v>
      </c>
      <c r="AH42" s="438">
        <v>33.5</v>
      </c>
      <c r="AI42" s="438">
        <v>2.1</v>
      </c>
      <c r="AJ42" s="437"/>
      <c r="AK42" s="443">
        <v>15.3</v>
      </c>
      <c r="AL42" s="438">
        <v>2</v>
      </c>
      <c r="AM42" s="441"/>
      <c r="AN42" s="438">
        <v>13.3</v>
      </c>
      <c r="AO42" s="438" t="s">
        <v>452</v>
      </c>
      <c r="AP42" s="331"/>
      <c r="AQ42" s="331"/>
      <c r="AR42" s="443">
        <v>10.3</v>
      </c>
      <c r="AS42" s="438">
        <v>2.2000000000000002</v>
      </c>
      <c r="AT42" s="438">
        <v>8.1000000000000014</v>
      </c>
      <c r="AU42" s="438">
        <v>0.5</v>
      </c>
      <c r="AV42" s="437"/>
      <c r="AW42" s="443">
        <v>3.7</v>
      </c>
      <c r="AX42" s="438">
        <v>0.5</v>
      </c>
      <c r="AY42" s="441"/>
      <c r="AZ42" s="438">
        <v>3.2</v>
      </c>
      <c r="BA42" s="438" t="s">
        <v>452</v>
      </c>
    </row>
    <row r="43" spans="1:53">
      <c r="A43" s="294" t="s">
        <v>1018</v>
      </c>
      <c r="B43" s="294" t="s">
        <v>1018</v>
      </c>
      <c r="C43" s="488">
        <v>3.5487068625075562</v>
      </c>
      <c r="D43" s="480">
        <v>0.67911263411214207</v>
      </c>
      <c r="E43" s="480">
        <v>2.8695942283954139</v>
      </c>
      <c r="F43" s="480" t="s">
        <v>452</v>
      </c>
      <c r="G43" s="482"/>
      <c r="H43" s="481">
        <v>0.66956733254859557</v>
      </c>
      <c r="I43" s="480">
        <v>0.26782693301943822</v>
      </c>
      <c r="J43" s="483"/>
      <c r="K43" s="480">
        <v>0.4017403995291573</v>
      </c>
      <c r="L43" s="480">
        <v>0</v>
      </c>
      <c r="M43"/>
      <c r="N43"/>
      <c r="O43" s="481">
        <v>10.6</v>
      </c>
      <c r="P43" s="480">
        <v>2.028511849666303</v>
      </c>
      <c r="Q43" s="480">
        <v>8.5714881503336962</v>
      </c>
      <c r="R43" s="480">
        <v>0</v>
      </c>
      <c r="S43" s="482"/>
      <c r="T43" s="481">
        <v>1.9</v>
      </c>
      <c r="U43" s="480">
        <v>0.7</v>
      </c>
      <c r="V43" s="483"/>
      <c r="W43" s="480">
        <v>1.2</v>
      </c>
      <c r="X43" s="480">
        <v>0</v>
      </c>
      <c r="Z43" s="490"/>
      <c r="AB43" s="478" t="s">
        <v>1292</v>
      </c>
      <c r="AC43" s="294"/>
      <c r="AE43" s="294" t="s">
        <v>1018</v>
      </c>
      <c r="AF43" s="443">
        <v>3.5487068625075562</v>
      </c>
      <c r="AG43" s="438">
        <v>0.67911263411214207</v>
      </c>
      <c r="AH43" s="438">
        <v>2.8695942283954139</v>
      </c>
      <c r="AI43" s="438" t="s">
        <v>452</v>
      </c>
      <c r="AJ43" s="437"/>
      <c r="AK43" s="443">
        <v>0.66956733254859557</v>
      </c>
      <c r="AL43" s="438">
        <v>0.26782693301943822</v>
      </c>
      <c r="AM43" s="441"/>
      <c r="AN43" s="438">
        <v>0.4017403995291573</v>
      </c>
      <c r="AO43" s="438">
        <v>0</v>
      </c>
      <c r="AP43" s="331"/>
      <c r="AQ43" s="331"/>
      <c r="AR43" s="443">
        <v>10.6</v>
      </c>
      <c r="AS43" s="438">
        <v>2.028511849666303</v>
      </c>
      <c r="AT43" s="438">
        <v>8.5714881503336962</v>
      </c>
      <c r="AU43" s="438">
        <v>0</v>
      </c>
      <c r="AV43" s="437"/>
      <c r="AW43" s="443">
        <v>2</v>
      </c>
      <c r="AX43" s="438">
        <v>0.8</v>
      </c>
      <c r="AY43" s="441"/>
      <c r="AZ43" s="438">
        <v>1.2</v>
      </c>
      <c r="BA43" s="438">
        <v>0</v>
      </c>
    </row>
    <row r="44" spans="1:53">
      <c r="A44" s="7" t="s">
        <v>1019</v>
      </c>
      <c r="B44" s="7" t="s">
        <v>1019</v>
      </c>
      <c r="C44" s="488">
        <v>4.4000000000000004</v>
      </c>
      <c r="D44" s="480">
        <v>1.1000000000000001</v>
      </c>
      <c r="E44" s="480">
        <v>3.3000000000000003</v>
      </c>
      <c r="F44" s="480">
        <v>1.6</v>
      </c>
      <c r="G44" s="482"/>
      <c r="H44" s="481">
        <v>1.5749689659090893</v>
      </c>
      <c r="I44" s="480">
        <v>0.43368710655467674</v>
      </c>
      <c r="J44" s="483"/>
      <c r="K44" s="480">
        <v>1.1412818593544125</v>
      </c>
      <c r="L44" s="480" t="s">
        <v>452</v>
      </c>
      <c r="M44"/>
      <c r="N44"/>
      <c r="O44" s="481">
        <v>7.9</v>
      </c>
      <c r="P44" s="480">
        <v>1.9572000000000001</v>
      </c>
      <c r="Q44" s="480">
        <v>5.9428000000000001</v>
      </c>
      <c r="R44" s="480">
        <v>2.8794</v>
      </c>
      <c r="S44" s="482"/>
      <c r="T44" s="481">
        <v>2.8203729023476543</v>
      </c>
      <c r="U44" s="480">
        <v>0.77662442238558593</v>
      </c>
      <c r="V44" s="483"/>
      <c r="W44" s="480">
        <v>2.0437484799620682</v>
      </c>
      <c r="X44" s="480" t="s">
        <v>452</v>
      </c>
      <c r="Z44" s="490"/>
      <c r="AA44" t="s">
        <v>1267</v>
      </c>
      <c r="AC44" s="404"/>
      <c r="AE44" s="7" t="s">
        <v>1019</v>
      </c>
      <c r="AF44" s="443">
        <v>4.4000000000000004</v>
      </c>
      <c r="AG44" s="438">
        <v>1.1000000000000001</v>
      </c>
      <c r="AH44" s="438">
        <v>3.3000000000000003</v>
      </c>
      <c r="AI44" s="438">
        <v>1.6</v>
      </c>
      <c r="AJ44" s="437"/>
      <c r="AK44" s="443">
        <v>1.5749689659090893</v>
      </c>
      <c r="AL44" s="438">
        <v>0.43368710655467674</v>
      </c>
      <c r="AM44" s="441"/>
      <c r="AN44" s="438">
        <v>1.1412818593544125</v>
      </c>
      <c r="AO44" s="438" t="s">
        <v>452</v>
      </c>
      <c r="AP44" s="331"/>
      <c r="AQ44" s="331"/>
      <c r="AR44" s="443">
        <v>7.9</v>
      </c>
      <c r="AS44" s="438">
        <v>1.9572000000000001</v>
      </c>
      <c r="AT44" s="438">
        <v>5.9428000000000001</v>
      </c>
      <c r="AU44" s="438">
        <v>2.8794</v>
      </c>
      <c r="AV44" s="437"/>
      <c r="AW44" s="443">
        <v>2.8203729023476543</v>
      </c>
      <c r="AX44" s="438">
        <v>0.77662442238558593</v>
      </c>
      <c r="AY44" s="441"/>
      <c r="AZ44" s="438">
        <v>2.0437484799620682</v>
      </c>
      <c r="BA44" s="438" t="s">
        <v>452</v>
      </c>
    </row>
    <row r="45" spans="1:53">
      <c r="A45" s="7" t="s">
        <v>1020</v>
      </c>
      <c r="B45" s="7" t="s">
        <v>1020</v>
      </c>
      <c r="C45" s="488">
        <v>3.0814610202569139</v>
      </c>
      <c r="D45" s="480">
        <v>0.34238455780632376</v>
      </c>
      <c r="E45" s="480">
        <v>2.7390764624505901</v>
      </c>
      <c r="F45" s="480">
        <v>5.2384837344367536</v>
      </c>
      <c r="G45" s="482"/>
      <c r="H45" s="481">
        <v>4.3254582469532235</v>
      </c>
      <c r="I45" s="480">
        <v>0.45651274374176504</v>
      </c>
      <c r="J45" s="483"/>
      <c r="K45" s="480">
        <v>2.8532046483860314</v>
      </c>
      <c r="L45" s="480">
        <v>1.0157408548254272</v>
      </c>
      <c r="M45"/>
      <c r="N45"/>
      <c r="O45" s="481">
        <v>4.2093447453346426</v>
      </c>
      <c r="P45" s="480">
        <v>0.46770497170384917</v>
      </c>
      <c r="Q45" s="480">
        <v>3.7416397736307934</v>
      </c>
      <c r="R45" s="480">
        <v>7.1558860670688924</v>
      </c>
      <c r="S45" s="482"/>
      <c r="T45" s="481">
        <v>5.9086728091919616</v>
      </c>
      <c r="U45" s="480">
        <v>0.62360662893846563</v>
      </c>
      <c r="V45" s="483"/>
      <c r="W45" s="480">
        <v>3.8975414308654104</v>
      </c>
      <c r="X45" s="480">
        <v>1.387524749388086</v>
      </c>
      <c r="Z45" s="490"/>
      <c r="AA45" t="s">
        <v>1267</v>
      </c>
      <c r="AC45" s="404"/>
      <c r="AE45" s="7" t="s">
        <v>1020</v>
      </c>
      <c r="AF45" s="443">
        <v>3.0814610202569139</v>
      </c>
      <c r="AG45" s="438">
        <v>0.34238455780632376</v>
      </c>
      <c r="AH45" s="438">
        <v>2.7390764624505901</v>
      </c>
      <c r="AI45" s="438">
        <v>5.2384837344367536</v>
      </c>
      <c r="AJ45" s="437"/>
      <c r="AK45" s="443">
        <v>4.3254582469532235</v>
      </c>
      <c r="AL45" s="438">
        <v>0.45651274374176504</v>
      </c>
      <c r="AM45" s="441"/>
      <c r="AN45" s="438">
        <v>2.8532046483860314</v>
      </c>
      <c r="AO45" s="438">
        <v>1.0157408548254272</v>
      </c>
      <c r="AP45" s="331"/>
      <c r="AQ45" s="331"/>
      <c r="AR45" s="443">
        <v>4.2093447453346426</v>
      </c>
      <c r="AS45" s="438">
        <v>0.46770497170384917</v>
      </c>
      <c r="AT45" s="438">
        <v>3.7416397736307934</v>
      </c>
      <c r="AU45" s="438">
        <v>7.1558860670688924</v>
      </c>
      <c r="AV45" s="437"/>
      <c r="AW45" s="443">
        <v>5.9086728091919616</v>
      </c>
      <c r="AX45" s="438">
        <v>0.62360662893846563</v>
      </c>
      <c r="AY45" s="441"/>
      <c r="AZ45" s="438">
        <v>3.8975414308654104</v>
      </c>
      <c r="BA45" s="438">
        <v>1.387524749388086</v>
      </c>
    </row>
    <row r="46" spans="1:53">
      <c r="A46" s="7" t="s">
        <v>1021</v>
      </c>
      <c r="B46" s="7" t="s">
        <v>1021</v>
      </c>
      <c r="C46" s="488">
        <v>11.052610415145159</v>
      </c>
      <c r="D46" s="480">
        <v>0.10264032322105357</v>
      </c>
      <c r="E46" s="480">
        <v>10.949970091924106</v>
      </c>
      <c r="F46" s="480" t="s">
        <v>452</v>
      </c>
      <c r="G46" s="482"/>
      <c r="H46" s="481" t="s">
        <v>452</v>
      </c>
      <c r="I46" s="480" t="s">
        <v>452</v>
      </c>
      <c r="J46" s="483"/>
      <c r="K46" s="480" t="s">
        <v>452</v>
      </c>
      <c r="L46" s="480" t="s">
        <v>452</v>
      </c>
      <c r="M46"/>
      <c r="N46"/>
      <c r="O46" s="481">
        <v>45.422278006975382</v>
      </c>
      <c r="P46" s="480">
        <v>0.42181503924937497</v>
      </c>
      <c r="Q46" s="480">
        <v>45.000462967726008</v>
      </c>
      <c r="R46" s="480" t="s">
        <v>452</v>
      </c>
      <c r="S46" s="482"/>
      <c r="T46" s="481" t="s">
        <v>452</v>
      </c>
      <c r="U46" s="480" t="s">
        <v>452</v>
      </c>
      <c r="V46" s="483"/>
      <c r="W46" s="480" t="s">
        <v>452</v>
      </c>
      <c r="X46" s="480" t="s">
        <v>452</v>
      </c>
      <c r="Z46" s="490"/>
      <c r="AA46" t="s">
        <v>1267</v>
      </c>
      <c r="AC46" s="404"/>
      <c r="AE46" s="7" t="s">
        <v>1021</v>
      </c>
      <c r="AF46" s="443">
        <v>11.052610415145159</v>
      </c>
      <c r="AG46" s="438">
        <v>0.10264032322105357</v>
      </c>
      <c r="AH46" s="438">
        <v>10.949970091924106</v>
      </c>
      <c r="AI46" s="438" t="s">
        <v>452</v>
      </c>
      <c r="AJ46" s="437"/>
      <c r="AK46" s="443" t="s">
        <v>452</v>
      </c>
      <c r="AL46" s="438" t="s">
        <v>452</v>
      </c>
      <c r="AM46" s="441"/>
      <c r="AN46" s="438" t="s">
        <v>452</v>
      </c>
      <c r="AO46" s="438" t="s">
        <v>452</v>
      </c>
      <c r="AP46" s="331"/>
      <c r="AQ46" s="331"/>
      <c r="AR46" s="443">
        <v>45.422278006975382</v>
      </c>
      <c r="AS46" s="438">
        <v>0.42181503924937497</v>
      </c>
      <c r="AT46" s="438">
        <v>45.000462967726008</v>
      </c>
      <c r="AU46" s="438" t="s">
        <v>452</v>
      </c>
      <c r="AV46" s="437"/>
      <c r="AW46" s="443" t="s">
        <v>452</v>
      </c>
      <c r="AX46" s="438" t="s">
        <v>452</v>
      </c>
      <c r="AY46" s="441"/>
      <c r="AZ46" s="438" t="s">
        <v>452</v>
      </c>
      <c r="BA46" s="438" t="s">
        <v>452</v>
      </c>
    </row>
    <row r="47" spans="1:53" ht="13" customHeight="1">
      <c r="A47" s="7" t="s">
        <v>1022</v>
      </c>
      <c r="B47" s="7" t="s">
        <v>1022</v>
      </c>
      <c r="C47" s="488">
        <v>1.8</v>
      </c>
      <c r="D47" s="480">
        <v>0.2</v>
      </c>
      <c r="E47" s="480">
        <v>1.6</v>
      </c>
      <c r="F47" s="480">
        <v>0.1</v>
      </c>
      <c r="G47" s="482"/>
      <c r="H47" s="481">
        <v>0.89022342533885679</v>
      </c>
      <c r="I47" s="480" t="s">
        <v>452</v>
      </c>
      <c r="J47" s="483"/>
      <c r="K47" s="480">
        <v>0.89022342533885679</v>
      </c>
      <c r="L47" s="480" t="s">
        <v>452</v>
      </c>
      <c r="M47"/>
      <c r="N47"/>
      <c r="O47" s="481">
        <v>10.7</v>
      </c>
      <c r="P47" s="480">
        <v>1</v>
      </c>
      <c r="Q47" s="480">
        <v>9.6999999999999993</v>
      </c>
      <c r="R47" s="480">
        <v>0.9</v>
      </c>
      <c r="S47" s="482"/>
      <c r="T47" s="481">
        <v>6</v>
      </c>
      <c r="U47" s="480" t="s">
        <v>452</v>
      </c>
      <c r="V47" s="483"/>
      <c r="W47" s="480">
        <v>6</v>
      </c>
      <c r="X47" s="480" t="s">
        <v>452</v>
      </c>
      <c r="Z47" s="490"/>
      <c r="AA47" t="s">
        <v>1267</v>
      </c>
      <c r="AC47" s="404"/>
      <c r="AE47" s="7" t="s">
        <v>1022</v>
      </c>
      <c r="AF47" s="443">
        <v>1.8</v>
      </c>
      <c r="AG47" s="438">
        <v>0.2</v>
      </c>
      <c r="AH47" s="438">
        <v>1.6</v>
      </c>
      <c r="AI47" s="438">
        <v>0.1</v>
      </c>
      <c r="AJ47" s="437"/>
      <c r="AK47" s="443">
        <v>0.89022342533885679</v>
      </c>
      <c r="AL47" s="438" t="s">
        <v>452</v>
      </c>
      <c r="AM47" s="441"/>
      <c r="AN47" s="438">
        <v>0.89022342533885679</v>
      </c>
      <c r="AO47" s="438" t="s">
        <v>452</v>
      </c>
      <c r="AP47" s="331"/>
      <c r="AQ47" s="331"/>
      <c r="AR47" s="443">
        <v>10.7</v>
      </c>
      <c r="AS47" s="438">
        <v>1</v>
      </c>
      <c r="AT47" s="438">
        <v>9.6999999999999993</v>
      </c>
      <c r="AU47" s="438">
        <v>0.9</v>
      </c>
      <c r="AV47" s="437"/>
      <c r="AW47" s="443">
        <v>6</v>
      </c>
      <c r="AX47" s="438" t="s">
        <v>452</v>
      </c>
      <c r="AY47" s="441"/>
      <c r="AZ47" s="438">
        <v>6</v>
      </c>
      <c r="BA47" s="438" t="s">
        <v>452</v>
      </c>
    </row>
    <row r="48" spans="1:53">
      <c r="A48" s="7" t="s">
        <v>184</v>
      </c>
      <c r="B48" s="7" t="s">
        <v>184</v>
      </c>
      <c r="C48" s="488" t="str">
        <f>IF(ISNUMBER(INDEX('Database.Jan 12 to SEC'!$G$6:$G$191, MATCH($A48&amp;"USD bn", 'Database.Jan 12 to SEC'!$AD$6:$AD$191, 0))), INDEX('Database.Jan 12 to SEC'!$G$6:$G$191, MATCH($A48&amp;"USD bn", 'Database.Jan 12 to SEC'!$AD$6:$AD$191, 0)), "")</f>
        <v/>
      </c>
      <c r="D48" s="480" t="str">
        <f>IF(ISNUMBER(INDEX('Database.Jan 12 to SEC'!$H$6:$H$191, MATCH($A48&amp;"USD bn", 'Database.Jan 12 to SEC'!$AD$6:$AD$191, 0))), INDEX('Database.Jan 12 to SEC'!$H$6:$H$191, MATCH($A48&amp;"USD bn", 'Database.Jan 12 to SEC'!$AD$6:$AD$191, 0)), "")</f>
        <v/>
      </c>
      <c r="E48" s="480" t="str">
        <f>IF(ISNUMBER(INDEX('Database.Jan 12 to SEC'!$J$6:$J$191, MATCH($A48&amp;"USD bn", 'Database.Jan 12 to SEC'!$AD$6:$AD$191, 0))), INDEX('Database.Jan 12 to SEC'!$J$6:$J$191, MATCH($A48&amp;"USD bn", 'Database.Jan 12 to SEC'!$AD$6:$AD$191, 0)), "")</f>
        <v/>
      </c>
      <c r="F48" s="480" t="str">
        <f>IF(ISNUMBER(INDEX('Database.Jan 12 to SEC'!$L$6:$L$191, MATCH($A48&amp;"USD bn", 'Database.Jan 12 to SEC'!$AD$6:$AD$191, 0))), INDEX('Database.Jan 12 to SEC'!$L$6:$L$191, MATCH($A48&amp;"USD bn", 'Database.Jan 12 to SEC'!$AD$6:$AD$191, 0)), "")</f>
        <v/>
      </c>
      <c r="G48" s="482"/>
      <c r="H48" s="481" t="str">
        <f>IF(ISNUMBER(INDEX('Database.Jan 12 to SEC'!$P$6:$P$191, MATCH($A48&amp;"USD bn", 'Database.Jan 12 to SEC'!$AD$6:$AD$191, 0))), INDEX('Database.Jan 12 to SEC'!$P$6:$P$191, MATCH($A48&amp;"USD bn", 'Database.Jan 12 to SEC'!$AD$6:$AD$191, 0)), "")</f>
        <v/>
      </c>
      <c r="I48" s="480" t="str">
        <f>IF(ISNUMBER(INDEX('Database.Jan 12 to SEC'!$Q$6:$Q$191, MATCH($A48&amp;"USD bn", 'Database.Jan 12 to SEC'!$AD$6:$AD$191, 0))), INDEX('Database.Jan 12 to SEC'!$Q$6:$Q$191, MATCH($A48&amp;"USD bn", 'Database.Jan 12 to SEC'!$AD$6:$AD$191, 0)), "")</f>
        <v/>
      </c>
      <c r="J48" s="483"/>
      <c r="K48" s="480" t="str">
        <f>IF(ISNUMBER(INDEX('Database.Jan 12 to SEC'!$U$6:$U$191, MATCH($A48&amp;"USD bn", 'Database.Jan 12 to SEC'!$AD$6:$AD$191, 0))), INDEX('Database.Jan 12 to SEC'!$U$6:$U$191, MATCH($A48&amp;"USD bn", 'Database.Jan 12 to SEC'!$AD$6:$AD$191, 0)), "")</f>
        <v/>
      </c>
      <c r="L48" s="480" t="str">
        <f>IF(ISNUMBER(INDEX('Database.Jan 12 to SEC'!$W$6:$W$191, MATCH($A48&amp;"USD bn", 'Database.Jan 12 to SEC'!$AD$6:$AD$191, 0))), INDEX('Database.Jan 12 to SEC'!$W$6:$W$191, MATCH($A48&amp;"USD bn", 'Database.Jan 12 to SEC'!$AD$6:$AD$191, 0)), "")</f>
        <v/>
      </c>
      <c r="M48"/>
      <c r="N48"/>
      <c r="O48" s="481" t="str">
        <f>IF(ISNUMBER(INDEX('Database.Jan 12 to SEC'!$G$6:$G$191, MATCH($A48&amp;"% GDP", 'Database.Jan 12 to SEC'!$AD$6:$AD$191, 0))), INDEX('Database.Jan 12 to SEC'!$G$6:$G$191, MATCH($A48&amp;"% GDP", 'Database.Jan 12 to SEC'!$AD$6:$AD$191, 0)), "")</f>
        <v/>
      </c>
      <c r="P48" s="480" t="str">
        <f>IF(ISNUMBER(INDEX('Database.Jan 12 to SEC'!$H$6:$H$191, MATCH($A48&amp;"% GDP", 'Database.Jan 12 to SEC'!$AD$6:$AD$191, 0))), INDEX('Database.Jan 12 to SEC'!$H$6:$H$191, MATCH($A48&amp;"% GDP", 'Database.Jan 12 to SEC'!$AD$6:$AD$191, 0)), "")</f>
        <v/>
      </c>
      <c r="Q48" s="480" t="str">
        <f>IF(ISNUMBER(INDEX('Database.Jan 12 to SEC'!$J$6:$J$191, MATCH($A48&amp;"% GDP", 'Database.Jan 12 to SEC'!$AD$6:$AD$191, 0))), INDEX('Database.Jan 12 to SEC'!$J$6:$J$191, MATCH($A48&amp;"% GDP", 'Database.Jan 12 to SEC'!$AD$6:$AD$191, 0)), "")</f>
        <v/>
      </c>
      <c r="R48" s="480" t="str">
        <f>IF(ISNUMBER(INDEX('Database.Jan 12 to SEC'!$L$6:$L$191, MATCH($A48&amp;"% GDP", 'Database.Jan 12 to SEC'!$AD$6:$AD$191, 0))), INDEX('Database.Jan 12 to SEC'!$L$6:$L$191, MATCH($A48&amp;"% GDP", 'Database.Jan 12 to SEC'!$AD$6:$AD$191, 0)), "")</f>
        <v/>
      </c>
      <c r="S48" s="482"/>
      <c r="T48" s="481" t="str">
        <f>IF(ISNUMBER(INDEX('Database.Jan 12 to SEC'!$P$6:$P$191, MATCH($A48&amp;"% GDP", 'Database.Jan 12 to SEC'!$AD$6:$AD$191, 0))), INDEX('Database.Jan 12 to SEC'!$P$6:$P$191, MATCH($A48&amp;"% GDP", 'Database.Jan 12 to SEC'!$AD$6:$AD$191, 0)), "")</f>
        <v/>
      </c>
      <c r="U48" s="480" t="str">
        <f>IF(ISNUMBER(INDEX('Database.Jan 12 to SEC'!$Q$6:$Q$191, MATCH($A48&amp;"% GDP", 'Database.Jan 12 to SEC'!$AD$6:$AD$191, 0))), INDEX('Database.Jan 12 to SEC'!$Q$6:$Q$191, MATCH($A48&amp;"% GDP", 'Database.Jan 12 to SEC'!$AD$6:$AD$191, 0)), "")</f>
        <v/>
      </c>
      <c r="V48" s="483"/>
      <c r="W48" s="480" t="str">
        <f>IF(ISNUMBER(INDEX('Database.Jan 12 to SEC'!$U$6:$U$191, MATCH($A48&amp;"% GDP", 'Database.Jan 12 to SEC'!$AD$6:$AD$191, 0))), INDEX('Database.Jan 12 to SEC'!$U$6:$U$191, MATCH($A48&amp;"% GDP", 'Database.Jan 12 to SEC'!$AD$6:$AD$191, 0)), "")</f>
        <v/>
      </c>
      <c r="X48" s="480" t="str">
        <f>IF(ISNUMBER(INDEX('Database.Jan 12 to SEC'!$W$6:$W$191, MATCH($A48&amp;"% GDP", 'Database.Jan 12 to SEC'!$AD$6:$AD$191, 0))), INDEX('Database.Jan 12 to SEC'!$W$6:$W$191, MATCH($A48&amp;"% GDP", 'Database.Jan 12 to SEC'!$AD$6:$AD$191, 0)), "")</f>
        <v/>
      </c>
      <c r="Z48" s="490"/>
      <c r="AB48" t="s">
        <v>1269</v>
      </c>
      <c r="AC48" s="294"/>
      <c r="AE48" s="7" t="s">
        <v>184</v>
      </c>
      <c r="AF48" s="443">
        <v>93.92749702486816</v>
      </c>
      <c r="AG48" s="438">
        <v>18.94527886528325</v>
      </c>
      <c r="AH48" s="438">
        <v>74.982218159584903</v>
      </c>
      <c r="AI48" s="438">
        <v>13.124741382575744</v>
      </c>
      <c r="AJ48" s="437"/>
      <c r="AK48" s="443">
        <v>39.716608705533552</v>
      </c>
      <c r="AL48" s="438" t="s">
        <v>452</v>
      </c>
      <c r="AM48" s="441"/>
      <c r="AN48" s="438">
        <v>39.716608705533552</v>
      </c>
      <c r="AO48" s="438" t="s">
        <v>452</v>
      </c>
      <c r="AP48" s="331"/>
      <c r="AQ48" s="331"/>
      <c r="AR48" s="443">
        <v>10.2862785044276</v>
      </c>
      <c r="AS48" s="438">
        <v>2.0747536230072678</v>
      </c>
      <c r="AT48" s="438">
        <v>8.2115248814203312</v>
      </c>
      <c r="AU48" s="438">
        <v>1.4373293171435892</v>
      </c>
      <c r="AV48" s="437"/>
      <c r="AW48" s="443">
        <v>4.3494834988345135</v>
      </c>
      <c r="AX48" s="438" t="s">
        <v>452</v>
      </c>
      <c r="AY48" s="441"/>
      <c r="AZ48" s="438">
        <v>4.3494834988345135</v>
      </c>
      <c r="BA48" s="438" t="s">
        <v>452</v>
      </c>
    </row>
    <row r="49" spans="1:53">
      <c r="A49" s="7" t="s">
        <v>553</v>
      </c>
      <c r="B49" s="7" t="s">
        <v>553</v>
      </c>
      <c r="C49" s="488" t="str">
        <f>IF(ISNUMBER(INDEX('Database.Jan 12 to SEC'!$G$6:$G$191, MATCH($A49&amp;"USD bn", 'Database.Jan 12 to SEC'!$AD$6:$AD$191, 0))), INDEX('Database.Jan 12 to SEC'!$G$6:$G$191, MATCH($A49&amp;"USD bn", 'Database.Jan 12 to SEC'!$AD$6:$AD$191, 0)), "")</f>
        <v/>
      </c>
      <c r="D49" s="480" t="str">
        <f>IF(ISNUMBER(INDEX('Database.Jan 12 to SEC'!$H$6:$H$191, MATCH($A49&amp;"USD bn", 'Database.Jan 12 to SEC'!$AD$6:$AD$191, 0))), INDEX('Database.Jan 12 to SEC'!$H$6:$H$191, MATCH($A49&amp;"USD bn", 'Database.Jan 12 to SEC'!$AD$6:$AD$191, 0)), "")</f>
        <v/>
      </c>
      <c r="E49" s="480" t="str">
        <f>IF(ISNUMBER(INDEX('Database.Jan 12 to SEC'!$J$6:$J$191, MATCH($A49&amp;"USD bn", 'Database.Jan 12 to SEC'!$AD$6:$AD$191, 0))), INDEX('Database.Jan 12 to SEC'!$J$6:$J$191, MATCH($A49&amp;"USD bn", 'Database.Jan 12 to SEC'!$AD$6:$AD$191, 0)), "")</f>
        <v/>
      </c>
      <c r="F49" s="480" t="str">
        <f>IF(ISNUMBER(INDEX('Database.Jan 12 to SEC'!$L$6:$L$191, MATCH($A49&amp;"USD bn", 'Database.Jan 12 to SEC'!$AD$6:$AD$191, 0))), INDEX('Database.Jan 12 to SEC'!$L$6:$L$191, MATCH($A49&amp;"USD bn", 'Database.Jan 12 to SEC'!$AD$6:$AD$191, 0)), "")</f>
        <v/>
      </c>
      <c r="G49" s="482"/>
      <c r="H49" s="481" t="str">
        <f>IF(ISNUMBER(INDEX('Database.Jan 12 to SEC'!$P$6:$P$191, MATCH($A49&amp;"USD bn", 'Database.Jan 12 to SEC'!$AD$6:$AD$191, 0))), INDEX('Database.Jan 12 to SEC'!$P$6:$P$191, MATCH($A49&amp;"USD bn", 'Database.Jan 12 to SEC'!$AD$6:$AD$191, 0)), "")</f>
        <v/>
      </c>
      <c r="I49" s="480" t="str">
        <f>IF(ISNUMBER(INDEX('Database.Jan 12 to SEC'!$Q$6:$Q$191, MATCH($A49&amp;"USD bn", 'Database.Jan 12 to SEC'!$AD$6:$AD$191, 0))), INDEX('Database.Jan 12 to SEC'!$Q$6:$Q$191, MATCH($A49&amp;"USD bn", 'Database.Jan 12 to SEC'!$AD$6:$AD$191, 0)), "")</f>
        <v/>
      </c>
      <c r="J49" s="483"/>
      <c r="K49" s="480" t="str">
        <f>IF(ISNUMBER(INDEX('Database.Jan 12 to SEC'!$U$6:$U$191, MATCH($A49&amp;"USD bn", 'Database.Jan 12 to SEC'!$AD$6:$AD$191, 0))), INDEX('Database.Jan 12 to SEC'!$U$6:$U$191, MATCH($A49&amp;"USD bn", 'Database.Jan 12 to SEC'!$AD$6:$AD$191, 0)), "")</f>
        <v/>
      </c>
      <c r="L49" s="480" t="str">
        <f>IF(ISNUMBER(INDEX('Database.Jan 12 to SEC'!$W$6:$W$191, MATCH($A49&amp;"USD bn", 'Database.Jan 12 to SEC'!$AD$6:$AD$191, 0))), INDEX('Database.Jan 12 to SEC'!$W$6:$W$191, MATCH($A49&amp;"USD bn", 'Database.Jan 12 to SEC'!$AD$6:$AD$191, 0)), "")</f>
        <v/>
      </c>
      <c r="M49"/>
      <c r="N49"/>
      <c r="O49" s="481" t="str">
        <f>IF(ISNUMBER(INDEX('Database.Jan 12 to SEC'!$G$6:$G$191, MATCH($A49&amp;"% GDP", 'Database.Jan 12 to SEC'!$AD$6:$AD$191, 0))), INDEX('Database.Jan 12 to SEC'!$G$6:$G$191, MATCH($A49&amp;"% GDP", 'Database.Jan 12 to SEC'!$AD$6:$AD$191, 0)), "")</f>
        <v/>
      </c>
      <c r="P49" s="480" t="str">
        <f>IF(ISNUMBER(INDEX('Database.Jan 12 to SEC'!$H$6:$H$191, MATCH($A49&amp;"% GDP", 'Database.Jan 12 to SEC'!$AD$6:$AD$191, 0))), INDEX('Database.Jan 12 to SEC'!$H$6:$H$191, MATCH($A49&amp;"% GDP", 'Database.Jan 12 to SEC'!$AD$6:$AD$191, 0)), "")</f>
        <v/>
      </c>
      <c r="Q49" s="480" t="str">
        <f>IF(ISNUMBER(INDEX('Database.Jan 12 to SEC'!$J$6:$J$191, MATCH($A49&amp;"% GDP", 'Database.Jan 12 to SEC'!$AD$6:$AD$191, 0))), INDEX('Database.Jan 12 to SEC'!$J$6:$J$191, MATCH($A49&amp;"% GDP", 'Database.Jan 12 to SEC'!$AD$6:$AD$191, 0)), "")</f>
        <v/>
      </c>
      <c r="R49" s="480" t="str">
        <f>IF(ISNUMBER(INDEX('Database.Jan 12 to SEC'!$L$6:$L$191, MATCH($A49&amp;"% GDP", 'Database.Jan 12 to SEC'!$AD$6:$AD$191, 0))), INDEX('Database.Jan 12 to SEC'!$L$6:$L$191, MATCH($A49&amp;"% GDP", 'Database.Jan 12 to SEC'!$AD$6:$AD$191, 0)), "")</f>
        <v/>
      </c>
      <c r="S49" s="482"/>
      <c r="T49" s="481" t="str">
        <f>IF(ISNUMBER(INDEX('Database.Jan 12 to SEC'!$P$6:$P$191, MATCH($A49&amp;"% GDP", 'Database.Jan 12 to SEC'!$AD$6:$AD$191, 0))), INDEX('Database.Jan 12 to SEC'!$P$6:$P$191, MATCH($A49&amp;"% GDP", 'Database.Jan 12 to SEC'!$AD$6:$AD$191, 0)), "")</f>
        <v/>
      </c>
      <c r="U49" s="480" t="str">
        <f>IF(ISNUMBER(INDEX('Database.Jan 12 to SEC'!$Q$6:$Q$191, MATCH($A49&amp;"% GDP", 'Database.Jan 12 to SEC'!$AD$6:$AD$191, 0))), INDEX('Database.Jan 12 to SEC'!$Q$6:$Q$191, MATCH($A49&amp;"% GDP", 'Database.Jan 12 to SEC'!$AD$6:$AD$191, 0)), "")</f>
        <v/>
      </c>
      <c r="V49" s="483"/>
      <c r="W49" s="480" t="str">
        <f>IF(ISNUMBER(INDEX('Database.Jan 12 to SEC'!$U$6:$U$191, MATCH($A49&amp;"% GDP", 'Database.Jan 12 to SEC'!$AD$6:$AD$191, 0))), INDEX('Database.Jan 12 to SEC'!$U$6:$U$191, MATCH($A49&amp;"% GDP", 'Database.Jan 12 to SEC'!$AD$6:$AD$191, 0)), "")</f>
        <v/>
      </c>
      <c r="X49" s="480" t="str">
        <f>IF(ISNUMBER(INDEX('Database.Jan 12 to SEC'!$W$6:$W$191, MATCH($A49&amp;"% GDP", 'Database.Jan 12 to SEC'!$AD$6:$AD$191, 0))), INDEX('Database.Jan 12 to SEC'!$W$6:$W$191, MATCH($A49&amp;"% GDP", 'Database.Jan 12 to SEC'!$AD$6:$AD$191, 0)), "")</f>
        <v/>
      </c>
      <c r="Z49" s="490"/>
      <c r="AA49" t="s">
        <v>1267</v>
      </c>
      <c r="AC49" s="294"/>
      <c r="AE49" s="7" t="s">
        <v>553</v>
      </c>
      <c r="AF49" s="443">
        <v>40.366333649903929</v>
      </c>
      <c r="AG49" s="438">
        <v>3.3151095268037039</v>
      </c>
      <c r="AH49" s="438">
        <v>37.051224123100226</v>
      </c>
      <c r="AI49" s="438" t="s">
        <v>452</v>
      </c>
      <c r="AJ49" s="437"/>
      <c r="AK49" s="443">
        <v>4.0951352978163404</v>
      </c>
      <c r="AL49" s="438">
        <v>2.2100730178691359</v>
      </c>
      <c r="AM49" s="441"/>
      <c r="AN49" s="438">
        <v>1.8850622799472043</v>
      </c>
      <c r="AO49" s="438" t="s">
        <v>452</v>
      </c>
      <c r="AP49" s="331"/>
      <c r="AQ49" s="331"/>
      <c r="AR49" s="443">
        <v>19.27864943902545</v>
      </c>
      <c r="AS49" s="438">
        <v>1.5832707268764863</v>
      </c>
      <c r="AT49" s="438">
        <v>17.695378712148965</v>
      </c>
      <c r="AU49" s="438" t="s">
        <v>452</v>
      </c>
      <c r="AV49" s="437"/>
      <c r="AW49" s="443">
        <v>1.9558050155533067</v>
      </c>
      <c r="AX49" s="438">
        <v>1.0555138179176575</v>
      </c>
      <c r="AY49" s="441"/>
      <c r="AZ49" s="438">
        <v>0.90029119763564913</v>
      </c>
      <c r="BA49" s="438" t="s">
        <v>452</v>
      </c>
    </row>
    <row r="50" spans="1:53">
      <c r="A50" s="7" t="s">
        <v>36</v>
      </c>
      <c r="B50" s="7" t="s">
        <v>36</v>
      </c>
      <c r="C50" s="488" t="str">
        <f>IF(ISNUMBER(INDEX('Database.Jan 12 to SEC'!$G$6:$G$191, MATCH($A50&amp;"USD bn", 'Database.Jan 12 to SEC'!$AD$6:$AD$191, 0))), INDEX('Database.Jan 12 to SEC'!$G$6:$G$191, MATCH($A50&amp;"USD bn", 'Database.Jan 12 to SEC'!$AD$6:$AD$191, 0)), "")</f>
        <v/>
      </c>
      <c r="D50" s="480" t="str">
        <f>IF(ISNUMBER(INDEX('Database.Jan 12 to SEC'!$H$6:$H$191, MATCH($A50&amp;"USD bn", 'Database.Jan 12 to SEC'!$AD$6:$AD$191, 0))), INDEX('Database.Jan 12 to SEC'!$H$6:$H$191, MATCH($A50&amp;"USD bn", 'Database.Jan 12 to SEC'!$AD$6:$AD$191, 0)), "")</f>
        <v/>
      </c>
      <c r="E50" s="480" t="str">
        <f>IF(ISNUMBER(INDEX('Database.Jan 12 to SEC'!$J$6:$J$191, MATCH($A50&amp;"USD bn", 'Database.Jan 12 to SEC'!$AD$6:$AD$191, 0))), INDEX('Database.Jan 12 to SEC'!$J$6:$J$191, MATCH($A50&amp;"USD bn", 'Database.Jan 12 to SEC'!$AD$6:$AD$191, 0)), "")</f>
        <v/>
      </c>
      <c r="F50" s="480" t="str">
        <f>IF(ISNUMBER(INDEX('Database.Jan 12 to SEC'!$L$6:$L$191, MATCH($A50&amp;"USD bn", 'Database.Jan 12 to SEC'!$AD$6:$AD$191, 0))), INDEX('Database.Jan 12 to SEC'!$L$6:$L$191, MATCH($A50&amp;"USD bn", 'Database.Jan 12 to SEC'!$AD$6:$AD$191, 0)), "")</f>
        <v/>
      </c>
      <c r="G50" s="482"/>
      <c r="H50" s="481" t="str">
        <f>IF(ISNUMBER(INDEX('Database.Jan 12 to SEC'!$P$6:$P$191, MATCH($A50&amp;"USD bn", 'Database.Jan 12 to SEC'!$AD$6:$AD$191, 0))), INDEX('Database.Jan 12 to SEC'!$P$6:$P$191, MATCH($A50&amp;"USD bn", 'Database.Jan 12 to SEC'!$AD$6:$AD$191, 0)), "")</f>
        <v/>
      </c>
      <c r="I50" s="480" t="str">
        <f>IF(ISNUMBER(INDEX('Database.Jan 12 to SEC'!$Q$6:$Q$191, MATCH($A50&amp;"USD bn", 'Database.Jan 12 to SEC'!$AD$6:$AD$191, 0))), INDEX('Database.Jan 12 to SEC'!$Q$6:$Q$191, MATCH($A50&amp;"USD bn", 'Database.Jan 12 to SEC'!$AD$6:$AD$191, 0)), "")</f>
        <v/>
      </c>
      <c r="J50" s="483"/>
      <c r="K50" s="480" t="str">
        <f>IF(ISNUMBER(INDEX('Database.Jan 12 to SEC'!$U$6:$U$191, MATCH($A50&amp;"USD bn", 'Database.Jan 12 to SEC'!$AD$6:$AD$191, 0))), INDEX('Database.Jan 12 to SEC'!$U$6:$U$191, MATCH($A50&amp;"USD bn", 'Database.Jan 12 to SEC'!$AD$6:$AD$191, 0)), "")</f>
        <v/>
      </c>
      <c r="L50" s="480" t="str">
        <f>IF(ISNUMBER(INDEX('Database.Jan 12 to SEC'!$W$6:$W$191, MATCH($A50&amp;"USD bn", 'Database.Jan 12 to SEC'!$AD$6:$AD$191, 0))), INDEX('Database.Jan 12 to SEC'!$W$6:$W$191, MATCH($A50&amp;"USD bn", 'Database.Jan 12 to SEC'!$AD$6:$AD$191, 0)), "")</f>
        <v/>
      </c>
      <c r="M50"/>
      <c r="N50"/>
      <c r="O50" s="481" t="str">
        <f>IF(ISNUMBER(INDEX('Database.Jan 12 to SEC'!$G$6:$G$191, MATCH($A50&amp;"% GDP", 'Database.Jan 12 to SEC'!$AD$6:$AD$191, 0))), INDEX('Database.Jan 12 to SEC'!$G$6:$G$191, MATCH($A50&amp;"% GDP", 'Database.Jan 12 to SEC'!$AD$6:$AD$191, 0)), "")</f>
        <v/>
      </c>
      <c r="P50" s="480" t="str">
        <f>IF(ISNUMBER(INDEX('Database.Jan 12 to SEC'!$H$6:$H$191, MATCH($A50&amp;"% GDP", 'Database.Jan 12 to SEC'!$AD$6:$AD$191, 0))), INDEX('Database.Jan 12 to SEC'!$H$6:$H$191, MATCH($A50&amp;"% GDP", 'Database.Jan 12 to SEC'!$AD$6:$AD$191, 0)), "")</f>
        <v/>
      </c>
      <c r="Q50" s="480" t="str">
        <f>IF(ISNUMBER(INDEX('Database.Jan 12 to SEC'!$J$6:$J$191, MATCH($A50&amp;"% GDP", 'Database.Jan 12 to SEC'!$AD$6:$AD$191, 0))), INDEX('Database.Jan 12 to SEC'!$J$6:$J$191, MATCH($A50&amp;"% GDP", 'Database.Jan 12 to SEC'!$AD$6:$AD$191, 0)), "")</f>
        <v/>
      </c>
      <c r="R50" s="480" t="str">
        <f>IF(ISNUMBER(INDEX('Database.Jan 12 to SEC'!$L$6:$L$191, MATCH($A50&amp;"% GDP", 'Database.Jan 12 to SEC'!$AD$6:$AD$191, 0))), INDEX('Database.Jan 12 to SEC'!$L$6:$L$191, MATCH($A50&amp;"% GDP", 'Database.Jan 12 to SEC'!$AD$6:$AD$191, 0)), "")</f>
        <v/>
      </c>
      <c r="S50" s="482"/>
      <c r="T50" s="481" t="str">
        <f>IF(ISNUMBER(INDEX('Database.Jan 12 to SEC'!$P$6:$P$191, MATCH($A50&amp;"% GDP", 'Database.Jan 12 to SEC'!$AD$6:$AD$191, 0))), INDEX('Database.Jan 12 to SEC'!$P$6:$P$191, MATCH($A50&amp;"% GDP", 'Database.Jan 12 to SEC'!$AD$6:$AD$191, 0)), "")</f>
        <v/>
      </c>
      <c r="U50" s="480" t="str">
        <f>IF(ISNUMBER(INDEX('Database.Jan 12 to SEC'!$Q$6:$Q$191, MATCH($A50&amp;"% GDP", 'Database.Jan 12 to SEC'!$AD$6:$AD$191, 0))), INDEX('Database.Jan 12 to SEC'!$Q$6:$Q$191, MATCH($A50&amp;"% GDP", 'Database.Jan 12 to SEC'!$AD$6:$AD$191, 0)), "")</f>
        <v/>
      </c>
      <c r="V50" s="483"/>
      <c r="W50" s="480" t="str">
        <f>IF(ISNUMBER(INDEX('Database.Jan 12 to SEC'!$U$6:$U$191, MATCH($A50&amp;"% GDP", 'Database.Jan 12 to SEC'!$AD$6:$AD$191, 0))), INDEX('Database.Jan 12 to SEC'!$U$6:$U$191, MATCH($A50&amp;"% GDP", 'Database.Jan 12 to SEC'!$AD$6:$AD$191, 0)), "")</f>
        <v/>
      </c>
      <c r="X50" s="480" t="str">
        <f>IF(ISNUMBER(INDEX('Database.Jan 12 to SEC'!$W$6:$W$191, MATCH($A50&amp;"% GDP", 'Database.Jan 12 to SEC'!$AD$6:$AD$191, 0))), INDEX('Database.Jan 12 to SEC'!$W$6:$W$191, MATCH($A50&amp;"% GDP", 'Database.Jan 12 to SEC'!$AD$6:$AD$191, 0)), "")</f>
        <v/>
      </c>
      <c r="Z50" s="490"/>
      <c r="AB50" s="270"/>
      <c r="AC50" s="294"/>
      <c r="AE50" s="7" t="s">
        <v>36</v>
      </c>
      <c r="AF50" s="443">
        <v>23.917160810691193</v>
      </c>
      <c r="AG50" s="438">
        <v>2.6232409947782966</v>
      </c>
      <c r="AH50" s="438">
        <v>21.293919815912897</v>
      </c>
      <c r="AI50" s="438" t="s">
        <v>452</v>
      </c>
      <c r="AJ50" s="437"/>
      <c r="AK50" s="443">
        <v>14.603062217895378</v>
      </c>
      <c r="AL50" s="438">
        <v>6.3191432870165452</v>
      </c>
      <c r="AM50" s="441"/>
      <c r="AN50" s="438">
        <v>8.2839189308788317</v>
      </c>
      <c r="AO50" s="438" t="s">
        <v>452</v>
      </c>
      <c r="AP50" s="331"/>
      <c r="AQ50" s="331"/>
      <c r="AR50" s="443">
        <v>7.4022943167997886</v>
      </c>
      <c r="AS50" s="438">
        <v>0.81188574433816507</v>
      </c>
      <c r="AT50" s="438">
        <v>6.590408572461623</v>
      </c>
      <c r="AU50" s="438" t="s">
        <v>452</v>
      </c>
      <c r="AV50" s="437"/>
      <c r="AW50" s="443">
        <v>4.5196068763764252</v>
      </c>
      <c r="AX50" s="438">
        <v>1.9557571574137986</v>
      </c>
      <c r="AY50" s="441"/>
      <c r="AZ50" s="438">
        <v>2.563849718962627</v>
      </c>
      <c r="BA50" s="438" t="s">
        <v>452</v>
      </c>
    </row>
    <row r="51" spans="1:53">
      <c r="A51" s="7" t="s">
        <v>1023</v>
      </c>
      <c r="B51" s="7" t="s">
        <v>1023</v>
      </c>
      <c r="C51" s="488">
        <v>13.809510498188393</v>
      </c>
      <c r="D51" s="480">
        <v>2.5108200905797076</v>
      </c>
      <c r="E51" s="480">
        <v>11.298690407608685</v>
      </c>
      <c r="F51" s="480">
        <v>1.2554100452898538</v>
      </c>
      <c r="G51" s="482"/>
      <c r="H51" s="481">
        <v>13.124741382575744</v>
      </c>
      <c r="I51" s="480" t="str">
        <f>IF(ISNUMBER(INDEX('Database.Jan 12 to SEC'!$Q$6:$Q$191, MATCH($A51&amp;"USD bn", 'Database.Jan 12 to SEC'!$AD$6:$AD$191, 0))), INDEX('Database.Jan 12 to SEC'!$Q$6:$Q$191, MATCH($A51&amp;"USD bn", 'Database.Jan 12 to SEC'!$AD$6:$AD$191, 0)), "")</f>
        <v/>
      </c>
      <c r="J51" s="483"/>
      <c r="K51" s="480">
        <v>13.124741382575744</v>
      </c>
      <c r="L51" s="480" t="s">
        <v>452</v>
      </c>
      <c r="M51"/>
      <c r="N51"/>
      <c r="O51" s="481">
        <v>6.047351260148055</v>
      </c>
      <c r="P51" s="480">
        <v>1.0995184109360101</v>
      </c>
      <c r="Q51" s="480">
        <v>4.9478328492120447</v>
      </c>
      <c r="R51" s="480">
        <v>0.54975920546800505</v>
      </c>
      <c r="S51" s="482"/>
      <c r="T51" s="481">
        <v>5.7474826026200523</v>
      </c>
      <c r="U51" s="480" t="str">
        <f>IF(ISNUMBER(INDEX('Database.Jan 12 to SEC'!$Q$6:$Q$191, MATCH($A51&amp;"% GDP", 'Database.Jan 12 to SEC'!$AD$6:$AD$191, 0))), INDEX('Database.Jan 12 to SEC'!$Q$6:$Q$191, MATCH($A51&amp;"% GDP", 'Database.Jan 12 to SEC'!$AD$6:$AD$191, 0)), "")</f>
        <v/>
      </c>
      <c r="V51" s="483"/>
      <c r="W51" s="480">
        <v>5.7474826026200523</v>
      </c>
      <c r="X51" s="480" t="s">
        <v>452</v>
      </c>
      <c r="Z51" s="490"/>
      <c r="AA51" t="s">
        <v>1267</v>
      </c>
      <c r="AB51" s="485" t="s">
        <v>1317</v>
      </c>
      <c r="AC51" s="404"/>
      <c r="AE51" s="7" t="s">
        <v>1023</v>
      </c>
      <c r="AF51" s="443">
        <v>13.809510498188393</v>
      </c>
      <c r="AG51" s="438">
        <v>2.5108200905797076</v>
      </c>
      <c r="AH51" s="438">
        <v>11.298690407608685</v>
      </c>
      <c r="AI51" s="438">
        <v>1.2554100452898538</v>
      </c>
      <c r="AJ51" s="437"/>
      <c r="AK51" s="443">
        <v>13.124741382575744</v>
      </c>
      <c r="AL51" s="438" t="s">
        <v>452</v>
      </c>
      <c r="AM51" s="441"/>
      <c r="AN51" s="438">
        <v>13.124741382575744</v>
      </c>
      <c r="AO51" s="438" t="s">
        <v>452</v>
      </c>
      <c r="AP51" s="331"/>
      <c r="AQ51" s="331"/>
      <c r="AR51" s="443">
        <v>6.047351260148055</v>
      </c>
      <c r="AS51" s="438">
        <v>1.0995184109360101</v>
      </c>
      <c r="AT51" s="438">
        <v>4.9478328492120447</v>
      </c>
      <c r="AU51" s="438">
        <v>0.54975920546800505</v>
      </c>
      <c r="AV51" s="437"/>
      <c r="AW51" s="443">
        <v>5.7474826026200523</v>
      </c>
      <c r="AX51" s="438" t="s">
        <v>452</v>
      </c>
      <c r="AY51" s="441"/>
      <c r="AZ51" s="438">
        <v>5.7474826026200523</v>
      </c>
      <c r="BA51" s="438" t="s">
        <v>452</v>
      </c>
    </row>
    <row r="52" spans="1:53" hidden="1">
      <c r="A52" s="7" t="s">
        <v>1024</v>
      </c>
      <c r="B52" s="7" t="s">
        <v>1024</v>
      </c>
      <c r="C52" s="488">
        <v>1.1412818593544125E-2</v>
      </c>
      <c r="D52" s="480" t="s">
        <v>452</v>
      </c>
      <c r="E52" s="480" t="s">
        <v>452</v>
      </c>
      <c r="F52" s="480" t="s">
        <v>452</v>
      </c>
      <c r="G52" s="482"/>
      <c r="H52" s="481" t="s">
        <v>452</v>
      </c>
      <c r="I52" s="480" t="s">
        <v>452</v>
      </c>
      <c r="J52" s="483"/>
      <c r="K52" s="480" t="s">
        <v>452</v>
      </c>
      <c r="L52" s="480" t="s">
        <v>452</v>
      </c>
      <c r="M52"/>
      <c r="N52"/>
      <c r="O52" s="481">
        <v>0.73446874930825812</v>
      </c>
      <c r="P52" s="480" t="s">
        <v>452</v>
      </c>
      <c r="Q52" s="480" t="s">
        <v>452</v>
      </c>
      <c r="R52" s="480" t="s">
        <v>452</v>
      </c>
      <c r="S52" s="482"/>
      <c r="T52" s="481" t="s">
        <v>452</v>
      </c>
      <c r="U52" s="480" t="s">
        <v>452</v>
      </c>
      <c r="V52" s="483"/>
      <c r="W52" s="480" t="s">
        <v>452</v>
      </c>
      <c r="X52" s="480" t="s">
        <v>452</v>
      </c>
      <c r="Z52" s="490"/>
      <c r="AC52" s="404"/>
      <c r="AE52" s="7" t="s">
        <v>1024</v>
      </c>
      <c r="AF52" s="443">
        <v>1.1412818593544125E-2</v>
      </c>
      <c r="AG52" s="438" t="s">
        <v>452</v>
      </c>
      <c r="AH52" s="438" t="s">
        <v>452</v>
      </c>
      <c r="AI52" s="438" t="s">
        <v>452</v>
      </c>
      <c r="AJ52" s="437"/>
      <c r="AK52" s="443" t="s">
        <v>452</v>
      </c>
      <c r="AL52" s="438" t="s">
        <v>452</v>
      </c>
      <c r="AM52" s="441"/>
      <c r="AN52" s="438" t="s">
        <v>452</v>
      </c>
      <c r="AO52" s="438" t="s">
        <v>452</v>
      </c>
      <c r="AP52" s="331"/>
      <c r="AQ52" s="331"/>
      <c r="AR52" s="443">
        <v>0.73446874930825812</v>
      </c>
      <c r="AS52" s="438" t="s">
        <v>452</v>
      </c>
      <c r="AT52" s="438" t="s">
        <v>452</v>
      </c>
      <c r="AU52" s="438" t="s">
        <v>452</v>
      </c>
      <c r="AV52" s="437"/>
      <c r="AW52" s="443" t="s">
        <v>452</v>
      </c>
      <c r="AX52" s="438" t="s">
        <v>452</v>
      </c>
      <c r="AY52" s="441"/>
      <c r="AZ52" s="438" t="s">
        <v>452</v>
      </c>
      <c r="BA52" s="438" t="s">
        <v>452</v>
      </c>
    </row>
    <row r="53" spans="1:53">
      <c r="A53" s="7" t="s">
        <v>31</v>
      </c>
      <c r="B53" s="7" t="s">
        <v>31</v>
      </c>
      <c r="C53" s="488" t="str">
        <f>IF(ISNUMBER(INDEX('Database.Jan 12 to SEC'!$G$6:$G$191, MATCH($A53&amp;"USD bn", 'Database.Jan 12 to SEC'!$AD$6:$AD$191, 0))), INDEX('Database.Jan 12 to SEC'!$G$6:$G$191, MATCH($A53&amp;"USD bn", 'Database.Jan 12 to SEC'!$AD$6:$AD$191, 0)), "")</f>
        <v/>
      </c>
      <c r="D53" s="480" t="str">
        <f>IF(ISNUMBER(INDEX('Database.Jan 12 to SEC'!$H$6:$H$191, MATCH($A53&amp;"USD bn", 'Database.Jan 12 to SEC'!$AD$6:$AD$191, 0))), INDEX('Database.Jan 12 to SEC'!$H$6:$H$191, MATCH($A53&amp;"USD bn", 'Database.Jan 12 to SEC'!$AD$6:$AD$191, 0)), "")</f>
        <v/>
      </c>
      <c r="E53" s="480" t="str">
        <f>IF(ISNUMBER(INDEX('Database.Jan 12 to SEC'!$J$6:$J$191, MATCH($A53&amp;"USD bn", 'Database.Jan 12 to SEC'!$AD$6:$AD$191, 0))), INDEX('Database.Jan 12 to SEC'!$J$6:$J$191, MATCH($A53&amp;"USD bn", 'Database.Jan 12 to SEC'!$AD$6:$AD$191, 0)), "")</f>
        <v/>
      </c>
      <c r="F53" s="480" t="str">
        <f>IF(ISNUMBER(INDEX('Database.Jan 12 to SEC'!$L$6:$L$191, MATCH($A53&amp;"USD bn", 'Database.Jan 12 to SEC'!$AD$6:$AD$191, 0))), INDEX('Database.Jan 12 to SEC'!$L$6:$L$191, MATCH($A53&amp;"USD bn", 'Database.Jan 12 to SEC'!$AD$6:$AD$191, 0)), "")</f>
        <v/>
      </c>
      <c r="G53" s="482"/>
      <c r="H53" s="481" t="str">
        <f>IF(ISNUMBER(INDEX('Database.Jan 12 to SEC'!$P$6:$P$191, MATCH($A53&amp;"USD bn", 'Database.Jan 12 to SEC'!$AD$6:$AD$191, 0))), INDEX('Database.Jan 12 to SEC'!$P$6:$P$191, MATCH($A53&amp;"USD bn", 'Database.Jan 12 to SEC'!$AD$6:$AD$191, 0)), "")</f>
        <v/>
      </c>
      <c r="I53" s="480" t="str">
        <f>IF(ISNUMBER(INDEX('Database.Jan 12 to SEC'!$Q$6:$Q$191, MATCH($A53&amp;"USD bn", 'Database.Jan 12 to SEC'!$AD$6:$AD$191, 0))), INDEX('Database.Jan 12 to SEC'!$Q$6:$Q$191, MATCH($A53&amp;"USD bn", 'Database.Jan 12 to SEC'!$AD$6:$AD$191, 0)), "")</f>
        <v/>
      </c>
      <c r="J53" s="483"/>
      <c r="K53" s="480" t="str">
        <f>IF(ISNUMBER(INDEX('Database.Jan 12 to SEC'!$U$6:$U$191, MATCH($A53&amp;"USD bn", 'Database.Jan 12 to SEC'!$AD$6:$AD$191, 0))), INDEX('Database.Jan 12 to SEC'!$U$6:$U$191, MATCH($A53&amp;"USD bn", 'Database.Jan 12 to SEC'!$AD$6:$AD$191, 0)), "")</f>
        <v/>
      </c>
      <c r="L53" s="480" t="str">
        <f>IF(ISNUMBER(INDEX('Database.Jan 12 to SEC'!$W$6:$W$191, MATCH($A53&amp;"USD bn", 'Database.Jan 12 to SEC'!$AD$6:$AD$191, 0))), INDEX('Database.Jan 12 to SEC'!$W$6:$W$191, MATCH($A53&amp;"USD bn", 'Database.Jan 12 to SEC'!$AD$6:$AD$191, 0)), "")</f>
        <v/>
      </c>
      <c r="M53"/>
      <c r="N53"/>
      <c r="O53" s="481" t="str">
        <f>IF(ISNUMBER(INDEX('Database.Jan 12 to SEC'!$G$6:$G$191, MATCH($A53&amp;"% GDP", 'Database.Jan 12 to SEC'!$AD$6:$AD$191, 0))), INDEX('Database.Jan 12 to SEC'!$G$6:$G$191, MATCH($A53&amp;"% GDP", 'Database.Jan 12 to SEC'!$AD$6:$AD$191, 0)), "")</f>
        <v/>
      </c>
      <c r="P53" s="480" t="str">
        <f>IF(ISNUMBER(INDEX('Database.Jan 12 to SEC'!$H$6:$H$191, MATCH($A53&amp;"% GDP", 'Database.Jan 12 to SEC'!$AD$6:$AD$191, 0))), INDEX('Database.Jan 12 to SEC'!$H$6:$H$191, MATCH($A53&amp;"% GDP", 'Database.Jan 12 to SEC'!$AD$6:$AD$191, 0)), "")</f>
        <v/>
      </c>
      <c r="Q53" s="480" t="str">
        <f>IF(ISNUMBER(INDEX('Database.Jan 12 to SEC'!$J$6:$J$191, MATCH($A53&amp;"% GDP", 'Database.Jan 12 to SEC'!$AD$6:$AD$191, 0))), INDEX('Database.Jan 12 to SEC'!$J$6:$J$191, MATCH($A53&amp;"% GDP", 'Database.Jan 12 to SEC'!$AD$6:$AD$191, 0)), "")</f>
        <v/>
      </c>
      <c r="R53" s="480" t="str">
        <f>IF(ISNUMBER(INDEX('Database.Jan 12 to SEC'!$L$6:$L$191, MATCH($A53&amp;"% GDP", 'Database.Jan 12 to SEC'!$AD$6:$AD$191, 0))), INDEX('Database.Jan 12 to SEC'!$L$6:$L$191, MATCH($A53&amp;"% GDP", 'Database.Jan 12 to SEC'!$AD$6:$AD$191, 0)), "")</f>
        <v/>
      </c>
      <c r="S53" s="482"/>
      <c r="T53" s="481" t="str">
        <f>IF(ISNUMBER(INDEX('Database.Jan 12 to SEC'!$P$6:$P$191, MATCH($A53&amp;"% GDP", 'Database.Jan 12 to SEC'!$AD$6:$AD$191, 0))), INDEX('Database.Jan 12 to SEC'!$P$6:$P$191, MATCH($A53&amp;"% GDP", 'Database.Jan 12 to SEC'!$AD$6:$AD$191, 0)), "")</f>
        <v/>
      </c>
      <c r="U53" s="480" t="str">
        <f>IF(ISNUMBER(INDEX('Database.Jan 12 to SEC'!$Q$6:$Q$191, MATCH($A53&amp;"% GDP", 'Database.Jan 12 to SEC'!$AD$6:$AD$191, 0))), INDEX('Database.Jan 12 to SEC'!$Q$6:$Q$191, MATCH($A53&amp;"% GDP", 'Database.Jan 12 to SEC'!$AD$6:$AD$191, 0)), "")</f>
        <v/>
      </c>
      <c r="V53" s="483"/>
      <c r="W53" s="480" t="str">
        <f>IF(ISNUMBER(INDEX('Database.Jan 12 to SEC'!$U$6:$U$191, MATCH($A53&amp;"% GDP", 'Database.Jan 12 to SEC'!$AD$6:$AD$191, 0))), INDEX('Database.Jan 12 to SEC'!$U$6:$U$191, MATCH($A53&amp;"% GDP", 'Database.Jan 12 to SEC'!$AD$6:$AD$191, 0)), "")</f>
        <v/>
      </c>
      <c r="X53" s="480" t="str">
        <f>IF(ISNUMBER(INDEX('Database.Jan 12 to SEC'!$W$6:$W$191, MATCH($A53&amp;"% GDP", 'Database.Jan 12 to SEC'!$AD$6:$AD$191, 0))), INDEX('Database.Jan 12 to SEC'!$W$6:$W$191, MATCH($A53&amp;"% GDP", 'Database.Jan 12 to SEC'!$AD$6:$AD$191, 0)), "")</f>
        <v/>
      </c>
      <c r="Z53" s="490"/>
      <c r="AA53" t="s">
        <v>1267</v>
      </c>
      <c r="AC53" s="294"/>
      <c r="AE53" s="7" t="s">
        <v>31</v>
      </c>
      <c r="AF53" s="443">
        <v>62.546527888588585</v>
      </c>
      <c r="AG53" s="438">
        <v>13.480479938907852</v>
      </c>
      <c r="AH53" s="438">
        <v>49.066047949680737</v>
      </c>
      <c r="AI53" s="438" t="s">
        <v>452</v>
      </c>
      <c r="AJ53" s="437"/>
      <c r="AK53" s="443">
        <v>15.94465369118133</v>
      </c>
      <c r="AL53" s="438">
        <v>15.94465369118133</v>
      </c>
      <c r="AM53" s="441"/>
      <c r="AN53" s="438" t="s">
        <v>452</v>
      </c>
      <c r="AO53" s="438" t="s">
        <v>452</v>
      </c>
      <c r="AP53" s="331"/>
      <c r="AQ53" s="331"/>
      <c r="AR53" s="443">
        <v>18.39709108521307</v>
      </c>
      <c r="AS53" s="438">
        <v>3.9650740925256436</v>
      </c>
      <c r="AT53" s="438">
        <v>14.432016992687426</v>
      </c>
      <c r="AU53" s="438" t="s">
        <v>452</v>
      </c>
      <c r="AV53" s="437"/>
      <c r="AW53" s="443">
        <v>4.6898725825572125</v>
      </c>
      <c r="AX53" s="438">
        <v>4.6898725825572125</v>
      </c>
      <c r="AY53" s="441"/>
      <c r="AZ53" s="438" t="s">
        <v>452</v>
      </c>
      <c r="BA53" s="438" t="s">
        <v>452</v>
      </c>
    </row>
    <row r="54" spans="1:53">
      <c r="A54" s="7" t="s">
        <v>1025</v>
      </c>
      <c r="B54" s="7" t="s">
        <v>1025</v>
      </c>
      <c r="C54" s="488">
        <v>6.3</v>
      </c>
      <c r="D54" s="480">
        <v>1.3</v>
      </c>
      <c r="E54" s="480">
        <v>5</v>
      </c>
      <c r="F54" s="480">
        <v>0.6006120601465349</v>
      </c>
      <c r="G54" s="482"/>
      <c r="H54" s="481">
        <v>1.8</v>
      </c>
      <c r="I54" s="480">
        <v>0</v>
      </c>
      <c r="J54" s="483"/>
      <c r="K54" s="480">
        <v>1.8</v>
      </c>
      <c r="L54" s="480" t="s">
        <v>452</v>
      </c>
      <c r="M54"/>
      <c r="N54"/>
      <c r="O54" s="481">
        <v>5.9</v>
      </c>
      <c r="P54" s="480">
        <v>1.2</v>
      </c>
      <c r="Q54" s="480">
        <v>4.7</v>
      </c>
      <c r="R54" s="480">
        <v>0.57700693861006003</v>
      </c>
      <c r="S54" s="482"/>
      <c r="T54" s="481">
        <v>1.7</v>
      </c>
      <c r="U54" s="480">
        <v>0</v>
      </c>
      <c r="V54" s="483"/>
      <c r="W54" s="480">
        <v>1.7</v>
      </c>
      <c r="X54" s="480" t="s">
        <v>452</v>
      </c>
      <c r="Z54" s="490"/>
      <c r="AA54" t="s">
        <v>1267</v>
      </c>
      <c r="AC54" s="404"/>
      <c r="AE54" s="7" t="s">
        <v>1025</v>
      </c>
      <c r="AF54" s="443">
        <v>6.3</v>
      </c>
      <c r="AG54" s="438">
        <v>1.3</v>
      </c>
      <c r="AH54" s="438">
        <v>5</v>
      </c>
      <c r="AI54" s="438">
        <v>0.6006120601465349</v>
      </c>
      <c r="AJ54" s="437"/>
      <c r="AK54" s="443">
        <v>1.8</v>
      </c>
      <c r="AL54" s="438">
        <v>0</v>
      </c>
      <c r="AM54" s="441"/>
      <c r="AN54" s="438">
        <v>1.8</v>
      </c>
      <c r="AO54" s="438" t="s">
        <v>452</v>
      </c>
      <c r="AP54" s="331"/>
      <c r="AQ54" s="331"/>
      <c r="AR54" s="443">
        <v>5.9</v>
      </c>
      <c r="AS54" s="438">
        <v>1.2</v>
      </c>
      <c r="AT54" s="438">
        <v>4.7</v>
      </c>
      <c r="AU54" s="438">
        <v>0.57700693861006003</v>
      </c>
      <c r="AV54" s="437"/>
      <c r="AW54" s="443">
        <v>1.7</v>
      </c>
      <c r="AX54" s="438">
        <v>0</v>
      </c>
      <c r="AY54" s="441"/>
      <c r="AZ54" s="438">
        <v>1.7</v>
      </c>
      <c r="BA54" s="438" t="s">
        <v>452</v>
      </c>
    </row>
    <row r="55" spans="1:53">
      <c r="A55" s="7" t="s">
        <v>1026</v>
      </c>
      <c r="B55" s="7" t="s">
        <v>1026</v>
      </c>
      <c r="C55" s="488">
        <v>5.2</v>
      </c>
      <c r="D55" s="480">
        <v>0.4</v>
      </c>
      <c r="E55" s="480">
        <v>4.8</v>
      </c>
      <c r="F55" s="480">
        <v>0.47399999999999998</v>
      </c>
      <c r="G55" s="482"/>
      <c r="H55" s="481">
        <v>3.5</v>
      </c>
      <c r="I55" s="480">
        <v>1</v>
      </c>
      <c r="J55" s="483"/>
      <c r="K55" s="480">
        <v>2.5</v>
      </c>
      <c r="L55" s="480" t="s">
        <v>452</v>
      </c>
      <c r="M55"/>
      <c r="N55"/>
      <c r="O55" s="481">
        <v>9.4</v>
      </c>
      <c r="P55" s="480">
        <v>0.8</v>
      </c>
      <c r="Q55" s="480">
        <v>8.6</v>
      </c>
      <c r="R55" s="480">
        <v>0.9</v>
      </c>
      <c r="S55" s="482"/>
      <c r="T55" s="481">
        <v>6.6</v>
      </c>
      <c r="U55" s="480">
        <v>1.9</v>
      </c>
      <c r="V55" s="483"/>
      <c r="W55" s="480">
        <v>4.7</v>
      </c>
      <c r="X55" s="480" t="s">
        <v>452</v>
      </c>
      <c r="Z55" s="490"/>
      <c r="AA55" t="s">
        <v>1267</v>
      </c>
      <c r="AC55" s="404"/>
      <c r="AE55" s="7" t="s">
        <v>1026</v>
      </c>
      <c r="AF55" s="443">
        <v>5.2</v>
      </c>
      <c r="AG55" s="438">
        <v>0.4</v>
      </c>
      <c r="AH55" s="438">
        <v>4.8</v>
      </c>
      <c r="AI55" s="438">
        <v>0.47399999999999998</v>
      </c>
      <c r="AJ55" s="437"/>
      <c r="AK55" s="443">
        <v>3.5</v>
      </c>
      <c r="AL55" s="438">
        <v>1</v>
      </c>
      <c r="AM55" s="441"/>
      <c r="AN55" s="438">
        <v>2.5</v>
      </c>
      <c r="AO55" s="438" t="s">
        <v>452</v>
      </c>
      <c r="AP55" s="331"/>
      <c r="AQ55" s="331"/>
      <c r="AR55" s="443">
        <v>9.4</v>
      </c>
      <c r="AS55" s="438">
        <v>0.8</v>
      </c>
      <c r="AT55" s="438">
        <v>8.6</v>
      </c>
      <c r="AU55" s="438">
        <v>0.9</v>
      </c>
      <c r="AV55" s="437"/>
      <c r="AW55" s="443">
        <v>6.6</v>
      </c>
      <c r="AX55" s="438">
        <v>1.9</v>
      </c>
      <c r="AY55" s="441"/>
      <c r="AZ55" s="438">
        <v>4.7</v>
      </c>
      <c r="BA55" s="438" t="s">
        <v>452</v>
      </c>
    </row>
    <row r="56" spans="1:53">
      <c r="A56" s="7" t="s">
        <v>21</v>
      </c>
      <c r="B56" s="7" t="s">
        <v>21</v>
      </c>
      <c r="C56" s="488" t="str">
        <f>IF(ISNUMBER(INDEX('Database.Jan 12 to SEC'!$G$6:$G$191, MATCH($A56&amp;"USD bn", 'Database.Jan 12 to SEC'!$AD$6:$AD$191, 0))), INDEX('Database.Jan 12 to SEC'!$G$6:$G$191, MATCH($A56&amp;"USD bn", 'Database.Jan 12 to SEC'!$AD$6:$AD$191, 0)), "")</f>
        <v/>
      </c>
      <c r="D56" s="480" t="str">
        <f>IF(ISNUMBER(INDEX('Database.Jan 12 to SEC'!$H$6:$H$191, MATCH($A56&amp;"USD bn", 'Database.Jan 12 to SEC'!$AD$6:$AD$191, 0))), INDEX('Database.Jan 12 to SEC'!$H$6:$H$191, MATCH($A56&amp;"USD bn", 'Database.Jan 12 to SEC'!$AD$6:$AD$191, 0)), "")</f>
        <v/>
      </c>
      <c r="E56" s="480" t="str">
        <f>IF(ISNUMBER(INDEX('Database.Jan 12 to SEC'!$J$6:$J$191, MATCH($A56&amp;"USD bn", 'Database.Jan 12 to SEC'!$AD$6:$AD$191, 0))), INDEX('Database.Jan 12 to SEC'!$J$6:$J$191, MATCH($A56&amp;"USD bn", 'Database.Jan 12 to SEC'!$AD$6:$AD$191, 0)), "")</f>
        <v/>
      </c>
      <c r="F56" s="480" t="str">
        <f>IF(ISNUMBER(INDEX('Database.Jan 12 to SEC'!$L$6:$L$191, MATCH($A56&amp;"USD bn", 'Database.Jan 12 to SEC'!$AD$6:$AD$191, 0))), INDEX('Database.Jan 12 to SEC'!$L$6:$L$191, MATCH($A56&amp;"USD bn", 'Database.Jan 12 to SEC'!$AD$6:$AD$191, 0)), "")</f>
        <v/>
      </c>
      <c r="G56" s="482"/>
      <c r="H56" s="481" t="str">
        <f>IF(ISNUMBER(INDEX('Database.Jan 12 to SEC'!$P$6:$P$191, MATCH($A56&amp;"USD bn", 'Database.Jan 12 to SEC'!$AD$6:$AD$191, 0))), INDEX('Database.Jan 12 to SEC'!$P$6:$P$191, MATCH($A56&amp;"USD bn", 'Database.Jan 12 to SEC'!$AD$6:$AD$191, 0)), "")</f>
        <v/>
      </c>
      <c r="I56" s="480" t="str">
        <f>IF(ISNUMBER(INDEX('Database.Jan 12 to SEC'!$Q$6:$Q$191, MATCH($A56&amp;"USD bn", 'Database.Jan 12 to SEC'!$AD$6:$AD$191, 0))), INDEX('Database.Jan 12 to SEC'!$Q$6:$Q$191, MATCH($A56&amp;"USD bn", 'Database.Jan 12 to SEC'!$AD$6:$AD$191, 0)), "")</f>
        <v/>
      </c>
      <c r="J56" s="483"/>
      <c r="K56" s="480" t="str">
        <f>IF(ISNUMBER(INDEX('Database.Jan 12 to SEC'!$U$6:$U$191, MATCH($A56&amp;"USD bn", 'Database.Jan 12 to SEC'!$AD$6:$AD$191, 0))), INDEX('Database.Jan 12 to SEC'!$U$6:$U$191, MATCH($A56&amp;"USD bn", 'Database.Jan 12 to SEC'!$AD$6:$AD$191, 0)), "")</f>
        <v/>
      </c>
      <c r="L56" s="480" t="str">
        <f>IF(ISNUMBER(INDEX('Database.Jan 12 to SEC'!$W$6:$W$191, MATCH($A56&amp;"USD bn", 'Database.Jan 12 to SEC'!$AD$6:$AD$191, 0))), INDEX('Database.Jan 12 to SEC'!$W$6:$W$191, MATCH($A56&amp;"USD bn", 'Database.Jan 12 to SEC'!$AD$6:$AD$191, 0)), "")</f>
        <v/>
      </c>
      <c r="M56"/>
      <c r="N56"/>
      <c r="O56" s="481" t="str">
        <f>IF(ISNUMBER(INDEX('Database.Jan 12 to SEC'!$G$6:$G$191, MATCH($A56&amp;"% GDP", 'Database.Jan 12 to SEC'!$AD$6:$AD$191, 0))), INDEX('Database.Jan 12 to SEC'!$G$6:$G$191, MATCH($A56&amp;"% GDP", 'Database.Jan 12 to SEC'!$AD$6:$AD$191, 0)), "")</f>
        <v/>
      </c>
      <c r="P56" s="480" t="str">
        <f>IF(ISNUMBER(INDEX('Database.Jan 12 to SEC'!$H$6:$H$191, MATCH($A56&amp;"% GDP", 'Database.Jan 12 to SEC'!$AD$6:$AD$191, 0))), INDEX('Database.Jan 12 to SEC'!$H$6:$H$191, MATCH($A56&amp;"% GDP", 'Database.Jan 12 to SEC'!$AD$6:$AD$191, 0)), "")</f>
        <v/>
      </c>
      <c r="Q56" s="480" t="str">
        <f>IF(ISNUMBER(INDEX('Database.Jan 12 to SEC'!$J$6:$J$191, MATCH($A56&amp;"% GDP", 'Database.Jan 12 to SEC'!$AD$6:$AD$191, 0))), INDEX('Database.Jan 12 to SEC'!$J$6:$J$191, MATCH($A56&amp;"% GDP", 'Database.Jan 12 to SEC'!$AD$6:$AD$191, 0)), "")</f>
        <v/>
      </c>
      <c r="R56" s="480" t="str">
        <f>IF(ISNUMBER(INDEX('Database.Jan 12 to SEC'!$L$6:$L$191, MATCH($A56&amp;"% GDP", 'Database.Jan 12 to SEC'!$AD$6:$AD$191, 0))), INDEX('Database.Jan 12 to SEC'!$L$6:$L$191, MATCH($A56&amp;"% GDP", 'Database.Jan 12 to SEC'!$AD$6:$AD$191, 0)), "")</f>
        <v/>
      </c>
      <c r="S56" s="482"/>
      <c r="T56" s="481" t="str">
        <f>IF(ISNUMBER(INDEX('Database.Jan 12 to SEC'!$P$6:$P$191, MATCH($A56&amp;"% GDP", 'Database.Jan 12 to SEC'!$AD$6:$AD$191, 0))), INDEX('Database.Jan 12 to SEC'!$P$6:$P$191, MATCH($A56&amp;"% GDP", 'Database.Jan 12 to SEC'!$AD$6:$AD$191, 0)), "")</f>
        <v/>
      </c>
      <c r="U56" s="480" t="str">
        <f>IF(ISNUMBER(INDEX('Database.Jan 12 to SEC'!$Q$6:$Q$191, MATCH($A56&amp;"% GDP", 'Database.Jan 12 to SEC'!$AD$6:$AD$191, 0))), INDEX('Database.Jan 12 to SEC'!$Q$6:$Q$191, MATCH($A56&amp;"% GDP", 'Database.Jan 12 to SEC'!$AD$6:$AD$191, 0)), "")</f>
        <v/>
      </c>
      <c r="V56" s="483"/>
      <c r="W56" s="480" t="str">
        <f>IF(ISNUMBER(INDEX('Database.Jan 12 to SEC'!$U$6:$U$191, MATCH($A56&amp;"% GDP", 'Database.Jan 12 to SEC'!$AD$6:$AD$191, 0))), INDEX('Database.Jan 12 to SEC'!$U$6:$U$191, MATCH($A56&amp;"% GDP", 'Database.Jan 12 to SEC'!$AD$6:$AD$191, 0)), "")</f>
        <v/>
      </c>
      <c r="X56" s="480" t="str">
        <f>IF(ISNUMBER(INDEX('Database.Jan 12 to SEC'!$W$6:$W$191, MATCH($A56&amp;"% GDP", 'Database.Jan 12 to SEC'!$AD$6:$AD$191, 0))), INDEX('Database.Jan 12 to SEC'!$W$6:$W$191, MATCH($A56&amp;"% GDP", 'Database.Jan 12 to SEC'!$AD$6:$AD$191, 0)), "")</f>
        <v/>
      </c>
      <c r="Z56" s="490"/>
      <c r="AB56" t="s">
        <v>1270</v>
      </c>
      <c r="AC56" s="294"/>
      <c r="AE56" s="7" t="s">
        <v>21</v>
      </c>
      <c r="AF56" s="443">
        <v>22.474815922163589</v>
      </c>
      <c r="AG56" s="438">
        <v>4.125811618561432</v>
      </c>
      <c r="AH56" s="438">
        <v>18.349004303602158</v>
      </c>
      <c r="AI56" s="438">
        <v>36.372286637317892</v>
      </c>
      <c r="AJ56" s="437"/>
      <c r="AK56" s="443">
        <v>28.413813173092809</v>
      </c>
      <c r="AL56" s="438">
        <v>1.2703156825570725</v>
      </c>
      <c r="AM56" s="441"/>
      <c r="AN56" s="438">
        <v>27.143497490535736</v>
      </c>
      <c r="AO56" s="438" t="s">
        <v>452</v>
      </c>
      <c r="AP56" s="331"/>
      <c r="AQ56" s="331"/>
      <c r="AR56" s="443">
        <v>4.1538214254109116</v>
      </c>
      <c r="AS56" s="438">
        <v>0.76253726650055398</v>
      </c>
      <c r="AT56" s="438">
        <v>3.3912841589103575</v>
      </c>
      <c r="AU56" s="438">
        <v>6.7223680073075149</v>
      </c>
      <c r="AV56" s="437"/>
      <c r="AW56" s="443">
        <v>5.2514737537682885</v>
      </c>
      <c r="AX56" s="438">
        <v>0.2347812110014863</v>
      </c>
      <c r="AY56" s="441"/>
      <c r="AZ56" s="438">
        <v>5.0166925427668021</v>
      </c>
      <c r="BA56" s="438" t="s">
        <v>452</v>
      </c>
    </row>
    <row r="57" spans="1:53">
      <c r="A57" s="7" t="s">
        <v>558</v>
      </c>
      <c r="B57" s="7" t="s">
        <v>558</v>
      </c>
      <c r="C57" s="488" t="str">
        <f>IF(ISNUMBER(INDEX('Database.Jan 12 to SEC'!$G$6:$G$191, MATCH($A57&amp;"USD bn", 'Database.Jan 12 to SEC'!$AD$6:$AD$191, 0))), INDEX('Database.Jan 12 to SEC'!$G$6:$G$191, MATCH($A57&amp;"USD bn", 'Database.Jan 12 to SEC'!$AD$6:$AD$191, 0)), "")</f>
        <v/>
      </c>
      <c r="D57" s="480" t="str">
        <f>IF(ISNUMBER(INDEX('Database.Jan 12 to SEC'!$H$6:$H$191, MATCH($A57&amp;"USD bn", 'Database.Jan 12 to SEC'!$AD$6:$AD$191, 0))), INDEX('Database.Jan 12 to SEC'!$H$6:$H$191, MATCH($A57&amp;"USD bn", 'Database.Jan 12 to SEC'!$AD$6:$AD$191, 0)), "")</f>
        <v/>
      </c>
      <c r="E57" s="480" t="str">
        <f>IF(ISNUMBER(INDEX('Database.Jan 12 to SEC'!$J$6:$J$191, MATCH($A57&amp;"USD bn", 'Database.Jan 12 to SEC'!$AD$6:$AD$191, 0))), INDEX('Database.Jan 12 to SEC'!$J$6:$J$191, MATCH($A57&amp;"USD bn", 'Database.Jan 12 to SEC'!$AD$6:$AD$191, 0)), "")</f>
        <v/>
      </c>
      <c r="F57" s="480" t="str">
        <f>IF(ISNUMBER(INDEX('Database.Jan 12 to SEC'!$L$6:$L$191, MATCH($A57&amp;"USD bn", 'Database.Jan 12 to SEC'!$AD$6:$AD$191, 0))), INDEX('Database.Jan 12 to SEC'!$L$6:$L$191, MATCH($A57&amp;"USD bn", 'Database.Jan 12 to SEC'!$AD$6:$AD$191, 0)), "")</f>
        <v/>
      </c>
      <c r="G57" s="482"/>
      <c r="H57" s="481" t="str">
        <f>IF(ISNUMBER(INDEX('Database.Jan 12 to SEC'!$P$6:$P$191, MATCH($A57&amp;"USD bn", 'Database.Jan 12 to SEC'!$AD$6:$AD$191, 0))), INDEX('Database.Jan 12 to SEC'!$P$6:$P$191, MATCH($A57&amp;"USD bn", 'Database.Jan 12 to SEC'!$AD$6:$AD$191, 0)), "")</f>
        <v/>
      </c>
      <c r="I57" s="480" t="str">
        <f>IF(ISNUMBER(INDEX('Database.Jan 12 to SEC'!$Q$6:$Q$191, MATCH($A57&amp;"USD bn", 'Database.Jan 12 to SEC'!$AD$6:$AD$191, 0))), INDEX('Database.Jan 12 to SEC'!$Q$6:$Q$191, MATCH($A57&amp;"USD bn", 'Database.Jan 12 to SEC'!$AD$6:$AD$191, 0)), "")</f>
        <v/>
      </c>
      <c r="J57" s="483"/>
      <c r="K57" s="480" t="str">
        <f>IF(ISNUMBER(INDEX('Database.Jan 12 to SEC'!$U$6:$U$191, MATCH($A57&amp;"USD bn", 'Database.Jan 12 to SEC'!$AD$6:$AD$191, 0))), INDEX('Database.Jan 12 to SEC'!$U$6:$U$191, MATCH($A57&amp;"USD bn", 'Database.Jan 12 to SEC'!$AD$6:$AD$191, 0)), "")</f>
        <v/>
      </c>
      <c r="L57" s="480" t="str">
        <f>IF(ISNUMBER(INDEX('Database.Jan 12 to SEC'!$W$6:$W$191, MATCH($A57&amp;"USD bn", 'Database.Jan 12 to SEC'!$AD$6:$AD$191, 0))), INDEX('Database.Jan 12 to SEC'!$W$6:$W$191, MATCH($A57&amp;"USD bn", 'Database.Jan 12 to SEC'!$AD$6:$AD$191, 0)), "")</f>
        <v/>
      </c>
      <c r="M57"/>
      <c r="N57"/>
      <c r="O57" s="481" t="str">
        <f>IF(ISNUMBER(INDEX('Database.Jan 12 to SEC'!$G$6:$G$191, MATCH($A57&amp;"% GDP", 'Database.Jan 12 to SEC'!$AD$6:$AD$191, 0))), INDEX('Database.Jan 12 to SEC'!$G$6:$G$191, MATCH($A57&amp;"% GDP", 'Database.Jan 12 to SEC'!$AD$6:$AD$191, 0)), "")</f>
        <v/>
      </c>
      <c r="P57" s="480" t="str">
        <f>IF(ISNUMBER(INDEX('Database.Jan 12 to SEC'!$H$6:$H$191, MATCH($A57&amp;"% GDP", 'Database.Jan 12 to SEC'!$AD$6:$AD$191, 0))), INDEX('Database.Jan 12 to SEC'!$H$6:$H$191, MATCH($A57&amp;"% GDP", 'Database.Jan 12 to SEC'!$AD$6:$AD$191, 0)), "")</f>
        <v/>
      </c>
      <c r="Q57" s="480" t="str">
        <f>IF(ISNUMBER(INDEX('Database.Jan 12 to SEC'!$J$6:$J$191, MATCH($A57&amp;"% GDP", 'Database.Jan 12 to SEC'!$AD$6:$AD$191, 0))), INDEX('Database.Jan 12 to SEC'!$J$6:$J$191, MATCH($A57&amp;"% GDP", 'Database.Jan 12 to SEC'!$AD$6:$AD$191, 0)), "")</f>
        <v/>
      </c>
      <c r="R57" s="480" t="str">
        <f>IF(ISNUMBER(INDEX('Database.Jan 12 to SEC'!$L$6:$L$191, MATCH($A57&amp;"% GDP", 'Database.Jan 12 to SEC'!$AD$6:$AD$191, 0))), INDEX('Database.Jan 12 to SEC'!$L$6:$L$191, MATCH($A57&amp;"% GDP", 'Database.Jan 12 to SEC'!$AD$6:$AD$191, 0)), "")</f>
        <v/>
      </c>
      <c r="S57" s="482"/>
      <c r="T57" s="481" t="str">
        <f>IF(ISNUMBER(INDEX('Database.Jan 12 to SEC'!$P$6:$P$191, MATCH($A57&amp;"% GDP", 'Database.Jan 12 to SEC'!$AD$6:$AD$191, 0))), INDEX('Database.Jan 12 to SEC'!$P$6:$P$191, MATCH($A57&amp;"% GDP", 'Database.Jan 12 to SEC'!$AD$6:$AD$191, 0)), "")</f>
        <v/>
      </c>
      <c r="U57" s="480" t="str">
        <f>IF(ISNUMBER(INDEX('Database.Jan 12 to SEC'!$Q$6:$Q$191, MATCH($A57&amp;"% GDP", 'Database.Jan 12 to SEC'!$AD$6:$AD$191, 0))), INDEX('Database.Jan 12 to SEC'!$Q$6:$Q$191, MATCH($A57&amp;"% GDP", 'Database.Jan 12 to SEC'!$AD$6:$AD$191, 0)), "")</f>
        <v/>
      </c>
      <c r="V57" s="483"/>
      <c r="W57" s="480" t="str">
        <f>IF(ISNUMBER(INDEX('Database.Jan 12 to SEC'!$U$6:$U$191, MATCH($A57&amp;"% GDP", 'Database.Jan 12 to SEC'!$AD$6:$AD$191, 0))), INDEX('Database.Jan 12 to SEC'!$U$6:$U$191, MATCH($A57&amp;"% GDP", 'Database.Jan 12 to SEC'!$AD$6:$AD$191, 0)), "")</f>
        <v/>
      </c>
      <c r="X57" s="480" t="str">
        <f>IF(ISNUMBER(INDEX('Database.Jan 12 to SEC'!$W$6:$W$191, MATCH($A57&amp;"% GDP", 'Database.Jan 12 to SEC'!$AD$6:$AD$191, 0))), INDEX('Database.Jan 12 to SEC'!$W$6:$W$191, MATCH($A57&amp;"% GDP", 'Database.Jan 12 to SEC'!$AD$6:$AD$191, 0)), "")</f>
        <v/>
      </c>
      <c r="Z57" s="490"/>
      <c r="AA57" t="s">
        <v>1267</v>
      </c>
      <c r="AC57" s="294"/>
      <c r="AE57" s="7" t="s">
        <v>558</v>
      </c>
      <c r="AF57" s="443">
        <v>59.481808256628398</v>
      </c>
      <c r="AG57" s="438">
        <v>7.6892624776985965</v>
      </c>
      <c r="AH57" s="438">
        <v>51.792545778929799</v>
      </c>
      <c r="AI57" s="438" t="s">
        <v>452</v>
      </c>
      <c r="AJ57" s="437"/>
      <c r="AK57" s="443">
        <v>46.733119713121745</v>
      </c>
      <c r="AL57" s="438">
        <v>1.1716565626081807</v>
      </c>
      <c r="AM57" s="441"/>
      <c r="AN57" s="438">
        <v>45.561463150513568</v>
      </c>
      <c r="AO57" s="438" t="s">
        <v>452</v>
      </c>
      <c r="AP57" s="331"/>
      <c r="AQ57" s="331"/>
      <c r="AR57" s="443">
        <v>7.9111095244692748</v>
      </c>
      <c r="AS57" s="438">
        <v>1.0226756617925596</v>
      </c>
      <c r="AT57" s="438">
        <v>6.888433862676715</v>
      </c>
      <c r="AU57" s="438" t="s">
        <v>452</v>
      </c>
      <c r="AV57" s="437"/>
      <c r="AW57" s="443">
        <v>6.2155277269910725</v>
      </c>
      <c r="AX57" s="438">
        <v>0.15583089457983315</v>
      </c>
      <c r="AY57" s="441"/>
      <c r="AZ57" s="438">
        <v>6.0596968324112392</v>
      </c>
      <c r="BA57" s="438" t="s">
        <v>452</v>
      </c>
    </row>
    <row r="58" spans="1:53">
      <c r="A58" s="33"/>
      <c r="C58"/>
      <c r="D58"/>
      <c r="E58"/>
      <c r="F58"/>
      <c r="G58"/>
      <c r="H58"/>
      <c r="I58"/>
      <c r="J58"/>
      <c r="K58"/>
      <c r="L58"/>
      <c r="M58"/>
      <c r="N58"/>
      <c r="O58"/>
      <c r="P58"/>
      <c r="Q58"/>
      <c r="R58"/>
      <c r="S58"/>
      <c r="T58"/>
      <c r="U58"/>
      <c r="V58"/>
      <c r="W58"/>
      <c r="X58"/>
      <c r="Z58" s="490"/>
      <c r="AF58" s="443" t="s">
        <v>452</v>
      </c>
      <c r="AG58" s="438" t="s">
        <v>452</v>
      </c>
      <c r="AH58" s="438" t="s">
        <v>452</v>
      </c>
      <c r="AI58" s="438" t="s">
        <v>452</v>
      </c>
      <c r="AJ58" s="437"/>
      <c r="AK58" s="443"/>
      <c r="AL58" s="438" t="s">
        <v>452</v>
      </c>
      <c r="AM58" s="441"/>
      <c r="AN58" s="438" t="s">
        <v>452</v>
      </c>
      <c r="AO58" s="438" t="s">
        <v>452</v>
      </c>
      <c r="AP58" s="331"/>
      <c r="AQ58" s="331"/>
      <c r="AR58" s="443" t="s">
        <v>452</v>
      </c>
      <c r="AS58" s="438" t="s">
        <v>452</v>
      </c>
      <c r="AT58" s="438" t="s">
        <v>452</v>
      </c>
      <c r="AU58" s="438" t="s">
        <v>452</v>
      </c>
      <c r="AV58" s="437"/>
      <c r="AW58" s="443"/>
      <c r="AX58" s="438" t="s">
        <v>452</v>
      </c>
      <c r="AY58" s="441"/>
      <c r="AZ58" s="438" t="s">
        <v>452</v>
      </c>
      <c r="BA58" s="438" t="s">
        <v>452</v>
      </c>
    </row>
    <row r="59" spans="1:53">
      <c r="A59" s="442" t="s">
        <v>870</v>
      </c>
      <c r="B59" s="442" t="s">
        <v>870</v>
      </c>
      <c r="C59" s="487"/>
      <c r="D59" s="482"/>
      <c r="E59" s="482"/>
      <c r="F59" s="480"/>
      <c r="G59" s="482"/>
      <c r="H59" s="487"/>
      <c r="I59" s="483" t="str">
        <f>IF(ISNUMBER(INDEX('Database.Jan 12 to SEC'!$Q$6:$Q$191, MATCH($A59&amp;"USD bn", 'Database.Jan 12 to SEC'!$AD$6:$AD$191, 0))), INDEX('Database.Jan 12 to SEC'!$Q$6:$Q$191, MATCH($A59&amp;"USD bn", 'Database.Jan 12 to SEC'!$AD$6:$AD$191, 0)), "")</f>
        <v/>
      </c>
      <c r="J59" s="483"/>
      <c r="K59" s="483" t="str">
        <f>IF(ISNUMBER(INDEX('Database.Jan 12 to SEC'!$U$6:$U$191, MATCH($A59&amp;"USD bn", 'Database.Jan 12 to SEC'!$AD$6:$AD$191, 0))), INDEX('Database.Jan 12 to SEC'!$U$6:$U$191, MATCH($A59&amp;"USD bn", 'Database.Jan 12 to SEC'!$AD$6:$AD$191, 0)), "")</f>
        <v/>
      </c>
      <c r="L59" s="483" t="str">
        <f>IF(ISNUMBER(INDEX('Database.Jan 12 to SEC'!$W$6:$W$191, MATCH($A59&amp;"USD bn", 'Database.Jan 12 to SEC'!$AD$6:$AD$191, 0))), INDEX('Database.Jan 12 to SEC'!$W$6:$W$191, MATCH($A59&amp;"USD bn", 'Database.Jan 12 to SEC'!$AD$6:$AD$191, 0)), "")</f>
        <v/>
      </c>
      <c r="M59"/>
      <c r="N59"/>
      <c r="O59" s="320" t="str">
        <f>IF(ISNUMBER(INDEX('Database.Jan 12 to SEC'!$G$6:$G$191, MATCH($A59&amp;"% GDP", 'Database.Jan 12 to SEC'!$AD$6:$AD$191, 0))), INDEX('Database.Jan 12 to SEC'!$G$6:$G$191, MATCH($A59&amp;"% GDP", 'Database.Jan 12 to SEC'!$AD$6:$AD$191, 0)), "")</f>
        <v/>
      </c>
      <c r="P59" s="300" t="str">
        <f>IF(ISNUMBER(INDEX('Database.Jan 12 to SEC'!$H$6:$H$191, MATCH($A59&amp;"% GDP", 'Database.Jan 12 to SEC'!$AD$6:$AD$191, 0))), INDEX('Database.Jan 12 to SEC'!$H$6:$H$191, MATCH($A59&amp;"% GDP", 'Database.Jan 12 to SEC'!$AD$6:$AD$191, 0)), "")</f>
        <v/>
      </c>
      <c r="Q59" s="300" t="str">
        <f>IF(ISNUMBER(INDEX('Database.Jan 12 to SEC'!$J$6:$J$191, MATCH($A59&amp;"% GDP", 'Database.Jan 12 to SEC'!$AD$6:$AD$191, 0))), INDEX('Database.Jan 12 to SEC'!$J$6:$J$191, MATCH($A59&amp;"% GDP", 'Database.Jan 12 to SEC'!$AD$6:$AD$191, 0)), "")</f>
        <v/>
      </c>
      <c r="R59" s="300" t="str">
        <f>IF(ISNUMBER(INDEX('Database.Jan 12 to SEC'!$L$6:$L$191, MATCH($A59&amp;"% GDP", 'Database.Jan 12 to SEC'!$AD$6:$AD$191, 0))), INDEX('Database.Jan 12 to SEC'!$L$6:$L$191, MATCH($A59&amp;"% GDP", 'Database.Jan 12 to SEC'!$AD$6:$AD$191, 0)), "")</f>
        <v/>
      </c>
      <c r="S59" s="300"/>
      <c r="T59" s="320" t="str">
        <f>IF(ISNUMBER(INDEX('Database.Jan 12 to SEC'!$P$6:$P$191, MATCH($A59&amp;"% GDP", 'Database.Jan 12 to SEC'!$AD$6:$AD$191, 0))), INDEX('Database.Jan 12 to SEC'!$P$6:$P$191, MATCH($A59&amp;"% GDP", 'Database.Jan 12 to SEC'!$AD$6:$AD$191, 0)), "")</f>
        <v/>
      </c>
      <c r="U59" s="300" t="str">
        <f>IF(ISNUMBER(INDEX('Database.Jan 12 to SEC'!$Q$6:$Q$191, MATCH($A59&amp;"% GDP", 'Database.Jan 12 to SEC'!$AD$6:$AD$191, 0))), INDEX('Database.Jan 12 to SEC'!$Q$6:$Q$191, MATCH($A59&amp;"% GDP", 'Database.Jan 12 to SEC'!$AD$6:$AD$191, 0)), "")</f>
        <v/>
      </c>
      <c r="V59" s="300"/>
      <c r="W59" s="300" t="str">
        <f>IF(ISNUMBER(INDEX('Database.Jan 12 to SEC'!$U$6:$U$191, MATCH($A59&amp;"% GDP", 'Database.Jan 12 to SEC'!$AD$6:$AD$191, 0))), INDEX('Database.Jan 12 to SEC'!$U$6:$U$191, MATCH($A59&amp;"% GDP", 'Database.Jan 12 to SEC'!$AD$6:$AD$191, 0)), "")</f>
        <v/>
      </c>
      <c r="X59" s="300" t="str">
        <f>IF(ISNUMBER(INDEX('Database.Jan 12 to SEC'!$W$6:$W$191, MATCH($A59&amp;"% GDP", 'Database.Jan 12 to SEC'!$AD$6:$AD$191, 0))), INDEX('Database.Jan 12 to SEC'!$W$6:$W$191, MATCH($A59&amp;"% GDP", 'Database.Jan 12 to SEC'!$AD$6:$AD$191, 0)), "")</f>
        <v/>
      </c>
      <c r="Z59" s="490"/>
      <c r="AC59" s="301"/>
      <c r="AF59" s="443" t="s">
        <v>452</v>
      </c>
      <c r="AG59" s="438" t="s">
        <v>452</v>
      </c>
      <c r="AH59" s="438" t="s">
        <v>452</v>
      </c>
      <c r="AI59" s="438" t="s">
        <v>452</v>
      </c>
      <c r="AJ59" s="437"/>
      <c r="AK59" s="443"/>
      <c r="AL59" s="438" t="s">
        <v>452</v>
      </c>
      <c r="AM59" s="441"/>
      <c r="AN59" s="438" t="s">
        <v>452</v>
      </c>
      <c r="AO59" s="438" t="s">
        <v>452</v>
      </c>
      <c r="AP59" s="331"/>
      <c r="AQ59" s="331"/>
      <c r="AR59" s="443" t="s">
        <v>452</v>
      </c>
      <c r="AS59" s="438" t="s">
        <v>452</v>
      </c>
      <c r="AT59" s="438" t="s">
        <v>452</v>
      </c>
      <c r="AU59" s="438" t="s">
        <v>452</v>
      </c>
      <c r="AV59" s="437"/>
      <c r="AW59" s="443"/>
      <c r="AX59" s="438" t="s">
        <v>452</v>
      </c>
      <c r="AY59" s="441"/>
      <c r="AZ59" s="438" t="s">
        <v>452</v>
      </c>
      <c r="BA59" s="438" t="s">
        <v>452</v>
      </c>
    </row>
    <row r="60" spans="1:53">
      <c r="A60" s="415" t="s">
        <v>41</v>
      </c>
      <c r="B60" s="415" t="s">
        <v>41</v>
      </c>
      <c r="C60" s="488" t="str">
        <f>IF(ISNUMBER(INDEX('Database.Jan 12 to SEC'!$G$6:$G$191, MATCH($A60&amp;"USD bn", 'Database.Jan 12 to SEC'!$AD$6:$AD$191, 0))), INDEX('Database.Jan 12 to SEC'!$G$6:$G$191, MATCH($A60&amp;"USD bn", 'Database.Jan 12 to SEC'!$AD$6:$AD$191, 0)), "")</f>
        <v/>
      </c>
      <c r="D60" s="480" t="str">
        <f>IF(ISNUMBER(INDEX('Database.Jan 12 to SEC'!$H$6:$H$191, MATCH($A60&amp;"USD bn", 'Database.Jan 12 to SEC'!$AD$6:$AD$191, 0))), INDEX('Database.Jan 12 to SEC'!$H$6:$H$191, MATCH($A60&amp;"USD bn", 'Database.Jan 12 to SEC'!$AD$6:$AD$191, 0)), "")</f>
        <v/>
      </c>
      <c r="E60" s="480" t="str">
        <f>IF(ISNUMBER(INDEX('Database.Jan 12 to SEC'!$J$6:$J$191, MATCH($A60&amp;"USD bn", 'Database.Jan 12 to SEC'!$AD$6:$AD$191, 0))), INDEX('Database.Jan 12 to SEC'!$J$6:$J$191, MATCH($A60&amp;"USD bn", 'Database.Jan 12 to SEC'!$AD$6:$AD$191, 0)), "")</f>
        <v/>
      </c>
      <c r="F60" s="480" t="str">
        <f>IF(ISNUMBER(INDEX('Database.Jan 12 to SEC'!$L$6:$L$191, MATCH($A60&amp;"USD bn", 'Database.Jan 12 to SEC'!$AD$6:$AD$191, 0))), INDEX('Database.Jan 12 to SEC'!$L$6:$L$191, MATCH($A60&amp;"USD bn", 'Database.Jan 12 to SEC'!$AD$6:$AD$191, 0)), "")</f>
        <v/>
      </c>
      <c r="G60" s="482"/>
      <c r="H60" s="481" t="str">
        <f>IF(ISNUMBER(INDEX('Database.Jan 12 to SEC'!$P$6:$P$191, MATCH($A60&amp;"USD bn", 'Database.Jan 12 to SEC'!$AD$6:$AD$191, 0))), INDEX('Database.Jan 12 to SEC'!$P$6:$P$191, MATCH($A60&amp;"USD bn", 'Database.Jan 12 to SEC'!$AD$6:$AD$191, 0)), "")</f>
        <v/>
      </c>
      <c r="I60" s="480" t="str">
        <f>IF(ISNUMBER(INDEX('Database.Jan 12 to SEC'!$Q$6:$Q$191, MATCH($A60&amp;"USD bn", 'Database.Jan 12 to SEC'!$AD$6:$AD$191, 0))), INDEX('Database.Jan 12 to SEC'!$Q$6:$Q$191, MATCH($A60&amp;"USD bn", 'Database.Jan 12 to SEC'!$AD$6:$AD$191, 0)), "")</f>
        <v/>
      </c>
      <c r="J60" s="483"/>
      <c r="K60" s="480" t="str">
        <f>IF(ISNUMBER(INDEX('Database.Jan 12 to SEC'!$U$6:$U$191, MATCH($A60&amp;"USD bn", 'Database.Jan 12 to SEC'!$AD$6:$AD$191, 0))), INDEX('Database.Jan 12 to SEC'!$U$6:$U$191, MATCH($A60&amp;"USD bn", 'Database.Jan 12 to SEC'!$AD$6:$AD$191, 0)), "")</f>
        <v/>
      </c>
      <c r="L60" s="480" t="str">
        <f>IF(ISNUMBER(INDEX('Database.Jan 12 to SEC'!$W$6:$W$191, MATCH($A60&amp;"USD bn", 'Database.Jan 12 to SEC'!$AD$6:$AD$191, 0))), INDEX('Database.Jan 12 to SEC'!$W$6:$W$191, MATCH($A60&amp;"USD bn", 'Database.Jan 12 to SEC'!$AD$6:$AD$191, 0)), "")</f>
        <v/>
      </c>
      <c r="M60"/>
      <c r="N60"/>
      <c r="O60" s="481" t="str">
        <f>IF(ISNUMBER(INDEX('Database.Jan 12 to SEC'!$G$6:$G$191, MATCH($A60&amp;"% GDP", 'Database.Jan 12 to SEC'!$AD$6:$AD$191, 0))), INDEX('Database.Jan 12 to SEC'!$G$6:$G$191, MATCH($A60&amp;"% GDP", 'Database.Jan 12 to SEC'!$AD$6:$AD$191, 0)), "")</f>
        <v/>
      </c>
      <c r="P60" s="480" t="str">
        <f>IF(ISNUMBER(INDEX('Database.Jan 12 to SEC'!$H$6:$H$191, MATCH($A60&amp;"% GDP", 'Database.Jan 12 to SEC'!$AD$6:$AD$191, 0))), INDEX('Database.Jan 12 to SEC'!$H$6:$H$191, MATCH($A60&amp;"% GDP", 'Database.Jan 12 to SEC'!$AD$6:$AD$191, 0)), "")</f>
        <v/>
      </c>
      <c r="Q60" s="480" t="str">
        <f>IF(ISNUMBER(INDEX('Database.Jan 12 to SEC'!$J$6:$J$191, MATCH($A60&amp;"% GDP", 'Database.Jan 12 to SEC'!$AD$6:$AD$191, 0))), INDEX('Database.Jan 12 to SEC'!$J$6:$J$191, MATCH($A60&amp;"% GDP", 'Database.Jan 12 to SEC'!$AD$6:$AD$191, 0)), "")</f>
        <v/>
      </c>
      <c r="R60" s="480" t="str">
        <f>IF(ISNUMBER(INDEX('Database.Jan 12 to SEC'!$L$6:$L$191, MATCH($A60&amp;"% GDP", 'Database.Jan 12 to SEC'!$AD$6:$AD$191, 0))), INDEX('Database.Jan 12 to SEC'!$L$6:$L$191, MATCH($A60&amp;"% GDP", 'Database.Jan 12 to SEC'!$AD$6:$AD$191, 0)), "")</f>
        <v/>
      </c>
      <c r="S60" s="482"/>
      <c r="T60" s="481" t="str">
        <f>IF(ISNUMBER(INDEX('Database.Jan 12 to SEC'!$P$6:$P$191, MATCH($A60&amp;"% GDP", 'Database.Jan 12 to SEC'!$AD$6:$AD$191, 0))), INDEX('Database.Jan 12 to SEC'!$P$6:$P$191, MATCH($A60&amp;"% GDP", 'Database.Jan 12 to SEC'!$AD$6:$AD$191, 0)), "")</f>
        <v/>
      </c>
      <c r="U60" s="480" t="str">
        <f>IF(ISNUMBER(INDEX('Database.Jan 12 to SEC'!$Q$6:$Q$191, MATCH($A60&amp;"% GDP", 'Database.Jan 12 to SEC'!$AD$6:$AD$191, 0))), INDEX('Database.Jan 12 to SEC'!$Q$6:$Q$191, MATCH($A60&amp;"% GDP", 'Database.Jan 12 to SEC'!$AD$6:$AD$191, 0)), "")</f>
        <v/>
      </c>
      <c r="V60" s="483"/>
      <c r="W60" s="480" t="str">
        <f>IF(ISNUMBER(INDEX('Database.Jan 12 to SEC'!$U$6:$U$191, MATCH($A60&amp;"% GDP", 'Database.Jan 12 to SEC'!$AD$6:$AD$191, 0))), INDEX('Database.Jan 12 to SEC'!$U$6:$U$191, MATCH($A60&amp;"% GDP", 'Database.Jan 12 to SEC'!$AD$6:$AD$191, 0)), "")</f>
        <v/>
      </c>
      <c r="X60" s="480" t="str">
        <f>IF(ISNUMBER(INDEX('Database.Jan 12 to SEC'!$W$6:$W$191, MATCH($A60&amp;"% GDP", 'Database.Jan 12 to SEC'!$AD$6:$AD$191, 0))), INDEX('Database.Jan 12 to SEC'!$W$6:$W$191, MATCH($A60&amp;"% GDP", 'Database.Jan 12 to SEC'!$AD$6:$AD$191, 0)), "")</f>
        <v/>
      </c>
      <c r="Z60" s="490"/>
      <c r="AA60" t="s">
        <v>1267</v>
      </c>
      <c r="AB60" t="s">
        <v>1275</v>
      </c>
      <c r="AC60" s="299"/>
      <c r="AF60" s="443">
        <v>0.33382004491368428</v>
      </c>
      <c r="AG60" s="438">
        <v>0.16783217727704566</v>
      </c>
      <c r="AH60" s="438">
        <v>0.16598786763663861</v>
      </c>
      <c r="AI60" s="438" t="s">
        <v>452</v>
      </c>
      <c r="AJ60" s="437"/>
      <c r="AK60" s="443">
        <v>0.23976025325292241</v>
      </c>
      <c r="AL60" s="438" t="s">
        <v>452</v>
      </c>
      <c r="AM60" s="441"/>
      <c r="AN60" s="438">
        <v>0.23976025325292241</v>
      </c>
      <c r="AO60" s="438" t="s">
        <v>452</v>
      </c>
      <c r="AP60" s="331"/>
      <c r="AQ60" s="331"/>
      <c r="AR60" s="443">
        <v>2.2512745821149296</v>
      </c>
      <c r="AS60" s="438">
        <v>1.1318562816157931</v>
      </c>
      <c r="AT60" s="438">
        <v>1.1194183004991365</v>
      </c>
      <c r="AU60" s="438" t="s">
        <v>452</v>
      </c>
      <c r="AV60" s="437"/>
      <c r="AW60" s="443">
        <v>1.6169375451654189</v>
      </c>
      <c r="AX60" s="438" t="s">
        <v>452</v>
      </c>
      <c r="AY60" s="441"/>
      <c r="AZ60" s="438">
        <v>1.6169375451654189</v>
      </c>
      <c r="BA60" s="438" t="s">
        <v>452</v>
      </c>
    </row>
    <row r="61" spans="1:53">
      <c r="A61" s="415" t="s">
        <v>1027</v>
      </c>
      <c r="B61" s="415" t="s">
        <v>1027</v>
      </c>
      <c r="C61" s="488">
        <v>1.7800000000000002</v>
      </c>
      <c r="D61" s="480">
        <v>0.91243697478991603</v>
      </c>
      <c r="E61" s="480">
        <v>0.8675630252100841</v>
      </c>
      <c r="F61" s="480" t="s">
        <v>452</v>
      </c>
      <c r="G61" s="482"/>
      <c r="H61" s="481" t="s">
        <v>452</v>
      </c>
      <c r="I61" s="480" t="s">
        <v>452</v>
      </c>
      <c r="J61" s="483"/>
      <c r="K61" s="480" t="s">
        <v>452</v>
      </c>
      <c r="L61" s="480" t="s">
        <v>452</v>
      </c>
      <c r="M61"/>
      <c r="N61"/>
      <c r="O61" s="481">
        <v>1.3018269335958867</v>
      </c>
      <c r="P61" s="480">
        <v>0.66732304999453018</v>
      </c>
      <c r="Q61" s="480">
        <v>0.63450388360135657</v>
      </c>
      <c r="R61" s="480" t="s">
        <v>452</v>
      </c>
      <c r="S61" s="482"/>
      <c r="T61" s="481" t="s">
        <v>452</v>
      </c>
      <c r="U61" s="480" t="s">
        <v>452</v>
      </c>
      <c r="V61" s="483"/>
      <c r="W61" s="480" t="s">
        <v>452</v>
      </c>
      <c r="X61" s="480" t="s">
        <v>452</v>
      </c>
      <c r="Z61" s="490"/>
      <c r="AA61" t="s">
        <v>1267</v>
      </c>
      <c r="AC61" s="403"/>
      <c r="AF61" s="443">
        <v>1.7800000000000002</v>
      </c>
      <c r="AG61" s="438">
        <v>0.91243697478991603</v>
      </c>
      <c r="AH61" s="438">
        <v>0.8675630252100841</v>
      </c>
      <c r="AI61" s="438" t="s">
        <v>452</v>
      </c>
      <c r="AJ61" s="437"/>
      <c r="AK61" s="443" t="s">
        <v>452</v>
      </c>
      <c r="AL61" s="438" t="s">
        <v>452</v>
      </c>
      <c r="AM61" s="441"/>
      <c r="AN61" s="438" t="s">
        <v>452</v>
      </c>
      <c r="AO61" s="438" t="s">
        <v>452</v>
      </c>
      <c r="AP61" s="331"/>
      <c r="AQ61" s="331"/>
      <c r="AR61" s="443">
        <v>1.3018269335958867</v>
      </c>
      <c r="AS61" s="438">
        <v>0.66732304999453018</v>
      </c>
      <c r="AT61" s="438">
        <v>0.63450388360135657</v>
      </c>
      <c r="AU61" s="438" t="s">
        <v>452</v>
      </c>
      <c r="AV61" s="437"/>
      <c r="AW61" s="443" t="s">
        <v>452</v>
      </c>
      <c r="AX61" s="438" t="s">
        <v>452</v>
      </c>
      <c r="AY61" s="441"/>
      <c r="AZ61" s="438" t="s">
        <v>452</v>
      </c>
      <c r="BA61" s="438" t="s">
        <v>452</v>
      </c>
    </row>
    <row r="62" spans="1:53">
      <c r="A62" s="415" t="s">
        <v>1028</v>
      </c>
      <c r="B62" s="415" t="s">
        <v>1028</v>
      </c>
      <c r="C62" s="488">
        <v>0.30270184555643093</v>
      </c>
      <c r="D62" s="480" t="s">
        <v>452</v>
      </c>
      <c r="E62" s="480" t="s">
        <v>452</v>
      </c>
      <c r="F62" s="480" t="s">
        <v>452</v>
      </c>
      <c r="G62" s="482"/>
      <c r="H62" s="481" t="s">
        <v>452</v>
      </c>
      <c r="I62" s="480" t="s">
        <v>452</v>
      </c>
      <c r="J62" s="483"/>
      <c r="K62" s="480" t="s">
        <v>452</v>
      </c>
      <c r="L62" s="480" t="s">
        <v>452</v>
      </c>
      <c r="M62"/>
      <c r="N62"/>
      <c r="O62" s="481">
        <v>0.51853837302572692</v>
      </c>
      <c r="P62" s="480" t="s">
        <v>452</v>
      </c>
      <c r="Q62" s="480" t="s">
        <v>452</v>
      </c>
      <c r="R62" s="480" t="s">
        <v>452</v>
      </c>
      <c r="S62" s="482"/>
      <c r="T62" s="481" t="s">
        <v>452</v>
      </c>
      <c r="U62" s="480" t="s">
        <v>452</v>
      </c>
      <c r="V62" s="483"/>
      <c r="W62" s="480" t="s">
        <v>452</v>
      </c>
      <c r="X62" s="480" t="s">
        <v>452</v>
      </c>
      <c r="Z62" s="490"/>
      <c r="AA62" t="s">
        <v>1267</v>
      </c>
      <c r="AC62" s="403"/>
      <c r="AF62" s="443">
        <v>0.30270184555643093</v>
      </c>
      <c r="AG62" s="438" t="s">
        <v>452</v>
      </c>
      <c r="AH62" s="438" t="s">
        <v>452</v>
      </c>
      <c r="AI62" s="438" t="s">
        <v>452</v>
      </c>
      <c r="AJ62" s="437"/>
      <c r="AK62" s="443" t="s">
        <v>452</v>
      </c>
      <c r="AL62" s="438" t="s">
        <v>452</v>
      </c>
      <c r="AM62" s="441"/>
      <c r="AN62" s="438" t="s">
        <v>452</v>
      </c>
      <c r="AO62" s="438" t="s">
        <v>452</v>
      </c>
      <c r="AP62" s="331"/>
      <c r="AQ62" s="331"/>
      <c r="AR62" s="443">
        <v>0.51853837302572692</v>
      </c>
      <c r="AS62" s="438" t="s">
        <v>452</v>
      </c>
      <c r="AT62" s="438" t="s">
        <v>452</v>
      </c>
      <c r="AU62" s="438" t="s">
        <v>452</v>
      </c>
      <c r="AV62" s="437"/>
      <c r="AW62" s="443" t="s">
        <v>452</v>
      </c>
      <c r="AX62" s="438" t="s">
        <v>452</v>
      </c>
      <c r="AY62" s="441"/>
      <c r="AZ62" s="438" t="s">
        <v>452</v>
      </c>
      <c r="BA62" s="438" t="s">
        <v>452</v>
      </c>
    </row>
    <row r="63" spans="1:53" hidden="1">
      <c r="A63" s="415" t="s">
        <v>1029</v>
      </c>
      <c r="B63" s="415" t="s">
        <v>1029</v>
      </c>
      <c r="C63" s="488" t="s">
        <v>452</v>
      </c>
      <c r="D63" s="480" t="s">
        <v>452</v>
      </c>
      <c r="E63" s="480" t="s">
        <v>452</v>
      </c>
      <c r="F63" s="480" t="s">
        <v>452</v>
      </c>
      <c r="G63" s="482"/>
      <c r="H63" s="481" t="s">
        <v>452</v>
      </c>
      <c r="I63" s="480" t="s">
        <v>452</v>
      </c>
      <c r="J63" s="483"/>
      <c r="K63" s="480" t="s">
        <v>452</v>
      </c>
      <c r="L63" s="480" t="s">
        <v>452</v>
      </c>
      <c r="M63"/>
      <c r="N63"/>
      <c r="O63" s="481" t="s">
        <v>452</v>
      </c>
      <c r="P63" s="480" t="s">
        <v>452</v>
      </c>
      <c r="Q63" s="480" t="s">
        <v>452</v>
      </c>
      <c r="R63" s="480" t="s">
        <v>452</v>
      </c>
      <c r="S63" s="482"/>
      <c r="T63" s="481" t="s">
        <v>452</v>
      </c>
      <c r="U63" s="480" t="s">
        <v>452</v>
      </c>
      <c r="V63" s="483"/>
      <c r="W63" s="480" t="s">
        <v>452</v>
      </c>
      <c r="X63" s="480" t="s">
        <v>452</v>
      </c>
      <c r="Z63" s="490"/>
      <c r="AA63" t="s">
        <v>1267</v>
      </c>
      <c r="AC63" s="403"/>
      <c r="AF63" s="443" t="s">
        <v>452</v>
      </c>
      <c r="AG63" s="438" t="s">
        <v>452</v>
      </c>
      <c r="AH63" s="438" t="s">
        <v>452</v>
      </c>
      <c r="AI63" s="438" t="s">
        <v>452</v>
      </c>
      <c r="AJ63" s="437"/>
      <c r="AK63" s="443" t="s">
        <v>452</v>
      </c>
      <c r="AL63" s="438" t="s">
        <v>452</v>
      </c>
      <c r="AM63" s="441"/>
      <c r="AN63" s="438" t="s">
        <v>452</v>
      </c>
      <c r="AO63" s="438" t="s">
        <v>452</v>
      </c>
      <c r="AP63" s="331"/>
      <c r="AQ63" s="331"/>
      <c r="AR63" s="443" t="s">
        <v>452</v>
      </c>
      <c r="AS63" s="438" t="s">
        <v>452</v>
      </c>
      <c r="AT63" s="438" t="s">
        <v>452</v>
      </c>
      <c r="AU63" s="438" t="s">
        <v>452</v>
      </c>
      <c r="AV63" s="437"/>
      <c r="AW63" s="443" t="s">
        <v>452</v>
      </c>
      <c r="AX63" s="438" t="s">
        <v>452</v>
      </c>
      <c r="AY63" s="441"/>
      <c r="AZ63" s="438" t="s">
        <v>452</v>
      </c>
      <c r="BA63" s="438" t="s">
        <v>452</v>
      </c>
    </row>
    <row r="64" spans="1:53">
      <c r="A64" s="415" t="s">
        <v>1030</v>
      </c>
      <c r="B64" s="415" t="s">
        <v>1030</v>
      </c>
      <c r="C64" s="488">
        <v>7.7777777777777765E-2</v>
      </c>
      <c r="D64" s="480">
        <v>3.7037037037037034E-3</v>
      </c>
      <c r="E64" s="480">
        <v>7.4074074074074056E-2</v>
      </c>
      <c r="F64" s="480" t="s">
        <v>452</v>
      </c>
      <c r="G64" s="482"/>
      <c r="H64" s="481" t="s">
        <v>452</v>
      </c>
      <c r="I64" s="480">
        <v>0</v>
      </c>
      <c r="J64" s="483"/>
      <c r="K64" s="480" t="s">
        <v>452</v>
      </c>
      <c r="L64" s="480" t="s">
        <v>452</v>
      </c>
      <c r="M64"/>
      <c r="N64"/>
      <c r="O64" s="481">
        <v>5.676803049266729</v>
      </c>
      <c r="P64" s="480">
        <v>0.27032395472698711</v>
      </c>
      <c r="Q64" s="480">
        <v>5.4064790945397423</v>
      </c>
      <c r="R64" s="480" t="s">
        <v>452</v>
      </c>
      <c r="S64" s="482"/>
      <c r="T64" s="481" t="s">
        <v>452</v>
      </c>
      <c r="U64" s="480">
        <v>0</v>
      </c>
      <c r="V64" s="483"/>
      <c r="W64" s="480" t="s">
        <v>452</v>
      </c>
      <c r="X64" s="480" t="s">
        <v>452</v>
      </c>
      <c r="Z64" s="490"/>
      <c r="AA64" t="s">
        <v>1267</v>
      </c>
      <c r="AC64" s="403"/>
      <c r="AF64" s="443">
        <v>7.7777777777777765E-2</v>
      </c>
      <c r="AG64" s="438">
        <v>3.7037037037037034E-3</v>
      </c>
      <c r="AH64" s="438">
        <v>7.4074074074074056E-2</v>
      </c>
      <c r="AI64" s="438" t="s">
        <v>452</v>
      </c>
      <c r="AJ64" s="437"/>
      <c r="AK64" s="443" t="s">
        <v>452</v>
      </c>
      <c r="AL64" s="438">
        <v>0</v>
      </c>
      <c r="AM64" s="441"/>
      <c r="AN64" s="438" t="s">
        <v>452</v>
      </c>
      <c r="AO64" s="438" t="s">
        <v>452</v>
      </c>
      <c r="AP64" s="331"/>
      <c r="AQ64" s="331"/>
      <c r="AR64" s="443">
        <v>5.676803049266729</v>
      </c>
      <c r="AS64" s="438">
        <v>0.27032395472698711</v>
      </c>
      <c r="AT64" s="438">
        <v>5.4064790945397423</v>
      </c>
      <c r="AU64" s="438" t="s">
        <v>452</v>
      </c>
      <c r="AV64" s="437"/>
      <c r="AW64" s="443" t="s">
        <v>452</v>
      </c>
      <c r="AX64" s="438">
        <v>0</v>
      </c>
      <c r="AY64" s="441"/>
      <c r="AZ64" s="438" t="s">
        <v>452</v>
      </c>
      <c r="BA64" s="438" t="s">
        <v>452</v>
      </c>
    </row>
    <row r="65" spans="1:53">
      <c r="A65" s="415" t="s">
        <v>1031</v>
      </c>
      <c r="B65" s="415" t="s">
        <v>1031</v>
      </c>
      <c r="C65" s="488">
        <v>0.17147845103623999</v>
      </c>
      <c r="D65" s="480">
        <v>6.50660545848806E-2</v>
      </c>
      <c r="E65" s="480">
        <v>0.10641239645135939</v>
      </c>
      <c r="F65" s="480">
        <v>0.13292192740086201</v>
      </c>
      <c r="G65" s="482"/>
      <c r="H65" s="481">
        <v>0.133944403765484</v>
      </c>
      <c r="I65" s="480">
        <v>3.2164948453608247E-2</v>
      </c>
      <c r="J65" s="483"/>
      <c r="K65" s="480">
        <v>0.10177945531187575</v>
      </c>
      <c r="L65" s="480" t="s">
        <v>452</v>
      </c>
      <c r="M65"/>
      <c r="N65"/>
      <c r="O65" s="481">
        <v>1.3560968844305261</v>
      </c>
      <c r="P65" s="480">
        <v>0.51455954594607045</v>
      </c>
      <c r="Q65" s="480">
        <v>0.84153733848445567</v>
      </c>
      <c r="R65" s="480">
        <v>1.0514967967929543</v>
      </c>
      <c r="S65" s="482"/>
      <c r="T65" s="481">
        <v>1.05958523369136</v>
      </c>
      <c r="U65" s="480">
        <v>0.254368908292671</v>
      </c>
      <c r="V65" s="483"/>
      <c r="W65" s="480">
        <v>0.80521632539868904</v>
      </c>
      <c r="X65" s="480">
        <v>0</v>
      </c>
      <c r="Z65" s="490"/>
      <c r="AA65" t="s">
        <v>1267</v>
      </c>
      <c r="AC65" s="403"/>
      <c r="AF65" s="443">
        <v>0.17147845103623999</v>
      </c>
      <c r="AG65" s="438">
        <v>6.50660545848806E-2</v>
      </c>
      <c r="AH65" s="438">
        <v>0.10641239645135939</v>
      </c>
      <c r="AI65" s="438">
        <v>0.13292192740086201</v>
      </c>
      <c r="AJ65" s="437"/>
      <c r="AK65" s="443">
        <v>0.133944403765484</v>
      </c>
      <c r="AL65" s="438">
        <v>3.2164948453608247E-2</v>
      </c>
      <c r="AM65" s="441"/>
      <c r="AN65" s="438">
        <v>0.10177945531187575</v>
      </c>
      <c r="AO65" s="438" t="s">
        <v>452</v>
      </c>
      <c r="AP65" s="331"/>
      <c r="AQ65" s="331"/>
      <c r="AR65" s="443">
        <v>1.3560968844305261</v>
      </c>
      <c r="AS65" s="438">
        <v>0.51455954594607045</v>
      </c>
      <c r="AT65" s="438">
        <v>0.84153733848445567</v>
      </c>
      <c r="AU65" s="438">
        <v>1.0514967967929543</v>
      </c>
      <c r="AV65" s="437"/>
      <c r="AW65" s="443">
        <v>1.05958523369136</v>
      </c>
      <c r="AX65" s="438">
        <v>0.254368908292671</v>
      </c>
      <c r="AY65" s="441"/>
      <c r="AZ65" s="438">
        <v>0.80521632539868904</v>
      </c>
      <c r="BA65" s="438">
        <v>0</v>
      </c>
    </row>
    <row r="66" spans="1:53">
      <c r="A66" s="415" t="s">
        <v>1032</v>
      </c>
      <c r="B66" s="415" t="s">
        <v>1032</v>
      </c>
      <c r="C66" s="488">
        <v>0.22905027932960892</v>
      </c>
      <c r="D66" s="480">
        <v>8.9385474860335198E-2</v>
      </c>
      <c r="E66" s="480">
        <v>0.13966480446927373</v>
      </c>
      <c r="F66" s="480" t="s">
        <v>452</v>
      </c>
      <c r="G66" s="482"/>
      <c r="H66" s="481" t="s">
        <v>452</v>
      </c>
      <c r="I66" s="480" t="s">
        <v>452</v>
      </c>
      <c r="J66" s="483"/>
      <c r="K66" s="480" t="s">
        <v>452</v>
      </c>
      <c r="L66" s="480" t="s">
        <v>452</v>
      </c>
      <c r="M66"/>
      <c r="N66"/>
      <c r="O66" s="481">
        <v>9.1737862852004071</v>
      </c>
      <c r="P66" s="480">
        <v>3.5800141600782078</v>
      </c>
      <c r="Q66" s="480">
        <v>5.5937721251221992</v>
      </c>
      <c r="R66" s="480" t="s">
        <v>452</v>
      </c>
      <c r="S66" s="482"/>
      <c r="T66" s="481" t="s">
        <v>452</v>
      </c>
      <c r="U66" s="480" t="s">
        <v>452</v>
      </c>
      <c r="V66" s="483"/>
      <c r="W66" s="480" t="s">
        <v>452</v>
      </c>
      <c r="X66" s="480" t="s">
        <v>452</v>
      </c>
      <c r="Z66" s="490"/>
      <c r="AA66" t="s">
        <v>1267</v>
      </c>
      <c r="AC66" s="403"/>
      <c r="AF66" s="443">
        <v>0.22905027932960892</v>
      </c>
      <c r="AG66" s="438">
        <v>8.9385474860335198E-2</v>
      </c>
      <c r="AH66" s="438">
        <v>0.13966480446927373</v>
      </c>
      <c r="AI66" s="438" t="s">
        <v>452</v>
      </c>
      <c r="AJ66" s="437"/>
      <c r="AK66" s="443" t="s">
        <v>452</v>
      </c>
      <c r="AL66" s="438" t="s">
        <v>452</v>
      </c>
      <c r="AM66" s="441"/>
      <c r="AN66" s="438" t="s">
        <v>452</v>
      </c>
      <c r="AO66" s="438" t="s">
        <v>452</v>
      </c>
      <c r="AP66" s="331"/>
      <c r="AQ66" s="331"/>
      <c r="AR66" s="443">
        <v>9.1737862852004071</v>
      </c>
      <c r="AS66" s="438">
        <v>3.5800141600782078</v>
      </c>
      <c r="AT66" s="438">
        <v>5.5937721251221992</v>
      </c>
      <c r="AU66" s="438" t="s">
        <v>452</v>
      </c>
      <c r="AV66" s="437"/>
      <c r="AW66" s="443" t="s">
        <v>452</v>
      </c>
      <c r="AX66" s="438" t="s">
        <v>452</v>
      </c>
      <c r="AY66" s="441"/>
      <c r="AZ66" s="438" t="s">
        <v>452</v>
      </c>
      <c r="BA66" s="438" t="s">
        <v>452</v>
      </c>
    </row>
    <row r="67" spans="1:53">
      <c r="A67" s="415" t="s">
        <v>1033</v>
      </c>
      <c r="B67" s="415" t="s">
        <v>1033</v>
      </c>
      <c r="C67" s="488">
        <v>1.0470588235294118</v>
      </c>
      <c r="D67" s="480">
        <v>0.37058823529411766</v>
      </c>
      <c r="E67" s="480">
        <v>0.67647058823529416</v>
      </c>
      <c r="F67" s="480" t="s">
        <v>452</v>
      </c>
      <c r="G67" s="482"/>
      <c r="H67" s="481">
        <v>1.1462611764705881</v>
      </c>
      <c r="I67" s="480">
        <v>0.85214352941176463</v>
      </c>
      <c r="J67" s="483"/>
      <c r="K67" s="480">
        <v>0.29411764705882354</v>
      </c>
      <c r="L67" s="480" t="s">
        <v>452</v>
      </c>
      <c r="M67"/>
      <c r="N67"/>
      <c r="O67" s="481">
        <v>2.4574705724801955</v>
      </c>
      <c r="P67" s="480">
        <v>0.86977891048456346</v>
      </c>
      <c r="Q67" s="480">
        <v>1.5876916619956321</v>
      </c>
      <c r="R67" s="480" t="s">
        <v>452</v>
      </c>
      <c r="S67" s="482"/>
      <c r="T67" s="481">
        <v>2.6903007226067963</v>
      </c>
      <c r="U67" s="480">
        <v>2</v>
      </c>
      <c r="V67" s="483"/>
      <c r="W67" s="480">
        <v>0.69030072260679642</v>
      </c>
      <c r="X67" s="480" t="s">
        <v>452</v>
      </c>
      <c r="Z67" s="490"/>
      <c r="AA67" t="s">
        <v>1267</v>
      </c>
      <c r="AC67" s="403"/>
      <c r="AF67" s="443">
        <v>1.0470588235294118</v>
      </c>
      <c r="AG67" s="438">
        <v>0.37058823529411766</v>
      </c>
      <c r="AH67" s="438">
        <v>0.67647058823529416</v>
      </c>
      <c r="AI67" s="438" t="s">
        <v>452</v>
      </c>
      <c r="AJ67" s="437"/>
      <c r="AK67" s="443">
        <v>1.1462611764705881</v>
      </c>
      <c r="AL67" s="438">
        <v>0.85214352941176463</v>
      </c>
      <c r="AM67" s="441"/>
      <c r="AN67" s="438">
        <v>0.29411764705882354</v>
      </c>
      <c r="AO67" s="438" t="s">
        <v>452</v>
      </c>
      <c r="AP67" s="331"/>
      <c r="AQ67" s="331"/>
      <c r="AR67" s="443">
        <v>2.4574705724801955</v>
      </c>
      <c r="AS67" s="438">
        <v>0.86977891048456346</v>
      </c>
      <c r="AT67" s="438">
        <v>1.5876916619956321</v>
      </c>
      <c r="AU67" s="438" t="s">
        <v>452</v>
      </c>
      <c r="AV67" s="437"/>
      <c r="AW67" s="443">
        <v>2.6903007226067963</v>
      </c>
      <c r="AX67" s="438">
        <v>2</v>
      </c>
      <c r="AY67" s="441"/>
      <c r="AZ67" s="438">
        <v>0.69030072260679642</v>
      </c>
      <c r="BA67" s="438" t="s">
        <v>452</v>
      </c>
    </row>
    <row r="68" spans="1:53">
      <c r="A68" s="415" t="s">
        <v>1034</v>
      </c>
      <c r="B68" s="415" t="s">
        <v>1034</v>
      </c>
      <c r="C68" s="488">
        <v>0.35</v>
      </c>
      <c r="D68" s="480">
        <v>0.02</v>
      </c>
      <c r="E68" s="480">
        <v>0.32999999999999996</v>
      </c>
      <c r="F68" s="480">
        <v>7.0000000000000007E-2</v>
      </c>
      <c r="G68" s="482"/>
      <c r="H68" s="481">
        <v>0.02</v>
      </c>
      <c r="I68" s="480">
        <v>0.02</v>
      </c>
      <c r="J68" s="483"/>
      <c r="K68" s="480" t="s">
        <v>452</v>
      </c>
      <c r="L68" s="480" t="s">
        <v>452</v>
      </c>
      <c r="M68"/>
      <c r="N68"/>
      <c r="O68" s="481">
        <v>3.5326772646984606</v>
      </c>
      <c r="P68" s="480">
        <v>0.20186727226848347</v>
      </c>
      <c r="Q68" s="480">
        <v>3.3308099924299772</v>
      </c>
      <c r="R68" s="480">
        <v>0.70653545293969211</v>
      </c>
      <c r="S68" s="482"/>
      <c r="T68" s="481">
        <v>0.20186727226848347</v>
      </c>
      <c r="U68" s="480">
        <v>0.20186727226848347</v>
      </c>
      <c r="V68" s="483"/>
      <c r="W68" s="480" t="s">
        <v>452</v>
      </c>
      <c r="X68" s="480" t="s">
        <v>452</v>
      </c>
      <c r="Z68" s="490"/>
      <c r="AA68" t="s">
        <v>1267</v>
      </c>
      <c r="AC68" s="403"/>
      <c r="AF68" s="443">
        <v>0.35</v>
      </c>
      <c r="AG68" s="438">
        <v>0.02</v>
      </c>
      <c r="AH68" s="438">
        <v>0.32999999999999996</v>
      </c>
      <c r="AI68" s="438">
        <v>7.0000000000000007E-2</v>
      </c>
      <c r="AJ68" s="437"/>
      <c r="AK68" s="443">
        <v>0.02</v>
      </c>
      <c r="AL68" s="438">
        <v>0.02</v>
      </c>
      <c r="AM68" s="441"/>
      <c r="AN68" s="438" t="s">
        <v>452</v>
      </c>
      <c r="AO68" s="438" t="s">
        <v>452</v>
      </c>
      <c r="AP68" s="331"/>
      <c r="AQ68" s="331"/>
      <c r="AR68" s="443">
        <v>3.5326772646984606</v>
      </c>
      <c r="AS68" s="438">
        <v>0.20186727226848347</v>
      </c>
      <c r="AT68" s="438">
        <v>3.3308099924299772</v>
      </c>
      <c r="AU68" s="438">
        <v>0.70653545293969211</v>
      </c>
      <c r="AV68" s="437"/>
      <c r="AW68" s="443">
        <v>0.20186727226848347</v>
      </c>
      <c r="AX68" s="438">
        <v>0.20186727226848347</v>
      </c>
      <c r="AY68" s="441"/>
      <c r="AZ68" s="438" t="s">
        <v>452</v>
      </c>
      <c r="BA68" s="438" t="s">
        <v>452</v>
      </c>
    </row>
    <row r="69" spans="1:53">
      <c r="A69" s="415" t="s">
        <v>26</v>
      </c>
      <c r="B69" s="415" t="s">
        <v>26</v>
      </c>
      <c r="C69" s="488">
        <v>0.95744680851063824</v>
      </c>
      <c r="D69" s="480">
        <v>0.50531914893617025</v>
      </c>
      <c r="E69" s="480">
        <v>0.45212765957446804</v>
      </c>
      <c r="F69" s="480">
        <v>0</v>
      </c>
      <c r="G69" s="482"/>
      <c r="H69" s="481">
        <v>0.93085106382978722</v>
      </c>
      <c r="I69" s="480">
        <v>0.66489361702127658</v>
      </c>
      <c r="J69" s="483"/>
      <c r="K69" s="480">
        <v>0.26595744680851063</v>
      </c>
      <c r="L69" s="480">
        <v>0</v>
      </c>
      <c r="M69"/>
      <c r="N69"/>
      <c r="O69" s="481">
        <v>2.756890503201439</v>
      </c>
      <c r="P69" s="480">
        <v>1.4550255433563151</v>
      </c>
      <c r="Q69" s="480">
        <v>1.3018649598451237</v>
      </c>
      <c r="R69" s="480">
        <v>0</v>
      </c>
      <c r="S69" s="482"/>
      <c r="T69" s="481">
        <v>2.6803102114458435</v>
      </c>
      <c r="U69" s="480">
        <v>1.9145072938898882</v>
      </c>
      <c r="V69" s="483"/>
      <c r="W69" s="480">
        <v>0.76580291755595531</v>
      </c>
      <c r="X69" s="480">
        <v>0</v>
      </c>
      <c r="Z69" s="490"/>
      <c r="AA69" t="s">
        <v>1267</v>
      </c>
      <c r="AC69" s="403"/>
      <c r="AF69" s="443">
        <v>0.95744680851063824</v>
      </c>
      <c r="AG69" s="438">
        <v>0.50531914893617025</v>
      </c>
      <c r="AH69" s="438">
        <v>0.45212765957446804</v>
      </c>
      <c r="AI69" s="438">
        <v>0</v>
      </c>
      <c r="AJ69" s="437"/>
      <c r="AK69" s="443">
        <v>0.93085106382978722</v>
      </c>
      <c r="AL69" s="438">
        <v>0.66489361702127658</v>
      </c>
      <c r="AM69" s="441"/>
      <c r="AN69" s="438">
        <v>0.26595744680851063</v>
      </c>
      <c r="AO69" s="438">
        <v>0</v>
      </c>
      <c r="AP69" s="331"/>
      <c r="AQ69" s="331"/>
      <c r="AR69" s="443">
        <v>2.756890503201439</v>
      </c>
      <c r="AS69" s="438">
        <v>1.4550255433563151</v>
      </c>
      <c r="AT69" s="438">
        <v>1.3018649598451237</v>
      </c>
      <c r="AU69" s="438">
        <v>0</v>
      </c>
      <c r="AV69" s="437"/>
      <c r="AW69" s="443">
        <v>2.6803102114458435</v>
      </c>
      <c r="AX69" s="438">
        <v>1.9145072938898882</v>
      </c>
      <c r="AY69" s="441"/>
      <c r="AZ69" s="438">
        <v>0.76580291755595531</v>
      </c>
      <c r="BA69" s="438">
        <v>0</v>
      </c>
    </row>
    <row r="70" spans="1:53">
      <c r="A70" s="415" t="s">
        <v>1035</v>
      </c>
      <c r="B70" s="415" t="s">
        <v>1035</v>
      </c>
      <c r="C70" s="488">
        <v>0.22</v>
      </c>
      <c r="D70" s="480">
        <v>0.06</v>
      </c>
      <c r="E70" s="480">
        <v>0.16</v>
      </c>
      <c r="F70" s="480">
        <v>6.5000000000000002E-2</v>
      </c>
      <c r="G70" s="482"/>
      <c r="H70" s="481">
        <v>0.245</v>
      </c>
      <c r="I70" s="480">
        <v>0.14499999999999999</v>
      </c>
      <c r="J70" s="483"/>
      <c r="K70" s="480">
        <v>0.1</v>
      </c>
      <c r="L70" s="480" t="s">
        <v>452</v>
      </c>
      <c r="M70"/>
      <c r="N70"/>
      <c r="O70" s="481">
        <v>4.9794261280620837</v>
      </c>
      <c r="P70" s="480">
        <v>1.3580253076532953</v>
      </c>
      <c r="Q70" s="480">
        <v>3.6214008204087884</v>
      </c>
      <c r="R70" s="480">
        <v>1.4711940832910702</v>
      </c>
      <c r="S70" s="482"/>
      <c r="T70" s="481">
        <v>5.5452700062509566</v>
      </c>
      <c r="U70" s="480">
        <v>3.2818944934954639</v>
      </c>
      <c r="V70" s="483"/>
      <c r="W70" s="480">
        <v>2.2633755127554926</v>
      </c>
      <c r="X70" s="480" t="s">
        <v>452</v>
      </c>
      <c r="Z70" s="490"/>
      <c r="AA70" t="s">
        <v>1267</v>
      </c>
      <c r="AC70" s="403"/>
      <c r="AF70" s="443">
        <v>0.22</v>
      </c>
      <c r="AG70" s="438">
        <v>0.06</v>
      </c>
      <c r="AH70" s="438">
        <v>0.16</v>
      </c>
      <c r="AI70" s="438">
        <v>6.5000000000000002E-2</v>
      </c>
      <c r="AJ70" s="437"/>
      <c r="AK70" s="443">
        <v>0.245</v>
      </c>
      <c r="AL70" s="438">
        <v>0.14499999999999999</v>
      </c>
      <c r="AM70" s="441"/>
      <c r="AN70" s="438">
        <v>0.1</v>
      </c>
      <c r="AO70" s="438" t="s">
        <v>452</v>
      </c>
      <c r="AP70" s="331"/>
      <c r="AQ70" s="331"/>
      <c r="AR70" s="443">
        <v>4.9794261280620837</v>
      </c>
      <c r="AS70" s="438">
        <v>1.3580253076532953</v>
      </c>
      <c r="AT70" s="438">
        <v>3.6214008204087884</v>
      </c>
      <c r="AU70" s="438">
        <v>1.4711940832910702</v>
      </c>
      <c r="AV70" s="437"/>
      <c r="AW70" s="443">
        <v>5.5452700062509566</v>
      </c>
      <c r="AX70" s="438">
        <v>3.2818944934954639</v>
      </c>
      <c r="AY70" s="441"/>
      <c r="AZ70" s="438">
        <v>2.2633755127554926</v>
      </c>
      <c r="BA70" s="438" t="s">
        <v>452</v>
      </c>
    </row>
    <row r="71" spans="1:53">
      <c r="A71" s="415" t="s">
        <v>1036</v>
      </c>
      <c r="B71" s="415" t="s">
        <v>1036</v>
      </c>
      <c r="C71" s="488">
        <v>0.4</v>
      </c>
      <c r="D71" s="480">
        <v>0.3</v>
      </c>
      <c r="E71" s="480">
        <v>0.10000000000000003</v>
      </c>
      <c r="F71" s="480" t="s">
        <v>452</v>
      </c>
      <c r="G71" s="482"/>
      <c r="H71" s="481">
        <v>0.5</v>
      </c>
      <c r="I71" s="480" t="s">
        <v>452</v>
      </c>
      <c r="J71" s="483"/>
      <c r="K71" s="480">
        <v>0.5</v>
      </c>
      <c r="L71" s="480" t="s">
        <v>452</v>
      </c>
      <c r="M71"/>
      <c r="N71"/>
      <c r="O71" s="481">
        <v>0.6</v>
      </c>
      <c r="P71" s="480">
        <v>0.6</v>
      </c>
      <c r="Q71" s="480">
        <v>0</v>
      </c>
      <c r="R71" s="480" t="s">
        <v>452</v>
      </c>
      <c r="S71" s="482"/>
      <c r="T71" s="481">
        <v>0.8</v>
      </c>
      <c r="U71" s="480" t="s">
        <v>452</v>
      </c>
      <c r="V71" s="483"/>
      <c r="W71" s="480">
        <v>0.8</v>
      </c>
      <c r="X71" s="480" t="s">
        <v>452</v>
      </c>
      <c r="Z71" s="490"/>
      <c r="AA71" t="s">
        <v>1267</v>
      </c>
      <c r="AC71" s="403"/>
      <c r="AF71" s="443">
        <v>0.4</v>
      </c>
      <c r="AG71" s="438">
        <v>0.3</v>
      </c>
      <c r="AH71" s="438">
        <v>0.10000000000000003</v>
      </c>
      <c r="AI71" s="438" t="s">
        <v>452</v>
      </c>
      <c r="AJ71" s="437"/>
      <c r="AK71" s="443">
        <v>0.5</v>
      </c>
      <c r="AL71" s="438" t="s">
        <v>452</v>
      </c>
      <c r="AM71" s="441"/>
      <c r="AN71" s="438">
        <v>0.5</v>
      </c>
      <c r="AO71" s="438" t="s">
        <v>452</v>
      </c>
      <c r="AP71" s="331"/>
      <c r="AQ71" s="331"/>
      <c r="AR71" s="443">
        <v>0.6</v>
      </c>
      <c r="AS71" s="438">
        <v>0.6</v>
      </c>
      <c r="AT71" s="438">
        <v>0</v>
      </c>
      <c r="AU71" s="438" t="s">
        <v>452</v>
      </c>
      <c r="AV71" s="437"/>
      <c r="AW71" s="443">
        <v>0.8</v>
      </c>
      <c r="AX71" s="438" t="s">
        <v>452</v>
      </c>
      <c r="AY71" s="441"/>
      <c r="AZ71" s="438">
        <v>0.8</v>
      </c>
      <c r="BA71" s="438" t="s">
        <v>452</v>
      </c>
    </row>
    <row r="72" spans="1:53">
      <c r="A72" s="415" t="s">
        <v>1037</v>
      </c>
      <c r="B72" s="415" t="s">
        <v>1037</v>
      </c>
      <c r="C72" s="488">
        <v>0.01</v>
      </c>
      <c r="D72" s="480" t="s">
        <v>452</v>
      </c>
      <c r="E72" s="480" t="s">
        <v>452</v>
      </c>
      <c r="F72" s="480" t="s">
        <v>452</v>
      </c>
      <c r="G72" s="482"/>
      <c r="H72" s="481">
        <v>5.5E-2</v>
      </c>
      <c r="I72" s="480">
        <v>5.5E-2</v>
      </c>
      <c r="J72" s="483"/>
      <c r="K72" s="480" t="s">
        <v>452</v>
      </c>
      <c r="L72" s="480" t="s">
        <v>452</v>
      </c>
      <c r="M72"/>
      <c r="N72"/>
      <c r="O72" s="481">
        <v>0.58606651574407997</v>
      </c>
      <c r="P72" s="480" t="s">
        <v>452</v>
      </c>
      <c r="Q72" s="480" t="s">
        <v>452</v>
      </c>
      <c r="R72" s="480" t="s">
        <v>452</v>
      </c>
      <c r="S72" s="482"/>
      <c r="T72" s="481">
        <v>3.2233658365924391</v>
      </c>
      <c r="U72" s="480">
        <v>3.2233658365924391</v>
      </c>
      <c r="V72" s="483"/>
      <c r="W72" s="480" t="s">
        <v>452</v>
      </c>
      <c r="X72" s="480" t="s">
        <v>452</v>
      </c>
      <c r="Z72" s="490"/>
      <c r="AA72" t="s">
        <v>1267</v>
      </c>
      <c r="AC72" s="403"/>
      <c r="AF72" s="443">
        <v>0.01</v>
      </c>
      <c r="AG72" s="438" t="s">
        <v>452</v>
      </c>
      <c r="AH72" s="438" t="s">
        <v>452</v>
      </c>
      <c r="AI72" s="438" t="s">
        <v>452</v>
      </c>
      <c r="AJ72" s="437"/>
      <c r="AK72" s="443">
        <v>5.5E-2</v>
      </c>
      <c r="AL72" s="438">
        <v>5.5E-2</v>
      </c>
      <c r="AM72" s="441"/>
      <c r="AN72" s="438" t="s">
        <v>452</v>
      </c>
      <c r="AO72" s="438" t="s">
        <v>452</v>
      </c>
      <c r="AP72" s="331"/>
      <c r="AQ72" s="331"/>
      <c r="AR72" s="443">
        <v>0.58606651574407997</v>
      </c>
      <c r="AS72" s="438" t="s">
        <v>452</v>
      </c>
      <c r="AT72" s="438" t="s">
        <v>452</v>
      </c>
      <c r="AU72" s="438" t="s">
        <v>452</v>
      </c>
      <c r="AV72" s="437"/>
      <c r="AW72" s="443">
        <v>3.2233658365924391</v>
      </c>
      <c r="AX72" s="438">
        <v>3.2233658365924391</v>
      </c>
      <c r="AY72" s="441"/>
      <c r="AZ72" s="438" t="s">
        <v>452</v>
      </c>
      <c r="BA72" s="438" t="s">
        <v>452</v>
      </c>
    </row>
    <row r="73" spans="1:53">
      <c r="A73" s="415" t="s">
        <v>1038</v>
      </c>
      <c r="B73" s="415" t="s">
        <v>1038</v>
      </c>
      <c r="C73" s="488">
        <v>2.0262390670553936</v>
      </c>
      <c r="D73" s="480">
        <v>0.49708454810495628</v>
      </c>
      <c r="E73" s="480">
        <v>1.5291545189504372</v>
      </c>
      <c r="F73" s="480">
        <v>0</v>
      </c>
      <c r="G73" s="482"/>
      <c r="H73" s="481">
        <v>4.1399416909620994</v>
      </c>
      <c r="I73" s="480">
        <v>0.23323615160349853</v>
      </c>
      <c r="J73" s="483"/>
      <c r="K73" s="480">
        <v>2.8862973760932946</v>
      </c>
      <c r="L73" s="480">
        <v>1.0204081632653061</v>
      </c>
      <c r="M73"/>
      <c r="N73"/>
      <c r="O73" s="481">
        <v>5.5002060455864914</v>
      </c>
      <c r="P73" s="480">
        <v>1.3493311234136645</v>
      </c>
      <c r="Q73" s="480">
        <v>4.1508749221728269</v>
      </c>
      <c r="R73" s="480">
        <v>0</v>
      </c>
      <c r="S73" s="482"/>
      <c r="T73" s="481">
        <v>11.237831057169521</v>
      </c>
      <c r="U73" s="480">
        <v>0.63311724265743785</v>
      </c>
      <c r="V73" s="483"/>
      <c r="W73" s="480">
        <v>7.8348258778857929</v>
      </c>
      <c r="X73" s="480">
        <v>2.7698879366262905</v>
      </c>
      <c r="Z73" s="490"/>
      <c r="AB73" t="s">
        <v>1276</v>
      </c>
      <c r="AC73" s="403"/>
      <c r="AF73" s="443">
        <v>2.0262390670553936</v>
      </c>
      <c r="AG73" s="438">
        <v>0.49708454810495628</v>
      </c>
      <c r="AH73" s="438">
        <v>1.5291545189504372</v>
      </c>
      <c r="AI73" s="438">
        <v>0</v>
      </c>
      <c r="AJ73" s="437"/>
      <c r="AK73" s="443">
        <v>4.1399416909620994</v>
      </c>
      <c r="AL73" s="438">
        <v>0.23323615160349853</v>
      </c>
      <c r="AM73" s="441"/>
      <c r="AN73" s="438">
        <v>2.8862973760932946</v>
      </c>
      <c r="AO73" s="438">
        <v>1.0204081632653061</v>
      </c>
      <c r="AP73" s="331"/>
      <c r="AQ73" s="331"/>
      <c r="AR73" s="443">
        <v>5.5002060455864914</v>
      </c>
      <c r="AS73" s="438">
        <v>1.3493311234136645</v>
      </c>
      <c r="AT73" s="438">
        <v>4.1508749221728269</v>
      </c>
      <c r="AU73" s="438">
        <v>0</v>
      </c>
      <c r="AV73" s="437"/>
      <c r="AW73" s="443">
        <v>11.237831057169521</v>
      </c>
      <c r="AX73" s="438">
        <v>0.63311724265743785</v>
      </c>
      <c r="AY73" s="441"/>
      <c r="AZ73" s="438">
        <v>7.8348258778857929</v>
      </c>
      <c r="BA73" s="438">
        <v>2.7698879366262905</v>
      </c>
    </row>
    <row r="74" spans="1:53">
      <c r="A74" s="415" t="s">
        <v>1039</v>
      </c>
      <c r="B74" s="415" t="s">
        <v>1039</v>
      </c>
      <c r="C74" s="488">
        <v>0.87</v>
      </c>
      <c r="D74" s="480">
        <v>0.17499999999999999</v>
      </c>
      <c r="E74" s="480">
        <v>0.69500000000000006</v>
      </c>
      <c r="F74" s="480" t="s">
        <v>452</v>
      </c>
      <c r="G74" s="482"/>
      <c r="H74" s="481" t="s">
        <v>452</v>
      </c>
      <c r="I74" s="480" t="s">
        <v>452</v>
      </c>
      <c r="J74" s="483"/>
      <c r="K74" s="480" t="s">
        <v>452</v>
      </c>
      <c r="L74" s="480" t="s">
        <v>452</v>
      </c>
      <c r="M74"/>
      <c r="N74"/>
      <c r="O74" s="481">
        <v>4.2699999999999996</v>
      </c>
      <c r="P74" s="480">
        <v>0.87</v>
      </c>
      <c r="Q74" s="480">
        <v>3.3999999999999995</v>
      </c>
      <c r="R74" s="480" t="s">
        <v>452</v>
      </c>
      <c r="S74" s="482"/>
      <c r="T74" s="481" t="s">
        <v>452</v>
      </c>
      <c r="U74" s="480" t="s">
        <v>452</v>
      </c>
      <c r="V74" s="483"/>
      <c r="W74" s="480" t="s">
        <v>452</v>
      </c>
      <c r="X74" s="480" t="s">
        <v>452</v>
      </c>
      <c r="Z74" s="490"/>
      <c r="AA74" t="s">
        <v>1267</v>
      </c>
      <c r="AC74" s="403"/>
      <c r="AF74" s="443">
        <v>0.87</v>
      </c>
      <c r="AG74" s="438">
        <v>0.17499999999999999</v>
      </c>
      <c r="AH74" s="438">
        <v>0.69500000000000006</v>
      </c>
      <c r="AI74" s="438" t="s">
        <v>452</v>
      </c>
      <c r="AJ74" s="437"/>
      <c r="AK74" s="443" t="s">
        <v>452</v>
      </c>
      <c r="AL74" s="438" t="s">
        <v>452</v>
      </c>
      <c r="AM74" s="441"/>
      <c r="AN74" s="438" t="s">
        <v>452</v>
      </c>
      <c r="AO74" s="438" t="s">
        <v>452</v>
      </c>
      <c r="AP74" s="331"/>
      <c r="AQ74" s="331"/>
      <c r="AR74" s="443">
        <v>4.2699999999999996</v>
      </c>
      <c r="AS74" s="438">
        <v>0.87</v>
      </c>
      <c r="AT74" s="438">
        <v>3.3999999999999995</v>
      </c>
      <c r="AU74" s="438" t="s">
        <v>452</v>
      </c>
      <c r="AV74" s="437"/>
      <c r="AW74" s="443" t="s">
        <v>452</v>
      </c>
      <c r="AX74" s="438" t="s">
        <v>452</v>
      </c>
      <c r="AY74" s="441"/>
      <c r="AZ74" s="438" t="s">
        <v>452</v>
      </c>
      <c r="BA74" s="438" t="s">
        <v>452</v>
      </c>
    </row>
    <row r="75" spans="1:53">
      <c r="A75" s="415" t="s">
        <v>1040</v>
      </c>
      <c r="B75" s="415" t="s">
        <v>1040</v>
      </c>
      <c r="C75" s="488">
        <v>0.27411802102506777</v>
      </c>
      <c r="D75" s="480">
        <v>0.12221822593474357</v>
      </c>
      <c r="E75" s="480">
        <v>0.15189979509032417</v>
      </c>
      <c r="F75" s="480">
        <v>8.7298732810531132E-2</v>
      </c>
      <c r="G75" s="482"/>
      <c r="H75" s="481">
        <v>0.11348835265369046</v>
      </c>
      <c r="I75" s="480" t="s">
        <v>452</v>
      </c>
      <c r="J75" s="483"/>
      <c r="K75" s="480">
        <v>0.11348835265369046</v>
      </c>
      <c r="L75" s="480" t="s">
        <v>452</v>
      </c>
      <c r="M75"/>
      <c r="N75"/>
      <c r="O75" s="481">
        <v>1.7014574608745749</v>
      </c>
      <c r="P75" s="480">
        <v>0.75861160675936457</v>
      </c>
      <c r="Q75" s="480">
        <v>0.94284585411521027</v>
      </c>
      <c r="R75" s="480">
        <v>0.54186543339954607</v>
      </c>
      <c r="S75" s="482"/>
      <c r="T75" s="481">
        <v>0.70442506341941002</v>
      </c>
      <c r="U75" s="480" t="s">
        <v>452</v>
      </c>
      <c r="V75" s="483"/>
      <c r="W75" s="480">
        <v>0.70442506341941002</v>
      </c>
      <c r="X75" s="480" t="s">
        <v>452</v>
      </c>
      <c r="Z75" s="490"/>
      <c r="AA75" t="s">
        <v>1267</v>
      </c>
      <c r="AC75" s="403"/>
      <c r="AF75" s="443">
        <v>0.27411802102506777</v>
      </c>
      <c r="AG75" s="438">
        <v>0.12221822593474357</v>
      </c>
      <c r="AH75" s="438">
        <v>0.15189979509032417</v>
      </c>
      <c r="AI75" s="438">
        <v>8.7298732810531132E-2</v>
      </c>
      <c r="AJ75" s="437"/>
      <c r="AK75" s="443">
        <v>0.11348835265369046</v>
      </c>
      <c r="AL75" s="438" t="s">
        <v>452</v>
      </c>
      <c r="AM75" s="441"/>
      <c r="AN75" s="438">
        <v>0.11348835265369046</v>
      </c>
      <c r="AO75" s="438" t="s">
        <v>452</v>
      </c>
      <c r="AP75" s="331"/>
      <c r="AQ75" s="331"/>
      <c r="AR75" s="443">
        <v>1.7014574608745749</v>
      </c>
      <c r="AS75" s="438">
        <v>0.75861160675936457</v>
      </c>
      <c r="AT75" s="438">
        <v>0.94284585411521027</v>
      </c>
      <c r="AU75" s="438">
        <v>0.54186543339954607</v>
      </c>
      <c r="AV75" s="437"/>
      <c r="AW75" s="443">
        <v>0.70442506341941002</v>
      </c>
      <c r="AX75" s="438" t="s">
        <v>452</v>
      </c>
      <c r="AY75" s="441"/>
      <c r="AZ75" s="438">
        <v>0.70442506341941002</v>
      </c>
      <c r="BA75" s="438" t="s">
        <v>452</v>
      </c>
    </row>
    <row r="76" spans="1:53">
      <c r="A76" s="415" t="s">
        <v>1041</v>
      </c>
      <c r="B76" s="415" t="s">
        <v>1041</v>
      </c>
      <c r="C76" s="488">
        <v>0.14495467146627655</v>
      </c>
      <c r="D76" s="480" t="s">
        <v>452</v>
      </c>
      <c r="E76" s="480" t="s">
        <v>452</v>
      </c>
      <c r="F76" s="480" t="s">
        <v>452</v>
      </c>
      <c r="G76" s="482"/>
      <c r="H76" s="481" t="s">
        <v>452</v>
      </c>
      <c r="I76" s="480" t="s">
        <v>452</v>
      </c>
      <c r="J76" s="483"/>
      <c r="K76" s="480" t="s">
        <v>452</v>
      </c>
      <c r="L76" s="480" t="s">
        <v>452</v>
      </c>
      <c r="M76"/>
      <c r="N76"/>
      <c r="O76" s="481">
        <v>1.2076873278834026</v>
      </c>
      <c r="P76" s="480" t="s">
        <v>452</v>
      </c>
      <c r="Q76" s="480" t="s">
        <v>452</v>
      </c>
      <c r="R76" s="480" t="s">
        <v>452</v>
      </c>
      <c r="S76" s="482"/>
      <c r="T76" s="481" t="s">
        <v>452</v>
      </c>
      <c r="U76" s="480" t="s">
        <v>452</v>
      </c>
      <c r="V76" s="483"/>
      <c r="W76" s="480" t="s">
        <v>452</v>
      </c>
      <c r="X76" s="480" t="s">
        <v>452</v>
      </c>
      <c r="Z76" s="490"/>
      <c r="AA76" t="s">
        <v>1267</v>
      </c>
      <c r="AC76" s="403"/>
      <c r="AF76" s="443">
        <v>0.14495467146627655</v>
      </c>
      <c r="AG76" s="438" t="s">
        <v>452</v>
      </c>
      <c r="AH76" s="438" t="s">
        <v>452</v>
      </c>
      <c r="AI76" s="438" t="s">
        <v>452</v>
      </c>
      <c r="AJ76" s="437"/>
      <c r="AK76" s="443" t="s">
        <v>452</v>
      </c>
      <c r="AL76" s="438" t="s">
        <v>452</v>
      </c>
      <c r="AM76" s="441"/>
      <c r="AN76" s="438" t="s">
        <v>452</v>
      </c>
      <c r="AO76" s="438" t="s">
        <v>452</v>
      </c>
      <c r="AP76" s="331"/>
      <c r="AQ76" s="331"/>
      <c r="AR76" s="443">
        <v>1.2076873278834026</v>
      </c>
      <c r="AS76" s="438" t="s">
        <v>452</v>
      </c>
      <c r="AT76" s="438" t="s">
        <v>452</v>
      </c>
      <c r="AU76" s="438" t="s">
        <v>452</v>
      </c>
      <c r="AV76" s="437"/>
      <c r="AW76" s="443" t="s">
        <v>452</v>
      </c>
      <c r="AX76" s="438" t="s">
        <v>452</v>
      </c>
      <c r="AY76" s="441"/>
      <c r="AZ76" s="438" t="s">
        <v>452</v>
      </c>
      <c r="BA76" s="438" t="s">
        <v>452</v>
      </c>
    </row>
    <row r="77" spans="1:53">
      <c r="A77" s="415" t="s">
        <v>27</v>
      </c>
      <c r="B77" s="415" t="s">
        <v>27</v>
      </c>
      <c r="C77" s="488" t="str">
        <f>IF(ISNUMBER(INDEX('Database.Jan 12 to SEC'!$G$6:$G$191, MATCH($A77&amp;"USD bn", 'Database.Jan 12 to SEC'!$AD$6:$AD$191, 0))), INDEX('Database.Jan 12 to SEC'!$G$6:$G$191, MATCH($A77&amp;"USD bn", 'Database.Jan 12 to SEC'!$AD$6:$AD$191, 0)), "")</f>
        <v/>
      </c>
      <c r="D77" s="480" t="str">
        <f>IF(ISNUMBER(INDEX('Database.Jan 12 to SEC'!$H$6:$H$191, MATCH($A77&amp;"USD bn", 'Database.Jan 12 to SEC'!$AD$6:$AD$191, 0))), INDEX('Database.Jan 12 to SEC'!$H$6:$H$191, MATCH($A77&amp;"USD bn", 'Database.Jan 12 to SEC'!$AD$6:$AD$191, 0)), "")</f>
        <v/>
      </c>
      <c r="E77" s="480" t="str">
        <f>IF(ISNUMBER(INDEX('Database.Jan 12 to SEC'!$J$6:$J$191, MATCH($A77&amp;"USD bn", 'Database.Jan 12 to SEC'!$AD$6:$AD$191, 0))), INDEX('Database.Jan 12 to SEC'!$J$6:$J$191, MATCH($A77&amp;"USD bn", 'Database.Jan 12 to SEC'!$AD$6:$AD$191, 0)), "")</f>
        <v/>
      </c>
      <c r="F77" s="480" t="str">
        <f>IF(ISNUMBER(INDEX('Database.Jan 12 to SEC'!$L$6:$L$191, MATCH($A77&amp;"USD bn", 'Database.Jan 12 to SEC'!$AD$6:$AD$191, 0))), INDEX('Database.Jan 12 to SEC'!$L$6:$L$191, MATCH($A77&amp;"USD bn", 'Database.Jan 12 to SEC'!$AD$6:$AD$191, 0)), "")</f>
        <v/>
      </c>
      <c r="G77" s="482"/>
      <c r="H77" s="481" t="str">
        <f>IF(ISNUMBER(INDEX('Database.Jan 12 to SEC'!$P$6:$P$191, MATCH($A77&amp;"USD bn", 'Database.Jan 12 to SEC'!$AD$6:$AD$191, 0))), INDEX('Database.Jan 12 to SEC'!$P$6:$P$191, MATCH($A77&amp;"USD bn", 'Database.Jan 12 to SEC'!$AD$6:$AD$191, 0)), "")</f>
        <v/>
      </c>
      <c r="I77" s="480" t="str">
        <f>IF(ISNUMBER(INDEX('Database.Jan 12 to SEC'!$Q$6:$Q$191, MATCH($A77&amp;"USD bn", 'Database.Jan 12 to SEC'!$AD$6:$AD$191, 0))), INDEX('Database.Jan 12 to SEC'!$Q$6:$Q$191, MATCH($A77&amp;"USD bn", 'Database.Jan 12 to SEC'!$AD$6:$AD$191, 0)), "")</f>
        <v/>
      </c>
      <c r="J77" s="483"/>
      <c r="K77" s="480" t="str">
        <f>IF(ISNUMBER(INDEX('Database.Jan 12 to SEC'!$U$6:$U$191, MATCH($A77&amp;"USD bn", 'Database.Jan 12 to SEC'!$AD$6:$AD$191, 0))), INDEX('Database.Jan 12 to SEC'!$U$6:$U$191, MATCH($A77&amp;"USD bn", 'Database.Jan 12 to SEC'!$AD$6:$AD$191, 0)), "")</f>
        <v/>
      </c>
      <c r="L77" s="480" t="str">
        <f>IF(ISNUMBER(INDEX('Database.Jan 12 to SEC'!$W$6:$W$191, MATCH($A77&amp;"USD bn", 'Database.Jan 12 to SEC'!$AD$6:$AD$191, 0))), INDEX('Database.Jan 12 to SEC'!$W$6:$W$191, MATCH($A77&amp;"USD bn", 'Database.Jan 12 to SEC'!$AD$6:$AD$191, 0)), "")</f>
        <v/>
      </c>
      <c r="M77"/>
      <c r="N77"/>
      <c r="O77" s="481" t="str">
        <f>IF(ISNUMBER(INDEX('Database.Jan 12 to SEC'!$G$6:$G$191, MATCH($A77&amp;"% GDP", 'Database.Jan 12 to SEC'!$AD$6:$AD$191, 0))), INDEX('Database.Jan 12 to SEC'!$G$6:$G$191, MATCH($A77&amp;"% GDP", 'Database.Jan 12 to SEC'!$AD$6:$AD$191, 0)), "")</f>
        <v/>
      </c>
      <c r="P77" s="480" t="str">
        <f>IF(ISNUMBER(INDEX('Database.Jan 12 to SEC'!$H$6:$H$191, MATCH($A77&amp;"% GDP", 'Database.Jan 12 to SEC'!$AD$6:$AD$191, 0))), INDEX('Database.Jan 12 to SEC'!$H$6:$H$191, MATCH($A77&amp;"% GDP", 'Database.Jan 12 to SEC'!$AD$6:$AD$191, 0)), "")</f>
        <v/>
      </c>
      <c r="Q77" s="480" t="str">
        <f>IF(ISNUMBER(INDEX('Database.Jan 12 to SEC'!$J$6:$J$191, MATCH($A77&amp;"% GDP", 'Database.Jan 12 to SEC'!$AD$6:$AD$191, 0))), INDEX('Database.Jan 12 to SEC'!$J$6:$J$191, MATCH($A77&amp;"% GDP", 'Database.Jan 12 to SEC'!$AD$6:$AD$191, 0)), "")</f>
        <v/>
      </c>
      <c r="R77" s="480" t="str">
        <f>IF(ISNUMBER(INDEX('Database.Jan 12 to SEC'!$L$6:$L$191, MATCH($A77&amp;"% GDP", 'Database.Jan 12 to SEC'!$AD$6:$AD$191, 0))), INDEX('Database.Jan 12 to SEC'!$L$6:$L$191, MATCH($A77&amp;"% GDP", 'Database.Jan 12 to SEC'!$AD$6:$AD$191, 0)), "")</f>
        <v/>
      </c>
      <c r="S77" s="482"/>
      <c r="T77" s="481" t="str">
        <f>IF(ISNUMBER(INDEX('Database.Jan 12 to SEC'!$P$6:$P$191, MATCH($A77&amp;"% GDP", 'Database.Jan 12 to SEC'!$AD$6:$AD$191, 0))), INDEX('Database.Jan 12 to SEC'!$P$6:$P$191, MATCH($A77&amp;"% GDP", 'Database.Jan 12 to SEC'!$AD$6:$AD$191, 0)), "")</f>
        <v/>
      </c>
      <c r="U77" s="480" t="str">
        <f>IF(ISNUMBER(INDEX('Database.Jan 12 to SEC'!$Q$6:$Q$191, MATCH($A77&amp;"% GDP", 'Database.Jan 12 to SEC'!$AD$6:$AD$191, 0))), INDEX('Database.Jan 12 to SEC'!$Q$6:$Q$191, MATCH($A77&amp;"% GDP", 'Database.Jan 12 to SEC'!$AD$6:$AD$191, 0)), "")</f>
        <v/>
      </c>
      <c r="V77" s="483"/>
      <c r="W77" s="480" t="str">
        <f>IF(ISNUMBER(INDEX('Database.Jan 12 to SEC'!$U$6:$U$191, MATCH($A77&amp;"% GDP", 'Database.Jan 12 to SEC'!$AD$6:$AD$191, 0))), INDEX('Database.Jan 12 to SEC'!$U$6:$U$191, MATCH($A77&amp;"% GDP", 'Database.Jan 12 to SEC'!$AD$6:$AD$191, 0)), "")</f>
        <v/>
      </c>
      <c r="X77" s="480" t="str">
        <f>IF(ISNUMBER(INDEX('Database.Jan 12 to SEC'!$W$6:$W$191, MATCH($A77&amp;"% GDP", 'Database.Jan 12 to SEC'!$AD$6:$AD$191, 0))), INDEX('Database.Jan 12 to SEC'!$W$6:$W$191, MATCH($A77&amp;"% GDP", 'Database.Jan 12 to SEC'!$AD$6:$AD$191, 0)), "")</f>
        <v/>
      </c>
      <c r="Z77" s="490"/>
      <c r="AA77" t="s">
        <v>1267</v>
      </c>
      <c r="AC77" s="299"/>
      <c r="AF77" s="443">
        <v>3.6598885495522917</v>
      </c>
      <c r="AG77" s="438">
        <v>0.9949154937797603</v>
      </c>
      <c r="AH77" s="438">
        <v>2.6649730557725313</v>
      </c>
      <c r="AI77" s="438">
        <v>0.35011688930666052</v>
      </c>
      <c r="AJ77" s="437"/>
      <c r="AK77" s="443">
        <v>2.6970671039589753</v>
      </c>
      <c r="AL77" s="438">
        <v>0.94648265742567239</v>
      </c>
      <c r="AM77" s="441"/>
      <c r="AN77" s="438" t="s">
        <v>452</v>
      </c>
      <c r="AO77" s="438">
        <v>1.7505844465333027</v>
      </c>
      <c r="AP77" s="331"/>
      <c r="AQ77" s="331"/>
      <c r="AR77" s="443">
        <v>5.2881375195675631</v>
      </c>
      <c r="AS77" s="438">
        <v>1.4375437612982611</v>
      </c>
      <c r="AT77" s="438">
        <v>3.8505937582693019</v>
      </c>
      <c r="AU77" s="438">
        <v>0.50588050250965211</v>
      </c>
      <c r="AV77" s="437"/>
      <c r="AW77" s="443">
        <v>3.8969661376660198</v>
      </c>
      <c r="AX77" s="438">
        <v>1.3675636251177596</v>
      </c>
      <c r="AY77" s="441"/>
      <c r="AZ77" s="438" t="s">
        <v>452</v>
      </c>
      <c r="BA77" s="438">
        <v>2.5294025125482604</v>
      </c>
    </row>
    <row r="78" spans="1:53">
      <c r="A78" s="415" t="s">
        <v>1042</v>
      </c>
      <c r="B78" s="415" t="s">
        <v>1042</v>
      </c>
      <c r="C78" s="488">
        <v>4.9060681207454021E-2</v>
      </c>
      <c r="D78" s="480">
        <v>1.9665673901722074E-2</v>
      </c>
      <c r="E78" s="480">
        <v>2.9395007305731947E-2</v>
      </c>
      <c r="F78" s="480" t="s">
        <v>452</v>
      </c>
      <c r="G78" s="482"/>
      <c r="H78" s="481">
        <v>3.1051064055350644E-2</v>
      </c>
      <c r="I78" s="480">
        <v>0</v>
      </c>
      <c r="J78" s="483"/>
      <c r="K78" s="480">
        <v>3.1051064055350644E-2</v>
      </c>
      <c r="L78" s="480" t="s">
        <v>452</v>
      </c>
      <c r="M78"/>
      <c r="N78"/>
      <c r="O78" s="481">
        <v>2.8742827643167974</v>
      </c>
      <c r="P78" s="480">
        <v>1.1521386608020918</v>
      </c>
      <c r="Q78" s="480">
        <v>1.722144103514706</v>
      </c>
      <c r="R78" s="480" t="s">
        <v>452</v>
      </c>
      <c r="S78" s="482"/>
      <c r="T78" s="481">
        <v>1.8191663065296186</v>
      </c>
      <c r="U78" s="480">
        <v>0</v>
      </c>
      <c r="V78" s="483"/>
      <c r="W78" s="480">
        <v>1.8191663065296186</v>
      </c>
      <c r="X78" s="480" t="s">
        <v>452</v>
      </c>
      <c r="Z78" s="490"/>
      <c r="AA78" t="s">
        <v>1267</v>
      </c>
      <c r="AC78" s="403"/>
      <c r="AF78" s="443">
        <v>4.9060681207454021E-2</v>
      </c>
      <c r="AG78" s="438">
        <v>1.9665673901722074E-2</v>
      </c>
      <c r="AH78" s="438">
        <v>2.9395007305731947E-2</v>
      </c>
      <c r="AI78" s="438" t="s">
        <v>452</v>
      </c>
      <c r="AJ78" s="437"/>
      <c r="AK78" s="443">
        <v>3.1051064055350644E-2</v>
      </c>
      <c r="AL78" s="438">
        <v>0</v>
      </c>
      <c r="AM78" s="441"/>
      <c r="AN78" s="438">
        <v>3.1051064055350644E-2</v>
      </c>
      <c r="AO78" s="438" t="s">
        <v>452</v>
      </c>
      <c r="AP78" s="331"/>
      <c r="AQ78" s="331"/>
      <c r="AR78" s="443">
        <v>2.8742827643167974</v>
      </c>
      <c r="AS78" s="438">
        <v>1.1521386608020918</v>
      </c>
      <c r="AT78" s="438">
        <v>1.722144103514706</v>
      </c>
      <c r="AU78" s="438" t="s">
        <v>452</v>
      </c>
      <c r="AV78" s="437"/>
      <c r="AW78" s="443">
        <v>1.8191663065296186</v>
      </c>
      <c r="AX78" s="438">
        <v>0</v>
      </c>
      <c r="AY78" s="441"/>
      <c r="AZ78" s="438">
        <v>1.8191663065296186</v>
      </c>
      <c r="BA78" s="438" t="s">
        <v>452</v>
      </c>
    </row>
    <row r="79" spans="1:53">
      <c r="A79" s="415" t="s">
        <v>42</v>
      </c>
      <c r="B79" s="415" t="s">
        <v>42</v>
      </c>
      <c r="C79" s="488" t="str">
        <f>IF(ISNUMBER(INDEX('Database.Jan 12 to SEC'!$G$6:$G$191, MATCH($A79&amp;"USD bn", 'Database.Jan 12 to SEC'!$AD$6:$AD$191, 0))), INDEX('Database.Jan 12 to SEC'!$G$6:$G$191, MATCH($A79&amp;"USD bn", 'Database.Jan 12 to SEC'!$AD$6:$AD$191, 0)), "")</f>
        <v/>
      </c>
      <c r="D79" s="480" t="str">
        <f>IF(ISNUMBER(INDEX('Database.Jan 12 to SEC'!$H$6:$H$191, MATCH($A79&amp;"USD bn", 'Database.Jan 12 to SEC'!$AD$6:$AD$191, 0))), INDEX('Database.Jan 12 to SEC'!$H$6:$H$191, MATCH($A79&amp;"USD bn", 'Database.Jan 12 to SEC'!$AD$6:$AD$191, 0)), "")</f>
        <v/>
      </c>
      <c r="E79" s="480" t="str">
        <f>IF(ISNUMBER(INDEX('Database.Jan 12 to SEC'!$J$6:$J$191, MATCH($A79&amp;"USD bn", 'Database.Jan 12 to SEC'!$AD$6:$AD$191, 0))), INDEX('Database.Jan 12 to SEC'!$J$6:$J$191, MATCH($A79&amp;"USD bn", 'Database.Jan 12 to SEC'!$AD$6:$AD$191, 0)), "")</f>
        <v/>
      </c>
      <c r="F79" s="480" t="str">
        <f>IF(ISNUMBER(INDEX('Database.Jan 12 to SEC'!$L$6:$L$191, MATCH($A79&amp;"USD bn", 'Database.Jan 12 to SEC'!$AD$6:$AD$191, 0))), INDEX('Database.Jan 12 to SEC'!$L$6:$L$191, MATCH($A79&amp;"USD bn", 'Database.Jan 12 to SEC'!$AD$6:$AD$191, 0)), "")</f>
        <v/>
      </c>
      <c r="G79" s="482"/>
      <c r="H79" s="481" t="str">
        <f>IF(ISNUMBER(INDEX('Database.Jan 12 to SEC'!$P$6:$P$191, MATCH($A79&amp;"USD bn", 'Database.Jan 12 to SEC'!$AD$6:$AD$191, 0))), INDEX('Database.Jan 12 to SEC'!$P$6:$P$191, MATCH($A79&amp;"USD bn", 'Database.Jan 12 to SEC'!$AD$6:$AD$191, 0)), "")</f>
        <v/>
      </c>
      <c r="I79" s="480" t="str">
        <f>IF(ISNUMBER(INDEX('Database.Jan 12 to SEC'!$Q$6:$Q$191, MATCH($A79&amp;"USD bn", 'Database.Jan 12 to SEC'!$AD$6:$AD$191, 0))), INDEX('Database.Jan 12 to SEC'!$Q$6:$Q$191, MATCH($A79&amp;"USD bn", 'Database.Jan 12 to SEC'!$AD$6:$AD$191, 0)), "")</f>
        <v/>
      </c>
      <c r="J79" s="483"/>
      <c r="K79" s="480" t="str">
        <f>IF(ISNUMBER(INDEX('Database.Jan 12 to SEC'!$U$6:$U$191, MATCH($A79&amp;"USD bn", 'Database.Jan 12 to SEC'!$AD$6:$AD$191, 0))), INDEX('Database.Jan 12 to SEC'!$U$6:$U$191, MATCH($A79&amp;"USD bn", 'Database.Jan 12 to SEC'!$AD$6:$AD$191, 0)), "")</f>
        <v/>
      </c>
      <c r="L79" s="480" t="str">
        <f>IF(ISNUMBER(INDEX('Database.Jan 12 to SEC'!$W$6:$W$191, MATCH($A79&amp;"USD bn", 'Database.Jan 12 to SEC'!$AD$6:$AD$191, 0))), INDEX('Database.Jan 12 to SEC'!$W$6:$W$191, MATCH($A79&amp;"USD bn", 'Database.Jan 12 to SEC'!$AD$6:$AD$191, 0)), "")</f>
        <v/>
      </c>
      <c r="M79"/>
      <c r="N79"/>
      <c r="O79" s="481" t="str">
        <f>IF(ISNUMBER(INDEX('Database.Jan 12 to SEC'!$G$6:$G$191, MATCH($A79&amp;"% GDP", 'Database.Jan 12 to SEC'!$AD$6:$AD$191, 0))), INDEX('Database.Jan 12 to SEC'!$G$6:$G$191, MATCH($A79&amp;"% GDP", 'Database.Jan 12 to SEC'!$AD$6:$AD$191, 0)), "")</f>
        <v/>
      </c>
      <c r="P79" s="480" t="str">
        <f>IF(ISNUMBER(INDEX('Database.Jan 12 to SEC'!$H$6:$H$191, MATCH($A79&amp;"% GDP", 'Database.Jan 12 to SEC'!$AD$6:$AD$191, 0))), INDEX('Database.Jan 12 to SEC'!$H$6:$H$191, MATCH($A79&amp;"% GDP", 'Database.Jan 12 to SEC'!$AD$6:$AD$191, 0)), "")</f>
        <v/>
      </c>
      <c r="Q79" s="480" t="str">
        <f>IF(ISNUMBER(INDEX('Database.Jan 12 to SEC'!$J$6:$J$191, MATCH($A79&amp;"% GDP", 'Database.Jan 12 to SEC'!$AD$6:$AD$191, 0))), INDEX('Database.Jan 12 to SEC'!$J$6:$J$191, MATCH($A79&amp;"% GDP", 'Database.Jan 12 to SEC'!$AD$6:$AD$191, 0)), "")</f>
        <v/>
      </c>
      <c r="R79" s="480" t="str">
        <f>IF(ISNUMBER(INDEX('Database.Jan 12 to SEC'!$L$6:$L$191, MATCH($A79&amp;"% GDP", 'Database.Jan 12 to SEC'!$AD$6:$AD$191, 0))), INDEX('Database.Jan 12 to SEC'!$L$6:$L$191, MATCH($A79&amp;"% GDP", 'Database.Jan 12 to SEC'!$AD$6:$AD$191, 0)), "")</f>
        <v/>
      </c>
      <c r="S79" s="482"/>
      <c r="T79" s="481" t="str">
        <f>IF(ISNUMBER(INDEX('Database.Jan 12 to SEC'!$P$6:$P$191, MATCH($A79&amp;"% GDP", 'Database.Jan 12 to SEC'!$AD$6:$AD$191, 0))), INDEX('Database.Jan 12 to SEC'!$P$6:$P$191, MATCH($A79&amp;"% GDP", 'Database.Jan 12 to SEC'!$AD$6:$AD$191, 0)), "")</f>
        <v/>
      </c>
      <c r="U79" s="480" t="str">
        <f>IF(ISNUMBER(INDEX('Database.Jan 12 to SEC'!$Q$6:$Q$191, MATCH($A79&amp;"% GDP", 'Database.Jan 12 to SEC'!$AD$6:$AD$191, 0))), INDEX('Database.Jan 12 to SEC'!$Q$6:$Q$191, MATCH($A79&amp;"% GDP", 'Database.Jan 12 to SEC'!$AD$6:$AD$191, 0)), "")</f>
        <v/>
      </c>
      <c r="V79" s="483"/>
      <c r="W79" s="480" t="str">
        <f>IF(ISNUMBER(INDEX('Database.Jan 12 to SEC'!$U$6:$U$191, MATCH($A79&amp;"% GDP", 'Database.Jan 12 to SEC'!$AD$6:$AD$191, 0))), INDEX('Database.Jan 12 to SEC'!$U$6:$U$191, MATCH($A79&amp;"% GDP", 'Database.Jan 12 to SEC'!$AD$6:$AD$191, 0)), "")</f>
        <v/>
      </c>
      <c r="X79" s="480" t="str">
        <f>IF(ISNUMBER(INDEX('Database.Jan 12 to SEC'!$W$6:$W$191, MATCH($A79&amp;"% GDP", 'Database.Jan 12 to SEC'!$AD$6:$AD$191, 0))), INDEX('Database.Jan 12 to SEC'!$W$6:$W$191, MATCH($A79&amp;"% GDP", 'Database.Jan 12 to SEC'!$AD$6:$AD$191, 0)), "")</f>
        <v/>
      </c>
      <c r="Z79" s="490"/>
      <c r="AB79" t="s">
        <v>1278</v>
      </c>
      <c r="AC79" s="299"/>
      <c r="AF79" s="443">
        <v>32.063993334728984</v>
      </c>
      <c r="AG79" s="438">
        <v>1.5165334699489497</v>
      </c>
      <c r="AH79" s="438">
        <v>30.547459864780034</v>
      </c>
      <c r="AI79" s="438">
        <v>4.0446076631681755</v>
      </c>
      <c r="AJ79" s="437"/>
      <c r="AK79" s="443">
        <v>6.3189963380984064</v>
      </c>
      <c r="AL79" s="438">
        <v>3.2859281358385646</v>
      </c>
      <c r="AM79" s="441"/>
      <c r="AN79" s="438" t="s">
        <v>452</v>
      </c>
      <c r="AO79" s="438">
        <v>3.0330682022598419</v>
      </c>
      <c r="AP79" s="331"/>
      <c r="AQ79" s="331"/>
      <c r="AR79" s="443">
        <v>12.682470249573225</v>
      </c>
      <c r="AS79" s="438">
        <v>0.59984389387573989</v>
      </c>
      <c r="AT79" s="438">
        <v>12.082626355697485</v>
      </c>
      <c r="AU79" s="438">
        <v>1.5997887669146695</v>
      </c>
      <c r="AV79" s="437"/>
      <c r="AW79" s="443">
        <v>2.4993918327164151</v>
      </c>
      <c r="AX79" s="438">
        <v>1.2997035456550827</v>
      </c>
      <c r="AY79" s="441"/>
      <c r="AZ79" s="438" t="s">
        <v>452</v>
      </c>
      <c r="BA79" s="438">
        <v>1.1996882870613323</v>
      </c>
    </row>
    <row r="80" spans="1:53">
      <c r="A80" s="415" t="s">
        <v>34</v>
      </c>
      <c r="B80" s="415" t="s">
        <v>34</v>
      </c>
      <c r="C80" s="488" t="str">
        <f>IF(ISNUMBER(INDEX('Database.Jan 12 to SEC'!$G$6:$G$191, MATCH($A80&amp;"USD bn", 'Database.Jan 12 to SEC'!$AD$6:$AD$191, 0))), INDEX('Database.Jan 12 to SEC'!$G$6:$G$191, MATCH($A80&amp;"USD bn", 'Database.Jan 12 to SEC'!$AD$6:$AD$191, 0)), "")</f>
        <v/>
      </c>
      <c r="D80" s="480" t="str">
        <f>IF(ISNUMBER(INDEX('Database.Jan 12 to SEC'!$H$6:$H$191, MATCH($A80&amp;"USD bn", 'Database.Jan 12 to SEC'!$AD$6:$AD$191, 0))), INDEX('Database.Jan 12 to SEC'!$H$6:$H$191, MATCH($A80&amp;"USD bn", 'Database.Jan 12 to SEC'!$AD$6:$AD$191, 0)), "")</f>
        <v/>
      </c>
      <c r="E80" s="480" t="str">
        <f>IF(ISNUMBER(INDEX('Database.Jan 12 to SEC'!$J$6:$J$191, MATCH($A80&amp;"USD bn", 'Database.Jan 12 to SEC'!$AD$6:$AD$191, 0))), INDEX('Database.Jan 12 to SEC'!$J$6:$J$191, MATCH($A80&amp;"USD bn", 'Database.Jan 12 to SEC'!$AD$6:$AD$191, 0)), "")</f>
        <v/>
      </c>
      <c r="F80" s="480" t="str">
        <f>IF(ISNUMBER(INDEX('Database.Jan 12 to SEC'!$L$6:$L$191, MATCH($A80&amp;"USD bn", 'Database.Jan 12 to SEC'!$AD$6:$AD$191, 0))), INDEX('Database.Jan 12 to SEC'!$L$6:$L$191, MATCH($A80&amp;"USD bn", 'Database.Jan 12 to SEC'!$AD$6:$AD$191, 0)), "")</f>
        <v/>
      </c>
      <c r="G80" s="482"/>
      <c r="H80" s="481" t="str">
        <f>IF(ISNUMBER(INDEX('Database.Jan 12 to SEC'!$P$6:$P$191, MATCH($A80&amp;"USD bn", 'Database.Jan 12 to SEC'!$AD$6:$AD$191, 0))), INDEX('Database.Jan 12 to SEC'!$P$6:$P$191, MATCH($A80&amp;"USD bn", 'Database.Jan 12 to SEC'!$AD$6:$AD$191, 0)), "")</f>
        <v/>
      </c>
      <c r="I80" s="480" t="str">
        <f>IF(ISNUMBER(INDEX('Database.Jan 12 to SEC'!$Q$6:$Q$191, MATCH($A80&amp;"USD bn", 'Database.Jan 12 to SEC'!$AD$6:$AD$191, 0))), INDEX('Database.Jan 12 to SEC'!$Q$6:$Q$191, MATCH($A80&amp;"USD bn", 'Database.Jan 12 to SEC'!$AD$6:$AD$191, 0)), "")</f>
        <v/>
      </c>
      <c r="J80" s="483"/>
      <c r="K80" s="480" t="str">
        <f>IF(ISNUMBER(INDEX('Database.Jan 12 to SEC'!$U$6:$U$191, MATCH($A80&amp;"USD bn", 'Database.Jan 12 to SEC'!$AD$6:$AD$191, 0))), INDEX('Database.Jan 12 to SEC'!$U$6:$U$191, MATCH($A80&amp;"USD bn", 'Database.Jan 12 to SEC'!$AD$6:$AD$191, 0)), "")</f>
        <v/>
      </c>
      <c r="L80" s="480" t="str">
        <f>IF(ISNUMBER(INDEX('Database.Jan 12 to SEC'!$W$6:$W$191, MATCH($A80&amp;"USD bn", 'Database.Jan 12 to SEC'!$AD$6:$AD$191, 0))), INDEX('Database.Jan 12 to SEC'!$W$6:$W$191, MATCH($A80&amp;"USD bn", 'Database.Jan 12 to SEC'!$AD$6:$AD$191, 0)), "")</f>
        <v/>
      </c>
      <c r="M80"/>
      <c r="N80"/>
      <c r="O80" s="481" t="str">
        <f>IF(ISNUMBER(INDEX('Database.Jan 12 to SEC'!$G$6:$G$191, MATCH($A80&amp;"% GDP", 'Database.Jan 12 to SEC'!$AD$6:$AD$191, 0))), INDEX('Database.Jan 12 to SEC'!$G$6:$G$191, MATCH($A80&amp;"% GDP", 'Database.Jan 12 to SEC'!$AD$6:$AD$191, 0)), "")</f>
        <v/>
      </c>
      <c r="P80" s="480" t="str">
        <f>IF(ISNUMBER(INDEX('Database.Jan 12 to SEC'!$H$6:$H$191, MATCH($A80&amp;"% GDP", 'Database.Jan 12 to SEC'!$AD$6:$AD$191, 0))), INDEX('Database.Jan 12 to SEC'!$H$6:$H$191, MATCH($A80&amp;"% GDP", 'Database.Jan 12 to SEC'!$AD$6:$AD$191, 0)), "")</f>
        <v/>
      </c>
      <c r="Q80" s="480" t="str">
        <f>IF(ISNUMBER(INDEX('Database.Jan 12 to SEC'!$J$6:$J$191, MATCH($A80&amp;"% GDP", 'Database.Jan 12 to SEC'!$AD$6:$AD$191, 0))), INDEX('Database.Jan 12 to SEC'!$J$6:$J$191, MATCH($A80&amp;"% GDP", 'Database.Jan 12 to SEC'!$AD$6:$AD$191, 0)), "")</f>
        <v/>
      </c>
      <c r="R80" s="480" t="str">
        <f>IF(ISNUMBER(INDEX('Database.Jan 12 to SEC'!$L$6:$L$191, MATCH($A80&amp;"% GDP", 'Database.Jan 12 to SEC'!$AD$6:$AD$191, 0))), INDEX('Database.Jan 12 to SEC'!$L$6:$L$191, MATCH($A80&amp;"% GDP", 'Database.Jan 12 to SEC'!$AD$6:$AD$191, 0)), "")</f>
        <v/>
      </c>
      <c r="S80" s="482"/>
      <c r="T80" s="481" t="str">
        <f>IF(ISNUMBER(INDEX('Database.Jan 12 to SEC'!$P$6:$P$191, MATCH($A80&amp;"% GDP", 'Database.Jan 12 to SEC'!$AD$6:$AD$191, 0))), INDEX('Database.Jan 12 to SEC'!$P$6:$P$191, MATCH($A80&amp;"% GDP", 'Database.Jan 12 to SEC'!$AD$6:$AD$191, 0)), "")</f>
        <v/>
      </c>
      <c r="U80" s="480" t="str">
        <f>IF(ISNUMBER(INDEX('Database.Jan 12 to SEC'!$Q$6:$Q$191, MATCH($A80&amp;"% GDP", 'Database.Jan 12 to SEC'!$AD$6:$AD$191, 0))), INDEX('Database.Jan 12 to SEC'!$Q$6:$Q$191, MATCH($A80&amp;"% GDP", 'Database.Jan 12 to SEC'!$AD$6:$AD$191, 0)), "")</f>
        <v/>
      </c>
      <c r="V80" s="483"/>
      <c r="W80" s="480" t="str">
        <f>IF(ISNUMBER(INDEX('Database.Jan 12 to SEC'!$U$6:$U$191, MATCH($A80&amp;"% GDP", 'Database.Jan 12 to SEC'!$AD$6:$AD$191, 0))), INDEX('Database.Jan 12 to SEC'!$U$6:$U$191, MATCH($A80&amp;"% GDP", 'Database.Jan 12 to SEC'!$AD$6:$AD$191, 0)), "")</f>
        <v/>
      </c>
      <c r="X80" s="480" t="str">
        <f>IF(ISNUMBER(INDEX('Database.Jan 12 to SEC'!$W$6:$W$191, MATCH($A80&amp;"% GDP", 'Database.Jan 12 to SEC'!$AD$6:$AD$191, 0))), INDEX('Database.Jan 12 to SEC'!$W$6:$W$191, MATCH($A80&amp;"% GDP", 'Database.Jan 12 to SEC'!$AD$6:$AD$191, 0)), "")</f>
        <v/>
      </c>
      <c r="Z80" s="490"/>
      <c r="AA80" t="s">
        <v>1267</v>
      </c>
      <c r="AC80" s="299"/>
      <c r="AF80" s="443">
        <v>12.537379304867349</v>
      </c>
      <c r="AG80" s="438">
        <v>3.8751505833461795</v>
      </c>
      <c r="AH80" s="438">
        <v>8.6622287215211689</v>
      </c>
      <c r="AI80" s="438">
        <v>0.4819569618750838</v>
      </c>
      <c r="AJ80" s="437"/>
      <c r="AK80" s="443">
        <v>14.618458635750434</v>
      </c>
      <c r="AL80" s="438">
        <v>7.6937118380227556</v>
      </c>
      <c r="AM80" s="441"/>
      <c r="AN80" s="438">
        <v>6.9247467977276784</v>
      </c>
      <c r="AO80" s="438" t="s">
        <v>452</v>
      </c>
      <c r="AP80" s="331"/>
      <c r="AQ80" s="331"/>
      <c r="AR80" s="443">
        <v>4.6169047873067024</v>
      </c>
      <c r="AS80" s="438">
        <v>1.4270287948327041</v>
      </c>
      <c r="AT80" s="438">
        <v>3.1898759924739983</v>
      </c>
      <c r="AU80" s="438">
        <v>0.17748122238696293</v>
      </c>
      <c r="AV80" s="437"/>
      <c r="AW80" s="443">
        <v>5.3832647172315324</v>
      </c>
      <c r="AX80" s="438">
        <v>2.8332185023177257</v>
      </c>
      <c r="AY80" s="441"/>
      <c r="AZ80" s="438">
        <v>2.5500462149138068</v>
      </c>
      <c r="BA80" s="438" t="s">
        <v>452</v>
      </c>
    </row>
    <row r="81" spans="1:53">
      <c r="A81" s="415" t="s">
        <v>1043</v>
      </c>
      <c r="B81" s="415" t="s">
        <v>1043</v>
      </c>
      <c r="C81" s="488">
        <v>1</v>
      </c>
      <c r="D81" s="480">
        <v>0.2</v>
      </c>
      <c r="E81" s="480">
        <v>0.8</v>
      </c>
      <c r="F81" s="480">
        <v>0</v>
      </c>
      <c r="G81" s="482"/>
      <c r="H81" s="481" t="s">
        <v>452</v>
      </c>
      <c r="I81" s="480" t="s">
        <v>452</v>
      </c>
      <c r="J81" s="483"/>
      <c r="K81" s="480" t="s">
        <v>452</v>
      </c>
      <c r="L81" s="480" t="s">
        <v>452</v>
      </c>
      <c r="M81"/>
      <c r="N81"/>
      <c r="O81" s="481">
        <v>1.6</v>
      </c>
      <c r="P81" s="480">
        <v>0.3</v>
      </c>
      <c r="Q81" s="480">
        <v>1.3</v>
      </c>
      <c r="R81" s="480">
        <v>0</v>
      </c>
      <c r="S81" s="482"/>
      <c r="T81" s="481" t="s">
        <v>452</v>
      </c>
      <c r="U81" s="480" t="s">
        <v>452</v>
      </c>
      <c r="V81" s="483"/>
      <c r="W81" s="480" t="s">
        <v>452</v>
      </c>
      <c r="X81" s="480" t="s">
        <v>452</v>
      </c>
      <c r="Z81" s="490"/>
      <c r="AA81" t="s">
        <v>1267</v>
      </c>
      <c r="AC81" s="403"/>
      <c r="AF81" s="443">
        <v>1</v>
      </c>
      <c r="AG81" s="438">
        <v>0.2</v>
      </c>
      <c r="AH81" s="438">
        <v>0.8</v>
      </c>
      <c r="AI81" s="438">
        <v>0</v>
      </c>
      <c r="AJ81" s="437"/>
      <c r="AK81" s="443" t="s">
        <v>452</v>
      </c>
      <c r="AL81" s="438" t="s">
        <v>452</v>
      </c>
      <c r="AM81" s="441"/>
      <c r="AN81" s="438" t="s">
        <v>452</v>
      </c>
      <c r="AO81" s="438" t="s">
        <v>452</v>
      </c>
      <c r="AP81" s="331"/>
      <c r="AQ81" s="331"/>
      <c r="AR81" s="443">
        <v>1.6</v>
      </c>
      <c r="AS81" s="438">
        <v>0.3</v>
      </c>
      <c r="AT81" s="438">
        <v>1.3</v>
      </c>
      <c r="AU81" s="438">
        <v>0</v>
      </c>
      <c r="AV81" s="437"/>
      <c r="AW81" s="443" t="s">
        <v>452</v>
      </c>
      <c r="AX81" s="438" t="s">
        <v>452</v>
      </c>
      <c r="AY81" s="441"/>
      <c r="AZ81" s="438" t="s">
        <v>452</v>
      </c>
      <c r="BA81" s="438" t="s">
        <v>452</v>
      </c>
    </row>
    <row r="82" spans="1:53">
      <c r="A82" s="415" t="s">
        <v>1044</v>
      </c>
      <c r="B82" s="415" t="s">
        <v>1044</v>
      </c>
      <c r="C82" s="488">
        <v>2.5869150931678755</v>
      </c>
      <c r="D82" s="480">
        <v>0.27214770120994602</v>
      </c>
      <c r="E82" s="480">
        <v>2.3147673919579295</v>
      </c>
      <c r="F82" s="480">
        <v>0.63501130282320739</v>
      </c>
      <c r="G82" s="482"/>
      <c r="H82" s="481">
        <v>2.0259884423407093</v>
      </c>
      <c r="I82" s="480">
        <v>0.93739763750092508</v>
      </c>
      <c r="J82" s="483"/>
      <c r="K82" s="480">
        <v>1.0885908048397841</v>
      </c>
      <c r="L82" s="480" t="s">
        <v>452</v>
      </c>
      <c r="M82"/>
      <c r="N82"/>
      <c r="O82" s="481">
        <v>4.6054544084238627</v>
      </c>
      <c r="P82" s="480">
        <v>0.48450134045370857</v>
      </c>
      <c r="Q82" s="480">
        <v>4.120953067970154</v>
      </c>
      <c r="R82" s="480">
        <v>1.1305031277253199</v>
      </c>
      <c r="S82" s="482"/>
      <c r="T82" s="481">
        <v>3.6068433122664976</v>
      </c>
      <c r="U82" s="480">
        <v>1.6688379504516631</v>
      </c>
      <c r="V82" s="483"/>
      <c r="W82" s="480">
        <v>1.9380053618148343</v>
      </c>
      <c r="X82" s="480" t="s">
        <v>452</v>
      </c>
      <c r="Z82" s="490"/>
      <c r="AA82" t="s">
        <v>1267</v>
      </c>
      <c r="AC82" s="403"/>
      <c r="AF82" s="443">
        <v>2.5869150931678755</v>
      </c>
      <c r="AG82" s="438">
        <v>0.27214770120994602</v>
      </c>
      <c r="AH82" s="438">
        <v>2.3147673919579295</v>
      </c>
      <c r="AI82" s="438">
        <v>0.63501130282320739</v>
      </c>
      <c r="AJ82" s="437"/>
      <c r="AK82" s="443">
        <v>2.0259884423407093</v>
      </c>
      <c r="AL82" s="438">
        <v>0.93739763750092508</v>
      </c>
      <c r="AM82" s="441"/>
      <c r="AN82" s="438">
        <v>1.0885908048397841</v>
      </c>
      <c r="AO82" s="438" t="s">
        <v>452</v>
      </c>
      <c r="AP82" s="331"/>
      <c r="AQ82" s="331"/>
      <c r="AR82" s="443">
        <v>4.6054544084238627</v>
      </c>
      <c r="AS82" s="438">
        <v>0.48450134045370857</v>
      </c>
      <c r="AT82" s="438">
        <v>4.120953067970154</v>
      </c>
      <c r="AU82" s="438">
        <v>1.1305031277253199</v>
      </c>
      <c r="AV82" s="437"/>
      <c r="AW82" s="443">
        <v>3.6068433122664976</v>
      </c>
      <c r="AX82" s="438">
        <v>1.6688379504516631</v>
      </c>
      <c r="AY82" s="441"/>
      <c r="AZ82" s="438">
        <v>1.9380053618148343</v>
      </c>
      <c r="BA82" s="438" t="s">
        <v>452</v>
      </c>
    </row>
    <row r="83" spans="1:53">
      <c r="A83" s="299" t="s">
        <v>1045</v>
      </c>
      <c r="B83" s="299" t="s">
        <v>1045</v>
      </c>
      <c r="C83" s="488">
        <v>9.7943366666666653E-3</v>
      </c>
      <c r="D83" s="480">
        <v>1.6323894444444441E-3</v>
      </c>
      <c r="E83" s="480">
        <v>8.1619472222222208E-3</v>
      </c>
      <c r="F83" s="480" t="s">
        <v>452</v>
      </c>
      <c r="G83" s="482"/>
      <c r="H83" s="481">
        <v>3.7037037037037034E-3</v>
      </c>
      <c r="I83" s="480">
        <v>3.7037037037037034E-3</v>
      </c>
      <c r="J83" s="483"/>
      <c r="K83" s="480" t="s">
        <v>452</v>
      </c>
      <c r="L83" s="480" t="s">
        <v>452</v>
      </c>
      <c r="M83"/>
      <c r="N83"/>
      <c r="O83" s="481">
        <v>1.8</v>
      </c>
      <c r="P83" s="480">
        <v>0.3</v>
      </c>
      <c r="Q83" s="480">
        <v>1.5</v>
      </c>
      <c r="R83" s="480" t="s">
        <v>452</v>
      </c>
      <c r="S83" s="482"/>
      <c r="T83" s="481">
        <v>0.68066545939303025</v>
      </c>
      <c r="U83" s="480">
        <v>0.68066545939303025</v>
      </c>
      <c r="V83" s="483"/>
      <c r="W83" s="480" t="s">
        <v>452</v>
      </c>
      <c r="X83" s="480" t="s">
        <v>452</v>
      </c>
      <c r="Z83" s="490"/>
      <c r="AA83" t="s">
        <v>1294</v>
      </c>
      <c r="AB83" s="270" t="s">
        <v>1277</v>
      </c>
      <c r="AC83" s="299"/>
      <c r="AF83" s="443">
        <v>9.7943366666666653E-3</v>
      </c>
      <c r="AG83" s="438">
        <v>1.6323894444444441E-3</v>
      </c>
      <c r="AH83" s="438">
        <v>8.1619472222222208E-3</v>
      </c>
      <c r="AI83" s="438" t="s">
        <v>452</v>
      </c>
      <c r="AJ83" s="437"/>
      <c r="AK83" s="443">
        <v>3.7037037037037034E-3</v>
      </c>
      <c r="AL83" s="438">
        <v>3.7037037037037034E-3</v>
      </c>
      <c r="AM83" s="441"/>
      <c r="AN83" s="438" t="s">
        <v>452</v>
      </c>
      <c r="AO83" s="438" t="s">
        <v>452</v>
      </c>
      <c r="AP83" s="331"/>
      <c r="AQ83" s="331"/>
      <c r="AR83" s="443">
        <v>1.8</v>
      </c>
      <c r="AS83" s="438">
        <v>0.3</v>
      </c>
      <c r="AT83" s="438">
        <v>1.5</v>
      </c>
      <c r="AU83" s="438" t="s">
        <v>452</v>
      </c>
      <c r="AV83" s="437"/>
      <c r="AW83" s="443">
        <v>0.68066545939303025</v>
      </c>
      <c r="AX83" s="438">
        <v>0.68066545939303025</v>
      </c>
      <c r="AY83" s="441"/>
      <c r="AZ83" s="438" t="s">
        <v>452</v>
      </c>
      <c r="BA83" s="438" t="s">
        <v>452</v>
      </c>
    </row>
    <row r="84" spans="1:53">
      <c r="A84" s="415" t="s">
        <v>1046</v>
      </c>
      <c r="B84" s="415" t="s">
        <v>1046</v>
      </c>
      <c r="C84" s="488">
        <v>2.6044534240929136</v>
      </c>
      <c r="D84" s="480">
        <v>0.2367684930993558</v>
      </c>
      <c r="E84" s="480">
        <v>2.3676849309935579</v>
      </c>
      <c r="F84" s="480" t="s">
        <v>452</v>
      </c>
      <c r="G84" s="482"/>
      <c r="H84" s="481" t="s">
        <v>452</v>
      </c>
      <c r="I84" s="480" t="s">
        <v>452</v>
      </c>
      <c r="J84" s="483"/>
      <c r="K84" s="480" t="s">
        <v>452</v>
      </c>
      <c r="L84" s="480" t="s">
        <v>452</v>
      </c>
      <c r="M84"/>
      <c r="N84"/>
      <c r="O84" s="481">
        <v>3.3</v>
      </c>
      <c r="P84" s="480">
        <v>0.3</v>
      </c>
      <c r="Q84" s="480">
        <v>3</v>
      </c>
      <c r="R84" s="480" t="s">
        <v>452</v>
      </c>
      <c r="S84" s="482"/>
      <c r="T84" s="481" t="s">
        <v>452</v>
      </c>
      <c r="U84" s="480" t="s">
        <v>452</v>
      </c>
      <c r="V84" s="483"/>
      <c r="W84" s="480" t="s">
        <v>452</v>
      </c>
      <c r="X84" s="480" t="s">
        <v>452</v>
      </c>
      <c r="Z84" s="490"/>
      <c r="AA84" t="s">
        <v>1267</v>
      </c>
      <c r="AC84" s="403"/>
      <c r="AF84" s="443">
        <v>2.6044534240929136</v>
      </c>
      <c r="AG84" s="438">
        <v>0.2367684930993558</v>
      </c>
      <c r="AH84" s="438">
        <v>2.3676849309935579</v>
      </c>
      <c r="AI84" s="438" t="s">
        <v>452</v>
      </c>
      <c r="AJ84" s="437"/>
      <c r="AK84" s="443" t="s">
        <v>452</v>
      </c>
      <c r="AL84" s="438" t="s">
        <v>452</v>
      </c>
      <c r="AM84" s="441"/>
      <c r="AN84" s="438" t="s">
        <v>452</v>
      </c>
      <c r="AO84" s="438" t="s">
        <v>452</v>
      </c>
      <c r="AP84" s="331"/>
      <c r="AQ84" s="331"/>
      <c r="AR84" s="443">
        <v>3.3</v>
      </c>
      <c r="AS84" s="438">
        <v>0.3</v>
      </c>
      <c r="AT84" s="438">
        <v>3</v>
      </c>
      <c r="AU84" s="438" t="s">
        <v>452</v>
      </c>
      <c r="AV84" s="437"/>
      <c r="AW84" s="443" t="s">
        <v>452</v>
      </c>
      <c r="AX84" s="438" t="s">
        <v>452</v>
      </c>
      <c r="AY84" s="441"/>
      <c r="AZ84" s="438" t="s">
        <v>452</v>
      </c>
      <c r="BA84" s="438" t="s">
        <v>452</v>
      </c>
    </row>
    <row r="85" spans="1:53">
      <c r="A85" s="415" t="s">
        <v>1047</v>
      </c>
      <c r="B85" s="415" t="s">
        <v>1047</v>
      </c>
      <c r="C85" s="488">
        <v>0.68850767749000008</v>
      </c>
      <c r="D85" s="480">
        <v>0.28184314389999998</v>
      </c>
      <c r="E85" s="480">
        <v>0.4066645335900001</v>
      </c>
      <c r="F85" s="480" t="s">
        <v>452</v>
      </c>
      <c r="G85" s="482"/>
      <c r="H85" s="481" t="s">
        <v>452</v>
      </c>
      <c r="I85" s="480" t="s">
        <v>452</v>
      </c>
      <c r="J85" s="483"/>
      <c r="K85" s="480" t="s">
        <v>452</v>
      </c>
      <c r="L85" s="480" t="s">
        <v>452</v>
      </c>
      <c r="M85"/>
      <c r="N85"/>
      <c r="O85" s="481">
        <v>0.71226118727146415</v>
      </c>
      <c r="P85" s="480">
        <v>0.29156673028014524</v>
      </c>
      <c r="Q85" s="480">
        <v>0.42069445699131891</v>
      </c>
      <c r="R85" s="480" t="s">
        <v>452</v>
      </c>
      <c r="S85" s="482"/>
      <c r="T85" s="481" t="s">
        <v>452</v>
      </c>
      <c r="U85" s="480" t="s">
        <v>452</v>
      </c>
      <c r="V85" s="483"/>
      <c r="W85" s="480" t="s">
        <v>452</v>
      </c>
      <c r="X85" s="480" t="s">
        <v>452</v>
      </c>
      <c r="Z85" s="490"/>
      <c r="AA85" t="s">
        <v>1267</v>
      </c>
      <c r="AC85" s="403"/>
      <c r="AF85" s="443">
        <v>0.68850767749000008</v>
      </c>
      <c r="AG85" s="438">
        <v>0.28184314389999998</v>
      </c>
      <c r="AH85" s="438">
        <v>0.4066645335900001</v>
      </c>
      <c r="AI85" s="438" t="s">
        <v>452</v>
      </c>
      <c r="AJ85" s="437"/>
      <c r="AK85" s="443" t="s">
        <v>452</v>
      </c>
      <c r="AL85" s="438" t="s">
        <v>452</v>
      </c>
      <c r="AM85" s="441"/>
      <c r="AN85" s="438" t="s">
        <v>452</v>
      </c>
      <c r="AO85" s="438" t="s">
        <v>452</v>
      </c>
      <c r="AP85" s="331"/>
      <c r="AQ85" s="331"/>
      <c r="AR85" s="443">
        <v>0.71226118727146415</v>
      </c>
      <c r="AS85" s="438">
        <v>0.29156673028014524</v>
      </c>
      <c r="AT85" s="438">
        <v>0.42069445699131891</v>
      </c>
      <c r="AU85" s="438" t="s">
        <v>452</v>
      </c>
      <c r="AV85" s="437"/>
      <c r="AW85" s="443" t="s">
        <v>452</v>
      </c>
      <c r="AX85" s="438" t="s">
        <v>452</v>
      </c>
      <c r="AY85" s="441"/>
      <c r="AZ85" s="438" t="s">
        <v>452</v>
      </c>
      <c r="BA85" s="438" t="s">
        <v>452</v>
      </c>
    </row>
    <row r="86" spans="1:53">
      <c r="A86" s="415" t="s">
        <v>23</v>
      </c>
      <c r="B86" s="415" t="s">
        <v>23</v>
      </c>
      <c r="C86" s="488" t="str">
        <f>IF(ISNUMBER(INDEX('Database.Jan 12 to SEC'!$G$6:$G$191, MATCH($A86&amp;"USD bn", 'Database.Jan 12 to SEC'!$AD$6:$AD$191, 0))), INDEX('Database.Jan 12 to SEC'!$G$6:$G$191, MATCH($A86&amp;"USD bn", 'Database.Jan 12 to SEC'!$AD$6:$AD$191, 0)), "")</f>
        <v/>
      </c>
      <c r="D86" s="480" t="str">
        <f>IF(ISNUMBER(INDEX('Database.Jan 12 to SEC'!$H$6:$H$191, MATCH($A86&amp;"USD bn", 'Database.Jan 12 to SEC'!$AD$6:$AD$191, 0))), INDEX('Database.Jan 12 to SEC'!$H$6:$H$191, MATCH($A86&amp;"USD bn", 'Database.Jan 12 to SEC'!$AD$6:$AD$191, 0)), "")</f>
        <v/>
      </c>
      <c r="E86" s="480" t="str">
        <f>IF(ISNUMBER(INDEX('Database.Jan 12 to SEC'!$J$6:$J$191, MATCH($A86&amp;"USD bn", 'Database.Jan 12 to SEC'!$AD$6:$AD$191, 0))), INDEX('Database.Jan 12 to SEC'!$J$6:$J$191, MATCH($A86&amp;"USD bn", 'Database.Jan 12 to SEC'!$AD$6:$AD$191, 0)), "")</f>
        <v/>
      </c>
      <c r="F86" s="480" t="str">
        <f>IF(ISNUMBER(INDEX('Database.Jan 12 to SEC'!$L$6:$L$191, MATCH($A86&amp;"USD bn", 'Database.Jan 12 to SEC'!$AD$6:$AD$191, 0))), INDEX('Database.Jan 12 to SEC'!$L$6:$L$191, MATCH($A86&amp;"USD bn", 'Database.Jan 12 to SEC'!$AD$6:$AD$191, 0)), "")</f>
        <v/>
      </c>
      <c r="G86" s="482"/>
      <c r="H86" s="481" t="str">
        <f>IF(ISNUMBER(INDEX('Database.Jan 12 to SEC'!$P$6:$P$191, MATCH($A86&amp;"USD bn", 'Database.Jan 12 to SEC'!$AD$6:$AD$191, 0))), INDEX('Database.Jan 12 to SEC'!$P$6:$P$191, MATCH($A86&amp;"USD bn", 'Database.Jan 12 to SEC'!$AD$6:$AD$191, 0)), "")</f>
        <v/>
      </c>
      <c r="I86" s="480" t="str">
        <f>IF(ISNUMBER(INDEX('Database.Jan 12 to SEC'!$Q$6:$Q$191, MATCH($A86&amp;"USD bn", 'Database.Jan 12 to SEC'!$AD$6:$AD$191, 0))), INDEX('Database.Jan 12 to SEC'!$Q$6:$Q$191, MATCH($A86&amp;"USD bn", 'Database.Jan 12 to SEC'!$AD$6:$AD$191, 0)), "")</f>
        <v/>
      </c>
      <c r="J86" s="483"/>
      <c r="K86" s="480" t="str">
        <f>IF(ISNUMBER(INDEX('Database.Jan 12 to SEC'!$U$6:$U$191, MATCH($A86&amp;"USD bn", 'Database.Jan 12 to SEC'!$AD$6:$AD$191, 0))), INDEX('Database.Jan 12 to SEC'!$U$6:$U$191, MATCH($A86&amp;"USD bn", 'Database.Jan 12 to SEC'!$AD$6:$AD$191, 0)), "")</f>
        <v/>
      </c>
      <c r="L86" s="480" t="str">
        <f>IF(ISNUMBER(INDEX('Database.Jan 12 to SEC'!$W$6:$W$191, MATCH($A86&amp;"USD bn", 'Database.Jan 12 to SEC'!$AD$6:$AD$191, 0))), INDEX('Database.Jan 12 to SEC'!$W$6:$W$191, MATCH($A86&amp;"USD bn", 'Database.Jan 12 to SEC'!$AD$6:$AD$191, 0)), "")</f>
        <v/>
      </c>
      <c r="M86"/>
      <c r="N86"/>
      <c r="O86" s="481" t="str">
        <f>IF(ISNUMBER(INDEX('Database.Jan 12 to SEC'!$G$6:$G$191, MATCH($A86&amp;"% GDP", 'Database.Jan 12 to SEC'!$AD$6:$AD$191, 0))), INDEX('Database.Jan 12 to SEC'!$G$6:$G$191, MATCH($A86&amp;"% GDP", 'Database.Jan 12 to SEC'!$AD$6:$AD$191, 0)), "")</f>
        <v/>
      </c>
      <c r="P86" s="480" t="str">
        <f>IF(ISNUMBER(INDEX('Database.Jan 12 to SEC'!$H$6:$H$191, MATCH($A86&amp;"% GDP", 'Database.Jan 12 to SEC'!$AD$6:$AD$191, 0))), INDEX('Database.Jan 12 to SEC'!$H$6:$H$191, MATCH($A86&amp;"% GDP", 'Database.Jan 12 to SEC'!$AD$6:$AD$191, 0)), "")</f>
        <v/>
      </c>
      <c r="Q86" s="480" t="str">
        <f>IF(ISNUMBER(INDEX('Database.Jan 12 to SEC'!$J$6:$J$191, MATCH($A86&amp;"% GDP", 'Database.Jan 12 to SEC'!$AD$6:$AD$191, 0))), INDEX('Database.Jan 12 to SEC'!$J$6:$J$191, MATCH($A86&amp;"% GDP", 'Database.Jan 12 to SEC'!$AD$6:$AD$191, 0)), "")</f>
        <v/>
      </c>
      <c r="R86" s="480" t="str">
        <f>IF(ISNUMBER(INDEX('Database.Jan 12 to SEC'!$L$6:$L$191, MATCH($A86&amp;"% GDP", 'Database.Jan 12 to SEC'!$AD$6:$AD$191, 0))), INDEX('Database.Jan 12 to SEC'!$L$6:$L$191, MATCH($A86&amp;"% GDP", 'Database.Jan 12 to SEC'!$AD$6:$AD$191, 0)), "")</f>
        <v/>
      </c>
      <c r="S86" s="482"/>
      <c r="T86" s="481" t="str">
        <f>IF(ISNUMBER(INDEX('Database.Jan 12 to SEC'!$P$6:$P$191, MATCH($A86&amp;"% GDP", 'Database.Jan 12 to SEC'!$AD$6:$AD$191, 0))), INDEX('Database.Jan 12 to SEC'!$P$6:$P$191, MATCH($A86&amp;"% GDP", 'Database.Jan 12 to SEC'!$AD$6:$AD$191, 0)), "")</f>
        <v/>
      </c>
      <c r="U86" s="480" t="str">
        <f>IF(ISNUMBER(INDEX('Database.Jan 12 to SEC'!$Q$6:$Q$191, MATCH($A86&amp;"% GDP", 'Database.Jan 12 to SEC'!$AD$6:$AD$191, 0))), INDEX('Database.Jan 12 to SEC'!$Q$6:$Q$191, MATCH($A86&amp;"% GDP", 'Database.Jan 12 to SEC'!$AD$6:$AD$191, 0)), "")</f>
        <v/>
      </c>
      <c r="V86" s="483"/>
      <c r="W86" s="480" t="str">
        <f>IF(ISNUMBER(INDEX('Database.Jan 12 to SEC'!$U$6:$U$191, MATCH($A86&amp;"% GDP", 'Database.Jan 12 to SEC'!$AD$6:$AD$191, 0))), INDEX('Database.Jan 12 to SEC'!$U$6:$U$191, MATCH($A86&amp;"% GDP", 'Database.Jan 12 to SEC'!$AD$6:$AD$191, 0)), "")</f>
        <v/>
      </c>
      <c r="X86" s="480" t="str">
        <f>IF(ISNUMBER(INDEX('Database.Jan 12 to SEC'!$W$6:$W$191, MATCH($A86&amp;"% GDP", 'Database.Jan 12 to SEC'!$AD$6:$AD$191, 0))), INDEX('Database.Jan 12 to SEC'!$W$6:$W$191, MATCH($A86&amp;"% GDP", 'Database.Jan 12 to SEC'!$AD$6:$AD$191, 0)), "")</f>
        <v/>
      </c>
      <c r="Z86" s="490"/>
      <c r="AB86" s="270" t="s">
        <v>1293</v>
      </c>
      <c r="AC86" s="299"/>
      <c r="AF86" s="443">
        <v>5.6957877830164128</v>
      </c>
      <c r="AG86" s="438">
        <v>0.80458007357131589</v>
      </c>
      <c r="AH86" s="438">
        <v>4.891207709445097</v>
      </c>
      <c r="AI86" s="438" t="s">
        <v>452</v>
      </c>
      <c r="AJ86" s="437"/>
      <c r="AK86" s="443">
        <v>0.46256670638826908</v>
      </c>
      <c r="AL86" s="438">
        <v>0.46256670638826908</v>
      </c>
      <c r="AM86" s="441"/>
      <c r="AN86" s="438" t="s">
        <v>452</v>
      </c>
      <c r="AO86" s="438" t="s">
        <v>452</v>
      </c>
      <c r="AP86" s="331"/>
      <c r="AQ86" s="331"/>
      <c r="AR86" s="443">
        <v>1.5680273855370135</v>
      </c>
      <c r="AS86" s="438">
        <v>0.22149764655541296</v>
      </c>
      <c r="AT86" s="438">
        <v>1.3465297389816004</v>
      </c>
      <c r="AU86" s="438" t="s">
        <v>452</v>
      </c>
      <c r="AV86" s="437"/>
      <c r="AW86" s="443">
        <v>0.12734274711168164</v>
      </c>
      <c r="AX86" s="438">
        <v>0.12734274711168164</v>
      </c>
      <c r="AY86" s="441"/>
      <c r="AZ86" s="438" t="s">
        <v>452</v>
      </c>
      <c r="BA86" s="438" t="s">
        <v>452</v>
      </c>
    </row>
    <row r="87" spans="1:53">
      <c r="A87" s="415" t="s">
        <v>1048</v>
      </c>
      <c r="B87" s="415" t="s">
        <v>1048</v>
      </c>
      <c r="C87" s="488">
        <v>0.63</v>
      </c>
      <c r="D87" s="480">
        <v>0.12</v>
      </c>
      <c r="E87" s="480">
        <v>0.51</v>
      </c>
      <c r="F87" s="480" t="s">
        <v>452</v>
      </c>
      <c r="G87" s="482"/>
      <c r="H87" s="481">
        <v>0.6</v>
      </c>
      <c r="I87" s="480">
        <v>0.6</v>
      </c>
      <c r="J87" s="483"/>
      <c r="K87" s="480" t="s">
        <v>452</v>
      </c>
      <c r="L87" s="480" t="s">
        <v>452</v>
      </c>
      <c r="M87"/>
      <c r="N87"/>
      <c r="O87" s="481">
        <v>2.5569510104421012</v>
      </c>
      <c r="P87" s="480">
        <v>0.4870382877032573</v>
      </c>
      <c r="Q87" s="480">
        <v>2.0699127227388434</v>
      </c>
      <c r="R87" s="480" t="s">
        <v>452</v>
      </c>
      <c r="S87" s="482"/>
      <c r="T87" s="481">
        <v>2.4351914385162865</v>
      </c>
      <c r="U87" s="480">
        <v>2.4351914385162865</v>
      </c>
      <c r="V87" s="483"/>
      <c r="W87" s="480" t="s">
        <v>452</v>
      </c>
      <c r="X87" s="480" t="s">
        <v>452</v>
      </c>
      <c r="Z87" s="490"/>
      <c r="AA87" t="s">
        <v>1267</v>
      </c>
      <c r="AC87" s="403"/>
      <c r="AF87" s="443">
        <v>0.63</v>
      </c>
      <c r="AG87" s="438">
        <v>0.12</v>
      </c>
      <c r="AH87" s="438">
        <v>0.51</v>
      </c>
      <c r="AI87" s="438" t="s">
        <v>452</v>
      </c>
      <c r="AJ87" s="437"/>
      <c r="AK87" s="443">
        <v>0.6</v>
      </c>
      <c r="AL87" s="438">
        <v>0.6</v>
      </c>
      <c r="AM87" s="441"/>
      <c r="AN87" s="438" t="s">
        <v>452</v>
      </c>
      <c r="AO87" s="438" t="s">
        <v>452</v>
      </c>
      <c r="AP87" s="331"/>
      <c r="AQ87" s="331"/>
      <c r="AR87" s="443">
        <v>2.5569510104421012</v>
      </c>
      <c r="AS87" s="438">
        <v>0.4870382877032573</v>
      </c>
      <c r="AT87" s="438">
        <v>2.0699127227388434</v>
      </c>
      <c r="AU87" s="438" t="s">
        <v>452</v>
      </c>
      <c r="AV87" s="437"/>
      <c r="AW87" s="443">
        <v>2.4351914385162865</v>
      </c>
      <c r="AX87" s="438">
        <v>2.4351914385162865</v>
      </c>
      <c r="AY87" s="441"/>
      <c r="AZ87" s="438" t="s">
        <v>452</v>
      </c>
      <c r="BA87" s="438" t="s">
        <v>452</v>
      </c>
    </row>
    <row r="88" spans="1:53">
      <c r="A88" s="415" t="s">
        <v>1049</v>
      </c>
      <c r="B88" s="415" t="s">
        <v>1049</v>
      </c>
      <c r="C88" s="488">
        <v>8.0556118904301907E-2</v>
      </c>
      <c r="D88" s="480">
        <v>6.0895554247312467E-2</v>
      </c>
      <c r="E88" s="480">
        <v>1.9660564656989447E-2</v>
      </c>
      <c r="F88" s="480">
        <v>3.4797459569892837E-2</v>
      </c>
      <c r="G88" s="482"/>
      <c r="H88" s="481">
        <v>1.7398729784946418E-3</v>
      </c>
      <c r="I88" s="480" t="s">
        <v>452</v>
      </c>
      <c r="J88" s="483"/>
      <c r="K88" s="480">
        <v>1.7398729784946418E-3</v>
      </c>
      <c r="L88" s="480" t="s">
        <v>452</v>
      </c>
      <c r="M88"/>
      <c r="N88"/>
      <c r="O88" s="481">
        <v>0.80264328119807848</v>
      </c>
      <c r="P88" s="480">
        <v>0.60674978060329909</v>
      </c>
      <c r="Q88" s="480">
        <v>0.19589350059477936</v>
      </c>
      <c r="R88" s="480">
        <v>0.34671416034474234</v>
      </c>
      <c r="S88" s="482"/>
      <c r="T88" s="481">
        <v>1.7335708017237116E-2</v>
      </c>
      <c r="U88" s="480" t="s">
        <v>452</v>
      </c>
      <c r="V88" s="483"/>
      <c r="W88" s="480">
        <v>1.7335708017237116E-2</v>
      </c>
      <c r="X88" s="480" t="s">
        <v>452</v>
      </c>
      <c r="Z88" s="490"/>
      <c r="AA88" t="s">
        <v>1267</v>
      </c>
      <c r="AC88" s="403"/>
      <c r="AF88" s="443">
        <v>8.0556118904301907E-2</v>
      </c>
      <c r="AG88" s="438">
        <v>6.0895554247312467E-2</v>
      </c>
      <c r="AH88" s="438">
        <v>1.9660564656989447E-2</v>
      </c>
      <c r="AI88" s="438">
        <v>3.4797459569892837E-2</v>
      </c>
      <c r="AJ88" s="437"/>
      <c r="AK88" s="443">
        <v>1.7398729784946418E-3</v>
      </c>
      <c r="AL88" s="438" t="s">
        <v>452</v>
      </c>
      <c r="AM88" s="441"/>
      <c r="AN88" s="438">
        <v>1.7398729784946418E-3</v>
      </c>
      <c r="AO88" s="438" t="s">
        <v>452</v>
      </c>
      <c r="AP88" s="331"/>
      <c r="AQ88" s="331"/>
      <c r="AR88" s="443">
        <v>0.80264328119807848</v>
      </c>
      <c r="AS88" s="438">
        <v>0.60674978060329909</v>
      </c>
      <c r="AT88" s="438">
        <v>0.19589350059477936</v>
      </c>
      <c r="AU88" s="438">
        <v>0.34671416034474234</v>
      </c>
      <c r="AV88" s="437"/>
      <c r="AW88" s="443">
        <v>1.7335708017237116E-2</v>
      </c>
      <c r="AX88" s="438" t="s">
        <v>452</v>
      </c>
      <c r="AY88" s="441"/>
      <c r="AZ88" s="438">
        <v>1.7335708017237116E-2</v>
      </c>
      <c r="BA88" s="438" t="s">
        <v>452</v>
      </c>
    </row>
    <row r="89" spans="1:53">
      <c r="A89" s="415" t="s">
        <v>1050</v>
      </c>
      <c r="B89" s="415" t="s">
        <v>1050</v>
      </c>
      <c r="C89" s="488">
        <v>0.12815905490289342</v>
      </c>
      <c r="D89" s="480">
        <v>2.7332499860806655E-2</v>
      </c>
      <c r="E89" s="480">
        <v>0.10082655504208676</v>
      </c>
      <c r="F89" s="480" t="s">
        <v>452</v>
      </c>
      <c r="G89" s="482"/>
      <c r="H89" s="481" t="s">
        <v>452</v>
      </c>
      <c r="I89" s="480" t="s">
        <v>452</v>
      </c>
      <c r="J89" s="483"/>
      <c r="K89" s="480" t="s">
        <v>452</v>
      </c>
      <c r="L89" s="480" t="s">
        <v>452</v>
      </c>
      <c r="M89"/>
      <c r="N89"/>
      <c r="O89" s="481">
        <v>3.2193473381137108</v>
      </c>
      <c r="P89" s="480">
        <v>0.68659066452662088</v>
      </c>
      <c r="Q89" s="480">
        <v>2.5327566735870897</v>
      </c>
      <c r="R89" s="480" t="s">
        <v>452</v>
      </c>
      <c r="S89" s="482"/>
      <c r="T89" s="481" t="s">
        <v>452</v>
      </c>
      <c r="U89" s="480" t="s">
        <v>452</v>
      </c>
      <c r="V89" s="483"/>
      <c r="W89" s="480" t="s">
        <v>452</v>
      </c>
      <c r="X89" s="480" t="s">
        <v>452</v>
      </c>
      <c r="Z89" s="490"/>
      <c r="AA89" t="s">
        <v>1267</v>
      </c>
      <c r="AC89" s="403"/>
      <c r="AF89" s="443">
        <v>0.12815905490289342</v>
      </c>
      <c r="AG89" s="438">
        <v>2.7332499860806655E-2</v>
      </c>
      <c r="AH89" s="438">
        <v>0.10082655504208676</v>
      </c>
      <c r="AI89" s="438" t="s">
        <v>452</v>
      </c>
      <c r="AJ89" s="437"/>
      <c r="AK89" s="443" t="s">
        <v>452</v>
      </c>
      <c r="AL89" s="438" t="s">
        <v>452</v>
      </c>
      <c r="AM89" s="441"/>
      <c r="AN89" s="438" t="s">
        <v>452</v>
      </c>
      <c r="AO89" s="438" t="s">
        <v>452</v>
      </c>
      <c r="AP89" s="331"/>
      <c r="AQ89" s="331"/>
      <c r="AR89" s="443">
        <v>3.2193473381137108</v>
      </c>
      <c r="AS89" s="438">
        <v>0.68659066452662088</v>
      </c>
      <c r="AT89" s="438">
        <v>2.5327566735870897</v>
      </c>
      <c r="AU89" s="438" t="s">
        <v>452</v>
      </c>
      <c r="AV89" s="437"/>
      <c r="AW89" s="443" t="s">
        <v>452</v>
      </c>
      <c r="AX89" s="438" t="s">
        <v>452</v>
      </c>
      <c r="AY89" s="441"/>
      <c r="AZ89" s="438" t="s">
        <v>452</v>
      </c>
      <c r="BA89" s="438" t="s">
        <v>452</v>
      </c>
    </row>
    <row r="90" spans="1:53">
      <c r="A90" s="415" t="s">
        <v>1051</v>
      </c>
      <c r="B90" s="415" t="s">
        <v>1051</v>
      </c>
      <c r="C90" s="488">
        <v>0.23976482998316759</v>
      </c>
      <c r="D90" s="480">
        <v>1.844344846024366E-2</v>
      </c>
      <c r="E90" s="480">
        <v>0.22132138152292394</v>
      </c>
      <c r="F90" s="480" t="s">
        <v>452</v>
      </c>
      <c r="G90" s="482"/>
      <c r="H90" s="481">
        <v>1.3832586345182744E-2</v>
      </c>
      <c r="I90" s="480" t="s">
        <v>452</v>
      </c>
      <c r="J90" s="483"/>
      <c r="K90" s="480" t="s">
        <v>452</v>
      </c>
      <c r="L90" s="480" t="s">
        <v>452</v>
      </c>
      <c r="M90"/>
      <c r="N90"/>
      <c r="O90" s="481">
        <v>5.3350867880701367</v>
      </c>
      <c r="P90" s="480">
        <v>0.41039129139001052</v>
      </c>
      <c r="Q90" s="480">
        <v>4.9246954966801271</v>
      </c>
      <c r="R90" s="480" t="s">
        <v>452</v>
      </c>
      <c r="S90" s="482"/>
      <c r="T90" s="481">
        <v>0.30779346854250789</v>
      </c>
      <c r="U90" s="480" t="s">
        <v>452</v>
      </c>
      <c r="V90" s="483"/>
      <c r="W90" s="480" t="s">
        <v>452</v>
      </c>
      <c r="X90" s="480" t="s">
        <v>452</v>
      </c>
      <c r="Z90" s="490"/>
      <c r="AA90" t="s">
        <v>1267</v>
      </c>
      <c r="AC90" s="403"/>
      <c r="AF90" s="443">
        <v>0.23976482998316759</v>
      </c>
      <c r="AG90" s="438">
        <v>1.844344846024366E-2</v>
      </c>
      <c r="AH90" s="438">
        <v>0.22132138152292394</v>
      </c>
      <c r="AI90" s="438" t="s">
        <v>452</v>
      </c>
      <c r="AJ90" s="437"/>
      <c r="AK90" s="443">
        <v>1.3832586345182744E-2</v>
      </c>
      <c r="AL90" s="438" t="s">
        <v>452</v>
      </c>
      <c r="AM90" s="441"/>
      <c r="AN90" s="438" t="s">
        <v>452</v>
      </c>
      <c r="AO90" s="438" t="s">
        <v>452</v>
      </c>
      <c r="AP90" s="331"/>
      <c r="AQ90" s="331"/>
      <c r="AR90" s="443">
        <v>5.3350867880701367</v>
      </c>
      <c r="AS90" s="438">
        <v>0.41039129139001052</v>
      </c>
      <c r="AT90" s="438">
        <v>4.9246954966801271</v>
      </c>
      <c r="AU90" s="438" t="s">
        <v>452</v>
      </c>
      <c r="AV90" s="437"/>
      <c r="AW90" s="443">
        <v>0.30779346854250789</v>
      </c>
      <c r="AX90" s="438" t="s">
        <v>452</v>
      </c>
      <c r="AY90" s="441"/>
      <c r="AZ90" s="438" t="s">
        <v>452</v>
      </c>
      <c r="BA90" s="438" t="s">
        <v>452</v>
      </c>
    </row>
    <row r="91" spans="1:53">
      <c r="A91" s="415" t="s">
        <v>1052</v>
      </c>
      <c r="B91" s="415" t="s">
        <v>1052</v>
      </c>
      <c r="C91" s="488">
        <v>0.30813150449140214</v>
      </c>
      <c r="D91" s="480">
        <v>0.12022522281398017</v>
      </c>
      <c r="E91" s="480">
        <v>0.18790628167742199</v>
      </c>
      <c r="F91" s="480" t="s">
        <v>452</v>
      </c>
      <c r="G91" s="482"/>
      <c r="H91" s="481">
        <v>2.1748412231183102E-2</v>
      </c>
      <c r="I91" s="480">
        <v>4.3496824462366203E-3</v>
      </c>
      <c r="J91" s="483"/>
      <c r="K91" s="480">
        <v>1.7398729784946481E-2</v>
      </c>
      <c r="L91" s="480" t="s">
        <v>452</v>
      </c>
      <c r="M91"/>
      <c r="N91"/>
      <c r="O91" s="481">
        <v>2.00881632790301</v>
      </c>
      <c r="P91" s="480">
        <v>0.78378999581082998</v>
      </c>
      <c r="Q91" s="480">
        <v>1.2250263320921801</v>
      </c>
      <c r="R91" s="480" t="s">
        <v>452</v>
      </c>
      <c r="S91" s="482"/>
      <c r="T91" s="481">
        <v>0.14178545510326157</v>
      </c>
      <c r="U91" s="480">
        <v>2.8357091020652314E-2</v>
      </c>
      <c r="V91" s="483"/>
      <c r="W91" s="480">
        <v>0.11342836408260926</v>
      </c>
      <c r="X91" s="480" t="s">
        <v>452</v>
      </c>
      <c r="Z91" s="490"/>
      <c r="AA91" t="s">
        <v>1267</v>
      </c>
      <c r="AC91" s="403"/>
      <c r="AF91" s="443">
        <v>0.30813150449140214</v>
      </c>
      <c r="AG91" s="438">
        <v>0.12022522281398017</v>
      </c>
      <c r="AH91" s="438">
        <v>0.18790628167742199</v>
      </c>
      <c r="AI91" s="438" t="s">
        <v>452</v>
      </c>
      <c r="AJ91" s="437"/>
      <c r="AK91" s="443">
        <v>2.1748412231183102E-2</v>
      </c>
      <c r="AL91" s="438">
        <v>4.3496824462366203E-3</v>
      </c>
      <c r="AM91" s="441"/>
      <c r="AN91" s="438">
        <v>1.7398729784946481E-2</v>
      </c>
      <c r="AO91" s="438" t="s">
        <v>452</v>
      </c>
      <c r="AP91" s="331"/>
      <c r="AQ91" s="331"/>
      <c r="AR91" s="443">
        <v>2.00881632790301</v>
      </c>
      <c r="AS91" s="438">
        <v>0.78378999581082998</v>
      </c>
      <c r="AT91" s="438">
        <v>1.2250263320921801</v>
      </c>
      <c r="AU91" s="438" t="s">
        <v>452</v>
      </c>
      <c r="AV91" s="437"/>
      <c r="AW91" s="443">
        <v>0.14178545510326157</v>
      </c>
      <c r="AX91" s="438">
        <v>2.8357091020652314E-2</v>
      </c>
      <c r="AY91" s="441"/>
      <c r="AZ91" s="438">
        <v>0.11342836408260926</v>
      </c>
      <c r="BA91" s="438" t="s">
        <v>452</v>
      </c>
    </row>
    <row r="92" spans="1:53">
      <c r="A92" s="415" t="s">
        <v>549</v>
      </c>
      <c r="B92" s="415" t="s">
        <v>549</v>
      </c>
      <c r="C92" s="488" t="str">
        <f>IF(ISNUMBER(INDEX('Database.Jan 12 to SEC'!$G$6:$G$191, MATCH($A92&amp;"USD bn", 'Database.Jan 12 to SEC'!$AD$6:$AD$191, 0))), INDEX('Database.Jan 12 to SEC'!$G$6:$G$191, MATCH($A92&amp;"USD bn", 'Database.Jan 12 to SEC'!$AD$6:$AD$191, 0)), "")</f>
        <v/>
      </c>
      <c r="D92" s="480" t="str">
        <f>IF(ISNUMBER(INDEX('Database.Jan 12 to SEC'!$H$6:$H$191, MATCH($A92&amp;"USD bn", 'Database.Jan 12 to SEC'!$AD$6:$AD$191, 0))), INDEX('Database.Jan 12 to SEC'!$H$6:$H$191, MATCH($A92&amp;"USD bn", 'Database.Jan 12 to SEC'!$AD$6:$AD$191, 0)), "")</f>
        <v/>
      </c>
      <c r="E92" s="480" t="str">
        <f>IF(ISNUMBER(INDEX('Database.Jan 12 to SEC'!$J$6:$J$191, MATCH($A92&amp;"USD bn", 'Database.Jan 12 to SEC'!$AD$6:$AD$191, 0))), INDEX('Database.Jan 12 to SEC'!$J$6:$J$191, MATCH($A92&amp;"USD bn", 'Database.Jan 12 to SEC'!$AD$6:$AD$191, 0)), "")</f>
        <v/>
      </c>
      <c r="F92" s="480" t="str">
        <f>IF(ISNUMBER(INDEX('Database.Jan 12 to SEC'!$L$6:$L$191, MATCH($A92&amp;"USD bn", 'Database.Jan 12 to SEC'!$AD$6:$AD$191, 0))), INDEX('Database.Jan 12 to SEC'!$L$6:$L$191, MATCH($A92&amp;"USD bn", 'Database.Jan 12 to SEC'!$AD$6:$AD$191, 0)), "")</f>
        <v/>
      </c>
      <c r="G92" s="482"/>
      <c r="H92" s="481" t="str">
        <f>IF(ISNUMBER(INDEX('Database.Jan 12 to SEC'!$P$6:$P$191, MATCH($A92&amp;"USD bn", 'Database.Jan 12 to SEC'!$AD$6:$AD$191, 0))), INDEX('Database.Jan 12 to SEC'!$P$6:$P$191, MATCH($A92&amp;"USD bn", 'Database.Jan 12 to SEC'!$AD$6:$AD$191, 0)), "")</f>
        <v/>
      </c>
      <c r="I92" s="480" t="str">
        <f>IF(ISNUMBER(INDEX('Database.Jan 12 to SEC'!$Q$6:$Q$191, MATCH($A92&amp;"USD bn", 'Database.Jan 12 to SEC'!$AD$6:$AD$191, 0))), INDEX('Database.Jan 12 to SEC'!$Q$6:$Q$191, MATCH($A92&amp;"USD bn", 'Database.Jan 12 to SEC'!$AD$6:$AD$191, 0)), "")</f>
        <v/>
      </c>
      <c r="J92" s="483"/>
      <c r="K92" s="480" t="str">
        <f>IF(ISNUMBER(INDEX('Database.Jan 12 to SEC'!$U$6:$U$191, MATCH($A92&amp;"USD bn", 'Database.Jan 12 to SEC'!$AD$6:$AD$191, 0))), INDEX('Database.Jan 12 to SEC'!$U$6:$U$191, MATCH($A92&amp;"USD bn", 'Database.Jan 12 to SEC'!$AD$6:$AD$191, 0)), "")</f>
        <v/>
      </c>
      <c r="L92" s="480" t="str">
        <f>IF(ISNUMBER(INDEX('Database.Jan 12 to SEC'!$W$6:$W$191, MATCH($A92&amp;"USD bn", 'Database.Jan 12 to SEC'!$AD$6:$AD$191, 0))), INDEX('Database.Jan 12 to SEC'!$W$6:$W$191, MATCH($A92&amp;"USD bn", 'Database.Jan 12 to SEC'!$AD$6:$AD$191, 0)), "")</f>
        <v/>
      </c>
      <c r="M92"/>
      <c r="N92"/>
      <c r="O92" s="481" t="str">
        <f>IF(ISNUMBER(INDEX('Database.Jan 12 to SEC'!$G$6:$G$191, MATCH($A92&amp;"% GDP", 'Database.Jan 12 to SEC'!$AD$6:$AD$191, 0))), INDEX('Database.Jan 12 to SEC'!$G$6:$G$191, MATCH($A92&amp;"% GDP", 'Database.Jan 12 to SEC'!$AD$6:$AD$191, 0)), "")</f>
        <v/>
      </c>
      <c r="P92" s="480" t="str">
        <f>IF(ISNUMBER(INDEX('Database.Jan 12 to SEC'!$H$6:$H$191, MATCH($A92&amp;"% GDP", 'Database.Jan 12 to SEC'!$AD$6:$AD$191, 0))), INDEX('Database.Jan 12 to SEC'!$H$6:$H$191, MATCH($A92&amp;"% GDP", 'Database.Jan 12 to SEC'!$AD$6:$AD$191, 0)), "")</f>
        <v/>
      </c>
      <c r="Q92" s="480" t="str">
        <f>IF(ISNUMBER(INDEX('Database.Jan 12 to SEC'!$J$6:$J$191, MATCH($A92&amp;"% GDP", 'Database.Jan 12 to SEC'!$AD$6:$AD$191, 0))), INDEX('Database.Jan 12 to SEC'!$J$6:$J$191, MATCH($A92&amp;"% GDP", 'Database.Jan 12 to SEC'!$AD$6:$AD$191, 0)), "")</f>
        <v/>
      </c>
      <c r="R92" s="480" t="str">
        <f>IF(ISNUMBER(INDEX('Database.Jan 12 to SEC'!$L$6:$L$191, MATCH($A92&amp;"% GDP", 'Database.Jan 12 to SEC'!$AD$6:$AD$191, 0))), INDEX('Database.Jan 12 to SEC'!$L$6:$L$191, MATCH($A92&amp;"% GDP", 'Database.Jan 12 to SEC'!$AD$6:$AD$191, 0)), "")</f>
        <v/>
      </c>
      <c r="S92" s="482"/>
      <c r="T92" s="481" t="str">
        <f>IF(ISNUMBER(INDEX('Database.Jan 12 to SEC'!$P$6:$P$191, MATCH($A92&amp;"% GDP", 'Database.Jan 12 to SEC'!$AD$6:$AD$191, 0))), INDEX('Database.Jan 12 to SEC'!$P$6:$P$191, MATCH($A92&amp;"% GDP", 'Database.Jan 12 to SEC'!$AD$6:$AD$191, 0)), "")</f>
        <v/>
      </c>
      <c r="U92" s="480" t="str">
        <f>IF(ISNUMBER(INDEX('Database.Jan 12 to SEC'!$Q$6:$Q$191, MATCH($A92&amp;"% GDP", 'Database.Jan 12 to SEC'!$AD$6:$AD$191, 0))), INDEX('Database.Jan 12 to SEC'!$Q$6:$Q$191, MATCH($A92&amp;"% GDP", 'Database.Jan 12 to SEC'!$AD$6:$AD$191, 0)), "")</f>
        <v/>
      </c>
      <c r="V92" s="483"/>
      <c r="W92" s="480" t="str">
        <f>IF(ISNUMBER(INDEX('Database.Jan 12 to SEC'!$U$6:$U$191, MATCH($A92&amp;"% GDP", 'Database.Jan 12 to SEC'!$AD$6:$AD$191, 0))), INDEX('Database.Jan 12 to SEC'!$U$6:$U$191, MATCH($A92&amp;"% GDP", 'Database.Jan 12 to SEC'!$AD$6:$AD$191, 0)), "")</f>
        <v/>
      </c>
      <c r="X92" s="480" t="str">
        <f>IF(ISNUMBER(INDEX('Database.Jan 12 to SEC'!$W$6:$W$191, MATCH($A92&amp;"% GDP", 'Database.Jan 12 to SEC'!$AD$6:$AD$191, 0))), INDEX('Database.Jan 12 to SEC'!$W$6:$W$191, MATCH($A92&amp;"% GDP", 'Database.Jan 12 to SEC'!$AD$6:$AD$191, 0)), "")</f>
        <v/>
      </c>
      <c r="Z92" s="490"/>
      <c r="AA92" t="s">
        <v>1267</v>
      </c>
      <c r="AC92" s="299"/>
      <c r="AF92" s="443">
        <v>1.1321361565263992</v>
      </c>
      <c r="AG92" s="438">
        <v>0.41490217099973153</v>
      </c>
      <c r="AH92" s="438">
        <v>0.71723398552666773</v>
      </c>
      <c r="AI92" s="438" t="s">
        <v>452</v>
      </c>
      <c r="AJ92" s="437"/>
      <c r="AK92" s="443">
        <v>5.9361103903259175E-5</v>
      </c>
      <c r="AL92" s="438">
        <v>2.4881899839689477E-5</v>
      </c>
      <c r="AM92" s="441"/>
      <c r="AN92" s="438">
        <v>3.4479204063569698E-5</v>
      </c>
      <c r="AO92" s="438" t="s">
        <v>452</v>
      </c>
      <c r="AP92" s="331"/>
      <c r="AQ92" s="331"/>
      <c r="AR92" s="443">
        <v>7.1244589204446775</v>
      </c>
      <c r="AS92" s="438">
        <v>2.6109522748220551</v>
      </c>
      <c r="AT92" s="438">
        <v>4.5135066456226216</v>
      </c>
      <c r="AU92" s="438" t="s">
        <v>452</v>
      </c>
      <c r="AV92" s="437"/>
      <c r="AW92" s="443">
        <v>4.5185755271281601E-4</v>
      </c>
      <c r="AX92" s="438">
        <v>1.8940136940058156E-4</v>
      </c>
      <c r="AY92" s="441"/>
      <c r="AZ92" s="438">
        <v>2.6245618331223442E-4</v>
      </c>
      <c r="BA92" s="438" t="s">
        <v>452</v>
      </c>
    </row>
    <row r="93" spans="1:53">
      <c r="A93" s="415" t="s">
        <v>1053</v>
      </c>
      <c r="B93" s="415" t="s">
        <v>1053</v>
      </c>
      <c r="C93" s="488">
        <v>2.3628828446554253E-2</v>
      </c>
      <c r="D93" s="480">
        <v>5.1367018362074466E-3</v>
      </c>
      <c r="E93" s="480">
        <v>1.8492126610346805E-2</v>
      </c>
      <c r="F93" s="480">
        <v>3.7037039653427624E-3</v>
      </c>
      <c r="G93" s="482"/>
      <c r="H93" s="481" t="s">
        <v>452</v>
      </c>
      <c r="I93" s="480" t="s">
        <v>452</v>
      </c>
      <c r="J93" s="483"/>
      <c r="K93" s="480" t="s">
        <v>452</v>
      </c>
      <c r="L93" s="480" t="s">
        <v>452</v>
      </c>
      <c r="M93"/>
      <c r="N93"/>
      <c r="O93" s="481">
        <v>2.2999999999999998</v>
      </c>
      <c r="P93" s="480">
        <v>0.5</v>
      </c>
      <c r="Q93" s="480">
        <v>1.7999999999999998</v>
      </c>
      <c r="R93" s="480">
        <v>0.36051381639831542</v>
      </c>
      <c r="S93" s="482"/>
      <c r="T93" s="481" t="s">
        <v>452</v>
      </c>
      <c r="U93" s="480" t="s">
        <v>452</v>
      </c>
      <c r="V93" s="483"/>
      <c r="W93" s="480" t="s">
        <v>452</v>
      </c>
      <c r="X93" s="480" t="s">
        <v>452</v>
      </c>
      <c r="Z93" s="490"/>
      <c r="AA93" t="s">
        <v>1267</v>
      </c>
      <c r="AC93" s="403"/>
      <c r="AF93" s="443">
        <v>2.3628828446554253E-2</v>
      </c>
      <c r="AG93" s="438">
        <v>5.1367018362074466E-3</v>
      </c>
      <c r="AH93" s="438">
        <v>1.8492126610346805E-2</v>
      </c>
      <c r="AI93" s="438">
        <v>3.7037039653427624E-3</v>
      </c>
      <c r="AJ93" s="437"/>
      <c r="AK93" s="443" t="s">
        <v>452</v>
      </c>
      <c r="AL93" s="438" t="s">
        <v>452</v>
      </c>
      <c r="AM93" s="441"/>
      <c r="AN93" s="438" t="s">
        <v>452</v>
      </c>
      <c r="AO93" s="438" t="s">
        <v>452</v>
      </c>
      <c r="AP93" s="331"/>
      <c r="AQ93" s="331"/>
      <c r="AR93" s="443">
        <v>2.2999999999999998</v>
      </c>
      <c r="AS93" s="438">
        <v>0.5</v>
      </c>
      <c r="AT93" s="438">
        <v>1.7999999999999998</v>
      </c>
      <c r="AU93" s="438">
        <v>0.36051381639831542</v>
      </c>
      <c r="AV93" s="437"/>
      <c r="AW93" s="443" t="s">
        <v>452</v>
      </c>
      <c r="AX93" s="438" t="s">
        <v>452</v>
      </c>
      <c r="AY93" s="441"/>
      <c r="AZ93" s="438" t="s">
        <v>452</v>
      </c>
      <c r="BA93" s="438" t="s">
        <v>452</v>
      </c>
    </row>
    <row r="94" spans="1:53">
      <c r="A94" s="415" t="s">
        <v>1054</v>
      </c>
      <c r="B94" s="415" t="s">
        <v>1054</v>
      </c>
      <c r="C94" s="488">
        <v>2.759078567476394</v>
      </c>
      <c r="D94" s="480">
        <v>0.4123401154116329</v>
      </c>
      <c r="E94" s="480">
        <v>2.3467384520647609</v>
      </c>
      <c r="F94" s="480" t="s">
        <v>452</v>
      </c>
      <c r="G94" s="482"/>
      <c r="H94" s="481" t="s">
        <v>452</v>
      </c>
      <c r="I94" s="480" t="s">
        <v>452</v>
      </c>
      <c r="J94" s="483"/>
      <c r="K94" s="480" t="s">
        <v>452</v>
      </c>
      <c r="L94" s="480" t="s">
        <v>452</v>
      </c>
      <c r="M94"/>
      <c r="N94"/>
      <c r="O94" s="481">
        <v>3.5553616255933731</v>
      </c>
      <c r="P94" s="480">
        <v>0.53134341309032151</v>
      </c>
      <c r="Q94" s="480">
        <v>3.0240182125030515</v>
      </c>
      <c r="R94" s="480" t="s">
        <v>452</v>
      </c>
      <c r="S94" s="482"/>
      <c r="T94" s="481" t="s">
        <v>452</v>
      </c>
      <c r="U94" s="480" t="s">
        <v>452</v>
      </c>
      <c r="V94" s="483"/>
      <c r="W94" s="480" t="s">
        <v>452</v>
      </c>
      <c r="X94" s="480" t="s">
        <v>452</v>
      </c>
      <c r="Z94" s="490"/>
      <c r="AA94" t="s">
        <v>1267</v>
      </c>
      <c r="AC94" s="403"/>
      <c r="AF94" s="443">
        <v>2.759078567476394</v>
      </c>
      <c r="AG94" s="438">
        <v>0.4123401154116329</v>
      </c>
      <c r="AH94" s="438">
        <v>2.3467384520647609</v>
      </c>
      <c r="AI94" s="438" t="s">
        <v>452</v>
      </c>
      <c r="AJ94" s="437"/>
      <c r="AK94" s="443" t="s">
        <v>452</v>
      </c>
      <c r="AL94" s="438" t="s">
        <v>452</v>
      </c>
      <c r="AM94" s="441"/>
      <c r="AN94" s="438" t="s">
        <v>452</v>
      </c>
      <c r="AO94" s="438" t="s">
        <v>452</v>
      </c>
      <c r="AP94" s="331"/>
      <c r="AQ94" s="331"/>
      <c r="AR94" s="443">
        <v>3.5553616255933731</v>
      </c>
      <c r="AS94" s="438">
        <v>0.53134341309032151</v>
      </c>
      <c r="AT94" s="438">
        <v>3.0240182125030515</v>
      </c>
      <c r="AU94" s="438" t="s">
        <v>452</v>
      </c>
      <c r="AV94" s="437"/>
      <c r="AW94" s="443" t="s">
        <v>452</v>
      </c>
      <c r="AX94" s="438" t="s">
        <v>452</v>
      </c>
      <c r="AY94" s="441"/>
      <c r="AZ94" s="438" t="s">
        <v>452</v>
      </c>
      <c r="BA94" s="438" t="s">
        <v>452</v>
      </c>
    </row>
    <row r="95" spans="1:53">
      <c r="A95" s="415" t="s">
        <v>1055</v>
      </c>
      <c r="B95" s="415" t="s">
        <v>1055</v>
      </c>
      <c r="C95" s="488">
        <v>1.5159232613908873</v>
      </c>
      <c r="D95" s="480">
        <v>1.0848920863309353</v>
      </c>
      <c r="E95" s="480">
        <v>0.43103117505995209</v>
      </c>
      <c r="F95" s="480">
        <v>0.19952038369304556</v>
      </c>
      <c r="G95" s="482"/>
      <c r="H95" s="481" t="s">
        <v>452</v>
      </c>
      <c r="I95" s="480" t="s">
        <v>452</v>
      </c>
      <c r="J95" s="483"/>
      <c r="K95" s="480" t="s">
        <v>452</v>
      </c>
      <c r="L95" s="480" t="s">
        <v>452</v>
      </c>
      <c r="M95"/>
      <c r="N95"/>
      <c r="O95" s="481">
        <v>27.70703520296129</v>
      </c>
      <c r="P95" s="480">
        <v>19.828934612300575</v>
      </c>
      <c r="Q95" s="480">
        <v>7.8781005906607113</v>
      </c>
      <c r="R95" s="480">
        <v>3.6467006183541288</v>
      </c>
      <c r="S95" s="482"/>
      <c r="T95" s="481" t="s">
        <v>452</v>
      </c>
      <c r="U95" s="480" t="s">
        <v>452</v>
      </c>
      <c r="V95" s="483"/>
      <c r="W95" s="480" t="s">
        <v>452</v>
      </c>
      <c r="X95" s="480" t="s">
        <v>452</v>
      </c>
      <c r="Z95" s="490"/>
      <c r="AA95" t="s">
        <v>1267</v>
      </c>
      <c r="AC95" s="403"/>
      <c r="AF95" s="443">
        <v>1.5159232613908873</v>
      </c>
      <c r="AG95" s="438">
        <v>1.0848920863309353</v>
      </c>
      <c r="AH95" s="438">
        <v>0.43103117505995209</v>
      </c>
      <c r="AI95" s="438">
        <v>0.19952038369304556</v>
      </c>
      <c r="AJ95" s="437"/>
      <c r="AK95" s="443" t="s">
        <v>452</v>
      </c>
      <c r="AL95" s="438" t="s">
        <v>452</v>
      </c>
      <c r="AM95" s="441"/>
      <c r="AN95" s="438" t="s">
        <v>452</v>
      </c>
      <c r="AO95" s="438" t="s">
        <v>452</v>
      </c>
      <c r="AP95" s="331"/>
      <c r="AQ95" s="331"/>
      <c r="AR95" s="443">
        <v>27.70703520296129</v>
      </c>
      <c r="AS95" s="438">
        <v>19.828934612300575</v>
      </c>
      <c r="AT95" s="438">
        <v>7.8781005906607113</v>
      </c>
      <c r="AU95" s="438">
        <v>3.6467006183541288</v>
      </c>
      <c r="AV95" s="437"/>
      <c r="AW95" s="443" t="s">
        <v>452</v>
      </c>
      <c r="AX95" s="438" t="s">
        <v>452</v>
      </c>
      <c r="AY95" s="441"/>
      <c r="AZ95" s="438" t="s">
        <v>452</v>
      </c>
      <c r="BA95" s="438" t="s">
        <v>452</v>
      </c>
    </row>
    <row r="96" spans="1:53">
      <c r="A96" s="415" t="s">
        <v>40</v>
      </c>
      <c r="B96" s="415" t="s">
        <v>40</v>
      </c>
      <c r="C96" s="488">
        <v>17.8</v>
      </c>
      <c r="D96" s="480">
        <v>7.7</v>
      </c>
      <c r="E96" s="480">
        <v>10.100000000000001</v>
      </c>
      <c r="F96" s="480" t="s">
        <v>452</v>
      </c>
      <c r="G96" s="482"/>
      <c r="H96" s="481">
        <v>6.5</v>
      </c>
      <c r="I96" s="480" t="s">
        <v>452</v>
      </c>
      <c r="J96" s="483"/>
      <c r="K96" s="480">
        <v>6.5</v>
      </c>
      <c r="L96" s="480" t="s">
        <v>452</v>
      </c>
      <c r="M96"/>
      <c r="N96"/>
      <c r="O96" s="481">
        <v>11.5</v>
      </c>
      <c r="P96" s="480">
        <v>4.9000000000000004</v>
      </c>
      <c r="Q96" s="480">
        <v>6.6</v>
      </c>
      <c r="R96" s="480" t="s">
        <v>452</v>
      </c>
      <c r="S96" s="482"/>
      <c r="T96" s="481">
        <v>4.2</v>
      </c>
      <c r="U96" s="480" t="s">
        <v>452</v>
      </c>
      <c r="V96" s="483"/>
      <c r="W96" s="480">
        <v>4.2</v>
      </c>
      <c r="X96" s="480" t="s">
        <v>452</v>
      </c>
      <c r="Z96" s="490"/>
      <c r="AA96" t="s">
        <v>1267</v>
      </c>
      <c r="AC96" s="403"/>
      <c r="AF96" s="443">
        <v>17.8</v>
      </c>
      <c r="AG96" s="438">
        <v>7.7</v>
      </c>
      <c r="AH96" s="438">
        <v>10.100000000000001</v>
      </c>
      <c r="AI96" s="438" t="s">
        <v>452</v>
      </c>
      <c r="AJ96" s="437"/>
      <c r="AK96" s="443">
        <v>6.5</v>
      </c>
      <c r="AL96" s="438" t="s">
        <v>452</v>
      </c>
      <c r="AM96" s="441"/>
      <c r="AN96" s="438">
        <v>6.5</v>
      </c>
      <c r="AO96" s="438" t="s">
        <v>452</v>
      </c>
      <c r="AP96" s="331"/>
      <c r="AQ96" s="331"/>
      <c r="AR96" s="443">
        <v>11.5</v>
      </c>
      <c r="AS96" s="438">
        <v>4.9000000000000004</v>
      </c>
      <c r="AT96" s="438">
        <v>6.6</v>
      </c>
      <c r="AU96" s="438" t="s">
        <v>452</v>
      </c>
      <c r="AV96" s="437"/>
      <c r="AW96" s="443">
        <v>4.2</v>
      </c>
      <c r="AX96" s="438" t="s">
        <v>452</v>
      </c>
      <c r="AY96" s="441"/>
      <c r="AZ96" s="438">
        <v>4.2</v>
      </c>
      <c r="BA96" s="438" t="s">
        <v>452</v>
      </c>
    </row>
    <row r="97" spans="1:53">
      <c r="A97" s="415" t="s">
        <v>28</v>
      </c>
      <c r="B97" s="415" t="s">
        <v>28</v>
      </c>
      <c r="C97" s="488">
        <v>35.714285714285715</v>
      </c>
      <c r="D97" s="480">
        <v>14.285714285714286</v>
      </c>
      <c r="E97" s="480">
        <v>21.428571428571427</v>
      </c>
      <c r="F97" s="480">
        <v>40.476190476190474</v>
      </c>
      <c r="G97" s="482"/>
      <c r="H97" s="481" t="s">
        <v>452</v>
      </c>
      <c r="I97" s="480" t="s">
        <v>452</v>
      </c>
      <c r="J97" s="483"/>
      <c r="K97" s="480" t="s">
        <v>452</v>
      </c>
      <c r="L97" s="480" t="s">
        <v>452</v>
      </c>
      <c r="M97"/>
      <c r="N97"/>
      <c r="O97" s="481">
        <v>4.2753648489477971</v>
      </c>
      <c r="P97" s="480">
        <v>1.7101459395791188</v>
      </c>
      <c r="Q97" s="480">
        <v>2.5652189093686784</v>
      </c>
      <c r="R97" s="480">
        <v>4.8454134954741699</v>
      </c>
      <c r="S97" s="482"/>
      <c r="T97" s="481" t="s">
        <v>452</v>
      </c>
      <c r="U97" s="480" t="s">
        <v>452</v>
      </c>
      <c r="V97" s="483"/>
      <c r="W97" s="480" t="s">
        <v>452</v>
      </c>
      <c r="X97" s="480" t="s">
        <v>452</v>
      </c>
      <c r="Z97" s="490"/>
      <c r="AA97" t="s">
        <v>1267</v>
      </c>
      <c r="AC97" s="403"/>
      <c r="AF97" s="443">
        <v>35.714285714285715</v>
      </c>
      <c r="AG97" s="438">
        <v>14.285714285714286</v>
      </c>
      <c r="AH97" s="438">
        <v>21.428571428571427</v>
      </c>
      <c r="AI97" s="438">
        <v>40.476190476190474</v>
      </c>
      <c r="AJ97" s="437"/>
      <c r="AK97" s="443" t="s">
        <v>452</v>
      </c>
      <c r="AL97" s="438" t="s">
        <v>452</v>
      </c>
      <c r="AM97" s="441"/>
      <c r="AN97" s="438" t="s">
        <v>452</v>
      </c>
      <c r="AO97" s="438" t="s">
        <v>452</v>
      </c>
      <c r="AP97" s="331"/>
      <c r="AQ97" s="331"/>
      <c r="AR97" s="443">
        <v>4.2753648489477971</v>
      </c>
      <c r="AS97" s="438">
        <v>1.7101459395791188</v>
      </c>
      <c r="AT97" s="438">
        <v>2.5652189093686784</v>
      </c>
      <c r="AU97" s="438">
        <v>4.8454134954741699</v>
      </c>
      <c r="AV97" s="437"/>
      <c r="AW97" s="443" t="s">
        <v>452</v>
      </c>
      <c r="AX97" s="438" t="s">
        <v>452</v>
      </c>
      <c r="AY97" s="441"/>
      <c r="AZ97" s="438" t="s">
        <v>452</v>
      </c>
      <c r="BA97" s="438" t="s">
        <v>452</v>
      </c>
    </row>
    <row r="98" spans="1:53">
      <c r="A98" s="415" t="s">
        <v>1056</v>
      </c>
      <c r="B98" s="415" t="s">
        <v>1056</v>
      </c>
      <c r="C98" s="488">
        <v>0.28887876570818538</v>
      </c>
      <c r="D98" s="480">
        <v>3.6949609567326042E-2</v>
      </c>
      <c r="E98" s="480">
        <v>0.25192915614085937</v>
      </c>
      <c r="F98" s="480">
        <v>0</v>
      </c>
      <c r="G98" s="482"/>
      <c r="H98" s="481" t="s">
        <v>452</v>
      </c>
      <c r="I98" s="480">
        <v>0</v>
      </c>
      <c r="J98" s="483"/>
      <c r="K98" s="480">
        <v>0</v>
      </c>
      <c r="L98" s="480">
        <v>0</v>
      </c>
      <c r="M98"/>
      <c r="N98"/>
      <c r="O98" s="481">
        <v>0.17044210769576476</v>
      </c>
      <c r="P98" s="480">
        <v>2.1800734705272235E-2</v>
      </c>
      <c r="Q98" s="480">
        <v>0.14864137299049252</v>
      </c>
      <c r="R98" s="480">
        <v>0</v>
      </c>
      <c r="S98" s="482"/>
      <c r="T98" s="481" t="s">
        <v>452</v>
      </c>
      <c r="U98" s="480">
        <v>0</v>
      </c>
      <c r="V98" s="483"/>
      <c r="W98" s="480">
        <v>0</v>
      </c>
      <c r="X98" s="480">
        <v>0</v>
      </c>
      <c r="Z98" s="490"/>
      <c r="AA98" t="s">
        <v>1267</v>
      </c>
      <c r="AC98" s="403"/>
      <c r="AF98" s="443">
        <v>0.28887876570818538</v>
      </c>
      <c r="AG98" s="438">
        <v>3.6949609567326042E-2</v>
      </c>
      <c r="AH98" s="438">
        <v>0.25192915614085937</v>
      </c>
      <c r="AI98" s="438">
        <v>0</v>
      </c>
      <c r="AJ98" s="437"/>
      <c r="AK98" s="443" t="s">
        <v>452</v>
      </c>
      <c r="AL98" s="438">
        <v>0</v>
      </c>
      <c r="AM98" s="441"/>
      <c r="AN98" s="438">
        <v>0</v>
      </c>
      <c r="AO98" s="438">
        <v>0</v>
      </c>
      <c r="AP98" s="331"/>
      <c r="AQ98" s="331"/>
      <c r="AR98" s="443">
        <v>0.17044210769576476</v>
      </c>
      <c r="AS98" s="438">
        <v>2.1800734705272235E-2</v>
      </c>
      <c r="AT98" s="438">
        <v>0.14864137299049252</v>
      </c>
      <c r="AU98" s="438">
        <v>0</v>
      </c>
      <c r="AV98" s="437"/>
      <c r="AW98" s="443" t="s">
        <v>452</v>
      </c>
      <c r="AX98" s="438">
        <v>0</v>
      </c>
      <c r="AY98" s="441"/>
      <c r="AZ98" s="438">
        <v>0</v>
      </c>
      <c r="BA98" s="438">
        <v>0</v>
      </c>
    </row>
    <row r="99" spans="1:53">
      <c r="A99" s="415" t="s">
        <v>1057</v>
      </c>
      <c r="B99" s="415" t="s">
        <v>1057</v>
      </c>
      <c r="C99" s="488">
        <v>0.18157499647456088</v>
      </c>
      <c r="D99" s="480">
        <v>8.3803844526720392E-2</v>
      </c>
      <c r="E99" s="480">
        <v>9.7771151947840487E-2</v>
      </c>
      <c r="F99" s="480" t="s">
        <v>452</v>
      </c>
      <c r="G99" s="482"/>
      <c r="H99" s="481" t="s">
        <v>452</v>
      </c>
      <c r="I99" s="480" t="s">
        <v>452</v>
      </c>
      <c r="J99" s="483"/>
      <c r="K99" s="480" t="s">
        <v>452</v>
      </c>
      <c r="L99" s="480" t="s">
        <v>452</v>
      </c>
      <c r="M99"/>
      <c r="N99"/>
      <c r="O99" s="481">
        <v>1.3</v>
      </c>
      <c r="P99" s="480">
        <v>0.6</v>
      </c>
      <c r="Q99" s="480">
        <v>0.70000000000000007</v>
      </c>
      <c r="R99" s="480" t="s">
        <v>452</v>
      </c>
      <c r="S99" s="482"/>
      <c r="T99" s="481" t="s">
        <v>452</v>
      </c>
      <c r="U99" s="480" t="s">
        <v>452</v>
      </c>
      <c r="V99" s="483"/>
      <c r="W99" s="480" t="s">
        <v>452</v>
      </c>
      <c r="X99" s="480" t="s">
        <v>452</v>
      </c>
      <c r="Z99" s="490"/>
      <c r="AA99" t="s">
        <v>1267</v>
      </c>
      <c r="AC99" s="403"/>
      <c r="AF99" s="443">
        <v>0.18157499647456088</v>
      </c>
      <c r="AG99" s="438">
        <v>8.3803844526720392E-2</v>
      </c>
      <c r="AH99" s="438">
        <v>9.7771151947840487E-2</v>
      </c>
      <c r="AI99" s="438" t="s">
        <v>452</v>
      </c>
      <c r="AJ99" s="437"/>
      <c r="AK99" s="443" t="s">
        <v>452</v>
      </c>
      <c r="AL99" s="438" t="s">
        <v>452</v>
      </c>
      <c r="AM99" s="441"/>
      <c r="AN99" s="438" t="s">
        <v>452</v>
      </c>
      <c r="AO99" s="438" t="s">
        <v>452</v>
      </c>
      <c r="AP99" s="331"/>
      <c r="AQ99" s="331"/>
      <c r="AR99" s="443">
        <v>1.3</v>
      </c>
      <c r="AS99" s="438">
        <v>0.6</v>
      </c>
      <c r="AT99" s="438">
        <v>0.70000000000000007</v>
      </c>
      <c r="AU99" s="438" t="s">
        <v>452</v>
      </c>
      <c r="AV99" s="437"/>
      <c r="AW99" s="443" t="s">
        <v>452</v>
      </c>
      <c r="AX99" s="438" t="s">
        <v>452</v>
      </c>
      <c r="AY99" s="441"/>
      <c r="AZ99" s="438" t="s">
        <v>452</v>
      </c>
      <c r="BA99" s="438" t="s">
        <v>452</v>
      </c>
    </row>
    <row r="100" spans="1:53">
      <c r="A100" s="415" t="s">
        <v>1058</v>
      </c>
      <c r="B100" s="415" t="s">
        <v>1058</v>
      </c>
      <c r="C100" s="488">
        <v>0.69111559999999961</v>
      </c>
      <c r="D100" s="480">
        <v>0.32440119999999983</v>
      </c>
      <c r="E100" s="480">
        <v>0.36671439999999983</v>
      </c>
      <c r="F100" s="480" t="s">
        <v>452</v>
      </c>
      <c r="G100" s="482"/>
      <c r="H100" s="481">
        <v>0.7757419999999996</v>
      </c>
      <c r="I100" s="480">
        <v>7.0521999999999974E-2</v>
      </c>
      <c r="J100" s="483"/>
      <c r="K100" s="480" t="s">
        <v>452</v>
      </c>
      <c r="L100" s="480">
        <v>0.70521999999999962</v>
      </c>
      <c r="M100"/>
      <c r="N100"/>
      <c r="O100" s="481">
        <v>1.5793578474649836</v>
      </c>
      <c r="P100" s="480">
        <v>0.7413312345243801</v>
      </c>
      <c r="Q100" s="480">
        <v>0.83802661294060354</v>
      </c>
      <c r="R100" s="480" t="s">
        <v>452</v>
      </c>
      <c r="S100" s="482"/>
      <c r="T100" s="481">
        <v>1.7727486042974305</v>
      </c>
      <c r="U100" s="480">
        <v>0.16115896402703914</v>
      </c>
      <c r="V100" s="483"/>
      <c r="W100" s="480" t="s">
        <v>452</v>
      </c>
      <c r="X100" s="480">
        <v>1.6115896402703913</v>
      </c>
      <c r="Z100" s="490"/>
      <c r="AA100" t="s">
        <v>1267</v>
      </c>
      <c r="AC100" s="403"/>
      <c r="AF100" s="443">
        <v>0.69111559999999961</v>
      </c>
      <c r="AG100" s="438">
        <v>0.32440119999999983</v>
      </c>
      <c r="AH100" s="438">
        <v>0.36671439999999983</v>
      </c>
      <c r="AI100" s="438" t="s">
        <v>452</v>
      </c>
      <c r="AJ100" s="437"/>
      <c r="AK100" s="443">
        <v>0.7757419999999996</v>
      </c>
      <c r="AL100" s="438">
        <v>7.0521999999999974E-2</v>
      </c>
      <c r="AM100" s="441"/>
      <c r="AN100" s="438" t="s">
        <v>452</v>
      </c>
      <c r="AO100" s="438">
        <v>0.70521999999999962</v>
      </c>
      <c r="AP100" s="331"/>
      <c r="AQ100" s="331"/>
      <c r="AR100" s="443">
        <v>1.5793578474649836</v>
      </c>
      <c r="AS100" s="438">
        <v>0.7413312345243801</v>
      </c>
      <c r="AT100" s="438">
        <v>0.83802661294060354</v>
      </c>
      <c r="AU100" s="438" t="s">
        <v>452</v>
      </c>
      <c r="AV100" s="437"/>
      <c r="AW100" s="443">
        <v>1.7727486042974305</v>
      </c>
      <c r="AX100" s="438">
        <v>0.16115896402703914</v>
      </c>
      <c r="AY100" s="441"/>
      <c r="AZ100" s="438" t="s">
        <v>452</v>
      </c>
      <c r="BA100" s="438">
        <v>1.6115896402703913</v>
      </c>
    </row>
    <row r="101" spans="1:53">
      <c r="A101" s="415" t="s">
        <v>35</v>
      </c>
      <c r="B101" s="415" t="s">
        <v>35</v>
      </c>
      <c r="C101" s="488" t="str">
        <f>IF(ISNUMBER(INDEX('Database.Jan 12 to SEC'!$G$6:$G$191, MATCH($A101&amp;"USD bn", 'Database.Jan 12 to SEC'!$AD$6:$AD$191, 0))), INDEX('Database.Jan 12 to SEC'!$G$6:$G$191, MATCH($A101&amp;"USD bn", 'Database.Jan 12 to SEC'!$AD$6:$AD$191, 0)), "")</f>
        <v/>
      </c>
      <c r="D101" s="480" t="str">
        <f>IF(ISNUMBER(INDEX('Database.Jan 12 to SEC'!$H$6:$H$191, MATCH($A101&amp;"USD bn", 'Database.Jan 12 to SEC'!$AD$6:$AD$191, 0))), INDEX('Database.Jan 12 to SEC'!$H$6:$H$191, MATCH($A101&amp;"USD bn", 'Database.Jan 12 to SEC'!$AD$6:$AD$191, 0)), "")</f>
        <v/>
      </c>
      <c r="E101" s="480" t="str">
        <f>IF(ISNUMBER(INDEX('Database.Jan 12 to SEC'!$J$6:$J$191, MATCH($A101&amp;"USD bn", 'Database.Jan 12 to SEC'!$AD$6:$AD$191, 0))), INDEX('Database.Jan 12 to SEC'!$J$6:$J$191, MATCH($A101&amp;"USD bn", 'Database.Jan 12 to SEC'!$AD$6:$AD$191, 0)), "")</f>
        <v/>
      </c>
      <c r="F101" s="480" t="str">
        <f>IF(ISNUMBER(INDEX('Database.Jan 12 to SEC'!$L$6:$L$191, MATCH($A101&amp;"USD bn", 'Database.Jan 12 to SEC'!$AD$6:$AD$191, 0))), INDEX('Database.Jan 12 to SEC'!$L$6:$L$191, MATCH($A101&amp;"USD bn", 'Database.Jan 12 to SEC'!$AD$6:$AD$191, 0)), "")</f>
        <v/>
      </c>
      <c r="G101" s="482"/>
      <c r="H101" s="481" t="str">
        <f>IF(ISNUMBER(INDEX('Database.Jan 12 to SEC'!$P$6:$P$191, MATCH($A101&amp;"USD bn", 'Database.Jan 12 to SEC'!$AD$6:$AD$191, 0))), INDEX('Database.Jan 12 to SEC'!$P$6:$P$191, MATCH($A101&amp;"USD bn", 'Database.Jan 12 to SEC'!$AD$6:$AD$191, 0)), "")</f>
        <v/>
      </c>
      <c r="I101" s="480" t="str">
        <f>IF(ISNUMBER(INDEX('Database.Jan 12 to SEC'!$Q$6:$Q$191, MATCH($A101&amp;"USD bn", 'Database.Jan 12 to SEC'!$AD$6:$AD$191, 0))), INDEX('Database.Jan 12 to SEC'!$Q$6:$Q$191, MATCH($A101&amp;"USD bn", 'Database.Jan 12 to SEC'!$AD$6:$AD$191, 0)), "")</f>
        <v/>
      </c>
      <c r="J101" s="483"/>
      <c r="K101" s="480" t="str">
        <f>IF(ISNUMBER(INDEX('Database.Jan 12 to SEC'!$U$6:$U$191, MATCH($A101&amp;"USD bn", 'Database.Jan 12 to SEC'!$AD$6:$AD$191, 0))), INDEX('Database.Jan 12 to SEC'!$U$6:$U$191, MATCH($A101&amp;"USD bn", 'Database.Jan 12 to SEC'!$AD$6:$AD$191, 0)), "")</f>
        <v/>
      </c>
      <c r="L101" s="480" t="str">
        <f>IF(ISNUMBER(INDEX('Database.Jan 12 to SEC'!$W$6:$W$191, MATCH($A101&amp;"USD bn", 'Database.Jan 12 to SEC'!$AD$6:$AD$191, 0))), INDEX('Database.Jan 12 to SEC'!$W$6:$W$191, MATCH($A101&amp;"USD bn", 'Database.Jan 12 to SEC'!$AD$6:$AD$191, 0)), "")</f>
        <v/>
      </c>
      <c r="M101"/>
      <c r="N101"/>
      <c r="O101" s="481" t="str">
        <f>IF(ISNUMBER(INDEX('Database.Jan 12 to SEC'!$G$6:$G$191, MATCH($A101&amp;"% GDP", 'Database.Jan 12 to SEC'!$AD$6:$AD$191, 0))), INDEX('Database.Jan 12 to SEC'!$G$6:$G$191, MATCH($A101&amp;"% GDP", 'Database.Jan 12 to SEC'!$AD$6:$AD$191, 0)), "")</f>
        <v/>
      </c>
      <c r="P101" s="480" t="str">
        <f>IF(ISNUMBER(INDEX('Database.Jan 12 to SEC'!$H$6:$H$191, MATCH($A101&amp;"% GDP", 'Database.Jan 12 to SEC'!$AD$6:$AD$191, 0))), INDEX('Database.Jan 12 to SEC'!$H$6:$H$191, MATCH($A101&amp;"% GDP", 'Database.Jan 12 to SEC'!$AD$6:$AD$191, 0)), "")</f>
        <v/>
      </c>
      <c r="Q101" s="480" t="str">
        <f>IF(ISNUMBER(INDEX('Database.Jan 12 to SEC'!$J$6:$J$191, MATCH($A101&amp;"% GDP", 'Database.Jan 12 to SEC'!$AD$6:$AD$191, 0))), INDEX('Database.Jan 12 to SEC'!$J$6:$J$191, MATCH($A101&amp;"% GDP", 'Database.Jan 12 to SEC'!$AD$6:$AD$191, 0)), "")</f>
        <v/>
      </c>
      <c r="R101" s="480" t="str">
        <f>IF(ISNUMBER(INDEX('Database.Jan 12 to SEC'!$L$6:$L$191, MATCH($A101&amp;"% GDP", 'Database.Jan 12 to SEC'!$AD$6:$AD$191, 0))), INDEX('Database.Jan 12 to SEC'!$L$6:$L$191, MATCH($A101&amp;"% GDP", 'Database.Jan 12 to SEC'!$AD$6:$AD$191, 0)), "")</f>
        <v/>
      </c>
      <c r="S101" s="482"/>
      <c r="T101" s="481" t="str">
        <f>IF(ISNUMBER(INDEX('Database.Jan 12 to SEC'!$P$6:$P$191, MATCH($A101&amp;"% GDP", 'Database.Jan 12 to SEC'!$AD$6:$AD$191, 0))), INDEX('Database.Jan 12 to SEC'!$P$6:$P$191, MATCH($A101&amp;"% GDP", 'Database.Jan 12 to SEC'!$AD$6:$AD$191, 0)), "")</f>
        <v/>
      </c>
      <c r="U101" s="480" t="str">
        <f>IF(ISNUMBER(INDEX('Database.Jan 12 to SEC'!$Q$6:$Q$191, MATCH($A101&amp;"% GDP", 'Database.Jan 12 to SEC'!$AD$6:$AD$191, 0))), INDEX('Database.Jan 12 to SEC'!$Q$6:$Q$191, MATCH($A101&amp;"% GDP", 'Database.Jan 12 to SEC'!$AD$6:$AD$191, 0)), "")</f>
        <v/>
      </c>
      <c r="V101" s="483"/>
      <c r="W101" s="480" t="str">
        <f>IF(ISNUMBER(INDEX('Database.Jan 12 to SEC'!$U$6:$U$191, MATCH($A101&amp;"% GDP", 'Database.Jan 12 to SEC'!$AD$6:$AD$191, 0))), INDEX('Database.Jan 12 to SEC'!$U$6:$U$191, MATCH($A101&amp;"% GDP", 'Database.Jan 12 to SEC'!$AD$6:$AD$191, 0)), "")</f>
        <v/>
      </c>
      <c r="X101" s="480" t="str">
        <f>IF(ISNUMBER(INDEX('Database.Jan 12 to SEC'!$W$6:$W$191, MATCH($A101&amp;"% GDP", 'Database.Jan 12 to SEC'!$AD$6:$AD$191, 0))), INDEX('Database.Jan 12 to SEC'!$W$6:$W$191, MATCH($A101&amp;"% GDP", 'Database.Jan 12 to SEC'!$AD$6:$AD$191, 0)), "")</f>
        <v/>
      </c>
      <c r="Z101" s="490"/>
      <c r="AA101" t="s">
        <v>1265</v>
      </c>
      <c r="AB101" t="s">
        <v>1274</v>
      </c>
      <c r="AC101" s="299"/>
      <c r="AF101" s="443">
        <v>9.4151074374828561</v>
      </c>
      <c r="AG101" s="438">
        <v>1.203525822126795</v>
      </c>
      <c r="AH101" s="438" t="s">
        <v>452</v>
      </c>
      <c r="AI101" s="438">
        <v>0.48431622620796583</v>
      </c>
      <c r="AJ101" s="437"/>
      <c r="AK101" s="443">
        <v>4.8843291413073349</v>
      </c>
      <c r="AL101" s="438">
        <v>0</v>
      </c>
      <c r="AM101" s="441"/>
      <c r="AN101" s="438" t="s">
        <v>452</v>
      </c>
      <c r="AO101" s="438">
        <v>4.8843291413073349</v>
      </c>
      <c r="AP101" s="331"/>
      <c r="AQ101" s="331"/>
      <c r="AR101" s="443">
        <v>5.4981978129390923</v>
      </c>
      <c r="AS101" s="438">
        <v>0.70283032742559903</v>
      </c>
      <c r="AT101" s="438" t="s">
        <v>452</v>
      </c>
      <c r="AU101" s="438">
        <v>0.28282910560386276</v>
      </c>
      <c r="AV101" s="437"/>
      <c r="AW101" s="443">
        <v>2.8523315300149559</v>
      </c>
      <c r="AX101" s="438">
        <v>0</v>
      </c>
      <c r="AY101" s="441"/>
      <c r="AZ101" s="438" t="s">
        <v>452</v>
      </c>
      <c r="BA101" s="438">
        <v>2.8523315300149559</v>
      </c>
    </row>
    <row r="102" spans="1:53">
      <c r="A102" s="299" t="s">
        <v>970</v>
      </c>
      <c r="B102" s="299" t="s">
        <v>970</v>
      </c>
      <c r="C102" s="488">
        <v>0.95867676185770645</v>
      </c>
      <c r="D102" s="480">
        <v>9.2443830607707417E-2</v>
      </c>
      <c r="E102" s="480">
        <v>0.86623293124999901</v>
      </c>
      <c r="F102" s="480" t="s">
        <v>452</v>
      </c>
      <c r="G102" s="482"/>
      <c r="H102" s="481">
        <v>-7.4720856505440394E-11</v>
      </c>
      <c r="I102" s="480">
        <v>-7.4720856505440394E-11</v>
      </c>
      <c r="J102" s="483"/>
      <c r="K102" s="480" t="s">
        <v>452</v>
      </c>
      <c r="L102" s="480" t="s">
        <v>452</v>
      </c>
      <c r="M102"/>
      <c r="N102"/>
      <c r="O102" s="481">
        <v>12.321579453270983</v>
      </c>
      <c r="P102" s="480">
        <v>1.1881523044225593</v>
      </c>
      <c r="Q102" s="480">
        <v>11.133427148848424</v>
      </c>
      <c r="R102" s="480" t="s">
        <v>452</v>
      </c>
      <c r="S102" s="482"/>
      <c r="T102" s="481">
        <v>-9.6036433433952105E-10</v>
      </c>
      <c r="U102" s="480">
        <v>-9.6036433433952105E-10</v>
      </c>
      <c r="V102" s="483"/>
      <c r="W102" s="480" t="s">
        <v>452</v>
      </c>
      <c r="X102" s="480" t="s">
        <v>452</v>
      </c>
      <c r="Z102" s="490"/>
      <c r="AB102" s="270" t="s">
        <v>1291</v>
      </c>
      <c r="AC102" s="299"/>
      <c r="AF102" s="443">
        <v>0.95867676185770645</v>
      </c>
      <c r="AG102" s="438">
        <v>9.2443830607707417E-2</v>
      </c>
      <c r="AH102" s="438">
        <v>0.86623293124999901</v>
      </c>
      <c r="AI102" s="438" t="s">
        <v>452</v>
      </c>
      <c r="AJ102" s="437"/>
      <c r="AK102" s="443">
        <v>-7.4720856505440394E-11</v>
      </c>
      <c r="AL102" s="438">
        <v>-7.4720856505440394E-11</v>
      </c>
      <c r="AM102" s="441"/>
      <c r="AN102" s="438" t="s">
        <v>452</v>
      </c>
      <c r="AO102" s="438" t="s">
        <v>452</v>
      </c>
      <c r="AP102" s="331"/>
      <c r="AQ102" s="331"/>
      <c r="AR102" s="443">
        <v>12.321579453270983</v>
      </c>
      <c r="AS102" s="438">
        <v>1.1881523044225593</v>
      </c>
      <c r="AT102" s="438">
        <v>11.133427148848424</v>
      </c>
      <c r="AU102" s="438" t="s">
        <v>452</v>
      </c>
      <c r="AV102" s="437"/>
      <c r="AW102" s="443">
        <v>-9.6036433433952105E-10</v>
      </c>
      <c r="AX102" s="438">
        <v>-9.6036433433952105E-10</v>
      </c>
      <c r="AY102" s="441"/>
      <c r="AZ102" s="438" t="s">
        <v>452</v>
      </c>
      <c r="BA102" s="438" t="s">
        <v>452</v>
      </c>
    </row>
    <row r="103" spans="1:53">
      <c r="A103" s="415" t="s">
        <v>1059</v>
      </c>
      <c r="B103" s="415" t="s">
        <v>1059</v>
      </c>
      <c r="C103" s="488">
        <v>1.632743045989721</v>
      </c>
      <c r="D103" s="480" t="s">
        <v>452</v>
      </c>
      <c r="E103" s="480" t="s">
        <v>452</v>
      </c>
      <c r="F103" s="480" t="s">
        <v>452</v>
      </c>
      <c r="G103" s="482"/>
      <c r="H103" s="481" t="s">
        <v>452</v>
      </c>
      <c r="I103" s="480" t="s">
        <v>452</v>
      </c>
      <c r="J103" s="483"/>
      <c r="K103" s="480" t="s">
        <v>452</v>
      </c>
      <c r="L103" s="480" t="s">
        <v>452</v>
      </c>
      <c r="M103"/>
      <c r="N103"/>
      <c r="O103" s="481">
        <v>1.5410684997582063</v>
      </c>
      <c r="P103" s="480" t="s">
        <v>452</v>
      </c>
      <c r="Q103" s="480" t="s">
        <v>452</v>
      </c>
      <c r="R103" s="480" t="s">
        <v>452</v>
      </c>
      <c r="S103" s="482"/>
      <c r="T103" s="481" t="s">
        <v>452</v>
      </c>
      <c r="U103" s="480" t="s">
        <v>452</v>
      </c>
      <c r="V103" s="483"/>
      <c r="W103" s="480" t="s">
        <v>452</v>
      </c>
      <c r="X103" s="480" t="s">
        <v>452</v>
      </c>
      <c r="Z103" s="490"/>
      <c r="AA103" t="s">
        <v>1267</v>
      </c>
      <c r="AC103" s="403"/>
      <c r="AF103" s="443">
        <v>1.632743045989721</v>
      </c>
      <c r="AG103" s="438" t="s">
        <v>452</v>
      </c>
      <c r="AH103" s="438" t="s">
        <v>452</v>
      </c>
      <c r="AI103" s="438" t="s">
        <v>452</v>
      </c>
      <c r="AJ103" s="437"/>
      <c r="AK103" s="443" t="s">
        <v>452</v>
      </c>
      <c r="AL103" s="438" t="s">
        <v>452</v>
      </c>
      <c r="AM103" s="441"/>
      <c r="AN103" s="438" t="s">
        <v>452</v>
      </c>
      <c r="AO103" s="438" t="s">
        <v>452</v>
      </c>
      <c r="AP103" s="331"/>
      <c r="AQ103" s="331"/>
      <c r="AR103" s="443">
        <v>1.5410684997582063</v>
      </c>
      <c r="AS103" s="438" t="s">
        <v>452</v>
      </c>
      <c r="AT103" s="438" t="s">
        <v>452</v>
      </c>
      <c r="AU103" s="438" t="s">
        <v>452</v>
      </c>
      <c r="AV103" s="437"/>
      <c r="AW103" s="443" t="s">
        <v>452</v>
      </c>
      <c r="AX103" s="438" t="s">
        <v>452</v>
      </c>
      <c r="AY103" s="441"/>
      <c r="AZ103" s="438" t="s">
        <v>452</v>
      </c>
      <c r="BA103" s="438" t="s">
        <v>452</v>
      </c>
    </row>
    <row r="104" spans="1:53" ht="13.5">
      <c r="A104" s="415" t="s">
        <v>1060</v>
      </c>
      <c r="B104" s="415" t="s">
        <v>1457</v>
      </c>
      <c r="C104" s="488" t="s">
        <v>452</v>
      </c>
      <c r="D104" s="480" t="s">
        <v>452</v>
      </c>
      <c r="E104" s="480" t="s">
        <v>452</v>
      </c>
      <c r="F104" s="480" t="s">
        <v>452</v>
      </c>
      <c r="G104" s="482"/>
      <c r="H104" s="481" t="s">
        <v>452</v>
      </c>
      <c r="I104" s="480" t="s">
        <v>452</v>
      </c>
      <c r="J104" s="483"/>
      <c r="K104" s="480" t="s">
        <v>452</v>
      </c>
      <c r="L104" s="480" t="s">
        <v>452</v>
      </c>
      <c r="M104"/>
      <c r="N104"/>
      <c r="O104" s="481" t="s">
        <v>452</v>
      </c>
      <c r="P104" s="480" t="s">
        <v>452</v>
      </c>
      <c r="Q104" s="480" t="s">
        <v>452</v>
      </c>
      <c r="R104" s="480" t="s">
        <v>452</v>
      </c>
      <c r="S104" s="482"/>
      <c r="T104" s="481" t="s">
        <v>452</v>
      </c>
      <c r="U104" s="480" t="s">
        <v>452</v>
      </c>
      <c r="V104" s="483"/>
      <c r="W104" s="480" t="s">
        <v>452</v>
      </c>
      <c r="X104" s="480" t="s">
        <v>452</v>
      </c>
      <c r="Z104" s="490"/>
      <c r="AA104" t="s">
        <v>1267</v>
      </c>
      <c r="AC104" s="403"/>
      <c r="AF104" s="443" t="s">
        <v>452</v>
      </c>
      <c r="AG104" s="438" t="s">
        <v>452</v>
      </c>
      <c r="AH104" s="438" t="s">
        <v>452</v>
      </c>
      <c r="AI104" s="438" t="s">
        <v>452</v>
      </c>
      <c r="AJ104" s="437"/>
      <c r="AK104" s="443" t="s">
        <v>452</v>
      </c>
      <c r="AL104" s="438" t="s">
        <v>452</v>
      </c>
      <c r="AM104" s="441"/>
      <c r="AN104" s="438" t="s">
        <v>452</v>
      </c>
      <c r="AO104" s="438" t="s">
        <v>452</v>
      </c>
      <c r="AP104" s="331"/>
      <c r="AQ104" s="331"/>
      <c r="AR104" s="443" t="s">
        <v>452</v>
      </c>
      <c r="AS104" s="438" t="s">
        <v>452</v>
      </c>
      <c r="AT104" s="438" t="s">
        <v>452</v>
      </c>
      <c r="AU104" s="438" t="s">
        <v>452</v>
      </c>
      <c r="AV104" s="437"/>
      <c r="AW104" s="443" t="s">
        <v>452</v>
      </c>
      <c r="AX104" s="438" t="s">
        <v>452</v>
      </c>
      <c r="AY104" s="441"/>
      <c r="AZ104" s="438" t="s">
        <v>452</v>
      </c>
      <c r="BA104" s="438" t="s">
        <v>452</v>
      </c>
    </row>
    <row r="105" spans="1:53">
      <c r="A105" s="415" t="s">
        <v>1061</v>
      </c>
      <c r="B105" s="415" t="s">
        <v>1061</v>
      </c>
      <c r="C105" s="488">
        <v>0.92249999999999999</v>
      </c>
      <c r="D105" s="480" t="s">
        <v>452</v>
      </c>
      <c r="E105" s="480" t="s">
        <v>452</v>
      </c>
      <c r="F105" s="480" t="s">
        <v>452</v>
      </c>
      <c r="G105" s="482"/>
      <c r="H105" s="481" t="s">
        <v>452</v>
      </c>
      <c r="I105" s="480" t="s">
        <v>452</v>
      </c>
      <c r="J105" s="483"/>
      <c r="K105" s="480" t="s">
        <v>452</v>
      </c>
      <c r="L105" s="480" t="s">
        <v>452</v>
      </c>
      <c r="M105"/>
      <c r="N105"/>
      <c r="O105" s="481">
        <v>4.2305999999999999</v>
      </c>
      <c r="P105" s="480" t="s">
        <v>452</v>
      </c>
      <c r="Q105" s="480" t="s">
        <v>452</v>
      </c>
      <c r="R105" s="480" t="s">
        <v>452</v>
      </c>
      <c r="S105" s="482"/>
      <c r="T105" s="481" t="s">
        <v>452</v>
      </c>
      <c r="U105" s="480" t="s">
        <v>452</v>
      </c>
      <c r="V105" s="483"/>
      <c r="W105" s="480" t="s">
        <v>452</v>
      </c>
      <c r="X105" s="480" t="s">
        <v>452</v>
      </c>
      <c r="Z105" s="490"/>
      <c r="AA105" t="s">
        <v>1267</v>
      </c>
      <c r="AC105" s="403"/>
      <c r="AF105" s="443">
        <v>0.92249999999999999</v>
      </c>
      <c r="AG105" s="438" t="s">
        <v>452</v>
      </c>
      <c r="AH105" s="438" t="s">
        <v>452</v>
      </c>
      <c r="AI105" s="438" t="s">
        <v>452</v>
      </c>
      <c r="AJ105" s="437"/>
      <c r="AK105" s="443" t="s">
        <v>452</v>
      </c>
      <c r="AL105" s="438" t="s">
        <v>452</v>
      </c>
      <c r="AM105" s="441"/>
      <c r="AN105" s="438" t="s">
        <v>452</v>
      </c>
      <c r="AO105" s="438" t="s">
        <v>452</v>
      </c>
      <c r="AP105" s="331"/>
      <c r="AQ105" s="331"/>
      <c r="AR105" s="443">
        <v>4.2305999999999999</v>
      </c>
      <c r="AS105" s="438" t="s">
        <v>452</v>
      </c>
      <c r="AT105" s="438" t="s">
        <v>452</v>
      </c>
      <c r="AU105" s="438" t="s">
        <v>452</v>
      </c>
      <c r="AV105" s="437"/>
      <c r="AW105" s="443" t="s">
        <v>452</v>
      </c>
      <c r="AX105" s="438" t="s">
        <v>452</v>
      </c>
      <c r="AY105" s="441"/>
      <c r="AZ105" s="438" t="s">
        <v>452</v>
      </c>
      <c r="BA105" s="438" t="s">
        <v>452</v>
      </c>
    </row>
    <row r="106" spans="1:53">
      <c r="A106" s="415" t="s">
        <v>24</v>
      </c>
      <c r="B106" s="415" t="s">
        <v>24</v>
      </c>
      <c r="C106" s="488">
        <v>20.958814877519181</v>
      </c>
      <c r="D106" s="480">
        <v>0.78506344036110443</v>
      </c>
      <c r="E106" s="480">
        <v>20.173751437158078</v>
      </c>
      <c r="F106" s="480">
        <v>0</v>
      </c>
      <c r="G106" s="482"/>
      <c r="H106" s="481">
        <v>11.894900611531886</v>
      </c>
      <c r="I106" s="480">
        <v>0</v>
      </c>
      <c r="J106" s="483"/>
      <c r="K106" s="480">
        <v>11.894900611531886</v>
      </c>
      <c r="L106" s="480" t="s">
        <v>452</v>
      </c>
      <c r="M106"/>
      <c r="N106"/>
      <c r="O106" s="481">
        <v>6.219094242925868</v>
      </c>
      <c r="P106" s="480">
        <v>0.23295131670437419</v>
      </c>
      <c r="Q106" s="480">
        <v>5.9861429262214934</v>
      </c>
      <c r="R106" s="480">
        <v>0</v>
      </c>
      <c r="S106" s="482"/>
      <c r="T106" s="481">
        <v>3.5295654046117302</v>
      </c>
      <c r="U106" s="480">
        <v>0</v>
      </c>
      <c r="V106" s="483"/>
      <c r="W106" s="480">
        <v>3.5295654046117302</v>
      </c>
      <c r="X106" s="480" t="s">
        <v>452</v>
      </c>
      <c r="Z106" s="490"/>
      <c r="AA106" t="s">
        <v>1267</v>
      </c>
      <c r="AC106" s="403"/>
      <c r="AF106" s="443">
        <v>20.958814877519181</v>
      </c>
      <c r="AG106" s="438">
        <v>0.78506344036110443</v>
      </c>
      <c r="AH106" s="438">
        <v>20.173751437158078</v>
      </c>
      <c r="AI106" s="438">
        <v>0</v>
      </c>
      <c r="AJ106" s="437"/>
      <c r="AK106" s="443">
        <v>11.894900611531886</v>
      </c>
      <c r="AL106" s="438">
        <v>0</v>
      </c>
      <c r="AM106" s="441"/>
      <c r="AN106" s="438">
        <v>11.894900611531886</v>
      </c>
      <c r="AO106" s="438" t="s">
        <v>452</v>
      </c>
      <c r="AP106" s="331"/>
      <c r="AQ106" s="331"/>
      <c r="AR106" s="443">
        <v>6.219094242925868</v>
      </c>
      <c r="AS106" s="438">
        <v>0.23295131670437419</v>
      </c>
      <c r="AT106" s="438">
        <v>5.9861429262214934</v>
      </c>
      <c r="AU106" s="438">
        <v>0</v>
      </c>
      <c r="AV106" s="437"/>
      <c r="AW106" s="443">
        <v>3.5295654046117302</v>
      </c>
      <c r="AX106" s="438">
        <v>0</v>
      </c>
      <c r="AY106" s="441"/>
      <c r="AZ106" s="438">
        <v>3.5295654046117302</v>
      </c>
      <c r="BA106" s="438" t="s">
        <v>452</v>
      </c>
    </row>
    <row r="107" spans="1:53">
      <c r="A107" s="299" t="s">
        <v>1062</v>
      </c>
      <c r="B107" s="299" t="s">
        <v>1062</v>
      </c>
      <c r="C107" s="488">
        <v>0.3</v>
      </c>
      <c r="D107" s="480">
        <v>0.1</v>
      </c>
      <c r="E107" s="480">
        <v>0.19999999999999998</v>
      </c>
      <c r="F107" s="480" t="s">
        <v>452</v>
      </c>
      <c r="G107" s="482"/>
      <c r="H107" s="481" t="s">
        <v>452</v>
      </c>
      <c r="I107" s="480" t="s">
        <v>452</v>
      </c>
      <c r="J107" s="483"/>
      <c r="K107" s="480" t="s">
        <v>452</v>
      </c>
      <c r="L107" s="480" t="s">
        <v>452</v>
      </c>
      <c r="M107"/>
      <c r="N107"/>
      <c r="O107" s="481">
        <v>8</v>
      </c>
      <c r="P107" s="480">
        <v>2.8</v>
      </c>
      <c r="Q107" s="480">
        <v>5.2</v>
      </c>
      <c r="R107" s="480" t="s">
        <v>452</v>
      </c>
      <c r="S107" s="482"/>
      <c r="T107" s="481" t="s">
        <v>452</v>
      </c>
      <c r="U107" s="480" t="s">
        <v>452</v>
      </c>
      <c r="V107" s="483"/>
      <c r="W107" s="480" t="s">
        <v>452</v>
      </c>
      <c r="X107" s="480" t="s">
        <v>452</v>
      </c>
      <c r="Z107" s="490"/>
      <c r="AA107" t="s">
        <v>1296</v>
      </c>
      <c r="AB107" s="270" t="s">
        <v>1273</v>
      </c>
      <c r="AC107" s="403"/>
      <c r="AF107" s="443">
        <v>0.3</v>
      </c>
      <c r="AG107" s="438">
        <v>0.1</v>
      </c>
      <c r="AH107" s="438">
        <v>0.19999999999999998</v>
      </c>
      <c r="AI107" s="438" t="s">
        <v>452</v>
      </c>
      <c r="AJ107" s="437"/>
      <c r="AK107" s="443" t="s">
        <v>452</v>
      </c>
      <c r="AL107" s="438" t="s">
        <v>452</v>
      </c>
      <c r="AM107" s="441"/>
      <c r="AN107" s="438" t="s">
        <v>452</v>
      </c>
      <c r="AO107" s="438" t="s">
        <v>452</v>
      </c>
      <c r="AP107" s="331"/>
      <c r="AQ107" s="331"/>
      <c r="AR107" s="443">
        <v>8</v>
      </c>
      <c r="AS107" s="438">
        <v>2.8</v>
      </c>
      <c r="AT107" s="438">
        <v>5.2</v>
      </c>
      <c r="AU107" s="438" t="s">
        <v>452</v>
      </c>
      <c r="AV107" s="437"/>
      <c r="AW107" s="443" t="s">
        <v>452</v>
      </c>
      <c r="AX107" s="438" t="s">
        <v>452</v>
      </c>
      <c r="AY107" s="441"/>
      <c r="AZ107" s="438" t="s">
        <v>452</v>
      </c>
      <c r="BA107" s="438" t="s">
        <v>452</v>
      </c>
    </row>
    <row r="108" spans="1:53">
      <c r="A108" s="415" t="s">
        <v>92</v>
      </c>
      <c r="B108" s="415" t="s">
        <v>92</v>
      </c>
      <c r="C108" s="488" t="str">
        <f>IF(ISNUMBER(INDEX('Database.Jan 12 to SEC'!$G$6:$G$191, MATCH($A108&amp;"USD bn", 'Database.Jan 12 to SEC'!$AD$6:$AD$191, 0))), INDEX('Database.Jan 12 to SEC'!$G$6:$G$191, MATCH($A108&amp;"USD bn", 'Database.Jan 12 to SEC'!$AD$6:$AD$191, 0)), "")</f>
        <v/>
      </c>
      <c r="D108" s="480" t="str">
        <f>IF(ISNUMBER(INDEX('Database.Jan 12 to SEC'!$H$6:$H$191, MATCH($A108&amp;"USD bn", 'Database.Jan 12 to SEC'!$AD$6:$AD$191, 0))), INDEX('Database.Jan 12 to SEC'!$H$6:$H$191, MATCH($A108&amp;"USD bn", 'Database.Jan 12 to SEC'!$AD$6:$AD$191, 0)), "")</f>
        <v/>
      </c>
      <c r="E108" s="480" t="str">
        <f>IF(ISNUMBER(INDEX('Database.Jan 12 to SEC'!$J$6:$J$191, MATCH($A108&amp;"USD bn", 'Database.Jan 12 to SEC'!$AD$6:$AD$191, 0))), INDEX('Database.Jan 12 to SEC'!$J$6:$J$191, MATCH($A108&amp;"USD bn", 'Database.Jan 12 to SEC'!$AD$6:$AD$191, 0)), "")</f>
        <v/>
      </c>
      <c r="F108" s="480" t="str">
        <f>IF(ISNUMBER(INDEX('Database.Jan 12 to SEC'!$L$6:$L$191, MATCH($A108&amp;"USD bn", 'Database.Jan 12 to SEC'!$AD$6:$AD$191, 0))), INDEX('Database.Jan 12 to SEC'!$L$6:$L$191, MATCH($A108&amp;"USD bn", 'Database.Jan 12 to SEC'!$AD$6:$AD$191, 0)), "")</f>
        <v/>
      </c>
      <c r="G108" s="482"/>
      <c r="H108" s="481" t="str">
        <f>IF(ISNUMBER(INDEX('Database.Jan 12 to SEC'!$P$6:$P$191, MATCH($A108&amp;"USD bn", 'Database.Jan 12 to SEC'!$AD$6:$AD$191, 0))), INDEX('Database.Jan 12 to SEC'!$P$6:$P$191, MATCH($A108&amp;"USD bn", 'Database.Jan 12 to SEC'!$AD$6:$AD$191, 0)), "")</f>
        <v/>
      </c>
      <c r="I108" s="480" t="str">
        <f>IF(ISNUMBER(INDEX('Database.Jan 12 to SEC'!$Q$6:$Q$191, MATCH($A108&amp;"USD bn", 'Database.Jan 12 to SEC'!$AD$6:$AD$191, 0))), INDEX('Database.Jan 12 to SEC'!$Q$6:$Q$191, MATCH($A108&amp;"USD bn", 'Database.Jan 12 to SEC'!$AD$6:$AD$191, 0)), "")</f>
        <v/>
      </c>
      <c r="J108" s="483"/>
      <c r="K108" s="480" t="str">
        <f>IF(ISNUMBER(INDEX('Database.Jan 12 to SEC'!$U$6:$U$191, MATCH($A108&amp;"USD bn", 'Database.Jan 12 to SEC'!$AD$6:$AD$191, 0))), INDEX('Database.Jan 12 to SEC'!$U$6:$U$191, MATCH($A108&amp;"USD bn", 'Database.Jan 12 to SEC'!$AD$6:$AD$191, 0)), "")</f>
        <v/>
      </c>
      <c r="L108" s="480" t="str">
        <f>IF(ISNUMBER(INDEX('Database.Jan 12 to SEC'!$W$6:$W$191, MATCH($A108&amp;"USD bn", 'Database.Jan 12 to SEC'!$AD$6:$AD$191, 0))), INDEX('Database.Jan 12 to SEC'!$W$6:$W$191, MATCH($A108&amp;"USD bn", 'Database.Jan 12 to SEC'!$AD$6:$AD$191, 0)), "")</f>
        <v/>
      </c>
      <c r="M108"/>
      <c r="N108"/>
      <c r="O108" s="481" t="str">
        <f>IF(ISNUMBER(INDEX('Database.Jan 12 to SEC'!$G$6:$G$191, MATCH($A108&amp;"% GDP", 'Database.Jan 12 to SEC'!$AD$6:$AD$191, 0))), INDEX('Database.Jan 12 to SEC'!$G$6:$G$191, MATCH($A108&amp;"% GDP", 'Database.Jan 12 to SEC'!$AD$6:$AD$191, 0)), "")</f>
        <v/>
      </c>
      <c r="P108" s="480" t="str">
        <f>IF(ISNUMBER(INDEX('Database.Jan 12 to SEC'!$H$6:$H$191, MATCH($A108&amp;"% GDP", 'Database.Jan 12 to SEC'!$AD$6:$AD$191, 0))), INDEX('Database.Jan 12 to SEC'!$H$6:$H$191, MATCH($A108&amp;"% GDP", 'Database.Jan 12 to SEC'!$AD$6:$AD$191, 0)), "")</f>
        <v/>
      </c>
      <c r="Q108" s="480" t="str">
        <f>IF(ISNUMBER(INDEX('Database.Jan 12 to SEC'!$J$6:$J$191, MATCH($A108&amp;"% GDP", 'Database.Jan 12 to SEC'!$AD$6:$AD$191, 0))), INDEX('Database.Jan 12 to SEC'!$J$6:$J$191, MATCH($A108&amp;"% GDP", 'Database.Jan 12 to SEC'!$AD$6:$AD$191, 0)), "")</f>
        <v/>
      </c>
      <c r="R108" s="480" t="str">
        <f>IF(ISNUMBER(INDEX('Database.Jan 12 to SEC'!$L$6:$L$191, MATCH($A108&amp;"% GDP", 'Database.Jan 12 to SEC'!$AD$6:$AD$191, 0))), INDEX('Database.Jan 12 to SEC'!$L$6:$L$191, MATCH($A108&amp;"% GDP", 'Database.Jan 12 to SEC'!$AD$6:$AD$191, 0)), "")</f>
        <v/>
      </c>
      <c r="S108" s="482"/>
      <c r="T108" s="481" t="str">
        <f>IF(ISNUMBER(INDEX('Database.Jan 12 to SEC'!$P$6:$P$191, MATCH($A108&amp;"% GDP", 'Database.Jan 12 to SEC'!$AD$6:$AD$191, 0))), INDEX('Database.Jan 12 to SEC'!$P$6:$P$191, MATCH($A108&amp;"% GDP", 'Database.Jan 12 to SEC'!$AD$6:$AD$191, 0)), "")</f>
        <v/>
      </c>
      <c r="U108" s="480" t="str">
        <f>IF(ISNUMBER(INDEX('Database.Jan 12 to SEC'!$Q$6:$Q$191, MATCH($A108&amp;"% GDP", 'Database.Jan 12 to SEC'!$AD$6:$AD$191, 0))), INDEX('Database.Jan 12 to SEC'!$Q$6:$Q$191, MATCH($A108&amp;"% GDP", 'Database.Jan 12 to SEC'!$AD$6:$AD$191, 0)), "")</f>
        <v/>
      </c>
      <c r="V108" s="483"/>
      <c r="W108" s="480" t="str">
        <f>IF(ISNUMBER(INDEX('Database.Jan 12 to SEC'!$U$6:$U$191, MATCH($A108&amp;"% GDP", 'Database.Jan 12 to SEC'!$AD$6:$AD$191, 0))), INDEX('Database.Jan 12 to SEC'!$U$6:$U$191, MATCH($A108&amp;"% GDP", 'Database.Jan 12 to SEC'!$AD$6:$AD$191, 0)), "")</f>
        <v/>
      </c>
      <c r="X108" s="480" t="str">
        <f>IF(ISNUMBER(INDEX('Database.Jan 12 to SEC'!$W$6:$W$191, MATCH($A108&amp;"% GDP", 'Database.Jan 12 to SEC'!$AD$6:$AD$191, 0))), INDEX('Database.Jan 12 to SEC'!$W$6:$W$191, MATCH($A108&amp;"% GDP", 'Database.Jan 12 to SEC'!$AD$6:$AD$191, 0)), "")</f>
        <v/>
      </c>
      <c r="Z108" s="490"/>
      <c r="AA108" t="s">
        <v>1295</v>
      </c>
      <c r="AB108" t="s">
        <v>1270</v>
      </c>
      <c r="AC108" s="299"/>
      <c r="AF108" s="443">
        <v>0.99880719208951563</v>
      </c>
      <c r="AG108" s="438">
        <v>3.3039423656905105E-2</v>
      </c>
      <c r="AH108" s="438">
        <v>0.96576776843261047</v>
      </c>
      <c r="AI108" s="438" t="s">
        <v>452</v>
      </c>
      <c r="AJ108" s="437"/>
      <c r="AK108" s="443">
        <v>4.0460586509071472</v>
      </c>
      <c r="AL108" s="438">
        <v>0.36089216609850183</v>
      </c>
      <c r="AM108" s="441"/>
      <c r="AN108" s="438" t="s">
        <v>452</v>
      </c>
      <c r="AO108" s="438">
        <v>3.6851664848086458</v>
      </c>
      <c r="AP108" s="331"/>
      <c r="AQ108" s="331"/>
      <c r="AR108" s="443">
        <v>9.1999999999999993</v>
      </c>
      <c r="AS108" s="438">
        <v>0.30432569974554707</v>
      </c>
      <c r="AT108" s="438">
        <v>8.895674300254452</v>
      </c>
      <c r="AU108" s="438" t="s">
        <v>452</v>
      </c>
      <c r="AV108" s="437"/>
      <c r="AW108" s="443">
        <v>37.268193384223913</v>
      </c>
      <c r="AX108" s="438">
        <v>3.3241730279898221</v>
      </c>
      <c r="AY108" s="441"/>
      <c r="AZ108" s="438" t="s">
        <v>452</v>
      </c>
      <c r="BA108" s="438">
        <v>33.944020356234091</v>
      </c>
    </row>
    <row r="109" spans="1:53">
      <c r="A109" s="415" t="s">
        <v>1063</v>
      </c>
      <c r="B109" s="415" t="s">
        <v>1063</v>
      </c>
      <c r="C109" s="488">
        <v>0.08</v>
      </c>
      <c r="D109" s="480">
        <v>0.02</v>
      </c>
      <c r="E109" s="480">
        <v>0.06</v>
      </c>
      <c r="F109" s="480" t="s">
        <v>452</v>
      </c>
      <c r="G109" s="482"/>
      <c r="H109" s="481" t="s">
        <v>452</v>
      </c>
      <c r="I109" s="480" t="s">
        <v>452</v>
      </c>
      <c r="J109" s="483"/>
      <c r="K109" s="480" t="s">
        <v>452</v>
      </c>
      <c r="L109" s="480" t="s">
        <v>452</v>
      </c>
      <c r="M109"/>
      <c r="N109"/>
      <c r="O109" s="481">
        <v>19.640369448844972</v>
      </c>
      <c r="P109" s="480">
        <v>4.9100923622112429</v>
      </c>
      <c r="Q109" s="480">
        <v>14.730277086633729</v>
      </c>
      <c r="R109" s="480" t="s">
        <v>452</v>
      </c>
      <c r="S109" s="482"/>
      <c r="T109" s="481" t="s">
        <v>452</v>
      </c>
      <c r="U109" s="480" t="s">
        <v>452</v>
      </c>
      <c r="V109" s="483"/>
      <c r="W109" s="480" t="s">
        <v>452</v>
      </c>
      <c r="X109" s="480" t="s">
        <v>452</v>
      </c>
      <c r="Z109" s="490"/>
      <c r="AA109" t="s">
        <v>1267</v>
      </c>
      <c r="AC109" s="403"/>
      <c r="AF109" s="443">
        <v>0.08</v>
      </c>
      <c r="AG109" s="438">
        <v>0.02</v>
      </c>
      <c r="AH109" s="438">
        <v>0.06</v>
      </c>
      <c r="AI109" s="438" t="s">
        <v>452</v>
      </c>
      <c r="AJ109" s="437"/>
      <c r="AK109" s="443" t="s">
        <v>452</v>
      </c>
      <c r="AL109" s="438" t="s">
        <v>452</v>
      </c>
      <c r="AM109" s="441"/>
      <c r="AN109" s="438" t="s">
        <v>452</v>
      </c>
      <c r="AO109" s="438" t="s">
        <v>452</v>
      </c>
      <c r="AP109" s="331"/>
      <c r="AQ109" s="331"/>
      <c r="AR109" s="443">
        <v>19.640369448844972</v>
      </c>
      <c r="AS109" s="438">
        <v>4.9100923622112429</v>
      </c>
      <c r="AT109" s="438">
        <v>14.730277086633729</v>
      </c>
      <c r="AU109" s="438" t="s">
        <v>452</v>
      </c>
      <c r="AV109" s="437"/>
      <c r="AW109" s="443" t="s">
        <v>452</v>
      </c>
      <c r="AX109" s="438" t="s">
        <v>452</v>
      </c>
      <c r="AY109" s="441"/>
      <c r="AZ109" s="438" t="s">
        <v>452</v>
      </c>
      <c r="BA109" s="438" t="s">
        <v>452</v>
      </c>
    </row>
    <row r="110" spans="1:53">
      <c r="A110" s="415" t="s">
        <v>25</v>
      </c>
      <c r="B110" s="415" t="s">
        <v>25</v>
      </c>
      <c r="C110" s="488">
        <v>1.6</v>
      </c>
      <c r="D110" s="480">
        <v>0.2</v>
      </c>
      <c r="E110" s="480">
        <v>1.4000000000000001</v>
      </c>
      <c r="F110" s="480" t="s">
        <v>452</v>
      </c>
      <c r="G110" s="482"/>
      <c r="H110" s="481">
        <v>0.9</v>
      </c>
      <c r="I110" s="480">
        <v>0</v>
      </c>
      <c r="J110" s="483"/>
      <c r="K110" s="480">
        <v>0</v>
      </c>
      <c r="L110" s="480">
        <v>0.9</v>
      </c>
      <c r="M110"/>
      <c r="N110"/>
      <c r="O110" s="481">
        <v>12</v>
      </c>
      <c r="P110" s="480">
        <v>1.2</v>
      </c>
      <c r="Q110" s="480">
        <v>10.8</v>
      </c>
      <c r="R110" s="480" t="s">
        <v>452</v>
      </c>
      <c r="S110" s="482"/>
      <c r="T110" s="481">
        <v>6.5</v>
      </c>
      <c r="U110" s="480">
        <v>0.3</v>
      </c>
      <c r="V110" s="483"/>
      <c r="W110" s="480">
        <v>0</v>
      </c>
      <c r="X110" s="480">
        <v>6.2</v>
      </c>
      <c r="Z110" s="490"/>
      <c r="AA110" t="s">
        <v>1267</v>
      </c>
      <c r="AC110" s="403"/>
      <c r="AF110" s="443">
        <v>1.6</v>
      </c>
      <c r="AG110" s="438">
        <v>0.2</v>
      </c>
      <c r="AH110" s="438">
        <v>1.4000000000000001</v>
      </c>
      <c r="AI110" s="438" t="s">
        <v>452</v>
      </c>
      <c r="AJ110" s="437"/>
      <c r="AK110" s="443">
        <v>0.9</v>
      </c>
      <c r="AL110" s="438">
        <v>0</v>
      </c>
      <c r="AM110" s="441"/>
      <c r="AN110" s="438">
        <v>0</v>
      </c>
      <c r="AO110" s="438">
        <v>0.9</v>
      </c>
      <c r="AP110" s="331"/>
      <c r="AQ110" s="331"/>
      <c r="AR110" s="443">
        <v>12</v>
      </c>
      <c r="AS110" s="438">
        <v>1.2</v>
      </c>
      <c r="AT110" s="438">
        <v>10.8</v>
      </c>
      <c r="AU110" s="438" t="s">
        <v>452</v>
      </c>
      <c r="AV110" s="437"/>
      <c r="AW110" s="443">
        <v>6.5</v>
      </c>
      <c r="AX110" s="438">
        <v>0.3</v>
      </c>
      <c r="AY110" s="441"/>
      <c r="AZ110" s="438">
        <v>0</v>
      </c>
      <c r="BA110" s="438">
        <v>6.2</v>
      </c>
    </row>
    <row r="111" spans="1:53">
      <c r="A111" s="415" t="s">
        <v>1064</v>
      </c>
      <c r="B111" s="415" t="s">
        <v>1064</v>
      </c>
      <c r="C111" s="488">
        <v>0.36299999999999999</v>
      </c>
      <c r="D111" s="480">
        <v>1.9E-2</v>
      </c>
      <c r="E111" s="480">
        <v>0.34399999999999997</v>
      </c>
      <c r="F111" s="480">
        <v>0.25108200905797018</v>
      </c>
      <c r="G111" s="482"/>
      <c r="H111" s="481">
        <v>0.26600000000000001</v>
      </c>
      <c r="I111" s="480">
        <v>0.26100000000000001</v>
      </c>
      <c r="J111" s="483"/>
      <c r="K111" s="480" t="s">
        <v>452</v>
      </c>
      <c r="L111" s="480">
        <v>5.0000000000000001E-3</v>
      </c>
      <c r="M111"/>
      <c r="N111"/>
      <c r="O111" s="481">
        <v>7.6</v>
      </c>
      <c r="P111" s="480">
        <v>0.4</v>
      </c>
      <c r="Q111" s="480">
        <v>7.1999999999999993</v>
      </c>
      <c r="R111" s="480">
        <v>5.2465847118337194</v>
      </c>
      <c r="S111" s="482"/>
      <c r="T111" s="481">
        <v>5.6</v>
      </c>
      <c r="U111" s="480">
        <v>5.5</v>
      </c>
      <c r="V111" s="483"/>
      <c r="W111" s="480" t="s">
        <v>452</v>
      </c>
      <c r="X111" s="480">
        <v>0.1</v>
      </c>
      <c r="Z111" s="490"/>
      <c r="AA111" t="s">
        <v>1267</v>
      </c>
      <c r="AC111" s="403"/>
      <c r="AF111" s="443">
        <v>0.36299999999999999</v>
      </c>
      <c r="AG111" s="438">
        <v>1.9E-2</v>
      </c>
      <c r="AH111" s="438">
        <v>0.34399999999999997</v>
      </c>
      <c r="AI111" s="438">
        <v>0.25108200905797018</v>
      </c>
      <c r="AJ111" s="437"/>
      <c r="AK111" s="443">
        <v>0.26600000000000001</v>
      </c>
      <c r="AL111" s="438">
        <v>0.26100000000000001</v>
      </c>
      <c r="AM111" s="441"/>
      <c r="AN111" s="438" t="s">
        <v>452</v>
      </c>
      <c r="AO111" s="438">
        <v>5.0000000000000001E-3</v>
      </c>
      <c r="AP111" s="331"/>
      <c r="AQ111" s="331"/>
      <c r="AR111" s="443">
        <v>7.6</v>
      </c>
      <c r="AS111" s="438">
        <v>0.4</v>
      </c>
      <c r="AT111" s="438">
        <v>7.1999999999999993</v>
      </c>
      <c r="AU111" s="438">
        <v>5.2465847118337194</v>
      </c>
      <c r="AV111" s="437"/>
      <c r="AW111" s="443">
        <v>5.6</v>
      </c>
      <c r="AX111" s="438">
        <v>5.5</v>
      </c>
      <c r="AY111" s="441"/>
      <c r="AZ111" s="438" t="s">
        <v>452</v>
      </c>
      <c r="BA111" s="438">
        <v>0.1</v>
      </c>
    </row>
    <row r="112" spans="1:53" hidden="1">
      <c r="A112" s="415" t="s">
        <v>1065</v>
      </c>
      <c r="B112" s="415" t="s">
        <v>1065</v>
      </c>
      <c r="C112" s="481" t="s">
        <v>452</v>
      </c>
      <c r="D112" s="480" t="s">
        <v>452</v>
      </c>
      <c r="E112" s="480" t="s">
        <v>452</v>
      </c>
      <c r="F112" s="480" t="s">
        <v>452</v>
      </c>
      <c r="G112" s="483"/>
      <c r="H112" s="481" t="s">
        <v>452</v>
      </c>
      <c r="I112" s="480" t="s">
        <v>452</v>
      </c>
      <c r="J112" s="483"/>
      <c r="K112" s="480" t="s">
        <v>452</v>
      </c>
      <c r="L112" s="480" t="s">
        <v>452</v>
      </c>
      <c r="M112"/>
      <c r="N112"/>
      <c r="O112" s="481" t="s">
        <v>452</v>
      </c>
      <c r="P112" s="480" t="s">
        <v>452</v>
      </c>
      <c r="Q112" s="480" t="s">
        <v>452</v>
      </c>
      <c r="R112" s="480" t="s">
        <v>452</v>
      </c>
      <c r="S112" s="482"/>
      <c r="T112" s="481" t="s">
        <v>452</v>
      </c>
      <c r="U112" s="480" t="s">
        <v>452</v>
      </c>
      <c r="V112" s="483"/>
      <c r="W112" s="480" t="s">
        <v>452</v>
      </c>
      <c r="X112" s="480" t="s">
        <v>452</v>
      </c>
      <c r="Z112" s="490"/>
      <c r="AA112" t="s">
        <v>1267</v>
      </c>
      <c r="AC112" s="403"/>
      <c r="AF112" s="443" t="s">
        <v>452</v>
      </c>
      <c r="AG112" s="438" t="s">
        <v>452</v>
      </c>
      <c r="AH112" s="438" t="s">
        <v>452</v>
      </c>
      <c r="AI112" s="438" t="s">
        <v>452</v>
      </c>
      <c r="AJ112" s="437"/>
      <c r="AK112" s="443" t="s">
        <v>452</v>
      </c>
      <c r="AL112" s="438" t="s">
        <v>452</v>
      </c>
      <c r="AM112" s="441"/>
      <c r="AN112" s="438" t="s">
        <v>452</v>
      </c>
      <c r="AO112" s="438" t="s">
        <v>452</v>
      </c>
      <c r="AP112" s="331"/>
      <c r="AQ112" s="331"/>
      <c r="AR112" s="443" t="s">
        <v>452</v>
      </c>
      <c r="AS112" s="438" t="s">
        <v>452</v>
      </c>
      <c r="AT112" s="438" t="s">
        <v>452</v>
      </c>
      <c r="AU112" s="438" t="s">
        <v>452</v>
      </c>
      <c r="AV112" s="437"/>
      <c r="AW112" s="443" t="s">
        <v>452</v>
      </c>
      <c r="AX112" s="438" t="s">
        <v>452</v>
      </c>
      <c r="AY112" s="441"/>
      <c r="AZ112" s="438" t="s">
        <v>452</v>
      </c>
      <c r="BA112" s="438" t="s">
        <v>452</v>
      </c>
    </row>
    <row r="113" spans="1:53">
      <c r="A113" s="415" t="s">
        <v>1066</v>
      </c>
      <c r="B113" s="415" t="s">
        <v>1066</v>
      </c>
      <c r="C113" s="488">
        <f>SUM(D113:E113)</f>
        <v>2.6</v>
      </c>
      <c r="D113" s="480">
        <v>0.2</v>
      </c>
      <c r="E113" s="480">
        <v>2.4</v>
      </c>
      <c r="F113" s="480" t="s">
        <v>452</v>
      </c>
      <c r="G113" s="482"/>
      <c r="H113" s="481">
        <v>7.3</v>
      </c>
      <c r="I113" s="480"/>
      <c r="J113" s="483"/>
      <c r="K113" s="480">
        <v>7.3</v>
      </c>
      <c r="L113" s="480" t="s">
        <v>452</v>
      </c>
      <c r="M113"/>
      <c r="N113"/>
      <c r="O113" s="481">
        <f>SUM(P113:Q113)</f>
        <v>2.2999999999999998</v>
      </c>
      <c r="P113" s="480">
        <v>0.3</v>
      </c>
      <c r="Q113" s="480">
        <v>2</v>
      </c>
      <c r="R113" s="480" t="s">
        <v>452</v>
      </c>
      <c r="S113" s="482"/>
      <c r="T113" s="481">
        <v>6.5</v>
      </c>
      <c r="U113" s="480"/>
      <c r="V113" s="483"/>
      <c r="W113" s="480">
        <v>6.5</v>
      </c>
      <c r="X113" s="480" t="s">
        <v>452</v>
      </c>
      <c r="Z113" s="490"/>
      <c r="AB113" s="270" t="s">
        <v>1299</v>
      </c>
      <c r="AC113" s="403"/>
      <c r="AF113" s="443">
        <v>2.9</v>
      </c>
      <c r="AG113" s="438">
        <v>0.33</v>
      </c>
      <c r="AH113" s="438">
        <v>2.57</v>
      </c>
      <c r="AI113" s="438" t="s">
        <v>452</v>
      </c>
      <c r="AJ113" s="437"/>
      <c r="AK113" s="443">
        <v>4.7</v>
      </c>
      <c r="AL113" s="438" t="s">
        <v>452</v>
      </c>
      <c r="AM113" s="441"/>
      <c r="AN113" s="438">
        <v>4.7</v>
      </c>
      <c r="AO113" s="438" t="s">
        <v>452</v>
      </c>
      <c r="AP113" s="331"/>
      <c r="AQ113" s="331"/>
      <c r="AR113" s="443">
        <v>2.4</v>
      </c>
      <c r="AS113" s="438">
        <v>0.28000000000000003</v>
      </c>
      <c r="AT113" s="438">
        <v>2.12</v>
      </c>
      <c r="AU113" s="438" t="s">
        <v>452</v>
      </c>
      <c r="AV113" s="437"/>
      <c r="AW113" s="443">
        <v>3.9</v>
      </c>
      <c r="AX113" s="438" t="s">
        <v>452</v>
      </c>
      <c r="AY113" s="441"/>
      <c r="AZ113" s="438">
        <v>3.9</v>
      </c>
      <c r="BA113" s="438" t="s">
        <v>452</v>
      </c>
    </row>
    <row r="114" spans="1:53">
      <c r="A114" s="415" t="s">
        <v>1067</v>
      </c>
      <c r="B114" s="415" t="s">
        <v>1067</v>
      </c>
      <c r="C114" s="488">
        <v>0.15670633253529151</v>
      </c>
      <c r="D114" s="480">
        <v>4.433938866308635E-2</v>
      </c>
      <c r="E114" s="480">
        <v>0.11236694387220514</v>
      </c>
      <c r="F114" s="480">
        <v>0.23080777660236731</v>
      </c>
      <c r="G114" s="482"/>
      <c r="H114" s="481">
        <v>0.13362555487505476</v>
      </c>
      <c r="I114" s="480" t="s">
        <v>452</v>
      </c>
      <c r="J114" s="483"/>
      <c r="K114" s="480">
        <v>0.13362555487505476</v>
      </c>
      <c r="L114" s="480" t="s">
        <v>452</v>
      </c>
      <c r="M114"/>
      <c r="N114"/>
      <c r="O114" s="481">
        <v>1.4570301192452924</v>
      </c>
      <c r="P114" s="480">
        <v>0.41226046009653616</v>
      </c>
      <c r="Q114" s="480">
        <v>1.0447696591487561</v>
      </c>
      <c r="R114" s="480">
        <v>2.1460133539271746</v>
      </c>
      <c r="S114" s="482"/>
      <c r="T114" s="481">
        <v>1.2424287838525747</v>
      </c>
      <c r="U114" s="480" t="s">
        <v>452</v>
      </c>
      <c r="V114" s="483"/>
      <c r="W114" s="480">
        <v>1.2424287838525747</v>
      </c>
      <c r="X114" s="480" t="s">
        <v>452</v>
      </c>
      <c r="Z114" s="490"/>
      <c r="AA114" t="s">
        <v>1267</v>
      </c>
      <c r="AC114" s="403"/>
      <c r="AF114" s="443">
        <v>0.15670633253529151</v>
      </c>
      <c r="AG114" s="438">
        <v>4.433938866308635E-2</v>
      </c>
      <c r="AH114" s="438">
        <v>0.11236694387220514</v>
      </c>
      <c r="AI114" s="438">
        <v>0.23080777660236731</v>
      </c>
      <c r="AJ114" s="437"/>
      <c r="AK114" s="443">
        <v>0.13362555487505476</v>
      </c>
      <c r="AL114" s="438" t="s">
        <v>452</v>
      </c>
      <c r="AM114" s="441"/>
      <c r="AN114" s="438">
        <v>0.13362555487505476</v>
      </c>
      <c r="AO114" s="438" t="s">
        <v>452</v>
      </c>
      <c r="AP114" s="331"/>
      <c r="AQ114" s="331"/>
      <c r="AR114" s="443">
        <v>1.4570301192452924</v>
      </c>
      <c r="AS114" s="438">
        <v>0.41226046009653616</v>
      </c>
      <c r="AT114" s="438">
        <v>1.0447696591487561</v>
      </c>
      <c r="AU114" s="438">
        <v>2.1460133539271746</v>
      </c>
      <c r="AV114" s="437"/>
      <c r="AW114" s="443">
        <v>1.2424287838525747</v>
      </c>
      <c r="AX114" s="438" t="s">
        <v>452</v>
      </c>
      <c r="AY114" s="441"/>
      <c r="AZ114" s="438">
        <v>1.2424287838525747</v>
      </c>
      <c r="BA114" s="438" t="s">
        <v>452</v>
      </c>
    </row>
    <row r="115" spans="1:53">
      <c r="A115" s="415" t="s">
        <v>1068</v>
      </c>
      <c r="B115" s="415" t="s">
        <v>1068</v>
      </c>
      <c r="C115" s="488">
        <v>9.1548817880607574E-3</v>
      </c>
      <c r="D115" s="480">
        <v>9.1548817880607574E-3</v>
      </c>
      <c r="E115" s="480">
        <v>0</v>
      </c>
      <c r="F115" s="480" t="s">
        <v>452</v>
      </c>
      <c r="G115" s="482"/>
      <c r="H115" s="481" t="s">
        <v>452</v>
      </c>
      <c r="I115" s="480" t="s">
        <v>452</v>
      </c>
      <c r="J115" s="483"/>
      <c r="K115" s="480" t="s">
        <v>452</v>
      </c>
      <c r="L115" s="480" t="s">
        <v>452</v>
      </c>
      <c r="M115"/>
      <c r="N115"/>
      <c r="O115" s="481">
        <v>8</v>
      </c>
      <c r="P115" s="480">
        <v>8</v>
      </c>
      <c r="Q115" s="480">
        <v>0</v>
      </c>
      <c r="R115" s="480" t="s">
        <v>452</v>
      </c>
      <c r="S115" s="482"/>
      <c r="T115" s="481" t="s">
        <v>452</v>
      </c>
      <c r="U115" s="480" t="s">
        <v>452</v>
      </c>
      <c r="V115" s="483"/>
      <c r="W115" s="480" t="s">
        <v>452</v>
      </c>
      <c r="X115" s="480" t="s">
        <v>452</v>
      </c>
      <c r="Z115" s="490"/>
      <c r="AA115" t="s">
        <v>1267</v>
      </c>
      <c r="AC115" s="403"/>
      <c r="AF115" s="443">
        <v>9.1548817880607574E-3</v>
      </c>
      <c r="AG115" s="438">
        <v>9.1548817880607574E-3</v>
      </c>
      <c r="AH115" s="438">
        <v>0</v>
      </c>
      <c r="AI115" s="438" t="s">
        <v>452</v>
      </c>
      <c r="AJ115" s="437"/>
      <c r="AK115" s="443" t="s">
        <v>452</v>
      </c>
      <c r="AL115" s="438" t="s">
        <v>452</v>
      </c>
      <c r="AM115" s="441"/>
      <c r="AN115" s="438" t="s">
        <v>452</v>
      </c>
      <c r="AO115" s="438" t="s">
        <v>452</v>
      </c>
      <c r="AP115" s="331"/>
      <c r="AQ115" s="331"/>
      <c r="AR115" s="443">
        <v>8</v>
      </c>
      <c r="AS115" s="438">
        <v>8</v>
      </c>
      <c r="AT115" s="438">
        <v>0</v>
      </c>
      <c r="AU115" s="438" t="s">
        <v>452</v>
      </c>
      <c r="AV115" s="437"/>
      <c r="AW115" s="443" t="s">
        <v>452</v>
      </c>
      <c r="AX115" s="438" t="s">
        <v>452</v>
      </c>
      <c r="AY115" s="441"/>
      <c r="AZ115" s="438" t="s">
        <v>452</v>
      </c>
      <c r="BA115" s="438" t="s">
        <v>452</v>
      </c>
    </row>
    <row r="116" spans="1:53">
      <c r="A116" s="415" t="s">
        <v>963</v>
      </c>
      <c r="B116" s="415" t="s">
        <v>963</v>
      </c>
      <c r="C116" s="488" t="str">
        <f>IF(ISNUMBER(INDEX('Database.Jan 12 to SEC'!$G$6:$G$191, MATCH($A116&amp;"USD bn", 'Database.Jan 12 to SEC'!$AD$6:$AD$191, 0))), INDEX('Database.Jan 12 to SEC'!$G$6:$G$191, MATCH($A116&amp;"USD bn", 'Database.Jan 12 to SEC'!$AD$6:$AD$191, 0)), "")</f>
        <v/>
      </c>
      <c r="D116" s="480" t="str">
        <f>IF(ISNUMBER(INDEX('Database.Jan 12 to SEC'!$H$6:$H$191, MATCH($A116&amp;"USD bn", 'Database.Jan 12 to SEC'!$AD$6:$AD$191, 0))), INDEX('Database.Jan 12 to SEC'!$H$6:$H$191, MATCH($A116&amp;"USD bn", 'Database.Jan 12 to SEC'!$AD$6:$AD$191, 0)), "")</f>
        <v/>
      </c>
      <c r="E116" s="480" t="str">
        <f>IF(ISNUMBER(INDEX('Database.Jan 12 to SEC'!$J$6:$J$191, MATCH($A116&amp;"USD bn", 'Database.Jan 12 to SEC'!$AD$6:$AD$191, 0))), INDEX('Database.Jan 12 to SEC'!$J$6:$J$191, MATCH($A116&amp;"USD bn", 'Database.Jan 12 to SEC'!$AD$6:$AD$191, 0)), "")</f>
        <v/>
      </c>
      <c r="F116" s="480" t="str">
        <f>IF(ISNUMBER(INDEX('Database.Jan 12 to SEC'!$L$6:$L$191, MATCH($A116&amp;"USD bn", 'Database.Jan 12 to SEC'!$AD$6:$AD$191, 0))), INDEX('Database.Jan 12 to SEC'!$L$6:$L$191, MATCH($A116&amp;"USD bn", 'Database.Jan 12 to SEC'!$AD$6:$AD$191, 0)), "")</f>
        <v/>
      </c>
      <c r="G116" s="482"/>
      <c r="H116" s="481" t="str">
        <f>IF(ISNUMBER(INDEX('Database.Jan 12 to SEC'!$P$6:$P$191, MATCH($A116&amp;"USD bn", 'Database.Jan 12 to SEC'!$AD$6:$AD$191, 0))), INDEX('Database.Jan 12 to SEC'!$P$6:$P$191, MATCH($A116&amp;"USD bn", 'Database.Jan 12 to SEC'!$AD$6:$AD$191, 0)), "")</f>
        <v/>
      </c>
      <c r="I116" s="480" t="str">
        <f>IF(ISNUMBER(INDEX('Database.Jan 12 to SEC'!$Q$6:$Q$191, MATCH($A116&amp;"USD bn", 'Database.Jan 12 to SEC'!$AD$6:$AD$191, 0))), INDEX('Database.Jan 12 to SEC'!$Q$6:$Q$191, MATCH($A116&amp;"USD bn", 'Database.Jan 12 to SEC'!$AD$6:$AD$191, 0)), "")</f>
        <v/>
      </c>
      <c r="J116" s="483"/>
      <c r="K116" s="480" t="str">
        <f>IF(ISNUMBER(INDEX('Database.Jan 12 to SEC'!$U$6:$U$191, MATCH($A116&amp;"USD bn", 'Database.Jan 12 to SEC'!$AD$6:$AD$191, 0))), INDEX('Database.Jan 12 to SEC'!$U$6:$U$191, MATCH($A116&amp;"USD bn", 'Database.Jan 12 to SEC'!$AD$6:$AD$191, 0)), "")</f>
        <v/>
      </c>
      <c r="L116" s="480" t="str">
        <f>IF(ISNUMBER(INDEX('Database.Jan 12 to SEC'!$W$6:$W$191, MATCH($A116&amp;"USD bn", 'Database.Jan 12 to SEC'!$AD$6:$AD$191, 0))), INDEX('Database.Jan 12 to SEC'!$W$6:$W$191, MATCH($A116&amp;"USD bn", 'Database.Jan 12 to SEC'!$AD$6:$AD$191, 0)), "")</f>
        <v/>
      </c>
      <c r="M116"/>
      <c r="N116"/>
      <c r="O116" s="481" t="str">
        <f>IF(ISNUMBER(INDEX('Database.Jan 12 to SEC'!$G$6:$G$191, MATCH($A116&amp;"% GDP", 'Database.Jan 12 to SEC'!$AD$6:$AD$191, 0))), INDEX('Database.Jan 12 to SEC'!$G$6:$G$191, MATCH($A116&amp;"% GDP", 'Database.Jan 12 to SEC'!$AD$6:$AD$191, 0)), "")</f>
        <v/>
      </c>
      <c r="P116" s="480" t="str">
        <f>IF(ISNUMBER(INDEX('Database.Jan 12 to SEC'!$H$6:$H$191, MATCH($A116&amp;"% GDP", 'Database.Jan 12 to SEC'!$AD$6:$AD$191, 0))), INDEX('Database.Jan 12 to SEC'!$H$6:$H$191, MATCH($A116&amp;"% GDP", 'Database.Jan 12 to SEC'!$AD$6:$AD$191, 0)), "")</f>
        <v/>
      </c>
      <c r="Q116" s="480" t="str">
        <f>IF(ISNUMBER(INDEX('Database.Jan 12 to SEC'!$J$6:$J$191, MATCH($A116&amp;"% GDP", 'Database.Jan 12 to SEC'!$AD$6:$AD$191, 0))), INDEX('Database.Jan 12 to SEC'!$J$6:$J$191, MATCH($A116&amp;"% GDP", 'Database.Jan 12 to SEC'!$AD$6:$AD$191, 0)), "")</f>
        <v/>
      </c>
      <c r="R116" s="480" t="str">
        <f>IF(ISNUMBER(INDEX('Database.Jan 12 to SEC'!$L$6:$L$191, MATCH($A116&amp;"% GDP", 'Database.Jan 12 to SEC'!$AD$6:$AD$191, 0))), INDEX('Database.Jan 12 to SEC'!$L$6:$L$191, MATCH($A116&amp;"% GDP", 'Database.Jan 12 to SEC'!$AD$6:$AD$191, 0)), "")</f>
        <v/>
      </c>
      <c r="S116" s="482"/>
      <c r="T116" s="481" t="str">
        <f>IF(ISNUMBER(INDEX('Database.Jan 12 to SEC'!$P$6:$P$191, MATCH($A116&amp;"% GDP", 'Database.Jan 12 to SEC'!$AD$6:$AD$191, 0))), INDEX('Database.Jan 12 to SEC'!$P$6:$P$191, MATCH($A116&amp;"% GDP", 'Database.Jan 12 to SEC'!$AD$6:$AD$191, 0)), "")</f>
        <v/>
      </c>
      <c r="U116" s="480" t="str">
        <f>IF(ISNUMBER(INDEX('Database.Jan 12 to SEC'!$Q$6:$Q$191, MATCH($A116&amp;"% GDP", 'Database.Jan 12 to SEC'!$AD$6:$AD$191, 0))), INDEX('Database.Jan 12 to SEC'!$Q$6:$Q$191, MATCH($A116&amp;"% GDP", 'Database.Jan 12 to SEC'!$AD$6:$AD$191, 0)), "")</f>
        <v/>
      </c>
      <c r="V116" s="483"/>
      <c r="W116" s="480" t="str">
        <f>IF(ISNUMBER(INDEX('Database.Jan 12 to SEC'!$U$6:$U$191, MATCH($A116&amp;"% GDP", 'Database.Jan 12 to SEC'!$AD$6:$AD$191, 0))), INDEX('Database.Jan 12 to SEC'!$U$6:$U$191, MATCH($A116&amp;"% GDP", 'Database.Jan 12 to SEC'!$AD$6:$AD$191, 0)), "")</f>
        <v/>
      </c>
      <c r="X116" s="480" t="str">
        <f>IF(ISNUMBER(INDEX('Database.Jan 12 to SEC'!$W$6:$W$191, MATCH($A116&amp;"% GDP", 'Database.Jan 12 to SEC'!$AD$6:$AD$191, 0))), INDEX('Database.Jan 12 to SEC'!$W$6:$W$191, MATCH($A116&amp;"% GDP", 'Database.Jan 12 to SEC'!$AD$6:$AD$191, 0)), "")</f>
        <v/>
      </c>
      <c r="Z116" s="490"/>
      <c r="AA116" t="s">
        <v>1265</v>
      </c>
      <c r="AB116" t="s">
        <v>1282</v>
      </c>
      <c r="AC116" s="403"/>
      <c r="AF116" s="443" t="s">
        <v>452</v>
      </c>
      <c r="AG116" s="438" t="s">
        <v>452</v>
      </c>
      <c r="AH116" s="438" t="s">
        <v>452</v>
      </c>
      <c r="AI116" s="438" t="s">
        <v>452</v>
      </c>
      <c r="AJ116" s="437"/>
      <c r="AK116" s="443" t="e">
        <v>#N/A</v>
      </c>
      <c r="AL116" s="438" t="s">
        <v>452</v>
      </c>
      <c r="AM116" s="441"/>
      <c r="AN116" s="438" t="s">
        <v>452</v>
      </c>
      <c r="AO116" s="438" t="s">
        <v>452</v>
      </c>
      <c r="AP116" s="331"/>
      <c r="AQ116" s="331"/>
      <c r="AR116" s="443" t="s">
        <v>452</v>
      </c>
      <c r="AS116" s="438" t="s">
        <v>452</v>
      </c>
      <c r="AT116" s="438" t="s">
        <v>452</v>
      </c>
      <c r="AU116" s="438" t="s">
        <v>452</v>
      </c>
      <c r="AV116" s="437"/>
      <c r="AW116" s="443" t="e">
        <v>#N/A</v>
      </c>
      <c r="AX116" s="438" t="s">
        <v>452</v>
      </c>
      <c r="AY116" s="441"/>
      <c r="AZ116" s="438" t="s">
        <v>452</v>
      </c>
      <c r="BA116" s="438" t="s">
        <v>452</v>
      </c>
    </row>
    <row r="117" spans="1:53">
      <c r="A117" s="415" t="s">
        <v>1070</v>
      </c>
      <c r="B117" s="415" t="s">
        <v>1070</v>
      </c>
      <c r="C117" s="488">
        <v>0.44</v>
      </c>
      <c r="D117" s="480">
        <v>0</v>
      </c>
      <c r="E117" s="480">
        <v>0.44</v>
      </c>
      <c r="F117" s="480" t="s">
        <v>452</v>
      </c>
      <c r="G117" s="482"/>
      <c r="H117" s="481">
        <v>5.0663198959687905E-2</v>
      </c>
      <c r="I117" s="480" t="s">
        <v>452</v>
      </c>
      <c r="J117" s="483"/>
      <c r="K117" s="480" t="s">
        <v>452</v>
      </c>
      <c r="L117" s="480">
        <v>5.0663198959687905E-2</v>
      </c>
      <c r="M117"/>
      <c r="N117"/>
      <c r="O117" s="481">
        <v>0.6</v>
      </c>
      <c r="P117" s="480">
        <v>0</v>
      </c>
      <c r="Q117" s="480">
        <v>0.6</v>
      </c>
      <c r="R117" s="480" t="s">
        <v>452</v>
      </c>
      <c r="S117" s="482"/>
      <c r="T117" s="481" t="s">
        <v>452</v>
      </c>
      <c r="U117" s="480" t="s">
        <v>452</v>
      </c>
      <c r="V117" s="483"/>
      <c r="W117" s="480">
        <v>0</v>
      </c>
      <c r="X117" s="480" t="s">
        <v>452</v>
      </c>
      <c r="Z117" s="490"/>
      <c r="AA117" t="s">
        <v>1267</v>
      </c>
      <c r="AC117" s="403"/>
      <c r="AF117" s="443">
        <v>0.44</v>
      </c>
      <c r="AG117" s="438">
        <v>0</v>
      </c>
      <c r="AH117" s="438">
        <v>0.44</v>
      </c>
      <c r="AI117" s="438" t="s">
        <v>452</v>
      </c>
      <c r="AJ117" s="437"/>
      <c r="AK117" s="443">
        <v>5.0663198959687905E-2</v>
      </c>
      <c r="AL117" s="438" t="s">
        <v>452</v>
      </c>
      <c r="AM117" s="441"/>
      <c r="AN117" s="438" t="s">
        <v>452</v>
      </c>
      <c r="AO117" s="438">
        <v>5.0663198959687905E-2</v>
      </c>
      <c r="AP117" s="331"/>
      <c r="AQ117" s="331"/>
      <c r="AR117" s="443">
        <v>0.6</v>
      </c>
      <c r="AS117" s="438">
        <v>0</v>
      </c>
      <c r="AT117" s="438">
        <v>0.6</v>
      </c>
      <c r="AU117" s="438" t="s">
        <v>452</v>
      </c>
      <c r="AV117" s="437"/>
      <c r="AW117" s="443" t="s">
        <v>452</v>
      </c>
      <c r="AX117" s="438" t="s">
        <v>452</v>
      </c>
      <c r="AY117" s="441"/>
      <c r="AZ117" s="438">
        <v>0</v>
      </c>
      <c r="BA117" s="438" t="s">
        <v>452</v>
      </c>
    </row>
    <row r="118" spans="1:53">
      <c r="A118" s="415" t="s">
        <v>554</v>
      </c>
      <c r="B118" s="415" t="s">
        <v>554</v>
      </c>
      <c r="C118" s="488" t="str">
        <f>IF(ISNUMBER(INDEX('Database.Jan 12 to SEC'!$G$6:$G$191, MATCH($A118&amp;"USD bn", 'Database.Jan 12 to SEC'!$AD$6:$AD$191, 0))), INDEX('Database.Jan 12 to SEC'!$G$6:$G$191, MATCH($A118&amp;"USD bn", 'Database.Jan 12 to SEC'!$AD$6:$AD$191, 0)), "")</f>
        <v/>
      </c>
      <c r="D118" s="480" t="str">
        <f>IF(ISNUMBER(INDEX('Database.Jan 12 to SEC'!$H$6:$H$191, MATCH($A118&amp;"USD bn", 'Database.Jan 12 to SEC'!$AD$6:$AD$191, 0))), INDEX('Database.Jan 12 to SEC'!$H$6:$H$191, MATCH($A118&amp;"USD bn", 'Database.Jan 12 to SEC'!$AD$6:$AD$191, 0)), "")</f>
        <v/>
      </c>
      <c r="E118" s="480" t="str">
        <f>IF(ISNUMBER(INDEX('Database.Jan 12 to SEC'!$J$6:$J$191, MATCH($A118&amp;"USD bn", 'Database.Jan 12 to SEC'!$AD$6:$AD$191, 0))), INDEX('Database.Jan 12 to SEC'!$J$6:$J$191, MATCH($A118&amp;"USD bn", 'Database.Jan 12 to SEC'!$AD$6:$AD$191, 0)), "")</f>
        <v/>
      </c>
      <c r="F118" s="480" t="str">
        <f>IF(ISNUMBER(INDEX('Database.Jan 12 to SEC'!$L$6:$L$191, MATCH($A118&amp;"USD bn", 'Database.Jan 12 to SEC'!$AD$6:$AD$191, 0))), INDEX('Database.Jan 12 to SEC'!$L$6:$L$191, MATCH($A118&amp;"USD bn", 'Database.Jan 12 to SEC'!$AD$6:$AD$191, 0)), "")</f>
        <v/>
      </c>
      <c r="G118" s="482"/>
      <c r="H118" s="481" t="str">
        <f>IF(ISNUMBER(INDEX('Database.Jan 12 to SEC'!$P$6:$P$191, MATCH($A118&amp;"USD bn", 'Database.Jan 12 to SEC'!$AD$6:$AD$191, 0))), INDEX('Database.Jan 12 to SEC'!$P$6:$P$191, MATCH($A118&amp;"USD bn", 'Database.Jan 12 to SEC'!$AD$6:$AD$191, 0)), "")</f>
        <v/>
      </c>
      <c r="I118" s="480" t="str">
        <f>IF(ISNUMBER(INDEX('Database.Jan 12 to SEC'!$Q$6:$Q$191, MATCH($A118&amp;"USD bn", 'Database.Jan 12 to SEC'!$AD$6:$AD$191, 0))), INDEX('Database.Jan 12 to SEC'!$Q$6:$Q$191, MATCH($A118&amp;"USD bn", 'Database.Jan 12 to SEC'!$AD$6:$AD$191, 0)), "")</f>
        <v/>
      </c>
      <c r="J118" s="483"/>
      <c r="K118" s="480" t="str">
        <f>IF(ISNUMBER(INDEX('Database.Jan 12 to SEC'!$U$6:$U$191, MATCH($A118&amp;"USD bn", 'Database.Jan 12 to SEC'!$AD$6:$AD$191, 0))), INDEX('Database.Jan 12 to SEC'!$U$6:$U$191, MATCH($A118&amp;"USD bn", 'Database.Jan 12 to SEC'!$AD$6:$AD$191, 0)), "")</f>
        <v/>
      </c>
      <c r="L118" s="480" t="str">
        <f>IF(ISNUMBER(INDEX('Database.Jan 12 to SEC'!$W$6:$W$191, MATCH($A118&amp;"USD bn", 'Database.Jan 12 to SEC'!$AD$6:$AD$191, 0))), INDEX('Database.Jan 12 to SEC'!$W$6:$W$191, MATCH($A118&amp;"USD bn", 'Database.Jan 12 to SEC'!$AD$6:$AD$191, 0)), "")</f>
        <v/>
      </c>
      <c r="M118"/>
      <c r="N118"/>
      <c r="O118" s="481" t="str">
        <f>IF(ISNUMBER(INDEX('Database.Jan 12 to SEC'!$G$6:$G$191, MATCH($A118&amp;"% GDP", 'Database.Jan 12 to SEC'!$AD$6:$AD$191, 0))), INDEX('Database.Jan 12 to SEC'!$G$6:$G$191, MATCH($A118&amp;"% GDP", 'Database.Jan 12 to SEC'!$AD$6:$AD$191, 0)), "")</f>
        <v/>
      </c>
      <c r="P118" s="480" t="str">
        <f>IF(ISNUMBER(INDEX('Database.Jan 12 to SEC'!$H$6:$H$191, MATCH($A118&amp;"% GDP", 'Database.Jan 12 to SEC'!$AD$6:$AD$191, 0))), INDEX('Database.Jan 12 to SEC'!$H$6:$H$191, MATCH($A118&amp;"% GDP", 'Database.Jan 12 to SEC'!$AD$6:$AD$191, 0)), "")</f>
        <v/>
      </c>
      <c r="Q118" s="480" t="str">
        <f>IF(ISNUMBER(INDEX('Database.Jan 12 to SEC'!$J$6:$J$191, MATCH($A118&amp;"% GDP", 'Database.Jan 12 to SEC'!$AD$6:$AD$191, 0))), INDEX('Database.Jan 12 to SEC'!$J$6:$J$191, MATCH($A118&amp;"% GDP", 'Database.Jan 12 to SEC'!$AD$6:$AD$191, 0)), "")</f>
        <v/>
      </c>
      <c r="R118" s="480" t="str">
        <f>IF(ISNUMBER(INDEX('Database.Jan 12 to SEC'!$L$6:$L$191, MATCH($A118&amp;"% GDP", 'Database.Jan 12 to SEC'!$AD$6:$AD$191, 0))), INDEX('Database.Jan 12 to SEC'!$L$6:$L$191, MATCH($A118&amp;"% GDP", 'Database.Jan 12 to SEC'!$AD$6:$AD$191, 0)), "")</f>
        <v/>
      </c>
      <c r="S118" s="482"/>
      <c r="T118" s="481" t="str">
        <f>IF(ISNUMBER(INDEX('Database.Jan 12 to SEC'!$P$6:$P$191, MATCH($A118&amp;"% GDP", 'Database.Jan 12 to SEC'!$AD$6:$AD$191, 0))), INDEX('Database.Jan 12 to SEC'!$P$6:$P$191, MATCH($A118&amp;"% GDP", 'Database.Jan 12 to SEC'!$AD$6:$AD$191, 0)), "")</f>
        <v/>
      </c>
      <c r="U118" s="480" t="str">
        <f>IF(ISNUMBER(INDEX('Database.Jan 12 to SEC'!$Q$6:$Q$191, MATCH($A118&amp;"% GDP", 'Database.Jan 12 to SEC'!$AD$6:$AD$191, 0))), INDEX('Database.Jan 12 to SEC'!$Q$6:$Q$191, MATCH($A118&amp;"% GDP", 'Database.Jan 12 to SEC'!$AD$6:$AD$191, 0)), "")</f>
        <v/>
      </c>
      <c r="V118" s="483"/>
      <c r="W118" s="480" t="str">
        <f>IF(ISNUMBER(INDEX('Database.Jan 12 to SEC'!$U$6:$U$191, MATCH($A118&amp;"% GDP", 'Database.Jan 12 to SEC'!$AD$6:$AD$191, 0))), INDEX('Database.Jan 12 to SEC'!$U$6:$U$191, MATCH($A118&amp;"% GDP", 'Database.Jan 12 to SEC'!$AD$6:$AD$191, 0)), "")</f>
        <v/>
      </c>
      <c r="X118" s="480" t="str">
        <f>IF(ISNUMBER(INDEX('Database.Jan 12 to SEC'!$W$6:$W$191, MATCH($A118&amp;"% GDP", 'Database.Jan 12 to SEC'!$AD$6:$AD$191, 0))), INDEX('Database.Jan 12 to SEC'!$W$6:$W$191, MATCH($A118&amp;"% GDP", 'Database.Jan 12 to SEC'!$AD$6:$AD$191, 0)), "")</f>
        <v/>
      </c>
      <c r="Z118" s="490"/>
      <c r="AA118" t="s">
        <v>1267</v>
      </c>
      <c r="AC118" s="299"/>
      <c r="AF118" s="443">
        <v>5.2148375564455147</v>
      </c>
      <c r="AG118" s="438">
        <v>1.1210641123759681</v>
      </c>
      <c r="AH118" s="438">
        <v>4.0937734440695461</v>
      </c>
      <c r="AI118" s="438">
        <v>3.0230942356205883</v>
      </c>
      <c r="AJ118" s="437"/>
      <c r="AK118" s="443" t="s">
        <v>452</v>
      </c>
      <c r="AL118" s="438" t="s">
        <v>452</v>
      </c>
      <c r="AM118" s="441"/>
      <c r="AN118" s="438" t="s">
        <v>452</v>
      </c>
      <c r="AO118" s="438" t="s">
        <v>452</v>
      </c>
      <c r="AP118" s="331"/>
      <c r="AQ118" s="331"/>
      <c r="AR118" s="443">
        <v>1.9924764282578782</v>
      </c>
      <c r="AS118" s="438">
        <v>0.42833430462548588</v>
      </c>
      <c r="AT118" s="438">
        <v>1.5641421236323922</v>
      </c>
      <c r="AU118" s="438">
        <v>1.1550587989900742</v>
      </c>
      <c r="AV118" s="437"/>
      <c r="AW118" s="443" t="s">
        <v>452</v>
      </c>
      <c r="AX118" s="438" t="s">
        <v>452</v>
      </c>
      <c r="AY118" s="441"/>
      <c r="AZ118" s="438" t="s">
        <v>452</v>
      </c>
      <c r="BA118" s="438" t="s">
        <v>452</v>
      </c>
    </row>
    <row r="119" spans="1:53">
      <c r="A119" s="415" t="s">
        <v>1071</v>
      </c>
      <c r="B119" s="415" t="s">
        <v>1071</v>
      </c>
      <c r="C119" s="488">
        <v>0.02</v>
      </c>
      <c r="D119" s="480">
        <v>0</v>
      </c>
      <c r="E119" s="480">
        <v>0.02</v>
      </c>
      <c r="F119" s="480" t="s">
        <v>452</v>
      </c>
      <c r="G119" s="482"/>
      <c r="H119" s="481" t="s">
        <v>452</v>
      </c>
      <c r="I119" s="480" t="s">
        <v>452</v>
      </c>
      <c r="J119" s="483"/>
      <c r="K119" s="480" t="s">
        <v>452</v>
      </c>
      <c r="L119" s="480" t="s">
        <v>452</v>
      </c>
      <c r="M119"/>
      <c r="N119"/>
      <c r="O119" s="481">
        <v>8.1</v>
      </c>
      <c r="P119" s="480">
        <v>0.4</v>
      </c>
      <c r="Q119" s="480">
        <v>7.6999999999999993</v>
      </c>
      <c r="R119" s="480" t="s">
        <v>452</v>
      </c>
      <c r="S119" s="482"/>
      <c r="T119" s="481" t="s">
        <v>452</v>
      </c>
      <c r="U119" s="480" t="s">
        <v>452</v>
      </c>
      <c r="V119" s="483"/>
      <c r="W119" s="480" t="s">
        <v>452</v>
      </c>
      <c r="X119" s="480" t="s">
        <v>452</v>
      </c>
      <c r="Z119" s="490"/>
      <c r="AA119" t="s">
        <v>1267</v>
      </c>
      <c r="AC119" s="403"/>
      <c r="AF119" s="443">
        <v>0.02</v>
      </c>
      <c r="AG119" s="438">
        <v>0</v>
      </c>
      <c r="AH119" s="438">
        <v>0.02</v>
      </c>
      <c r="AI119" s="438" t="s">
        <v>452</v>
      </c>
      <c r="AJ119" s="437"/>
      <c r="AK119" s="443" t="s">
        <v>452</v>
      </c>
      <c r="AL119" s="438" t="s">
        <v>452</v>
      </c>
      <c r="AM119" s="441"/>
      <c r="AN119" s="438" t="s">
        <v>452</v>
      </c>
      <c r="AO119" s="438" t="s">
        <v>452</v>
      </c>
      <c r="AP119" s="331"/>
      <c r="AQ119" s="331"/>
      <c r="AR119" s="443">
        <v>8.1</v>
      </c>
      <c r="AS119" s="438">
        <v>0.4</v>
      </c>
      <c r="AT119" s="438">
        <v>7.6999999999999993</v>
      </c>
      <c r="AU119" s="438" t="s">
        <v>452</v>
      </c>
      <c r="AV119" s="437"/>
      <c r="AW119" s="443" t="s">
        <v>452</v>
      </c>
      <c r="AX119" s="438" t="s">
        <v>452</v>
      </c>
      <c r="AY119" s="441"/>
      <c r="AZ119" s="438" t="s">
        <v>452</v>
      </c>
      <c r="BA119" s="438" t="s">
        <v>452</v>
      </c>
    </row>
    <row r="120" spans="1:53">
      <c r="A120" s="415" t="s">
        <v>1072</v>
      </c>
      <c r="B120" s="415" t="s">
        <v>1072</v>
      </c>
      <c r="C120" s="488">
        <v>1.8</v>
      </c>
      <c r="D120" s="480">
        <v>0.9</v>
      </c>
      <c r="E120" s="480">
        <v>0.9</v>
      </c>
      <c r="F120" s="480" t="s">
        <v>452</v>
      </c>
      <c r="G120" s="482"/>
      <c r="H120" s="481" t="s">
        <v>452</v>
      </c>
      <c r="I120" s="480" t="s">
        <v>452</v>
      </c>
      <c r="J120" s="483"/>
      <c r="K120" s="480" t="s">
        <v>452</v>
      </c>
      <c r="L120" s="480" t="s">
        <v>452</v>
      </c>
      <c r="M120"/>
      <c r="N120"/>
      <c r="O120" s="481">
        <v>3.400199242135908</v>
      </c>
      <c r="P120" s="480">
        <v>1.700099621067954</v>
      </c>
      <c r="Q120" s="480">
        <v>1.700099621067954</v>
      </c>
      <c r="R120" s="480" t="s">
        <v>452</v>
      </c>
      <c r="S120" s="482"/>
      <c r="T120" s="481" t="s">
        <v>452</v>
      </c>
      <c r="U120" s="480" t="s">
        <v>452</v>
      </c>
      <c r="V120" s="483"/>
      <c r="W120" s="480" t="s">
        <v>452</v>
      </c>
      <c r="X120" s="480" t="s">
        <v>452</v>
      </c>
      <c r="Z120" s="490"/>
      <c r="AA120" t="s">
        <v>1267</v>
      </c>
      <c r="AC120" s="403"/>
      <c r="AF120" s="443">
        <v>1.8</v>
      </c>
      <c r="AG120" s="438">
        <v>0.9</v>
      </c>
      <c r="AH120" s="438">
        <v>0.9</v>
      </c>
      <c r="AI120" s="438" t="s">
        <v>452</v>
      </c>
      <c r="AJ120" s="437"/>
      <c r="AK120" s="443" t="s">
        <v>452</v>
      </c>
      <c r="AL120" s="438" t="s">
        <v>452</v>
      </c>
      <c r="AM120" s="441"/>
      <c r="AN120" s="438" t="s">
        <v>452</v>
      </c>
      <c r="AO120" s="438" t="s">
        <v>452</v>
      </c>
      <c r="AP120" s="331"/>
      <c r="AQ120" s="331"/>
      <c r="AR120" s="443">
        <v>3.400199242135908</v>
      </c>
      <c r="AS120" s="438">
        <v>1.700099621067954</v>
      </c>
      <c r="AT120" s="438">
        <v>1.700099621067954</v>
      </c>
      <c r="AU120" s="438" t="s">
        <v>452</v>
      </c>
      <c r="AV120" s="437"/>
      <c r="AW120" s="443" t="s">
        <v>452</v>
      </c>
      <c r="AX120" s="438" t="s">
        <v>452</v>
      </c>
      <c r="AY120" s="441"/>
      <c r="AZ120" s="438" t="s">
        <v>452</v>
      </c>
      <c r="BA120" s="438" t="s">
        <v>452</v>
      </c>
    </row>
    <row r="121" spans="1:53">
      <c r="A121" s="415" t="s">
        <v>1073</v>
      </c>
      <c r="B121" s="415" t="s">
        <v>1073</v>
      </c>
      <c r="C121" s="488">
        <v>1.6850000000000001</v>
      </c>
      <c r="D121" s="480">
        <v>0.73499999999999999</v>
      </c>
      <c r="E121" s="480">
        <v>0.95000000000000007</v>
      </c>
      <c r="F121" s="480" t="s">
        <v>452</v>
      </c>
      <c r="G121" s="482"/>
      <c r="H121" s="481">
        <v>0.1</v>
      </c>
      <c r="I121" s="480">
        <v>0</v>
      </c>
      <c r="J121" s="483"/>
      <c r="K121" s="480">
        <v>0.1</v>
      </c>
      <c r="L121" s="480" t="s">
        <v>452</v>
      </c>
      <c r="M121"/>
      <c r="N121"/>
      <c r="O121" s="481">
        <v>4.7238176735180701</v>
      </c>
      <c r="P121" s="480">
        <v>2.0605376795464578</v>
      </c>
      <c r="Q121" s="480">
        <v>2.6632799939716123</v>
      </c>
      <c r="R121" s="480" t="s">
        <v>452</v>
      </c>
      <c r="S121" s="482"/>
      <c r="T121" s="481">
        <v>0.28034526252332764</v>
      </c>
      <c r="U121" s="480">
        <v>0</v>
      </c>
      <c r="V121" s="483"/>
      <c r="W121" s="480">
        <v>0.28034526252332764</v>
      </c>
      <c r="X121" s="480" t="s">
        <v>452</v>
      </c>
      <c r="Z121" s="490"/>
      <c r="AA121" t="s">
        <v>1267</v>
      </c>
      <c r="AC121" s="403"/>
      <c r="AF121" s="443">
        <v>1.6850000000000001</v>
      </c>
      <c r="AG121" s="438">
        <v>0.73499999999999999</v>
      </c>
      <c r="AH121" s="438">
        <v>0.95000000000000007</v>
      </c>
      <c r="AI121" s="438" t="s">
        <v>452</v>
      </c>
      <c r="AJ121" s="437"/>
      <c r="AK121" s="443">
        <v>0.1</v>
      </c>
      <c r="AL121" s="438">
        <v>0</v>
      </c>
      <c r="AM121" s="441"/>
      <c r="AN121" s="438">
        <v>0.1</v>
      </c>
      <c r="AO121" s="438" t="s">
        <v>452</v>
      </c>
      <c r="AP121" s="331"/>
      <c r="AQ121" s="331"/>
      <c r="AR121" s="443">
        <v>4.7238176735180701</v>
      </c>
      <c r="AS121" s="438">
        <v>2.0605376795464578</v>
      </c>
      <c r="AT121" s="438">
        <v>2.6632799939716123</v>
      </c>
      <c r="AU121" s="438" t="s">
        <v>452</v>
      </c>
      <c r="AV121" s="437"/>
      <c r="AW121" s="443">
        <v>0.28034526252332764</v>
      </c>
      <c r="AX121" s="438">
        <v>0</v>
      </c>
      <c r="AY121" s="441"/>
      <c r="AZ121" s="438">
        <v>0.28034526252332764</v>
      </c>
      <c r="BA121" s="438" t="s">
        <v>452</v>
      </c>
    </row>
    <row r="122" spans="1:53">
      <c r="A122" s="415" t="s">
        <v>555</v>
      </c>
      <c r="B122" s="415" t="s">
        <v>555</v>
      </c>
      <c r="C122" s="488" t="str">
        <f>IF(ISNUMBER(INDEX('Database.Jan 12 to SEC'!$G$6:$G$191, MATCH($A122&amp;"USD bn", 'Database.Jan 12 to SEC'!$AD$6:$AD$191, 0))), INDEX('Database.Jan 12 to SEC'!$G$6:$G$191, MATCH($A122&amp;"USD bn", 'Database.Jan 12 to SEC'!$AD$6:$AD$191, 0)), "")</f>
        <v/>
      </c>
      <c r="D122" s="480" t="str">
        <f>IF(ISNUMBER(INDEX('Database.Jan 12 to SEC'!$H$6:$H$191, MATCH($A122&amp;"USD bn", 'Database.Jan 12 to SEC'!$AD$6:$AD$191, 0))), INDEX('Database.Jan 12 to SEC'!$H$6:$H$191, MATCH($A122&amp;"USD bn", 'Database.Jan 12 to SEC'!$AD$6:$AD$191, 0)), "")</f>
        <v/>
      </c>
      <c r="E122" s="480" t="str">
        <f>IF(ISNUMBER(INDEX('Database.Jan 12 to SEC'!$J$6:$J$191, MATCH($A122&amp;"USD bn", 'Database.Jan 12 to SEC'!$AD$6:$AD$191, 0))), INDEX('Database.Jan 12 to SEC'!$J$6:$J$191, MATCH($A122&amp;"USD bn", 'Database.Jan 12 to SEC'!$AD$6:$AD$191, 0)), "")</f>
        <v/>
      </c>
      <c r="F122" s="480" t="str">
        <f>IF(ISNUMBER(INDEX('Database.Jan 12 to SEC'!$L$6:$L$191, MATCH($A122&amp;"USD bn", 'Database.Jan 12 to SEC'!$AD$6:$AD$191, 0))), INDEX('Database.Jan 12 to SEC'!$L$6:$L$191, MATCH($A122&amp;"USD bn", 'Database.Jan 12 to SEC'!$AD$6:$AD$191, 0)), "")</f>
        <v/>
      </c>
      <c r="G122" s="482"/>
      <c r="H122" s="481" t="str">
        <f>IF(ISNUMBER(INDEX('Database.Jan 12 to SEC'!$P$6:$P$191, MATCH($A122&amp;"USD bn", 'Database.Jan 12 to SEC'!$AD$6:$AD$191, 0))), INDEX('Database.Jan 12 to SEC'!$P$6:$P$191, MATCH($A122&amp;"USD bn", 'Database.Jan 12 to SEC'!$AD$6:$AD$191, 0)), "")</f>
        <v/>
      </c>
      <c r="I122" s="480" t="str">
        <f>IF(ISNUMBER(INDEX('Database.Jan 12 to SEC'!$Q$6:$Q$191, MATCH($A122&amp;"USD bn", 'Database.Jan 12 to SEC'!$AD$6:$AD$191, 0))), INDEX('Database.Jan 12 to SEC'!$Q$6:$Q$191, MATCH($A122&amp;"USD bn", 'Database.Jan 12 to SEC'!$AD$6:$AD$191, 0)), "")</f>
        <v/>
      </c>
      <c r="J122" s="483"/>
      <c r="K122" s="480" t="str">
        <f>IF(ISNUMBER(INDEX('Database.Jan 12 to SEC'!$U$6:$U$191, MATCH($A122&amp;"USD bn", 'Database.Jan 12 to SEC'!$AD$6:$AD$191, 0))), INDEX('Database.Jan 12 to SEC'!$U$6:$U$191, MATCH($A122&amp;"USD bn", 'Database.Jan 12 to SEC'!$AD$6:$AD$191, 0)), "")</f>
        <v/>
      </c>
      <c r="L122" s="480" t="str">
        <f>IF(ISNUMBER(INDEX('Database.Jan 12 to SEC'!$W$6:$W$191, MATCH($A122&amp;"USD bn", 'Database.Jan 12 to SEC'!$AD$6:$AD$191, 0))), INDEX('Database.Jan 12 to SEC'!$W$6:$W$191, MATCH($A122&amp;"USD bn", 'Database.Jan 12 to SEC'!$AD$6:$AD$191, 0)), "")</f>
        <v/>
      </c>
      <c r="M122"/>
      <c r="N122"/>
      <c r="O122" s="481" t="str">
        <f>IF(ISNUMBER(INDEX('Database.Jan 12 to SEC'!$G$6:$G$191, MATCH($A122&amp;"% GDP", 'Database.Jan 12 to SEC'!$AD$6:$AD$191, 0))), INDEX('Database.Jan 12 to SEC'!$G$6:$G$191, MATCH($A122&amp;"% GDP", 'Database.Jan 12 to SEC'!$AD$6:$AD$191, 0)), "")</f>
        <v/>
      </c>
      <c r="P122" s="480" t="str">
        <f>IF(ISNUMBER(INDEX('Database.Jan 12 to SEC'!$H$6:$H$191, MATCH($A122&amp;"% GDP", 'Database.Jan 12 to SEC'!$AD$6:$AD$191, 0))), INDEX('Database.Jan 12 to SEC'!$H$6:$H$191, MATCH($A122&amp;"% GDP", 'Database.Jan 12 to SEC'!$AD$6:$AD$191, 0)), "")</f>
        <v/>
      </c>
      <c r="Q122" s="480" t="str">
        <f>IF(ISNUMBER(INDEX('Database.Jan 12 to SEC'!$J$6:$J$191, MATCH($A122&amp;"% GDP", 'Database.Jan 12 to SEC'!$AD$6:$AD$191, 0))), INDEX('Database.Jan 12 to SEC'!$J$6:$J$191, MATCH($A122&amp;"% GDP", 'Database.Jan 12 to SEC'!$AD$6:$AD$191, 0)), "")</f>
        <v/>
      </c>
      <c r="R122" s="480" t="str">
        <f>IF(ISNUMBER(INDEX('Database.Jan 12 to SEC'!$L$6:$L$191, MATCH($A122&amp;"% GDP", 'Database.Jan 12 to SEC'!$AD$6:$AD$191, 0))), INDEX('Database.Jan 12 to SEC'!$L$6:$L$191, MATCH($A122&amp;"% GDP", 'Database.Jan 12 to SEC'!$AD$6:$AD$191, 0)), "")</f>
        <v/>
      </c>
      <c r="S122" s="482"/>
      <c r="T122" s="481" t="str">
        <f>IF(ISNUMBER(INDEX('Database.Jan 12 to SEC'!$P$6:$P$191, MATCH($A122&amp;"% GDP", 'Database.Jan 12 to SEC'!$AD$6:$AD$191, 0))), INDEX('Database.Jan 12 to SEC'!$P$6:$P$191, MATCH($A122&amp;"% GDP", 'Database.Jan 12 to SEC'!$AD$6:$AD$191, 0)), "")</f>
        <v/>
      </c>
      <c r="U122" s="480" t="str">
        <f>IF(ISNUMBER(INDEX('Database.Jan 12 to SEC'!$Q$6:$Q$191, MATCH($A122&amp;"% GDP", 'Database.Jan 12 to SEC'!$AD$6:$AD$191, 0))), INDEX('Database.Jan 12 to SEC'!$Q$6:$Q$191, MATCH($A122&amp;"% GDP", 'Database.Jan 12 to SEC'!$AD$6:$AD$191, 0)), "")</f>
        <v/>
      </c>
      <c r="V122" s="483"/>
      <c r="W122" s="480" t="str">
        <f>IF(ISNUMBER(INDEX('Database.Jan 12 to SEC'!$U$6:$U$191, MATCH($A122&amp;"% GDP", 'Database.Jan 12 to SEC'!$AD$6:$AD$191, 0))), INDEX('Database.Jan 12 to SEC'!$U$6:$U$191, MATCH($A122&amp;"% GDP", 'Database.Jan 12 to SEC'!$AD$6:$AD$191, 0)), "")</f>
        <v/>
      </c>
      <c r="X122" s="480" t="str">
        <f>IF(ISNUMBER(INDEX('Database.Jan 12 to SEC'!$W$6:$W$191, MATCH($A122&amp;"% GDP", 'Database.Jan 12 to SEC'!$AD$6:$AD$191, 0))), INDEX('Database.Jan 12 to SEC'!$W$6:$W$191, MATCH($A122&amp;"% GDP", 'Database.Jan 12 to SEC'!$AD$6:$AD$191, 0)), "")</f>
        <v/>
      </c>
      <c r="Z122" s="490"/>
      <c r="AA122" t="s">
        <v>1267</v>
      </c>
      <c r="AC122" s="299"/>
      <c r="AF122" s="443">
        <v>19.711394276042082</v>
      </c>
      <c r="AG122" s="438">
        <v>3.4452457296794692</v>
      </c>
      <c r="AH122" s="438">
        <v>16.266148546362611</v>
      </c>
      <c r="AI122" s="438">
        <v>3.4458178870704317</v>
      </c>
      <c r="AJ122" s="437"/>
      <c r="AK122" s="443">
        <v>19.796645727295466</v>
      </c>
      <c r="AL122" s="438">
        <v>0</v>
      </c>
      <c r="AM122" s="441"/>
      <c r="AN122" s="438">
        <v>19.796645727295466</v>
      </c>
      <c r="AO122" s="438" t="s">
        <v>452</v>
      </c>
      <c r="AP122" s="331"/>
      <c r="AQ122" s="331"/>
      <c r="AR122" s="443">
        <v>9.5938667869694285</v>
      </c>
      <c r="AS122" s="438">
        <v>1.6768589839986185</v>
      </c>
      <c r="AT122" s="438">
        <v>7.9170078029708097</v>
      </c>
      <c r="AU122" s="438">
        <v>1.6771374626142459</v>
      </c>
      <c r="AV122" s="437"/>
      <c r="AW122" s="443">
        <v>9.6353601006978682</v>
      </c>
      <c r="AX122" s="438">
        <v>0</v>
      </c>
      <c r="AY122" s="441"/>
      <c r="AZ122" s="438">
        <v>9.6353601006978682</v>
      </c>
      <c r="BA122" s="438" t="s">
        <v>452</v>
      </c>
    </row>
    <row r="123" spans="1:53">
      <c r="A123" s="415" t="s">
        <v>556</v>
      </c>
      <c r="B123" s="415" t="s">
        <v>556</v>
      </c>
      <c r="C123" s="488" t="str">
        <f>IF(ISNUMBER(INDEX('Database.Jan 12 to SEC'!$G$6:$G$191, MATCH($A123&amp;"USD bn", 'Database.Jan 12 to SEC'!$AD$6:$AD$191, 0))), INDEX('Database.Jan 12 to SEC'!$G$6:$G$191, MATCH($A123&amp;"USD bn", 'Database.Jan 12 to SEC'!$AD$6:$AD$191, 0)), "")</f>
        <v/>
      </c>
      <c r="D123" s="480" t="str">
        <f>IF(ISNUMBER(INDEX('Database.Jan 12 to SEC'!$H$6:$H$191, MATCH($A123&amp;"USD bn", 'Database.Jan 12 to SEC'!$AD$6:$AD$191, 0))), INDEX('Database.Jan 12 to SEC'!$H$6:$H$191, MATCH($A123&amp;"USD bn", 'Database.Jan 12 to SEC'!$AD$6:$AD$191, 0)), "")</f>
        <v/>
      </c>
      <c r="E123" s="480" t="str">
        <f>IF(ISNUMBER(INDEX('Database.Jan 12 to SEC'!$J$6:$J$191, MATCH($A123&amp;"USD bn", 'Database.Jan 12 to SEC'!$AD$6:$AD$191, 0))), INDEX('Database.Jan 12 to SEC'!$J$6:$J$191, MATCH($A123&amp;"USD bn", 'Database.Jan 12 to SEC'!$AD$6:$AD$191, 0)), "")</f>
        <v/>
      </c>
      <c r="F123" s="480" t="str">
        <f>IF(ISNUMBER(INDEX('Database.Jan 12 to SEC'!$L$6:$L$191, MATCH($A123&amp;"USD bn", 'Database.Jan 12 to SEC'!$AD$6:$AD$191, 0))), INDEX('Database.Jan 12 to SEC'!$L$6:$L$191, MATCH($A123&amp;"USD bn", 'Database.Jan 12 to SEC'!$AD$6:$AD$191, 0)), "")</f>
        <v/>
      </c>
      <c r="G123" s="482"/>
      <c r="H123" s="481" t="str">
        <f>IF(ISNUMBER(INDEX('Database.Jan 12 to SEC'!$P$6:$P$191, MATCH($A123&amp;"USD bn", 'Database.Jan 12 to SEC'!$AD$6:$AD$191, 0))), INDEX('Database.Jan 12 to SEC'!$P$6:$P$191, MATCH($A123&amp;"USD bn", 'Database.Jan 12 to SEC'!$AD$6:$AD$191, 0)), "")</f>
        <v/>
      </c>
      <c r="I123" s="480" t="str">
        <f>IF(ISNUMBER(INDEX('Database.Jan 12 to SEC'!$Q$6:$Q$191, MATCH($A123&amp;"USD bn", 'Database.Jan 12 to SEC'!$AD$6:$AD$191, 0))), INDEX('Database.Jan 12 to SEC'!$Q$6:$Q$191, MATCH($A123&amp;"USD bn", 'Database.Jan 12 to SEC'!$AD$6:$AD$191, 0)), "")</f>
        <v/>
      </c>
      <c r="J123" s="483"/>
      <c r="K123" s="480" t="str">
        <f>IF(ISNUMBER(INDEX('Database.Jan 12 to SEC'!$U$6:$U$191, MATCH($A123&amp;"USD bn", 'Database.Jan 12 to SEC'!$AD$6:$AD$191, 0))), INDEX('Database.Jan 12 to SEC'!$U$6:$U$191, MATCH($A123&amp;"USD bn", 'Database.Jan 12 to SEC'!$AD$6:$AD$191, 0)), "")</f>
        <v/>
      </c>
      <c r="L123" s="480" t="str">
        <f>IF(ISNUMBER(INDEX('Database.Jan 12 to SEC'!$W$6:$W$191, MATCH($A123&amp;"USD bn", 'Database.Jan 12 to SEC'!$AD$6:$AD$191, 0))), INDEX('Database.Jan 12 to SEC'!$W$6:$W$191, MATCH($A123&amp;"USD bn", 'Database.Jan 12 to SEC'!$AD$6:$AD$191, 0)), "")</f>
        <v/>
      </c>
      <c r="M123"/>
      <c r="N123"/>
      <c r="O123" s="481" t="str">
        <f>IF(ISNUMBER(INDEX('Database.Jan 12 to SEC'!$G$6:$G$191, MATCH($A123&amp;"% GDP", 'Database.Jan 12 to SEC'!$AD$6:$AD$191, 0))), INDEX('Database.Jan 12 to SEC'!$G$6:$G$191, MATCH($A123&amp;"% GDP", 'Database.Jan 12 to SEC'!$AD$6:$AD$191, 0)), "")</f>
        <v/>
      </c>
      <c r="P123" s="480" t="str">
        <f>IF(ISNUMBER(INDEX('Database.Jan 12 to SEC'!$H$6:$H$191, MATCH($A123&amp;"% GDP", 'Database.Jan 12 to SEC'!$AD$6:$AD$191, 0))), INDEX('Database.Jan 12 to SEC'!$H$6:$H$191, MATCH($A123&amp;"% GDP", 'Database.Jan 12 to SEC'!$AD$6:$AD$191, 0)), "")</f>
        <v/>
      </c>
      <c r="Q123" s="480" t="str">
        <f>IF(ISNUMBER(INDEX('Database.Jan 12 to SEC'!$J$6:$J$191, MATCH($A123&amp;"% GDP", 'Database.Jan 12 to SEC'!$AD$6:$AD$191, 0))), INDEX('Database.Jan 12 to SEC'!$J$6:$J$191, MATCH($A123&amp;"% GDP", 'Database.Jan 12 to SEC'!$AD$6:$AD$191, 0)), "")</f>
        <v/>
      </c>
      <c r="R123" s="480" t="str">
        <f>IF(ISNUMBER(INDEX('Database.Jan 12 to SEC'!$L$6:$L$191, MATCH($A123&amp;"% GDP", 'Database.Jan 12 to SEC'!$AD$6:$AD$191, 0))), INDEX('Database.Jan 12 to SEC'!$L$6:$L$191, MATCH($A123&amp;"% GDP", 'Database.Jan 12 to SEC'!$AD$6:$AD$191, 0)), "")</f>
        <v/>
      </c>
      <c r="S123" s="482"/>
      <c r="T123" s="481" t="str">
        <f>IF(ISNUMBER(INDEX('Database.Jan 12 to SEC'!$P$6:$P$191, MATCH($A123&amp;"% GDP", 'Database.Jan 12 to SEC'!$AD$6:$AD$191, 0))), INDEX('Database.Jan 12 to SEC'!$P$6:$P$191, MATCH($A123&amp;"% GDP", 'Database.Jan 12 to SEC'!$AD$6:$AD$191, 0)), "")</f>
        <v/>
      </c>
      <c r="U123" s="480" t="str">
        <f>IF(ISNUMBER(INDEX('Database.Jan 12 to SEC'!$Q$6:$Q$191, MATCH($A123&amp;"% GDP", 'Database.Jan 12 to SEC'!$AD$6:$AD$191, 0))), INDEX('Database.Jan 12 to SEC'!$Q$6:$Q$191, MATCH($A123&amp;"% GDP", 'Database.Jan 12 to SEC'!$AD$6:$AD$191, 0)), "")</f>
        <v/>
      </c>
      <c r="V123" s="483"/>
      <c r="W123" s="480" t="str">
        <f>IF(ISNUMBER(INDEX('Database.Jan 12 to SEC'!$U$6:$U$191, MATCH($A123&amp;"% GDP", 'Database.Jan 12 to SEC'!$AD$6:$AD$191, 0))), INDEX('Database.Jan 12 to SEC'!$U$6:$U$191, MATCH($A123&amp;"% GDP", 'Database.Jan 12 to SEC'!$AD$6:$AD$191, 0)), "")</f>
        <v/>
      </c>
      <c r="X123" s="480" t="str">
        <f>IF(ISNUMBER(INDEX('Database.Jan 12 to SEC'!$W$6:$W$191, MATCH($A123&amp;"% GDP", 'Database.Jan 12 to SEC'!$AD$6:$AD$191, 0))), INDEX('Database.Jan 12 to SEC'!$W$6:$W$191, MATCH($A123&amp;"% GDP", 'Database.Jan 12 to SEC'!$AD$6:$AD$191, 0)), "")</f>
        <v/>
      </c>
      <c r="Z123" s="490"/>
      <c r="AA123" t="s">
        <v>1267</v>
      </c>
      <c r="AC123" s="299"/>
      <c r="AF123" s="443">
        <v>16.101047676431413</v>
      </c>
      <c r="AG123" s="438">
        <v>3.2846943319878852</v>
      </c>
      <c r="AH123" s="438">
        <v>12.816353344443527</v>
      </c>
      <c r="AI123" s="438" t="s">
        <v>452</v>
      </c>
      <c r="AJ123" s="437"/>
      <c r="AK123" s="443">
        <v>2.1159073917713367</v>
      </c>
      <c r="AL123" s="438">
        <v>0.10075749484625414</v>
      </c>
      <c r="AM123" s="441"/>
      <c r="AN123" s="438">
        <v>2.0151498969250827</v>
      </c>
      <c r="AO123" s="438" t="s">
        <v>452</v>
      </c>
      <c r="AP123" s="331"/>
      <c r="AQ123" s="331"/>
      <c r="AR123" s="443">
        <v>4.4540862311094349</v>
      </c>
      <c r="AS123" s="438">
        <v>0.90865588945036024</v>
      </c>
      <c r="AT123" s="438">
        <v>3.5454303416590749</v>
      </c>
      <c r="AU123" s="438" t="s">
        <v>452</v>
      </c>
      <c r="AV123" s="437"/>
      <c r="AW123" s="443">
        <v>0.58533048093428119</v>
      </c>
      <c r="AX123" s="438">
        <v>2.7872880044489574E-2</v>
      </c>
      <c r="AY123" s="441"/>
      <c r="AZ123" s="438">
        <v>0.55745760088979157</v>
      </c>
      <c r="BA123" s="438" t="s">
        <v>452</v>
      </c>
    </row>
    <row r="124" spans="1:53">
      <c r="A124" s="415" t="s">
        <v>22</v>
      </c>
      <c r="B124" s="415" t="s">
        <v>22</v>
      </c>
      <c r="C124" s="488" t="str">
        <f>IF(ISNUMBER(INDEX('Database.Jan 12 to SEC'!$G$6:$G$191, MATCH($A124&amp;"USD bn", 'Database.Jan 12 to SEC'!$AD$6:$AD$191, 0))), INDEX('Database.Jan 12 to SEC'!$G$6:$G$191, MATCH($A124&amp;"USD bn", 'Database.Jan 12 to SEC'!$AD$6:$AD$191, 0)), "")</f>
        <v/>
      </c>
      <c r="D124" s="480" t="str">
        <f>IF(ISNUMBER(INDEX('Database.Jan 12 to SEC'!$H$6:$H$191, MATCH($A124&amp;"USD bn", 'Database.Jan 12 to SEC'!$AD$6:$AD$191, 0))), INDEX('Database.Jan 12 to SEC'!$H$6:$H$191, MATCH($A124&amp;"USD bn", 'Database.Jan 12 to SEC'!$AD$6:$AD$191, 0)), "")</f>
        <v/>
      </c>
      <c r="E124" s="480" t="str">
        <f>IF(ISNUMBER(INDEX('Database.Jan 12 to SEC'!$J$6:$J$191, MATCH($A124&amp;"USD bn", 'Database.Jan 12 to SEC'!$AD$6:$AD$191, 0))), INDEX('Database.Jan 12 to SEC'!$J$6:$J$191, MATCH($A124&amp;"USD bn", 'Database.Jan 12 to SEC'!$AD$6:$AD$191, 0)), "")</f>
        <v/>
      </c>
      <c r="F124" s="480" t="str">
        <f>IF(ISNUMBER(INDEX('Database.Jan 12 to SEC'!$L$6:$L$191, MATCH($A124&amp;"USD bn", 'Database.Jan 12 to SEC'!$AD$6:$AD$191, 0))), INDEX('Database.Jan 12 to SEC'!$L$6:$L$191, MATCH($A124&amp;"USD bn", 'Database.Jan 12 to SEC'!$AD$6:$AD$191, 0)), "")</f>
        <v/>
      </c>
      <c r="G124" s="482"/>
      <c r="H124" s="481" t="str">
        <f>IF(ISNUMBER(INDEX('Database.Jan 12 to SEC'!$P$6:$P$191, MATCH($A124&amp;"USD bn", 'Database.Jan 12 to SEC'!$AD$6:$AD$191, 0))), INDEX('Database.Jan 12 to SEC'!$P$6:$P$191, MATCH($A124&amp;"USD bn", 'Database.Jan 12 to SEC'!$AD$6:$AD$191, 0)), "")</f>
        <v/>
      </c>
      <c r="I124" s="480" t="str">
        <f>IF(ISNUMBER(INDEX('Database.Jan 12 to SEC'!$Q$6:$Q$191, MATCH($A124&amp;"USD bn", 'Database.Jan 12 to SEC'!$AD$6:$AD$191, 0))), INDEX('Database.Jan 12 to SEC'!$Q$6:$Q$191, MATCH($A124&amp;"USD bn", 'Database.Jan 12 to SEC'!$AD$6:$AD$191, 0)), "")</f>
        <v/>
      </c>
      <c r="J124" s="483"/>
      <c r="K124" s="480" t="str">
        <f>IF(ISNUMBER(INDEX('Database.Jan 12 to SEC'!$U$6:$U$191, MATCH($A124&amp;"USD bn", 'Database.Jan 12 to SEC'!$AD$6:$AD$191, 0))), INDEX('Database.Jan 12 to SEC'!$U$6:$U$191, MATCH($A124&amp;"USD bn", 'Database.Jan 12 to SEC'!$AD$6:$AD$191, 0)), "")</f>
        <v/>
      </c>
      <c r="L124" s="480" t="str">
        <f>IF(ISNUMBER(INDEX('Database.Jan 12 to SEC'!$W$6:$W$191, MATCH($A124&amp;"USD bn", 'Database.Jan 12 to SEC'!$AD$6:$AD$191, 0))), INDEX('Database.Jan 12 to SEC'!$W$6:$W$191, MATCH($A124&amp;"USD bn", 'Database.Jan 12 to SEC'!$AD$6:$AD$191, 0)), "")</f>
        <v/>
      </c>
      <c r="M124"/>
      <c r="N124"/>
      <c r="O124" s="481" t="str">
        <f>IF(ISNUMBER(INDEX('Database.Jan 12 to SEC'!$G$6:$G$191, MATCH($A124&amp;"% GDP", 'Database.Jan 12 to SEC'!$AD$6:$AD$191, 0))), INDEX('Database.Jan 12 to SEC'!$G$6:$G$191, MATCH($A124&amp;"% GDP", 'Database.Jan 12 to SEC'!$AD$6:$AD$191, 0)), "")</f>
        <v/>
      </c>
      <c r="P124" s="480" t="str">
        <f>IF(ISNUMBER(INDEX('Database.Jan 12 to SEC'!$H$6:$H$191, MATCH($A124&amp;"% GDP", 'Database.Jan 12 to SEC'!$AD$6:$AD$191, 0))), INDEX('Database.Jan 12 to SEC'!$H$6:$H$191, MATCH($A124&amp;"% GDP", 'Database.Jan 12 to SEC'!$AD$6:$AD$191, 0)), "")</f>
        <v/>
      </c>
      <c r="Q124" s="480" t="str">
        <f>IF(ISNUMBER(INDEX('Database.Jan 12 to SEC'!$J$6:$J$191, MATCH($A124&amp;"% GDP", 'Database.Jan 12 to SEC'!$AD$6:$AD$191, 0))), INDEX('Database.Jan 12 to SEC'!$J$6:$J$191, MATCH($A124&amp;"% GDP", 'Database.Jan 12 to SEC'!$AD$6:$AD$191, 0)), "")</f>
        <v/>
      </c>
      <c r="R124" s="480" t="str">
        <f>IF(ISNUMBER(INDEX('Database.Jan 12 to SEC'!$L$6:$L$191, MATCH($A124&amp;"% GDP", 'Database.Jan 12 to SEC'!$AD$6:$AD$191, 0))), INDEX('Database.Jan 12 to SEC'!$L$6:$L$191, MATCH($A124&amp;"% GDP", 'Database.Jan 12 to SEC'!$AD$6:$AD$191, 0)), "")</f>
        <v/>
      </c>
      <c r="S124" s="482"/>
      <c r="T124" s="481" t="str">
        <f>IF(ISNUMBER(INDEX('Database.Jan 12 to SEC'!$P$6:$P$191, MATCH($A124&amp;"% GDP", 'Database.Jan 12 to SEC'!$AD$6:$AD$191, 0))), INDEX('Database.Jan 12 to SEC'!$P$6:$P$191, MATCH($A124&amp;"% GDP", 'Database.Jan 12 to SEC'!$AD$6:$AD$191, 0)), "")</f>
        <v/>
      </c>
      <c r="U124" s="480" t="str">
        <f>IF(ISNUMBER(INDEX('Database.Jan 12 to SEC'!$Q$6:$Q$191, MATCH($A124&amp;"% GDP", 'Database.Jan 12 to SEC'!$AD$6:$AD$191, 0))), INDEX('Database.Jan 12 to SEC'!$Q$6:$Q$191, MATCH($A124&amp;"% GDP", 'Database.Jan 12 to SEC'!$AD$6:$AD$191, 0)), "")</f>
        <v/>
      </c>
      <c r="V124" s="483"/>
      <c r="W124" s="480" t="str">
        <f>IF(ISNUMBER(INDEX('Database.Jan 12 to SEC'!$U$6:$U$191, MATCH($A124&amp;"% GDP", 'Database.Jan 12 to SEC'!$AD$6:$AD$191, 0))), INDEX('Database.Jan 12 to SEC'!$U$6:$U$191, MATCH($A124&amp;"% GDP", 'Database.Jan 12 to SEC'!$AD$6:$AD$191, 0)), "")</f>
        <v/>
      </c>
      <c r="X124" s="480" t="str">
        <f>IF(ISNUMBER(INDEX('Database.Jan 12 to SEC'!$W$6:$W$191, MATCH($A124&amp;"% GDP", 'Database.Jan 12 to SEC'!$AD$6:$AD$191, 0))), INDEX('Database.Jan 12 to SEC'!$W$6:$W$191, MATCH($A124&amp;"% GDP", 'Database.Jan 12 to SEC'!$AD$6:$AD$191, 0)), "")</f>
        <v/>
      </c>
      <c r="Z124" s="490"/>
      <c r="AB124" s="478" t="s">
        <v>1285</v>
      </c>
      <c r="AC124" s="299"/>
      <c r="AF124" s="443">
        <v>38.516359409090974</v>
      </c>
      <c r="AG124" s="438">
        <v>3.7695771192652283</v>
      </c>
      <c r="AH124" s="438">
        <v>34.746782289825745</v>
      </c>
      <c r="AI124" s="438" t="s">
        <v>452</v>
      </c>
      <c r="AJ124" s="437"/>
      <c r="AK124" s="443">
        <v>28.720587575354124</v>
      </c>
      <c r="AL124" s="438">
        <v>9.7444850702094339</v>
      </c>
      <c r="AM124" s="441"/>
      <c r="AN124" s="438">
        <v>18.976102505144688</v>
      </c>
      <c r="AO124" s="438" t="s">
        <v>452</v>
      </c>
      <c r="AP124" s="331"/>
      <c r="AQ124" s="331"/>
      <c r="AR124" s="443">
        <v>6.463386978297736</v>
      </c>
      <c r="AS124" s="438">
        <v>0.63256849920756808</v>
      </c>
      <c r="AT124" s="438">
        <v>5.8308184790901683</v>
      </c>
      <c r="AU124" s="438" t="s">
        <v>452</v>
      </c>
      <c r="AV124" s="437"/>
      <c r="AW124" s="443">
        <v>4.8195695177719475</v>
      </c>
      <c r="AX124" s="438">
        <v>1.6352110863869107</v>
      </c>
      <c r="AY124" s="441"/>
      <c r="AZ124" s="438">
        <v>3.184358431385037</v>
      </c>
      <c r="BA124" s="438" t="s">
        <v>452</v>
      </c>
    </row>
    <row r="125" spans="1:53">
      <c r="A125" s="415" t="s">
        <v>1074</v>
      </c>
      <c r="B125" s="415" t="s">
        <v>1074</v>
      </c>
      <c r="C125" s="488">
        <v>1.4</v>
      </c>
      <c r="D125" s="480">
        <v>0.9</v>
      </c>
      <c r="E125" s="480">
        <v>0.49999999999999989</v>
      </c>
      <c r="F125" s="480" t="s">
        <v>452</v>
      </c>
      <c r="G125" s="482"/>
      <c r="H125" s="481">
        <v>1.3736263736263736</v>
      </c>
      <c r="I125" s="480" t="s">
        <v>452</v>
      </c>
      <c r="J125" s="483"/>
      <c r="K125" s="480">
        <v>1.3736263736263736</v>
      </c>
      <c r="L125" s="480" t="s">
        <v>452</v>
      </c>
      <c r="M125"/>
      <c r="N125"/>
      <c r="O125" s="481">
        <v>1</v>
      </c>
      <c r="P125" s="480">
        <v>0.6</v>
      </c>
      <c r="Q125" s="480">
        <v>0.4</v>
      </c>
      <c r="R125" s="480" t="s">
        <v>452</v>
      </c>
      <c r="S125" s="482"/>
      <c r="T125" s="481">
        <v>0.94439586052406432</v>
      </c>
      <c r="U125" s="480" t="s">
        <v>452</v>
      </c>
      <c r="V125" s="483"/>
      <c r="W125" s="480">
        <v>0.94439586052406432</v>
      </c>
      <c r="X125" s="480" t="s">
        <v>452</v>
      </c>
      <c r="Z125" s="490"/>
      <c r="AA125" t="s">
        <v>1267</v>
      </c>
      <c r="AC125" s="403"/>
      <c r="AF125" s="443">
        <v>1.4</v>
      </c>
      <c r="AG125" s="438">
        <v>0.9</v>
      </c>
      <c r="AH125" s="438">
        <v>0.49999999999999989</v>
      </c>
      <c r="AI125" s="438" t="s">
        <v>452</v>
      </c>
      <c r="AJ125" s="437"/>
      <c r="AK125" s="443">
        <v>1.3736263736263736</v>
      </c>
      <c r="AL125" s="438" t="s">
        <v>452</v>
      </c>
      <c r="AM125" s="441"/>
      <c r="AN125" s="438">
        <v>1.3736263736263736</v>
      </c>
      <c r="AO125" s="438" t="s">
        <v>452</v>
      </c>
      <c r="AP125" s="331"/>
      <c r="AQ125" s="331"/>
      <c r="AR125" s="443">
        <v>1</v>
      </c>
      <c r="AS125" s="438">
        <v>0.6</v>
      </c>
      <c r="AT125" s="438">
        <v>0.4</v>
      </c>
      <c r="AU125" s="438" t="s">
        <v>452</v>
      </c>
      <c r="AV125" s="437"/>
      <c r="AW125" s="443">
        <v>0.94439586052406432</v>
      </c>
      <c r="AX125" s="438" t="s">
        <v>452</v>
      </c>
      <c r="AY125" s="441"/>
      <c r="AZ125" s="438">
        <v>0.94439586052406432</v>
      </c>
      <c r="BA125" s="438" t="s">
        <v>452</v>
      </c>
    </row>
    <row r="126" spans="1:53">
      <c r="A126" s="415" t="s">
        <v>557</v>
      </c>
      <c r="B126" s="415" t="s">
        <v>557</v>
      </c>
      <c r="C126" s="488" t="str">
        <f>IF(ISNUMBER(INDEX('Database.Jan 12 to SEC'!$G$6:$G$191, MATCH($A126&amp;"USD bn", 'Database.Jan 12 to SEC'!$AD$6:$AD$191, 0))), INDEX('Database.Jan 12 to SEC'!$G$6:$G$191, MATCH($A126&amp;"USD bn", 'Database.Jan 12 to SEC'!$AD$6:$AD$191, 0)), "")</f>
        <v/>
      </c>
      <c r="D126" s="480" t="str">
        <f>IF(ISNUMBER(INDEX('Database.Jan 12 to SEC'!$H$6:$H$191, MATCH($A126&amp;"USD bn", 'Database.Jan 12 to SEC'!$AD$6:$AD$191, 0))), INDEX('Database.Jan 12 to SEC'!$H$6:$H$191, MATCH($A126&amp;"USD bn", 'Database.Jan 12 to SEC'!$AD$6:$AD$191, 0)), "")</f>
        <v/>
      </c>
      <c r="E126" s="480" t="str">
        <f>IF(ISNUMBER(INDEX('Database.Jan 12 to SEC'!$J$6:$J$191, MATCH($A126&amp;"USD bn", 'Database.Jan 12 to SEC'!$AD$6:$AD$191, 0))), INDEX('Database.Jan 12 to SEC'!$J$6:$J$191, MATCH($A126&amp;"USD bn", 'Database.Jan 12 to SEC'!$AD$6:$AD$191, 0)), "")</f>
        <v/>
      </c>
      <c r="F126" s="480" t="str">
        <f>IF(ISNUMBER(INDEX('Database.Jan 12 to SEC'!$L$6:$L$191, MATCH($A126&amp;"USD bn", 'Database.Jan 12 to SEC'!$AD$6:$AD$191, 0))), INDEX('Database.Jan 12 to SEC'!$L$6:$L$191, MATCH($A126&amp;"USD bn", 'Database.Jan 12 to SEC'!$AD$6:$AD$191, 0)), "")</f>
        <v/>
      </c>
      <c r="G126" s="482"/>
      <c r="H126" s="481" t="str">
        <f>IF(ISNUMBER(INDEX('Database.Jan 12 to SEC'!$P$6:$P$191, MATCH($A126&amp;"USD bn", 'Database.Jan 12 to SEC'!$AD$6:$AD$191, 0))), INDEX('Database.Jan 12 to SEC'!$P$6:$P$191, MATCH($A126&amp;"USD bn", 'Database.Jan 12 to SEC'!$AD$6:$AD$191, 0)), "")</f>
        <v/>
      </c>
      <c r="I126" s="480" t="str">
        <f>IF(ISNUMBER(INDEX('Database.Jan 12 to SEC'!$Q$6:$Q$191, MATCH($A126&amp;"USD bn", 'Database.Jan 12 to SEC'!$AD$6:$AD$191, 0))), INDEX('Database.Jan 12 to SEC'!$Q$6:$Q$191, MATCH($A126&amp;"USD bn", 'Database.Jan 12 to SEC'!$AD$6:$AD$191, 0)), "")</f>
        <v/>
      </c>
      <c r="J126" s="483"/>
      <c r="K126" s="480" t="str">
        <f>IF(ISNUMBER(INDEX('Database.Jan 12 to SEC'!$U$6:$U$191, MATCH($A126&amp;"USD bn", 'Database.Jan 12 to SEC'!$AD$6:$AD$191, 0))), INDEX('Database.Jan 12 to SEC'!$U$6:$U$191, MATCH($A126&amp;"USD bn", 'Database.Jan 12 to SEC'!$AD$6:$AD$191, 0)), "")</f>
        <v/>
      </c>
      <c r="L126" s="480" t="str">
        <f>IF(ISNUMBER(INDEX('Database.Jan 12 to SEC'!$W$6:$W$191, MATCH($A126&amp;"USD bn", 'Database.Jan 12 to SEC'!$AD$6:$AD$191, 0))), INDEX('Database.Jan 12 to SEC'!$W$6:$W$191, MATCH($A126&amp;"USD bn", 'Database.Jan 12 to SEC'!$AD$6:$AD$191, 0)), "")</f>
        <v/>
      </c>
      <c r="M126"/>
      <c r="N126"/>
      <c r="O126" s="481" t="str">
        <f>IF(ISNUMBER(INDEX('Database.Jan 12 to SEC'!$G$6:$G$191, MATCH($A126&amp;"% GDP", 'Database.Jan 12 to SEC'!$AD$6:$AD$191, 0))), INDEX('Database.Jan 12 to SEC'!$G$6:$G$191, MATCH($A126&amp;"% GDP", 'Database.Jan 12 to SEC'!$AD$6:$AD$191, 0)), "")</f>
        <v/>
      </c>
      <c r="P126" s="480" t="str">
        <f>IF(ISNUMBER(INDEX('Database.Jan 12 to SEC'!$H$6:$H$191, MATCH($A126&amp;"% GDP", 'Database.Jan 12 to SEC'!$AD$6:$AD$191, 0))), INDEX('Database.Jan 12 to SEC'!$H$6:$H$191, MATCH($A126&amp;"% GDP", 'Database.Jan 12 to SEC'!$AD$6:$AD$191, 0)), "")</f>
        <v/>
      </c>
      <c r="Q126" s="480" t="str">
        <f>IF(ISNUMBER(INDEX('Database.Jan 12 to SEC'!$J$6:$J$191, MATCH($A126&amp;"% GDP", 'Database.Jan 12 to SEC'!$AD$6:$AD$191, 0))), INDEX('Database.Jan 12 to SEC'!$J$6:$J$191, MATCH($A126&amp;"% GDP", 'Database.Jan 12 to SEC'!$AD$6:$AD$191, 0)), "")</f>
        <v/>
      </c>
      <c r="R126" s="480" t="str">
        <f>IF(ISNUMBER(INDEX('Database.Jan 12 to SEC'!$L$6:$L$191, MATCH($A126&amp;"% GDP", 'Database.Jan 12 to SEC'!$AD$6:$AD$191, 0))), INDEX('Database.Jan 12 to SEC'!$L$6:$L$191, MATCH($A126&amp;"% GDP", 'Database.Jan 12 to SEC'!$AD$6:$AD$191, 0)), "")</f>
        <v/>
      </c>
      <c r="S126" s="482"/>
      <c r="T126" s="481" t="str">
        <f>IF(ISNUMBER(INDEX('Database.Jan 12 to SEC'!$P$6:$P$191, MATCH($A126&amp;"% GDP", 'Database.Jan 12 to SEC'!$AD$6:$AD$191, 0))), INDEX('Database.Jan 12 to SEC'!$P$6:$P$191, MATCH($A126&amp;"% GDP", 'Database.Jan 12 to SEC'!$AD$6:$AD$191, 0)), "")</f>
        <v/>
      </c>
      <c r="U126" s="480" t="str">
        <f>IF(ISNUMBER(INDEX('Database.Jan 12 to SEC'!$Q$6:$Q$191, MATCH($A126&amp;"% GDP", 'Database.Jan 12 to SEC'!$AD$6:$AD$191, 0))), INDEX('Database.Jan 12 to SEC'!$Q$6:$Q$191, MATCH($A126&amp;"% GDP", 'Database.Jan 12 to SEC'!$AD$6:$AD$191, 0)), "")</f>
        <v/>
      </c>
      <c r="V126" s="483"/>
      <c r="W126" s="480" t="str">
        <f>IF(ISNUMBER(INDEX('Database.Jan 12 to SEC'!$U$6:$U$191, MATCH($A126&amp;"% GDP", 'Database.Jan 12 to SEC'!$AD$6:$AD$191, 0))), INDEX('Database.Jan 12 to SEC'!$U$6:$U$191, MATCH($A126&amp;"% GDP", 'Database.Jan 12 to SEC'!$AD$6:$AD$191, 0)), "")</f>
        <v/>
      </c>
      <c r="X126" s="480" t="str">
        <f>IF(ISNUMBER(INDEX('Database.Jan 12 to SEC'!$W$6:$W$191, MATCH($A126&amp;"% GDP", 'Database.Jan 12 to SEC'!$AD$6:$AD$191, 0))), INDEX('Database.Jan 12 to SEC'!$W$6:$W$191, MATCH($A126&amp;"% GDP", 'Database.Jan 12 to SEC'!$AD$6:$AD$191, 0)), "")</f>
        <v/>
      </c>
      <c r="Z126" s="490"/>
      <c r="AA126" t="s">
        <v>1265</v>
      </c>
      <c r="AB126" t="s">
        <v>1283</v>
      </c>
      <c r="AC126" s="299"/>
      <c r="AF126" s="443">
        <v>8.4825802752518751</v>
      </c>
      <c r="AG126" s="438">
        <v>2.3562722986810765</v>
      </c>
      <c r="AH126" s="438">
        <v>6.1263079765707982</v>
      </c>
      <c r="AI126" s="438">
        <v>0.54194262869664755</v>
      </c>
      <c r="AJ126" s="437"/>
      <c r="AK126" s="443">
        <v>10.391160837183547</v>
      </c>
      <c r="AL126" s="438">
        <v>0.40056629077578298</v>
      </c>
      <c r="AM126" s="441"/>
      <c r="AN126" s="438">
        <v>9.9905945464077632</v>
      </c>
      <c r="AO126" s="438" t="s">
        <v>452</v>
      </c>
      <c r="AP126" s="331"/>
      <c r="AQ126" s="331"/>
      <c r="AR126" s="443">
        <v>3.4105481432975906</v>
      </c>
      <c r="AS126" s="438">
        <v>0.94737448424933068</v>
      </c>
      <c r="AT126" s="438">
        <v>2.4631736590482598</v>
      </c>
      <c r="AU126" s="438">
        <v>0.21789613137734604</v>
      </c>
      <c r="AV126" s="437"/>
      <c r="AW126" s="443">
        <v>4.1779214755395486</v>
      </c>
      <c r="AX126" s="438">
        <v>0.16105366232238622</v>
      </c>
      <c r="AY126" s="441"/>
      <c r="AZ126" s="438">
        <v>4.0168678132171625</v>
      </c>
      <c r="BA126" s="438" t="s">
        <v>452</v>
      </c>
    </row>
    <row r="127" spans="1:53">
      <c r="A127" s="415" t="s">
        <v>1075</v>
      </c>
      <c r="B127" s="415" t="s">
        <v>1075</v>
      </c>
      <c r="C127" s="488">
        <v>5.5909549958539889E-2</v>
      </c>
      <c r="D127" s="480">
        <v>7.4546066611386524E-3</v>
      </c>
      <c r="E127" s="480">
        <v>4.8454943297401236E-2</v>
      </c>
      <c r="F127" s="480" t="s">
        <v>452</v>
      </c>
      <c r="G127" s="482"/>
      <c r="H127" s="481">
        <v>2.2363819983415956E-2</v>
      </c>
      <c r="I127" s="480" t="s">
        <v>452</v>
      </c>
      <c r="J127" s="483"/>
      <c r="K127" s="480" t="s">
        <v>452</v>
      </c>
      <c r="L127" s="480">
        <v>2.2363819983415956E-2</v>
      </c>
      <c r="M127"/>
      <c r="N127"/>
      <c r="O127" s="481">
        <v>6.9</v>
      </c>
      <c r="P127" s="480">
        <v>1.1000000000000001</v>
      </c>
      <c r="Q127" s="480">
        <v>5.8000000000000007</v>
      </c>
      <c r="R127" s="480">
        <v>2.2965296811763771</v>
      </c>
      <c r="S127" s="482"/>
      <c r="T127" s="481">
        <v>2.7</v>
      </c>
      <c r="U127" s="480" t="s">
        <v>452</v>
      </c>
      <c r="V127" s="483"/>
      <c r="W127" s="480">
        <v>0</v>
      </c>
      <c r="X127" s="480">
        <v>2.7</v>
      </c>
      <c r="Z127" s="490"/>
      <c r="AA127" t="s">
        <v>1267</v>
      </c>
      <c r="AC127" s="403"/>
      <c r="AF127" s="443">
        <v>5.5909549958539889E-2</v>
      </c>
      <c r="AG127" s="438">
        <v>7.4546066611386524E-3</v>
      </c>
      <c r="AH127" s="438">
        <v>4.8454943297401236E-2</v>
      </c>
      <c r="AI127" s="438" t="s">
        <v>452</v>
      </c>
      <c r="AJ127" s="437"/>
      <c r="AK127" s="443">
        <v>2.2363819983415956E-2</v>
      </c>
      <c r="AL127" s="438" t="s">
        <v>452</v>
      </c>
      <c r="AM127" s="441"/>
      <c r="AN127" s="438" t="s">
        <v>452</v>
      </c>
      <c r="AO127" s="438">
        <v>2.2363819983415956E-2</v>
      </c>
      <c r="AP127" s="331"/>
      <c r="AQ127" s="331"/>
      <c r="AR127" s="443">
        <v>6.9</v>
      </c>
      <c r="AS127" s="438">
        <v>1.1000000000000001</v>
      </c>
      <c r="AT127" s="438">
        <v>5.8000000000000007</v>
      </c>
      <c r="AU127" s="438">
        <v>2.2965296811763771</v>
      </c>
      <c r="AV127" s="437"/>
      <c r="AW127" s="443">
        <v>2.7</v>
      </c>
      <c r="AX127" s="438" t="s">
        <v>452</v>
      </c>
      <c r="AY127" s="441"/>
      <c r="AZ127" s="438">
        <v>0</v>
      </c>
      <c r="BA127" s="438">
        <v>2.7</v>
      </c>
    </row>
    <row r="128" spans="1:53">
      <c r="A128" s="415" t="s">
        <v>953</v>
      </c>
      <c r="B128" s="415" t="s">
        <v>953</v>
      </c>
      <c r="C128" s="488" t="str">
        <f>IF(ISNUMBER(INDEX('Database.Jan 12 to SEC'!$G$6:$G$191, MATCH($A128&amp;"USD bn", 'Database.Jan 12 to SEC'!$AD$6:$AD$191, 0))), INDEX('Database.Jan 12 to SEC'!$G$6:$G$191, MATCH($A128&amp;"USD bn", 'Database.Jan 12 to SEC'!$AD$6:$AD$191, 0)), "")</f>
        <v/>
      </c>
      <c r="D128" s="480" t="str">
        <f>IF(ISNUMBER(INDEX('Database.Jan 12 to SEC'!$H$6:$H$191, MATCH($A128&amp;"USD bn", 'Database.Jan 12 to SEC'!$AD$6:$AD$191, 0))), INDEX('Database.Jan 12 to SEC'!$H$6:$H$191, MATCH($A128&amp;"USD bn", 'Database.Jan 12 to SEC'!$AD$6:$AD$191, 0)), "")</f>
        <v/>
      </c>
      <c r="E128" s="480" t="str">
        <f>IF(ISNUMBER(INDEX('Database.Jan 12 to SEC'!$J$6:$J$191, MATCH($A128&amp;"USD bn", 'Database.Jan 12 to SEC'!$AD$6:$AD$191, 0))), INDEX('Database.Jan 12 to SEC'!$J$6:$J$191, MATCH($A128&amp;"USD bn", 'Database.Jan 12 to SEC'!$AD$6:$AD$191, 0)), "")</f>
        <v/>
      </c>
      <c r="F128" s="480" t="str">
        <f>IF(ISNUMBER(INDEX('Database.Jan 12 to SEC'!$L$6:$L$191, MATCH($A128&amp;"USD bn", 'Database.Jan 12 to SEC'!$AD$6:$AD$191, 0))), INDEX('Database.Jan 12 to SEC'!$L$6:$L$191, MATCH($A128&amp;"USD bn", 'Database.Jan 12 to SEC'!$AD$6:$AD$191, 0)), "")</f>
        <v/>
      </c>
      <c r="G128" s="482"/>
      <c r="H128" s="481" t="str">
        <f>IF(ISNUMBER(INDEX('Database.Jan 12 to SEC'!$P$6:$P$191, MATCH($A128&amp;"USD bn", 'Database.Jan 12 to SEC'!$AD$6:$AD$191, 0))), INDEX('Database.Jan 12 to SEC'!$P$6:$P$191, MATCH($A128&amp;"USD bn", 'Database.Jan 12 to SEC'!$AD$6:$AD$191, 0)), "")</f>
        <v/>
      </c>
      <c r="I128" s="480" t="str">
        <f>IF(ISNUMBER(INDEX('Database.Jan 12 to SEC'!$Q$6:$Q$191, MATCH($A128&amp;"USD bn", 'Database.Jan 12 to SEC'!$AD$6:$AD$191, 0))), INDEX('Database.Jan 12 to SEC'!$Q$6:$Q$191, MATCH($A128&amp;"USD bn", 'Database.Jan 12 to SEC'!$AD$6:$AD$191, 0)), "")</f>
        <v/>
      </c>
      <c r="J128" s="483"/>
      <c r="K128" s="480" t="str">
        <f>IF(ISNUMBER(INDEX('Database.Jan 12 to SEC'!$U$6:$U$191, MATCH($A128&amp;"USD bn", 'Database.Jan 12 to SEC'!$AD$6:$AD$191, 0))), INDEX('Database.Jan 12 to SEC'!$U$6:$U$191, MATCH($A128&amp;"USD bn", 'Database.Jan 12 to SEC'!$AD$6:$AD$191, 0)), "")</f>
        <v/>
      </c>
      <c r="L128" s="480" t="str">
        <f>IF(ISNUMBER(INDEX('Database.Jan 12 to SEC'!$W$6:$W$191, MATCH($A128&amp;"USD bn", 'Database.Jan 12 to SEC'!$AD$6:$AD$191, 0))), INDEX('Database.Jan 12 to SEC'!$W$6:$W$191, MATCH($A128&amp;"USD bn", 'Database.Jan 12 to SEC'!$AD$6:$AD$191, 0)), "")</f>
        <v/>
      </c>
      <c r="M128"/>
      <c r="N128"/>
      <c r="O128" s="481" t="str">
        <f>IF(ISNUMBER(INDEX('Database.Jan 12 to SEC'!$G$6:$G$191, MATCH($A128&amp;"% GDP", 'Database.Jan 12 to SEC'!$AD$6:$AD$191, 0))), INDEX('Database.Jan 12 to SEC'!$G$6:$G$191, MATCH($A128&amp;"% GDP", 'Database.Jan 12 to SEC'!$AD$6:$AD$191, 0)), "")</f>
        <v/>
      </c>
      <c r="P128" s="480" t="str">
        <f>IF(ISNUMBER(INDEX('Database.Jan 12 to SEC'!$H$6:$H$191, MATCH($A128&amp;"% GDP", 'Database.Jan 12 to SEC'!$AD$6:$AD$191, 0))), INDEX('Database.Jan 12 to SEC'!$H$6:$H$191, MATCH($A128&amp;"% GDP", 'Database.Jan 12 to SEC'!$AD$6:$AD$191, 0)), "")</f>
        <v/>
      </c>
      <c r="Q128" s="480" t="str">
        <f>IF(ISNUMBER(INDEX('Database.Jan 12 to SEC'!$J$6:$J$191, MATCH($A128&amp;"% GDP", 'Database.Jan 12 to SEC'!$AD$6:$AD$191, 0))), INDEX('Database.Jan 12 to SEC'!$J$6:$J$191, MATCH($A128&amp;"% GDP", 'Database.Jan 12 to SEC'!$AD$6:$AD$191, 0)), "")</f>
        <v/>
      </c>
      <c r="R128" s="480" t="str">
        <f>IF(ISNUMBER(INDEX('Database.Jan 12 to SEC'!$L$6:$L$191, MATCH($A128&amp;"% GDP", 'Database.Jan 12 to SEC'!$AD$6:$AD$191, 0))), INDEX('Database.Jan 12 to SEC'!$L$6:$L$191, MATCH($A128&amp;"% GDP", 'Database.Jan 12 to SEC'!$AD$6:$AD$191, 0)), "")</f>
        <v/>
      </c>
      <c r="S128" s="482"/>
      <c r="T128" s="481" t="str">
        <f>IF(ISNUMBER(INDEX('Database.Jan 12 to SEC'!$P$6:$P$191, MATCH($A128&amp;"% GDP", 'Database.Jan 12 to SEC'!$AD$6:$AD$191, 0))), INDEX('Database.Jan 12 to SEC'!$P$6:$P$191, MATCH($A128&amp;"% GDP", 'Database.Jan 12 to SEC'!$AD$6:$AD$191, 0)), "")</f>
        <v/>
      </c>
      <c r="U128" s="480" t="str">
        <f>IF(ISNUMBER(INDEX('Database.Jan 12 to SEC'!$Q$6:$Q$191, MATCH($A128&amp;"% GDP", 'Database.Jan 12 to SEC'!$AD$6:$AD$191, 0))), INDEX('Database.Jan 12 to SEC'!$Q$6:$Q$191, MATCH($A128&amp;"% GDP", 'Database.Jan 12 to SEC'!$AD$6:$AD$191, 0)), "")</f>
        <v/>
      </c>
      <c r="V128" s="483"/>
      <c r="W128" s="480" t="str">
        <f>IF(ISNUMBER(INDEX('Database.Jan 12 to SEC'!$U$6:$U$191, MATCH($A128&amp;"% GDP", 'Database.Jan 12 to SEC'!$AD$6:$AD$191, 0))), INDEX('Database.Jan 12 to SEC'!$U$6:$U$191, MATCH($A128&amp;"% GDP", 'Database.Jan 12 to SEC'!$AD$6:$AD$191, 0)), "")</f>
        <v/>
      </c>
      <c r="X128" s="480" t="str">
        <f>IF(ISNUMBER(INDEX('Database.Jan 12 to SEC'!$W$6:$W$191, MATCH($A128&amp;"% GDP", 'Database.Jan 12 to SEC'!$AD$6:$AD$191, 0))), INDEX('Database.Jan 12 to SEC'!$W$6:$W$191, MATCH($A128&amp;"% GDP", 'Database.Jan 12 to SEC'!$AD$6:$AD$191, 0)), "")</f>
        <v/>
      </c>
      <c r="Z128" s="490"/>
      <c r="AA128" t="s">
        <v>1267</v>
      </c>
      <c r="AC128" s="403"/>
      <c r="AF128" s="443">
        <v>6.4363979597070609</v>
      </c>
      <c r="AG128" s="438">
        <v>1.2116713026556967</v>
      </c>
      <c r="AH128" s="438">
        <v>5.224726657051364</v>
      </c>
      <c r="AI128" s="438">
        <v>1.434618822344345</v>
      </c>
      <c r="AJ128" s="437"/>
      <c r="AK128" s="443">
        <v>1.6963398237179754</v>
      </c>
      <c r="AL128" s="438" t="s">
        <v>452</v>
      </c>
      <c r="AM128" s="441"/>
      <c r="AN128" s="438">
        <v>1.6963398237179754</v>
      </c>
      <c r="AO128" s="438">
        <v>0</v>
      </c>
      <c r="AP128" s="331"/>
      <c r="AQ128" s="331"/>
      <c r="AR128" s="443">
        <v>12.153288105042478</v>
      </c>
      <c r="AS128" s="438">
        <v>2.2878930920637197</v>
      </c>
      <c r="AT128" s="438">
        <v>9.8653950129787589</v>
      </c>
      <c r="AU128" s="438">
        <v>2.708865421003444</v>
      </c>
      <c r="AV128" s="437"/>
      <c r="AW128" s="443">
        <v>3.203050328889208</v>
      </c>
      <c r="AX128" s="438" t="s">
        <v>452</v>
      </c>
      <c r="AY128" s="441"/>
      <c r="AZ128" s="438">
        <v>3.203050328889208</v>
      </c>
      <c r="BA128" s="438">
        <v>0</v>
      </c>
    </row>
    <row r="129" spans="1:53">
      <c r="A129" s="415" t="s">
        <v>1076</v>
      </c>
      <c r="B129" s="415" t="s">
        <v>1076</v>
      </c>
      <c r="C129" s="488">
        <v>7.4431818181818182E-2</v>
      </c>
      <c r="D129" s="480">
        <v>6.2499999999999995E-3</v>
      </c>
      <c r="E129" s="480">
        <v>6.8181818181818177E-2</v>
      </c>
      <c r="F129" s="480">
        <v>2.840909090909091E-3</v>
      </c>
      <c r="G129" s="482"/>
      <c r="H129" s="481" t="s">
        <v>452</v>
      </c>
      <c r="I129" s="480" t="s">
        <v>452</v>
      </c>
      <c r="J129" s="483"/>
      <c r="K129" s="480" t="s">
        <v>452</v>
      </c>
      <c r="L129" s="480" t="s">
        <v>452</v>
      </c>
      <c r="M129"/>
      <c r="N129"/>
      <c r="O129" s="481">
        <v>6.5431104225627479</v>
      </c>
      <c r="P129" s="480">
        <v>0.5494214858640476</v>
      </c>
      <c r="Q129" s="480">
        <v>5.9936889366987005</v>
      </c>
      <c r="R129" s="480">
        <v>0.24973703902911254</v>
      </c>
      <c r="S129" s="482"/>
      <c r="T129" s="481" t="s">
        <v>452</v>
      </c>
      <c r="U129" s="480" t="s">
        <v>452</v>
      </c>
      <c r="V129" s="483"/>
      <c r="W129" s="480" t="s">
        <v>452</v>
      </c>
      <c r="X129" s="480" t="s">
        <v>452</v>
      </c>
      <c r="Z129" s="490"/>
      <c r="AA129" t="s">
        <v>1267</v>
      </c>
      <c r="AC129" s="403"/>
      <c r="AF129" s="443">
        <v>7.4431818181818182E-2</v>
      </c>
      <c r="AG129" s="438">
        <v>6.2499999999999995E-3</v>
      </c>
      <c r="AH129" s="438">
        <v>6.8181818181818177E-2</v>
      </c>
      <c r="AI129" s="438">
        <v>2.840909090909091E-3</v>
      </c>
      <c r="AJ129" s="437"/>
      <c r="AK129" s="443" t="s">
        <v>452</v>
      </c>
      <c r="AL129" s="438" t="s">
        <v>452</v>
      </c>
      <c r="AM129" s="441"/>
      <c r="AN129" s="438" t="s">
        <v>452</v>
      </c>
      <c r="AO129" s="438" t="s">
        <v>452</v>
      </c>
      <c r="AP129" s="331"/>
      <c r="AQ129" s="331"/>
      <c r="AR129" s="443">
        <v>6.5431104225627479</v>
      </c>
      <c r="AS129" s="438">
        <v>0.5494214858640476</v>
      </c>
      <c r="AT129" s="438">
        <v>5.9936889366987005</v>
      </c>
      <c r="AU129" s="438">
        <v>0.24973703902911254</v>
      </c>
      <c r="AV129" s="437"/>
      <c r="AW129" s="443" t="s">
        <v>452</v>
      </c>
      <c r="AX129" s="438" t="s">
        <v>452</v>
      </c>
      <c r="AY129" s="441"/>
      <c r="AZ129" s="438" t="s">
        <v>452</v>
      </c>
      <c r="BA129" s="438" t="s">
        <v>452</v>
      </c>
    </row>
    <row r="130" spans="1:53">
      <c r="A130" s="415" t="s">
        <v>1077</v>
      </c>
      <c r="B130" s="415" t="s">
        <v>1077</v>
      </c>
      <c r="C130" s="488">
        <v>0.4</v>
      </c>
      <c r="D130" s="480">
        <v>0.1</v>
      </c>
      <c r="E130" s="480">
        <v>0.3</v>
      </c>
      <c r="F130" s="480" t="s">
        <v>452</v>
      </c>
      <c r="G130" s="482"/>
      <c r="H130" s="481"/>
      <c r="I130" s="480"/>
      <c r="J130" s="483"/>
      <c r="K130" s="480" t="s">
        <v>452</v>
      </c>
      <c r="L130" s="480" t="s">
        <v>452</v>
      </c>
      <c r="M130"/>
      <c r="N130"/>
      <c r="O130" s="481">
        <v>0.5</v>
      </c>
      <c r="P130" s="480">
        <v>0.1</v>
      </c>
      <c r="Q130" s="480">
        <v>0.4</v>
      </c>
      <c r="R130" s="480" t="s">
        <v>452</v>
      </c>
      <c r="S130" s="482"/>
      <c r="T130" s="481"/>
      <c r="U130" s="480"/>
      <c r="V130" s="483"/>
      <c r="W130" s="480" t="s">
        <v>452</v>
      </c>
      <c r="X130" s="480" t="s">
        <v>452</v>
      </c>
      <c r="Z130" s="490"/>
      <c r="AA130" t="s">
        <v>1267</v>
      </c>
      <c r="AB130" t="s">
        <v>1318</v>
      </c>
      <c r="AC130" s="403"/>
      <c r="AF130" s="443">
        <v>0.918939312277676</v>
      </c>
      <c r="AG130" s="438">
        <v>0.25331464913226259</v>
      </c>
      <c r="AH130" s="438">
        <v>0.66562466314541346</v>
      </c>
      <c r="AI130" s="438" t="s">
        <v>452</v>
      </c>
      <c r="AJ130" s="437"/>
      <c r="AK130" s="443" t="s">
        <v>452</v>
      </c>
      <c r="AL130" s="438" t="s">
        <v>452</v>
      </c>
      <c r="AM130" s="441"/>
      <c r="AN130" s="438" t="s">
        <v>452</v>
      </c>
      <c r="AO130" s="438" t="s">
        <v>452</v>
      </c>
      <c r="AP130" s="331"/>
      <c r="AQ130" s="331"/>
      <c r="AR130" s="443">
        <v>1.1387168124157399</v>
      </c>
      <c r="AS130" s="438">
        <v>0.31389847614979344</v>
      </c>
      <c r="AT130" s="438">
        <v>0.82481833626594647</v>
      </c>
      <c r="AU130" s="438" t="s">
        <v>452</v>
      </c>
      <c r="AV130" s="437"/>
      <c r="AW130" s="443" t="s">
        <v>452</v>
      </c>
      <c r="AX130" s="438" t="s">
        <v>452</v>
      </c>
      <c r="AY130" s="441"/>
      <c r="AZ130" s="438" t="s">
        <v>452</v>
      </c>
      <c r="BA130" s="438" t="s">
        <v>452</v>
      </c>
    </row>
    <row r="131" spans="1:53">
      <c r="A131" s="415" t="s">
        <v>1078</v>
      </c>
      <c r="B131" s="415" t="s">
        <v>1078</v>
      </c>
      <c r="C131" s="488">
        <v>4.33333333333333E-2</v>
      </c>
      <c r="D131" s="480">
        <v>7.4074074074074068E-3</v>
      </c>
      <c r="E131" s="480">
        <v>3.5925925925925896E-2</v>
      </c>
      <c r="F131" s="480" t="s">
        <v>452</v>
      </c>
      <c r="G131" s="482"/>
      <c r="H131" s="481" t="s">
        <v>452</v>
      </c>
      <c r="I131" s="480" t="s">
        <v>452</v>
      </c>
      <c r="J131" s="483"/>
      <c r="K131" s="480" t="s">
        <v>452</v>
      </c>
      <c r="L131" s="480" t="s">
        <v>452</v>
      </c>
      <c r="M131"/>
      <c r="N131"/>
      <c r="O131" s="481">
        <v>3.5</v>
      </c>
      <c r="P131" s="480">
        <v>0.5</v>
      </c>
      <c r="Q131" s="480">
        <v>3</v>
      </c>
      <c r="R131" s="480" t="s">
        <v>452</v>
      </c>
      <c r="S131" s="482"/>
      <c r="T131" s="481" t="s">
        <v>452</v>
      </c>
      <c r="U131" s="480" t="s">
        <v>452</v>
      </c>
      <c r="V131" s="483"/>
      <c r="W131" s="480" t="s">
        <v>452</v>
      </c>
      <c r="X131" s="480" t="s">
        <v>452</v>
      </c>
      <c r="Z131" s="490"/>
      <c r="AA131" t="s">
        <v>1267</v>
      </c>
      <c r="AC131" s="403"/>
      <c r="AF131" s="443">
        <v>4.33333333333333E-2</v>
      </c>
      <c r="AG131" s="438">
        <v>7.4074074074074068E-3</v>
      </c>
      <c r="AH131" s="438">
        <v>3.5925925925925896E-2</v>
      </c>
      <c r="AI131" s="438" t="s">
        <v>452</v>
      </c>
      <c r="AJ131" s="437"/>
      <c r="AK131" s="443" t="s">
        <v>452</v>
      </c>
      <c r="AL131" s="438" t="s">
        <v>452</v>
      </c>
      <c r="AM131" s="441"/>
      <c r="AN131" s="438" t="s">
        <v>452</v>
      </c>
      <c r="AO131" s="438" t="s">
        <v>452</v>
      </c>
      <c r="AP131" s="331"/>
      <c r="AQ131" s="331"/>
      <c r="AR131" s="443">
        <v>3.5</v>
      </c>
      <c r="AS131" s="438">
        <v>0.5</v>
      </c>
      <c r="AT131" s="438">
        <v>3</v>
      </c>
      <c r="AU131" s="438" t="s">
        <v>452</v>
      </c>
      <c r="AV131" s="437"/>
      <c r="AW131" s="443" t="s">
        <v>452</v>
      </c>
      <c r="AX131" s="438" t="s">
        <v>452</v>
      </c>
      <c r="AY131" s="441"/>
      <c r="AZ131" s="438" t="s">
        <v>452</v>
      </c>
      <c r="BA131" s="438" t="s">
        <v>452</v>
      </c>
    </row>
    <row r="132" spans="1:53">
      <c r="A132" s="299" t="s">
        <v>1079</v>
      </c>
      <c r="B132" s="299" t="s">
        <v>1079</v>
      </c>
      <c r="C132" s="488">
        <v>6.2962962962962957E-2</v>
      </c>
      <c r="D132" s="480">
        <v>7.4074074074074068E-3</v>
      </c>
      <c r="E132" s="480">
        <v>5.5555555555555552E-2</v>
      </c>
      <c r="F132" s="480" t="s">
        <v>452</v>
      </c>
      <c r="G132" s="482"/>
      <c r="H132" s="481" t="s">
        <v>452</v>
      </c>
      <c r="I132" s="480" t="s">
        <v>452</v>
      </c>
      <c r="J132" s="483"/>
      <c r="K132" s="480" t="s">
        <v>452</v>
      </c>
      <c r="L132" s="480" t="s">
        <v>452</v>
      </c>
      <c r="M132"/>
      <c r="N132"/>
      <c r="O132" s="481">
        <v>3.8943607299688536</v>
      </c>
      <c r="P132" s="480">
        <v>0.45816008587868862</v>
      </c>
      <c r="Q132" s="480">
        <v>3.4362006440901651</v>
      </c>
      <c r="R132" s="480" t="s">
        <v>452</v>
      </c>
      <c r="S132" s="482"/>
      <c r="T132" s="481" t="s">
        <v>452</v>
      </c>
      <c r="U132" s="480" t="s">
        <v>452</v>
      </c>
      <c r="V132" s="483"/>
      <c r="W132" s="480" t="s">
        <v>452</v>
      </c>
      <c r="X132" s="480" t="s">
        <v>452</v>
      </c>
      <c r="Z132" s="490"/>
      <c r="AB132" s="270" t="s">
        <v>1284</v>
      </c>
      <c r="AC132" s="403"/>
      <c r="AF132" s="443">
        <v>6.2962962962962957E-2</v>
      </c>
      <c r="AG132" s="438">
        <v>7.4074074074074068E-3</v>
      </c>
      <c r="AH132" s="438">
        <v>5.5555555555555552E-2</v>
      </c>
      <c r="AI132" s="438" t="s">
        <v>452</v>
      </c>
      <c r="AJ132" s="437"/>
      <c r="AK132" s="443" t="s">
        <v>452</v>
      </c>
      <c r="AL132" s="438" t="s">
        <v>452</v>
      </c>
      <c r="AM132" s="441"/>
      <c r="AN132" s="438" t="s">
        <v>452</v>
      </c>
      <c r="AO132" s="438" t="s">
        <v>452</v>
      </c>
      <c r="AP132" s="331"/>
      <c r="AQ132" s="331"/>
      <c r="AR132" s="443">
        <v>3.8943607299688536</v>
      </c>
      <c r="AS132" s="438">
        <v>0.45816008587868862</v>
      </c>
      <c r="AT132" s="438">
        <v>3.4362006440901651</v>
      </c>
      <c r="AU132" s="438" t="s">
        <v>452</v>
      </c>
      <c r="AV132" s="437"/>
      <c r="AW132" s="443" t="s">
        <v>452</v>
      </c>
      <c r="AX132" s="438" t="s">
        <v>452</v>
      </c>
      <c r="AY132" s="441"/>
      <c r="AZ132" s="438" t="s">
        <v>452</v>
      </c>
      <c r="BA132" s="438" t="s">
        <v>452</v>
      </c>
    </row>
    <row r="133" spans="1:53">
      <c r="A133" s="415" t="s">
        <v>1080</v>
      </c>
      <c r="B133" s="415" t="s">
        <v>1080</v>
      </c>
      <c r="C133" s="488">
        <v>2.9629629629629627E-2</v>
      </c>
      <c r="D133" s="480">
        <v>3.7037037037037034E-3</v>
      </c>
      <c r="E133" s="480">
        <v>2.5925925925925925E-2</v>
      </c>
      <c r="F133" s="480" t="s">
        <v>452</v>
      </c>
      <c r="G133" s="482"/>
      <c r="H133" s="481" t="s">
        <v>452</v>
      </c>
      <c r="I133" s="480" t="s">
        <v>452</v>
      </c>
      <c r="J133" s="483"/>
      <c r="K133" s="480" t="s">
        <v>452</v>
      </c>
      <c r="L133" s="480" t="s">
        <v>452</v>
      </c>
      <c r="M133"/>
      <c r="N133"/>
      <c r="O133" s="481">
        <v>3.6694217908613056</v>
      </c>
      <c r="P133" s="480">
        <v>0.4586777238576632</v>
      </c>
      <c r="Q133" s="480">
        <v>3.2107440670036422</v>
      </c>
      <c r="R133" s="480" t="s">
        <v>452</v>
      </c>
      <c r="S133" s="482"/>
      <c r="T133" s="481" t="s">
        <v>452</v>
      </c>
      <c r="U133" s="480" t="s">
        <v>452</v>
      </c>
      <c r="V133" s="483"/>
      <c r="W133" s="480" t="s">
        <v>452</v>
      </c>
      <c r="X133" s="480" t="s">
        <v>452</v>
      </c>
      <c r="Z133" s="490"/>
      <c r="AA133" t="s">
        <v>1267</v>
      </c>
      <c r="AC133" s="403"/>
      <c r="AF133" s="443">
        <v>2.9629629629629627E-2</v>
      </c>
      <c r="AG133" s="438">
        <v>3.7037037037037034E-3</v>
      </c>
      <c r="AH133" s="438">
        <v>2.5925925925925925E-2</v>
      </c>
      <c r="AI133" s="438" t="s">
        <v>452</v>
      </c>
      <c r="AJ133" s="437"/>
      <c r="AK133" s="443" t="s">
        <v>452</v>
      </c>
      <c r="AL133" s="438" t="s">
        <v>452</v>
      </c>
      <c r="AM133" s="441"/>
      <c r="AN133" s="438" t="s">
        <v>452</v>
      </c>
      <c r="AO133" s="438" t="s">
        <v>452</v>
      </c>
      <c r="AP133" s="331"/>
      <c r="AQ133" s="331"/>
      <c r="AR133" s="443">
        <v>3.6694217908613056</v>
      </c>
      <c r="AS133" s="438">
        <v>0.4586777238576632</v>
      </c>
      <c r="AT133" s="438">
        <v>3.2107440670036422</v>
      </c>
      <c r="AU133" s="438" t="s">
        <v>452</v>
      </c>
      <c r="AV133" s="437"/>
      <c r="AW133" s="443" t="s">
        <v>452</v>
      </c>
      <c r="AX133" s="438" t="s">
        <v>452</v>
      </c>
      <c r="AY133" s="441"/>
      <c r="AZ133" s="438" t="s">
        <v>452</v>
      </c>
      <c r="BA133" s="438" t="s">
        <v>452</v>
      </c>
    </row>
    <row r="134" spans="1:53">
      <c r="A134" s="415" t="s">
        <v>559</v>
      </c>
      <c r="B134" s="415" t="s">
        <v>559</v>
      </c>
      <c r="C134" s="488" t="str">
        <f>IF(ISNUMBER(INDEX('Database.Jan 12 to SEC'!$G$6:$G$191, MATCH($A134&amp;"USD bn", 'Database.Jan 12 to SEC'!$AD$6:$AD$191, 0))), INDEX('Database.Jan 12 to SEC'!$G$6:$G$191, MATCH($A134&amp;"USD bn", 'Database.Jan 12 to SEC'!$AD$6:$AD$191, 0)), "")</f>
        <v/>
      </c>
      <c r="D134" s="480" t="str">
        <f>IF(ISNUMBER(INDEX('Database.Jan 12 to SEC'!$H$6:$H$191, MATCH($A134&amp;"USD bn", 'Database.Jan 12 to SEC'!$AD$6:$AD$191, 0))), INDEX('Database.Jan 12 to SEC'!$H$6:$H$191, MATCH($A134&amp;"USD bn", 'Database.Jan 12 to SEC'!$AD$6:$AD$191, 0)), "")</f>
        <v/>
      </c>
      <c r="E134" s="480" t="str">
        <f>IF(ISNUMBER(INDEX('Database.Jan 12 to SEC'!$J$6:$J$191, MATCH($A134&amp;"USD bn", 'Database.Jan 12 to SEC'!$AD$6:$AD$191, 0))), INDEX('Database.Jan 12 to SEC'!$J$6:$J$191, MATCH($A134&amp;"USD bn", 'Database.Jan 12 to SEC'!$AD$6:$AD$191, 0)), "")</f>
        <v/>
      </c>
      <c r="F134" s="480" t="str">
        <f>IF(ISNUMBER(INDEX('Database.Jan 12 to SEC'!$L$6:$L$191, MATCH($A134&amp;"USD bn", 'Database.Jan 12 to SEC'!$AD$6:$AD$191, 0))), INDEX('Database.Jan 12 to SEC'!$L$6:$L$191, MATCH($A134&amp;"USD bn", 'Database.Jan 12 to SEC'!$AD$6:$AD$191, 0)), "")</f>
        <v/>
      </c>
      <c r="G134" s="482"/>
      <c r="H134" s="481" t="str">
        <f>IF(ISNUMBER(INDEX('Database.Jan 12 to SEC'!$P$6:$P$191, MATCH($A134&amp;"USD bn", 'Database.Jan 12 to SEC'!$AD$6:$AD$191, 0))), INDEX('Database.Jan 12 to SEC'!$P$6:$P$191, MATCH($A134&amp;"USD bn", 'Database.Jan 12 to SEC'!$AD$6:$AD$191, 0)), "")</f>
        <v/>
      </c>
      <c r="I134" s="480" t="str">
        <f>IF(ISNUMBER(INDEX('Database.Jan 12 to SEC'!$Q$6:$Q$191, MATCH($A134&amp;"USD bn", 'Database.Jan 12 to SEC'!$AD$6:$AD$191, 0))), INDEX('Database.Jan 12 to SEC'!$Q$6:$Q$191, MATCH($A134&amp;"USD bn", 'Database.Jan 12 to SEC'!$AD$6:$AD$191, 0)), "")</f>
        <v/>
      </c>
      <c r="J134" s="483"/>
      <c r="K134" s="480" t="str">
        <f>IF(ISNUMBER(INDEX('Database.Jan 12 to SEC'!$U$6:$U$191, MATCH($A134&amp;"USD bn", 'Database.Jan 12 to SEC'!$AD$6:$AD$191, 0))), INDEX('Database.Jan 12 to SEC'!$U$6:$U$191, MATCH($A134&amp;"USD bn", 'Database.Jan 12 to SEC'!$AD$6:$AD$191, 0)), "")</f>
        <v/>
      </c>
      <c r="L134" s="480" t="str">
        <f>IF(ISNUMBER(INDEX('Database.Jan 12 to SEC'!$W$6:$W$191, MATCH($A134&amp;"USD bn", 'Database.Jan 12 to SEC'!$AD$6:$AD$191, 0))), INDEX('Database.Jan 12 to SEC'!$W$6:$W$191, MATCH($A134&amp;"USD bn", 'Database.Jan 12 to SEC'!$AD$6:$AD$191, 0)), "")</f>
        <v/>
      </c>
      <c r="M134"/>
      <c r="N134"/>
      <c r="O134" s="481" t="str">
        <f>IF(ISNUMBER(INDEX('Database.Jan 12 to SEC'!$G$6:$G$191, MATCH($A134&amp;"% GDP", 'Database.Jan 12 to SEC'!$AD$6:$AD$191, 0))), INDEX('Database.Jan 12 to SEC'!$G$6:$G$191, MATCH($A134&amp;"% GDP", 'Database.Jan 12 to SEC'!$AD$6:$AD$191, 0)), "")</f>
        <v/>
      </c>
      <c r="P134" s="480" t="str">
        <f>IF(ISNUMBER(INDEX('Database.Jan 12 to SEC'!$H$6:$H$191, MATCH($A134&amp;"% GDP", 'Database.Jan 12 to SEC'!$AD$6:$AD$191, 0))), INDEX('Database.Jan 12 to SEC'!$H$6:$H$191, MATCH($A134&amp;"% GDP", 'Database.Jan 12 to SEC'!$AD$6:$AD$191, 0)), "")</f>
        <v/>
      </c>
      <c r="Q134" s="480" t="str">
        <f>IF(ISNUMBER(INDEX('Database.Jan 12 to SEC'!$J$6:$J$191, MATCH($A134&amp;"% GDP", 'Database.Jan 12 to SEC'!$AD$6:$AD$191, 0))), INDEX('Database.Jan 12 to SEC'!$J$6:$J$191, MATCH($A134&amp;"% GDP", 'Database.Jan 12 to SEC'!$AD$6:$AD$191, 0)), "")</f>
        <v/>
      </c>
      <c r="R134" s="480" t="str">
        <f>IF(ISNUMBER(INDEX('Database.Jan 12 to SEC'!$L$6:$L$191, MATCH($A134&amp;"% GDP", 'Database.Jan 12 to SEC'!$AD$6:$AD$191, 0))), INDEX('Database.Jan 12 to SEC'!$L$6:$L$191, MATCH($A134&amp;"% GDP", 'Database.Jan 12 to SEC'!$AD$6:$AD$191, 0)), "")</f>
        <v/>
      </c>
      <c r="S134" s="482"/>
      <c r="T134" s="481" t="str">
        <f>IF(ISNUMBER(INDEX('Database.Jan 12 to SEC'!$P$6:$P$191, MATCH($A134&amp;"% GDP", 'Database.Jan 12 to SEC'!$AD$6:$AD$191, 0))), INDEX('Database.Jan 12 to SEC'!$P$6:$P$191, MATCH($A134&amp;"% GDP", 'Database.Jan 12 to SEC'!$AD$6:$AD$191, 0)), "")</f>
        <v/>
      </c>
      <c r="U134" s="480" t="str">
        <f>IF(ISNUMBER(INDEX('Database.Jan 12 to SEC'!$Q$6:$Q$191, MATCH($A134&amp;"% GDP", 'Database.Jan 12 to SEC'!$AD$6:$AD$191, 0))), INDEX('Database.Jan 12 to SEC'!$Q$6:$Q$191, MATCH($A134&amp;"% GDP", 'Database.Jan 12 to SEC'!$AD$6:$AD$191, 0)), "")</f>
        <v/>
      </c>
      <c r="V134" s="483"/>
      <c r="W134" s="480" t="str">
        <f>IF(ISNUMBER(INDEX('Database.Jan 12 to SEC'!$U$6:$U$191, MATCH($A134&amp;"% GDP", 'Database.Jan 12 to SEC'!$AD$6:$AD$191, 0))), INDEX('Database.Jan 12 to SEC'!$U$6:$U$191, MATCH($A134&amp;"% GDP", 'Database.Jan 12 to SEC'!$AD$6:$AD$191, 0)), "")</f>
        <v/>
      </c>
      <c r="X134" s="480" t="str">
        <f>IF(ISNUMBER(INDEX('Database.Jan 12 to SEC'!$W$6:$W$191, MATCH($A134&amp;"% GDP", 'Database.Jan 12 to SEC'!$AD$6:$AD$191, 0))), INDEX('Database.Jan 12 to SEC'!$W$6:$W$191, MATCH($A134&amp;"% GDP", 'Database.Jan 12 to SEC'!$AD$6:$AD$191, 0)), "")</f>
        <v/>
      </c>
      <c r="Z134" s="490"/>
      <c r="AA134" t="s">
        <v>1265</v>
      </c>
      <c r="AC134" s="299"/>
      <c r="AF134" s="443">
        <v>73.187651709336336</v>
      </c>
      <c r="AG134" s="438" t="s">
        <v>452</v>
      </c>
      <c r="AH134" s="438" t="s">
        <v>452</v>
      </c>
      <c r="AI134" s="438" t="s">
        <v>452</v>
      </c>
      <c r="AJ134" s="437"/>
      <c r="AK134" s="443">
        <v>21.253182701619505</v>
      </c>
      <c r="AL134" s="438">
        <v>2.8763705911966246</v>
      </c>
      <c r="AM134" s="441"/>
      <c r="AN134" s="438">
        <v>10.386893801543367</v>
      </c>
      <c r="AO134" s="438">
        <v>7.9899183088795134</v>
      </c>
      <c r="AP134" s="331"/>
      <c r="AQ134" s="331"/>
      <c r="AR134" s="443">
        <v>14.587579816038515</v>
      </c>
      <c r="AS134" s="438" t="s">
        <v>452</v>
      </c>
      <c r="AT134" s="438" t="s">
        <v>452</v>
      </c>
      <c r="AU134" s="438" t="s">
        <v>452</v>
      </c>
      <c r="AV134" s="437"/>
      <c r="AW134" s="443">
        <v>4.2361312566225386</v>
      </c>
      <c r="AX134" s="438">
        <v>0.57331099713688494</v>
      </c>
      <c r="AY134" s="441"/>
      <c r="AZ134" s="438">
        <v>2.0702897118831953</v>
      </c>
      <c r="BA134" s="438">
        <v>1.592530547602458</v>
      </c>
    </row>
    <row r="135" spans="1:53">
      <c r="A135" s="415" t="s">
        <v>1081</v>
      </c>
      <c r="B135" s="415" t="s">
        <v>1081</v>
      </c>
      <c r="C135" s="488">
        <v>3.0926259678155699E-2</v>
      </c>
      <c r="D135" s="480">
        <v>8.8360741937587705E-3</v>
      </c>
      <c r="E135" s="480">
        <v>2.2090185484396931E-2</v>
      </c>
      <c r="F135" s="480" t="s">
        <v>452</v>
      </c>
      <c r="G135" s="482"/>
      <c r="H135" s="481" t="s">
        <v>452</v>
      </c>
      <c r="I135" s="480" t="s">
        <v>452</v>
      </c>
      <c r="J135" s="483"/>
      <c r="K135" s="480" t="s">
        <v>452</v>
      </c>
      <c r="L135" s="480" t="s">
        <v>452</v>
      </c>
      <c r="M135"/>
      <c r="N135"/>
      <c r="O135" s="481">
        <v>5.8</v>
      </c>
      <c r="P135" s="480">
        <v>2.1</v>
      </c>
      <c r="Q135" s="480">
        <v>3.6999999999999997</v>
      </c>
      <c r="R135" s="480" t="s">
        <v>452</v>
      </c>
      <c r="S135" s="482"/>
      <c r="T135" s="481" t="s">
        <v>452</v>
      </c>
      <c r="U135" s="480" t="s">
        <v>452</v>
      </c>
      <c r="V135" s="483"/>
      <c r="W135" s="480" t="s">
        <v>452</v>
      </c>
      <c r="X135" s="480" t="s">
        <v>452</v>
      </c>
      <c r="Z135" s="490"/>
      <c r="AA135" t="s">
        <v>1267</v>
      </c>
      <c r="AC135" s="403"/>
      <c r="AF135" s="443">
        <v>3.0926259678155699E-2</v>
      </c>
      <c r="AG135" s="438">
        <v>8.8360741937587705E-3</v>
      </c>
      <c r="AH135" s="438">
        <v>2.2090185484396931E-2</v>
      </c>
      <c r="AI135" s="438" t="s">
        <v>452</v>
      </c>
      <c r="AJ135" s="437"/>
      <c r="AK135" s="443" t="s">
        <v>452</v>
      </c>
      <c r="AL135" s="438" t="s">
        <v>452</v>
      </c>
      <c r="AM135" s="441"/>
      <c r="AN135" s="438" t="s">
        <v>452</v>
      </c>
      <c r="AO135" s="438" t="s">
        <v>452</v>
      </c>
      <c r="AP135" s="331"/>
      <c r="AQ135" s="331"/>
      <c r="AR135" s="443">
        <v>5.8</v>
      </c>
      <c r="AS135" s="438">
        <v>2.1</v>
      </c>
      <c r="AT135" s="438">
        <v>3.6999999999999997</v>
      </c>
      <c r="AU135" s="438" t="s">
        <v>452</v>
      </c>
      <c r="AV135" s="437"/>
      <c r="AW135" s="443" t="s">
        <v>452</v>
      </c>
      <c r="AX135" s="438" t="s">
        <v>452</v>
      </c>
      <c r="AY135" s="441"/>
      <c r="AZ135" s="438" t="s">
        <v>452</v>
      </c>
      <c r="BA135" s="438" t="s">
        <v>452</v>
      </c>
    </row>
    <row r="136" spans="1:53">
      <c r="A136" s="415" t="s">
        <v>1082</v>
      </c>
      <c r="B136" s="415" t="s">
        <v>1082</v>
      </c>
      <c r="C136" s="488">
        <v>0.56287518052593843</v>
      </c>
      <c r="D136" s="480">
        <v>2.3700007601092147E-2</v>
      </c>
      <c r="E136" s="480">
        <v>0.53917517292484629</v>
      </c>
      <c r="F136" s="480" t="s">
        <v>452</v>
      </c>
      <c r="G136" s="482"/>
      <c r="H136" s="481" t="s">
        <v>452</v>
      </c>
      <c r="I136" s="480" t="s">
        <v>452</v>
      </c>
      <c r="J136" s="483"/>
      <c r="K136" s="480" t="s">
        <v>452</v>
      </c>
      <c r="L136" s="480" t="s">
        <v>452</v>
      </c>
      <c r="M136"/>
      <c r="N136"/>
      <c r="O136" s="481">
        <v>2.6074852925920262</v>
      </c>
      <c r="P136" s="480">
        <v>0.10978885442492743</v>
      </c>
      <c r="Q136" s="480">
        <v>2.497696438167099</v>
      </c>
      <c r="R136" s="480" t="s">
        <v>452</v>
      </c>
      <c r="S136" s="482"/>
      <c r="T136" s="481" t="s">
        <v>452</v>
      </c>
      <c r="U136" s="480" t="s">
        <v>452</v>
      </c>
      <c r="V136" s="483"/>
      <c r="W136" s="480" t="s">
        <v>452</v>
      </c>
      <c r="X136" s="480" t="s">
        <v>452</v>
      </c>
      <c r="Z136" s="490"/>
      <c r="AA136" t="s">
        <v>1267</v>
      </c>
      <c r="AC136" s="403"/>
      <c r="AF136" s="443">
        <v>0.56287518052593843</v>
      </c>
      <c r="AG136" s="438">
        <v>2.3700007601092147E-2</v>
      </c>
      <c r="AH136" s="438">
        <v>0.53917517292484629</v>
      </c>
      <c r="AI136" s="438" t="s">
        <v>452</v>
      </c>
      <c r="AJ136" s="437"/>
      <c r="AK136" s="443" t="s">
        <v>452</v>
      </c>
      <c r="AL136" s="438" t="s">
        <v>452</v>
      </c>
      <c r="AM136" s="441"/>
      <c r="AN136" s="438" t="s">
        <v>452</v>
      </c>
      <c r="AO136" s="438" t="s">
        <v>452</v>
      </c>
      <c r="AP136" s="331"/>
      <c r="AQ136" s="331"/>
      <c r="AR136" s="443">
        <v>2.6074852925920262</v>
      </c>
      <c r="AS136" s="438">
        <v>0.10978885442492743</v>
      </c>
      <c r="AT136" s="438">
        <v>2.497696438167099</v>
      </c>
      <c r="AU136" s="438" t="s">
        <v>452</v>
      </c>
      <c r="AV136" s="437"/>
      <c r="AW136" s="443" t="s">
        <v>452</v>
      </c>
      <c r="AX136" s="438" t="s">
        <v>452</v>
      </c>
      <c r="AY136" s="441"/>
      <c r="AZ136" s="438" t="s">
        <v>452</v>
      </c>
      <c r="BA136" s="438" t="s">
        <v>452</v>
      </c>
    </row>
    <row r="137" spans="1:53">
      <c r="A137" s="415" t="s">
        <v>30</v>
      </c>
      <c r="B137" s="415" t="s">
        <v>30</v>
      </c>
      <c r="C137" s="488" t="str">
        <f>IF(ISNUMBER(INDEX('Database.Jan 12 to SEC'!$G$6:$G$191, MATCH($A137&amp;"USD bn", 'Database.Jan 12 to SEC'!$AD$6:$AD$191, 0))), INDEX('Database.Jan 12 to SEC'!$G$6:$G$191, MATCH($A137&amp;"USD bn", 'Database.Jan 12 to SEC'!$AD$6:$AD$191, 0)), "")</f>
        <v/>
      </c>
      <c r="D137" s="480" t="str">
        <f>IF(ISNUMBER(INDEX('Database.Jan 12 to SEC'!$H$6:$H$191, MATCH($A137&amp;"USD bn", 'Database.Jan 12 to SEC'!$AD$6:$AD$191, 0))), INDEX('Database.Jan 12 to SEC'!$H$6:$H$191, MATCH($A137&amp;"USD bn", 'Database.Jan 12 to SEC'!$AD$6:$AD$191, 0)), "")</f>
        <v/>
      </c>
      <c r="E137" s="480" t="str">
        <f>IF(ISNUMBER(INDEX('Database.Jan 12 to SEC'!$J$6:$J$191, MATCH($A137&amp;"USD bn", 'Database.Jan 12 to SEC'!$AD$6:$AD$191, 0))), INDEX('Database.Jan 12 to SEC'!$J$6:$J$191, MATCH($A137&amp;"USD bn", 'Database.Jan 12 to SEC'!$AD$6:$AD$191, 0)), "")</f>
        <v/>
      </c>
      <c r="F137" s="480" t="str">
        <f>IF(ISNUMBER(INDEX('Database.Jan 12 to SEC'!$L$6:$L$191, MATCH($A137&amp;"USD bn", 'Database.Jan 12 to SEC'!$AD$6:$AD$191, 0))), INDEX('Database.Jan 12 to SEC'!$L$6:$L$191, MATCH($A137&amp;"USD bn", 'Database.Jan 12 to SEC'!$AD$6:$AD$191, 0)), "")</f>
        <v/>
      </c>
      <c r="G137" s="482"/>
      <c r="H137" s="481" t="str">
        <f>IF(ISNUMBER(INDEX('Database.Jan 12 to SEC'!$P$6:$P$191, MATCH($A137&amp;"USD bn", 'Database.Jan 12 to SEC'!$AD$6:$AD$191, 0))), INDEX('Database.Jan 12 to SEC'!$P$6:$P$191, MATCH($A137&amp;"USD bn", 'Database.Jan 12 to SEC'!$AD$6:$AD$191, 0)), "")</f>
        <v/>
      </c>
      <c r="I137" s="480" t="str">
        <f>IF(ISNUMBER(INDEX('Database.Jan 12 to SEC'!$Q$6:$Q$191, MATCH($A137&amp;"USD bn", 'Database.Jan 12 to SEC'!$AD$6:$AD$191, 0))), INDEX('Database.Jan 12 to SEC'!$Q$6:$Q$191, MATCH($A137&amp;"USD bn", 'Database.Jan 12 to SEC'!$AD$6:$AD$191, 0)), "")</f>
        <v/>
      </c>
      <c r="J137" s="483"/>
      <c r="K137" s="480" t="str">
        <f>IF(ISNUMBER(INDEX('Database.Jan 12 to SEC'!$U$6:$U$191, MATCH($A137&amp;"USD bn", 'Database.Jan 12 to SEC'!$AD$6:$AD$191, 0))), INDEX('Database.Jan 12 to SEC'!$U$6:$U$191, MATCH($A137&amp;"USD bn", 'Database.Jan 12 to SEC'!$AD$6:$AD$191, 0)), "")</f>
        <v/>
      </c>
      <c r="L137" s="480" t="str">
        <f>IF(ISNUMBER(INDEX('Database.Jan 12 to SEC'!$W$6:$W$191, MATCH($A137&amp;"USD bn", 'Database.Jan 12 to SEC'!$AD$6:$AD$191, 0))), INDEX('Database.Jan 12 to SEC'!$W$6:$W$191, MATCH($A137&amp;"USD bn", 'Database.Jan 12 to SEC'!$AD$6:$AD$191, 0)), "")</f>
        <v/>
      </c>
      <c r="M137"/>
      <c r="N137"/>
      <c r="O137" s="481" t="str">
        <f>IF(ISNUMBER(INDEX('Database.Jan 12 to SEC'!$G$6:$G$191, MATCH($A137&amp;"% GDP", 'Database.Jan 12 to SEC'!$AD$6:$AD$191, 0))), INDEX('Database.Jan 12 to SEC'!$G$6:$G$191, MATCH($A137&amp;"% GDP", 'Database.Jan 12 to SEC'!$AD$6:$AD$191, 0)), "")</f>
        <v/>
      </c>
      <c r="P137" s="480" t="str">
        <f>IF(ISNUMBER(INDEX('Database.Jan 12 to SEC'!$H$6:$H$191, MATCH($A137&amp;"% GDP", 'Database.Jan 12 to SEC'!$AD$6:$AD$191, 0))), INDEX('Database.Jan 12 to SEC'!$H$6:$H$191, MATCH($A137&amp;"% GDP", 'Database.Jan 12 to SEC'!$AD$6:$AD$191, 0)), "")</f>
        <v/>
      </c>
      <c r="Q137" s="480" t="str">
        <f>IF(ISNUMBER(INDEX('Database.Jan 12 to SEC'!$J$6:$J$191, MATCH($A137&amp;"% GDP", 'Database.Jan 12 to SEC'!$AD$6:$AD$191, 0))), INDEX('Database.Jan 12 to SEC'!$J$6:$J$191, MATCH($A137&amp;"% GDP", 'Database.Jan 12 to SEC'!$AD$6:$AD$191, 0)), "")</f>
        <v/>
      </c>
      <c r="R137" s="480" t="str">
        <f>IF(ISNUMBER(INDEX('Database.Jan 12 to SEC'!$L$6:$L$191, MATCH($A137&amp;"% GDP", 'Database.Jan 12 to SEC'!$AD$6:$AD$191, 0))), INDEX('Database.Jan 12 to SEC'!$L$6:$L$191, MATCH($A137&amp;"% GDP", 'Database.Jan 12 to SEC'!$AD$6:$AD$191, 0)), "")</f>
        <v/>
      </c>
      <c r="S137" s="482"/>
      <c r="T137" s="481" t="str">
        <f>IF(ISNUMBER(INDEX('Database.Jan 12 to SEC'!$P$6:$P$191, MATCH($A137&amp;"% GDP", 'Database.Jan 12 to SEC'!$AD$6:$AD$191, 0))), INDEX('Database.Jan 12 to SEC'!$P$6:$P$191, MATCH($A137&amp;"% GDP", 'Database.Jan 12 to SEC'!$AD$6:$AD$191, 0)), "")</f>
        <v/>
      </c>
      <c r="U137" s="480" t="str">
        <f>IF(ISNUMBER(INDEX('Database.Jan 12 to SEC'!$Q$6:$Q$191, MATCH($A137&amp;"% GDP", 'Database.Jan 12 to SEC'!$AD$6:$AD$191, 0))), INDEX('Database.Jan 12 to SEC'!$Q$6:$Q$191, MATCH($A137&amp;"% GDP", 'Database.Jan 12 to SEC'!$AD$6:$AD$191, 0)), "")</f>
        <v/>
      </c>
      <c r="V137" s="483"/>
      <c r="W137" s="480" t="str">
        <f>IF(ISNUMBER(INDEX('Database.Jan 12 to SEC'!$U$6:$U$191, MATCH($A137&amp;"% GDP", 'Database.Jan 12 to SEC'!$AD$6:$AD$191, 0))), INDEX('Database.Jan 12 to SEC'!$U$6:$U$191, MATCH($A137&amp;"% GDP", 'Database.Jan 12 to SEC'!$AD$6:$AD$191, 0)), "")</f>
        <v/>
      </c>
      <c r="X137" s="480" t="str">
        <f>IF(ISNUMBER(INDEX('Database.Jan 12 to SEC'!$W$6:$W$191, MATCH($A137&amp;"% GDP", 'Database.Jan 12 to SEC'!$AD$6:$AD$191, 0))), INDEX('Database.Jan 12 to SEC'!$W$6:$W$191, MATCH($A137&amp;"% GDP", 'Database.Jan 12 to SEC'!$AD$6:$AD$191, 0)), "")</f>
        <v/>
      </c>
      <c r="Z137" s="490"/>
      <c r="AA137" t="s">
        <v>1267</v>
      </c>
      <c r="AC137" s="299"/>
      <c r="AF137" s="443">
        <v>1.0614213919969644</v>
      </c>
      <c r="AG137" s="438">
        <v>0.14045609709842577</v>
      </c>
      <c r="AH137" s="438">
        <v>0.92096529489853862</v>
      </c>
      <c r="AI137" s="438">
        <v>0.1066755167836145</v>
      </c>
      <c r="AJ137" s="437"/>
      <c r="AK137" s="443">
        <v>0.32002655035084349</v>
      </c>
      <c r="AL137" s="438">
        <v>0.24890953916176717</v>
      </c>
      <c r="AM137" s="441"/>
      <c r="AN137" s="438">
        <v>7.1117011189076346E-2</v>
      </c>
      <c r="AO137" s="438" t="s">
        <v>452</v>
      </c>
      <c r="AP137" s="331"/>
      <c r="AQ137" s="331"/>
      <c r="AR137" s="443">
        <v>2.7063675838678867</v>
      </c>
      <c r="AS137" s="438">
        <v>0.35812904376141214</v>
      </c>
      <c r="AT137" s="438">
        <v>2.3482385401064745</v>
      </c>
      <c r="AU137" s="438">
        <v>0.27199674209727503</v>
      </c>
      <c r="AV137" s="437"/>
      <c r="AW137" s="443">
        <v>0.81599022629182516</v>
      </c>
      <c r="AX137" s="438">
        <v>0.63465906489364177</v>
      </c>
      <c r="AY137" s="441"/>
      <c r="AZ137" s="438">
        <v>0.18133116139818339</v>
      </c>
      <c r="BA137" s="438" t="s">
        <v>452</v>
      </c>
    </row>
    <row r="138" spans="1:53">
      <c r="A138" s="415" t="s">
        <v>1083</v>
      </c>
      <c r="B138" s="415" t="s">
        <v>1083</v>
      </c>
      <c r="C138" s="488">
        <v>1.1428571428571429E-2</v>
      </c>
      <c r="D138" s="480">
        <v>1.1428571428571429E-2</v>
      </c>
      <c r="E138" s="480">
        <v>0</v>
      </c>
      <c r="F138" s="480" t="s">
        <v>452</v>
      </c>
      <c r="G138" s="482"/>
      <c r="H138" s="481">
        <v>1.1428571428571429E-2</v>
      </c>
      <c r="I138" s="480">
        <v>1.1428571428571429E-2</v>
      </c>
      <c r="J138" s="483"/>
      <c r="K138" s="480" t="s">
        <v>452</v>
      </c>
      <c r="L138" s="480" t="s">
        <v>452</v>
      </c>
      <c r="M138"/>
      <c r="N138"/>
      <c r="O138" s="481">
        <v>2.5057923503650562E-2</v>
      </c>
      <c r="P138" s="480">
        <v>2.5057923503650562E-2</v>
      </c>
      <c r="Q138" s="480">
        <v>0</v>
      </c>
      <c r="R138" s="480" t="s">
        <v>452</v>
      </c>
      <c r="S138" s="482"/>
      <c r="T138" s="481">
        <v>2.5057923503650562E-2</v>
      </c>
      <c r="U138" s="480">
        <v>2.5057923503650562E-2</v>
      </c>
      <c r="V138" s="483"/>
      <c r="W138" s="480" t="s">
        <v>452</v>
      </c>
      <c r="X138" s="480" t="s">
        <v>452</v>
      </c>
      <c r="Z138" s="490"/>
      <c r="AA138" t="s">
        <v>1267</v>
      </c>
      <c r="AC138" s="403"/>
      <c r="AF138" s="443">
        <v>1.1428571428571429E-2</v>
      </c>
      <c r="AG138" s="438">
        <v>1.1428571428571429E-2</v>
      </c>
      <c r="AH138" s="438">
        <v>0</v>
      </c>
      <c r="AI138" s="438" t="s">
        <v>452</v>
      </c>
      <c r="AJ138" s="437"/>
      <c r="AK138" s="443">
        <v>1.1428571428571429E-2</v>
      </c>
      <c r="AL138" s="438">
        <v>1.1428571428571429E-2</v>
      </c>
      <c r="AM138" s="441"/>
      <c r="AN138" s="438" t="s">
        <v>452</v>
      </c>
      <c r="AO138" s="438" t="s">
        <v>452</v>
      </c>
      <c r="AP138" s="331"/>
      <c r="AQ138" s="331"/>
      <c r="AR138" s="443">
        <v>2.5057923503650562E-2</v>
      </c>
      <c r="AS138" s="438">
        <v>2.5057923503650562E-2</v>
      </c>
      <c r="AT138" s="438">
        <v>0</v>
      </c>
      <c r="AU138" s="438" t="s">
        <v>452</v>
      </c>
      <c r="AV138" s="437"/>
      <c r="AW138" s="443">
        <v>2.5057923503650562E-2</v>
      </c>
      <c r="AX138" s="438">
        <v>2.5057923503650562E-2</v>
      </c>
      <c r="AY138" s="441"/>
      <c r="AZ138" s="438" t="s">
        <v>452</v>
      </c>
      <c r="BA138" s="438" t="s">
        <v>452</v>
      </c>
    </row>
    <row r="139" spans="1:53">
      <c r="A139" s="415" t="s">
        <v>1250</v>
      </c>
      <c r="B139" s="415" t="s">
        <v>1250</v>
      </c>
      <c r="C139" s="488">
        <v>6.9042244149570406E-3</v>
      </c>
      <c r="D139" s="480">
        <v>0</v>
      </c>
      <c r="E139" s="480">
        <v>6.9042244149570406E-3</v>
      </c>
      <c r="F139" s="480">
        <v>6.9042244149570406E-3</v>
      </c>
      <c r="G139" s="482"/>
      <c r="H139" s="481" t="s">
        <v>452</v>
      </c>
      <c r="I139" s="480" t="s">
        <v>452</v>
      </c>
      <c r="J139" s="483"/>
      <c r="K139" s="480" t="s">
        <v>452</v>
      </c>
      <c r="L139" s="480" t="s">
        <v>452</v>
      </c>
      <c r="M139"/>
      <c r="N139"/>
      <c r="O139" s="481">
        <v>12.555192867305207</v>
      </c>
      <c r="P139" s="480">
        <v>0</v>
      </c>
      <c r="Q139" s="480">
        <v>12.555192867305207</v>
      </c>
      <c r="R139" s="480">
        <v>12.555192867305207</v>
      </c>
      <c r="S139" s="482"/>
      <c r="T139" s="481" t="s">
        <v>452</v>
      </c>
      <c r="U139" s="480" t="s">
        <v>452</v>
      </c>
      <c r="V139" s="483"/>
      <c r="W139" s="480" t="s">
        <v>452</v>
      </c>
      <c r="X139" s="480" t="s">
        <v>452</v>
      </c>
      <c r="Z139" s="490"/>
      <c r="AA139" t="s">
        <v>1267</v>
      </c>
      <c r="AC139" s="403"/>
      <c r="AF139" s="443">
        <v>6.9042244149570406E-3</v>
      </c>
      <c r="AG139" s="438">
        <v>0</v>
      </c>
      <c r="AH139" s="438">
        <v>6.9042244149570406E-3</v>
      </c>
      <c r="AI139" s="438">
        <v>6.9042244149570406E-3</v>
      </c>
      <c r="AJ139" s="437"/>
      <c r="AK139" s="443" t="s">
        <v>452</v>
      </c>
      <c r="AL139" s="438" t="s">
        <v>452</v>
      </c>
      <c r="AM139" s="441"/>
      <c r="AN139" s="438" t="s">
        <v>452</v>
      </c>
      <c r="AO139" s="438" t="s">
        <v>452</v>
      </c>
      <c r="AP139" s="331"/>
      <c r="AQ139" s="331"/>
      <c r="AR139" s="443">
        <v>12.555192867305207</v>
      </c>
      <c r="AS139" s="438">
        <v>0</v>
      </c>
      <c r="AT139" s="438">
        <v>12.555192867305207</v>
      </c>
      <c r="AU139" s="438">
        <v>12.555192867305207</v>
      </c>
      <c r="AV139" s="437"/>
      <c r="AW139" s="443" t="s">
        <v>452</v>
      </c>
      <c r="AX139" s="438" t="s">
        <v>452</v>
      </c>
      <c r="AY139" s="441"/>
      <c r="AZ139" s="438" t="s">
        <v>452</v>
      </c>
      <c r="BA139" s="438" t="s">
        <v>452</v>
      </c>
    </row>
    <row r="140" spans="1:53">
      <c r="A140" s="415" t="s">
        <v>1084</v>
      </c>
      <c r="B140" s="415" t="s">
        <v>1084</v>
      </c>
      <c r="C140" s="488">
        <v>5.2719285298025849</v>
      </c>
      <c r="D140" s="480">
        <v>1.8968569270969242</v>
      </c>
      <c r="E140" s="480">
        <v>3.3750716027056606</v>
      </c>
      <c r="F140" s="480" t="s">
        <v>452</v>
      </c>
      <c r="G140" s="482"/>
      <c r="H140" s="481">
        <v>2.15</v>
      </c>
      <c r="I140" s="480" t="s">
        <v>452</v>
      </c>
      <c r="J140" s="483"/>
      <c r="K140" s="480">
        <v>2.15</v>
      </c>
      <c r="L140" s="480" t="s">
        <v>452</v>
      </c>
      <c r="M140"/>
      <c r="N140"/>
      <c r="O140" s="481">
        <v>3.4788380974508817</v>
      </c>
      <c r="P140" s="480">
        <v>1.2516971931797973</v>
      </c>
      <c r="Q140" s="480">
        <v>2.2271409042710841</v>
      </c>
      <c r="R140" s="480" t="s">
        <v>452</v>
      </c>
      <c r="S140" s="482"/>
      <c r="T140" s="481">
        <v>1.39</v>
      </c>
      <c r="U140" s="480" t="s">
        <v>452</v>
      </c>
      <c r="V140" s="483"/>
      <c r="W140" s="480">
        <v>1.39</v>
      </c>
      <c r="X140" s="480" t="s">
        <v>452</v>
      </c>
      <c r="Z140" s="490"/>
      <c r="AA140" t="s">
        <v>1267</v>
      </c>
      <c r="AC140" s="403"/>
      <c r="AF140" s="443">
        <v>5.2719285298025849</v>
      </c>
      <c r="AG140" s="438">
        <v>1.8968569270969242</v>
      </c>
      <c r="AH140" s="438">
        <v>3.3750716027056606</v>
      </c>
      <c r="AI140" s="438" t="s">
        <v>452</v>
      </c>
      <c r="AJ140" s="437"/>
      <c r="AK140" s="443">
        <v>2.15</v>
      </c>
      <c r="AL140" s="438" t="s">
        <v>452</v>
      </c>
      <c r="AM140" s="441"/>
      <c r="AN140" s="438">
        <v>2.15</v>
      </c>
      <c r="AO140" s="438" t="s">
        <v>452</v>
      </c>
      <c r="AP140" s="331"/>
      <c r="AQ140" s="331"/>
      <c r="AR140" s="443">
        <v>3.4788380974508817</v>
      </c>
      <c r="AS140" s="438">
        <v>1.2516971931797973</v>
      </c>
      <c r="AT140" s="438">
        <v>2.2271409042710841</v>
      </c>
      <c r="AU140" s="438" t="s">
        <v>452</v>
      </c>
      <c r="AV140" s="437"/>
      <c r="AW140" s="443">
        <v>1.39</v>
      </c>
      <c r="AX140" s="438" t="s">
        <v>452</v>
      </c>
      <c r="AY140" s="441"/>
      <c r="AZ140" s="438">
        <v>1.39</v>
      </c>
      <c r="BA140" s="438" t="s">
        <v>452</v>
      </c>
    </row>
    <row r="141" spans="1:53">
      <c r="A141" s="415" t="s">
        <v>56</v>
      </c>
      <c r="B141" s="415" t="s">
        <v>56</v>
      </c>
      <c r="C141" s="488" t="str">
        <f>IF(ISNUMBER(INDEX('Database.Jan 12 to SEC'!$G$6:$G$191, MATCH($A141&amp;"USD bn", 'Database.Jan 12 to SEC'!$AD$6:$AD$191, 0))), INDEX('Database.Jan 12 to SEC'!$G$6:$G$191, MATCH($A141&amp;"USD bn", 'Database.Jan 12 to SEC'!$AD$6:$AD$191, 0)), "")</f>
        <v/>
      </c>
      <c r="D141" s="480" t="str">
        <f>IF(ISNUMBER(INDEX('Database.Jan 12 to SEC'!$H$6:$H$191, MATCH($A141&amp;"USD bn", 'Database.Jan 12 to SEC'!$AD$6:$AD$191, 0))), INDEX('Database.Jan 12 to SEC'!$H$6:$H$191, MATCH($A141&amp;"USD bn", 'Database.Jan 12 to SEC'!$AD$6:$AD$191, 0)), "")</f>
        <v/>
      </c>
      <c r="E141" s="480" t="str">
        <f>IF(ISNUMBER(INDEX('Database.Jan 12 to SEC'!$J$6:$J$191, MATCH($A141&amp;"USD bn", 'Database.Jan 12 to SEC'!$AD$6:$AD$191, 0))), INDEX('Database.Jan 12 to SEC'!$J$6:$J$191, MATCH($A141&amp;"USD bn", 'Database.Jan 12 to SEC'!$AD$6:$AD$191, 0)), "")</f>
        <v/>
      </c>
      <c r="F141" s="480" t="str">
        <f>IF(ISNUMBER(INDEX('Database.Jan 12 to SEC'!$L$6:$L$191, MATCH($A141&amp;"USD bn", 'Database.Jan 12 to SEC'!$AD$6:$AD$191, 0))), INDEX('Database.Jan 12 to SEC'!$L$6:$L$191, MATCH($A141&amp;"USD bn", 'Database.Jan 12 to SEC'!$AD$6:$AD$191, 0)), "")</f>
        <v/>
      </c>
      <c r="G141" s="482"/>
      <c r="H141" s="481" t="str">
        <f>IF(ISNUMBER(INDEX('Database.Jan 12 to SEC'!$P$6:$P$191, MATCH($A141&amp;"USD bn", 'Database.Jan 12 to SEC'!$AD$6:$AD$191, 0))), INDEX('Database.Jan 12 to SEC'!$P$6:$P$191, MATCH($A141&amp;"USD bn", 'Database.Jan 12 to SEC'!$AD$6:$AD$191, 0)), "")</f>
        <v/>
      </c>
      <c r="I141" s="480" t="str">
        <f>IF(ISNUMBER(INDEX('Database.Jan 12 to SEC'!$Q$6:$Q$191, MATCH($A141&amp;"USD bn", 'Database.Jan 12 to SEC'!$AD$6:$AD$191, 0))), INDEX('Database.Jan 12 to SEC'!$Q$6:$Q$191, MATCH($A141&amp;"USD bn", 'Database.Jan 12 to SEC'!$AD$6:$AD$191, 0)), "")</f>
        <v/>
      </c>
      <c r="J141" s="483"/>
      <c r="K141" s="480" t="str">
        <f>IF(ISNUMBER(INDEX('Database.Jan 12 to SEC'!$U$6:$U$191, MATCH($A141&amp;"USD bn", 'Database.Jan 12 to SEC'!$AD$6:$AD$191, 0))), INDEX('Database.Jan 12 to SEC'!$U$6:$U$191, MATCH($A141&amp;"USD bn", 'Database.Jan 12 to SEC'!$AD$6:$AD$191, 0)), "")</f>
        <v/>
      </c>
      <c r="L141" s="480" t="str">
        <f>IF(ISNUMBER(INDEX('Database.Jan 12 to SEC'!$W$6:$W$191, MATCH($A141&amp;"USD bn", 'Database.Jan 12 to SEC'!$AD$6:$AD$191, 0))), INDEX('Database.Jan 12 to SEC'!$W$6:$W$191, MATCH($A141&amp;"USD bn", 'Database.Jan 12 to SEC'!$AD$6:$AD$191, 0)), "")</f>
        <v/>
      </c>
      <c r="M141"/>
      <c r="N141"/>
      <c r="O141" s="481" t="str">
        <f>IF(ISNUMBER(INDEX('Database.Jan 12 to SEC'!$G$6:$G$191, MATCH($A141&amp;"% GDP", 'Database.Jan 12 to SEC'!$AD$6:$AD$191, 0))), INDEX('Database.Jan 12 to SEC'!$G$6:$G$191, MATCH($A141&amp;"% GDP", 'Database.Jan 12 to SEC'!$AD$6:$AD$191, 0)), "")</f>
        <v/>
      </c>
      <c r="P141" s="480" t="str">
        <f>IF(ISNUMBER(INDEX('Database.Jan 12 to SEC'!$H$6:$H$191, MATCH($A141&amp;"% GDP", 'Database.Jan 12 to SEC'!$AD$6:$AD$191, 0))), INDEX('Database.Jan 12 to SEC'!$H$6:$H$191, MATCH($A141&amp;"% GDP", 'Database.Jan 12 to SEC'!$AD$6:$AD$191, 0)), "")</f>
        <v/>
      </c>
      <c r="Q141" s="480" t="str">
        <f>IF(ISNUMBER(INDEX('Database.Jan 12 to SEC'!$J$6:$J$191, MATCH($A141&amp;"% GDP", 'Database.Jan 12 to SEC'!$AD$6:$AD$191, 0))), INDEX('Database.Jan 12 to SEC'!$J$6:$J$191, MATCH($A141&amp;"% GDP", 'Database.Jan 12 to SEC'!$AD$6:$AD$191, 0)), "")</f>
        <v/>
      </c>
      <c r="R141" s="480" t="str">
        <f>IF(ISNUMBER(INDEX('Database.Jan 12 to SEC'!$L$6:$L$191, MATCH($A141&amp;"% GDP", 'Database.Jan 12 to SEC'!$AD$6:$AD$191, 0))), INDEX('Database.Jan 12 to SEC'!$L$6:$L$191, MATCH($A141&amp;"% GDP", 'Database.Jan 12 to SEC'!$AD$6:$AD$191, 0)), "")</f>
        <v/>
      </c>
      <c r="S141" s="482"/>
      <c r="T141" s="481" t="str">
        <f>IF(ISNUMBER(INDEX('Database.Jan 12 to SEC'!$P$6:$P$191, MATCH($A141&amp;"% GDP", 'Database.Jan 12 to SEC'!$AD$6:$AD$191, 0))), INDEX('Database.Jan 12 to SEC'!$P$6:$P$191, MATCH($A141&amp;"% GDP", 'Database.Jan 12 to SEC'!$AD$6:$AD$191, 0)), "")</f>
        <v/>
      </c>
      <c r="U141" s="480" t="str">
        <f>IF(ISNUMBER(INDEX('Database.Jan 12 to SEC'!$Q$6:$Q$191, MATCH($A141&amp;"% GDP", 'Database.Jan 12 to SEC'!$AD$6:$AD$191, 0))), INDEX('Database.Jan 12 to SEC'!$Q$6:$Q$191, MATCH($A141&amp;"% GDP", 'Database.Jan 12 to SEC'!$AD$6:$AD$191, 0)), "")</f>
        <v/>
      </c>
      <c r="V141" s="483"/>
      <c r="W141" s="480" t="str">
        <f>IF(ISNUMBER(INDEX('Database.Jan 12 to SEC'!$U$6:$U$191, MATCH($A141&amp;"% GDP", 'Database.Jan 12 to SEC'!$AD$6:$AD$191, 0))), INDEX('Database.Jan 12 to SEC'!$U$6:$U$191, MATCH($A141&amp;"% GDP", 'Database.Jan 12 to SEC'!$AD$6:$AD$191, 0)), "")</f>
        <v/>
      </c>
      <c r="X141" s="480" t="str">
        <f>IF(ISNUMBER(INDEX('Database.Jan 12 to SEC'!$W$6:$W$191, MATCH($A141&amp;"% GDP", 'Database.Jan 12 to SEC'!$AD$6:$AD$191, 0))), INDEX('Database.Jan 12 to SEC'!$W$6:$W$191, MATCH($A141&amp;"% GDP", 'Database.Jan 12 to SEC'!$AD$6:$AD$191, 0)), "")</f>
        <v/>
      </c>
      <c r="Z141" s="490"/>
      <c r="AA141" t="s">
        <v>1267</v>
      </c>
      <c r="AC141" s="299"/>
      <c r="AF141" s="443">
        <v>8.7134104833219883</v>
      </c>
      <c r="AG141" s="438" t="s">
        <v>452</v>
      </c>
      <c r="AH141" s="438" t="s">
        <v>452</v>
      </c>
      <c r="AI141" s="438" t="s">
        <v>452</v>
      </c>
      <c r="AJ141" s="437"/>
      <c r="AK141" s="443" t="s">
        <v>452</v>
      </c>
      <c r="AL141" s="438" t="s">
        <v>452</v>
      </c>
      <c r="AM141" s="441"/>
      <c r="AN141" s="438" t="s">
        <v>452</v>
      </c>
      <c r="AO141" s="438" t="s">
        <v>452</v>
      </c>
      <c r="AP141" s="331"/>
      <c r="AQ141" s="331"/>
      <c r="AR141" s="443">
        <v>2.4280205714042915</v>
      </c>
      <c r="AS141" s="438" t="s">
        <v>452</v>
      </c>
      <c r="AT141" s="438" t="s">
        <v>452</v>
      </c>
      <c r="AU141" s="438" t="s">
        <v>452</v>
      </c>
      <c r="AV141" s="437"/>
      <c r="AW141" s="443" t="s">
        <v>452</v>
      </c>
      <c r="AX141" s="438" t="s">
        <v>452</v>
      </c>
      <c r="AY141" s="441"/>
      <c r="AZ141" s="438" t="s">
        <v>452</v>
      </c>
      <c r="BA141" s="438" t="s">
        <v>452</v>
      </c>
    </row>
    <row r="142" spans="1:53">
      <c r="A142" s="415" t="s">
        <v>1085</v>
      </c>
      <c r="B142" s="415" t="s">
        <v>1085</v>
      </c>
      <c r="C142" s="488">
        <v>1.6</v>
      </c>
      <c r="D142" s="480">
        <v>0.5</v>
      </c>
      <c r="E142" s="480">
        <v>1.1000000000000001</v>
      </c>
      <c r="F142" s="480" t="s">
        <v>452</v>
      </c>
      <c r="G142" s="482"/>
      <c r="H142" s="481">
        <v>0.60000000000000009</v>
      </c>
      <c r="I142" s="480">
        <v>0.2</v>
      </c>
      <c r="J142" s="483"/>
      <c r="K142" s="480">
        <v>0.4</v>
      </c>
      <c r="L142" s="480" t="s">
        <v>452</v>
      </c>
      <c r="M142"/>
      <c r="N142"/>
      <c r="O142" s="481">
        <v>2.7</v>
      </c>
      <c r="P142" s="480">
        <v>0.8</v>
      </c>
      <c r="Q142" s="480">
        <v>1.9000000000000001</v>
      </c>
      <c r="R142" s="480" t="s">
        <v>452</v>
      </c>
      <c r="S142" s="482"/>
      <c r="T142" s="481">
        <v>1</v>
      </c>
      <c r="U142" s="480">
        <v>0.3</v>
      </c>
      <c r="V142" s="483"/>
      <c r="W142" s="480">
        <v>0.7</v>
      </c>
      <c r="X142" s="480" t="s">
        <v>452</v>
      </c>
      <c r="Z142" s="490"/>
      <c r="AA142" t="s">
        <v>1267</v>
      </c>
      <c r="AC142" s="403"/>
      <c r="AF142" s="443">
        <v>1.6</v>
      </c>
      <c r="AG142" s="438">
        <v>0.5</v>
      </c>
      <c r="AH142" s="438">
        <v>1.1000000000000001</v>
      </c>
      <c r="AI142" s="438" t="s">
        <v>452</v>
      </c>
      <c r="AJ142" s="437"/>
      <c r="AK142" s="443">
        <v>0.60000000000000009</v>
      </c>
      <c r="AL142" s="438">
        <v>0.2</v>
      </c>
      <c r="AM142" s="441"/>
      <c r="AN142" s="438">
        <v>0.4</v>
      </c>
      <c r="AO142" s="438" t="s">
        <v>452</v>
      </c>
      <c r="AP142" s="331"/>
      <c r="AQ142" s="331"/>
      <c r="AR142" s="443">
        <v>2.7</v>
      </c>
      <c r="AS142" s="438">
        <v>0.8</v>
      </c>
      <c r="AT142" s="438">
        <v>1.9000000000000001</v>
      </c>
      <c r="AU142" s="438" t="s">
        <v>452</v>
      </c>
      <c r="AV142" s="437"/>
      <c r="AW142" s="443">
        <v>1</v>
      </c>
      <c r="AX142" s="438">
        <v>0.3</v>
      </c>
      <c r="AY142" s="441"/>
      <c r="AZ142" s="438">
        <v>0.7</v>
      </c>
      <c r="BA142" s="438" t="s">
        <v>452</v>
      </c>
    </row>
    <row r="143" spans="1:53">
      <c r="A143" s="415" t="s">
        <v>1086</v>
      </c>
      <c r="B143" s="415" t="s">
        <v>1086</v>
      </c>
      <c r="C143" s="488">
        <v>0</v>
      </c>
      <c r="D143" s="480">
        <v>0</v>
      </c>
      <c r="E143" s="480">
        <v>0</v>
      </c>
      <c r="F143" s="480" t="s">
        <v>452</v>
      </c>
      <c r="G143" s="482"/>
      <c r="H143" s="481" t="s">
        <v>452</v>
      </c>
      <c r="I143" s="480">
        <v>0</v>
      </c>
      <c r="J143" s="483"/>
      <c r="K143" s="480">
        <v>0</v>
      </c>
      <c r="L143" s="480" t="s">
        <v>452</v>
      </c>
      <c r="M143"/>
      <c r="N143"/>
      <c r="O143" s="481">
        <v>3.8</v>
      </c>
      <c r="P143" s="480">
        <v>0</v>
      </c>
      <c r="Q143" s="480">
        <v>3.8</v>
      </c>
      <c r="R143" s="480">
        <v>0</v>
      </c>
      <c r="S143" s="482"/>
      <c r="T143" s="481">
        <v>1.6</v>
      </c>
      <c r="U143" s="480">
        <v>0.7</v>
      </c>
      <c r="V143" s="483"/>
      <c r="W143" s="480">
        <v>0.9</v>
      </c>
      <c r="X143" s="480" t="s">
        <v>452</v>
      </c>
      <c r="Z143" s="490"/>
      <c r="AA143" t="s">
        <v>1267</v>
      </c>
      <c r="AC143" s="403"/>
      <c r="AF143" s="443">
        <v>0</v>
      </c>
      <c r="AG143" s="438">
        <v>0</v>
      </c>
      <c r="AH143" s="438">
        <v>0</v>
      </c>
      <c r="AI143" s="438" t="s">
        <v>452</v>
      </c>
      <c r="AJ143" s="437"/>
      <c r="AK143" s="443" t="s">
        <v>452</v>
      </c>
      <c r="AL143" s="438">
        <v>0</v>
      </c>
      <c r="AM143" s="441"/>
      <c r="AN143" s="438">
        <v>0</v>
      </c>
      <c r="AO143" s="438" t="s">
        <v>452</v>
      </c>
      <c r="AP143" s="331"/>
      <c r="AQ143" s="331"/>
      <c r="AR143" s="443">
        <v>3.8</v>
      </c>
      <c r="AS143" s="438">
        <v>0</v>
      </c>
      <c r="AT143" s="438">
        <v>3.8</v>
      </c>
      <c r="AU143" s="438">
        <v>0</v>
      </c>
      <c r="AV143" s="437"/>
      <c r="AW143" s="443">
        <v>1.6</v>
      </c>
      <c r="AX143" s="438">
        <v>0.7</v>
      </c>
      <c r="AY143" s="441"/>
      <c r="AZ143" s="438">
        <v>0.9</v>
      </c>
      <c r="BA143" s="438" t="s">
        <v>452</v>
      </c>
    </row>
    <row r="144" spans="1:53">
      <c r="A144" s="442" t="s">
        <v>871</v>
      </c>
      <c r="B144" s="442" t="s">
        <v>871</v>
      </c>
      <c r="C144" s="488"/>
      <c r="D144" s="480"/>
      <c r="E144" s="480" t="str">
        <f>IF(ISNUMBER(INDEX('Database.Jan 12 to SEC'!$J$6:$J$191, MATCH($A144&amp;"USD bn", 'Database.Jan 12 to SEC'!$AD$6:$AD$191, 0))), INDEX('Database.Jan 12 to SEC'!$J$6:$J$191, MATCH($A144&amp;"USD bn", 'Database.Jan 12 to SEC'!$AD$6:$AD$191, 0)), "")</f>
        <v/>
      </c>
      <c r="F144" s="480" t="str">
        <f>IF(ISNUMBER(INDEX('Database.Jan 12 to SEC'!$L$6:$L$191, MATCH($A144&amp;"USD bn", 'Database.Jan 12 to SEC'!$AD$6:$AD$191, 0))), INDEX('Database.Jan 12 to SEC'!$L$6:$L$191, MATCH($A144&amp;"USD bn", 'Database.Jan 12 to SEC'!$AD$6:$AD$191, 0)), "")</f>
        <v/>
      </c>
      <c r="G144" s="482"/>
      <c r="H144" s="481" t="str">
        <f>IF(ISNUMBER(INDEX('Database.Jan 12 to SEC'!$P$6:$P$191, MATCH($A144&amp;"USD bn", 'Database.Jan 12 to SEC'!$AD$6:$AD$191, 0))), INDEX('Database.Jan 12 to SEC'!$P$6:$P$191, MATCH($A144&amp;"USD bn", 'Database.Jan 12 to SEC'!$AD$6:$AD$191, 0)), "")</f>
        <v/>
      </c>
      <c r="I144" s="480" t="str">
        <f>IF(ISNUMBER(INDEX('Database.Jan 12 to SEC'!$Q$6:$Q$191, MATCH($A144&amp;"USD bn", 'Database.Jan 12 to SEC'!$AD$6:$AD$191, 0))), INDEX('Database.Jan 12 to SEC'!$Q$6:$Q$191, MATCH($A144&amp;"USD bn", 'Database.Jan 12 to SEC'!$AD$6:$AD$191, 0)), "")</f>
        <v/>
      </c>
      <c r="J144" s="483"/>
      <c r="K144" s="480" t="str">
        <f>IF(ISNUMBER(INDEX('Database.Jan 12 to SEC'!$U$6:$U$191, MATCH($A144&amp;"USD bn", 'Database.Jan 12 to SEC'!$AD$6:$AD$191, 0))), INDEX('Database.Jan 12 to SEC'!$U$6:$U$191, MATCH($A144&amp;"USD bn", 'Database.Jan 12 to SEC'!$AD$6:$AD$191, 0)), "")</f>
        <v/>
      </c>
      <c r="L144" s="480" t="str">
        <f>IF(ISNUMBER(INDEX('Database.Jan 12 to SEC'!$W$6:$W$191, MATCH($A144&amp;"USD bn", 'Database.Jan 12 to SEC'!$AD$6:$AD$191, 0))), INDEX('Database.Jan 12 to SEC'!$W$6:$W$191, MATCH($A144&amp;"USD bn", 'Database.Jan 12 to SEC'!$AD$6:$AD$191, 0)), "")</f>
        <v/>
      </c>
      <c r="M144"/>
      <c r="N144"/>
      <c r="O144" s="481" t="str">
        <f>IF(ISNUMBER(INDEX('Database.Jan 12 to SEC'!$G$6:$G$191, MATCH($A144&amp;"% GDP", 'Database.Jan 12 to SEC'!$AD$6:$AD$191, 0))), INDEX('Database.Jan 12 to SEC'!$G$6:$G$191, MATCH($A144&amp;"% GDP", 'Database.Jan 12 to SEC'!$AD$6:$AD$191, 0)), "")</f>
        <v/>
      </c>
      <c r="P144" s="480" t="str">
        <f>IF(ISNUMBER(INDEX('Database.Jan 12 to SEC'!$H$6:$H$191, MATCH($A144&amp;"% GDP", 'Database.Jan 12 to SEC'!$AD$6:$AD$191, 0))), INDEX('Database.Jan 12 to SEC'!$H$6:$H$191, MATCH($A144&amp;"% GDP", 'Database.Jan 12 to SEC'!$AD$6:$AD$191, 0)), "")</f>
        <v/>
      </c>
      <c r="Q144" s="480" t="str">
        <f>IF(ISNUMBER(INDEX('Database.Jan 12 to SEC'!$J$6:$J$191, MATCH($A144&amp;"% GDP", 'Database.Jan 12 to SEC'!$AD$6:$AD$191, 0))), INDEX('Database.Jan 12 to SEC'!$J$6:$J$191, MATCH($A144&amp;"% GDP", 'Database.Jan 12 to SEC'!$AD$6:$AD$191, 0)), "")</f>
        <v/>
      </c>
      <c r="R144" s="480" t="str">
        <f>IF(ISNUMBER(INDEX('Database.Jan 12 to SEC'!$L$6:$L$191, MATCH($A144&amp;"% GDP", 'Database.Jan 12 to SEC'!$AD$6:$AD$191, 0))), INDEX('Database.Jan 12 to SEC'!$L$6:$L$191, MATCH($A144&amp;"% GDP", 'Database.Jan 12 to SEC'!$AD$6:$AD$191, 0)), "")</f>
        <v/>
      </c>
      <c r="S144" s="482"/>
      <c r="T144" s="481" t="str">
        <f>IF(ISNUMBER(INDEX('Database.Jan 12 to SEC'!$P$6:$P$191, MATCH($A144&amp;"% GDP", 'Database.Jan 12 to SEC'!$AD$6:$AD$191, 0))), INDEX('Database.Jan 12 to SEC'!$P$6:$P$191, MATCH($A144&amp;"% GDP", 'Database.Jan 12 to SEC'!$AD$6:$AD$191, 0)), "")</f>
        <v/>
      </c>
      <c r="U144" s="480" t="str">
        <f>IF(ISNUMBER(INDEX('Database.Jan 12 to SEC'!$Q$6:$Q$191, MATCH($A144&amp;"% GDP", 'Database.Jan 12 to SEC'!$AD$6:$AD$191, 0))), INDEX('Database.Jan 12 to SEC'!$Q$6:$Q$191, MATCH($A144&amp;"% GDP", 'Database.Jan 12 to SEC'!$AD$6:$AD$191, 0)), "")</f>
        <v/>
      </c>
      <c r="V144" s="483"/>
      <c r="W144" s="480" t="str">
        <f>IF(ISNUMBER(INDEX('Database.Jan 12 to SEC'!$U$6:$U$191, MATCH($A144&amp;"% GDP", 'Database.Jan 12 to SEC'!$AD$6:$AD$191, 0))), INDEX('Database.Jan 12 to SEC'!$U$6:$U$191, MATCH($A144&amp;"% GDP", 'Database.Jan 12 to SEC'!$AD$6:$AD$191, 0)), "")</f>
        <v/>
      </c>
      <c r="X144" s="480" t="str">
        <f>IF(ISNUMBER(INDEX('Database.Jan 12 to SEC'!$W$6:$W$191, MATCH($A144&amp;"% GDP", 'Database.Jan 12 to SEC'!$AD$6:$AD$191, 0))), INDEX('Database.Jan 12 to SEC'!$W$6:$W$191, MATCH($A144&amp;"% GDP", 'Database.Jan 12 to SEC'!$AD$6:$AD$191, 0)), "")</f>
        <v/>
      </c>
      <c r="Z144" s="490"/>
      <c r="AC144" s="301"/>
      <c r="AF144" s="443" t="s">
        <v>452</v>
      </c>
      <c r="AG144" s="438" t="s">
        <v>452</v>
      </c>
      <c r="AH144" s="438" t="s">
        <v>452</v>
      </c>
      <c r="AI144" s="438" t="s">
        <v>452</v>
      </c>
      <c r="AJ144" s="437"/>
      <c r="AK144" s="443" t="e">
        <v>#N/A</v>
      </c>
      <c r="AL144" s="438" t="s">
        <v>452</v>
      </c>
      <c r="AM144" s="441"/>
      <c r="AN144" s="438" t="s">
        <v>452</v>
      </c>
      <c r="AO144" s="438" t="s">
        <v>452</v>
      </c>
      <c r="AP144" s="331"/>
      <c r="AQ144" s="331"/>
      <c r="AR144" s="443" t="s">
        <v>452</v>
      </c>
      <c r="AS144" s="438" t="s">
        <v>452</v>
      </c>
      <c r="AT144" s="438" t="s">
        <v>452</v>
      </c>
      <c r="AU144" s="438" t="s">
        <v>452</v>
      </c>
      <c r="AV144" s="437"/>
      <c r="AW144" s="443" t="e">
        <v>#N/A</v>
      </c>
      <c r="AX144" s="438" t="s">
        <v>452</v>
      </c>
      <c r="AY144" s="441"/>
      <c r="AZ144" s="438" t="s">
        <v>452</v>
      </c>
      <c r="BA144" s="438" t="s">
        <v>452</v>
      </c>
    </row>
    <row r="145" spans="1:53">
      <c r="A145" s="415" t="s">
        <v>1087</v>
      </c>
      <c r="B145" s="415" t="s">
        <v>1087</v>
      </c>
      <c r="C145" s="488">
        <v>0.55355049185828398</v>
      </c>
      <c r="D145" s="480">
        <v>8.5288655857142903E-2</v>
      </c>
      <c r="E145" s="480">
        <v>0.46826183600114102</v>
      </c>
      <c r="F145" s="480" t="s">
        <v>452</v>
      </c>
      <c r="G145" s="482"/>
      <c r="H145" s="481" t="s">
        <v>452</v>
      </c>
      <c r="I145" s="480" t="s">
        <v>452</v>
      </c>
      <c r="J145" s="483"/>
      <c r="K145" s="480" t="s">
        <v>452</v>
      </c>
      <c r="L145" s="480" t="s">
        <v>452</v>
      </c>
      <c r="M145"/>
      <c r="N145"/>
      <c r="O145" s="481">
        <v>2.90761573842925</v>
      </c>
      <c r="P145" s="480">
        <v>0.44799280594477697</v>
      </c>
      <c r="Q145" s="480">
        <v>2.4596229324844701</v>
      </c>
      <c r="R145" s="480" t="s">
        <v>452</v>
      </c>
      <c r="S145" s="482"/>
      <c r="T145" s="481" t="s">
        <v>452</v>
      </c>
      <c r="U145" s="480" t="s">
        <v>452</v>
      </c>
      <c r="V145" s="483"/>
      <c r="W145" s="480" t="s">
        <v>452</v>
      </c>
      <c r="X145" s="480" t="s">
        <v>452</v>
      </c>
      <c r="Z145" s="490"/>
      <c r="AA145" t="s">
        <v>1313</v>
      </c>
      <c r="AC145" s="403"/>
      <c r="AF145" s="443">
        <v>0.42235300831513617</v>
      </c>
      <c r="AG145" s="438">
        <v>0.13201489785424828</v>
      </c>
      <c r="AH145" s="438">
        <v>0.29033811046088787</v>
      </c>
      <c r="AI145" s="438" t="s">
        <v>452</v>
      </c>
      <c r="AJ145" s="437"/>
      <c r="AK145" s="443" t="s">
        <v>452</v>
      </c>
      <c r="AL145" s="438" t="s">
        <v>452</v>
      </c>
      <c r="AM145" s="441"/>
      <c r="AN145" s="438" t="s">
        <v>452</v>
      </c>
      <c r="AO145" s="438" t="s">
        <v>452</v>
      </c>
      <c r="AP145" s="331"/>
      <c r="AQ145" s="331"/>
      <c r="AR145" s="443">
        <v>2.1</v>
      </c>
      <c r="AS145" s="438">
        <v>0.69000465049425941</v>
      </c>
      <c r="AT145" s="438">
        <v>1.4099953495057407</v>
      </c>
      <c r="AU145" s="438" t="s">
        <v>452</v>
      </c>
      <c r="AV145" s="437"/>
      <c r="AW145" s="443" t="s">
        <v>452</v>
      </c>
      <c r="AX145" s="438" t="s">
        <v>452</v>
      </c>
      <c r="AY145" s="441"/>
      <c r="AZ145" s="438" t="s">
        <v>452</v>
      </c>
      <c r="BA145" s="438" t="s">
        <v>452</v>
      </c>
    </row>
    <row r="146" spans="1:53">
      <c r="A146" s="415" t="s">
        <v>37</v>
      </c>
      <c r="B146" s="415" t="s">
        <v>37</v>
      </c>
      <c r="C146" s="488" t="str">
        <f>IF(ISNUMBER(INDEX('Database.Jan 12 to SEC'!$G$6:$G$191, MATCH($A146&amp;"USD bn", 'Database.Jan 12 to SEC'!$AD$6:$AD$191, 0))), INDEX('Database.Jan 12 to SEC'!$G$6:$G$191, MATCH($A146&amp;"USD bn", 'Database.Jan 12 to SEC'!$AD$6:$AD$191, 0)), "")</f>
        <v/>
      </c>
      <c r="D146" s="480" t="str">
        <f>IF(ISNUMBER(INDEX('Database.Jan 12 to SEC'!$H$6:$H$191, MATCH($A146&amp;"USD bn", 'Database.Jan 12 to SEC'!$AD$6:$AD$191, 0))), INDEX('Database.Jan 12 to SEC'!$H$6:$H$191, MATCH($A146&amp;"USD bn", 'Database.Jan 12 to SEC'!$AD$6:$AD$191, 0)), "")</f>
        <v/>
      </c>
      <c r="E146" s="480" t="str">
        <f>IF(ISNUMBER(INDEX('Database.Jan 12 to SEC'!$J$6:$J$191, MATCH($A146&amp;"USD bn", 'Database.Jan 12 to SEC'!$AD$6:$AD$191, 0))), INDEX('Database.Jan 12 to SEC'!$J$6:$J$191, MATCH($A146&amp;"USD bn", 'Database.Jan 12 to SEC'!$AD$6:$AD$191, 0)), "")</f>
        <v/>
      </c>
      <c r="F146" s="480" t="str">
        <f>IF(ISNUMBER(INDEX('Database.Jan 12 to SEC'!$L$6:$L$191, MATCH($A146&amp;"USD bn", 'Database.Jan 12 to SEC'!$AD$6:$AD$191, 0))), INDEX('Database.Jan 12 to SEC'!$L$6:$L$191, MATCH($A146&amp;"USD bn", 'Database.Jan 12 to SEC'!$AD$6:$AD$191, 0)), "")</f>
        <v/>
      </c>
      <c r="G146" s="482"/>
      <c r="H146" s="481" t="str">
        <f>IF(ISNUMBER(INDEX('Database.Jan 12 to SEC'!$P$6:$P$191, MATCH($A146&amp;"USD bn", 'Database.Jan 12 to SEC'!$AD$6:$AD$191, 0))), INDEX('Database.Jan 12 to SEC'!$P$6:$P$191, MATCH($A146&amp;"USD bn", 'Database.Jan 12 to SEC'!$AD$6:$AD$191, 0)), "")</f>
        <v/>
      </c>
      <c r="I146" s="480" t="str">
        <f>IF(ISNUMBER(INDEX('Database.Jan 12 to SEC'!$Q$6:$Q$191, MATCH($A146&amp;"USD bn", 'Database.Jan 12 to SEC'!$AD$6:$AD$191, 0))), INDEX('Database.Jan 12 to SEC'!$Q$6:$Q$191, MATCH($A146&amp;"USD bn", 'Database.Jan 12 to SEC'!$AD$6:$AD$191, 0)), "")</f>
        <v/>
      </c>
      <c r="J146" s="483"/>
      <c r="K146" s="480" t="str">
        <f>IF(ISNUMBER(INDEX('Database.Jan 12 to SEC'!$U$6:$U$191, MATCH($A146&amp;"USD bn", 'Database.Jan 12 to SEC'!$AD$6:$AD$191, 0))), INDEX('Database.Jan 12 to SEC'!$U$6:$U$191, MATCH($A146&amp;"USD bn", 'Database.Jan 12 to SEC'!$AD$6:$AD$191, 0)), "")</f>
        <v/>
      </c>
      <c r="L146" s="480" t="str">
        <f>IF(ISNUMBER(INDEX('Database.Jan 12 to SEC'!$W$6:$W$191, MATCH($A146&amp;"USD bn", 'Database.Jan 12 to SEC'!$AD$6:$AD$191, 0))), INDEX('Database.Jan 12 to SEC'!$W$6:$W$191, MATCH($A146&amp;"USD bn", 'Database.Jan 12 to SEC'!$AD$6:$AD$191, 0)), "")</f>
        <v/>
      </c>
      <c r="M146"/>
      <c r="N146"/>
      <c r="O146" s="481" t="str">
        <f>IF(ISNUMBER(INDEX('Database.Jan 12 to SEC'!$G$6:$G$191, MATCH($A146&amp;"% GDP", 'Database.Jan 12 to SEC'!$AD$6:$AD$191, 0))), INDEX('Database.Jan 12 to SEC'!$G$6:$G$191, MATCH($A146&amp;"% GDP", 'Database.Jan 12 to SEC'!$AD$6:$AD$191, 0)), "")</f>
        <v/>
      </c>
      <c r="P146" s="480" t="str">
        <f>IF(ISNUMBER(INDEX('Database.Jan 12 to SEC'!$H$6:$H$191, MATCH($A146&amp;"% GDP", 'Database.Jan 12 to SEC'!$AD$6:$AD$191, 0))), INDEX('Database.Jan 12 to SEC'!$H$6:$H$191, MATCH($A146&amp;"% GDP", 'Database.Jan 12 to SEC'!$AD$6:$AD$191, 0)), "")</f>
        <v/>
      </c>
      <c r="Q146" s="480" t="str">
        <f>IF(ISNUMBER(INDEX('Database.Jan 12 to SEC'!$J$6:$J$191, MATCH($A146&amp;"% GDP", 'Database.Jan 12 to SEC'!$AD$6:$AD$191, 0))), INDEX('Database.Jan 12 to SEC'!$J$6:$J$191, MATCH($A146&amp;"% GDP", 'Database.Jan 12 to SEC'!$AD$6:$AD$191, 0)), "")</f>
        <v/>
      </c>
      <c r="R146" s="480" t="str">
        <f>IF(ISNUMBER(INDEX('Database.Jan 12 to SEC'!$L$6:$L$191, MATCH($A146&amp;"% GDP", 'Database.Jan 12 to SEC'!$AD$6:$AD$191, 0))), INDEX('Database.Jan 12 to SEC'!$L$6:$L$191, MATCH($A146&amp;"% GDP", 'Database.Jan 12 to SEC'!$AD$6:$AD$191, 0)), "")</f>
        <v/>
      </c>
      <c r="S146" s="482"/>
      <c r="T146" s="481" t="str">
        <f>IF(ISNUMBER(INDEX('Database.Jan 12 to SEC'!$P$6:$P$191, MATCH($A146&amp;"% GDP", 'Database.Jan 12 to SEC'!$AD$6:$AD$191, 0))), INDEX('Database.Jan 12 to SEC'!$P$6:$P$191, MATCH($A146&amp;"% GDP", 'Database.Jan 12 to SEC'!$AD$6:$AD$191, 0)), "")</f>
        <v/>
      </c>
      <c r="U146" s="480" t="str">
        <f>IF(ISNUMBER(INDEX('Database.Jan 12 to SEC'!$Q$6:$Q$191, MATCH($A146&amp;"% GDP", 'Database.Jan 12 to SEC'!$AD$6:$AD$191, 0))), INDEX('Database.Jan 12 to SEC'!$Q$6:$Q$191, MATCH($A146&amp;"% GDP", 'Database.Jan 12 to SEC'!$AD$6:$AD$191, 0)), "")</f>
        <v/>
      </c>
      <c r="V146" s="483"/>
      <c r="W146" s="480" t="str">
        <f>IF(ISNUMBER(INDEX('Database.Jan 12 to SEC'!$U$6:$U$191, MATCH($A146&amp;"% GDP", 'Database.Jan 12 to SEC'!$AD$6:$AD$191, 0))), INDEX('Database.Jan 12 to SEC'!$U$6:$U$191, MATCH($A146&amp;"% GDP", 'Database.Jan 12 to SEC'!$AD$6:$AD$191, 0)), "")</f>
        <v/>
      </c>
      <c r="X146" s="480" t="str">
        <f>IF(ISNUMBER(INDEX('Database.Jan 12 to SEC'!$W$6:$W$191, MATCH($A146&amp;"% GDP", 'Database.Jan 12 to SEC'!$AD$6:$AD$191, 0))), INDEX('Database.Jan 12 to SEC'!$W$6:$W$191, MATCH($A146&amp;"% GDP", 'Database.Jan 12 to SEC'!$AD$6:$AD$191, 0)), "")</f>
        <v/>
      </c>
      <c r="Z146" s="490"/>
      <c r="AA146" t="s">
        <v>1267</v>
      </c>
      <c r="AC146" s="299"/>
      <c r="AF146" s="443">
        <v>7.4404955534436894</v>
      </c>
      <c r="AG146" s="438">
        <v>2.9836987447040832</v>
      </c>
      <c r="AH146" s="438">
        <v>4.4567968087396057</v>
      </c>
      <c r="AI146" s="438" t="s">
        <v>452</v>
      </c>
      <c r="AJ146" s="437"/>
      <c r="AK146" s="443">
        <v>0.23586551341534254</v>
      </c>
      <c r="AL146" s="438" t="s">
        <v>452</v>
      </c>
      <c r="AM146" s="441"/>
      <c r="AN146" s="438">
        <v>0.23586551341534254</v>
      </c>
      <c r="AO146" s="438" t="s">
        <v>452</v>
      </c>
      <c r="AP146" s="331"/>
      <c r="AQ146" s="331"/>
      <c r="AR146" s="443">
        <v>2.3031524031183657</v>
      </c>
      <c r="AS146" s="438">
        <v>0.92358269482009558</v>
      </c>
      <c r="AT146" s="438">
        <v>1.3795697082982701</v>
      </c>
      <c r="AU146" s="438" t="s">
        <v>452</v>
      </c>
      <c r="AV146" s="437"/>
      <c r="AW146" s="443">
        <v>7.3010489709098458E-2</v>
      </c>
      <c r="AX146" s="438" t="s">
        <v>452</v>
      </c>
      <c r="AY146" s="441"/>
      <c r="AZ146" s="438">
        <v>7.3010489709098458E-2</v>
      </c>
      <c r="BA146" s="438" t="s">
        <v>452</v>
      </c>
    </row>
    <row r="147" spans="1:53">
      <c r="A147" s="415" t="s">
        <v>1088</v>
      </c>
      <c r="B147" s="415" t="s">
        <v>1088</v>
      </c>
      <c r="C147" s="488">
        <v>0.41782950447958811</v>
      </c>
      <c r="D147" s="480">
        <v>0.22829419547474228</v>
      </c>
      <c r="E147" s="480">
        <v>0.18953530900484583</v>
      </c>
      <c r="F147" s="480">
        <v>3.4854766324377652E-2</v>
      </c>
      <c r="G147" s="482"/>
      <c r="H147" s="481">
        <v>0.26391340810399344</v>
      </c>
      <c r="I147" s="480">
        <v>0.10456429897313295</v>
      </c>
      <c r="J147" s="483"/>
      <c r="K147" s="480">
        <v>0.15934910913086051</v>
      </c>
      <c r="L147" s="480" t="s">
        <v>452</v>
      </c>
      <c r="M147"/>
      <c r="N147"/>
      <c r="O147" s="481">
        <v>2.615335716687742</v>
      </c>
      <c r="P147" s="480">
        <v>1.3912712919976606</v>
      </c>
      <c r="Q147" s="480">
        <v>1.2240644246900814</v>
      </c>
      <c r="R147" s="480">
        <v>0.22793298946683291</v>
      </c>
      <c r="S147" s="482"/>
      <c r="T147" s="481">
        <v>1.5949375669726011</v>
      </c>
      <c r="U147" s="480">
        <v>0.68379896840049881</v>
      </c>
      <c r="V147" s="483"/>
      <c r="W147" s="480">
        <v>0.91113859857210233</v>
      </c>
      <c r="X147" s="480" t="s">
        <v>452</v>
      </c>
      <c r="Z147" s="490"/>
      <c r="AA147" t="s">
        <v>1267</v>
      </c>
      <c r="AC147" s="403"/>
      <c r="AF147" s="443">
        <v>0.41782950447958811</v>
      </c>
      <c r="AG147" s="438">
        <v>0.22829419547474228</v>
      </c>
      <c r="AH147" s="438">
        <v>0.18953530900484583</v>
      </c>
      <c r="AI147" s="438">
        <v>3.4854766324377652E-2</v>
      </c>
      <c r="AJ147" s="437"/>
      <c r="AK147" s="443">
        <v>0.26391340810399344</v>
      </c>
      <c r="AL147" s="438">
        <v>0.10456429897313295</v>
      </c>
      <c r="AM147" s="441"/>
      <c r="AN147" s="438">
        <v>0.15934910913086051</v>
      </c>
      <c r="AO147" s="438" t="s">
        <v>452</v>
      </c>
      <c r="AP147" s="331"/>
      <c r="AQ147" s="331"/>
      <c r="AR147" s="443">
        <v>2.615335716687742</v>
      </c>
      <c r="AS147" s="438">
        <v>1.3912712919976606</v>
      </c>
      <c r="AT147" s="438">
        <v>1.2240644246900814</v>
      </c>
      <c r="AU147" s="438">
        <v>0.22793298946683291</v>
      </c>
      <c r="AV147" s="437"/>
      <c r="AW147" s="443">
        <v>1.5949375669726011</v>
      </c>
      <c r="AX147" s="438">
        <v>0.68379896840049881</v>
      </c>
      <c r="AY147" s="441"/>
      <c r="AZ147" s="438">
        <v>0.91113859857210233</v>
      </c>
      <c r="BA147" s="438" t="s">
        <v>452</v>
      </c>
    </row>
    <row r="148" spans="1:53">
      <c r="A148" s="415" t="s">
        <v>1089</v>
      </c>
      <c r="B148" s="415" t="s">
        <v>1089</v>
      </c>
      <c r="C148" s="481" t="s">
        <v>452</v>
      </c>
      <c r="D148" s="480" t="s">
        <v>452</v>
      </c>
      <c r="E148" s="480" t="s">
        <v>452</v>
      </c>
      <c r="F148" s="480" t="s">
        <v>452</v>
      </c>
      <c r="G148" s="483"/>
      <c r="H148" s="481" t="s">
        <v>452</v>
      </c>
      <c r="I148" s="480" t="s">
        <v>452</v>
      </c>
      <c r="J148" s="483"/>
      <c r="K148" s="480" t="s">
        <v>452</v>
      </c>
      <c r="L148" s="480" t="s">
        <v>452</v>
      </c>
      <c r="M148"/>
      <c r="N148"/>
      <c r="O148" s="481" t="s">
        <v>452</v>
      </c>
      <c r="P148" s="480" t="s">
        <v>452</v>
      </c>
      <c r="Q148" s="480" t="s">
        <v>452</v>
      </c>
      <c r="R148" s="480" t="s">
        <v>452</v>
      </c>
      <c r="S148" s="482"/>
      <c r="T148" s="481" t="s">
        <v>452</v>
      </c>
      <c r="U148" s="480" t="s">
        <v>452</v>
      </c>
      <c r="V148" s="483"/>
      <c r="W148" s="480" t="s">
        <v>452</v>
      </c>
      <c r="X148" s="480" t="s">
        <v>452</v>
      </c>
      <c r="Z148" s="490"/>
      <c r="AA148" t="s">
        <v>1267</v>
      </c>
      <c r="AC148" s="403"/>
      <c r="AF148" s="443" t="s">
        <v>452</v>
      </c>
      <c r="AG148" s="438" t="s">
        <v>452</v>
      </c>
      <c r="AH148" s="438" t="s">
        <v>452</v>
      </c>
      <c r="AI148" s="438" t="s">
        <v>452</v>
      </c>
      <c r="AJ148" s="437"/>
      <c r="AK148" s="443" t="s">
        <v>452</v>
      </c>
      <c r="AL148" s="438" t="s">
        <v>452</v>
      </c>
      <c r="AM148" s="441"/>
      <c r="AN148" s="438" t="s">
        <v>452</v>
      </c>
      <c r="AO148" s="438" t="s">
        <v>452</v>
      </c>
      <c r="AP148" s="331"/>
      <c r="AQ148" s="331"/>
      <c r="AR148" s="443" t="s">
        <v>452</v>
      </c>
      <c r="AS148" s="438" t="s">
        <v>452</v>
      </c>
      <c r="AT148" s="438" t="s">
        <v>452</v>
      </c>
      <c r="AU148" s="438" t="s">
        <v>452</v>
      </c>
      <c r="AV148" s="437"/>
      <c r="AW148" s="443" t="s">
        <v>452</v>
      </c>
      <c r="AX148" s="438" t="s">
        <v>452</v>
      </c>
      <c r="AY148" s="441"/>
      <c r="AZ148" s="438" t="s">
        <v>452</v>
      </c>
      <c r="BA148" s="438" t="s">
        <v>452</v>
      </c>
    </row>
    <row r="149" spans="1:53">
      <c r="A149" s="415" t="s">
        <v>1090</v>
      </c>
      <c r="B149" s="415" t="s">
        <v>1090</v>
      </c>
      <c r="C149" s="488">
        <v>0.6</v>
      </c>
      <c r="D149" s="480">
        <v>0.27</v>
      </c>
      <c r="E149" s="480">
        <v>0.32999999999999996</v>
      </c>
      <c r="F149" s="480" t="s">
        <v>452</v>
      </c>
      <c r="G149" s="482"/>
      <c r="H149" s="481" t="s">
        <v>452</v>
      </c>
      <c r="I149" s="480" t="s">
        <v>452</v>
      </c>
      <c r="J149" s="483"/>
      <c r="K149" s="480" t="s">
        <v>452</v>
      </c>
      <c r="L149" s="480" t="s">
        <v>452</v>
      </c>
      <c r="M149"/>
      <c r="N149"/>
      <c r="O149" s="481">
        <v>3.8</v>
      </c>
      <c r="P149" s="480">
        <v>1.7</v>
      </c>
      <c r="Q149" s="480">
        <v>2.0999999999999996</v>
      </c>
      <c r="R149" s="480" t="s">
        <v>452</v>
      </c>
      <c r="S149" s="482"/>
      <c r="T149" s="481" t="s">
        <v>452</v>
      </c>
      <c r="U149" s="480" t="s">
        <v>452</v>
      </c>
      <c r="V149" s="483"/>
      <c r="W149" s="480" t="s">
        <v>452</v>
      </c>
      <c r="X149" s="480" t="s">
        <v>452</v>
      </c>
      <c r="Z149" s="490"/>
      <c r="AA149" t="s">
        <v>1267</v>
      </c>
      <c r="AC149" s="403"/>
      <c r="AF149" s="443">
        <v>0.6</v>
      </c>
      <c r="AG149" s="438">
        <v>0.27</v>
      </c>
      <c r="AH149" s="438">
        <v>0.32999999999999996</v>
      </c>
      <c r="AI149" s="438" t="s">
        <v>452</v>
      </c>
      <c r="AJ149" s="437"/>
      <c r="AK149" s="443" t="s">
        <v>452</v>
      </c>
      <c r="AL149" s="438" t="s">
        <v>452</v>
      </c>
      <c r="AM149" s="441"/>
      <c r="AN149" s="438" t="s">
        <v>452</v>
      </c>
      <c r="AO149" s="438" t="s">
        <v>452</v>
      </c>
      <c r="AP149" s="331"/>
      <c r="AQ149" s="331"/>
      <c r="AR149" s="443">
        <v>3.8</v>
      </c>
      <c r="AS149" s="438">
        <v>1.7</v>
      </c>
      <c r="AT149" s="438">
        <v>2.0999999999999996</v>
      </c>
      <c r="AU149" s="438" t="s">
        <v>452</v>
      </c>
      <c r="AV149" s="437"/>
      <c r="AW149" s="443" t="s">
        <v>452</v>
      </c>
      <c r="AX149" s="438" t="s">
        <v>452</v>
      </c>
      <c r="AY149" s="441"/>
      <c r="AZ149" s="438" t="s">
        <v>452</v>
      </c>
      <c r="BA149" s="438" t="s">
        <v>452</v>
      </c>
    </row>
    <row r="150" spans="1:53">
      <c r="A150" s="415" t="s">
        <v>1091</v>
      </c>
      <c r="B150" s="415" t="s">
        <v>1091</v>
      </c>
      <c r="C150" s="488">
        <v>0.15367717104864326</v>
      </c>
      <c r="D150" s="480">
        <v>5.723077793724532E-2</v>
      </c>
      <c r="E150" s="480">
        <v>9.6446393111397924E-2</v>
      </c>
      <c r="F150" s="480" t="s">
        <v>452</v>
      </c>
      <c r="G150" s="482"/>
      <c r="H150" s="481" t="s">
        <v>452</v>
      </c>
      <c r="I150" s="480" t="s">
        <v>452</v>
      </c>
      <c r="J150" s="483"/>
      <c r="K150" s="480" t="s">
        <v>452</v>
      </c>
      <c r="L150" s="480" t="s">
        <v>452</v>
      </c>
      <c r="M150"/>
      <c r="N150"/>
      <c r="O150" s="481">
        <v>5.0555050453497747</v>
      </c>
      <c r="P150" s="480">
        <v>1.8827161161071533</v>
      </c>
      <c r="Q150" s="480">
        <v>3.1727889292426212</v>
      </c>
      <c r="R150" s="480" t="s">
        <v>452</v>
      </c>
      <c r="S150" s="482"/>
      <c r="T150" s="481" t="s">
        <v>452</v>
      </c>
      <c r="U150" s="480" t="s">
        <v>452</v>
      </c>
      <c r="V150" s="483"/>
      <c r="W150" s="480" t="s">
        <v>452</v>
      </c>
      <c r="X150" s="480" t="s">
        <v>452</v>
      </c>
      <c r="Z150" s="490"/>
      <c r="AA150" t="s">
        <v>1267</v>
      </c>
      <c r="AC150" s="403"/>
      <c r="AF150" s="443">
        <v>0.15367717104864326</v>
      </c>
      <c r="AG150" s="438">
        <v>5.723077793724532E-2</v>
      </c>
      <c r="AH150" s="438">
        <v>9.6446393111397924E-2</v>
      </c>
      <c r="AI150" s="438" t="s">
        <v>452</v>
      </c>
      <c r="AJ150" s="437"/>
      <c r="AK150" s="443" t="s">
        <v>452</v>
      </c>
      <c r="AL150" s="438" t="s">
        <v>452</v>
      </c>
      <c r="AM150" s="441"/>
      <c r="AN150" s="438" t="s">
        <v>452</v>
      </c>
      <c r="AO150" s="438" t="s">
        <v>452</v>
      </c>
      <c r="AP150" s="331"/>
      <c r="AQ150" s="331"/>
      <c r="AR150" s="443">
        <v>5.0555050453497747</v>
      </c>
      <c r="AS150" s="438">
        <v>1.8827161161071533</v>
      </c>
      <c r="AT150" s="438">
        <v>3.1727889292426212</v>
      </c>
      <c r="AU150" s="438" t="s">
        <v>452</v>
      </c>
      <c r="AV150" s="437"/>
      <c r="AW150" s="443" t="s">
        <v>452</v>
      </c>
      <c r="AX150" s="438" t="s">
        <v>452</v>
      </c>
      <c r="AY150" s="441"/>
      <c r="AZ150" s="438" t="s">
        <v>452</v>
      </c>
      <c r="BA150" s="438" t="s">
        <v>452</v>
      </c>
    </row>
    <row r="151" spans="1:53">
      <c r="A151" s="415" t="s">
        <v>1092</v>
      </c>
      <c r="B151" s="415" t="s">
        <v>1092</v>
      </c>
      <c r="C151" s="488">
        <v>1.2556657215609024</v>
      </c>
      <c r="D151" s="480">
        <v>0.27303641302823461</v>
      </c>
      <c r="E151" s="480">
        <v>0.98262930853266783</v>
      </c>
      <c r="F151" s="480" t="s">
        <v>452</v>
      </c>
      <c r="G151" s="482"/>
      <c r="H151" s="481">
        <v>5.9138825533346128E-4</v>
      </c>
      <c r="I151" s="480" t="s">
        <v>452</v>
      </c>
      <c r="J151" s="483"/>
      <c r="K151" s="480" t="s">
        <v>452</v>
      </c>
      <c r="L151" s="480">
        <v>5.9138825533346128E-4</v>
      </c>
      <c r="M151"/>
      <c r="N151"/>
      <c r="O151" s="481">
        <v>4.9844650782508682</v>
      </c>
      <c r="P151" s="480">
        <v>1.0838397851128305</v>
      </c>
      <c r="Q151" s="480">
        <v>3.9006252931380372</v>
      </c>
      <c r="R151" s="480" t="s">
        <v>452</v>
      </c>
      <c r="S151" s="482"/>
      <c r="T151" s="481">
        <v>2.3475627754917356E-3</v>
      </c>
      <c r="U151" s="480" t="s">
        <v>452</v>
      </c>
      <c r="V151" s="483"/>
      <c r="W151" s="480" t="s">
        <v>452</v>
      </c>
      <c r="X151" s="480">
        <v>2.3475627754917356E-3</v>
      </c>
      <c r="Z151" s="490"/>
      <c r="AA151" t="s">
        <v>1267</v>
      </c>
      <c r="AC151" s="403"/>
      <c r="AF151" s="443">
        <v>1.2556657215609024</v>
      </c>
      <c r="AG151" s="438">
        <v>0.27303641302823461</v>
      </c>
      <c r="AH151" s="438">
        <v>0.98262930853266783</v>
      </c>
      <c r="AI151" s="438" t="s">
        <v>452</v>
      </c>
      <c r="AJ151" s="437"/>
      <c r="AK151" s="443">
        <v>5.9138825533346128E-4</v>
      </c>
      <c r="AL151" s="438" t="s">
        <v>452</v>
      </c>
      <c r="AM151" s="441"/>
      <c r="AN151" s="438" t="s">
        <v>452</v>
      </c>
      <c r="AO151" s="438">
        <v>5.9138825533346128E-4</v>
      </c>
      <c r="AP151" s="331"/>
      <c r="AQ151" s="331"/>
      <c r="AR151" s="443">
        <v>4.9844650782508682</v>
      </c>
      <c r="AS151" s="438">
        <v>1.0838397851128305</v>
      </c>
      <c r="AT151" s="438">
        <v>3.9006252931380372</v>
      </c>
      <c r="AU151" s="438" t="s">
        <v>452</v>
      </c>
      <c r="AV151" s="437"/>
      <c r="AW151" s="443">
        <v>2.3475627754917356E-3</v>
      </c>
      <c r="AX151" s="438" t="s">
        <v>452</v>
      </c>
      <c r="AY151" s="441"/>
      <c r="AZ151" s="438" t="s">
        <v>452</v>
      </c>
      <c r="BA151" s="438">
        <v>2.3475627754917356E-3</v>
      </c>
    </row>
    <row r="152" spans="1:53">
      <c r="A152" s="415" t="s">
        <v>1093</v>
      </c>
      <c r="B152" s="415" t="s">
        <v>1093</v>
      </c>
      <c r="C152" s="488">
        <v>1.0874206115591551</v>
      </c>
      <c r="D152" s="480">
        <v>0.10213054383763584</v>
      </c>
      <c r="E152" s="480">
        <v>0.98529006772151917</v>
      </c>
      <c r="F152" s="480" t="s">
        <v>452</v>
      </c>
      <c r="G152" s="482"/>
      <c r="H152" s="481" t="s">
        <v>452</v>
      </c>
      <c r="I152" s="480" t="s">
        <v>452</v>
      </c>
      <c r="J152" s="483"/>
      <c r="K152" s="480" t="s">
        <v>452</v>
      </c>
      <c r="L152" s="480" t="s">
        <v>452</v>
      </c>
      <c r="M152"/>
      <c r="N152"/>
      <c r="O152" s="481">
        <v>2.7227524878440037</v>
      </c>
      <c r="P152" s="480">
        <v>0.25572091365830885</v>
      </c>
      <c r="Q152" s="480">
        <v>2.4670315741856945</v>
      </c>
      <c r="R152" s="480" t="s">
        <v>452</v>
      </c>
      <c r="S152" s="482"/>
      <c r="T152" s="481" t="s">
        <v>452</v>
      </c>
      <c r="U152" s="480" t="s">
        <v>452</v>
      </c>
      <c r="V152" s="483"/>
      <c r="W152" s="480" t="s">
        <v>452</v>
      </c>
      <c r="X152" s="480" t="s">
        <v>452</v>
      </c>
      <c r="Z152" s="490"/>
      <c r="AA152" t="s">
        <v>1267</v>
      </c>
      <c r="AC152" s="403"/>
      <c r="AF152" s="443">
        <v>1.0874206115591551</v>
      </c>
      <c r="AG152" s="438">
        <v>0.10213054383763584</v>
      </c>
      <c r="AH152" s="438">
        <v>0.98529006772151917</v>
      </c>
      <c r="AI152" s="438" t="s">
        <v>452</v>
      </c>
      <c r="AJ152" s="437"/>
      <c r="AK152" s="443" t="s">
        <v>452</v>
      </c>
      <c r="AL152" s="438" t="s">
        <v>452</v>
      </c>
      <c r="AM152" s="441"/>
      <c r="AN152" s="438" t="s">
        <v>452</v>
      </c>
      <c r="AO152" s="438" t="s">
        <v>452</v>
      </c>
      <c r="AP152" s="331"/>
      <c r="AQ152" s="331"/>
      <c r="AR152" s="443">
        <v>2.7227524878440037</v>
      </c>
      <c r="AS152" s="438">
        <v>0.25572091365830885</v>
      </c>
      <c r="AT152" s="438">
        <v>2.4670315741856945</v>
      </c>
      <c r="AU152" s="438" t="s">
        <v>452</v>
      </c>
      <c r="AV152" s="437"/>
      <c r="AW152" s="443" t="s">
        <v>452</v>
      </c>
      <c r="AX152" s="438" t="s">
        <v>452</v>
      </c>
      <c r="AY152" s="441"/>
      <c r="AZ152" s="438" t="s">
        <v>452</v>
      </c>
      <c r="BA152" s="438" t="s">
        <v>452</v>
      </c>
    </row>
    <row r="153" spans="1:53">
      <c r="A153" s="415" t="s">
        <v>1094</v>
      </c>
      <c r="B153" s="415" t="s">
        <v>1094</v>
      </c>
      <c r="C153" s="488">
        <v>2.7489993060215441E-2</v>
      </c>
      <c r="D153" s="480">
        <v>1.7398729784946481E-2</v>
      </c>
      <c r="E153" s="480">
        <v>1.009126327526896E-2</v>
      </c>
      <c r="F153" s="480" t="s">
        <v>452</v>
      </c>
      <c r="G153" s="482"/>
      <c r="H153" s="481" t="s">
        <v>452</v>
      </c>
      <c r="I153" s="480" t="s">
        <v>452</v>
      </c>
      <c r="J153" s="483"/>
      <c r="K153" s="480" t="s">
        <v>452</v>
      </c>
      <c r="L153" s="480" t="s">
        <v>452</v>
      </c>
      <c r="M153"/>
      <c r="N153"/>
      <c r="O153" s="481">
        <v>1.1516936727816518</v>
      </c>
      <c r="P153" s="480">
        <v>0.72892004606433658</v>
      </c>
      <c r="Q153" s="480">
        <v>0.42277362671731522</v>
      </c>
      <c r="R153" s="480" t="s">
        <v>452</v>
      </c>
      <c r="S153" s="482"/>
      <c r="T153" s="481" t="s">
        <v>452</v>
      </c>
      <c r="U153" s="480" t="s">
        <v>452</v>
      </c>
      <c r="V153" s="483"/>
      <c r="W153" s="480" t="s">
        <v>452</v>
      </c>
      <c r="X153" s="480" t="s">
        <v>452</v>
      </c>
      <c r="Z153" s="490"/>
      <c r="AA153" t="s">
        <v>1267</v>
      </c>
      <c r="AC153" s="403"/>
      <c r="AF153" s="443">
        <v>2.7489993060215441E-2</v>
      </c>
      <c r="AG153" s="438">
        <v>1.7398729784946481E-2</v>
      </c>
      <c r="AH153" s="438">
        <v>1.009126327526896E-2</v>
      </c>
      <c r="AI153" s="438" t="s">
        <v>452</v>
      </c>
      <c r="AJ153" s="437"/>
      <c r="AK153" s="443" t="s">
        <v>452</v>
      </c>
      <c r="AL153" s="438" t="s">
        <v>452</v>
      </c>
      <c r="AM153" s="441"/>
      <c r="AN153" s="438" t="s">
        <v>452</v>
      </c>
      <c r="AO153" s="438" t="s">
        <v>452</v>
      </c>
      <c r="AP153" s="331"/>
      <c r="AQ153" s="331"/>
      <c r="AR153" s="443">
        <v>1.1516936727816518</v>
      </c>
      <c r="AS153" s="438">
        <v>0.72892004606433658</v>
      </c>
      <c r="AT153" s="438">
        <v>0.42277362671731522</v>
      </c>
      <c r="AU153" s="438" t="s">
        <v>452</v>
      </c>
      <c r="AV153" s="437"/>
      <c r="AW153" s="443" t="s">
        <v>452</v>
      </c>
      <c r="AX153" s="438" t="s">
        <v>452</v>
      </c>
      <c r="AY153" s="441"/>
      <c r="AZ153" s="438" t="s">
        <v>452</v>
      </c>
      <c r="BA153" s="438" t="s">
        <v>452</v>
      </c>
    </row>
    <row r="154" spans="1:53">
      <c r="A154" s="415" t="s">
        <v>1095</v>
      </c>
      <c r="B154" s="415" t="s">
        <v>1095</v>
      </c>
      <c r="C154" s="488">
        <v>0.57241820992473713</v>
      </c>
      <c r="D154" s="480">
        <v>7.307466509677496E-2</v>
      </c>
      <c r="E154" s="480">
        <v>0.49934354482796217</v>
      </c>
      <c r="F154" s="480" t="s">
        <v>452</v>
      </c>
      <c r="G154" s="482"/>
      <c r="H154" s="481" t="s">
        <v>452</v>
      </c>
      <c r="I154" s="480" t="s">
        <v>452</v>
      </c>
      <c r="J154" s="483"/>
      <c r="K154" s="480">
        <v>0</v>
      </c>
      <c r="L154" s="480" t="s">
        <v>452</v>
      </c>
      <c r="M154"/>
      <c r="N154"/>
      <c r="O154" s="481">
        <v>5.2826581188893638</v>
      </c>
      <c r="P154" s="480">
        <v>0.67438188751779127</v>
      </c>
      <c r="Q154" s="480">
        <v>4.6082762313715726</v>
      </c>
      <c r="R154" s="480" t="s">
        <v>452</v>
      </c>
      <c r="S154" s="482"/>
      <c r="T154" s="481" t="s">
        <v>452</v>
      </c>
      <c r="U154" s="480" t="s">
        <v>452</v>
      </c>
      <c r="V154" s="483"/>
      <c r="W154" s="480">
        <v>0</v>
      </c>
      <c r="X154" s="480" t="s">
        <v>452</v>
      </c>
      <c r="Z154" s="490"/>
      <c r="AA154" t="s">
        <v>1267</v>
      </c>
      <c r="AC154" s="403"/>
      <c r="AF154" s="443">
        <v>0.57241820992473713</v>
      </c>
      <c r="AG154" s="438">
        <v>7.307466509677496E-2</v>
      </c>
      <c r="AH154" s="438">
        <v>0.49934354482796217</v>
      </c>
      <c r="AI154" s="438" t="s">
        <v>452</v>
      </c>
      <c r="AJ154" s="437"/>
      <c r="AK154" s="443" t="s">
        <v>452</v>
      </c>
      <c r="AL154" s="438" t="s">
        <v>452</v>
      </c>
      <c r="AM154" s="441"/>
      <c r="AN154" s="438">
        <v>0</v>
      </c>
      <c r="AO154" s="438" t="s">
        <v>452</v>
      </c>
      <c r="AP154" s="331"/>
      <c r="AQ154" s="331"/>
      <c r="AR154" s="443">
        <v>5.2826581188893638</v>
      </c>
      <c r="AS154" s="438">
        <v>0.67438188751779127</v>
      </c>
      <c r="AT154" s="438">
        <v>4.6082762313715726</v>
      </c>
      <c r="AU154" s="438" t="s">
        <v>452</v>
      </c>
      <c r="AV154" s="437"/>
      <c r="AW154" s="443" t="s">
        <v>452</v>
      </c>
      <c r="AX154" s="438" t="s">
        <v>452</v>
      </c>
      <c r="AY154" s="441"/>
      <c r="AZ154" s="438">
        <v>0</v>
      </c>
      <c r="BA154" s="438" t="s">
        <v>452</v>
      </c>
    </row>
    <row r="155" spans="1:53">
      <c r="A155" s="415" t="s">
        <v>1096</v>
      </c>
      <c r="B155" s="415" t="s">
        <v>1096</v>
      </c>
      <c r="C155" s="488">
        <v>4.3148849866667199E-2</v>
      </c>
      <c r="D155" s="480">
        <v>2.4126238635125745E-2</v>
      </c>
      <c r="E155" s="480">
        <v>1.9022611231541454E-2</v>
      </c>
      <c r="F155" s="480" t="s">
        <v>452</v>
      </c>
      <c r="G155" s="482"/>
      <c r="H155" s="481" t="s">
        <v>452</v>
      </c>
      <c r="I155" s="480" t="s">
        <v>452</v>
      </c>
      <c r="J155" s="483"/>
      <c r="K155" s="480" t="s">
        <v>452</v>
      </c>
      <c r="L155" s="480" t="s">
        <v>452</v>
      </c>
      <c r="M155"/>
      <c r="N155"/>
      <c r="O155" s="481">
        <v>3.5484291072312235</v>
      </c>
      <c r="P155" s="480">
        <v>1.9840678879142322</v>
      </c>
      <c r="Q155" s="480">
        <v>1.5643612193169909</v>
      </c>
      <c r="R155" s="480" t="s">
        <v>452</v>
      </c>
      <c r="S155" s="482"/>
      <c r="T155" s="481" t="s">
        <v>452</v>
      </c>
      <c r="U155" s="480" t="s">
        <v>452</v>
      </c>
      <c r="V155" s="483"/>
      <c r="W155" s="480" t="s">
        <v>452</v>
      </c>
      <c r="X155" s="480" t="s">
        <v>452</v>
      </c>
      <c r="Z155" s="490"/>
      <c r="AA155" t="s">
        <v>1267</v>
      </c>
      <c r="AC155" s="403"/>
      <c r="AF155" s="443">
        <v>4.3148849866667199E-2</v>
      </c>
      <c r="AG155" s="438">
        <v>2.4126238635125745E-2</v>
      </c>
      <c r="AH155" s="438">
        <v>1.9022611231541454E-2</v>
      </c>
      <c r="AI155" s="438" t="s">
        <v>452</v>
      </c>
      <c r="AJ155" s="437"/>
      <c r="AK155" s="443" t="s">
        <v>452</v>
      </c>
      <c r="AL155" s="438" t="s">
        <v>452</v>
      </c>
      <c r="AM155" s="441"/>
      <c r="AN155" s="438" t="s">
        <v>452</v>
      </c>
      <c r="AO155" s="438" t="s">
        <v>452</v>
      </c>
      <c r="AP155" s="331"/>
      <c r="AQ155" s="331"/>
      <c r="AR155" s="443">
        <v>3.5484291072312235</v>
      </c>
      <c r="AS155" s="438">
        <v>1.9840678879142322</v>
      </c>
      <c r="AT155" s="438">
        <v>1.5643612193169909</v>
      </c>
      <c r="AU155" s="438" t="s">
        <v>452</v>
      </c>
      <c r="AV155" s="437"/>
      <c r="AW155" s="443" t="s">
        <v>452</v>
      </c>
      <c r="AX155" s="438" t="s">
        <v>452</v>
      </c>
      <c r="AY155" s="441"/>
      <c r="AZ155" s="438" t="s">
        <v>452</v>
      </c>
      <c r="BA155" s="438" t="s">
        <v>452</v>
      </c>
    </row>
    <row r="156" spans="1:53">
      <c r="A156" s="415" t="s">
        <v>1098</v>
      </c>
      <c r="B156" s="415" t="s">
        <v>1098</v>
      </c>
      <c r="C156" s="488">
        <v>0.23488285209677748</v>
      </c>
      <c r="D156" s="480">
        <v>0.1304904733870986</v>
      </c>
      <c r="E156" s="480">
        <v>0.10439237870967888</v>
      </c>
      <c r="F156" s="480" t="s">
        <v>452</v>
      </c>
      <c r="G156" s="482"/>
      <c r="H156" s="481">
        <v>4.3496824462366204E-2</v>
      </c>
      <c r="I156" s="480" t="s">
        <v>452</v>
      </c>
      <c r="J156" s="483"/>
      <c r="K156" s="480">
        <v>4.3496824462366204E-2</v>
      </c>
      <c r="L156" s="480" t="s">
        <v>452</v>
      </c>
      <c r="M156"/>
      <c r="N156"/>
      <c r="O156" s="481">
        <v>2.2740570442212653</v>
      </c>
      <c r="P156" s="480">
        <v>1.2633650245673695</v>
      </c>
      <c r="Q156" s="480">
        <v>1.0106920196538958</v>
      </c>
      <c r="R156" s="480" t="s">
        <v>452</v>
      </c>
      <c r="S156" s="482"/>
      <c r="T156" s="481">
        <v>0.42112167485578988</v>
      </c>
      <c r="U156" s="480" t="s">
        <v>452</v>
      </c>
      <c r="V156" s="483"/>
      <c r="W156" s="480">
        <v>0.42112167485578988</v>
      </c>
      <c r="X156" s="480" t="s">
        <v>452</v>
      </c>
      <c r="Z156" s="490"/>
      <c r="AA156" t="s">
        <v>1267</v>
      </c>
      <c r="AC156" s="403"/>
      <c r="AF156" s="443">
        <v>0.23488285209677748</v>
      </c>
      <c r="AG156" s="438">
        <v>0.1304904733870986</v>
      </c>
      <c r="AH156" s="438">
        <v>0.10439237870967888</v>
      </c>
      <c r="AI156" s="438" t="s">
        <v>452</v>
      </c>
      <c r="AJ156" s="437"/>
      <c r="AK156" s="443">
        <v>4.3496824462366204E-2</v>
      </c>
      <c r="AL156" s="438" t="s">
        <v>452</v>
      </c>
      <c r="AM156" s="441"/>
      <c r="AN156" s="438">
        <v>4.3496824462366204E-2</v>
      </c>
      <c r="AO156" s="438" t="s">
        <v>452</v>
      </c>
      <c r="AP156" s="331"/>
      <c r="AQ156" s="331"/>
      <c r="AR156" s="443">
        <v>2.2740570442212653</v>
      </c>
      <c r="AS156" s="438">
        <v>1.2633650245673695</v>
      </c>
      <c r="AT156" s="438">
        <v>1.0106920196538958</v>
      </c>
      <c r="AU156" s="438" t="s">
        <v>452</v>
      </c>
      <c r="AV156" s="437"/>
      <c r="AW156" s="443">
        <v>0.42112167485578988</v>
      </c>
      <c r="AX156" s="438" t="s">
        <v>452</v>
      </c>
      <c r="AY156" s="441"/>
      <c r="AZ156" s="438">
        <v>0.42112167485578988</v>
      </c>
      <c r="BA156" s="438" t="s">
        <v>452</v>
      </c>
    </row>
    <row r="157" spans="1:53">
      <c r="A157" s="415" t="s">
        <v>94</v>
      </c>
      <c r="B157" s="415" t="s">
        <v>94</v>
      </c>
      <c r="C157" s="488">
        <v>1.5977253561516351</v>
      </c>
      <c r="D157" s="480">
        <v>0.3</v>
      </c>
      <c r="E157" s="480">
        <v>1.2977253561516351</v>
      </c>
      <c r="F157" s="480" t="s">
        <v>452</v>
      </c>
      <c r="G157" s="482"/>
      <c r="H157" s="481" t="s">
        <v>452</v>
      </c>
      <c r="I157" s="480" t="s">
        <v>452</v>
      </c>
      <c r="J157" s="483"/>
      <c r="K157" s="480" t="s">
        <v>452</v>
      </c>
      <c r="L157" s="480" t="s">
        <v>452</v>
      </c>
      <c r="M157"/>
      <c r="N157"/>
      <c r="O157" s="481">
        <v>2.5</v>
      </c>
      <c r="P157" s="480">
        <v>0.5</v>
      </c>
      <c r="Q157" s="480">
        <v>2</v>
      </c>
      <c r="R157" s="480" t="s">
        <v>452</v>
      </c>
      <c r="S157" s="482"/>
      <c r="T157" s="481" t="s">
        <v>452</v>
      </c>
      <c r="U157" s="480" t="s">
        <v>452</v>
      </c>
      <c r="V157" s="483"/>
      <c r="W157" s="480" t="s">
        <v>452</v>
      </c>
      <c r="X157" s="480" t="s">
        <v>452</v>
      </c>
      <c r="Z157" s="490"/>
      <c r="AA157" t="s">
        <v>1267</v>
      </c>
      <c r="AC157" s="403"/>
      <c r="AF157" s="443">
        <v>1.5977253561516351</v>
      </c>
      <c r="AG157" s="438">
        <v>0.3</v>
      </c>
      <c r="AH157" s="438">
        <v>1.2977253561516351</v>
      </c>
      <c r="AI157" s="438" t="s">
        <v>452</v>
      </c>
      <c r="AJ157" s="437"/>
      <c r="AK157" s="443" t="s">
        <v>452</v>
      </c>
      <c r="AL157" s="438" t="s">
        <v>452</v>
      </c>
      <c r="AM157" s="441"/>
      <c r="AN157" s="438" t="s">
        <v>452</v>
      </c>
      <c r="AO157" s="438" t="s">
        <v>452</v>
      </c>
      <c r="AP157" s="331"/>
      <c r="AQ157" s="331"/>
      <c r="AR157" s="443">
        <v>2.5</v>
      </c>
      <c r="AS157" s="438">
        <v>0.5</v>
      </c>
      <c r="AT157" s="438">
        <v>2</v>
      </c>
      <c r="AU157" s="438" t="s">
        <v>452</v>
      </c>
      <c r="AV157" s="437"/>
      <c r="AW157" s="443" t="s">
        <v>452</v>
      </c>
      <c r="AX157" s="438" t="s">
        <v>452</v>
      </c>
      <c r="AY157" s="441"/>
      <c r="AZ157" s="438" t="s">
        <v>452</v>
      </c>
      <c r="BA157" s="438" t="s">
        <v>452</v>
      </c>
    </row>
    <row r="158" spans="1:53">
      <c r="A158" s="415" t="s">
        <v>1097</v>
      </c>
      <c r="B158" s="415" t="s">
        <v>1097</v>
      </c>
      <c r="C158" s="488">
        <v>1.9675737656882086</v>
      </c>
      <c r="D158" s="480">
        <v>8.6955634442986984E-2</v>
      </c>
      <c r="E158" s="480">
        <v>1.8806181312452217</v>
      </c>
      <c r="F158" s="480" t="s">
        <v>452</v>
      </c>
      <c r="G158" s="482"/>
      <c r="H158" s="481" t="s">
        <v>452</v>
      </c>
      <c r="I158" s="480" t="s">
        <v>452</v>
      </c>
      <c r="J158" s="483"/>
      <c r="K158" s="480" t="s">
        <v>452</v>
      </c>
      <c r="L158" s="480" t="s">
        <v>452</v>
      </c>
      <c r="M158"/>
      <c r="N158"/>
      <c r="O158" s="481">
        <v>4.0396514459547577</v>
      </c>
      <c r="P158" s="480">
        <v>0.17852975097411913</v>
      </c>
      <c r="Q158" s="480">
        <v>3.8611216949806382</v>
      </c>
      <c r="R158" s="480" t="s">
        <v>452</v>
      </c>
      <c r="S158" s="482"/>
      <c r="T158" s="481" t="s">
        <v>452</v>
      </c>
      <c r="U158" s="480" t="s">
        <v>452</v>
      </c>
      <c r="V158" s="483"/>
      <c r="W158" s="480" t="s">
        <v>452</v>
      </c>
      <c r="X158" s="480" t="s">
        <v>452</v>
      </c>
      <c r="Z158" s="490"/>
      <c r="AA158" t="s">
        <v>1267</v>
      </c>
      <c r="AC158" s="403"/>
      <c r="AF158" s="443">
        <v>1.9675737656882086</v>
      </c>
      <c r="AG158" s="438">
        <v>8.6955634442986984E-2</v>
      </c>
      <c r="AH158" s="438">
        <v>1.8806181312452217</v>
      </c>
      <c r="AI158" s="438" t="s">
        <v>452</v>
      </c>
      <c r="AJ158" s="437"/>
      <c r="AK158" s="443" t="s">
        <v>452</v>
      </c>
      <c r="AL158" s="438" t="s">
        <v>452</v>
      </c>
      <c r="AM158" s="441"/>
      <c r="AN158" s="438" t="s">
        <v>452</v>
      </c>
      <c r="AO158" s="438" t="s">
        <v>452</v>
      </c>
      <c r="AP158" s="331"/>
      <c r="AQ158" s="331"/>
      <c r="AR158" s="443">
        <v>4.0396514459547577</v>
      </c>
      <c r="AS158" s="438">
        <v>0.17852975097411913</v>
      </c>
      <c r="AT158" s="438">
        <v>3.8611216949806382</v>
      </c>
      <c r="AU158" s="438" t="s">
        <v>452</v>
      </c>
      <c r="AV158" s="437"/>
      <c r="AW158" s="443" t="s">
        <v>452</v>
      </c>
      <c r="AX158" s="438" t="s">
        <v>452</v>
      </c>
      <c r="AY158" s="441"/>
      <c r="AZ158" s="438" t="s">
        <v>452</v>
      </c>
      <c r="BA158" s="438" t="s">
        <v>452</v>
      </c>
    </row>
    <row r="159" spans="1:53">
      <c r="A159" s="415" t="s">
        <v>1099</v>
      </c>
      <c r="B159" s="415" t="s">
        <v>1099</v>
      </c>
      <c r="C159" s="488">
        <v>0.10263277834358348</v>
      </c>
      <c r="D159" s="480">
        <v>2.8133985291552491E-2</v>
      </c>
      <c r="E159" s="480">
        <v>7.4498793052030984E-2</v>
      </c>
      <c r="F159" s="480" t="s">
        <v>452</v>
      </c>
      <c r="G159" s="482"/>
      <c r="H159" s="481" t="s">
        <v>452</v>
      </c>
      <c r="I159" s="480" t="s">
        <v>452</v>
      </c>
      <c r="J159" s="483"/>
      <c r="K159" s="480" t="s">
        <v>452</v>
      </c>
      <c r="L159" s="480" t="s">
        <v>452</v>
      </c>
      <c r="M159"/>
      <c r="N159"/>
      <c r="O159" s="481">
        <v>2.9836838281640916</v>
      </c>
      <c r="P159" s="480">
        <v>0.8178957862291919</v>
      </c>
      <c r="Q159" s="480">
        <v>2.1657880419348996</v>
      </c>
      <c r="R159" s="480" t="s">
        <v>452</v>
      </c>
      <c r="S159" s="482"/>
      <c r="T159" s="481" t="s">
        <v>452</v>
      </c>
      <c r="U159" s="480" t="s">
        <v>452</v>
      </c>
      <c r="V159" s="483"/>
      <c r="W159" s="480" t="s">
        <v>452</v>
      </c>
      <c r="X159" s="480" t="s">
        <v>452</v>
      </c>
      <c r="Z159" s="490"/>
      <c r="AA159" t="s">
        <v>1267</v>
      </c>
      <c r="AC159" s="403"/>
      <c r="AF159" s="443">
        <v>0.10263277834358348</v>
      </c>
      <c r="AG159" s="438">
        <v>2.8133985291552491E-2</v>
      </c>
      <c r="AH159" s="438">
        <v>7.4498793052030984E-2</v>
      </c>
      <c r="AI159" s="438" t="s">
        <v>452</v>
      </c>
      <c r="AJ159" s="437"/>
      <c r="AK159" s="443" t="s">
        <v>452</v>
      </c>
      <c r="AL159" s="438" t="s">
        <v>452</v>
      </c>
      <c r="AM159" s="441"/>
      <c r="AN159" s="438" t="s">
        <v>452</v>
      </c>
      <c r="AO159" s="438" t="s">
        <v>452</v>
      </c>
      <c r="AP159" s="331"/>
      <c r="AQ159" s="331"/>
      <c r="AR159" s="443">
        <v>2.9836838281640916</v>
      </c>
      <c r="AS159" s="438">
        <v>0.8178957862291919</v>
      </c>
      <c r="AT159" s="438">
        <v>2.1657880419348996</v>
      </c>
      <c r="AU159" s="438" t="s">
        <v>452</v>
      </c>
      <c r="AV159" s="437"/>
      <c r="AW159" s="443" t="s">
        <v>452</v>
      </c>
      <c r="AX159" s="438" t="s">
        <v>452</v>
      </c>
      <c r="AY159" s="441"/>
      <c r="AZ159" s="438" t="s">
        <v>452</v>
      </c>
      <c r="BA159" s="438" t="s">
        <v>452</v>
      </c>
    </row>
    <row r="160" spans="1:53">
      <c r="A160" s="415" t="s">
        <v>1100</v>
      </c>
      <c r="B160" s="415" t="s">
        <v>1100</v>
      </c>
      <c r="C160" s="488" t="s">
        <v>452</v>
      </c>
      <c r="D160" s="480" t="s">
        <v>452</v>
      </c>
      <c r="E160" s="480" t="s">
        <v>452</v>
      </c>
      <c r="F160" s="480" t="s">
        <v>452</v>
      </c>
      <c r="G160" s="482"/>
      <c r="H160" s="481" t="s">
        <v>452</v>
      </c>
      <c r="I160" s="480" t="s">
        <v>452</v>
      </c>
      <c r="J160" s="483"/>
      <c r="K160" s="480" t="s">
        <v>452</v>
      </c>
      <c r="L160" s="480" t="s">
        <v>452</v>
      </c>
      <c r="M160"/>
      <c r="N160"/>
      <c r="O160" s="481" t="s">
        <v>452</v>
      </c>
      <c r="P160" s="480" t="s">
        <v>452</v>
      </c>
      <c r="Q160" s="480" t="s">
        <v>452</v>
      </c>
      <c r="R160" s="480" t="s">
        <v>452</v>
      </c>
      <c r="S160" s="482"/>
      <c r="T160" s="481" t="s">
        <v>452</v>
      </c>
      <c r="U160" s="480" t="s">
        <v>452</v>
      </c>
      <c r="V160" s="483"/>
      <c r="W160" s="480" t="s">
        <v>452</v>
      </c>
      <c r="X160" s="480" t="s">
        <v>452</v>
      </c>
      <c r="Z160" s="490"/>
      <c r="AA160" t="s">
        <v>1267</v>
      </c>
      <c r="AC160" s="403"/>
      <c r="AF160" s="443" t="s">
        <v>452</v>
      </c>
      <c r="AG160" s="438" t="s">
        <v>452</v>
      </c>
      <c r="AH160" s="438" t="s">
        <v>452</v>
      </c>
      <c r="AI160" s="438" t="s">
        <v>452</v>
      </c>
      <c r="AJ160" s="437"/>
      <c r="AK160" s="443" t="s">
        <v>452</v>
      </c>
      <c r="AL160" s="438" t="s">
        <v>452</v>
      </c>
      <c r="AM160" s="441"/>
      <c r="AN160" s="438" t="s">
        <v>452</v>
      </c>
      <c r="AO160" s="438" t="s">
        <v>452</v>
      </c>
      <c r="AP160" s="331"/>
      <c r="AQ160" s="331"/>
      <c r="AR160" s="443" t="s">
        <v>452</v>
      </c>
      <c r="AS160" s="438" t="s">
        <v>452</v>
      </c>
      <c r="AT160" s="438" t="s">
        <v>452</v>
      </c>
      <c r="AU160" s="438" t="s">
        <v>452</v>
      </c>
      <c r="AV160" s="437"/>
      <c r="AW160" s="443" t="s">
        <v>452</v>
      </c>
      <c r="AX160" s="438" t="s">
        <v>452</v>
      </c>
      <c r="AY160" s="441"/>
      <c r="AZ160" s="438" t="s">
        <v>452</v>
      </c>
      <c r="BA160" s="438" t="s">
        <v>452</v>
      </c>
    </row>
    <row r="161" spans="1:53">
      <c r="A161" s="415" t="s">
        <v>548</v>
      </c>
      <c r="B161" s="415" t="s">
        <v>548</v>
      </c>
      <c r="C161" s="488" t="str">
        <f>IF(ISNUMBER(INDEX('Database.Jan 12 to SEC'!$G$6:$G$191, MATCH($A161&amp;"USD bn", 'Database.Jan 12 to SEC'!$AD$6:$AD$191, 0))), INDEX('Database.Jan 12 to SEC'!$G$6:$G$191, MATCH($A161&amp;"USD bn", 'Database.Jan 12 to SEC'!$AD$6:$AD$191, 0)), "")</f>
        <v/>
      </c>
      <c r="D161" s="480" t="str">
        <f>IF(ISNUMBER(INDEX('Database.Jan 12 to SEC'!$H$6:$H$191, MATCH($A161&amp;"USD bn", 'Database.Jan 12 to SEC'!$AD$6:$AD$191, 0))), INDEX('Database.Jan 12 to SEC'!$H$6:$H$191, MATCH($A161&amp;"USD bn", 'Database.Jan 12 to SEC'!$AD$6:$AD$191, 0)), "")</f>
        <v/>
      </c>
      <c r="E161" s="480" t="str">
        <f>IF(ISNUMBER(INDEX('Database.Jan 12 to SEC'!$J$6:$J$191, MATCH($A161&amp;"USD bn", 'Database.Jan 12 to SEC'!$AD$6:$AD$191, 0))), INDEX('Database.Jan 12 to SEC'!$J$6:$J$191, MATCH($A161&amp;"USD bn", 'Database.Jan 12 to SEC'!$AD$6:$AD$191, 0)), "")</f>
        <v/>
      </c>
      <c r="F161" s="480" t="str">
        <f>IF(ISNUMBER(INDEX('Database.Jan 12 to SEC'!$L$6:$L$191, MATCH($A161&amp;"USD bn", 'Database.Jan 12 to SEC'!$AD$6:$AD$191, 0))), INDEX('Database.Jan 12 to SEC'!$L$6:$L$191, MATCH($A161&amp;"USD bn", 'Database.Jan 12 to SEC'!$AD$6:$AD$191, 0)), "")</f>
        <v/>
      </c>
      <c r="G161" s="482"/>
      <c r="H161" s="481" t="str">
        <f>IF(ISNUMBER(INDEX('Database.Jan 12 to SEC'!$P$6:$P$191, MATCH($A161&amp;"USD bn", 'Database.Jan 12 to SEC'!$AD$6:$AD$191, 0))), INDEX('Database.Jan 12 to SEC'!$P$6:$P$191, MATCH($A161&amp;"USD bn", 'Database.Jan 12 to SEC'!$AD$6:$AD$191, 0)), "")</f>
        <v/>
      </c>
      <c r="I161" s="480" t="str">
        <f>IF(ISNUMBER(INDEX('Database.Jan 12 to SEC'!$Q$6:$Q$191, MATCH($A161&amp;"USD bn", 'Database.Jan 12 to SEC'!$AD$6:$AD$191, 0))), INDEX('Database.Jan 12 to SEC'!$Q$6:$Q$191, MATCH($A161&amp;"USD bn", 'Database.Jan 12 to SEC'!$AD$6:$AD$191, 0)), "")</f>
        <v/>
      </c>
      <c r="J161" s="483"/>
      <c r="K161" s="480" t="str">
        <f>IF(ISNUMBER(INDEX('Database.Jan 12 to SEC'!$U$6:$U$191, MATCH($A161&amp;"USD bn", 'Database.Jan 12 to SEC'!$AD$6:$AD$191, 0))), INDEX('Database.Jan 12 to SEC'!$U$6:$U$191, MATCH($A161&amp;"USD bn", 'Database.Jan 12 to SEC'!$AD$6:$AD$191, 0)), "")</f>
        <v/>
      </c>
      <c r="L161" s="480" t="str">
        <f>IF(ISNUMBER(INDEX('Database.Jan 12 to SEC'!$W$6:$W$191, MATCH($A161&amp;"USD bn", 'Database.Jan 12 to SEC'!$AD$6:$AD$191, 0))), INDEX('Database.Jan 12 to SEC'!$W$6:$W$191, MATCH($A161&amp;"USD bn", 'Database.Jan 12 to SEC'!$AD$6:$AD$191, 0)), "")</f>
        <v/>
      </c>
      <c r="M161"/>
      <c r="N161"/>
      <c r="O161" s="481" t="str">
        <f>IF(ISNUMBER(INDEX('Database.Jan 12 to SEC'!$G$6:$G$191, MATCH($A161&amp;"% GDP", 'Database.Jan 12 to SEC'!$AD$6:$AD$191, 0))), INDEX('Database.Jan 12 to SEC'!$G$6:$G$191, MATCH($A161&amp;"% GDP", 'Database.Jan 12 to SEC'!$AD$6:$AD$191, 0)), "")</f>
        <v/>
      </c>
      <c r="P161" s="480" t="str">
        <f>IF(ISNUMBER(INDEX('Database.Jan 12 to SEC'!$H$6:$H$191, MATCH($A161&amp;"% GDP", 'Database.Jan 12 to SEC'!$AD$6:$AD$191, 0))), INDEX('Database.Jan 12 to SEC'!$H$6:$H$191, MATCH($A161&amp;"% GDP", 'Database.Jan 12 to SEC'!$AD$6:$AD$191, 0)), "")</f>
        <v/>
      </c>
      <c r="Q161" s="480" t="str">
        <f>IF(ISNUMBER(INDEX('Database.Jan 12 to SEC'!$J$6:$J$191, MATCH($A161&amp;"% GDP", 'Database.Jan 12 to SEC'!$AD$6:$AD$191, 0))), INDEX('Database.Jan 12 to SEC'!$J$6:$J$191, MATCH($A161&amp;"% GDP", 'Database.Jan 12 to SEC'!$AD$6:$AD$191, 0)), "")</f>
        <v/>
      </c>
      <c r="R161" s="480" t="str">
        <f>IF(ISNUMBER(INDEX('Database.Jan 12 to SEC'!$L$6:$L$191, MATCH($A161&amp;"% GDP", 'Database.Jan 12 to SEC'!$AD$6:$AD$191, 0))), INDEX('Database.Jan 12 to SEC'!$L$6:$L$191, MATCH($A161&amp;"% GDP", 'Database.Jan 12 to SEC'!$AD$6:$AD$191, 0)), "")</f>
        <v/>
      </c>
      <c r="S161" s="482"/>
      <c r="T161" s="481" t="str">
        <f>IF(ISNUMBER(INDEX('Database.Jan 12 to SEC'!$P$6:$P$191, MATCH($A161&amp;"% GDP", 'Database.Jan 12 to SEC'!$AD$6:$AD$191, 0))), INDEX('Database.Jan 12 to SEC'!$P$6:$P$191, MATCH($A161&amp;"% GDP", 'Database.Jan 12 to SEC'!$AD$6:$AD$191, 0)), "")</f>
        <v/>
      </c>
      <c r="U161" s="480" t="str">
        <f>IF(ISNUMBER(INDEX('Database.Jan 12 to SEC'!$Q$6:$Q$191, MATCH($A161&amp;"% GDP", 'Database.Jan 12 to SEC'!$AD$6:$AD$191, 0))), INDEX('Database.Jan 12 to SEC'!$Q$6:$Q$191, MATCH($A161&amp;"% GDP", 'Database.Jan 12 to SEC'!$AD$6:$AD$191, 0)), "")</f>
        <v/>
      </c>
      <c r="V161" s="483"/>
      <c r="W161" s="480" t="str">
        <f>IF(ISNUMBER(INDEX('Database.Jan 12 to SEC'!$U$6:$U$191, MATCH($A161&amp;"% GDP", 'Database.Jan 12 to SEC'!$AD$6:$AD$191, 0))), INDEX('Database.Jan 12 to SEC'!$U$6:$U$191, MATCH($A161&amp;"% GDP", 'Database.Jan 12 to SEC'!$AD$6:$AD$191, 0)), "")</f>
        <v/>
      </c>
      <c r="X161" s="480" t="str">
        <f>IF(ISNUMBER(INDEX('Database.Jan 12 to SEC'!$W$6:$W$191, MATCH($A161&amp;"% GDP", 'Database.Jan 12 to SEC'!$AD$6:$AD$191, 0))), INDEX('Database.Jan 12 to SEC'!$W$6:$W$191, MATCH($A161&amp;"% GDP", 'Database.Jan 12 to SEC'!$AD$6:$AD$191, 0)), "")</f>
        <v/>
      </c>
      <c r="Z161" s="490"/>
      <c r="AA161" t="s">
        <v>1265</v>
      </c>
      <c r="AC161" s="299"/>
      <c r="AF161" s="443">
        <v>2.4164497040512201</v>
      </c>
      <c r="AG161" s="438">
        <v>0.60983861014562779</v>
      </c>
      <c r="AH161" s="438">
        <v>1.8066110939055924</v>
      </c>
      <c r="AI161" s="438" t="s">
        <v>452</v>
      </c>
      <c r="AJ161" s="437"/>
      <c r="AK161" s="443">
        <v>0.60124933394639357</v>
      </c>
      <c r="AL161" s="438">
        <v>0.60124933394639357</v>
      </c>
      <c r="AM161" s="441"/>
      <c r="AN161" s="438" t="s">
        <v>452</v>
      </c>
      <c r="AO161" s="438" t="s">
        <v>452</v>
      </c>
      <c r="AP161" s="331"/>
      <c r="AQ161" s="331"/>
      <c r="AR161" s="443">
        <v>2.5012230728926022</v>
      </c>
      <c r="AS161" s="438">
        <v>0.63123283711626088</v>
      </c>
      <c r="AT161" s="438">
        <v>1.8699902357763412</v>
      </c>
      <c r="AU161" s="438" t="s">
        <v>452</v>
      </c>
      <c r="AV161" s="437"/>
      <c r="AW161" s="443">
        <v>0.62234223377659526</v>
      </c>
      <c r="AX161" s="438">
        <v>0.62234223377659526</v>
      </c>
      <c r="AY161" s="441"/>
      <c r="AZ161" s="438" t="s">
        <v>452</v>
      </c>
      <c r="BA161" s="438" t="s">
        <v>452</v>
      </c>
    </row>
    <row r="162" spans="1:53">
      <c r="A162" s="415" t="s">
        <v>1101</v>
      </c>
      <c r="B162" s="415" t="s">
        <v>1101</v>
      </c>
      <c r="C162" s="488">
        <v>8.1426909654905011E-2</v>
      </c>
      <c r="D162" s="480">
        <v>2.3264831329972858E-2</v>
      </c>
      <c r="E162" s="480">
        <v>5.816207832493215E-2</v>
      </c>
      <c r="F162" s="480">
        <v>2.5203567274137265E-2</v>
      </c>
      <c r="G162" s="482"/>
      <c r="H162" s="481" t="s">
        <v>452</v>
      </c>
      <c r="I162" s="480" t="s">
        <v>452</v>
      </c>
      <c r="J162" s="483"/>
      <c r="K162" s="480" t="s">
        <v>452</v>
      </c>
      <c r="L162" s="480" t="s">
        <v>452</v>
      </c>
      <c r="M162"/>
      <c r="N162"/>
      <c r="O162" s="481">
        <v>4.372852038229877</v>
      </c>
      <c r="P162" s="480">
        <v>1.2493862966371077</v>
      </c>
      <c r="Q162" s="480">
        <v>3.1234657415927689</v>
      </c>
      <c r="R162" s="480">
        <v>1.3535018213568666</v>
      </c>
      <c r="S162" s="482"/>
      <c r="T162" s="481" t="s">
        <v>452</v>
      </c>
      <c r="U162" s="480" t="s">
        <v>452</v>
      </c>
      <c r="V162" s="483"/>
      <c r="W162" s="480" t="s">
        <v>452</v>
      </c>
      <c r="X162" s="480" t="s">
        <v>452</v>
      </c>
      <c r="Z162" s="490"/>
      <c r="AA162" t="s">
        <v>1267</v>
      </c>
      <c r="AC162" s="403"/>
      <c r="AF162" s="443">
        <v>8.1426909654905011E-2</v>
      </c>
      <c r="AG162" s="438">
        <v>2.3264831329972858E-2</v>
      </c>
      <c r="AH162" s="438">
        <v>5.816207832493215E-2</v>
      </c>
      <c r="AI162" s="438">
        <v>2.5203567274137265E-2</v>
      </c>
      <c r="AJ162" s="437"/>
      <c r="AK162" s="443" t="s">
        <v>452</v>
      </c>
      <c r="AL162" s="438" t="s">
        <v>452</v>
      </c>
      <c r="AM162" s="441"/>
      <c r="AN162" s="438" t="s">
        <v>452</v>
      </c>
      <c r="AO162" s="438" t="s">
        <v>452</v>
      </c>
      <c r="AP162" s="331"/>
      <c r="AQ162" s="331"/>
      <c r="AR162" s="443">
        <v>4.372852038229877</v>
      </c>
      <c r="AS162" s="438">
        <v>1.2493862966371077</v>
      </c>
      <c r="AT162" s="438">
        <v>3.1234657415927689</v>
      </c>
      <c r="AU162" s="438">
        <v>1.3535018213568666</v>
      </c>
      <c r="AV162" s="437"/>
      <c r="AW162" s="443" t="s">
        <v>452</v>
      </c>
      <c r="AX162" s="438" t="s">
        <v>452</v>
      </c>
      <c r="AY162" s="441"/>
      <c r="AZ162" s="438" t="s">
        <v>452</v>
      </c>
      <c r="BA162" s="438" t="s">
        <v>452</v>
      </c>
    </row>
    <row r="163" spans="1:53">
      <c r="A163" s="415" t="s">
        <v>550</v>
      </c>
      <c r="B163" s="415" t="s">
        <v>550</v>
      </c>
      <c r="C163" s="488" t="str">
        <f>IF(ISNUMBER(INDEX('Database.Jan 12 to SEC'!$G$6:$G$191, MATCH($A163&amp;"USD bn", 'Database.Jan 12 to SEC'!$AD$6:$AD$191, 0))), INDEX('Database.Jan 12 to SEC'!$G$6:$G$191, MATCH($A163&amp;"USD bn", 'Database.Jan 12 to SEC'!$AD$6:$AD$191, 0)), "")</f>
        <v/>
      </c>
      <c r="D163" s="480" t="str">
        <f>IF(ISNUMBER(INDEX('Database.Jan 12 to SEC'!$H$6:$H$191, MATCH($A163&amp;"USD bn", 'Database.Jan 12 to SEC'!$AD$6:$AD$191, 0))), INDEX('Database.Jan 12 to SEC'!$H$6:$H$191, MATCH($A163&amp;"USD bn", 'Database.Jan 12 to SEC'!$AD$6:$AD$191, 0)), "")</f>
        <v/>
      </c>
      <c r="E163" s="480" t="str">
        <f>IF(ISNUMBER(INDEX('Database.Jan 12 to SEC'!$J$6:$J$191, MATCH($A163&amp;"USD bn", 'Database.Jan 12 to SEC'!$AD$6:$AD$191, 0))), INDEX('Database.Jan 12 to SEC'!$J$6:$J$191, MATCH($A163&amp;"USD bn", 'Database.Jan 12 to SEC'!$AD$6:$AD$191, 0)), "")</f>
        <v/>
      </c>
      <c r="F163" s="480" t="str">
        <f>IF(ISNUMBER(INDEX('Database.Jan 12 to SEC'!$L$6:$L$191, MATCH($A163&amp;"USD bn", 'Database.Jan 12 to SEC'!$AD$6:$AD$191, 0))), INDEX('Database.Jan 12 to SEC'!$L$6:$L$191, MATCH($A163&amp;"USD bn", 'Database.Jan 12 to SEC'!$AD$6:$AD$191, 0)), "")</f>
        <v/>
      </c>
      <c r="G163" s="482"/>
      <c r="H163" s="481" t="str">
        <f>IF(ISNUMBER(INDEX('Database.Jan 12 to SEC'!$P$6:$P$191, MATCH($A163&amp;"USD bn", 'Database.Jan 12 to SEC'!$AD$6:$AD$191, 0))), INDEX('Database.Jan 12 to SEC'!$P$6:$P$191, MATCH($A163&amp;"USD bn", 'Database.Jan 12 to SEC'!$AD$6:$AD$191, 0)), "")</f>
        <v/>
      </c>
      <c r="I163" s="480" t="str">
        <f>IF(ISNUMBER(INDEX('Database.Jan 12 to SEC'!$Q$6:$Q$191, MATCH($A163&amp;"USD bn", 'Database.Jan 12 to SEC'!$AD$6:$AD$191, 0))), INDEX('Database.Jan 12 to SEC'!$Q$6:$Q$191, MATCH($A163&amp;"USD bn", 'Database.Jan 12 to SEC'!$AD$6:$AD$191, 0)), "")</f>
        <v/>
      </c>
      <c r="J163" s="483"/>
      <c r="K163" s="480" t="str">
        <f>IF(ISNUMBER(INDEX('Database.Jan 12 to SEC'!$U$6:$U$191, MATCH($A163&amp;"USD bn", 'Database.Jan 12 to SEC'!$AD$6:$AD$191, 0))), INDEX('Database.Jan 12 to SEC'!$U$6:$U$191, MATCH($A163&amp;"USD bn", 'Database.Jan 12 to SEC'!$AD$6:$AD$191, 0)), "")</f>
        <v/>
      </c>
      <c r="L163" s="480" t="str">
        <f>IF(ISNUMBER(INDEX('Database.Jan 12 to SEC'!$W$6:$W$191, MATCH($A163&amp;"USD bn", 'Database.Jan 12 to SEC'!$AD$6:$AD$191, 0))), INDEX('Database.Jan 12 to SEC'!$W$6:$W$191, MATCH($A163&amp;"USD bn", 'Database.Jan 12 to SEC'!$AD$6:$AD$191, 0)), "")</f>
        <v/>
      </c>
      <c r="M163"/>
      <c r="N163"/>
      <c r="O163" s="481" t="str">
        <f>IF(ISNUMBER(INDEX('Database.Jan 12 to SEC'!$G$6:$G$191, MATCH($A163&amp;"% GDP", 'Database.Jan 12 to SEC'!$AD$6:$AD$191, 0))), INDEX('Database.Jan 12 to SEC'!$G$6:$G$191, MATCH($A163&amp;"% GDP", 'Database.Jan 12 to SEC'!$AD$6:$AD$191, 0)), "")</f>
        <v/>
      </c>
      <c r="P163" s="480" t="str">
        <f>IF(ISNUMBER(INDEX('Database.Jan 12 to SEC'!$H$6:$H$191, MATCH($A163&amp;"% GDP", 'Database.Jan 12 to SEC'!$AD$6:$AD$191, 0))), INDEX('Database.Jan 12 to SEC'!$H$6:$H$191, MATCH($A163&amp;"% GDP", 'Database.Jan 12 to SEC'!$AD$6:$AD$191, 0)), "")</f>
        <v/>
      </c>
      <c r="Q163" s="480" t="str">
        <f>IF(ISNUMBER(INDEX('Database.Jan 12 to SEC'!$J$6:$J$191, MATCH($A163&amp;"% GDP", 'Database.Jan 12 to SEC'!$AD$6:$AD$191, 0))), INDEX('Database.Jan 12 to SEC'!$J$6:$J$191, MATCH($A163&amp;"% GDP", 'Database.Jan 12 to SEC'!$AD$6:$AD$191, 0)), "")</f>
        <v/>
      </c>
      <c r="R163" s="480" t="str">
        <f>IF(ISNUMBER(INDEX('Database.Jan 12 to SEC'!$L$6:$L$191, MATCH($A163&amp;"% GDP", 'Database.Jan 12 to SEC'!$AD$6:$AD$191, 0))), INDEX('Database.Jan 12 to SEC'!$L$6:$L$191, MATCH($A163&amp;"% GDP", 'Database.Jan 12 to SEC'!$AD$6:$AD$191, 0)), "")</f>
        <v/>
      </c>
      <c r="S163" s="482"/>
      <c r="T163" s="481" t="str">
        <f>IF(ISNUMBER(INDEX('Database.Jan 12 to SEC'!$P$6:$P$191, MATCH($A163&amp;"% GDP", 'Database.Jan 12 to SEC'!$AD$6:$AD$191, 0))), INDEX('Database.Jan 12 to SEC'!$P$6:$P$191, MATCH($A163&amp;"% GDP", 'Database.Jan 12 to SEC'!$AD$6:$AD$191, 0)), "")</f>
        <v/>
      </c>
      <c r="U163" s="480" t="str">
        <f>IF(ISNUMBER(INDEX('Database.Jan 12 to SEC'!$Q$6:$Q$191, MATCH($A163&amp;"% GDP", 'Database.Jan 12 to SEC'!$AD$6:$AD$191, 0))), INDEX('Database.Jan 12 to SEC'!$Q$6:$Q$191, MATCH($A163&amp;"% GDP", 'Database.Jan 12 to SEC'!$AD$6:$AD$191, 0)), "")</f>
        <v/>
      </c>
      <c r="V163" s="483"/>
      <c r="W163" s="480" t="str">
        <f>IF(ISNUMBER(INDEX('Database.Jan 12 to SEC'!$U$6:$U$191, MATCH($A163&amp;"% GDP", 'Database.Jan 12 to SEC'!$AD$6:$AD$191, 0))), INDEX('Database.Jan 12 to SEC'!$U$6:$U$191, MATCH($A163&amp;"% GDP", 'Database.Jan 12 to SEC'!$AD$6:$AD$191, 0)), "")</f>
        <v/>
      </c>
      <c r="X163" s="480" t="str">
        <f>IF(ISNUMBER(INDEX('Database.Jan 12 to SEC'!$W$6:$W$191, MATCH($A163&amp;"% GDP", 'Database.Jan 12 to SEC'!$AD$6:$AD$191, 0))), INDEX('Database.Jan 12 to SEC'!$W$6:$W$191, MATCH($A163&amp;"% GDP", 'Database.Jan 12 to SEC'!$AD$6:$AD$191, 0)), "")</f>
        <v/>
      </c>
      <c r="Z163" s="490"/>
      <c r="AA163" t="s">
        <v>1265</v>
      </c>
      <c r="AB163" s="478" t="s">
        <v>1269</v>
      </c>
      <c r="AC163" s="299"/>
      <c r="AF163" s="443">
        <v>2.2327431550550991</v>
      </c>
      <c r="AG163" s="438">
        <v>0.75020170009851339</v>
      </c>
      <c r="AH163" s="438">
        <v>1.4825414549565856</v>
      </c>
      <c r="AI163" s="438" t="s">
        <v>452</v>
      </c>
      <c r="AJ163" s="437"/>
      <c r="AK163" s="443">
        <v>0.21434334288528953</v>
      </c>
      <c r="AL163" s="438">
        <v>0.21434334288528953</v>
      </c>
      <c r="AM163" s="441"/>
      <c r="AN163" s="438" t="s">
        <v>452</v>
      </c>
      <c r="AO163" s="438" t="s">
        <v>452</v>
      </c>
      <c r="AP163" s="331"/>
      <c r="AQ163" s="331"/>
      <c r="AR163" s="443">
        <v>3.2595714054750369</v>
      </c>
      <c r="AS163" s="438">
        <v>1.0952159922396125</v>
      </c>
      <c r="AT163" s="438">
        <v>2.1643554132354241</v>
      </c>
      <c r="AU163" s="438" t="s">
        <v>452</v>
      </c>
      <c r="AV163" s="437"/>
      <c r="AW163" s="443">
        <v>0.31291885492560356</v>
      </c>
      <c r="AX163" s="438">
        <v>0.31291885492560356</v>
      </c>
      <c r="AY163" s="441"/>
      <c r="AZ163" s="438" t="s">
        <v>452</v>
      </c>
      <c r="BA163" s="438" t="s">
        <v>452</v>
      </c>
    </row>
    <row r="164" spans="1:53">
      <c r="A164" s="415" t="s">
        <v>1102</v>
      </c>
      <c r="B164" s="415" t="s">
        <v>1102</v>
      </c>
      <c r="C164" s="488">
        <v>0.2303165058285829</v>
      </c>
      <c r="D164" s="480">
        <v>0.14228813637435375</v>
      </c>
      <c r="E164" s="480">
        <v>8.8028369454229149E-2</v>
      </c>
      <c r="F164" s="480" t="s">
        <v>452</v>
      </c>
      <c r="G164" s="482"/>
      <c r="H164" s="481" t="s">
        <v>452</v>
      </c>
      <c r="I164" s="480" t="s">
        <v>452</v>
      </c>
      <c r="J164" s="483"/>
      <c r="K164" s="480">
        <v>0</v>
      </c>
      <c r="L164" s="480" t="s">
        <v>452</v>
      </c>
      <c r="M164"/>
      <c r="N164"/>
      <c r="O164" s="481">
        <v>1.4967268439934793</v>
      </c>
      <c r="P164" s="480">
        <v>0.9246687402065934</v>
      </c>
      <c r="Q164" s="480">
        <v>0.57205810378688593</v>
      </c>
      <c r="R164" s="480" t="s">
        <v>452</v>
      </c>
      <c r="S164" s="482"/>
      <c r="T164" s="481">
        <v>5.0198587198543344E-2</v>
      </c>
      <c r="U164" s="480" t="s">
        <v>452</v>
      </c>
      <c r="V164" s="483"/>
      <c r="W164" s="480">
        <v>5.0198587198543344E-2</v>
      </c>
      <c r="X164" s="480" t="s">
        <v>452</v>
      </c>
      <c r="Z164" s="490"/>
      <c r="AA164" t="s">
        <v>1267</v>
      </c>
      <c r="AC164" s="403"/>
      <c r="AF164" s="443">
        <v>0.2303165058285829</v>
      </c>
      <c r="AG164" s="438">
        <v>0.14228813637435375</v>
      </c>
      <c r="AH164" s="438">
        <v>8.8028369454229149E-2</v>
      </c>
      <c r="AI164" s="438" t="s">
        <v>452</v>
      </c>
      <c r="AJ164" s="437"/>
      <c r="AK164" s="443" t="s">
        <v>452</v>
      </c>
      <c r="AL164" s="438" t="s">
        <v>452</v>
      </c>
      <c r="AM164" s="441"/>
      <c r="AN164" s="438">
        <v>0</v>
      </c>
      <c r="AO164" s="438" t="s">
        <v>452</v>
      </c>
      <c r="AP164" s="331"/>
      <c r="AQ164" s="331"/>
      <c r="AR164" s="443">
        <v>1.4967268439934793</v>
      </c>
      <c r="AS164" s="438">
        <v>0.9246687402065934</v>
      </c>
      <c r="AT164" s="438">
        <v>0.57205810378688593</v>
      </c>
      <c r="AU164" s="438" t="s">
        <v>452</v>
      </c>
      <c r="AV164" s="437"/>
      <c r="AW164" s="443">
        <v>5.0198587198543344E-2</v>
      </c>
      <c r="AX164" s="438" t="s">
        <v>452</v>
      </c>
      <c r="AY164" s="441"/>
      <c r="AZ164" s="438">
        <v>5.0198587198543344E-2</v>
      </c>
      <c r="BA164" s="438" t="s">
        <v>452</v>
      </c>
    </row>
    <row r="165" spans="1:53">
      <c r="A165" s="415" t="s">
        <v>566</v>
      </c>
      <c r="B165" s="415" t="s">
        <v>566</v>
      </c>
      <c r="C165" s="488" t="str">
        <f>IF(ISNUMBER(INDEX('Database.Jan 12 to SEC'!$G$6:$G$191, MATCH($A165&amp;"USD bn", 'Database.Jan 12 to SEC'!$AD$6:$AD$191, 0))), INDEX('Database.Jan 12 to SEC'!$G$6:$G$191, MATCH($A165&amp;"USD bn", 'Database.Jan 12 to SEC'!$AD$6:$AD$191, 0)), "")</f>
        <v/>
      </c>
      <c r="D165" s="480" t="str">
        <f>IF(ISNUMBER(INDEX('Database.Jan 12 to SEC'!$H$6:$H$191, MATCH($A165&amp;"USD bn", 'Database.Jan 12 to SEC'!$AD$6:$AD$191, 0))), INDEX('Database.Jan 12 to SEC'!$H$6:$H$191, MATCH($A165&amp;"USD bn", 'Database.Jan 12 to SEC'!$AD$6:$AD$191, 0)), "")</f>
        <v/>
      </c>
      <c r="E165" s="480" t="str">
        <f>IF(ISNUMBER(INDEX('Database.Jan 12 to SEC'!$J$6:$J$191, MATCH($A165&amp;"USD bn", 'Database.Jan 12 to SEC'!$AD$6:$AD$191, 0))), INDEX('Database.Jan 12 to SEC'!$J$6:$J$191, MATCH($A165&amp;"USD bn", 'Database.Jan 12 to SEC'!$AD$6:$AD$191, 0)), "")</f>
        <v/>
      </c>
      <c r="F165" s="480" t="str">
        <f>IF(ISNUMBER(INDEX('Database.Jan 12 to SEC'!$L$6:$L$191, MATCH($A165&amp;"USD bn", 'Database.Jan 12 to SEC'!$AD$6:$AD$191, 0))), INDEX('Database.Jan 12 to SEC'!$L$6:$L$191, MATCH($A165&amp;"USD bn", 'Database.Jan 12 to SEC'!$AD$6:$AD$191, 0)), "")</f>
        <v/>
      </c>
      <c r="G165" s="482"/>
      <c r="H165" s="481" t="str">
        <f>IF(ISNUMBER(INDEX('Database.Jan 12 to SEC'!$P$6:$P$191, MATCH($A165&amp;"USD bn", 'Database.Jan 12 to SEC'!$AD$6:$AD$191, 0))), INDEX('Database.Jan 12 to SEC'!$P$6:$P$191, MATCH($A165&amp;"USD bn", 'Database.Jan 12 to SEC'!$AD$6:$AD$191, 0)), "")</f>
        <v/>
      </c>
      <c r="I165" s="480" t="str">
        <f>IF(ISNUMBER(INDEX('Database.Jan 12 to SEC'!$Q$6:$Q$191, MATCH($A165&amp;"USD bn", 'Database.Jan 12 to SEC'!$AD$6:$AD$191, 0))), INDEX('Database.Jan 12 to SEC'!$Q$6:$Q$191, MATCH($A165&amp;"USD bn", 'Database.Jan 12 to SEC'!$AD$6:$AD$191, 0)), "")</f>
        <v/>
      </c>
      <c r="J165" s="483"/>
      <c r="K165" s="480" t="str">
        <f>IF(ISNUMBER(INDEX('Database.Jan 12 to SEC'!$U$6:$U$191, MATCH($A165&amp;"USD bn", 'Database.Jan 12 to SEC'!$AD$6:$AD$191, 0))), INDEX('Database.Jan 12 to SEC'!$U$6:$U$191, MATCH($A165&amp;"USD bn", 'Database.Jan 12 to SEC'!$AD$6:$AD$191, 0)), "")</f>
        <v/>
      </c>
      <c r="L165" s="480" t="str">
        <f>IF(ISNUMBER(INDEX('Database.Jan 12 to SEC'!$W$6:$W$191, MATCH($A165&amp;"USD bn", 'Database.Jan 12 to SEC'!$AD$6:$AD$191, 0))), INDEX('Database.Jan 12 to SEC'!$W$6:$W$191, MATCH($A165&amp;"USD bn", 'Database.Jan 12 to SEC'!$AD$6:$AD$191, 0)), "")</f>
        <v/>
      </c>
      <c r="M165"/>
      <c r="N165"/>
      <c r="O165" s="481" t="str">
        <f>IF(ISNUMBER(INDEX('Database.Jan 12 to SEC'!$G$6:$G$191, MATCH($A165&amp;"% GDP", 'Database.Jan 12 to SEC'!$AD$6:$AD$191, 0))), INDEX('Database.Jan 12 to SEC'!$G$6:$G$191, MATCH($A165&amp;"% GDP", 'Database.Jan 12 to SEC'!$AD$6:$AD$191, 0)), "")</f>
        <v/>
      </c>
      <c r="P165" s="480" t="str">
        <f>IF(ISNUMBER(INDEX('Database.Jan 12 to SEC'!$H$6:$H$191, MATCH($A165&amp;"% GDP", 'Database.Jan 12 to SEC'!$AD$6:$AD$191, 0))), INDEX('Database.Jan 12 to SEC'!$H$6:$H$191, MATCH($A165&amp;"% GDP", 'Database.Jan 12 to SEC'!$AD$6:$AD$191, 0)), "")</f>
        <v/>
      </c>
      <c r="Q165" s="480" t="str">
        <f>IF(ISNUMBER(INDEX('Database.Jan 12 to SEC'!$J$6:$J$191, MATCH($A165&amp;"% GDP", 'Database.Jan 12 to SEC'!$AD$6:$AD$191, 0))), INDEX('Database.Jan 12 to SEC'!$J$6:$J$191, MATCH($A165&amp;"% GDP", 'Database.Jan 12 to SEC'!$AD$6:$AD$191, 0)), "")</f>
        <v/>
      </c>
      <c r="R165" s="480" t="str">
        <f>IF(ISNUMBER(INDEX('Database.Jan 12 to SEC'!$L$6:$L$191, MATCH($A165&amp;"% GDP", 'Database.Jan 12 to SEC'!$AD$6:$AD$191, 0))), INDEX('Database.Jan 12 to SEC'!$L$6:$L$191, MATCH($A165&amp;"% GDP", 'Database.Jan 12 to SEC'!$AD$6:$AD$191, 0)), "")</f>
        <v/>
      </c>
      <c r="S165" s="482"/>
      <c r="T165" s="481" t="str">
        <f>IF(ISNUMBER(INDEX('Database.Jan 12 to SEC'!$P$6:$P$191, MATCH($A165&amp;"% GDP", 'Database.Jan 12 to SEC'!$AD$6:$AD$191, 0))), INDEX('Database.Jan 12 to SEC'!$P$6:$P$191, MATCH($A165&amp;"% GDP", 'Database.Jan 12 to SEC'!$AD$6:$AD$191, 0)), "")</f>
        <v/>
      </c>
      <c r="U165" s="480" t="str">
        <f>IF(ISNUMBER(INDEX('Database.Jan 12 to SEC'!$Q$6:$Q$191, MATCH($A165&amp;"% GDP", 'Database.Jan 12 to SEC'!$AD$6:$AD$191, 0))), INDEX('Database.Jan 12 to SEC'!$Q$6:$Q$191, MATCH($A165&amp;"% GDP", 'Database.Jan 12 to SEC'!$AD$6:$AD$191, 0)), "")</f>
        <v/>
      </c>
      <c r="V165" s="483"/>
      <c r="W165" s="480" t="str">
        <f>IF(ISNUMBER(INDEX('Database.Jan 12 to SEC'!$U$6:$U$191, MATCH($A165&amp;"% GDP", 'Database.Jan 12 to SEC'!$AD$6:$AD$191, 0))), INDEX('Database.Jan 12 to SEC'!$U$6:$U$191, MATCH($A165&amp;"% GDP", 'Database.Jan 12 to SEC'!$AD$6:$AD$191, 0)), "")</f>
        <v/>
      </c>
      <c r="X165" s="480" t="str">
        <f>IF(ISNUMBER(INDEX('Database.Jan 12 to SEC'!$W$6:$W$191, MATCH($A165&amp;"% GDP", 'Database.Jan 12 to SEC'!$AD$6:$AD$191, 0))), INDEX('Database.Jan 12 to SEC'!$W$6:$W$191, MATCH($A165&amp;"% GDP", 'Database.Jan 12 to SEC'!$AD$6:$AD$191, 0)), "")</f>
        <v/>
      </c>
      <c r="Z165" s="490"/>
      <c r="AB165" t="s">
        <v>1279</v>
      </c>
      <c r="AC165" s="299"/>
      <c r="AF165" s="443">
        <v>9.6093184602259421E-2</v>
      </c>
      <c r="AG165" s="438">
        <v>8.4557826754839902E-2</v>
      </c>
      <c r="AH165" s="438">
        <v>1.153535784741952E-2</v>
      </c>
      <c r="AI165" s="438" t="s">
        <v>452</v>
      </c>
      <c r="AJ165" s="437"/>
      <c r="AK165" s="443">
        <v>2.609809467741972E-2</v>
      </c>
      <c r="AL165" s="438">
        <v>2.609809467741972E-2</v>
      </c>
      <c r="AM165" s="441"/>
      <c r="AN165" s="438" t="s">
        <v>452</v>
      </c>
      <c r="AO165" s="438" t="s">
        <v>452</v>
      </c>
      <c r="AP165" s="331"/>
      <c r="AQ165" s="331"/>
      <c r="AR165" s="443">
        <v>6.702226729381966</v>
      </c>
      <c r="AS165" s="438">
        <v>5.8976682789781556</v>
      </c>
      <c r="AT165" s="438">
        <v>0.80455845040381035</v>
      </c>
      <c r="AU165" s="438" t="s">
        <v>452</v>
      </c>
      <c r="AV165" s="437"/>
      <c r="AW165" s="443">
        <v>1.8202679873389367</v>
      </c>
      <c r="AX165" s="438">
        <v>1.8202679873389367</v>
      </c>
      <c r="AY165" s="441"/>
      <c r="AZ165" s="438" t="s">
        <v>452</v>
      </c>
      <c r="BA165" s="438" t="s">
        <v>452</v>
      </c>
    </row>
    <row r="166" spans="1:53">
      <c r="A166" s="415" t="s">
        <v>1103</v>
      </c>
      <c r="B166" s="415" t="s">
        <v>1103</v>
      </c>
      <c r="C166" s="488">
        <v>0.08</v>
      </c>
      <c r="D166" s="480">
        <v>0.05</v>
      </c>
      <c r="E166" s="480">
        <v>0.03</v>
      </c>
      <c r="F166" s="480" t="s">
        <v>452</v>
      </c>
      <c r="G166" s="482"/>
      <c r="H166" s="481" t="s">
        <v>452</v>
      </c>
      <c r="I166" s="480" t="s">
        <v>452</v>
      </c>
      <c r="J166" s="483"/>
      <c r="K166" s="480" t="s">
        <v>452</v>
      </c>
      <c r="L166" s="480" t="s">
        <v>452</v>
      </c>
      <c r="M166"/>
      <c r="N166"/>
      <c r="O166" s="481">
        <v>0.57999999999999996</v>
      </c>
      <c r="P166" s="480">
        <v>0.39</v>
      </c>
      <c r="Q166" s="480">
        <v>0.18999999999999995</v>
      </c>
      <c r="R166" s="480" t="s">
        <v>452</v>
      </c>
      <c r="S166" s="482"/>
      <c r="T166" s="481" t="s">
        <v>452</v>
      </c>
      <c r="U166" s="480" t="s">
        <v>452</v>
      </c>
      <c r="V166" s="483"/>
      <c r="W166" s="480" t="s">
        <v>452</v>
      </c>
      <c r="X166" s="480" t="s">
        <v>452</v>
      </c>
      <c r="Z166" s="490"/>
      <c r="AA166" t="s">
        <v>1267</v>
      </c>
      <c r="AC166" s="403"/>
      <c r="AF166" s="443">
        <v>0.08</v>
      </c>
      <c r="AG166" s="438">
        <v>0.05</v>
      </c>
      <c r="AH166" s="438">
        <v>0.03</v>
      </c>
      <c r="AI166" s="438" t="s">
        <v>452</v>
      </c>
      <c r="AJ166" s="437"/>
      <c r="AK166" s="443" t="s">
        <v>452</v>
      </c>
      <c r="AL166" s="438" t="s">
        <v>452</v>
      </c>
      <c r="AM166" s="441"/>
      <c r="AN166" s="438" t="s">
        <v>452</v>
      </c>
      <c r="AO166" s="438" t="s">
        <v>452</v>
      </c>
      <c r="AP166" s="331"/>
      <c r="AQ166" s="331"/>
      <c r="AR166" s="443">
        <v>0.57999999999999996</v>
      </c>
      <c r="AS166" s="438">
        <v>0.39</v>
      </c>
      <c r="AT166" s="438">
        <v>0.18999999999999995</v>
      </c>
      <c r="AU166" s="438" t="s">
        <v>452</v>
      </c>
      <c r="AV166" s="437"/>
      <c r="AW166" s="443" t="s">
        <v>452</v>
      </c>
      <c r="AX166" s="438" t="s">
        <v>452</v>
      </c>
      <c r="AY166" s="441"/>
      <c r="AZ166" s="438" t="s">
        <v>452</v>
      </c>
      <c r="BA166" s="438" t="s">
        <v>452</v>
      </c>
    </row>
    <row r="167" spans="1:53">
      <c r="A167" s="415" t="s">
        <v>38</v>
      </c>
      <c r="B167" s="415" t="s">
        <v>38</v>
      </c>
      <c r="C167" s="488" t="str">
        <f>IF(ISNUMBER(INDEX('Database.Jan 12 to SEC'!$G$6:$G$191, MATCH($A167&amp;"USD bn", 'Database.Jan 12 to SEC'!$AD$6:$AD$191, 0))), INDEX('Database.Jan 12 to SEC'!$G$6:$G$191, MATCH($A167&amp;"USD bn", 'Database.Jan 12 to SEC'!$AD$6:$AD$191, 0)), "")</f>
        <v/>
      </c>
      <c r="D167" s="480" t="str">
        <f>IF(ISNUMBER(INDEX('Database.Jan 12 to SEC'!$H$6:$H$191, MATCH($A167&amp;"USD bn", 'Database.Jan 12 to SEC'!$AD$6:$AD$191, 0))), INDEX('Database.Jan 12 to SEC'!$H$6:$H$191, MATCH($A167&amp;"USD bn", 'Database.Jan 12 to SEC'!$AD$6:$AD$191, 0)), "")</f>
        <v/>
      </c>
      <c r="E167" s="480" t="str">
        <f>IF(ISNUMBER(INDEX('Database.Jan 12 to SEC'!$J$6:$J$191, MATCH($A167&amp;"USD bn", 'Database.Jan 12 to SEC'!$AD$6:$AD$191, 0))), INDEX('Database.Jan 12 to SEC'!$J$6:$J$191, MATCH($A167&amp;"USD bn", 'Database.Jan 12 to SEC'!$AD$6:$AD$191, 0)), "")</f>
        <v/>
      </c>
      <c r="F167" s="480" t="str">
        <f>IF(ISNUMBER(INDEX('Database.Jan 12 to SEC'!$L$6:$L$191, MATCH($A167&amp;"USD bn", 'Database.Jan 12 to SEC'!$AD$6:$AD$191, 0))), INDEX('Database.Jan 12 to SEC'!$L$6:$L$191, MATCH($A167&amp;"USD bn", 'Database.Jan 12 to SEC'!$AD$6:$AD$191, 0)), "")</f>
        <v/>
      </c>
      <c r="G167" s="482"/>
      <c r="H167" s="481" t="str">
        <f>IF(ISNUMBER(INDEX('Database.Jan 12 to SEC'!$P$6:$P$191, MATCH($A167&amp;"USD bn", 'Database.Jan 12 to SEC'!$AD$6:$AD$191, 0))), INDEX('Database.Jan 12 to SEC'!$P$6:$P$191, MATCH($A167&amp;"USD bn", 'Database.Jan 12 to SEC'!$AD$6:$AD$191, 0)), "")</f>
        <v/>
      </c>
      <c r="I167" s="480" t="str">
        <f>IF(ISNUMBER(INDEX('Database.Jan 12 to SEC'!$Q$6:$Q$191, MATCH($A167&amp;"USD bn", 'Database.Jan 12 to SEC'!$AD$6:$AD$191, 0))), INDEX('Database.Jan 12 to SEC'!$Q$6:$Q$191, MATCH($A167&amp;"USD bn", 'Database.Jan 12 to SEC'!$AD$6:$AD$191, 0)), "")</f>
        <v/>
      </c>
      <c r="J167" s="483"/>
      <c r="K167" s="480" t="str">
        <f>IF(ISNUMBER(INDEX('Database.Jan 12 to SEC'!$U$6:$U$191, MATCH($A167&amp;"USD bn", 'Database.Jan 12 to SEC'!$AD$6:$AD$191, 0))), INDEX('Database.Jan 12 to SEC'!$U$6:$U$191, MATCH($A167&amp;"USD bn", 'Database.Jan 12 to SEC'!$AD$6:$AD$191, 0)), "")</f>
        <v/>
      </c>
      <c r="L167" s="480" t="str">
        <f>IF(ISNUMBER(INDEX('Database.Jan 12 to SEC'!$W$6:$W$191, MATCH($A167&amp;"USD bn", 'Database.Jan 12 to SEC'!$AD$6:$AD$191, 0))), INDEX('Database.Jan 12 to SEC'!$W$6:$W$191, MATCH($A167&amp;"USD bn", 'Database.Jan 12 to SEC'!$AD$6:$AD$191, 0)), "")</f>
        <v/>
      </c>
      <c r="M167"/>
      <c r="N167"/>
      <c r="O167" s="481" t="str">
        <f>IF(ISNUMBER(INDEX('Database.Jan 12 to SEC'!$G$6:$G$191, MATCH($A167&amp;"% GDP", 'Database.Jan 12 to SEC'!$AD$6:$AD$191, 0))), INDEX('Database.Jan 12 to SEC'!$G$6:$G$191, MATCH($A167&amp;"% GDP", 'Database.Jan 12 to SEC'!$AD$6:$AD$191, 0)), "")</f>
        <v/>
      </c>
      <c r="P167" s="480" t="str">
        <f>IF(ISNUMBER(INDEX('Database.Jan 12 to SEC'!$H$6:$H$191, MATCH($A167&amp;"% GDP", 'Database.Jan 12 to SEC'!$AD$6:$AD$191, 0))), INDEX('Database.Jan 12 to SEC'!$H$6:$H$191, MATCH($A167&amp;"% GDP", 'Database.Jan 12 to SEC'!$AD$6:$AD$191, 0)), "")</f>
        <v/>
      </c>
      <c r="Q167" s="480" t="str">
        <f>IF(ISNUMBER(INDEX('Database.Jan 12 to SEC'!$J$6:$J$191, MATCH($A167&amp;"% GDP", 'Database.Jan 12 to SEC'!$AD$6:$AD$191, 0))), INDEX('Database.Jan 12 to SEC'!$J$6:$J$191, MATCH($A167&amp;"% GDP", 'Database.Jan 12 to SEC'!$AD$6:$AD$191, 0)), "")</f>
        <v/>
      </c>
      <c r="R167" s="480" t="str">
        <f>IF(ISNUMBER(INDEX('Database.Jan 12 to SEC'!$L$6:$L$191, MATCH($A167&amp;"% GDP", 'Database.Jan 12 to SEC'!$AD$6:$AD$191, 0))), INDEX('Database.Jan 12 to SEC'!$L$6:$L$191, MATCH($A167&amp;"% GDP", 'Database.Jan 12 to SEC'!$AD$6:$AD$191, 0)), "")</f>
        <v/>
      </c>
      <c r="S167" s="482"/>
      <c r="T167" s="481" t="str">
        <f>IF(ISNUMBER(INDEX('Database.Jan 12 to SEC'!$P$6:$P$191, MATCH($A167&amp;"% GDP", 'Database.Jan 12 to SEC'!$AD$6:$AD$191, 0))), INDEX('Database.Jan 12 to SEC'!$P$6:$P$191, MATCH($A167&amp;"% GDP", 'Database.Jan 12 to SEC'!$AD$6:$AD$191, 0)), "")</f>
        <v/>
      </c>
      <c r="U167" s="480" t="str">
        <f>IF(ISNUMBER(INDEX('Database.Jan 12 to SEC'!$Q$6:$Q$191, MATCH($A167&amp;"% GDP", 'Database.Jan 12 to SEC'!$AD$6:$AD$191, 0))), INDEX('Database.Jan 12 to SEC'!$Q$6:$Q$191, MATCH($A167&amp;"% GDP", 'Database.Jan 12 to SEC'!$AD$6:$AD$191, 0)), "")</f>
        <v/>
      </c>
      <c r="V167" s="483"/>
      <c r="W167" s="480" t="str">
        <f>IF(ISNUMBER(INDEX('Database.Jan 12 to SEC'!$U$6:$U$191, MATCH($A167&amp;"% GDP", 'Database.Jan 12 to SEC'!$AD$6:$AD$191, 0))), INDEX('Database.Jan 12 to SEC'!$U$6:$U$191, MATCH($A167&amp;"% GDP", 'Database.Jan 12 to SEC'!$AD$6:$AD$191, 0)), "")</f>
        <v/>
      </c>
      <c r="X167" s="480" t="str">
        <f>IF(ISNUMBER(INDEX('Database.Jan 12 to SEC'!$W$6:$W$191, MATCH($A167&amp;"% GDP", 'Database.Jan 12 to SEC'!$AD$6:$AD$191, 0))), INDEX('Database.Jan 12 to SEC'!$W$6:$W$191, MATCH($A167&amp;"% GDP", 'Database.Jan 12 to SEC'!$AD$6:$AD$191, 0)), "")</f>
        <v/>
      </c>
      <c r="Z167" s="490"/>
      <c r="AA167" t="s">
        <v>1265</v>
      </c>
      <c r="AC167" s="299"/>
      <c r="AF167" s="443">
        <v>0.81767544130184866</v>
      </c>
      <c r="AG167" s="438">
        <v>0.51664070171808341</v>
      </c>
      <c r="AH167" s="438">
        <v>0.30103473958376525</v>
      </c>
      <c r="AI167" s="438" t="s">
        <v>452</v>
      </c>
      <c r="AJ167" s="437"/>
      <c r="AK167" s="443">
        <v>0.27967754522140348</v>
      </c>
      <c r="AL167" s="438" t="s">
        <v>452</v>
      </c>
      <c r="AM167" s="441"/>
      <c r="AN167" s="438">
        <v>0.27967754522140348</v>
      </c>
      <c r="AO167" s="438">
        <v>0</v>
      </c>
      <c r="AP167" s="331"/>
      <c r="AQ167" s="331"/>
      <c r="AR167" s="443">
        <v>2.6974720248249375</v>
      </c>
      <c r="AS167" s="438">
        <v>2.1682211845111836</v>
      </c>
      <c r="AT167" s="438">
        <v>0.52925084031375391</v>
      </c>
      <c r="AU167" s="438" t="s">
        <v>452</v>
      </c>
      <c r="AV167" s="437"/>
      <c r="AW167" s="443">
        <v>1.173741782953889</v>
      </c>
      <c r="AX167" s="438" t="s">
        <v>452</v>
      </c>
      <c r="AY167" s="441"/>
      <c r="AZ167" s="438">
        <v>1.173741782953889</v>
      </c>
      <c r="BA167" s="438">
        <v>0</v>
      </c>
    </row>
    <row r="168" spans="1:53">
      <c r="A168" s="415" t="s">
        <v>552</v>
      </c>
      <c r="B168" s="415" t="s">
        <v>552</v>
      </c>
      <c r="C168" s="488" t="str">
        <f>IF(ISNUMBER(INDEX('Database.Jan 12 to SEC'!$G$6:$G$191, MATCH($A168&amp;"USD bn", 'Database.Jan 12 to SEC'!$AD$6:$AD$191, 0))), INDEX('Database.Jan 12 to SEC'!$G$6:$G$191, MATCH($A168&amp;"USD bn", 'Database.Jan 12 to SEC'!$AD$6:$AD$191, 0)), "")</f>
        <v/>
      </c>
      <c r="D168" s="480" t="str">
        <f>IF(ISNUMBER(INDEX('Database.Jan 12 to SEC'!$H$6:$H$191, MATCH($A168&amp;"USD bn", 'Database.Jan 12 to SEC'!$AD$6:$AD$191, 0))), INDEX('Database.Jan 12 to SEC'!$H$6:$H$191, MATCH($A168&amp;"USD bn", 'Database.Jan 12 to SEC'!$AD$6:$AD$191, 0)), "")</f>
        <v/>
      </c>
      <c r="E168" s="480" t="str">
        <f>IF(ISNUMBER(INDEX('Database.Jan 12 to SEC'!$J$6:$J$191, MATCH($A168&amp;"USD bn", 'Database.Jan 12 to SEC'!$AD$6:$AD$191, 0))), INDEX('Database.Jan 12 to SEC'!$J$6:$J$191, MATCH($A168&amp;"USD bn", 'Database.Jan 12 to SEC'!$AD$6:$AD$191, 0)), "")</f>
        <v/>
      </c>
      <c r="F168" s="480" t="str">
        <f>IF(ISNUMBER(INDEX('Database.Jan 12 to SEC'!$L$6:$L$191, MATCH($A168&amp;"USD bn", 'Database.Jan 12 to SEC'!$AD$6:$AD$191, 0))), INDEX('Database.Jan 12 to SEC'!$L$6:$L$191, MATCH($A168&amp;"USD bn", 'Database.Jan 12 to SEC'!$AD$6:$AD$191, 0)), "")</f>
        <v/>
      </c>
      <c r="G168" s="482"/>
      <c r="H168" s="481" t="str">
        <f>IF(ISNUMBER(INDEX('Database.Jan 12 to SEC'!$P$6:$P$191, MATCH($A168&amp;"USD bn", 'Database.Jan 12 to SEC'!$AD$6:$AD$191, 0))), INDEX('Database.Jan 12 to SEC'!$P$6:$P$191, MATCH($A168&amp;"USD bn", 'Database.Jan 12 to SEC'!$AD$6:$AD$191, 0)), "")</f>
        <v/>
      </c>
      <c r="I168" s="480" t="str">
        <f>IF(ISNUMBER(INDEX('Database.Jan 12 to SEC'!$Q$6:$Q$191, MATCH($A168&amp;"USD bn", 'Database.Jan 12 to SEC'!$AD$6:$AD$191, 0))), INDEX('Database.Jan 12 to SEC'!$Q$6:$Q$191, MATCH($A168&amp;"USD bn", 'Database.Jan 12 to SEC'!$AD$6:$AD$191, 0)), "")</f>
        <v/>
      </c>
      <c r="J168" s="483"/>
      <c r="K168" s="480" t="str">
        <f>IF(ISNUMBER(INDEX('Database.Jan 12 to SEC'!$U$6:$U$191, MATCH($A168&amp;"USD bn", 'Database.Jan 12 to SEC'!$AD$6:$AD$191, 0))), INDEX('Database.Jan 12 to SEC'!$U$6:$U$191, MATCH($A168&amp;"USD bn", 'Database.Jan 12 to SEC'!$AD$6:$AD$191, 0)), "")</f>
        <v/>
      </c>
      <c r="L168" s="480" t="str">
        <f>IF(ISNUMBER(INDEX('Database.Jan 12 to SEC'!$W$6:$W$191, MATCH($A168&amp;"USD bn", 'Database.Jan 12 to SEC'!$AD$6:$AD$191, 0))), INDEX('Database.Jan 12 to SEC'!$W$6:$W$191, MATCH($A168&amp;"USD bn", 'Database.Jan 12 to SEC'!$AD$6:$AD$191, 0)), "")</f>
        <v/>
      </c>
      <c r="M168"/>
      <c r="N168"/>
      <c r="O168" s="481" t="str">
        <f>IF(ISNUMBER(INDEX('Database.Jan 12 to SEC'!$G$6:$G$191, MATCH($A168&amp;"% GDP", 'Database.Jan 12 to SEC'!$AD$6:$AD$191, 0))), INDEX('Database.Jan 12 to SEC'!$G$6:$G$191, MATCH($A168&amp;"% GDP", 'Database.Jan 12 to SEC'!$AD$6:$AD$191, 0)), "")</f>
        <v/>
      </c>
      <c r="P168" s="480" t="str">
        <f>IF(ISNUMBER(INDEX('Database.Jan 12 to SEC'!$H$6:$H$191, MATCH($A168&amp;"% GDP", 'Database.Jan 12 to SEC'!$AD$6:$AD$191, 0))), INDEX('Database.Jan 12 to SEC'!$H$6:$H$191, MATCH($A168&amp;"% GDP", 'Database.Jan 12 to SEC'!$AD$6:$AD$191, 0)), "")</f>
        <v/>
      </c>
      <c r="Q168" s="480" t="str">
        <f>IF(ISNUMBER(INDEX('Database.Jan 12 to SEC'!$J$6:$J$191, MATCH($A168&amp;"% GDP", 'Database.Jan 12 to SEC'!$AD$6:$AD$191, 0))), INDEX('Database.Jan 12 to SEC'!$J$6:$J$191, MATCH($A168&amp;"% GDP", 'Database.Jan 12 to SEC'!$AD$6:$AD$191, 0)), "")</f>
        <v/>
      </c>
      <c r="R168" s="480" t="str">
        <f>IF(ISNUMBER(INDEX('Database.Jan 12 to SEC'!$L$6:$L$191, MATCH($A168&amp;"% GDP", 'Database.Jan 12 to SEC'!$AD$6:$AD$191, 0))), INDEX('Database.Jan 12 to SEC'!$L$6:$L$191, MATCH($A168&amp;"% GDP", 'Database.Jan 12 to SEC'!$AD$6:$AD$191, 0)), "")</f>
        <v/>
      </c>
      <c r="S168" s="482"/>
      <c r="T168" s="481" t="str">
        <f>IF(ISNUMBER(INDEX('Database.Jan 12 to SEC'!$P$6:$P$191, MATCH($A168&amp;"% GDP", 'Database.Jan 12 to SEC'!$AD$6:$AD$191, 0))), INDEX('Database.Jan 12 to SEC'!$P$6:$P$191, MATCH($A168&amp;"% GDP", 'Database.Jan 12 to SEC'!$AD$6:$AD$191, 0)), "")</f>
        <v/>
      </c>
      <c r="U168" s="480" t="str">
        <f>IF(ISNUMBER(INDEX('Database.Jan 12 to SEC'!$Q$6:$Q$191, MATCH($A168&amp;"% GDP", 'Database.Jan 12 to SEC'!$AD$6:$AD$191, 0))), INDEX('Database.Jan 12 to SEC'!$Q$6:$Q$191, MATCH($A168&amp;"% GDP", 'Database.Jan 12 to SEC'!$AD$6:$AD$191, 0)), "")</f>
        <v/>
      </c>
      <c r="V168" s="483"/>
      <c r="W168" s="480" t="str">
        <f>IF(ISNUMBER(INDEX('Database.Jan 12 to SEC'!$U$6:$U$191, MATCH($A168&amp;"% GDP", 'Database.Jan 12 to SEC'!$AD$6:$AD$191, 0))), INDEX('Database.Jan 12 to SEC'!$U$6:$U$191, MATCH($A168&amp;"% GDP", 'Database.Jan 12 to SEC'!$AD$6:$AD$191, 0)), "")</f>
        <v/>
      </c>
      <c r="X168" s="480" t="str">
        <f>IF(ISNUMBER(INDEX('Database.Jan 12 to SEC'!$W$6:$W$191, MATCH($A168&amp;"% GDP", 'Database.Jan 12 to SEC'!$AD$6:$AD$191, 0))), INDEX('Database.Jan 12 to SEC'!$W$6:$W$191, MATCH($A168&amp;"% GDP", 'Database.Jan 12 to SEC'!$AD$6:$AD$191, 0)), "")</f>
        <v/>
      </c>
      <c r="Z168" s="490"/>
      <c r="AA168" t="s">
        <v>1267</v>
      </c>
      <c r="AC168" s="299"/>
      <c r="AF168" s="443">
        <v>2.5109136596508708</v>
      </c>
      <c r="AG168" s="438">
        <v>0.20575013296076938</v>
      </c>
      <c r="AH168" s="438">
        <v>2.3051635266901016</v>
      </c>
      <c r="AI168" s="438">
        <v>0.3143404809122865</v>
      </c>
      <c r="AJ168" s="437"/>
      <c r="AK168" s="443" t="s">
        <v>452</v>
      </c>
      <c r="AL168" s="438" t="s">
        <v>452</v>
      </c>
      <c r="AM168" s="441"/>
      <c r="AN168" s="438" t="s">
        <v>452</v>
      </c>
      <c r="AO168" s="438" t="s">
        <v>452</v>
      </c>
      <c r="AP168" s="331"/>
      <c r="AQ168" s="331"/>
      <c r="AR168" s="443">
        <v>2.4514108377373729</v>
      </c>
      <c r="AS168" s="438">
        <v>0.20087433268257682</v>
      </c>
      <c r="AT168" s="438">
        <v>2.2505365050547961</v>
      </c>
      <c r="AU168" s="438">
        <v>0.30689134159838122</v>
      </c>
      <c r="AV168" s="437"/>
      <c r="AW168" s="443" t="s">
        <v>452</v>
      </c>
      <c r="AX168" s="438" t="s">
        <v>452</v>
      </c>
      <c r="AY168" s="441"/>
      <c r="AZ168" s="438" t="s">
        <v>452</v>
      </c>
      <c r="BA168" s="438" t="s">
        <v>452</v>
      </c>
    </row>
    <row r="169" spans="1:53">
      <c r="A169" s="415" t="s">
        <v>1104</v>
      </c>
      <c r="B169" s="415" t="s">
        <v>1104</v>
      </c>
      <c r="C169" s="488">
        <v>2.0712673244871121E-2</v>
      </c>
      <c r="D169" s="480">
        <v>6.9042244149570406E-3</v>
      </c>
      <c r="E169" s="480">
        <v>1.3808448829914079E-2</v>
      </c>
      <c r="F169" s="480" t="s">
        <v>452</v>
      </c>
      <c r="G169" s="482"/>
      <c r="H169" s="481" t="s">
        <v>452</v>
      </c>
      <c r="I169" s="480" t="s">
        <v>452</v>
      </c>
      <c r="J169" s="483"/>
      <c r="K169" s="480" t="s">
        <v>452</v>
      </c>
      <c r="L169" s="480" t="s">
        <v>452</v>
      </c>
      <c r="M169"/>
      <c r="N169"/>
      <c r="O169" s="481">
        <v>10.441765007350371</v>
      </c>
      <c r="P169" s="480">
        <v>3.4805883357834571</v>
      </c>
      <c r="Q169" s="480">
        <v>6.9611766715669123</v>
      </c>
      <c r="R169" s="480" t="s">
        <v>452</v>
      </c>
      <c r="S169" s="482"/>
      <c r="T169" s="481" t="s">
        <v>452</v>
      </c>
      <c r="U169" s="480" t="s">
        <v>452</v>
      </c>
      <c r="V169" s="483"/>
      <c r="W169" s="480" t="s">
        <v>452</v>
      </c>
      <c r="X169" s="480" t="s">
        <v>452</v>
      </c>
      <c r="Z169" s="490"/>
      <c r="AA169" t="s">
        <v>1267</v>
      </c>
      <c r="AC169" s="403"/>
      <c r="AF169" s="443">
        <v>2.0712673244871121E-2</v>
      </c>
      <c r="AG169" s="438">
        <v>6.9042244149570406E-3</v>
      </c>
      <c r="AH169" s="438">
        <v>1.3808448829914079E-2</v>
      </c>
      <c r="AI169" s="438" t="s">
        <v>452</v>
      </c>
      <c r="AJ169" s="437"/>
      <c r="AK169" s="443" t="s">
        <v>452</v>
      </c>
      <c r="AL169" s="438" t="s">
        <v>452</v>
      </c>
      <c r="AM169" s="441"/>
      <c r="AN169" s="438" t="s">
        <v>452</v>
      </c>
      <c r="AO169" s="438" t="s">
        <v>452</v>
      </c>
      <c r="AP169" s="331"/>
      <c r="AQ169" s="331"/>
      <c r="AR169" s="443">
        <v>10.441765007350371</v>
      </c>
      <c r="AS169" s="438">
        <v>3.4805883357834571</v>
      </c>
      <c r="AT169" s="438">
        <v>6.9611766715669123</v>
      </c>
      <c r="AU169" s="438" t="s">
        <v>452</v>
      </c>
      <c r="AV169" s="437"/>
      <c r="AW169" s="443" t="s">
        <v>452</v>
      </c>
      <c r="AX169" s="438" t="s">
        <v>452</v>
      </c>
      <c r="AY169" s="441"/>
      <c r="AZ169" s="438" t="s">
        <v>452</v>
      </c>
      <c r="BA169" s="438" t="s">
        <v>452</v>
      </c>
    </row>
    <row r="170" spans="1:53">
      <c r="A170" s="299" t="s">
        <v>1105</v>
      </c>
      <c r="B170" s="299" t="s">
        <v>1105</v>
      </c>
      <c r="C170" s="488">
        <v>0.45600000000000002</v>
      </c>
      <c r="D170" s="480">
        <v>2.5000000000000001E-2</v>
      </c>
      <c r="E170" s="480">
        <v>0.43099999999999999</v>
      </c>
      <c r="F170" s="480" t="s">
        <v>452</v>
      </c>
      <c r="G170" s="482"/>
      <c r="H170" s="481" t="s">
        <v>452</v>
      </c>
      <c r="I170" s="480" t="s">
        <v>452</v>
      </c>
      <c r="J170" s="483"/>
      <c r="K170" s="480" t="s">
        <v>452</v>
      </c>
      <c r="L170" s="480" t="s">
        <v>452</v>
      </c>
      <c r="M170"/>
      <c r="N170"/>
      <c r="O170" s="481">
        <v>6.1</v>
      </c>
      <c r="P170" s="480">
        <v>0.3</v>
      </c>
      <c r="Q170" s="480">
        <v>5.8</v>
      </c>
      <c r="R170" s="480" t="s">
        <v>452</v>
      </c>
      <c r="S170" s="482"/>
      <c r="T170" s="481" t="s">
        <v>452</v>
      </c>
      <c r="U170" s="480" t="s">
        <v>452</v>
      </c>
      <c r="V170" s="483"/>
      <c r="W170" s="480" t="s">
        <v>452</v>
      </c>
      <c r="X170" s="480" t="s">
        <v>452</v>
      </c>
      <c r="Z170" s="490"/>
      <c r="AA170" t="s">
        <v>1295</v>
      </c>
      <c r="AB170" s="270" t="s">
        <v>1287</v>
      </c>
      <c r="AC170" s="299"/>
      <c r="AF170" s="443">
        <v>0.45600000000000002</v>
      </c>
      <c r="AG170" s="438">
        <v>2.5000000000000001E-2</v>
      </c>
      <c r="AH170" s="438">
        <v>0.43099999999999999</v>
      </c>
      <c r="AI170" s="438" t="s">
        <v>452</v>
      </c>
      <c r="AJ170" s="437"/>
      <c r="AK170" s="443" t="s">
        <v>452</v>
      </c>
      <c r="AL170" s="438" t="s">
        <v>452</v>
      </c>
      <c r="AM170" s="441"/>
      <c r="AN170" s="438" t="s">
        <v>452</v>
      </c>
      <c r="AO170" s="438" t="s">
        <v>452</v>
      </c>
      <c r="AP170" s="331"/>
      <c r="AQ170" s="331"/>
      <c r="AR170" s="443">
        <v>6.1</v>
      </c>
      <c r="AS170" s="438">
        <v>0.3</v>
      </c>
      <c r="AT170" s="438">
        <v>5.8</v>
      </c>
      <c r="AU170" s="438" t="s">
        <v>452</v>
      </c>
      <c r="AV170" s="437"/>
      <c r="AW170" s="443" t="s">
        <v>452</v>
      </c>
      <c r="AX170" s="438" t="s">
        <v>452</v>
      </c>
      <c r="AY170" s="441"/>
      <c r="AZ170" s="438" t="s">
        <v>452</v>
      </c>
      <c r="BA170" s="438" t="s">
        <v>452</v>
      </c>
    </row>
    <row r="171" spans="1:53">
      <c r="A171" s="415" t="s">
        <v>1106</v>
      </c>
      <c r="B171" s="415" t="s">
        <v>1106</v>
      </c>
      <c r="C171" s="488">
        <v>1.7167277446225499E-2</v>
      </c>
      <c r="D171" s="480">
        <v>1.70016766991558E-2</v>
      </c>
      <c r="E171" s="480">
        <v>1.6560074706969933E-4</v>
      </c>
      <c r="F171" s="480" t="s">
        <v>452</v>
      </c>
      <c r="G171" s="482"/>
      <c r="H171" s="481" t="s">
        <v>452</v>
      </c>
      <c r="I171" s="480" t="s">
        <v>452</v>
      </c>
      <c r="J171" s="483"/>
      <c r="K171" s="480" t="s">
        <v>452</v>
      </c>
      <c r="L171" s="480" t="s">
        <v>452</v>
      </c>
      <c r="M171"/>
      <c r="N171"/>
      <c r="O171" s="481">
        <v>9.121698970399475E-2</v>
      </c>
      <c r="P171" s="480">
        <v>9.0337083050901559E-2</v>
      </c>
      <c r="Q171" s="480">
        <v>8.79906653093197E-4</v>
      </c>
      <c r="R171" s="480" t="s">
        <v>452</v>
      </c>
      <c r="S171" s="482"/>
      <c r="T171" s="481" t="s">
        <v>452</v>
      </c>
      <c r="U171" s="480" t="s">
        <v>452</v>
      </c>
      <c r="V171" s="483"/>
      <c r="W171" s="480" t="s">
        <v>452</v>
      </c>
      <c r="X171" s="480" t="s">
        <v>452</v>
      </c>
      <c r="Z171" s="490"/>
      <c r="AA171" t="s">
        <v>1267</v>
      </c>
      <c r="AC171" s="403"/>
      <c r="AF171" s="443">
        <v>1.7167277446225499E-2</v>
      </c>
      <c r="AG171" s="438">
        <v>1.70016766991558E-2</v>
      </c>
      <c r="AH171" s="438">
        <v>1.6560074706969933E-4</v>
      </c>
      <c r="AI171" s="438" t="s">
        <v>452</v>
      </c>
      <c r="AJ171" s="437"/>
      <c r="AK171" s="443" t="s">
        <v>452</v>
      </c>
      <c r="AL171" s="438" t="s">
        <v>452</v>
      </c>
      <c r="AM171" s="441"/>
      <c r="AN171" s="438" t="s">
        <v>452</v>
      </c>
      <c r="AO171" s="438" t="s">
        <v>452</v>
      </c>
      <c r="AP171" s="331"/>
      <c r="AQ171" s="331"/>
      <c r="AR171" s="443">
        <v>9.121698970399475E-2</v>
      </c>
      <c r="AS171" s="438">
        <v>9.0337083050901559E-2</v>
      </c>
      <c r="AT171" s="438">
        <v>8.79906653093197E-4</v>
      </c>
      <c r="AU171" s="438" t="s">
        <v>452</v>
      </c>
      <c r="AV171" s="437"/>
      <c r="AW171" s="443" t="s">
        <v>452</v>
      </c>
      <c r="AX171" s="438" t="s">
        <v>452</v>
      </c>
      <c r="AY171" s="441"/>
      <c r="AZ171" s="438" t="s">
        <v>452</v>
      </c>
      <c r="BA171" s="438" t="s">
        <v>452</v>
      </c>
    </row>
    <row r="172" spans="1:53">
      <c r="A172" s="415" t="s">
        <v>1107</v>
      </c>
      <c r="B172" s="415" t="s">
        <v>1107</v>
      </c>
      <c r="C172" s="488">
        <v>0.11109363662436215</v>
      </c>
      <c r="D172" s="480">
        <v>4.281735300578024E-2</v>
      </c>
      <c r="E172" s="480">
        <v>6.8276283618581915E-2</v>
      </c>
      <c r="F172" s="480" t="s">
        <v>452</v>
      </c>
      <c r="G172" s="482"/>
      <c r="H172" s="481">
        <v>2.7588113298475585E-2</v>
      </c>
      <c r="I172" s="480" t="s">
        <v>452</v>
      </c>
      <c r="J172" s="483"/>
      <c r="K172" s="480">
        <v>2.7500509268690215E-2</v>
      </c>
      <c r="L172" s="480">
        <v>8.7604029785370131E-5</v>
      </c>
      <c r="M172"/>
      <c r="N172"/>
      <c r="O172" s="481">
        <v>3.6762020693852713</v>
      </c>
      <c r="P172" s="480">
        <v>0.27693244065733413</v>
      </c>
      <c r="Q172" s="480">
        <v>3.3992696287279371</v>
      </c>
      <c r="R172" s="480" t="s">
        <v>452</v>
      </c>
      <c r="S172" s="482"/>
      <c r="T172" s="481" t="s">
        <v>452</v>
      </c>
      <c r="U172" s="480" t="s">
        <v>452</v>
      </c>
      <c r="V172" s="483"/>
      <c r="W172" s="480">
        <v>0</v>
      </c>
      <c r="X172" s="480" t="s">
        <v>452</v>
      </c>
      <c r="Z172" s="490"/>
      <c r="AA172" t="s">
        <v>1267</v>
      </c>
      <c r="AC172" s="403"/>
      <c r="AF172" s="443">
        <v>0.11109363662436215</v>
      </c>
      <c r="AG172" s="438">
        <v>4.281735300578024E-2</v>
      </c>
      <c r="AH172" s="438">
        <v>6.8276283618581915E-2</v>
      </c>
      <c r="AI172" s="438" t="s">
        <v>452</v>
      </c>
      <c r="AJ172" s="437"/>
      <c r="AK172" s="443">
        <v>2.7588113298475585E-2</v>
      </c>
      <c r="AL172" s="438" t="s">
        <v>452</v>
      </c>
      <c r="AM172" s="441"/>
      <c r="AN172" s="438">
        <v>2.7500509268690215E-2</v>
      </c>
      <c r="AO172" s="438">
        <v>8.7604029785370131E-5</v>
      </c>
      <c r="AP172" s="331"/>
      <c r="AQ172" s="331"/>
      <c r="AR172" s="443">
        <v>3.6762020693852713</v>
      </c>
      <c r="AS172" s="438">
        <v>0.27693244065733413</v>
      </c>
      <c r="AT172" s="438">
        <v>3.3992696287279371</v>
      </c>
      <c r="AU172" s="438" t="s">
        <v>452</v>
      </c>
      <c r="AV172" s="437"/>
      <c r="AW172" s="443" t="s">
        <v>452</v>
      </c>
      <c r="AX172" s="438" t="s">
        <v>452</v>
      </c>
      <c r="AY172" s="441"/>
      <c r="AZ172" s="438">
        <v>0</v>
      </c>
      <c r="BA172" s="438" t="s">
        <v>452</v>
      </c>
    </row>
    <row r="173" spans="1:53">
      <c r="A173" s="299" t="s">
        <v>1108</v>
      </c>
      <c r="B173" s="299" t="s">
        <v>1108</v>
      </c>
      <c r="C173" s="488">
        <v>0.2</v>
      </c>
      <c r="D173" s="480">
        <v>0</v>
      </c>
      <c r="E173" s="480">
        <v>0.2</v>
      </c>
      <c r="F173" s="480" t="s">
        <v>452</v>
      </c>
      <c r="G173" s="482"/>
      <c r="H173" s="481" t="s">
        <v>452</v>
      </c>
      <c r="I173" s="480" t="s">
        <v>452</v>
      </c>
      <c r="J173" s="483"/>
      <c r="K173" s="480" t="s">
        <v>452</v>
      </c>
      <c r="L173" s="480" t="s">
        <v>452</v>
      </c>
      <c r="M173"/>
      <c r="N173"/>
      <c r="O173" s="481">
        <v>6.1</v>
      </c>
      <c r="P173" s="480">
        <v>0.6</v>
      </c>
      <c r="Q173" s="480">
        <v>5.5</v>
      </c>
      <c r="R173" s="480" t="s">
        <v>452</v>
      </c>
      <c r="S173" s="482"/>
      <c r="T173" s="481" t="s">
        <v>452</v>
      </c>
      <c r="U173" s="480" t="s">
        <v>452</v>
      </c>
      <c r="V173" s="483"/>
      <c r="W173" s="480" t="s">
        <v>452</v>
      </c>
      <c r="X173" s="480" t="s">
        <v>452</v>
      </c>
      <c r="Z173" s="490"/>
      <c r="AA173" t="s">
        <v>1295</v>
      </c>
      <c r="AB173" s="270" t="s">
        <v>1288</v>
      </c>
      <c r="AC173" s="299"/>
      <c r="AF173" s="443">
        <v>0.2</v>
      </c>
      <c r="AG173" s="438">
        <v>0</v>
      </c>
      <c r="AH173" s="438">
        <v>0.2</v>
      </c>
      <c r="AI173" s="438" t="s">
        <v>452</v>
      </c>
      <c r="AJ173" s="437"/>
      <c r="AK173" s="443" t="s">
        <v>452</v>
      </c>
      <c r="AL173" s="438" t="s">
        <v>452</v>
      </c>
      <c r="AM173" s="441"/>
      <c r="AN173" s="438" t="s">
        <v>452</v>
      </c>
      <c r="AO173" s="438" t="s">
        <v>452</v>
      </c>
      <c r="AP173" s="331"/>
      <c r="AQ173" s="331"/>
      <c r="AR173" s="443">
        <v>6.1</v>
      </c>
      <c r="AS173" s="438">
        <v>0.6</v>
      </c>
      <c r="AT173" s="438">
        <v>5.5</v>
      </c>
      <c r="AU173" s="438" t="s">
        <v>452</v>
      </c>
      <c r="AV173" s="437"/>
      <c r="AW173" s="443" t="s">
        <v>452</v>
      </c>
      <c r="AX173" s="438" t="s">
        <v>452</v>
      </c>
      <c r="AY173" s="441"/>
      <c r="AZ173" s="438" t="s">
        <v>452</v>
      </c>
      <c r="BA173" s="438" t="s">
        <v>452</v>
      </c>
    </row>
    <row r="174" spans="1:53">
      <c r="A174" s="415" t="s">
        <v>91</v>
      </c>
      <c r="B174" s="415" t="s">
        <v>91</v>
      </c>
      <c r="C174" s="488">
        <v>0.1235944371282357</v>
      </c>
      <c r="D174" s="480">
        <v>5.0992046430132762E-2</v>
      </c>
      <c r="E174" s="480">
        <v>7.2602390698102939E-2</v>
      </c>
      <c r="F174" s="480" t="s">
        <v>452</v>
      </c>
      <c r="G174" s="482"/>
      <c r="H174" s="481" t="s">
        <v>452</v>
      </c>
      <c r="I174" s="480" t="s">
        <v>452</v>
      </c>
      <c r="J174" s="483"/>
      <c r="K174" s="480" t="s">
        <v>452</v>
      </c>
      <c r="L174" s="480" t="s">
        <v>452</v>
      </c>
      <c r="M174"/>
      <c r="N174"/>
      <c r="O174" s="481">
        <v>1.0417274017390141</v>
      </c>
      <c r="P174" s="480">
        <v>0.37395342626528716</v>
      </c>
      <c r="Q174" s="480">
        <v>0.66777397547372697</v>
      </c>
      <c r="R174" s="480" t="s">
        <v>452</v>
      </c>
      <c r="S174" s="482"/>
      <c r="T174" s="481" t="s">
        <v>452</v>
      </c>
      <c r="U174" s="480" t="s">
        <v>452</v>
      </c>
      <c r="V174" s="483"/>
      <c r="W174" s="480" t="s">
        <v>452</v>
      </c>
      <c r="X174" s="480" t="s">
        <v>452</v>
      </c>
      <c r="Z174" s="490"/>
      <c r="AA174" t="s">
        <v>1267</v>
      </c>
      <c r="AC174" s="403"/>
      <c r="AF174" s="443">
        <v>0.1235944371282357</v>
      </c>
      <c r="AG174" s="438">
        <v>5.0992046430132762E-2</v>
      </c>
      <c r="AH174" s="438">
        <v>7.2602390698102939E-2</v>
      </c>
      <c r="AI174" s="438" t="s">
        <v>452</v>
      </c>
      <c r="AJ174" s="437"/>
      <c r="AK174" s="443" t="s">
        <v>452</v>
      </c>
      <c r="AL174" s="438" t="s">
        <v>452</v>
      </c>
      <c r="AM174" s="441"/>
      <c r="AN174" s="438" t="s">
        <v>452</v>
      </c>
      <c r="AO174" s="438" t="s">
        <v>452</v>
      </c>
      <c r="AP174" s="331"/>
      <c r="AQ174" s="331"/>
      <c r="AR174" s="443">
        <v>1.0417274017390141</v>
      </c>
      <c r="AS174" s="438">
        <v>0.37395342626528716</v>
      </c>
      <c r="AT174" s="438">
        <v>0.66777397547372697</v>
      </c>
      <c r="AU174" s="438" t="s">
        <v>452</v>
      </c>
      <c r="AV174" s="437"/>
      <c r="AW174" s="443" t="s">
        <v>452</v>
      </c>
      <c r="AX174" s="438" t="s">
        <v>452</v>
      </c>
      <c r="AY174" s="441"/>
      <c r="AZ174" s="438" t="s">
        <v>452</v>
      </c>
      <c r="BA174" s="438" t="s">
        <v>452</v>
      </c>
    </row>
    <row r="175" spans="1:53">
      <c r="A175" s="415" t="s">
        <v>1109</v>
      </c>
      <c r="B175" s="415" t="s">
        <v>1109</v>
      </c>
      <c r="C175" s="488">
        <v>6.4287878709698737E-2</v>
      </c>
      <c r="D175" s="480">
        <v>4.7311817033511498E-2</v>
      </c>
      <c r="E175" s="480">
        <v>1.6976061676187239E-2</v>
      </c>
      <c r="F175" s="480" t="s">
        <v>452</v>
      </c>
      <c r="G175" s="482"/>
      <c r="H175" s="481" t="s">
        <v>452</v>
      </c>
      <c r="I175" s="480" t="s">
        <v>452</v>
      </c>
      <c r="J175" s="483"/>
      <c r="K175" s="480" t="s">
        <v>452</v>
      </c>
      <c r="L175" s="480" t="s">
        <v>452</v>
      </c>
      <c r="M175"/>
      <c r="N175"/>
      <c r="O175" s="481">
        <v>0.54018655176844665</v>
      </c>
      <c r="P175" s="480">
        <v>0.39980947049649568</v>
      </c>
      <c r="Q175" s="480">
        <v>0.14037708127195098</v>
      </c>
      <c r="R175" s="480" t="s">
        <v>452</v>
      </c>
      <c r="S175" s="482"/>
      <c r="T175" s="481" t="s">
        <v>452</v>
      </c>
      <c r="U175" s="480" t="s">
        <v>452</v>
      </c>
      <c r="V175" s="483"/>
      <c r="W175" s="480" t="s">
        <v>452</v>
      </c>
      <c r="X175" s="480" t="s">
        <v>452</v>
      </c>
      <c r="Z175" s="490"/>
      <c r="AA175" t="s">
        <v>1267</v>
      </c>
      <c r="AC175" s="403"/>
      <c r="AF175" s="443">
        <v>6.4287878709698737E-2</v>
      </c>
      <c r="AG175" s="438">
        <v>4.7311817033511498E-2</v>
      </c>
      <c r="AH175" s="438">
        <v>1.6976061676187239E-2</v>
      </c>
      <c r="AI175" s="438" t="s">
        <v>452</v>
      </c>
      <c r="AJ175" s="437"/>
      <c r="AK175" s="443" t="s">
        <v>452</v>
      </c>
      <c r="AL175" s="438" t="s">
        <v>452</v>
      </c>
      <c r="AM175" s="441"/>
      <c r="AN175" s="438" t="s">
        <v>452</v>
      </c>
      <c r="AO175" s="438" t="s">
        <v>452</v>
      </c>
      <c r="AP175" s="331"/>
      <c r="AQ175" s="331"/>
      <c r="AR175" s="443">
        <v>0.54018655176844665</v>
      </c>
      <c r="AS175" s="438">
        <v>0.39980947049649568</v>
      </c>
      <c r="AT175" s="438">
        <v>0.14037708127195098</v>
      </c>
      <c r="AU175" s="438" t="s">
        <v>452</v>
      </c>
      <c r="AV175" s="437"/>
      <c r="AW175" s="443" t="s">
        <v>452</v>
      </c>
      <c r="AX175" s="438" t="s">
        <v>452</v>
      </c>
      <c r="AY175" s="441"/>
      <c r="AZ175" s="438" t="s">
        <v>452</v>
      </c>
      <c r="BA175" s="438" t="s">
        <v>452</v>
      </c>
    </row>
    <row r="176" spans="1:53">
      <c r="A176" s="415" t="s">
        <v>1110</v>
      </c>
      <c r="B176" s="415" t="s">
        <v>1110</v>
      </c>
      <c r="C176" s="488">
        <v>0.56371884503226599</v>
      </c>
      <c r="D176" s="480">
        <v>0.12527085445161465</v>
      </c>
      <c r="E176" s="480">
        <v>0.43844799058065131</v>
      </c>
      <c r="F176" s="480">
        <v>0</v>
      </c>
      <c r="G176" s="482"/>
      <c r="H176" s="481">
        <v>3.4797459569892962E-2</v>
      </c>
      <c r="I176" s="480" t="s">
        <v>452</v>
      </c>
      <c r="J176" s="483"/>
      <c r="K176" s="480">
        <v>3.4797459569892962E-2</v>
      </c>
      <c r="L176" s="480" t="s">
        <v>452</v>
      </c>
      <c r="M176"/>
      <c r="N176"/>
      <c r="O176" s="481">
        <v>3.2228193780649277</v>
      </c>
      <c r="P176" s="480">
        <v>0.71618208401442829</v>
      </c>
      <c r="Q176" s="480">
        <v>2.5066372940504991</v>
      </c>
      <c r="R176" s="480">
        <v>0</v>
      </c>
      <c r="S176" s="482"/>
      <c r="T176" s="481">
        <v>0.19893946778178564</v>
      </c>
      <c r="U176" s="480" t="s">
        <v>452</v>
      </c>
      <c r="V176" s="483"/>
      <c r="W176" s="480">
        <v>0.19893946778178564</v>
      </c>
      <c r="X176" s="480" t="s">
        <v>452</v>
      </c>
      <c r="Z176" s="490"/>
      <c r="AA176" t="s">
        <v>1267</v>
      </c>
      <c r="AC176" s="403"/>
      <c r="AF176" s="443">
        <v>0.56371884503226599</v>
      </c>
      <c r="AG176" s="438">
        <v>0.12527085445161465</v>
      </c>
      <c r="AH176" s="438">
        <v>0.43844799058065131</v>
      </c>
      <c r="AI176" s="438">
        <v>0</v>
      </c>
      <c r="AJ176" s="437"/>
      <c r="AK176" s="443">
        <v>3.4797459569892962E-2</v>
      </c>
      <c r="AL176" s="438" t="s">
        <v>452</v>
      </c>
      <c r="AM176" s="441"/>
      <c r="AN176" s="438">
        <v>3.4797459569892962E-2</v>
      </c>
      <c r="AO176" s="438" t="s">
        <v>452</v>
      </c>
      <c r="AP176" s="331"/>
      <c r="AQ176" s="331"/>
      <c r="AR176" s="443">
        <v>3.2228193780649277</v>
      </c>
      <c r="AS176" s="438">
        <v>0.71618208401442829</v>
      </c>
      <c r="AT176" s="438">
        <v>2.5066372940504991</v>
      </c>
      <c r="AU176" s="438">
        <v>0</v>
      </c>
      <c r="AV176" s="437"/>
      <c r="AW176" s="443">
        <v>0.19893946778178564</v>
      </c>
      <c r="AX176" s="438" t="s">
        <v>452</v>
      </c>
      <c r="AY176" s="441"/>
      <c r="AZ176" s="438">
        <v>0.19893946778178564</v>
      </c>
      <c r="BA176" s="438" t="s">
        <v>452</v>
      </c>
    </row>
    <row r="177" spans="1:53">
      <c r="A177" s="415" t="s">
        <v>1111</v>
      </c>
      <c r="B177" s="415" t="s">
        <v>1111</v>
      </c>
      <c r="C177" s="488">
        <v>0.40497667185069974</v>
      </c>
      <c r="D177" s="480">
        <v>6.0608753610308819E-2</v>
      </c>
      <c r="E177" s="480">
        <v>0.34436791824039098</v>
      </c>
      <c r="F177" s="480" t="s">
        <v>452</v>
      </c>
      <c r="G177" s="482"/>
      <c r="H177" s="481" t="s">
        <v>452</v>
      </c>
      <c r="I177" s="480" t="s">
        <v>452</v>
      </c>
      <c r="J177" s="483"/>
      <c r="K177" s="480" t="s">
        <v>452</v>
      </c>
      <c r="L177" s="480" t="s">
        <v>452</v>
      </c>
      <c r="M177"/>
      <c r="N177"/>
      <c r="O177" s="481">
        <v>4.9933930955300641</v>
      </c>
      <c r="P177" s="480">
        <v>0.74731053130381919</v>
      </c>
      <c r="Q177" s="480">
        <v>4.2460825642262447</v>
      </c>
      <c r="R177" s="480" t="s">
        <v>452</v>
      </c>
      <c r="S177" s="482"/>
      <c r="T177" s="481" t="s">
        <v>452</v>
      </c>
      <c r="U177" s="480" t="s">
        <v>452</v>
      </c>
      <c r="V177" s="483"/>
      <c r="W177" s="480" t="s">
        <v>452</v>
      </c>
      <c r="X177" s="480" t="s">
        <v>452</v>
      </c>
      <c r="Z177" s="490"/>
      <c r="AA177" t="s">
        <v>1267</v>
      </c>
      <c r="AC177" s="403"/>
      <c r="AF177" s="443">
        <v>0.40497667185069974</v>
      </c>
      <c r="AG177" s="438">
        <v>6.0608753610308819E-2</v>
      </c>
      <c r="AH177" s="438">
        <v>0.34436791824039098</v>
      </c>
      <c r="AI177" s="438" t="s">
        <v>452</v>
      </c>
      <c r="AJ177" s="437"/>
      <c r="AK177" s="443" t="s">
        <v>452</v>
      </c>
      <c r="AL177" s="438" t="s">
        <v>452</v>
      </c>
      <c r="AM177" s="441"/>
      <c r="AN177" s="438" t="s">
        <v>452</v>
      </c>
      <c r="AO177" s="438" t="s">
        <v>452</v>
      </c>
      <c r="AP177" s="331"/>
      <c r="AQ177" s="331"/>
      <c r="AR177" s="443">
        <v>4.9933930955300641</v>
      </c>
      <c r="AS177" s="438">
        <v>0.74731053130381919</v>
      </c>
      <c r="AT177" s="438">
        <v>4.2460825642262447</v>
      </c>
      <c r="AU177" s="438" t="s">
        <v>452</v>
      </c>
      <c r="AV177" s="437"/>
      <c r="AW177" s="443" t="s">
        <v>452</v>
      </c>
      <c r="AX177" s="438" t="s">
        <v>452</v>
      </c>
      <c r="AY177" s="441"/>
      <c r="AZ177" s="438" t="s">
        <v>452</v>
      </c>
      <c r="BA177" s="438" t="s">
        <v>452</v>
      </c>
    </row>
    <row r="178" spans="1:53">
      <c r="A178" s="415" t="s">
        <v>1112</v>
      </c>
      <c r="B178" s="415" t="s">
        <v>1112</v>
      </c>
      <c r="C178" s="488">
        <v>0.2</v>
      </c>
      <c r="D178" s="480">
        <v>0.23668661825815965</v>
      </c>
      <c r="E178" s="480">
        <v>-3.6686618258159637E-2</v>
      </c>
      <c r="F178" s="480" t="s">
        <v>452</v>
      </c>
      <c r="G178" s="482"/>
      <c r="H178" s="481" t="s">
        <v>452</v>
      </c>
      <c r="I178" s="480">
        <v>0</v>
      </c>
      <c r="J178" s="483"/>
      <c r="K178" s="480">
        <v>0</v>
      </c>
      <c r="L178" s="480" t="s">
        <v>452</v>
      </c>
      <c r="M178"/>
      <c r="N178"/>
      <c r="O178" s="481">
        <v>1.4</v>
      </c>
      <c r="P178" s="480">
        <v>0.4</v>
      </c>
      <c r="Q178" s="480">
        <v>0.99999999999999989</v>
      </c>
      <c r="R178" s="480" t="s">
        <v>452</v>
      </c>
      <c r="S178" s="482"/>
      <c r="T178" s="481" t="s">
        <v>452</v>
      </c>
      <c r="U178" s="480">
        <v>0</v>
      </c>
      <c r="V178" s="483"/>
      <c r="W178" s="480">
        <v>0</v>
      </c>
      <c r="X178" s="480" t="s">
        <v>452</v>
      </c>
      <c r="Z178" s="490"/>
      <c r="AA178" t="s">
        <v>1267</v>
      </c>
      <c r="AC178" s="403"/>
      <c r="AF178" s="443">
        <v>0.2</v>
      </c>
      <c r="AG178" s="438">
        <v>0.23668661825815965</v>
      </c>
      <c r="AH178" s="438">
        <v>-3.6686618258159637E-2</v>
      </c>
      <c r="AI178" s="438" t="s">
        <v>452</v>
      </c>
      <c r="AJ178" s="437"/>
      <c r="AK178" s="443" t="s">
        <v>452</v>
      </c>
      <c r="AL178" s="438">
        <v>0</v>
      </c>
      <c r="AM178" s="441"/>
      <c r="AN178" s="438">
        <v>0</v>
      </c>
      <c r="AO178" s="438" t="s">
        <v>452</v>
      </c>
      <c r="AP178" s="331"/>
      <c r="AQ178" s="331"/>
      <c r="AR178" s="443">
        <v>1.4</v>
      </c>
      <c r="AS178" s="438">
        <v>0.4</v>
      </c>
      <c r="AT178" s="438">
        <v>0.99999999999999989</v>
      </c>
      <c r="AU178" s="438" t="s">
        <v>452</v>
      </c>
      <c r="AV178" s="437"/>
      <c r="AW178" s="443" t="s">
        <v>452</v>
      </c>
      <c r="AX178" s="438">
        <v>0</v>
      </c>
      <c r="AY178" s="441"/>
      <c r="AZ178" s="438">
        <v>0</v>
      </c>
      <c r="BA178" s="438" t="s">
        <v>452</v>
      </c>
    </row>
    <row r="179" spans="1:53">
      <c r="A179" s="415" t="s">
        <v>1113</v>
      </c>
      <c r="B179" s="415" t="s">
        <v>1113</v>
      </c>
      <c r="C179" s="488">
        <v>0.65900000000000003</v>
      </c>
      <c r="D179" s="480">
        <v>0.14599999999999999</v>
      </c>
      <c r="E179" s="480">
        <v>0.51300000000000001</v>
      </c>
      <c r="F179" s="480" t="s">
        <v>452</v>
      </c>
      <c r="G179" s="482"/>
      <c r="H179" s="481">
        <v>2.4E-2</v>
      </c>
      <c r="I179" s="480">
        <v>2.4E-2</v>
      </c>
      <c r="J179" s="483"/>
      <c r="K179" s="480" t="s">
        <v>452</v>
      </c>
      <c r="L179" s="480" t="s">
        <v>452</v>
      </c>
      <c r="M179"/>
      <c r="N179"/>
      <c r="O179" s="481">
        <v>4.6985081203835222</v>
      </c>
      <c r="P179" s="480">
        <v>1</v>
      </c>
      <c r="Q179" s="480">
        <v>3.6985081203835222</v>
      </c>
      <c r="R179" s="480" t="s">
        <v>452</v>
      </c>
      <c r="S179" s="482"/>
      <c r="T179" s="481">
        <v>0.17045454545454547</v>
      </c>
      <c r="U179" s="480">
        <v>0.17045454545454547</v>
      </c>
      <c r="V179" s="483"/>
      <c r="W179" s="480" t="s">
        <v>452</v>
      </c>
      <c r="X179" s="480" t="s">
        <v>452</v>
      </c>
      <c r="Z179" s="490"/>
      <c r="AA179" t="s">
        <v>1267</v>
      </c>
      <c r="AC179" s="403"/>
      <c r="AF179" s="443">
        <v>0.65900000000000003</v>
      </c>
      <c r="AG179" s="438">
        <v>0.14599999999999999</v>
      </c>
      <c r="AH179" s="438">
        <v>0.51300000000000001</v>
      </c>
      <c r="AI179" s="438" t="s">
        <v>452</v>
      </c>
      <c r="AJ179" s="437"/>
      <c r="AK179" s="443">
        <v>2.4E-2</v>
      </c>
      <c r="AL179" s="438">
        <v>2.4E-2</v>
      </c>
      <c r="AM179" s="441"/>
      <c r="AN179" s="438" t="s">
        <v>452</v>
      </c>
      <c r="AO179" s="438" t="s">
        <v>452</v>
      </c>
      <c r="AP179" s="331"/>
      <c r="AQ179" s="331"/>
      <c r="AR179" s="443">
        <v>4.6985081203835222</v>
      </c>
      <c r="AS179" s="438">
        <v>1</v>
      </c>
      <c r="AT179" s="438">
        <v>3.6985081203835222</v>
      </c>
      <c r="AU179" s="438" t="s">
        <v>452</v>
      </c>
      <c r="AV179" s="437"/>
      <c r="AW179" s="443">
        <v>0.17045454545454547</v>
      </c>
      <c r="AX179" s="438">
        <v>0.17045454545454547</v>
      </c>
      <c r="AY179" s="441"/>
      <c r="AZ179" s="438" t="s">
        <v>452</v>
      </c>
      <c r="BA179" s="438" t="s">
        <v>452</v>
      </c>
    </row>
    <row r="180" spans="1:53">
      <c r="A180" s="415" t="s">
        <v>912</v>
      </c>
      <c r="B180" s="415" t="s">
        <v>912</v>
      </c>
      <c r="C180" s="488" t="str">
        <f>IF(ISNUMBER(INDEX('Database.Jan 12 to SEC'!$G$6:$G$191, MATCH($A180&amp;"USD bn", 'Database.Jan 12 to SEC'!$AD$6:$AD$191, 0))), INDEX('Database.Jan 12 to SEC'!$G$6:$G$191, MATCH($A180&amp;"USD bn", 'Database.Jan 12 to SEC'!$AD$6:$AD$191, 0)), "")</f>
        <v/>
      </c>
      <c r="D180" s="480" t="str">
        <f>IF(ISNUMBER(INDEX('Database.Jan 12 to SEC'!$H$6:$H$191, MATCH($A180&amp;"USD bn", 'Database.Jan 12 to SEC'!$AD$6:$AD$191, 0))), INDEX('Database.Jan 12 to SEC'!$H$6:$H$191, MATCH($A180&amp;"USD bn", 'Database.Jan 12 to SEC'!$AD$6:$AD$191, 0)), "")</f>
        <v/>
      </c>
      <c r="E180" s="480" t="str">
        <f>IF(ISNUMBER(INDEX('Database.Jan 12 to SEC'!$J$6:$J$191, MATCH($A180&amp;"USD bn", 'Database.Jan 12 to SEC'!$AD$6:$AD$191, 0))), INDEX('Database.Jan 12 to SEC'!$J$6:$J$191, MATCH($A180&amp;"USD bn", 'Database.Jan 12 to SEC'!$AD$6:$AD$191, 0)), "")</f>
        <v/>
      </c>
      <c r="F180" s="480" t="str">
        <f>IF(ISNUMBER(INDEX('Database.Jan 12 to SEC'!$L$6:$L$191, MATCH($A180&amp;"USD bn", 'Database.Jan 12 to SEC'!$AD$6:$AD$191, 0))), INDEX('Database.Jan 12 to SEC'!$L$6:$L$191, MATCH($A180&amp;"USD bn", 'Database.Jan 12 to SEC'!$AD$6:$AD$191, 0)), "")</f>
        <v/>
      </c>
      <c r="G180" s="482"/>
      <c r="H180" s="481" t="str">
        <f>IF(ISNUMBER(INDEX('Database.Jan 12 to SEC'!$P$6:$P$191, MATCH($A180&amp;"USD bn", 'Database.Jan 12 to SEC'!$AD$6:$AD$191, 0))), INDEX('Database.Jan 12 to SEC'!$P$6:$P$191, MATCH($A180&amp;"USD bn", 'Database.Jan 12 to SEC'!$AD$6:$AD$191, 0)), "")</f>
        <v/>
      </c>
      <c r="I180" s="480" t="str">
        <f>IF(ISNUMBER(INDEX('Database.Jan 12 to SEC'!$Q$6:$Q$191, MATCH($A180&amp;"USD bn", 'Database.Jan 12 to SEC'!$AD$6:$AD$191, 0))), INDEX('Database.Jan 12 to SEC'!$Q$6:$Q$191, MATCH($A180&amp;"USD bn", 'Database.Jan 12 to SEC'!$AD$6:$AD$191, 0)), "")</f>
        <v/>
      </c>
      <c r="J180" s="483"/>
      <c r="K180" s="480" t="str">
        <f>IF(ISNUMBER(INDEX('Database.Jan 12 to SEC'!$U$6:$U$191, MATCH($A180&amp;"USD bn", 'Database.Jan 12 to SEC'!$AD$6:$AD$191, 0))), INDEX('Database.Jan 12 to SEC'!$U$6:$U$191, MATCH($A180&amp;"USD bn", 'Database.Jan 12 to SEC'!$AD$6:$AD$191, 0)), "")</f>
        <v/>
      </c>
      <c r="L180" s="480" t="str">
        <f>IF(ISNUMBER(INDEX('Database.Jan 12 to SEC'!$W$6:$W$191, MATCH($A180&amp;"USD bn", 'Database.Jan 12 to SEC'!$AD$6:$AD$191, 0))), INDEX('Database.Jan 12 to SEC'!$W$6:$W$191, MATCH($A180&amp;"USD bn", 'Database.Jan 12 to SEC'!$AD$6:$AD$191, 0)), "")</f>
        <v/>
      </c>
      <c r="M180"/>
      <c r="N180"/>
      <c r="O180" s="481" t="str">
        <f>IF(ISNUMBER(INDEX('Database.Jan 12 to SEC'!$G$6:$G$191, MATCH($A180&amp;"% GDP", 'Database.Jan 12 to SEC'!$AD$6:$AD$191, 0))), INDEX('Database.Jan 12 to SEC'!$G$6:$G$191, MATCH($A180&amp;"% GDP", 'Database.Jan 12 to SEC'!$AD$6:$AD$191, 0)), "")</f>
        <v/>
      </c>
      <c r="P180" s="480" t="str">
        <f>IF(ISNUMBER(INDEX('Database.Jan 12 to SEC'!$H$6:$H$191, MATCH($A180&amp;"% GDP", 'Database.Jan 12 to SEC'!$AD$6:$AD$191, 0))), INDEX('Database.Jan 12 to SEC'!$H$6:$H$191, MATCH($A180&amp;"% GDP", 'Database.Jan 12 to SEC'!$AD$6:$AD$191, 0)), "")</f>
        <v/>
      </c>
      <c r="Q180" s="480" t="str">
        <f>IF(ISNUMBER(INDEX('Database.Jan 12 to SEC'!$J$6:$J$191, MATCH($A180&amp;"% GDP", 'Database.Jan 12 to SEC'!$AD$6:$AD$191, 0))), INDEX('Database.Jan 12 to SEC'!$J$6:$J$191, MATCH($A180&amp;"% GDP", 'Database.Jan 12 to SEC'!$AD$6:$AD$191, 0)), "")</f>
        <v/>
      </c>
      <c r="R180" s="480" t="str">
        <f>IF(ISNUMBER(INDEX('Database.Jan 12 to SEC'!$L$6:$L$191, MATCH($A180&amp;"% GDP", 'Database.Jan 12 to SEC'!$AD$6:$AD$191, 0))), INDEX('Database.Jan 12 to SEC'!$L$6:$L$191, MATCH($A180&amp;"% GDP", 'Database.Jan 12 to SEC'!$AD$6:$AD$191, 0)), "")</f>
        <v/>
      </c>
      <c r="S180" s="482"/>
      <c r="T180" s="481" t="str">
        <f>IF(ISNUMBER(INDEX('Database.Jan 12 to SEC'!$P$6:$P$191, MATCH($A180&amp;"% GDP", 'Database.Jan 12 to SEC'!$AD$6:$AD$191, 0))), INDEX('Database.Jan 12 to SEC'!$P$6:$P$191, MATCH($A180&amp;"% GDP", 'Database.Jan 12 to SEC'!$AD$6:$AD$191, 0)), "")</f>
        <v/>
      </c>
      <c r="U180" s="480" t="str">
        <f>IF(ISNUMBER(INDEX('Database.Jan 12 to SEC'!$Q$6:$Q$191, MATCH($A180&amp;"% GDP", 'Database.Jan 12 to SEC'!$AD$6:$AD$191, 0))), INDEX('Database.Jan 12 to SEC'!$Q$6:$Q$191, MATCH($A180&amp;"% GDP", 'Database.Jan 12 to SEC'!$AD$6:$AD$191, 0)), "")</f>
        <v/>
      </c>
      <c r="V180" s="483"/>
      <c r="W180" s="480" t="str">
        <f>IF(ISNUMBER(INDEX('Database.Jan 12 to SEC'!$U$6:$U$191, MATCH($A180&amp;"% GDP", 'Database.Jan 12 to SEC'!$AD$6:$AD$191, 0))), INDEX('Database.Jan 12 to SEC'!$U$6:$U$191, MATCH($A180&amp;"% GDP", 'Database.Jan 12 to SEC'!$AD$6:$AD$191, 0)), "")</f>
        <v/>
      </c>
      <c r="X180" s="480" t="str">
        <f>IF(ISNUMBER(INDEX('Database.Jan 12 to SEC'!$W$6:$W$191, MATCH($A180&amp;"% GDP", 'Database.Jan 12 to SEC'!$AD$6:$AD$191, 0))), INDEX('Database.Jan 12 to SEC'!$W$6:$W$191, MATCH($A180&amp;"% GDP", 'Database.Jan 12 to SEC'!$AD$6:$AD$191, 0)), "")</f>
        <v/>
      </c>
      <c r="Z180" s="490"/>
      <c r="AA180" t="s">
        <v>1267</v>
      </c>
      <c r="AC180" s="403"/>
      <c r="AF180" s="443">
        <v>0.58733903180831615</v>
      </c>
      <c r="AG180" s="438">
        <v>0.13059822221699338</v>
      </c>
      <c r="AH180" s="438">
        <v>0.45674080959132279</v>
      </c>
      <c r="AI180" s="438" t="s">
        <v>452</v>
      </c>
      <c r="AJ180" s="437"/>
      <c r="AK180" s="443">
        <v>0.21178090089242169</v>
      </c>
      <c r="AL180" s="438">
        <v>0.21178090089242169</v>
      </c>
      <c r="AM180" s="441"/>
      <c r="AN180" s="438" t="s">
        <v>452</v>
      </c>
      <c r="AO180" s="438" t="s">
        <v>452</v>
      </c>
      <c r="AP180" s="331"/>
      <c r="AQ180" s="331"/>
      <c r="AR180" s="443">
        <v>0.72281351560912455</v>
      </c>
      <c r="AS180" s="438">
        <v>0.16072175527366353</v>
      </c>
      <c r="AT180" s="438">
        <v>0.56209176033546104</v>
      </c>
      <c r="AU180" s="438" t="s">
        <v>452</v>
      </c>
      <c r="AV180" s="437"/>
      <c r="AW180" s="443">
        <v>0.26062987341675165</v>
      </c>
      <c r="AX180" s="438">
        <v>0.26062987341675165</v>
      </c>
      <c r="AY180" s="441"/>
      <c r="AZ180" s="438" t="s">
        <v>452</v>
      </c>
      <c r="BA180" s="438" t="s">
        <v>452</v>
      </c>
    </row>
    <row r="181" spans="1:53">
      <c r="A181" s="415" t="s">
        <v>914</v>
      </c>
      <c r="B181" s="415" t="s">
        <v>914</v>
      </c>
      <c r="C181" s="488" t="str">
        <f>IF(ISNUMBER(INDEX('Database.Jan 12 to SEC'!$G$6:$G$191, MATCH($A181&amp;"USD bn", 'Database.Jan 12 to SEC'!$AD$6:$AD$191, 0))), INDEX('Database.Jan 12 to SEC'!$G$6:$G$191, MATCH($A181&amp;"USD bn", 'Database.Jan 12 to SEC'!$AD$6:$AD$191, 0)), "")</f>
        <v/>
      </c>
      <c r="D181" s="480" t="str">
        <f>IF(ISNUMBER(INDEX('Database.Jan 12 to SEC'!$H$6:$H$191, MATCH($A181&amp;"USD bn", 'Database.Jan 12 to SEC'!$AD$6:$AD$191, 0))), INDEX('Database.Jan 12 to SEC'!$H$6:$H$191, MATCH($A181&amp;"USD bn", 'Database.Jan 12 to SEC'!$AD$6:$AD$191, 0)), "")</f>
        <v/>
      </c>
      <c r="E181" s="480" t="str">
        <f>IF(ISNUMBER(INDEX('Database.Jan 12 to SEC'!$J$6:$J$191, MATCH($A181&amp;"USD bn", 'Database.Jan 12 to SEC'!$AD$6:$AD$191, 0))), INDEX('Database.Jan 12 to SEC'!$J$6:$J$191, MATCH($A181&amp;"USD bn", 'Database.Jan 12 to SEC'!$AD$6:$AD$191, 0)), "")</f>
        <v/>
      </c>
      <c r="F181" s="480" t="str">
        <f>IF(ISNUMBER(INDEX('Database.Jan 12 to SEC'!$L$6:$L$191, MATCH($A181&amp;"USD bn", 'Database.Jan 12 to SEC'!$AD$6:$AD$191, 0))), INDEX('Database.Jan 12 to SEC'!$L$6:$L$191, MATCH($A181&amp;"USD bn", 'Database.Jan 12 to SEC'!$AD$6:$AD$191, 0)), "")</f>
        <v/>
      </c>
      <c r="G181" s="482"/>
      <c r="H181" s="481" t="str">
        <f>IF(ISNUMBER(INDEX('Database.Jan 12 to SEC'!$P$6:$P$191, MATCH($A181&amp;"USD bn", 'Database.Jan 12 to SEC'!$AD$6:$AD$191, 0))), INDEX('Database.Jan 12 to SEC'!$P$6:$P$191, MATCH($A181&amp;"USD bn", 'Database.Jan 12 to SEC'!$AD$6:$AD$191, 0)), "")</f>
        <v/>
      </c>
      <c r="I181" s="480" t="str">
        <f>IF(ISNUMBER(INDEX('Database.Jan 12 to SEC'!$Q$6:$Q$191, MATCH($A181&amp;"USD bn", 'Database.Jan 12 to SEC'!$AD$6:$AD$191, 0))), INDEX('Database.Jan 12 to SEC'!$Q$6:$Q$191, MATCH($A181&amp;"USD bn", 'Database.Jan 12 to SEC'!$AD$6:$AD$191, 0)), "")</f>
        <v/>
      </c>
      <c r="J181" s="483"/>
      <c r="K181" s="480" t="str">
        <f>IF(ISNUMBER(INDEX('Database.Jan 12 to SEC'!$U$6:$U$191, MATCH($A181&amp;"USD bn", 'Database.Jan 12 to SEC'!$AD$6:$AD$191, 0))), INDEX('Database.Jan 12 to SEC'!$U$6:$U$191, MATCH($A181&amp;"USD bn", 'Database.Jan 12 to SEC'!$AD$6:$AD$191, 0)), "")</f>
        <v/>
      </c>
      <c r="L181" s="480" t="str">
        <f>IF(ISNUMBER(INDEX('Database.Jan 12 to SEC'!$W$6:$W$191, MATCH($A181&amp;"USD bn", 'Database.Jan 12 to SEC'!$AD$6:$AD$191, 0))), INDEX('Database.Jan 12 to SEC'!$W$6:$W$191, MATCH($A181&amp;"USD bn", 'Database.Jan 12 to SEC'!$AD$6:$AD$191, 0)), "")</f>
        <v/>
      </c>
      <c r="M181"/>
      <c r="N181"/>
      <c r="O181" s="481" t="str">
        <f>IF(ISNUMBER(INDEX('Database.Jan 12 to SEC'!$G$6:$G$191, MATCH($A181&amp;"% GDP", 'Database.Jan 12 to SEC'!$AD$6:$AD$191, 0))), INDEX('Database.Jan 12 to SEC'!$G$6:$G$191, MATCH($A181&amp;"% GDP", 'Database.Jan 12 to SEC'!$AD$6:$AD$191, 0)), "")</f>
        <v/>
      </c>
      <c r="P181" s="480" t="str">
        <f>IF(ISNUMBER(INDEX('Database.Jan 12 to SEC'!$H$6:$H$191, MATCH($A181&amp;"% GDP", 'Database.Jan 12 to SEC'!$AD$6:$AD$191, 0))), INDEX('Database.Jan 12 to SEC'!$H$6:$H$191, MATCH($A181&amp;"% GDP", 'Database.Jan 12 to SEC'!$AD$6:$AD$191, 0)), "")</f>
        <v/>
      </c>
      <c r="Q181" s="480" t="str">
        <f>IF(ISNUMBER(INDEX('Database.Jan 12 to SEC'!$J$6:$J$191, MATCH($A181&amp;"% GDP", 'Database.Jan 12 to SEC'!$AD$6:$AD$191, 0))), INDEX('Database.Jan 12 to SEC'!$J$6:$J$191, MATCH($A181&amp;"% GDP", 'Database.Jan 12 to SEC'!$AD$6:$AD$191, 0)), "")</f>
        <v/>
      </c>
      <c r="R181" s="480" t="str">
        <f>IF(ISNUMBER(INDEX('Database.Jan 12 to SEC'!$L$6:$L$191, MATCH($A181&amp;"% GDP", 'Database.Jan 12 to SEC'!$AD$6:$AD$191, 0))), INDEX('Database.Jan 12 to SEC'!$L$6:$L$191, MATCH($A181&amp;"% GDP", 'Database.Jan 12 to SEC'!$AD$6:$AD$191, 0)), "")</f>
        <v/>
      </c>
      <c r="S181" s="482"/>
      <c r="T181" s="481" t="str">
        <f>IF(ISNUMBER(INDEX('Database.Jan 12 to SEC'!$P$6:$P$191, MATCH($A181&amp;"% GDP", 'Database.Jan 12 to SEC'!$AD$6:$AD$191, 0))), INDEX('Database.Jan 12 to SEC'!$P$6:$P$191, MATCH($A181&amp;"% GDP", 'Database.Jan 12 to SEC'!$AD$6:$AD$191, 0)), "")</f>
        <v/>
      </c>
      <c r="U181" s="480" t="str">
        <f>IF(ISNUMBER(INDEX('Database.Jan 12 to SEC'!$Q$6:$Q$191, MATCH($A181&amp;"% GDP", 'Database.Jan 12 to SEC'!$AD$6:$AD$191, 0))), INDEX('Database.Jan 12 to SEC'!$Q$6:$Q$191, MATCH($A181&amp;"% GDP", 'Database.Jan 12 to SEC'!$AD$6:$AD$191, 0)), "")</f>
        <v/>
      </c>
      <c r="V181" s="483"/>
      <c r="W181" s="480" t="str">
        <f>IF(ISNUMBER(INDEX('Database.Jan 12 to SEC'!$U$6:$U$191, MATCH($A181&amp;"% GDP", 'Database.Jan 12 to SEC'!$AD$6:$AD$191, 0))), INDEX('Database.Jan 12 to SEC'!$U$6:$U$191, MATCH($A181&amp;"% GDP", 'Database.Jan 12 to SEC'!$AD$6:$AD$191, 0)), "")</f>
        <v/>
      </c>
      <c r="X181" s="480" t="str">
        <f>IF(ISNUMBER(INDEX('Database.Jan 12 to SEC'!$W$6:$W$191, MATCH($A181&amp;"% GDP", 'Database.Jan 12 to SEC'!$AD$6:$AD$191, 0))), INDEX('Database.Jan 12 to SEC'!$W$6:$W$191, MATCH($A181&amp;"% GDP", 'Database.Jan 12 to SEC'!$AD$6:$AD$191, 0)), "")</f>
        <v/>
      </c>
      <c r="Z181" s="490"/>
      <c r="AA181" t="s">
        <v>1267</v>
      </c>
      <c r="AC181" s="403"/>
      <c r="AF181" s="443">
        <v>0</v>
      </c>
      <c r="AG181" s="438">
        <v>0</v>
      </c>
      <c r="AH181" s="438">
        <v>0</v>
      </c>
      <c r="AI181" s="438" t="s">
        <v>452</v>
      </c>
      <c r="AJ181" s="437"/>
      <c r="AK181" s="443" t="s">
        <v>452</v>
      </c>
      <c r="AL181" s="438" t="s">
        <v>452</v>
      </c>
      <c r="AM181" s="441"/>
      <c r="AN181" s="438" t="s">
        <v>452</v>
      </c>
      <c r="AO181" s="438" t="s">
        <v>452</v>
      </c>
      <c r="AP181" s="331"/>
      <c r="AQ181" s="331"/>
      <c r="AR181" s="443">
        <v>0</v>
      </c>
      <c r="AS181" s="438">
        <v>0</v>
      </c>
      <c r="AT181" s="438">
        <v>0</v>
      </c>
      <c r="AU181" s="438" t="s">
        <v>452</v>
      </c>
      <c r="AV181" s="437"/>
      <c r="AW181" s="443" t="s">
        <v>452</v>
      </c>
      <c r="AX181" s="438" t="s">
        <v>452</v>
      </c>
      <c r="AY181" s="441"/>
      <c r="AZ181" s="438" t="s">
        <v>452</v>
      </c>
      <c r="BA181" s="438" t="s">
        <v>452</v>
      </c>
    </row>
    <row r="182" spans="1:53">
      <c r="A182" s="415" t="s">
        <v>1114</v>
      </c>
      <c r="B182" s="415" t="s">
        <v>1114</v>
      </c>
      <c r="C182" s="488">
        <v>0.2717288589332218</v>
      </c>
      <c r="D182" s="480">
        <v>1.4616122578083225E-4</v>
      </c>
      <c r="E182" s="480">
        <v>0.27158269770744098</v>
      </c>
      <c r="F182" s="480" t="s">
        <v>452</v>
      </c>
      <c r="G182" s="482"/>
      <c r="H182" s="481" t="s">
        <v>452</v>
      </c>
      <c r="I182" s="480" t="s">
        <v>452</v>
      </c>
      <c r="J182" s="483"/>
      <c r="K182" s="480" t="s">
        <v>452</v>
      </c>
      <c r="L182" s="480" t="s">
        <v>452</v>
      </c>
      <c r="M182"/>
      <c r="N182"/>
      <c r="O182" s="481">
        <v>2.1531306233246545</v>
      </c>
      <c r="P182" s="480">
        <v>1.158155274367521E-3</v>
      </c>
      <c r="Q182" s="480">
        <v>2.1519724680502872</v>
      </c>
      <c r="R182" s="480" t="s">
        <v>452</v>
      </c>
      <c r="S182" s="482"/>
      <c r="T182" s="481" t="s">
        <v>452</v>
      </c>
      <c r="U182" s="480" t="s">
        <v>452</v>
      </c>
      <c r="V182" s="483"/>
      <c r="W182" s="480" t="s">
        <v>452</v>
      </c>
      <c r="X182" s="480" t="s">
        <v>452</v>
      </c>
      <c r="Z182" s="490"/>
      <c r="AA182" t="s">
        <v>1267</v>
      </c>
      <c r="AC182" s="403"/>
      <c r="AF182" s="443">
        <v>0.2717288589332218</v>
      </c>
      <c r="AG182" s="438">
        <v>1.4616122578083225E-4</v>
      </c>
      <c r="AH182" s="438">
        <v>0.27158269770744098</v>
      </c>
      <c r="AI182" s="438" t="s">
        <v>452</v>
      </c>
      <c r="AJ182" s="437"/>
      <c r="AK182" s="443" t="s">
        <v>452</v>
      </c>
      <c r="AL182" s="438" t="s">
        <v>452</v>
      </c>
      <c r="AM182" s="441"/>
      <c r="AN182" s="438" t="s">
        <v>452</v>
      </c>
      <c r="AO182" s="438" t="s">
        <v>452</v>
      </c>
      <c r="AP182" s="331"/>
      <c r="AQ182" s="331"/>
      <c r="AR182" s="443">
        <v>2.1531306233246545</v>
      </c>
      <c r="AS182" s="438">
        <v>1.158155274367521E-3</v>
      </c>
      <c r="AT182" s="438">
        <v>2.1519724680502872</v>
      </c>
      <c r="AU182" s="438" t="s">
        <v>452</v>
      </c>
      <c r="AV182" s="437"/>
      <c r="AW182" s="443" t="s">
        <v>452</v>
      </c>
      <c r="AX182" s="438" t="s">
        <v>452</v>
      </c>
      <c r="AY182" s="441"/>
      <c r="AZ182" s="438" t="s">
        <v>452</v>
      </c>
      <c r="BA182" s="438" t="s">
        <v>452</v>
      </c>
    </row>
    <row r="183" spans="1:53">
      <c r="A183" s="415" t="s">
        <v>915</v>
      </c>
      <c r="B183" s="415" t="s">
        <v>915</v>
      </c>
      <c r="C183" s="488" t="str">
        <f>IF(ISNUMBER(INDEX('Database.Jan 12 to SEC'!$G$6:$G$191, MATCH($A183&amp;"USD bn", 'Database.Jan 12 to SEC'!$AD$6:$AD$191, 0))), INDEX('Database.Jan 12 to SEC'!$G$6:$G$191, MATCH($A183&amp;"USD bn", 'Database.Jan 12 to SEC'!$AD$6:$AD$191, 0)), "")</f>
        <v/>
      </c>
      <c r="D183" s="480" t="str">
        <f>IF(ISNUMBER(INDEX('Database.Jan 12 to SEC'!$H$6:$H$191, MATCH($A183&amp;"USD bn", 'Database.Jan 12 to SEC'!$AD$6:$AD$191, 0))), INDEX('Database.Jan 12 to SEC'!$H$6:$H$191, MATCH($A183&amp;"USD bn", 'Database.Jan 12 to SEC'!$AD$6:$AD$191, 0)), "")</f>
        <v/>
      </c>
      <c r="E183" s="480" t="str">
        <f>IF(ISNUMBER(INDEX('Database.Jan 12 to SEC'!$J$6:$J$191, MATCH($A183&amp;"USD bn", 'Database.Jan 12 to SEC'!$AD$6:$AD$191, 0))), INDEX('Database.Jan 12 to SEC'!$J$6:$J$191, MATCH($A183&amp;"USD bn", 'Database.Jan 12 to SEC'!$AD$6:$AD$191, 0)), "")</f>
        <v/>
      </c>
      <c r="F183" s="480" t="str">
        <f>IF(ISNUMBER(INDEX('Database.Jan 12 to SEC'!$L$6:$L$191, MATCH($A183&amp;"USD bn", 'Database.Jan 12 to SEC'!$AD$6:$AD$191, 0))), INDEX('Database.Jan 12 to SEC'!$L$6:$L$191, MATCH($A183&amp;"USD bn", 'Database.Jan 12 to SEC'!$AD$6:$AD$191, 0)), "")</f>
        <v/>
      </c>
      <c r="G183" s="482"/>
      <c r="H183" s="481" t="str">
        <f>IF(ISNUMBER(INDEX('Database.Jan 12 to SEC'!$P$6:$P$191, MATCH($A183&amp;"USD bn", 'Database.Jan 12 to SEC'!$AD$6:$AD$191, 0))), INDEX('Database.Jan 12 to SEC'!$P$6:$P$191, MATCH($A183&amp;"USD bn", 'Database.Jan 12 to SEC'!$AD$6:$AD$191, 0)), "")</f>
        <v/>
      </c>
      <c r="I183" s="480" t="str">
        <f>IF(ISNUMBER(INDEX('Database.Jan 12 to SEC'!$Q$6:$Q$191, MATCH($A183&amp;"USD bn", 'Database.Jan 12 to SEC'!$AD$6:$AD$191, 0))), INDEX('Database.Jan 12 to SEC'!$Q$6:$Q$191, MATCH($A183&amp;"USD bn", 'Database.Jan 12 to SEC'!$AD$6:$AD$191, 0)), "")</f>
        <v/>
      </c>
      <c r="J183" s="483"/>
      <c r="K183" s="480" t="str">
        <f>IF(ISNUMBER(INDEX('Database.Jan 12 to SEC'!$U$6:$U$191, MATCH($A183&amp;"USD bn", 'Database.Jan 12 to SEC'!$AD$6:$AD$191, 0))), INDEX('Database.Jan 12 to SEC'!$U$6:$U$191, MATCH($A183&amp;"USD bn", 'Database.Jan 12 to SEC'!$AD$6:$AD$191, 0)), "")</f>
        <v/>
      </c>
      <c r="L183" s="480" t="str">
        <f>IF(ISNUMBER(INDEX('Database.Jan 12 to SEC'!$W$6:$W$191, MATCH($A183&amp;"USD bn", 'Database.Jan 12 to SEC'!$AD$6:$AD$191, 0))), INDEX('Database.Jan 12 to SEC'!$W$6:$W$191, MATCH($A183&amp;"USD bn", 'Database.Jan 12 to SEC'!$AD$6:$AD$191, 0)), "")</f>
        <v/>
      </c>
      <c r="M183"/>
      <c r="N183"/>
      <c r="O183" s="481" t="str">
        <f>IF(ISNUMBER(INDEX('Database.Jan 12 to SEC'!$G$6:$G$191, MATCH($A183&amp;"% GDP", 'Database.Jan 12 to SEC'!$AD$6:$AD$191, 0))), INDEX('Database.Jan 12 to SEC'!$G$6:$G$191, MATCH($A183&amp;"% GDP", 'Database.Jan 12 to SEC'!$AD$6:$AD$191, 0)), "")</f>
        <v/>
      </c>
      <c r="P183" s="480" t="str">
        <f>IF(ISNUMBER(INDEX('Database.Jan 12 to SEC'!$H$6:$H$191, MATCH($A183&amp;"% GDP", 'Database.Jan 12 to SEC'!$AD$6:$AD$191, 0))), INDEX('Database.Jan 12 to SEC'!$H$6:$H$191, MATCH($A183&amp;"% GDP", 'Database.Jan 12 to SEC'!$AD$6:$AD$191, 0)), "")</f>
        <v/>
      </c>
      <c r="Q183" s="480" t="str">
        <f>IF(ISNUMBER(INDEX('Database.Jan 12 to SEC'!$J$6:$J$191, MATCH($A183&amp;"% GDP", 'Database.Jan 12 to SEC'!$AD$6:$AD$191, 0))), INDEX('Database.Jan 12 to SEC'!$J$6:$J$191, MATCH($A183&amp;"% GDP", 'Database.Jan 12 to SEC'!$AD$6:$AD$191, 0)), "")</f>
        <v/>
      </c>
      <c r="R183" s="480" t="str">
        <f>IF(ISNUMBER(INDEX('Database.Jan 12 to SEC'!$L$6:$L$191, MATCH($A183&amp;"% GDP", 'Database.Jan 12 to SEC'!$AD$6:$AD$191, 0))), INDEX('Database.Jan 12 to SEC'!$L$6:$L$191, MATCH($A183&amp;"% GDP", 'Database.Jan 12 to SEC'!$AD$6:$AD$191, 0)), "")</f>
        <v/>
      </c>
      <c r="S183" s="482"/>
      <c r="T183" s="481" t="str">
        <f>IF(ISNUMBER(INDEX('Database.Jan 12 to SEC'!$P$6:$P$191, MATCH($A183&amp;"% GDP", 'Database.Jan 12 to SEC'!$AD$6:$AD$191, 0))), INDEX('Database.Jan 12 to SEC'!$P$6:$P$191, MATCH($A183&amp;"% GDP", 'Database.Jan 12 to SEC'!$AD$6:$AD$191, 0)), "")</f>
        <v/>
      </c>
      <c r="U183" s="480" t="str">
        <f>IF(ISNUMBER(INDEX('Database.Jan 12 to SEC'!$Q$6:$Q$191, MATCH($A183&amp;"% GDP", 'Database.Jan 12 to SEC'!$AD$6:$AD$191, 0))), INDEX('Database.Jan 12 to SEC'!$Q$6:$Q$191, MATCH($A183&amp;"% GDP", 'Database.Jan 12 to SEC'!$AD$6:$AD$191, 0)), "")</f>
        <v/>
      </c>
      <c r="V183" s="483"/>
      <c r="W183" s="480" t="str">
        <f>IF(ISNUMBER(INDEX('Database.Jan 12 to SEC'!$U$6:$U$191, MATCH($A183&amp;"% GDP", 'Database.Jan 12 to SEC'!$AD$6:$AD$191, 0))), INDEX('Database.Jan 12 to SEC'!$U$6:$U$191, MATCH($A183&amp;"% GDP", 'Database.Jan 12 to SEC'!$AD$6:$AD$191, 0)), "")</f>
        <v/>
      </c>
      <c r="X183" s="480" t="str">
        <f>IF(ISNUMBER(INDEX('Database.Jan 12 to SEC'!$W$6:$W$191, MATCH($A183&amp;"% GDP", 'Database.Jan 12 to SEC'!$AD$6:$AD$191, 0))), INDEX('Database.Jan 12 to SEC'!$W$6:$W$191, MATCH($A183&amp;"% GDP", 'Database.Jan 12 to SEC'!$AD$6:$AD$191, 0)), "")</f>
        <v/>
      </c>
      <c r="Z183" s="490"/>
      <c r="AA183" t="s">
        <v>1267</v>
      </c>
      <c r="AC183" s="415"/>
      <c r="AF183" s="443">
        <v>0.10176470509427343</v>
      </c>
      <c r="AG183" s="438">
        <v>4.4801524297786645E-2</v>
      </c>
      <c r="AH183" s="438">
        <v>5.6963180796486788E-2</v>
      </c>
      <c r="AI183" s="438" t="s">
        <v>452</v>
      </c>
      <c r="AJ183" s="437"/>
      <c r="AK183" s="443">
        <v>0.17398650212732678</v>
      </c>
      <c r="AL183" s="438">
        <v>8.6993251063663388E-2</v>
      </c>
      <c r="AM183" s="441"/>
      <c r="AN183" s="438">
        <v>8.6993251063663388E-2</v>
      </c>
      <c r="AO183" s="438" t="s">
        <v>452</v>
      </c>
      <c r="AP183" s="331"/>
      <c r="AQ183" s="331"/>
      <c r="AR183" s="443">
        <v>0.73950497267868009</v>
      </c>
      <c r="AS183" s="438">
        <v>0.32556425109379405</v>
      </c>
      <c r="AT183" s="438">
        <v>0.4139407215848861</v>
      </c>
      <c r="AU183" s="438" t="s">
        <v>452</v>
      </c>
      <c r="AV183" s="437"/>
      <c r="AW183" s="443">
        <v>1.2643271887137633</v>
      </c>
      <c r="AX183" s="438">
        <v>0.63216359435688163</v>
      </c>
      <c r="AY183" s="441"/>
      <c r="AZ183" s="438">
        <v>0.63216359435688163</v>
      </c>
      <c r="BA183" s="438" t="s">
        <v>452</v>
      </c>
    </row>
    <row r="184" spans="1:53">
      <c r="A184" s="415" t="s">
        <v>29</v>
      </c>
      <c r="B184" s="415" t="s">
        <v>29</v>
      </c>
      <c r="C184" s="488" t="str">
        <f>IF(ISNUMBER(INDEX('Database.Jan 12 to SEC'!$G$6:$G$191, MATCH($A184&amp;"USD bn", 'Database.Jan 12 to SEC'!$AD$6:$AD$191, 0))), INDEX('Database.Jan 12 to SEC'!$G$6:$G$191, MATCH($A184&amp;"USD bn", 'Database.Jan 12 to SEC'!$AD$6:$AD$191, 0)), "")</f>
        <v/>
      </c>
      <c r="D184" s="480" t="str">
        <f>IF(ISNUMBER(INDEX('Database.Jan 12 to SEC'!$H$6:$H$191, MATCH($A184&amp;"USD bn", 'Database.Jan 12 to SEC'!$AD$6:$AD$191, 0))), INDEX('Database.Jan 12 to SEC'!$H$6:$H$191, MATCH($A184&amp;"USD bn", 'Database.Jan 12 to SEC'!$AD$6:$AD$191, 0)), "")</f>
        <v/>
      </c>
      <c r="E184" s="480" t="str">
        <f>IF(ISNUMBER(INDEX('Database.Jan 12 to SEC'!$J$6:$J$191, MATCH($A184&amp;"USD bn", 'Database.Jan 12 to SEC'!$AD$6:$AD$191, 0))), INDEX('Database.Jan 12 to SEC'!$J$6:$J$191, MATCH($A184&amp;"USD bn", 'Database.Jan 12 to SEC'!$AD$6:$AD$191, 0)), "")</f>
        <v/>
      </c>
      <c r="F184" s="480" t="str">
        <f>IF(ISNUMBER(INDEX('Database.Jan 12 to SEC'!$L$6:$L$191, MATCH($A184&amp;"USD bn", 'Database.Jan 12 to SEC'!$AD$6:$AD$191, 0))), INDEX('Database.Jan 12 to SEC'!$L$6:$L$191, MATCH($A184&amp;"USD bn", 'Database.Jan 12 to SEC'!$AD$6:$AD$191, 0)), "")</f>
        <v/>
      </c>
      <c r="G184" s="482"/>
      <c r="H184" s="481" t="str">
        <f>IF(ISNUMBER(INDEX('Database.Jan 12 to SEC'!$P$6:$P$191, MATCH($A184&amp;"USD bn", 'Database.Jan 12 to SEC'!$AD$6:$AD$191, 0))), INDEX('Database.Jan 12 to SEC'!$P$6:$P$191, MATCH($A184&amp;"USD bn", 'Database.Jan 12 to SEC'!$AD$6:$AD$191, 0)), "")</f>
        <v/>
      </c>
      <c r="I184" s="480" t="str">
        <f>IF(ISNUMBER(INDEX('Database.Jan 12 to SEC'!$Q$6:$Q$191, MATCH($A184&amp;"USD bn", 'Database.Jan 12 to SEC'!$AD$6:$AD$191, 0))), INDEX('Database.Jan 12 to SEC'!$Q$6:$Q$191, MATCH($A184&amp;"USD bn", 'Database.Jan 12 to SEC'!$AD$6:$AD$191, 0)), "")</f>
        <v/>
      </c>
      <c r="J184" s="483"/>
      <c r="K184" s="480" t="str">
        <f>IF(ISNUMBER(INDEX('Database.Jan 12 to SEC'!$U$6:$U$191, MATCH($A184&amp;"USD bn", 'Database.Jan 12 to SEC'!$AD$6:$AD$191, 0))), INDEX('Database.Jan 12 to SEC'!$U$6:$U$191, MATCH($A184&amp;"USD bn", 'Database.Jan 12 to SEC'!$AD$6:$AD$191, 0)), "")</f>
        <v/>
      </c>
      <c r="L184" s="480" t="str">
        <f>IF(ISNUMBER(INDEX('Database.Jan 12 to SEC'!$W$6:$W$191, MATCH($A184&amp;"USD bn", 'Database.Jan 12 to SEC'!$AD$6:$AD$191, 0))), INDEX('Database.Jan 12 to SEC'!$W$6:$W$191, MATCH($A184&amp;"USD bn", 'Database.Jan 12 to SEC'!$AD$6:$AD$191, 0)), "")</f>
        <v/>
      </c>
      <c r="M184"/>
      <c r="N184"/>
      <c r="O184" s="481" t="str">
        <f>IF(ISNUMBER(INDEX('Database.Jan 12 to SEC'!$G$6:$G$191, MATCH($A184&amp;"% GDP", 'Database.Jan 12 to SEC'!$AD$6:$AD$191, 0))), INDEX('Database.Jan 12 to SEC'!$G$6:$G$191, MATCH($A184&amp;"% GDP", 'Database.Jan 12 to SEC'!$AD$6:$AD$191, 0)), "")</f>
        <v/>
      </c>
      <c r="P184" s="480" t="str">
        <f>IF(ISNUMBER(INDEX('Database.Jan 12 to SEC'!$H$6:$H$191, MATCH($A184&amp;"% GDP", 'Database.Jan 12 to SEC'!$AD$6:$AD$191, 0))), INDEX('Database.Jan 12 to SEC'!$H$6:$H$191, MATCH($A184&amp;"% GDP", 'Database.Jan 12 to SEC'!$AD$6:$AD$191, 0)), "")</f>
        <v/>
      </c>
      <c r="Q184" s="480" t="str">
        <f>IF(ISNUMBER(INDEX('Database.Jan 12 to SEC'!$J$6:$J$191, MATCH($A184&amp;"% GDP", 'Database.Jan 12 to SEC'!$AD$6:$AD$191, 0))), INDEX('Database.Jan 12 to SEC'!$J$6:$J$191, MATCH($A184&amp;"% GDP", 'Database.Jan 12 to SEC'!$AD$6:$AD$191, 0)), "")</f>
        <v/>
      </c>
      <c r="R184" s="480" t="str">
        <f>IF(ISNUMBER(INDEX('Database.Jan 12 to SEC'!$L$6:$L$191, MATCH($A184&amp;"% GDP", 'Database.Jan 12 to SEC'!$AD$6:$AD$191, 0))), INDEX('Database.Jan 12 to SEC'!$L$6:$L$191, MATCH($A184&amp;"% GDP", 'Database.Jan 12 to SEC'!$AD$6:$AD$191, 0)), "")</f>
        <v/>
      </c>
      <c r="S184" s="482"/>
      <c r="T184" s="481" t="str">
        <f>IF(ISNUMBER(INDEX('Database.Jan 12 to SEC'!$P$6:$P$191, MATCH($A184&amp;"% GDP", 'Database.Jan 12 to SEC'!$AD$6:$AD$191, 0))), INDEX('Database.Jan 12 to SEC'!$P$6:$P$191, MATCH($A184&amp;"% GDP", 'Database.Jan 12 to SEC'!$AD$6:$AD$191, 0)), "")</f>
        <v/>
      </c>
      <c r="U184" s="480" t="str">
        <f>IF(ISNUMBER(INDEX('Database.Jan 12 to SEC'!$Q$6:$Q$191, MATCH($A184&amp;"% GDP", 'Database.Jan 12 to SEC'!$AD$6:$AD$191, 0))), INDEX('Database.Jan 12 to SEC'!$Q$6:$Q$191, MATCH($A184&amp;"% GDP", 'Database.Jan 12 to SEC'!$AD$6:$AD$191, 0)), "")</f>
        <v/>
      </c>
      <c r="V184" s="483"/>
      <c r="W184" s="480" t="str">
        <f>IF(ISNUMBER(INDEX('Database.Jan 12 to SEC'!$U$6:$U$191, MATCH($A184&amp;"% GDP", 'Database.Jan 12 to SEC'!$AD$6:$AD$191, 0))), INDEX('Database.Jan 12 to SEC'!$U$6:$U$191, MATCH($A184&amp;"% GDP", 'Database.Jan 12 to SEC'!$AD$6:$AD$191, 0)), "")</f>
        <v/>
      </c>
      <c r="X184" s="480" t="str">
        <f>IF(ISNUMBER(INDEX('Database.Jan 12 to SEC'!$W$6:$W$191, MATCH($A184&amp;"% GDP", 'Database.Jan 12 to SEC'!$AD$6:$AD$191, 0))), INDEX('Database.Jan 12 to SEC'!$W$6:$W$191, MATCH($A184&amp;"% GDP", 'Database.Jan 12 to SEC'!$AD$6:$AD$191, 0)), "")</f>
        <v/>
      </c>
      <c r="Z184" s="490"/>
      <c r="AA184" t="s">
        <v>1267</v>
      </c>
      <c r="AC184" s="299"/>
      <c r="AF184" s="443">
        <v>10.180721494026225</v>
      </c>
      <c r="AG184" s="438">
        <v>6.4029694930982552</v>
      </c>
      <c r="AH184" s="438">
        <v>3.7777520009279693</v>
      </c>
      <c r="AI184" s="438" t="s">
        <v>452</v>
      </c>
      <c r="AJ184" s="437"/>
      <c r="AK184" s="443" t="s">
        <v>452</v>
      </c>
      <c r="AL184" s="438" t="s">
        <v>452</v>
      </c>
      <c r="AM184" s="441"/>
      <c r="AN184" s="438" t="s">
        <v>452</v>
      </c>
      <c r="AO184" s="438" t="s">
        <v>452</v>
      </c>
      <c r="AP184" s="331"/>
      <c r="AQ184" s="331"/>
      <c r="AR184" s="443">
        <v>2.3707909284496753</v>
      </c>
      <c r="AS184" s="438">
        <v>1.4910634770123743</v>
      </c>
      <c r="AT184" s="438">
        <v>0.87972745143730102</v>
      </c>
      <c r="AU184" s="438" t="s">
        <v>452</v>
      </c>
      <c r="AV184" s="437"/>
      <c r="AW184" s="443" t="s">
        <v>452</v>
      </c>
      <c r="AX184" s="438" t="s">
        <v>452</v>
      </c>
      <c r="AY184" s="441"/>
      <c r="AZ184" s="438" t="s">
        <v>452</v>
      </c>
      <c r="BA184" s="438" t="s">
        <v>452</v>
      </c>
    </row>
    <row r="185" spans="1:53">
      <c r="A185" s="415" t="s">
        <v>1115</v>
      </c>
      <c r="B185" s="415" t="s">
        <v>1115</v>
      </c>
      <c r="C185" s="488">
        <v>0.52530545149656394</v>
      </c>
      <c r="D185" s="480">
        <v>0.21982891176758385</v>
      </c>
      <c r="E185" s="480">
        <v>0.30547653972898015</v>
      </c>
      <c r="F185" s="480" t="s">
        <v>452</v>
      </c>
      <c r="G185" s="482"/>
      <c r="H185" s="481">
        <v>5.7098418640930869E-2</v>
      </c>
      <c r="I185" s="480" t="s">
        <v>452</v>
      </c>
      <c r="J185" s="483"/>
      <c r="K185" s="480">
        <v>5.7098418640930869E-2</v>
      </c>
      <c r="L185" s="480" t="s">
        <v>452</v>
      </c>
      <c r="M185"/>
      <c r="N185"/>
      <c r="O185" s="481">
        <v>2.2565880000890863</v>
      </c>
      <c r="P185" s="480">
        <v>0.94433302177641121</v>
      </c>
      <c r="Q185" s="480">
        <v>1.3122549783126753</v>
      </c>
      <c r="R185" s="480" t="s">
        <v>452</v>
      </c>
      <c r="S185" s="482"/>
      <c r="T185" s="481">
        <v>0.24528130435750939</v>
      </c>
      <c r="U185" s="480" t="s">
        <v>452</v>
      </c>
      <c r="V185" s="483"/>
      <c r="W185" s="480">
        <v>0.24528130435750939</v>
      </c>
      <c r="X185" s="480" t="s">
        <v>452</v>
      </c>
      <c r="Z185" s="490"/>
      <c r="AA185" t="s">
        <v>1267</v>
      </c>
      <c r="AC185" s="403"/>
      <c r="AF185" s="443">
        <v>0.52530545149656394</v>
      </c>
      <c r="AG185" s="438">
        <v>0.21982891176758385</v>
      </c>
      <c r="AH185" s="438">
        <v>0.30547653972898015</v>
      </c>
      <c r="AI185" s="438" t="s">
        <v>452</v>
      </c>
      <c r="AJ185" s="437"/>
      <c r="AK185" s="443">
        <v>5.7098418640930869E-2</v>
      </c>
      <c r="AL185" s="438" t="s">
        <v>452</v>
      </c>
      <c r="AM185" s="441"/>
      <c r="AN185" s="438">
        <v>5.7098418640930869E-2</v>
      </c>
      <c r="AO185" s="438" t="s">
        <v>452</v>
      </c>
      <c r="AP185" s="331"/>
      <c r="AQ185" s="331"/>
      <c r="AR185" s="443">
        <v>2.2565880000890863</v>
      </c>
      <c r="AS185" s="438">
        <v>0.94433302177641121</v>
      </c>
      <c r="AT185" s="438">
        <v>1.3122549783126753</v>
      </c>
      <c r="AU185" s="438" t="s">
        <v>452</v>
      </c>
      <c r="AV185" s="437"/>
      <c r="AW185" s="443">
        <v>0.24528130435750939</v>
      </c>
      <c r="AX185" s="438" t="s">
        <v>452</v>
      </c>
      <c r="AY185" s="441"/>
      <c r="AZ185" s="438">
        <v>0.24528130435750939</v>
      </c>
      <c r="BA185" s="438" t="s">
        <v>452</v>
      </c>
    </row>
    <row r="186" spans="1:53">
      <c r="A186" s="415" t="s">
        <v>1116</v>
      </c>
      <c r="B186" s="415" t="s">
        <v>1116</v>
      </c>
      <c r="C186" s="488">
        <v>1.1000000000000001</v>
      </c>
      <c r="D186" s="480" t="s">
        <v>452</v>
      </c>
      <c r="E186" s="480" t="s">
        <v>452</v>
      </c>
      <c r="F186" s="480" t="s">
        <v>452</v>
      </c>
      <c r="G186" s="482"/>
      <c r="H186" s="481" t="s">
        <v>452</v>
      </c>
      <c r="I186" s="480" t="s">
        <v>452</v>
      </c>
      <c r="J186" s="483"/>
      <c r="K186" s="480">
        <v>0</v>
      </c>
      <c r="L186" s="480" t="s">
        <v>452</v>
      </c>
      <c r="M186"/>
      <c r="N186"/>
      <c r="O186" s="481">
        <v>10.1</v>
      </c>
      <c r="P186" s="480" t="s">
        <v>452</v>
      </c>
      <c r="Q186" s="480" t="s">
        <v>452</v>
      </c>
      <c r="R186" s="480" t="s">
        <v>452</v>
      </c>
      <c r="S186" s="482"/>
      <c r="T186" s="481" t="s">
        <v>452</v>
      </c>
      <c r="U186" s="480" t="s">
        <v>452</v>
      </c>
      <c r="V186" s="483"/>
      <c r="W186" s="480">
        <v>0</v>
      </c>
      <c r="X186" s="480" t="s">
        <v>452</v>
      </c>
      <c r="Z186" s="490"/>
      <c r="AA186" t="s">
        <v>1267</v>
      </c>
      <c r="AC186" s="403"/>
      <c r="AF186" s="443">
        <v>1.1000000000000001</v>
      </c>
      <c r="AG186" s="438" t="s">
        <v>452</v>
      </c>
      <c r="AH186" s="438" t="s">
        <v>452</v>
      </c>
      <c r="AI186" s="438" t="s">
        <v>452</v>
      </c>
      <c r="AJ186" s="437"/>
      <c r="AK186" s="443" t="s">
        <v>452</v>
      </c>
      <c r="AL186" s="438" t="s">
        <v>452</v>
      </c>
      <c r="AM186" s="441"/>
      <c r="AN186" s="438">
        <v>0</v>
      </c>
      <c r="AO186" s="438" t="s">
        <v>452</v>
      </c>
      <c r="AP186" s="331"/>
      <c r="AQ186" s="331"/>
      <c r="AR186" s="443">
        <v>10.1</v>
      </c>
      <c r="AS186" s="438" t="s">
        <v>452</v>
      </c>
      <c r="AT186" s="438" t="s">
        <v>452</v>
      </c>
      <c r="AU186" s="438" t="s">
        <v>452</v>
      </c>
      <c r="AV186" s="437"/>
      <c r="AW186" s="443" t="s">
        <v>452</v>
      </c>
      <c r="AX186" s="438" t="s">
        <v>452</v>
      </c>
      <c r="AY186" s="441"/>
      <c r="AZ186" s="438">
        <v>0</v>
      </c>
      <c r="BA186" s="438" t="s">
        <v>452</v>
      </c>
    </row>
    <row r="187" spans="1:53">
      <c r="A187" s="415" t="s">
        <v>1117</v>
      </c>
      <c r="B187" s="415" t="s">
        <v>1117</v>
      </c>
      <c r="C187" s="488">
        <v>1.257739191941596E-2</v>
      </c>
      <c r="D187" s="480">
        <v>6.0557812945336098E-3</v>
      </c>
      <c r="E187" s="480">
        <v>6.5216106248823496E-3</v>
      </c>
      <c r="F187" s="480" t="s">
        <v>452</v>
      </c>
      <c r="G187" s="482"/>
      <c r="H187" s="481" t="s">
        <v>452</v>
      </c>
      <c r="I187" s="480" t="s">
        <v>452</v>
      </c>
      <c r="J187" s="483"/>
      <c r="K187" s="480" t="s">
        <v>452</v>
      </c>
      <c r="L187" s="480" t="s">
        <v>452</v>
      </c>
      <c r="M187"/>
      <c r="N187"/>
      <c r="O187" s="481">
        <v>2.6348404287860667</v>
      </c>
      <c r="P187" s="480">
        <v>1.2686268731192174</v>
      </c>
      <c r="Q187" s="480">
        <v>1.3662135556668495</v>
      </c>
      <c r="R187" s="480" t="s">
        <v>452</v>
      </c>
      <c r="S187" s="482"/>
      <c r="T187" s="481" t="s">
        <v>452</v>
      </c>
      <c r="U187" s="480" t="s">
        <v>452</v>
      </c>
      <c r="V187" s="483"/>
      <c r="W187" s="480" t="s">
        <v>452</v>
      </c>
      <c r="X187" s="480" t="s">
        <v>452</v>
      </c>
      <c r="Z187" s="490"/>
      <c r="AA187" t="s">
        <v>1267</v>
      </c>
      <c r="AC187" s="403"/>
      <c r="AF187" s="443">
        <v>1.257739191941596E-2</v>
      </c>
      <c r="AG187" s="438">
        <v>6.0557812945336098E-3</v>
      </c>
      <c r="AH187" s="438">
        <v>6.5216106248823496E-3</v>
      </c>
      <c r="AI187" s="438" t="s">
        <v>452</v>
      </c>
      <c r="AJ187" s="437"/>
      <c r="AK187" s="443" t="s">
        <v>452</v>
      </c>
      <c r="AL187" s="438" t="s">
        <v>452</v>
      </c>
      <c r="AM187" s="441"/>
      <c r="AN187" s="438" t="s">
        <v>452</v>
      </c>
      <c r="AO187" s="438" t="s">
        <v>452</v>
      </c>
      <c r="AP187" s="331"/>
      <c r="AQ187" s="331"/>
      <c r="AR187" s="443">
        <v>2.6348404287860667</v>
      </c>
      <c r="AS187" s="438">
        <v>1.2686268731192174</v>
      </c>
      <c r="AT187" s="438">
        <v>1.3662135556668495</v>
      </c>
      <c r="AU187" s="438" t="s">
        <v>452</v>
      </c>
      <c r="AV187" s="437"/>
      <c r="AW187" s="443" t="s">
        <v>452</v>
      </c>
      <c r="AX187" s="438" t="s">
        <v>452</v>
      </c>
      <c r="AY187" s="441"/>
      <c r="AZ187" s="438" t="s">
        <v>452</v>
      </c>
      <c r="BA187" s="438" t="s">
        <v>452</v>
      </c>
    </row>
    <row r="188" spans="1:53">
      <c r="A188" s="415" t="s">
        <v>93</v>
      </c>
      <c r="B188" s="415" t="s">
        <v>93</v>
      </c>
      <c r="C188" s="488" t="str">
        <f>IF(ISNUMBER(INDEX('Database.Jan 12 to SEC'!$G$6:$G$191, MATCH($A188&amp;"USD bn", 'Database.Jan 12 to SEC'!$AD$6:$AD$191, 0))), INDEX('Database.Jan 12 to SEC'!$G$6:$G$191, MATCH($A188&amp;"USD bn", 'Database.Jan 12 to SEC'!$AD$6:$AD$191, 0)), "")</f>
        <v/>
      </c>
      <c r="D188" s="480" t="str">
        <f>IF(ISNUMBER(INDEX('Database.Jan 12 to SEC'!$H$6:$H$191, MATCH($A188&amp;"USD bn", 'Database.Jan 12 to SEC'!$AD$6:$AD$191, 0))), INDEX('Database.Jan 12 to SEC'!$H$6:$H$191, MATCH($A188&amp;"USD bn", 'Database.Jan 12 to SEC'!$AD$6:$AD$191, 0)), "")</f>
        <v/>
      </c>
      <c r="E188" s="480" t="str">
        <f>IF(ISNUMBER(INDEX('Database.Jan 12 to SEC'!$J$6:$J$191, MATCH($A188&amp;"USD bn", 'Database.Jan 12 to SEC'!$AD$6:$AD$191, 0))), INDEX('Database.Jan 12 to SEC'!$J$6:$J$191, MATCH($A188&amp;"USD bn", 'Database.Jan 12 to SEC'!$AD$6:$AD$191, 0)), "")</f>
        <v/>
      </c>
      <c r="F188" s="480" t="str">
        <f>IF(ISNUMBER(INDEX('Database.Jan 12 to SEC'!$L$6:$L$191, MATCH($A188&amp;"USD bn", 'Database.Jan 12 to SEC'!$AD$6:$AD$191, 0))), INDEX('Database.Jan 12 to SEC'!$L$6:$L$191, MATCH($A188&amp;"USD bn", 'Database.Jan 12 to SEC'!$AD$6:$AD$191, 0)), "")</f>
        <v/>
      </c>
      <c r="G188" s="482"/>
      <c r="H188" s="481" t="str">
        <f>IF(ISNUMBER(INDEX('Database.Jan 12 to SEC'!$P$6:$P$191, MATCH($A188&amp;"USD bn", 'Database.Jan 12 to SEC'!$AD$6:$AD$191, 0))), INDEX('Database.Jan 12 to SEC'!$P$6:$P$191, MATCH($A188&amp;"USD bn", 'Database.Jan 12 to SEC'!$AD$6:$AD$191, 0)), "")</f>
        <v/>
      </c>
      <c r="I188" s="480" t="str">
        <f>IF(ISNUMBER(INDEX('Database.Jan 12 to SEC'!$Q$6:$Q$191, MATCH($A188&amp;"USD bn", 'Database.Jan 12 to SEC'!$AD$6:$AD$191, 0))), INDEX('Database.Jan 12 to SEC'!$Q$6:$Q$191, MATCH($A188&amp;"USD bn", 'Database.Jan 12 to SEC'!$AD$6:$AD$191, 0)), "")</f>
        <v/>
      </c>
      <c r="J188" s="483"/>
      <c r="K188" s="480" t="str">
        <f>IF(ISNUMBER(INDEX('Database.Jan 12 to SEC'!$U$6:$U$191, MATCH($A188&amp;"USD bn", 'Database.Jan 12 to SEC'!$AD$6:$AD$191, 0))), INDEX('Database.Jan 12 to SEC'!$U$6:$U$191, MATCH($A188&amp;"USD bn", 'Database.Jan 12 to SEC'!$AD$6:$AD$191, 0)), "")</f>
        <v/>
      </c>
      <c r="L188" s="480" t="str">
        <f>IF(ISNUMBER(INDEX('Database.Jan 12 to SEC'!$W$6:$W$191, MATCH($A188&amp;"USD bn", 'Database.Jan 12 to SEC'!$AD$6:$AD$191, 0))), INDEX('Database.Jan 12 to SEC'!$W$6:$W$191, MATCH($A188&amp;"USD bn", 'Database.Jan 12 to SEC'!$AD$6:$AD$191, 0)), "")</f>
        <v/>
      </c>
      <c r="M188"/>
      <c r="N188"/>
      <c r="O188" s="481" t="str">
        <f>IF(ISNUMBER(INDEX('Database.Jan 12 to SEC'!$G$6:$G$191, MATCH($A188&amp;"% GDP", 'Database.Jan 12 to SEC'!$AD$6:$AD$191, 0))), INDEX('Database.Jan 12 to SEC'!$G$6:$G$191, MATCH($A188&amp;"% GDP", 'Database.Jan 12 to SEC'!$AD$6:$AD$191, 0)), "")</f>
        <v/>
      </c>
      <c r="P188" s="480" t="str">
        <f>IF(ISNUMBER(INDEX('Database.Jan 12 to SEC'!$H$6:$H$191, MATCH($A188&amp;"% GDP", 'Database.Jan 12 to SEC'!$AD$6:$AD$191, 0))), INDEX('Database.Jan 12 to SEC'!$H$6:$H$191, MATCH($A188&amp;"% GDP", 'Database.Jan 12 to SEC'!$AD$6:$AD$191, 0)), "")</f>
        <v/>
      </c>
      <c r="Q188" s="480" t="str">
        <f>IF(ISNUMBER(INDEX('Database.Jan 12 to SEC'!$J$6:$J$191, MATCH($A188&amp;"% GDP", 'Database.Jan 12 to SEC'!$AD$6:$AD$191, 0))), INDEX('Database.Jan 12 to SEC'!$J$6:$J$191, MATCH($A188&amp;"% GDP", 'Database.Jan 12 to SEC'!$AD$6:$AD$191, 0)), "")</f>
        <v/>
      </c>
      <c r="R188" s="480" t="str">
        <f>IF(ISNUMBER(INDEX('Database.Jan 12 to SEC'!$L$6:$L$191, MATCH($A188&amp;"% GDP", 'Database.Jan 12 to SEC'!$AD$6:$AD$191, 0))), INDEX('Database.Jan 12 to SEC'!$L$6:$L$191, MATCH($A188&amp;"% GDP", 'Database.Jan 12 to SEC'!$AD$6:$AD$191, 0)), "")</f>
        <v/>
      </c>
      <c r="S188" s="482"/>
      <c r="T188" s="481" t="str">
        <f>IF(ISNUMBER(INDEX('Database.Jan 12 to SEC'!$P$6:$P$191, MATCH($A188&amp;"% GDP", 'Database.Jan 12 to SEC'!$AD$6:$AD$191, 0))), INDEX('Database.Jan 12 to SEC'!$P$6:$P$191, MATCH($A188&amp;"% GDP", 'Database.Jan 12 to SEC'!$AD$6:$AD$191, 0)), "")</f>
        <v/>
      </c>
      <c r="U188" s="480" t="str">
        <f>IF(ISNUMBER(INDEX('Database.Jan 12 to SEC'!$Q$6:$Q$191, MATCH($A188&amp;"% GDP", 'Database.Jan 12 to SEC'!$AD$6:$AD$191, 0))), INDEX('Database.Jan 12 to SEC'!$Q$6:$Q$191, MATCH($A188&amp;"% GDP", 'Database.Jan 12 to SEC'!$AD$6:$AD$191, 0)), "")</f>
        <v/>
      </c>
      <c r="V188" s="483"/>
      <c r="W188" s="480" t="str">
        <f>IF(ISNUMBER(INDEX('Database.Jan 12 to SEC'!$U$6:$U$191, MATCH($A188&amp;"% GDP", 'Database.Jan 12 to SEC'!$AD$6:$AD$191, 0))), INDEX('Database.Jan 12 to SEC'!$U$6:$U$191, MATCH($A188&amp;"% GDP", 'Database.Jan 12 to SEC'!$AD$6:$AD$191, 0)), "")</f>
        <v/>
      </c>
      <c r="X188" s="480" t="str">
        <f>IF(ISNUMBER(INDEX('Database.Jan 12 to SEC'!$W$6:$W$191, MATCH($A188&amp;"% GDP", 'Database.Jan 12 to SEC'!$AD$6:$AD$191, 0))), INDEX('Database.Jan 12 to SEC'!$W$6:$W$191, MATCH($A188&amp;"% GDP", 'Database.Jan 12 to SEC'!$AD$6:$AD$191, 0)), "")</f>
        <v/>
      </c>
      <c r="Z188" s="490"/>
      <c r="AA188" t="s">
        <v>1267</v>
      </c>
      <c r="AC188" s="299"/>
      <c r="AF188" s="443">
        <v>1.3831990179032452</v>
      </c>
      <c r="AG188" s="438">
        <v>0.31491700910753129</v>
      </c>
      <c r="AH188" s="438">
        <v>1.0682820087957139</v>
      </c>
      <c r="AI188" s="438">
        <v>0.13918983827957185</v>
      </c>
      <c r="AJ188" s="437"/>
      <c r="AK188" s="443">
        <v>0.34797459569892963</v>
      </c>
      <c r="AL188" s="438" t="s">
        <v>452</v>
      </c>
      <c r="AM188" s="441"/>
      <c r="AN188" s="438">
        <v>0.34797459569892963</v>
      </c>
      <c r="AO188" s="438" t="s">
        <v>452</v>
      </c>
      <c r="AP188" s="331"/>
      <c r="AQ188" s="331"/>
      <c r="AR188" s="443">
        <v>5.6043392101381073</v>
      </c>
      <c r="AS188" s="438">
        <v>1.2759564742578584</v>
      </c>
      <c r="AT188" s="438">
        <v>4.3283827358802487</v>
      </c>
      <c r="AU188" s="438">
        <v>0.56395866265540706</v>
      </c>
      <c r="AV188" s="437"/>
      <c r="AW188" s="443">
        <v>1.4098966566385176</v>
      </c>
      <c r="AX188" s="438" t="s">
        <v>452</v>
      </c>
      <c r="AY188" s="441"/>
      <c r="AZ188" s="438">
        <v>1.4098966566385176</v>
      </c>
      <c r="BA188" s="438" t="s">
        <v>452</v>
      </c>
    </row>
    <row r="189" spans="1:53">
      <c r="A189" s="415" t="s">
        <v>1118</v>
      </c>
      <c r="B189" s="415" t="s">
        <v>1118</v>
      </c>
      <c r="C189" s="488">
        <v>0.27021586323656566</v>
      </c>
      <c r="D189" s="480">
        <v>3.5975935757547949E-2</v>
      </c>
      <c r="E189" s="480">
        <v>0.23423992747901773</v>
      </c>
      <c r="F189" s="480" t="s">
        <v>452</v>
      </c>
      <c r="G189" s="482"/>
      <c r="H189" s="481">
        <v>5.0813468584107277E-2</v>
      </c>
      <c r="I189" s="480" t="s">
        <v>452</v>
      </c>
      <c r="J189" s="483"/>
      <c r="K189" s="480" t="s">
        <v>452</v>
      </c>
      <c r="L189" s="480">
        <v>5.0813468584107277E-2</v>
      </c>
      <c r="M189"/>
      <c r="N189"/>
      <c r="O189" s="481">
        <v>6.4311617216107368</v>
      </c>
      <c r="P189" s="480">
        <v>0.85623048984550043</v>
      </c>
      <c r="Q189" s="480">
        <v>5.5749312317652375</v>
      </c>
      <c r="R189" s="480" t="s">
        <v>452</v>
      </c>
      <c r="S189" s="482"/>
      <c r="T189" s="481">
        <v>1.2093650986518367</v>
      </c>
      <c r="U189" s="480" t="s">
        <v>452</v>
      </c>
      <c r="V189" s="483"/>
      <c r="W189" s="480" t="s">
        <v>452</v>
      </c>
      <c r="X189" s="480">
        <v>1.2093650986518367</v>
      </c>
      <c r="Z189" s="490"/>
      <c r="AA189" t="s">
        <v>1267</v>
      </c>
      <c r="AC189" s="403"/>
      <c r="AF189" s="443">
        <v>0.27021586323656566</v>
      </c>
      <c r="AG189" s="438">
        <v>3.5975935757547949E-2</v>
      </c>
      <c r="AH189" s="438">
        <v>0.23423992747901773</v>
      </c>
      <c r="AI189" s="438" t="s">
        <v>452</v>
      </c>
      <c r="AJ189" s="437"/>
      <c r="AK189" s="443">
        <v>5.0813468584107277E-2</v>
      </c>
      <c r="AL189" s="438" t="s">
        <v>452</v>
      </c>
      <c r="AM189" s="441"/>
      <c r="AN189" s="438" t="s">
        <v>452</v>
      </c>
      <c r="AO189" s="438">
        <v>5.0813468584107277E-2</v>
      </c>
      <c r="AP189" s="331"/>
      <c r="AQ189" s="331"/>
      <c r="AR189" s="443">
        <v>6.4311617216107368</v>
      </c>
      <c r="AS189" s="438">
        <v>0.85623048984550043</v>
      </c>
      <c r="AT189" s="438">
        <v>5.5749312317652375</v>
      </c>
      <c r="AU189" s="438" t="s">
        <v>452</v>
      </c>
      <c r="AV189" s="437"/>
      <c r="AW189" s="443">
        <v>1.2093650986518367</v>
      </c>
      <c r="AX189" s="438" t="s">
        <v>452</v>
      </c>
      <c r="AY189" s="441"/>
      <c r="AZ189" s="438" t="s">
        <v>452</v>
      </c>
      <c r="BA189" s="438">
        <v>1.2093650986518367</v>
      </c>
    </row>
    <row r="190" spans="1:53">
      <c r="A190" s="415" t="s">
        <v>1119</v>
      </c>
      <c r="B190" s="415" t="s">
        <v>1119</v>
      </c>
      <c r="C190" s="488">
        <v>3.9236999999999987E-3</v>
      </c>
      <c r="D190" s="480">
        <v>2.4599999999999995E-3</v>
      </c>
      <c r="E190" s="480">
        <v>1.4636999999999992E-3</v>
      </c>
      <c r="F190" s="480" t="s">
        <v>452</v>
      </c>
      <c r="G190" s="482"/>
      <c r="H190" s="481">
        <v>1.2299999999999998E-3</v>
      </c>
      <c r="I190" s="480">
        <v>1.2299999999999998E-3</v>
      </c>
      <c r="J190" s="483"/>
      <c r="K190" s="480" t="s">
        <v>452</v>
      </c>
      <c r="L190" s="480" t="s">
        <v>452</v>
      </c>
      <c r="M190"/>
      <c r="N190"/>
      <c r="O190" s="481">
        <v>2.91878172588833</v>
      </c>
      <c r="P190" s="480">
        <v>1.2</v>
      </c>
      <c r="Q190" s="480">
        <v>1.71878172588833</v>
      </c>
      <c r="R190" s="480" t="s">
        <v>452</v>
      </c>
      <c r="S190" s="482"/>
      <c r="T190" s="481">
        <v>0.69796954314720805</v>
      </c>
      <c r="U190" s="480">
        <v>0.69796954314720805</v>
      </c>
      <c r="V190" s="483"/>
      <c r="W190" s="480" t="s">
        <v>452</v>
      </c>
      <c r="X190" s="480" t="s">
        <v>452</v>
      </c>
      <c r="Z190" s="490"/>
      <c r="AA190" t="s">
        <v>1267</v>
      </c>
      <c r="AC190" s="403"/>
      <c r="AF190" s="443">
        <v>3.9236999999999987E-3</v>
      </c>
      <c r="AG190" s="438">
        <v>2.4599999999999995E-3</v>
      </c>
      <c r="AH190" s="438">
        <v>1.4636999999999992E-3</v>
      </c>
      <c r="AI190" s="438" t="s">
        <v>452</v>
      </c>
      <c r="AJ190" s="437"/>
      <c r="AK190" s="443">
        <v>1.2299999999999998E-3</v>
      </c>
      <c r="AL190" s="438">
        <v>1.2299999999999998E-3</v>
      </c>
      <c r="AM190" s="441"/>
      <c r="AN190" s="438" t="s">
        <v>452</v>
      </c>
      <c r="AO190" s="438" t="s">
        <v>452</v>
      </c>
      <c r="AP190" s="331"/>
      <c r="AQ190" s="331"/>
      <c r="AR190" s="443">
        <v>2.91878172588833</v>
      </c>
      <c r="AS190" s="438">
        <v>1.2</v>
      </c>
      <c r="AT190" s="438">
        <v>1.71878172588833</v>
      </c>
      <c r="AU190" s="438" t="s">
        <v>452</v>
      </c>
      <c r="AV190" s="437"/>
      <c r="AW190" s="443">
        <v>0.69796954314720805</v>
      </c>
      <c r="AX190" s="438">
        <v>0.69796954314720805</v>
      </c>
      <c r="AY190" s="441"/>
      <c r="AZ190" s="438" t="s">
        <v>452</v>
      </c>
      <c r="BA190" s="438" t="s">
        <v>452</v>
      </c>
    </row>
    <row r="191" spans="1:53">
      <c r="A191" s="415" t="s">
        <v>1120</v>
      </c>
      <c r="B191" s="415" t="s">
        <v>1120</v>
      </c>
      <c r="C191" s="488">
        <v>0.12</v>
      </c>
      <c r="D191" s="480">
        <v>0.01</v>
      </c>
      <c r="E191" s="480">
        <v>0.11</v>
      </c>
      <c r="F191" s="480" t="s">
        <v>452</v>
      </c>
      <c r="G191" s="482"/>
      <c r="H191" s="481" t="s">
        <v>452</v>
      </c>
      <c r="I191" s="480" t="s">
        <v>452</v>
      </c>
      <c r="J191" s="483"/>
      <c r="K191" s="480" t="s">
        <v>452</v>
      </c>
      <c r="L191" s="480" t="s">
        <v>452</v>
      </c>
      <c r="M191"/>
      <c r="N191"/>
      <c r="O191" s="481">
        <v>2.4049664822510466</v>
      </c>
      <c r="P191" s="480">
        <v>0.20041387352092055</v>
      </c>
      <c r="Q191" s="480">
        <v>2.2045526087301264</v>
      </c>
      <c r="R191" s="480" t="s">
        <v>452</v>
      </c>
      <c r="S191" s="482"/>
      <c r="T191" s="481" t="s">
        <v>452</v>
      </c>
      <c r="U191" s="480" t="s">
        <v>452</v>
      </c>
      <c r="V191" s="483"/>
      <c r="W191" s="480" t="s">
        <v>452</v>
      </c>
      <c r="X191" s="480" t="s">
        <v>452</v>
      </c>
      <c r="Z191" s="490"/>
      <c r="AA191" t="s">
        <v>1267</v>
      </c>
      <c r="AC191" s="403"/>
      <c r="AF191" s="443">
        <v>0.12</v>
      </c>
      <c r="AG191" s="438">
        <v>0.01</v>
      </c>
      <c r="AH191" s="438">
        <v>0.11</v>
      </c>
      <c r="AI191" s="438" t="s">
        <v>452</v>
      </c>
      <c r="AJ191" s="437"/>
      <c r="AK191" s="443" t="s">
        <v>452</v>
      </c>
      <c r="AL191" s="438" t="s">
        <v>452</v>
      </c>
      <c r="AM191" s="441"/>
      <c r="AN191" s="438" t="s">
        <v>452</v>
      </c>
      <c r="AO191" s="438" t="s">
        <v>452</v>
      </c>
      <c r="AP191" s="331"/>
      <c r="AQ191" s="331"/>
      <c r="AR191" s="443">
        <v>2.4049664822510466</v>
      </c>
      <c r="AS191" s="438">
        <v>0.20041387352092055</v>
      </c>
      <c r="AT191" s="438">
        <v>2.2045526087301264</v>
      </c>
      <c r="AU191" s="438" t="s">
        <v>452</v>
      </c>
      <c r="AV191" s="437"/>
      <c r="AW191" s="443" t="s">
        <v>452</v>
      </c>
      <c r="AX191" s="438" t="s">
        <v>452</v>
      </c>
      <c r="AY191" s="441"/>
      <c r="AZ191" s="438" t="s">
        <v>452</v>
      </c>
      <c r="BA191" s="438" t="s">
        <v>452</v>
      </c>
    </row>
    <row r="192" spans="1:53" ht="13" customHeight="1">
      <c r="A192" s="415" t="s">
        <v>1121</v>
      </c>
      <c r="B192" s="415" t="s">
        <v>1121</v>
      </c>
      <c r="C192" s="488">
        <v>6.0299999999999999E-2</v>
      </c>
      <c r="D192" s="480">
        <v>4.9903987464271484E-3</v>
      </c>
      <c r="E192" s="480">
        <v>5.530960125357285E-2</v>
      </c>
      <c r="F192" s="480" t="s">
        <v>452</v>
      </c>
      <c r="G192" s="482"/>
      <c r="H192" s="481" t="s">
        <v>452</v>
      </c>
      <c r="I192" s="480" t="s">
        <v>452</v>
      </c>
      <c r="J192" s="483"/>
      <c r="K192" s="480" t="s">
        <v>452</v>
      </c>
      <c r="L192" s="480" t="s">
        <v>452</v>
      </c>
      <c r="M192"/>
      <c r="N192"/>
      <c r="O192" s="481">
        <v>1.25</v>
      </c>
      <c r="P192" s="480">
        <v>0.12249526425480639</v>
      </c>
      <c r="Q192" s="480">
        <v>1.1275047357451937</v>
      </c>
      <c r="R192" s="480" t="s">
        <v>452</v>
      </c>
      <c r="S192" s="482"/>
      <c r="T192" s="481" t="s">
        <v>452</v>
      </c>
      <c r="U192" s="480" t="s">
        <v>452</v>
      </c>
      <c r="V192" s="483"/>
      <c r="W192" s="480" t="s">
        <v>452</v>
      </c>
      <c r="X192" s="480" t="s">
        <v>452</v>
      </c>
      <c r="Z192" s="490"/>
      <c r="AA192" t="s">
        <v>1267</v>
      </c>
      <c r="AC192" s="403"/>
      <c r="AF192" s="443">
        <v>6.0299999999999999E-2</v>
      </c>
      <c r="AG192" s="438">
        <v>4.9903987464271484E-3</v>
      </c>
      <c r="AH192" s="438">
        <v>5.530960125357285E-2</v>
      </c>
      <c r="AI192" s="438" t="s">
        <v>452</v>
      </c>
      <c r="AJ192" s="437"/>
      <c r="AK192" s="443" t="s">
        <v>452</v>
      </c>
      <c r="AL192" s="438" t="s">
        <v>452</v>
      </c>
      <c r="AM192" s="441"/>
      <c r="AN192" s="438" t="s">
        <v>452</v>
      </c>
      <c r="AO192" s="438" t="s">
        <v>452</v>
      </c>
      <c r="AP192" s="331"/>
      <c r="AQ192" s="331"/>
      <c r="AR192" s="443">
        <v>1.25</v>
      </c>
      <c r="AS192" s="438">
        <v>0.12249526425480639</v>
      </c>
      <c r="AT192" s="438">
        <v>1.1275047357451937</v>
      </c>
      <c r="AU192" s="438" t="s">
        <v>452</v>
      </c>
      <c r="AV192" s="437"/>
      <c r="AW192" s="443" t="s">
        <v>452</v>
      </c>
      <c r="AX192" s="438" t="s">
        <v>452</v>
      </c>
      <c r="AY192" s="441"/>
      <c r="AZ192" s="438" t="s">
        <v>452</v>
      </c>
      <c r="BA192" s="438" t="s">
        <v>452</v>
      </c>
    </row>
    <row r="193" spans="1:53">
      <c r="A193" s="415" t="s">
        <v>1122</v>
      </c>
      <c r="B193" s="415" t="s">
        <v>1122</v>
      </c>
      <c r="C193" s="488">
        <v>0.81799999999999995</v>
      </c>
      <c r="D193" s="480" t="s">
        <v>452</v>
      </c>
      <c r="E193" s="480" t="s">
        <v>452</v>
      </c>
      <c r="F193" s="480" t="s">
        <v>452</v>
      </c>
      <c r="G193" s="482"/>
      <c r="H193" s="481" t="s">
        <v>452</v>
      </c>
      <c r="I193" s="480" t="s">
        <v>452</v>
      </c>
      <c r="J193" s="483"/>
      <c r="K193" s="480" t="s">
        <v>452</v>
      </c>
      <c r="L193" s="480" t="s">
        <v>452</v>
      </c>
      <c r="M193"/>
      <c r="N193"/>
      <c r="O193" s="481">
        <v>0.92045125355912061</v>
      </c>
      <c r="P193" s="480" t="s">
        <v>452</v>
      </c>
      <c r="Q193" s="480" t="s">
        <v>452</v>
      </c>
      <c r="R193" s="480" t="s">
        <v>452</v>
      </c>
      <c r="S193" s="482"/>
      <c r="T193" s="481" t="s">
        <v>452</v>
      </c>
      <c r="U193" s="480" t="s">
        <v>452</v>
      </c>
      <c r="V193" s="483"/>
      <c r="W193" s="480" t="s">
        <v>452</v>
      </c>
      <c r="X193" s="480" t="s">
        <v>452</v>
      </c>
      <c r="Z193" s="490"/>
      <c r="AA193" t="s">
        <v>1265</v>
      </c>
      <c r="AC193" s="403"/>
      <c r="AF193" s="443">
        <v>0.81799999999999995</v>
      </c>
      <c r="AG193" s="438" t="s">
        <v>452</v>
      </c>
      <c r="AH193" s="438" t="s">
        <v>452</v>
      </c>
      <c r="AI193" s="438" t="s">
        <v>452</v>
      </c>
      <c r="AJ193" s="437"/>
      <c r="AK193" s="443" t="s">
        <v>452</v>
      </c>
      <c r="AL193" s="438" t="s">
        <v>452</v>
      </c>
      <c r="AM193" s="441"/>
      <c r="AN193" s="438" t="s">
        <v>452</v>
      </c>
      <c r="AO193" s="438" t="s">
        <v>452</v>
      </c>
      <c r="AP193" s="331"/>
      <c r="AQ193" s="331"/>
      <c r="AR193" s="443">
        <v>0.92045125355912061</v>
      </c>
      <c r="AS193" s="438" t="s">
        <v>452</v>
      </c>
      <c r="AT193" s="438" t="s">
        <v>452</v>
      </c>
      <c r="AU193" s="438" t="s">
        <v>452</v>
      </c>
      <c r="AV193" s="437"/>
      <c r="AW193" s="443" t="s">
        <v>452</v>
      </c>
      <c r="AX193" s="438" t="s">
        <v>452</v>
      </c>
      <c r="AY193" s="441"/>
      <c r="AZ193" s="438" t="s">
        <v>452</v>
      </c>
      <c r="BA193" s="438" t="s">
        <v>452</v>
      </c>
    </row>
    <row r="194" spans="1:53">
      <c r="A194" s="415" t="s">
        <v>1123</v>
      </c>
      <c r="B194" s="415" t="s">
        <v>1123</v>
      </c>
      <c r="C194" s="488">
        <v>0.24317175905631516</v>
      </c>
      <c r="D194" s="480">
        <v>0.15500988625103757</v>
      </c>
      <c r="E194" s="480">
        <v>8.8161872805277583E-2</v>
      </c>
      <c r="F194" s="480" t="s">
        <v>452</v>
      </c>
      <c r="G194" s="482"/>
      <c r="H194" s="481">
        <v>3.8752471562759391E-2</v>
      </c>
      <c r="I194" s="480">
        <v>3.8752471562759391E-2</v>
      </c>
      <c r="J194" s="483"/>
      <c r="K194" s="480" t="s">
        <v>452</v>
      </c>
      <c r="L194" s="480" t="s">
        <v>452</v>
      </c>
      <c r="M194"/>
      <c r="N194"/>
      <c r="O194" s="481">
        <v>3.040839320111941</v>
      </c>
      <c r="P194" s="480">
        <v>1.9383836303502415</v>
      </c>
      <c r="Q194" s="480">
        <v>1.1024556897616995</v>
      </c>
      <c r="R194" s="480" t="s">
        <v>452</v>
      </c>
      <c r="S194" s="482"/>
      <c r="T194" s="481">
        <v>0.48459590758756038</v>
      </c>
      <c r="U194" s="480">
        <v>0.48459590758756038</v>
      </c>
      <c r="V194" s="483"/>
      <c r="W194" s="480" t="s">
        <v>452</v>
      </c>
      <c r="X194" s="480" t="s">
        <v>452</v>
      </c>
      <c r="Z194" s="490"/>
      <c r="AA194" t="s">
        <v>1265</v>
      </c>
      <c r="AC194" s="403"/>
      <c r="AF194" s="443">
        <v>0.24317175905631516</v>
      </c>
      <c r="AG194" s="438">
        <v>0.15500988625103757</v>
      </c>
      <c r="AH194" s="438">
        <v>8.8161872805277583E-2</v>
      </c>
      <c r="AI194" s="438" t="s">
        <v>452</v>
      </c>
      <c r="AJ194" s="437"/>
      <c r="AK194" s="443">
        <v>3.8752471562759391E-2</v>
      </c>
      <c r="AL194" s="438">
        <v>3.8752471562759391E-2</v>
      </c>
      <c r="AM194" s="441"/>
      <c r="AN194" s="438" t="s">
        <v>452</v>
      </c>
      <c r="AO194" s="438" t="s">
        <v>452</v>
      </c>
      <c r="AP194" s="331"/>
      <c r="AQ194" s="331"/>
      <c r="AR194" s="443">
        <v>3.040839320111941</v>
      </c>
      <c r="AS194" s="438">
        <v>1.9383836303502415</v>
      </c>
      <c r="AT194" s="438">
        <v>1.1024556897616995</v>
      </c>
      <c r="AU194" s="438" t="s">
        <v>452</v>
      </c>
      <c r="AV194" s="437"/>
      <c r="AW194" s="443">
        <v>0.48459590758756038</v>
      </c>
      <c r="AX194" s="438">
        <v>0.48459590758756038</v>
      </c>
      <c r="AY194" s="441"/>
      <c r="AZ194" s="438" t="s">
        <v>452</v>
      </c>
      <c r="BA194" s="438" t="s">
        <v>452</v>
      </c>
    </row>
    <row r="195" spans="1:53">
      <c r="A195" s="415" t="s">
        <v>1124</v>
      </c>
      <c r="B195" s="415" t="s">
        <v>1124</v>
      </c>
      <c r="C195" s="488" t="s">
        <v>452</v>
      </c>
      <c r="D195" s="480">
        <v>1.8038763315664882E-2</v>
      </c>
      <c r="E195" s="480" t="s">
        <v>452</v>
      </c>
      <c r="F195" s="480">
        <v>9.5830930114469692E-3</v>
      </c>
      <c r="G195" s="482"/>
      <c r="H195" s="481" t="s">
        <v>452</v>
      </c>
      <c r="I195" s="480" t="s">
        <v>452</v>
      </c>
      <c r="J195" s="483"/>
      <c r="K195" s="480" t="s">
        <v>452</v>
      </c>
      <c r="L195" s="480" t="s">
        <v>452</v>
      </c>
      <c r="M195"/>
      <c r="N195"/>
      <c r="O195" s="481" t="s">
        <v>452</v>
      </c>
      <c r="P195" s="480">
        <v>2.8009297460049591E-2</v>
      </c>
      <c r="Q195" s="480" t="s">
        <v>452</v>
      </c>
      <c r="R195" s="480">
        <v>1.4879939275651347E-2</v>
      </c>
      <c r="S195" s="482"/>
      <c r="T195" s="481" t="s">
        <v>452</v>
      </c>
      <c r="U195" s="480" t="s">
        <v>452</v>
      </c>
      <c r="V195" s="483"/>
      <c r="W195" s="480" t="s">
        <v>452</v>
      </c>
      <c r="X195" s="480" t="s">
        <v>452</v>
      </c>
      <c r="Z195" s="490"/>
      <c r="AA195" t="s">
        <v>1267</v>
      </c>
      <c r="AC195" s="403"/>
      <c r="AF195" s="443" t="s">
        <v>452</v>
      </c>
      <c r="AG195" s="438">
        <v>1.8038763315664882E-2</v>
      </c>
      <c r="AH195" s="438" t="s">
        <v>452</v>
      </c>
      <c r="AI195" s="438">
        <v>9.5830930114469692E-3</v>
      </c>
      <c r="AJ195" s="437"/>
      <c r="AK195" s="443" t="s">
        <v>452</v>
      </c>
      <c r="AL195" s="438" t="s">
        <v>452</v>
      </c>
      <c r="AM195" s="441"/>
      <c r="AN195" s="438" t="s">
        <v>452</v>
      </c>
      <c r="AO195" s="438" t="s">
        <v>452</v>
      </c>
      <c r="AP195" s="331"/>
      <c r="AQ195" s="331"/>
      <c r="AR195" s="443" t="s">
        <v>452</v>
      </c>
      <c r="AS195" s="438">
        <v>2.8009297460049591E-2</v>
      </c>
      <c r="AT195" s="438" t="s">
        <v>452</v>
      </c>
      <c r="AU195" s="438">
        <v>1.4879939275651347E-2</v>
      </c>
      <c r="AV195" s="437"/>
      <c r="AW195" s="443" t="s">
        <v>452</v>
      </c>
      <c r="AX195" s="438" t="s">
        <v>452</v>
      </c>
      <c r="AY195" s="441"/>
      <c r="AZ195" s="438" t="s">
        <v>452</v>
      </c>
      <c r="BA195" s="438" t="s">
        <v>452</v>
      </c>
    </row>
    <row r="196" spans="1:53">
      <c r="A196" s="415" t="s">
        <v>1125</v>
      </c>
      <c r="B196" s="415" t="s">
        <v>1125</v>
      </c>
      <c r="C196" s="488">
        <v>0.48</v>
      </c>
      <c r="D196" s="480" t="s">
        <v>452</v>
      </c>
      <c r="E196" s="480" t="s">
        <v>452</v>
      </c>
      <c r="F196" s="480" t="s">
        <v>452</v>
      </c>
      <c r="G196" s="482"/>
      <c r="H196" s="481" t="s">
        <v>452</v>
      </c>
      <c r="I196" s="480" t="s">
        <v>452</v>
      </c>
      <c r="J196" s="483"/>
      <c r="K196" s="480" t="s">
        <v>452</v>
      </c>
      <c r="L196" s="480" t="s">
        <v>452</v>
      </c>
      <c r="M196"/>
      <c r="N196"/>
      <c r="O196" s="481">
        <v>30.66279155892931</v>
      </c>
      <c r="P196" s="480" t="s">
        <v>452</v>
      </c>
      <c r="Q196" s="480" t="s">
        <v>452</v>
      </c>
      <c r="R196" s="480" t="s">
        <v>452</v>
      </c>
      <c r="S196" s="482"/>
      <c r="T196" s="481" t="s">
        <v>452</v>
      </c>
      <c r="U196" s="480" t="s">
        <v>452</v>
      </c>
      <c r="V196" s="483"/>
      <c r="W196" s="480" t="s">
        <v>452</v>
      </c>
      <c r="X196" s="480" t="s">
        <v>452</v>
      </c>
      <c r="Z196" s="490"/>
      <c r="AA196" t="s">
        <v>1267</v>
      </c>
      <c r="AC196" s="403"/>
      <c r="AF196" s="443">
        <v>0.48</v>
      </c>
      <c r="AG196" s="438" t="s">
        <v>452</v>
      </c>
      <c r="AH196" s="438" t="s">
        <v>452</v>
      </c>
      <c r="AI196" s="438" t="s">
        <v>452</v>
      </c>
      <c r="AJ196" s="437"/>
      <c r="AK196" s="443" t="s">
        <v>452</v>
      </c>
      <c r="AL196" s="438" t="s">
        <v>452</v>
      </c>
      <c r="AM196" s="441"/>
      <c r="AN196" s="438" t="s">
        <v>452</v>
      </c>
      <c r="AO196" s="438" t="s">
        <v>452</v>
      </c>
      <c r="AP196" s="331"/>
      <c r="AQ196" s="331"/>
      <c r="AR196" s="443">
        <v>30.66279155892931</v>
      </c>
      <c r="AS196" s="438" t="s">
        <v>452</v>
      </c>
      <c r="AT196" s="438" t="s">
        <v>452</v>
      </c>
      <c r="AU196" s="438" t="s">
        <v>452</v>
      </c>
      <c r="AV196" s="437"/>
      <c r="AW196" s="443" t="s">
        <v>452</v>
      </c>
      <c r="AX196" s="438" t="s">
        <v>452</v>
      </c>
      <c r="AY196" s="441"/>
      <c r="AZ196" s="438" t="s">
        <v>452</v>
      </c>
      <c r="BA196" s="438" t="s">
        <v>452</v>
      </c>
    </row>
    <row r="197" spans="1:53">
      <c r="A197" s="415" t="s">
        <v>1126</v>
      </c>
      <c r="B197" s="415" t="s">
        <v>1126</v>
      </c>
      <c r="C197" s="488">
        <v>0.32883599293548849</v>
      </c>
      <c r="D197" s="480">
        <v>0.1304904733870986</v>
      </c>
      <c r="E197" s="480">
        <v>0.19834551954838989</v>
      </c>
      <c r="F197" s="480" t="s">
        <v>452</v>
      </c>
      <c r="G197" s="482"/>
      <c r="H197" s="481" t="s">
        <v>452</v>
      </c>
      <c r="I197" s="480" t="s">
        <v>452</v>
      </c>
      <c r="J197" s="483"/>
      <c r="K197" s="480" t="s">
        <v>452</v>
      </c>
      <c r="L197" s="480" t="s">
        <v>452</v>
      </c>
      <c r="M197"/>
      <c r="N197"/>
      <c r="O197" s="481">
        <v>4.3350075484179049</v>
      </c>
      <c r="P197" s="480">
        <v>1.720241090642026</v>
      </c>
      <c r="Q197" s="480">
        <v>2.6147664577758789</v>
      </c>
      <c r="R197" s="480" t="s">
        <v>452</v>
      </c>
      <c r="S197" s="482"/>
      <c r="T197" s="481" t="s">
        <v>452</v>
      </c>
      <c r="U197" s="480" t="s">
        <v>452</v>
      </c>
      <c r="V197" s="483"/>
      <c r="W197" s="480" t="s">
        <v>452</v>
      </c>
      <c r="X197" s="480" t="s">
        <v>452</v>
      </c>
      <c r="Z197" s="490"/>
      <c r="AA197" t="s">
        <v>1265</v>
      </c>
      <c r="AB197" t="s">
        <v>1276</v>
      </c>
      <c r="AC197" s="403"/>
      <c r="AF197" s="443">
        <v>0.32883599293548849</v>
      </c>
      <c r="AG197" s="438">
        <v>0.1304904733870986</v>
      </c>
      <c r="AH197" s="438">
        <v>0.19834551954838989</v>
      </c>
      <c r="AI197" s="438" t="s">
        <v>452</v>
      </c>
      <c r="AJ197" s="437"/>
      <c r="AK197" s="443" t="s">
        <v>452</v>
      </c>
      <c r="AL197" s="438" t="s">
        <v>452</v>
      </c>
      <c r="AM197" s="441"/>
      <c r="AN197" s="438" t="s">
        <v>452</v>
      </c>
      <c r="AO197" s="438" t="s">
        <v>452</v>
      </c>
      <c r="AP197" s="331"/>
      <c r="AQ197" s="331"/>
      <c r="AR197" s="443">
        <v>4.3350075484179049</v>
      </c>
      <c r="AS197" s="438">
        <v>1.720241090642026</v>
      </c>
      <c r="AT197" s="438">
        <v>2.6147664577758789</v>
      </c>
      <c r="AU197" s="438" t="s">
        <v>452</v>
      </c>
      <c r="AV197" s="437"/>
      <c r="AW197" s="443" t="s">
        <v>452</v>
      </c>
      <c r="AX197" s="438" t="s">
        <v>452</v>
      </c>
      <c r="AY197" s="441"/>
      <c r="AZ197" s="438" t="s">
        <v>452</v>
      </c>
      <c r="BA197" s="438" t="s">
        <v>452</v>
      </c>
    </row>
    <row r="198" spans="1:53">
      <c r="A198" s="415" t="s">
        <v>1127</v>
      </c>
      <c r="B198" s="415" t="s">
        <v>1127</v>
      </c>
      <c r="C198" s="488">
        <v>0.65277324038108198</v>
      </c>
      <c r="D198" s="480">
        <v>0.37107829142278986</v>
      </c>
      <c r="E198" s="480">
        <v>0.28169494895829211</v>
      </c>
      <c r="F198" s="480">
        <v>0.20001859334824845</v>
      </c>
      <c r="G198" s="482"/>
      <c r="H198" s="481">
        <v>0.20631711768760097</v>
      </c>
      <c r="I198" s="480">
        <v>0.20631711768760097</v>
      </c>
      <c r="J198" s="483"/>
      <c r="K198" s="480" t="s">
        <v>452</v>
      </c>
      <c r="L198" s="480" t="s">
        <v>452</v>
      </c>
      <c r="M198"/>
      <c r="N198"/>
      <c r="O198" s="481">
        <v>1.6471857269765686</v>
      </c>
      <c r="P198" s="480">
        <v>0.92416746555581308</v>
      </c>
      <c r="Q198" s="480">
        <v>0.72301826142075554</v>
      </c>
      <c r="R198" s="480">
        <v>0.5123590597253368</v>
      </c>
      <c r="S198" s="482"/>
      <c r="T198" s="481">
        <v>0.51978367747288823</v>
      </c>
      <c r="U198" s="480">
        <v>0.51978367747288823</v>
      </c>
      <c r="V198" s="483"/>
      <c r="W198" s="480" t="s">
        <v>452</v>
      </c>
      <c r="X198" s="480" t="s">
        <v>452</v>
      </c>
      <c r="Z198" s="490"/>
      <c r="AA198" t="s">
        <v>1265</v>
      </c>
      <c r="AB198" t="s">
        <v>1286</v>
      </c>
      <c r="AC198" s="403"/>
      <c r="AF198" s="443">
        <v>0.65277324038108198</v>
      </c>
      <c r="AG198" s="438">
        <v>0.37107829142278986</v>
      </c>
      <c r="AH198" s="438">
        <v>0.28169494895829211</v>
      </c>
      <c r="AI198" s="438">
        <v>0.20001859334824845</v>
      </c>
      <c r="AJ198" s="437"/>
      <c r="AK198" s="443">
        <v>0.20631711768760097</v>
      </c>
      <c r="AL198" s="438">
        <v>0.20631711768760097</v>
      </c>
      <c r="AM198" s="441"/>
      <c r="AN198" s="438" t="s">
        <v>452</v>
      </c>
      <c r="AO198" s="438" t="s">
        <v>452</v>
      </c>
      <c r="AP198" s="331"/>
      <c r="AQ198" s="331"/>
      <c r="AR198" s="443">
        <v>1.6471857269765686</v>
      </c>
      <c r="AS198" s="438">
        <v>0.92416746555581308</v>
      </c>
      <c r="AT198" s="438">
        <v>0.72301826142075554</v>
      </c>
      <c r="AU198" s="438">
        <v>0.5123590597253368</v>
      </c>
      <c r="AV198" s="437"/>
      <c r="AW198" s="443">
        <v>0.51978367747288823</v>
      </c>
      <c r="AX198" s="438">
        <v>0.51978367747288823</v>
      </c>
      <c r="AY198" s="441"/>
      <c r="AZ198" s="438" t="s">
        <v>452</v>
      </c>
      <c r="BA198" s="438" t="s">
        <v>452</v>
      </c>
    </row>
    <row r="199" spans="1:53">
      <c r="A199" s="415" t="s">
        <v>913</v>
      </c>
      <c r="B199" s="415" t="s">
        <v>913</v>
      </c>
      <c r="C199" s="488" t="str">
        <f>IF(ISNUMBER(INDEX('Database.Jan 12 to SEC'!$G$6:$G$191, MATCH($A199&amp;"USD bn", 'Database.Jan 12 to SEC'!$AD$6:$AD$191, 0))), INDEX('Database.Jan 12 to SEC'!$G$6:$G$191, MATCH($A199&amp;"USD bn", 'Database.Jan 12 to SEC'!$AD$6:$AD$191, 0)), "")</f>
        <v/>
      </c>
      <c r="D199" s="480" t="str">
        <f>IF(ISNUMBER(INDEX('Database.Jan 12 to SEC'!$H$6:$H$191, MATCH($A199&amp;"USD bn", 'Database.Jan 12 to SEC'!$AD$6:$AD$191, 0))), INDEX('Database.Jan 12 to SEC'!$H$6:$H$191, MATCH($A199&amp;"USD bn", 'Database.Jan 12 to SEC'!$AD$6:$AD$191, 0)), "")</f>
        <v/>
      </c>
      <c r="E199" s="480" t="str">
        <f>IF(ISNUMBER(INDEX('Database.Jan 12 to SEC'!$J$6:$J$191, MATCH($A199&amp;"USD bn", 'Database.Jan 12 to SEC'!$AD$6:$AD$191, 0))), INDEX('Database.Jan 12 to SEC'!$J$6:$J$191, MATCH($A199&amp;"USD bn", 'Database.Jan 12 to SEC'!$AD$6:$AD$191, 0)), "")</f>
        <v/>
      </c>
      <c r="F199" s="480" t="str">
        <f>IF(ISNUMBER(INDEX('Database.Jan 12 to SEC'!$L$6:$L$191, MATCH($A199&amp;"USD bn", 'Database.Jan 12 to SEC'!$AD$6:$AD$191, 0))), INDEX('Database.Jan 12 to SEC'!$L$6:$L$191, MATCH($A199&amp;"USD bn", 'Database.Jan 12 to SEC'!$AD$6:$AD$191, 0)), "")</f>
        <v/>
      </c>
      <c r="G199" s="482"/>
      <c r="H199" s="481" t="str">
        <f>IF(ISNUMBER(INDEX('Database.Jan 12 to SEC'!$P$6:$P$191, MATCH($A199&amp;"USD bn", 'Database.Jan 12 to SEC'!$AD$6:$AD$191, 0))), INDEX('Database.Jan 12 to SEC'!$P$6:$P$191, MATCH($A199&amp;"USD bn", 'Database.Jan 12 to SEC'!$AD$6:$AD$191, 0)), "")</f>
        <v/>
      </c>
      <c r="I199" s="480" t="str">
        <f>IF(ISNUMBER(INDEX('Database.Jan 12 to SEC'!$Q$6:$Q$191, MATCH($A199&amp;"USD bn", 'Database.Jan 12 to SEC'!$AD$6:$AD$191, 0))), INDEX('Database.Jan 12 to SEC'!$Q$6:$Q$191, MATCH($A199&amp;"USD bn", 'Database.Jan 12 to SEC'!$AD$6:$AD$191, 0)), "")</f>
        <v/>
      </c>
      <c r="J199" s="483"/>
      <c r="K199" s="480" t="str">
        <f>IF(ISNUMBER(INDEX('Database.Jan 12 to SEC'!$U$6:$U$191, MATCH($A199&amp;"USD bn", 'Database.Jan 12 to SEC'!$AD$6:$AD$191, 0))), INDEX('Database.Jan 12 to SEC'!$U$6:$U$191, MATCH($A199&amp;"USD bn", 'Database.Jan 12 to SEC'!$AD$6:$AD$191, 0)), "")</f>
        <v/>
      </c>
      <c r="L199" s="480" t="str">
        <f>IF(ISNUMBER(INDEX('Database.Jan 12 to SEC'!$W$6:$W$191, MATCH($A199&amp;"USD bn", 'Database.Jan 12 to SEC'!$AD$6:$AD$191, 0))), INDEX('Database.Jan 12 to SEC'!$W$6:$W$191, MATCH($A199&amp;"USD bn", 'Database.Jan 12 to SEC'!$AD$6:$AD$191, 0)), "")</f>
        <v/>
      </c>
      <c r="M199"/>
      <c r="N199"/>
      <c r="O199" s="481" t="str">
        <f>IF(ISNUMBER(INDEX('Database.Jan 12 to SEC'!$G$6:$G$191, MATCH($A199&amp;"% GDP", 'Database.Jan 12 to SEC'!$AD$6:$AD$191, 0))), INDEX('Database.Jan 12 to SEC'!$G$6:$G$191, MATCH($A199&amp;"% GDP", 'Database.Jan 12 to SEC'!$AD$6:$AD$191, 0)), "")</f>
        <v/>
      </c>
      <c r="P199" s="480" t="str">
        <f>IF(ISNUMBER(INDEX('Database.Jan 12 to SEC'!$H$6:$H$191, MATCH($A199&amp;"% GDP", 'Database.Jan 12 to SEC'!$AD$6:$AD$191, 0))), INDEX('Database.Jan 12 to SEC'!$H$6:$H$191, MATCH($A199&amp;"% GDP", 'Database.Jan 12 to SEC'!$AD$6:$AD$191, 0)), "")</f>
        <v/>
      </c>
      <c r="Q199" s="480" t="str">
        <f>IF(ISNUMBER(INDEX('Database.Jan 12 to SEC'!$J$6:$J$191, MATCH($A199&amp;"% GDP", 'Database.Jan 12 to SEC'!$AD$6:$AD$191, 0))), INDEX('Database.Jan 12 to SEC'!$J$6:$J$191, MATCH($A199&amp;"% GDP", 'Database.Jan 12 to SEC'!$AD$6:$AD$191, 0)), "")</f>
        <v/>
      </c>
      <c r="R199" s="480" t="str">
        <f>IF(ISNUMBER(INDEX('Database.Jan 12 to SEC'!$L$6:$L$191, MATCH($A199&amp;"% GDP", 'Database.Jan 12 to SEC'!$AD$6:$AD$191, 0))), INDEX('Database.Jan 12 to SEC'!$L$6:$L$191, MATCH($A199&amp;"% GDP", 'Database.Jan 12 to SEC'!$AD$6:$AD$191, 0)), "")</f>
        <v/>
      </c>
      <c r="S199" s="482"/>
      <c r="T199" s="481" t="str">
        <f>IF(ISNUMBER(INDEX('Database.Jan 12 to SEC'!$P$6:$P$191, MATCH($A199&amp;"% GDP", 'Database.Jan 12 to SEC'!$AD$6:$AD$191, 0))), INDEX('Database.Jan 12 to SEC'!$P$6:$P$191, MATCH($A199&amp;"% GDP", 'Database.Jan 12 to SEC'!$AD$6:$AD$191, 0)), "")</f>
        <v/>
      </c>
      <c r="U199" s="480" t="str">
        <f>IF(ISNUMBER(INDEX('Database.Jan 12 to SEC'!$Q$6:$Q$191, MATCH($A199&amp;"% GDP", 'Database.Jan 12 to SEC'!$AD$6:$AD$191, 0))), INDEX('Database.Jan 12 to SEC'!$Q$6:$Q$191, MATCH($A199&amp;"% GDP", 'Database.Jan 12 to SEC'!$AD$6:$AD$191, 0)), "")</f>
        <v/>
      </c>
      <c r="V199" s="483"/>
      <c r="W199" s="480" t="str">
        <f>IF(ISNUMBER(INDEX('Database.Jan 12 to SEC'!$U$6:$U$191, MATCH($A199&amp;"% GDP", 'Database.Jan 12 to SEC'!$AD$6:$AD$191, 0))), INDEX('Database.Jan 12 to SEC'!$U$6:$U$191, MATCH($A199&amp;"% GDP", 'Database.Jan 12 to SEC'!$AD$6:$AD$191, 0)), "")</f>
        <v/>
      </c>
      <c r="X199" s="480" t="str">
        <f>IF(ISNUMBER(INDEX('Database.Jan 12 to SEC'!$W$6:$W$191, MATCH($A199&amp;"% GDP", 'Database.Jan 12 to SEC'!$AD$6:$AD$191, 0))), INDEX('Database.Jan 12 to SEC'!$W$6:$W$191, MATCH($A199&amp;"% GDP", 'Database.Jan 12 to SEC'!$AD$6:$AD$191, 0)), "")</f>
        <v/>
      </c>
      <c r="Z199" s="490"/>
      <c r="AA199" t="s">
        <v>1265</v>
      </c>
      <c r="AB199" t="s">
        <v>1285</v>
      </c>
      <c r="AC199" s="403"/>
      <c r="AF199" s="443">
        <v>3.3915014286441689</v>
      </c>
      <c r="AG199" s="438">
        <v>0.70117551530619915</v>
      </c>
      <c r="AH199" s="438">
        <v>2.6903259133379698</v>
      </c>
      <c r="AI199" s="438" t="s">
        <v>452</v>
      </c>
      <c r="AJ199" s="437"/>
      <c r="AK199" s="443">
        <v>1.2307868087821581</v>
      </c>
      <c r="AL199" s="438">
        <v>1.2307868087821581</v>
      </c>
      <c r="AM199" s="441"/>
      <c r="AN199" s="438" t="s">
        <v>452</v>
      </c>
      <c r="AO199" s="438" t="s">
        <v>452</v>
      </c>
      <c r="AP199" s="331"/>
      <c r="AQ199" s="331"/>
      <c r="AR199" s="443">
        <v>5.6592682383610757</v>
      </c>
      <c r="AS199" s="438">
        <v>1.1700246651157062</v>
      </c>
      <c r="AT199" s="438">
        <v>4.4892435732453695</v>
      </c>
      <c r="AU199" s="438" t="s">
        <v>452</v>
      </c>
      <c r="AV199" s="437"/>
      <c r="AW199" s="443">
        <v>2.0537666994052293</v>
      </c>
      <c r="AX199" s="438">
        <v>2.0537666994052293</v>
      </c>
      <c r="AY199" s="441"/>
      <c r="AZ199" s="438" t="s">
        <v>452</v>
      </c>
      <c r="BA199" s="438" t="s">
        <v>452</v>
      </c>
    </row>
    <row r="200" spans="1:53">
      <c r="A200" s="415" t="s">
        <v>33</v>
      </c>
      <c r="B200" s="415" t="s">
        <v>33</v>
      </c>
      <c r="C200" s="488" t="str">
        <f>IF(ISNUMBER(INDEX('Database.Jan 12 to SEC'!$G$6:$G$191, MATCH($A200&amp;"USD bn", 'Database.Jan 12 to SEC'!$AD$6:$AD$191, 0))), INDEX('Database.Jan 12 to SEC'!$G$6:$G$191, MATCH($A200&amp;"USD bn", 'Database.Jan 12 to SEC'!$AD$6:$AD$191, 0)), "")</f>
        <v/>
      </c>
      <c r="D200" s="480" t="str">
        <f>IF(ISNUMBER(INDEX('Database.Jan 12 to SEC'!$H$6:$H$191, MATCH($A200&amp;"USD bn", 'Database.Jan 12 to SEC'!$AD$6:$AD$191, 0))), INDEX('Database.Jan 12 to SEC'!$H$6:$H$191, MATCH($A200&amp;"USD bn", 'Database.Jan 12 to SEC'!$AD$6:$AD$191, 0)), "")</f>
        <v/>
      </c>
      <c r="E200" s="480" t="str">
        <f>IF(ISNUMBER(INDEX('Database.Jan 12 to SEC'!$J$6:$J$191, MATCH($A200&amp;"USD bn", 'Database.Jan 12 to SEC'!$AD$6:$AD$191, 0))), INDEX('Database.Jan 12 to SEC'!$J$6:$J$191, MATCH($A200&amp;"USD bn", 'Database.Jan 12 to SEC'!$AD$6:$AD$191, 0)), "")</f>
        <v/>
      </c>
      <c r="F200" s="480" t="str">
        <f>IF(ISNUMBER(INDEX('Database.Jan 12 to SEC'!$L$6:$L$191, MATCH($A200&amp;"USD bn", 'Database.Jan 12 to SEC'!$AD$6:$AD$191, 0))), INDEX('Database.Jan 12 to SEC'!$L$6:$L$191, MATCH($A200&amp;"USD bn", 'Database.Jan 12 to SEC'!$AD$6:$AD$191, 0)), "")</f>
        <v/>
      </c>
      <c r="G200" s="482"/>
      <c r="H200" s="481" t="str">
        <f>IF(ISNUMBER(INDEX('Database.Jan 12 to SEC'!$P$6:$P$191, MATCH($A200&amp;"USD bn", 'Database.Jan 12 to SEC'!$AD$6:$AD$191, 0))), INDEX('Database.Jan 12 to SEC'!$P$6:$P$191, MATCH($A200&amp;"USD bn", 'Database.Jan 12 to SEC'!$AD$6:$AD$191, 0)), "")</f>
        <v/>
      </c>
      <c r="I200" s="480" t="str">
        <f>IF(ISNUMBER(INDEX('Database.Jan 12 to SEC'!$Q$6:$Q$191, MATCH($A200&amp;"USD bn", 'Database.Jan 12 to SEC'!$AD$6:$AD$191, 0))), INDEX('Database.Jan 12 to SEC'!$Q$6:$Q$191, MATCH($A200&amp;"USD bn", 'Database.Jan 12 to SEC'!$AD$6:$AD$191, 0)), "")</f>
        <v/>
      </c>
      <c r="J200" s="483"/>
      <c r="K200" s="480" t="str">
        <f>IF(ISNUMBER(INDEX('Database.Jan 12 to SEC'!$U$6:$U$191, MATCH($A200&amp;"USD bn", 'Database.Jan 12 to SEC'!$AD$6:$AD$191, 0))), INDEX('Database.Jan 12 to SEC'!$U$6:$U$191, MATCH($A200&amp;"USD bn", 'Database.Jan 12 to SEC'!$AD$6:$AD$191, 0)), "")</f>
        <v/>
      </c>
      <c r="L200" s="480" t="str">
        <f>IF(ISNUMBER(INDEX('Database.Jan 12 to SEC'!$W$6:$W$191, MATCH($A200&amp;"USD bn", 'Database.Jan 12 to SEC'!$AD$6:$AD$191, 0))), INDEX('Database.Jan 12 to SEC'!$W$6:$W$191, MATCH($A200&amp;"USD bn", 'Database.Jan 12 to SEC'!$AD$6:$AD$191, 0)), "")</f>
        <v/>
      </c>
      <c r="M200"/>
      <c r="N200"/>
      <c r="O200" s="481" t="str">
        <f>IF(ISNUMBER(INDEX('Database.Jan 12 to SEC'!$G$6:$G$191, MATCH($A200&amp;"% GDP", 'Database.Jan 12 to SEC'!$AD$6:$AD$191, 0))), INDEX('Database.Jan 12 to SEC'!$G$6:$G$191, MATCH($A200&amp;"% GDP", 'Database.Jan 12 to SEC'!$AD$6:$AD$191, 0)), "")</f>
        <v/>
      </c>
      <c r="P200" s="480" t="str">
        <f>IF(ISNUMBER(INDEX('Database.Jan 12 to SEC'!$H$6:$H$191, MATCH($A200&amp;"% GDP", 'Database.Jan 12 to SEC'!$AD$6:$AD$191, 0))), INDEX('Database.Jan 12 to SEC'!$H$6:$H$191, MATCH($A200&amp;"% GDP", 'Database.Jan 12 to SEC'!$AD$6:$AD$191, 0)), "")</f>
        <v/>
      </c>
      <c r="Q200" s="480" t="str">
        <f>IF(ISNUMBER(INDEX('Database.Jan 12 to SEC'!$J$6:$J$191, MATCH($A200&amp;"% GDP", 'Database.Jan 12 to SEC'!$AD$6:$AD$191, 0))), INDEX('Database.Jan 12 to SEC'!$J$6:$J$191, MATCH($A200&amp;"% GDP", 'Database.Jan 12 to SEC'!$AD$6:$AD$191, 0)), "")</f>
        <v/>
      </c>
      <c r="R200" s="480" t="str">
        <f>IF(ISNUMBER(INDEX('Database.Jan 12 to SEC'!$L$6:$L$191, MATCH($A200&amp;"% GDP", 'Database.Jan 12 to SEC'!$AD$6:$AD$191, 0))), INDEX('Database.Jan 12 to SEC'!$L$6:$L$191, MATCH($A200&amp;"% GDP", 'Database.Jan 12 to SEC'!$AD$6:$AD$191, 0)), "")</f>
        <v/>
      </c>
      <c r="S200" s="482"/>
      <c r="T200" s="481" t="str">
        <f>IF(ISNUMBER(INDEX('Database.Jan 12 to SEC'!$P$6:$P$191, MATCH($A200&amp;"% GDP", 'Database.Jan 12 to SEC'!$AD$6:$AD$191, 0))), INDEX('Database.Jan 12 to SEC'!$P$6:$P$191, MATCH($A200&amp;"% GDP", 'Database.Jan 12 to SEC'!$AD$6:$AD$191, 0)), "")</f>
        <v/>
      </c>
      <c r="U200" s="480" t="str">
        <f>IF(ISNUMBER(INDEX('Database.Jan 12 to SEC'!$Q$6:$Q$191, MATCH($A200&amp;"% GDP", 'Database.Jan 12 to SEC'!$AD$6:$AD$191, 0))), INDEX('Database.Jan 12 to SEC'!$Q$6:$Q$191, MATCH($A200&amp;"% GDP", 'Database.Jan 12 to SEC'!$AD$6:$AD$191, 0)), "")</f>
        <v/>
      </c>
      <c r="V200" s="483"/>
      <c r="W200" s="480" t="str">
        <f>IF(ISNUMBER(INDEX('Database.Jan 12 to SEC'!$U$6:$U$191, MATCH($A200&amp;"% GDP", 'Database.Jan 12 to SEC'!$AD$6:$AD$191, 0))), INDEX('Database.Jan 12 to SEC'!$U$6:$U$191, MATCH($A200&amp;"% GDP", 'Database.Jan 12 to SEC'!$AD$6:$AD$191, 0)), "")</f>
        <v/>
      </c>
      <c r="X200" s="480" t="str">
        <f>IF(ISNUMBER(INDEX('Database.Jan 12 to SEC'!$W$6:$W$191, MATCH($A200&amp;"% GDP", 'Database.Jan 12 to SEC'!$AD$6:$AD$191, 0))), INDEX('Database.Jan 12 to SEC'!$W$6:$W$191, MATCH($A200&amp;"% GDP", 'Database.Jan 12 to SEC'!$AD$6:$AD$191, 0)), "")</f>
        <v/>
      </c>
      <c r="Z200" s="490"/>
      <c r="AA200" t="s">
        <v>1267</v>
      </c>
      <c r="AC200" s="299"/>
      <c r="AF200" s="443">
        <v>6.074238065187715</v>
      </c>
      <c r="AG200" s="438">
        <v>1.3739501827943565</v>
      </c>
      <c r="AH200" s="438">
        <v>4.7002878823933587</v>
      </c>
      <c r="AI200" s="438">
        <v>12.70580890044938</v>
      </c>
      <c r="AJ200" s="437"/>
      <c r="AK200" s="443">
        <v>3.2776679909294839</v>
      </c>
      <c r="AL200" s="438">
        <v>1.119834004785369</v>
      </c>
      <c r="AM200" s="441"/>
      <c r="AN200" s="438" t="s">
        <v>452</v>
      </c>
      <c r="AO200" s="438">
        <v>2.1578339861441149</v>
      </c>
      <c r="AP200" s="331"/>
      <c r="AQ200" s="331"/>
      <c r="AR200" s="443">
        <v>1.7703277371912942</v>
      </c>
      <c r="AS200" s="438">
        <v>0.40043575704745288</v>
      </c>
      <c r="AT200" s="438">
        <v>1.3698919801438414</v>
      </c>
      <c r="AU200" s="438">
        <v>3.7030892893103009</v>
      </c>
      <c r="AV200" s="437"/>
      <c r="AW200" s="443">
        <v>0.95527150819157258</v>
      </c>
      <c r="AX200" s="438">
        <v>0.3263739712612469</v>
      </c>
      <c r="AY200" s="441"/>
      <c r="AZ200" s="438" t="s">
        <v>452</v>
      </c>
      <c r="BA200" s="438">
        <v>0.62889753693032568</v>
      </c>
    </row>
    <row r="201" spans="1:53">
      <c r="A201" s="415" t="s">
        <v>1128</v>
      </c>
      <c r="B201" s="415" t="s">
        <v>1128</v>
      </c>
      <c r="C201" s="488">
        <v>0.22745443254464301</v>
      </c>
      <c r="D201" s="480">
        <v>2.2942000000000001E-2</v>
      </c>
      <c r="E201" s="480">
        <v>0.20451243254464302</v>
      </c>
      <c r="F201" s="480" t="s">
        <v>452</v>
      </c>
      <c r="G201" s="482"/>
      <c r="H201" s="481" t="s">
        <v>452</v>
      </c>
      <c r="I201" s="480" t="s">
        <v>452</v>
      </c>
      <c r="J201" s="483"/>
      <c r="K201" s="480" t="s">
        <v>452</v>
      </c>
      <c r="L201" s="480" t="s">
        <v>452</v>
      </c>
      <c r="M201"/>
      <c r="N201"/>
      <c r="O201" s="481">
        <v>1.2072624286477891</v>
      </c>
      <c r="P201" s="480">
        <v>0.114</v>
      </c>
      <c r="Q201" s="480">
        <v>1.093262428647789</v>
      </c>
      <c r="R201" s="480" t="s">
        <v>452</v>
      </c>
      <c r="S201" s="482"/>
      <c r="T201" s="481" t="s">
        <v>452</v>
      </c>
      <c r="U201" s="480" t="s">
        <v>452</v>
      </c>
      <c r="V201" s="483"/>
      <c r="W201" s="480" t="s">
        <v>452</v>
      </c>
      <c r="X201" s="480" t="s">
        <v>452</v>
      </c>
      <c r="Z201" s="490"/>
      <c r="AA201" t="s">
        <v>1267</v>
      </c>
      <c r="AC201" s="403"/>
      <c r="AF201" s="443">
        <v>0.22745443254464301</v>
      </c>
      <c r="AG201" s="438">
        <v>2.2942000000000001E-2</v>
      </c>
      <c r="AH201" s="438">
        <v>0.20451243254464302</v>
      </c>
      <c r="AI201" s="438" t="s">
        <v>452</v>
      </c>
      <c r="AJ201" s="437"/>
      <c r="AK201" s="443" t="s">
        <v>452</v>
      </c>
      <c r="AL201" s="438" t="s">
        <v>452</v>
      </c>
      <c r="AM201" s="441"/>
      <c r="AN201" s="438" t="s">
        <v>452</v>
      </c>
      <c r="AO201" s="438" t="s">
        <v>452</v>
      </c>
      <c r="AP201" s="331"/>
      <c r="AQ201" s="331"/>
      <c r="AR201" s="443">
        <v>1.2072624286477891</v>
      </c>
      <c r="AS201" s="438">
        <v>0.114</v>
      </c>
      <c r="AT201" s="438">
        <v>1.093262428647789</v>
      </c>
      <c r="AU201" s="438" t="s">
        <v>452</v>
      </c>
      <c r="AV201" s="437"/>
      <c r="AW201" s="443" t="s">
        <v>452</v>
      </c>
      <c r="AX201" s="438" t="s">
        <v>452</v>
      </c>
      <c r="AY201" s="441"/>
      <c r="AZ201" s="438" t="s">
        <v>452</v>
      </c>
      <c r="BA201" s="438" t="s">
        <v>452</v>
      </c>
    </row>
    <row r="202" spans="1:53">
      <c r="A202" s="415" t="s">
        <v>916</v>
      </c>
      <c r="B202" s="415" t="s">
        <v>916</v>
      </c>
      <c r="C202" s="488">
        <v>0.38704558122717753</v>
      </c>
      <c r="D202" s="480">
        <v>5.4513462144672897E-2</v>
      </c>
      <c r="E202" s="480">
        <v>0.33253211908250463</v>
      </c>
      <c r="F202" s="480" t="s">
        <v>452</v>
      </c>
      <c r="G202" s="482"/>
      <c r="H202" s="481">
        <v>4.9062115930205603E-2</v>
      </c>
      <c r="I202" s="480">
        <v>4.9062115930205603E-2</v>
      </c>
      <c r="J202" s="483"/>
      <c r="K202" s="480" t="s">
        <v>452</v>
      </c>
      <c r="L202" s="480" t="s">
        <v>452</v>
      </c>
      <c r="M202"/>
      <c r="N202"/>
      <c r="O202" s="481">
        <v>2.0034076510126715</v>
      </c>
      <c r="P202" s="480">
        <v>0.28217009169192564</v>
      </c>
      <c r="Q202" s="480">
        <v>1.7212375593207461</v>
      </c>
      <c r="R202" s="480" t="s">
        <v>452</v>
      </c>
      <c r="S202" s="482"/>
      <c r="T202" s="481">
        <v>0.25395308252273302</v>
      </c>
      <c r="U202" s="480">
        <v>0.25395308252273302</v>
      </c>
      <c r="V202" s="483"/>
      <c r="W202" s="480" t="s">
        <v>452</v>
      </c>
      <c r="X202" s="480" t="s">
        <v>452</v>
      </c>
      <c r="Z202" s="490"/>
      <c r="AA202" t="s">
        <v>1267</v>
      </c>
      <c r="AC202" s="403"/>
      <c r="AF202" s="443">
        <v>0.38704558122717753</v>
      </c>
      <c r="AG202" s="438">
        <v>5.4513462144672897E-2</v>
      </c>
      <c r="AH202" s="438">
        <v>0.33253211908250463</v>
      </c>
      <c r="AI202" s="438" t="s">
        <v>452</v>
      </c>
      <c r="AJ202" s="437"/>
      <c r="AK202" s="443">
        <v>4.9062115930205603E-2</v>
      </c>
      <c r="AL202" s="438">
        <v>4.9062115930205603E-2</v>
      </c>
      <c r="AM202" s="441"/>
      <c r="AN202" s="438" t="s">
        <v>452</v>
      </c>
      <c r="AO202" s="438" t="s">
        <v>452</v>
      </c>
      <c r="AP202" s="331"/>
      <c r="AQ202" s="331"/>
      <c r="AR202" s="443">
        <v>2.0034076510126715</v>
      </c>
      <c r="AS202" s="438">
        <v>0.28217009169192564</v>
      </c>
      <c r="AT202" s="438">
        <v>1.7212375593207461</v>
      </c>
      <c r="AU202" s="438" t="s">
        <v>452</v>
      </c>
      <c r="AV202" s="437"/>
      <c r="AW202" s="443">
        <v>0.25395308252273302</v>
      </c>
      <c r="AX202" s="438">
        <v>0.25395308252273302</v>
      </c>
      <c r="AY202" s="441"/>
      <c r="AZ202" s="438" t="s">
        <v>452</v>
      </c>
      <c r="BA202" s="438" t="s">
        <v>452</v>
      </c>
    </row>
    <row r="203" spans="1:53">
      <c r="A203" s="415" t="s">
        <v>1129</v>
      </c>
      <c r="B203" s="415" t="s">
        <v>1129</v>
      </c>
      <c r="C203" s="488">
        <v>0.7349291587556539</v>
      </c>
      <c r="D203" s="480">
        <v>2.1443556356265762E-2</v>
      </c>
      <c r="E203" s="480">
        <v>0.71348560239938819</v>
      </c>
      <c r="F203" s="480" t="s">
        <v>452</v>
      </c>
      <c r="G203" s="482"/>
      <c r="H203" s="481" t="s">
        <v>452</v>
      </c>
      <c r="I203" s="480" t="s">
        <v>452</v>
      </c>
      <c r="J203" s="483"/>
      <c r="K203" s="480" t="s">
        <v>452</v>
      </c>
      <c r="L203" s="480" t="s">
        <v>452</v>
      </c>
      <c r="M203"/>
      <c r="N203"/>
      <c r="O203" s="481">
        <v>3.3520987971078697</v>
      </c>
      <c r="P203" s="480">
        <v>9.7806596202086371E-2</v>
      </c>
      <c r="Q203" s="480">
        <v>3.2542922009057835</v>
      </c>
      <c r="R203" s="480" t="s">
        <v>452</v>
      </c>
      <c r="S203" s="482"/>
      <c r="T203" s="481" t="s">
        <v>452</v>
      </c>
      <c r="U203" s="480" t="s">
        <v>452</v>
      </c>
      <c r="V203" s="483"/>
      <c r="W203" s="480" t="s">
        <v>452</v>
      </c>
      <c r="X203" s="480" t="s">
        <v>452</v>
      </c>
      <c r="Z203" s="490"/>
      <c r="AA203" t="s">
        <v>1267</v>
      </c>
      <c r="AC203" s="403"/>
      <c r="AF203" s="443">
        <v>0.7349291587556539</v>
      </c>
      <c r="AG203" s="438">
        <v>2.1443556356265762E-2</v>
      </c>
      <c r="AH203" s="438">
        <v>0.71348560239938819</v>
      </c>
      <c r="AI203" s="438" t="s">
        <v>452</v>
      </c>
      <c r="AJ203" s="437"/>
      <c r="AK203" s="443" t="s">
        <v>452</v>
      </c>
      <c r="AL203" s="438" t="s">
        <v>452</v>
      </c>
      <c r="AM203" s="441"/>
      <c r="AN203" s="438" t="s">
        <v>452</v>
      </c>
      <c r="AO203" s="438" t="s">
        <v>452</v>
      </c>
      <c r="AP203" s="331"/>
      <c r="AQ203" s="331"/>
      <c r="AR203" s="443">
        <v>3.3520987971078697</v>
      </c>
      <c r="AS203" s="438">
        <v>9.7806596202086371E-2</v>
      </c>
      <c r="AT203" s="438">
        <v>3.2542922009057835</v>
      </c>
      <c r="AU203" s="438" t="s">
        <v>452</v>
      </c>
      <c r="AV203" s="437"/>
      <c r="AW203" s="443" t="s">
        <v>452</v>
      </c>
      <c r="AX203" s="438" t="s">
        <v>452</v>
      </c>
      <c r="AY203" s="441"/>
      <c r="AZ203" s="438" t="s">
        <v>452</v>
      </c>
      <c r="BA203" s="438" t="s">
        <v>452</v>
      </c>
    </row>
    <row r="204" spans="1:53">
      <c r="A204" s="415"/>
      <c r="B204" s="415"/>
      <c r="C204" s="488"/>
      <c r="D204" s="480"/>
      <c r="E204" s="480"/>
      <c r="F204" s="480"/>
      <c r="G204" s="482"/>
      <c r="H204" s="481"/>
      <c r="I204" s="480"/>
      <c r="J204" s="483"/>
      <c r="K204" s="480"/>
      <c r="L204" s="480"/>
      <c r="M204"/>
      <c r="N204"/>
      <c r="O204" s="481"/>
      <c r="P204" s="480"/>
      <c r="Q204" s="480"/>
      <c r="R204" s="480"/>
      <c r="S204" s="482"/>
      <c r="T204" s="481"/>
      <c r="U204" s="480"/>
      <c r="V204" s="483"/>
      <c r="W204" s="480"/>
      <c r="X204" s="480"/>
      <c r="AC204" s="299"/>
    </row>
    <row r="205" spans="1:53">
      <c r="A205" s="447" t="s">
        <v>1130</v>
      </c>
      <c r="B205" s="447" t="s">
        <v>1130</v>
      </c>
      <c r="C205" s="489">
        <v>9.1548817880607574E-3</v>
      </c>
      <c r="D205" s="489">
        <v>9.1548817880607574E-3</v>
      </c>
      <c r="E205" s="489">
        <v>2.0135370501599904E-2</v>
      </c>
      <c r="F205" s="482">
        <f>SUM(F8:F203)-IF(F10="", 0, F10)</f>
        <v>59.506461589339473</v>
      </c>
      <c r="G205" s="482"/>
      <c r="H205" s="487">
        <f>I205+ K205 + L205</f>
        <v>3.1733343910521454E-2</v>
      </c>
      <c r="I205" s="482">
        <v>9.1548817880607574E-3</v>
      </c>
      <c r="J205" s="482"/>
      <c r="K205" s="482">
        <v>9.1548817880607574E-3</v>
      </c>
      <c r="L205" s="482">
        <v>1.3423580334399937E-2</v>
      </c>
      <c r="M205"/>
      <c r="N205"/>
      <c r="O205" s="481" t="s">
        <v>452</v>
      </c>
      <c r="P205" s="480">
        <v>0</v>
      </c>
      <c r="Q205" s="480">
        <v>0</v>
      </c>
      <c r="R205" s="480">
        <v>0.9072428594198122</v>
      </c>
      <c r="S205" s="482"/>
      <c r="T205" s="481">
        <f>U205+W205+X205</f>
        <v>0</v>
      </c>
      <c r="U205" s="480">
        <v>0</v>
      </c>
      <c r="V205" s="483"/>
      <c r="W205" s="480">
        <v>0</v>
      </c>
      <c r="X205" s="480">
        <v>0</v>
      </c>
      <c r="AC205" s="405"/>
    </row>
    <row r="207" spans="1:53" s="227" customFormat="1" ht="3.65" customHeight="1">
      <c r="B207" s="450"/>
      <c r="C207" s="2"/>
      <c r="D207" s="2"/>
      <c r="E207" s="2"/>
      <c r="F207" s="2"/>
      <c r="G207" s="2"/>
      <c r="H207" s="2"/>
      <c r="I207" s="2"/>
      <c r="J207" s="2"/>
      <c r="K207" s="2"/>
      <c r="L207" s="2"/>
      <c r="M207" s="2"/>
      <c r="N207" s="2"/>
      <c r="O207" s="2"/>
      <c r="P207" s="2"/>
      <c r="Q207" s="2"/>
      <c r="R207" s="2"/>
      <c r="S207" s="2"/>
      <c r="T207" s="2"/>
      <c r="U207" s="2"/>
      <c r="V207" s="2"/>
      <c r="W207" s="2"/>
      <c r="X207" s="2"/>
      <c r="AC207" s="297"/>
    </row>
    <row r="208" spans="1:53">
      <c r="B208" s="451" t="s">
        <v>108</v>
      </c>
      <c r="AC208" s="302"/>
    </row>
    <row r="209" spans="2:23" ht="27.65" customHeight="1">
      <c r="B209" s="623" t="s">
        <v>1462</v>
      </c>
      <c r="C209" s="623"/>
      <c r="D209" s="623"/>
      <c r="E209" s="623"/>
      <c r="F209" s="623"/>
      <c r="G209" s="623"/>
      <c r="H209" s="623"/>
      <c r="I209" s="623"/>
      <c r="J209" s="623"/>
      <c r="K209" s="623"/>
      <c r="L209" s="623"/>
      <c r="M209" s="623"/>
      <c r="N209" s="623"/>
      <c r="O209" s="623"/>
      <c r="P209" s="623"/>
      <c r="Q209" s="623"/>
      <c r="R209" s="623"/>
      <c r="S209" s="623"/>
      <c r="T209" s="623"/>
      <c r="U209" s="623"/>
      <c r="V209" s="623"/>
      <c r="W209" s="623"/>
    </row>
    <row r="210" spans="2:23">
      <c r="B210" s="33" t="s">
        <v>1242</v>
      </c>
    </row>
    <row r="211" spans="2:23">
      <c r="B211" s="33" t="s">
        <v>1298</v>
      </c>
    </row>
    <row r="212" spans="2:23" ht="14.5">
      <c r="B212" t="s">
        <v>1458</v>
      </c>
    </row>
    <row r="214" spans="2:23">
      <c r="C214" s="484" t="e">
        <f>SUM(C8:C203)-C10</f>
        <v>#VALUE!</v>
      </c>
      <c r="D214" s="484" t="e">
        <f>SUM(D8:D203)-D10</f>
        <v>#VALUE!</v>
      </c>
      <c r="E214" s="484" t="e">
        <f t="shared" ref="E214:K214" si="0">SUM(E8:E203)-E10</f>
        <v>#VALUE!</v>
      </c>
      <c r="F214" s="484">
        <f>SUM(F8:F203)-IF(F10="", 0, F10)</f>
        <v>59.506461589339473</v>
      </c>
      <c r="G214" s="484">
        <f t="shared" si="0"/>
        <v>0</v>
      </c>
      <c r="H214" s="484" t="e">
        <f t="shared" si="0"/>
        <v>#VALUE!</v>
      </c>
      <c r="I214" s="484" t="e">
        <f t="shared" si="0"/>
        <v>#VALUE!</v>
      </c>
      <c r="J214" s="484">
        <f t="shared" si="0"/>
        <v>0</v>
      </c>
      <c r="K214" s="484" t="e">
        <f t="shared" si="0"/>
        <v>#VALUE!</v>
      </c>
      <c r="L214" s="484">
        <f>SUM(L8:L203)</f>
        <v>3.770888497903063</v>
      </c>
    </row>
  </sheetData>
  <mergeCells count="29">
    <mergeCell ref="B3:L3"/>
    <mergeCell ref="N3:X3"/>
    <mergeCell ref="AE3:AO3"/>
    <mergeCell ref="AQ3:BA3"/>
    <mergeCell ref="C4:F4"/>
    <mergeCell ref="H4:L4"/>
    <mergeCell ref="O4:R4"/>
    <mergeCell ref="T4:X4"/>
    <mergeCell ref="AF4:AI4"/>
    <mergeCell ref="AK4:AO4"/>
    <mergeCell ref="AR4:AU4"/>
    <mergeCell ref="AW4:BA4"/>
    <mergeCell ref="AX5:AX6"/>
    <mergeCell ref="AZ5:BA5"/>
    <mergeCell ref="AR5:AT5"/>
    <mergeCell ref="AU5:AU6"/>
    <mergeCell ref="C5:E5"/>
    <mergeCell ref="F5:F6"/>
    <mergeCell ref="I5:I6"/>
    <mergeCell ref="K5:L5"/>
    <mergeCell ref="O5:Q5"/>
    <mergeCell ref="B209:W209"/>
    <mergeCell ref="AF5:AH5"/>
    <mergeCell ref="AI5:AI6"/>
    <mergeCell ref="AL5:AL6"/>
    <mergeCell ref="AN5:AO5"/>
    <mergeCell ref="R5:R6"/>
    <mergeCell ref="U5:U6"/>
    <mergeCell ref="W5:X5"/>
  </mergeCells>
  <pageMargins left="0.7" right="0.7" top="0.75" bottom="0.75" header="0.3" footer="0.3"/>
  <pageSetup scale="65" fitToHeight="0" orientation="landscape" r:id="rId1"/>
  <rowBreaks count="1" manualBreakCount="1">
    <brk id="58" min="1" max="2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0947-D644-4427-91D3-3D4761C0532D}">
  <sheetPr>
    <tabColor theme="0" tint="-0.499984740745262"/>
    <pageSetUpPr fitToPage="1"/>
  </sheetPr>
  <dimension ref="A2:W163"/>
  <sheetViews>
    <sheetView topLeftCell="A23" zoomScaleNormal="100" workbookViewId="0">
      <selection activeCell="J31" sqref="J31:J34"/>
    </sheetView>
  </sheetViews>
  <sheetFormatPr defaultColWidth="9.1796875" defaultRowHeight="14.5"/>
  <cols>
    <col min="1" max="2" width="9.1796875" style="349"/>
    <col min="3" max="3" width="14" style="348" hidden="1" customWidth="1"/>
    <col min="4" max="4" width="2.81640625" style="349" hidden="1" customWidth="1"/>
    <col min="5" max="5" width="2.81640625" style="349" customWidth="1"/>
    <col min="6" max="6" width="6.81640625" style="350" customWidth="1"/>
    <col min="7" max="7" width="41.1796875" style="349" customWidth="1"/>
    <col min="8" max="8" width="3.81640625" style="349" customWidth="1"/>
    <col min="9" max="9" width="2.1796875" style="349" customWidth="1"/>
    <col min="10" max="10" width="41.1796875" style="349" customWidth="1"/>
    <col min="11" max="11" width="4.54296875" style="349" hidden="1" customWidth="1"/>
    <col min="12" max="12" width="1.81640625" style="349" customWidth="1"/>
    <col min="13" max="13" width="2.81640625" style="349" customWidth="1"/>
    <col min="14" max="14" width="6.81640625" style="349" customWidth="1"/>
    <col min="15" max="15" width="41.1796875" style="349" customWidth="1"/>
    <col min="16" max="16" width="0.81640625" style="349" customWidth="1"/>
    <col min="17" max="17" width="1" style="349" customWidth="1"/>
    <col min="18" max="18" width="2.81640625" style="349" customWidth="1"/>
    <col min="19" max="19" width="6.81640625" style="349" customWidth="1"/>
    <col min="20" max="20" width="41.1796875" style="349" customWidth="1"/>
    <col min="21" max="21" width="2.81640625" style="349" customWidth="1"/>
    <col min="22" max="22" width="11" style="349" hidden="1" customWidth="1"/>
    <col min="23" max="23" width="9.1796875" style="351"/>
    <col min="24" max="16384" width="9.1796875" style="349"/>
  </cols>
  <sheetData>
    <row r="2" spans="3:23">
      <c r="F2" s="399" t="s">
        <v>953</v>
      </c>
    </row>
    <row r="3" spans="3:23">
      <c r="E3" s="693" t="s">
        <v>954</v>
      </c>
      <c r="F3" s="693"/>
      <c r="G3" s="693"/>
      <c r="H3" s="693"/>
      <c r="I3" s="693"/>
      <c r="J3" s="693"/>
      <c r="K3" s="352"/>
      <c r="M3" s="693" t="s">
        <v>589</v>
      </c>
      <c r="N3" s="693"/>
      <c r="O3" s="693"/>
      <c r="P3" s="693"/>
      <c r="Q3" s="693"/>
      <c r="R3" s="693"/>
      <c r="S3" s="693"/>
      <c r="T3" s="693"/>
      <c r="U3" s="352"/>
      <c r="W3" s="353"/>
    </row>
    <row r="4" spans="3:23" ht="29.5" thickBot="1">
      <c r="C4" s="354" t="s">
        <v>955</v>
      </c>
      <c r="D4" s="354"/>
      <c r="E4" s="348"/>
      <c r="F4" s="355" t="s">
        <v>956</v>
      </c>
      <c r="G4" s="355" t="s">
        <v>957</v>
      </c>
      <c r="H4" s="356"/>
      <c r="I4" s="356"/>
      <c r="J4" s="357" t="s">
        <v>958</v>
      </c>
      <c r="K4" s="356"/>
      <c r="L4" s="358"/>
      <c r="M4" s="358"/>
      <c r="N4" s="355" t="s">
        <v>956</v>
      </c>
      <c r="O4" s="355" t="s">
        <v>959</v>
      </c>
      <c r="P4" s="355"/>
      <c r="Q4" s="355"/>
      <c r="R4" s="355"/>
      <c r="S4" s="355" t="s">
        <v>956</v>
      </c>
      <c r="T4" s="355" t="s">
        <v>960</v>
      </c>
      <c r="U4" s="354"/>
      <c r="W4" s="353"/>
    </row>
    <row r="5" spans="3:23" s="348" customFormat="1" ht="12.75" customHeight="1">
      <c r="C5" s="696" t="s">
        <v>953</v>
      </c>
      <c r="D5" s="359"/>
      <c r="E5" s="360"/>
      <c r="F5" s="361"/>
      <c r="G5" s="362" t="s">
        <v>961</v>
      </c>
      <c r="H5" s="363"/>
      <c r="I5" s="363"/>
      <c r="J5" s="362" t="s">
        <v>961</v>
      </c>
      <c r="K5" s="364"/>
      <c r="L5" s="364"/>
      <c r="M5" s="365"/>
      <c r="N5" s="365"/>
      <c r="O5" s="365"/>
      <c r="P5" s="364"/>
      <c r="Q5" s="364"/>
      <c r="R5" s="365"/>
      <c r="S5" s="365"/>
      <c r="T5" s="365"/>
      <c r="U5" s="366"/>
      <c r="W5" s="367"/>
    </row>
    <row r="6" spans="3:23" ht="104.25" customHeight="1">
      <c r="C6" s="697"/>
      <c r="D6" s="368"/>
      <c r="E6" s="369" t="s">
        <v>115</v>
      </c>
      <c r="F6" s="370">
        <v>317</v>
      </c>
      <c r="G6" s="371" t="s">
        <v>1750</v>
      </c>
      <c r="H6" s="372">
        <v>13</v>
      </c>
      <c r="I6" s="372"/>
      <c r="J6" s="371" t="s">
        <v>1751</v>
      </c>
      <c r="K6" s="372">
        <v>93</v>
      </c>
      <c r="L6" s="372"/>
      <c r="M6" s="373" t="s">
        <v>115</v>
      </c>
      <c r="N6" s="370">
        <v>0</v>
      </c>
      <c r="O6" s="371"/>
      <c r="P6" s="372"/>
      <c r="Q6" s="372"/>
      <c r="R6" s="373" t="s">
        <v>115</v>
      </c>
      <c r="S6" s="370">
        <v>56.5</v>
      </c>
      <c r="T6" s="371" t="s">
        <v>1756</v>
      </c>
      <c r="U6" s="374"/>
      <c r="W6" s="353"/>
    </row>
    <row r="7" spans="3:23" ht="46.5" customHeight="1">
      <c r="C7" s="697"/>
      <c r="D7" s="368"/>
      <c r="E7" s="369" t="s">
        <v>116</v>
      </c>
      <c r="F7" s="370">
        <v>2.9240844940503643</v>
      </c>
      <c r="G7" s="371"/>
      <c r="H7" s="372">
        <v>12</v>
      </c>
      <c r="I7" s="372"/>
      <c r="J7" s="371" t="s">
        <v>1752</v>
      </c>
      <c r="K7" s="372">
        <v>4</v>
      </c>
      <c r="L7" s="372"/>
      <c r="M7" s="373" t="s">
        <v>116</v>
      </c>
      <c r="N7" s="370">
        <v>0</v>
      </c>
      <c r="O7" s="371"/>
      <c r="P7" s="372"/>
      <c r="Q7" s="372"/>
      <c r="R7" s="373" t="s">
        <v>116</v>
      </c>
      <c r="S7" s="370">
        <v>0.52116963379762016</v>
      </c>
      <c r="T7" s="371"/>
      <c r="U7" s="374"/>
      <c r="W7" s="353"/>
    </row>
    <row r="8" spans="3:23" ht="41.5">
      <c r="C8" s="697"/>
      <c r="D8" s="368"/>
      <c r="E8" s="369" t="s">
        <v>117</v>
      </c>
      <c r="F8" s="370">
        <v>5.4571386517768845</v>
      </c>
      <c r="G8" s="371"/>
      <c r="H8" s="372"/>
      <c r="I8" s="372"/>
      <c r="J8" s="371" t="s">
        <v>1753</v>
      </c>
      <c r="K8" s="372">
        <v>24</v>
      </c>
      <c r="L8" s="372"/>
      <c r="M8" s="373" t="s">
        <v>117</v>
      </c>
      <c r="N8" s="370">
        <v>0</v>
      </c>
      <c r="O8" s="371"/>
      <c r="P8" s="372"/>
      <c r="Q8" s="372"/>
      <c r="R8" s="373" t="s">
        <v>117</v>
      </c>
      <c r="S8" s="370">
        <v>0.97264458619998084</v>
      </c>
      <c r="T8" s="371"/>
      <c r="U8" s="374"/>
      <c r="W8" s="353"/>
    </row>
    <row r="9" spans="3:23">
      <c r="C9" s="697"/>
      <c r="D9" s="368"/>
      <c r="E9" s="375"/>
      <c r="F9" s="376"/>
      <c r="G9" s="371"/>
      <c r="H9" s="372"/>
      <c r="I9" s="372"/>
      <c r="J9" s="371" t="s">
        <v>1752</v>
      </c>
      <c r="K9" s="372">
        <v>7</v>
      </c>
      <c r="L9" s="372"/>
      <c r="M9" s="377"/>
      <c r="N9" s="376"/>
      <c r="O9" s="371"/>
      <c r="P9" s="372"/>
      <c r="Q9" s="372"/>
      <c r="R9" s="377"/>
      <c r="S9" s="376"/>
      <c r="T9" s="371"/>
      <c r="U9" s="374"/>
      <c r="W9" s="353"/>
    </row>
    <row r="10" spans="3:23" ht="28">
      <c r="C10" s="697"/>
      <c r="D10" s="368"/>
      <c r="E10" s="375"/>
      <c r="F10" s="376"/>
      <c r="G10" s="371"/>
      <c r="H10" s="372"/>
      <c r="I10" s="372"/>
      <c r="J10" s="371" t="s">
        <v>1754</v>
      </c>
      <c r="K10" s="372">
        <v>70</v>
      </c>
      <c r="L10" s="372"/>
      <c r="M10" s="377"/>
      <c r="N10" s="376"/>
      <c r="O10" s="371"/>
      <c r="P10" s="372"/>
      <c r="Q10" s="372"/>
      <c r="R10" s="377"/>
      <c r="S10" s="376"/>
      <c r="T10" s="371"/>
      <c r="U10" s="374"/>
      <c r="W10" s="353"/>
    </row>
    <row r="11" spans="3:23" ht="56">
      <c r="C11" s="697"/>
      <c r="D11" s="368"/>
      <c r="E11" s="375"/>
      <c r="F11" s="378"/>
      <c r="G11" s="371"/>
      <c r="H11" s="372"/>
      <c r="I11" s="372"/>
      <c r="J11" s="371" t="s">
        <v>1755</v>
      </c>
      <c r="K11" s="372">
        <v>12</v>
      </c>
      <c r="L11" s="372"/>
      <c r="M11" s="377"/>
      <c r="N11" s="376"/>
      <c r="O11" s="371"/>
      <c r="P11" s="372"/>
      <c r="Q11" s="372"/>
      <c r="R11" s="377"/>
      <c r="S11" s="376"/>
      <c r="T11" s="371"/>
      <c r="U11" s="374"/>
      <c r="W11" s="353"/>
    </row>
    <row r="12" spans="3:23">
      <c r="C12" s="697"/>
      <c r="D12" s="368"/>
      <c r="E12" s="379"/>
      <c r="F12" s="380"/>
      <c r="G12" s="371"/>
      <c r="H12" s="372"/>
      <c r="I12" s="372"/>
      <c r="J12" s="381"/>
      <c r="K12" s="372"/>
      <c r="L12" s="372"/>
      <c r="M12" s="371"/>
      <c r="N12" s="382"/>
      <c r="O12" s="371"/>
      <c r="P12" s="372"/>
      <c r="Q12" s="372"/>
      <c r="R12" s="371"/>
      <c r="S12" s="382"/>
      <c r="T12" s="371"/>
      <c r="U12" s="374"/>
      <c r="W12" s="353"/>
    </row>
    <row r="13" spans="3:23" ht="16.5" customHeight="1">
      <c r="C13" s="697"/>
      <c r="D13" s="368"/>
      <c r="E13" s="383"/>
      <c r="F13" s="380"/>
      <c r="G13" s="371"/>
      <c r="H13" s="372"/>
      <c r="I13" s="372"/>
      <c r="J13" s="371"/>
      <c r="K13" s="372"/>
      <c r="L13" s="372"/>
      <c r="M13" s="371"/>
      <c r="N13" s="382"/>
      <c r="O13" s="371"/>
      <c r="P13" s="372"/>
      <c r="Q13" s="372"/>
      <c r="R13" s="371"/>
      <c r="S13" s="382"/>
      <c r="T13" s="371"/>
      <c r="U13" s="374"/>
      <c r="W13" s="353"/>
    </row>
    <row r="14" spans="3:23" ht="9" customHeight="1">
      <c r="C14" s="697"/>
      <c r="D14" s="368"/>
      <c r="E14" s="383"/>
      <c r="F14" s="380"/>
      <c r="G14" s="371"/>
      <c r="H14" s="372"/>
      <c r="I14" s="372"/>
      <c r="J14" s="371"/>
      <c r="K14" s="372"/>
      <c r="L14" s="372"/>
      <c r="M14" s="371"/>
      <c r="N14" s="382"/>
      <c r="O14" s="371"/>
      <c r="P14" s="372"/>
      <c r="Q14" s="372"/>
      <c r="R14" s="371"/>
      <c r="S14" s="371"/>
      <c r="T14" s="371"/>
      <c r="U14" s="374"/>
      <c r="W14" s="353"/>
    </row>
    <row r="15" spans="3:23" ht="9.75" customHeight="1">
      <c r="C15" s="697"/>
      <c r="D15" s="368"/>
      <c r="E15" s="383"/>
      <c r="F15" s="380"/>
      <c r="G15" s="371"/>
      <c r="H15" s="372"/>
      <c r="I15" s="372"/>
      <c r="J15" s="371"/>
      <c r="K15" s="372"/>
      <c r="L15" s="372"/>
      <c r="M15" s="371"/>
      <c r="N15" s="371"/>
      <c r="O15" s="371"/>
      <c r="P15" s="372"/>
      <c r="Q15" s="372"/>
      <c r="R15" s="371"/>
      <c r="S15" s="371"/>
      <c r="T15" s="371"/>
      <c r="U15" s="374"/>
      <c r="W15" s="353"/>
    </row>
    <row r="16" spans="3:23" ht="9" customHeight="1" thickBot="1">
      <c r="C16" s="698"/>
      <c r="D16" s="384"/>
      <c r="E16" s="385"/>
      <c r="F16" s="386"/>
      <c r="G16" s="387"/>
      <c r="H16" s="388"/>
      <c r="I16" s="388"/>
      <c r="J16" s="387"/>
      <c r="K16" s="388"/>
      <c r="L16" s="372"/>
      <c r="M16" s="387"/>
      <c r="N16" s="387"/>
      <c r="O16" s="387"/>
      <c r="P16" s="388"/>
      <c r="Q16" s="388"/>
      <c r="R16" s="387"/>
      <c r="S16" s="387"/>
      <c r="T16" s="387"/>
      <c r="U16" s="389"/>
      <c r="W16" s="353"/>
    </row>
    <row r="17" spans="4:23">
      <c r="D17" s="368"/>
      <c r="E17" s="390"/>
      <c r="F17" s="391"/>
      <c r="G17" s="374"/>
      <c r="H17" s="374"/>
      <c r="I17" s="374"/>
      <c r="J17" s="374"/>
      <c r="K17" s="374"/>
      <c r="L17" s="374"/>
      <c r="M17" s="374"/>
      <c r="N17" s="374"/>
      <c r="O17" s="374"/>
      <c r="P17" s="374"/>
      <c r="Q17" s="374"/>
      <c r="R17" s="374"/>
      <c r="S17" s="374"/>
      <c r="T17" s="374"/>
      <c r="U17" s="374"/>
    </row>
    <row r="18" spans="4:23">
      <c r="D18" s="368"/>
      <c r="E18" s="401" t="s">
        <v>962</v>
      </c>
      <c r="F18" s="400"/>
      <c r="G18" s="374"/>
      <c r="H18" s="374"/>
      <c r="I18" s="374"/>
      <c r="J18" s="374"/>
      <c r="K18" s="374"/>
      <c r="L18" s="374"/>
      <c r="M18" s="374"/>
      <c r="N18" s="374"/>
      <c r="O18" s="374"/>
      <c r="P18" s="374"/>
      <c r="Q18" s="374"/>
      <c r="R18" s="374"/>
      <c r="S18" s="374"/>
      <c r="T18" s="374"/>
      <c r="U18" s="374"/>
    </row>
    <row r="19" spans="4:23">
      <c r="D19" s="368"/>
      <c r="E19" s="693" t="s">
        <v>954</v>
      </c>
      <c r="F19" s="693"/>
      <c r="G19" s="693"/>
      <c r="H19" s="693"/>
      <c r="I19" s="693"/>
      <c r="J19" s="693"/>
      <c r="K19" s="352"/>
      <c r="M19" s="693" t="s">
        <v>589</v>
      </c>
      <c r="N19" s="693"/>
      <c r="O19" s="693"/>
      <c r="P19" s="693"/>
      <c r="Q19" s="693"/>
      <c r="R19" s="693"/>
      <c r="S19" s="693"/>
      <c r="T19" s="693"/>
      <c r="U19" s="374"/>
    </row>
    <row r="20" spans="4:23" ht="28.5" thickBot="1">
      <c r="D20" s="368"/>
      <c r="E20" s="348"/>
      <c r="F20" s="355" t="s">
        <v>956</v>
      </c>
      <c r="G20" s="355" t="s">
        <v>957</v>
      </c>
      <c r="H20" s="356"/>
      <c r="I20" s="356"/>
      <c r="J20" s="357" t="s">
        <v>958</v>
      </c>
      <c r="K20" s="356"/>
      <c r="L20" s="358"/>
      <c r="M20" s="358"/>
      <c r="N20" s="355" t="s">
        <v>956</v>
      </c>
      <c r="O20" s="355" t="s">
        <v>959</v>
      </c>
      <c r="P20" s="355"/>
      <c r="Q20" s="355"/>
      <c r="R20" s="355"/>
      <c r="S20" s="355" t="s">
        <v>956</v>
      </c>
      <c r="T20" s="355" t="s">
        <v>960</v>
      </c>
      <c r="U20" s="374"/>
    </row>
    <row r="21" spans="4:23">
      <c r="D21" s="368"/>
      <c r="E21" s="360"/>
      <c r="F21" s="361"/>
      <c r="G21" s="362" t="s">
        <v>961</v>
      </c>
      <c r="H21" s="363"/>
      <c r="I21" s="363"/>
      <c r="J21" s="362" t="s">
        <v>961</v>
      </c>
      <c r="K21" s="364"/>
      <c r="L21" s="364"/>
      <c r="M21" s="365"/>
      <c r="N21" s="365"/>
      <c r="O21" s="365"/>
      <c r="P21" s="364"/>
      <c r="Q21" s="364"/>
      <c r="R21" s="365"/>
      <c r="S21" s="365"/>
      <c r="T21" s="365"/>
      <c r="U21" s="374"/>
      <c r="W21" s="353"/>
    </row>
    <row r="22" spans="4:23" ht="155.25" customHeight="1">
      <c r="D22" s="368"/>
      <c r="E22" s="369" t="s">
        <v>115</v>
      </c>
      <c r="F22" s="370">
        <v>9.1499999999999998E-2</v>
      </c>
      <c r="G22" s="371" t="s">
        <v>1757</v>
      </c>
      <c r="H22" s="372">
        <v>13</v>
      </c>
      <c r="I22" s="372"/>
      <c r="J22" s="694" t="e">
        <v>#REF!</v>
      </c>
      <c r="K22" s="372">
        <v>93</v>
      </c>
      <c r="L22" s="372"/>
      <c r="M22" s="373" t="s">
        <v>115</v>
      </c>
      <c r="N22" s="370">
        <v>0</v>
      </c>
      <c r="O22" s="371"/>
      <c r="P22" s="372"/>
      <c r="Q22" s="372"/>
      <c r="R22" s="373" t="s">
        <v>115</v>
      </c>
      <c r="S22" s="370">
        <v>0.05</v>
      </c>
      <c r="T22" s="371" t="s">
        <v>1758</v>
      </c>
      <c r="U22" s="374"/>
      <c r="W22" s="353"/>
    </row>
    <row r="23" spans="4:23" ht="155.25" customHeight="1">
      <c r="D23" s="368"/>
      <c r="E23" s="369" t="s">
        <v>116</v>
      </c>
      <c r="F23" s="370">
        <v>9.9273082347835523E-2</v>
      </c>
      <c r="G23" s="371"/>
      <c r="H23" s="372">
        <v>12</v>
      </c>
      <c r="I23" s="372"/>
      <c r="J23" s="694"/>
      <c r="K23" s="372">
        <v>4</v>
      </c>
      <c r="L23" s="372"/>
      <c r="M23" s="373" t="s">
        <v>116</v>
      </c>
      <c r="N23" s="370">
        <v>0</v>
      </c>
      <c r="O23" s="371"/>
      <c r="P23" s="372"/>
      <c r="Q23" s="372"/>
      <c r="R23" s="373" t="s">
        <v>116</v>
      </c>
      <c r="S23" s="370">
        <v>5.4247585982423789E-2</v>
      </c>
      <c r="T23" s="371"/>
      <c r="U23" s="374"/>
      <c r="W23" s="353"/>
    </row>
    <row r="24" spans="4:23" ht="167.25" customHeight="1">
      <c r="D24" s="368"/>
      <c r="E24" s="369" t="s">
        <v>117</v>
      </c>
      <c r="F24" s="370">
        <v>1.8145573280159526</v>
      </c>
      <c r="G24" s="371"/>
      <c r="H24" s="372"/>
      <c r="I24" s="372"/>
      <c r="J24" s="694"/>
      <c r="K24" s="372">
        <v>24</v>
      </c>
      <c r="L24" s="372"/>
      <c r="M24" s="373" t="s">
        <v>117</v>
      </c>
      <c r="N24" s="370">
        <v>0</v>
      </c>
      <c r="O24" s="371"/>
      <c r="P24" s="372"/>
      <c r="Q24" s="372"/>
      <c r="R24" s="373" t="s">
        <v>117</v>
      </c>
      <c r="S24" s="370">
        <v>0.99700897308075787</v>
      </c>
      <c r="T24" s="371"/>
      <c r="U24" s="374"/>
      <c r="W24" s="353"/>
    </row>
    <row r="25" spans="4:23" ht="15" thickBot="1">
      <c r="D25" s="368"/>
      <c r="E25" s="385"/>
      <c r="F25" s="386"/>
      <c r="G25" s="387"/>
      <c r="H25" s="388"/>
      <c r="I25" s="388"/>
      <c r="J25" s="387"/>
      <c r="K25" s="388"/>
      <c r="L25" s="372"/>
      <c r="M25" s="387"/>
      <c r="N25" s="387"/>
      <c r="O25" s="387"/>
      <c r="P25" s="388"/>
      <c r="Q25" s="388"/>
      <c r="R25" s="387"/>
      <c r="S25" s="387"/>
      <c r="T25" s="387"/>
      <c r="U25" s="368"/>
      <c r="W25" s="353"/>
    </row>
    <row r="26" spans="4:23">
      <c r="D26" s="368"/>
      <c r="E26" s="390"/>
      <c r="F26" s="391"/>
      <c r="G26" s="368"/>
      <c r="H26" s="368"/>
      <c r="I26" s="368"/>
      <c r="J26" s="368"/>
      <c r="K26" s="368"/>
      <c r="L26" s="368"/>
      <c r="M26" s="368"/>
      <c r="N26" s="368"/>
      <c r="O26" s="368"/>
      <c r="P26" s="368"/>
      <c r="Q26" s="368"/>
      <c r="R26" s="368"/>
      <c r="S26" s="368"/>
      <c r="T26" s="368"/>
      <c r="U26" s="368"/>
    </row>
    <row r="27" spans="4:23">
      <c r="D27" s="368"/>
      <c r="E27" s="401" t="s">
        <v>963</v>
      </c>
      <c r="F27" s="391"/>
      <c r="G27" s="368"/>
      <c r="H27" s="368"/>
      <c r="I27" s="368"/>
      <c r="J27" s="368"/>
      <c r="K27" s="368"/>
      <c r="L27" s="368"/>
      <c r="M27" s="368"/>
      <c r="N27" s="368"/>
      <c r="O27" s="368"/>
      <c r="P27" s="368"/>
      <c r="Q27" s="368"/>
      <c r="R27" s="368"/>
      <c r="S27" s="368"/>
      <c r="T27" s="368"/>
      <c r="U27" s="368"/>
    </row>
    <row r="28" spans="4:23">
      <c r="D28" s="368"/>
      <c r="E28" s="693" t="s">
        <v>954</v>
      </c>
      <c r="F28" s="693"/>
      <c r="G28" s="693"/>
      <c r="H28" s="693"/>
      <c r="I28" s="693"/>
      <c r="J28" s="693"/>
      <c r="K28" s="352"/>
      <c r="M28" s="693" t="s">
        <v>589</v>
      </c>
      <c r="N28" s="693"/>
      <c r="O28" s="693"/>
      <c r="P28" s="693"/>
      <c r="Q28" s="693"/>
      <c r="R28" s="693"/>
      <c r="S28" s="693"/>
      <c r="T28" s="693"/>
      <c r="U28" s="368"/>
    </row>
    <row r="29" spans="4:23" ht="28.5" thickBot="1">
      <c r="D29" s="368"/>
      <c r="E29" s="348"/>
      <c r="F29" s="355" t="s">
        <v>956</v>
      </c>
      <c r="G29" s="355" t="s">
        <v>957</v>
      </c>
      <c r="H29" s="356"/>
      <c r="I29" s="356"/>
      <c r="J29" s="357" t="s">
        <v>958</v>
      </c>
      <c r="K29" s="356"/>
      <c r="L29" s="358"/>
      <c r="M29" s="358"/>
      <c r="N29" s="355" t="s">
        <v>956</v>
      </c>
      <c r="O29" s="355" t="s">
        <v>959</v>
      </c>
      <c r="P29" s="355"/>
      <c r="Q29" s="355"/>
      <c r="R29" s="355"/>
      <c r="S29" s="355" t="s">
        <v>956</v>
      </c>
      <c r="T29" s="355" t="s">
        <v>960</v>
      </c>
      <c r="U29" s="368"/>
    </row>
    <row r="30" spans="4:23">
      <c r="D30" s="368"/>
      <c r="E30" s="360"/>
      <c r="F30" s="361"/>
      <c r="G30" s="362" t="s">
        <v>964</v>
      </c>
      <c r="H30" s="363"/>
      <c r="I30" s="363"/>
      <c r="J30" s="362" t="s">
        <v>961</v>
      </c>
      <c r="K30" s="364"/>
      <c r="L30" s="364"/>
      <c r="M30" s="365"/>
      <c r="N30" s="365"/>
      <c r="O30" s="365"/>
      <c r="P30" s="364"/>
      <c r="Q30" s="364"/>
      <c r="R30" s="365"/>
      <c r="S30" s="365"/>
      <c r="T30" s="365"/>
      <c r="U30" s="368"/>
      <c r="W30" s="353"/>
    </row>
    <row r="31" spans="4:23" ht="106.5" customHeight="1">
      <c r="D31" s="368"/>
      <c r="E31" s="369" t="s">
        <v>115</v>
      </c>
      <c r="F31" s="370">
        <v>13.7</v>
      </c>
      <c r="G31" s="694" t="s">
        <v>1759</v>
      </c>
      <c r="H31" s="372">
        <v>13</v>
      </c>
      <c r="I31" s="372"/>
      <c r="J31" s="694" t="s">
        <v>1760</v>
      </c>
      <c r="K31" s="372">
        <v>93</v>
      </c>
      <c r="L31" s="372"/>
      <c r="M31" s="373" t="s">
        <v>115</v>
      </c>
      <c r="N31" s="370">
        <v>0</v>
      </c>
      <c r="O31" s="371"/>
      <c r="P31" s="372"/>
      <c r="Q31" s="372"/>
      <c r="R31" s="373" t="s">
        <v>115</v>
      </c>
      <c r="S31" s="370">
        <v>3.9</v>
      </c>
      <c r="T31" s="694" t="s">
        <v>1761</v>
      </c>
      <c r="U31" s="368"/>
      <c r="W31" s="353"/>
    </row>
    <row r="32" spans="4:23" ht="106.5" customHeight="1">
      <c r="D32" s="368"/>
      <c r="E32" s="369" t="s">
        <v>116</v>
      </c>
      <c r="F32" s="370">
        <v>0.24162257495590828</v>
      </c>
      <c r="G32" s="694"/>
      <c r="H32" s="372">
        <v>12</v>
      </c>
      <c r="I32" s="372"/>
      <c r="J32" s="694"/>
      <c r="K32" s="372">
        <v>4</v>
      </c>
      <c r="L32" s="372"/>
      <c r="M32" s="373" t="s">
        <v>116</v>
      </c>
      <c r="N32" s="370" t="e">
        <f>#REF!</f>
        <v>#REF!</v>
      </c>
      <c r="O32" s="371"/>
      <c r="P32" s="372"/>
      <c r="Q32" s="372"/>
      <c r="R32" s="373" t="s">
        <v>116</v>
      </c>
      <c r="S32" s="370">
        <v>6.8783068783068779E-2</v>
      </c>
      <c r="T32" s="694"/>
      <c r="U32" s="368"/>
      <c r="W32" s="353"/>
    </row>
    <row r="33" spans="1:23" ht="106.5" customHeight="1">
      <c r="D33" s="368"/>
      <c r="E33" s="369" t="s">
        <v>117</v>
      </c>
      <c r="F33" s="370">
        <v>1.8698145062120151</v>
      </c>
      <c r="G33" s="694"/>
      <c r="H33" s="372"/>
      <c r="I33" s="372"/>
      <c r="J33" s="694"/>
      <c r="K33" s="372">
        <v>24</v>
      </c>
      <c r="L33" s="372"/>
      <c r="M33" s="373" t="s">
        <v>117</v>
      </c>
      <c r="N33" s="370" t="e">
        <v>#REF!</v>
      </c>
      <c r="O33" s="371"/>
      <c r="P33" s="372"/>
      <c r="Q33" s="372"/>
      <c r="R33" s="373" t="s">
        <v>117</v>
      </c>
      <c r="S33" s="370">
        <v>0.53228296162239841</v>
      </c>
      <c r="T33" s="694"/>
      <c r="U33" s="368"/>
      <c r="W33" s="353"/>
    </row>
    <row r="34" spans="1:23" ht="15" thickBot="1">
      <c r="D34" s="368"/>
      <c r="E34" s="385"/>
      <c r="F34" s="386"/>
      <c r="G34" s="387"/>
      <c r="H34" s="388"/>
      <c r="I34" s="388"/>
      <c r="J34" s="699"/>
      <c r="K34" s="388"/>
      <c r="L34" s="372"/>
      <c r="M34" s="387"/>
      <c r="N34" s="387"/>
      <c r="O34" s="387"/>
      <c r="P34" s="388"/>
      <c r="Q34" s="388"/>
      <c r="R34" s="387"/>
      <c r="S34" s="387"/>
      <c r="T34" s="699"/>
      <c r="U34" s="368"/>
      <c r="W34" s="353"/>
    </row>
    <row r="35" spans="1:23">
      <c r="D35" s="368"/>
      <c r="E35" s="390"/>
      <c r="F35" s="391"/>
      <c r="G35" s="368"/>
      <c r="H35" s="368"/>
      <c r="I35" s="368"/>
      <c r="J35" s="368"/>
      <c r="K35" s="368"/>
      <c r="L35" s="368"/>
      <c r="M35" s="368"/>
      <c r="N35" s="368"/>
      <c r="O35" s="368"/>
      <c r="P35" s="368"/>
      <c r="Q35" s="368"/>
      <c r="R35" s="368"/>
      <c r="S35" s="368"/>
      <c r="T35" s="368"/>
      <c r="U35" s="368"/>
    </row>
    <row r="36" spans="1:23">
      <c r="D36" s="368"/>
      <c r="E36" s="401" t="s">
        <v>965</v>
      </c>
      <c r="F36" s="391"/>
      <c r="G36" s="368"/>
      <c r="H36" s="368"/>
      <c r="I36" s="368"/>
      <c r="J36" s="368"/>
      <c r="K36" s="368"/>
      <c r="L36" s="368"/>
      <c r="M36" s="368"/>
      <c r="N36" s="368"/>
      <c r="O36" s="368"/>
      <c r="P36" s="368"/>
      <c r="Q36" s="368"/>
      <c r="R36" s="368"/>
      <c r="S36" s="368"/>
      <c r="T36" s="368"/>
      <c r="U36" s="368"/>
    </row>
    <row r="37" spans="1:23">
      <c r="D37" s="368"/>
      <c r="E37" s="693" t="s">
        <v>954</v>
      </c>
      <c r="F37" s="693"/>
      <c r="G37" s="693"/>
      <c r="H37" s="693"/>
      <c r="I37" s="693"/>
      <c r="J37" s="693"/>
      <c r="K37" s="352"/>
      <c r="M37" s="693" t="s">
        <v>589</v>
      </c>
      <c r="N37" s="693"/>
      <c r="O37" s="693"/>
      <c r="P37" s="693"/>
      <c r="Q37" s="693"/>
      <c r="R37" s="693"/>
      <c r="S37" s="693"/>
      <c r="T37" s="693"/>
      <c r="U37" s="368"/>
      <c r="W37" s="353"/>
    </row>
    <row r="38" spans="1:23" ht="28.5" thickBot="1">
      <c r="D38" s="368"/>
      <c r="E38" s="348"/>
      <c r="F38" s="355" t="s">
        <v>956</v>
      </c>
      <c r="G38" s="355" t="s">
        <v>957</v>
      </c>
      <c r="H38" s="356"/>
      <c r="I38" s="356"/>
      <c r="J38" s="357" t="s">
        <v>958</v>
      </c>
      <c r="K38" s="356"/>
      <c r="L38" s="358"/>
      <c r="M38" s="358"/>
      <c r="N38" s="355" t="s">
        <v>956</v>
      </c>
      <c r="O38" s="355" t="s">
        <v>959</v>
      </c>
      <c r="P38" s="355"/>
      <c r="Q38" s="355"/>
      <c r="R38" s="355"/>
      <c r="S38" s="355" t="s">
        <v>956</v>
      </c>
      <c r="T38" s="355" t="s">
        <v>960</v>
      </c>
      <c r="U38" s="368"/>
      <c r="W38" s="353"/>
    </row>
    <row r="39" spans="1:23">
      <c r="D39" s="368"/>
      <c r="E39" s="360"/>
      <c r="F39" s="361"/>
      <c r="G39" s="362" t="s">
        <v>966</v>
      </c>
      <c r="H39" s="363"/>
      <c r="I39" s="363"/>
      <c r="J39" s="362" t="s">
        <v>961</v>
      </c>
      <c r="K39" s="364"/>
      <c r="L39" s="364"/>
      <c r="M39" s="365"/>
      <c r="N39" s="365"/>
      <c r="O39" s="365"/>
      <c r="P39" s="364"/>
      <c r="Q39" s="364"/>
      <c r="R39" s="365"/>
      <c r="S39" s="365"/>
      <c r="T39" s="365"/>
      <c r="U39" s="368"/>
      <c r="W39" s="353"/>
    </row>
    <row r="40" spans="1:23" ht="106.5" customHeight="1">
      <c r="D40" s="368"/>
      <c r="E40" s="369" t="s">
        <v>115</v>
      </c>
      <c r="F40" s="370">
        <v>1.2486000000000002</v>
      </c>
      <c r="G40" s="371" t="s">
        <v>1762</v>
      </c>
      <c r="H40" s="372">
        <v>13</v>
      </c>
      <c r="I40" s="372"/>
      <c r="J40" s="371" t="s">
        <v>1763</v>
      </c>
      <c r="K40" s="372">
        <v>93</v>
      </c>
      <c r="L40" s="372"/>
      <c r="M40" s="373" t="s">
        <v>115</v>
      </c>
      <c r="N40" s="370">
        <v>0</v>
      </c>
      <c r="O40" s="371"/>
      <c r="P40" s="372"/>
      <c r="Q40" s="372"/>
      <c r="R40" s="373" t="s">
        <v>115</v>
      </c>
      <c r="S40" s="370">
        <v>0.85</v>
      </c>
      <c r="T40" s="694" t="s">
        <v>1765</v>
      </c>
      <c r="U40" s="368"/>
      <c r="W40" s="353"/>
    </row>
    <row r="41" spans="1:23" ht="230.25" customHeight="1">
      <c r="D41" s="368"/>
      <c r="E41" s="369" t="s">
        <v>116</v>
      </c>
      <c r="F41" s="370">
        <v>0.70028042624789688</v>
      </c>
      <c r="G41" s="371" t="s">
        <v>1764</v>
      </c>
      <c r="H41" s="372">
        <v>12</v>
      </c>
      <c r="I41" s="372"/>
      <c r="J41" s="371" t="e">
        <v>#REF!</v>
      </c>
      <c r="K41" s="372">
        <v>4</v>
      </c>
      <c r="L41" s="372"/>
      <c r="M41" s="373" t="s">
        <v>116</v>
      </c>
      <c r="N41" s="370">
        <v>0</v>
      </c>
      <c r="O41" s="371"/>
      <c r="P41" s="372"/>
      <c r="Q41" s="372"/>
      <c r="R41" s="373" t="s">
        <v>116</v>
      </c>
      <c r="S41" s="370">
        <v>0.47672462142456534</v>
      </c>
      <c r="T41" s="694"/>
      <c r="U41" s="368"/>
      <c r="W41" s="353" t="s">
        <v>967</v>
      </c>
    </row>
    <row r="42" spans="1:23" ht="41.5">
      <c r="D42" s="368"/>
      <c r="E42" s="369" t="s">
        <v>117</v>
      </c>
      <c r="F42" s="370">
        <v>3.4424195638388797</v>
      </c>
      <c r="G42" s="371"/>
      <c r="H42" s="372"/>
      <c r="I42" s="372"/>
      <c r="J42" s="371"/>
      <c r="K42" s="372">
        <v>24</v>
      </c>
      <c r="L42" s="372"/>
      <c r="M42" s="373" t="s">
        <v>117</v>
      </c>
      <c r="N42" s="370">
        <v>0</v>
      </c>
      <c r="O42" s="371"/>
      <c r="P42" s="372"/>
      <c r="Q42" s="372"/>
      <c r="R42" s="373" t="s">
        <v>117</v>
      </c>
      <c r="S42" s="370">
        <v>2.3434699897990132</v>
      </c>
      <c r="T42" s="371"/>
      <c r="U42" s="368"/>
      <c r="W42" s="353"/>
    </row>
    <row r="43" spans="1:23" ht="10.5" customHeight="1">
      <c r="D43" s="368"/>
      <c r="E43" s="375"/>
      <c r="F43" s="376"/>
      <c r="G43" s="371"/>
      <c r="H43" s="372"/>
      <c r="I43" s="372"/>
      <c r="J43" s="381"/>
      <c r="K43" s="372">
        <v>7</v>
      </c>
      <c r="L43" s="372"/>
      <c r="M43" s="377"/>
      <c r="N43" s="376"/>
      <c r="O43" s="371"/>
      <c r="P43" s="372"/>
      <c r="Q43" s="372"/>
      <c r="R43" s="377"/>
      <c r="S43" s="376"/>
      <c r="T43" s="371"/>
      <c r="U43" s="368"/>
      <c r="W43" s="353"/>
    </row>
    <row r="44" spans="1:23" ht="6.75" customHeight="1">
      <c r="D44" s="368"/>
      <c r="E44" s="375"/>
      <c r="F44" s="376"/>
      <c r="G44" s="371"/>
      <c r="H44" s="372"/>
      <c r="I44" s="372"/>
      <c r="J44" s="371"/>
      <c r="K44" s="372">
        <v>70</v>
      </c>
      <c r="L44" s="372"/>
      <c r="M44" s="377"/>
      <c r="N44" s="376"/>
      <c r="O44" s="371"/>
      <c r="P44" s="372"/>
      <c r="Q44" s="372"/>
      <c r="R44" s="377"/>
      <c r="S44" s="376"/>
      <c r="T44" s="371"/>
      <c r="U44" s="368"/>
      <c r="W44" s="353"/>
    </row>
    <row r="45" spans="1:23" ht="6" customHeight="1" thickBot="1">
      <c r="D45" s="368"/>
      <c r="E45" s="385"/>
      <c r="F45" s="386"/>
      <c r="G45" s="387"/>
      <c r="H45" s="388"/>
      <c r="I45" s="388"/>
      <c r="J45" s="387"/>
      <c r="K45" s="388"/>
      <c r="L45" s="372"/>
      <c r="M45" s="387"/>
      <c r="N45" s="387"/>
      <c r="O45" s="387"/>
      <c r="P45" s="388"/>
      <c r="Q45" s="388"/>
      <c r="R45" s="387"/>
      <c r="S45" s="387"/>
      <c r="T45" s="387"/>
      <c r="U45" s="368"/>
    </row>
    <row r="46" spans="1:23">
      <c r="D46" s="368"/>
      <c r="E46" s="392" t="s">
        <v>968</v>
      </c>
      <c r="F46" s="391"/>
      <c r="G46" s="368"/>
      <c r="H46" s="368"/>
      <c r="I46" s="368"/>
      <c r="J46" s="368"/>
      <c r="K46" s="368"/>
      <c r="L46" s="368"/>
      <c r="M46" s="368"/>
      <c r="N46" s="368"/>
      <c r="O46" s="368"/>
      <c r="P46" s="368"/>
      <c r="Q46" s="368"/>
      <c r="R46" s="368"/>
      <c r="S46" s="368"/>
      <c r="T46" s="368"/>
      <c r="U46" s="368"/>
    </row>
    <row r="47" spans="1:23">
      <c r="A47" s="419" t="s">
        <v>1214</v>
      </c>
      <c r="B47" s="419"/>
      <c r="D47" s="368"/>
      <c r="E47" s="401" t="s">
        <v>41</v>
      </c>
      <c r="F47" s="391"/>
      <c r="G47" s="368"/>
      <c r="H47" s="368"/>
      <c r="I47" s="368"/>
      <c r="J47" s="368"/>
      <c r="K47" s="368"/>
      <c r="L47" s="368"/>
      <c r="M47" s="368"/>
      <c r="N47" s="368"/>
      <c r="O47" s="368"/>
      <c r="P47" s="368"/>
      <c r="Q47" s="368"/>
      <c r="R47" s="368"/>
      <c r="S47" s="368"/>
      <c r="T47" s="368"/>
      <c r="U47" s="368"/>
    </row>
    <row r="48" spans="1:23">
      <c r="D48" s="368"/>
      <c r="E48" s="693" t="s">
        <v>954</v>
      </c>
      <c r="F48" s="693"/>
      <c r="G48" s="693"/>
      <c r="H48" s="693"/>
      <c r="I48" s="693"/>
      <c r="J48" s="693"/>
      <c r="K48" s="352"/>
      <c r="M48" s="693" t="s">
        <v>589</v>
      </c>
      <c r="N48" s="693"/>
      <c r="O48" s="693"/>
      <c r="P48" s="693"/>
      <c r="Q48" s="693"/>
      <c r="R48" s="693"/>
      <c r="S48" s="693"/>
      <c r="T48" s="693"/>
      <c r="U48" s="368"/>
    </row>
    <row r="49" spans="4:23" ht="28.5" thickBot="1">
      <c r="D49" s="368"/>
      <c r="E49" s="348"/>
      <c r="F49" s="355" t="s">
        <v>956</v>
      </c>
      <c r="G49" s="355" t="s">
        <v>957</v>
      </c>
      <c r="H49" s="356"/>
      <c r="I49" s="356"/>
      <c r="J49" s="357" t="s">
        <v>958</v>
      </c>
      <c r="K49" s="356"/>
      <c r="L49" s="358"/>
      <c r="M49" s="358"/>
      <c r="N49" s="355" t="s">
        <v>956</v>
      </c>
      <c r="O49" s="355" t="s">
        <v>959</v>
      </c>
      <c r="P49" s="355"/>
      <c r="Q49" s="355"/>
      <c r="R49" s="355"/>
      <c r="S49" s="355" t="s">
        <v>956</v>
      </c>
      <c r="T49" s="355" t="s">
        <v>960</v>
      </c>
      <c r="U49" s="368"/>
    </row>
    <row r="50" spans="4:23">
      <c r="D50" s="368"/>
      <c r="E50" s="360"/>
      <c r="F50" s="361"/>
      <c r="G50" s="362" t="s">
        <v>961</v>
      </c>
      <c r="H50" s="363"/>
      <c r="I50" s="363"/>
      <c r="J50" s="362" t="s">
        <v>961</v>
      </c>
      <c r="K50" s="364"/>
      <c r="L50" s="364"/>
      <c r="M50" s="365"/>
      <c r="N50" s="365"/>
      <c r="O50" s="695"/>
      <c r="P50" s="364"/>
      <c r="Q50" s="364"/>
      <c r="R50" s="365"/>
      <c r="S50" s="365"/>
      <c r="T50" s="393"/>
      <c r="U50" s="368"/>
      <c r="W50" s="394"/>
    </row>
    <row r="51" spans="4:23" ht="67.5" customHeight="1">
      <c r="D51" s="368"/>
      <c r="E51" s="369" t="s">
        <v>115</v>
      </c>
      <c r="F51" s="370">
        <v>16.081</v>
      </c>
      <c r="G51" s="694" t="s">
        <v>1766</v>
      </c>
      <c r="H51" s="372">
        <v>13</v>
      </c>
      <c r="I51" s="372"/>
      <c r="J51" s="694" t="e">
        <v>#REF!</v>
      </c>
      <c r="K51" s="372">
        <v>93</v>
      </c>
      <c r="L51" s="372"/>
      <c r="M51" s="373" t="s">
        <v>115</v>
      </c>
      <c r="N51" s="370">
        <v>0</v>
      </c>
      <c r="O51" s="694"/>
      <c r="P51" s="372"/>
      <c r="Q51" s="372"/>
      <c r="R51" s="373" t="s">
        <v>115</v>
      </c>
      <c r="S51" s="370">
        <v>26</v>
      </c>
      <c r="T51" s="694" t="s">
        <v>1767</v>
      </c>
      <c r="U51" s="368"/>
      <c r="W51" s="394"/>
    </row>
    <row r="52" spans="4:23" ht="42.5">
      <c r="D52" s="368"/>
      <c r="E52" s="369" t="s">
        <v>116</v>
      </c>
      <c r="F52" s="370">
        <v>0.14195798022598871</v>
      </c>
      <c r="G52" s="694"/>
      <c r="H52" s="372">
        <v>12</v>
      </c>
      <c r="I52" s="372"/>
      <c r="J52" s="694"/>
      <c r="K52" s="372">
        <v>4</v>
      </c>
      <c r="L52" s="372"/>
      <c r="M52" s="373" t="s">
        <v>116</v>
      </c>
      <c r="N52" s="370">
        <v>0</v>
      </c>
      <c r="O52" s="694"/>
      <c r="P52" s="372"/>
      <c r="Q52" s="372"/>
      <c r="R52" s="373" t="s">
        <v>116</v>
      </c>
      <c r="S52" s="370">
        <v>2.2951977401129944E-4</v>
      </c>
      <c r="T52" s="694"/>
      <c r="U52" s="368"/>
      <c r="W52" s="394"/>
    </row>
    <row r="53" spans="4:23" ht="41.5">
      <c r="D53" s="368"/>
      <c r="E53" s="369" t="s">
        <v>117</v>
      </c>
      <c r="F53" s="370">
        <v>0.88895055630582198</v>
      </c>
      <c r="G53" s="694"/>
      <c r="H53" s="372"/>
      <c r="I53" s="372"/>
      <c r="J53" s="694"/>
      <c r="K53" s="372">
        <v>24</v>
      </c>
      <c r="L53" s="372"/>
      <c r="M53" s="373" t="s">
        <v>117</v>
      </c>
      <c r="N53" s="370">
        <v>0</v>
      </c>
      <c r="O53" s="694"/>
      <c r="P53" s="372"/>
      <c r="Q53" s="372"/>
      <c r="R53" s="373" t="s">
        <v>117</v>
      </c>
      <c r="S53" s="370">
        <v>1.4372684823052901</v>
      </c>
      <c r="T53" s="694"/>
      <c r="U53" s="368"/>
      <c r="W53" s="394"/>
    </row>
    <row r="54" spans="4:23">
      <c r="D54" s="368"/>
      <c r="E54" s="375"/>
      <c r="F54" s="376"/>
      <c r="G54" s="694"/>
      <c r="H54" s="372"/>
      <c r="I54" s="372"/>
      <c r="J54" s="694"/>
      <c r="K54" s="372">
        <v>7</v>
      </c>
      <c r="L54" s="372"/>
      <c r="M54" s="377"/>
      <c r="N54" s="376"/>
      <c r="O54" s="694"/>
      <c r="P54" s="372"/>
      <c r="Q54" s="372"/>
      <c r="R54" s="377"/>
      <c r="S54" s="376"/>
      <c r="T54" s="694"/>
      <c r="U54" s="368"/>
      <c r="W54" s="394"/>
    </row>
    <row r="55" spans="4:23" ht="87">
      <c r="D55" s="368"/>
      <c r="E55" s="375"/>
      <c r="F55" s="376"/>
      <c r="G55" s="694"/>
      <c r="H55" s="372"/>
      <c r="I55" s="372"/>
      <c r="J55" s="694"/>
      <c r="K55" s="372">
        <v>70</v>
      </c>
      <c r="L55" s="372"/>
      <c r="M55" s="377"/>
      <c r="N55" s="376"/>
      <c r="O55" s="694"/>
      <c r="P55" s="372"/>
      <c r="Q55" s="372"/>
      <c r="R55" s="377"/>
      <c r="S55" s="376"/>
      <c r="T55" s="694"/>
      <c r="U55" s="368"/>
      <c r="W55" s="394" t="s">
        <v>969</v>
      </c>
    </row>
    <row r="56" spans="4:23">
      <c r="D56" s="368"/>
      <c r="E56" s="375"/>
      <c r="F56" s="378"/>
      <c r="G56" s="694"/>
      <c r="H56" s="372"/>
      <c r="I56" s="372"/>
      <c r="J56" s="694"/>
      <c r="K56" s="372">
        <v>12</v>
      </c>
      <c r="L56" s="372"/>
      <c r="M56" s="377"/>
      <c r="N56" s="376"/>
      <c r="O56" s="694"/>
      <c r="P56" s="372"/>
      <c r="Q56" s="372"/>
      <c r="R56" s="377"/>
      <c r="S56" s="376"/>
      <c r="T56" s="694"/>
      <c r="U56" s="368"/>
      <c r="W56" s="394"/>
    </row>
    <row r="57" spans="4:23" ht="99" customHeight="1">
      <c r="D57" s="368"/>
      <c r="E57" s="383"/>
      <c r="F57" s="380"/>
      <c r="G57" s="694"/>
      <c r="H57" s="372"/>
      <c r="I57" s="372"/>
      <c r="J57" s="694"/>
      <c r="K57" s="372"/>
      <c r="L57" s="372"/>
      <c r="M57" s="371"/>
      <c r="N57" s="371"/>
      <c r="O57" s="694"/>
      <c r="P57" s="372"/>
      <c r="Q57" s="372"/>
      <c r="R57" s="371"/>
      <c r="S57" s="371"/>
      <c r="T57" s="694"/>
      <c r="U57" s="368"/>
      <c r="W57" s="394"/>
    </row>
    <row r="58" spans="4:23" ht="12.75" customHeight="1">
      <c r="D58" s="368"/>
      <c r="E58" s="383"/>
      <c r="F58" s="380"/>
      <c r="G58" s="371"/>
      <c r="H58" s="372"/>
      <c r="I58" s="372"/>
      <c r="J58" s="381"/>
      <c r="K58" s="372"/>
      <c r="L58" s="372"/>
      <c r="M58" s="371"/>
      <c r="N58" s="371"/>
      <c r="O58" s="371"/>
      <c r="P58" s="372"/>
      <c r="Q58" s="372"/>
      <c r="R58" s="371"/>
      <c r="S58" s="371"/>
      <c r="T58" s="371"/>
      <c r="U58" s="368"/>
      <c r="W58" s="394"/>
    </row>
    <row r="59" spans="4:23" ht="18" customHeight="1" thickBot="1">
      <c r="D59" s="368"/>
      <c r="E59" s="385"/>
      <c r="F59" s="386"/>
      <c r="G59" s="387"/>
      <c r="H59" s="388"/>
      <c r="I59" s="388"/>
      <c r="J59" s="387"/>
      <c r="K59" s="372"/>
      <c r="L59" s="372"/>
      <c r="M59" s="387"/>
      <c r="N59" s="387"/>
      <c r="O59" s="387"/>
      <c r="P59" s="388"/>
      <c r="Q59" s="388"/>
      <c r="R59" s="387"/>
      <c r="S59" s="387"/>
      <c r="T59" s="387"/>
      <c r="U59" s="368"/>
      <c r="W59" s="394"/>
    </row>
    <row r="60" spans="4:23">
      <c r="D60" s="368"/>
      <c r="E60" s="390"/>
      <c r="F60" s="391"/>
      <c r="G60" s="368"/>
      <c r="H60" s="368"/>
      <c r="I60" s="368"/>
      <c r="J60" s="368"/>
      <c r="K60" s="368"/>
      <c r="L60" s="368"/>
      <c r="M60" s="368"/>
      <c r="N60" s="368"/>
      <c r="O60" s="368"/>
      <c r="P60" s="368"/>
      <c r="Q60" s="368"/>
      <c r="R60" s="368"/>
      <c r="S60" s="368"/>
      <c r="T60" s="368"/>
      <c r="U60" s="368"/>
    </row>
    <row r="61" spans="4:23">
      <c r="D61" s="368"/>
      <c r="E61" s="401" t="s">
        <v>970</v>
      </c>
      <c r="F61" s="391"/>
      <c r="G61" s="368"/>
      <c r="H61" s="368"/>
      <c r="I61" s="368"/>
      <c r="J61" s="368"/>
      <c r="K61" s="368"/>
      <c r="L61" s="368"/>
      <c r="M61" s="368"/>
      <c r="N61" s="368"/>
      <c r="O61" s="368"/>
      <c r="P61" s="368"/>
      <c r="Q61" s="368"/>
      <c r="R61" s="368"/>
      <c r="S61" s="368"/>
      <c r="T61" s="368"/>
      <c r="U61" s="368"/>
    </row>
    <row r="62" spans="4:23">
      <c r="D62" s="368"/>
      <c r="E62" s="693" t="s">
        <v>954</v>
      </c>
      <c r="F62" s="693"/>
      <c r="G62" s="693"/>
      <c r="H62" s="693"/>
      <c r="I62" s="693"/>
      <c r="J62" s="693"/>
      <c r="K62" s="352"/>
      <c r="M62" s="693" t="s">
        <v>589</v>
      </c>
      <c r="N62" s="693"/>
      <c r="O62" s="693"/>
      <c r="P62" s="693"/>
      <c r="Q62" s="693"/>
      <c r="R62" s="693"/>
      <c r="S62" s="693"/>
      <c r="T62" s="693"/>
      <c r="U62" s="368"/>
    </row>
    <row r="63" spans="4:23" ht="28.5" thickBot="1">
      <c r="D63" s="368"/>
      <c r="E63" s="348"/>
      <c r="F63" s="355" t="s">
        <v>956</v>
      </c>
      <c r="G63" s="355" t="s">
        <v>957</v>
      </c>
      <c r="H63" s="356"/>
      <c r="I63" s="356"/>
      <c r="J63" s="357" t="s">
        <v>958</v>
      </c>
      <c r="K63" s="356"/>
      <c r="L63" s="358"/>
      <c r="M63" s="358"/>
      <c r="N63" s="355" t="s">
        <v>956</v>
      </c>
      <c r="O63" s="355" t="s">
        <v>959</v>
      </c>
      <c r="P63" s="355"/>
      <c r="Q63" s="355"/>
      <c r="R63" s="355"/>
      <c r="S63" s="355" t="s">
        <v>956</v>
      </c>
      <c r="T63" s="355" t="s">
        <v>960</v>
      </c>
      <c r="U63" s="368"/>
    </row>
    <row r="64" spans="4:23">
      <c r="D64" s="368"/>
      <c r="E64" s="360"/>
      <c r="F64" s="361"/>
      <c r="G64" s="362" t="s">
        <v>961</v>
      </c>
      <c r="H64" s="363"/>
      <c r="I64" s="363"/>
      <c r="J64" s="362" t="s">
        <v>961</v>
      </c>
      <c r="K64" s="364"/>
      <c r="L64" s="364"/>
      <c r="M64" s="365"/>
      <c r="N64" s="365"/>
      <c r="O64" s="395"/>
      <c r="P64" s="364"/>
      <c r="Q64" s="364"/>
      <c r="R64" s="365"/>
      <c r="S64" s="365"/>
      <c r="T64" s="393"/>
      <c r="U64" s="368"/>
      <c r="W64" s="396"/>
    </row>
    <row r="65" spans="4:23" ht="42">
      <c r="D65" s="368"/>
      <c r="E65" s="369" t="s">
        <v>115</v>
      </c>
      <c r="F65" s="370">
        <v>0.16315000000000002</v>
      </c>
      <c r="G65" s="694" t="s">
        <v>1768</v>
      </c>
      <c r="H65" s="372">
        <v>13</v>
      </c>
      <c r="I65" s="372"/>
      <c r="J65" s="694" t="s">
        <v>1769</v>
      </c>
      <c r="K65" s="372">
        <v>93</v>
      </c>
      <c r="L65" s="372"/>
      <c r="M65" s="373" t="s">
        <v>115</v>
      </c>
      <c r="N65" s="416">
        <v>0.02</v>
      </c>
      <c r="O65" s="397" t="s">
        <v>1193</v>
      </c>
      <c r="P65" s="372"/>
      <c r="Q65" s="372"/>
      <c r="R65" s="373" t="s">
        <v>115</v>
      </c>
      <c r="S65" s="416">
        <v>1.4999999999999999E-2</v>
      </c>
      <c r="T65" s="694" t="s">
        <v>1770</v>
      </c>
      <c r="U65" s="368"/>
      <c r="W65" s="396"/>
    </row>
    <row r="66" spans="4:23" ht="42.5">
      <c r="D66" s="368"/>
      <c r="E66" s="369" t="s">
        <v>116</v>
      </c>
      <c r="F66" s="370">
        <v>0.1770098730606488</v>
      </c>
      <c r="G66" s="694"/>
      <c r="H66" s="372">
        <v>12</v>
      </c>
      <c r="I66" s="372"/>
      <c r="J66" s="694"/>
      <c r="K66" s="372">
        <v>4</v>
      </c>
      <c r="L66" s="372"/>
      <c r="M66" s="373" t="s">
        <v>116</v>
      </c>
      <c r="N66" s="370">
        <v>2.1699034392969514E-2</v>
      </c>
      <c r="O66" s="397"/>
      <c r="P66" s="372"/>
      <c r="Q66" s="372"/>
      <c r="R66" s="373" t="s">
        <v>116</v>
      </c>
      <c r="S66" s="370">
        <v>1.6274275794727136E-2</v>
      </c>
      <c r="T66" s="694"/>
      <c r="U66" s="368"/>
      <c r="W66" s="396"/>
    </row>
    <row r="67" spans="4:23" ht="41.5">
      <c r="D67" s="368"/>
      <c r="E67" s="369" t="s">
        <v>117</v>
      </c>
      <c r="F67" s="370">
        <v>2.1756234164555273</v>
      </c>
      <c r="G67" s="694"/>
      <c r="H67" s="372"/>
      <c r="I67" s="372"/>
      <c r="J67" s="694"/>
      <c r="K67" s="372">
        <v>24</v>
      </c>
      <c r="L67" s="372"/>
      <c r="M67" s="373" t="s">
        <v>117</v>
      </c>
      <c r="N67" s="370">
        <v>0.26670222696359513</v>
      </c>
      <c r="O67" s="397"/>
      <c r="P67" s="372"/>
      <c r="Q67" s="372"/>
      <c r="R67" s="373" t="s">
        <v>117</v>
      </c>
      <c r="S67" s="370">
        <v>0.20002667022269638</v>
      </c>
      <c r="T67" s="694"/>
      <c r="U67" s="368"/>
      <c r="W67" s="396"/>
    </row>
    <row r="68" spans="4:23">
      <c r="D68" s="368"/>
      <c r="E68" s="375"/>
      <c r="F68" s="376"/>
      <c r="G68" s="694"/>
      <c r="H68" s="372"/>
      <c r="I68" s="372"/>
      <c r="J68" s="694"/>
      <c r="K68" s="372">
        <v>7</v>
      </c>
      <c r="L68" s="372"/>
      <c r="M68" s="377"/>
      <c r="N68" s="376"/>
      <c r="O68" s="397"/>
      <c r="P68" s="372"/>
      <c r="Q68" s="372"/>
      <c r="R68" s="377"/>
      <c r="S68" s="376"/>
      <c r="T68" s="694"/>
      <c r="U68" s="368"/>
      <c r="W68" s="396"/>
    </row>
    <row r="69" spans="4:23">
      <c r="D69" s="368"/>
      <c r="E69" s="375"/>
      <c r="F69" s="376"/>
      <c r="G69" s="694"/>
      <c r="H69" s="372"/>
      <c r="I69" s="372"/>
      <c r="J69" s="694"/>
      <c r="K69" s="372">
        <v>70</v>
      </c>
      <c r="L69" s="372"/>
      <c r="M69" s="377"/>
      <c r="N69" s="376"/>
      <c r="O69" s="397"/>
      <c r="P69" s="372"/>
      <c r="Q69" s="372"/>
      <c r="R69" s="377"/>
      <c r="S69" s="376"/>
      <c r="T69" s="694"/>
      <c r="U69" s="368"/>
      <c r="W69" s="396"/>
    </row>
    <row r="70" spans="4:23">
      <c r="D70" s="368"/>
      <c r="E70" s="375"/>
      <c r="F70" s="378"/>
      <c r="G70" s="694"/>
      <c r="H70" s="372"/>
      <c r="I70" s="372"/>
      <c r="J70" s="694"/>
      <c r="K70" s="372">
        <v>12</v>
      </c>
      <c r="L70" s="372"/>
      <c r="M70" s="377"/>
      <c r="N70" s="376"/>
      <c r="O70" s="397"/>
      <c r="P70" s="372"/>
      <c r="Q70" s="372"/>
      <c r="R70" s="377"/>
      <c r="S70" s="376"/>
      <c r="T70" s="694"/>
      <c r="U70" s="368"/>
      <c r="W70" s="396"/>
    </row>
    <row r="71" spans="4:23" ht="82.5" customHeight="1">
      <c r="D71" s="368"/>
      <c r="E71" s="383"/>
      <c r="F71" s="380"/>
      <c r="G71" s="694"/>
      <c r="H71" s="372"/>
      <c r="I71" s="372"/>
      <c r="J71" s="694"/>
      <c r="K71" s="372"/>
      <c r="L71" s="372"/>
      <c r="M71" s="371"/>
      <c r="N71" s="371"/>
      <c r="O71" s="397"/>
      <c r="P71" s="372"/>
      <c r="Q71" s="372"/>
      <c r="R71" s="371"/>
      <c r="S71" s="371"/>
      <c r="T71" s="694"/>
      <c r="U71" s="368"/>
      <c r="W71" s="396"/>
    </row>
    <row r="72" spans="4:23">
      <c r="D72" s="368"/>
      <c r="E72" s="383"/>
      <c r="F72" s="380"/>
      <c r="G72" s="371"/>
      <c r="H72" s="372"/>
      <c r="I72" s="372"/>
      <c r="J72" s="381" t="s">
        <v>971</v>
      </c>
      <c r="K72" s="372"/>
      <c r="L72" s="372"/>
      <c r="M72" s="371"/>
      <c r="N72" s="371"/>
      <c r="O72" s="371"/>
      <c r="P72" s="372"/>
      <c r="Q72" s="372"/>
      <c r="R72" s="371"/>
      <c r="S72" s="371"/>
      <c r="T72" s="371"/>
      <c r="U72" s="368"/>
      <c r="W72" s="396"/>
    </row>
    <row r="73" spans="4:23" ht="42.5" thickBot="1">
      <c r="D73" s="368"/>
      <c r="E73" s="385"/>
      <c r="F73" s="386"/>
      <c r="G73" s="387"/>
      <c r="H73" s="388"/>
      <c r="I73" s="388"/>
      <c r="J73" s="387" t="s">
        <v>1771</v>
      </c>
      <c r="K73" s="372"/>
      <c r="L73" s="372"/>
      <c r="M73" s="387"/>
      <c r="N73" s="387"/>
      <c r="O73" s="387"/>
      <c r="P73" s="388"/>
      <c r="Q73" s="388"/>
      <c r="R73" s="387"/>
      <c r="S73" s="387"/>
      <c r="T73" s="387"/>
      <c r="U73" s="368"/>
      <c r="W73" s="396"/>
    </row>
    <row r="74" spans="4:23">
      <c r="D74" s="368"/>
      <c r="E74" s="390"/>
      <c r="F74" s="391"/>
      <c r="G74" s="368"/>
      <c r="H74" s="368"/>
      <c r="I74" s="368"/>
      <c r="J74" s="368"/>
      <c r="K74" s="368"/>
      <c r="L74" s="368"/>
      <c r="M74" s="368"/>
      <c r="N74" s="368"/>
      <c r="O74" s="368"/>
      <c r="P74" s="368"/>
      <c r="Q74" s="368"/>
      <c r="R74" s="368"/>
      <c r="S74" s="368"/>
      <c r="T74" s="368"/>
      <c r="U74" s="368"/>
    </row>
    <row r="75" spans="4:23">
      <c r="D75" s="368"/>
      <c r="E75" s="390"/>
      <c r="F75" s="391"/>
      <c r="G75" s="368"/>
      <c r="H75" s="368"/>
      <c r="I75" s="368"/>
      <c r="J75" s="368"/>
      <c r="K75" s="368"/>
      <c r="L75" s="368"/>
      <c r="M75" s="368"/>
      <c r="N75" s="368"/>
      <c r="O75" s="368"/>
      <c r="P75" s="368"/>
      <c r="Q75" s="368"/>
      <c r="R75" s="368"/>
      <c r="S75" s="368"/>
      <c r="T75" s="368"/>
      <c r="U75" s="368"/>
    </row>
    <row r="76" spans="4:23">
      <c r="D76" s="368"/>
      <c r="E76" s="390"/>
      <c r="F76" s="391"/>
      <c r="G76" s="368"/>
      <c r="H76" s="368"/>
      <c r="I76" s="368"/>
      <c r="J76" s="368"/>
      <c r="K76" s="368"/>
      <c r="L76" s="368"/>
      <c r="M76" s="368"/>
      <c r="N76" s="368"/>
      <c r="O76" s="368"/>
      <c r="P76" s="368"/>
      <c r="Q76" s="368"/>
      <c r="R76" s="368"/>
      <c r="S76" s="368"/>
      <c r="T76" s="368"/>
      <c r="U76" s="368"/>
    </row>
    <row r="77" spans="4:23">
      <c r="D77" s="368"/>
      <c r="E77" s="390"/>
      <c r="F77" s="391"/>
      <c r="G77" s="368"/>
      <c r="H77" s="368"/>
      <c r="I77" s="368"/>
      <c r="J77" s="368"/>
      <c r="K77" s="368"/>
      <c r="L77" s="368"/>
      <c r="M77" s="368"/>
      <c r="N77" s="368"/>
      <c r="O77" s="368"/>
      <c r="P77" s="368"/>
      <c r="Q77" s="368"/>
      <c r="R77" s="368"/>
      <c r="S77" s="368"/>
      <c r="T77" s="368"/>
      <c r="U77" s="368"/>
    </row>
    <row r="78" spans="4:23">
      <c r="D78" s="368"/>
      <c r="E78" s="390"/>
      <c r="F78" s="391"/>
      <c r="G78" s="368"/>
      <c r="H78" s="368"/>
      <c r="I78" s="368"/>
      <c r="J78" s="368"/>
      <c r="K78" s="368"/>
      <c r="L78" s="368"/>
      <c r="M78" s="368"/>
      <c r="N78" s="368"/>
      <c r="O78" s="368"/>
      <c r="P78" s="368"/>
      <c r="Q78" s="368"/>
      <c r="R78" s="368"/>
      <c r="S78" s="368"/>
      <c r="T78" s="368"/>
      <c r="U78" s="368"/>
    </row>
    <row r="79" spans="4:23">
      <c r="D79" s="368"/>
      <c r="E79" s="390"/>
      <c r="F79" s="391"/>
      <c r="G79" s="368"/>
      <c r="H79" s="368"/>
      <c r="I79" s="368"/>
      <c r="J79" s="368"/>
      <c r="K79" s="368"/>
      <c r="L79" s="368"/>
      <c r="M79" s="368"/>
      <c r="N79" s="368"/>
      <c r="O79" s="368"/>
      <c r="P79" s="368"/>
      <c r="Q79" s="368"/>
      <c r="R79" s="368"/>
      <c r="S79" s="368"/>
      <c r="T79" s="368"/>
      <c r="U79" s="368"/>
    </row>
    <row r="80" spans="4:23">
      <c r="D80" s="368"/>
      <c r="E80" s="390"/>
      <c r="F80" s="391"/>
      <c r="G80" s="368"/>
      <c r="H80" s="368"/>
      <c r="I80" s="368"/>
      <c r="J80" s="368"/>
      <c r="K80" s="368"/>
      <c r="L80" s="368"/>
      <c r="M80" s="368"/>
      <c r="N80" s="368"/>
      <c r="O80" s="368"/>
      <c r="P80" s="368"/>
      <c r="Q80" s="368"/>
      <c r="R80" s="368"/>
      <c r="S80" s="368"/>
      <c r="T80" s="368"/>
      <c r="U80" s="368"/>
    </row>
    <row r="81" spans="4:21">
      <c r="D81" s="368"/>
      <c r="E81" s="390"/>
      <c r="F81" s="391"/>
      <c r="G81" s="368"/>
      <c r="H81" s="368"/>
      <c r="I81" s="368"/>
      <c r="J81" s="368"/>
      <c r="K81" s="368"/>
      <c r="L81" s="368"/>
      <c r="M81" s="368"/>
      <c r="N81" s="368"/>
      <c r="O81" s="368"/>
      <c r="P81" s="368"/>
      <c r="Q81" s="368"/>
      <c r="R81" s="368"/>
      <c r="S81" s="368"/>
      <c r="T81" s="368"/>
      <c r="U81" s="368"/>
    </row>
    <row r="82" spans="4:21">
      <c r="D82" s="368"/>
      <c r="E82" s="390"/>
      <c r="F82" s="391"/>
      <c r="G82" s="368"/>
      <c r="H82" s="368"/>
      <c r="I82" s="368"/>
      <c r="J82" s="368"/>
      <c r="K82" s="368"/>
      <c r="L82" s="368"/>
      <c r="M82" s="368"/>
      <c r="N82" s="368"/>
      <c r="O82" s="368"/>
      <c r="P82" s="368"/>
      <c r="Q82" s="368"/>
      <c r="R82" s="368"/>
      <c r="S82" s="368"/>
      <c r="T82" s="368"/>
      <c r="U82" s="368"/>
    </row>
    <row r="83" spans="4:21">
      <c r="D83" s="368"/>
      <c r="E83" s="390"/>
      <c r="F83" s="391"/>
      <c r="G83" s="368"/>
      <c r="H83" s="368"/>
      <c r="I83" s="368"/>
      <c r="J83" s="368"/>
      <c r="K83" s="368"/>
      <c r="L83" s="368"/>
      <c r="M83" s="368"/>
      <c r="N83" s="368"/>
      <c r="O83" s="368"/>
      <c r="P83" s="368"/>
      <c r="Q83" s="368"/>
      <c r="R83" s="368"/>
      <c r="S83" s="368"/>
      <c r="T83" s="368"/>
      <c r="U83" s="368"/>
    </row>
    <row r="84" spans="4:21">
      <c r="D84" s="368"/>
      <c r="E84" s="390"/>
      <c r="F84" s="391"/>
      <c r="G84" s="368"/>
      <c r="H84" s="368"/>
      <c r="I84" s="368"/>
      <c r="J84" s="368"/>
      <c r="K84" s="368"/>
      <c r="L84" s="368"/>
      <c r="M84" s="368"/>
      <c r="N84" s="368"/>
      <c r="O84" s="368"/>
      <c r="P84" s="368"/>
      <c r="Q84" s="368"/>
      <c r="R84" s="368"/>
      <c r="S84" s="368"/>
      <c r="T84" s="368"/>
      <c r="U84" s="368"/>
    </row>
    <row r="85" spans="4:21">
      <c r="D85" s="368"/>
      <c r="E85" s="390"/>
      <c r="F85" s="391"/>
      <c r="G85" s="368"/>
      <c r="H85" s="368"/>
      <c r="I85" s="368"/>
      <c r="J85" s="368"/>
      <c r="K85" s="368"/>
      <c r="L85" s="368"/>
      <c r="M85" s="368"/>
      <c r="N85" s="368"/>
      <c r="O85" s="368"/>
      <c r="P85" s="368"/>
      <c r="Q85" s="368"/>
      <c r="R85" s="368"/>
      <c r="S85" s="368"/>
      <c r="T85" s="368"/>
      <c r="U85" s="368"/>
    </row>
    <row r="86" spans="4:21">
      <c r="D86" s="368"/>
      <c r="E86" s="390"/>
      <c r="F86" s="391"/>
      <c r="G86" s="368"/>
      <c r="H86" s="368"/>
      <c r="I86" s="368"/>
      <c r="J86" s="368"/>
      <c r="K86" s="368"/>
      <c r="L86" s="368"/>
      <c r="M86" s="368"/>
      <c r="N86" s="368"/>
      <c r="O86" s="368"/>
      <c r="P86" s="368"/>
      <c r="Q86" s="368"/>
      <c r="R86" s="368"/>
      <c r="S86" s="368"/>
      <c r="T86" s="368"/>
      <c r="U86" s="368"/>
    </row>
    <row r="87" spans="4:21">
      <c r="D87" s="368"/>
      <c r="E87" s="390"/>
      <c r="F87" s="391"/>
      <c r="G87" s="368"/>
      <c r="H87" s="368"/>
      <c r="I87" s="368"/>
      <c r="J87" s="368"/>
      <c r="K87" s="368"/>
      <c r="L87" s="368"/>
      <c r="M87" s="368"/>
      <c r="N87" s="368"/>
      <c r="O87" s="368"/>
      <c r="P87" s="368"/>
      <c r="Q87" s="368"/>
      <c r="R87" s="368"/>
      <c r="S87" s="368"/>
      <c r="T87" s="368"/>
      <c r="U87" s="368"/>
    </row>
    <row r="88" spans="4:21">
      <c r="D88" s="368"/>
      <c r="E88" s="390"/>
      <c r="F88" s="391"/>
      <c r="G88" s="368"/>
      <c r="H88" s="368"/>
      <c r="I88" s="368"/>
      <c r="J88" s="368"/>
      <c r="K88" s="368"/>
      <c r="L88" s="368"/>
      <c r="M88" s="368"/>
      <c r="N88" s="368"/>
      <c r="O88" s="368"/>
      <c r="P88" s="368"/>
      <c r="Q88" s="368"/>
      <c r="R88" s="368"/>
      <c r="S88" s="368"/>
      <c r="T88" s="368"/>
      <c r="U88" s="368"/>
    </row>
    <row r="89" spans="4:21">
      <c r="D89" s="368"/>
      <c r="E89" s="390"/>
      <c r="F89" s="391"/>
      <c r="G89" s="368"/>
      <c r="H89" s="368"/>
      <c r="I89" s="368"/>
      <c r="J89" s="368"/>
      <c r="K89" s="368"/>
      <c r="L89" s="368"/>
      <c r="M89" s="368"/>
      <c r="N89" s="368"/>
      <c r="O89" s="368"/>
      <c r="P89" s="368"/>
      <c r="Q89" s="368"/>
      <c r="R89" s="368"/>
      <c r="S89" s="368"/>
      <c r="T89" s="368"/>
      <c r="U89" s="368"/>
    </row>
    <row r="90" spans="4:21">
      <c r="D90" s="368"/>
      <c r="E90" s="390"/>
      <c r="F90" s="391"/>
      <c r="G90" s="368"/>
      <c r="H90" s="368"/>
      <c r="I90" s="368"/>
      <c r="J90" s="368"/>
      <c r="K90" s="368"/>
      <c r="L90" s="368"/>
      <c r="M90" s="368"/>
      <c r="N90" s="368"/>
      <c r="O90" s="368"/>
      <c r="P90" s="368"/>
      <c r="Q90" s="368"/>
      <c r="R90" s="368"/>
      <c r="S90" s="368"/>
      <c r="T90" s="368"/>
      <c r="U90" s="368"/>
    </row>
    <row r="91" spans="4:21">
      <c r="D91" s="368"/>
      <c r="E91" s="390"/>
      <c r="F91" s="391"/>
      <c r="G91" s="368"/>
      <c r="H91" s="368"/>
      <c r="I91" s="368"/>
      <c r="J91" s="368"/>
      <c r="K91" s="368"/>
      <c r="L91" s="368"/>
      <c r="M91" s="368"/>
      <c r="N91" s="368"/>
      <c r="O91" s="368"/>
      <c r="P91" s="368"/>
      <c r="Q91" s="368"/>
      <c r="R91" s="368"/>
      <c r="S91" s="368"/>
      <c r="T91" s="368"/>
      <c r="U91" s="368"/>
    </row>
    <row r="92" spans="4:21">
      <c r="D92" s="368"/>
      <c r="E92" s="390"/>
      <c r="F92" s="391"/>
      <c r="G92" s="368"/>
      <c r="H92" s="368"/>
      <c r="I92" s="368"/>
      <c r="J92" s="368"/>
      <c r="K92" s="368"/>
      <c r="L92" s="368"/>
      <c r="M92" s="368"/>
      <c r="N92" s="368"/>
      <c r="O92" s="368"/>
      <c r="P92" s="368"/>
      <c r="Q92" s="368"/>
      <c r="R92" s="368"/>
      <c r="S92" s="368"/>
      <c r="T92" s="368"/>
      <c r="U92" s="368"/>
    </row>
    <row r="93" spans="4:21">
      <c r="D93" s="368"/>
      <c r="E93" s="390"/>
      <c r="F93" s="391"/>
      <c r="G93" s="368"/>
      <c r="H93" s="368"/>
      <c r="I93" s="368"/>
      <c r="J93" s="368"/>
      <c r="K93" s="368"/>
      <c r="L93" s="368"/>
      <c r="M93" s="368"/>
      <c r="N93" s="368"/>
      <c r="O93" s="368"/>
      <c r="P93" s="368"/>
      <c r="Q93" s="368"/>
      <c r="R93" s="368"/>
      <c r="S93" s="368"/>
      <c r="T93" s="368"/>
      <c r="U93" s="368"/>
    </row>
    <row r="94" spans="4:21">
      <c r="D94" s="368"/>
      <c r="E94" s="390"/>
      <c r="F94" s="391"/>
      <c r="G94" s="368"/>
      <c r="H94" s="368"/>
      <c r="I94" s="368"/>
      <c r="J94" s="368"/>
      <c r="K94" s="368"/>
      <c r="L94" s="368"/>
      <c r="M94" s="368"/>
      <c r="N94" s="368"/>
      <c r="O94" s="368"/>
      <c r="P94" s="368"/>
      <c r="Q94" s="368"/>
      <c r="R94" s="368"/>
      <c r="S94" s="368"/>
      <c r="T94" s="368"/>
      <c r="U94" s="368"/>
    </row>
    <row r="95" spans="4:21">
      <c r="D95" s="368"/>
      <c r="E95" s="390"/>
      <c r="F95" s="391"/>
      <c r="G95" s="368"/>
      <c r="H95" s="368"/>
      <c r="I95" s="368"/>
      <c r="J95" s="368"/>
      <c r="K95" s="368"/>
      <c r="L95" s="368"/>
      <c r="M95" s="368"/>
      <c r="N95" s="368"/>
      <c r="O95" s="368"/>
      <c r="P95" s="368"/>
      <c r="Q95" s="368"/>
      <c r="R95" s="368"/>
      <c r="S95" s="368"/>
      <c r="T95" s="368"/>
      <c r="U95" s="368"/>
    </row>
    <row r="96" spans="4:21">
      <c r="D96" s="368"/>
      <c r="E96" s="390"/>
      <c r="F96" s="391"/>
      <c r="G96" s="368"/>
      <c r="H96" s="368"/>
      <c r="I96" s="368"/>
      <c r="J96" s="368"/>
      <c r="K96" s="368"/>
      <c r="L96" s="368"/>
      <c r="M96" s="368"/>
      <c r="N96" s="368"/>
      <c r="O96" s="368"/>
      <c r="P96" s="368"/>
      <c r="Q96" s="368"/>
      <c r="R96" s="368"/>
      <c r="S96" s="368"/>
      <c r="T96" s="368"/>
      <c r="U96" s="368"/>
    </row>
    <row r="97" spans="4:21">
      <c r="D97" s="368"/>
      <c r="E97" s="390"/>
      <c r="F97" s="391"/>
      <c r="G97" s="368"/>
      <c r="H97" s="368"/>
      <c r="I97" s="368"/>
      <c r="J97" s="368"/>
      <c r="K97" s="368"/>
      <c r="L97" s="368"/>
      <c r="M97" s="368"/>
      <c r="N97" s="368"/>
      <c r="O97" s="368"/>
      <c r="P97" s="368"/>
      <c r="Q97" s="368"/>
      <c r="R97" s="368"/>
      <c r="S97" s="368"/>
      <c r="T97" s="368"/>
      <c r="U97" s="368"/>
    </row>
    <row r="98" spans="4:21">
      <c r="D98" s="368"/>
      <c r="E98" s="390"/>
      <c r="F98" s="391"/>
      <c r="G98" s="368"/>
      <c r="H98" s="368"/>
      <c r="I98" s="368"/>
      <c r="J98" s="368"/>
      <c r="K98" s="368"/>
      <c r="L98" s="368"/>
      <c r="M98" s="368"/>
      <c r="N98" s="368"/>
      <c r="O98" s="368"/>
      <c r="P98" s="368"/>
      <c r="Q98" s="368"/>
      <c r="R98" s="368"/>
      <c r="S98" s="368"/>
      <c r="T98" s="368"/>
      <c r="U98" s="368"/>
    </row>
    <row r="99" spans="4:21">
      <c r="D99" s="368"/>
      <c r="E99" s="390"/>
      <c r="F99" s="391"/>
      <c r="G99" s="368"/>
      <c r="H99" s="368"/>
      <c r="I99" s="368"/>
      <c r="J99" s="368"/>
      <c r="K99" s="368"/>
      <c r="L99" s="368"/>
      <c r="M99" s="368"/>
      <c r="N99" s="368"/>
      <c r="O99" s="368"/>
      <c r="P99" s="368"/>
      <c r="Q99" s="368"/>
      <c r="R99" s="368"/>
      <c r="S99" s="368"/>
      <c r="T99" s="368"/>
      <c r="U99" s="368"/>
    </row>
    <row r="100" spans="4:21">
      <c r="D100" s="368"/>
      <c r="E100" s="390"/>
      <c r="F100" s="391"/>
      <c r="G100" s="368"/>
      <c r="H100" s="368"/>
      <c r="I100" s="368"/>
      <c r="J100" s="368"/>
      <c r="K100" s="368"/>
      <c r="L100" s="368"/>
      <c r="M100" s="368"/>
      <c r="N100" s="368"/>
      <c r="O100" s="368"/>
      <c r="P100" s="368"/>
      <c r="Q100" s="368"/>
      <c r="R100" s="368"/>
      <c r="S100" s="368"/>
      <c r="T100" s="368"/>
      <c r="U100" s="368"/>
    </row>
    <row r="101" spans="4:21">
      <c r="D101" s="368"/>
      <c r="E101" s="390"/>
      <c r="F101" s="391"/>
      <c r="G101" s="368"/>
      <c r="H101" s="368"/>
      <c r="I101" s="368"/>
      <c r="J101" s="368"/>
      <c r="K101" s="368"/>
      <c r="L101" s="368"/>
      <c r="M101" s="368"/>
      <c r="N101" s="368"/>
      <c r="O101" s="368"/>
      <c r="P101" s="368"/>
      <c r="Q101" s="368"/>
      <c r="R101" s="368"/>
      <c r="S101" s="368"/>
      <c r="T101" s="368"/>
      <c r="U101" s="368"/>
    </row>
    <row r="102" spans="4:21">
      <c r="D102" s="368"/>
      <c r="E102" s="390"/>
      <c r="F102" s="391"/>
      <c r="G102" s="368"/>
      <c r="H102" s="368"/>
      <c r="I102" s="368"/>
      <c r="J102" s="368"/>
      <c r="K102" s="368"/>
      <c r="L102" s="368"/>
      <c r="M102" s="368"/>
      <c r="N102" s="368"/>
      <c r="O102" s="368"/>
      <c r="P102" s="368"/>
      <c r="Q102" s="368"/>
      <c r="R102" s="368"/>
      <c r="S102" s="368"/>
      <c r="T102" s="368"/>
      <c r="U102" s="368"/>
    </row>
    <row r="103" spans="4:21">
      <c r="D103" s="368"/>
      <c r="E103" s="390"/>
      <c r="F103" s="391"/>
      <c r="G103" s="368"/>
      <c r="H103" s="368"/>
      <c r="I103" s="368"/>
      <c r="J103" s="368"/>
      <c r="K103" s="368"/>
      <c r="L103" s="368"/>
      <c r="M103" s="368"/>
      <c r="N103" s="368"/>
      <c r="O103" s="368"/>
      <c r="P103" s="368"/>
      <c r="Q103" s="368"/>
      <c r="R103" s="368"/>
      <c r="S103" s="368"/>
      <c r="T103" s="368"/>
      <c r="U103" s="368"/>
    </row>
    <row r="104" spans="4:21">
      <c r="D104" s="368"/>
      <c r="E104" s="390"/>
      <c r="F104" s="391"/>
      <c r="G104" s="368"/>
      <c r="H104" s="368"/>
      <c r="I104" s="368"/>
      <c r="J104" s="368"/>
      <c r="K104" s="368"/>
      <c r="L104" s="368"/>
      <c r="M104" s="368"/>
      <c r="N104" s="368"/>
      <c r="O104" s="368"/>
      <c r="P104" s="368"/>
      <c r="Q104" s="368"/>
      <c r="R104" s="368"/>
      <c r="S104" s="368"/>
      <c r="T104" s="368"/>
      <c r="U104" s="368"/>
    </row>
    <row r="105" spans="4:21">
      <c r="D105" s="368"/>
      <c r="E105" s="390"/>
      <c r="F105" s="391"/>
      <c r="G105" s="368"/>
      <c r="H105" s="368"/>
      <c r="I105" s="368"/>
      <c r="J105" s="368"/>
      <c r="K105" s="368"/>
      <c r="L105" s="368"/>
      <c r="M105" s="368"/>
      <c r="N105" s="368"/>
      <c r="O105" s="368"/>
      <c r="P105" s="368"/>
      <c r="Q105" s="368"/>
      <c r="R105" s="368"/>
      <c r="S105" s="368"/>
      <c r="T105" s="368"/>
      <c r="U105" s="368"/>
    </row>
    <row r="106" spans="4:21">
      <c r="D106" s="368"/>
      <c r="E106" s="390"/>
      <c r="F106" s="391"/>
      <c r="G106" s="368"/>
      <c r="H106" s="368"/>
      <c r="I106" s="368"/>
      <c r="J106" s="368"/>
      <c r="K106" s="368"/>
      <c r="L106" s="368"/>
      <c r="M106" s="368"/>
      <c r="N106" s="368"/>
      <c r="O106" s="368"/>
      <c r="P106" s="368"/>
      <c r="Q106" s="368"/>
      <c r="R106" s="368"/>
      <c r="S106" s="368"/>
      <c r="T106" s="368"/>
      <c r="U106" s="368"/>
    </row>
    <row r="107" spans="4:21">
      <c r="D107" s="368"/>
      <c r="E107" s="390"/>
      <c r="F107" s="391"/>
      <c r="G107" s="368"/>
      <c r="H107" s="368"/>
      <c r="I107" s="368"/>
      <c r="J107" s="368"/>
      <c r="K107" s="368"/>
      <c r="L107" s="368"/>
      <c r="M107" s="368"/>
      <c r="N107" s="368"/>
      <c r="O107" s="368"/>
      <c r="P107" s="368"/>
      <c r="Q107" s="368"/>
      <c r="R107" s="368"/>
      <c r="S107" s="368"/>
      <c r="T107" s="368"/>
      <c r="U107" s="368"/>
    </row>
    <row r="108" spans="4:21">
      <c r="D108" s="368"/>
      <c r="E108" s="390"/>
      <c r="F108" s="391"/>
      <c r="G108" s="368"/>
      <c r="H108" s="368"/>
      <c r="I108" s="368"/>
      <c r="J108" s="368"/>
      <c r="K108" s="368"/>
      <c r="L108" s="368"/>
      <c r="M108" s="368"/>
      <c r="N108" s="368"/>
      <c r="O108" s="368"/>
      <c r="P108" s="368"/>
      <c r="Q108" s="368"/>
      <c r="R108" s="368"/>
      <c r="S108" s="368"/>
      <c r="T108" s="368"/>
      <c r="U108" s="368"/>
    </row>
    <row r="109" spans="4:21">
      <c r="D109" s="368"/>
      <c r="E109" s="390"/>
      <c r="F109" s="391"/>
      <c r="G109" s="368"/>
      <c r="H109" s="368"/>
      <c r="I109" s="368"/>
      <c r="J109" s="368"/>
      <c r="K109" s="368"/>
      <c r="L109" s="368"/>
      <c r="M109" s="368"/>
      <c r="N109" s="368"/>
      <c r="O109" s="368"/>
      <c r="P109" s="368"/>
      <c r="Q109" s="368"/>
      <c r="R109" s="368"/>
      <c r="S109" s="368"/>
      <c r="T109" s="368"/>
      <c r="U109" s="368"/>
    </row>
    <row r="110" spans="4:21">
      <c r="D110" s="368"/>
      <c r="E110" s="390"/>
      <c r="F110" s="391"/>
      <c r="G110" s="368"/>
      <c r="H110" s="368"/>
      <c r="I110" s="368"/>
      <c r="J110" s="368"/>
      <c r="K110" s="368"/>
      <c r="L110" s="368"/>
      <c r="M110" s="368"/>
      <c r="N110" s="368"/>
      <c r="O110" s="368"/>
      <c r="P110" s="368"/>
      <c r="Q110" s="368"/>
      <c r="R110" s="368"/>
      <c r="S110" s="368"/>
      <c r="T110" s="368"/>
      <c r="U110" s="368"/>
    </row>
    <row r="111" spans="4:21">
      <c r="D111" s="368"/>
      <c r="E111" s="390"/>
      <c r="F111" s="391"/>
      <c r="G111" s="368"/>
      <c r="H111" s="368"/>
      <c r="I111" s="368"/>
      <c r="J111" s="368"/>
      <c r="K111" s="368"/>
      <c r="L111" s="368"/>
      <c r="M111" s="368"/>
      <c r="N111" s="368"/>
      <c r="O111" s="368"/>
      <c r="P111" s="368"/>
      <c r="Q111" s="368"/>
      <c r="R111" s="368"/>
      <c r="S111" s="368"/>
      <c r="T111" s="368"/>
      <c r="U111" s="368"/>
    </row>
    <row r="112" spans="4:21">
      <c r="D112" s="368"/>
      <c r="E112" s="390"/>
      <c r="F112" s="391"/>
      <c r="G112" s="368"/>
      <c r="H112" s="368"/>
      <c r="I112" s="368"/>
      <c r="J112" s="368"/>
      <c r="K112" s="368"/>
      <c r="L112" s="368"/>
      <c r="M112" s="368"/>
      <c r="N112" s="368"/>
      <c r="O112" s="368"/>
      <c r="P112" s="368"/>
      <c r="Q112" s="368"/>
      <c r="R112" s="368"/>
      <c r="S112" s="368"/>
      <c r="T112" s="368"/>
      <c r="U112" s="368"/>
    </row>
    <row r="113" spans="4:21">
      <c r="D113" s="368"/>
      <c r="E113" s="390"/>
      <c r="F113" s="391"/>
      <c r="G113" s="368"/>
      <c r="H113" s="368"/>
      <c r="I113" s="368"/>
      <c r="J113" s="368"/>
      <c r="K113" s="368"/>
      <c r="L113" s="368"/>
      <c r="M113" s="368"/>
      <c r="N113" s="368"/>
      <c r="O113" s="368"/>
      <c r="P113" s="368"/>
      <c r="Q113" s="368"/>
      <c r="R113" s="368"/>
      <c r="S113" s="368"/>
      <c r="T113" s="368"/>
      <c r="U113" s="368"/>
    </row>
    <row r="114" spans="4:21">
      <c r="D114" s="368"/>
      <c r="E114" s="390"/>
      <c r="F114" s="391"/>
      <c r="G114" s="368"/>
      <c r="H114" s="368"/>
      <c r="I114" s="368"/>
      <c r="J114" s="368"/>
      <c r="K114" s="368"/>
      <c r="L114" s="368"/>
      <c r="M114" s="368"/>
      <c r="N114" s="368"/>
      <c r="O114" s="368"/>
      <c r="P114" s="368"/>
      <c r="Q114" s="368"/>
      <c r="R114" s="368"/>
      <c r="S114" s="368"/>
      <c r="T114" s="368"/>
      <c r="U114" s="368"/>
    </row>
    <row r="115" spans="4:21">
      <c r="D115" s="368"/>
      <c r="E115" s="390"/>
      <c r="F115" s="391"/>
      <c r="G115" s="368"/>
      <c r="H115" s="368"/>
      <c r="I115" s="368"/>
      <c r="J115" s="368"/>
      <c r="K115" s="368"/>
      <c r="L115" s="368"/>
      <c r="M115" s="368"/>
      <c r="N115" s="368"/>
      <c r="O115" s="368"/>
      <c r="P115" s="368"/>
      <c r="Q115" s="368"/>
      <c r="R115" s="368"/>
      <c r="S115" s="368"/>
      <c r="T115" s="368"/>
      <c r="U115" s="368"/>
    </row>
    <row r="116" spans="4:21">
      <c r="D116" s="368"/>
      <c r="E116" s="390"/>
      <c r="F116" s="391"/>
      <c r="G116" s="368"/>
      <c r="H116" s="368"/>
      <c r="I116" s="368"/>
      <c r="J116" s="368"/>
      <c r="K116" s="368"/>
      <c r="L116" s="368"/>
      <c r="M116" s="368"/>
      <c r="N116" s="368"/>
      <c r="O116" s="368"/>
      <c r="P116" s="368"/>
      <c r="Q116" s="368"/>
      <c r="R116" s="368"/>
      <c r="S116" s="368"/>
      <c r="T116" s="368"/>
      <c r="U116" s="368"/>
    </row>
    <row r="117" spans="4:21">
      <c r="D117" s="368"/>
      <c r="E117" s="390"/>
      <c r="F117" s="391"/>
      <c r="G117" s="368"/>
      <c r="H117" s="368"/>
      <c r="I117" s="368"/>
      <c r="J117" s="368"/>
      <c r="K117" s="368"/>
      <c r="L117" s="368"/>
      <c r="M117" s="368"/>
      <c r="N117" s="368"/>
      <c r="O117" s="368"/>
      <c r="P117" s="368"/>
      <c r="Q117" s="368"/>
      <c r="R117" s="368"/>
      <c r="S117" s="368"/>
      <c r="T117" s="368"/>
      <c r="U117" s="368"/>
    </row>
    <row r="118" spans="4:21">
      <c r="D118" s="368"/>
      <c r="E118" s="390"/>
      <c r="F118" s="391"/>
      <c r="G118" s="368"/>
      <c r="H118" s="368"/>
      <c r="I118" s="368"/>
      <c r="J118" s="368"/>
      <c r="K118" s="368"/>
      <c r="L118" s="368"/>
      <c r="M118" s="368"/>
      <c r="N118" s="368"/>
      <c r="O118" s="368"/>
      <c r="P118" s="368"/>
      <c r="Q118" s="368"/>
      <c r="R118" s="368"/>
      <c r="S118" s="368"/>
      <c r="T118" s="368"/>
      <c r="U118" s="368"/>
    </row>
    <row r="119" spans="4:21">
      <c r="D119" s="368"/>
      <c r="E119" s="390"/>
      <c r="F119" s="391"/>
      <c r="G119" s="368"/>
      <c r="H119" s="368"/>
      <c r="I119" s="368"/>
      <c r="J119" s="368"/>
      <c r="K119" s="368"/>
      <c r="L119" s="368"/>
      <c r="M119" s="368"/>
      <c r="N119" s="368"/>
      <c r="O119" s="368"/>
      <c r="P119" s="368"/>
      <c r="Q119" s="368"/>
      <c r="R119" s="368"/>
      <c r="S119" s="368"/>
      <c r="T119" s="368"/>
      <c r="U119" s="368"/>
    </row>
    <row r="120" spans="4:21">
      <c r="D120" s="368"/>
      <c r="E120" s="390"/>
      <c r="F120" s="391"/>
      <c r="G120" s="368"/>
      <c r="H120" s="368"/>
      <c r="I120" s="368"/>
      <c r="J120" s="368"/>
      <c r="K120" s="368"/>
      <c r="L120" s="368"/>
      <c r="M120" s="368"/>
      <c r="N120" s="368"/>
      <c r="O120" s="368"/>
      <c r="P120" s="368"/>
      <c r="Q120" s="368"/>
      <c r="R120" s="368"/>
      <c r="S120" s="368"/>
      <c r="T120" s="368"/>
      <c r="U120" s="368"/>
    </row>
    <row r="121" spans="4:21">
      <c r="D121" s="368"/>
      <c r="E121" s="390"/>
      <c r="F121" s="391"/>
      <c r="G121" s="368"/>
      <c r="H121" s="368"/>
      <c r="I121" s="368"/>
      <c r="J121" s="368"/>
      <c r="K121" s="368"/>
      <c r="L121" s="368"/>
      <c r="M121" s="368"/>
      <c r="N121" s="368"/>
      <c r="O121" s="368"/>
      <c r="P121" s="368"/>
      <c r="Q121" s="368"/>
      <c r="R121" s="368"/>
      <c r="S121" s="368"/>
      <c r="T121" s="368"/>
      <c r="U121" s="368"/>
    </row>
    <row r="122" spans="4:21">
      <c r="D122" s="368"/>
      <c r="E122" s="390"/>
      <c r="F122" s="391"/>
      <c r="G122" s="368"/>
      <c r="H122" s="368"/>
      <c r="I122" s="368"/>
      <c r="J122" s="368"/>
      <c r="K122" s="368"/>
      <c r="L122" s="368"/>
      <c r="M122" s="368"/>
      <c r="N122" s="368"/>
      <c r="O122" s="368"/>
      <c r="P122" s="368"/>
      <c r="Q122" s="368"/>
      <c r="R122" s="368"/>
      <c r="S122" s="368"/>
      <c r="T122" s="368"/>
      <c r="U122" s="368"/>
    </row>
    <row r="123" spans="4:21">
      <c r="D123" s="368"/>
      <c r="E123" s="390"/>
      <c r="F123" s="391"/>
      <c r="G123" s="368"/>
      <c r="H123" s="368"/>
      <c r="I123" s="368"/>
      <c r="J123" s="368"/>
      <c r="K123" s="368"/>
      <c r="L123" s="368"/>
      <c r="M123" s="368"/>
      <c r="N123" s="368"/>
      <c r="O123" s="368"/>
      <c r="P123" s="368"/>
      <c r="Q123" s="368"/>
      <c r="R123" s="368"/>
      <c r="S123" s="368"/>
      <c r="T123" s="368"/>
      <c r="U123" s="368"/>
    </row>
    <row r="124" spans="4:21">
      <c r="D124" s="368"/>
      <c r="E124" s="390"/>
      <c r="F124" s="391"/>
      <c r="G124" s="368"/>
      <c r="H124" s="368"/>
      <c r="I124" s="368"/>
      <c r="J124" s="368"/>
      <c r="K124" s="368"/>
      <c r="L124" s="368"/>
      <c r="M124" s="368"/>
      <c r="N124" s="368"/>
      <c r="O124" s="368"/>
      <c r="P124" s="368"/>
      <c r="Q124" s="368"/>
      <c r="R124" s="368"/>
      <c r="S124" s="368"/>
      <c r="T124" s="368"/>
      <c r="U124" s="368"/>
    </row>
    <row r="125" spans="4:21">
      <c r="D125" s="368"/>
      <c r="E125" s="390"/>
      <c r="F125" s="391"/>
      <c r="G125" s="368"/>
      <c r="H125" s="368"/>
      <c r="I125" s="368"/>
      <c r="J125" s="368"/>
      <c r="K125" s="368"/>
      <c r="L125" s="368"/>
      <c r="M125" s="368"/>
      <c r="N125" s="368"/>
      <c r="O125" s="368"/>
      <c r="P125" s="368"/>
      <c r="Q125" s="368"/>
      <c r="R125" s="368"/>
      <c r="S125" s="368"/>
      <c r="T125" s="368"/>
      <c r="U125" s="368"/>
    </row>
    <row r="126" spans="4:21">
      <c r="D126" s="368"/>
      <c r="E126" s="390"/>
      <c r="F126" s="391"/>
      <c r="G126" s="368"/>
      <c r="H126" s="368"/>
      <c r="I126" s="368"/>
      <c r="J126" s="368"/>
      <c r="K126" s="368"/>
      <c r="L126" s="368"/>
      <c r="M126" s="368"/>
      <c r="N126" s="368"/>
      <c r="O126" s="368"/>
      <c r="P126" s="368"/>
      <c r="Q126" s="368"/>
      <c r="R126" s="368"/>
      <c r="S126" s="368"/>
      <c r="T126" s="368"/>
      <c r="U126" s="368"/>
    </row>
    <row r="127" spans="4:21">
      <c r="D127" s="368"/>
      <c r="E127" s="390"/>
      <c r="F127" s="391"/>
      <c r="G127" s="368"/>
      <c r="H127" s="368"/>
      <c r="I127" s="368"/>
      <c r="J127" s="368"/>
      <c r="K127" s="368"/>
      <c r="L127" s="368"/>
      <c r="M127" s="368"/>
      <c r="N127" s="368"/>
      <c r="O127" s="368"/>
      <c r="P127" s="368"/>
      <c r="Q127" s="368"/>
      <c r="R127" s="368"/>
      <c r="S127" s="368"/>
      <c r="T127" s="368"/>
      <c r="U127" s="368"/>
    </row>
    <row r="128" spans="4:21">
      <c r="D128" s="368"/>
      <c r="E128" s="390"/>
      <c r="F128" s="391"/>
      <c r="G128" s="368"/>
      <c r="H128" s="368"/>
      <c r="I128" s="368"/>
      <c r="J128" s="368"/>
      <c r="K128" s="368"/>
      <c r="L128" s="368"/>
      <c r="M128" s="368"/>
      <c r="N128" s="368"/>
      <c r="O128" s="368"/>
      <c r="P128" s="368"/>
      <c r="Q128" s="368"/>
      <c r="R128" s="368"/>
      <c r="S128" s="368"/>
      <c r="T128" s="368"/>
      <c r="U128" s="368"/>
    </row>
    <row r="129" spans="4:21">
      <c r="D129" s="368"/>
      <c r="E129" s="390"/>
      <c r="F129" s="391"/>
      <c r="G129" s="368"/>
      <c r="H129" s="368"/>
      <c r="I129" s="368"/>
      <c r="J129" s="368"/>
      <c r="K129" s="368"/>
      <c r="L129" s="368"/>
      <c r="M129" s="368"/>
      <c r="N129" s="368"/>
      <c r="O129" s="368"/>
      <c r="P129" s="368"/>
      <c r="Q129" s="368"/>
      <c r="R129" s="368"/>
      <c r="S129" s="368"/>
      <c r="T129" s="368"/>
      <c r="U129" s="368"/>
    </row>
    <row r="130" spans="4:21">
      <c r="D130" s="368"/>
      <c r="E130" s="390"/>
      <c r="F130" s="391"/>
      <c r="G130" s="368"/>
      <c r="H130" s="368"/>
      <c r="I130" s="368"/>
      <c r="J130" s="368"/>
      <c r="K130" s="368"/>
      <c r="L130" s="368"/>
      <c r="M130" s="368"/>
      <c r="N130" s="368"/>
      <c r="O130" s="368"/>
      <c r="P130" s="368"/>
      <c r="Q130" s="368"/>
      <c r="R130" s="368"/>
      <c r="S130" s="368"/>
      <c r="T130" s="368"/>
      <c r="U130" s="368"/>
    </row>
    <row r="131" spans="4:21">
      <c r="D131" s="368"/>
      <c r="E131" s="390"/>
      <c r="F131" s="391"/>
      <c r="G131" s="368"/>
      <c r="H131" s="368"/>
      <c r="I131" s="368"/>
      <c r="J131" s="368"/>
      <c r="K131" s="368"/>
      <c r="L131" s="368"/>
      <c r="M131" s="368"/>
      <c r="N131" s="368"/>
      <c r="O131" s="368"/>
      <c r="P131" s="368"/>
      <c r="Q131" s="368"/>
      <c r="R131" s="368"/>
      <c r="S131" s="368"/>
      <c r="T131" s="368"/>
      <c r="U131" s="368"/>
    </row>
    <row r="132" spans="4:21">
      <c r="D132" s="368"/>
      <c r="E132" s="390"/>
      <c r="F132" s="391"/>
      <c r="G132" s="368"/>
      <c r="H132" s="368"/>
      <c r="I132" s="368"/>
      <c r="J132" s="368"/>
      <c r="K132" s="368"/>
      <c r="L132" s="368"/>
      <c r="M132" s="368"/>
      <c r="N132" s="368"/>
      <c r="O132" s="368"/>
      <c r="P132" s="368"/>
      <c r="Q132" s="368"/>
      <c r="R132" s="368"/>
      <c r="S132" s="368"/>
      <c r="T132" s="368"/>
      <c r="U132" s="368"/>
    </row>
    <row r="133" spans="4:21">
      <c r="D133" s="368"/>
      <c r="E133" s="390"/>
      <c r="F133" s="391"/>
      <c r="G133" s="368"/>
      <c r="H133" s="368"/>
      <c r="I133" s="368"/>
      <c r="J133" s="368"/>
      <c r="K133" s="368"/>
      <c r="L133" s="368"/>
      <c r="M133" s="368"/>
      <c r="N133" s="368"/>
      <c r="O133" s="368"/>
      <c r="P133" s="368"/>
      <c r="Q133" s="368"/>
      <c r="R133" s="368"/>
      <c r="S133" s="368"/>
      <c r="T133" s="368"/>
      <c r="U133" s="368"/>
    </row>
    <row r="134" spans="4:21">
      <c r="D134" s="368"/>
      <c r="E134" s="390"/>
      <c r="F134" s="391"/>
      <c r="G134" s="368"/>
      <c r="H134" s="368"/>
      <c r="I134" s="368"/>
      <c r="J134" s="368"/>
      <c r="K134" s="368"/>
      <c r="L134" s="368"/>
      <c r="M134" s="368"/>
      <c r="N134" s="368"/>
      <c r="O134" s="368"/>
      <c r="P134" s="368"/>
      <c r="Q134" s="368"/>
      <c r="R134" s="368"/>
      <c r="S134" s="368"/>
      <c r="T134" s="368"/>
      <c r="U134" s="368"/>
    </row>
    <row r="135" spans="4:21">
      <c r="D135" s="368"/>
      <c r="E135" s="390"/>
      <c r="F135" s="391"/>
      <c r="G135" s="368"/>
      <c r="H135" s="368"/>
      <c r="I135" s="368"/>
      <c r="J135" s="368"/>
      <c r="K135" s="368"/>
      <c r="L135" s="368"/>
      <c r="M135" s="368"/>
      <c r="N135" s="368"/>
      <c r="O135" s="368"/>
      <c r="P135" s="368"/>
      <c r="Q135" s="368"/>
      <c r="R135" s="368"/>
      <c r="S135" s="368"/>
      <c r="T135" s="368"/>
      <c r="U135" s="368"/>
    </row>
    <row r="136" spans="4:21">
      <c r="D136" s="368"/>
      <c r="E136" s="390"/>
      <c r="F136" s="391"/>
      <c r="G136" s="368"/>
      <c r="H136" s="368"/>
      <c r="I136" s="368"/>
      <c r="J136" s="368"/>
      <c r="K136" s="368"/>
      <c r="L136" s="368"/>
      <c r="M136" s="368"/>
      <c r="N136" s="368"/>
      <c r="O136" s="368"/>
      <c r="P136" s="368"/>
      <c r="Q136" s="368"/>
      <c r="R136" s="368"/>
      <c r="S136" s="368"/>
      <c r="T136" s="368"/>
      <c r="U136" s="368"/>
    </row>
    <row r="137" spans="4:21">
      <c r="D137" s="368"/>
      <c r="E137" s="390"/>
      <c r="F137" s="391"/>
      <c r="G137" s="368"/>
      <c r="H137" s="368"/>
      <c r="I137" s="368"/>
      <c r="J137" s="368"/>
      <c r="K137" s="368"/>
      <c r="L137" s="368"/>
      <c r="M137" s="368"/>
      <c r="N137" s="368"/>
      <c r="O137" s="368"/>
      <c r="P137" s="368"/>
      <c r="Q137" s="368"/>
      <c r="R137" s="368"/>
      <c r="S137" s="368"/>
      <c r="T137" s="368"/>
      <c r="U137" s="368"/>
    </row>
    <row r="138" spans="4:21">
      <c r="D138" s="368"/>
      <c r="E138" s="390"/>
      <c r="F138" s="391"/>
      <c r="G138" s="368"/>
      <c r="H138" s="368"/>
      <c r="I138" s="368"/>
      <c r="J138" s="368"/>
      <c r="K138" s="368"/>
      <c r="L138" s="368"/>
      <c r="M138" s="368"/>
      <c r="N138" s="368"/>
      <c r="O138" s="368"/>
      <c r="P138" s="368"/>
      <c r="Q138" s="368"/>
      <c r="R138" s="368"/>
      <c r="S138" s="368"/>
      <c r="T138" s="368"/>
      <c r="U138" s="368"/>
    </row>
    <row r="139" spans="4:21">
      <c r="D139" s="368"/>
      <c r="E139" s="390"/>
      <c r="F139" s="391"/>
      <c r="G139" s="368"/>
      <c r="H139" s="368"/>
      <c r="I139" s="368"/>
      <c r="J139" s="368"/>
      <c r="K139" s="368"/>
      <c r="L139" s="368"/>
      <c r="M139" s="368"/>
      <c r="N139" s="368"/>
      <c r="O139" s="368"/>
      <c r="P139" s="368"/>
      <c r="Q139" s="368"/>
      <c r="R139" s="368"/>
      <c r="S139" s="368"/>
      <c r="T139" s="368"/>
      <c r="U139" s="368"/>
    </row>
    <row r="140" spans="4:21">
      <c r="D140" s="368"/>
      <c r="E140" s="390"/>
      <c r="F140" s="391"/>
      <c r="G140" s="368"/>
      <c r="H140" s="368"/>
      <c r="I140" s="368"/>
      <c r="J140" s="368"/>
      <c r="K140" s="368"/>
      <c r="L140" s="368"/>
      <c r="M140" s="368"/>
      <c r="N140" s="368"/>
      <c r="O140" s="368"/>
      <c r="P140" s="368"/>
      <c r="Q140" s="368"/>
      <c r="R140" s="368"/>
      <c r="S140" s="368"/>
      <c r="T140" s="368"/>
      <c r="U140" s="368"/>
    </row>
    <row r="141" spans="4:21">
      <c r="D141" s="368"/>
      <c r="E141" s="390"/>
      <c r="F141" s="391"/>
      <c r="G141" s="368"/>
      <c r="H141" s="368"/>
      <c r="I141" s="368"/>
      <c r="J141" s="368"/>
      <c r="K141" s="368"/>
      <c r="L141" s="368"/>
      <c r="M141" s="368"/>
      <c r="N141" s="368"/>
      <c r="O141" s="368"/>
      <c r="P141" s="368"/>
      <c r="Q141" s="368"/>
      <c r="R141" s="368"/>
      <c r="S141" s="368"/>
      <c r="T141" s="368"/>
      <c r="U141" s="368"/>
    </row>
    <row r="142" spans="4:21">
      <c r="D142" s="368"/>
      <c r="E142" s="390"/>
      <c r="F142" s="391"/>
      <c r="G142" s="368"/>
      <c r="H142" s="368"/>
      <c r="I142" s="368"/>
      <c r="J142" s="368"/>
      <c r="K142" s="368"/>
      <c r="L142" s="368"/>
      <c r="M142" s="368"/>
      <c r="N142" s="368"/>
      <c r="O142" s="368"/>
      <c r="P142" s="368"/>
      <c r="Q142" s="368"/>
      <c r="R142" s="368"/>
      <c r="S142" s="368"/>
      <c r="T142" s="368"/>
      <c r="U142" s="368"/>
    </row>
    <row r="143" spans="4:21">
      <c r="D143" s="368"/>
      <c r="E143" s="390"/>
      <c r="F143" s="391"/>
      <c r="G143" s="368"/>
      <c r="H143" s="368"/>
      <c r="I143" s="368"/>
      <c r="J143" s="368"/>
      <c r="K143" s="368"/>
      <c r="L143" s="368"/>
      <c r="M143" s="368"/>
      <c r="N143" s="368"/>
      <c r="O143" s="368"/>
      <c r="P143" s="368"/>
      <c r="Q143" s="368"/>
      <c r="R143" s="368"/>
      <c r="S143" s="368"/>
      <c r="T143" s="368"/>
      <c r="U143" s="368"/>
    </row>
    <row r="144" spans="4:21">
      <c r="D144" s="368"/>
      <c r="E144" s="390"/>
      <c r="F144" s="391"/>
      <c r="G144" s="368"/>
      <c r="H144" s="368"/>
      <c r="I144" s="368"/>
      <c r="J144" s="368"/>
      <c r="K144" s="368"/>
      <c r="L144" s="368"/>
      <c r="M144" s="368"/>
      <c r="N144" s="368"/>
      <c r="O144" s="368"/>
      <c r="P144" s="368"/>
      <c r="Q144" s="368"/>
      <c r="R144" s="368"/>
      <c r="S144" s="368"/>
      <c r="T144" s="368"/>
      <c r="U144" s="368"/>
    </row>
    <row r="145" spans="4:21">
      <c r="D145" s="368"/>
      <c r="E145" s="390"/>
      <c r="F145" s="391"/>
      <c r="G145" s="368"/>
      <c r="H145" s="368"/>
      <c r="I145" s="368"/>
      <c r="J145" s="368"/>
      <c r="K145" s="368"/>
      <c r="L145" s="368"/>
      <c r="M145" s="368"/>
      <c r="N145" s="368"/>
      <c r="O145" s="368"/>
      <c r="P145" s="368"/>
      <c r="Q145" s="368"/>
      <c r="R145" s="368"/>
      <c r="S145" s="368"/>
      <c r="T145" s="368"/>
      <c r="U145" s="368"/>
    </row>
    <row r="146" spans="4:21">
      <c r="D146" s="368"/>
      <c r="E146" s="390"/>
      <c r="F146" s="391"/>
      <c r="G146" s="368"/>
      <c r="H146" s="368"/>
      <c r="I146" s="368"/>
      <c r="J146" s="368"/>
      <c r="K146" s="368"/>
      <c r="L146" s="368"/>
      <c r="M146" s="368"/>
      <c r="N146" s="368"/>
      <c r="O146" s="368"/>
      <c r="P146" s="368"/>
      <c r="Q146" s="368"/>
      <c r="R146" s="368"/>
      <c r="S146" s="368"/>
      <c r="T146" s="368"/>
      <c r="U146" s="368"/>
    </row>
    <row r="147" spans="4:21">
      <c r="D147" s="368"/>
      <c r="E147" s="390"/>
      <c r="F147" s="391"/>
      <c r="G147" s="368"/>
      <c r="H147" s="368"/>
      <c r="I147" s="368"/>
      <c r="J147" s="368"/>
      <c r="K147" s="368"/>
      <c r="L147" s="368"/>
      <c r="M147" s="368"/>
      <c r="N147" s="368"/>
      <c r="O147" s="368"/>
      <c r="P147" s="368"/>
      <c r="Q147" s="368"/>
      <c r="R147" s="368"/>
      <c r="S147" s="368"/>
      <c r="T147" s="368"/>
      <c r="U147" s="368"/>
    </row>
    <row r="148" spans="4:21">
      <c r="D148" s="368"/>
      <c r="E148" s="390"/>
      <c r="F148" s="391"/>
      <c r="G148" s="368"/>
      <c r="H148" s="368"/>
      <c r="I148" s="368"/>
      <c r="J148" s="368"/>
      <c r="K148" s="368"/>
      <c r="L148" s="368"/>
      <c r="M148" s="368"/>
      <c r="N148" s="368"/>
      <c r="O148" s="368"/>
      <c r="P148" s="368"/>
      <c r="Q148" s="368"/>
      <c r="R148" s="368"/>
      <c r="S148" s="368"/>
      <c r="T148" s="368"/>
      <c r="U148" s="368"/>
    </row>
    <row r="149" spans="4:21">
      <c r="D149" s="368"/>
      <c r="E149" s="390"/>
      <c r="F149" s="391"/>
      <c r="G149" s="368"/>
      <c r="H149" s="368"/>
      <c r="I149" s="368"/>
      <c r="J149" s="368"/>
      <c r="K149" s="368"/>
      <c r="L149" s="368"/>
      <c r="M149" s="368"/>
      <c r="N149" s="368"/>
      <c r="O149" s="368"/>
      <c r="P149" s="368"/>
      <c r="Q149" s="368"/>
      <c r="R149" s="368"/>
      <c r="S149" s="368"/>
      <c r="T149" s="368"/>
      <c r="U149" s="368"/>
    </row>
    <row r="150" spans="4:21">
      <c r="D150" s="368"/>
      <c r="E150" s="390"/>
      <c r="F150" s="391"/>
      <c r="G150" s="368"/>
      <c r="H150" s="368"/>
      <c r="I150" s="368"/>
      <c r="J150" s="368"/>
      <c r="K150" s="368"/>
      <c r="L150" s="368"/>
      <c r="M150" s="368"/>
      <c r="N150" s="368"/>
      <c r="O150" s="368"/>
      <c r="P150" s="368"/>
      <c r="Q150" s="368"/>
      <c r="R150" s="368"/>
      <c r="S150" s="368"/>
      <c r="T150" s="368"/>
      <c r="U150" s="368"/>
    </row>
    <row r="151" spans="4:21">
      <c r="D151" s="368"/>
      <c r="E151" s="390"/>
      <c r="F151" s="391"/>
      <c r="G151" s="368"/>
      <c r="H151" s="368"/>
      <c r="I151" s="368"/>
      <c r="J151" s="368"/>
      <c r="K151" s="368"/>
      <c r="L151" s="368"/>
      <c r="M151" s="368"/>
      <c r="N151" s="368"/>
      <c r="O151" s="368"/>
      <c r="P151" s="368"/>
      <c r="Q151" s="368"/>
      <c r="R151" s="368"/>
      <c r="S151" s="368"/>
      <c r="T151" s="368"/>
      <c r="U151" s="368"/>
    </row>
    <row r="152" spans="4:21">
      <c r="D152" s="368"/>
      <c r="E152" s="390"/>
      <c r="F152" s="391"/>
      <c r="G152" s="368"/>
      <c r="H152" s="368"/>
      <c r="I152" s="368"/>
      <c r="J152" s="368"/>
      <c r="K152" s="368"/>
      <c r="L152" s="368"/>
      <c r="M152" s="368"/>
      <c r="N152" s="368"/>
      <c r="O152" s="368"/>
      <c r="P152" s="368"/>
      <c r="Q152" s="368"/>
      <c r="R152" s="368"/>
      <c r="S152" s="368"/>
      <c r="T152" s="368"/>
      <c r="U152" s="368"/>
    </row>
    <row r="153" spans="4:21">
      <c r="D153" s="368"/>
      <c r="E153" s="390"/>
      <c r="F153" s="391"/>
      <c r="G153" s="368"/>
      <c r="H153" s="368"/>
      <c r="I153" s="368"/>
      <c r="J153" s="368"/>
      <c r="K153" s="368"/>
      <c r="L153" s="368"/>
      <c r="M153" s="368"/>
      <c r="N153" s="368"/>
      <c r="O153" s="368"/>
      <c r="P153" s="368"/>
      <c r="Q153" s="368"/>
      <c r="R153" s="368"/>
      <c r="S153" s="368"/>
      <c r="T153" s="368"/>
      <c r="U153" s="368"/>
    </row>
    <row r="154" spans="4:21">
      <c r="D154" s="368"/>
      <c r="E154" s="390"/>
      <c r="F154" s="391"/>
      <c r="G154" s="368"/>
      <c r="H154" s="368"/>
      <c r="I154" s="368"/>
      <c r="J154" s="368"/>
      <c r="K154" s="368"/>
      <c r="L154" s="368"/>
      <c r="M154" s="368"/>
      <c r="N154" s="368"/>
      <c r="O154" s="368"/>
      <c r="P154" s="368"/>
      <c r="Q154" s="368"/>
      <c r="R154" s="368"/>
      <c r="S154" s="368"/>
      <c r="T154" s="368"/>
      <c r="U154" s="368"/>
    </row>
    <row r="155" spans="4:21">
      <c r="D155" s="368"/>
      <c r="E155" s="390"/>
      <c r="F155" s="391"/>
      <c r="G155" s="368"/>
      <c r="H155" s="368"/>
      <c r="I155" s="368"/>
      <c r="J155" s="368"/>
      <c r="K155" s="368"/>
      <c r="L155" s="368"/>
      <c r="M155" s="368"/>
      <c r="N155" s="368"/>
      <c r="O155" s="368"/>
      <c r="P155" s="368"/>
      <c r="Q155" s="368"/>
      <c r="R155" s="368"/>
      <c r="S155" s="368"/>
      <c r="T155" s="368"/>
      <c r="U155" s="368"/>
    </row>
    <row r="156" spans="4:21">
      <c r="D156" s="368"/>
      <c r="E156" s="390"/>
      <c r="F156" s="391"/>
      <c r="G156" s="368"/>
      <c r="H156" s="368"/>
      <c r="I156" s="368"/>
      <c r="J156" s="368"/>
      <c r="K156" s="368"/>
      <c r="L156" s="368"/>
      <c r="M156" s="368"/>
      <c r="N156" s="368"/>
      <c r="O156" s="368"/>
      <c r="P156" s="368"/>
      <c r="Q156" s="368"/>
      <c r="R156" s="368"/>
      <c r="S156" s="368"/>
      <c r="T156" s="368"/>
      <c r="U156" s="368"/>
    </row>
    <row r="157" spans="4:21">
      <c r="D157" s="368"/>
      <c r="E157" s="390"/>
      <c r="F157" s="391"/>
      <c r="G157" s="368"/>
      <c r="H157" s="368"/>
      <c r="I157" s="368"/>
      <c r="J157" s="368"/>
      <c r="K157" s="368"/>
      <c r="L157" s="368"/>
      <c r="M157" s="368"/>
      <c r="N157" s="368"/>
      <c r="O157" s="368"/>
      <c r="P157" s="368"/>
      <c r="Q157" s="368"/>
      <c r="R157" s="368"/>
      <c r="S157" s="368"/>
      <c r="T157" s="368"/>
      <c r="U157" s="368"/>
    </row>
    <row r="158" spans="4:21">
      <c r="D158" s="368"/>
      <c r="E158" s="390"/>
      <c r="F158" s="391"/>
      <c r="G158" s="368"/>
      <c r="H158" s="368"/>
      <c r="I158" s="368"/>
      <c r="J158" s="368"/>
      <c r="K158" s="368"/>
      <c r="L158" s="368"/>
      <c r="M158" s="368"/>
      <c r="N158" s="368"/>
      <c r="O158" s="368"/>
      <c r="P158" s="368"/>
      <c r="Q158" s="368"/>
      <c r="R158" s="368"/>
      <c r="S158" s="368"/>
      <c r="T158" s="368"/>
      <c r="U158" s="368"/>
    </row>
    <row r="159" spans="4:21">
      <c r="D159" s="351"/>
      <c r="F159" s="398"/>
      <c r="G159" s="351"/>
      <c r="H159" s="351"/>
      <c r="I159" s="351"/>
      <c r="J159" s="351"/>
      <c r="K159" s="351"/>
      <c r="L159" s="351"/>
      <c r="M159" s="351"/>
      <c r="N159" s="351"/>
      <c r="O159" s="351"/>
      <c r="P159" s="351"/>
      <c r="Q159" s="351"/>
      <c r="R159" s="351"/>
      <c r="S159" s="351"/>
      <c r="T159" s="351"/>
      <c r="U159" s="351"/>
    </row>
    <row r="160" spans="4:21">
      <c r="D160" s="351"/>
      <c r="F160" s="398"/>
      <c r="G160" s="351"/>
      <c r="H160" s="351"/>
      <c r="I160" s="351"/>
      <c r="J160" s="351"/>
      <c r="K160" s="351"/>
      <c r="L160" s="351"/>
      <c r="M160" s="351"/>
      <c r="N160" s="351"/>
      <c r="O160" s="351"/>
      <c r="P160" s="351"/>
      <c r="Q160" s="351"/>
      <c r="R160" s="351"/>
      <c r="S160" s="351"/>
      <c r="T160" s="351"/>
      <c r="U160" s="351"/>
    </row>
    <row r="161" spans="4:21">
      <c r="D161" s="351"/>
      <c r="F161" s="398"/>
      <c r="G161" s="351"/>
      <c r="H161" s="351"/>
      <c r="I161" s="351"/>
      <c r="J161" s="351"/>
      <c r="K161" s="351"/>
      <c r="L161" s="351"/>
      <c r="M161" s="351"/>
      <c r="N161" s="351"/>
      <c r="O161" s="351"/>
      <c r="P161" s="351"/>
      <c r="Q161" s="351"/>
      <c r="R161" s="351"/>
      <c r="S161" s="351"/>
      <c r="T161" s="351"/>
      <c r="U161" s="351"/>
    </row>
    <row r="162" spans="4:21">
      <c r="D162" s="351"/>
      <c r="F162" s="398"/>
      <c r="G162" s="351"/>
      <c r="H162" s="351"/>
      <c r="I162" s="351"/>
      <c r="J162" s="351"/>
      <c r="K162" s="351"/>
      <c r="L162" s="351"/>
      <c r="M162" s="351"/>
      <c r="N162" s="351"/>
      <c r="O162" s="351"/>
      <c r="P162" s="351"/>
      <c r="Q162" s="351"/>
      <c r="R162" s="351"/>
      <c r="S162" s="351"/>
      <c r="T162" s="351"/>
      <c r="U162" s="351"/>
    </row>
    <row r="163" spans="4:21">
      <c r="D163" s="351"/>
      <c r="F163" s="398"/>
      <c r="G163" s="351"/>
      <c r="H163" s="351"/>
      <c r="I163" s="351"/>
      <c r="J163" s="351"/>
      <c r="K163" s="351"/>
      <c r="L163" s="351"/>
      <c r="M163" s="351"/>
      <c r="N163" s="351"/>
      <c r="O163" s="351"/>
      <c r="P163" s="351"/>
      <c r="Q163" s="351"/>
      <c r="R163" s="351"/>
      <c r="S163" s="351"/>
      <c r="T163" s="351"/>
      <c r="U163" s="351"/>
    </row>
  </sheetData>
  <mergeCells count="25">
    <mergeCell ref="E37:J37"/>
    <mergeCell ref="M37:T37"/>
    <mergeCell ref="E3:J3"/>
    <mergeCell ref="M3:T3"/>
    <mergeCell ref="C5:C16"/>
    <mergeCell ref="E19:J19"/>
    <mergeCell ref="M19:T19"/>
    <mergeCell ref="J22:J24"/>
    <mergeCell ref="E28:J28"/>
    <mergeCell ref="M28:T28"/>
    <mergeCell ref="G31:G33"/>
    <mergeCell ref="J31:J34"/>
    <mergeCell ref="T31:T34"/>
    <mergeCell ref="T40:T41"/>
    <mergeCell ref="E48:J48"/>
    <mergeCell ref="M48:T48"/>
    <mergeCell ref="O50:O57"/>
    <mergeCell ref="G51:G57"/>
    <mergeCell ref="J51:J57"/>
    <mergeCell ref="T51:T57"/>
    <mergeCell ref="E62:J62"/>
    <mergeCell ref="M62:T62"/>
    <mergeCell ref="G65:G71"/>
    <mergeCell ref="J65:J71"/>
    <mergeCell ref="T65:T71"/>
  </mergeCells>
  <pageMargins left="0.7" right="0.7" top="0.75" bottom="0.75" header="0.3" footer="0.3"/>
  <pageSetup paperSize="9" scale="65" orientation="landscape"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DBE4-0E77-4761-A98C-3C1DF82141D4}">
  <sheetPr>
    <pageSetUpPr fitToPage="1"/>
  </sheetPr>
  <dimension ref="A1:AB210"/>
  <sheetViews>
    <sheetView showGridLines="0" view="pageBreakPreview" zoomScaleNormal="100" zoomScaleSheetLayoutView="100" workbookViewId="0">
      <pane xSplit="2" ySplit="7" topLeftCell="C185" activePane="bottomRight" state="frozen"/>
      <selection pane="topRight" activeCell="C1" sqref="C1"/>
      <selection pane="bottomLeft" activeCell="A8" sqref="A8"/>
      <selection pane="bottomRight" activeCell="I197" sqref="I197"/>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91" t="s">
        <v>437</v>
      </c>
      <c r="C3" s="692"/>
      <c r="D3" s="692"/>
      <c r="E3" s="692"/>
      <c r="F3" s="692"/>
      <c r="G3" s="692"/>
      <c r="H3" s="692"/>
      <c r="I3" s="692"/>
      <c r="J3" s="692"/>
      <c r="K3" s="692"/>
      <c r="L3" s="692"/>
      <c r="M3" s="425"/>
      <c r="N3" s="691" t="s">
        <v>456</v>
      </c>
      <c r="O3" s="692"/>
      <c r="P3" s="692"/>
      <c r="Q3" s="692"/>
      <c r="R3" s="692"/>
      <c r="S3" s="692"/>
      <c r="T3" s="692"/>
      <c r="U3" s="692"/>
      <c r="V3" s="692"/>
      <c r="W3" s="692"/>
      <c r="X3" s="692"/>
    </row>
    <row r="4" spans="1:28" ht="11.15" customHeight="1">
      <c r="A4" s="296"/>
      <c r="B4" s="426"/>
      <c r="C4" s="679" t="s">
        <v>586</v>
      </c>
      <c r="D4" s="679"/>
      <c r="E4" s="679"/>
      <c r="F4" s="679"/>
      <c r="G4" s="427"/>
      <c r="H4" s="689" t="s">
        <v>773</v>
      </c>
      <c r="I4" s="689"/>
      <c r="J4" s="689"/>
      <c r="K4" s="689"/>
      <c r="L4" s="689"/>
      <c r="M4" s="427"/>
      <c r="N4" s="428"/>
      <c r="O4" s="679" t="s">
        <v>586</v>
      </c>
      <c r="P4" s="679"/>
      <c r="Q4" s="679"/>
      <c r="R4" s="679"/>
      <c r="S4" s="427"/>
      <c r="T4" s="689" t="s">
        <v>773</v>
      </c>
      <c r="U4" s="689"/>
      <c r="V4" s="689"/>
      <c r="W4" s="689"/>
      <c r="X4" s="689"/>
      <c r="AB4" s="307"/>
    </row>
    <row r="5" spans="1:28" ht="27" customHeight="1">
      <c r="A5" s="296"/>
      <c r="B5" s="426"/>
      <c r="C5" s="689" t="s">
        <v>770</v>
      </c>
      <c r="D5" s="689"/>
      <c r="E5" s="689"/>
      <c r="F5" s="690" t="s">
        <v>771</v>
      </c>
      <c r="G5" s="427"/>
      <c r="H5" s="429"/>
      <c r="I5" s="685" t="s">
        <v>778</v>
      </c>
      <c r="J5" s="429"/>
      <c r="K5" s="679" t="s">
        <v>211</v>
      </c>
      <c r="L5" s="679"/>
      <c r="M5" s="427"/>
      <c r="N5" s="428"/>
      <c r="O5" s="689" t="s">
        <v>770</v>
      </c>
      <c r="P5" s="689"/>
      <c r="Q5" s="689"/>
      <c r="R5" s="690" t="s">
        <v>771</v>
      </c>
      <c r="S5" s="427"/>
      <c r="T5" s="429"/>
      <c r="U5" s="685" t="s">
        <v>778</v>
      </c>
      <c r="V5" s="429"/>
      <c r="W5" s="679" t="s">
        <v>211</v>
      </c>
      <c r="X5" s="679"/>
      <c r="AB5" s="307"/>
    </row>
    <row r="6" spans="1:28" ht="29.5" customHeight="1">
      <c r="A6" s="296"/>
      <c r="B6" s="430"/>
      <c r="C6" s="312" t="s">
        <v>429</v>
      </c>
      <c r="D6" s="313" t="s">
        <v>769</v>
      </c>
      <c r="E6" s="313" t="s">
        <v>772</v>
      </c>
      <c r="F6" s="684"/>
      <c r="G6" s="431"/>
      <c r="H6" s="315" t="s">
        <v>429</v>
      </c>
      <c r="I6" s="686"/>
      <c r="J6" s="316"/>
      <c r="K6" s="316" t="s">
        <v>587</v>
      </c>
      <c r="L6" s="316" t="s">
        <v>588</v>
      </c>
      <c r="M6" s="432"/>
      <c r="N6" s="433"/>
      <c r="O6" s="312" t="s">
        <v>429</v>
      </c>
      <c r="P6" s="313" t="s">
        <v>769</v>
      </c>
      <c r="Q6" s="313" t="s">
        <v>772</v>
      </c>
      <c r="R6" s="684"/>
      <c r="S6" s="431"/>
      <c r="T6" s="315" t="s">
        <v>429</v>
      </c>
      <c r="U6" s="686"/>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s="270" customFormat="1">
      <c r="B42" s="472" t="s">
        <v>1017</v>
      </c>
      <c r="C42" s="457">
        <v>25.6</v>
      </c>
      <c r="D42" s="456">
        <v>4</v>
      </c>
      <c r="E42" s="456">
        <v>21.6</v>
      </c>
      <c r="F42" s="456">
        <v>2.1</v>
      </c>
      <c r="G42" s="467"/>
      <c r="H42" s="457">
        <v>11</v>
      </c>
      <c r="I42" s="456">
        <v>0.9</v>
      </c>
      <c r="J42" s="460"/>
      <c r="K42" s="456">
        <v>10.1</v>
      </c>
      <c r="L42" s="456" t="s">
        <v>452</v>
      </c>
      <c r="M42" s="461"/>
      <c r="N42" s="461"/>
      <c r="O42" s="457">
        <v>6.8</v>
      </c>
      <c r="P42" s="456">
        <v>1.1000000000000001</v>
      </c>
      <c r="Q42" s="456">
        <v>5.8</v>
      </c>
      <c r="R42" s="456">
        <v>0.5</v>
      </c>
      <c r="S42" s="467"/>
      <c r="T42" s="457">
        <v>2.9</v>
      </c>
      <c r="U42" s="456">
        <v>0.3</v>
      </c>
      <c r="V42" s="460"/>
      <c r="W42" s="456">
        <v>2.7</v>
      </c>
      <c r="X42" s="456" t="s">
        <v>452</v>
      </c>
      <c r="AB42" s="473"/>
    </row>
    <row r="43" spans="2:28" s="270" customFormat="1">
      <c r="B43" s="472" t="s">
        <v>1018</v>
      </c>
      <c r="C43" s="457">
        <v>2.3484922014</v>
      </c>
      <c r="D43" s="456">
        <v>0.20480000000000001</v>
      </c>
      <c r="E43" s="456">
        <v>2.1436922013999995</v>
      </c>
      <c r="F43" s="456" t="s">
        <v>452</v>
      </c>
      <c r="G43" s="467"/>
      <c r="H43" s="457">
        <v>0.81499999999999995</v>
      </c>
      <c r="I43" s="456">
        <v>0</v>
      </c>
      <c r="J43" s="460"/>
      <c r="K43" s="456">
        <v>0.81499999999999995</v>
      </c>
      <c r="L43" s="456"/>
      <c r="M43" s="461"/>
      <c r="N43" s="461"/>
      <c r="O43" s="457">
        <v>8.3915390415377136</v>
      </c>
      <c r="P43" s="456">
        <v>0.73178322443754651</v>
      </c>
      <c r="Q43" s="456">
        <v>7.6597558171001667</v>
      </c>
      <c r="R43" s="456" t="s">
        <v>452</v>
      </c>
      <c r="S43" s="467"/>
      <c r="T43" s="457">
        <v>2.9</v>
      </c>
      <c r="U43" s="456">
        <v>0</v>
      </c>
      <c r="V43" s="460"/>
      <c r="W43" s="456">
        <v>2.9</v>
      </c>
      <c r="X43" s="456"/>
      <c r="AB43" s="473"/>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472" t="s">
        <v>1020</v>
      </c>
      <c r="C45" s="443">
        <v>3.3877794183228405</v>
      </c>
      <c r="D45" s="438">
        <v>0.21856641408534455</v>
      </c>
      <c r="E45" s="438">
        <v>3.1692130042374957</v>
      </c>
      <c r="F45" s="456">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56">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65" t="s">
        <v>1030</v>
      </c>
      <c r="C63" s="443">
        <v>7.407407407407407E-2</v>
      </c>
      <c r="D63" s="438">
        <v>3.7037037037037034E-3</v>
      </c>
      <c r="E63" s="456">
        <v>0</v>
      </c>
      <c r="F63" s="456" t="s">
        <v>452</v>
      </c>
      <c r="G63" s="460"/>
      <c r="H63" s="457">
        <v>0</v>
      </c>
      <c r="I63" s="456">
        <v>0</v>
      </c>
      <c r="J63" s="460"/>
      <c r="K63" s="456" t="s">
        <v>452</v>
      </c>
      <c r="L63" s="456" t="s">
        <v>452</v>
      </c>
      <c r="M63" s="461"/>
      <c r="N63" s="461"/>
      <c r="O63" s="457">
        <v>3.6</v>
      </c>
      <c r="P63" s="456">
        <v>0.2</v>
      </c>
      <c r="Q63" s="456">
        <v>3.4</v>
      </c>
      <c r="R63" s="456">
        <v>1.7</v>
      </c>
      <c r="S63" s="467"/>
      <c r="T63" s="457">
        <v>0</v>
      </c>
      <c r="U63" s="438"/>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65" t="s">
        <v>1034</v>
      </c>
      <c r="C67" s="457">
        <v>0.22800000000000001</v>
      </c>
      <c r="D67" s="456">
        <v>3.5000000000000003E-2</v>
      </c>
      <c r="E67" s="456">
        <v>0.192</v>
      </c>
      <c r="F67" s="456">
        <v>0.09</v>
      </c>
      <c r="G67" s="460"/>
      <c r="H67" s="457">
        <v>8.1000000000000003E-2</v>
      </c>
      <c r="I67" s="456">
        <v>8.1000000000000003E-2</v>
      </c>
      <c r="J67" s="441"/>
      <c r="K67" s="438" t="s">
        <v>452</v>
      </c>
      <c r="L67" s="438" t="s">
        <v>452</v>
      </c>
      <c r="O67" s="457">
        <v>2.02</v>
      </c>
      <c r="P67" s="456">
        <v>0.31</v>
      </c>
      <c r="Q67" s="456">
        <v>1.71</v>
      </c>
      <c r="R67" s="456">
        <v>0.8</v>
      </c>
      <c r="S67" s="467"/>
      <c r="T67" s="457" t="s">
        <v>452</v>
      </c>
      <c r="U67" s="456"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s="270" customFormat="1">
      <c r="B70" s="465" t="s">
        <v>1036</v>
      </c>
      <c r="C70" s="457" t="s">
        <v>452</v>
      </c>
      <c r="D70" s="456" t="s">
        <v>84</v>
      </c>
      <c r="E70" s="456" t="s">
        <v>452</v>
      </c>
      <c r="F70" s="456" t="s">
        <v>452</v>
      </c>
      <c r="G70" s="460"/>
      <c r="H70" s="457" t="s">
        <v>452</v>
      </c>
      <c r="I70" s="456" t="s">
        <v>452</v>
      </c>
      <c r="J70" s="460"/>
      <c r="K70" s="456" t="s">
        <v>452</v>
      </c>
      <c r="L70" s="456" t="s">
        <v>452</v>
      </c>
      <c r="M70" s="461"/>
      <c r="N70" s="461"/>
      <c r="O70" s="457" t="s">
        <v>452</v>
      </c>
      <c r="P70" s="456" t="s">
        <v>84</v>
      </c>
      <c r="Q70" s="456" t="s">
        <v>452</v>
      </c>
      <c r="R70" s="456" t="s">
        <v>452</v>
      </c>
      <c r="S70" s="467"/>
      <c r="T70" s="457" t="s">
        <v>452</v>
      </c>
      <c r="U70" s="456" t="s">
        <v>452</v>
      </c>
      <c r="V70" s="460"/>
      <c r="W70" s="456" t="s">
        <v>452</v>
      </c>
      <c r="X70" s="456" t="s">
        <v>452</v>
      </c>
      <c r="AB70" s="466"/>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65" t="s">
        <v>1043</v>
      </c>
      <c r="C80" s="443">
        <v>0.85922642158120055</v>
      </c>
      <c r="D80" s="438">
        <v>0.19828302036489243</v>
      </c>
      <c r="E80" s="438">
        <v>0.66094340121630812</v>
      </c>
      <c r="F80" s="456">
        <v>0.4</v>
      </c>
      <c r="G80" s="441"/>
      <c r="H80" s="443" t="s">
        <v>452</v>
      </c>
      <c r="I80" s="438" t="s">
        <v>452</v>
      </c>
      <c r="J80" s="441"/>
      <c r="K80" s="438" t="s">
        <v>452</v>
      </c>
      <c r="L80" s="438" t="s">
        <v>452</v>
      </c>
      <c r="O80" s="443">
        <v>1.429352585851031</v>
      </c>
      <c r="P80" s="438">
        <v>0.32985059673485329</v>
      </c>
      <c r="Q80" s="438">
        <v>1.0995019891161777</v>
      </c>
      <c r="R80" s="456">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65" t="s">
        <v>1057</v>
      </c>
      <c r="C98" s="443">
        <v>0.12689087308761421</v>
      </c>
      <c r="D98" s="456">
        <v>0.05</v>
      </c>
      <c r="E98" s="438">
        <f>C98-D98</f>
        <v>7.6890873087614206E-2</v>
      </c>
      <c r="F98" s="438" t="s">
        <v>452</v>
      </c>
      <c r="G98" s="441"/>
      <c r="H98" s="443" t="s">
        <v>452</v>
      </c>
      <c r="I98" s="438" t="s">
        <v>452</v>
      </c>
      <c r="J98" s="441"/>
      <c r="K98" s="438" t="s">
        <v>452</v>
      </c>
      <c r="L98" s="438" t="s">
        <v>452</v>
      </c>
      <c r="O98" s="443">
        <v>0.86197104782418632</v>
      </c>
      <c r="P98" s="456">
        <v>0.4</v>
      </c>
      <c r="Q98" s="456">
        <v>0.5</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65" t="s">
        <v>970</v>
      </c>
      <c r="C101" s="457">
        <v>0.39560520949447364</v>
      </c>
      <c r="D101" s="456">
        <v>3.2347829284630994E-2</v>
      </c>
      <c r="E101" s="456">
        <v>0.36325738020984261</v>
      </c>
      <c r="F101" s="456"/>
      <c r="G101" s="460"/>
      <c r="H101" s="457">
        <v>3.2784962112801679E-3</v>
      </c>
      <c r="I101" s="456"/>
      <c r="J101" s="460"/>
      <c r="K101" s="456" t="s">
        <v>452</v>
      </c>
      <c r="L101" s="456" t="s">
        <v>452</v>
      </c>
      <c r="M101" s="461"/>
      <c r="N101" s="461"/>
      <c r="O101" s="457">
        <v>5.3945646508828942</v>
      </c>
      <c r="P101" s="456">
        <v>0.44110252393959576</v>
      </c>
      <c r="Q101" s="456">
        <v>4.9534621269432986</v>
      </c>
      <c r="R101" s="456"/>
      <c r="S101" s="467"/>
      <c r="T101" s="457">
        <v>4.4706336885769846E-2</v>
      </c>
      <c r="U101" s="456"/>
      <c r="V101" s="460"/>
      <c r="W101" s="456" t="s">
        <v>452</v>
      </c>
      <c r="X101" s="456"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65" t="s">
        <v>1062</v>
      </c>
      <c r="C106" s="457">
        <v>0.3</v>
      </c>
      <c r="D106" s="438" t="s">
        <v>452</v>
      </c>
      <c r="E106" s="438">
        <v>0.3</v>
      </c>
      <c r="F106" s="438" t="s">
        <v>452</v>
      </c>
      <c r="G106" s="441"/>
      <c r="H106" s="443" t="s">
        <v>452</v>
      </c>
      <c r="I106" s="438" t="s">
        <v>452</v>
      </c>
      <c r="J106" s="441"/>
      <c r="K106" s="438" t="s">
        <v>452</v>
      </c>
      <c r="L106" s="438" t="s">
        <v>452</v>
      </c>
      <c r="O106" s="457">
        <v>5.5</v>
      </c>
      <c r="P106" s="438" t="s">
        <v>452</v>
      </c>
      <c r="Q106" s="438">
        <v>5.5</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65" t="s">
        <v>25</v>
      </c>
      <c r="C109" s="468">
        <f>D109+E109</f>
        <v>1.0442770003588087</v>
      </c>
      <c r="D109" s="469">
        <v>0.15794761392177969</v>
      </c>
      <c r="E109" s="469">
        <v>0.88632938643702897</v>
      </c>
      <c r="F109" s="469" t="s">
        <v>452</v>
      </c>
      <c r="G109" s="470"/>
      <c r="H109" s="468">
        <f>I109+L109+K109</f>
        <v>0.32400430570505923</v>
      </c>
      <c r="I109" s="469">
        <v>3.6957301758162898E-2</v>
      </c>
      <c r="J109" s="470"/>
      <c r="K109" s="469">
        <v>0</v>
      </c>
      <c r="L109" s="469">
        <v>0.28704700394689631</v>
      </c>
      <c r="M109" s="270"/>
      <c r="N109" s="270"/>
      <c r="O109" s="468">
        <f>P109+Q109</f>
        <v>7.5227460711331666</v>
      </c>
      <c r="P109" s="469">
        <v>1.1378205128205128</v>
      </c>
      <c r="Q109" s="469">
        <v>6.3849255583126538</v>
      </c>
      <c r="R109" s="469" t="s">
        <v>452</v>
      </c>
      <c r="S109" s="471"/>
      <c r="T109" s="468">
        <f>U109+W109+X109</f>
        <v>2.3340570719602978</v>
      </c>
      <c r="U109" s="469">
        <v>0.26623242349048798</v>
      </c>
      <c r="V109" s="470"/>
      <c r="W109" s="469">
        <v>0</v>
      </c>
      <c r="X109" s="469">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65" t="s">
        <v>1066</v>
      </c>
      <c r="C112" s="457">
        <v>2.6</v>
      </c>
      <c r="D112" s="456">
        <v>0.2</v>
      </c>
      <c r="E112" s="456">
        <v>2.4</v>
      </c>
      <c r="F112" s="438" t="s">
        <v>452</v>
      </c>
      <c r="G112" s="441"/>
      <c r="H112" s="443">
        <v>2.8</v>
      </c>
      <c r="I112" s="438" t="s">
        <v>452</v>
      </c>
      <c r="J112" s="441"/>
      <c r="K112" s="456">
        <v>2.8</v>
      </c>
      <c r="L112" s="438" t="s">
        <v>452</v>
      </c>
      <c r="O112" s="457">
        <v>2.2999999999999998</v>
      </c>
      <c r="P112" s="456">
        <v>0.3</v>
      </c>
      <c r="Q112" s="456">
        <v>2.1</v>
      </c>
      <c r="R112" s="438" t="s">
        <v>452</v>
      </c>
      <c r="S112" s="437"/>
      <c r="T112" s="443">
        <v>2.2999999999999998</v>
      </c>
      <c r="U112" s="438" t="s">
        <v>452</v>
      </c>
      <c r="V112" s="441"/>
      <c r="W112" s="456">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s="270" customFormat="1">
      <c r="B129" s="465" t="s">
        <v>1077</v>
      </c>
      <c r="C129" s="457">
        <v>0.6</v>
      </c>
      <c r="D129" s="456">
        <v>0.3</v>
      </c>
      <c r="E129" s="456">
        <v>0.3</v>
      </c>
      <c r="F129" s="456" t="s">
        <v>452</v>
      </c>
      <c r="G129" s="460"/>
      <c r="H129" s="457" t="s">
        <v>452</v>
      </c>
      <c r="I129" s="456" t="s">
        <v>452</v>
      </c>
      <c r="J129" s="460"/>
      <c r="K129" s="456" t="s">
        <v>452</v>
      </c>
      <c r="L129" s="456" t="s">
        <v>452</v>
      </c>
      <c r="M129" s="461"/>
      <c r="N129" s="461"/>
      <c r="O129" s="457">
        <v>0.7</v>
      </c>
      <c r="P129" s="456">
        <v>0.3</v>
      </c>
      <c r="Q129" s="456">
        <v>0.4</v>
      </c>
      <c r="R129" s="456" t="s">
        <v>452</v>
      </c>
      <c r="S129" s="467"/>
      <c r="T129" s="457" t="s">
        <v>452</v>
      </c>
      <c r="U129" s="456" t="s">
        <v>452</v>
      </c>
      <c r="V129" s="460"/>
      <c r="W129" s="456" t="s">
        <v>452</v>
      </c>
      <c r="X129" s="456" t="s">
        <v>452</v>
      </c>
      <c r="AB129" s="466"/>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65" t="s">
        <v>1079</v>
      </c>
      <c r="C131" s="457">
        <v>0.05</v>
      </c>
      <c r="D131" s="456">
        <v>0.01</v>
      </c>
      <c r="E131" s="456">
        <f>C131-D131</f>
        <v>0.04</v>
      </c>
      <c r="F131" s="438" t="s">
        <v>452</v>
      </c>
      <c r="G131" s="441"/>
      <c r="H131" s="443" t="s">
        <v>452</v>
      </c>
      <c r="I131" s="438" t="s">
        <v>452</v>
      </c>
      <c r="J131" s="441"/>
      <c r="K131" s="438" t="s">
        <v>452</v>
      </c>
      <c r="L131" s="438" t="s">
        <v>452</v>
      </c>
      <c r="O131" s="457">
        <v>2.9</v>
      </c>
      <c r="P131" s="456">
        <v>0.7</v>
      </c>
      <c r="Q131" s="456">
        <f>O131-P131</f>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6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56">
        <v>2</v>
      </c>
      <c r="Q134" s="456">
        <v>3.3</v>
      </c>
      <c r="R134" s="438" t="s">
        <v>452</v>
      </c>
      <c r="S134" s="437"/>
      <c r="T134" s="443" t="s">
        <v>452</v>
      </c>
      <c r="U134" s="438" t="s">
        <v>452</v>
      </c>
      <c r="V134" s="441"/>
      <c r="W134" s="438" t="s">
        <v>452</v>
      </c>
      <c r="X134" s="438" t="s">
        <v>452</v>
      </c>
      <c r="AB134" s="403"/>
    </row>
    <row r="135" spans="2:28">
      <c r="B135" s="465" t="s">
        <v>1082</v>
      </c>
      <c r="C135" s="457">
        <v>0.5</v>
      </c>
      <c r="D135" s="456">
        <v>0.02</v>
      </c>
      <c r="E135" s="456">
        <v>0.5</v>
      </c>
      <c r="F135" s="438" t="s">
        <v>452</v>
      </c>
      <c r="G135" s="441"/>
      <c r="H135" s="443" t="s">
        <v>452</v>
      </c>
      <c r="I135" s="438" t="s">
        <v>452</v>
      </c>
      <c r="J135" s="441"/>
      <c r="K135" s="438" t="s">
        <v>452</v>
      </c>
      <c r="L135" s="438" t="s">
        <v>452</v>
      </c>
      <c r="O135" s="457">
        <v>2.4</v>
      </c>
      <c r="P135" s="456">
        <v>0.1042711950874536</v>
      </c>
      <c r="Q135" s="456">
        <v>2.2999999999999998</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65" t="s">
        <v>1250</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65" t="s">
        <v>1087</v>
      </c>
      <c r="C144" s="457">
        <v>0.28477378702802825</v>
      </c>
      <c r="D144" s="456">
        <v>8.0281100154544302E-2</v>
      </c>
      <c r="E144" s="456">
        <v>0.20449268687348396</v>
      </c>
      <c r="F144" s="456" t="s">
        <v>452</v>
      </c>
      <c r="G144" s="460"/>
      <c r="H144" s="457" t="s">
        <v>452</v>
      </c>
      <c r="I144" s="456" t="s">
        <v>452</v>
      </c>
      <c r="J144" s="460"/>
      <c r="K144" s="456" t="s">
        <v>452</v>
      </c>
      <c r="L144" s="456" t="s">
        <v>452</v>
      </c>
      <c r="M144" s="461"/>
      <c r="N144" s="461"/>
      <c r="O144" s="457">
        <v>1.4974346386597168</v>
      </c>
      <c r="P144" s="456">
        <v>0.42214454306249971</v>
      </c>
      <c r="Q144" s="456">
        <v>1.0752900955972171</v>
      </c>
      <c r="R144" s="456" t="s">
        <v>452</v>
      </c>
      <c r="S144" s="467"/>
      <c r="T144" s="457" t="s">
        <v>452</v>
      </c>
      <c r="U144" s="456" t="s">
        <v>452</v>
      </c>
      <c r="V144" s="460"/>
      <c r="W144" s="456" t="s">
        <v>452</v>
      </c>
      <c r="X144" s="456"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65" t="s">
        <v>1094</v>
      </c>
      <c r="C152" s="457">
        <v>2.6958800000000002E-2</v>
      </c>
      <c r="D152" s="456">
        <v>1.7004100000000001E-2</v>
      </c>
      <c r="E152" s="456">
        <v>9.9539999999999993E-3</v>
      </c>
      <c r="F152" s="438" t="s">
        <v>452</v>
      </c>
      <c r="G152" s="441"/>
      <c r="H152" s="443" t="s">
        <v>452</v>
      </c>
      <c r="I152" s="438" t="s">
        <v>452</v>
      </c>
      <c r="J152" s="441"/>
      <c r="K152" s="438" t="s">
        <v>452</v>
      </c>
      <c r="L152" s="438" t="s">
        <v>452</v>
      </c>
      <c r="O152" s="457">
        <v>1.161635</v>
      </c>
      <c r="P152" s="456">
        <v>0.73269499999999999</v>
      </c>
      <c r="Q152" s="456">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65" t="s">
        <v>1105</v>
      </c>
      <c r="C169" s="457">
        <f>SUM(D169:E169)</f>
        <v>0.31807473534169084</v>
      </c>
      <c r="D169" s="456">
        <v>2.7074735341690831E-2</v>
      </c>
      <c r="E169" s="456">
        <v>0.29099999999999998</v>
      </c>
      <c r="F169" s="438" t="s">
        <v>452</v>
      </c>
      <c r="G169" s="441"/>
      <c r="H169" s="457">
        <v>0.13339999999999999</v>
      </c>
      <c r="I169" s="456">
        <v>0.13339999999999999</v>
      </c>
      <c r="J169" s="441"/>
      <c r="K169" s="438" t="s">
        <v>452</v>
      </c>
      <c r="L169" s="438" t="s">
        <v>452</v>
      </c>
      <c r="O169" s="457">
        <f>SUM(P169:Q169)</f>
        <v>4.2</v>
      </c>
      <c r="P169" s="456">
        <v>0.3</v>
      </c>
      <c r="Q169" s="456">
        <v>3.9</v>
      </c>
      <c r="R169" s="438" t="s">
        <v>452</v>
      </c>
      <c r="S169" s="437"/>
      <c r="T169" s="457">
        <v>1.8</v>
      </c>
      <c r="U169" s="456">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65" t="s">
        <v>1108</v>
      </c>
      <c r="C172" s="457">
        <v>8.6999999999999994E-2</v>
      </c>
      <c r="D172" s="456">
        <v>1.9E-2</v>
      </c>
      <c r="E172" s="456">
        <v>6.7000000000000004E-2</v>
      </c>
      <c r="F172" s="456" t="s">
        <v>452</v>
      </c>
      <c r="G172" s="460"/>
      <c r="H172" s="457">
        <v>1.7000000000000001E-2</v>
      </c>
      <c r="I172" s="456">
        <v>1.7000000000000001E-2</v>
      </c>
      <c r="J172" s="441"/>
      <c r="K172" s="438" t="s">
        <v>452</v>
      </c>
      <c r="L172" s="438" t="s">
        <v>452</v>
      </c>
      <c r="O172" s="457">
        <v>2.96</v>
      </c>
      <c r="P172" s="456">
        <v>0.66</v>
      </c>
      <c r="Q172" s="456">
        <v>2.31</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65" t="s">
        <v>1112</v>
      </c>
      <c r="C177" s="457">
        <v>0.25004228280000002</v>
      </c>
      <c r="D177" s="456">
        <v>0.12940635810000001</v>
      </c>
      <c r="E177" s="456">
        <v>0.12063592469999999</v>
      </c>
      <c r="F177" s="456"/>
      <c r="G177" s="460"/>
      <c r="H177" s="474">
        <v>3.6931601000000001E-2</v>
      </c>
      <c r="I177" s="475">
        <v>3.4191868E-2</v>
      </c>
      <c r="J177" s="460"/>
      <c r="K177" s="475">
        <v>2.7397329999999998E-3</v>
      </c>
      <c r="L177" s="456"/>
      <c r="M177" s="461"/>
      <c r="N177" s="461"/>
      <c r="O177" s="457">
        <v>2.2243652000000003</v>
      </c>
      <c r="P177" s="456">
        <v>1.1511933000000001</v>
      </c>
      <c r="Q177" s="456">
        <v>1.0731719</v>
      </c>
      <c r="R177" s="456"/>
      <c r="S177" s="467"/>
      <c r="T177" s="457">
        <v>0.328551914</v>
      </c>
      <c r="U177" s="456">
        <v>0.30417936800000001</v>
      </c>
      <c r="V177" s="460"/>
      <c r="W177" s="456">
        <v>2.4372545999999998E-2</v>
      </c>
      <c r="X177" s="438"/>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65" t="s">
        <v>1116</v>
      </c>
      <c r="C185" s="443">
        <v>0.3457141711808544</v>
      </c>
      <c r="D185" s="438">
        <v>0.10803567849401699</v>
      </c>
      <c r="E185" s="438">
        <v>0.23767849268683738</v>
      </c>
      <c r="F185" s="438" t="s">
        <v>452</v>
      </c>
      <c r="G185" s="441"/>
      <c r="H185" s="443" t="s">
        <v>452</v>
      </c>
      <c r="I185" s="438" t="s">
        <v>452</v>
      </c>
      <c r="J185" s="441"/>
      <c r="K185" s="454"/>
      <c r="L185" s="438" t="s">
        <v>452</v>
      </c>
      <c r="O185" s="443">
        <v>3.3151884089597101</v>
      </c>
      <c r="P185" s="438">
        <v>1.0359963777999093</v>
      </c>
      <c r="Q185" s="438">
        <v>2.2791920311598006</v>
      </c>
      <c r="R185" s="438" t="s">
        <v>452</v>
      </c>
      <c r="S185" s="437"/>
      <c r="T185" s="443" t="s">
        <v>452</v>
      </c>
      <c r="U185" s="438" t="s">
        <v>452</v>
      </c>
      <c r="V185" s="441"/>
      <c r="W185" s="453"/>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65" t="s">
        <v>1119</v>
      </c>
      <c r="C189" s="457">
        <v>2.84958024691358E-2</v>
      </c>
      <c r="D189" s="456">
        <v>1.8449999999999994E-2</v>
      </c>
      <c r="E189" s="456">
        <v>1.0045802469135804E-2</v>
      </c>
      <c r="F189" s="456" t="s">
        <v>452</v>
      </c>
      <c r="G189" s="460"/>
      <c r="H189" s="457" t="s">
        <v>452</v>
      </c>
      <c r="I189" s="456">
        <v>1.0864197530864197E-2</v>
      </c>
      <c r="J189" s="460"/>
      <c r="K189" s="456" t="s">
        <v>452</v>
      </c>
      <c r="L189" s="456" t="s">
        <v>452</v>
      </c>
      <c r="M189" s="461"/>
      <c r="N189" s="461"/>
      <c r="O189" s="457">
        <v>1.8707825875297972</v>
      </c>
      <c r="P189" s="456">
        <v>1.2112639669407252</v>
      </c>
      <c r="Q189" s="456">
        <v>0.65951862058907196</v>
      </c>
      <c r="R189" s="456" t="s">
        <v>452</v>
      </c>
      <c r="S189" s="467"/>
      <c r="T189" s="457">
        <v>0.71324720861041802</v>
      </c>
      <c r="U189" s="456">
        <v>0.71324720861041802</v>
      </c>
      <c r="V189" s="460"/>
      <c r="W189" s="456" t="s">
        <v>452</v>
      </c>
      <c r="X189" s="456"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65" t="s">
        <v>1122</v>
      </c>
      <c r="C192" s="457">
        <v>0.45</v>
      </c>
      <c r="D192" s="456">
        <v>0.24</v>
      </c>
      <c r="E192" s="456">
        <v>0.21000000000000002</v>
      </c>
      <c r="F192" s="438" t="s">
        <v>452</v>
      </c>
      <c r="G192" s="441"/>
      <c r="H192" s="443" t="s">
        <v>452</v>
      </c>
      <c r="I192" s="438" t="s">
        <v>452</v>
      </c>
      <c r="J192" s="441"/>
      <c r="K192" s="438" t="s">
        <v>452</v>
      </c>
      <c r="L192" s="438" t="s">
        <v>452</v>
      </c>
      <c r="O192" s="457">
        <v>1</v>
      </c>
      <c r="P192" s="456">
        <v>0.54</v>
      </c>
      <c r="Q192" s="456">
        <f>O192-P192</f>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65" t="s">
        <v>1126</v>
      </c>
      <c r="C196" s="443">
        <f>SUM(D196:E196)</f>
        <v>0.26490000000000002</v>
      </c>
      <c r="D196" s="455">
        <v>0.16880000000000001</v>
      </c>
      <c r="E196" s="456">
        <v>9.6100000000000005E-2</v>
      </c>
      <c r="F196" s="475">
        <v>3.4000000000000002E-2</v>
      </c>
      <c r="G196" s="441"/>
      <c r="H196" s="443" t="s">
        <v>452</v>
      </c>
      <c r="I196" s="438" t="s">
        <v>452</v>
      </c>
      <c r="J196" s="441"/>
      <c r="K196" s="438" t="s">
        <v>452</v>
      </c>
      <c r="L196" s="438" t="s">
        <v>452</v>
      </c>
      <c r="O196" s="457">
        <f>SUM(P196:Q196)</f>
        <v>4.66</v>
      </c>
      <c r="P196" s="456">
        <v>2.97</v>
      </c>
      <c r="Q196" s="456">
        <v>1.69</v>
      </c>
      <c r="R196" s="438">
        <v>0.6</v>
      </c>
      <c r="S196" s="437"/>
      <c r="T196" s="443" t="s">
        <v>452</v>
      </c>
      <c r="U196" s="438" t="s">
        <v>452</v>
      </c>
      <c r="V196" s="441"/>
      <c r="W196" s="438" t="s">
        <v>452</v>
      </c>
      <c r="X196" s="438" t="s">
        <v>452</v>
      </c>
      <c r="AB196" s="403"/>
    </row>
    <row r="197" spans="2:28">
      <c r="B197" s="466" t="s">
        <v>1127</v>
      </c>
      <c r="C197" s="458">
        <v>6.698215662646835E-2</v>
      </c>
      <c r="D197" s="459">
        <v>5.1098875436668051E-2</v>
      </c>
      <c r="E197" s="459">
        <v>1.58832811898003E-2</v>
      </c>
      <c r="F197" s="456" t="s">
        <v>452</v>
      </c>
      <c r="G197" s="460"/>
      <c r="H197" s="458">
        <v>0.24783674593153771</v>
      </c>
      <c r="I197" s="459">
        <v>0.24783674593153771</v>
      </c>
      <c r="J197" s="460"/>
      <c r="K197" s="456" t="s">
        <v>452</v>
      </c>
      <c r="L197" s="456" t="s">
        <v>452</v>
      </c>
      <c r="M197" s="461"/>
      <c r="N197" s="461"/>
      <c r="O197" s="457">
        <v>1.7729503277919274</v>
      </c>
      <c r="P197" s="456">
        <v>0.50553140168712718</v>
      </c>
      <c r="Q197" s="456">
        <v>1.2674189261048001</v>
      </c>
      <c r="R197" s="438" t="s">
        <v>452</v>
      </c>
      <c r="S197" s="437"/>
      <c r="T197" s="458">
        <v>0.63354074260132731</v>
      </c>
      <c r="U197" s="459">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2" t="s">
        <v>1130</v>
      </c>
      <c r="C204" s="462">
        <v>5772.7515475438931</v>
      </c>
      <c r="D204" s="463">
        <v>591.33370255933994</v>
      </c>
      <c r="E204" s="463">
        <v>5175.6861250806205</v>
      </c>
      <c r="F204" s="448">
        <f>SUM(F8:F202)-IF(F10="", 0, F10)</f>
        <v>778.47731064844447</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5" spans="2:28">
      <c r="B205" s="442" t="s">
        <v>1243</v>
      </c>
      <c r="C205" s="464">
        <f>SUM(C8:C202)-C10</f>
        <v>10614.767346239489</v>
      </c>
      <c r="D205" s="464">
        <f>SUM(D8:D202)-D10</f>
        <v>1412.9562038963618</v>
      </c>
      <c r="E205" s="464">
        <f>SUM(E8:E202)-E10</f>
        <v>9114.125989176182</v>
      </c>
      <c r="F205" s="464">
        <f>SUM(F8:F202)</f>
        <v>778.47731064844447</v>
      </c>
      <c r="G205" s="435"/>
      <c r="H205" s="464">
        <f>SUM(H8:H202)-H10</f>
        <v>6084.4066912085809</v>
      </c>
      <c r="I205" s="464">
        <f>SUM(I8:I202)-I10</f>
        <v>368.91457842819864</v>
      </c>
      <c r="J205" s="435"/>
      <c r="K205" s="464">
        <f>SUM(K8:K202)-K10</f>
        <v>4020.5335981133289</v>
      </c>
      <c r="L205" s="464">
        <f>SUM(L8:L202)</f>
        <v>1694.966100368368</v>
      </c>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23" t="s">
        <v>1251</v>
      </c>
      <c r="C208" s="623"/>
      <c r="D208" s="623"/>
      <c r="E208" s="623"/>
      <c r="F208" s="623"/>
      <c r="G208" s="623"/>
      <c r="H208" s="623"/>
      <c r="I208" s="623"/>
      <c r="J208" s="623"/>
      <c r="K208" s="623"/>
      <c r="L208" s="623"/>
      <c r="M208" s="623"/>
      <c r="N208" s="623"/>
      <c r="O208" s="623"/>
      <c r="P208" s="623"/>
      <c r="Q208" s="623"/>
      <c r="R208" s="623"/>
      <c r="S208" s="623"/>
      <c r="T208" s="623"/>
      <c r="U208" s="623"/>
      <c r="V208" s="623"/>
      <c r="W208" s="623"/>
    </row>
    <row r="209" spans="2:2">
      <c r="B209" s="33" t="s">
        <v>1242</v>
      </c>
    </row>
    <row r="210" spans="2:2">
      <c r="B210" s="33" t="s">
        <v>1244</v>
      </c>
    </row>
  </sheetData>
  <mergeCells count="15">
    <mergeCell ref="U5:U6"/>
    <mergeCell ref="W5:X5"/>
    <mergeCell ref="B208:W208"/>
    <mergeCell ref="C5:E5"/>
    <mergeCell ref="F5:F6"/>
    <mergeCell ref="I5:I6"/>
    <mergeCell ref="K5:L5"/>
    <mergeCell ref="O5:Q5"/>
    <mergeCell ref="R5:R6"/>
    <mergeCell ref="B3:L3"/>
    <mergeCell ref="N3:X3"/>
    <mergeCell ref="C4:F4"/>
    <mergeCell ref="H4:L4"/>
    <mergeCell ref="O4:R4"/>
    <mergeCell ref="T4:X4"/>
  </mergeCells>
  <pageMargins left="0.7" right="0.7" top="0.75" bottom="0.75" header="0.3" footer="0.3"/>
  <pageSetup scale="6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8A32-8A89-45AA-AF74-656E20945902}">
  <sheetPr>
    <pageSetUpPr fitToPage="1"/>
  </sheetPr>
  <dimension ref="A1:AB210"/>
  <sheetViews>
    <sheetView showGridLines="0" view="pageBreakPreview" zoomScaleNormal="100" zoomScaleSheetLayoutView="100" workbookViewId="0">
      <pane xSplit="2" ySplit="7" topLeftCell="C179" activePane="bottomRight" state="frozen"/>
      <selection pane="topRight" activeCell="C1" sqref="C1"/>
      <selection pane="bottomLeft" activeCell="A8" sqref="A8"/>
      <selection pane="bottomRight" activeCell="D195" sqref="D195"/>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91" t="s">
        <v>437</v>
      </c>
      <c r="C3" s="692"/>
      <c r="D3" s="692"/>
      <c r="E3" s="692"/>
      <c r="F3" s="692"/>
      <c r="G3" s="692"/>
      <c r="H3" s="692"/>
      <c r="I3" s="692"/>
      <c r="J3" s="692"/>
      <c r="K3" s="692"/>
      <c r="L3" s="692"/>
      <c r="M3" s="425"/>
      <c r="N3" s="691" t="s">
        <v>456</v>
      </c>
      <c r="O3" s="692"/>
      <c r="P3" s="692"/>
      <c r="Q3" s="692"/>
      <c r="R3" s="692"/>
      <c r="S3" s="692"/>
      <c r="T3" s="692"/>
      <c r="U3" s="692"/>
      <c r="V3" s="692"/>
      <c r="W3" s="692"/>
      <c r="X3" s="692"/>
    </row>
    <row r="4" spans="1:28" ht="11.15" customHeight="1">
      <c r="A4" s="296"/>
      <c r="B4" s="426"/>
      <c r="C4" s="679" t="s">
        <v>586</v>
      </c>
      <c r="D4" s="679"/>
      <c r="E4" s="679"/>
      <c r="F4" s="679"/>
      <c r="G4" s="427"/>
      <c r="H4" s="689" t="s">
        <v>773</v>
      </c>
      <c r="I4" s="689"/>
      <c r="J4" s="689"/>
      <c r="K4" s="689"/>
      <c r="L4" s="689"/>
      <c r="M4" s="427"/>
      <c r="N4" s="428"/>
      <c r="O4" s="679" t="s">
        <v>586</v>
      </c>
      <c r="P4" s="679"/>
      <c r="Q4" s="679"/>
      <c r="R4" s="679"/>
      <c r="S4" s="427"/>
      <c r="T4" s="689" t="s">
        <v>773</v>
      </c>
      <c r="U4" s="689"/>
      <c r="V4" s="689"/>
      <c r="W4" s="689"/>
      <c r="X4" s="689"/>
      <c r="AB4" s="307"/>
    </row>
    <row r="5" spans="1:28" ht="27" customHeight="1">
      <c r="A5" s="296"/>
      <c r="B5" s="426"/>
      <c r="C5" s="689" t="s">
        <v>770</v>
      </c>
      <c r="D5" s="689"/>
      <c r="E5" s="689"/>
      <c r="F5" s="690" t="s">
        <v>771</v>
      </c>
      <c r="G5" s="427"/>
      <c r="H5" s="429"/>
      <c r="I5" s="685" t="s">
        <v>778</v>
      </c>
      <c r="J5" s="429"/>
      <c r="K5" s="679" t="s">
        <v>211</v>
      </c>
      <c r="L5" s="679"/>
      <c r="M5" s="427"/>
      <c r="N5" s="428"/>
      <c r="O5" s="689" t="s">
        <v>770</v>
      </c>
      <c r="P5" s="689"/>
      <c r="Q5" s="689"/>
      <c r="R5" s="690" t="s">
        <v>771</v>
      </c>
      <c r="S5" s="427"/>
      <c r="T5" s="429"/>
      <c r="U5" s="685" t="s">
        <v>778</v>
      </c>
      <c r="V5" s="429"/>
      <c r="W5" s="679" t="s">
        <v>211</v>
      </c>
      <c r="X5" s="679"/>
      <c r="AB5" s="307"/>
    </row>
    <row r="6" spans="1:28" ht="29.5" customHeight="1">
      <c r="A6" s="296"/>
      <c r="B6" s="430"/>
      <c r="C6" s="312" t="s">
        <v>429</v>
      </c>
      <c r="D6" s="313" t="s">
        <v>769</v>
      </c>
      <c r="E6" s="313" t="s">
        <v>772</v>
      </c>
      <c r="F6" s="684"/>
      <c r="G6" s="431"/>
      <c r="H6" s="315" t="s">
        <v>429</v>
      </c>
      <c r="I6" s="686"/>
      <c r="J6" s="316"/>
      <c r="K6" s="316" t="s">
        <v>587</v>
      </c>
      <c r="L6" s="316" t="s">
        <v>588</v>
      </c>
      <c r="M6" s="432"/>
      <c r="N6" s="433"/>
      <c r="O6" s="312" t="s">
        <v>429</v>
      </c>
      <c r="P6" s="313" t="s">
        <v>769</v>
      </c>
      <c r="Q6" s="313" t="s">
        <v>772</v>
      </c>
      <c r="R6" s="684"/>
      <c r="S6" s="431"/>
      <c r="T6" s="315" t="s">
        <v>429</v>
      </c>
      <c r="U6" s="686"/>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25.6</v>
      </c>
      <c r="D42" s="438">
        <v>4</v>
      </c>
      <c r="E42" s="438">
        <v>21.6</v>
      </c>
      <c r="F42" s="438">
        <v>2.1</v>
      </c>
      <c r="G42" s="437"/>
      <c r="H42" s="443">
        <v>11</v>
      </c>
      <c r="I42" s="438">
        <v>0.9</v>
      </c>
      <c r="J42" s="441"/>
      <c r="K42" s="438">
        <v>10.1</v>
      </c>
      <c r="L42" s="438" t="s">
        <v>452</v>
      </c>
      <c r="O42" s="443">
        <v>6.8</v>
      </c>
      <c r="P42" s="438">
        <v>1.1000000000000001</v>
      </c>
      <c r="Q42" s="438">
        <v>5.6999999999999993</v>
      </c>
      <c r="R42" s="438">
        <v>0.5</v>
      </c>
      <c r="S42" s="437"/>
      <c r="T42" s="443">
        <v>3</v>
      </c>
      <c r="U42" s="438">
        <v>0.3</v>
      </c>
      <c r="V42" s="441"/>
      <c r="W42" s="438">
        <v>2.7</v>
      </c>
      <c r="X42" s="438" t="s">
        <v>452</v>
      </c>
      <c r="AB42" s="404"/>
    </row>
    <row r="43" spans="2:28">
      <c r="B43" s="7" t="s">
        <v>1018</v>
      </c>
      <c r="C43" s="443">
        <v>2.3484922014</v>
      </c>
      <c r="D43" s="438">
        <v>0.20480000000000001</v>
      </c>
      <c r="E43" s="438">
        <v>2.1436922013999999</v>
      </c>
      <c r="F43" s="438" t="s">
        <v>452</v>
      </c>
      <c r="G43" s="437"/>
      <c r="H43" s="443">
        <v>0.81499999999999995</v>
      </c>
      <c r="I43" s="438">
        <v>0</v>
      </c>
      <c r="J43" s="441"/>
      <c r="K43" s="438">
        <v>0.81499999999999995</v>
      </c>
      <c r="L43" s="438" t="s">
        <v>452</v>
      </c>
      <c r="O43" s="443">
        <v>8.3915390415377136</v>
      </c>
      <c r="P43" s="438">
        <v>0.73178322443754651</v>
      </c>
      <c r="Q43" s="438">
        <v>7.6597558171001667</v>
      </c>
      <c r="R43" s="438" t="s">
        <v>452</v>
      </c>
      <c r="S43" s="437"/>
      <c r="T43" s="443">
        <v>2.9</v>
      </c>
      <c r="U43" s="438">
        <v>0</v>
      </c>
      <c r="V43" s="441"/>
      <c r="W43" s="438">
        <v>2.9</v>
      </c>
      <c r="X43" s="438" t="s">
        <v>452</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38">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3.6</v>
      </c>
      <c r="P63" s="438">
        <v>0.2</v>
      </c>
      <c r="Q63" s="438">
        <v>3.4</v>
      </c>
      <c r="R63" s="438">
        <v>1.7</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0.22800000000000001</v>
      </c>
      <c r="D67" s="438">
        <v>3.5000000000000003E-2</v>
      </c>
      <c r="E67" s="438">
        <v>0.193</v>
      </c>
      <c r="F67" s="438">
        <v>0.09</v>
      </c>
      <c r="G67" s="441"/>
      <c r="H67" s="443">
        <v>8.1000000000000003E-2</v>
      </c>
      <c r="I67" s="438">
        <v>8.1000000000000003E-2</v>
      </c>
      <c r="J67" s="441"/>
      <c r="K67" s="438" t="s">
        <v>452</v>
      </c>
      <c r="L67" s="438" t="s">
        <v>452</v>
      </c>
      <c r="O67" s="443">
        <v>2.02</v>
      </c>
      <c r="P67" s="438">
        <v>0.31</v>
      </c>
      <c r="Q67" s="438">
        <v>1.71</v>
      </c>
      <c r="R67" s="438">
        <v>0.8</v>
      </c>
      <c r="S67" s="437"/>
      <c r="T67" s="443" t="s">
        <v>452</v>
      </c>
      <c r="U67" s="438"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15" t="s">
        <v>1043</v>
      </c>
      <c r="C80" s="443">
        <v>0.85922642158120055</v>
      </c>
      <c r="D80" s="438">
        <v>0.19828302036489243</v>
      </c>
      <c r="E80" s="438">
        <v>0.66094340121630812</v>
      </c>
      <c r="F80" s="438">
        <v>0.4</v>
      </c>
      <c r="G80" s="441"/>
      <c r="H80" s="443" t="s">
        <v>452</v>
      </c>
      <c r="I80" s="438" t="s">
        <v>452</v>
      </c>
      <c r="J80" s="441"/>
      <c r="K80" s="438" t="s">
        <v>452</v>
      </c>
      <c r="L80" s="438" t="s">
        <v>452</v>
      </c>
      <c r="O80" s="443">
        <v>1.429352585851031</v>
      </c>
      <c r="P80" s="438">
        <v>0.32985059673485329</v>
      </c>
      <c r="Q80" s="438">
        <v>1.0995019891161777</v>
      </c>
      <c r="R80" s="438">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0.05</v>
      </c>
      <c r="E98" s="438">
        <v>7.6890873087614206E-2</v>
      </c>
      <c r="F98" s="438" t="s">
        <v>452</v>
      </c>
      <c r="G98" s="441"/>
      <c r="H98" s="443" t="s">
        <v>452</v>
      </c>
      <c r="I98" s="438" t="s">
        <v>452</v>
      </c>
      <c r="J98" s="441"/>
      <c r="K98" s="438" t="s">
        <v>452</v>
      </c>
      <c r="L98" s="438" t="s">
        <v>452</v>
      </c>
      <c r="O98" s="443">
        <v>0.86197104782418632</v>
      </c>
      <c r="P98" s="438">
        <v>0.4</v>
      </c>
      <c r="Q98" s="438">
        <v>0.4619710478241863</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15" t="s">
        <v>970</v>
      </c>
      <c r="C101" s="443">
        <v>0.39560520949447364</v>
      </c>
      <c r="D101" s="438">
        <v>3.2347829284630994E-2</v>
      </c>
      <c r="E101" s="438">
        <v>0.36325738020984266</v>
      </c>
      <c r="F101" s="438" t="s">
        <v>452</v>
      </c>
      <c r="G101" s="441"/>
      <c r="H101" s="443" t="s">
        <v>452</v>
      </c>
      <c r="I101" s="438">
        <v>0</v>
      </c>
      <c r="J101" s="441"/>
      <c r="K101" s="438" t="s">
        <v>452</v>
      </c>
      <c r="L101" s="438" t="s">
        <v>452</v>
      </c>
      <c r="O101" s="443">
        <v>5.3945646508828942</v>
      </c>
      <c r="P101" s="438">
        <v>0.44110252393959576</v>
      </c>
      <c r="Q101" s="438">
        <v>4.9534621269432986</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0.3</v>
      </c>
      <c r="D106" s="438" t="s">
        <v>452</v>
      </c>
      <c r="E106" s="438">
        <v>0.3</v>
      </c>
      <c r="F106" s="438" t="s">
        <v>452</v>
      </c>
      <c r="G106" s="441"/>
      <c r="H106" s="443" t="s">
        <v>452</v>
      </c>
      <c r="I106" s="438" t="s">
        <v>452</v>
      </c>
      <c r="J106" s="441"/>
      <c r="K106" s="438" t="s">
        <v>452</v>
      </c>
      <c r="L106" s="438" t="s">
        <v>452</v>
      </c>
      <c r="O106" s="443">
        <v>5.5</v>
      </c>
      <c r="P106" s="438" t="s">
        <v>452</v>
      </c>
      <c r="Q106" s="438">
        <v>5.5</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15" t="s">
        <v>25</v>
      </c>
      <c r="C109" s="443">
        <v>1.0442770003588087</v>
      </c>
      <c r="D109" s="438">
        <v>0.15794761392177969</v>
      </c>
      <c r="E109" s="438">
        <v>0.88632938643702897</v>
      </c>
      <c r="F109" s="438" t="s">
        <v>452</v>
      </c>
      <c r="G109" s="441"/>
      <c r="H109" s="443">
        <v>0.32400430570505923</v>
      </c>
      <c r="I109" s="438">
        <v>3.6957301758162898E-2</v>
      </c>
      <c r="J109" s="441"/>
      <c r="K109" s="438">
        <v>0</v>
      </c>
      <c r="L109" s="438">
        <v>0.28704700394689631</v>
      </c>
      <c r="O109" s="443">
        <v>7.5227460711331666</v>
      </c>
      <c r="P109" s="438">
        <v>1.1378205128205128</v>
      </c>
      <c r="Q109" s="438">
        <v>6.3849255583126538</v>
      </c>
      <c r="R109" s="438" t="s">
        <v>452</v>
      </c>
      <c r="S109" s="437"/>
      <c r="T109" s="443">
        <v>2.3340570719602978</v>
      </c>
      <c r="U109" s="438">
        <v>0.26623242349048798</v>
      </c>
      <c r="V109" s="441"/>
      <c r="W109" s="438">
        <v>0</v>
      </c>
      <c r="X109" s="438">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2.6</v>
      </c>
      <c r="D112" s="438">
        <v>0.2</v>
      </c>
      <c r="E112" s="438">
        <v>2.4</v>
      </c>
      <c r="F112" s="438" t="s">
        <v>452</v>
      </c>
      <c r="G112" s="441"/>
      <c r="H112" s="443">
        <v>2.8</v>
      </c>
      <c r="I112" s="438" t="s">
        <v>452</v>
      </c>
      <c r="J112" s="441"/>
      <c r="K112" s="438">
        <v>2.8</v>
      </c>
      <c r="L112" s="438" t="s">
        <v>452</v>
      </c>
      <c r="O112" s="443">
        <v>2.2999999999999998</v>
      </c>
      <c r="P112" s="438">
        <v>0.3</v>
      </c>
      <c r="Q112" s="438">
        <v>1.9999999999999998</v>
      </c>
      <c r="R112" s="438" t="s">
        <v>452</v>
      </c>
      <c r="S112" s="437"/>
      <c r="T112" s="443">
        <v>2.2999999999999998</v>
      </c>
      <c r="U112" s="438" t="s">
        <v>452</v>
      </c>
      <c r="V112" s="441"/>
      <c r="W112" s="438">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0.6</v>
      </c>
      <c r="D129" s="438">
        <v>0.3</v>
      </c>
      <c r="E129" s="438">
        <v>0.3</v>
      </c>
      <c r="F129" s="438" t="s">
        <v>452</v>
      </c>
      <c r="G129" s="441"/>
      <c r="H129" s="443" t="s">
        <v>452</v>
      </c>
      <c r="I129" s="438" t="s">
        <v>452</v>
      </c>
      <c r="J129" s="441"/>
      <c r="K129" s="438" t="s">
        <v>452</v>
      </c>
      <c r="L129" s="438" t="s">
        <v>452</v>
      </c>
      <c r="O129" s="443">
        <v>0.7</v>
      </c>
      <c r="P129" s="438">
        <v>0.3</v>
      </c>
      <c r="Q129" s="438">
        <v>0.39999999999999997</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0.05</v>
      </c>
      <c r="D131" s="438">
        <v>0.01</v>
      </c>
      <c r="E131" s="438">
        <v>0.04</v>
      </c>
      <c r="F131" s="438" t="s">
        <v>452</v>
      </c>
      <c r="G131" s="441"/>
      <c r="H131" s="443" t="s">
        <v>452</v>
      </c>
      <c r="I131" s="438" t="s">
        <v>452</v>
      </c>
      <c r="J131" s="441"/>
      <c r="K131" s="438" t="s">
        <v>452</v>
      </c>
      <c r="L131" s="438" t="s">
        <v>452</v>
      </c>
      <c r="O131" s="443">
        <v>2.9</v>
      </c>
      <c r="P131" s="438">
        <v>0.7</v>
      </c>
      <c r="Q131" s="438">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2</v>
      </c>
      <c r="Q134" s="438">
        <v>3.2324579383017786</v>
      </c>
      <c r="R134" s="438" t="s">
        <v>452</v>
      </c>
      <c r="S134" s="437"/>
      <c r="T134" s="443" t="s">
        <v>452</v>
      </c>
      <c r="U134" s="438" t="s">
        <v>452</v>
      </c>
      <c r="V134" s="441"/>
      <c r="W134" s="438" t="s">
        <v>452</v>
      </c>
      <c r="X134" s="438" t="s">
        <v>452</v>
      </c>
      <c r="AB134" s="403"/>
    </row>
    <row r="135" spans="2:28">
      <c r="B135" s="415" t="s">
        <v>1082</v>
      </c>
      <c r="C135" s="443">
        <v>0.5</v>
      </c>
      <c r="D135" s="438">
        <v>2.3688519598251804E-2</v>
      </c>
      <c r="E135" s="438">
        <v>0.4763114804017482</v>
      </c>
      <c r="F135" s="438" t="s">
        <v>452</v>
      </c>
      <c r="G135" s="441"/>
      <c r="H135" s="443" t="s">
        <v>452</v>
      </c>
      <c r="I135" s="438" t="s">
        <v>452</v>
      </c>
      <c r="J135" s="441"/>
      <c r="K135" s="438" t="s">
        <v>452</v>
      </c>
      <c r="L135" s="438" t="s">
        <v>452</v>
      </c>
      <c r="O135" s="443">
        <v>2.4</v>
      </c>
      <c r="P135" s="438">
        <v>0.1042711950874536</v>
      </c>
      <c r="Q135" s="438">
        <v>2.2957288049125464</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1250</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15" t="s">
        <v>1087</v>
      </c>
      <c r="C144" s="443">
        <v>0.28477378702802825</v>
      </c>
      <c r="D144" s="438">
        <v>8.0281100154544302E-2</v>
      </c>
      <c r="E144" s="438">
        <v>0.20449268687348393</v>
      </c>
      <c r="F144" s="438" t="s">
        <v>452</v>
      </c>
      <c r="G144" s="441"/>
      <c r="H144" s="443" t="s">
        <v>452</v>
      </c>
      <c r="I144" s="438" t="s">
        <v>452</v>
      </c>
      <c r="J144" s="441"/>
      <c r="K144" s="438" t="s">
        <v>452</v>
      </c>
      <c r="L144" s="438" t="s">
        <v>452</v>
      </c>
      <c r="O144" s="443">
        <v>1.4974346386597168</v>
      </c>
      <c r="P144" s="438">
        <v>0.42214454306249971</v>
      </c>
      <c r="Q144" s="438">
        <v>1.0752900955972171</v>
      </c>
      <c r="R144" s="438" t="s">
        <v>452</v>
      </c>
      <c r="S144" s="437"/>
      <c r="T144" s="443" t="s">
        <v>452</v>
      </c>
      <c r="U144" s="438" t="s">
        <v>452</v>
      </c>
      <c r="V144" s="441"/>
      <c r="W144" s="438" t="s">
        <v>452</v>
      </c>
      <c r="X144" s="438"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2.6958800000000002E-2</v>
      </c>
      <c r="D152" s="438">
        <v>1.7004100000000001E-2</v>
      </c>
      <c r="E152" s="438">
        <v>9.9547000000000004E-3</v>
      </c>
      <c r="F152" s="438" t="s">
        <v>452</v>
      </c>
      <c r="G152" s="441"/>
      <c r="H152" s="443" t="s">
        <v>452</v>
      </c>
      <c r="I152" s="438" t="s">
        <v>452</v>
      </c>
      <c r="J152" s="441"/>
      <c r="K152" s="438" t="s">
        <v>452</v>
      </c>
      <c r="L152" s="438" t="s">
        <v>452</v>
      </c>
      <c r="O152" s="443">
        <v>1.161635</v>
      </c>
      <c r="P152" s="438">
        <v>0.73269499999999999</v>
      </c>
      <c r="Q152" s="438">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v>0.31807473534169084</v>
      </c>
      <c r="D169" s="438">
        <v>2.7074735341690831E-2</v>
      </c>
      <c r="E169" s="438">
        <v>0.29100000000000004</v>
      </c>
      <c r="F169" s="438" t="s">
        <v>452</v>
      </c>
      <c r="G169" s="441"/>
      <c r="H169" s="443">
        <v>0.13339999999999999</v>
      </c>
      <c r="I169" s="438">
        <v>0.13339999999999999</v>
      </c>
      <c r="J169" s="441"/>
      <c r="K169" s="438" t="s">
        <v>452</v>
      </c>
      <c r="L169" s="438" t="s">
        <v>452</v>
      </c>
      <c r="O169" s="443">
        <v>4.2</v>
      </c>
      <c r="P169" s="438">
        <v>0.36195419593312866</v>
      </c>
      <c r="Q169" s="438">
        <v>3.8380458040668715</v>
      </c>
      <c r="R169" s="438" t="s">
        <v>452</v>
      </c>
      <c r="S169" s="437"/>
      <c r="T169" s="443">
        <v>1.8</v>
      </c>
      <c r="U169" s="438">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8.6999999999999994E-2</v>
      </c>
      <c r="D172" s="438">
        <v>1.9E-2</v>
      </c>
      <c r="E172" s="438">
        <v>6.7999999999999991E-2</v>
      </c>
      <c r="F172" s="438" t="s">
        <v>452</v>
      </c>
      <c r="G172" s="441"/>
      <c r="H172" s="443">
        <v>1.7000000000000001E-2</v>
      </c>
      <c r="I172" s="438">
        <v>1.7000000000000001E-2</v>
      </c>
      <c r="J172" s="441"/>
      <c r="K172" s="438" t="s">
        <v>452</v>
      </c>
      <c r="L172" s="438" t="s">
        <v>452</v>
      </c>
      <c r="O172" s="443">
        <v>2.96</v>
      </c>
      <c r="P172" s="438">
        <v>0.66</v>
      </c>
      <c r="Q172" s="438">
        <v>2.2999999999999998</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0.25004228280000002</v>
      </c>
      <c r="D177" s="438">
        <v>0.12940635810000001</v>
      </c>
      <c r="E177" s="438">
        <v>0.12063592470000001</v>
      </c>
      <c r="F177" s="438" t="s">
        <v>452</v>
      </c>
      <c r="G177" s="441"/>
      <c r="H177" s="443">
        <v>3.6931601000000001E-2</v>
      </c>
      <c r="I177" s="438">
        <v>3.4191868E-2</v>
      </c>
      <c r="J177" s="441"/>
      <c r="K177" s="438">
        <v>2.7397329999999998E-3</v>
      </c>
      <c r="L177" s="438" t="s">
        <v>452</v>
      </c>
      <c r="O177" s="443">
        <v>2.2243652000000003</v>
      </c>
      <c r="P177" s="438">
        <v>1.1511933000000001</v>
      </c>
      <c r="Q177" s="438">
        <v>1.0731719000000002</v>
      </c>
      <c r="R177" s="438" t="s">
        <v>452</v>
      </c>
      <c r="S177" s="437"/>
      <c r="T177" s="443">
        <v>0.328551914</v>
      </c>
      <c r="U177" s="438">
        <v>0.30417936800000001</v>
      </c>
      <c r="V177" s="441"/>
      <c r="W177" s="438">
        <v>2.4372545999999998E-2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2.84958024691358E-2</v>
      </c>
      <c r="D189" s="438">
        <v>1.8449999999999994E-2</v>
      </c>
      <c r="E189" s="438">
        <v>1.0045802469135806E-2</v>
      </c>
      <c r="F189" s="438" t="s">
        <v>452</v>
      </c>
      <c r="G189" s="441"/>
      <c r="H189" s="443">
        <v>1.0864197530864197E-2</v>
      </c>
      <c r="I189" s="438">
        <v>1.0864197530864197E-2</v>
      </c>
      <c r="J189" s="441"/>
      <c r="K189" s="438" t="s">
        <v>452</v>
      </c>
      <c r="L189" s="438" t="s">
        <v>452</v>
      </c>
      <c r="O189" s="443">
        <v>1.8707825875297972</v>
      </c>
      <c r="P189" s="438">
        <v>1.2112639669407252</v>
      </c>
      <c r="Q189" s="438">
        <v>0.65951862058907196</v>
      </c>
      <c r="R189" s="438" t="s">
        <v>452</v>
      </c>
      <c r="S189" s="437"/>
      <c r="T189" s="443">
        <v>0.71324720861041802</v>
      </c>
      <c r="U189" s="438">
        <v>0.71324720861041802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0.45</v>
      </c>
      <c r="D192" s="438">
        <v>0.24</v>
      </c>
      <c r="E192" s="438">
        <v>0.21000000000000002</v>
      </c>
      <c r="F192" s="438" t="s">
        <v>452</v>
      </c>
      <c r="G192" s="441"/>
      <c r="H192" s="443" t="s">
        <v>452</v>
      </c>
      <c r="I192" s="438" t="s">
        <v>452</v>
      </c>
      <c r="J192" s="441"/>
      <c r="K192" s="438" t="s">
        <v>452</v>
      </c>
      <c r="L192" s="438" t="s">
        <v>452</v>
      </c>
      <c r="O192" s="443">
        <v>1</v>
      </c>
      <c r="P192" s="438">
        <v>0.54</v>
      </c>
      <c r="Q192" s="438">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0.26490000000000002</v>
      </c>
      <c r="D196" s="438">
        <v>0.16880000000000001</v>
      </c>
      <c r="E196" s="438">
        <v>9.6100000000000019E-2</v>
      </c>
      <c r="F196" s="438">
        <v>3.4000000000000002E-2</v>
      </c>
      <c r="G196" s="441"/>
      <c r="H196" s="443" t="s">
        <v>452</v>
      </c>
      <c r="I196" s="438" t="s">
        <v>452</v>
      </c>
      <c r="J196" s="441"/>
      <c r="K196" s="438" t="s">
        <v>452</v>
      </c>
      <c r="L196" s="438" t="s">
        <v>452</v>
      </c>
      <c r="O196" s="443">
        <v>4.66</v>
      </c>
      <c r="P196" s="438">
        <v>2.97</v>
      </c>
      <c r="Q196" s="438">
        <v>1.69</v>
      </c>
      <c r="R196" s="438">
        <v>0.65754152247036468</v>
      </c>
      <c r="S196" s="437"/>
      <c r="T196" s="443" t="s">
        <v>452</v>
      </c>
      <c r="U196" s="438" t="s">
        <v>452</v>
      </c>
      <c r="V196" s="441"/>
      <c r="W196" s="438" t="s">
        <v>452</v>
      </c>
      <c r="X196" s="438" t="s">
        <v>452</v>
      </c>
      <c r="AB196" s="403"/>
    </row>
    <row r="197" spans="2:28">
      <c r="B197" s="415" t="s">
        <v>1127</v>
      </c>
      <c r="C197" s="443">
        <v>6.698215662646835E-2</v>
      </c>
      <c r="D197" s="438">
        <v>5.1098875436668051E-2</v>
      </c>
      <c r="E197" s="438">
        <v>1.58832811898003E-2</v>
      </c>
      <c r="F197" s="438" t="s">
        <v>452</v>
      </c>
      <c r="G197" s="441"/>
      <c r="H197" s="443">
        <v>0.24783674593153771</v>
      </c>
      <c r="I197" s="438">
        <v>0.24783674593153771</v>
      </c>
      <c r="J197" s="441"/>
      <c r="K197" s="438" t="s">
        <v>452</v>
      </c>
      <c r="L197" s="438" t="s">
        <v>452</v>
      </c>
      <c r="O197" s="443">
        <v>1.7729503277919274</v>
      </c>
      <c r="P197" s="438">
        <v>0.50553140168712718</v>
      </c>
      <c r="Q197" s="438">
        <v>1.2674189261048001</v>
      </c>
      <c r="R197" s="438" t="s">
        <v>452</v>
      </c>
      <c r="S197" s="437"/>
      <c r="T197" s="443">
        <v>0.63354074260132731</v>
      </c>
      <c r="U197" s="438">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5772.7515475438931</v>
      </c>
      <c r="D204" s="449">
        <v>591.33370255933994</v>
      </c>
      <c r="E204" s="449">
        <v>5175.6861250806205</v>
      </c>
      <c r="F204" s="448">
        <f>SUM(F8:F202)-IF(F10="", 0, F10)</f>
        <v>778.47731064844447</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23" t="s">
        <v>1251</v>
      </c>
      <c r="C208" s="623"/>
      <c r="D208" s="623"/>
      <c r="E208" s="623"/>
      <c r="F208" s="623"/>
      <c r="G208" s="623"/>
      <c r="H208" s="623"/>
      <c r="I208" s="623"/>
      <c r="J208" s="623"/>
      <c r="K208" s="623"/>
      <c r="L208" s="623"/>
      <c r="M208" s="623"/>
      <c r="N208" s="623"/>
      <c r="O208" s="623"/>
      <c r="P208" s="623"/>
      <c r="Q208" s="623"/>
      <c r="R208" s="623"/>
      <c r="S208" s="623"/>
      <c r="T208" s="623"/>
      <c r="U208" s="623"/>
      <c r="V208" s="623"/>
      <c r="W208" s="623"/>
    </row>
    <row r="209" spans="2:2">
      <c r="B209" s="33" t="s">
        <v>1242</v>
      </c>
    </row>
    <row r="210" spans="2:2">
      <c r="B210" s="33" t="s">
        <v>1244</v>
      </c>
    </row>
  </sheetData>
  <mergeCells count="15">
    <mergeCell ref="U5:U6"/>
    <mergeCell ref="W5:X5"/>
    <mergeCell ref="B208:W208"/>
    <mergeCell ref="C5:E5"/>
    <mergeCell ref="F5:F6"/>
    <mergeCell ref="I5:I6"/>
    <mergeCell ref="K5:L5"/>
    <mergeCell ref="O5:Q5"/>
    <mergeCell ref="R5:R6"/>
    <mergeCell ref="B3:L3"/>
    <mergeCell ref="N3:X3"/>
    <mergeCell ref="C4:F4"/>
    <mergeCell ref="H4:L4"/>
    <mergeCell ref="O4:R4"/>
    <mergeCell ref="T4:X4"/>
  </mergeCells>
  <pageMargins left="0.7" right="0.7" top="0.75" bottom="0.75" header="0.3" footer="0.3"/>
  <pageSetup scale="65"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107C-B9D4-4498-BB0B-2F78CA539ABF}">
  <sheetPr>
    <pageSetUpPr fitToPage="1"/>
  </sheetPr>
  <dimension ref="A1:X80"/>
  <sheetViews>
    <sheetView showGridLines="0" view="pageBreakPreview" zoomScaleNormal="100" zoomScaleSheetLayoutView="100" workbookViewId="0">
      <selection activeCell="E36" sqref="E36"/>
    </sheetView>
  </sheetViews>
  <sheetFormatPr defaultColWidth="8.7265625" defaultRowHeight="12.5"/>
  <cols>
    <col min="1" max="1" width="3.453125" customWidth="1"/>
    <col min="2" max="2" width="26.54296875" customWidth="1"/>
    <col min="3" max="3" width="8" customWidth="1"/>
    <col min="4" max="4" width="6.453125" customWidth="1"/>
    <col min="5" max="5" width="7.81640625" bestFit="1" customWidth="1"/>
    <col min="6" max="6" width="9.81640625" customWidth="1"/>
    <col min="7" max="7" width="2.1796875" customWidth="1"/>
    <col min="8" max="8" width="6.81640625" customWidth="1"/>
    <col min="9" max="9" width="18.81640625" customWidth="1"/>
    <col min="10" max="10" width="1.81640625" customWidth="1"/>
    <col min="11" max="11" width="9.1796875" customWidth="1"/>
    <col min="12" max="12" width="8.54296875" bestFit="1" customWidth="1"/>
    <col min="13" max="13" width="2.1796875" customWidth="1"/>
    <col min="14" max="14" width="1.1796875" customWidth="1"/>
    <col min="15" max="15" width="6.81640625" customWidth="1"/>
    <col min="16" max="16" width="5.81640625" customWidth="1"/>
    <col min="17" max="17" width="7.81640625" bestFit="1" customWidth="1"/>
    <col min="18" max="18" width="9.81640625" customWidth="1"/>
    <col min="19" max="19" width="1.81640625" customWidth="1"/>
    <col min="20" max="20" width="6.81640625" customWidth="1"/>
    <col min="21" max="21" width="18.81640625" customWidth="1"/>
    <col min="22" max="22" width="1.54296875" customWidth="1"/>
    <col min="23" max="23" width="8.81640625" customWidth="1"/>
    <col min="24" max="24" width="9.81640625" customWidth="1"/>
    <col min="25" max="25" width="1.54296875" customWidth="1"/>
  </cols>
  <sheetData>
    <row r="1" spans="1:24" ht="15.75" customHeight="1">
      <c r="B1" s="295" t="s">
        <v>898</v>
      </c>
    </row>
    <row r="2" spans="1:24" ht="15.75" customHeight="1">
      <c r="B2" s="305" t="s">
        <v>774</v>
      </c>
    </row>
    <row r="3" spans="1:24" ht="15.75" customHeight="1">
      <c r="B3" s="700" t="s">
        <v>437</v>
      </c>
      <c r="C3" s="701"/>
      <c r="D3" s="701"/>
      <c r="E3" s="701"/>
      <c r="F3" s="701"/>
      <c r="G3" s="701"/>
      <c r="H3" s="701"/>
      <c r="I3" s="701"/>
      <c r="J3" s="701"/>
      <c r="K3" s="701"/>
      <c r="L3" s="701"/>
      <c r="M3" s="306"/>
      <c r="N3" s="700" t="s">
        <v>456</v>
      </c>
      <c r="O3" s="701"/>
      <c r="P3" s="701"/>
      <c r="Q3" s="701"/>
      <c r="R3" s="701"/>
      <c r="S3" s="701"/>
      <c r="T3" s="701"/>
      <c r="U3" s="701"/>
      <c r="V3" s="701"/>
      <c r="W3" s="701"/>
      <c r="X3" s="701"/>
    </row>
    <row r="4" spans="1:24" ht="11.15" customHeight="1">
      <c r="A4" s="296"/>
      <c r="B4" s="307"/>
      <c r="C4" s="702" t="s">
        <v>586</v>
      </c>
      <c r="D4" s="702"/>
      <c r="E4" s="702"/>
      <c r="F4" s="702"/>
      <c r="G4" s="308"/>
      <c r="H4" s="703" t="s">
        <v>773</v>
      </c>
      <c r="I4" s="703"/>
      <c r="J4" s="703"/>
      <c r="K4" s="703"/>
      <c r="L4" s="703"/>
      <c r="M4" s="308"/>
      <c r="N4" s="309"/>
      <c r="O4" s="702" t="s">
        <v>586</v>
      </c>
      <c r="P4" s="702"/>
      <c r="Q4" s="702"/>
      <c r="R4" s="702"/>
      <c r="S4" s="308"/>
      <c r="T4" s="703" t="s">
        <v>773</v>
      </c>
      <c r="U4" s="703"/>
      <c r="V4" s="703"/>
      <c r="W4" s="703"/>
      <c r="X4" s="703"/>
    </row>
    <row r="5" spans="1:24" ht="27" customHeight="1">
      <c r="A5" s="296"/>
      <c r="B5" s="307"/>
      <c r="C5" s="703" t="s">
        <v>770</v>
      </c>
      <c r="D5" s="703"/>
      <c r="E5" s="703"/>
      <c r="F5" s="690" t="s">
        <v>771</v>
      </c>
      <c r="G5" s="308"/>
      <c r="H5" s="310"/>
      <c r="I5" s="704" t="s">
        <v>778</v>
      </c>
      <c r="J5" s="310"/>
      <c r="K5" s="702" t="s">
        <v>211</v>
      </c>
      <c r="L5" s="702"/>
      <c r="M5" s="308"/>
      <c r="N5" s="309"/>
      <c r="O5" s="703" t="s">
        <v>770</v>
      </c>
      <c r="P5" s="703"/>
      <c r="Q5" s="703"/>
      <c r="R5" s="690" t="s">
        <v>771</v>
      </c>
      <c r="S5" s="308"/>
      <c r="T5" s="310"/>
      <c r="U5" s="704" t="s">
        <v>778</v>
      </c>
      <c r="V5" s="310"/>
      <c r="W5" s="702" t="s">
        <v>211</v>
      </c>
      <c r="X5" s="702"/>
    </row>
    <row r="6" spans="1:24" ht="29.5" customHeight="1">
      <c r="A6" s="296"/>
      <c r="B6" s="311"/>
      <c r="C6" s="312" t="s">
        <v>429</v>
      </c>
      <c r="D6" s="313" t="s">
        <v>769</v>
      </c>
      <c r="E6" s="313" t="s">
        <v>772</v>
      </c>
      <c r="F6" s="684"/>
      <c r="G6" s="314"/>
      <c r="H6" s="315" t="s">
        <v>429</v>
      </c>
      <c r="I6" s="705"/>
      <c r="J6" s="316"/>
      <c r="K6" s="316" t="s">
        <v>587</v>
      </c>
      <c r="L6" s="316" t="s">
        <v>588</v>
      </c>
      <c r="M6" s="317"/>
      <c r="N6" s="318"/>
      <c r="O6" s="312" t="s">
        <v>429</v>
      </c>
      <c r="P6" s="313" t="s">
        <v>769</v>
      </c>
      <c r="Q6" s="313" t="s">
        <v>772</v>
      </c>
      <c r="R6" s="684"/>
      <c r="S6" s="314"/>
      <c r="T6" s="315" t="s">
        <v>429</v>
      </c>
      <c r="U6" s="705"/>
      <c r="V6" s="316"/>
      <c r="W6" s="316" t="s">
        <v>587</v>
      </c>
      <c r="X6" s="313" t="s">
        <v>588</v>
      </c>
    </row>
    <row r="7" spans="1:24">
      <c r="A7" s="296"/>
      <c r="B7" s="298" t="s">
        <v>775</v>
      </c>
      <c r="C7" s="296"/>
      <c r="D7" s="296"/>
      <c r="E7" s="296"/>
      <c r="F7" s="296"/>
      <c r="G7" s="296"/>
      <c r="H7" s="296"/>
      <c r="I7" s="296"/>
      <c r="J7" s="296"/>
      <c r="K7" s="296"/>
      <c r="L7" s="296"/>
    </row>
    <row r="8" spans="1:24">
      <c r="A8" s="296"/>
      <c r="B8" s="299" t="s">
        <v>0</v>
      </c>
      <c r="C8" s="319">
        <f>IF(ISNUMBER(INDEX(Database!$G$6:$G$197, MATCH($B8&amp;"USD bn", Database!$AD$6:$AD$197, 0))), INDEX(Database!$G$6:$G$197, MATCH($B8&amp;"USD bn", Database!$AD$6:$AD$197, 0)), "")</f>
        <v>249.72579708899613</v>
      </c>
      <c r="D8" s="304">
        <f>IF(ISNUMBER(INDEX(Database!$H$6:$H$197, MATCH($B8&amp;"USD bn", Database!$AD$6:$AD$197, 0))), INDEX(Database!$H$6:$H$197, MATCH($B8&amp;"USD bn", Database!$AD$6:$AD$197, 0)), "")</f>
        <v>13.808448829914081</v>
      </c>
      <c r="E8" s="304">
        <f>IF(ISNUMBER(INDEX(Database!$J$6:$J$197, MATCH($B8&amp;"USD bn", Database!$AD$6:$AD$197, 0))), INDEX(Database!$J$6:$J$197, MATCH($B8&amp;"USD bn", Database!$AD$6:$AD$197, 0)), "")</f>
        <v>235.91734825908208</v>
      </c>
      <c r="F8" s="304" t="str">
        <f>IF(ISNUMBER(INDEX(Database!$L$6:$L$197, MATCH($B8&amp;"USD bn", Database!$AD$6:$AD$197, 0))), INDEX(Database!$L$6:$L$197, MATCH($B8&amp;"USD bn", Database!$AD$6:$AD$197, 0)), "")</f>
        <v/>
      </c>
      <c r="G8" s="304"/>
      <c r="H8" s="319">
        <f>IF(ISNUMBER(INDEX(Database!$P$6:$P$197, MATCH($B8&amp;"USD bn", Database!$AD$6:$AD$197, 0))), INDEX(Database!$P$6:$P$197, MATCH($B8&amp;"USD bn", Database!$AD$6:$AD$197, 0)), "")</f>
        <v>24.164785452349641</v>
      </c>
      <c r="I8" s="304">
        <f>IF(ISNUMBER(INDEX(Database!$Q$6:$Q$197, MATCH($B8&amp;"USD bn", Database!$AD$6:$AD$197, 0))), INDEX(Database!$Q$6:$Q$197, MATCH($B8&amp;"USD bn", Database!$AD$6:$AD$197, 0)), "")</f>
        <v>10.356336622435562</v>
      </c>
      <c r="J8" s="304"/>
      <c r="K8" s="304">
        <f>IF(ISNUMBER(INDEX(Database!$U$6:$U$197, MATCH($B8&amp;"USD bn", Database!$AD$6:$AD$197, 0))), INDEX(Database!$U$6:$U$197, MATCH($B8&amp;"USD bn", Database!$AD$6:$AD$197, 0)), "")</f>
        <v>13.808448829914079</v>
      </c>
      <c r="L8" s="304" t="str">
        <f>IF(ISNUMBER(INDEX(Database!$W$6:$W$197, MATCH($B8&amp;"USD bn", Database!$AD$6:$AD$197, 0))), INDEX(Database!$W$6:$W$197, MATCH($B8&amp;"USD bn", Database!$AD$6:$AD$197, 0)), "")</f>
        <v/>
      </c>
      <c r="M8" s="220"/>
      <c r="N8" s="220"/>
      <c r="O8" s="320">
        <f>IF(ISNUMBER(INDEX(Database!$G$6:$G$197, MATCH($B8&amp;"% GDP", Database!$AD$6:$AD$197, 0))), INDEX(Database!$G$6:$G$197, MATCH($B8&amp;"% GDP", Database!$AD$6:$AD$197, 0)), "")</f>
        <v>18.370673152863606</v>
      </c>
      <c r="P8" s="300">
        <f>IF(ISNUMBER(INDEX(Database!$H$6:$H$197, MATCH($B8&amp;"% GDP", Database!$AD$6:$AD$197, 0))), INDEX(Database!$H$6:$H$197, MATCH($B8&amp;"% GDP", Database!$AD$6:$AD$197, 0)), "")</f>
        <v>1.0157961378415044</v>
      </c>
      <c r="Q8" s="300">
        <f>IF(ISNUMBER(INDEX(Database!$J$6:$J$197, MATCH($B8&amp;"% GDP", Database!$AD$6:$AD$197, 0))), INDEX(Database!$J$6:$J$197, MATCH($B8&amp;"% GDP", Database!$AD$6:$AD$197, 0)), "")</f>
        <v>17.354877015022101</v>
      </c>
      <c r="R8" s="300" t="str">
        <f>IF(ISNUMBER(INDEX(Database!$L$6:$L$197, MATCH($B8&amp;"% GDP", Database!$AD$6:$AD$197, 0))), INDEX(Database!$L$6:$L$197, MATCH($B8&amp;"% GDP", Database!$AD$6:$AD$197, 0)), "")</f>
        <v/>
      </c>
      <c r="S8" s="300"/>
      <c r="T8" s="320">
        <f>IF(ISNUMBER(INDEX(Database!$P$6:$P$197, MATCH($B8&amp;"% GDP", Database!$AD$6:$AD$197, 0))), INDEX(Database!$P$6:$P$197, MATCH($B8&amp;"% GDP", Database!$AD$6:$AD$197, 0)), "")</f>
        <v>1.7776432412226328</v>
      </c>
      <c r="U8" s="300">
        <f>IF(ISNUMBER(INDEX(Database!$Q$6:$Q$197, MATCH($B8&amp;"% GDP", Database!$AD$6:$AD$197, 0))), INDEX(Database!$Q$6:$Q$197, MATCH($B8&amp;"% GDP", Database!$AD$6:$AD$197, 0)), "")</f>
        <v>0.76184710338112827</v>
      </c>
      <c r="V8" s="300"/>
      <c r="W8" s="300">
        <f>IF(ISNUMBER(INDEX(Database!$U$6:$U$197, MATCH($B8&amp;"% GDP", Database!$AD$6:$AD$197, 0))), INDEX(Database!$U$6:$U$197, MATCH($B8&amp;"% GDP", Database!$AD$6:$AD$197, 0)), "")</f>
        <v>1.0157961378415044</v>
      </c>
      <c r="X8" s="300" t="str">
        <f>IF(ISNUMBER(INDEX(Database!$W$6:$W$197, MATCH($B8&amp;"% GDP", Database!$AD$6:$AD$197, 0))), INDEX(Database!$W$6:$W$197, MATCH($B8&amp;"% GDP", Database!$AD$6:$AD$197, 0)), "")</f>
        <v/>
      </c>
    </row>
    <row r="9" spans="1:24">
      <c r="A9" s="296"/>
      <c r="B9" s="299" t="s">
        <v>1</v>
      </c>
      <c r="C9" s="319">
        <f>IF(ISNUMBER(INDEX(Database!$G$6:$G$197, MATCH($B9&amp;"USD bn", Database!$AD$6:$AD$197, 0))), INDEX(Database!$G$6:$G$197, MATCH($B9&amp;"USD bn", Database!$AD$6:$AD$197, 0)), "")</f>
        <v>261.78973301959445</v>
      </c>
      <c r="D9" s="304">
        <f>IF(ISNUMBER(INDEX(Database!$H$6:$H$197, MATCH($B9&amp;"USD bn", Database!$AD$6:$AD$197, 0))), INDEX(Database!$H$6:$H$197, MATCH($B9&amp;"USD bn", Database!$AD$6:$AD$197, 0)), "")</f>
        <v>45.632388666474455</v>
      </c>
      <c r="E9" s="304">
        <f>IF(ISNUMBER(INDEX(Database!$J$6:$J$197, MATCH($B9&amp;"USD bn", Database!$AD$6:$AD$197, 0))), INDEX(Database!$J$6:$J$197, MATCH($B9&amp;"USD bn", Database!$AD$6:$AD$197, 0)), "")</f>
        <v>216.15734435311998</v>
      </c>
      <c r="F9" s="304">
        <f>IF(ISNUMBER(INDEX(Database!$L$6:$L$197, MATCH($B9&amp;"USD bn", Database!$AD$6:$AD$197, 0))), INDEX(Database!$L$6:$L$197, MATCH($B9&amp;"USD bn", Database!$AD$6:$AD$197, 0)), "")</f>
        <v>68.027303732528338</v>
      </c>
      <c r="G9" s="304"/>
      <c r="H9" s="319">
        <f>IF(ISNUMBER(INDEX(Database!$P$6:$P$197, MATCH($B9&amp;"USD bn", Database!$AD$6:$AD$197, 0))), INDEX(Database!$P$6:$P$197, MATCH($B9&amp;"USD bn", Database!$AD$6:$AD$197, 0)), "")</f>
        <v>64.944134850488979</v>
      </c>
      <c r="I9" s="304">
        <f>IF(ISNUMBER(INDEX(Database!$Q$6:$Q$197, MATCH($B9&amp;"USD bn", Database!$AD$6:$AD$197, 0))), INDEX(Database!$Q$6:$Q$197, MATCH($B9&amp;"USD bn", Database!$AD$6:$AD$197, 0)), "")</f>
        <v>3.8772617821187447</v>
      </c>
      <c r="J9" s="304"/>
      <c r="K9" s="304">
        <f>IF(ISNUMBER(INDEX(Database!$U$6:$U$197, MATCH($B9&amp;"USD bn", Database!$AD$6:$AD$197, 0))), INDEX(Database!$U$6:$U$197, MATCH($B9&amp;"USD bn", Database!$AD$6:$AD$197, 0)), "")</f>
        <v>61.066873068370228</v>
      </c>
      <c r="L9" s="304" t="str">
        <f>IF(ISNUMBER(INDEX(Database!$W$6:$W$197, MATCH($B9&amp;"USD bn", Database!$AD$6:$AD$197, 0))), INDEX(Database!$W$6:$W$197, MATCH($B9&amp;"USD bn", Database!$AD$6:$AD$197, 0)), "")</f>
        <v/>
      </c>
      <c r="M9" s="220"/>
      <c r="N9" s="220"/>
      <c r="O9" s="320">
        <f>IF(ISNUMBER(INDEX(Database!$G$6:$G$197, MATCH($B9&amp;"% GDP", Database!$AD$6:$AD$197, 0))), INDEX(Database!$G$6:$G$197, MATCH($B9&amp;"% GDP", Database!$AD$6:$AD$197, 0)), "")</f>
        <v>15.923588544631171</v>
      </c>
      <c r="P9" s="300">
        <f>IF(ISNUMBER(INDEX(Database!$H$6:$H$197, MATCH($B9&amp;"% GDP", Database!$AD$6:$AD$197, 0))), INDEX(Database!$H$6:$H$197, MATCH($B9&amp;"% GDP", Database!$AD$6:$AD$197, 0)), "")</f>
        <v>2.77562978903853</v>
      </c>
      <c r="Q9" s="300">
        <f>IF(ISNUMBER(INDEX(Database!$J$6:$J$197, MATCH($B9&amp;"% GDP", Database!$AD$6:$AD$197, 0))), INDEX(Database!$J$6:$J$197, MATCH($B9&amp;"% GDP", Database!$AD$6:$AD$197, 0)), "")</f>
        <v>13.147958755592642</v>
      </c>
      <c r="R9" s="300">
        <f>IF(ISNUMBER(INDEX(Database!$L$6:$L$197, MATCH($B9&amp;"% GDP", Database!$AD$6:$AD$197, 0))), INDEX(Database!$L$6:$L$197, MATCH($B9&amp;"% GDP", Database!$AD$6:$AD$197, 0)), "")</f>
        <v>3.8595767164571715</v>
      </c>
      <c r="S9" s="300"/>
      <c r="T9" s="320">
        <f>IF(ISNUMBER(INDEX(Database!$P$6:$P$197, MATCH($B9&amp;"% GDP", Database!$AD$6:$AD$197, 0))), INDEX(Database!$P$6:$P$197, MATCH($B9&amp;"% GDP", Database!$AD$6:$AD$197, 0)), "")</f>
        <v>3.9502835723081042</v>
      </c>
      <c r="U9" s="300">
        <f>IF(ISNUMBER(INDEX(Database!$Q$6:$Q$197, MATCH($B9&amp;"% GDP", Database!$AD$6:$AD$197, 0))), INDEX(Database!$Q$6:$Q$197, MATCH($B9&amp;"% GDP", Database!$AD$6:$AD$197, 0)), "")</f>
        <v>0.23583782521242411</v>
      </c>
      <c r="V9" s="300"/>
      <c r="W9" s="300">
        <f>IF(ISNUMBER(INDEX(Database!$U$6:$U$197, MATCH($B9&amp;"% GDP", Database!$AD$6:$AD$197, 0))), INDEX(Database!$U$6:$U$197, MATCH($B9&amp;"% GDP", Database!$AD$6:$AD$197, 0)), "")</f>
        <v>3.71444574709568</v>
      </c>
      <c r="X9" s="300" t="str">
        <f>IF(ISNUMBER(INDEX(Database!$W$6:$W$197, MATCH($B9&amp;"% GDP", Database!$AD$6:$AD$197, 0))), INDEX(Database!$W$6:$W$197, MATCH($B9&amp;"% GDP", Database!$AD$6:$AD$197, 0)), "")</f>
        <v/>
      </c>
    </row>
    <row r="10" spans="1:24">
      <c r="A10" s="296"/>
      <c r="B10" s="299" t="s">
        <v>430</v>
      </c>
      <c r="C10" s="319">
        <f>IF(ISNUMBER(INDEX(Database!$G$6:$G$197, MATCH($B10&amp;"USD bn", Database!$AD$6:$AD$197, 0))), INDEX(Database!$G$6:$G$197, MATCH($B10&amp;"USD bn", Database!$AD$6:$AD$197, 0)), "")</f>
        <v>488.29744352478542</v>
      </c>
      <c r="D10" s="304">
        <f>IF(ISNUMBER(INDEX(Database!$H$6:$H$197, MATCH($B10&amp;"USD bn", Database!$AD$6:$AD$197, 0))), INDEX(Database!$H$6:$H$197, MATCH($B10&amp;"USD bn", Database!$AD$6:$AD$197, 0)), "")</f>
        <v>5.706409296772063E-2</v>
      </c>
      <c r="E10" s="304">
        <f>IF(ISNUMBER(INDEX(Database!$J$6:$J$197, MATCH($B10&amp;"USD bn", Database!$AD$6:$AD$197, 0))), INDEX(Database!$J$6:$J$197, MATCH($B10&amp;"USD bn", Database!$AD$6:$AD$197, 0)), "")</f>
        <v>488.2403794318177</v>
      </c>
      <c r="F10" s="304" t="str">
        <f>IF(ISNUMBER(INDEX(Database!$L$6:$L$197, MATCH($B10&amp;"USD bn", Database!$AD$6:$AD$197, 0))), INDEX(Database!$L$6:$L$197, MATCH($B10&amp;"USD bn", Database!$AD$6:$AD$197, 0)), "")</f>
        <v/>
      </c>
      <c r="G10" s="304"/>
      <c r="H10" s="319">
        <f>IF(ISNUMBER(INDEX(Database!$P$6:$P$197, MATCH($B10&amp;"USD bn", Database!$AD$6:$AD$197, 0))), INDEX(Database!$P$6:$P$197, MATCH($B10&amp;"USD bn", Database!$AD$6:$AD$197, 0)), "")</f>
        <v>873.0806224061256</v>
      </c>
      <c r="I10" s="304">
        <f>IF(ISNUMBER(INDEX(Database!$Q$6:$Q$197, MATCH($B10&amp;"USD bn", Database!$AD$6:$AD$197, 0))), INDEX(Database!$Q$6:$Q$197, MATCH($B10&amp;"USD bn", Database!$AD$6:$AD$197, 0)), "")</f>
        <v>798.89730154808876</v>
      </c>
      <c r="J10" s="304"/>
      <c r="K10" s="304">
        <f>IF(ISNUMBER(INDEX(Database!$U$6:$U$197, MATCH($B10&amp;"USD bn", Database!$AD$6:$AD$197, 0))), INDEX(Database!$U$6:$U$197, MATCH($B10&amp;"USD bn", Database!$AD$6:$AD$197, 0)), "")</f>
        <v>74.183320858036808</v>
      </c>
      <c r="L10" s="304" t="str">
        <f>IF(ISNUMBER(INDEX(Database!$W$6:$W$197, MATCH($B10&amp;"USD bn", Database!$AD$6:$AD$197, 0))), INDEX(Database!$W$6:$W$197, MATCH($B10&amp;"USD bn", Database!$AD$6:$AD$197, 0)), "")</f>
        <v/>
      </c>
      <c r="M10" s="220"/>
      <c r="N10" s="220"/>
      <c r="O10" s="320">
        <f>IF(ISNUMBER(INDEX(Database!$G$6:$G$197, MATCH($B10&amp;"% GDP", Database!$AD$6:$AD$197, 0))), INDEX(Database!$G$6:$G$197, MATCH($B10&amp;"% GDP", Database!$AD$6:$AD$197, 0)), "")</f>
        <v>3.7559632555567588</v>
      </c>
      <c r="P10" s="300">
        <f>IF(ISNUMBER(INDEX(Database!$H$6:$H$197, MATCH($B10&amp;"% GDP", Database!$AD$6:$AD$197, 0))), INDEX(Database!$H$6:$H$197, MATCH($B10&amp;"% GDP", Database!$AD$6:$AD$197, 0)), "")</f>
        <v>4.3893458636867576E-4</v>
      </c>
      <c r="Q10" s="300">
        <f>IF(ISNUMBER(INDEX(Database!$J$6:$J$197, MATCH($B10&amp;"% GDP", Database!$AD$6:$AD$197, 0))), INDEX(Database!$J$6:$J$197, MATCH($B10&amp;"% GDP", Database!$AD$6:$AD$197, 0)), "")</f>
        <v>3.7555243209703901</v>
      </c>
      <c r="R10" s="300" t="str">
        <f>IF(ISNUMBER(INDEX(Database!$L$6:$L$197, MATCH($B10&amp;"% GDP", Database!$AD$6:$AD$197, 0))), INDEX(Database!$L$6:$L$197, MATCH($B10&amp;"% GDP", Database!$AD$6:$AD$197, 0)), "")</f>
        <v/>
      </c>
      <c r="S10" s="300"/>
      <c r="T10" s="320">
        <f>IF(ISNUMBER(INDEX(Database!$P$6:$P$197, MATCH($B10&amp;"% GDP", Database!$AD$6:$AD$197, 0))), INDEX(Database!$P$6:$P$197, MATCH($B10&amp;"% GDP", Database!$AD$6:$AD$197, 0)), "")</f>
        <v>6.7156991714407397</v>
      </c>
      <c r="U10" s="300">
        <f>IF(ISNUMBER(INDEX(Database!$Q$6:$Q$197, MATCH($B10&amp;"% GDP", Database!$AD$6:$AD$197, 0))), INDEX(Database!$Q$6:$Q$197, MATCH($B10&amp;"% GDP", Database!$AD$6:$AD$197, 0)), "")</f>
        <v>6.1450842091614613</v>
      </c>
      <c r="V10" s="300"/>
      <c r="W10" s="300">
        <f>IF(ISNUMBER(INDEX(Database!$U$6:$U$197, MATCH($B10&amp;"% GDP", Database!$AD$6:$AD$197, 0))), INDEX(Database!$U$6:$U$197, MATCH($B10&amp;"% GDP", Database!$AD$6:$AD$197, 0)), "")</f>
        <v>0.57061496227927855</v>
      </c>
      <c r="X10" s="300" t="str">
        <f>IF(ISNUMBER(INDEX(Database!$W$6:$W$197, MATCH($B10&amp;"% GDP", Database!$AD$6:$AD$197, 0))), INDEX(Database!$W$6:$W$197, MATCH($B10&amp;"% GDP", Database!$AD$6:$AD$197, 0)), "")</f>
        <v/>
      </c>
    </row>
    <row r="11" spans="1:24">
      <c r="A11" s="296"/>
      <c r="B11" s="299" t="s">
        <v>2</v>
      </c>
      <c r="C11" s="319">
        <f>IF(ISNUMBER(INDEX(Database!$G$6:$G$197, MATCH($B11&amp;"USD bn", Database!$AD$6:$AD$197, 0))), INDEX(Database!$G$6:$G$197, MATCH($B11&amp;"USD bn", Database!$AD$6:$AD$197, 0)), "")</f>
        <v>252.88463784604201</v>
      </c>
      <c r="D11" s="304">
        <f>IF(ISNUMBER(INDEX(Database!$H$6:$H$197, MATCH($B11&amp;"USD bn", Database!$AD$6:$AD$197, 0))), INDEX(Database!$H$6:$H$197, MATCH($B11&amp;"USD bn", Database!$AD$6:$AD$197, 0)), "")</f>
        <v>38.633570180174964</v>
      </c>
      <c r="E11" s="304">
        <f>IF(ISNUMBER(INDEX(Database!$J$6:$J$197, MATCH($B11&amp;"USD bn", Database!$AD$6:$AD$197, 0))), INDEX(Database!$J$6:$J$197, MATCH($B11&amp;"USD bn", Database!$AD$6:$AD$197, 0)), "")</f>
        <v>214.25106766586705</v>
      </c>
      <c r="F11" s="304">
        <f>IF(ISNUMBER(INDEX(Database!$L$6:$L$197, MATCH($B11&amp;"USD bn", Database!$AD$6:$AD$197, 0))), INDEX(Database!$L$6:$L$197, MATCH($B11&amp;"USD bn", Database!$AD$6:$AD$197, 0)), "")</f>
        <v>79.204517036051911</v>
      </c>
      <c r="G11" s="304"/>
      <c r="H11" s="319">
        <f>IF(ISNUMBER(INDEX(Database!$P$6:$P$197, MATCH($B11&amp;"USD bn", Database!$AD$6:$AD$197, 0))), INDEX(Database!$P$6:$P$197, MATCH($B11&amp;"USD bn", Database!$AD$6:$AD$197, 0)), "")</f>
        <v>399.21355852847461</v>
      </c>
      <c r="I11" s="304">
        <f>IF(ISNUMBER(INDEX(Database!$Q$6:$Q$197, MATCH($B11&amp;"USD bn", Database!$AD$6:$AD$197, 0))), INDEX(Database!$Q$6:$Q$197, MATCH($B11&amp;"USD bn", Database!$AD$6:$AD$197, 0)), "")</f>
        <v>18.006206750642018</v>
      </c>
      <c r="J11" s="304"/>
      <c r="K11" s="304">
        <f>IF(ISNUMBER(INDEX(Database!$U$6:$U$197, MATCH($B11&amp;"USD bn", Database!$AD$6:$AD$197, 0))), INDEX(Database!$U$6:$U$197, MATCH($B11&amp;"USD bn", Database!$AD$6:$AD$197, 0)), "")</f>
        <v>381.20735177783257</v>
      </c>
      <c r="L11" s="304" t="str">
        <f>IF(ISNUMBER(INDEX(Database!$W$6:$W$197, MATCH($B11&amp;"USD bn", Database!$AD$6:$AD$197, 0))), INDEX(Database!$W$6:$W$197, MATCH($B11&amp;"USD bn", Database!$AD$6:$AD$197, 0)), "")</f>
        <v/>
      </c>
      <c r="M11" s="220"/>
      <c r="N11" s="220"/>
      <c r="O11" s="320">
        <f>IF(ISNUMBER(INDEX(Database!$G$6:$G$197, MATCH($B11&amp;"% GDP", Database!$AD$6:$AD$197, 0))), INDEX(Database!$G$6:$G$197, MATCH($B11&amp;"% GDP", Database!$AD$6:$AD$197, 0)), "")</f>
        <v>9.6358441242628725</v>
      </c>
      <c r="P11" s="300">
        <f>IF(ISNUMBER(INDEX(Database!$H$6:$H$197, MATCH($B11&amp;"% GDP", Database!$AD$6:$AD$197, 0))), INDEX(Database!$H$6:$H$197, MATCH($B11&amp;"% GDP", Database!$AD$6:$AD$197, 0)), "")</f>
        <v>1.4720825408405198</v>
      </c>
      <c r="Q11" s="300">
        <f>IF(ISNUMBER(INDEX(Database!$J$6:$J$197, MATCH($B11&amp;"% GDP", Database!$AD$6:$AD$197, 0))), INDEX(Database!$J$6:$J$197, MATCH($B11&amp;"% GDP", Database!$AD$6:$AD$197, 0)), "")</f>
        <v>8.1637615834223514</v>
      </c>
      <c r="R11" s="300">
        <f>IF(ISNUMBER(INDEX(Database!$L$6:$L$197, MATCH($B11&amp;"% GDP", Database!$AD$6:$AD$197, 0))), INDEX(Database!$L$6:$L$197, MATCH($B11&amp;"% GDP", Database!$AD$6:$AD$197, 0)), "")</f>
        <v>3.017986330041774</v>
      </c>
      <c r="S11" s="300"/>
      <c r="T11" s="320">
        <f>IF(ISNUMBER(INDEX(Database!$P$6:$P$197, MATCH($B11&amp;"% GDP", Database!$AD$6:$AD$197, 0))), INDEX(Database!$P$6:$P$197, MATCH($B11&amp;"% GDP", Database!$AD$6:$AD$197, 0)), "")</f>
        <v>15.211519588685375</v>
      </c>
      <c r="U11" s="300">
        <f>IF(ISNUMBER(INDEX(Database!$Q$6:$Q$197, MATCH($B11&amp;"% GDP", Database!$AD$6:$AD$197, 0))), INDEX(Database!$Q$6:$Q$197, MATCH($B11&amp;"% GDP", Database!$AD$6:$AD$197, 0)), "")</f>
        <v>0.68610336711741049</v>
      </c>
      <c r="V11" s="300"/>
      <c r="W11" s="300">
        <f>IF(ISNUMBER(INDEX(Database!$U$6:$U$197, MATCH($B11&amp;"% GDP", Database!$AD$6:$AD$197, 0))), INDEX(Database!$U$6:$U$197, MATCH($B11&amp;"% GDP", Database!$AD$6:$AD$197, 0)), "")</f>
        <v>14.525416221567964</v>
      </c>
      <c r="X11" s="300" t="str">
        <f>IF(ISNUMBER(INDEX(Database!$W$6:$W$197, MATCH($B11&amp;"% GDP", Database!$AD$6:$AD$197, 0))), INDEX(Database!$W$6:$W$197, MATCH($B11&amp;"% GDP", Database!$AD$6:$AD$197, 0)), "")</f>
        <v/>
      </c>
    </row>
    <row r="12" spans="1:24">
      <c r="A12" s="296"/>
      <c r="B12" s="299" t="s">
        <v>3</v>
      </c>
      <c r="C12" s="319">
        <f>IF(ISNUMBER(INDEX(Database!$G$6:$G$197, MATCH($B12&amp;"USD bn", Database!$AD$6:$AD$197, 0))), INDEX(Database!$G$6:$G$197, MATCH($B12&amp;"USD bn", Database!$AD$6:$AD$197, 0)), "")</f>
        <v>588.90143942687689</v>
      </c>
      <c r="D12" s="304">
        <f>IF(ISNUMBER(INDEX(Database!$H$6:$H$197, MATCH($B12&amp;"USD bn", Database!$AD$6:$AD$197, 0))), INDEX(Database!$H$6:$H$197, MATCH($B12&amp;"USD bn", Database!$AD$6:$AD$197, 0)), "")</f>
        <v>69.618193420619164</v>
      </c>
      <c r="E12" s="304">
        <f>IF(ISNUMBER(INDEX(Database!$J$6:$J$197, MATCH($B12&amp;"USD bn", Database!$AD$6:$AD$197, 0))), INDEX(Database!$J$6:$J$197, MATCH($B12&amp;"USD bn", Database!$AD$6:$AD$197, 0)), "")</f>
        <v>519.28324600625774</v>
      </c>
      <c r="F12" s="304" t="str">
        <f>IF(ISNUMBER(INDEX(Database!$L$6:$L$197, MATCH($B12&amp;"USD bn", Database!$AD$6:$AD$197, 0))), INDEX(Database!$L$6:$L$197, MATCH($B12&amp;"USD bn", Database!$AD$6:$AD$197, 0)), "")</f>
        <v/>
      </c>
      <c r="G12" s="304"/>
      <c r="H12" s="319">
        <f>IF(ISNUMBER(INDEX(Database!$P$6:$P$197, MATCH($B12&amp;"USD bn", Database!$AD$6:$AD$197, 0))), INDEX(Database!$P$6:$P$197, MATCH($B12&amp;"USD bn", Database!$AD$6:$AD$197, 0)), "")</f>
        <v>1057.9682836215404</v>
      </c>
      <c r="I12" s="304">
        <f>IF(ISNUMBER(INDEX(Database!$Q$6:$Q$197, MATCH($B12&amp;"USD bn", Database!$AD$6:$AD$197, 0))), INDEX(Database!$Q$6:$Q$197, MATCH($B12&amp;"USD bn", Database!$AD$6:$AD$197, 0)), "")</f>
        <v>114.12818593544125</v>
      </c>
      <c r="J12" s="304"/>
      <c r="K12" s="304">
        <f>IF(ISNUMBER(INDEX(Database!$U$6:$U$197, MATCH($B12&amp;"USD bn", Database!$AD$6:$AD$197, 0))), INDEX(Database!$U$6:$U$197, MATCH($B12&amp;"USD bn", Database!$AD$6:$AD$197, 0)), "")</f>
        <v>943.84009768609917</v>
      </c>
      <c r="L12" s="304" t="str">
        <f>IF(ISNUMBER(INDEX(Database!$W$6:$W$197, MATCH($B12&amp;"USD bn", Database!$AD$6:$AD$197, 0))), INDEX(Database!$W$6:$W$197, MATCH($B12&amp;"USD bn", Database!$AD$6:$AD$197, 0)), "")</f>
        <v/>
      </c>
      <c r="M12" s="220"/>
      <c r="N12" s="220"/>
      <c r="O12" s="320">
        <f>IF(ISNUMBER(INDEX(Database!$G$6:$G$197, MATCH($B12&amp;"% GDP", Database!$AD$6:$AD$197, 0))), INDEX(Database!$G$6:$G$197, MATCH($B12&amp;"% GDP", Database!$AD$6:$AD$197, 0)), "")</f>
        <v>15.322666856715248</v>
      </c>
      <c r="P12" s="300">
        <f>IF(ISNUMBER(INDEX(Database!$H$6:$H$197, MATCH($B12&amp;"% GDP", Database!$AD$6:$AD$197, 0))), INDEX(Database!$H$6:$H$197, MATCH($B12&amp;"% GDP", Database!$AD$6:$AD$197, 0)), "")</f>
        <v>1.8114005392628492</v>
      </c>
      <c r="Q12" s="300">
        <f>IF(ISNUMBER(INDEX(Database!$J$6:$J$197, MATCH($B12&amp;"% GDP", Database!$AD$6:$AD$197, 0))), INDEX(Database!$J$6:$J$197, MATCH($B12&amp;"% GDP", Database!$AD$6:$AD$197, 0)), "")</f>
        <v>13.638352846668944</v>
      </c>
      <c r="R12" s="300" t="str">
        <f>IF(ISNUMBER(INDEX(Database!$L$6:$L$197, MATCH($B12&amp;"% GDP", Database!$AD$6:$AD$197, 0))), INDEX(Database!$L$6:$L$197, MATCH($B12&amp;"% GDP", Database!$AD$6:$AD$197, 0)), "")</f>
        <v/>
      </c>
      <c r="S12" s="300"/>
      <c r="T12" s="320">
        <f>IF(ISNUMBER(INDEX(Database!$P$6:$P$197, MATCH($B12&amp;"% GDP", Database!$AD$6:$AD$197, 0))), INDEX(Database!$P$6:$P$197, MATCH($B12&amp;"% GDP", Database!$AD$6:$AD$197, 0)), "")</f>
        <v>27.786270524971673</v>
      </c>
      <c r="U12" s="300">
        <f>IF(ISNUMBER(INDEX(Database!$Q$6:$Q$197, MATCH($B12&amp;"% GDP", Database!$AD$6:$AD$197, 0))), INDEX(Database!$Q$6:$Q$197, MATCH($B12&amp;"% GDP", Database!$AD$6:$AD$197, 0)), "")</f>
        <v>2.9974401860810866</v>
      </c>
      <c r="V12" s="300"/>
      <c r="W12" s="300">
        <f>IF(ISNUMBER(INDEX(Database!$U$6:$U$197, MATCH($B12&amp;"% GDP", Database!$AD$6:$AD$197, 0))), INDEX(Database!$U$6:$U$197, MATCH($B12&amp;"% GDP", Database!$AD$6:$AD$197, 0)), "")</f>
        <v>24.788830338890588</v>
      </c>
      <c r="X12" s="300" t="str">
        <f>IF(ISNUMBER(INDEX(Database!$W$6:$W$197, MATCH($B12&amp;"% GDP", Database!$AD$6:$AD$197, 0))), INDEX(Database!$W$6:$W$197, MATCH($B12&amp;"% GDP", Database!$AD$6:$AD$197, 0)), "")</f>
        <v/>
      </c>
    </row>
    <row r="13" spans="1:24">
      <c r="A13" s="296"/>
      <c r="B13" s="299" t="s">
        <v>4</v>
      </c>
      <c r="C13" s="319">
        <f>IF(ISNUMBER(INDEX(Database!$G$6:$G$197, MATCH($B13&amp;"USD bn", Database!$AD$6:$AD$197, 0))), INDEX(Database!$G$6:$G$197, MATCH($B13&amp;"USD bn", Database!$AD$6:$AD$197, 0)), "")</f>
        <v>205.43073468379424</v>
      </c>
      <c r="D13" s="304">
        <f>IF(ISNUMBER(INDEX(Database!$H$6:$H$197, MATCH($B13&amp;"USD bn", Database!$AD$6:$AD$197, 0))), INDEX(Database!$H$6:$H$197, MATCH($B13&amp;"USD bn", Database!$AD$6:$AD$197, 0)), "")</f>
        <v>22.825637187088251</v>
      </c>
      <c r="E13" s="304">
        <f>IF(ISNUMBER(INDEX(Database!$J$6:$J$197, MATCH($B13&amp;"USD bn", Database!$AD$6:$AD$197, 0))), INDEX(Database!$J$6:$J$197, MATCH($B13&amp;"USD bn", Database!$AD$6:$AD$197, 0)), "")</f>
        <v>182.60509749670601</v>
      </c>
      <c r="F13" s="304">
        <f>IF(ISNUMBER(INDEX(Database!$L$6:$L$197, MATCH($B13&amp;"USD bn", Database!$AD$6:$AD$197, 0))), INDEX(Database!$L$6:$L$197, MATCH($B13&amp;"USD bn", Database!$AD$6:$AD$197, 0)), "")</f>
        <v>7.9889730154808873</v>
      </c>
      <c r="G13" s="304"/>
      <c r="H13" s="319">
        <f>IF(ISNUMBER(INDEX(Database!$P$6:$P$197, MATCH($B13&amp;"USD bn", Database!$AD$6:$AD$197, 0))), INDEX(Database!$P$6:$P$197, MATCH($B13&amp;"USD bn", Database!$AD$6:$AD$197, 0)), "")</f>
        <v>664.51136260910664</v>
      </c>
      <c r="I13" s="304">
        <f>IF(ISNUMBER(INDEX(Database!$Q$6:$Q$197, MATCH($B13&amp;"USD bn", Database!$AD$6:$AD$197, 0))), INDEX(Database!$Q$6:$Q$197, MATCH($B13&amp;"USD bn", Database!$AD$6:$AD$197, 0)), "")</f>
        <v>3.7091660429018405</v>
      </c>
      <c r="J13" s="304"/>
      <c r="K13" s="304">
        <f>IF(ISNUMBER(INDEX(Database!$U$6:$U$197, MATCH($B13&amp;"USD bn", Database!$AD$6:$AD$197, 0))), INDEX(Database!$U$6:$U$197, MATCH($B13&amp;"USD bn", Database!$AD$6:$AD$197, 0)), "")</f>
        <v>660.80219656620488</v>
      </c>
      <c r="L13" s="304" t="str">
        <f>IF(ISNUMBER(INDEX(Database!$W$6:$W$197, MATCH($B13&amp;"USD bn", Database!$AD$6:$AD$197, 0))), INDEX(Database!$W$6:$W$197, MATCH($B13&amp;"USD bn", Database!$AD$6:$AD$197, 0)), "")</f>
        <v/>
      </c>
      <c r="M13" s="220"/>
      <c r="N13" s="220"/>
      <c r="O13" s="320">
        <f>IF(ISNUMBER(INDEX(Database!$G$6:$G$197, MATCH($B13&amp;"% GDP", Database!$AD$6:$AD$197, 0))), INDEX(Database!$G$6:$G$197, MATCH($B13&amp;"% GDP", Database!$AD$6:$AD$197, 0)), "")</f>
        <v>10.898555638640223</v>
      </c>
      <c r="P13" s="300">
        <f>IF(ISNUMBER(INDEX(Database!$H$6:$H$197, MATCH($B13&amp;"% GDP", Database!$AD$6:$AD$197, 0))), INDEX(Database!$H$6:$H$197, MATCH($B13&amp;"% GDP", Database!$AD$6:$AD$197, 0)), "")</f>
        <v>1.2109506265155805</v>
      </c>
      <c r="Q13" s="300">
        <f>IF(ISNUMBER(INDEX(Database!$J$6:$J$197, MATCH($B13&amp;"% GDP", Database!$AD$6:$AD$197, 0))), INDEX(Database!$J$6:$J$197, MATCH($B13&amp;"% GDP", Database!$AD$6:$AD$197, 0)), "")</f>
        <v>9.687605012124644</v>
      </c>
      <c r="R13" s="300">
        <f>IF(ISNUMBER(INDEX(Database!$L$6:$L$197, MATCH($B13&amp;"% GDP", Database!$AD$6:$AD$197, 0))), INDEX(Database!$L$6:$L$197, MATCH($B13&amp;"% GDP", Database!$AD$6:$AD$197, 0)), "")</f>
        <v>0.42383271928045313</v>
      </c>
      <c r="S13" s="300"/>
      <c r="T13" s="320">
        <f>IF(ISNUMBER(INDEX(Database!$P$6:$P$197, MATCH($B13&amp;"% GDP", Database!$AD$6:$AD$197, 0))), INDEX(Database!$P$6:$P$197, MATCH($B13&amp;"% GDP", Database!$AD$6:$AD$197, 0)), "")</f>
        <v>35.253800114434839</v>
      </c>
      <c r="U13" s="300">
        <f>IF(ISNUMBER(INDEX(Database!$Q$6:$Q$197, MATCH($B13&amp;"% GDP", Database!$AD$6:$AD$197, 0))), INDEX(Database!$Q$6:$Q$197, MATCH($B13&amp;"% GDP", Database!$AD$6:$AD$197, 0)), "")</f>
        <v>0.19677947680878183</v>
      </c>
      <c r="V13" s="300"/>
      <c r="W13" s="300">
        <f>IF(ISNUMBER(INDEX(Database!$U$6:$U$197, MATCH($B13&amp;"% GDP", Database!$AD$6:$AD$197, 0))), INDEX(Database!$U$6:$U$197, MATCH($B13&amp;"% GDP", Database!$AD$6:$AD$197, 0)), "")</f>
        <v>35.057020637626053</v>
      </c>
      <c r="X13" s="300" t="str">
        <f>IF(ISNUMBER(INDEX(Database!$W$6:$W$197, MATCH($B13&amp;"% GDP", Database!$AD$6:$AD$197, 0))), INDEX(Database!$W$6:$W$197, MATCH($B13&amp;"% GDP", Database!$AD$6:$AD$197, 0)), "")</f>
        <v/>
      </c>
    </row>
    <row r="14" spans="1:24">
      <c r="A14" s="296"/>
      <c r="B14" s="299" t="s">
        <v>5</v>
      </c>
      <c r="C14" s="319">
        <f>IF(ISNUMBER(INDEX(Database!$G$6:$G$197, MATCH($B14&amp;"USD bn", Database!$AD$6:$AD$197, 0))), INDEX(Database!$G$6:$G$197, MATCH($B14&amp;"USD bn", Database!$AD$6:$AD$197, 0)), "")</f>
        <v>843.8337860086101</v>
      </c>
      <c r="D14" s="304">
        <f>IF(ISNUMBER(INDEX(Database!$H$6:$H$197, MATCH($B14&amp;"USD bn", Database!$AD$6:$AD$197, 0))), INDEX(Database!$H$6:$H$197, MATCH($B14&amp;"USD bn", Database!$AD$6:$AD$197, 0)), "")</f>
        <v>104.89387795001592</v>
      </c>
      <c r="E14" s="304">
        <f>IF(ISNUMBER(INDEX(Database!$J$6:$J$197, MATCH($B14&amp;"USD bn", Database!$AD$6:$AD$197, 0))), INDEX(Database!$J$6:$J$197, MATCH($B14&amp;"USD bn", Database!$AD$6:$AD$197, 0)), "")</f>
        <v>738.93990805859426</v>
      </c>
      <c r="F14" s="304">
        <f>IF(ISNUMBER(INDEX(Database!$L$6:$L$197, MATCH($B14&amp;"USD bn", Database!$AD$6:$AD$197, 0))), INDEX(Database!$L$6:$L$197, MATCH($B14&amp;"USD bn", Database!$AD$6:$AD$197, 0)), "")</f>
        <v>27.16002196920055</v>
      </c>
      <c r="G14" s="304"/>
      <c r="H14" s="319">
        <f>IF(ISNUMBER(INDEX(Database!$P$6:$P$197, MATCH($B14&amp;"USD bn", Database!$AD$6:$AD$197, 0))), INDEX(Database!$P$6:$P$197, MATCH($B14&amp;"USD bn", Database!$AD$6:$AD$197, 0)), "")</f>
        <v>1429.1790870689667</v>
      </c>
      <c r="I14" s="304" t="str">
        <f>IF(ISNUMBER(INDEX(Database!$Q$6:$Q$197, MATCH($B14&amp;"USD bn", Database!$AD$6:$AD$197, 0))), INDEX(Database!$Q$6:$Q$197, MATCH($B14&amp;"USD bn", Database!$AD$6:$AD$197, 0)), "")</f>
        <v/>
      </c>
      <c r="J14" s="304"/>
      <c r="K14" s="304">
        <f>IF(ISNUMBER(INDEX(Database!$U$6:$U$197, MATCH($B14&amp;"USD bn", Database!$AD$6:$AD$197, 0))), INDEX(Database!$U$6:$U$197, MATCH($B14&amp;"USD bn", Database!$AD$6:$AD$197, 0)), "")</f>
        <v>147.0387396263616</v>
      </c>
      <c r="L14" s="304">
        <f>IF(ISNUMBER(INDEX(Database!$W$6:$W$197, MATCH($B14&amp;"USD bn", Database!$AD$6:$AD$197, 0))), INDEX(Database!$W$6:$W$197, MATCH($B14&amp;"USD bn", Database!$AD$6:$AD$197, 0)), "")</f>
        <v>1282.1403474426052</v>
      </c>
      <c r="M14" s="220"/>
      <c r="N14" s="220"/>
      <c r="O14" s="320">
        <f>IF(ISNUMBER(INDEX(Database!$G$6:$G$197, MATCH($B14&amp;"% GDP", Database!$AD$6:$AD$197, 0))), INDEX(Database!$G$6:$G$197, MATCH($B14&amp;"% GDP", Database!$AD$6:$AD$197, 0)), "")</f>
        <v>16.725807215115971</v>
      </c>
      <c r="P14" s="300">
        <f>IF(ISNUMBER(INDEX(Database!$H$6:$H$197, MATCH($B14&amp;"% GDP", Database!$AD$6:$AD$197, 0))), INDEX(Database!$H$6:$H$197, MATCH($B14&amp;"% GDP", Database!$AD$6:$AD$197, 0)), "")</f>
        <v>2.0791236493817857</v>
      </c>
      <c r="Q14" s="300">
        <f>IF(ISNUMBER(INDEX(Database!$J$6:$J$197, MATCH($B14&amp;"% GDP", Database!$AD$6:$AD$197, 0))), INDEX(Database!$J$6:$J$197, MATCH($B14&amp;"% GDP", Database!$AD$6:$AD$197, 0)), "")</f>
        <v>14.646683565734186</v>
      </c>
      <c r="R14" s="300">
        <f>IF(ISNUMBER(INDEX(Database!$L$6:$L$197, MATCH($B14&amp;"% GDP", Database!$AD$6:$AD$197, 0))), INDEX(Database!$L$6:$L$197, MATCH($B14&amp;"% GDP", Database!$AD$6:$AD$197, 0)), "")</f>
        <v>0.5383445163577838</v>
      </c>
      <c r="S14" s="300"/>
      <c r="T14" s="320">
        <f>IF(ISNUMBER(INDEX(Database!$P$6:$P$197, MATCH($B14&amp;"% GDP", Database!$AD$6:$AD$197, 0))), INDEX(Database!$P$6:$P$197, MATCH($B14&amp;"% GDP", Database!$AD$6:$AD$197, 0)), "")</f>
        <v>28.328059722826826</v>
      </c>
      <c r="U14" s="300" t="str">
        <f>IF(ISNUMBER(INDEX(Database!$Q$6:$Q$197, MATCH($B14&amp;"% GDP", Database!$AD$6:$AD$197, 0))), INDEX(Database!$Q$6:$Q$197, MATCH($B14&amp;"% GDP", Database!$AD$6:$AD$197, 0)), "")</f>
        <v/>
      </c>
      <c r="V14" s="300"/>
      <c r="W14" s="300">
        <f>IF(ISNUMBER(INDEX(Database!$U$6:$U$197, MATCH($B14&amp;"% GDP", Database!$AD$6:$AD$197, 0))), INDEX(Database!$U$6:$U$197, MATCH($B14&amp;"% GDP", Database!$AD$6:$AD$197, 0)), "")</f>
        <v>2.9144858299369676</v>
      </c>
      <c r="X14" s="300">
        <f>IF(ISNUMBER(INDEX(Database!$W$6:$W$197, MATCH($B14&amp;"% GDP", Database!$AD$6:$AD$197, 0))), INDEX(Database!$W$6:$W$197, MATCH($B14&amp;"% GDP", Database!$AD$6:$AD$197, 0)), "")</f>
        <v>25.413573892889861</v>
      </c>
    </row>
    <row r="15" spans="1:24">
      <c r="A15" s="296"/>
      <c r="B15" s="299" t="s">
        <v>6</v>
      </c>
      <c r="C15" s="319">
        <f>IF(ISNUMBER(INDEX(Database!$G$6:$G$197, MATCH($B15&amp;"USD bn", Database!$AD$6:$AD$197, 0))), INDEX(Database!$G$6:$G$197, MATCH($B15&amp;"USD bn", Database!$AD$6:$AD$197, 0)), "")</f>
        <v>104.83004568682564</v>
      </c>
      <c r="D15" s="304">
        <f>IF(ISNUMBER(INDEX(Database!$H$6:$H$197, MATCH($B15&amp;"USD bn", Database!$AD$6:$AD$197, 0))), INDEX(Database!$H$6:$H$197, MATCH($B15&amp;"USD bn", Database!$AD$6:$AD$197, 0)), "")</f>
        <v>11.949099791303487</v>
      </c>
      <c r="E15" s="304">
        <f>IF(ISNUMBER(INDEX(Database!$J$6:$J$197, MATCH($B15&amp;"USD bn", Database!$AD$6:$AD$197, 0))), INDEX(Database!$J$6:$J$197, MATCH($B15&amp;"USD bn", Database!$AD$6:$AD$197, 0)), "")</f>
        <v>92.880945895522146</v>
      </c>
      <c r="F15" s="304">
        <f>IF(ISNUMBER(INDEX(Database!$L$6:$L$197, MATCH($B15&amp;"USD bn", Database!$AD$6:$AD$197, 0))), INDEX(Database!$L$6:$L$197, MATCH($B15&amp;"USD bn", Database!$AD$6:$AD$197, 0)), "")</f>
        <v>27.965978234965611</v>
      </c>
      <c r="G15" s="304"/>
      <c r="H15" s="319">
        <f>IF(ISNUMBER(INDEX(Database!$P$6:$P$197, MATCH($B15&amp;"USD bn", Database!$AD$6:$AD$197, 0))), INDEX(Database!$P$6:$P$197, MATCH($B15&amp;"USD bn", Database!$AD$6:$AD$197, 0)), "")</f>
        <v>166.01621624938676</v>
      </c>
      <c r="I15" s="304" t="str">
        <f>IF(ISNUMBER(INDEX(Database!$Q$6:$Q$197, MATCH($B15&amp;"USD bn", Database!$AD$6:$AD$197, 0))), INDEX(Database!$Q$6:$Q$197, MATCH($B15&amp;"USD bn", Database!$AD$6:$AD$197, 0)), "")</f>
        <v/>
      </c>
      <c r="J15" s="304"/>
      <c r="K15" s="304">
        <f>IF(ISNUMBER(INDEX(Database!$U$6:$U$197, MATCH($B15&amp;"USD bn", Database!$AD$6:$AD$197, 0))), INDEX(Database!$U$6:$U$197, MATCH($B15&amp;"USD bn", Database!$AD$6:$AD$197, 0)), "")</f>
        <v>60.08448051088066</v>
      </c>
      <c r="L15" s="304">
        <f>IF(ISNUMBER(INDEX(Database!$W$6:$W$197, MATCH($B15&amp;"USD bn", Database!$AD$6:$AD$197, 0))), INDEX(Database!$W$6:$W$197, MATCH($B15&amp;"USD bn", Database!$AD$6:$AD$197, 0)), "")</f>
        <v>105.93173573850609</v>
      </c>
      <c r="M15" s="220"/>
      <c r="N15" s="220"/>
      <c r="O15" s="320">
        <f>IF(ISNUMBER(INDEX(Database!$G$6:$G$197, MATCH($B15&amp;"% GDP", Database!$AD$6:$AD$197, 0))), INDEX(Database!$G$6:$G$197, MATCH($B15&amp;"% GDP", Database!$AD$6:$AD$197, 0)), "")</f>
        <v>6.3988747084813387</v>
      </c>
      <c r="P15" s="300">
        <f>IF(ISNUMBER(INDEX(Database!$H$6:$H$197, MATCH($B15&amp;"% GDP", Database!$AD$6:$AD$197, 0))), INDEX(Database!$H$6:$H$197, MATCH($B15&amp;"% GDP", Database!$AD$6:$AD$197, 0)), "")</f>
        <v>0.7293786046045827</v>
      </c>
      <c r="Q15" s="300">
        <f>IF(ISNUMBER(INDEX(Database!$J$6:$J$197, MATCH($B15&amp;"% GDP", Database!$AD$6:$AD$197, 0))), INDEX(Database!$J$6:$J$197, MATCH($B15&amp;"% GDP", Database!$AD$6:$AD$197, 0)), "")</f>
        <v>5.6694961038767557</v>
      </c>
      <c r="R15" s="300">
        <f>IF(ISNUMBER(INDEX(Database!$L$6:$L$197, MATCH($B15&amp;"% GDP", Database!$AD$6:$AD$197, 0))), INDEX(Database!$L$6:$L$197, MATCH($B15&amp;"% GDP", Database!$AD$6:$AD$197, 0)), "")</f>
        <v>1.7070563086490231</v>
      </c>
      <c r="S15" s="300"/>
      <c r="T15" s="320">
        <f>IF(ISNUMBER(INDEX(Database!$P$6:$P$197, MATCH($B15&amp;"% GDP", Database!$AD$6:$AD$197, 0))), INDEX(Database!$P$6:$P$197, MATCH($B15&amp;"% GDP", Database!$AD$6:$AD$197, 0)), "")</f>
        <v>10.133706995889202</v>
      </c>
      <c r="U15" s="300" t="str">
        <f>IF(ISNUMBER(INDEX(Database!$Q$6:$Q$197, MATCH($B15&amp;"% GDP", Database!$AD$6:$AD$197, 0))), INDEX(Database!$Q$6:$Q$197, MATCH($B15&amp;"% GDP", Database!$AD$6:$AD$197, 0)), "")</f>
        <v/>
      </c>
      <c r="V15" s="300"/>
      <c r="W15" s="300">
        <f>IF(ISNUMBER(INDEX(Database!$U$6:$U$197, MATCH($B15&amp;"% GDP", Database!$AD$6:$AD$197, 0))), INDEX(Database!$U$6:$U$197, MATCH($B15&amp;"% GDP", Database!$AD$6:$AD$197, 0)), "")</f>
        <v>3.6675846146429012</v>
      </c>
      <c r="X15" s="300">
        <f>IF(ISNUMBER(INDEX(Database!$W$6:$W$197, MATCH($B15&amp;"% GDP", Database!$AD$6:$AD$197, 0))), INDEX(Database!$W$6:$W$197, MATCH($B15&amp;"% GDP", Database!$AD$6:$AD$197, 0)), "")</f>
        <v>6.4661223812463007</v>
      </c>
    </row>
    <row r="16" spans="1:24">
      <c r="A16" s="296"/>
      <c r="B16" s="299" t="s">
        <v>32</v>
      </c>
      <c r="C16" s="319">
        <f>IF(ISNUMBER(INDEX(Database!$G$6:$G$197, MATCH($B16&amp;"USD bn", Database!$AD$6:$AD$197, 0))), INDEX(Database!$G$6:$G$197, MATCH($B16&amp;"USD bn", Database!$AD$6:$AD$197, 0)), "")</f>
        <v>107.45168705821794</v>
      </c>
      <c r="D16" s="304">
        <f>IF(ISNUMBER(INDEX(Database!$H$6:$H$197, MATCH($B16&amp;"USD bn", Database!$AD$6:$AD$197, 0))), INDEX(Database!$H$6:$H$197, MATCH($B16&amp;"USD bn", Database!$AD$6:$AD$197, 0)), "")</f>
        <v>21.924024518198266</v>
      </c>
      <c r="E16" s="304">
        <f>IF(ISNUMBER(INDEX(Database!$J$6:$J$197, MATCH($B16&amp;"USD bn", Database!$AD$6:$AD$197, 0))), INDEX(Database!$J$6:$J$197, MATCH($B16&amp;"USD bn", Database!$AD$6:$AD$197, 0)), "")</f>
        <v>85.527662540019676</v>
      </c>
      <c r="F16" s="304">
        <f>IF(ISNUMBER(INDEX(Database!$L$6:$L$197, MATCH($B16&amp;"USD bn", Database!$AD$6:$AD$197, 0))), INDEX(Database!$L$6:$L$197, MATCH($B16&amp;"USD bn", Database!$AD$6:$AD$197, 0)), "")</f>
        <v>5.1357683670948562E-2</v>
      </c>
      <c r="G16" s="304"/>
      <c r="H16" s="319">
        <f>IF(ISNUMBER(INDEX(Database!$P$6:$P$197, MATCH($B16&amp;"USD bn", Database!$AD$6:$AD$197, 0))), INDEX(Database!$P$6:$P$197, MATCH($B16&amp;"USD bn", Database!$AD$6:$AD$197, 0)), "")</f>
        <v>184.01914572044612</v>
      </c>
      <c r="I16" s="304">
        <f>IF(ISNUMBER(INDEX(Database!$Q$6:$Q$197, MATCH($B16&amp;"USD bn", Database!$AD$6:$AD$197, 0))), INDEX(Database!$Q$6:$Q$197, MATCH($B16&amp;"USD bn", Database!$AD$6:$AD$197, 0)), "")</f>
        <v>0.72927910812746966</v>
      </c>
      <c r="J16" s="304"/>
      <c r="K16" s="304">
        <f>IF(ISNUMBER(INDEX(Database!$U$6:$U$197, MATCH($B16&amp;"USD bn", Database!$AD$6:$AD$197, 0))), INDEX(Database!$U$6:$U$197, MATCH($B16&amp;"USD bn", Database!$AD$6:$AD$197, 0)), "")</f>
        <v>171.87704801877453</v>
      </c>
      <c r="L16" s="304">
        <f>IF(ISNUMBER(INDEX(Database!$W$6:$W$197, MATCH($B16&amp;"USD bn", Database!$AD$6:$AD$197, 0))), INDEX(Database!$W$6:$W$197, MATCH($B16&amp;"USD bn", Database!$AD$6:$AD$197, 0)), "")</f>
        <v>11.412818593544126</v>
      </c>
      <c r="M16" s="220"/>
      <c r="N16" s="220"/>
      <c r="O16" s="320">
        <f>IF(ISNUMBER(INDEX(Database!$G$6:$G$197, MATCH($B16&amp;"% GDP", Database!$AD$6:$AD$197, 0))), INDEX(Database!$G$6:$G$197, MATCH($B16&amp;"% GDP", Database!$AD$6:$AD$197, 0)), "")</f>
        <v>8.3916545151825215</v>
      </c>
      <c r="P16" s="300">
        <f>IF(ISNUMBER(INDEX(Database!$H$6:$H$197, MATCH($B16&amp;"% GDP", Database!$AD$6:$AD$197, 0))), INDEX(Database!$H$6:$H$197, MATCH($B16&amp;"% GDP", Database!$AD$6:$AD$197, 0)), "")</f>
        <v>1.7122005654451007</v>
      </c>
      <c r="Q16" s="300">
        <f>IF(ISNUMBER(INDEX(Database!$J$6:$J$197, MATCH($B16&amp;"% GDP", Database!$AD$6:$AD$197, 0))), INDEX(Database!$J$6:$J$197, MATCH($B16&amp;"% GDP", Database!$AD$6:$AD$197, 0)), "")</f>
        <v>6.6794539497374199</v>
      </c>
      <c r="R16" s="300">
        <f>IF(ISNUMBER(INDEX(Database!$L$6:$L$197, MATCH($B16&amp;"% GDP", Database!$AD$6:$AD$197, 0))), INDEX(Database!$L$6:$L$197, MATCH($B16&amp;"% GDP", Database!$AD$6:$AD$197, 0)), "")</f>
        <v>4.010881074702214E-3</v>
      </c>
      <c r="S16" s="300"/>
      <c r="T16" s="320">
        <f>IF(ISNUMBER(INDEX(Database!$P$6:$P$197, MATCH($B16&amp;"% GDP", Database!$AD$6:$AD$197, 0))), INDEX(Database!$P$6:$P$197, MATCH($B16&amp;"% GDP", Database!$AD$6:$AD$197, 0)), "")</f>
        <v>14.371343413420227</v>
      </c>
      <c r="U16" s="300">
        <f>IF(ISNUMBER(INDEX(Database!$Q$6:$Q$197, MATCH($B16&amp;"% GDP", Database!$AD$6:$AD$197, 0))), INDEX(Database!$Q$6:$Q$197, MATCH($B16&amp;"% GDP", Database!$AD$6:$AD$197, 0)), "")</f>
        <v>5.6954511260771438E-2</v>
      </c>
      <c r="V16" s="300"/>
      <c r="W16" s="300">
        <f>IF(ISNUMBER(INDEX(Database!$U$6:$U$197, MATCH($B16&amp;"% GDP", Database!$AD$6:$AD$197, 0))), INDEX(Database!$U$6:$U$197, MATCH($B16&amp;"% GDP", Database!$AD$6:$AD$197, 0)), "")</f>
        <v>13.423081996670074</v>
      </c>
      <c r="X16" s="300">
        <f>IF(ISNUMBER(INDEX(Database!$W$6:$W$197, MATCH($B16&amp;"% GDP", Database!$AD$6:$AD$197, 0))), INDEX(Database!$W$6:$W$197, MATCH($B16&amp;"% GDP", Database!$AD$6:$AD$197, 0)), "")</f>
        <v>0.89130690548938096</v>
      </c>
    </row>
    <row r="17" spans="1:24">
      <c r="A17" s="296"/>
      <c r="B17" s="299" t="s">
        <v>7</v>
      </c>
      <c r="C17" s="319">
        <f>IF(ISNUMBER(INDEX(Database!$G$6:$G$197, MATCH($B17&amp;"USD bn", Database!$AD$6:$AD$197, 0))), INDEX(Database!$G$6:$G$197, MATCH($B17&amp;"USD bn", Database!$AD$6:$AD$197, 0)), "")</f>
        <v>522.16796884260248</v>
      </c>
      <c r="D17" s="304">
        <f>IF(ISNUMBER(INDEX(Database!$H$6:$H$197, MATCH($B17&amp;"USD bn", Database!$AD$6:$AD$197, 0))), INDEX(Database!$H$6:$H$197, MATCH($B17&amp;"USD bn", Database!$AD$6:$AD$197, 0)), "")</f>
        <v>130.8627342062542</v>
      </c>
      <c r="E17" s="304">
        <f>IF(ISNUMBER(INDEX(Database!$J$6:$J$197, MATCH($B17&amp;"USD bn", Database!$AD$6:$AD$197, 0))), INDEX(Database!$J$6:$J$197, MATCH($B17&amp;"USD bn", Database!$AD$6:$AD$197, 0)), "")</f>
        <v>391.30523463634825</v>
      </c>
      <c r="F17" s="304">
        <f>IF(ISNUMBER(INDEX(Database!$L$6:$L$197, MATCH($B17&amp;"USD bn", Database!$AD$6:$AD$197, 0))), INDEX(Database!$L$6:$L$197, MATCH($B17&amp;"USD bn", Database!$AD$6:$AD$197, 0)), "")</f>
        <v>16.03709978017821</v>
      </c>
      <c r="G17" s="304"/>
      <c r="H17" s="319">
        <f>IF(ISNUMBER(INDEX(Database!$P$6:$P$197, MATCH($B17&amp;"USD bn", Database!$AD$6:$AD$197, 0))), INDEX(Database!$P$6:$P$197, MATCH($B17&amp;"USD bn", Database!$AD$6:$AD$197, 0)), "")</f>
        <v>452.92618683170508</v>
      </c>
      <c r="I17" s="304">
        <f>IF(ISNUMBER(INDEX(Database!$Q$6:$Q$197, MATCH($B17&amp;"USD bn", Database!$AD$6:$AD$197, 0))), INDEX(Database!$Q$6:$Q$197, MATCH($B17&amp;"USD bn", Database!$AD$6:$AD$197, 0)), "")</f>
        <v>1.3214570218866846</v>
      </c>
      <c r="J17" s="304"/>
      <c r="K17" s="304">
        <f>IF(ISNUMBER(INDEX(Database!$U$6:$U$197, MATCH($B17&amp;"USD bn", Database!$AD$6:$AD$197, 0))), INDEX(Database!$U$6:$U$197, MATCH($B17&amp;"USD bn", Database!$AD$6:$AD$197, 0)), "")</f>
        <v>451.60472980981842</v>
      </c>
      <c r="L17" s="304" t="str">
        <f>IF(ISNUMBER(INDEX(Database!$W$6:$W$197, MATCH($B17&amp;"USD bn", Database!$AD$6:$AD$197, 0))), INDEX(Database!$W$6:$W$197, MATCH($B17&amp;"USD bn", Database!$AD$6:$AD$197, 0)), "")</f>
        <v/>
      </c>
      <c r="M17" s="220"/>
      <c r="N17" s="220"/>
      <c r="O17" s="320">
        <f>IF(ISNUMBER(INDEX(Database!$G$6:$G$197, MATCH($B17&amp;"% GDP", Database!$AD$6:$AD$197, 0))), INDEX(Database!$G$6:$G$197, MATCH($B17&amp;"% GDP", Database!$AD$6:$AD$197, 0)), "")</f>
        <v>19.27047748644793</v>
      </c>
      <c r="P17" s="300">
        <f>IF(ISNUMBER(INDEX(Database!$H$6:$H$197, MATCH($B17&amp;"% GDP", Database!$AD$6:$AD$197, 0))), INDEX(Database!$H$6:$H$197, MATCH($B17&amp;"% GDP", Database!$AD$6:$AD$197, 0)), "")</f>
        <v>4.8294562742449347</v>
      </c>
      <c r="Q17" s="300">
        <f>IF(ISNUMBER(INDEX(Database!$J$6:$J$197, MATCH($B17&amp;"% GDP", Database!$AD$6:$AD$197, 0))), INDEX(Database!$J$6:$J$197, MATCH($B17&amp;"% GDP", Database!$AD$6:$AD$197, 0)), "")</f>
        <v>14.441021212202996</v>
      </c>
      <c r="R17" s="300">
        <f>IF(ISNUMBER(INDEX(Database!$L$6:$L$197, MATCH($B17&amp;"% GDP", Database!$AD$6:$AD$197, 0))), INDEX(Database!$L$6:$L$197, MATCH($B17&amp;"% GDP", Database!$AD$6:$AD$197, 0)), "")</f>
        <v>0.59184513164766361</v>
      </c>
      <c r="S17" s="300"/>
      <c r="T17" s="320">
        <f>IF(ISNUMBER(INDEX(Database!$P$6:$P$197, MATCH($B17&amp;"% GDP", Database!$AD$6:$AD$197, 0))), INDEX(Database!$P$6:$P$197, MATCH($B17&amp;"% GDP", Database!$AD$6:$AD$197, 0)), "")</f>
        <v>16.715126946045974</v>
      </c>
      <c r="U17" s="300">
        <f>IF(ISNUMBER(INDEX(Database!$Q$6:$Q$197, MATCH($B17&amp;"% GDP", Database!$AD$6:$AD$197, 0))), INDEX(Database!$Q$6:$Q$197, MATCH($B17&amp;"% GDP", Database!$AD$6:$AD$197, 0)), "")</f>
        <v>4.8768038847767488E-2</v>
      </c>
      <c r="V17" s="300"/>
      <c r="W17" s="300">
        <f>IF(ISNUMBER(INDEX(Database!$U$6:$U$197, MATCH($B17&amp;"% GDP", Database!$AD$6:$AD$197, 0))), INDEX(Database!$U$6:$U$197, MATCH($B17&amp;"% GDP", Database!$AD$6:$AD$197, 0)), "")</f>
        <v>16.666358907198209</v>
      </c>
      <c r="X17" s="300" t="str">
        <f>IF(ISNUMBER(INDEX(Database!$W$6:$W$197, MATCH($B17&amp;"% GDP", Database!$AD$6:$AD$197, 0))), INDEX(Database!$W$6:$W$197, MATCH($B17&amp;"% GDP", Database!$AD$6:$AD$197, 0)), "")</f>
        <v/>
      </c>
    </row>
    <row r="18" spans="1:24">
      <c r="A18" s="296"/>
      <c r="B18" s="299" t="s">
        <v>8</v>
      </c>
      <c r="C18" s="319">
        <f>IF(ISNUMBER(INDEX(Database!$G$6:$G$197, MATCH($B18&amp;"USD bn", Database!$AD$6:$AD$197, 0))), INDEX(Database!$G$6:$G$197, MATCH($B18&amp;"USD bn", Database!$AD$6:$AD$197, 0)), "")</f>
        <v>5328.3</v>
      </c>
      <c r="D18" s="304">
        <f>IF(ISNUMBER(INDEX(Database!$H$6:$H$197, MATCH($B18&amp;"USD bn", Database!$AD$6:$AD$197, 0))), INDEX(Database!$H$6:$H$197, MATCH($B18&amp;"USD bn", Database!$AD$6:$AD$197, 0)), "")</f>
        <v>687.3</v>
      </c>
      <c r="E18" s="304">
        <f>IF(ISNUMBER(INDEX(Database!$J$6:$J$197, MATCH($B18&amp;"USD bn", Database!$AD$6:$AD$197, 0))), INDEX(Database!$J$6:$J$197, MATCH($B18&amp;"USD bn", Database!$AD$6:$AD$197, 0)), "")</f>
        <v>4641</v>
      </c>
      <c r="F18" s="304">
        <f>IF(ISNUMBER(INDEX(Database!$L$6:$L$197, MATCH($B18&amp;"USD bn", Database!$AD$6:$AD$197, 0))), INDEX(Database!$L$6:$L$197, MATCH($B18&amp;"USD bn", Database!$AD$6:$AD$197, 0)), "")</f>
        <v>17.98</v>
      </c>
      <c r="G18" s="304"/>
      <c r="H18" s="319">
        <f>IF(ISNUMBER(INDEX(Database!$P$6:$P$197, MATCH($B18&amp;"USD bn", Database!$AD$6:$AD$197, 0))), INDEX(Database!$P$6:$P$197, MATCH($B18&amp;"USD bn", Database!$AD$6:$AD$197, 0)), "")</f>
        <v>510</v>
      </c>
      <c r="I18" s="304">
        <f>IF(ISNUMBER(INDEX(Database!$Q$6:$Q$197, MATCH($B18&amp;"USD bn", Database!$AD$6:$AD$197, 0))), INDEX(Database!$Q$6:$Q$197, MATCH($B18&amp;"USD bn", Database!$AD$6:$AD$197, 0)), "")</f>
        <v>56</v>
      </c>
      <c r="J18" s="304"/>
      <c r="K18" s="304">
        <f>IF(ISNUMBER(INDEX(Database!$U$6:$U$197, MATCH($B18&amp;"USD bn", Database!$AD$6:$AD$197, 0))), INDEX(Database!$U$6:$U$197, MATCH($B18&amp;"USD bn", Database!$AD$6:$AD$197, 0)), "")</f>
        <v>454</v>
      </c>
      <c r="L18" s="304" t="str">
        <f>IF(ISNUMBER(INDEX(Database!$W$6:$W$197, MATCH($B18&amp;"USD bn", Database!$AD$6:$AD$197, 0))), INDEX(Database!$W$6:$W$197, MATCH($B18&amp;"USD bn", Database!$AD$6:$AD$197, 0)), "")</f>
        <v/>
      </c>
      <c r="M18" s="220"/>
      <c r="N18" s="220"/>
      <c r="O18" s="320">
        <f>IF(ISNUMBER(INDEX(Database!$G$6:$G$197, MATCH($B18&amp;"% GDP", Database!$AD$6:$AD$197, 0))), INDEX(Database!$G$6:$G$197, MATCH($B18&amp;"% GDP", Database!$AD$6:$AD$197, 0)), "")</f>
        <v>25.501884534848941</v>
      </c>
      <c r="P18" s="300">
        <f>IF(ISNUMBER(INDEX(Database!$H$6:$H$197, MATCH($B18&amp;"% GDP", Database!$AD$6:$AD$197, 0))), INDEX(Database!$H$6:$H$197, MATCH($B18&amp;"% GDP", Database!$AD$6:$AD$197, 0)), "")</f>
        <v>3.2895004486987736</v>
      </c>
      <c r="Q18" s="300">
        <f>IF(ISNUMBER(INDEX(Database!$J$6:$J$197, MATCH($B18&amp;"% GDP", Database!$AD$6:$AD$197, 0))), INDEX(Database!$J$6:$J$197, MATCH($B18&amp;"% GDP", Database!$AD$6:$AD$197, 0)), "")</f>
        <v>22.212384086150163</v>
      </c>
      <c r="R18" s="300">
        <f>IF(ISNUMBER(INDEX(Database!$L$6:$L$197, MATCH($B18&amp;"% GDP", Database!$AD$6:$AD$197, 0))), INDEX(Database!$L$6:$L$197, MATCH($B18&amp;"% GDP", Database!$AD$6:$AD$197, 0)), "")</f>
        <v>8.6054442117858218E-2</v>
      </c>
      <c r="S18" s="300"/>
      <c r="T18" s="320">
        <f>IF(ISNUMBER(INDEX(Database!$P$6:$P$197, MATCH($B18&amp;"% GDP", Database!$AD$6:$AD$197, 0))), INDEX(Database!$P$6:$P$197, MATCH($B18&amp;"% GDP", Database!$AD$6:$AD$197, 0)), "")</f>
        <v>2.4409213281483697</v>
      </c>
      <c r="U18" s="300">
        <f>IF(ISNUMBER(INDEX(Database!$Q$6:$Q$197, MATCH($B18&amp;"% GDP", Database!$AD$6:$AD$197, 0))), INDEX(Database!$Q$6:$Q$197, MATCH($B18&amp;"% GDP", Database!$AD$6:$AD$197, 0)), "")</f>
        <v>0.26802273407119354</v>
      </c>
      <c r="V18" s="300"/>
      <c r="W18" s="300">
        <f>IF(ISNUMBER(INDEX(Database!$U$6:$U$197, MATCH($B18&amp;"% GDP", Database!$AD$6:$AD$197, 0))), INDEX(Database!$U$6:$U$197, MATCH($B18&amp;"% GDP", Database!$AD$6:$AD$197, 0)), "")</f>
        <v>2.1728985940771763</v>
      </c>
      <c r="X18" s="300" t="str">
        <f>IF(ISNUMBER(INDEX(Database!$W$6:$W$197, MATCH($B18&amp;"% GDP", Database!$AD$6:$AD$197, 0))), INDEX(Database!$W$6:$W$197, MATCH($B18&amp;"% GDP", Database!$AD$6:$AD$197, 0)), "")</f>
        <v/>
      </c>
    </row>
    <row r="19" spans="1:24" ht="13.5" customHeight="1">
      <c r="A19" s="296"/>
      <c r="B19" s="298" t="s">
        <v>869</v>
      </c>
      <c r="C19" s="320" t="str">
        <f>IF(ISNUMBER(INDEX(Database!$G$6:$G$197, MATCH($B19&amp;"USD bn", Database!$AD$6:$AD$197, 0))), INDEX(Database!$G$6:$G$197, MATCH($B19&amp;"USD bn", Database!$AD$6:$AD$197, 0)), "")</f>
        <v/>
      </c>
      <c r="D19" s="300" t="str">
        <f>IF(ISNUMBER(INDEX(Database!$H$6:$H$197, MATCH($B19&amp;"USD bn", Database!$AD$6:$AD$197, 0))), INDEX(Database!$H$6:$H$197, MATCH($B19&amp;"USD bn", Database!$AD$6:$AD$197, 0)), "")</f>
        <v/>
      </c>
      <c r="E19" s="300" t="str">
        <f>IF(ISNUMBER(INDEX(Database!$J$6:$J$197, MATCH($B19&amp;"USD bn", Database!$AD$6:$AD$197, 0))), INDEX(Database!$J$6:$J$197, MATCH($B19&amp;"USD bn", Database!$AD$6:$AD$197, 0)), "")</f>
        <v/>
      </c>
      <c r="F19" s="300" t="str">
        <f>IF(ISNUMBER(INDEX(Database!$L$6:$L$197, MATCH($B19&amp;"USD bn", Database!$AD$6:$AD$197, 0))), INDEX(Database!$L$6:$L$197, MATCH($B19&amp;"USD bn", Database!$AD$6:$AD$197, 0)), "")</f>
        <v/>
      </c>
      <c r="G19" s="300"/>
      <c r="H19" s="320" t="str">
        <f>IF(ISNUMBER(INDEX(Database!$P$6:$P$197, MATCH($B19&amp;"USD bn", Database!$AD$6:$AD$197, 0))), INDEX(Database!$P$6:$P$197, MATCH($B19&amp;"USD bn", Database!$AD$6:$AD$197, 0)), "")</f>
        <v/>
      </c>
      <c r="I19" s="303" t="str">
        <f>IF(ISNUMBER(INDEX(Database!$Q$6:$Q$197, MATCH($B19&amp;"USD bn", Database!$AD$6:$AD$197, 0))), INDEX(Database!$Q$6:$Q$197, MATCH($B19&amp;"USD bn", Database!$AD$6:$AD$197, 0)), "")</f>
        <v/>
      </c>
      <c r="J19" s="303"/>
      <c r="K19" s="303" t="str">
        <f>IF(ISNUMBER(INDEX(Database!$U$6:$U$197, MATCH($B19&amp;"USD bn", Database!$AD$6:$AD$197, 0))), INDEX(Database!$U$6:$U$197, MATCH($B19&amp;"USD bn", Database!$AD$6:$AD$197, 0)), "")</f>
        <v/>
      </c>
      <c r="L19" s="303" t="str">
        <f>IF(ISNUMBER(INDEX(Database!$W$6:$W$197, MATCH($B19&amp;"USD bn", Database!$AD$6:$AD$197, 0))), INDEX(Database!$W$6:$W$197, MATCH($B19&amp;"USD bn", Database!$AD$6:$AD$197, 0)), "")</f>
        <v/>
      </c>
      <c r="M19" s="220"/>
      <c r="N19" s="220"/>
      <c r="O19" s="320" t="str">
        <f>IF(ISNUMBER(INDEX(Database!$G$6:$G$197, MATCH($B19&amp;"% GDP", Database!$AD$6:$AD$197, 0))), INDEX(Database!$G$6:$G$197, MATCH($B19&amp;"% GDP", Database!$AD$6:$AD$197, 0)), "")</f>
        <v/>
      </c>
      <c r="P19" s="300" t="str">
        <f>IF(ISNUMBER(INDEX(Database!$H$6:$H$197, MATCH($B19&amp;"% GDP", Database!$AD$6:$AD$197, 0))), INDEX(Database!$H$6:$H$197, MATCH($B19&amp;"% GDP", Database!$AD$6:$AD$197, 0)), "")</f>
        <v/>
      </c>
      <c r="Q19" s="300" t="str">
        <f>IF(ISNUMBER(INDEX(Database!$J$6:$J$197, MATCH($B19&amp;"% GDP", Database!$AD$6:$AD$197, 0))), INDEX(Database!$J$6:$J$197, MATCH($B19&amp;"% GDP", Database!$AD$6:$AD$197, 0)), "")</f>
        <v/>
      </c>
      <c r="R19" s="300" t="str">
        <f>IF(ISNUMBER(INDEX(Database!$L$6:$L$197, MATCH($B19&amp;"% GDP", Database!$AD$6:$AD$197, 0))), INDEX(Database!$L$6:$L$197, MATCH($B19&amp;"% GDP", Database!$AD$6:$AD$197, 0)), "")</f>
        <v/>
      </c>
      <c r="S19" s="300"/>
      <c r="T19" s="320" t="str">
        <f>IF(ISNUMBER(INDEX(Database!$P$6:$P$197, MATCH($B19&amp;"% GDP", Database!$AD$6:$AD$197, 0))), INDEX(Database!$P$6:$P$197, MATCH($B19&amp;"% GDP", Database!$AD$6:$AD$197, 0)), "")</f>
        <v/>
      </c>
      <c r="U19" s="300" t="str">
        <f>IF(ISNUMBER(INDEX(Database!$Q$6:$Q$197, MATCH($B19&amp;"% GDP", Database!$AD$6:$AD$197, 0))), INDEX(Database!$Q$6:$Q$197, MATCH($B19&amp;"% GDP", Database!$AD$6:$AD$197, 0)), "")</f>
        <v/>
      </c>
      <c r="V19" s="300"/>
      <c r="W19" s="300" t="str">
        <f>IF(ISNUMBER(INDEX(Database!$U$6:$U$197, MATCH($B19&amp;"% GDP", Database!$AD$6:$AD$197, 0))), INDEX(Database!$U$6:$U$197, MATCH($B19&amp;"% GDP", Database!$AD$6:$AD$197, 0)), "")</f>
        <v/>
      </c>
      <c r="X19" s="300" t="str">
        <f>IF(ISNUMBER(INDEX(Database!$W$6:$W$197, MATCH($B19&amp;"% GDP", Database!$AD$6:$AD$197, 0))), INDEX(Database!$W$6:$W$197, MATCH($B19&amp;"% GDP", Database!$AD$6:$AD$197, 0)), "")</f>
        <v/>
      </c>
    </row>
    <row r="20" spans="1:24" ht="13.5" customHeight="1">
      <c r="A20" s="296"/>
      <c r="B20" s="299" t="s">
        <v>9</v>
      </c>
      <c r="C20" s="319">
        <f>IF(ISNUMBER(INDEX(Database!$G$6:$G$197, MATCH($B20&amp;"USD bn", Database!$AD$6:$AD$197, 0))), INDEX(Database!$G$6:$G$197, MATCH($B20&amp;"USD bn", Database!$AD$6:$AD$197, 0)), "")</f>
        <v>20.812695929621835</v>
      </c>
      <c r="D20" s="304">
        <f>IF(ISNUMBER(INDEX(Database!$H$6:$H$197, MATCH($B20&amp;"USD bn", Database!$AD$6:$AD$197, 0))), INDEX(Database!$H$6:$H$197, MATCH($B20&amp;"USD bn", Database!$AD$6:$AD$197, 0)), "")</f>
        <v>4.9352464465452508</v>
      </c>
      <c r="E20" s="304">
        <f>IF(ISNUMBER(INDEX(Database!$J$6:$J$197, MATCH($B20&amp;"USD bn", Database!$AD$6:$AD$197, 0))), INDEX(Database!$J$6:$J$197, MATCH($B20&amp;"USD bn", Database!$AD$6:$AD$197, 0)), "")</f>
        <v>15.877449483076587</v>
      </c>
      <c r="F20" s="304">
        <f>IF(ISNUMBER(INDEX(Database!$L$6:$L$197, MATCH($B20&amp;"USD bn", Database!$AD$6:$AD$197, 0))), INDEX(Database!$L$6:$L$197, MATCH($B20&amp;"USD bn", Database!$AD$6:$AD$197, 0)), "")</f>
        <v>0.14157333466853844</v>
      </c>
      <c r="G20" s="304"/>
      <c r="H20" s="319">
        <f>IF(ISNUMBER(INDEX(Database!$P$6:$P$197, MATCH($B20&amp;"USD bn", Database!$AD$6:$AD$197, 0))), INDEX(Database!$P$6:$P$197, MATCH($B20&amp;"USD bn", Database!$AD$6:$AD$197, 0)), "")</f>
        <v>9.9568526272383089</v>
      </c>
      <c r="I20" s="303">
        <f>IF(ISNUMBER(INDEX(Database!$Q$6:$Q$197, MATCH($B20&amp;"USD bn", Database!$AD$6:$AD$197, 0))), INDEX(Database!$Q$6:$Q$197, MATCH($B20&amp;"USD bn", Database!$AD$6:$AD$197, 0)), "")</f>
        <v>0.99526054271982523</v>
      </c>
      <c r="J20" s="303"/>
      <c r="K20" s="303">
        <f>IF(ISNUMBER(INDEX(Database!$U$6:$U$197, MATCH($B20&amp;"USD bn", Database!$AD$6:$AD$197, 0))), INDEX(Database!$U$6:$U$197, MATCH($B20&amp;"USD bn", Database!$AD$6:$AD$197, 0)), "")</f>
        <v>8.9615920845184842</v>
      </c>
      <c r="L20" s="303" t="str">
        <f>IF(ISNUMBER(INDEX(Database!$W$6:$W$197, MATCH($B20&amp;"USD bn", Database!$AD$6:$AD$197, 0))), INDEX(Database!$W$6:$W$197, MATCH($B20&amp;"USD bn", Database!$AD$6:$AD$197, 0)), "")</f>
        <v/>
      </c>
      <c r="M20" s="220"/>
      <c r="N20" s="220"/>
      <c r="O20" s="320">
        <f>IF(ISNUMBER(INDEX(Database!$G$6:$G$197, MATCH($B20&amp;"% GDP", Database!$AD$6:$AD$197, 0))), INDEX(Database!$G$6:$G$197, MATCH($B20&amp;"% GDP", Database!$AD$6:$AD$197, 0)), "")</f>
        <v>5.3494285646507498</v>
      </c>
      <c r="P20" s="300">
        <f>IF(ISNUMBER(INDEX(Database!$H$6:$H$197, MATCH($B20&amp;"% GDP", Database!$AD$6:$AD$197, 0))), INDEX(Database!$H$6:$H$197, MATCH($B20&amp;"% GDP", Database!$AD$6:$AD$197, 0)), "")</f>
        <v>1.2684924818973211</v>
      </c>
      <c r="Q20" s="300">
        <f>IF(ISNUMBER(INDEX(Database!$J$6:$J$197, MATCH($B20&amp;"% GDP", Database!$AD$6:$AD$197, 0))), INDEX(Database!$J$6:$J$197, MATCH($B20&amp;"% GDP", Database!$AD$6:$AD$197, 0)), "")</f>
        <v>4.0809360827534293</v>
      </c>
      <c r="R20" s="300">
        <f>IF(ISNUMBER(INDEX(Database!$L$6:$L$197, MATCH($B20&amp;"% GDP", Database!$AD$6:$AD$197, 0))), INDEX(Database!$L$6:$L$197, MATCH($B20&amp;"% GDP", Database!$AD$6:$AD$197, 0)), "")</f>
        <v>3.6388195120405073E-2</v>
      </c>
      <c r="S20" s="300"/>
      <c r="T20" s="320">
        <f>IF(ISNUMBER(INDEX(Database!$P$6:$P$197, MATCH($B20&amp;"% GDP", Database!$AD$6:$AD$197, 0))), INDEX(Database!$P$6:$P$197, MATCH($B20&amp;"% GDP", Database!$AD$6:$AD$197, 0)), "")</f>
        <v>2.5591817628180888</v>
      </c>
      <c r="U20" s="300">
        <f>IF(ISNUMBER(INDEX(Database!$Q$6:$Q$197, MATCH($B20&amp;"% GDP", Database!$AD$6:$AD$197, 0))), INDEX(Database!$Q$6:$Q$197, MATCH($B20&amp;"% GDP", Database!$AD$6:$AD$197, 0)), "")</f>
        <v>0.25580901169644765</v>
      </c>
      <c r="V20" s="300"/>
      <c r="W20" s="300">
        <f>IF(ISNUMBER(INDEX(Database!$U$6:$U$197, MATCH($B20&amp;"% GDP", Database!$AD$6:$AD$197, 0))), INDEX(Database!$U$6:$U$197, MATCH($B20&amp;"% GDP", Database!$AD$6:$AD$197, 0)), "")</f>
        <v>2.3033727511216413</v>
      </c>
      <c r="X20" s="300" t="str">
        <f>IF(ISNUMBER(INDEX(Database!$W$6:$W$197, MATCH($B20&amp;"% GDP", Database!$AD$6:$AD$197, 0))), INDEX(Database!$W$6:$W$197, MATCH($B20&amp;"% GDP", Database!$AD$6:$AD$197, 0)), "")</f>
        <v/>
      </c>
    </row>
    <row r="21" spans="1:24">
      <c r="A21" s="296"/>
      <c r="B21" s="299" t="s">
        <v>10</v>
      </c>
      <c r="C21" s="319">
        <f>IF(ISNUMBER(INDEX(Database!$G$6:$G$197, MATCH($B21&amp;"USD bn", Database!$AD$6:$AD$197, 0))), INDEX(Database!$G$6:$G$197, MATCH($B21&amp;"USD bn", Database!$AD$6:$AD$197, 0)), "")</f>
        <v>133.43721913654085</v>
      </c>
      <c r="D21" s="304">
        <f>IF(ISNUMBER(INDEX(Database!$H$6:$H$197, MATCH($B21&amp;"USD bn", Database!$AD$6:$AD$197, 0))), INDEX(Database!$H$6:$H$197, MATCH($B21&amp;"USD bn", Database!$AD$6:$AD$197, 0)), "")</f>
        <v>21.104767323819807</v>
      </c>
      <c r="E21" s="304">
        <f>IF(ISNUMBER(INDEX(Database!$J$6:$J$197, MATCH($B21&amp;"USD bn", Database!$AD$6:$AD$197, 0))), INDEX(Database!$J$6:$J$197, MATCH($B21&amp;"USD bn", Database!$AD$6:$AD$197, 0)), "")</f>
        <v>112.33245181272106</v>
      </c>
      <c r="F21" s="304">
        <f>IF(ISNUMBER(INDEX(Database!$L$6:$L$197, MATCH($B21&amp;"USD bn", Database!$AD$6:$AD$197, 0))), INDEX(Database!$L$6:$L$197, MATCH($B21&amp;"USD bn", Database!$AD$6:$AD$197, 0)), "")</f>
        <v>44.537266337766802</v>
      </c>
      <c r="G21" s="304"/>
      <c r="H21" s="319">
        <f>IF(ISNUMBER(INDEX(Database!$P$6:$P$197, MATCH($B21&amp;"USD bn", Database!$AD$6:$AD$197, 0))), INDEX(Database!$P$6:$P$197, MATCH($B21&amp;"USD bn", Database!$AD$6:$AD$197, 0)), "")</f>
        <v>88.861157270605275</v>
      </c>
      <c r="I21" s="303">
        <f>IF(ISNUMBER(INDEX(Database!$Q$6:$Q$197, MATCH($B21&amp;"USD bn", Database!$AD$6:$AD$197, 0))), INDEX(Database!$Q$6:$Q$197, MATCH($B21&amp;"USD bn", Database!$AD$6:$AD$197, 0)), "")</f>
        <v>15.498813503430172</v>
      </c>
      <c r="J21" s="303"/>
      <c r="K21" s="303" t="str">
        <f>IF(ISNUMBER(INDEX(Database!$U$6:$U$197, MATCH($B21&amp;"USD bn", Database!$AD$6:$AD$197, 0))), INDEX(Database!$U$6:$U$197, MATCH($B21&amp;"USD bn", Database!$AD$6:$AD$197, 0)), "")</f>
        <v/>
      </c>
      <c r="L21" s="303">
        <f>IF(ISNUMBER(INDEX(Database!$W$6:$W$197, MATCH($B21&amp;"USD bn", Database!$AD$6:$AD$197, 0))), INDEX(Database!$W$6:$W$197, MATCH($B21&amp;"USD bn", Database!$AD$6:$AD$197, 0)), "")</f>
        <v>73.362343767175105</v>
      </c>
      <c r="M21" s="220"/>
      <c r="N21" s="220"/>
      <c r="O21" s="320">
        <f>IF(ISNUMBER(INDEX(Database!$G$6:$G$197, MATCH($B21&amp;"% GDP", Database!$AD$6:$AD$197, 0))), INDEX(Database!$G$6:$G$197, MATCH($B21&amp;"% GDP", Database!$AD$6:$AD$197, 0)), "")</f>
        <v>9.2362126130761357</v>
      </c>
      <c r="P21" s="300">
        <f>IF(ISNUMBER(INDEX(Database!$H$6:$H$197, MATCH($B21&amp;"% GDP", Database!$AD$6:$AD$197, 0))), INDEX(Database!$H$6:$H$197, MATCH($B21&amp;"% GDP", Database!$AD$6:$AD$197, 0)), "")</f>
        <v>1.460822695599191</v>
      </c>
      <c r="Q21" s="300">
        <f>IF(ISNUMBER(INDEX(Database!$J$6:$J$197, MATCH($B21&amp;"% GDP", Database!$AD$6:$AD$197, 0))), INDEX(Database!$J$6:$J$197, MATCH($B21&amp;"% GDP", Database!$AD$6:$AD$197, 0)), "")</f>
        <v>7.7753899174769447</v>
      </c>
      <c r="R21" s="300">
        <f>IF(ISNUMBER(INDEX(Database!$L$6:$L$197, MATCH($B21&amp;"% GDP", Database!$AD$6:$AD$197, 0))), INDEX(Database!$L$6:$L$197, MATCH($B21&amp;"% GDP", Database!$AD$6:$AD$197, 0)), "")</f>
        <v>3.0827655414482935</v>
      </c>
      <c r="S21" s="300"/>
      <c r="T21" s="320">
        <f>IF(ISNUMBER(INDEX(Database!$P$6:$P$197, MATCH($B21&amp;"% GDP", Database!$AD$6:$AD$197, 0))), INDEX(Database!$P$6:$P$197, MATCH($B21&amp;"% GDP", Database!$AD$6:$AD$197, 0)), "")</f>
        <v>6.1507617357903444</v>
      </c>
      <c r="U21" s="300">
        <f>IF(ISNUMBER(INDEX(Database!$Q$6:$Q$197, MATCH($B21&amp;"% GDP", Database!$AD$6:$AD$197, 0))), INDEX(Database!$Q$6:$Q$197, MATCH($B21&amp;"% GDP", Database!$AD$6:$AD$197, 0)), "")</f>
        <v>1.0727916670806561</v>
      </c>
      <c r="V21" s="300"/>
      <c r="W21" s="300" t="str">
        <f>IF(ISNUMBER(INDEX(Database!$U$6:$U$197, MATCH($B21&amp;"% GDP", Database!$AD$6:$AD$197, 0))), INDEX(Database!$U$6:$U$197, MATCH($B21&amp;"% GDP", Database!$AD$6:$AD$197, 0)), "")</f>
        <v/>
      </c>
      <c r="X21" s="300">
        <f>IF(ISNUMBER(INDEX(Database!$W$6:$W$197, MATCH($B21&amp;"% GDP", Database!$AD$6:$AD$197, 0))), INDEX(Database!$W$6:$W$197, MATCH($B21&amp;"% GDP", Database!$AD$6:$AD$197, 0)), "")</f>
        <v>5.0779700687096874</v>
      </c>
    </row>
    <row r="22" spans="1:24">
      <c r="A22" s="296"/>
      <c r="B22" s="299" t="s">
        <v>11</v>
      </c>
      <c r="C22" s="319">
        <f>IF(ISNUMBER(INDEX(Database!$G$6:$G$197, MATCH($B22&amp;"USD bn", Database!$AD$6:$AD$197, 0))), INDEX(Database!$G$6:$G$197, MATCH($B22&amp;"USD bn", Database!$AD$6:$AD$197, 0)), "")</f>
        <v>710.64739339926814</v>
      </c>
      <c r="D22" s="304">
        <f>IF(ISNUMBER(INDEX(Database!$H$6:$H$197, MATCH($B22&amp;"USD bn", Database!$AD$6:$AD$197, 0))), INDEX(Database!$H$6:$H$197, MATCH($B22&amp;"USD bn", Database!$AD$6:$AD$197, 0)), "")</f>
        <v>21.302032387783935</v>
      </c>
      <c r="E22" s="304">
        <f>IF(ISNUMBER(INDEX(Database!$J$6:$J$197, MATCH($B22&amp;"USD bn", Database!$AD$6:$AD$197, 0))), INDEX(Database!$J$6:$J$197, MATCH($B22&amp;"USD bn", Database!$AD$6:$AD$197, 0)), "")</f>
        <v>689.34536101148421</v>
      </c>
      <c r="F22" s="304">
        <f>IF(ISNUMBER(INDEX(Database!$L$6:$L$197, MATCH($B22&amp;"USD bn", Database!$AD$6:$AD$197, 0))), INDEX(Database!$L$6:$L$197, MATCH($B22&amp;"USD bn", Database!$AD$6:$AD$197, 0)), "")</f>
        <v>231.8588559214578</v>
      </c>
      <c r="G22" s="304"/>
      <c r="H22" s="319">
        <f>IF(ISNUMBER(INDEX(Database!$P$6:$P$197, MATCH($B22&amp;"USD bn", Database!$AD$6:$AD$197, 0))), INDEX(Database!$P$6:$P$197, MATCH($B22&amp;"USD bn", Database!$AD$6:$AD$197, 0)), "")</f>
        <v>192.73267398471179</v>
      </c>
      <c r="I22" s="303" t="str">
        <f>IF(ISNUMBER(INDEX(Database!$Q$6:$Q$197, MATCH($B22&amp;"USD bn", Database!$AD$6:$AD$197, 0))), INDEX(Database!$Q$6:$Q$197, MATCH($B22&amp;"USD bn", Database!$AD$6:$AD$197, 0)), "")</f>
        <v/>
      </c>
      <c r="J22" s="303"/>
      <c r="K22" s="303">
        <f>IF(ISNUMBER(INDEX(Database!$U$6:$U$197, MATCH($B22&amp;"USD bn", Database!$AD$6:$AD$197, 0))), INDEX(Database!$U$6:$U$197, MATCH($B22&amp;"USD bn", Database!$AD$6:$AD$197, 0)), "")</f>
        <v>57.964713980364451</v>
      </c>
      <c r="L22" s="303">
        <f>IF(ISNUMBER(INDEX(Database!$W$6:$W$197, MATCH($B22&amp;"USD bn", Database!$AD$6:$AD$197, 0))), INDEX(Database!$W$6:$W$197, MATCH($B22&amp;"USD bn", Database!$AD$6:$AD$197, 0)), "")</f>
        <v>134.76796000434734</v>
      </c>
      <c r="M22" s="220"/>
      <c r="N22" s="220"/>
      <c r="O22" s="320">
        <f>IF(ISNUMBER(INDEX(Database!$G$6:$G$197, MATCH($B22&amp;"% GDP", Database!$AD$6:$AD$197, 0))), INDEX(Database!$G$6:$G$197, MATCH($B22&amp;"% GDP", Database!$AD$6:$AD$197, 0)), "")</f>
        <v>4.7801156546253365</v>
      </c>
      <c r="P22" s="300">
        <f>IF(ISNUMBER(INDEX(Database!$H$6:$H$197, MATCH($B22&amp;"% GDP", Database!$AD$6:$AD$197, 0))), INDEX(Database!$H$6:$H$197, MATCH($B22&amp;"% GDP", Database!$AD$6:$AD$197, 0)), "")</f>
        <v>0.14328650106646096</v>
      </c>
      <c r="Q22" s="300">
        <f>IF(ISNUMBER(INDEX(Database!$J$6:$J$197, MATCH($B22&amp;"% GDP", Database!$AD$6:$AD$197, 0))), INDEX(Database!$J$6:$J$197, MATCH($B22&amp;"% GDP", Database!$AD$6:$AD$197, 0)), "")</f>
        <v>4.6368291535588764</v>
      </c>
      <c r="R22" s="300">
        <f>IF(ISNUMBER(INDEX(Database!$L$6:$L$197, MATCH($B22&amp;"% GDP", Database!$AD$6:$AD$197, 0))), INDEX(Database!$L$6:$L$197, MATCH($B22&amp;"% GDP", Database!$AD$6:$AD$197, 0)), "")</f>
        <v>1.5595809639886906</v>
      </c>
      <c r="S22" s="300"/>
      <c r="T22" s="320">
        <f>IF(ISNUMBER(INDEX(Database!$P$6:$P$197, MATCH($B22&amp;"% GDP", Database!$AD$6:$AD$197, 0))), INDEX(Database!$P$6:$P$197, MATCH($B22&amp;"% GDP", Database!$AD$6:$AD$197, 0)), "")</f>
        <v>1.296401676315599</v>
      </c>
      <c r="U22" s="300" t="str">
        <f>IF(ISNUMBER(INDEX(Database!$Q$6:$Q$197, MATCH($B22&amp;"% GDP", Database!$AD$6:$AD$197, 0))), INDEX(Database!$Q$6:$Q$197, MATCH($B22&amp;"% GDP", Database!$AD$6:$AD$197, 0)), "")</f>
        <v/>
      </c>
      <c r="V22" s="300"/>
      <c r="W22" s="300">
        <f>IF(ISNUMBER(INDEX(Database!$U$6:$U$197, MATCH($B22&amp;"% GDP", Database!$AD$6:$AD$197, 0))), INDEX(Database!$U$6:$U$197, MATCH($B22&amp;"% GDP", Database!$AD$6:$AD$197, 0)), "")</f>
        <v>0.38989524099717265</v>
      </c>
      <c r="X22" s="300">
        <f>IF(ISNUMBER(INDEX(Database!$W$6:$W$197, MATCH($B22&amp;"% GDP", Database!$AD$6:$AD$197, 0))), INDEX(Database!$W$6:$W$197, MATCH($B22&amp;"% GDP", Database!$AD$6:$AD$197, 0)), "")</f>
        <v>0.90650643531842645</v>
      </c>
    </row>
    <row r="23" spans="1:24">
      <c r="A23" s="296"/>
      <c r="B23" s="299" t="s">
        <v>12</v>
      </c>
      <c r="C23" s="319">
        <f>IF(ISNUMBER(INDEX(Database!$G$6:$G$197, MATCH($B23&amp;"USD bn", Database!$AD$6:$AD$197, 0))), INDEX(Database!$G$6:$G$197, MATCH($B23&amp;"USD bn", Database!$AD$6:$AD$197, 0)), "")</f>
        <v>108.91796310307309</v>
      </c>
      <c r="D23" s="304">
        <f>IF(ISNUMBER(INDEX(Database!$H$6:$H$197, MATCH($B23&amp;"USD bn", Database!$AD$6:$AD$197, 0))), INDEX(Database!$H$6:$H$197, MATCH($B23&amp;"USD bn", Database!$AD$6:$AD$197, 0)), "")</f>
        <v>14.028015635197093</v>
      </c>
      <c r="E23" s="304">
        <f>IF(ISNUMBER(INDEX(Database!$J$6:$J$197, MATCH($B23&amp;"USD bn", Database!$AD$6:$AD$197, 0))), INDEX(Database!$J$6:$J$197, MATCH($B23&amp;"USD bn", Database!$AD$6:$AD$197, 0)), "")</f>
        <v>94.889947467875984</v>
      </c>
      <c r="F23" s="304">
        <f>IF(ISNUMBER(INDEX(Database!$L$6:$L$197, MATCH($B23&amp;"USD bn", Database!$AD$6:$AD$197, 0))), INDEX(Database!$L$6:$L$197, MATCH($B23&amp;"USD bn", Database!$AD$6:$AD$197, 0)), "")</f>
        <v>18.05320721758315</v>
      </c>
      <c r="G23" s="304"/>
      <c r="H23" s="319">
        <f>IF(ISNUMBER(INDEX(Database!$P$6:$P$197, MATCH($B23&amp;"USD bn", Database!$AD$6:$AD$197, 0))), INDEX(Database!$P$6:$P$197, MATCH($B23&amp;"USD bn", Database!$AD$6:$AD$197, 0)), "")</f>
        <v>165.59102232187649</v>
      </c>
      <c r="I23" s="303">
        <f>IF(ISNUMBER(INDEX(Database!$Q$6:$Q$197, MATCH($B23&amp;"USD bn", Database!$AD$6:$AD$197, 0))), INDEX(Database!$Q$6:$Q$197, MATCH($B23&amp;"USD bn", Database!$AD$6:$AD$197, 0)), "")</f>
        <v>8.6358998705005963</v>
      </c>
      <c r="J23" s="303"/>
      <c r="K23" s="303">
        <f>IF(ISNUMBER(INDEX(Database!$U$6:$U$197, MATCH($B23&amp;"USD bn", Database!$AD$6:$AD$197, 0))), INDEX(Database!$U$6:$U$197, MATCH($B23&amp;"USD bn", Database!$AD$6:$AD$197, 0)), "")</f>
        <v>140.78807121174921</v>
      </c>
      <c r="L23" s="303">
        <f>IF(ISNUMBER(INDEX(Database!$W$6:$W$197, MATCH($B23&amp;"USD bn", Database!$AD$6:$AD$197, 0))), INDEX(Database!$W$6:$W$197, MATCH($B23&amp;"USD bn", Database!$AD$6:$AD$197, 0)), "")</f>
        <v>16.167051239626701</v>
      </c>
      <c r="M23" s="220"/>
      <c r="N23" s="220"/>
      <c r="O23" s="320">
        <f>IF(ISNUMBER(INDEX(Database!$G$6:$G$197, MATCH($B23&amp;"% GDP", Database!$AD$6:$AD$197, 0))), INDEX(Database!$G$6:$G$197, MATCH($B23&amp;"% GDP", Database!$AD$6:$AD$197, 0)), "")</f>
        <v>4.0942849748831005</v>
      </c>
      <c r="P23" s="300">
        <f>IF(ISNUMBER(INDEX(Database!$H$6:$H$197, MATCH($B23&amp;"% GDP", Database!$AD$6:$AD$197, 0))), INDEX(Database!$H$6:$H$197, MATCH($B23&amp;"% GDP", Database!$AD$6:$AD$197, 0)), "")</f>
        <v>0.52732067334256061</v>
      </c>
      <c r="Q23" s="300">
        <f>IF(ISNUMBER(INDEX(Database!$J$6:$J$197, MATCH($B23&amp;"% GDP", Database!$AD$6:$AD$197, 0))), INDEX(Database!$J$6:$J$197, MATCH($B23&amp;"% GDP", Database!$AD$6:$AD$197, 0)), "")</f>
        <v>3.5669643015405401</v>
      </c>
      <c r="R23" s="300">
        <f>IF(ISNUMBER(INDEX(Database!$L$6:$L$197, MATCH($B23&amp;"% GDP", Database!$AD$6:$AD$197, 0))), INDEX(Database!$L$6:$L$197, MATCH($B23&amp;"% GDP", Database!$AD$6:$AD$197, 0)), "")</f>
        <v>0.67862979579826865</v>
      </c>
      <c r="S23" s="300"/>
      <c r="T23" s="320">
        <f>IF(ISNUMBER(INDEX(Database!$P$6:$P$197, MATCH($B23&amp;"% GDP", Database!$AD$6:$AD$197, 0))), INDEX(Database!$P$6:$P$197, MATCH($B23&amp;"% GDP", Database!$AD$6:$AD$197, 0)), "")</f>
        <v>6.2246558359377016</v>
      </c>
      <c r="U23" s="300">
        <f>IF(ISNUMBER(INDEX(Database!$Q$6:$Q$197, MATCH($B23&amp;"% GDP", Database!$AD$6:$AD$197, 0))), INDEX(Database!$Q$6:$Q$197, MATCH($B23&amp;"% GDP", Database!$AD$6:$AD$197, 0)), "")</f>
        <v>0.32462813366170912</v>
      </c>
      <c r="V23" s="300"/>
      <c r="W23" s="300">
        <f>IF(ISNUMBER(INDEX(Database!$U$6:$U$197, MATCH($B23&amp;"% GDP", Database!$AD$6:$AD$197, 0))), INDEX(Database!$U$6:$U$197, MATCH($B23&amp;"% GDP", Database!$AD$6:$AD$197, 0)), "")</f>
        <v>5.2922995269342588</v>
      </c>
      <c r="X23" s="300">
        <f>IF(ISNUMBER(INDEX(Database!$W$6:$W$197, MATCH($B23&amp;"% GDP", Database!$AD$6:$AD$197, 0))), INDEX(Database!$W$6:$W$197, MATCH($B23&amp;"% GDP", Database!$AD$6:$AD$197, 0)), "")</f>
        <v>0.60772817534173318</v>
      </c>
    </row>
    <row r="24" spans="1:24">
      <c r="A24" s="296"/>
      <c r="B24" s="299" t="s">
        <v>13</v>
      </c>
      <c r="C24" s="319">
        <f>IF(ISNUMBER(INDEX(Database!$G$6:$G$197, MATCH($B24&amp;"USD bn", Database!$AD$6:$AD$197, 0))), INDEX(Database!$G$6:$G$197, MATCH($B24&amp;"USD bn", Database!$AD$6:$AD$197, 0)), "")</f>
        <v>98.860320620644671</v>
      </c>
      <c r="D24" s="304">
        <f>IF(ISNUMBER(INDEX(Database!$H$6:$H$197, MATCH($B24&amp;"USD bn", Database!$AD$6:$AD$197, 0))), INDEX(Database!$H$6:$H$197, MATCH($B24&amp;"USD bn", Database!$AD$6:$AD$197, 0)), "")</f>
        <v>21.588685592667606</v>
      </c>
      <c r="E24" s="304">
        <f>IF(ISNUMBER(INDEX(Database!$J$6:$J$197, MATCH($B24&amp;"USD bn", Database!$AD$6:$AD$197, 0))), INDEX(Database!$J$6:$J$197, MATCH($B24&amp;"USD bn", Database!$AD$6:$AD$197, 0)), "")</f>
        <v>77.271635027977069</v>
      </c>
      <c r="F24" s="304" t="str">
        <f>IF(ISNUMBER(INDEX(Database!$L$6:$L$197, MATCH($B24&amp;"USD bn", Database!$AD$6:$AD$197, 0))), INDEX(Database!$L$6:$L$197, MATCH($B24&amp;"USD bn", Database!$AD$6:$AD$197, 0)), "")</f>
        <v/>
      </c>
      <c r="G24" s="304"/>
      <c r="H24" s="319">
        <f>IF(ISNUMBER(INDEX(Database!$P$6:$P$197, MATCH($B24&amp;"USD bn", Database!$AD$6:$AD$197, 0))), INDEX(Database!$P$6:$P$197, MATCH($B24&amp;"USD bn", Database!$AD$6:$AD$197, 0)), "")</f>
        <v>9.2787751879441149</v>
      </c>
      <c r="I24" s="303">
        <f>IF(ISNUMBER(INDEX(Database!$Q$6:$Q$197, MATCH($B24&amp;"USD bn", Database!$AD$6:$AD$197, 0))), INDEX(Database!$Q$6:$Q$197, MATCH($B24&amp;"USD bn", Database!$AD$6:$AD$197, 0)), "")</f>
        <v>2.4132367580927534</v>
      </c>
      <c r="J24" s="303"/>
      <c r="K24" s="303">
        <f>IF(ISNUMBER(INDEX(Database!$U$6:$U$197, MATCH($B24&amp;"USD bn", Database!$AD$6:$AD$197, 0))), INDEX(Database!$U$6:$U$197, MATCH($B24&amp;"USD bn", Database!$AD$6:$AD$197, 0)), "")</f>
        <v>6.8655384298513615</v>
      </c>
      <c r="L24" s="303" t="str">
        <f>IF(ISNUMBER(INDEX(Database!$W$6:$W$197, MATCH($B24&amp;"USD bn", Database!$AD$6:$AD$197, 0))), INDEX(Database!$W$6:$W$197, MATCH($B24&amp;"USD bn", Database!$AD$6:$AD$197, 0)), "")</f>
        <v/>
      </c>
      <c r="M24" s="220"/>
      <c r="N24" s="220"/>
      <c r="O24" s="320">
        <f>IF(ISNUMBER(INDEX(Database!$G$6:$G$197, MATCH($B24&amp;"% GDP", Database!$AD$6:$AD$197, 0))), INDEX(Database!$G$6:$G$197, MATCH($B24&amp;"% GDP", Database!$AD$6:$AD$197, 0)), "")</f>
        <v>9.3296348167315557</v>
      </c>
      <c r="P24" s="300">
        <f>IF(ISNUMBER(INDEX(Database!$H$6:$H$197, MATCH($B24&amp;"% GDP", Database!$AD$6:$AD$197, 0))), INDEX(Database!$H$6:$H$197, MATCH($B24&amp;"% GDP", Database!$AD$6:$AD$197, 0)), "")</f>
        <v>2.037364955811825</v>
      </c>
      <c r="Q24" s="300">
        <f>IF(ISNUMBER(INDEX(Database!$J$6:$J$197, MATCH($B24&amp;"% GDP", Database!$AD$6:$AD$197, 0))), INDEX(Database!$J$6:$J$197, MATCH($B24&amp;"% GDP", Database!$AD$6:$AD$197, 0)), "")</f>
        <v>7.2922698609197294</v>
      </c>
      <c r="R24" s="300" t="str">
        <f>IF(ISNUMBER(INDEX(Database!$L$6:$L$197, MATCH($B24&amp;"% GDP", Database!$AD$6:$AD$197, 0))), INDEX(Database!$L$6:$L$197, MATCH($B24&amp;"% GDP", Database!$AD$6:$AD$197, 0)), "")</f>
        <v/>
      </c>
      <c r="S24" s="300"/>
      <c r="T24" s="320">
        <f>IF(ISNUMBER(INDEX(Database!$P$6:$P$197, MATCH($B24&amp;"% GDP", Database!$AD$6:$AD$197, 0))), INDEX(Database!$P$6:$P$197, MATCH($B24&amp;"% GDP", Database!$AD$6:$AD$197, 0)), "")</f>
        <v>0.87565550573371964</v>
      </c>
      <c r="U24" s="300">
        <f>IF(ISNUMBER(INDEX(Database!$Q$6:$Q$197, MATCH($B24&amp;"% GDP", Database!$AD$6:$AD$197, 0))), INDEX(Database!$Q$6:$Q$197, MATCH($B24&amp;"% GDP", Database!$AD$6:$AD$197, 0)), "")</f>
        <v>0.22774170200917679</v>
      </c>
      <c r="V24" s="300"/>
      <c r="W24" s="300">
        <f>IF(ISNUMBER(INDEX(Database!$U$6:$U$197, MATCH($B24&amp;"% GDP", Database!$AD$6:$AD$197, 0))), INDEX(Database!$U$6:$U$197, MATCH($B24&amp;"% GDP", Database!$AD$6:$AD$197, 0)), "")</f>
        <v>0.64791380372454288</v>
      </c>
      <c r="X24" s="300" t="str">
        <f>IF(ISNUMBER(INDEX(Database!$W$6:$W$197, MATCH($B24&amp;"% GDP", Database!$AD$6:$AD$197, 0))), INDEX(Database!$W$6:$W$197, MATCH($B24&amp;"% GDP", Database!$AD$6:$AD$197, 0)), "")</f>
        <v/>
      </c>
    </row>
    <row r="25" spans="1:24">
      <c r="B25" s="299" t="s">
        <v>14</v>
      </c>
      <c r="C25" s="319">
        <f>IF(ISNUMBER(INDEX(Database!$G$6:$G$197, MATCH($B25&amp;"USD bn", Database!$AD$6:$AD$197, 0))), INDEX(Database!$G$6:$G$197, MATCH($B25&amp;"USD bn", Database!$AD$6:$AD$197, 0)), "")</f>
        <v>7.0279601888550927</v>
      </c>
      <c r="D25" s="304">
        <f>IF(ISNUMBER(INDEX(Database!$H$6:$H$197, MATCH($B25&amp;"USD bn", Database!$AD$6:$AD$197, 0))), INDEX(Database!$H$6:$H$197, MATCH($B25&amp;"USD bn", Database!$AD$6:$AD$197, 0)), "")</f>
        <v>4.8032151754294405</v>
      </c>
      <c r="E25" s="304">
        <f>IF(ISNUMBER(INDEX(Database!$J$6:$J$197, MATCH($B25&amp;"USD bn", Database!$AD$6:$AD$197, 0))), INDEX(Database!$J$6:$J$197, MATCH($B25&amp;"USD bn", Database!$AD$6:$AD$197, 0)), "")</f>
        <v>2.2247450134256517</v>
      </c>
      <c r="F25" s="304">
        <f>IF(ISNUMBER(INDEX(Database!$L$6:$L$197, MATCH($B25&amp;"USD bn", Database!$AD$6:$AD$197, 0))), INDEX(Database!$L$6:$L$197, MATCH($B25&amp;"USD bn", Database!$AD$6:$AD$197, 0)), "")</f>
        <v>4.2819360091037648</v>
      </c>
      <c r="G25" s="304"/>
      <c r="H25" s="319">
        <f>IF(ISNUMBER(INDEX(Database!$P$6:$P$197, MATCH($B25&amp;"USD bn", Database!$AD$6:$AD$197, 0))), INDEX(Database!$P$6:$P$197, MATCH($B25&amp;"USD bn", Database!$AD$6:$AD$197, 0)), "")</f>
        <v>13.41362997634462</v>
      </c>
      <c r="I25" s="303">
        <f>IF(ISNUMBER(INDEX(Database!$Q$6:$Q$197, MATCH($B25&amp;"USD bn", Database!$AD$6:$AD$197, 0))), INDEX(Database!$Q$6:$Q$197, MATCH($B25&amp;"USD bn", Database!$AD$6:$AD$197, 0)), "")</f>
        <v>0.89362142798687272</v>
      </c>
      <c r="J25" s="303"/>
      <c r="K25" s="303">
        <f>IF(ISNUMBER(INDEX(Database!$U$6:$U$197, MATCH($B25&amp;"USD bn", Database!$AD$6:$AD$197, 0))), INDEX(Database!$U$6:$U$197, MATCH($B25&amp;"USD bn", Database!$AD$6:$AD$197, 0)), "")</f>
        <v>0.27925669624589772</v>
      </c>
      <c r="L25" s="303">
        <f>IF(ISNUMBER(INDEX(Database!$W$6:$W$197, MATCH($B25&amp;"USD bn", Database!$AD$6:$AD$197, 0))), INDEX(Database!$W$6:$W$197, MATCH($B25&amp;"USD bn", Database!$AD$6:$AD$197, 0)), "")</f>
        <v>12.240751852111851</v>
      </c>
      <c r="M25" s="220"/>
      <c r="N25" s="220"/>
      <c r="O25" s="320">
        <f>IF(ISNUMBER(INDEX(Database!$G$6:$G$197, MATCH($B25&amp;"% GDP", Database!$AD$6:$AD$197, 0))), INDEX(Database!$G$6:$G$197, MATCH($B25&amp;"% GDP", Database!$AD$6:$AD$197, 0)), "")</f>
        <v>0.65442396745349374</v>
      </c>
      <c r="P25" s="300">
        <f>IF(ISNUMBER(INDEX(Database!$H$6:$H$197, MATCH($B25&amp;"% GDP", Database!$AD$6:$AD$197, 0))), INDEX(Database!$H$6:$H$197, MATCH($B25&amp;"% GDP", Database!$AD$6:$AD$197, 0)), "")</f>
        <v>0.44726194331920904</v>
      </c>
      <c r="Q25" s="300">
        <f>IF(ISNUMBER(INDEX(Database!$J$6:$J$197, MATCH($B25&amp;"% GDP", Database!$AD$6:$AD$197, 0))), INDEX(Database!$J$6:$J$197, MATCH($B25&amp;"% GDP", Database!$AD$6:$AD$197, 0)), "")</f>
        <v>0.20716202413428478</v>
      </c>
      <c r="R25" s="300">
        <f>IF(ISNUMBER(INDEX(Database!$L$6:$L$197, MATCH($B25&amp;"% GDP", Database!$AD$6:$AD$197, 0))), INDEX(Database!$L$6:$L$197, MATCH($B25&amp;"% GDP", Database!$AD$6:$AD$197, 0)), "")</f>
        <v>0.39872188745510878</v>
      </c>
      <c r="S25" s="300"/>
      <c r="T25" s="320">
        <f>IF(ISNUMBER(INDEX(Database!$P$6:$P$197, MATCH($B25&amp;"% GDP", Database!$AD$6:$AD$197, 0))), INDEX(Database!$P$6:$P$197, MATCH($B25&amp;"% GDP", Database!$AD$6:$AD$197, 0)), "")</f>
        <v>1.2490396517887212</v>
      </c>
      <c r="U25" s="300">
        <f>IF(ISNUMBER(INDEX(Database!$Q$6:$Q$197, MATCH($B25&amp;"% GDP", Database!$AD$6:$AD$197, 0))), INDEX(Database!$Q$6:$Q$197, MATCH($B25&amp;"% GDP", Database!$AD$6:$AD$197, 0)), "")</f>
        <v>8.3211524338457493E-2</v>
      </c>
      <c r="V25" s="300"/>
      <c r="W25" s="300">
        <f>IF(ISNUMBER(INDEX(Database!$U$6:$U$197, MATCH($B25&amp;"% GDP", Database!$AD$6:$AD$197, 0))), INDEX(Database!$U$6:$U$197, MATCH($B25&amp;"% GDP", Database!$AD$6:$AD$197, 0)), "")</f>
        <v>2.6003601355767965E-2</v>
      </c>
      <c r="X25" s="300">
        <f>IF(ISNUMBER(INDEX(Database!$W$6:$W$197, MATCH($B25&amp;"% GDP", Database!$AD$6:$AD$197, 0))), INDEX(Database!$W$6:$W$197, MATCH($B25&amp;"% GDP", Database!$AD$6:$AD$197, 0)), "")</f>
        <v>1.1398245260944957</v>
      </c>
    </row>
    <row r="26" spans="1:24">
      <c r="B26" s="299" t="s">
        <v>15</v>
      </c>
      <c r="C26" s="319">
        <f>IF(ISNUMBER(INDEX(Database!$G$6:$G$197, MATCH($B26&amp;"USD bn", Database!$AD$6:$AD$197, 0))), INDEX(Database!$G$6:$G$197, MATCH($B26&amp;"USD bn", Database!$AD$6:$AD$197, 0)), "")</f>
        <v>74.006320564062733</v>
      </c>
      <c r="D26" s="304">
        <f>IF(ISNUMBER(INDEX(Database!$H$6:$H$197, MATCH($B26&amp;"USD bn", Database!$AD$6:$AD$197, 0))), INDEX(Database!$H$6:$H$197, MATCH($B26&amp;"USD bn", Database!$AD$6:$AD$197, 0)), "")</f>
        <v>10.712532393938853</v>
      </c>
      <c r="E26" s="304">
        <f>IF(ISNUMBER(INDEX(Database!$J$6:$J$197, MATCH($B26&amp;"USD bn", Database!$AD$6:$AD$197, 0))), INDEX(Database!$J$6:$J$197, MATCH($B26&amp;"USD bn", Database!$AD$6:$AD$197, 0)), "")</f>
        <v>63.293788170123882</v>
      </c>
      <c r="F26" s="304">
        <f>IF(ISNUMBER(INDEX(Database!$L$6:$L$197, MATCH($B26&amp;"USD bn", Database!$AD$6:$AD$197, 0))), INDEX(Database!$L$6:$L$197, MATCH($B26&amp;"USD bn", Database!$AD$6:$AD$197, 0)), "")</f>
        <v>6.3584063241443518</v>
      </c>
      <c r="G26" s="304"/>
      <c r="H26" s="319">
        <f>IF(ISNUMBER(INDEX(Database!$P$6:$P$197, MATCH($B26&amp;"USD bn", Database!$AD$6:$AD$197, 0))), INDEX(Database!$P$6:$P$197, MATCH($B26&amp;"USD bn", Database!$AD$6:$AD$197, 0)), "")</f>
        <v>21.660049369422172</v>
      </c>
      <c r="I26" s="303">
        <f>IF(ISNUMBER(INDEX(Database!$Q$6:$Q$197, MATCH($B26&amp;"USD bn", Database!$AD$6:$AD$197, 0))), INDEX(Database!$Q$6:$Q$197, MATCH($B26&amp;"USD bn", Database!$AD$6:$AD$197, 0)), "")</f>
        <v>7.837426925630103</v>
      </c>
      <c r="J26" s="303"/>
      <c r="K26" s="303">
        <f>IF(ISNUMBER(INDEX(Database!$U$6:$U$197, MATCH($B26&amp;"USD bn", Database!$AD$6:$AD$197, 0))), INDEX(Database!$U$6:$U$197, MATCH($B26&amp;"USD bn", Database!$AD$6:$AD$197, 0)), "")</f>
        <v>6.9113112218960344</v>
      </c>
      <c r="L26" s="303">
        <f>IF(ISNUMBER(INDEX(Database!$W$6:$W$197, MATCH($B26&amp;"USD bn", Database!$AD$6:$AD$197, 0))), INDEX(Database!$W$6:$W$197, MATCH($B26&amp;"USD bn", Database!$AD$6:$AD$197, 0)), "")</f>
        <v>6.9113112218960344</v>
      </c>
      <c r="M26" s="220"/>
      <c r="N26" s="220"/>
      <c r="O26" s="320">
        <f>IF(ISNUMBER(INDEX(Database!$G$6:$G$197, MATCH($B26&amp;"% GDP", Database!$AD$6:$AD$197, 0))), INDEX(Database!$G$6:$G$197, MATCH($B26&amp;"% GDP", Database!$AD$6:$AD$197, 0)), "")</f>
        <v>5.0052604782800296</v>
      </c>
      <c r="P26" s="300">
        <f>IF(ISNUMBER(INDEX(Database!$H$6:$H$197, MATCH($B26&amp;"% GDP", Database!$AD$6:$AD$197, 0))), INDEX(Database!$H$6:$H$197, MATCH($B26&amp;"% GDP", Database!$AD$6:$AD$197, 0)), "")</f>
        <v>0.72451940057284703</v>
      </c>
      <c r="Q26" s="300">
        <f>IF(ISNUMBER(INDEX(Database!$J$6:$J$197, MATCH($B26&amp;"% GDP", Database!$AD$6:$AD$197, 0))), INDEX(Database!$J$6:$J$197, MATCH($B26&amp;"% GDP", Database!$AD$6:$AD$197, 0)), "")</f>
        <v>4.2807410777071828</v>
      </c>
      <c r="R26" s="300">
        <f>IF(ISNUMBER(INDEX(Database!$L$6:$L$197, MATCH($B26&amp;"% GDP", Database!$AD$6:$AD$197, 0))), INDEX(Database!$L$6:$L$197, MATCH($B26&amp;"% GDP", Database!$AD$6:$AD$197, 0)), "")</f>
        <v>0.43003732163033498</v>
      </c>
      <c r="S26" s="300"/>
      <c r="T26" s="320">
        <f>IF(ISNUMBER(INDEX(Database!$P$6:$P$197, MATCH($B26&amp;"% GDP", Database!$AD$6:$AD$197, 0))), INDEX(Database!$P$6:$P$197, MATCH($B26&amp;"% GDP", Database!$AD$6:$AD$197, 0)), "")</f>
        <v>1.464931484771163</v>
      </c>
      <c r="U26" s="300">
        <f>IF(ISNUMBER(INDEX(Database!$Q$6:$Q$197, MATCH($B26&amp;"% GDP", Database!$AD$6:$AD$197, 0))), INDEX(Database!$Q$6:$Q$197, MATCH($B26&amp;"% GDP", Database!$AD$6:$AD$197, 0)), "")</f>
        <v>0.53006774209652163</v>
      </c>
      <c r="V26" s="300"/>
      <c r="W26" s="300">
        <f>IF(ISNUMBER(INDEX(Database!$U$6:$U$197, MATCH($B26&amp;"% GDP", Database!$AD$6:$AD$197, 0))), INDEX(Database!$U$6:$U$197, MATCH($B26&amp;"% GDP", Database!$AD$6:$AD$197, 0)), "")</f>
        <v>0.46743187133732073</v>
      </c>
      <c r="X26" s="300">
        <f>IF(ISNUMBER(INDEX(Database!$W$6:$W$197, MATCH($B26&amp;"% GDP", Database!$AD$6:$AD$197, 0))), INDEX(Database!$W$6:$W$197, MATCH($B26&amp;"% GDP", Database!$AD$6:$AD$197, 0)), "")</f>
        <v>0.46743187133732073</v>
      </c>
    </row>
    <row r="27" spans="1:24">
      <c r="B27" s="299" t="s">
        <v>16</v>
      </c>
      <c r="C27" s="319">
        <f>IF(ISNUMBER(INDEX(Database!$G$6:$G$197, MATCH($B27&amp;"USD bn", Database!$AD$6:$AD$197, 0))), INDEX(Database!$G$6:$G$197, MATCH($B27&amp;"USD bn", Database!$AD$6:$AD$197, 0)), "")</f>
        <v>18.026666666666664</v>
      </c>
      <c r="D27" s="304">
        <f>IF(ISNUMBER(INDEX(Database!$H$6:$H$197, MATCH($B27&amp;"USD bn", Database!$AD$6:$AD$197, 0))), INDEX(Database!$H$6:$H$197, MATCH($B27&amp;"USD bn", Database!$AD$6:$AD$197, 0)), "")</f>
        <v>14.4</v>
      </c>
      <c r="E27" s="304">
        <f>IF(ISNUMBER(INDEX(Database!$J$6:$J$197, MATCH($B27&amp;"USD bn", Database!$AD$6:$AD$197, 0))), INDEX(Database!$J$6:$J$197, MATCH($B27&amp;"USD bn", Database!$AD$6:$AD$197, 0)), "")</f>
        <v>3.6266666666666665</v>
      </c>
      <c r="F27" s="304">
        <f>IF(ISNUMBER(INDEX(Database!$L$6:$L$197, MATCH($B27&amp;"USD bn", Database!$AD$6:$AD$197, 0))), INDEX(Database!$L$6:$L$197, MATCH($B27&amp;"USD bn", Database!$AD$6:$AD$197, 0)), "")</f>
        <v>11.333333333333334</v>
      </c>
      <c r="G27" s="304"/>
      <c r="H27" s="319">
        <f>IF(ISNUMBER(INDEX(Database!$P$6:$P$197, MATCH($B27&amp;"USD bn", Database!$AD$6:$AD$197, 0))), INDEX(Database!$P$6:$P$197, MATCH($B27&amp;"USD bn", Database!$AD$6:$AD$197, 0)), "")</f>
        <v>6.8533333333333335</v>
      </c>
      <c r="I27" s="303">
        <f>IF(ISNUMBER(INDEX(Database!$Q$6:$Q$197, MATCH($B27&amp;"USD bn", Database!$AD$6:$AD$197, 0))), INDEX(Database!$Q$6:$Q$197, MATCH($B27&amp;"USD bn", Database!$AD$6:$AD$197, 0)), "")</f>
        <v>6.8533333333333335</v>
      </c>
      <c r="J27" s="303"/>
      <c r="K27" s="303" t="str">
        <f>IF(ISNUMBER(INDEX(Database!$U$6:$U$197, MATCH($B27&amp;"USD bn", Database!$AD$6:$AD$197, 0))), INDEX(Database!$U$6:$U$197, MATCH($B27&amp;"USD bn", Database!$AD$6:$AD$197, 0)), "")</f>
        <v/>
      </c>
      <c r="L27" s="303" t="str">
        <f>IF(ISNUMBER(INDEX(Database!$W$6:$W$197, MATCH($B27&amp;"USD bn", Database!$AD$6:$AD$197, 0))), INDEX(Database!$W$6:$W$197, MATCH($B27&amp;"USD bn", Database!$AD$6:$AD$197, 0)), "")</f>
        <v/>
      </c>
      <c r="M27" s="220"/>
      <c r="N27" s="220"/>
      <c r="O27" s="320">
        <f>IF(ISNUMBER(INDEX(Database!$G$6:$G$197, MATCH($B27&amp;"% GDP", Database!$AD$6:$AD$197, 0))), INDEX(Database!$G$6:$G$197, MATCH($B27&amp;"% GDP", Database!$AD$6:$AD$197, 0)), "")</f>
        <v>2.5748045471962433</v>
      </c>
      <c r="P27" s="300">
        <f>IF(ISNUMBER(INDEX(Database!$H$6:$H$197, MATCH($B27&amp;"% GDP", Database!$AD$6:$AD$197, 0))), INDEX(Database!$H$6:$H$197, MATCH($B27&amp;"% GDP", Database!$AD$6:$AD$197, 0)), "")</f>
        <v>2.0567965317839816</v>
      </c>
      <c r="Q27" s="300">
        <f>IF(ISNUMBER(INDEX(Database!$J$6:$J$197, MATCH($B27&amp;"% GDP", Database!$AD$6:$AD$197, 0))), INDEX(Database!$J$6:$J$197, MATCH($B27&amp;"% GDP", Database!$AD$6:$AD$197, 0)), "")</f>
        <v>0.51800801541226205</v>
      </c>
      <c r="R27" s="300">
        <f>IF(ISNUMBER(INDEX(Database!$L$6:$L$197, MATCH($B27&amp;"% GDP", Database!$AD$6:$AD$197, 0))), INDEX(Database!$L$6:$L$197, MATCH($B27&amp;"% GDP", Database!$AD$6:$AD$197, 0)), "")</f>
        <v>1.6187750329433777</v>
      </c>
      <c r="S27" s="300"/>
      <c r="T27" s="320">
        <f>IF(ISNUMBER(INDEX(Database!$P$6:$P$197, MATCH($B27&amp;"% GDP", Database!$AD$6:$AD$197, 0))), INDEX(Database!$P$6:$P$197, MATCH($B27&amp;"% GDP", Database!$AD$6:$AD$197, 0)), "")</f>
        <v>0.97888278462693656</v>
      </c>
      <c r="U27" s="300">
        <f>IF(ISNUMBER(INDEX(Database!$Q$6:$Q$197, MATCH($B27&amp;"% GDP", Database!$AD$6:$AD$197, 0))), INDEX(Database!$Q$6:$Q$197, MATCH($B27&amp;"% GDP", Database!$AD$6:$AD$197, 0)), "")</f>
        <v>0.97888278462693656</v>
      </c>
      <c r="V27" s="300"/>
      <c r="W27" s="300" t="str">
        <f>IF(ISNUMBER(INDEX(Database!$U$6:$U$197, MATCH($B27&amp;"% GDP", Database!$AD$6:$AD$197, 0))), INDEX(Database!$U$6:$U$197, MATCH($B27&amp;"% GDP", Database!$AD$6:$AD$197, 0)), "")</f>
        <v/>
      </c>
      <c r="X27" s="300" t="str">
        <f>IF(ISNUMBER(INDEX(Database!$W$6:$W$197, MATCH($B27&amp;"% GDP", Database!$AD$6:$AD$197, 0))), INDEX(Database!$W$6:$W$197, MATCH($B27&amp;"% GDP", Database!$AD$6:$AD$197, 0)), "")</f>
        <v/>
      </c>
    </row>
    <row r="28" spans="1:24">
      <c r="B28" s="299" t="s">
        <v>17</v>
      </c>
      <c r="C28" s="319">
        <f>IF(ISNUMBER(INDEX(Database!$G$6:$G$197, MATCH($B28&amp;"USD bn", Database!$AD$6:$AD$197, 0))), INDEX(Database!$G$6:$G$197, MATCH($B28&amp;"USD bn", Database!$AD$6:$AD$197, 0)), "")</f>
        <v>17.693238243228844</v>
      </c>
      <c r="D28" s="304">
        <f>IF(ISNUMBER(INDEX(Database!$H$6:$H$197, MATCH($B28&amp;"USD bn", Database!$AD$6:$AD$197, 0))), INDEX(Database!$H$6:$H$197, MATCH($B28&amp;"USD bn", Database!$AD$6:$AD$197, 0)), "")</f>
        <v>2.3262994325975441</v>
      </c>
      <c r="E28" s="304">
        <f>IF(ISNUMBER(INDEX(Database!$J$6:$J$197, MATCH($B28&amp;"USD bn", Database!$AD$6:$AD$197, 0))), INDEX(Database!$J$6:$J$197, MATCH($B28&amp;"USD bn", Database!$AD$6:$AD$197, 0)), "")</f>
        <v>15.366938810631298</v>
      </c>
      <c r="F28" s="304">
        <f>IF(ISNUMBER(INDEX(Database!$L$6:$L$197, MATCH($B28&amp;"USD bn", Database!$AD$6:$AD$197, 0))), INDEX(Database!$L$6:$L$197, MATCH($B28&amp;"USD bn", Database!$AD$6:$AD$197, 0)), "")</f>
        <v>2.6725110975010953</v>
      </c>
      <c r="G28" s="304"/>
      <c r="H28" s="319">
        <f>IF(ISNUMBER(INDEX(Database!$P$6:$P$197, MATCH($B28&amp;"USD bn", Database!$AD$6:$AD$197, 0))), INDEX(Database!$P$6:$P$197, MATCH($B28&amp;"USD bn", Database!$AD$6:$AD$197, 0)), "")</f>
        <v>12.32999438165278</v>
      </c>
      <c r="I28" s="303" t="str">
        <f>IF(ISNUMBER(INDEX(Database!$Q$6:$Q$197, MATCH($B28&amp;"USD bn", Database!$AD$6:$AD$197, 0))), INDEX(Database!$Q$6:$Q$197, MATCH($B28&amp;"USD bn", Database!$AD$6:$AD$197, 0)), "")</f>
        <v/>
      </c>
      <c r="J28" s="303"/>
      <c r="K28" s="303">
        <f>IF(ISNUMBER(INDEX(Database!$U$6:$U$197, MATCH($B28&amp;"USD bn", Database!$AD$6:$AD$197, 0))), INDEX(Database!$U$6:$U$197, MATCH($B28&amp;"USD bn", Database!$AD$6:$AD$197, 0)), "")</f>
        <v>12.147777715914069</v>
      </c>
      <c r="L28" s="303">
        <f>IF(ISNUMBER(INDEX(Database!$W$6:$W$197, MATCH($B28&amp;"USD bn", Database!$AD$6:$AD$197, 0))), INDEX(Database!$W$6:$W$197, MATCH($B28&amp;"USD bn", Database!$AD$6:$AD$197, 0)), "")</f>
        <v>0.18221666573871104</v>
      </c>
      <c r="M28" s="220"/>
      <c r="N28" s="220"/>
      <c r="O28" s="320">
        <f>IF(ISNUMBER(INDEX(Database!$G$6:$G$197, MATCH($B28&amp;"% GDP", Database!$AD$6:$AD$197, 0))), INDEX(Database!$G$6:$G$197, MATCH($B28&amp;"% GDP", Database!$AD$6:$AD$197, 0)), "")</f>
        <v>5.2761463161134641</v>
      </c>
      <c r="P28" s="300">
        <f>IF(ISNUMBER(INDEX(Database!$H$6:$H$197, MATCH($B28&amp;"% GDP", Database!$AD$6:$AD$197, 0))), INDEX(Database!$H$6:$H$197, MATCH($B28&amp;"% GDP", Database!$AD$6:$AD$197, 0)), "")</f>
        <v>0.69370547170321195</v>
      </c>
      <c r="Q28" s="300">
        <f>IF(ISNUMBER(INDEX(Database!$J$6:$J$197, MATCH($B28&amp;"% GDP", Database!$AD$6:$AD$197, 0))), INDEX(Database!$J$6:$J$197, MATCH($B28&amp;"% GDP", Database!$AD$6:$AD$197, 0)), "")</f>
        <v>4.582440844410252</v>
      </c>
      <c r="R28" s="300">
        <f>IF(ISNUMBER(INDEX(Database!$L$6:$L$197, MATCH($B28&amp;"% GDP", Database!$AD$6:$AD$197, 0))), INDEX(Database!$L$6:$L$197, MATCH($B28&amp;"% GDP", Database!$AD$6:$AD$197, 0)), "")</f>
        <v>0.88478224805071415</v>
      </c>
      <c r="S28" s="300"/>
      <c r="T28" s="320">
        <f>IF(ISNUMBER(INDEX(Database!$P$6:$P$197, MATCH($B28&amp;"% GDP", Database!$AD$6:$AD$197, 0))), INDEX(Database!$P$6:$P$197, MATCH($B28&amp;"% GDP", Database!$AD$6:$AD$197, 0)), "")</f>
        <v>4.0820635535067034</v>
      </c>
      <c r="U28" s="300" t="str">
        <f>IF(ISNUMBER(INDEX(Database!$Q$6:$Q$197, MATCH($B28&amp;"% GDP", Database!$AD$6:$AD$197, 0))), INDEX(Database!$Q$6:$Q$197, MATCH($B28&amp;"% GDP", Database!$AD$6:$AD$197, 0)), "")</f>
        <v/>
      </c>
      <c r="V28" s="300"/>
      <c r="W28" s="300">
        <f>IF(ISNUMBER(INDEX(Database!$U$6:$U$197, MATCH($B28&amp;"% GDP", Database!$AD$6:$AD$197, 0))), INDEX(Database!$U$6:$U$197, MATCH($B28&amp;"% GDP", Database!$AD$6:$AD$197, 0)), "")</f>
        <v>4.0217374911396089</v>
      </c>
      <c r="X28" s="300">
        <f>IF(ISNUMBER(INDEX(Database!$W$6:$W$197, MATCH($B28&amp;"% GDP", Database!$AD$6:$AD$197, 0))), INDEX(Database!$W$6:$W$197, MATCH($B28&amp;"% GDP", Database!$AD$6:$AD$197, 0)), "")</f>
        <v>6.032606236709414E-2</v>
      </c>
    </row>
    <row r="29" spans="1:24">
      <c r="B29" s="299" t="s">
        <v>18</v>
      </c>
      <c r="C29" s="319">
        <f>IF(ISNUMBER(INDEX(Database!$G$6:$G$197, MATCH($B29&amp;"USD bn", Database!$AD$6:$AD$197, 0))), INDEX(Database!$G$6:$G$197, MATCH($B29&amp;"USD bn", Database!$AD$6:$AD$197, 0)), "")</f>
        <v>25.234121210982789</v>
      </c>
      <c r="D29" s="304">
        <f>IF(ISNUMBER(INDEX(Database!$H$6:$H$197, MATCH($B29&amp;"USD bn", Database!$AD$6:$AD$197, 0))), INDEX(Database!$H$6:$H$197, MATCH($B29&amp;"USD bn", Database!$AD$6:$AD$197, 0)), "")</f>
        <v>2.7673372045961901</v>
      </c>
      <c r="E29" s="304">
        <f>IF(ISNUMBER(INDEX(Database!$J$6:$J$197, MATCH($B29&amp;"USD bn", Database!$AD$6:$AD$197, 0))), INDEX(Database!$J$6:$J$197, MATCH($B29&amp;"USD bn", Database!$AD$6:$AD$197, 0)), "")</f>
        <v>22.466784006386597</v>
      </c>
      <c r="F29" s="304">
        <f>IF(ISNUMBER(INDEX(Database!$L$6:$L$197, MATCH($B29&amp;"USD bn", Database!$AD$6:$AD$197, 0))), INDEX(Database!$L$6:$L$197, MATCH($B29&amp;"USD bn", Database!$AD$6:$AD$197, 0)), "")</f>
        <v>10.01376658570374</v>
      </c>
      <c r="G29" s="304"/>
      <c r="H29" s="319">
        <f>IF(ISNUMBER(INDEX(Database!$P$6:$P$197, MATCH($B29&amp;"USD bn", Database!$AD$6:$AD$197, 0))), INDEX(Database!$P$6:$P$197, MATCH($B29&amp;"USD bn", Database!$AD$6:$AD$197, 0)), "")</f>
        <v>69.354605612096279</v>
      </c>
      <c r="I29" s="303">
        <f>IF(ISNUMBER(INDEX(Database!$Q$6:$Q$197, MATCH($B29&amp;"USD bn", Database!$AD$6:$AD$197, 0))), INDEX(Database!$Q$6:$Q$197, MATCH($B29&amp;"USD bn", Database!$AD$6:$AD$197, 0)), "")</f>
        <v>2.995571200851546</v>
      </c>
      <c r="J29" s="303"/>
      <c r="K29" s="303">
        <f>IF(ISNUMBER(INDEX(Database!$U$6:$U$197, MATCH($B29&amp;"USD bn", Database!$AD$6:$AD$197, 0))), INDEX(Database!$U$6:$U$197, MATCH($B29&amp;"USD bn", Database!$AD$6:$AD$197, 0)), "")</f>
        <v>45.932091746390377</v>
      </c>
      <c r="L29" s="303">
        <f>IF(ISNUMBER(INDEX(Database!$W$6:$W$197, MATCH($B29&amp;"USD bn", Database!$AD$6:$AD$197, 0))), INDEX(Database!$W$6:$W$197, MATCH($B29&amp;"USD bn", Database!$AD$6:$AD$197, 0)), "")</f>
        <v>20.426942664854352</v>
      </c>
      <c r="M29" s="220"/>
      <c r="N29" s="220"/>
      <c r="O29" s="320">
        <f>IF(ISNUMBER(INDEX(Database!$G$6:$G$197, MATCH($B29&amp;"% GDP", Database!$AD$6:$AD$197, 0))), INDEX(Database!$G$6:$G$197, MATCH($B29&amp;"% GDP", Database!$AD$6:$AD$197, 0)), "")</f>
        <v>3.5051335544057456</v>
      </c>
      <c r="P29" s="300">
        <f>IF(ISNUMBER(INDEX(Database!$H$6:$H$197, MATCH($B29&amp;"% GDP", Database!$AD$6:$AD$197, 0))), INDEX(Database!$H$6:$H$197, MATCH($B29&amp;"% GDP", Database!$AD$6:$AD$197, 0)), "")</f>
        <v>0.3843956526595334</v>
      </c>
      <c r="Q29" s="300">
        <f>IF(ISNUMBER(INDEX(Database!$J$6:$J$197, MATCH($B29&amp;"% GDP", Database!$AD$6:$AD$197, 0))), INDEX(Database!$J$6:$J$197, MATCH($B29&amp;"% GDP", Database!$AD$6:$AD$197, 0)), "")</f>
        <v>3.120737901746212</v>
      </c>
      <c r="R29" s="300">
        <f>IF(ISNUMBER(INDEX(Database!$L$6:$L$197, MATCH($B29&amp;"% GDP", Database!$AD$6:$AD$197, 0))), INDEX(Database!$L$6:$L$197, MATCH($B29&amp;"% GDP", Database!$AD$6:$AD$197, 0)), "")</f>
        <v>1.3909574647783118</v>
      </c>
      <c r="S29" s="300"/>
      <c r="T29" s="320">
        <f>IF(ISNUMBER(INDEX(Database!$P$6:$P$197, MATCH($B29&amp;"% GDP", Database!$AD$6:$AD$197, 0))), INDEX(Database!$P$6:$P$197, MATCH($B29&amp;"% GDP", Database!$AD$6:$AD$197, 0)), "")</f>
        <v>9.6336683671683065</v>
      </c>
      <c r="U29" s="300">
        <f>IF(ISNUMBER(INDEX(Database!$Q$6:$Q$197, MATCH($B29&amp;"% GDP", Database!$AD$6:$AD$197, 0))), INDEX(Database!$Q$6:$Q$197, MATCH($B29&amp;"% GDP", Database!$AD$6:$AD$197, 0)), "")</f>
        <v>0.41609838689949497</v>
      </c>
      <c r="V29" s="300"/>
      <c r="W29" s="300">
        <f>IF(ISNUMBER(INDEX(Database!$U$6:$U$197, MATCH($B29&amp;"% GDP", Database!$AD$6:$AD$197, 0))), INDEX(Database!$U$6:$U$197, MATCH($B29&amp;"% GDP", Database!$AD$6:$AD$197, 0)), "")</f>
        <v>6.3801752657922552</v>
      </c>
      <c r="X29" s="300">
        <f>IF(ISNUMBER(INDEX(Database!$W$6:$W$197, MATCH($B29&amp;"% GDP", Database!$AD$6:$AD$197, 0))), INDEX(Database!$W$6:$W$197, MATCH($B29&amp;"% GDP", Database!$AD$6:$AD$197, 0)), "")</f>
        <v>2.8373947144765559</v>
      </c>
    </row>
    <row r="30" spans="1:24">
      <c r="B30" s="301" t="s">
        <v>776</v>
      </c>
      <c r="C30" s="320"/>
      <c r="D30" s="300"/>
      <c r="E30" s="300"/>
      <c r="F30" s="300"/>
      <c r="H30" s="320" t="str">
        <f>IF(ISNUMBER(INDEX(Database!$P$6:$P$197, MATCH($B30&amp;"USD bn", Database!$AD$6:$AD$197, 0))), INDEX(Database!$P$6:$P$197, MATCH($B30&amp;"USD bn", Database!$AD$6:$AD$197, 0)), "")</f>
        <v/>
      </c>
      <c r="I30" s="303" t="str">
        <f>IF(ISNUMBER(INDEX(Database!$Q$6:$Q$197, MATCH($B30&amp;"USD bn", Database!$AD$6:$AD$197, 0))), INDEX(Database!$Q$6:$Q$197, MATCH($B30&amp;"USD bn", Database!$AD$6:$AD$197, 0)), "")</f>
        <v/>
      </c>
      <c r="J30" s="303"/>
      <c r="K30" s="303" t="str">
        <f>IF(ISNUMBER(INDEX(Database!$U$6:$U$197, MATCH($B30&amp;"USD bn", Database!$AD$6:$AD$197, 0))), INDEX(Database!$U$6:$U$197, MATCH($B30&amp;"USD bn", Database!$AD$6:$AD$197, 0)), "")</f>
        <v/>
      </c>
      <c r="L30" s="303" t="str">
        <f>IF(ISNUMBER(INDEX(Database!$W$6:$W$197, MATCH($B30&amp;"USD bn", Database!$AD$6:$AD$197, 0))), INDEX(Database!$W$6:$W$197, MATCH($B30&amp;"USD bn", Database!$AD$6:$AD$197, 0)), "")</f>
        <v/>
      </c>
      <c r="O30" s="320" t="str">
        <f>IF(ISNUMBER(INDEX(Database!$G$6:$G$197, MATCH($B30&amp;"% GDP", Database!$AD$6:$AD$197, 0))), INDEX(Database!$G$6:$G$197, MATCH($B30&amp;"% GDP", Database!$AD$6:$AD$197, 0)), "")</f>
        <v/>
      </c>
      <c r="P30" s="300" t="str">
        <f>IF(ISNUMBER(INDEX(Database!$H$6:$H$197, MATCH($B30&amp;"% GDP", Database!$AD$6:$AD$197, 0))), INDEX(Database!$H$6:$H$197, MATCH($B30&amp;"% GDP", Database!$AD$6:$AD$197, 0)), "")</f>
        <v/>
      </c>
      <c r="Q30" s="300" t="str">
        <f>IF(ISNUMBER(INDEX(Database!$J$6:$J$197, MATCH($B30&amp;"% GDP", Database!$AD$6:$AD$197, 0))), INDEX(Database!$J$6:$J$197, MATCH($B30&amp;"% GDP", Database!$AD$6:$AD$197, 0)), "")</f>
        <v/>
      </c>
      <c r="R30" s="300" t="str">
        <f>IF(ISNUMBER(INDEX(Database!$L$6:$L$197, MATCH($B30&amp;"% GDP", Database!$AD$6:$AD$197, 0))), INDEX(Database!$L$6:$L$197, MATCH($B30&amp;"% GDP", Database!$AD$6:$AD$197, 0)), "")</f>
        <v/>
      </c>
      <c r="S30" s="300"/>
      <c r="T30" s="320" t="str">
        <f>IF(ISNUMBER(INDEX(Database!$P$6:$P$197, MATCH($B30&amp;"% GDP", Database!$AD$6:$AD$197, 0))), INDEX(Database!$P$6:$P$197, MATCH($B30&amp;"% GDP", Database!$AD$6:$AD$197, 0)), "")</f>
        <v/>
      </c>
      <c r="U30" s="300" t="str">
        <f>IF(ISNUMBER(INDEX(Database!$Q$6:$Q$197, MATCH($B30&amp;"% GDP", Database!$AD$6:$AD$197, 0))), INDEX(Database!$Q$6:$Q$197, MATCH($B30&amp;"% GDP", Database!$AD$6:$AD$197, 0)), "")</f>
        <v/>
      </c>
      <c r="V30" s="300"/>
      <c r="W30" s="300" t="str">
        <f>IF(ISNUMBER(INDEX(Database!$U$6:$U$197, MATCH($B30&amp;"% GDP", Database!$AD$6:$AD$197, 0))), INDEX(Database!$U$6:$U$197, MATCH($B30&amp;"% GDP", Database!$AD$6:$AD$197, 0)), "")</f>
        <v/>
      </c>
      <c r="X30" s="300" t="str">
        <f>IF(ISNUMBER(INDEX(Database!$W$6:$W$197, MATCH($B30&amp;"% GDP", Database!$AD$6:$AD$197, 0))), INDEX(Database!$W$6:$W$197, MATCH($B30&amp;"% GDP", Database!$AD$6:$AD$197, 0)), "")</f>
        <v/>
      </c>
    </row>
    <row r="31" spans="1:24">
      <c r="B31" s="299" t="s">
        <v>547</v>
      </c>
      <c r="C31" s="319">
        <f>IF(ISNUMBER(INDEX(Database!$G$6:$G$197, MATCH($B31&amp;"USD bn", Database!$AD$6:$AD$197, 0))), INDEX(Database!$G$6:$G$197, MATCH($B31&amp;"USD bn", Database!$AD$6:$AD$197, 0)), "")</f>
        <v>42.45568516798415</v>
      </c>
      <c r="D31" s="304">
        <f>IF(ISNUMBER(INDEX(Database!$H$6:$H$197, MATCH($B31&amp;"USD bn", Database!$AD$6:$AD$197, 0))), INDEX(Database!$H$6:$H$197, MATCH($B31&amp;"USD bn", Database!$AD$6:$AD$197, 0)), "")</f>
        <v>10.95630584980236</v>
      </c>
      <c r="E31" s="304">
        <f>IF(ISNUMBER(INDEX(Database!$J$6:$J$197, MATCH($B31&amp;"USD bn", Database!$AD$6:$AD$197, 0))), INDEX(Database!$J$6:$J$197, MATCH($B31&amp;"USD bn", Database!$AD$6:$AD$197, 0)), "")</f>
        <v>31.499379318181788</v>
      </c>
      <c r="F31" s="304">
        <f>IF(ISNUMBER(INDEX(Database!$L$6:$L$197, MATCH($B31&amp;"USD bn", Database!$AD$6:$AD$197, 0))), INDEX(Database!$L$6:$L$197, MATCH($B31&amp;"USD bn", Database!$AD$6:$AD$197, 0)), "")</f>
        <v>14.722535985671922</v>
      </c>
      <c r="G31" s="304"/>
      <c r="H31" s="319">
        <f>IF(ISNUMBER(INDEX(Database!$P$6:$P$197, MATCH($B31&amp;"USD bn", Database!$AD$6:$AD$197, 0))), INDEX(Database!$P$6:$P$197, MATCH($B31&amp;"USD bn", Database!$AD$6:$AD$197, 0)), "")</f>
        <v>61.172707661396508</v>
      </c>
      <c r="I31" s="303">
        <f>IF(ISNUMBER(INDEX(Database!$Q$6:$Q$197, MATCH($B31&amp;"USD bn", Database!$AD$6:$AD$197, 0))), INDEX(Database!$Q$6:$Q$197, MATCH($B31&amp;"USD bn", Database!$AD$6:$AD$197, 0)), "")</f>
        <v>1.8260509749670601</v>
      </c>
      <c r="J31" s="303"/>
      <c r="K31" s="303">
        <f>IF(ISNUMBER(INDEX(Database!$U$6:$U$197, MATCH($B31&amp;"USD bn", Database!$AD$6:$AD$197, 0))), INDEX(Database!$U$6:$U$197, MATCH($B31&amp;"USD bn", Database!$AD$6:$AD$197, 0)), "")</f>
        <v>59.346656686429448</v>
      </c>
      <c r="L31" s="303" t="str">
        <f>IF(ISNUMBER(INDEX(Database!$W$6:$W$197, MATCH($B31&amp;"USD bn", Database!$AD$6:$AD$197, 0))), INDEX(Database!$W$6:$W$197, MATCH($B31&amp;"USD bn", Database!$AD$6:$AD$197, 0)), "")</f>
        <v/>
      </c>
      <c r="O31" s="320">
        <f>IF(ISNUMBER(INDEX(Database!$G$6:$G$197, MATCH($B31&amp;"% GDP", Database!$AD$6:$AD$197, 0))), INDEX(Database!$G$6:$G$197, MATCH($B31&amp;"% GDP", Database!$AD$6:$AD$197, 0)), "")</f>
        <v>8.2451011465566726</v>
      </c>
      <c r="P31" s="300">
        <f>IF(ISNUMBER(INDEX(Database!$H$6:$H$197, MATCH($B31&amp;"% GDP", Database!$AD$6:$AD$197, 0))), INDEX(Database!$H$6:$H$197, MATCH($B31&amp;"% GDP", Database!$AD$6:$AD$197, 0)), "")</f>
        <v>2.127768037821077</v>
      </c>
      <c r="Q31" s="300">
        <f>IF(ISNUMBER(INDEX(Database!$J$6:$J$197, MATCH($B31&amp;"% GDP", Database!$AD$6:$AD$197, 0))), INDEX(Database!$J$6:$J$197, MATCH($B31&amp;"% GDP", Database!$AD$6:$AD$197, 0)), "")</f>
        <v>6.117333108735596</v>
      </c>
      <c r="R31" s="300">
        <f>IF(ISNUMBER(INDEX(Database!$L$6:$L$197, MATCH($B31&amp;"% GDP", Database!$AD$6:$AD$197, 0))), INDEX(Database!$L$6:$L$197, MATCH($B31&amp;"% GDP", Database!$AD$6:$AD$197, 0)), "")</f>
        <v>2.8591883008220722</v>
      </c>
      <c r="S31" s="300"/>
      <c r="T31" s="320">
        <f>IF(ISNUMBER(INDEX(Database!$P$6:$P$197, MATCH($B31&amp;"% GDP", Database!$AD$6:$AD$197, 0))), INDEX(Database!$P$6:$P$197, MATCH($B31&amp;"% GDP", Database!$AD$6:$AD$197, 0)), "")</f>
        <v>11.880038211167678</v>
      </c>
      <c r="U31" s="300">
        <f>IF(ISNUMBER(INDEX(Database!$Q$6:$Q$197, MATCH($B31&amp;"% GDP", Database!$AD$6:$AD$197, 0))), INDEX(Database!$Q$6:$Q$197, MATCH($B31&amp;"% GDP", Database!$AD$6:$AD$197, 0)), "")</f>
        <v>0.35462800630351282</v>
      </c>
      <c r="V31" s="300"/>
      <c r="W31" s="300">
        <f>IF(ISNUMBER(INDEX(Database!$U$6:$U$197, MATCH($B31&amp;"% GDP", Database!$AD$6:$AD$197, 0))), INDEX(Database!$U$6:$U$197, MATCH($B31&amp;"% GDP", Database!$AD$6:$AD$197, 0)), "")</f>
        <v>11.525410204864166</v>
      </c>
      <c r="X31" s="300" t="str">
        <f>IF(ISNUMBER(INDEX(Database!$W$6:$W$197, MATCH($B31&amp;"% GDP", Database!$AD$6:$AD$197, 0))), INDEX(Database!$W$6:$W$197, MATCH($B31&amp;"% GDP", Database!$AD$6:$AD$197, 0)), "")</f>
        <v/>
      </c>
    </row>
    <row r="32" spans="1:24">
      <c r="B32" s="294" t="s">
        <v>541</v>
      </c>
      <c r="C32" s="319">
        <f>IF(ISNUMBER(INDEX(Database!$G$6:$G$197, MATCH($B32&amp;"USD bn", Database!$AD$6:$AD$197, 0))), INDEX(Database!$G$6:$G$197, MATCH($B32&amp;"USD bn", Database!$AD$6:$AD$197, 0)), "")</f>
        <v>22.550381835611422</v>
      </c>
      <c r="D32" s="304">
        <f>IF(ISNUMBER(INDEX(Database!$H$6:$H$197, MATCH($B32&amp;"USD bn", Database!$AD$6:$AD$197, 0))), INDEX(Database!$H$6:$H$197, MATCH($B32&amp;"USD bn", Database!$AD$6:$AD$197, 0)), "")</f>
        <v>6.3937269094473352</v>
      </c>
      <c r="E32" s="304">
        <f>IF(ISNUMBER(INDEX(Database!$J$6:$J$197, MATCH($B32&amp;"USD bn", Database!$AD$6:$AD$197, 0))), INDEX(Database!$J$6:$J$197, MATCH($B32&amp;"USD bn", Database!$AD$6:$AD$197, 0)), "")</f>
        <v>16.156654926164087</v>
      </c>
      <c r="F32" s="304">
        <f>IF(ISNUMBER(INDEX(Database!$L$6:$L$197, MATCH($B32&amp;"USD bn", Database!$AD$6:$AD$197, 0))), INDEX(Database!$L$6:$L$197, MATCH($B32&amp;"USD bn", Database!$AD$6:$AD$197, 0)), "")</f>
        <v>0.61610710785105727</v>
      </c>
      <c r="G32" s="304"/>
      <c r="H32" s="319">
        <f>IF(ISNUMBER(INDEX(Database!$P$6:$P$197, MATCH($B32&amp;"USD bn", Database!$AD$6:$AD$197, 0))), INDEX(Database!$P$6:$P$197, MATCH($B32&amp;"USD bn", Database!$AD$6:$AD$197, 0)), "")</f>
        <v>37.970293297142426</v>
      </c>
      <c r="I32" s="303">
        <f>IF(ISNUMBER(INDEX(Database!$Q$6:$Q$197, MATCH($B32&amp;"USD bn", Database!$AD$6:$AD$197, 0))), INDEX(Database!$Q$6:$Q$197, MATCH($B32&amp;"USD bn", Database!$AD$6:$AD$197, 0)), "")</f>
        <v>3.8775971822793812E-2</v>
      </c>
      <c r="J32" s="303"/>
      <c r="K32" s="303">
        <f>IF(ISNUMBER(INDEX(Database!$U$6:$U$197, MATCH($B32&amp;"USD bn", Database!$AD$6:$AD$197, 0))), INDEX(Database!$U$6:$U$197, MATCH($B32&amp;"USD bn", Database!$AD$6:$AD$197, 0)), "")</f>
        <v>37.931517325319632</v>
      </c>
      <c r="L32" s="303" t="str">
        <f>IF(ISNUMBER(INDEX(Database!$W$6:$W$197, MATCH($B32&amp;"USD bn", Database!$AD$6:$AD$197, 0))), INDEX(Database!$W$6:$W$197, MATCH($B32&amp;"USD bn", Database!$AD$6:$AD$197, 0)), "")</f>
        <v/>
      </c>
      <c r="O32" s="320">
        <f>IF(ISNUMBER(INDEX(Database!$G$6:$G$197, MATCH($B32&amp;"% GDP", Database!$AD$6:$AD$197, 0))), INDEX(Database!$G$6:$G$197, MATCH($B32&amp;"% GDP", Database!$AD$6:$AD$197, 0)), "")</f>
        <v>9.1911264362891103</v>
      </c>
      <c r="P32" s="300">
        <f>IF(ISNUMBER(INDEX(Database!$H$6:$H$197, MATCH($B32&amp;"% GDP", Database!$AD$6:$AD$197, 0))), INDEX(Database!$H$6:$H$197, MATCH($B32&amp;"% GDP", Database!$AD$6:$AD$197, 0)), "")</f>
        <v>2.6059670675301949</v>
      </c>
      <c r="Q32" s="300">
        <f>IF(ISNUMBER(INDEX(Database!$J$6:$J$197, MATCH($B32&amp;"% GDP", Database!$AD$6:$AD$197, 0))), INDEX(Database!$J$6:$J$197, MATCH($B32&amp;"% GDP", Database!$AD$6:$AD$197, 0)), "")</f>
        <v>6.5851593687589149</v>
      </c>
      <c r="R32" s="300">
        <f>IF(ISNUMBER(INDEX(Database!$L$6:$L$197, MATCH($B32&amp;"% GDP", Database!$AD$6:$AD$197, 0))), INDEX(Database!$L$6:$L$197, MATCH($B32&amp;"% GDP", Database!$AD$6:$AD$197, 0)), "")</f>
        <v>0.25111407726200669</v>
      </c>
      <c r="S32" s="300"/>
      <c r="T32" s="320">
        <f>IF(ISNUMBER(INDEX(Database!$P$6:$P$197, MATCH($B32&amp;"% GDP", Database!$AD$6:$AD$197, 0))), INDEX(Database!$P$6:$P$197, MATCH($B32&amp;"% GDP", Database!$AD$6:$AD$197, 0)), "")</f>
        <v>15.476002537832619</v>
      </c>
      <c r="U32" s="300">
        <f>IF(ISNUMBER(INDEX(Database!$Q$6:$Q$197, MATCH($B32&amp;"% GDP", Database!$AD$6:$AD$197, 0))), INDEX(Database!$Q$6:$Q$197, MATCH($B32&amp;"% GDP", Database!$AD$6:$AD$197, 0)), "")</f>
        <v>1.5804382485021397E-2</v>
      </c>
      <c r="V32" s="300"/>
      <c r="W32" s="300">
        <f>IF(ISNUMBER(INDEX(Database!$U$6:$U$197, MATCH($B32&amp;"% GDP", Database!$AD$6:$AD$197, 0))), INDEX(Database!$U$6:$U$197, MATCH($B32&amp;"% GDP", Database!$AD$6:$AD$197, 0)), "")</f>
        <v>15.460198155347598</v>
      </c>
      <c r="X32" s="300" t="str">
        <f>IF(ISNUMBER(INDEX(Database!$W$6:$W$197, MATCH($B32&amp;"% GDP", Database!$AD$6:$AD$197, 0))), INDEX(Database!$W$6:$W$197, MATCH($B32&amp;"% GDP", Database!$AD$6:$AD$197, 0)), "")</f>
        <v/>
      </c>
    </row>
    <row r="33" spans="2:24">
      <c r="B33" s="294" t="s">
        <v>19</v>
      </c>
      <c r="C33" s="319">
        <f>IF(ISNUMBER(INDEX(Database!$G$6:$G$197, MATCH($B33&amp;"USD bn", Database!$AD$6:$AD$197, 0))), INDEX(Database!$G$6:$G$197, MATCH($B33&amp;"USD bn", Database!$AD$6:$AD$197, 0)), "")</f>
        <v>12.151964295383831</v>
      </c>
      <c r="D33" s="304" t="str">
        <f>IF(ISNUMBER(INDEX(Database!$H$6:$H$197, MATCH($B33&amp;"USD bn", Database!$AD$6:$AD$197, 0))), INDEX(Database!$H$6:$H$197, MATCH($B33&amp;"USD bn", Database!$AD$6:$AD$197, 0)), "")</f>
        <v/>
      </c>
      <c r="E33" s="304">
        <f>IF(ISNUMBER(INDEX(Database!$J$6:$J$197, MATCH($B33&amp;"USD bn", Database!$AD$6:$AD$197, 0))), INDEX(Database!$J$6:$J$197, MATCH($B33&amp;"USD bn", Database!$AD$6:$AD$197, 0)), "")</f>
        <v>12.151964295383831</v>
      </c>
      <c r="F33" s="304">
        <f>IF(ISNUMBER(INDEX(Database!$L$6:$L$197, MATCH($B33&amp;"USD bn", Database!$AD$6:$AD$197, 0))), INDEX(Database!$L$6:$L$197, MATCH($B33&amp;"USD bn", Database!$AD$6:$AD$197, 0)), "")</f>
        <v>48.730141098973149</v>
      </c>
      <c r="G33" s="304"/>
      <c r="H33" s="319">
        <f>IF(ISNUMBER(INDEX(Database!$P$6:$P$197, MATCH($B33&amp;"USD bn", Database!$AD$6:$AD$197, 0))), INDEX(Database!$P$6:$P$197, MATCH($B33&amp;"USD bn", Database!$AD$6:$AD$197, 0)), "")</f>
        <v>55.669753413569694</v>
      </c>
      <c r="I33" s="303">
        <f>IF(ISNUMBER(INDEX(Database!$Q$6:$Q$197, MATCH($B33&amp;"USD bn", Database!$AD$6:$AD$197, 0))), INDEX(Database!$Q$6:$Q$197, MATCH($B33&amp;"USD bn", Database!$AD$6:$AD$197, 0)), "")</f>
        <v>43.105080896833208</v>
      </c>
      <c r="J33" s="303"/>
      <c r="K33" s="303">
        <f>IF(ISNUMBER(INDEX(Database!$U$6:$U$197, MATCH($B33&amp;"USD bn", Database!$AD$6:$AD$197, 0))), INDEX(Database!$U$6:$U$197, MATCH($B33&amp;"USD bn", Database!$AD$6:$AD$197, 0)), "")</f>
        <v>12.56467251673649</v>
      </c>
      <c r="L33" s="303" t="str">
        <f>IF(ISNUMBER(INDEX(Database!$W$6:$W$197, MATCH($B33&amp;"USD bn", Database!$AD$6:$AD$197, 0))), INDEX(Database!$W$6:$W$197, MATCH($B33&amp;"USD bn", Database!$AD$6:$AD$197, 0)), "")</f>
        <v/>
      </c>
      <c r="O33" s="320">
        <f>IF(ISNUMBER(INDEX(Database!$G$6:$G$197, MATCH($B33&amp;"% GDP", Database!$AD$6:$AD$197, 0))), INDEX(Database!$G$6:$G$197, MATCH($B33&amp;"% GDP", Database!$AD$6:$AD$197, 0)), "")</f>
        <v>3.412660153565414</v>
      </c>
      <c r="P33" s="300" t="str">
        <f>IF(ISNUMBER(INDEX(Database!$H$6:$H$197, MATCH($B33&amp;"% GDP", Database!$AD$6:$AD$197, 0))), INDEX(Database!$H$6:$H$197, MATCH($B33&amp;"% GDP", Database!$AD$6:$AD$197, 0)), "")</f>
        <v/>
      </c>
      <c r="Q33" s="300">
        <f>IF(ISNUMBER(INDEX(Database!$J$6:$J$197, MATCH($B33&amp;"% GDP", Database!$AD$6:$AD$197, 0))), INDEX(Database!$J$6:$J$197, MATCH($B33&amp;"% GDP", Database!$AD$6:$AD$197, 0)), "")</f>
        <v>3.412660153565414</v>
      </c>
      <c r="R33" s="300">
        <f>IF(ISNUMBER(INDEX(Database!$L$6:$L$197, MATCH($B33&amp;"% GDP", Database!$AD$6:$AD$197, 0))), INDEX(Database!$L$6:$L$197, MATCH($B33&amp;"% GDP", Database!$AD$6:$AD$197, 0)), "")</f>
        <v>13.684981848511372</v>
      </c>
      <c r="S33" s="300"/>
      <c r="T33" s="320">
        <f>IF(ISNUMBER(INDEX(Database!$P$6:$P$197, MATCH($B33&amp;"% GDP", Database!$AD$6:$AD$197, 0))), INDEX(Database!$P$6:$P$197, MATCH($B33&amp;"% GDP", Database!$AD$6:$AD$197, 0)), "")</f>
        <v>15.633846892182691</v>
      </c>
      <c r="U33" s="300">
        <f>IF(ISNUMBER(INDEX(Database!$Q$6:$Q$197, MATCH($B33&amp;"% GDP", Database!$AD$6:$AD$197, 0))), INDEX(Database!$Q$6:$Q$197, MATCH($B33&amp;"% GDP", Database!$AD$6:$AD$197, 0)), "")</f>
        <v>12.105285073024488</v>
      </c>
      <c r="V33" s="300"/>
      <c r="W33" s="300">
        <f>IF(ISNUMBER(INDEX(Database!$U$6:$U$197, MATCH($B33&amp;"% GDP", Database!$AD$6:$AD$197, 0))), INDEX(Database!$U$6:$U$197, MATCH($B33&amp;"% GDP", Database!$AD$6:$AD$197, 0)), "")</f>
        <v>3.528561819158202</v>
      </c>
      <c r="X33" s="300" t="str">
        <f>IF(ISNUMBER(INDEX(Database!$W$6:$W$197, MATCH($B33&amp;"% GDP", Database!$AD$6:$AD$197, 0))), INDEX(Database!$W$6:$W$197, MATCH($B33&amp;"% GDP", Database!$AD$6:$AD$197, 0)), "")</f>
        <v/>
      </c>
    </row>
    <row r="34" spans="2:24">
      <c r="B34" s="294" t="s">
        <v>20</v>
      </c>
      <c r="C34" s="319">
        <f>IF(ISNUMBER(INDEX(Database!$G$6:$G$197, MATCH($B34&amp;"USD bn", Database!$AD$6:$AD$197, 0))), INDEX(Database!$G$6:$G$197, MATCH($B34&amp;"USD bn", Database!$AD$6:$AD$197, 0)), "")</f>
        <v>12.896485010704863</v>
      </c>
      <c r="D34" s="304">
        <f>IF(ISNUMBER(INDEX(Database!$H$6:$H$197, MATCH($B34&amp;"USD bn", Database!$AD$6:$AD$197, 0))), INDEX(Database!$H$6:$H$197, MATCH($B34&amp;"USD bn", Database!$AD$6:$AD$197, 0)), "")</f>
        <v>4.6792556233530913</v>
      </c>
      <c r="E34" s="304">
        <f>IF(ISNUMBER(INDEX(Database!$J$6:$J$197, MATCH($B34&amp;"USD bn", Database!$AD$6:$AD$197, 0))), INDEX(Database!$J$6:$J$197, MATCH($B34&amp;"USD bn", Database!$AD$6:$AD$197, 0)), "")</f>
        <v>8.2172293873517699</v>
      </c>
      <c r="F34" s="304">
        <f>IF(ISNUMBER(INDEX(Database!$L$6:$L$197, MATCH($B34&amp;"USD bn", Database!$AD$6:$AD$197, 0))), INDEX(Database!$L$6:$L$197, MATCH($B34&amp;"USD bn", Database!$AD$6:$AD$197, 0)), "")</f>
        <v>0.57064092967720625</v>
      </c>
      <c r="G34" s="304"/>
      <c r="H34" s="319">
        <f>IF(ISNUMBER(INDEX(Database!$P$6:$P$197, MATCH($B34&amp;"USD bn", Database!$AD$6:$AD$197, 0))), INDEX(Database!$P$6:$P$197, MATCH($B34&amp;"USD bn", Database!$AD$6:$AD$197, 0)), "")</f>
        <v>19.858304352766776</v>
      </c>
      <c r="I34" s="303">
        <f>IF(ISNUMBER(INDEX(Database!$Q$6:$Q$197, MATCH($B34&amp;"USD bn", Database!$AD$6:$AD$197, 0))), INDEX(Database!$Q$6:$Q$197, MATCH($B34&amp;"USD bn", Database!$AD$6:$AD$197, 0)), "")</f>
        <v>1.3695382312252951</v>
      </c>
      <c r="J34" s="303"/>
      <c r="K34" s="303">
        <f>IF(ISNUMBER(INDEX(Database!$U$6:$U$197, MATCH($B34&amp;"USD bn", Database!$AD$6:$AD$197, 0))), INDEX(Database!$U$6:$U$197, MATCH($B34&amp;"USD bn", Database!$AD$6:$AD$197, 0)), "")</f>
        <v>13.923638684123832</v>
      </c>
      <c r="L34" s="303">
        <f>IF(ISNUMBER(INDEX(Database!$W$6:$W$197, MATCH($B34&amp;"USD bn", Database!$AD$6:$AD$197, 0))), INDEX(Database!$W$6:$W$197, MATCH($B34&amp;"USD bn", Database!$AD$6:$AD$197, 0)), "")</f>
        <v>4.56512743741765</v>
      </c>
      <c r="O34" s="320">
        <f>IF(ISNUMBER(INDEX(Database!$G$6:$G$197, MATCH($B34&amp;"% GDP", Database!$AD$6:$AD$197, 0))), INDEX(Database!$G$6:$G$197, MATCH($B34&amp;"% GDP", Database!$AD$6:$AD$197, 0)), "")</f>
        <v>4.7843243517875598</v>
      </c>
      <c r="P34" s="300">
        <f>IF(ISNUMBER(INDEX(Database!$H$6:$H$197, MATCH($B34&amp;"% GDP", Database!$AD$6:$AD$197, 0))), INDEX(Database!$H$6:$H$197, MATCH($B34&amp;"% GDP", Database!$AD$6:$AD$197, 0)), "")</f>
        <v>1.7359052957813266</v>
      </c>
      <c r="Q34" s="300">
        <f>IF(ISNUMBER(INDEX(Database!$J$6:$J$197, MATCH($B34&amp;"% GDP", Database!$AD$6:$AD$197, 0))), INDEX(Database!$J$6:$J$197, MATCH($B34&amp;"% GDP", Database!$AD$6:$AD$197, 0)), "")</f>
        <v>3.0484190560062325</v>
      </c>
      <c r="R34" s="300">
        <f>IF(ISNUMBER(INDEX(Database!$L$6:$L$197, MATCH($B34&amp;"% GDP", Database!$AD$6:$AD$197, 0))), INDEX(Database!$L$6:$L$197, MATCH($B34&amp;"% GDP", Database!$AD$6:$AD$197, 0)), "")</f>
        <v>0.21169576777821061</v>
      </c>
      <c r="S34" s="300"/>
      <c r="T34" s="320">
        <f>IF(ISNUMBER(INDEX(Database!$P$6:$P$197, MATCH($B34&amp;"% GDP", Database!$AD$6:$AD$197, 0))), INDEX(Database!$P$6:$P$197, MATCH($B34&amp;"% GDP", Database!$AD$6:$AD$197, 0)), "")</f>
        <v>7.3670127186817282</v>
      </c>
      <c r="U34" s="300">
        <f>IF(ISNUMBER(INDEX(Database!$Q$6:$Q$197, MATCH($B34&amp;"% GDP", Database!$AD$6:$AD$197, 0))), INDEX(Database!$Q$6:$Q$197, MATCH($B34&amp;"% GDP", Database!$AD$6:$AD$197, 0)), "")</f>
        <v>0.50806984266770538</v>
      </c>
      <c r="V34" s="300"/>
      <c r="W34" s="300">
        <f>IF(ISNUMBER(INDEX(Database!$U$6:$U$197, MATCH($B34&amp;"% GDP", Database!$AD$6:$AD$197, 0))), INDEX(Database!$U$6:$U$197, MATCH($B34&amp;"% GDP", Database!$AD$6:$AD$197, 0)), "")</f>
        <v>5.1653767337883378</v>
      </c>
      <c r="X34" s="300">
        <f>IF(ISNUMBER(INDEX(Database!$W$6:$W$197, MATCH($B34&amp;"% GDP", Database!$AD$6:$AD$197, 0))), INDEX(Database!$W$6:$W$197, MATCH($B34&amp;"% GDP", Database!$AD$6:$AD$197, 0)), "")</f>
        <v>1.6935661422256849</v>
      </c>
    </row>
    <row r="35" spans="2:24">
      <c r="B35" s="294" t="s">
        <v>184</v>
      </c>
      <c r="C35" s="319">
        <f>IF(ISNUMBER(INDEX(Database!$G$6:$G$197, MATCH($B35&amp;"USD bn", Database!$AD$6:$AD$197, 0))), INDEX(Database!$G$6:$G$197, MATCH($B35&amp;"USD bn", Database!$AD$6:$AD$197, 0)), "")</f>
        <v>93.92749702486816</v>
      </c>
      <c r="D35" s="304">
        <f>IF(ISNUMBER(INDEX(Database!$H$6:$H$197, MATCH($B35&amp;"USD bn", Database!$AD$6:$AD$197, 0))), INDEX(Database!$H$6:$H$197, MATCH($B35&amp;"USD bn", Database!$AD$6:$AD$197, 0)), "")</f>
        <v>18.94527886528325</v>
      </c>
      <c r="E35" s="304">
        <f>IF(ISNUMBER(INDEX(Database!$J$6:$J$197, MATCH($B35&amp;"USD bn", Database!$AD$6:$AD$197, 0))), INDEX(Database!$J$6:$J$197, MATCH($B35&amp;"USD bn", Database!$AD$6:$AD$197, 0)), "")</f>
        <v>74.982218159584903</v>
      </c>
      <c r="F35" s="304">
        <f>IF(ISNUMBER(INDEX(Database!$L$6:$L$197, MATCH($B35&amp;"USD bn", Database!$AD$6:$AD$197, 0))), INDEX(Database!$L$6:$L$197, MATCH($B35&amp;"USD bn", Database!$AD$6:$AD$197, 0)), "")</f>
        <v>13.124741382575744</v>
      </c>
      <c r="G35" s="304"/>
      <c r="H35" s="319">
        <f>IF(ISNUMBER(INDEX(Database!$P$6:$P$197, MATCH($B35&amp;"USD bn", Database!$AD$6:$AD$197, 0))), INDEX(Database!$P$6:$P$197, MATCH($B35&amp;"USD bn", Database!$AD$6:$AD$197, 0)), "")</f>
        <v>39.716608705533552</v>
      </c>
      <c r="I35" s="303" t="str">
        <f>IF(ISNUMBER(INDEX(Database!$Q$6:$Q$197, MATCH($B35&amp;"USD bn", Database!$AD$6:$AD$197, 0))), INDEX(Database!$Q$6:$Q$197, MATCH($B35&amp;"USD bn", Database!$AD$6:$AD$197, 0)), "")</f>
        <v/>
      </c>
      <c r="J35" s="303"/>
      <c r="K35" s="303">
        <f>IF(ISNUMBER(INDEX(Database!$U$6:$U$197, MATCH($B35&amp;"USD bn", Database!$AD$6:$AD$197, 0))), INDEX(Database!$U$6:$U$197, MATCH($B35&amp;"USD bn", Database!$AD$6:$AD$197, 0)), "")</f>
        <v>39.716608705533552</v>
      </c>
      <c r="L35" s="303" t="str">
        <f>IF(ISNUMBER(INDEX(Database!$W$6:$W$197, MATCH($B35&amp;"USD bn", Database!$AD$6:$AD$197, 0))), INDEX(Database!$W$6:$W$197, MATCH($B35&amp;"USD bn", Database!$AD$6:$AD$197, 0)), "")</f>
        <v/>
      </c>
      <c r="O35" s="320">
        <f>IF(ISNUMBER(INDEX(Database!$G$6:$G$197, MATCH($B35&amp;"% GDP", Database!$AD$6:$AD$197, 0))), INDEX(Database!$G$6:$G$197, MATCH($B35&amp;"% GDP", Database!$AD$6:$AD$197, 0)), "")</f>
        <v>10.2862785044276</v>
      </c>
      <c r="P35" s="300">
        <f>IF(ISNUMBER(INDEX(Database!$H$6:$H$197, MATCH($B35&amp;"% GDP", Database!$AD$6:$AD$197, 0))), INDEX(Database!$H$6:$H$197, MATCH($B35&amp;"% GDP", Database!$AD$6:$AD$197, 0)), "")</f>
        <v>2.0747536230072678</v>
      </c>
      <c r="Q35" s="300">
        <f>IF(ISNUMBER(INDEX(Database!$J$6:$J$197, MATCH($B35&amp;"% GDP", Database!$AD$6:$AD$197, 0))), INDEX(Database!$J$6:$J$197, MATCH($B35&amp;"% GDP", Database!$AD$6:$AD$197, 0)), "")</f>
        <v>8.2115248814203312</v>
      </c>
      <c r="R35" s="300">
        <f>IF(ISNUMBER(INDEX(Database!$L$6:$L$197, MATCH($B35&amp;"% GDP", Database!$AD$6:$AD$197, 0))), INDEX(Database!$L$6:$L$197, MATCH($B35&amp;"% GDP", Database!$AD$6:$AD$197, 0)), "")</f>
        <v>1.4373293171435892</v>
      </c>
      <c r="S35" s="300"/>
      <c r="T35" s="320">
        <f>IF(ISNUMBER(INDEX(Database!$P$6:$P$197, MATCH($B35&amp;"% GDP", Database!$AD$6:$AD$197, 0))), INDEX(Database!$P$6:$P$197, MATCH($B35&amp;"% GDP", Database!$AD$6:$AD$197, 0)), "")</f>
        <v>4.3494834988345135</v>
      </c>
      <c r="U35" s="300" t="str">
        <f>IF(ISNUMBER(INDEX(Database!$Q$6:$Q$197, MATCH($B35&amp;"% GDP", Database!$AD$6:$AD$197, 0))), INDEX(Database!$Q$6:$Q$197, MATCH($B35&amp;"% GDP", Database!$AD$6:$AD$197, 0)), "")</f>
        <v/>
      </c>
      <c r="V35" s="300"/>
      <c r="W35" s="300">
        <f>IF(ISNUMBER(INDEX(Database!$U$6:$U$197, MATCH($B35&amp;"% GDP", Database!$AD$6:$AD$197, 0))), INDEX(Database!$U$6:$U$197, MATCH($B35&amp;"% GDP", Database!$AD$6:$AD$197, 0)), "")</f>
        <v>4.3494834988345135</v>
      </c>
      <c r="X35" s="300" t="str">
        <f>IF(ISNUMBER(INDEX(Database!$W$6:$W$197, MATCH($B35&amp;"% GDP", Database!$AD$6:$AD$197, 0))), INDEX(Database!$W$6:$W$197, MATCH($B35&amp;"% GDP", Database!$AD$6:$AD$197, 0)), "")</f>
        <v/>
      </c>
    </row>
    <row r="36" spans="2:24">
      <c r="B36" s="294" t="s">
        <v>553</v>
      </c>
      <c r="C36" s="319">
        <f>IF(ISNUMBER(INDEX(Database!$G$6:$G$197, MATCH($B36&amp;"USD bn", Database!$AD$6:$AD$197, 0))), INDEX(Database!$G$6:$G$197, MATCH($B36&amp;"USD bn", Database!$AD$6:$AD$197, 0)), "")</f>
        <v>40.366333649903929</v>
      </c>
      <c r="D36" s="304">
        <f>IF(ISNUMBER(INDEX(Database!$H$6:$H$197, MATCH($B36&amp;"USD bn", Database!$AD$6:$AD$197, 0))), INDEX(Database!$H$6:$H$197, MATCH($B36&amp;"USD bn", Database!$AD$6:$AD$197, 0)), "")</f>
        <v>3.3151095268037039</v>
      </c>
      <c r="E36" s="304">
        <f>IF(ISNUMBER(INDEX(Database!$J$6:$J$197, MATCH($B36&amp;"USD bn", Database!$AD$6:$AD$197, 0))), INDEX(Database!$J$6:$J$197, MATCH($B36&amp;"USD bn", Database!$AD$6:$AD$197, 0)), "")</f>
        <v>37.051224123100226</v>
      </c>
      <c r="F36" s="304" t="str">
        <f>IF(ISNUMBER(INDEX(Database!$L$6:$L$197, MATCH($B36&amp;"USD bn", Database!$AD$6:$AD$197, 0))), INDEX(Database!$L$6:$L$197, MATCH($B36&amp;"USD bn", Database!$AD$6:$AD$197, 0)), "")</f>
        <v/>
      </c>
      <c r="G36" s="304"/>
      <c r="H36" s="319">
        <f>IF(ISNUMBER(INDEX(Database!$P$6:$P$197, MATCH($B36&amp;"USD bn", Database!$AD$6:$AD$197, 0))), INDEX(Database!$P$6:$P$197, MATCH($B36&amp;"USD bn", Database!$AD$6:$AD$197, 0)), "")</f>
        <v>4.0951352978163404</v>
      </c>
      <c r="I36" s="303">
        <f>IF(ISNUMBER(INDEX(Database!$Q$6:$Q$197, MATCH($B36&amp;"USD bn", Database!$AD$6:$AD$197, 0))), INDEX(Database!$Q$6:$Q$197, MATCH($B36&amp;"USD bn", Database!$AD$6:$AD$197, 0)), "")</f>
        <v>2.2100730178691359</v>
      </c>
      <c r="J36" s="303"/>
      <c r="K36" s="303">
        <f>IF(ISNUMBER(INDEX(Database!$U$6:$U$197, MATCH($B36&amp;"USD bn", Database!$AD$6:$AD$197, 0))), INDEX(Database!$U$6:$U$197, MATCH($B36&amp;"USD bn", Database!$AD$6:$AD$197, 0)), "")</f>
        <v>1.8850622799472043</v>
      </c>
      <c r="L36" s="303" t="str">
        <f>IF(ISNUMBER(INDEX(Database!$W$6:$W$197, MATCH($B36&amp;"USD bn", Database!$AD$6:$AD$197, 0))), INDEX(Database!$W$6:$W$197, MATCH($B36&amp;"USD bn", Database!$AD$6:$AD$197, 0)), "")</f>
        <v/>
      </c>
      <c r="O36" s="320">
        <f>IF(ISNUMBER(INDEX(Database!$G$6:$G$197, MATCH($B36&amp;"% GDP", Database!$AD$6:$AD$197, 0))), INDEX(Database!$G$6:$G$197, MATCH($B36&amp;"% GDP", Database!$AD$6:$AD$197, 0)), "")</f>
        <v>19.27864943902545</v>
      </c>
      <c r="P36" s="300">
        <f>IF(ISNUMBER(INDEX(Database!$H$6:$H$197, MATCH($B36&amp;"% GDP", Database!$AD$6:$AD$197, 0))), INDEX(Database!$H$6:$H$197, MATCH($B36&amp;"% GDP", Database!$AD$6:$AD$197, 0)), "")</f>
        <v>1.5832707268764863</v>
      </c>
      <c r="Q36" s="300">
        <f>IF(ISNUMBER(INDEX(Database!$J$6:$J$197, MATCH($B36&amp;"% GDP", Database!$AD$6:$AD$197, 0))), INDEX(Database!$J$6:$J$197, MATCH($B36&amp;"% GDP", Database!$AD$6:$AD$197, 0)), "")</f>
        <v>17.695378712148965</v>
      </c>
      <c r="R36" s="300" t="str">
        <f>IF(ISNUMBER(INDEX(Database!$L$6:$L$197, MATCH($B36&amp;"% GDP", Database!$AD$6:$AD$197, 0))), INDEX(Database!$L$6:$L$197, MATCH($B36&amp;"% GDP", Database!$AD$6:$AD$197, 0)), "")</f>
        <v/>
      </c>
      <c r="S36" s="300"/>
      <c r="T36" s="320">
        <f>IF(ISNUMBER(INDEX(Database!$P$6:$P$197, MATCH($B36&amp;"% GDP", Database!$AD$6:$AD$197, 0))), INDEX(Database!$P$6:$P$197, MATCH($B36&amp;"% GDP", Database!$AD$6:$AD$197, 0)), "")</f>
        <v>1.9558050155533067</v>
      </c>
      <c r="U36" s="300">
        <f>IF(ISNUMBER(INDEX(Database!$Q$6:$Q$197, MATCH($B36&amp;"% GDP", Database!$AD$6:$AD$197, 0))), INDEX(Database!$Q$6:$Q$197, MATCH($B36&amp;"% GDP", Database!$AD$6:$AD$197, 0)), "")</f>
        <v>1.0555138179176575</v>
      </c>
      <c r="V36" s="300"/>
      <c r="W36" s="300">
        <f>IF(ISNUMBER(INDEX(Database!$U$6:$U$197, MATCH($B36&amp;"% GDP", Database!$AD$6:$AD$197, 0))), INDEX(Database!$U$6:$U$197, MATCH($B36&amp;"% GDP", Database!$AD$6:$AD$197, 0)), "")</f>
        <v>0.90029119763564913</v>
      </c>
      <c r="X36" s="300" t="str">
        <f>IF(ISNUMBER(INDEX(Database!$W$6:$W$197, MATCH($B36&amp;"% GDP", Database!$AD$6:$AD$197, 0))), INDEX(Database!$W$6:$W$197, MATCH($B36&amp;"% GDP", Database!$AD$6:$AD$197, 0)), "")</f>
        <v/>
      </c>
    </row>
    <row r="37" spans="2:24">
      <c r="B37" s="294" t="s">
        <v>36</v>
      </c>
      <c r="C37" s="319">
        <f>IF(ISNUMBER(INDEX(Database!$G$6:$G$197, MATCH($B37&amp;"USD bn", Database!$AD$6:$AD$197, 0))), INDEX(Database!$G$6:$G$197, MATCH($B37&amp;"USD bn", Database!$AD$6:$AD$197, 0)), "")</f>
        <v>23.917160810691193</v>
      </c>
      <c r="D37" s="304">
        <f>IF(ISNUMBER(INDEX(Database!$H$6:$H$197, MATCH($B37&amp;"USD bn", Database!$AD$6:$AD$197, 0))), INDEX(Database!$H$6:$H$197, MATCH($B37&amp;"USD bn", Database!$AD$6:$AD$197, 0)), "")</f>
        <v>2.6232409947782966</v>
      </c>
      <c r="E37" s="304">
        <f>IF(ISNUMBER(INDEX(Database!$J$6:$J$197, MATCH($B37&amp;"USD bn", Database!$AD$6:$AD$197, 0))), INDEX(Database!$J$6:$J$197, MATCH($B37&amp;"USD bn", Database!$AD$6:$AD$197, 0)), "")</f>
        <v>21.293919815912897</v>
      </c>
      <c r="F37" s="304" t="str">
        <f>IF(ISNUMBER(INDEX(Database!$L$6:$L$197, MATCH($B37&amp;"USD bn", Database!$AD$6:$AD$197, 0))), INDEX(Database!$L$6:$L$197, MATCH($B37&amp;"USD bn", Database!$AD$6:$AD$197, 0)), "")</f>
        <v/>
      </c>
      <c r="G37" s="304"/>
      <c r="H37" s="319">
        <f>IF(ISNUMBER(INDEX(Database!$P$6:$P$197, MATCH($B37&amp;"USD bn", Database!$AD$6:$AD$197, 0))), INDEX(Database!$P$6:$P$197, MATCH($B37&amp;"USD bn", Database!$AD$6:$AD$197, 0)), "")</f>
        <v>14.603062217895378</v>
      </c>
      <c r="I37" s="303">
        <f>IF(ISNUMBER(INDEX(Database!$Q$6:$Q$197, MATCH($B37&amp;"USD bn", Database!$AD$6:$AD$197, 0))), INDEX(Database!$Q$6:$Q$197, MATCH($B37&amp;"USD bn", Database!$AD$6:$AD$197, 0)), "")</f>
        <v>6.3191432870165452</v>
      </c>
      <c r="J37" s="303"/>
      <c r="K37" s="303">
        <f>IF(ISNUMBER(INDEX(Database!$U$6:$U$197, MATCH($B37&amp;"USD bn", Database!$AD$6:$AD$197, 0))), INDEX(Database!$U$6:$U$197, MATCH($B37&amp;"USD bn", Database!$AD$6:$AD$197, 0)), "")</f>
        <v>8.2839189308788317</v>
      </c>
      <c r="L37" s="303" t="str">
        <f>IF(ISNUMBER(INDEX(Database!$W$6:$W$197, MATCH($B37&amp;"USD bn", Database!$AD$6:$AD$197, 0))), INDEX(Database!$W$6:$W$197, MATCH($B37&amp;"USD bn", Database!$AD$6:$AD$197, 0)), "")</f>
        <v/>
      </c>
      <c r="O37" s="320">
        <f>IF(ISNUMBER(INDEX(Database!$G$6:$G$197, MATCH($B37&amp;"% GDP", Database!$AD$6:$AD$197, 0))), INDEX(Database!$G$6:$G$197, MATCH($B37&amp;"% GDP", Database!$AD$6:$AD$197, 0)), "")</f>
        <v>7.4022943167997886</v>
      </c>
      <c r="P37" s="300">
        <f>IF(ISNUMBER(INDEX(Database!$H$6:$H$197, MATCH($B37&amp;"% GDP", Database!$AD$6:$AD$197, 0))), INDEX(Database!$H$6:$H$197, MATCH($B37&amp;"% GDP", Database!$AD$6:$AD$197, 0)), "")</f>
        <v>0.81188574433816507</v>
      </c>
      <c r="Q37" s="300">
        <f>IF(ISNUMBER(INDEX(Database!$J$6:$J$197, MATCH($B37&amp;"% GDP", Database!$AD$6:$AD$197, 0))), INDEX(Database!$J$6:$J$197, MATCH($B37&amp;"% GDP", Database!$AD$6:$AD$197, 0)), "")</f>
        <v>6.5904085724616239</v>
      </c>
      <c r="R37" s="300" t="str">
        <f>IF(ISNUMBER(INDEX(Database!$L$6:$L$197, MATCH($B37&amp;"% GDP", Database!$AD$6:$AD$197, 0))), INDEX(Database!$L$6:$L$197, MATCH($B37&amp;"% GDP", Database!$AD$6:$AD$197, 0)), "")</f>
        <v/>
      </c>
      <c r="S37" s="300"/>
      <c r="T37" s="320">
        <f>IF(ISNUMBER(INDEX(Database!$P$6:$P$197, MATCH($B37&amp;"% GDP", Database!$AD$6:$AD$197, 0))), INDEX(Database!$P$6:$P$197, MATCH($B37&amp;"% GDP", Database!$AD$6:$AD$197, 0)), "")</f>
        <v>4.5196068763764252</v>
      </c>
      <c r="U37" s="300">
        <f>IF(ISNUMBER(INDEX(Database!$Q$6:$Q$197, MATCH($B37&amp;"% GDP", Database!$AD$6:$AD$197, 0))), INDEX(Database!$Q$6:$Q$197, MATCH($B37&amp;"% GDP", Database!$AD$6:$AD$197, 0)), "")</f>
        <v>1.9557571574137986</v>
      </c>
      <c r="V37" s="300"/>
      <c r="W37" s="300">
        <f>IF(ISNUMBER(INDEX(Database!$U$6:$U$197, MATCH($B37&amp;"% GDP", Database!$AD$6:$AD$197, 0))), INDEX(Database!$U$6:$U$197, MATCH($B37&amp;"% GDP", Database!$AD$6:$AD$197, 0)), "")</f>
        <v>2.563849718962627</v>
      </c>
      <c r="X37" s="300" t="str">
        <f>IF(ISNUMBER(INDEX(Database!$W$6:$W$197, MATCH($B37&amp;"% GDP", Database!$AD$6:$AD$197, 0))), INDEX(Database!$W$6:$W$197, MATCH($B37&amp;"% GDP", Database!$AD$6:$AD$197, 0)), "")</f>
        <v/>
      </c>
    </row>
    <row r="38" spans="2:24">
      <c r="B38" s="294" t="s">
        <v>31</v>
      </c>
      <c r="C38" s="319">
        <f>IF(ISNUMBER(INDEX(Database!$G$6:$G$197, MATCH($B38&amp;"USD bn", Database!$AD$6:$AD$197, 0))), INDEX(Database!$G$6:$G$197, MATCH($B38&amp;"USD bn", Database!$AD$6:$AD$197, 0)), "")</f>
        <v>62.546527888588585</v>
      </c>
      <c r="D38" s="304">
        <f>IF(ISNUMBER(INDEX(Database!$H$6:$H$197, MATCH($B38&amp;"USD bn", Database!$AD$6:$AD$197, 0))), INDEX(Database!$H$6:$H$197, MATCH($B38&amp;"USD bn", Database!$AD$6:$AD$197, 0)), "")</f>
        <v>13.480479938907852</v>
      </c>
      <c r="E38" s="304">
        <f>IF(ISNUMBER(INDEX(Database!$J$6:$J$197, MATCH($B38&amp;"USD bn", Database!$AD$6:$AD$197, 0))), INDEX(Database!$J$6:$J$197, MATCH($B38&amp;"USD bn", Database!$AD$6:$AD$197, 0)), "")</f>
        <v>49.06604794968073</v>
      </c>
      <c r="F38" s="304" t="str">
        <f>IF(ISNUMBER(INDEX(Database!$L$6:$L$197, MATCH($B38&amp;"USD bn", Database!$AD$6:$AD$197, 0))), INDEX(Database!$L$6:$L$197, MATCH($B38&amp;"USD bn", Database!$AD$6:$AD$197, 0)), "")</f>
        <v/>
      </c>
      <c r="G38" s="304"/>
      <c r="H38" s="319">
        <f>IF(ISNUMBER(INDEX(Database!$P$6:$P$197, MATCH($B38&amp;"USD bn", Database!$AD$6:$AD$197, 0))), INDEX(Database!$P$6:$P$197, MATCH($B38&amp;"USD bn", Database!$AD$6:$AD$197, 0)), "")</f>
        <v>15.94465369118133</v>
      </c>
      <c r="I38" s="303">
        <f>IF(ISNUMBER(INDEX(Database!$Q$6:$Q$197, MATCH($B38&amp;"USD bn", Database!$AD$6:$AD$197, 0))), INDEX(Database!$Q$6:$Q$197, MATCH($B38&amp;"USD bn", Database!$AD$6:$AD$197, 0)), "")</f>
        <v>15.94465369118133</v>
      </c>
      <c r="J38" s="303"/>
      <c r="K38" s="303" t="str">
        <f>IF(ISNUMBER(INDEX(Database!$U$6:$U$197, MATCH($B38&amp;"USD bn", Database!$AD$6:$AD$197, 0))), INDEX(Database!$U$6:$U$197, MATCH($B38&amp;"USD bn", Database!$AD$6:$AD$197, 0)), "")</f>
        <v/>
      </c>
      <c r="L38" s="303" t="str">
        <f>IF(ISNUMBER(INDEX(Database!$W$6:$W$197, MATCH($B38&amp;"USD bn", Database!$AD$6:$AD$197, 0))), INDEX(Database!$W$6:$W$197, MATCH($B38&amp;"USD bn", Database!$AD$6:$AD$197, 0)), "")</f>
        <v/>
      </c>
      <c r="O38" s="320">
        <f>IF(ISNUMBER(INDEX(Database!$G$6:$G$197, MATCH($B38&amp;"% GDP", Database!$AD$6:$AD$197, 0))), INDEX(Database!$G$6:$G$197, MATCH($B38&amp;"% GDP", Database!$AD$6:$AD$197, 0)), "")</f>
        <v>18.39709108521307</v>
      </c>
      <c r="P38" s="300">
        <f>IF(ISNUMBER(INDEX(Database!$H$6:$H$197, MATCH($B38&amp;"% GDP", Database!$AD$6:$AD$197, 0))), INDEX(Database!$H$6:$H$197, MATCH($B38&amp;"% GDP", Database!$AD$6:$AD$197, 0)), "")</f>
        <v>3.9650740925256436</v>
      </c>
      <c r="Q38" s="300">
        <f>IF(ISNUMBER(INDEX(Database!$J$6:$J$197, MATCH($B38&amp;"% GDP", Database!$AD$6:$AD$197, 0))), INDEX(Database!$J$6:$J$197, MATCH($B38&amp;"% GDP", Database!$AD$6:$AD$197, 0)), "")</f>
        <v>14.432016992687425</v>
      </c>
      <c r="R38" s="300" t="str">
        <f>IF(ISNUMBER(INDEX(Database!$L$6:$L$197, MATCH($B38&amp;"% GDP", Database!$AD$6:$AD$197, 0))), INDEX(Database!$L$6:$L$197, MATCH($B38&amp;"% GDP", Database!$AD$6:$AD$197, 0)), "")</f>
        <v/>
      </c>
      <c r="S38" s="300"/>
      <c r="T38" s="320">
        <f>IF(ISNUMBER(INDEX(Database!$P$6:$P$197, MATCH($B38&amp;"% GDP", Database!$AD$6:$AD$197, 0))), INDEX(Database!$P$6:$P$197, MATCH($B38&amp;"% GDP", Database!$AD$6:$AD$197, 0)), "")</f>
        <v>4.6898725825572125</v>
      </c>
      <c r="U38" s="300">
        <f>IF(ISNUMBER(INDEX(Database!$Q$6:$Q$197, MATCH($B38&amp;"% GDP", Database!$AD$6:$AD$197, 0))), INDEX(Database!$Q$6:$Q$197, MATCH($B38&amp;"% GDP", Database!$AD$6:$AD$197, 0)), "")</f>
        <v>4.6898725825572125</v>
      </c>
      <c r="V38" s="300"/>
      <c r="W38" s="300" t="str">
        <f>IF(ISNUMBER(INDEX(Database!$U$6:$U$197, MATCH($B38&amp;"% GDP", Database!$AD$6:$AD$197, 0))), INDEX(Database!$U$6:$U$197, MATCH($B38&amp;"% GDP", Database!$AD$6:$AD$197, 0)), "")</f>
        <v/>
      </c>
      <c r="X38" s="300" t="str">
        <f>IF(ISNUMBER(INDEX(Database!$W$6:$W$197, MATCH($B38&amp;"% GDP", Database!$AD$6:$AD$197, 0))), INDEX(Database!$W$6:$W$197, MATCH($B38&amp;"% GDP", Database!$AD$6:$AD$197, 0)), "")</f>
        <v/>
      </c>
    </row>
    <row r="39" spans="2:24">
      <c r="B39" s="294" t="s">
        <v>21</v>
      </c>
      <c r="C39" s="319">
        <f>IF(ISNUMBER(INDEX(Database!$G$6:$G$197, MATCH($B39&amp;"USD bn", Database!$AD$6:$AD$197, 0))), INDEX(Database!$G$6:$G$197, MATCH($B39&amp;"USD bn", Database!$AD$6:$AD$197, 0)), "")</f>
        <v>22.474815922163589</v>
      </c>
      <c r="D39" s="304">
        <f>IF(ISNUMBER(INDEX(Database!$H$6:$H$197, MATCH($B39&amp;"USD bn", Database!$AD$6:$AD$197, 0))), INDEX(Database!$H$6:$H$197, MATCH($B39&amp;"USD bn", Database!$AD$6:$AD$197, 0)), "")</f>
        <v>4.125811618561432</v>
      </c>
      <c r="E39" s="304">
        <f>IF(ISNUMBER(INDEX(Database!$J$6:$J$197, MATCH($B39&amp;"USD bn", Database!$AD$6:$AD$197, 0))), INDEX(Database!$J$6:$J$197, MATCH($B39&amp;"USD bn", Database!$AD$6:$AD$197, 0)), "")</f>
        <v>18.349004303602158</v>
      </c>
      <c r="F39" s="304">
        <f>IF(ISNUMBER(INDEX(Database!$L$6:$L$197, MATCH($B39&amp;"USD bn", Database!$AD$6:$AD$197, 0))), INDEX(Database!$L$6:$L$197, MATCH($B39&amp;"USD bn", Database!$AD$6:$AD$197, 0)), "")</f>
        <v>36.372286637317892</v>
      </c>
      <c r="G39" s="304"/>
      <c r="H39" s="319">
        <f>IF(ISNUMBER(INDEX(Database!$P$6:$P$197, MATCH($B39&amp;"USD bn", Database!$AD$6:$AD$197, 0))), INDEX(Database!$P$6:$P$197, MATCH($B39&amp;"USD bn", Database!$AD$6:$AD$197, 0)), "")</f>
        <v>28.413813173092809</v>
      </c>
      <c r="I39" s="303">
        <f>IF(ISNUMBER(INDEX(Database!$Q$6:$Q$197, MATCH($B39&amp;"USD bn", Database!$AD$6:$AD$197, 0))), INDEX(Database!$Q$6:$Q$197, MATCH($B39&amp;"USD bn", Database!$AD$6:$AD$197, 0)), "")</f>
        <v>1.2703156825570725</v>
      </c>
      <c r="J39" s="303"/>
      <c r="K39" s="303">
        <f>IF(ISNUMBER(INDEX(Database!$U$6:$U$197, MATCH($B39&amp;"USD bn", Database!$AD$6:$AD$197, 0))), INDEX(Database!$U$6:$U$197, MATCH($B39&amp;"USD bn", Database!$AD$6:$AD$197, 0)), "")</f>
        <v>27.143497490535736</v>
      </c>
      <c r="L39" s="303" t="str">
        <f>IF(ISNUMBER(INDEX(Database!$W$6:$W$197, MATCH($B39&amp;"USD bn", Database!$AD$6:$AD$197, 0))), INDEX(Database!$W$6:$W$197, MATCH($B39&amp;"USD bn", Database!$AD$6:$AD$197, 0)), "")</f>
        <v/>
      </c>
      <c r="O39" s="320">
        <f>IF(ISNUMBER(INDEX(Database!$G$6:$G$197, MATCH($B39&amp;"% GDP", Database!$AD$6:$AD$197, 0))), INDEX(Database!$G$6:$G$197, MATCH($B39&amp;"% GDP", Database!$AD$6:$AD$197, 0)), "")</f>
        <v>4.1538214254109116</v>
      </c>
      <c r="P39" s="300">
        <f>IF(ISNUMBER(INDEX(Database!$H$6:$H$197, MATCH($B39&amp;"% GDP", Database!$AD$6:$AD$197, 0))), INDEX(Database!$H$6:$H$197, MATCH($B39&amp;"% GDP", Database!$AD$6:$AD$197, 0)), "")</f>
        <v>0.76253726650055398</v>
      </c>
      <c r="Q39" s="300">
        <f>IF(ISNUMBER(INDEX(Database!$J$6:$J$197, MATCH($B39&amp;"% GDP", Database!$AD$6:$AD$197, 0))), INDEX(Database!$J$6:$J$197, MATCH($B39&amp;"% GDP", Database!$AD$6:$AD$197, 0)), "")</f>
        <v>3.3912841589103584</v>
      </c>
      <c r="R39" s="300">
        <f>IF(ISNUMBER(INDEX(Database!$L$6:$L$197, MATCH($B39&amp;"% GDP", Database!$AD$6:$AD$197, 0))), INDEX(Database!$L$6:$L$197, MATCH($B39&amp;"% GDP", Database!$AD$6:$AD$197, 0)), "")</f>
        <v>6.7223680073075149</v>
      </c>
      <c r="S39" s="300"/>
      <c r="T39" s="320">
        <f>IF(ISNUMBER(INDEX(Database!$P$6:$P$197, MATCH($B39&amp;"% GDP", Database!$AD$6:$AD$197, 0))), INDEX(Database!$P$6:$P$197, MATCH($B39&amp;"% GDP", Database!$AD$6:$AD$197, 0)), "")</f>
        <v>5.2514737537682885</v>
      </c>
      <c r="U39" s="300">
        <f>IF(ISNUMBER(INDEX(Database!$Q$6:$Q$197, MATCH($B39&amp;"% GDP", Database!$AD$6:$AD$197, 0))), INDEX(Database!$Q$6:$Q$197, MATCH($B39&amp;"% GDP", Database!$AD$6:$AD$197, 0)), "")</f>
        <v>0.2347812110014863</v>
      </c>
      <c r="V39" s="300"/>
      <c r="W39" s="300">
        <f>IF(ISNUMBER(INDEX(Database!$U$6:$U$197, MATCH($B39&amp;"% GDP", Database!$AD$6:$AD$197, 0))), INDEX(Database!$U$6:$U$197, MATCH($B39&amp;"% GDP", Database!$AD$6:$AD$197, 0)), "")</f>
        <v>5.0166925427668021</v>
      </c>
      <c r="X39" s="300" t="str">
        <f>IF(ISNUMBER(INDEX(Database!$W$6:$W$197, MATCH($B39&amp;"% GDP", Database!$AD$6:$AD$197, 0))), INDEX(Database!$W$6:$W$197, MATCH($B39&amp;"% GDP", Database!$AD$6:$AD$197, 0)), "")</f>
        <v/>
      </c>
    </row>
    <row r="40" spans="2:24">
      <c r="B40" s="294" t="s">
        <v>558</v>
      </c>
      <c r="C40" s="319">
        <f>IF(ISNUMBER(INDEX(Database!$G$6:$G$197, MATCH($B40&amp;"USD bn", Database!$AD$6:$AD$197, 0))), INDEX(Database!$G$6:$G$197, MATCH($B40&amp;"USD bn", Database!$AD$6:$AD$197, 0)), "")</f>
        <v>59.481808256628398</v>
      </c>
      <c r="D40" s="304">
        <f>IF(ISNUMBER(INDEX(Database!$H$6:$H$197, MATCH($B40&amp;"USD bn", Database!$AD$6:$AD$197, 0))), INDEX(Database!$H$6:$H$197, MATCH($B40&amp;"USD bn", Database!$AD$6:$AD$197, 0)), "")</f>
        <v>7.6892624776985965</v>
      </c>
      <c r="E40" s="304">
        <f>IF(ISNUMBER(INDEX(Database!$J$6:$J$197, MATCH($B40&amp;"USD bn", Database!$AD$6:$AD$197, 0))), INDEX(Database!$J$6:$J$197, MATCH($B40&amp;"USD bn", Database!$AD$6:$AD$197, 0)), "")</f>
        <v>51.792545778929799</v>
      </c>
      <c r="F40" s="304" t="str">
        <f>IF(ISNUMBER(INDEX(Database!$L$6:$L$197, MATCH($B40&amp;"USD bn", Database!$AD$6:$AD$197, 0))), INDEX(Database!$L$6:$L$197, MATCH($B40&amp;"USD bn", Database!$AD$6:$AD$197, 0)), "")</f>
        <v/>
      </c>
      <c r="G40" s="304"/>
      <c r="H40" s="319">
        <f>IF(ISNUMBER(INDEX(Database!$P$6:$P$197, MATCH($B40&amp;"USD bn", Database!$AD$6:$AD$197, 0))), INDEX(Database!$P$6:$P$197, MATCH($B40&amp;"USD bn", Database!$AD$6:$AD$197, 0)), "")</f>
        <v>46.733119713121745</v>
      </c>
      <c r="I40" s="303">
        <f>IF(ISNUMBER(INDEX(Database!$Q$6:$Q$197, MATCH($B40&amp;"USD bn", Database!$AD$6:$AD$197, 0))), INDEX(Database!$Q$6:$Q$197, MATCH($B40&amp;"USD bn", Database!$AD$6:$AD$197, 0)), "")</f>
        <v>1.1716565626081807</v>
      </c>
      <c r="J40" s="303"/>
      <c r="K40" s="303">
        <f>IF(ISNUMBER(INDEX(Database!$U$6:$U$197, MATCH($B40&amp;"USD bn", Database!$AD$6:$AD$197, 0))), INDEX(Database!$U$6:$U$197, MATCH($B40&amp;"USD bn", Database!$AD$6:$AD$197, 0)), "")</f>
        <v>45.561463150513568</v>
      </c>
      <c r="L40" s="303" t="str">
        <f>IF(ISNUMBER(INDEX(Database!$W$6:$W$197, MATCH($B40&amp;"USD bn", Database!$AD$6:$AD$197, 0))), INDEX(Database!$W$6:$W$197, MATCH($B40&amp;"USD bn", Database!$AD$6:$AD$197, 0)), "")</f>
        <v/>
      </c>
      <c r="O40" s="320">
        <f>IF(ISNUMBER(INDEX(Database!$G$6:$G$197, MATCH($B40&amp;"% GDP", Database!$AD$6:$AD$197, 0))), INDEX(Database!$G$6:$G$197, MATCH($B40&amp;"% GDP", Database!$AD$6:$AD$197, 0)), "")</f>
        <v>7.9111095244692748</v>
      </c>
      <c r="P40" s="300">
        <f>IF(ISNUMBER(INDEX(Database!$H$6:$H$197, MATCH($B40&amp;"% GDP", Database!$AD$6:$AD$197, 0))), INDEX(Database!$H$6:$H$197, MATCH($B40&amp;"% GDP", Database!$AD$6:$AD$197, 0)), "")</f>
        <v>1.0226756617925596</v>
      </c>
      <c r="Q40" s="300">
        <f>IF(ISNUMBER(INDEX(Database!$J$6:$J$197, MATCH($B40&amp;"% GDP", Database!$AD$6:$AD$197, 0))), INDEX(Database!$J$6:$J$197, MATCH($B40&amp;"% GDP", Database!$AD$6:$AD$197, 0)), "")</f>
        <v>6.8884338626767159</v>
      </c>
      <c r="R40" s="300" t="str">
        <f>IF(ISNUMBER(INDEX(Database!$L$6:$L$197, MATCH($B40&amp;"% GDP", Database!$AD$6:$AD$197, 0))), INDEX(Database!$L$6:$L$197, MATCH($B40&amp;"% GDP", Database!$AD$6:$AD$197, 0)), "")</f>
        <v/>
      </c>
      <c r="S40" s="300"/>
      <c r="T40" s="320">
        <f>IF(ISNUMBER(INDEX(Database!$P$6:$P$197, MATCH($B40&amp;"% GDP", Database!$AD$6:$AD$197, 0))), INDEX(Database!$P$6:$P$197, MATCH($B40&amp;"% GDP", Database!$AD$6:$AD$197, 0)), "")</f>
        <v>6.2155277269910725</v>
      </c>
      <c r="U40" s="300">
        <f>IF(ISNUMBER(INDEX(Database!$Q$6:$Q$197, MATCH($B40&amp;"% GDP", Database!$AD$6:$AD$197, 0))), INDEX(Database!$Q$6:$Q$197, MATCH($B40&amp;"% GDP", Database!$AD$6:$AD$197, 0)), "")</f>
        <v>0.15583089457983315</v>
      </c>
      <c r="V40" s="300"/>
      <c r="W40" s="300">
        <f>IF(ISNUMBER(INDEX(Database!$U$6:$U$197, MATCH($B40&amp;"% GDP", Database!$AD$6:$AD$197, 0))), INDEX(Database!$U$6:$U$197, MATCH($B40&amp;"% GDP", Database!$AD$6:$AD$197, 0)), "")</f>
        <v>6.0596968324112392</v>
      </c>
      <c r="X40" s="300" t="str">
        <f>IF(ISNUMBER(INDEX(Database!$W$6:$W$197, MATCH($B40&amp;"% GDP", Database!$AD$6:$AD$197, 0))), INDEX(Database!$W$6:$W$197, MATCH($B40&amp;"% GDP", Database!$AD$6:$AD$197, 0)), "")</f>
        <v/>
      </c>
    </row>
    <row r="41" spans="2:24">
      <c r="B41" s="301" t="s">
        <v>870</v>
      </c>
      <c r="C41" s="319"/>
      <c r="D41" s="304"/>
      <c r="E41" s="304"/>
      <c r="F41" s="304"/>
      <c r="G41" s="304"/>
      <c r="H41" s="319"/>
      <c r="I41" s="303" t="str">
        <f>IF(ISNUMBER(INDEX(Database!$Q$6:$Q$197, MATCH($B41&amp;"USD bn", Database!$AD$6:$AD$197, 0))), INDEX(Database!$Q$6:$Q$197, MATCH($B41&amp;"USD bn", Database!$AD$6:$AD$197, 0)), "")</f>
        <v/>
      </c>
      <c r="J41" s="303"/>
      <c r="K41" s="303" t="str">
        <f>IF(ISNUMBER(INDEX(Database!$U$6:$U$197, MATCH($B41&amp;"USD bn", Database!$AD$6:$AD$197, 0))), INDEX(Database!$U$6:$U$197, MATCH($B41&amp;"USD bn", Database!$AD$6:$AD$197, 0)), "")</f>
        <v/>
      </c>
      <c r="L41" s="303" t="str">
        <f>IF(ISNUMBER(INDEX(Database!$W$6:$W$197, MATCH($B41&amp;"USD bn", Database!$AD$6:$AD$197, 0))), INDEX(Database!$W$6:$W$197, MATCH($B41&amp;"USD bn", Database!$AD$6:$AD$197, 0)), "")</f>
        <v/>
      </c>
      <c r="O41" s="320" t="str">
        <f>IF(ISNUMBER(INDEX(Database!$G$6:$G$197, MATCH($B41&amp;"% GDP", Database!$AD$6:$AD$197, 0))), INDEX(Database!$G$6:$G$197, MATCH($B41&amp;"% GDP", Database!$AD$6:$AD$197, 0)), "")</f>
        <v/>
      </c>
      <c r="P41" s="300" t="str">
        <f>IF(ISNUMBER(INDEX(Database!$H$6:$H$197, MATCH($B41&amp;"% GDP", Database!$AD$6:$AD$197, 0))), INDEX(Database!$H$6:$H$197, MATCH($B41&amp;"% GDP", Database!$AD$6:$AD$197, 0)), "")</f>
        <v/>
      </c>
      <c r="Q41" s="300" t="str">
        <f>IF(ISNUMBER(INDEX(Database!$J$6:$J$197, MATCH($B41&amp;"% GDP", Database!$AD$6:$AD$197, 0))), INDEX(Database!$J$6:$J$197, MATCH($B41&amp;"% GDP", Database!$AD$6:$AD$197, 0)), "")</f>
        <v/>
      </c>
      <c r="R41" s="300" t="str">
        <f>IF(ISNUMBER(INDEX(Database!$L$6:$L$197, MATCH($B41&amp;"% GDP", Database!$AD$6:$AD$197, 0))), INDEX(Database!$L$6:$L$197, MATCH($B41&amp;"% GDP", Database!$AD$6:$AD$197, 0)), "")</f>
        <v/>
      </c>
      <c r="S41" s="300"/>
      <c r="T41" s="320" t="str">
        <f>IF(ISNUMBER(INDEX(Database!$P$6:$P$197, MATCH($B41&amp;"% GDP", Database!$AD$6:$AD$197, 0))), INDEX(Database!$P$6:$P$197, MATCH($B41&amp;"% GDP", Database!$AD$6:$AD$197, 0)), "")</f>
        <v/>
      </c>
      <c r="U41" s="300" t="str">
        <f>IF(ISNUMBER(INDEX(Database!$Q$6:$Q$197, MATCH($B41&amp;"% GDP", Database!$AD$6:$AD$197, 0))), INDEX(Database!$Q$6:$Q$197, MATCH($B41&amp;"% GDP", Database!$AD$6:$AD$197, 0)), "")</f>
        <v/>
      </c>
      <c r="V41" s="300"/>
      <c r="W41" s="300" t="str">
        <f>IF(ISNUMBER(INDEX(Database!$U$6:$U$197, MATCH($B41&amp;"% GDP", Database!$AD$6:$AD$197, 0))), INDEX(Database!$U$6:$U$197, MATCH($B41&amp;"% GDP", Database!$AD$6:$AD$197, 0)), "")</f>
        <v/>
      </c>
      <c r="X41" s="300" t="str">
        <f>IF(ISNUMBER(INDEX(Database!$W$6:$W$197, MATCH($B41&amp;"% GDP", Database!$AD$6:$AD$197, 0))), INDEX(Database!$W$6:$W$197, MATCH($B41&amp;"% GDP", Database!$AD$6:$AD$197, 0)), "")</f>
        <v/>
      </c>
    </row>
    <row r="42" spans="2:24">
      <c r="B42" s="299" t="s">
        <v>41</v>
      </c>
      <c r="C42" s="321">
        <f>IF(ISNUMBER(INDEX(Database!$G$6:$G$197, MATCH($B42&amp;"USD bn", Database!$AD$6:$AD$197, 0))), INDEX(Database!$G$6:$G$197, MATCH($B42&amp;"USD bn", Database!$AD$6:$AD$197, 0)), "")</f>
        <v>0.33382004491368428</v>
      </c>
      <c r="D42" s="303">
        <f>IF(ISNUMBER(INDEX(Database!$H$6:$H$197, MATCH($B42&amp;"USD bn", Database!$AD$6:$AD$197, 0))), INDEX(Database!$H$6:$H$197, MATCH($B42&amp;"USD bn", Database!$AD$6:$AD$197, 0)), "")</f>
        <v>0.16783217727704566</v>
      </c>
      <c r="E42" s="303">
        <f>IF(ISNUMBER(INDEX(Database!$J$6:$J$197, MATCH($B42&amp;"USD bn", Database!$AD$6:$AD$197, 0))), INDEX(Database!$J$6:$J$197, MATCH($B42&amp;"USD bn", Database!$AD$6:$AD$197, 0)), "")</f>
        <v>0.16598786763663859</v>
      </c>
      <c r="F42" s="303" t="str">
        <f>IF(ISNUMBER(INDEX(Database!$L$6:$L$197, MATCH($B42&amp;"USD bn", Database!$AD$6:$AD$197, 0))), INDEX(Database!$L$6:$L$197, MATCH($B42&amp;"USD bn", Database!$AD$6:$AD$197, 0)), "")</f>
        <v/>
      </c>
      <c r="G42" s="303"/>
      <c r="H42" s="321">
        <f>IF(ISNUMBER(INDEX(Database!$P$6:$P$197, MATCH($B42&amp;"USD bn", Database!$AD$6:$AD$197, 0))), INDEX(Database!$P$6:$P$197, MATCH($B42&amp;"USD bn", Database!$AD$6:$AD$197, 0)), "")</f>
        <v>0.23976025325292241</v>
      </c>
      <c r="I42" s="303" t="str">
        <f>IF(ISNUMBER(INDEX(Database!$Q$6:$Q$197, MATCH($B42&amp;"USD bn", Database!$AD$6:$AD$197, 0))), INDEX(Database!$Q$6:$Q$197, MATCH($B42&amp;"USD bn", Database!$AD$6:$AD$197, 0)), "")</f>
        <v/>
      </c>
      <c r="J42" s="303"/>
      <c r="K42" s="303">
        <f>IF(ISNUMBER(INDEX(Database!$U$6:$U$197, MATCH($B42&amp;"USD bn", Database!$AD$6:$AD$197, 0))), INDEX(Database!$U$6:$U$197, MATCH($B42&amp;"USD bn", Database!$AD$6:$AD$197, 0)), "")</f>
        <v>0.23976025325292241</v>
      </c>
      <c r="L42" s="303" t="str">
        <f>IF(ISNUMBER(INDEX(Database!$W$6:$W$197, MATCH($B42&amp;"USD bn", Database!$AD$6:$AD$197, 0))), INDEX(Database!$W$6:$W$197, MATCH($B42&amp;"USD bn", Database!$AD$6:$AD$197, 0)), "")</f>
        <v/>
      </c>
      <c r="O42" s="320">
        <f>IF(ISNUMBER(INDEX(Database!$G$6:$G$197, MATCH($B42&amp;"% GDP", Database!$AD$6:$AD$197, 0))), INDEX(Database!$G$6:$G$197, MATCH($B42&amp;"% GDP", Database!$AD$6:$AD$197, 0)), "")</f>
        <v>2.2512745821149296</v>
      </c>
      <c r="P42" s="300">
        <f>IF(ISNUMBER(INDEX(Database!$H$6:$H$197, MATCH($B42&amp;"% GDP", Database!$AD$6:$AD$197, 0))), INDEX(Database!$H$6:$H$197, MATCH($B42&amp;"% GDP", Database!$AD$6:$AD$197, 0)), "")</f>
        <v>1.1318562816157931</v>
      </c>
      <c r="Q42" s="300">
        <f>IF(ISNUMBER(INDEX(Database!$J$6:$J$197, MATCH($B42&amp;"% GDP", Database!$AD$6:$AD$197, 0))), INDEX(Database!$J$6:$J$197, MATCH($B42&amp;"% GDP", Database!$AD$6:$AD$197, 0)), "")</f>
        <v>1.119418300499136</v>
      </c>
      <c r="R42" s="300" t="str">
        <f>IF(ISNUMBER(INDEX(Database!$L$6:$L$197, MATCH($B42&amp;"% GDP", Database!$AD$6:$AD$197, 0))), INDEX(Database!$L$6:$L$197, MATCH($B42&amp;"% GDP", Database!$AD$6:$AD$197, 0)), "")</f>
        <v/>
      </c>
      <c r="S42" s="300"/>
      <c r="T42" s="320">
        <f>IF(ISNUMBER(INDEX(Database!$P$6:$P$197, MATCH($B42&amp;"% GDP", Database!$AD$6:$AD$197, 0))), INDEX(Database!$P$6:$P$197, MATCH($B42&amp;"% GDP", Database!$AD$6:$AD$197, 0)), "")</f>
        <v>1.6169375451654189</v>
      </c>
      <c r="U42" s="300" t="str">
        <f>IF(ISNUMBER(INDEX(Database!$Q$6:$Q$197, MATCH($B42&amp;"% GDP", Database!$AD$6:$AD$197, 0))), INDEX(Database!$Q$6:$Q$197, MATCH($B42&amp;"% GDP", Database!$AD$6:$AD$197, 0)), "")</f>
        <v/>
      </c>
      <c r="V42" s="300"/>
      <c r="W42" s="300">
        <f>IF(ISNUMBER(INDEX(Database!$U$6:$U$197, MATCH($B42&amp;"% GDP", Database!$AD$6:$AD$197, 0))), INDEX(Database!$U$6:$U$197, MATCH($B42&amp;"% GDP", Database!$AD$6:$AD$197, 0)), "")</f>
        <v>1.6169375451654189</v>
      </c>
      <c r="X42" s="300" t="str">
        <f>IF(ISNUMBER(INDEX(Database!$W$6:$W$197, MATCH($B42&amp;"% GDP", Database!$AD$6:$AD$197, 0))), INDEX(Database!$W$6:$W$197, MATCH($B42&amp;"% GDP", Database!$AD$6:$AD$197, 0)), "")</f>
        <v/>
      </c>
    </row>
    <row r="43" spans="2:24">
      <c r="B43" s="299" t="s">
        <v>1039</v>
      </c>
      <c r="C43" s="321" t="str">
        <f>IF(ISNUMBER(INDEX(Database!$G$6:$G$197, MATCH($B43&amp;"USD bn", Database!$AD$6:$AD$197, 0))), INDEX(Database!$G$6:$G$197, MATCH($B43&amp;"USD bn", Database!$AD$6:$AD$197, 0)), "")</f>
        <v/>
      </c>
      <c r="D43" s="303" t="str">
        <f>IF(ISNUMBER(INDEX(Database!$H$6:$H$197, MATCH($B43&amp;"USD bn", Database!$AD$6:$AD$197, 0))), INDEX(Database!$H$6:$H$197, MATCH($B43&amp;"USD bn", Database!$AD$6:$AD$197, 0)), "")</f>
        <v/>
      </c>
      <c r="E43" s="303" t="str">
        <f>IF(ISNUMBER(INDEX(Database!$J$6:$J$197, MATCH($B43&amp;"USD bn", Database!$AD$6:$AD$197, 0))), INDEX(Database!$J$6:$J$197, MATCH($B43&amp;"USD bn", Database!$AD$6:$AD$197, 0)), "")</f>
        <v/>
      </c>
      <c r="F43" s="303" t="str">
        <f>IF(ISNUMBER(INDEX(Database!$L$6:$L$197, MATCH($B43&amp;"USD bn", Database!$AD$6:$AD$197, 0))), INDEX(Database!$L$6:$L$197, MATCH($B43&amp;"USD bn", Database!$AD$6:$AD$197, 0)), "")</f>
        <v/>
      </c>
      <c r="G43" s="303"/>
      <c r="H43" s="321" t="str">
        <f>IF(ISNUMBER(INDEX(Database!$P$6:$P$197, MATCH($B43&amp;"USD bn", Database!$AD$6:$AD$197, 0))), INDEX(Database!$P$6:$P$197, MATCH($B43&amp;"USD bn", Database!$AD$6:$AD$197, 0)), "")</f>
        <v/>
      </c>
      <c r="I43" s="303" t="str">
        <f>IF(ISNUMBER(INDEX(Database!$Q$6:$Q$197, MATCH($B43&amp;"USD bn", Database!$AD$6:$AD$197, 0))), INDEX(Database!$Q$6:$Q$197, MATCH($B43&amp;"USD bn", Database!$AD$6:$AD$197, 0)), "")</f>
        <v/>
      </c>
      <c r="J43" s="303"/>
      <c r="K43" s="303" t="str">
        <f>IF(ISNUMBER(INDEX(Database!$U$6:$U$197, MATCH($B43&amp;"USD bn", Database!$AD$6:$AD$197, 0))), INDEX(Database!$U$6:$U$197, MATCH($B43&amp;"USD bn", Database!$AD$6:$AD$197, 0)), "")</f>
        <v/>
      </c>
      <c r="L43" s="303" t="str">
        <f>IF(ISNUMBER(INDEX(Database!$W$6:$W$197, MATCH($B43&amp;"USD bn", Database!$AD$6:$AD$197, 0))), INDEX(Database!$W$6:$W$197, MATCH($B43&amp;"USD bn", Database!$AD$6:$AD$197, 0)), "")</f>
        <v/>
      </c>
      <c r="O43" s="320" t="str">
        <f>IF(ISNUMBER(INDEX(Database!$G$6:$G$197, MATCH($B43&amp;"% GDP", Database!$AD$6:$AD$197, 0))), INDEX(Database!$G$6:$G$197, MATCH($B43&amp;"% GDP", Database!$AD$6:$AD$197, 0)), "")</f>
        <v/>
      </c>
      <c r="P43" s="300" t="str">
        <f>IF(ISNUMBER(INDEX(Database!$H$6:$H$197, MATCH($B43&amp;"% GDP", Database!$AD$6:$AD$197, 0))), INDEX(Database!$H$6:$H$197, MATCH($B43&amp;"% GDP", Database!$AD$6:$AD$197, 0)), "")</f>
        <v/>
      </c>
      <c r="Q43" s="300" t="str">
        <f>IF(ISNUMBER(INDEX(Database!$J$6:$J$197, MATCH($B43&amp;"% GDP", Database!$AD$6:$AD$197, 0))), INDEX(Database!$J$6:$J$197, MATCH($B43&amp;"% GDP", Database!$AD$6:$AD$197, 0)), "")</f>
        <v/>
      </c>
      <c r="R43" s="300" t="str">
        <f>IF(ISNUMBER(INDEX(Database!$L$6:$L$197, MATCH($B43&amp;"% GDP", Database!$AD$6:$AD$197, 0))), INDEX(Database!$L$6:$L$197, MATCH($B43&amp;"% GDP", Database!$AD$6:$AD$197, 0)), "")</f>
        <v/>
      </c>
      <c r="S43" s="300"/>
      <c r="T43" s="320" t="str">
        <f>IF(ISNUMBER(INDEX(Database!$P$6:$P$197, MATCH($B43&amp;"% GDP", Database!$AD$6:$AD$197, 0))), INDEX(Database!$P$6:$P$197, MATCH($B43&amp;"% GDP", Database!$AD$6:$AD$197, 0)), "")</f>
        <v/>
      </c>
      <c r="U43" s="300" t="str">
        <f>IF(ISNUMBER(INDEX(Database!$Q$6:$Q$197, MATCH($B43&amp;"% GDP", Database!$AD$6:$AD$197, 0))), INDEX(Database!$Q$6:$Q$197, MATCH($B43&amp;"% GDP", Database!$AD$6:$AD$197, 0)), "")</f>
        <v/>
      </c>
      <c r="V43" s="300"/>
      <c r="W43" s="300" t="str">
        <f>IF(ISNUMBER(INDEX(Database!$U$6:$U$197, MATCH($B43&amp;"% GDP", Database!$AD$6:$AD$197, 0))), INDEX(Database!$U$6:$U$197, MATCH($B43&amp;"% GDP", Database!$AD$6:$AD$197, 0)), "")</f>
        <v/>
      </c>
      <c r="X43" s="300" t="str">
        <f>IF(ISNUMBER(INDEX(Database!$W$6:$W$197, MATCH($B43&amp;"% GDP", Database!$AD$6:$AD$197, 0))), INDEX(Database!$W$6:$W$197, MATCH($B43&amp;"% GDP", Database!$AD$6:$AD$197, 0)), "")</f>
        <v/>
      </c>
    </row>
    <row r="44" spans="2:24">
      <c r="B44" s="299" t="s">
        <v>27</v>
      </c>
      <c r="C44" s="321">
        <f>IF(ISNUMBER(INDEX(Database!$G$6:$G$197, MATCH($B44&amp;"USD bn", Database!$AD$6:$AD$197, 0))), INDEX(Database!$G$6:$G$197, MATCH($B44&amp;"USD bn", Database!$AD$6:$AD$197, 0)), "")</f>
        <v>3.6598885495522917</v>
      </c>
      <c r="D44" s="303">
        <f>IF(ISNUMBER(INDEX(Database!$H$6:$H$197, MATCH($B44&amp;"USD bn", Database!$AD$6:$AD$197, 0))), INDEX(Database!$H$6:$H$197, MATCH($B44&amp;"USD bn", Database!$AD$6:$AD$197, 0)), "")</f>
        <v>0.9949154937797603</v>
      </c>
      <c r="E44" s="303">
        <f>IF(ISNUMBER(INDEX(Database!$J$6:$J$197, MATCH($B44&amp;"USD bn", Database!$AD$6:$AD$197, 0))), INDEX(Database!$J$6:$J$197, MATCH($B44&amp;"USD bn", Database!$AD$6:$AD$197, 0)), "")</f>
        <v>2.6649730557725313</v>
      </c>
      <c r="F44" s="303">
        <f>IF(ISNUMBER(INDEX(Database!$L$6:$L$197, MATCH($B44&amp;"USD bn", Database!$AD$6:$AD$197, 0))), INDEX(Database!$L$6:$L$197, MATCH($B44&amp;"USD bn", Database!$AD$6:$AD$197, 0)), "")</f>
        <v>0.35011688930666052</v>
      </c>
      <c r="G44" s="303"/>
      <c r="H44" s="321">
        <f>IF(ISNUMBER(INDEX(Database!$P$6:$P$197, MATCH($B44&amp;"USD bn", Database!$AD$6:$AD$197, 0))), INDEX(Database!$P$6:$P$197, MATCH($B44&amp;"USD bn", Database!$AD$6:$AD$197, 0)), "")</f>
        <v>2.6970671039589753</v>
      </c>
      <c r="I44" s="303">
        <f>IF(ISNUMBER(INDEX(Database!$Q$6:$Q$197, MATCH($B44&amp;"USD bn", Database!$AD$6:$AD$197, 0))), INDEX(Database!$Q$6:$Q$197, MATCH($B44&amp;"USD bn", Database!$AD$6:$AD$197, 0)), "")</f>
        <v>0.94648265742567239</v>
      </c>
      <c r="J44" s="303"/>
      <c r="K44" s="303" t="str">
        <f>IF(ISNUMBER(INDEX(Database!$U$6:$U$197, MATCH($B44&amp;"USD bn", Database!$AD$6:$AD$197, 0))), INDEX(Database!$U$6:$U$197, MATCH($B44&amp;"USD bn", Database!$AD$6:$AD$197, 0)), "")</f>
        <v/>
      </c>
      <c r="L44" s="303">
        <f>IF(ISNUMBER(INDEX(Database!$W$6:$W$197, MATCH($B44&amp;"USD bn", Database!$AD$6:$AD$197, 0))), INDEX(Database!$W$6:$W$197, MATCH($B44&amp;"USD bn", Database!$AD$6:$AD$197, 0)), "")</f>
        <v>1.7505844465333027</v>
      </c>
      <c r="O44" s="320">
        <f>IF(ISNUMBER(INDEX(Database!$G$6:$G$197, MATCH($B44&amp;"% GDP", Database!$AD$6:$AD$197, 0))), INDEX(Database!$G$6:$G$197, MATCH($B44&amp;"% GDP", Database!$AD$6:$AD$197, 0)), "")</f>
        <v>5.2881375195675631</v>
      </c>
      <c r="P44" s="300">
        <f>IF(ISNUMBER(INDEX(Database!$H$6:$H$197, MATCH($B44&amp;"% GDP", Database!$AD$6:$AD$197, 0))), INDEX(Database!$H$6:$H$197, MATCH($B44&amp;"% GDP", Database!$AD$6:$AD$197, 0)), "")</f>
        <v>1.4375437612982611</v>
      </c>
      <c r="Q44" s="300">
        <f>IF(ISNUMBER(INDEX(Database!$J$6:$J$197, MATCH($B44&amp;"% GDP", Database!$AD$6:$AD$197, 0))), INDEX(Database!$J$6:$J$197, MATCH($B44&amp;"% GDP", Database!$AD$6:$AD$197, 0)), "")</f>
        <v>3.8505937582693015</v>
      </c>
      <c r="R44" s="300">
        <f>IF(ISNUMBER(INDEX(Database!$L$6:$L$197, MATCH($B44&amp;"% GDP", Database!$AD$6:$AD$197, 0))), INDEX(Database!$L$6:$L$197, MATCH($B44&amp;"% GDP", Database!$AD$6:$AD$197, 0)), "")</f>
        <v>0.50588050250965211</v>
      </c>
      <c r="S44" s="300"/>
      <c r="T44" s="320">
        <f>IF(ISNUMBER(INDEX(Database!$P$6:$P$197, MATCH($B44&amp;"% GDP", Database!$AD$6:$AD$197, 0))), INDEX(Database!$P$6:$P$197, MATCH($B44&amp;"% GDP", Database!$AD$6:$AD$197, 0)), "")</f>
        <v>3.8969661376660198</v>
      </c>
      <c r="U44" s="300">
        <f>IF(ISNUMBER(INDEX(Database!$Q$6:$Q$197, MATCH($B44&amp;"% GDP", Database!$AD$6:$AD$197, 0))), INDEX(Database!$Q$6:$Q$197, MATCH($B44&amp;"% GDP", Database!$AD$6:$AD$197, 0)), "")</f>
        <v>1.3675636251177596</v>
      </c>
      <c r="V44" s="300"/>
      <c r="W44" s="300" t="str">
        <f>IF(ISNUMBER(INDEX(Database!$U$6:$U$197, MATCH($B44&amp;"% GDP", Database!$AD$6:$AD$197, 0))), INDEX(Database!$U$6:$U$197, MATCH($B44&amp;"% GDP", Database!$AD$6:$AD$197, 0)), "")</f>
        <v/>
      </c>
      <c r="X44" s="300">
        <f>IF(ISNUMBER(INDEX(Database!$W$6:$W$197, MATCH($B44&amp;"% GDP", Database!$AD$6:$AD$197, 0))), INDEX(Database!$W$6:$W$197, MATCH($B44&amp;"% GDP", Database!$AD$6:$AD$197, 0)), "")</f>
        <v>2.5294025125482604</v>
      </c>
    </row>
    <row r="45" spans="2:24">
      <c r="B45" s="299" t="s">
        <v>42</v>
      </c>
      <c r="C45" s="321">
        <f>IF(ISNUMBER(INDEX(Database!$G$6:$G$197, MATCH($B45&amp;"USD bn", Database!$AD$6:$AD$197, 0))), INDEX(Database!$G$6:$G$197, MATCH($B45&amp;"USD bn", Database!$AD$6:$AD$197, 0)), "")</f>
        <v>32.063993334728984</v>
      </c>
      <c r="D45" s="303">
        <f>IF(ISNUMBER(INDEX(Database!$H$6:$H$197, MATCH($B45&amp;"USD bn", Database!$AD$6:$AD$197, 0))), INDEX(Database!$H$6:$H$197, MATCH($B45&amp;"USD bn", Database!$AD$6:$AD$197, 0)), "")</f>
        <v>1.5165334699489497</v>
      </c>
      <c r="E45" s="303">
        <f>IF(ISNUMBER(INDEX(Database!$J$6:$J$197, MATCH($B45&amp;"USD bn", Database!$AD$6:$AD$197, 0))), INDEX(Database!$J$6:$J$197, MATCH($B45&amp;"USD bn", Database!$AD$6:$AD$197, 0)), "")</f>
        <v>30.547459864780031</v>
      </c>
      <c r="F45" s="303">
        <f>IF(ISNUMBER(INDEX(Database!$L$6:$L$197, MATCH($B45&amp;"USD bn", Database!$AD$6:$AD$197, 0))), INDEX(Database!$L$6:$L$197, MATCH($B45&amp;"USD bn", Database!$AD$6:$AD$197, 0)), "")</f>
        <v>4.0446076631681755</v>
      </c>
      <c r="G45" s="303"/>
      <c r="H45" s="321">
        <f>IF(ISNUMBER(INDEX(Database!$P$6:$P$197, MATCH($B45&amp;"USD bn", Database!$AD$6:$AD$197, 0))), INDEX(Database!$P$6:$P$197, MATCH($B45&amp;"USD bn", Database!$AD$6:$AD$197, 0)), "")</f>
        <v>6.3189963380984064</v>
      </c>
      <c r="I45" s="303">
        <f>IF(ISNUMBER(INDEX(Database!$Q$6:$Q$197, MATCH($B45&amp;"USD bn", Database!$AD$6:$AD$197, 0))), INDEX(Database!$Q$6:$Q$197, MATCH($B45&amp;"USD bn", Database!$AD$6:$AD$197, 0)), "")</f>
        <v>3.2859281358385646</v>
      </c>
      <c r="J45" s="303"/>
      <c r="K45" s="303" t="str">
        <f>IF(ISNUMBER(INDEX(Database!$U$6:$U$197, MATCH($B45&amp;"USD bn", Database!$AD$6:$AD$197, 0))), INDEX(Database!$U$6:$U$197, MATCH($B45&amp;"USD bn", Database!$AD$6:$AD$197, 0)), "")</f>
        <v/>
      </c>
      <c r="L45" s="303">
        <f>IF(ISNUMBER(INDEX(Database!$W$6:$W$197, MATCH($B45&amp;"USD bn", Database!$AD$6:$AD$197, 0))), INDEX(Database!$W$6:$W$197, MATCH($B45&amp;"USD bn", Database!$AD$6:$AD$197, 0)), "")</f>
        <v>3.0330682022598419</v>
      </c>
      <c r="O45" s="320">
        <f>IF(ISNUMBER(INDEX(Database!$G$6:$G$197, MATCH($B45&amp;"% GDP", Database!$AD$6:$AD$197, 0))), INDEX(Database!$G$6:$G$197, MATCH($B45&amp;"% GDP", Database!$AD$6:$AD$197, 0)), "")</f>
        <v>12.682470249573225</v>
      </c>
      <c r="P45" s="300">
        <f>IF(ISNUMBER(INDEX(Database!$H$6:$H$197, MATCH($B45&amp;"% GDP", Database!$AD$6:$AD$197, 0))), INDEX(Database!$H$6:$H$197, MATCH($B45&amp;"% GDP", Database!$AD$6:$AD$197, 0)), "")</f>
        <v>0.59984389387573989</v>
      </c>
      <c r="Q45" s="300">
        <f>IF(ISNUMBER(INDEX(Database!$J$6:$J$197, MATCH($B45&amp;"% GDP", Database!$AD$6:$AD$197, 0))), INDEX(Database!$J$6:$J$197, MATCH($B45&amp;"% GDP", Database!$AD$6:$AD$197, 0)), "")</f>
        <v>12.082626355697483</v>
      </c>
      <c r="R45" s="300">
        <f>IF(ISNUMBER(INDEX(Database!$L$6:$L$197, MATCH($B45&amp;"% GDP", Database!$AD$6:$AD$197, 0))), INDEX(Database!$L$6:$L$197, MATCH($B45&amp;"% GDP", Database!$AD$6:$AD$197, 0)), "")</f>
        <v>1.5997887669146695</v>
      </c>
      <c r="S45" s="300"/>
      <c r="T45" s="320">
        <f>IF(ISNUMBER(INDEX(Database!$P$6:$P$197, MATCH($B45&amp;"% GDP", Database!$AD$6:$AD$197, 0))), INDEX(Database!$P$6:$P$197, MATCH($B45&amp;"% GDP", Database!$AD$6:$AD$197, 0)), "")</f>
        <v>2.4993918327164151</v>
      </c>
      <c r="U45" s="300">
        <f>IF(ISNUMBER(INDEX(Database!$Q$6:$Q$197, MATCH($B45&amp;"% GDP", Database!$AD$6:$AD$197, 0))), INDEX(Database!$Q$6:$Q$197, MATCH($B45&amp;"% GDP", Database!$AD$6:$AD$197, 0)), "")</f>
        <v>1.2997035456550827</v>
      </c>
      <c r="V45" s="300"/>
      <c r="W45" s="300" t="str">
        <f>IF(ISNUMBER(INDEX(Database!$U$6:$U$197, MATCH($B45&amp;"% GDP", Database!$AD$6:$AD$197, 0))), INDEX(Database!$U$6:$U$197, MATCH($B45&amp;"% GDP", Database!$AD$6:$AD$197, 0)), "")</f>
        <v/>
      </c>
      <c r="X45" s="300">
        <f>IF(ISNUMBER(INDEX(Database!$W$6:$W$197, MATCH($B45&amp;"% GDP", Database!$AD$6:$AD$197, 0))), INDEX(Database!$W$6:$W$197, MATCH($B45&amp;"% GDP", Database!$AD$6:$AD$197, 0)), "")</f>
        <v>1.1996882870613323</v>
      </c>
    </row>
    <row r="46" spans="2:24">
      <c r="B46" s="299" t="s">
        <v>34</v>
      </c>
      <c r="C46" s="321">
        <f>IF(ISNUMBER(INDEX(Database!$G$6:$G$197, MATCH($B46&amp;"USD bn", Database!$AD$6:$AD$197, 0))), INDEX(Database!$G$6:$G$197, MATCH($B46&amp;"USD bn", Database!$AD$6:$AD$197, 0)), "")</f>
        <v>12.537379304867349</v>
      </c>
      <c r="D46" s="303">
        <f>IF(ISNUMBER(INDEX(Database!$H$6:$H$197, MATCH($B46&amp;"USD bn", Database!$AD$6:$AD$197, 0))), INDEX(Database!$H$6:$H$197, MATCH($B46&amp;"USD bn", Database!$AD$6:$AD$197, 0)), "")</f>
        <v>3.8751505833461795</v>
      </c>
      <c r="E46" s="303">
        <f>IF(ISNUMBER(INDEX(Database!$J$6:$J$197, MATCH($B46&amp;"USD bn", Database!$AD$6:$AD$197, 0))), INDEX(Database!$J$6:$J$197, MATCH($B46&amp;"USD bn", Database!$AD$6:$AD$197, 0)), "")</f>
        <v>8.6622287215211689</v>
      </c>
      <c r="F46" s="303">
        <f>IF(ISNUMBER(INDEX(Database!$L$6:$L$197, MATCH($B46&amp;"USD bn", Database!$AD$6:$AD$197, 0))), INDEX(Database!$L$6:$L$197, MATCH($B46&amp;"USD bn", Database!$AD$6:$AD$197, 0)), "")</f>
        <v>0.4819569618750838</v>
      </c>
      <c r="G46" s="303"/>
      <c r="H46" s="321">
        <f>IF(ISNUMBER(INDEX(Database!$P$6:$P$197, MATCH($B46&amp;"USD bn", Database!$AD$6:$AD$197, 0))), INDEX(Database!$P$6:$P$197, MATCH($B46&amp;"USD bn", Database!$AD$6:$AD$197, 0)), "")</f>
        <v>14.618458635750434</v>
      </c>
      <c r="I46" s="303">
        <f>IF(ISNUMBER(INDEX(Database!$Q$6:$Q$197, MATCH($B46&amp;"USD bn", Database!$AD$6:$AD$197, 0))), INDEX(Database!$Q$6:$Q$197, MATCH($B46&amp;"USD bn", Database!$AD$6:$AD$197, 0)), "")</f>
        <v>7.6937118380227556</v>
      </c>
      <c r="J46" s="303"/>
      <c r="K46" s="303">
        <f>IF(ISNUMBER(INDEX(Database!$U$6:$U$197, MATCH($B46&amp;"USD bn", Database!$AD$6:$AD$197, 0))), INDEX(Database!$U$6:$U$197, MATCH($B46&amp;"USD bn", Database!$AD$6:$AD$197, 0)), "")</f>
        <v>6.9247467977276784</v>
      </c>
      <c r="L46" s="303" t="str">
        <f>IF(ISNUMBER(INDEX(Database!$W$6:$W$197, MATCH($B46&amp;"USD bn", Database!$AD$6:$AD$197, 0))), INDEX(Database!$W$6:$W$197, MATCH($B46&amp;"USD bn", Database!$AD$6:$AD$197, 0)), "")</f>
        <v/>
      </c>
      <c r="O46" s="320">
        <f>IF(ISNUMBER(INDEX(Database!$G$6:$G$197, MATCH($B46&amp;"% GDP", Database!$AD$6:$AD$197, 0))), INDEX(Database!$G$6:$G$197, MATCH($B46&amp;"% GDP", Database!$AD$6:$AD$197, 0)), "")</f>
        <v>4.6169047873067024</v>
      </c>
      <c r="P46" s="300">
        <f>IF(ISNUMBER(INDEX(Database!$H$6:$H$197, MATCH($B46&amp;"% GDP", Database!$AD$6:$AD$197, 0))), INDEX(Database!$H$6:$H$197, MATCH($B46&amp;"% GDP", Database!$AD$6:$AD$197, 0)), "")</f>
        <v>1.4270287948327041</v>
      </c>
      <c r="Q46" s="300">
        <f>IF(ISNUMBER(INDEX(Database!$J$6:$J$197, MATCH($B46&amp;"% GDP", Database!$AD$6:$AD$197, 0))), INDEX(Database!$J$6:$J$197, MATCH($B46&amp;"% GDP", Database!$AD$6:$AD$197, 0)), "")</f>
        <v>3.1898759924739983</v>
      </c>
      <c r="R46" s="300">
        <f>IF(ISNUMBER(INDEX(Database!$L$6:$L$197, MATCH($B46&amp;"% GDP", Database!$AD$6:$AD$197, 0))), INDEX(Database!$L$6:$L$197, MATCH($B46&amp;"% GDP", Database!$AD$6:$AD$197, 0)), "")</f>
        <v>0.17748122238696293</v>
      </c>
      <c r="S46" s="300"/>
      <c r="T46" s="320">
        <f>IF(ISNUMBER(INDEX(Database!$P$6:$P$197, MATCH($B46&amp;"% GDP", Database!$AD$6:$AD$197, 0))), INDEX(Database!$P$6:$P$197, MATCH($B46&amp;"% GDP", Database!$AD$6:$AD$197, 0)), "")</f>
        <v>5.3832647172315324</v>
      </c>
      <c r="U46" s="300">
        <f>IF(ISNUMBER(INDEX(Database!$Q$6:$Q$197, MATCH($B46&amp;"% GDP", Database!$AD$6:$AD$197, 0))), INDEX(Database!$Q$6:$Q$197, MATCH($B46&amp;"% GDP", Database!$AD$6:$AD$197, 0)), "")</f>
        <v>2.8332185023177257</v>
      </c>
      <c r="V46" s="300"/>
      <c r="W46" s="300">
        <f>IF(ISNUMBER(INDEX(Database!$U$6:$U$197, MATCH($B46&amp;"% GDP", Database!$AD$6:$AD$197, 0))), INDEX(Database!$U$6:$U$197, MATCH($B46&amp;"% GDP", Database!$AD$6:$AD$197, 0)), "")</f>
        <v>2.5500462149138068</v>
      </c>
      <c r="X46" s="300" t="str">
        <f>IF(ISNUMBER(INDEX(Database!$W$6:$W$197, MATCH($B46&amp;"% GDP", Database!$AD$6:$AD$197, 0))), INDEX(Database!$W$6:$W$197, MATCH($B46&amp;"% GDP", Database!$AD$6:$AD$197, 0)), "")</f>
        <v/>
      </c>
    </row>
    <row r="47" spans="2:24">
      <c r="B47" s="299" t="s">
        <v>23</v>
      </c>
      <c r="C47" s="321">
        <f>IF(ISNUMBER(INDEX(Database!$G$6:$G$197, MATCH($B47&amp;"USD bn", Database!$AD$6:$AD$197, 0))), INDEX(Database!$G$6:$G$197, MATCH($B47&amp;"USD bn", Database!$AD$6:$AD$197, 0)), "")</f>
        <v>5.6957877830164128</v>
      </c>
      <c r="D47" s="303">
        <f>IF(ISNUMBER(INDEX(Database!$H$6:$H$197, MATCH($B47&amp;"USD bn", Database!$AD$6:$AD$197, 0))), INDEX(Database!$H$6:$H$197, MATCH($B47&amp;"USD bn", Database!$AD$6:$AD$197, 0)), "")</f>
        <v>0.80458007357131589</v>
      </c>
      <c r="E47" s="303">
        <f>IF(ISNUMBER(INDEX(Database!$J$6:$J$197, MATCH($B47&amp;"USD bn", Database!$AD$6:$AD$197, 0))), INDEX(Database!$J$6:$J$197, MATCH($B47&amp;"USD bn", Database!$AD$6:$AD$197, 0)), "")</f>
        <v>4.891207709445097</v>
      </c>
      <c r="F47" s="303" t="str">
        <f>IF(ISNUMBER(INDEX(Database!$L$6:$L$197, MATCH($B47&amp;"USD bn", Database!$AD$6:$AD$197, 0))), INDEX(Database!$L$6:$L$197, MATCH($B47&amp;"USD bn", Database!$AD$6:$AD$197, 0)), "")</f>
        <v/>
      </c>
      <c r="G47" s="303"/>
      <c r="H47" s="321">
        <f>IF(ISNUMBER(INDEX(Database!$P$6:$P$197, MATCH($B47&amp;"USD bn", Database!$AD$6:$AD$197, 0))), INDEX(Database!$P$6:$P$197, MATCH($B47&amp;"USD bn", Database!$AD$6:$AD$197, 0)), "")</f>
        <v>0.46256670638826908</v>
      </c>
      <c r="I47" s="303">
        <f>IF(ISNUMBER(INDEX(Database!$Q$6:$Q$197, MATCH($B47&amp;"USD bn", Database!$AD$6:$AD$197, 0))), INDEX(Database!$Q$6:$Q$197, MATCH($B47&amp;"USD bn", Database!$AD$6:$AD$197, 0)), "")</f>
        <v>0.46256670638826908</v>
      </c>
      <c r="J47" s="303"/>
      <c r="K47" s="303" t="str">
        <f>IF(ISNUMBER(INDEX(Database!$U$6:$U$197, MATCH($B47&amp;"USD bn", Database!$AD$6:$AD$197, 0))), INDEX(Database!$U$6:$U$197, MATCH($B47&amp;"USD bn", Database!$AD$6:$AD$197, 0)), "")</f>
        <v/>
      </c>
      <c r="L47" s="303" t="str">
        <f>IF(ISNUMBER(INDEX(Database!$W$6:$W$197, MATCH($B47&amp;"USD bn", Database!$AD$6:$AD$197, 0))), INDEX(Database!$W$6:$W$197, MATCH($B47&amp;"USD bn", Database!$AD$6:$AD$197, 0)), "")</f>
        <v/>
      </c>
      <c r="O47" s="320">
        <f>IF(ISNUMBER(INDEX(Database!$G$6:$G$197, MATCH($B47&amp;"% GDP", Database!$AD$6:$AD$197, 0))), INDEX(Database!$G$6:$G$197, MATCH($B47&amp;"% GDP", Database!$AD$6:$AD$197, 0)), "")</f>
        <v>1.5680273855370135</v>
      </c>
      <c r="P47" s="300">
        <f>IF(ISNUMBER(INDEX(Database!$H$6:$H$197, MATCH($B47&amp;"% GDP", Database!$AD$6:$AD$197, 0))), INDEX(Database!$H$6:$H$197, MATCH($B47&amp;"% GDP", Database!$AD$6:$AD$197, 0)), "")</f>
        <v>0.22149764655541296</v>
      </c>
      <c r="Q47" s="300">
        <f>IF(ISNUMBER(INDEX(Database!$J$6:$J$197, MATCH($B47&amp;"% GDP", Database!$AD$6:$AD$197, 0))), INDEX(Database!$J$6:$J$197, MATCH($B47&amp;"% GDP", Database!$AD$6:$AD$197, 0)), "")</f>
        <v>1.3465297389816004</v>
      </c>
      <c r="R47" s="300" t="str">
        <f>IF(ISNUMBER(INDEX(Database!$L$6:$L$197, MATCH($B47&amp;"% GDP", Database!$AD$6:$AD$197, 0))), INDEX(Database!$L$6:$L$197, MATCH($B47&amp;"% GDP", Database!$AD$6:$AD$197, 0)), "")</f>
        <v/>
      </c>
      <c r="S47" s="300"/>
      <c r="T47" s="320">
        <f>IF(ISNUMBER(INDEX(Database!$P$6:$P$197, MATCH($B47&amp;"% GDP", Database!$AD$6:$AD$197, 0))), INDEX(Database!$P$6:$P$197, MATCH($B47&amp;"% GDP", Database!$AD$6:$AD$197, 0)), "")</f>
        <v>0.12734274711168164</v>
      </c>
      <c r="U47" s="300">
        <f>IF(ISNUMBER(INDEX(Database!$Q$6:$Q$197, MATCH($B47&amp;"% GDP", Database!$AD$6:$AD$197, 0))), INDEX(Database!$Q$6:$Q$197, MATCH($B47&amp;"% GDP", Database!$AD$6:$AD$197, 0)), "")</f>
        <v>0.12734274711168164</v>
      </c>
      <c r="V47" s="300"/>
      <c r="W47" s="300" t="str">
        <f>IF(ISNUMBER(INDEX(Database!$U$6:$U$197, MATCH($B47&amp;"% GDP", Database!$AD$6:$AD$197, 0))), INDEX(Database!$U$6:$U$197, MATCH($B47&amp;"% GDP", Database!$AD$6:$AD$197, 0)), "")</f>
        <v/>
      </c>
      <c r="X47" s="300" t="str">
        <f>IF(ISNUMBER(INDEX(Database!$W$6:$W$197, MATCH($B47&amp;"% GDP", Database!$AD$6:$AD$197, 0))), INDEX(Database!$W$6:$W$197, MATCH($B47&amp;"% GDP", Database!$AD$6:$AD$197, 0)), "")</f>
        <v/>
      </c>
    </row>
    <row r="48" spans="2:24">
      <c r="B48" s="299" t="s">
        <v>549</v>
      </c>
      <c r="C48" s="321">
        <f>IF(ISNUMBER(INDEX(Database!$G$6:$G$197, MATCH($B48&amp;"USD bn", Database!$AD$6:$AD$197, 0))), INDEX(Database!$G$6:$G$197, MATCH($B48&amp;"USD bn", Database!$AD$6:$AD$197, 0)), "")</f>
        <v>1.1321361565263992</v>
      </c>
      <c r="D48" s="303">
        <f>IF(ISNUMBER(INDEX(Database!$H$6:$H$197, MATCH($B48&amp;"USD bn", Database!$AD$6:$AD$197, 0))), INDEX(Database!$H$6:$H$197, MATCH($B48&amp;"USD bn", Database!$AD$6:$AD$197, 0)), "")</f>
        <v>0.41490217099973153</v>
      </c>
      <c r="E48" s="303">
        <f>IF(ISNUMBER(INDEX(Database!$J$6:$J$197, MATCH($B48&amp;"USD bn", Database!$AD$6:$AD$197, 0))), INDEX(Database!$J$6:$J$197, MATCH($B48&amp;"USD bn", Database!$AD$6:$AD$197, 0)), "")</f>
        <v>0.71723398552666773</v>
      </c>
      <c r="F48" s="303" t="str">
        <f>IF(ISNUMBER(INDEX(Database!$L$6:$L$197, MATCH($B48&amp;"USD bn", Database!$AD$6:$AD$197, 0))), INDEX(Database!$L$6:$L$197, MATCH($B48&amp;"USD bn", Database!$AD$6:$AD$197, 0)), "")</f>
        <v/>
      </c>
      <c r="G48" s="303"/>
      <c r="H48" s="321">
        <f>IF(ISNUMBER(INDEX(Database!$P$6:$P$197, MATCH($B48&amp;"USD bn", Database!$AD$6:$AD$197, 0))), INDEX(Database!$P$6:$P$197, MATCH($B48&amp;"USD bn", Database!$AD$6:$AD$197, 0)), "")</f>
        <v>5.9361103903259175E-5</v>
      </c>
      <c r="I48" s="303">
        <f>IF(ISNUMBER(INDEX(Database!$Q$6:$Q$197, MATCH($B48&amp;"USD bn", Database!$AD$6:$AD$197, 0))), INDEX(Database!$Q$6:$Q$197, MATCH($B48&amp;"USD bn", Database!$AD$6:$AD$197, 0)), "")</f>
        <v>2.4881899839689477E-5</v>
      </c>
      <c r="J48" s="303"/>
      <c r="K48" s="303">
        <f>IF(ISNUMBER(INDEX(Database!$U$6:$U$197, MATCH($B48&amp;"USD bn", Database!$AD$6:$AD$197, 0))), INDEX(Database!$U$6:$U$197, MATCH($B48&amp;"USD bn", Database!$AD$6:$AD$197, 0)), "")</f>
        <v>3.4479204063569698E-5</v>
      </c>
      <c r="L48" s="303" t="str">
        <f>IF(ISNUMBER(INDEX(Database!$W$6:$W$197, MATCH($B48&amp;"USD bn", Database!$AD$6:$AD$197, 0))), INDEX(Database!$W$6:$W$197, MATCH($B48&amp;"USD bn", Database!$AD$6:$AD$197, 0)), "")</f>
        <v/>
      </c>
      <c r="O48" s="320">
        <f>IF(ISNUMBER(INDEX(Database!$G$6:$G$197, MATCH($B48&amp;"% GDP", Database!$AD$6:$AD$197, 0))), INDEX(Database!$G$6:$G$197, MATCH($B48&amp;"% GDP", Database!$AD$6:$AD$197, 0)), "")</f>
        <v>7.1244589204446775</v>
      </c>
      <c r="P48" s="300">
        <f>IF(ISNUMBER(INDEX(Database!$H$6:$H$197, MATCH($B48&amp;"% GDP", Database!$AD$6:$AD$197, 0))), INDEX(Database!$H$6:$H$197, MATCH($B48&amp;"% GDP", Database!$AD$6:$AD$197, 0)), "")</f>
        <v>2.6109522748220551</v>
      </c>
      <c r="Q48" s="300">
        <f>IF(ISNUMBER(INDEX(Database!$J$6:$J$197, MATCH($B48&amp;"% GDP", Database!$AD$6:$AD$197, 0))), INDEX(Database!$J$6:$J$197, MATCH($B48&amp;"% GDP", Database!$AD$6:$AD$197, 0)), "")</f>
        <v>4.5135066456226216</v>
      </c>
      <c r="R48" s="300" t="str">
        <f>IF(ISNUMBER(INDEX(Database!$L$6:$L$197, MATCH($B48&amp;"% GDP", Database!$AD$6:$AD$197, 0))), INDEX(Database!$L$6:$L$197, MATCH($B48&amp;"% GDP", Database!$AD$6:$AD$197, 0)), "")</f>
        <v/>
      </c>
      <c r="S48" s="300"/>
      <c r="T48" s="320">
        <f>IF(ISNUMBER(INDEX(Database!$P$6:$P$197, MATCH($B48&amp;"% GDP", Database!$AD$6:$AD$197, 0))), INDEX(Database!$P$6:$P$197, MATCH($B48&amp;"% GDP", Database!$AD$6:$AD$197, 0)), "")</f>
        <v>4.5185755271281601E-4</v>
      </c>
      <c r="U48" s="300">
        <f>IF(ISNUMBER(INDEX(Database!$Q$6:$Q$197, MATCH($B48&amp;"% GDP", Database!$AD$6:$AD$197, 0))), INDEX(Database!$Q$6:$Q$197, MATCH($B48&amp;"% GDP", Database!$AD$6:$AD$197, 0)), "")</f>
        <v>1.8940136940058156E-4</v>
      </c>
      <c r="V48" s="300"/>
      <c r="W48" s="300">
        <f>IF(ISNUMBER(INDEX(Database!$U$6:$U$197, MATCH($B48&amp;"% GDP", Database!$AD$6:$AD$197, 0))), INDEX(Database!$U$6:$U$197, MATCH($B48&amp;"% GDP", Database!$AD$6:$AD$197, 0)), "")</f>
        <v>2.6245618331223442E-4</v>
      </c>
      <c r="X48" s="300" t="str">
        <f>IF(ISNUMBER(INDEX(Database!$W$6:$W$197, MATCH($B48&amp;"% GDP", Database!$AD$6:$AD$197, 0))), INDEX(Database!$W$6:$W$197, MATCH($B48&amp;"% GDP", Database!$AD$6:$AD$197, 0)), "")</f>
        <v/>
      </c>
    </row>
    <row r="49" spans="2:24">
      <c r="B49" s="299" t="s">
        <v>35</v>
      </c>
      <c r="C49" s="321">
        <f>IF(ISNUMBER(INDEX(Database!$G$6:$G$197, MATCH($B49&amp;"USD bn", Database!$AD$6:$AD$197, 0))), INDEX(Database!$G$6:$G$197, MATCH($B49&amp;"USD bn", Database!$AD$6:$AD$197, 0)), "")</f>
        <v>9.4151074374828561</v>
      </c>
      <c r="D49" s="303">
        <f>IF(ISNUMBER(INDEX(Database!$H$6:$H$197, MATCH($B49&amp;"USD bn", Database!$AD$6:$AD$197, 0))), INDEX(Database!$H$6:$H$197, MATCH($B49&amp;"USD bn", Database!$AD$6:$AD$197, 0)), "")</f>
        <v>1.203525822126795</v>
      </c>
      <c r="E49" s="303">
        <f>IF(ISNUMBER(INDEX(Database!$J$6:$J$197, MATCH($B49&amp;"USD bn", Database!$AD$6:$AD$197, 0))), INDEX(Database!$J$6:$J$197, MATCH($B49&amp;"USD bn", Database!$AD$6:$AD$197, 0)), "")</f>
        <v>8.2115816153560601</v>
      </c>
      <c r="F49" s="303">
        <f>IF(ISNUMBER(INDEX(Database!$L$6:$L$197, MATCH($B49&amp;"USD bn", Database!$AD$6:$AD$197, 0))), INDEX(Database!$L$6:$L$197, MATCH($B49&amp;"USD bn", Database!$AD$6:$AD$197, 0)), "")</f>
        <v>0.48431622620796583</v>
      </c>
      <c r="G49" s="303"/>
      <c r="H49" s="321">
        <f>IF(ISNUMBER(INDEX(Database!$P$6:$P$197, MATCH($B49&amp;"USD bn", Database!$AD$6:$AD$197, 0))), INDEX(Database!$P$6:$P$197, MATCH($B49&amp;"USD bn", Database!$AD$6:$AD$197, 0)), "")</f>
        <v>4.8843291413073349</v>
      </c>
      <c r="I49" s="303">
        <f>IF(ISNUMBER(INDEX(Database!$Q$6:$Q$197, MATCH($B49&amp;"USD bn", Database!$AD$6:$AD$197, 0))), INDEX(Database!$Q$6:$Q$197, MATCH($B49&amp;"USD bn", Database!$AD$6:$AD$197, 0)), "")</f>
        <v>0</v>
      </c>
      <c r="J49" s="303"/>
      <c r="K49" s="303" t="str">
        <f>IF(ISNUMBER(INDEX(Database!$U$6:$U$197, MATCH($B49&amp;"USD bn", Database!$AD$6:$AD$197, 0))), INDEX(Database!$U$6:$U$197, MATCH($B49&amp;"USD bn", Database!$AD$6:$AD$197, 0)), "")</f>
        <v/>
      </c>
      <c r="L49" s="303">
        <f>IF(ISNUMBER(INDEX(Database!$W$6:$W$197, MATCH($B49&amp;"USD bn", Database!$AD$6:$AD$197, 0))), INDEX(Database!$W$6:$W$197, MATCH($B49&amp;"USD bn", Database!$AD$6:$AD$197, 0)), "")</f>
        <v>4.8843291413073349</v>
      </c>
      <c r="O49" s="320">
        <f>IF(ISNUMBER(INDEX(Database!$G$6:$G$197, MATCH($B49&amp;"% GDP", Database!$AD$6:$AD$197, 0))), INDEX(Database!$G$6:$G$197, MATCH($B49&amp;"% GDP", Database!$AD$6:$AD$197, 0)), "")</f>
        <v>5.4981978129390923</v>
      </c>
      <c r="P49" s="300">
        <f>IF(ISNUMBER(INDEX(Database!$H$6:$H$197, MATCH($B49&amp;"% GDP", Database!$AD$6:$AD$197, 0))), INDEX(Database!$H$6:$H$197, MATCH($B49&amp;"% GDP", Database!$AD$6:$AD$197, 0)), "")</f>
        <v>0.70283032742559903</v>
      </c>
      <c r="Q49" s="300">
        <f>IF(ISNUMBER(INDEX(Database!$J$6:$J$197, MATCH($B49&amp;"% GDP", Database!$AD$6:$AD$197, 0))), INDEX(Database!$J$6:$J$197, MATCH($B49&amp;"% GDP", Database!$AD$6:$AD$197, 0)), "")</f>
        <v>4.7953674855134931</v>
      </c>
      <c r="R49" s="300">
        <f>IF(ISNUMBER(INDEX(Database!$L$6:$L$197, MATCH($B49&amp;"% GDP", Database!$AD$6:$AD$197, 0))), INDEX(Database!$L$6:$L$197, MATCH($B49&amp;"% GDP", Database!$AD$6:$AD$197, 0)), "")</f>
        <v>0.28282910560386276</v>
      </c>
      <c r="S49" s="300"/>
      <c r="T49" s="320">
        <f>IF(ISNUMBER(INDEX(Database!$P$6:$P$197, MATCH($B49&amp;"% GDP", Database!$AD$6:$AD$197, 0))), INDEX(Database!$P$6:$P$197, MATCH($B49&amp;"% GDP", Database!$AD$6:$AD$197, 0)), "")</f>
        <v>2.8523315300149559</v>
      </c>
      <c r="U49" s="300">
        <f>IF(ISNUMBER(INDEX(Database!$Q$6:$Q$197, MATCH($B49&amp;"% GDP", Database!$AD$6:$AD$197, 0))), INDEX(Database!$Q$6:$Q$197, MATCH($B49&amp;"% GDP", Database!$AD$6:$AD$197, 0)), "")</f>
        <v>0</v>
      </c>
      <c r="V49" s="300"/>
      <c r="W49" s="300" t="str">
        <f>IF(ISNUMBER(INDEX(Database!$U$6:$U$197, MATCH($B49&amp;"% GDP", Database!$AD$6:$AD$197, 0))), INDEX(Database!$U$6:$U$197, MATCH($B49&amp;"% GDP", Database!$AD$6:$AD$197, 0)), "")</f>
        <v/>
      </c>
      <c r="X49" s="300">
        <f>IF(ISNUMBER(INDEX(Database!$W$6:$W$197, MATCH($B49&amp;"% GDP", Database!$AD$6:$AD$197, 0))), INDEX(Database!$W$6:$W$197, MATCH($B49&amp;"% GDP", Database!$AD$6:$AD$197, 0)), "")</f>
        <v>2.8523315300149559</v>
      </c>
    </row>
    <row r="50" spans="2:24">
      <c r="B50" s="299" t="s">
        <v>970</v>
      </c>
      <c r="C50" s="321" t="str">
        <f>IF(ISNUMBER(INDEX(Database!$G$6:$G$197, MATCH($B50&amp;"USD bn", Database!$AD$6:$AD$197, 0))), INDEX(Database!$G$6:$G$197, MATCH($B50&amp;"USD bn", Database!$AD$6:$AD$197, 0)), "")</f>
        <v/>
      </c>
      <c r="D50" s="303" t="str">
        <f>IF(ISNUMBER(INDEX(Database!$H$6:$H$197, MATCH($B50&amp;"USD bn", Database!$AD$6:$AD$197, 0))), INDEX(Database!$H$6:$H$197, MATCH($B50&amp;"USD bn", Database!$AD$6:$AD$197, 0)), "")</f>
        <v/>
      </c>
      <c r="E50" s="303" t="str">
        <f>IF(ISNUMBER(INDEX(Database!$J$6:$J$197, MATCH($B50&amp;"USD bn", Database!$AD$6:$AD$197, 0))), INDEX(Database!$J$6:$J$197, MATCH($B50&amp;"USD bn", Database!$AD$6:$AD$197, 0)), "")</f>
        <v/>
      </c>
      <c r="F50" s="303" t="str">
        <f>IF(ISNUMBER(INDEX(Database!$L$6:$L$197, MATCH($B50&amp;"USD bn", Database!$AD$6:$AD$197, 0))), INDEX(Database!$L$6:$L$197, MATCH($B50&amp;"USD bn", Database!$AD$6:$AD$197, 0)), "")</f>
        <v/>
      </c>
      <c r="G50" s="303"/>
      <c r="H50" s="321" t="str">
        <f>IF(ISNUMBER(INDEX(Database!$P$6:$P$197, MATCH($B50&amp;"USD bn", Database!$AD$6:$AD$197, 0))), INDEX(Database!$P$6:$P$197, MATCH($B50&amp;"USD bn", Database!$AD$6:$AD$197, 0)), "")</f>
        <v/>
      </c>
      <c r="I50" s="303" t="str">
        <f>IF(ISNUMBER(INDEX(Database!$Q$6:$Q$197, MATCH($B50&amp;"USD bn", Database!$AD$6:$AD$197, 0))), INDEX(Database!$Q$6:$Q$197, MATCH($B50&amp;"USD bn", Database!$AD$6:$AD$197, 0)), "")</f>
        <v/>
      </c>
      <c r="J50" s="303"/>
      <c r="K50" s="303" t="str">
        <f>IF(ISNUMBER(INDEX(Database!$U$6:$U$197, MATCH($B50&amp;"USD bn", Database!$AD$6:$AD$197, 0))), INDEX(Database!$U$6:$U$197, MATCH($B50&amp;"USD bn", Database!$AD$6:$AD$197, 0)), "")</f>
        <v/>
      </c>
      <c r="L50" s="303" t="str">
        <f>IF(ISNUMBER(INDEX(Database!$W$6:$W$197, MATCH($B50&amp;"USD bn", Database!$AD$6:$AD$197, 0))), INDEX(Database!$W$6:$W$197, MATCH($B50&amp;"USD bn", Database!$AD$6:$AD$197, 0)), "")</f>
        <v/>
      </c>
      <c r="O50" s="320" t="str">
        <f>IF(ISNUMBER(INDEX(Database!$G$6:$G$197, MATCH($B50&amp;"% GDP", Database!$AD$6:$AD$197, 0))), INDEX(Database!$G$6:$G$197, MATCH($B50&amp;"% GDP", Database!$AD$6:$AD$197, 0)), "")</f>
        <v/>
      </c>
      <c r="P50" s="300" t="str">
        <f>IF(ISNUMBER(INDEX(Database!$H$6:$H$197, MATCH($B50&amp;"% GDP", Database!$AD$6:$AD$197, 0))), INDEX(Database!$H$6:$H$197, MATCH($B50&amp;"% GDP", Database!$AD$6:$AD$197, 0)), "")</f>
        <v/>
      </c>
      <c r="Q50" s="300" t="str">
        <f>IF(ISNUMBER(INDEX(Database!$J$6:$J$197, MATCH($B50&amp;"% GDP", Database!$AD$6:$AD$197, 0))), INDEX(Database!$J$6:$J$197, MATCH($B50&amp;"% GDP", Database!$AD$6:$AD$197, 0)), "")</f>
        <v/>
      </c>
      <c r="R50" s="300" t="str">
        <f>IF(ISNUMBER(INDEX(Database!$L$6:$L$197, MATCH($B50&amp;"% GDP", Database!$AD$6:$AD$197, 0))), INDEX(Database!$L$6:$L$197, MATCH($B50&amp;"% GDP", Database!$AD$6:$AD$197, 0)), "")</f>
        <v/>
      </c>
      <c r="S50" s="300"/>
      <c r="T50" s="320" t="str">
        <f>IF(ISNUMBER(INDEX(Database!$P$6:$P$197, MATCH($B50&amp;"% GDP", Database!$AD$6:$AD$197, 0))), INDEX(Database!$P$6:$P$197, MATCH($B50&amp;"% GDP", Database!$AD$6:$AD$197, 0)), "")</f>
        <v/>
      </c>
      <c r="U50" s="300" t="str">
        <f>IF(ISNUMBER(INDEX(Database!$Q$6:$Q$197, MATCH($B50&amp;"% GDP", Database!$AD$6:$AD$197, 0))), INDEX(Database!$Q$6:$Q$197, MATCH($B50&amp;"% GDP", Database!$AD$6:$AD$197, 0)), "")</f>
        <v/>
      </c>
      <c r="V50" s="300"/>
      <c r="W50" s="300" t="str">
        <f>IF(ISNUMBER(INDEX(Database!$U$6:$U$197, MATCH($B50&amp;"% GDP", Database!$AD$6:$AD$197, 0))), INDEX(Database!$U$6:$U$197, MATCH($B50&amp;"% GDP", Database!$AD$6:$AD$197, 0)), "")</f>
        <v/>
      </c>
      <c r="X50" s="300" t="str">
        <f>IF(ISNUMBER(INDEX(Database!$W$6:$W$197, MATCH($B50&amp;"% GDP", Database!$AD$6:$AD$197, 0))), INDEX(Database!$W$6:$W$197, MATCH($B50&amp;"% GDP", Database!$AD$6:$AD$197, 0)), "")</f>
        <v/>
      </c>
    </row>
    <row r="51" spans="2:24">
      <c r="B51" s="299" t="s">
        <v>92</v>
      </c>
      <c r="C51" s="321">
        <f>IF(ISNUMBER(INDEX(Database!$G$6:$G$197, MATCH($B51&amp;"USD bn", Database!$AD$6:$AD$197, 0))), INDEX(Database!$G$6:$G$197, MATCH($B51&amp;"USD bn", Database!$AD$6:$AD$197, 0)), "")</f>
        <v>0.99880719208951563</v>
      </c>
      <c r="D51" s="303">
        <f>IF(ISNUMBER(INDEX(Database!$H$6:$H$197, MATCH($B51&amp;"USD bn", Database!$AD$6:$AD$197, 0))), INDEX(Database!$H$6:$H$197, MATCH($B51&amp;"USD bn", Database!$AD$6:$AD$197, 0)), "")</f>
        <v>3.3039423656905105E-2</v>
      </c>
      <c r="E51" s="303">
        <f>IF(ISNUMBER(INDEX(Database!$J$6:$J$197, MATCH($B51&amp;"USD bn", Database!$AD$6:$AD$197, 0))), INDEX(Database!$J$6:$J$197, MATCH($B51&amp;"USD bn", Database!$AD$6:$AD$197, 0)), "")</f>
        <v>0.96576776843261058</v>
      </c>
      <c r="F51" s="303" t="str">
        <f>IF(ISNUMBER(INDEX(Database!$L$6:$L$197, MATCH($B51&amp;"USD bn", Database!$AD$6:$AD$197, 0))), INDEX(Database!$L$6:$L$197, MATCH($B51&amp;"USD bn", Database!$AD$6:$AD$197, 0)), "")</f>
        <v/>
      </c>
      <c r="G51" s="303"/>
      <c r="H51" s="321">
        <f>IF(ISNUMBER(INDEX(Database!$P$6:$P$197, MATCH($B51&amp;"USD bn", Database!$AD$6:$AD$197, 0))), INDEX(Database!$P$6:$P$197, MATCH($B51&amp;"USD bn", Database!$AD$6:$AD$197, 0)), "")</f>
        <v>4.0460586509071472</v>
      </c>
      <c r="I51" s="303">
        <f>IF(ISNUMBER(INDEX(Database!$Q$6:$Q$197, MATCH($B51&amp;"USD bn", Database!$AD$6:$AD$197, 0))), INDEX(Database!$Q$6:$Q$197, MATCH($B51&amp;"USD bn", Database!$AD$6:$AD$197, 0)), "")</f>
        <v>0.36089216609850183</v>
      </c>
      <c r="J51" s="303"/>
      <c r="K51" s="303" t="str">
        <f>IF(ISNUMBER(INDEX(Database!$U$6:$U$197, MATCH($B51&amp;"USD bn", Database!$AD$6:$AD$197, 0))), INDEX(Database!$U$6:$U$197, MATCH($B51&amp;"USD bn", Database!$AD$6:$AD$197, 0)), "")</f>
        <v/>
      </c>
      <c r="L51" s="303">
        <f>IF(ISNUMBER(INDEX(Database!$W$6:$W$197, MATCH($B51&amp;"USD bn", Database!$AD$6:$AD$197, 0))), INDEX(Database!$W$6:$W$197, MATCH($B51&amp;"USD bn", Database!$AD$6:$AD$197, 0)), "")</f>
        <v>3.6851664848086458</v>
      </c>
      <c r="O51" s="320">
        <f>IF(ISNUMBER(INDEX(Database!$G$6:$G$197, MATCH($B51&amp;"% GDP", Database!$AD$6:$AD$197, 0))), INDEX(Database!$G$6:$G$197, MATCH($B51&amp;"% GDP", Database!$AD$6:$AD$197, 0)), "")</f>
        <v>9.1999999999999993</v>
      </c>
      <c r="P51" s="300">
        <f>IF(ISNUMBER(INDEX(Database!$H$6:$H$197, MATCH($B51&amp;"% GDP", Database!$AD$6:$AD$197, 0))), INDEX(Database!$H$6:$H$197, MATCH($B51&amp;"% GDP", Database!$AD$6:$AD$197, 0)), "")</f>
        <v>0.30432569974554707</v>
      </c>
      <c r="Q51" s="300">
        <f>IF(ISNUMBER(INDEX(Database!$J$6:$J$197, MATCH($B51&amp;"% GDP", Database!$AD$6:$AD$197, 0))), INDEX(Database!$J$6:$J$197, MATCH($B51&amp;"% GDP", Database!$AD$6:$AD$197, 0)), "")</f>
        <v>8.895674300254452</v>
      </c>
      <c r="R51" s="300" t="str">
        <f>IF(ISNUMBER(INDEX(Database!$L$6:$L$197, MATCH($B51&amp;"% GDP", Database!$AD$6:$AD$197, 0))), INDEX(Database!$L$6:$L$197, MATCH($B51&amp;"% GDP", Database!$AD$6:$AD$197, 0)), "")</f>
        <v/>
      </c>
      <c r="S51" s="300"/>
      <c r="T51" s="320">
        <f>IF(ISNUMBER(INDEX(Database!$P$6:$P$197, MATCH($B51&amp;"% GDP", Database!$AD$6:$AD$197, 0))), INDEX(Database!$P$6:$P$197, MATCH($B51&amp;"% GDP", Database!$AD$6:$AD$197, 0)), "")</f>
        <v>37.268193384223913</v>
      </c>
      <c r="U51" s="300">
        <f>IF(ISNUMBER(INDEX(Database!$Q$6:$Q$197, MATCH($B51&amp;"% GDP", Database!$AD$6:$AD$197, 0))), INDEX(Database!$Q$6:$Q$197, MATCH($B51&amp;"% GDP", Database!$AD$6:$AD$197, 0)), "")</f>
        <v>3.3241730279898221</v>
      </c>
      <c r="V51" s="300"/>
      <c r="W51" s="300" t="str">
        <f>IF(ISNUMBER(INDEX(Database!$U$6:$U$197, MATCH($B51&amp;"% GDP", Database!$AD$6:$AD$197, 0))), INDEX(Database!$U$6:$U$197, MATCH($B51&amp;"% GDP", Database!$AD$6:$AD$197, 0)), "")</f>
        <v/>
      </c>
      <c r="X51" s="300">
        <f>IF(ISNUMBER(INDEX(Database!$W$6:$W$197, MATCH($B51&amp;"% GDP", Database!$AD$6:$AD$197, 0))), INDEX(Database!$W$6:$W$197, MATCH($B51&amp;"% GDP", Database!$AD$6:$AD$197, 0)), "")</f>
        <v>33.944020356234091</v>
      </c>
    </row>
    <row r="52" spans="2:24">
      <c r="B52" s="299" t="s">
        <v>1064</v>
      </c>
      <c r="C52" s="321" t="str">
        <f>IF(ISNUMBER(INDEX(Database!$G$6:$G$197, MATCH($B52&amp;"USD bn", Database!$AD$6:$AD$197, 0))), INDEX(Database!$G$6:$G$197, MATCH($B52&amp;"USD bn", Database!$AD$6:$AD$197, 0)), "")</f>
        <v/>
      </c>
      <c r="D52" s="303" t="str">
        <f>IF(ISNUMBER(INDEX(Database!$H$6:$H$197, MATCH($B52&amp;"USD bn", Database!$AD$6:$AD$197, 0))), INDEX(Database!$H$6:$H$197, MATCH($B52&amp;"USD bn", Database!$AD$6:$AD$197, 0)), "")</f>
        <v/>
      </c>
      <c r="E52" s="303" t="str">
        <f>IF(ISNUMBER(INDEX(Database!$J$6:$J$197, MATCH($B52&amp;"USD bn", Database!$AD$6:$AD$197, 0))), INDEX(Database!$J$6:$J$197, MATCH($B52&amp;"USD bn", Database!$AD$6:$AD$197, 0)), "")</f>
        <v/>
      </c>
      <c r="F52" s="303" t="str">
        <f>IF(ISNUMBER(INDEX(Database!$L$6:$L$197, MATCH($B52&amp;"USD bn", Database!$AD$6:$AD$197, 0))), INDEX(Database!$L$6:$L$197, MATCH($B52&amp;"USD bn", Database!$AD$6:$AD$197, 0)), "")</f>
        <v/>
      </c>
      <c r="G52" s="303"/>
      <c r="H52" s="321" t="str">
        <f>IF(ISNUMBER(INDEX(Database!$P$6:$P$197, MATCH($B52&amp;"USD bn", Database!$AD$6:$AD$197, 0))), INDEX(Database!$P$6:$P$197, MATCH($B52&amp;"USD bn", Database!$AD$6:$AD$197, 0)), "")</f>
        <v/>
      </c>
      <c r="I52" s="303" t="str">
        <f>IF(ISNUMBER(INDEX(Database!$Q$6:$Q$197, MATCH($B52&amp;"USD bn", Database!$AD$6:$AD$197, 0))), INDEX(Database!$Q$6:$Q$197, MATCH($B52&amp;"USD bn", Database!$AD$6:$AD$197, 0)), "")</f>
        <v/>
      </c>
      <c r="J52" s="303"/>
      <c r="K52" s="303" t="str">
        <f>IF(ISNUMBER(INDEX(Database!$U$6:$U$197, MATCH($B52&amp;"USD bn", Database!$AD$6:$AD$197, 0))), INDEX(Database!$U$6:$U$197, MATCH($B52&amp;"USD bn", Database!$AD$6:$AD$197, 0)), "")</f>
        <v/>
      </c>
      <c r="L52" s="303" t="str">
        <f>IF(ISNUMBER(INDEX(Database!$W$6:$W$197, MATCH($B52&amp;"USD bn", Database!$AD$6:$AD$197, 0))), INDEX(Database!$W$6:$W$197, MATCH($B52&amp;"USD bn", Database!$AD$6:$AD$197, 0)), "")</f>
        <v/>
      </c>
      <c r="O52" s="320" t="str">
        <f>IF(ISNUMBER(INDEX(Database!$G$6:$G$197, MATCH($B52&amp;"% GDP", Database!$AD$6:$AD$197, 0))), INDEX(Database!$G$6:$G$197, MATCH($B52&amp;"% GDP", Database!$AD$6:$AD$197, 0)), "")</f>
        <v/>
      </c>
      <c r="P52" s="300" t="str">
        <f>IF(ISNUMBER(INDEX(Database!$H$6:$H$197, MATCH($B52&amp;"% GDP", Database!$AD$6:$AD$197, 0))), INDEX(Database!$H$6:$H$197, MATCH($B52&amp;"% GDP", Database!$AD$6:$AD$197, 0)), "")</f>
        <v/>
      </c>
      <c r="Q52" s="300" t="str">
        <f>IF(ISNUMBER(INDEX(Database!$J$6:$J$197, MATCH($B52&amp;"% GDP", Database!$AD$6:$AD$197, 0))), INDEX(Database!$J$6:$J$197, MATCH($B52&amp;"% GDP", Database!$AD$6:$AD$197, 0)), "")</f>
        <v/>
      </c>
      <c r="R52" s="300" t="str">
        <f>IF(ISNUMBER(INDEX(Database!$L$6:$L$197, MATCH($B52&amp;"% GDP", Database!$AD$6:$AD$197, 0))), INDEX(Database!$L$6:$L$197, MATCH($B52&amp;"% GDP", Database!$AD$6:$AD$197, 0)), "")</f>
        <v/>
      </c>
      <c r="S52" s="300"/>
      <c r="T52" s="320" t="str">
        <f>IF(ISNUMBER(INDEX(Database!$P$6:$P$197, MATCH($B52&amp;"% GDP", Database!$AD$6:$AD$197, 0))), INDEX(Database!$P$6:$P$197, MATCH($B52&amp;"% GDP", Database!$AD$6:$AD$197, 0)), "")</f>
        <v/>
      </c>
      <c r="U52" s="300" t="str">
        <f>IF(ISNUMBER(INDEX(Database!$Q$6:$Q$197, MATCH($B52&amp;"% GDP", Database!$AD$6:$AD$197, 0))), INDEX(Database!$Q$6:$Q$197, MATCH($B52&amp;"% GDP", Database!$AD$6:$AD$197, 0)), "")</f>
        <v/>
      </c>
      <c r="V52" s="300"/>
      <c r="W52" s="300" t="str">
        <f>IF(ISNUMBER(INDEX(Database!$U$6:$U$197, MATCH($B52&amp;"% GDP", Database!$AD$6:$AD$197, 0))), INDEX(Database!$U$6:$U$197, MATCH($B52&amp;"% GDP", Database!$AD$6:$AD$197, 0)), "")</f>
        <v/>
      </c>
      <c r="X52" s="300" t="str">
        <f>IF(ISNUMBER(INDEX(Database!$W$6:$W$197, MATCH($B52&amp;"% GDP", Database!$AD$6:$AD$197, 0))), INDEX(Database!$W$6:$W$197, MATCH($B52&amp;"% GDP", Database!$AD$6:$AD$197, 0)), "")</f>
        <v/>
      </c>
    </row>
    <row r="53" spans="2:24">
      <c r="B53" s="299" t="s">
        <v>963</v>
      </c>
      <c r="C53" s="321">
        <f>IF(ISNUMBER(INDEX(Database!$G$6:$G$197, MATCH($B53&amp;"USD bn", Database!$AD$6:$AD$197, 0))), INDEX(Database!$G$6:$G$197, MATCH($B53&amp;"USD bn", Database!$AD$6:$AD$197, 0)), "")</f>
        <v>0.6143669224556243</v>
      </c>
      <c r="D53" s="303">
        <f>IF(ISNUMBER(INDEX(Database!$H$6:$H$197, MATCH($B53&amp;"USD bn", Database!$AD$6:$AD$197, 0))), INDEX(Database!$H$6:$H$197, MATCH($B53&amp;"USD bn", Database!$AD$6:$AD$197, 0)), "")</f>
        <v>7.7721116696193429E-2</v>
      </c>
      <c r="E53" s="303">
        <f>IF(ISNUMBER(INDEX(Database!$J$6:$J$197, MATCH($B53&amp;"USD bn", Database!$AD$6:$AD$197, 0))), INDEX(Database!$J$6:$J$197, MATCH($B53&amp;"USD bn", Database!$AD$6:$AD$197, 0)), "")</f>
        <v>0.53664580575943077</v>
      </c>
      <c r="F53" s="303" t="str">
        <f>IF(ISNUMBER(INDEX(Database!$L$6:$L$197, MATCH($B53&amp;"USD bn", Database!$AD$6:$AD$197, 0))), INDEX(Database!$L$6:$L$197, MATCH($B53&amp;"USD bn", Database!$AD$6:$AD$197, 0)), "")</f>
        <v/>
      </c>
      <c r="G53" s="303"/>
      <c r="H53" s="321">
        <f>IF(ISNUMBER(INDEX(Database!$P$6:$P$197, MATCH($B53&amp;"USD bn", Database!$AD$6:$AD$197, 0))), INDEX(Database!$P$6:$P$197, MATCH($B53&amp;"USD bn", Database!$AD$6:$AD$197, 0)), "")</f>
        <v>0.37047065625185532</v>
      </c>
      <c r="I53" s="303" t="str">
        <f>IF(ISNUMBER(INDEX(Database!$Q$6:$Q$197, MATCH($B53&amp;"USD bn", Database!$AD$6:$AD$197, 0))), INDEX(Database!$Q$6:$Q$197, MATCH($B53&amp;"USD bn", Database!$AD$6:$AD$197, 0)), "")</f>
        <v/>
      </c>
      <c r="J53" s="303"/>
      <c r="K53" s="303">
        <f>IF(ISNUMBER(INDEX(Database!$U$6:$U$197, MATCH($B53&amp;"USD bn", Database!$AD$6:$AD$197, 0))), INDEX(Database!$U$6:$U$197, MATCH($B53&amp;"USD bn", Database!$AD$6:$AD$197, 0)), "")</f>
        <v>0.37047065625185532</v>
      </c>
      <c r="L53" s="303" t="str">
        <f>IF(ISNUMBER(INDEX(Database!$W$6:$W$197, MATCH($B53&amp;"USD bn", Database!$AD$6:$AD$197, 0))), INDEX(Database!$W$6:$W$197, MATCH($B53&amp;"USD bn", Database!$AD$6:$AD$197, 0)), "")</f>
        <v/>
      </c>
      <c r="O53" s="320">
        <f>IF(ISNUMBER(INDEX(Database!$G$6:$G$197, MATCH($B53&amp;"% GDP", Database!$AD$6:$AD$197, 0))), INDEX(Database!$G$6:$G$197, MATCH($B53&amp;"% GDP", Database!$AD$6:$AD$197, 0)), "")</f>
        <v>4.9999322298342346</v>
      </c>
      <c r="P53" s="300">
        <f>IF(ISNUMBER(INDEX(Database!$H$6:$H$197, MATCH($B53&amp;"% GDP", Database!$AD$6:$AD$197, 0))), INDEX(Database!$H$6:$H$197, MATCH($B53&amp;"% GDP", Database!$AD$6:$AD$197, 0)), "")</f>
        <v>0.63252154714770437</v>
      </c>
      <c r="Q53" s="300">
        <f>IF(ISNUMBER(INDEX(Database!$J$6:$J$197, MATCH($B53&amp;"% GDP", Database!$AD$6:$AD$197, 0))), INDEX(Database!$J$6:$J$197, MATCH($B53&amp;"% GDP", Database!$AD$6:$AD$197, 0)), "")</f>
        <v>4.36741068268653</v>
      </c>
      <c r="R53" s="300" t="str">
        <f>IF(ISNUMBER(INDEX(Database!$L$6:$L$197, MATCH($B53&amp;"% GDP", Database!$AD$6:$AD$197, 0))), INDEX(Database!$L$6:$L$197, MATCH($B53&amp;"% GDP", Database!$AD$6:$AD$197, 0)), "")</f>
        <v/>
      </c>
      <c r="S53" s="300"/>
      <c r="T53" s="320">
        <f>IF(ISNUMBER(INDEX(Database!$P$6:$P$197, MATCH($B53&amp;"% GDP", Database!$AD$6:$AD$197, 0))), INDEX(Database!$P$6:$P$197, MATCH($B53&amp;"% GDP", Database!$AD$6:$AD$197, 0)), "")</f>
        <v>3.0150193747373906</v>
      </c>
      <c r="U53" s="300" t="str">
        <f>IF(ISNUMBER(INDEX(Database!$Q$6:$Q$197, MATCH($B53&amp;"% GDP", Database!$AD$6:$AD$197, 0))), INDEX(Database!$Q$6:$Q$197, MATCH($B53&amp;"% GDP", Database!$AD$6:$AD$197, 0)), "")</f>
        <v/>
      </c>
      <c r="V53" s="300"/>
      <c r="W53" s="300">
        <f>IF(ISNUMBER(INDEX(Database!$U$6:$U$197, MATCH($B53&amp;"% GDP", Database!$AD$6:$AD$197, 0))), INDEX(Database!$U$6:$U$197, MATCH($B53&amp;"% GDP", Database!$AD$6:$AD$197, 0)), "")</f>
        <v>3.0150193747373906</v>
      </c>
      <c r="X53" s="300" t="str">
        <f>IF(ISNUMBER(INDEX(Database!$W$6:$W$197, MATCH($B53&amp;"% GDP", Database!$AD$6:$AD$197, 0))), INDEX(Database!$W$6:$W$197, MATCH($B53&amp;"% GDP", Database!$AD$6:$AD$197, 0)), "")</f>
        <v/>
      </c>
    </row>
    <row r="54" spans="2:24">
      <c r="B54" s="299" t="s">
        <v>554</v>
      </c>
      <c r="C54" s="321">
        <f>IF(ISNUMBER(INDEX(Database!$G$6:$G$197, MATCH($B54&amp;"USD bn", Database!$AD$6:$AD$197, 0))), INDEX(Database!$G$6:$G$197, MATCH($B54&amp;"USD bn", Database!$AD$6:$AD$197, 0)), "")</f>
        <v>5.2148375564455147</v>
      </c>
      <c r="D54" s="303">
        <f>IF(ISNUMBER(INDEX(Database!$H$6:$H$197, MATCH($B54&amp;"USD bn", Database!$AD$6:$AD$197, 0))), INDEX(Database!$H$6:$H$197, MATCH($B54&amp;"USD bn", Database!$AD$6:$AD$197, 0)), "")</f>
        <v>1.1210641123759681</v>
      </c>
      <c r="E54" s="303">
        <f>IF(ISNUMBER(INDEX(Database!$J$6:$J$197, MATCH($B54&amp;"USD bn", Database!$AD$6:$AD$197, 0))), INDEX(Database!$J$6:$J$197, MATCH($B54&amp;"USD bn", Database!$AD$6:$AD$197, 0)), "")</f>
        <v>4.0937734440695461</v>
      </c>
      <c r="F54" s="303">
        <f>IF(ISNUMBER(INDEX(Database!$L$6:$L$197, MATCH($B54&amp;"USD bn", Database!$AD$6:$AD$197, 0))), INDEX(Database!$L$6:$L$197, MATCH($B54&amp;"USD bn", Database!$AD$6:$AD$197, 0)), "")</f>
        <v>3.0230942356205883</v>
      </c>
      <c r="G54" s="303"/>
      <c r="H54" s="321" t="str">
        <f>IF(ISNUMBER(INDEX(Database!$P$6:$P$197, MATCH($B54&amp;"USD bn", Database!$AD$6:$AD$197, 0))), INDEX(Database!$P$6:$P$197, MATCH($B54&amp;"USD bn", Database!$AD$6:$AD$197, 0)), "")</f>
        <v/>
      </c>
      <c r="I54" s="303" t="str">
        <f>IF(ISNUMBER(INDEX(Database!$Q$6:$Q$197, MATCH($B54&amp;"USD bn", Database!$AD$6:$AD$197, 0))), INDEX(Database!$Q$6:$Q$197, MATCH($B54&amp;"USD bn", Database!$AD$6:$AD$197, 0)), "")</f>
        <v/>
      </c>
      <c r="J54" s="303"/>
      <c r="K54" s="303" t="str">
        <f>IF(ISNUMBER(INDEX(Database!$U$6:$U$197, MATCH($B54&amp;"USD bn", Database!$AD$6:$AD$197, 0))), INDEX(Database!$U$6:$U$197, MATCH($B54&amp;"USD bn", Database!$AD$6:$AD$197, 0)), "")</f>
        <v/>
      </c>
      <c r="L54" s="303" t="str">
        <f>IF(ISNUMBER(INDEX(Database!$W$6:$W$197, MATCH($B54&amp;"USD bn", Database!$AD$6:$AD$197, 0))), INDEX(Database!$W$6:$W$197, MATCH($B54&amp;"USD bn", Database!$AD$6:$AD$197, 0)), "")</f>
        <v/>
      </c>
      <c r="O54" s="320">
        <f>IF(ISNUMBER(INDEX(Database!$G$6:$G$197, MATCH($B54&amp;"% GDP", Database!$AD$6:$AD$197, 0))), INDEX(Database!$G$6:$G$197, MATCH($B54&amp;"% GDP", Database!$AD$6:$AD$197, 0)), "")</f>
        <v>1.9924764282578782</v>
      </c>
      <c r="P54" s="300">
        <f>IF(ISNUMBER(INDEX(Database!$H$6:$H$197, MATCH($B54&amp;"% GDP", Database!$AD$6:$AD$197, 0))), INDEX(Database!$H$6:$H$197, MATCH($B54&amp;"% GDP", Database!$AD$6:$AD$197, 0)), "")</f>
        <v>0.42833430462548588</v>
      </c>
      <c r="Q54" s="300">
        <f>IF(ISNUMBER(INDEX(Database!$J$6:$J$197, MATCH($B54&amp;"% GDP", Database!$AD$6:$AD$197, 0))), INDEX(Database!$J$6:$J$197, MATCH($B54&amp;"% GDP", Database!$AD$6:$AD$197, 0)), "")</f>
        <v>1.5641421236323922</v>
      </c>
      <c r="R54" s="300">
        <f>IF(ISNUMBER(INDEX(Database!$L$6:$L$197, MATCH($B54&amp;"% GDP", Database!$AD$6:$AD$197, 0))), INDEX(Database!$L$6:$L$197, MATCH($B54&amp;"% GDP", Database!$AD$6:$AD$197, 0)), "")</f>
        <v>1.1550587989900742</v>
      </c>
      <c r="S54" s="300"/>
      <c r="T54" s="320" t="str">
        <f>IF(ISNUMBER(INDEX(Database!$P$6:$P$197, MATCH($B54&amp;"% GDP", Database!$AD$6:$AD$197, 0))), INDEX(Database!$P$6:$P$197, MATCH($B54&amp;"% GDP", Database!$AD$6:$AD$197, 0)), "")</f>
        <v/>
      </c>
      <c r="U54" s="300" t="str">
        <f>IF(ISNUMBER(INDEX(Database!$Q$6:$Q$197, MATCH($B54&amp;"% GDP", Database!$AD$6:$AD$197, 0))), INDEX(Database!$Q$6:$Q$197, MATCH($B54&amp;"% GDP", Database!$AD$6:$AD$197, 0)), "")</f>
        <v/>
      </c>
      <c r="V54" s="300"/>
      <c r="W54" s="300" t="str">
        <f>IF(ISNUMBER(INDEX(Database!$U$6:$U$197, MATCH($B54&amp;"% GDP", Database!$AD$6:$AD$197, 0))), INDEX(Database!$U$6:$U$197, MATCH($B54&amp;"% GDP", Database!$AD$6:$AD$197, 0)), "")</f>
        <v/>
      </c>
      <c r="X54" s="300" t="str">
        <f>IF(ISNUMBER(INDEX(Database!$W$6:$W$197, MATCH($B54&amp;"% GDP", Database!$AD$6:$AD$197, 0))), INDEX(Database!$W$6:$W$197, MATCH($B54&amp;"% GDP", Database!$AD$6:$AD$197, 0)), "")</f>
        <v/>
      </c>
    </row>
    <row r="55" spans="2:24">
      <c r="B55" s="299" t="s">
        <v>555</v>
      </c>
      <c r="C55" s="321">
        <f>IF(ISNUMBER(INDEX(Database!$G$6:$G$197, MATCH($B55&amp;"USD bn", Database!$AD$6:$AD$197, 0))), INDEX(Database!$G$6:$G$197, MATCH($B55&amp;"USD bn", Database!$AD$6:$AD$197, 0)), "")</f>
        <v>19.711394276042082</v>
      </c>
      <c r="D55" s="303">
        <f>IF(ISNUMBER(INDEX(Database!$H$6:$H$197, MATCH($B55&amp;"USD bn", Database!$AD$6:$AD$197, 0))), INDEX(Database!$H$6:$H$197, MATCH($B55&amp;"USD bn", Database!$AD$6:$AD$197, 0)), "")</f>
        <v>3.4452457296794692</v>
      </c>
      <c r="E55" s="303">
        <f>IF(ISNUMBER(INDEX(Database!$J$6:$J$197, MATCH($B55&amp;"USD bn", Database!$AD$6:$AD$197, 0))), INDEX(Database!$J$6:$J$197, MATCH($B55&amp;"USD bn", Database!$AD$6:$AD$197, 0)), "")</f>
        <v>16.266148546362611</v>
      </c>
      <c r="F55" s="303">
        <f>IF(ISNUMBER(INDEX(Database!$L$6:$L$197, MATCH($B55&amp;"USD bn", Database!$AD$6:$AD$197, 0))), INDEX(Database!$L$6:$L$197, MATCH($B55&amp;"USD bn", Database!$AD$6:$AD$197, 0)), "")</f>
        <v>3.4458178870704317</v>
      </c>
      <c r="G55" s="303"/>
      <c r="H55" s="321">
        <f>IF(ISNUMBER(INDEX(Database!$P$6:$P$197, MATCH($B55&amp;"USD bn", Database!$AD$6:$AD$197, 0))), INDEX(Database!$P$6:$P$197, MATCH($B55&amp;"USD bn", Database!$AD$6:$AD$197, 0)), "")</f>
        <v>19.796645727295466</v>
      </c>
      <c r="I55" s="303">
        <f>IF(ISNUMBER(INDEX(Database!$Q$6:$Q$197, MATCH($B55&amp;"USD bn", Database!$AD$6:$AD$197, 0))), INDEX(Database!$Q$6:$Q$197, MATCH($B55&amp;"USD bn", Database!$AD$6:$AD$197, 0)), "")</f>
        <v>0</v>
      </c>
      <c r="J55" s="303"/>
      <c r="K55" s="303">
        <f>IF(ISNUMBER(INDEX(Database!$U$6:$U$197, MATCH($B55&amp;"USD bn", Database!$AD$6:$AD$197, 0))), INDEX(Database!$U$6:$U$197, MATCH($B55&amp;"USD bn", Database!$AD$6:$AD$197, 0)), "")</f>
        <v>19.796645727295466</v>
      </c>
      <c r="L55" s="303" t="str">
        <f>IF(ISNUMBER(INDEX(Database!$W$6:$W$197, MATCH($B55&amp;"USD bn", Database!$AD$6:$AD$197, 0))), INDEX(Database!$W$6:$W$197, MATCH($B55&amp;"USD bn", Database!$AD$6:$AD$197, 0)), "")</f>
        <v/>
      </c>
      <c r="O55" s="320">
        <f>IF(ISNUMBER(INDEX(Database!$G$6:$G$197, MATCH($B55&amp;"% GDP", Database!$AD$6:$AD$197, 0))), INDEX(Database!$G$6:$G$197, MATCH($B55&amp;"% GDP", Database!$AD$6:$AD$197, 0)), "")</f>
        <v>9.5938667869694285</v>
      </c>
      <c r="P55" s="300">
        <f>IF(ISNUMBER(INDEX(Database!$H$6:$H$197, MATCH($B55&amp;"% GDP", Database!$AD$6:$AD$197, 0))), INDEX(Database!$H$6:$H$197, MATCH($B55&amp;"% GDP", Database!$AD$6:$AD$197, 0)), "")</f>
        <v>1.6768589839986185</v>
      </c>
      <c r="Q55" s="300">
        <f>IF(ISNUMBER(INDEX(Database!$J$6:$J$197, MATCH($B55&amp;"% GDP", Database!$AD$6:$AD$197, 0))), INDEX(Database!$J$6:$J$197, MATCH($B55&amp;"% GDP", Database!$AD$6:$AD$197, 0)), "")</f>
        <v>7.9170078029708097</v>
      </c>
      <c r="R55" s="300">
        <f>IF(ISNUMBER(INDEX(Database!$L$6:$L$197, MATCH($B55&amp;"% GDP", Database!$AD$6:$AD$197, 0))), INDEX(Database!$L$6:$L$197, MATCH($B55&amp;"% GDP", Database!$AD$6:$AD$197, 0)), "")</f>
        <v>1.6771374626142459</v>
      </c>
      <c r="S55" s="300"/>
      <c r="T55" s="320">
        <f>IF(ISNUMBER(INDEX(Database!$P$6:$P$197, MATCH($B55&amp;"% GDP", Database!$AD$6:$AD$197, 0))), INDEX(Database!$P$6:$P$197, MATCH($B55&amp;"% GDP", Database!$AD$6:$AD$197, 0)), "")</f>
        <v>9.6353601006978682</v>
      </c>
      <c r="U55" s="300">
        <f>IF(ISNUMBER(INDEX(Database!$Q$6:$Q$197, MATCH($B55&amp;"% GDP", Database!$AD$6:$AD$197, 0))), INDEX(Database!$Q$6:$Q$197, MATCH($B55&amp;"% GDP", Database!$AD$6:$AD$197, 0)), "")</f>
        <v>0</v>
      </c>
      <c r="V55" s="300"/>
      <c r="W55" s="300">
        <f>IF(ISNUMBER(INDEX(Database!$U$6:$U$197, MATCH($B55&amp;"% GDP", Database!$AD$6:$AD$197, 0))), INDEX(Database!$U$6:$U$197, MATCH($B55&amp;"% GDP", Database!$AD$6:$AD$197, 0)), "")</f>
        <v>9.6353601006978682</v>
      </c>
      <c r="X55" s="300" t="str">
        <f>IF(ISNUMBER(INDEX(Database!$W$6:$W$197, MATCH($B55&amp;"% GDP", Database!$AD$6:$AD$197, 0))), INDEX(Database!$W$6:$W$197, MATCH($B55&amp;"% GDP", Database!$AD$6:$AD$197, 0)), "")</f>
        <v/>
      </c>
    </row>
    <row r="56" spans="2:24">
      <c r="B56" s="299" t="s">
        <v>556</v>
      </c>
      <c r="C56" s="321">
        <f>IF(ISNUMBER(INDEX(Database!$G$6:$G$197, MATCH($B56&amp;"USD bn", Database!$AD$6:$AD$197, 0))), INDEX(Database!$G$6:$G$197, MATCH($B56&amp;"USD bn", Database!$AD$6:$AD$197, 0)), "")</f>
        <v>16.101047676431413</v>
      </c>
      <c r="D56" s="303">
        <f>IF(ISNUMBER(INDEX(Database!$H$6:$H$197, MATCH($B56&amp;"USD bn", Database!$AD$6:$AD$197, 0))), INDEX(Database!$H$6:$H$197, MATCH($B56&amp;"USD bn", Database!$AD$6:$AD$197, 0)), "")</f>
        <v>3.2846943319878852</v>
      </c>
      <c r="E56" s="303">
        <f>IF(ISNUMBER(INDEX(Database!$J$6:$J$197, MATCH($B56&amp;"USD bn", Database!$AD$6:$AD$197, 0))), INDEX(Database!$J$6:$J$197, MATCH($B56&amp;"USD bn", Database!$AD$6:$AD$197, 0)), "")</f>
        <v>12.816353344443527</v>
      </c>
      <c r="F56" s="303" t="str">
        <f>IF(ISNUMBER(INDEX(Database!$L$6:$L$197, MATCH($B56&amp;"USD bn", Database!$AD$6:$AD$197, 0))), INDEX(Database!$L$6:$L$197, MATCH($B56&amp;"USD bn", Database!$AD$6:$AD$197, 0)), "")</f>
        <v/>
      </c>
      <c r="G56" s="303"/>
      <c r="H56" s="321">
        <f>IF(ISNUMBER(INDEX(Database!$P$6:$P$197, MATCH($B56&amp;"USD bn", Database!$AD$6:$AD$197, 0))), INDEX(Database!$P$6:$P$197, MATCH($B56&amp;"USD bn", Database!$AD$6:$AD$197, 0)), "")</f>
        <v>2.1159073917713367</v>
      </c>
      <c r="I56" s="303">
        <f>IF(ISNUMBER(INDEX(Database!$Q$6:$Q$197, MATCH($B56&amp;"USD bn", Database!$AD$6:$AD$197, 0))), INDEX(Database!$Q$6:$Q$197, MATCH($B56&amp;"USD bn", Database!$AD$6:$AD$197, 0)), "")</f>
        <v>0.10075749484625414</v>
      </c>
      <c r="J56" s="303"/>
      <c r="K56" s="303">
        <f>IF(ISNUMBER(INDEX(Database!$U$6:$U$197, MATCH($B56&amp;"USD bn", Database!$AD$6:$AD$197, 0))), INDEX(Database!$U$6:$U$197, MATCH($B56&amp;"USD bn", Database!$AD$6:$AD$197, 0)), "")</f>
        <v>2.0151498969250827</v>
      </c>
      <c r="L56" s="303" t="str">
        <f>IF(ISNUMBER(INDEX(Database!$W$6:$W$197, MATCH($B56&amp;"USD bn", Database!$AD$6:$AD$197, 0))), INDEX(Database!$W$6:$W$197, MATCH($B56&amp;"USD bn", Database!$AD$6:$AD$197, 0)), "")</f>
        <v/>
      </c>
      <c r="O56" s="320">
        <f>IF(ISNUMBER(INDEX(Database!$G$6:$G$197, MATCH($B56&amp;"% GDP", Database!$AD$6:$AD$197, 0))), INDEX(Database!$G$6:$G$197, MATCH($B56&amp;"% GDP", Database!$AD$6:$AD$197, 0)), "")</f>
        <v>4.4540862311094349</v>
      </c>
      <c r="P56" s="300">
        <f>IF(ISNUMBER(INDEX(Database!$H$6:$H$197, MATCH($B56&amp;"% GDP", Database!$AD$6:$AD$197, 0))), INDEX(Database!$H$6:$H$197, MATCH($B56&amp;"% GDP", Database!$AD$6:$AD$197, 0)), "")</f>
        <v>0.90865588945036024</v>
      </c>
      <c r="Q56" s="300">
        <f>IF(ISNUMBER(INDEX(Database!$J$6:$J$197, MATCH($B56&amp;"% GDP", Database!$AD$6:$AD$197, 0))), INDEX(Database!$J$6:$J$197, MATCH($B56&amp;"% GDP", Database!$AD$6:$AD$197, 0)), "")</f>
        <v>3.545430341659074</v>
      </c>
      <c r="R56" s="300" t="str">
        <f>IF(ISNUMBER(INDEX(Database!$L$6:$L$197, MATCH($B56&amp;"% GDP", Database!$AD$6:$AD$197, 0))), INDEX(Database!$L$6:$L$197, MATCH($B56&amp;"% GDP", Database!$AD$6:$AD$197, 0)), "")</f>
        <v/>
      </c>
      <c r="S56" s="300"/>
      <c r="T56" s="320">
        <f>IF(ISNUMBER(INDEX(Database!$P$6:$P$197, MATCH($B56&amp;"% GDP", Database!$AD$6:$AD$197, 0))), INDEX(Database!$P$6:$P$197, MATCH($B56&amp;"% GDP", Database!$AD$6:$AD$197, 0)), "")</f>
        <v>0.58533048093428119</v>
      </c>
      <c r="U56" s="300">
        <f>IF(ISNUMBER(INDEX(Database!$Q$6:$Q$197, MATCH($B56&amp;"% GDP", Database!$AD$6:$AD$197, 0))), INDEX(Database!$Q$6:$Q$197, MATCH($B56&amp;"% GDP", Database!$AD$6:$AD$197, 0)), "")</f>
        <v>2.7872880044489574E-2</v>
      </c>
      <c r="V56" s="300"/>
      <c r="W56" s="300">
        <f>IF(ISNUMBER(INDEX(Database!$U$6:$U$197, MATCH($B56&amp;"% GDP", Database!$AD$6:$AD$197, 0))), INDEX(Database!$U$6:$U$197, MATCH($B56&amp;"% GDP", Database!$AD$6:$AD$197, 0)), "")</f>
        <v>0.55745760088979157</v>
      </c>
      <c r="X56" s="300" t="str">
        <f>IF(ISNUMBER(INDEX(Database!$W$6:$W$197, MATCH($B56&amp;"% GDP", Database!$AD$6:$AD$197, 0))), INDEX(Database!$W$6:$W$197, MATCH($B56&amp;"% GDP", Database!$AD$6:$AD$197, 0)), "")</f>
        <v/>
      </c>
    </row>
    <row r="57" spans="2:24">
      <c r="B57" s="299" t="s">
        <v>22</v>
      </c>
      <c r="C57" s="321">
        <f>IF(ISNUMBER(INDEX(Database!$G$6:$G$197, MATCH($B57&amp;"USD bn", Database!$AD$6:$AD$197, 0))), INDEX(Database!$G$6:$G$197, MATCH($B57&amp;"USD bn", Database!$AD$6:$AD$197, 0)), "")</f>
        <v>38.516359409090974</v>
      </c>
      <c r="D57" s="303">
        <f>IF(ISNUMBER(INDEX(Database!$H$6:$H$197, MATCH($B57&amp;"USD bn", Database!$AD$6:$AD$197, 0))), INDEX(Database!$H$6:$H$197, MATCH($B57&amp;"USD bn", Database!$AD$6:$AD$197, 0)), "")</f>
        <v>3.7695771192652283</v>
      </c>
      <c r="E57" s="303">
        <f>IF(ISNUMBER(INDEX(Database!$J$6:$J$197, MATCH($B57&amp;"USD bn", Database!$AD$6:$AD$197, 0))), INDEX(Database!$J$6:$J$197, MATCH($B57&amp;"USD bn", Database!$AD$6:$AD$197, 0)), "")</f>
        <v>34.746782289825745</v>
      </c>
      <c r="F57" s="303" t="str">
        <f>IF(ISNUMBER(INDEX(Database!$L$6:$L$197, MATCH($B57&amp;"USD bn", Database!$AD$6:$AD$197, 0))), INDEX(Database!$L$6:$L$197, MATCH($B57&amp;"USD bn", Database!$AD$6:$AD$197, 0)), "")</f>
        <v/>
      </c>
      <c r="G57" s="303"/>
      <c r="H57" s="321">
        <f>IF(ISNUMBER(INDEX(Database!$P$6:$P$197, MATCH($B57&amp;"USD bn", Database!$AD$6:$AD$197, 0))), INDEX(Database!$P$6:$P$197, MATCH($B57&amp;"USD bn", Database!$AD$6:$AD$197, 0)), "")</f>
        <v>28.720587575354124</v>
      </c>
      <c r="I57" s="303">
        <f>IF(ISNUMBER(INDEX(Database!$Q$6:$Q$197, MATCH($B57&amp;"USD bn", Database!$AD$6:$AD$197, 0))), INDEX(Database!$Q$6:$Q$197, MATCH($B57&amp;"USD bn", Database!$AD$6:$AD$197, 0)), "")</f>
        <v>9.7444850702094339</v>
      </c>
      <c r="J57" s="303"/>
      <c r="K57" s="303">
        <f>IF(ISNUMBER(INDEX(Database!$U$6:$U$197, MATCH($B57&amp;"USD bn", Database!$AD$6:$AD$197, 0))), INDEX(Database!$U$6:$U$197, MATCH($B57&amp;"USD bn", Database!$AD$6:$AD$197, 0)), "")</f>
        <v>18.976102505144688</v>
      </c>
      <c r="L57" s="303" t="str">
        <f>IF(ISNUMBER(INDEX(Database!$W$6:$W$197, MATCH($B57&amp;"USD bn", Database!$AD$6:$AD$197, 0))), INDEX(Database!$W$6:$W$197, MATCH($B57&amp;"USD bn", Database!$AD$6:$AD$197, 0)), "")</f>
        <v/>
      </c>
      <c r="O57" s="320">
        <f>IF(ISNUMBER(INDEX(Database!$G$6:$G$197, MATCH($B57&amp;"% GDP", Database!$AD$6:$AD$197, 0))), INDEX(Database!$G$6:$G$197, MATCH($B57&amp;"% GDP", Database!$AD$6:$AD$197, 0)), "")</f>
        <v>6.463386978297736</v>
      </c>
      <c r="P57" s="300">
        <f>IF(ISNUMBER(INDEX(Database!$H$6:$H$197, MATCH($B57&amp;"% GDP", Database!$AD$6:$AD$197, 0))), INDEX(Database!$H$6:$H$197, MATCH($B57&amp;"% GDP", Database!$AD$6:$AD$197, 0)), "")</f>
        <v>0.63256849920756808</v>
      </c>
      <c r="Q57" s="300">
        <f>IF(ISNUMBER(INDEX(Database!$J$6:$J$197, MATCH($B57&amp;"% GDP", Database!$AD$6:$AD$197, 0))), INDEX(Database!$J$6:$J$197, MATCH($B57&amp;"% GDP", Database!$AD$6:$AD$197, 0)), "")</f>
        <v>5.8308184790901691</v>
      </c>
      <c r="R57" s="300" t="str">
        <f>IF(ISNUMBER(INDEX(Database!$L$6:$L$197, MATCH($B57&amp;"% GDP", Database!$AD$6:$AD$197, 0))), INDEX(Database!$L$6:$L$197, MATCH($B57&amp;"% GDP", Database!$AD$6:$AD$197, 0)), "")</f>
        <v/>
      </c>
      <c r="S57" s="300"/>
      <c r="T57" s="320">
        <f>IF(ISNUMBER(INDEX(Database!$P$6:$P$197, MATCH($B57&amp;"% GDP", Database!$AD$6:$AD$197, 0))), INDEX(Database!$P$6:$P$197, MATCH($B57&amp;"% GDP", Database!$AD$6:$AD$197, 0)), "")</f>
        <v>4.8195695177719475</v>
      </c>
      <c r="U57" s="300">
        <f>IF(ISNUMBER(INDEX(Database!$Q$6:$Q$197, MATCH($B57&amp;"% GDP", Database!$AD$6:$AD$197, 0))), INDEX(Database!$Q$6:$Q$197, MATCH($B57&amp;"% GDP", Database!$AD$6:$AD$197, 0)), "")</f>
        <v>1.6352110863869107</v>
      </c>
      <c r="V57" s="300"/>
      <c r="W57" s="300">
        <f>IF(ISNUMBER(INDEX(Database!$U$6:$U$197, MATCH($B57&amp;"% GDP", Database!$AD$6:$AD$197, 0))), INDEX(Database!$U$6:$U$197, MATCH($B57&amp;"% GDP", Database!$AD$6:$AD$197, 0)), "")</f>
        <v>3.184358431385037</v>
      </c>
      <c r="X57" s="300" t="str">
        <f>IF(ISNUMBER(INDEX(Database!$W$6:$W$197, MATCH($B57&amp;"% GDP", Database!$AD$6:$AD$197, 0))), INDEX(Database!$W$6:$W$197, MATCH($B57&amp;"% GDP", Database!$AD$6:$AD$197, 0)), "")</f>
        <v/>
      </c>
    </row>
    <row r="58" spans="2:24">
      <c r="B58" s="299" t="s">
        <v>557</v>
      </c>
      <c r="C58" s="321">
        <f>IF(ISNUMBER(INDEX(Database!$G$6:$G$197, MATCH($B58&amp;"USD bn", Database!$AD$6:$AD$197, 0))), INDEX(Database!$G$6:$G$197, MATCH($B58&amp;"USD bn", Database!$AD$6:$AD$197, 0)), "")</f>
        <v>8.4825802752518751</v>
      </c>
      <c r="D58" s="303">
        <f>IF(ISNUMBER(INDEX(Database!$H$6:$H$197, MATCH($B58&amp;"USD bn", Database!$AD$6:$AD$197, 0))), INDEX(Database!$H$6:$H$197, MATCH($B58&amp;"USD bn", Database!$AD$6:$AD$197, 0)), "")</f>
        <v>2.3562722986810765</v>
      </c>
      <c r="E58" s="303">
        <f>IF(ISNUMBER(INDEX(Database!$J$6:$J$197, MATCH($B58&amp;"USD bn", Database!$AD$6:$AD$197, 0))), INDEX(Database!$J$6:$J$197, MATCH($B58&amp;"USD bn", Database!$AD$6:$AD$197, 0)), "")</f>
        <v>6.1263079765707982</v>
      </c>
      <c r="F58" s="303">
        <f>IF(ISNUMBER(INDEX(Database!$L$6:$L$197, MATCH($B58&amp;"USD bn", Database!$AD$6:$AD$197, 0))), INDEX(Database!$L$6:$L$197, MATCH($B58&amp;"USD bn", Database!$AD$6:$AD$197, 0)), "")</f>
        <v>0.54194262869664755</v>
      </c>
      <c r="G58" s="303"/>
      <c r="H58" s="321">
        <f>IF(ISNUMBER(INDEX(Database!$P$6:$P$197, MATCH($B58&amp;"USD bn", Database!$AD$6:$AD$197, 0))), INDEX(Database!$P$6:$P$197, MATCH($B58&amp;"USD bn", Database!$AD$6:$AD$197, 0)), "")</f>
        <v>10.391160837183547</v>
      </c>
      <c r="I58" s="303">
        <f>IF(ISNUMBER(INDEX(Database!$Q$6:$Q$197, MATCH($B58&amp;"USD bn", Database!$AD$6:$AD$197, 0))), INDEX(Database!$Q$6:$Q$197, MATCH($B58&amp;"USD bn", Database!$AD$6:$AD$197, 0)), "")</f>
        <v>0.40056629077578298</v>
      </c>
      <c r="J58" s="303"/>
      <c r="K58" s="303">
        <f>IF(ISNUMBER(INDEX(Database!$U$6:$U$197, MATCH($B58&amp;"USD bn", Database!$AD$6:$AD$197, 0))), INDEX(Database!$U$6:$U$197, MATCH($B58&amp;"USD bn", Database!$AD$6:$AD$197, 0)), "")</f>
        <v>9.9905945464077632</v>
      </c>
      <c r="L58" s="303" t="str">
        <f>IF(ISNUMBER(INDEX(Database!$W$6:$W$197, MATCH($B58&amp;"USD bn", Database!$AD$6:$AD$197, 0))), INDEX(Database!$W$6:$W$197, MATCH($B58&amp;"USD bn", Database!$AD$6:$AD$197, 0)), "")</f>
        <v/>
      </c>
      <c r="O58" s="320">
        <f>IF(ISNUMBER(INDEX(Database!$G$6:$G$197, MATCH($B58&amp;"% GDP", Database!$AD$6:$AD$197, 0))), INDEX(Database!$G$6:$G$197, MATCH($B58&amp;"% GDP", Database!$AD$6:$AD$197, 0)), "")</f>
        <v>3.4105481432975906</v>
      </c>
      <c r="P58" s="300">
        <f>IF(ISNUMBER(INDEX(Database!$H$6:$H$197, MATCH($B58&amp;"% GDP", Database!$AD$6:$AD$197, 0))), INDEX(Database!$H$6:$H$197, MATCH($B58&amp;"% GDP", Database!$AD$6:$AD$197, 0)), "")</f>
        <v>0.94737448424933068</v>
      </c>
      <c r="Q58" s="300">
        <f>IF(ISNUMBER(INDEX(Database!$J$6:$J$197, MATCH($B58&amp;"% GDP", Database!$AD$6:$AD$197, 0))), INDEX(Database!$J$6:$J$197, MATCH($B58&amp;"% GDP", Database!$AD$6:$AD$197, 0)), "")</f>
        <v>2.4631736590482598</v>
      </c>
      <c r="R58" s="300">
        <f>IF(ISNUMBER(INDEX(Database!$L$6:$L$197, MATCH($B58&amp;"% GDP", Database!$AD$6:$AD$197, 0))), INDEX(Database!$L$6:$L$197, MATCH($B58&amp;"% GDP", Database!$AD$6:$AD$197, 0)), "")</f>
        <v>0.21789613137734604</v>
      </c>
      <c r="S58" s="300"/>
      <c r="T58" s="320">
        <f>IF(ISNUMBER(INDEX(Database!$P$6:$P$197, MATCH($B58&amp;"% GDP", Database!$AD$6:$AD$197, 0))), INDEX(Database!$P$6:$P$197, MATCH($B58&amp;"% GDP", Database!$AD$6:$AD$197, 0)), "")</f>
        <v>4.1779214755395486</v>
      </c>
      <c r="U58" s="300">
        <f>IF(ISNUMBER(INDEX(Database!$Q$6:$Q$197, MATCH($B58&amp;"% GDP", Database!$AD$6:$AD$197, 0))), INDEX(Database!$Q$6:$Q$197, MATCH($B58&amp;"% GDP", Database!$AD$6:$AD$197, 0)), "")</f>
        <v>0.16105366232238622</v>
      </c>
      <c r="V58" s="300"/>
      <c r="W58" s="300">
        <f>IF(ISNUMBER(INDEX(Database!$U$6:$U$197, MATCH($B58&amp;"% GDP", Database!$AD$6:$AD$197, 0))), INDEX(Database!$U$6:$U$197, MATCH($B58&amp;"% GDP", Database!$AD$6:$AD$197, 0)), "")</f>
        <v>4.0168678132171625</v>
      </c>
      <c r="X58" s="300" t="str">
        <f>IF(ISNUMBER(INDEX(Database!$W$6:$W$197, MATCH($B58&amp;"% GDP", Database!$AD$6:$AD$197, 0))), INDEX(Database!$W$6:$W$197, MATCH($B58&amp;"% GDP", Database!$AD$6:$AD$197, 0)), "")</f>
        <v/>
      </c>
    </row>
    <row r="59" spans="2:24">
      <c r="B59" s="299" t="s">
        <v>953</v>
      </c>
      <c r="C59" s="321">
        <f>IF(ISNUMBER(INDEX(Database!$G$6:$G$197, MATCH($B59&amp;"USD bn", Database!$AD$6:$AD$197, 0))), INDEX(Database!$G$6:$G$197, MATCH($B59&amp;"USD bn", Database!$AD$6:$AD$197, 0)), "")</f>
        <v>6.4363979597070609</v>
      </c>
      <c r="D59" s="303">
        <f>IF(ISNUMBER(INDEX(Database!$H$6:$H$197, MATCH($B59&amp;"USD bn", Database!$AD$6:$AD$197, 0))), INDEX(Database!$H$6:$H$197, MATCH($B59&amp;"USD bn", Database!$AD$6:$AD$197, 0)), "")</f>
        <v>1.2116713026556967</v>
      </c>
      <c r="E59" s="303">
        <f>IF(ISNUMBER(INDEX(Database!$J$6:$J$197, MATCH($B59&amp;"USD bn", Database!$AD$6:$AD$197, 0))), INDEX(Database!$J$6:$J$197, MATCH($B59&amp;"USD bn", Database!$AD$6:$AD$197, 0)), "")</f>
        <v>5.2247266570513649</v>
      </c>
      <c r="F59" s="303">
        <f>IF(ISNUMBER(INDEX(Database!$L$6:$L$197, MATCH($B59&amp;"USD bn", Database!$AD$6:$AD$197, 0))), INDEX(Database!$L$6:$L$197, MATCH($B59&amp;"USD bn", Database!$AD$6:$AD$197, 0)), "")</f>
        <v>1.434618822344345</v>
      </c>
      <c r="G59" s="303"/>
      <c r="H59" s="321">
        <f>IF(ISNUMBER(INDEX(Database!$P$6:$P$197, MATCH($B59&amp;"USD bn", Database!$AD$6:$AD$197, 0))), INDEX(Database!$P$6:$P$197, MATCH($B59&amp;"USD bn", Database!$AD$6:$AD$197, 0)), "")</f>
        <v>1.6963398237179754</v>
      </c>
      <c r="I59" s="303" t="str">
        <f>IF(ISNUMBER(INDEX(Database!$Q$6:$Q$197, MATCH($B59&amp;"USD bn", Database!$AD$6:$AD$197, 0))), INDEX(Database!$Q$6:$Q$197, MATCH($B59&amp;"USD bn", Database!$AD$6:$AD$197, 0)), "")</f>
        <v/>
      </c>
      <c r="J59" s="303"/>
      <c r="K59" s="303">
        <f>IF(ISNUMBER(INDEX(Database!$U$6:$U$197, MATCH($B59&amp;"USD bn", Database!$AD$6:$AD$197, 0))), INDEX(Database!$U$6:$U$197, MATCH($B59&amp;"USD bn", Database!$AD$6:$AD$197, 0)), "")</f>
        <v>1.6963398237179754</v>
      </c>
      <c r="L59" s="303">
        <f>IF(ISNUMBER(INDEX(Database!$W$6:$W$197, MATCH($B59&amp;"USD bn", Database!$AD$6:$AD$197, 0))), INDEX(Database!$W$6:$W$197, MATCH($B59&amp;"USD bn", Database!$AD$6:$AD$197, 0)), "")</f>
        <v>0</v>
      </c>
      <c r="O59" s="320">
        <f>IF(ISNUMBER(INDEX(Database!$G$6:$G$197, MATCH($B59&amp;"% GDP", Database!$AD$6:$AD$197, 0))), INDEX(Database!$G$6:$G$197, MATCH($B59&amp;"% GDP", Database!$AD$6:$AD$197, 0)), "")</f>
        <v>12.153288105042478</v>
      </c>
      <c r="P59" s="300">
        <f>IF(ISNUMBER(INDEX(Database!$H$6:$H$197, MATCH($B59&amp;"% GDP", Database!$AD$6:$AD$197, 0))), INDEX(Database!$H$6:$H$197, MATCH($B59&amp;"% GDP", Database!$AD$6:$AD$197, 0)), "")</f>
        <v>2.2878930920637197</v>
      </c>
      <c r="Q59" s="300">
        <f>IF(ISNUMBER(INDEX(Database!$J$6:$J$197, MATCH($B59&amp;"% GDP", Database!$AD$6:$AD$197, 0))), INDEX(Database!$J$6:$J$197, MATCH($B59&amp;"% GDP", Database!$AD$6:$AD$197, 0)), "")</f>
        <v>9.8653950129787589</v>
      </c>
      <c r="R59" s="300">
        <f>IF(ISNUMBER(INDEX(Database!$L$6:$L$197, MATCH($B59&amp;"% GDP", Database!$AD$6:$AD$197, 0))), INDEX(Database!$L$6:$L$197, MATCH($B59&amp;"% GDP", Database!$AD$6:$AD$197, 0)), "")</f>
        <v>2.708865421003444</v>
      </c>
      <c r="S59" s="300"/>
      <c r="T59" s="320">
        <f>IF(ISNUMBER(INDEX(Database!$P$6:$P$197, MATCH($B59&amp;"% GDP", Database!$AD$6:$AD$197, 0))), INDEX(Database!$P$6:$P$197, MATCH($B59&amp;"% GDP", Database!$AD$6:$AD$197, 0)), "")</f>
        <v>3.203050328889208</v>
      </c>
      <c r="U59" s="300" t="str">
        <f>IF(ISNUMBER(INDEX(Database!$Q$6:$Q$197, MATCH($B59&amp;"% GDP", Database!$AD$6:$AD$197, 0))), INDEX(Database!$Q$6:$Q$197, MATCH($B59&amp;"% GDP", Database!$AD$6:$AD$197, 0)), "")</f>
        <v/>
      </c>
      <c r="V59" s="300"/>
      <c r="W59" s="300">
        <f>IF(ISNUMBER(INDEX(Database!$U$6:$U$197, MATCH($B59&amp;"% GDP", Database!$AD$6:$AD$197, 0))), INDEX(Database!$U$6:$U$197, MATCH($B59&amp;"% GDP", Database!$AD$6:$AD$197, 0)), "")</f>
        <v>3.203050328889208</v>
      </c>
      <c r="X59" s="300">
        <f>IF(ISNUMBER(INDEX(Database!$W$6:$W$197, MATCH($B59&amp;"% GDP", Database!$AD$6:$AD$197, 0))), INDEX(Database!$W$6:$W$197, MATCH($B59&amp;"% GDP", Database!$AD$6:$AD$197, 0)), "")</f>
        <v>0</v>
      </c>
    </row>
    <row r="60" spans="2:24">
      <c r="B60" s="299" t="s">
        <v>559</v>
      </c>
      <c r="C60" s="321">
        <f>IF(ISNUMBER(INDEX(Database!$G$6:$G$197, MATCH($B60&amp;"USD bn", Database!$AD$6:$AD$197, 0))), INDEX(Database!$G$6:$G$197, MATCH($B60&amp;"USD bn", Database!$AD$6:$AD$197, 0)), "")</f>
        <v>73.187651709336336</v>
      </c>
      <c r="D60" s="303" t="str">
        <f>IF(ISNUMBER(INDEX(Database!$H$6:$H$197, MATCH($B60&amp;"USD bn", Database!$AD$6:$AD$197, 0))), INDEX(Database!$H$6:$H$197, MATCH($B60&amp;"USD bn", Database!$AD$6:$AD$197, 0)), "")</f>
        <v/>
      </c>
      <c r="E60" s="303" t="str">
        <f>IF(ISNUMBER(INDEX(Database!$J$6:$J$197, MATCH($B60&amp;"USD bn", Database!$AD$6:$AD$197, 0))), INDEX(Database!$J$6:$J$197, MATCH($B60&amp;"USD bn", Database!$AD$6:$AD$197, 0)), "")</f>
        <v/>
      </c>
      <c r="F60" s="303" t="str">
        <f>IF(ISNUMBER(INDEX(Database!$L$6:$L$197, MATCH($B60&amp;"USD bn", Database!$AD$6:$AD$197, 0))), INDEX(Database!$L$6:$L$197, MATCH($B60&amp;"USD bn", Database!$AD$6:$AD$197, 0)), "")</f>
        <v/>
      </c>
      <c r="G60" s="303"/>
      <c r="H60" s="321">
        <f>IF(ISNUMBER(INDEX(Database!$P$6:$P$197, MATCH($B60&amp;"USD bn", Database!$AD$6:$AD$197, 0))), INDEX(Database!$P$6:$P$197, MATCH($B60&amp;"USD bn", Database!$AD$6:$AD$197, 0)), "")</f>
        <v>21.253182701619505</v>
      </c>
      <c r="I60" s="303">
        <f>IF(ISNUMBER(INDEX(Database!$Q$6:$Q$197, MATCH($B60&amp;"USD bn", Database!$AD$6:$AD$197, 0))), INDEX(Database!$Q$6:$Q$197, MATCH($B60&amp;"USD bn", Database!$AD$6:$AD$197, 0)), "")</f>
        <v>2.8763705911966246</v>
      </c>
      <c r="J60" s="303"/>
      <c r="K60" s="303">
        <f>IF(ISNUMBER(INDEX(Database!$U$6:$U$197, MATCH($B60&amp;"USD bn", Database!$AD$6:$AD$197, 0))), INDEX(Database!$U$6:$U$197, MATCH($B60&amp;"USD bn", Database!$AD$6:$AD$197, 0)), "")</f>
        <v>10.386893801543367</v>
      </c>
      <c r="L60" s="303">
        <f>IF(ISNUMBER(INDEX(Database!$W$6:$W$197, MATCH($B60&amp;"USD bn", Database!$AD$6:$AD$197, 0))), INDEX(Database!$W$6:$W$197, MATCH($B60&amp;"USD bn", Database!$AD$6:$AD$197, 0)), "")</f>
        <v>7.9899183088795134</v>
      </c>
      <c r="O60" s="320">
        <f>IF(ISNUMBER(INDEX(Database!$G$6:$G$197, MATCH($B60&amp;"% GDP", Database!$AD$6:$AD$197, 0))), INDEX(Database!$G$6:$G$197, MATCH($B60&amp;"% GDP", Database!$AD$6:$AD$197, 0)), "")</f>
        <v>14.587579816038515</v>
      </c>
      <c r="P60" s="300" t="str">
        <f>IF(ISNUMBER(INDEX(Database!$H$6:$H$197, MATCH($B60&amp;"% GDP", Database!$AD$6:$AD$197, 0))), INDEX(Database!$H$6:$H$197, MATCH($B60&amp;"% GDP", Database!$AD$6:$AD$197, 0)), "")</f>
        <v/>
      </c>
      <c r="Q60" s="300" t="str">
        <f>IF(ISNUMBER(INDEX(Database!$J$6:$J$197, MATCH($B60&amp;"% GDP", Database!$AD$6:$AD$197, 0))), INDEX(Database!$J$6:$J$197, MATCH($B60&amp;"% GDP", Database!$AD$6:$AD$197, 0)), "")</f>
        <v/>
      </c>
      <c r="R60" s="300" t="str">
        <f>IF(ISNUMBER(INDEX(Database!$L$6:$L$197, MATCH($B60&amp;"% GDP", Database!$AD$6:$AD$197, 0))), INDEX(Database!$L$6:$L$197, MATCH($B60&amp;"% GDP", Database!$AD$6:$AD$197, 0)), "")</f>
        <v/>
      </c>
      <c r="S60" s="300"/>
      <c r="T60" s="320">
        <f>IF(ISNUMBER(INDEX(Database!$P$6:$P$197, MATCH($B60&amp;"% GDP", Database!$AD$6:$AD$197, 0))), INDEX(Database!$P$6:$P$197, MATCH($B60&amp;"% GDP", Database!$AD$6:$AD$197, 0)), "")</f>
        <v>4.2361312566225386</v>
      </c>
      <c r="U60" s="300">
        <f>IF(ISNUMBER(INDEX(Database!$Q$6:$Q$197, MATCH($B60&amp;"% GDP", Database!$AD$6:$AD$197, 0))), INDEX(Database!$Q$6:$Q$197, MATCH($B60&amp;"% GDP", Database!$AD$6:$AD$197, 0)), "")</f>
        <v>0.57331099713688494</v>
      </c>
      <c r="V60" s="300"/>
      <c r="W60" s="300">
        <f>IF(ISNUMBER(INDEX(Database!$U$6:$U$197, MATCH($B60&amp;"% GDP", Database!$AD$6:$AD$197, 0))), INDEX(Database!$U$6:$U$197, MATCH($B60&amp;"% GDP", Database!$AD$6:$AD$197, 0)), "")</f>
        <v>2.0702897118831953</v>
      </c>
      <c r="X60" s="300">
        <f>IF(ISNUMBER(INDEX(Database!$W$6:$W$197, MATCH($B60&amp;"% GDP", Database!$AD$6:$AD$197, 0))), INDEX(Database!$W$6:$W$197, MATCH($B60&amp;"% GDP", Database!$AD$6:$AD$197, 0)), "")</f>
        <v>1.592530547602458</v>
      </c>
    </row>
    <row r="61" spans="2:24">
      <c r="B61" s="299" t="s">
        <v>30</v>
      </c>
      <c r="C61" s="321">
        <f>IF(ISNUMBER(INDEX(Database!$G$6:$G$197, MATCH($B61&amp;"USD bn", Database!$AD$6:$AD$197, 0))), INDEX(Database!$G$6:$G$197, MATCH($B61&amp;"USD bn", Database!$AD$6:$AD$197, 0)), "")</f>
        <v>1.0614213919969644</v>
      </c>
      <c r="D61" s="303">
        <f>IF(ISNUMBER(INDEX(Database!$H$6:$H$197, MATCH($B61&amp;"USD bn", Database!$AD$6:$AD$197, 0))), INDEX(Database!$H$6:$H$197, MATCH($B61&amp;"USD bn", Database!$AD$6:$AD$197, 0)), "")</f>
        <v>0.14045609709842577</v>
      </c>
      <c r="E61" s="303">
        <f>IF(ISNUMBER(INDEX(Database!$J$6:$J$197, MATCH($B61&amp;"USD bn", Database!$AD$6:$AD$197, 0))), INDEX(Database!$J$6:$J$197, MATCH($B61&amp;"USD bn", Database!$AD$6:$AD$197, 0)), "")</f>
        <v>0.92096529489853862</v>
      </c>
      <c r="F61" s="303">
        <f>IF(ISNUMBER(INDEX(Database!$L$6:$L$197, MATCH($B61&amp;"USD bn", Database!$AD$6:$AD$197, 0))), INDEX(Database!$L$6:$L$197, MATCH($B61&amp;"USD bn", Database!$AD$6:$AD$197, 0)), "")</f>
        <v>0.1066755167836145</v>
      </c>
      <c r="G61" s="303"/>
      <c r="H61" s="321">
        <f>IF(ISNUMBER(INDEX(Database!$P$6:$P$197, MATCH($B61&amp;"USD bn", Database!$AD$6:$AD$197, 0))), INDEX(Database!$P$6:$P$197, MATCH($B61&amp;"USD bn", Database!$AD$6:$AD$197, 0)), "")</f>
        <v>0.32002655035084349</v>
      </c>
      <c r="I61" s="303">
        <f>IF(ISNUMBER(INDEX(Database!$Q$6:$Q$197, MATCH($B61&amp;"USD bn", Database!$AD$6:$AD$197, 0))), INDEX(Database!$Q$6:$Q$197, MATCH($B61&amp;"USD bn", Database!$AD$6:$AD$197, 0)), "")</f>
        <v>0.24890953916176717</v>
      </c>
      <c r="J61" s="303"/>
      <c r="K61" s="303">
        <f>IF(ISNUMBER(INDEX(Database!$U$6:$U$197, MATCH($B61&amp;"USD bn", Database!$AD$6:$AD$197, 0))), INDEX(Database!$U$6:$U$197, MATCH($B61&amp;"USD bn", Database!$AD$6:$AD$197, 0)), "")</f>
        <v>7.1117011189076346E-2</v>
      </c>
      <c r="L61" s="303" t="str">
        <f>IF(ISNUMBER(INDEX(Database!$W$6:$W$197, MATCH($B61&amp;"USD bn", Database!$AD$6:$AD$197, 0))), INDEX(Database!$W$6:$W$197, MATCH($B61&amp;"USD bn", Database!$AD$6:$AD$197, 0)), "")</f>
        <v/>
      </c>
      <c r="O61" s="320">
        <f>IF(ISNUMBER(INDEX(Database!$G$6:$G$197, MATCH($B61&amp;"% GDP", Database!$AD$6:$AD$197, 0))), INDEX(Database!$G$6:$G$197, MATCH($B61&amp;"% GDP", Database!$AD$6:$AD$197, 0)), "")</f>
        <v>2.7063675838678867</v>
      </c>
      <c r="P61" s="300">
        <f>IF(ISNUMBER(INDEX(Database!$H$6:$H$197, MATCH($B61&amp;"% GDP", Database!$AD$6:$AD$197, 0))), INDEX(Database!$H$6:$H$197, MATCH($B61&amp;"% GDP", Database!$AD$6:$AD$197, 0)), "")</f>
        <v>0.35812904376141214</v>
      </c>
      <c r="Q61" s="300">
        <f>IF(ISNUMBER(INDEX(Database!$J$6:$J$197, MATCH($B61&amp;"% GDP", Database!$AD$6:$AD$197, 0))), INDEX(Database!$J$6:$J$197, MATCH($B61&amp;"% GDP", Database!$AD$6:$AD$197, 0)), "")</f>
        <v>2.3482385401064745</v>
      </c>
      <c r="R61" s="300">
        <f>IF(ISNUMBER(INDEX(Database!$L$6:$L$197, MATCH($B61&amp;"% GDP", Database!$AD$6:$AD$197, 0))), INDEX(Database!$L$6:$L$197, MATCH($B61&amp;"% GDP", Database!$AD$6:$AD$197, 0)), "")</f>
        <v>0.27199674209727503</v>
      </c>
      <c r="S61" s="300"/>
      <c r="T61" s="320">
        <f>IF(ISNUMBER(INDEX(Database!$P$6:$P$197, MATCH($B61&amp;"% GDP", Database!$AD$6:$AD$197, 0))), INDEX(Database!$P$6:$P$197, MATCH($B61&amp;"% GDP", Database!$AD$6:$AD$197, 0)), "")</f>
        <v>0.81599022629182516</v>
      </c>
      <c r="U61" s="300">
        <f>IF(ISNUMBER(INDEX(Database!$Q$6:$Q$197, MATCH($B61&amp;"% GDP", Database!$AD$6:$AD$197, 0))), INDEX(Database!$Q$6:$Q$197, MATCH($B61&amp;"% GDP", Database!$AD$6:$AD$197, 0)), "")</f>
        <v>0.63465906489364177</v>
      </c>
      <c r="V61" s="300"/>
      <c r="W61" s="300">
        <f>IF(ISNUMBER(INDEX(Database!$U$6:$U$197, MATCH($B61&amp;"% GDP", Database!$AD$6:$AD$197, 0))), INDEX(Database!$U$6:$U$197, MATCH($B61&amp;"% GDP", Database!$AD$6:$AD$197, 0)), "")</f>
        <v>0.18133116139818339</v>
      </c>
      <c r="X61" s="300" t="str">
        <f>IF(ISNUMBER(INDEX(Database!$W$6:$W$197, MATCH($B61&amp;"% GDP", Database!$AD$6:$AD$197, 0))), INDEX(Database!$W$6:$W$197, MATCH($B61&amp;"% GDP", Database!$AD$6:$AD$197, 0)), "")</f>
        <v/>
      </c>
    </row>
    <row r="62" spans="2:24">
      <c r="B62" s="299" t="s">
        <v>56</v>
      </c>
      <c r="C62" s="321">
        <f>IF(ISNUMBER(INDEX(Database!$G$6:$G$197, MATCH($B62&amp;"USD bn", Database!$AD$6:$AD$197, 0))), INDEX(Database!$G$6:$G$197, MATCH($B62&amp;"USD bn", Database!$AD$6:$AD$197, 0)), "")</f>
        <v>8.7134104833219883</v>
      </c>
      <c r="D62" s="303" t="str">
        <f>IF(ISNUMBER(INDEX(Database!$H$6:$H$197, MATCH($B62&amp;"USD bn", Database!$AD$6:$AD$197, 0))), INDEX(Database!$H$6:$H$197, MATCH($B62&amp;"USD bn", Database!$AD$6:$AD$197, 0)), "")</f>
        <v/>
      </c>
      <c r="E62" s="303" t="str">
        <f>IF(ISNUMBER(INDEX(Database!$J$6:$J$197, MATCH($B62&amp;"USD bn", Database!$AD$6:$AD$197, 0))), INDEX(Database!$J$6:$J$197, MATCH($B62&amp;"USD bn", Database!$AD$6:$AD$197, 0)), "")</f>
        <v/>
      </c>
      <c r="F62" s="303" t="str">
        <f>IF(ISNUMBER(INDEX(Database!$L$6:$L$197, MATCH($B62&amp;"USD bn", Database!$AD$6:$AD$197, 0))), INDEX(Database!$L$6:$L$197, MATCH($B62&amp;"USD bn", Database!$AD$6:$AD$197, 0)), "")</f>
        <v/>
      </c>
      <c r="G62" s="303"/>
      <c r="H62" s="321" t="str">
        <f>IF(ISNUMBER(INDEX(Database!$P$6:$P$197, MATCH($B62&amp;"USD bn", Database!$AD$6:$AD$197, 0))), INDEX(Database!$P$6:$P$197, MATCH($B62&amp;"USD bn", Database!$AD$6:$AD$197, 0)), "")</f>
        <v/>
      </c>
      <c r="I62" s="303" t="str">
        <f>IF(ISNUMBER(INDEX(Database!$Q$6:$Q$197, MATCH($B62&amp;"USD bn", Database!$AD$6:$AD$197, 0))), INDEX(Database!$Q$6:$Q$197, MATCH($B62&amp;"USD bn", Database!$AD$6:$AD$197, 0)), "")</f>
        <v/>
      </c>
      <c r="J62" s="303"/>
      <c r="K62" s="303" t="str">
        <f>IF(ISNUMBER(INDEX(Database!$U$6:$U$197, MATCH($B62&amp;"USD bn", Database!$AD$6:$AD$197, 0))), INDEX(Database!$U$6:$U$197, MATCH($B62&amp;"USD bn", Database!$AD$6:$AD$197, 0)), "")</f>
        <v/>
      </c>
      <c r="L62" s="303" t="str">
        <f>IF(ISNUMBER(INDEX(Database!$W$6:$W$197, MATCH($B62&amp;"USD bn", Database!$AD$6:$AD$197, 0))), INDEX(Database!$W$6:$W$197, MATCH($B62&amp;"USD bn", Database!$AD$6:$AD$197, 0)), "")</f>
        <v/>
      </c>
      <c r="O62" s="320">
        <f>IF(ISNUMBER(INDEX(Database!$G$6:$G$197, MATCH($B62&amp;"% GDP", Database!$AD$6:$AD$197, 0))), INDEX(Database!$G$6:$G$197, MATCH($B62&amp;"% GDP", Database!$AD$6:$AD$197, 0)), "")</f>
        <v>2.4280205714042915</v>
      </c>
      <c r="P62" s="300" t="str">
        <f>IF(ISNUMBER(INDEX(Database!$H$6:$H$197, MATCH($B62&amp;"% GDP", Database!$AD$6:$AD$197, 0))), INDEX(Database!$H$6:$H$197, MATCH($B62&amp;"% GDP", Database!$AD$6:$AD$197, 0)), "")</f>
        <v/>
      </c>
      <c r="Q62" s="300" t="str">
        <f>IF(ISNUMBER(INDEX(Database!$J$6:$J$197, MATCH($B62&amp;"% GDP", Database!$AD$6:$AD$197, 0))), INDEX(Database!$J$6:$J$197, MATCH($B62&amp;"% GDP", Database!$AD$6:$AD$197, 0)), "")</f>
        <v/>
      </c>
      <c r="R62" s="300" t="str">
        <f>IF(ISNUMBER(INDEX(Database!$L$6:$L$197, MATCH($B62&amp;"% GDP", Database!$AD$6:$AD$197, 0))), INDEX(Database!$L$6:$L$197, MATCH($B62&amp;"% GDP", Database!$AD$6:$AD$197, 0)), "")</f>
        <v/>
      </c>
      <c r="S62" s="300"/>
      <c r="T62" s="320" t="str">
        <f>IF(ISNUMBER(INDEX(Database!$P$6:$P$197, MATCH($B62&amp;"% GDP", Database!$AD$6:$AD$197, 0))), INDEX(Database!$P$6:$P$197, MATCH($B62&amp;"% GDP", Database!$AD$6:$AD$197, 0)), "")</f>
        <v/>
      </c>
      <c r="U62" s="300" t="str">
        <f>IF(ISNUMBER(INDEX(Database!$Q$6:$Q$197, MATCH($B62&amp;"% GDP", Database!$AD$6:$AD$197, 0))), INDEX(Database!$Q$6:$Q$197, MATCH($B62&amp;"% GDP", Database!$AD$6:$AD$197, 0)), "")</f>
        <v/>
      </c>
      <c r="V62" s="300"/>
      <c r="W62" s="300" t="str">
        <f>IF(ISNUMBER(INDEX(Database!$U$6:$U$197, MATCH($B62&amp;"% GDP", Database!$AD$6:$AD$197, 0))), INDEX(Database!$U$6:$U$197, MATCH($B62&amp;"% GDP", Database!$AD$6:$AD$197, 0)), "")</f>
        <v/>
      </c>
      <c r="X62" s="300" t="str">
        <f>IF(ISNUMBER(INDEX(Database!$W$6:$W$197, MATCH($B62&amp;"% GDP", Database!$AD$6:$AD$197, 0))), INDEX(Database!$W$6:$W$197, MATCH($B62&amp;"% GDP", Database!$AD$6:$AD$197, 0)), "")</f>
        <v/>
      </c>
    </row>
    <row r="63" spans="2:24">
      <c r="B63" s="301" t="s">
        <v>871</v>
      </c>
      <c r="C63" s="321"/>
      <c r="D63" s="304"/>
      <c r="E63" s="304" t="str">
        <f>IF(ISNUMBER(INDEX(Database!$J$6:$J$197, MATCH($B63&amp;"USD bn", Database!$AD$6:$AD$197, 0))), INDEX(Database!$J$6:$J$197, MATCH($B63&amp;"USD bn", Database!$AD$6:$AD$197, 0)), "")</f>
        <v/>
      </c>
      <c r="F63" s="304" t="str">
        <f>IF(ISNUMBER(INDEX(Database!$L$6:$L$197, MATCH($B63&amp;"USD bn", Database!$AD$6:$AD$197, 0))), INDEX(Database!$L$6:$L$197, MATCH($B63&amp;"USD bn", Database!$AD$6:$AD$197, 0)), "")</f>
        <v/>
      </c>
      <c r="G63" s="304"/>
      <c r="H63" s="319" t="str">
        <f>IF(ISNUMBER(INDEX(Database!$P$6:$P$197, MATCH($B63&amp;"USD bn", Database!$AD$6:$AD$197, 0))), INDEX(Database!$P$6:$P$197, MATCH($B63&amp;"USD bn", Database!$AD$6:$AD$197, 0)), "")</f>
        <v/>
      </c>
      <c r="I63" s="303" t="str">
        <f>IF(ISNUMBER(INDEX(Database!$Q$6:$Q$197, MATCH($B63&amp;"USD bn", Database!$AD$6:$AD$197, 0))), INDEX(Database!$Q$6:$Q$197, MATCH($B63&amp;"USD bn", Database!$AD$6:$AD$197, 0)), "")</f>
        <v/>
      </c>
      <c r="J63" s="303"/>
      <c r="K63" s="303" t="str">
        <f>IF(ISNUMBER(INDEX(Database!$U$6:$U$197, MATCH($B63&amp;"USD bn", Database!$AD$6:$AD$197, 0))), INDEX(Database!$U$6:$U$197, MATCH($B63&amp;"USD bn", Database!$AD$6:$AD$197, 0)), "")</f>
        <v/>
      </c>
      <c r="L63" s="303" t="str">
        <f>IF(ISNUMBER(INDEX(Database!$W$6:$W$197, MATCH($B63&amp;"USD bn", Database!$AD$6:$AD$197, 0))), INDEX(Database!$W$6:$W$197, MATCH($B63&amp;"USD bn", Database!$AD$6:$AD$197, 0)), "")</f>
        <v/>
      </c>
      <c r="O63" s="320" t="str">
        <f>IF(ISNUMBER(INDEX(Database!$G$6:$G$197, MATCH($B63&amp;"% GDP", Database!$AD$6:$AD$197, 0))), INDEX(Database!$G$6:$G$197, MATCH($B63&amp;"% GDP", Database!$AD$6:$AD$197, 0)), "")</f>
        <v/>
      </c>
      <c r="P63" s="300" t="str">
        <f>IF(ISNUMBER(INDEX(Database!$H$6:$H$197, MATCH($B63&amp;"% GDP", Database!$AD$6:$AD$197, 0))), INDEX(Database!$H$6:$H$197, MATCH($B63&amp;"% GDP", Database!$AD$6:$AD$197, 0)), "")</f>
        <v/>
      </c>
      <c r="Q63" s="300" t="str">
        <f>IF(ISNUMBER(INDEX(Database!$J$6:$J$197, MATCH($B63&amp;"% GDP", Database!$AD$6:$AD$197, 0))), INDEX(Database!$J$6:$J$197, MATCH($B63&amp;"% GDP", Database!$AD$6:$AD$197, 0)), "")</f>
        <v/>
      </c>
      <c r="R63" s="300" t="str">
        <f>IF(ISNUMBER(INDEX(Database!$L$6:$L$197, MATCH($B63&amp;"% GDP", Database!$AD$6:$AD$197, 0))), INDEX(Database!$L$6:$L$197, MATCH($B63&amp;"% GDP", Database!$AD$6:$AD$197, 0)), "")</f>
        <v/>
      </c>
      <c r="S63" s="300"/>
      <c r="T63" s="320" t="str">
        <f>IF(ISNUMBER(INDEX(Database!$P$6:$P$197, MATCH($B63&amp;"% GDP", Database!$AD$6:$AD$197, 0))), INDEX(Database!$P$6:$P$197, MATCH($B63&amp;"% GDP", Database!$AD$6:$AD$197, 0)), "")</f>
        <v/>
      </c>
      <c r="U63" s="300" t="str">
        <f>IF(ISNUMBER(INDEX(Database!$Q$6:$Q$197, MATCH($B63&amp;"% GDP", Database!$AD$6:$AD$197, 0))), INDEX(Database!$Q$6:$Q$197, MATCH($B63&amp;"% GDP", Database!$AD$6:$AD$197, 0)), "")</f>
        <v/>
      </c>
      <c r="V63" s="300"/>
      <c r="W63" s="300" t="str">
        <f>IF(ISNUMBER(INDEX(Database!$U$6:$U$197, MATCH($B63&amp;"% GDP", Database!$AD$6:$AD$197, 0))), INDEX(Database!$U$6:$U$197, MATCH($B63&amp;"% GDP", Database!$AD$6:$AD$197, 0)), "")</f>
        <v/>
      </c>
      <c r="X63" s="300" t="str">
        <f>IF(ISNUMBER(INDEX(Database!$W$6:$W$197, MATCH($B63&amp;"% GDP", Database!$AD$6:$AD$197, 0))), INDEX(Database!$W$6:$W$197, MATCH($B63&amp;"% GDP", Database!$AD$6:$AD$197, 0)), "")</f>
        <v/>
      </c>
    </row>
    <row r="64" spans="2:24">
      <c r="B64" s="299" t="s">
        <v>37</v>
      </c>
      <c r="C64" s="321">
        <f>IF(ISNUMBER(INDEX(Database!$G$6:$G$197, MATCH($B64&amp;"USD bn", Database!$AD$6:$AD$197, 0))), INDEX(Database!$G$6:$G$197, MATCH($B64&amp;"USD bn", Database!$AD$6:$AD$197, 0)), "")</f>
        <v>7.4404955534436894</v>
      </c>
      <c r="D64" s="303">
        <f>IF(ISNUMBER(INDEX(Database!$H$6:$H$197, MATCH($B64&amp;"USD bn", Database!$AD$6:$AD$197, 0))), INDEX(Database!$H$6:$H$197, MATCH($B64&amp;"USD bn", Database!$AD$6:$AD$197, 0)), "")</f>
        <v>2.9836987447040832</v>
      </c>
      <c r="E64" s="303">
        <f>IF(ISNUMBER(INDEX(Database!$J$6:$J$197, MATCH($B64&amp;"USD bn", Database!$AD$6:$AD$197, 0))), INDEX(Database!$J$6:$J$197, MATCH($B64&amp;"USD bn", Database!$AD$6:$AD$197, 0)), "")</f>
        <v>4.4567968087396057</v>
      </c>
      <c r="F64" s="303" t="str">
        <f>IF(ISNUMBER(INDEX(Database!$L$6:$L$197, MATCH($B64&amp;"USD bn", Database!$AD$6:$AD$197, 0))), INDEX(Database!$L$6:$L$197, MATCH($B64&amp;"USD bn", Database!$AD$6:$AD$197, 0)), "")</f>
        <v/>
      </c>
      <c r="G64" s="303"/>
      <c r="H64" s="321">
        <f>IF(ISNUMBER(INDEX(Database!$P$6:$P$197, MATCH($B64&amp;"USD bn", Database!$AD$6:$AD$197, 0))), INDEX(Database!$P$6:$P$197, MATCH($B64&amp;"USD bn", Database!$AD$6:$AD$197, 0)), "")</f>
        <v>0.23586551341534254</v>
      </c>
      <c r="I64" s="303" t="str">
        <f>IF(ISNUMBER(INDEX(Database!$Q$6:$Q$197, MATCH($B64&amp;"USD bn", Database!$AD$6:$AD$197, 0))), INDEX(Database!$Q$6:$Q$197, MATCH($B64&amp;"USD bn", Database!$AD$6:$AD$197, 0)), "")</f>
        <v/>
      </c>
      <c r="J64" s="303"/>
      <c r="K64" s="303">
        <f>IF(ISNUMBER(INDEX(Database!$U$6:$U$197, MATCH($B64&amp;"USD bn", Database!$AD$6:$AD$197, 0))), INDEX(Database!$U$6:$U$197, MATCH($B64&amp;"USD bn", Database!$AD$6:$AD$197, 0)), "")</f>
        <v>0.23586551341534254</v>
      </c>
      <c r="L64" s="303" t="str">
        <f>IF(ISNUMBER(INDEX(Database!$W$6:$W$197, MATCH($B64&amp;"USD bn", Database!$AD$6:$AD$197, 0))), INDEX(Database!$W$6:$W$197, MATCH($B64&amp;"USD bn", Database!$AD$6:$AD$197, 0)), "")</f>
        <v/>
      </c>
      <c r="O64" s="320">
        <f>IF(ISNUMBER(INDEX(Database!$G$6:$G$197, MATCH($B64&amp;"% GDP", Database!$AD$6:$AD$197, 0))), INDEX(Database!$G$6:$G$197, MATCH($B64&amp;"% GDP", Database!$AD$6:$AD$197, 0)), "")</f>
        <v>2.3031524031183657</v>
      </c>
      <c r="P64" s="300">
        <f>IF(ISNUMBER(INDEX(Database!$H$6:$H$197, MATCH($B64&amp;"% GDP", Database!$AD$6:$AD$197, 0))), INDEX(Database!$H$6:$H$197, MATCH($B64&amp;"% GDP", Database!$AD$6:$AD$197, 0)), "")</f>
        <v>0.92358269482009558</v>
      </c>
      <c r="Q64" s="300">
        <f>IF(ISNUMBER(INDEX(Database!$J$6:$J$197, MATCH($B64&amp;"% GDP", Database!$AD$6:$AD$197, 0))), INDEX(Database!$J$6:$J$197, MATCH($B64&amp;"% GDP", Database!$AD$6:$AD$197, 0)), "")</f>
        <v>1.3795697082982701</v>
      </c>
      <c r="R64" s="300" t="str">
        <f>IF(ISNUMBER(INDEX(Database!$L$6:$L$197, MATCH($B64&amp;"% GDP", Database!$AD$6:$AD$197, 0))), INDEX(Database!$L$6:$L$197, MATCH($B64&amp;"% GDP", Database!$AD$6:$AD$197, 0)), "")</f>
        <v/>
      </c>
      <c r="S64" s="300"/>
      <c r="T64" s="320">
        <f>IF(ISNUMBER(INDEX(Database!$P$6:$P$197, MATCH($B64&amp;"% GDP", Database!$AD$6:$AD$197, 0))), INDEX(Database!$P$6:$P$197, MATCH($B64&amp;"% GDP", Database!$AD$6:$AD$197, 0)), "")</f>
        <v>7.3010489709098458E-2</v>
      </c>
      <c r="U64" s="300" t="str">
        <f>IF(ISNUMBER(INDEX(Database!$Q$6:$Q$197, MATCH($B64&amp;"% GDP", Database!$AD$6:$AD$197, 0))), INDEX(Database!$Q$6:$Q$197, MATCH($B64&amp;"% GDP", Database!$AD$6:$AD$197, 0)), "")</f>
        <v/>
      </c>
      <c r="V64" s="300"/>
      <c r="W64" s="300">
        <f>IF(ISNUMBER(INDEX(Database!$U$6:$U$197, MATCH($B64&amp;"% GDP", Database!$AD$6:$AD$197, 0))), INDEX(Database!$U$6:$U$197, MATCH($B64&amp;"% GDP", Database!$AD$6:$AD$197, 0)), "")</f>
        <v>7.3010489709098458E-2</v>
      </c>
      <c r="X64" s="300" t="str">
        <f>IF(ISNUMBER(INDEX(Database!$W$6:$W$197, MATCH($B64&amp;"% GDP", Database!$AD$6:$AD$197, 0))), INDEX(Database!$W$6:$W$197, MATCH($B64&amp;"% GDP", Database!$AD$6:$AD$197, 0)), "")</f>
        <v/>
      </c>
    </row>
    <row r="65" spans="2:24">
      <c r="B65" s="299" t="s">
        <v>548</v>
      </c>
      <c r="C65" s="321">
        <f>IF(ISNUMBER(INDEX(Database!$G$6:$G$197, MATCH($B65&amp;"USD bn", Database!$AD$6:$AD$197, 0))), INDEX(Database!$G$6:$G$197, MATCH($B65&amp;"USD bn", Database!$AD$6:$AD$197, 0)), "")</f>
        <v>2.4164497040512201</v>
      </c>
      <c r="D65" s="303">
        <f>IF(ISNUMBER(INDEX(Database!$H$6:$H$197, MATCH($B65&amp;"USD bn", Database!$AD$6:$AD$197, 0))), INDEX(Database!$H$6:$H$197, MATCH($B65&amp;"USD bn", Database!$AD$6:$AD$197, 0)), "")</f>
        <v>0.60983861014562779</v>
      </c>
      <c r="E65" s="303">
        <f>IF(ISNUMBER(INDEX(Database!$J$6:$J$197, MATCH($B65&amp;"USD bn", Database!$AD$6:$AD$197, 0))), INDEX(Database!$J$6:$J$197, MATCH($B65&amp;"USD bn", Database!$AD$6:$AD$197, 0)), "")</f>
        <v>1.8066110939055922</v>
      </c>
      <c r="F65" s="303" t="str">
        <f>IF(ISNUMBER(INDEX(Database!$L$6:$L$197, MATCH($B65&amp;"USD bn", Database!$AD$6:$AD$197, 0))), INDEX(Database!$L$6:$L$197, MATCH($B65&amp;"USD bn", Database!$AD$6:$AD$197, 0)), "")</f>
        <v/>
      </c>
      <c r="G65" s="303"/>
      <c r="H65" s="321">
        <f>IF(ISNUMBER(INDEX(Database!$P$6:$P$197, MATCH($B65&amp;"USD bn", Database!$AD$6:$AD$197, 0))), INDEX(Database!$P$6:$P$197, MATCH($B65&amp;"USD bn", Database!$AD$6:$AD$197, 0)), "")</f>
        <v>0.60124933394639357</v>
      </c>
      <c r="I65" s="303">
        <f>IF(ISNUMBER(INDEX(Database!$Q$6:$Q$197, MATCH($B65&amp;"USD bn", Database!$AD$6:$AD$197, 0))), INDEX(Database!$Q$6:$Q$197, MATCH($B65&amp;"USD bn", Database!$AD$6:$AD$197, 0)), "")</f>
        <v>0.60124933394639357</v>
      </c>
      <c r="J65" s="303"/>
      <c r="K65" s="303" t="str">
        <f>IF(ISNUMBER(INDEX(Database!$U$6:$U$197, MATCH($B65&amp;"USD bn", Database!$AD$6:$AD$197, 0))), INDEX(Database!$U$6:$U$197, MATCH($B65&amp;"USD bn", Database!$AD$6:$AD$197, 0)), "")</f>
        <v/>
      </c>
      <c r="L65" s="303" t="str">
        <f>IF(ISNUMBER(INDEX(Database!$W$6:$W$197, MATCH($B65&amp;"USD bn", Database!$AD$6:$AD$197, 0))), INDEX(Database!$W$6:$W$197, MATCH($B65&amp;"USD bn", Database!$AD$6:$AD$197, 0)), "")</f>
        <v/>
      </c>
      <c r="O65" s="320">
        <f>IF(ISNUMBER(INDEX(Database!$G$6:$G$197, MATCH($B65&amp;"% GDP", Database!$AD$6:$AD$197, 0))), INDEX(Database!$G$6:$G$197, MATCH($B65&amp;"% GDP", Database!$AD$6:$AD$197, 0)), "")</f>
        <v>2.5012230728926022</v>
      </c>
      <c r="P65" s="300">
        <f>IF(ISNUMBER(INDEX(Database!$H$6:$H$197, MATCH($B65&amp;"% GDP", Database!$AD$6:$AD$197, 0))), INDEX(Database!$H$6:$H$197, MATCH($B65&amp;"% GDP", Database!$AD$6:$AD$197, 0)), "")</f>
        <v>0.63123283711626088</v>
      </c>
      <c r="Q65" s="300">
        <f>IF(ISNUMBER(INDEX(Database!$J$6:$J$197, MATCH($B65&amp;"% GDP", Database!$AD$6:$AD$197, 0))), INDEX(Database!$J$6:$J$197, MATCH($B65&amp;"% GDP", Database!$AD$6:$AD$197, 0)), "")</f>
        <v>1.8699902357763409</v>
      </c>
      <c r="R65" s="300" t="str">
        <f>IF(ISNUMBER(INDEX(Database!$L$6:$L$197, MATCH($B65&amp;"% GDP", Database!$AD$6:$AD$197, 0))), INDEX(Database!$L$6:$L$197, MATCH($B65&amp;"% GDP", Database!$AD$6:$AD$197, 0)), "")</f>
        <v/>
      </c>
      <c r="S65" s="300"/>
      <c r="T65" s="320">
        <f>IF(ISNUMBER(INDEX(Database!$P$6:$P$197, MATCH($B65&amp;"% GDP", Database!$AD$6:$AD$197, 0))), INDEX(Database!$P$6:$P$197, MATCH($B65&amp;"% GDP", Database!$AD$6:$AD$197, 0)), "")</f>
        <v>0.62234223377659526</v>
      </c>
      <c r="U65" s="300">
        <f>IF(ISNUMBER(INDEX(Database!$Q$6:$Q$197, MATCH($B65&amp;"% GDP", Database!$AD$6:$AD$197, 0))), INDEX(Database!$Q$6:$Q$197, MATCH($B65&amp;"% GDP", Database!$AD$6:$AD$197, 0)), "")</f>
        <v>0.62234223377659526</v>
      </c>
      <c r="V65" s="300"/>
      <c r="W65" s="300" t="str">
        <f>IF(ISNUMBER(INDEX(Database!$U$6:$U$197, MATCH($B65&amp;"% GDP", Database!$AD$6:$AD$197, 0))), INDEX(Database!$U$6:$U$197, MATCH($B65&amp;"% GDP", Database!$AD$6:$AD$197, 0)), "")</f>
        <v/>
      </c>
      <c r="X65" s="300" t="str">
        <f>IF(ISNUMBER(INDEX(Database!$W$6:$W$197, MATCH($B65&amp;"% GDP", Database!$AD$6:$AD$197, 0))), INDEX(Database!$W$6:$W$197, MATCH($B65&amp;"% GDP", Database!$AD$6:$AD$197, 0)), "")</f>
        <v/>
      </c>
    </row>
    <row r="66" spans="2:24">
      <c r="B66" s="299" t="s">
        <v>550</v>
      </c>
      <c r="C66" s="321">
        <f>IF(ISNUMBER(INDEX(Database!$G$6:$G$197, MATCH($B66&amp;"USD bn", Database!$AD$6:$AD$197, 0))), INDEX(Database!$G$6:$G$197, MATCH($B66&amp;"USD bn", Database!$AD$6:$AD$197, 0)), "")</f>
        <v>2.2327431550550991</v>
      </c>
      <c r="D66" s="303">
        <f>IF(ISNUMBER(INDEX(Database!$H$6:$H$197, MATCH($B66&amp;"USD bn", Database!$AD$6:$AD$197, 0))), INDEX(Database!$H$6:$H$197, MATCH($B66&amp;"USD bn", Database!$AD$6:$AD$197, 0)), "")</f>
        <v>0.75020170009851339</v>
      </c>
      <c r="E66" s="303">
        <f>IF(ISNUMBER(INDEX(Database!$J$6:$J$197, MATCH($B66&amp;"USD bn", Database!$AD$6:$AD$197, 0))), INDEX(Database!$J$6:$J$197, MATCH($B66&amp;"USD bn", Database!$AD$6:$AD$197, 0)), "")</f>
        <v>1.4825414549565861</v>
      </c>
      <c r="F66" s="303" t="str">
        <f>IF(ISNUMBER(INDEX(Database!$L$6:$L$197, MATCH($B66&amp;"USD bn", Database!$AD$6:$AD$197, 0))), INDEX(Database!$L$6:$L$197, MATCH($B66&amp;"USD bn", Database!$AD$6:$AD$197, 0)), "")</f>
        <v/>
      </c>
      <c r="G66" s="303"/>
      <c r="H66" s="321">
        <f>IF(ISNUMBER(INDEX(Database!$P$6:$P$197, MATCH($B66&amp;"USD bn", Database!$AD$6:$AD$197, 0))), INDEX(Database!$P$6:$P$197, MATCH($B66&amp;"USD bn", Database!$AD$6:$AD$197, 0)), "")</f>
        <v>0.21434334288528953</v>
      </c>
      <c r="I66" s="303">
        <f>IF(ISNUMBER(INDEX(Database!$Q$6:$Q$197, MATCH($B66&amp;"USD bn", Database!$AD$6:$AD$197, 0))), INDEX(Database!$Q$6:$Q$197, MATCH($B66&amp;"USD bn", Database!$AD$6:$AD$197, 0)), "")</f>
        <v>0.21434334288528953</v>
      </c>
      <c r="J66" s="303"/>
      <c r="K66" s="303" t="str">
        <f>IF(ISNUMBER(INDEX(Database!$U$6:$U$197, MATCH($B66&amp;"USD bn", Database!$AD$6:$AD$197, 0))), INDEX(Database!$U$6:$U$197, MATCH($B66&amp;"USD bn", Database!$AD$6:$AD$197, 0)), "")</f>
        <v/>
      </c>
      <c r="L66" s="303" t="str">
        <f>IF(ISNUMBER(INDEX(Database!$W$6:$W$197, MATCH($B66&amp;"USD bn", Database!$AD$6:$AD$197, 0))), INDEX(Database!$W$6:$W$197, MATCH($B66&amp;"USD bn", Database!$AD$6:$AD$197, 0)), "")</f>
        <v/>
      </c>
      <c r="O66" s="320">
        <f>IF(ISNUMBER(INDEX(Database!$G$6:$G$197, MATCH($B66&amp;"% GDP", Database!$AD$6:$AD$197, 0))), INDEX(Database!$G$6:$G$197, MATCH($B66&amp;"% GDP", Database!$AD$6:$AD$197, 0)), "")</f>
        <v>3.2595714054750369</v>
      </c>
      <c r="P66" s="300">
        <f>IF(ISNUMBER(INDEX(Database!$H$6:$H$197, MATCH($B66&amp;"% GDP", Database!$AD$6:$AD$197, 0))), INDEX(Database!$H$6:$H$197, MATCH($B66&amp;"% GDP", Database!$AD$6:$AD$197, 0)), "")</f>
        <v>1.0952159922396125</v>
      </c>
      <c r="Q66" s="300">
        <f>IF(ISNUMBER(INDEX(Database!$J$6:$J$197, MATCH($B66&amp;"% GDP", Database!$AD$6:$AD$197, 0))), INDEX(Database!$J$6:$J$197, MATCH($B66&amp;"% GDP", Database!$AD$6:$AD$197, 0)), "")</f>
        <v>2.164355413235425</v>
      </c>
      <c r="R66" s="300" t="str">
        <f>IF(ISNUMBER(INDEX(Database!$L$6:$L$197, MATCH($B66&amp;"% GDP", Database!$AD$6:$AD$197, 0))), INDEX(Database!$L$6:$L$197, MATCH($B66&amp;"% GDP", Database!$AD$6:$AD$197, 0)), "")</f>
        <v/>
      </c>
      <c r="S66" s="300"/>
      <c r="T66" s="320">
        <f>IF(ISNUMBER(INDEX(Database!$P$6:$P$197, MATCH($B66&amp;"% GDP", Database!$AD$6:$AD$197, 0))), INDEX(Database!$P$6:$P$197, MATCH($B66&amp;"% GDP", Database!$AD$6:$AD$197, 0)), "")</f>
        <v>0.31291885492560356</v>
      </c>
      <c r="U66" s="300">
        <f>IF(ISNUMBER(INDEX(Database!$Q$6:$Q$197, MATCH($B66&amp;"% GDP", Database!$AD$6:$AD$197, 0))), INDEX(Database!$Q$6:$Q$197, MATCH($B66&amp;"% GDP", Database!$AD$6:$AD$197, 0)), "")</f>
        <v>0.31291885492560356</v>
      </c>
      <c r="V66" s="300"/>
      <c r="W66" s="300" t="str">
        <f>IF(ISNUMBER(INDEX(Database!$U$6:$U$197, MATCH($B66&amp;"% GDP", Database!$AD$6:$AD$197, 0))), INDEX(Database!$U$6:$U$197, MATCH($B66&amp;"% GDP", Database!$AD$6:$AD$197, 0)), "")</f>
        <v/>
      </c>
      <c r="X66" s="300" t="str">
        <f>IF(ISNUMBER(INDEX(Database!$W$6:$W$197, MATCH($B66&amp;"% GDP", Database!$AD$6:$AD$197, 0))), INDEX(Database!$W$6:$W$197, MATCH($B66&amp;"% GDP", Database!$AD$6:$AD$197, 0)), "")</f>
        <v/>
      </c>
    </row>
    <row r="67" spans="2:24">
      <c r="B67" s="299" t="s">
        <v>566</v>
      </c>
      <c r="C67" s="321">
        <f>IF(ISNUMBER(INDEX(Database!$G$6:$G$197, MATCH($B67&amp;"USD bn", Database!$AD$6:$AD$197, 0))), INDEX(Database!$G$6:$G$197, MATCH($B67&amp;"USD bn", Database!$AD$6:$AD$197, 0)), "")</f>
        <v>9.6093184602259421E-2</v>
      </c>
      <c r="D67" s="303">
        <f>IF(ISNUMBER(INDEX(Database!$H$6:$H$197, MATCH($B67&amp;"USD bn", Database!$AD$6:$AD$197, 0))), INDEX(Database!$H$6:$H$197, MATCH($B67&amp;"USD bn", Database!$AD$6:$AD$197, 0)), "")</f>
        <v>8.4557826754839902E-2</v>
      </c>
      <c r="E67" s="303">
        <f>IF(ISNUMBER(INDEX(Database!$J$6:$J$197, MATCH($B67&amp;"USD bn", Database!$AD$6:$AD$197, 0))), INDEX(Database!$J$6:$J$197, MATCH($B67&amp;"USD bn", Database!$AD$6:$AD$197, 0)), "")</f>
        <v>1.1535357847419518E-2</v>
      </c>
      <c r="F67" s="303" t="str">
        <f>IF(ISNUMBER(INDEX(Database!$L$6:$L$197, MATCH($B67&amp;"USD bn", Database!$AD$6:$AD$197, 0))), INDEX(Database!$L$6:$L$197, MATCH($B67&amp;"USD bn", Database!$AD$6:$AD$197, 0)), "")</f>
        <v/>
      </c>
      <c r="G67" s="303"/>
      <c r="H67" s="321">
        <f>IF(ISNUMBER(INDEX(Database!$P$6:$P$197, MATCH($B67&amp;"USD bn", Database!$AD$6:$AD$197, 0))), INDEX(Database!$P$6:$P$197, MATCH($B67&amp;"USD bn", Database!$AD$6:$AD$197, 0)), "")</f>
        <v>2.609809467741972E-2</v>
      </c>
      <c r="I67" s="303">
        <f>IF(ISNUMBER(INDEX(Database!$Q$6:$Q$197, MATCH($B67&amp;"USD bn", Database!$AD$6:$AD$197, 0))), INDEX(Database!$Q$6:$Q$197, MATCH($B67&amp;"USD bn", Database!$AD$6:$AD$197, 0)), "")</f>
        <v>2.609809467741972E-2</v>
      </c>
      <c r="J67" s="303"/>
      <c r="K67" s="303" t="str">
        <f>IF(ISNUMBER(INDEX(Database!$U$6:$U$197, MATCH($B67&amp;"USD bn", Database!$AD$6:$AD$197, 0))), INDEX(Database!$U$6:$U$197, MATCH($B67&amp;"USD bn", Database!$AD$6:$AD$197, 0)), "")</f>
        <v/>
      </c>
      <c r="L67" s="303" t="str">
        <f>IF(ISNUMBER(INDEX(Database!$W$6:$W$197, MATCH($B67&amp;"USD bn", Database!$AD$6:$AD$197, 0))), INDEX(Database!$W$6:$W$197, MATCH($B67&amp;"USD bn", Database!$AD$6:$AD$197, 0)), "")</f>
        <v/>
      </c>
      <c r="O67" s="320">
        <f>IF(ISNUMBER(INDEX(Database!$G$6:$G$197, MATCH($B67&amp;"% GDP", Database!$AD$6:$AD$197, 0))), INDEX(Database!$G$6:$G$197, MATCH($B67&amp;"% GDP", Database!$AD$6:$AD$197, 0)), "")</f>
        <v>6.702226729381966</v>
      </c>
      <c r="P67" s="300">
        <f>IF(ISNUMBER(INDEX(Database!$H$6:$H$197, MATCH($B67&amp;"% GDP", Database!$AD$6:$AD$197, 0))), INDEX(Database!$H$6:$H$197, MATCH($B67&amp;"% GDP", Database!$AD$6:$AD$197, 0)), "")</f>
        <v>5.8976682789781556</v>
      </c>
      <c r="Q67" s="300">
        <f>IF(ISNUMBER(INDEX(Database!$J$6:$J$197, MATCH($B67&amp;"% GDP", Database!$AD$6:$AD$197, 0))), INDEX(Database!$J$6:$J$197, MATCH($B67&amp;"% GDP", Database!$AD$6:$AD$197, 0)), "")</f>
        <v>0.80455845040381013</v>
      </c>
      <c r="R67" s="300" t="str">
        <f>IF(ISNUMBER(INDEX(Database!$L$6:$L$197, MATCH($B67&amp;"% GDP", Database!$AD$6:$AD$197, 0))), INDEX(Database!$L$6:$L$197, MATCH($B67&amp;"% GDP", Database!$AD$6:$AD$197, 0)), "")</f>
        <v/>
      </c>
      <c r="S67" s="300"/>
      <c r="T67" s="320">
        <f>IF(ISNUMBER(INDEX(Database!$P$6:$P$197, MATCH($B67&amp;"% GDP", Database!$AD$6:$AD$197, 0))), INDEX(Database!$P$6:$P$197, MATCH($B67&amp;"% GDP", Database!$AD$6:$AD$197, 0)), "")</f>
        <v>1.8202679873389367</v>
      </c>
      <c r="U67" s="300">
        <f>IF(ISNUMBER(INDEX(Database!$Q$6:$Q$197, MATCH($B67&amp;"% GDP", Database!$AD$6:$AD$197, 0))), INDEX(Database!$Q$6:$Q$197, MATCH($B67&amp;"% GDP", Database!$AD$6:$AD$197, 0)), "")</f>
        <v>1.8202679873389367</v>
      </c>
      <c r="V67" s="300"/>
      <c r="W67" s="300" t="str">
        <f>IF(ISNUMBER(INDEX(Database!$U$6:$U$197, MATCH($B67&amp;"% GDP", Database!$AD$6:$AD$197, 0))), INDEX(Database!$U$6:$U$197, MATCH($B67&amp;"% GDP", Database!$AD$6:$AD$197, 0)), "")</f>
        <v/>
      </c>
      <c r="X67" s="300" t="str">
        <f>IF(ISNUMBER(INDEX(Database!$W$6:$W$197, MATCH($B67&amp;"% GDP", Database!$AD$6:$AD$197, 0))), INDEX(Database!$W$6:$W$197, MATCH($B67&amp;"% GDP", Database!$AD$6:$AD$197, 0)), "")</f>
        <v/>
      </c>
    </row>
    <row r="68" spans="2:24">
      <c r="B68" s="299" t="s">
        <v>38</v>
      </c>
      <c r="C68" s="321">
        <f>IF(ISNUMBER(INDEX(Database!$G$6:$G$197, MATCH($B68&amp;"USD bn", Database!$AD$6:$AD$197, 0))), INDEX(Database!$G$6:$G$197, MATCH($B68&amp;"USD bn", Database!$AD$6:$AD$197, 0)), "")</f>
        <v>0.81767544130184866</v>
      </c>
      <c r="D68" s="303">
        <f>IF(ISNUMBER(INDEX(Database!$H$6:$H$197, MATCH($B68&amp;"USD bn", Database!$AD$6:$AD$197, 0))), INDEX(Database!$H$6:$H$197, MATCH($B68&amp;"USD bn", Database!$AD$6:$AD$197, 0)), "")</f>
        <v>0.51664070171808341</v>
      </c>
      <c r="E68" s="303">
        <f>IF(ISNUMBER(INDEX(Database!$J$6:$J$197, MATCH($B68&amp;"USD bn", Database!$AD$6:$AD$197, 0))), INDEX(Database!$J$6:$J$197, MATCH($B68&amp;"USD bn", Database!$AD$6:$AD$197, 0)), "")</f>
        <v>0.3010347395837652</v>
      </c>
      <c r="F68" s="303" t="str">
        <f>IF(ISNUMBER(INDEX(Database!$L$6:$L$197, MATCH($B68&amp;"USD bn", Database!$AD$6:$AD$197, 0))), INDEX(Database!$L$6:$L$197, MATCH($B68&amp;"USD bn", Database!$AD$6:$AD$197, 0)), "")</f>
        <v/>
      </c>
      <c r="G68" s="303"/>
      <c r="H68" s="321">
        <f>IF(ISNUMBER(INDEX(Database!$P$6:$P$197, MATCH($B68&amp;"USD bn", Database!$AD$6:$AD$197, 0))), INDEX(Database!$P$6:$P$197, MATCH($B68&amp;"USD bn", Database!$AD$6:$AD$197, 0)), "")</f>
        <v>0.27967754522140348</v>
      </c>
      <c r="I68" s="303" t="str">
        <f>IF(ISNUMBER(INDEX(Database!$Q$6:$Q$197, MATCH($B68&amp;"USD bn", Database!$AD$6:$AD$197, 0))), INDEX(Database!$Q$6:$Q$197, MATCH($B68&amp;"USD bn", Database!$AD$6:$AD$197, 0)), "")</f>
        <v/>
      </c>
      <c r="J68" s="303"/>
      <c r="K68" s="303">
        <f>IF(ISNUMBER(INDEX(Database!$U$6:$U$197, MATCH($B68&amp;"USD bn", Database!$AD$6:$AD$197, 0))), INDEX(Database!$U$6:$U$197, MATCH($B68&amp;"USD bn", Database!$AD$6:$AD$197, 0)), "")</f>
        <v>0.27967754522140348</v>
      </c>
      <c r="L68" s="303">
        <f>IF(ISNUMBER(INDEX(Database!$W$6:$W$197, MATCH($B68&amp;"USD bn", Database!$AD$6:$AD$197, 0))), INDEX(Database!$W$6:$W$197, MATCH($B68&amp;"USD bn", Database!$AD$6:$AD$197, 0)), "")</f>
        <v>0</v>
      </c>
      <c r="O68" s="320">
        <f>IF(ISNUMBER(INDEX(Database!$G$6:$G$197, MATCH($B68&amp;"% GDP", Database!$AD$6:$AD$197, 0))), INDEX(Database!$G$6:$G$197, MATCH($B68&amp;"% GDP", Database!$AD$6:$AD$197, 0)), "")</f>
        <v>3.43159415816337</v>
      </c>
      <c r="P68" s="300">
        <f>IF(ISNUMBER(INDEX(Database!$H$6:$H$197, MATCH($B68&amp;"% GDP", Database!$AD$6:$AD$197, 0))), INDEX(Database!$H$6:$H$197, MATCH($B68&amp;"% GDP", Database!$AD$6:$AD$197, 0)), "")</f>
        <v>2.1682211845111836</v>
      </c>
      <c r="Q68" s="300">
        <f>IF(ISNUMBER(INDEX(Database!$J$6:$J$197, MATCH($B68&amp;"% GDP", Database!$AD$6:$AD$197, 0))), INDEX(Database!$J$6:$J$197, MATCH($B68&amp;"% GDP", Database!$AD$6:$AD$197, 0)), "")</f>
        <v>1.2633729736521859</v>
      </c>
      <c r="R68" s="300" t="str">
        <f>IF(ISNUMBER(INDEX(Database!$L$6:$L$197, MATCH($B68&amp;"% GDP", Database!$AD$6:$AD$197, 0))), INDEX(Database!$L$6:$L$197, MATCH($B68&amp;"% GDP", Database!$AD$6:$AD$197, 0)), "")</f>
        <v/>
      </c>
      <c r="S68" s="300"/>
      <c r="T68" s="320">
        <f>IF(ISNUMBER(INDEX(Database!$P$6:$P$197, MATCH($B68&amp;"% GDP", Database!$AD$6:$AD$197, 0))), INDEX(Database!$P$6:$P$197, MATCH($B68&amp;"% GDP", Database!$AD$6:$AD$197, 0)), "")</f>
        <v>1.173741782953889</v>
      </c>
      <c r="U68" s="300" t="str">
        <f>IF(ISNUMBER(INDEX(Database!$Q$6:$Q$197, MATCH($B68&amp;"% GDP", Database!$AD$6:$AD$197, 0))), INDEX(Database!$Q$6:$Q$197, MATCH($B68&amp;"% GDP", Database!$AD$6:$AD$197, 0)), "")</f>
        <v/>
      </c>
      <c r="V68" s="300"/>
      <c r="W68" s="300">
        <f>IF(ISNUMBER(INDEX(Database!$U$6:$U$197, MATCH($B68&amp;"% GDP", Database!$AD$6:$AD$197, 0))), INDEX(Database!$U$6:$U$197, MATCH($B68&amp;"% GDP", Database!$AD$6:$AD$197, 0)), "")</f>
        <v>1.173741782953889</v>
      </c>
      <c r="X68" s="300">
        <f>IF(ISNUMBER(INDEX(Database!$W$6:$W$197, MATCH($B68&amp;"% GDP", Database!$AD$6:$AD$197, 0))), INDEX(Database!$W$6:$W$197, MATCH($B68&amp;"% GDP", Database!$AD$6:$AD$197, 0)), "")</f>
        <v>0</v>
      </c>
    </row>
    <row r="69" spans="2:24">
      <c r="B69" s="299" t="s">
        <v>552</v>
      </c>
      <c r="C69" s="321">
        <f>IF(ISNUMBER(INDEX(Database!$G$6:$G$197, MATCH($B69&amp;"USD bn", Database!$AD$6:$AD$197, 0))), INDEX(Database!$G$6:$G$197, MATCH($B69&amp;"USD bn", Database!$AD$6:$AD$197, 0)), "")</f>
        <v>2.5109136596508708</v>
      </c>
      <c r="D69" s="303">
        <f>IF(ISNUMBER(INDEX(Database!$H$6:$H$197, MATCH($B69&amp;"USD bn", Database!$AD$6:$AD$197, 0))), INDEX(Database!$H$6:$H$197, MATCH($B69&amp;"USD bn", Database!$AD$6:$AD$197, 0)), "")</f>
        <v>0.20575013296076938</v>
      </c>
      <c r="E69" s="303">
        <f>IF(ISNUMBER(INDEX(Database!$J$6:$J$197, MATCH($B69&amp;"USD bn", Database!$AD$6:$AD$197, 0))), INDEX(Database!$J$6:$J$197, MATCH($B69&amp;"USD bn", Database!$AD$6:$AD$197, 0)), "")</f>
        <v>2.3051635266901012</v>
      </c>
      <c r="F69" s="303">
        <f>IF(ISNUMBER(INDEX(Database!$L$6:$L$197, MATCH($B69&amp;"USD bn", Database!$AD$6:$AD$197, 0))), INDEX(Database!$L$6:$L$197, MATCH($B69&amp;"USD bn", Database!$AD$6:$AD$197, 0)), "")</f>
        <v>0.3143404809122865</v>
      </c>
      <c r="G69" s="303"/>
      <c r="H69" s="321" t="str">
        <f>IF(ISNUMBER(INDEX(Database!$P$6:$P$197, MATCH($B69&amp;"USD bn", Database!$AD$6:$AD$197, 0))), INDEX(Database!$P$6:$P$197, MATCH($B69&amp;"USD bn", Database!$AD$6:$AD$197, 0)), "")</f>
        <v/>
      </c>
      <c r="I69" s="303" t="str">
        <f>IF(ISNUMBER(INDEX(Database!$Q$6:$Q$197, MATCH($B69&amp;"USD bn", Database!$AD$6:$AD$197, 0))), INDEX(Database!$Q$6:$Q$197, MATCH($B69&amp;"USD bn", Database!$AD$6:$AD$197, 0)), "")</f>
        <v/>
      </c>
      <c r="J69" s="303"/>
      <c r="K69" s="303" t="str">
        <f>IF(ISNUMBER(INDEX(Database!$U$6:$U$197, MATCH($B69&amp;"USD bn", Database!$AD$6:$AD$197, 0))), INDEX(Database!$U$6:$U$197, MATCH($B69&amp;"USD bn", Database!$AD$6:$AD$197, 0)), "")</f>
        <v/>
      </c>
      <c r="L69" s="303" t="str">
        <f>IF(ISNUMBER(INDEX(Database!$W$6:$W$197, MATCH($B69&amp;"USD bn", Database!$AD$6:$AD$197, 0))), INDEX(Database!$W$6:$W$197, MATCH($B69&amp;"USD bn", Database!$AD$6:$AD$197, 0)), "")</f>
        <v/>
      </c>
      <c r="O69" s="320">
        <f>IF(ISNUMBER(INDEX(Database!$G$6:$G$197, MATCH($B69&amp;"% GDP", Database!$AD$6:$AD$197, 0))), INDEX(Database!$G$6:$G$197, MATCH($B69&amp;"% GDP", Database!$AD$6:$AD$197, 0)), "")</f>
        <v>2.4514108377373729</v>
      </c>
      <c r="P69" s="300">
        <f>IF(ISNUMBER(INDEX(Database!$H$6:$H$197, MATCH($B69&amp;"% GDP", Database!$AD$6:$AD$197, 0))), INDEX(Database!$H$6:$H$197, MATCH($B69&amp;"% GDP", Database!$AD$6:$AD$197, 0)), "")</f>
        <v>0.20087433268257682</v>
      </c>
      <c r="Q69" s="300">
        <f>IF(ISNUMBER(INDEX(Database!$J$6:$J$197, MATCH($B69&amp;"% GDP", Database!$AD$6:$AD$197, 0))), INDEX(Database!$J$6:$J$197, MATCH($B69&amp;"% GDP", Database!$AD$6:$AD$197, 0)), "")</f>
        <v>2.2505365050547956</v>
      </c>
      <c r="R69" s="300">
        <f>IF(ISNUMBER(INDEX(Database!$L$6:$L$197, MATCH($B69&amp;"% GDP", Database!$AD$6:$AD$197, 0))), INDEX(Database!$L$6:$L$197, MATCH($B69&amp;"% GDP", Database!$AD$6:$AD$197, 0)), "")</f>
        <v>0.30689134159838122</v>
      </c>
      <c r="S69" s="300"/>
      <c r="T69" s="320" t="str">
        <f>IF(ISNUMBER(INDEX(Database!$P$6:$P$197, MATCH($B69&amp;"% GDP", Database!$AD$6:$AD$197, 0))), INDEX(Database!$P$6:$P$197, MATCH($B69&amp;"% GDP", Database!$AD$6:$AD$197, 0)), "")</f>
        <v/>
      </c>
      <c r="U69" s="300" t="str">
        <f>IF(ISNUMBER(INDEX(Database!$Q$6:$Q$197, MATCH($B69&amp;"% GDP", Database!$AD$6:$AD$197, 0))), INDEX(Database!$Q$6:$Q$197, MATCH($B69&amp;"% GDP", Database!$AD$6:$AD$197, 0)), "")</f>
        <v/>
      </c>
      <c r="V69" s="300"/>
      <c r="W69" s="300" t="str">
        <f>IF(ISNUMBER(INDEX(Database!$U$6:$U$197, MATCH($B69&amp;"% GDP", Database!$AD$6:$AD$197, 0))), INDEX(Database!$U$6:$U$197, MATCH($B69&amp;"% GDP", Database!$AD$6:$AD$197, 0)), "")</f>
        <v/>
      </c>
      <c r="X69" s="300" t="str">
        <f>IF(ISNUMBER(INDEX(Database!$W$6:$W$197, MATCH($B69&amp;"% GDP", Database!$AD$6:$AD$197, 0))), INDEX(Database!$W$6:$W$197, MATCH($B69&amp;"% GDP", Database!$AD$6:$AD$197, 0)), "")</f>
        <v/>
      </c>
    </row>
    <row r="70" spans="2:24">
      <c r="B70" s="299" t="s">
        <v>912</v>
      </c>
      <c r="C70" s="321">
        <f>IF(ISNUMBER(INDEX(Database!$G$6:$G$197, MATCH($B70&amp;"USD bn", Database!$AD$6:$AD$197, 0))), INDEX(Database!$G$6:$G$197, MATCH($B70&amp;"USD bn", Database!$AD$6:$AD$197, 0)), "")</f>
        <v>0.58733903180831615</v>
      </c>
      <c r="D70" s="303">
        <f>IF(ISNUMBER(INDEX(Database!$H$6:$H$197, MATCH($B70&amp;"USD bn", Database!$AD$6:$AD$197, 0))), INDEX(Database!$H$6:$H$197, MATCH($B70&amp;"USD bn", Database!$AD$6:$AD$197, 0)), "")</f>
        <v>0.13059822221699338</v>
      </c>
      <c r="E70" s="303">
        <f>IF(ISNUMBER(INDEX(Database!$J$6:$J$197, MATCH($B70&amp;"USD bn", Database!$AD$6:$AD$197, 0))), INDEX(Database!$J$6:$J$197, MATCH($B70&amp;"USD bn", Database!$AD$6:$AD$197, 0)), "")</f>
        <v>0.45674080959132279</v>
      </c>
      <c r="F70" s="303" t="str">
        <f>IF(ISNUMBER(INDEX(Database!$L$6:$L$197, MATCH($B70&amp;"USD bn", Database!$AD$6:$AD$197, 0))), INDEX(Database!$L$6:$L$197, MATCH($B70&amp;"USD bn", Database!$AD$6:$AD$197, 0)), "")</f>
        <v/>
      </c>
      <c r="G70" s="303"/>
      <c r="H70" s="321">
        <f>IF(ISNUMBER(INDEX(Database!$P$6:$P$197, MATCH($B70&amp;"USD bn", Database!$AD$6:$AD$197, 0))), INDEX(Database!$P$6:$P$197, MATCH($B70&amp;"USD bn", Database!$AD$6:$AD$197, 0)), "")</f>
        <v>0.21178090089242169</v>
      </c>
      <c r="I70" s="303">
        <f>IF(ISNUMBER(INDEX(Database!$Q$6:$Q$197, MATCH($B70&amp;"USD bn", Database!$AD$6:$AD$197, 0))), INDEX(Database!$Q$6:$Q$197, MATCH($B70&amp;"USD bn", Database!$AD$6:$AD$197, 0)), "")</f>
        <v>0.21178090089242169</v>
      </c>
      <c r="J70" s="303"/>
      <c r="K70" s="303" t="str">
        <f>IF(ISNUMBER(INDEX(Database!$U$6:$U$197, MATCH($B70&amp;"USD bn", Database!$AD$6:$AD$197, 0))), INDEX(Database!$U$6:$U$197, MATCH($B70&amp;"USD bn", Database!$AD$6:$AD$197, 0)), "")</f>
        <v/>
      </c>
      <c r="L70" s="303" t="str">
        <f>IF(ISNUMBER(INDEX(Database!$W$6:$W$197, MATCH($B70&amp;"USD bn", Database!$AD$6:$AD$197, 0))), INDEX(Database!$W$6:$W$197, MATCH($B70&amp;"USD bn", Database!$AD$6:$AD$197, 0)), "")</f>
        <v/>
      </c>
      <c r="O70" s="320">
        <f>IF(ISNUMBER(INDEX(Database!$G$6:$G$197, MATCH($B70&amp;"% GDP", Database!$AD$6:$AD$197, 0))), INDEX(Database!$G$6:$G$197, MATCH($B70&amp;"% GDP", Database!$AD$6:$AD$197, 0)), "")</f>
        <v>0.72281351560912455</v>
      </c>
      <c r="P70" s="300">
        <f>IF(ISNUMBER(INDEX(Database!$H$6:$H$197, MATCH($B70&amp;"% GDP", Database!$AD$6:$AD$197, 0))), INDEX(Database!$H$6:$H$197, MATCH($B70&amp;"% GDP", Database!$AD$6:$AD$197, 0)), "")</f>
        <v>0.16072175527366353</v>
      </c>
      <c r="Q70" s="300">
        <f>IF(ISNUMBER(INDEX(Database!$J$6:$J$197, MATCH($B70&amp;"% GDP", Database!$AD$6:$AD$197, 0))), INDEX(Database!$J$6:$J$197, MATCH($B70&amp;"% GDP", Database!$AD$6:$AD$197, 0)), "")</f>
        <v>0.56209176033546104</v>
      </c>
      <c r="R70" s="300" t="str">
        <f>IF(ISNUMBER(INDEX(Database!$L$6:$L$197, MATCH($B70&amp;"% GDP", Database!$AD$6:$AD$197, 0))), INDEX(Database!$L$6:$L$197, MATCH($B70&amp;"% GDP", Database!$AD$6:$AD$197, 0)), "")</f>
        <v/>
      </c>
      <c r="S70" s="300"/>
      <c r="T70" s="320">
        <f>IF(ISNUMBER(INDEX(Database!$P$6:$P$197, MATCH($B70&amp;"% GDP", Database!$AD$6:$AD$197, 0))), INDEX(Database!$P$6:$P$197, MATCH($B70&amp;"% GDP", Database!$AD$6:$AD$197, 0)), "")</f>
        <v>0.26062987341675165</v>
      </c>
      <c r="U70" s="300">
        <f>IF(ISNUMBER(INDEX(Database!$Q$6:$Q$197, MATCH($B70&amp;"% GDP", Database!$AD$6:$AD$197, 0))), INDEX(Database!$Q$6:$Q$197, MATCH($B70&amp;"% GDP", Database!$AD$6:$AD$197, 0)), "")</f>
        <v>0.26062987341675165</v>
      </c>
      <c r="V70" s="300"/>
      <c r="W70" s="300" t="str">
        <f>IF(ISNUMBER(INDEX(Database!$U$6:$U$197, MATCH($B70&amp;"% GDP", Database!$AD$6:$AD$197, 0))), INDEX(Database!$U$6:$U$197, MATCH($B70&amp;"% GDP", Database!$AD$6:$AD$197, 0)), "")</f>
        <v/>
      </c>
      <c r="X70" s="300" t="str">
        <f>IF(ISNUMBER(INDEX(Database!$W$6:$W$197, MATCH($B70&amp;"% GDP", Database!$AD$6:$AD$197, 0))), INDEX(Database!$W$6:$W$197, MATCH($B70&amp;"% GDP", Database!$AD$6:$AD$197, 0)), "")</f>
        <v/>
      </c>
    </row>
    <row r="71" spans="2:24">
      <c r="B71" s="299" t="s">
        <v>914</v>
      </c>
      <c r="C71" s="321" t="str">
        <f>IF(ISNUMBER(INDEX(Database!$G$6:$G$197, MATCH($B71&amp;"USD bn", Database!$AD$6:$AD$197, 0))), INDEX(Database!$G$6:$G$197, MATCH($B71&amp;"USD bn", Database!$AD$6:$AD$197, 0)), "")</f>
        <v/>
      </c>
      <c r="D71" s="303" t="str">
        <f>IF(ISNUMBER(INDEX(Database!$H$6:$H$197, MATCH($B71&amp;"USD bn", Database!$AD$6:$AD$197, 0))), INDEX(Database!$H$6:$H$197, MATCH($B71&amp;"USD bn", Database!$AD$6:$AD$197, 0)), "")</f>
        <v/>
      </c>
      <c r="E71" s="303" t="str">
        <f>IF(ISNUMBER(INDEX(Database!$J$6:$J$197, MATCH($B71&amp;"USD bn", Database!$AD$6:$AD$197, 0))), INDEX(Database!$J$6:$J$197, MATCH($B71&amp;"USD bn", Database!$AD$6:$AD$197, 0)), "")</f>
        <v/>
      </c>
      <c r="F71" s="303" t="str">
        <f>IF(ISNUMBER(INDEX(Database!$L$6:$L$197, MATCH($B71&amp;"USD bn", Database!$AD$6:$AD$197, 0))), INDEX(Database!$L$6:$L$197, MATCH($B71&amp;"USD bn", Database!$AD$6:$AD$197, 0)), "")</f>
        <v/>
      </c>
      <c r="G71" s="303"/>
      <c r="H71" s="321" t="str">
        <f>IF(ISNUMBER(INDEX(Database!$P$6:$P$197, MATCH($B71&amp;"USD bn", Database!$AD$6:$AD$197, 0))), INDEX(Database!$P$6:$P$197, MATCH($B71&amp;"USD bn", Database!$AD$6:$AD$197, 0)), "")</f>
        <v/>
      </c>
      <c r="I71" s="303" t="str">
        <f>IF(ISNUMBER(INDEX(Database!$Q$6:$Q$197, MATCH($B71&amp;"USD bn", Database!$AD$6:$AD$197, 0))), INDEX(Database!$Q$6:$Q$197, MATCH($B71&amp;"USD bn", Database!$AD$6:$AD$197, 0)), "")</f>
        <v/>
      </c>
      <c r="J71" s="303"/>
      <c r="K71" s="303" t="str">
        <f>IF(ISNUMBER(INDEX(Database!$U$6:$U$197, MATCH($B71&amp;"USD bn", Database!$AD$6:$AD$197, 0))), INDEX(Database!$U$6:$U$197, MATCH($B71&amp;"USD bn", Database!$AD$6:$AD$197, 0)), "")</f>
        <v/>
      </c>
      <c r="L71" s="303" t="str">
        <f>IF(ISNUMBER(INDEX(Database!$W$6:$W$197, MATCH($B71&amp;"USD bn", Database!$AD$6:$AD$197, 0))), INDEX(Database!$W$6:$W$197, MATCH($B71&amp;"USD bn", Database!$AD$6:$AD$197, 0)), "")</f>
        <v/>
      </c>
      <c r="O71" s="320" t="str">
        <f>IF(ISNUMBER(INDEX(Database!$G$6:$G$197, MATCH($B71&amp;"% GDP", Database!$AD$6:$AD$197, 0))), INDEX(Database!$G$6:$G$197, MATCH($B71&amp;"% GDP", Database!$AD$6:$AD$197, 0)), "")</f>
        <v/>
      </c>
      <c r="P71" s="300" t="str">
        <f>IF(ISNUMBER(INDEX(Database!$H$6:$H$197, MATCH($B71&amp;"% GDP", Database!$AD$6:$AD$197, 0))), INDEX(Database!$H$6:$H$197, MATCH($B71&amp;"% GDP", Database!$AD$6:$AD$197, 0)), "")</f>
        <v/>
      </c>
      <c r="Q71" s="300" t="str">
        <f>IF(ISNUMBER(INDEX(Database!$J$6:$J$197, MATCH($B71&amp;"% GDP", Database!$AD$6:$AD$197, 0))), INDEX(Database!$J$6:$J$197, MATCH($B71&amp;"% GDP", Database!$AD$6:$AD$197, 0)), "")</f>
        <v/>
      </c>
      <c r="R71" s="300" t="str">
        <f>IF(ISNUMBER(INDEX(Database!$L$6:$L$197, MATCH($B71&amp;"% GDP", Database!$AD$6:$AD$197, 0))), INDEX(Database!$L$6:$L$197, MATCH($B71&amp;"% GDP", Database!$AD$6:$AD$197, 0)), "")</f>
        <v/>
      </c>
      <c r="S71" s="300"/>
      <c r="T71" s="320" t="str">
        <f>IF(ISNUMBER(INDEX(Database!$P$6:$P$197, MATCH($B71&amp;"% GDP", Database!$AD$6:$AD$197, 0))), INDEX(Database!$P$6:$P$197, MATCH($B71&amp;"% GDP", Database!$AD$6:$AD$197, 0)), "")</f>
        <v/>
      </c>
      <c r="U71" s="300" t="str">
        <f>IF(ISNUMBER(INDEX(Database!$Q$6:$Q$197, MATCH($B71&amp;"% GDP", Database!$AD$6:$AD$197, 0))), INDEX(Database!$Q$6:$Q$197, MATCH($B71&amp;"% GDP", Database!$AD$6:$AD$197, 0)), "")</f>
        <v/>
      </c>
      <c r="V71" s="300"/>
      <c r="W71" s="300" t="str">
        <f>IF(ISNUMBER(INDEX(Database!$U$6:$U$197, MATCH($B71&amp;"% GDP", Database!$AD$6:$AD$197, 0))), INDEX(Database!$U$6:$U$197, MATCH($B71&amp;"% GDP", Database!$AD$6:$AD$197, 0)), "")</f>
        <v/>
      </c>
      <c r="X71" s="300" t="str">
        <f>IF(ISNUMBER(INDEX(Database!$W$6:$W$197, MATCH($B71&amp;"% GDP", Database!$AD$6:$AD$197, 0))), INDEX(Database!$W$6:$W$197, MATCH($B71&amp;"% GDP", Database!$AD$6:$AD$197, 0)), "")</f>
        <v/>
      </c>
    </row>
    <row r="72" spans="2:24">
      <c r="B72" s="299" t="s">
        <v>915</v>
      </c>
      <c r="C72" s="321">
        <f>IF(ISNUMBER(INDEX(Database!$G$6:$G$197, MATCH($B72&amp;"USD bn", Database!$AD$6:$AD$197, 0))), INDEX(Database!$G$6:$G$197, MATCH($B72&amp;"USD bn", Database!$AD$6:$AD$197, 0)), "")</f>
        <v>0.10176470509427343</v>
      </c>
      <c r="D72" s="303">
        <f>IF(ISNUMBER(INDEX(Database!$H$6:$H$197, MATCH($B72&amp;"USD bn", Database!$AD$6:$AD$197, 0))), INDEX(Database!$H$6:$H$197, MATCH($B72&amp;"USD bn", Database!$AD$6:$AD$197, 0)), "")</f>
        <v>4.4801524297786645E-2</v>
      </c>
      <c r="E72" s="303">
        <f>IF(ISNUMBER(INDEX(Database!$J$6:$J$197, MATCH($B72&amp;"USD bn", Database!$AD$6:$AD$197, 0))), INDEX(Database!$J$6:$J$197, MATCH($B72&amp;"USD bn", Database!$AD$6:$AD$197, 0)), "")</f>
        <v>5.6963180796486788E-2</v>
      </c>
      <c r="F72" s="303" t="str">
        <f>IF(ISNUMBER(INDEX(Database!$L$6:$L$197, MATCH($B72&amp;"USD bn", Database!$AD$6:$AD$197, 0))), INDEX(Database!$L$6:$L$197, MATCH($B72&amp;"USD bn", Database!$AD$6:$AD$197, 0)), "")</f>
        <v/>
      </c>
      <c r="G72" s="303"/>
      <c r="H72" s="321">
        <f>IF(ISNUMBER(INDEX(Database!$P$6:$P$197, MATCH($B72&amp;"USD bn", Database!$AD$6:$AD$197, 0))), INDEX(Database!$P$6:$P$197, MATCH($B72&amp;"USD bn", Database!$AD$6:$AD$197, 0)), "")</f>
        <v>0.17398650212732678</v>
      </c>
      <c r="I72" s="303">
        <f>IF(ISNUMBER(INDEX(Database!$Q$6:$Q$197, MATCH($B72&amp;"USD bn", Database!$AD$6:$AD$197, 0))), INDEX(Database!$Q$6:$Q$197, MATCH($B72&amp;"USD bn", Database!$AD$6:$AD$197, 0)), "")</f>
        <v>8.6993251063663388E-2</v>
      </c>
      <c r="J72" s="303"/>
      <c r="K72" s="303">
        <f>IF(ISNUMBER(INDEX(Database!$U$6:$U$197, MATCH($B72&amp;"USD bn", Database!$AD$6:$AD$197, 0))), INDEX(Database!$U$6:$U$197, MATCH($B72&amp;"USD bn", Database!$AD$6:$AD$197, 0)), "")</f>
        <v>8.6993251063663388E-2</v>
      </c>
      <c r="L72" s="303" t="str">
        <f>IF(ISNUMBER(INDEX(Database!$W$6:$W$197, MATCH($B72&amp;"USD bn", Database!$AD$6:$AD$197, 0))), INDEX(Database!$W$6:$W$197, MATCH($B72&amp;"USD bn", Database!$AD$6:$AD$197, 0)), "")</f>
        <v/>
      </c>
      <c r="O72" s="320">
        <f>IF(ISNUMBER(INDEX(Database!$G$6:$G$197, MATCH($B72&amp;"% GDP", Database!$AD$6:$AD$197, 0))), INDEX(Database!$G$6:$G$197, MATCH($B72&amp;"% GDP", Database!$AD$6:$AD$197, 0)), "")</f>
        <v>0.73950497267868009</v>
      </c>
      <c r="P72" s="300">
        <f>IF(ISNUMBER(INDEX(Database!$H$6:$H$197, MATCH($B72&amp;"% GDP", Database!$AD$6:$AD$197, 0))), INDEX(Database!$H$6:$H$197, MATCH($B72&amp;"% GDP", Database!$AD$6:$AD$197, 0)), "")</f>
        <v>0.32556425109379405</v>
      </c>
      <c r="Q72" s="300">
        <f>IF(ISNUMBER(INDEX(Database!$J$6:$J$197, MATCH($B72&amp;"% GDP", Database!$AD$6:$AD$197, 0))), INDEX(Database!$J$6:$J$197, MATCH($B72&amp;"% GDP", Database!$AD$6:$AD$197, 0)), "")</f>
        <v>0.4139407215848861</v>
      </c>
      <c r="R72" s="300" t="str">
        <f>IF(ISNUMBER(INDEX(Database!$L$6:$L$197, MATCH($B72&amp;"% GDP", Database!$AD$6:$AD$197, 0))), INDEX(Database!$L$6:$L$197, MATCH($B72&amp;"% GDP", Database!$AD$6:$AD$197, 0)), "")</f>
        <v/>
      </c>
      <c r="S72" s="300"/>
      <c r="T72" s="320">
        <f>IF(ISNUMBER(INDEX(Database!$P$6:$P$197, MATCH($B72&amp;"% GDP", Database!$AD$6:$AD$197, 0))), INDEX(Database!$P$6:$P$197, MATCH($B72&amp;"% GDP", Database!$AD$6:$AD$197, 0)), "")</f>
        <v>1.2643271887137633</v>
      </c>
      <c r="U72" s="300">
        <f>IF(ISNUMBER(INDEX(Database!$Q$6:$Q$197, MATCH($B72&amp;"% GDP", Database!$AD$6:$AD$197, 0))), INDEX(Database!$Q$6:$Q$197, MATCH($B72&amp;"% GDP", Database!$AD$6:$AD$197, 0)), "")</f>
        <v>0.63216359435688163</v>
      </c>
      <c r="V72" s="300"/>
      <c r="W72" s="300">
        <f>IF(ISNUMBER(INDEX(Database!$U$6:$U$197, MATCH($B72&amp;"% GDP", Database!$AD$6:$AD$197, 0))), INDEX(Database!$U$6:$U$197, MATCH($B72&amp;"% GDP", Database!$AD$6:$AD$197, 0)), "")</f>
        <v>0.63216359435688163</v>
      </c>
      <c r="X72" s="300" t="str">
        <f>IF(ISNUMBER(INDEX(Database!$W$6:$W$197, MATCH($B72&amp;"% GDP", Database!$AD$6:$AD$197, 0))), INDEX(Database!$W$6:$W$197, MATCH($B72&amp;"% GDP", Database!$AD$6:$AD$197, 0)), "")</f>
        <v/>
      </c>
    </row>
    <row r="73" spans="2:24">
      <c r="B73" s="299" t="s">
        <v>29</v>
      </c>
      <c r="C73" s="321">
        <f>IF(ISNUMBER(INDEX(Database!$G$6:$G$197, MATCH($B73&amp;"USD bn", Database!$AD$6:$AD$197, 0))), INDEX(Database!$G$6:$G$197, MATCH($B73&amp;"USD bn", Database!$AD$6:$AD$197, 0)), "")</f>
        <v>10.381162278157996</v>
      </c>
      <c r="D73" s="303">
        <f>IF(ISNUMBER(INDEX(Database!$H$6:$H$197, MATCH($B73&amp;"USD bn", Database!$AD$6:$AD$197, 0))), INDEX(Database!$H$6:$H$197, MATCH($B73&amp;"USD bn", Database!$AD$6:$AD$197, 0)), "")</f>
        <v>6.6034102772300267</v>
      </c>
      <c r="E73" s="303">
        <f>IF(ISNUMBER(INDEX(Database!$J$6:$J$197, MATCH($B73&amp;"USD bn", Database!$AD$6:$AD$197, 0))), INDEX(Database!$J$6:$J$197, MATCH($B73&amp;"USD bn", Database!$AD$6:$AD$197, 0)), "")</f>
        <v>3.7777520009279706</v>
      </c>
      <c r="F73" s="303" t="str">
        <f>IF(ISNUMBER(INDEX(Database!$L$6:$L$197, MATCH($B73&amp;"USD bn", Database!$AD$6:$AD$197, 0))), INDEX(Database!$L$6:$L$197, MATCH($B73&amp;"USD bn", Database!$AD$6:$AD$197, 0)), "")</f>
        <v/>
      </c>
      <c r="G73" s="303"/>
      <c r="H73" s="321" t="str">
        <f>IF(ISNUMBER(INDEX(Database!$P$6:$P$197, MATCH($B73&amp;"USD bn", Database!$AD$6:$AD$197, 0))), INDEX(Database!$P$6:$P$197, MATCH($B73&amp;"USD bn", Database!$AD$6:$AD$197, 0)), "")</f>
        <v/>
      </c>
      <c r="I73" s="303" t="str">
        <f>IF(ISNUMBER(INDEX(Database!$Q$6:$Q$197, MATCH($B73&amp;"USD bn", Database!$AD$6:$AD$197, 0))), INDEX(Database!$Q$6:$Q$197, MATCH($B73&amp;"USD bn", Database!$AD$6:$AD$197, 0)), "")</f>
        <v/>
      </c>
      <c r="J73" s="303"/>
      <c r="K73" s="303" t="str">
        <f>IF(ISNUMBER(INDEX(Database!$U$6:$U$197, MATCH($B73&amp;"USD bn", Database!$AD$6:$AD$197, 0))), INDEX(Database!$U$6:$U$197, MATCH($B73&amp;"USD bn", Database!$AD$6:$AD$197, 0)), "")</f>
        <v/>
      </c>
      <c r="L73" s="303" t="str">
        <f>IF(ISNUMBER(INDEX(Database!$W$6:$W$197, MATCH($B73&amp;"USD bn", Database!$AD$6:$AD$197, 0))), INDEX(Database!$W$6:$W$197, MATCH($B73&amp;"USD bn", Database!$AD$6:$AD$197, 0)), "")</f>
        <v/>
      </c>
      <c r="O73" s="320">
        <f>IF(ISNUMBER(INDEX(Database!$G$6:$G$197, MATCH($B73&amp;"% GDP", Database!$AD$6:$AD$197, 0))), INDEX(Database!$G$6:$G$197, MATCH($B73&amp;"% GDP", Database!$AD$6:$AD$197, 0)), "")</f>
        <v>2.4174676981648453</v>
      </c>
      <c r="P73" s="300">
        <f>IF(ISNUMBER(INDEX(Database!$H$6:$H$197, MATCH($B73&amp;"% GDP", Database!$AD$6:$AD$197, 0))), INDEX(Database!$H$6:$H$197, MATCH($B73&amp;"% GDP", Database!$AD$6:$AD$197, 0)), "")</f>
        <v>1.5377402467275443</v>
      </c>
      <c r="Q73" s="300">
        <f>IF(ISNUMBER(INDEX(Database!$J$6:$J$197, MATCH($B73&amp;"% GDP", Database!$AD$6:$AD$197, 0))), INDEX(Database!$J$6:$J$197, MATCH($B73&amp;"% GDP", Database!$AD$6:$AD$197, 0)), "")</f>
        <v>0.8797274514373008</v>
      </c>
      <c r="R73" s="300" t="str">
        <f>IF(ISNUMBER(INDEX(Database!$L$6:$L$197, MATCH($B73&amp;"% GDP", Database!$AD$6:$AD$197, 0))), INDEX(Database!$L$6:$L$197, MATCH($B73&amp;"% GDP", Database!$AD$6:$AD$197, 0)), "")</f>
        <v/>
      </c>
      <c r="S73" s="300"/>
      <c r="T73" s="320" t="str">
        <f>IF(ISNUMBER(INDEX(Database!$P$6:$P$197, MATCH($B73&amp;"% GDP", Database!$AD$6:$AD$197, 0))), INDEX(Database!$P$6:$P$197, MATCH($B73&amp;"% GDP", Database!$AD$6:$AD$197, 0)), "")</f>
        <v/>
      </c>
      <c r="U73" s="300" t="str">
        <f>IF(ISNUMBER(INDEX(Database!$Q$6:$Q$197, MATCH($B73&amp;"% GDP", Database!$AD$6:$AD$197, 0))), INDEX(Database!$Q$6:$Q$197, MATCH($B73&amp;"% GDP", Database!$AD$6:$AD$197, 0)), "")</f>
        <v/>
      </c>
      <c r="V73" s="300"/>
      <c r="W73" s="300" t="str">
        <f>IF(ISNUMBER(INDEX(Database!$U$6:$U$197, MATCH($B73&amp;"% GDP", Database!$AD$6:$AD$197, 0))), INDEX(Database!$U$6:$U$197, MATCH($B73&amp;"% GDP", Database!$AD$6:$AD$197, 0)), "")</f>
        <v/>
      </c>
      <c r="X73" s="300" t="str">
        <f>IF(ISNUMBER(INDEX(Database!$W$6:$W$197, MATCH($B73&amp;"% GDP", Database!$AD$6:$AD$197, 0))), INDEX(Database!$W$6:$W$197, MATCH($B73&amp;"% GDP", Database!$AD$6:$AD$197, 0)), "")</f>
        <v/>
      </c>
    </row>
    <row r="74" spans="2:24">
      <c r="B74" s="299" t="s">
        <v>93</v>
      </c>
      <c r="C74" s="321">
        <f>IF(ISNUMBER(INDEX(Database!$G$6:$G$197, MATCH($B74&amp;"USD bn", Database!$AD$6:$AD$197, 0))), INDEX(Database!$G$6:$G$197, MATCH($B74&amp;"USD bn", Database!$AD$6:$AD$197, 0)), "")</f>
        <v>1.3831990179032452</v>
      </c>
      <c r="D74" s="303">
        <f>IF(ISNUMBER(INDEX(Database!$H$6:$H$197, MATCH($B74&amp;"USD bn", Database!$AD$6:$AD$197, 0))), INDEX(Database!$H$6:$H$197, MATCH($B74&amp;"USD bn", Database!$AD$6:$AD$197, 0)), "")</f>
        <v>0.31491700910753129</v>
      </c>
      <c r="E74" s="303">
        <f>IF(ISNUMBER(INDEX(Database!$J$6:$J$197, MATCH($B74&amp;"USD bn", Database!$AD$6:$AD$197, 0))), INDEX(Database!$J$6:$J$197, MATCH($B74&amp;"USD bn", Database!$AD$6:$AD$197, 0)), "")</f>
        <v>1.0682820087957139</v>
      </c>
      <c r="F74" s="303">
        <f>IF(ISNUMBER(INDEX(Database!$L$6:$L$197, MATCH($B74&amp;"USD bn", Database!$AD$6:$AD$197, 0))), INDEX(Database!$L$6:$L$197, MATCH($B74&amp;"USD bn", Database!$AD$6:$AD$197, 0)), "")</f>
        <v>0.13918983827957185</v>
      </c>
      <c r="G74" s="303"/>
      <c r="H74" s="321">
        <f>IF(ISNUMBER(INDEX(Database!$P$6:$P$197, MATCH($B74&amp;"USD bn", Database!$AD$6:$AD$197, 0))), INDEX(Database!$P$6:$P$197, MATCH($B74&amp;"USD bn", Database!$AD$6:$AD$197, 0)), "")</f>
        <v>0.34797459569892963</v>
      </c>
      <c r="I74" s="303" t="str">
        <f>IF(ISNUMBER(INDEX(Database!$Q$6:$Q$197, MATCH($B74&amp;"USD bn", Database!$AD$6:$AD$197, 0))), INDEX(Database!$Q$6:$Q$197, MATCH($B74&amp;"USD bn", Database!$AD$6:$AD$197, 0)), "")</f>
        <v/>
      </c>
      <c r="J74" s="303"/>
      <c r="K74" s="303">
        <f>IF(ISNUMBER(INDEX(Database!$U$6:$U$197, MATCH($B74&amp;"USD bn", Database!$AD$6:$AD$197, 0))), INDEX(Database!$U$6:$U$197, MATCH($B74&amp;"USD bn", Database!$AD$6:$AD$197, 0)), "")</f>
        <v>0.34797459569892963</v>
      </c>
      <c r="L74" s="303" t="str">
        <f>IF(ISNUMBER(INDEX(Database!$W$6:$W$197, MATCH($B74&amp;"USD bn", Database!$AD$6:$AD$197, 0))), INDEX(Database!$W$6:$W$197, MATCH($B74&amp;"USD bn", Database!$AD$6:$AD$197, 0)), "")</f>
        <v/>
      </c>
      <c r="O74" s="320">
        <f>IF(ISNUMBER(INDEX(Database!$G$6:$G$197, MATCH($B74&amp;"% GDP", Database!$AD$6:$AD$197, 0))), INDEX(Database!$G$6:$G$197, MATCH($B74&amp;"% GDP", Database!$AD$6:$AD$197, 0)), "")</f>
        <v>5.6043392101381073</v>
      </c>
      <c r="P74" s="300">
        <f>IF(ISNUMBER(INDEX(Database!$H$6:$H$197, MATCH($B74&amp;"% GDP", Database!$AD$6:$AD$197, 0))), INDEX(Database!$H$6:$H$197, MATCH($B74&amp;"% GDP", Database!$AD$6:$AD$197, 0)), "")</f>
        <v>1.2759564742578584</v>
      </c>
      <c r="Q74" s="300">
        <f>IF(ISNUMBER(INDEX(Database!$J$6:$J$197, MATCH($B74&amp;"% GDP", Database!$AD$6:$AD$197, 0))), INDEX(Database!$J$6:$J$197, MATCH($B74&amp;"% GDP", Database!$AD$6:$AD$197, 0)), "")</f>
        <v>4.3283827358802496</v>
      </c>
      <c r="R74" s="300">
        <f>IF(ISNUMBER(INDEX(Database!$L$6:$L$197, MATCH($B74&amp;"% GDP", Database!$AD$6:$AD$197, 0))), INDEX(Database!$L$6:$L$197, MATCH($B74&amp;"% GDP", Database!$AD$6:$AD$197, 0)), "")</f>
        <v>0.56395866265540706</v>
      </c>
      <c r="S74" s="300"/>
      <c r="T74" s="320">
        <f>IF(ISNUMBER(INDEX(Database!$P$6:$P$197, MATCH($B74&amp;"% GDP", Database!$AD$6:$AD$197, 0))), INDEX(Database!$P$6:$P$197, MATCH($B74&amp;"% GDP", Database!$AD$6:$AD$197, 0)), "")</f>
        <v>1.4098966566385176</v>
      </c>
      <c r="U74" s="300" t="str">
        <f>IF(ISNUMBER(INDEX(Database!$Q$6:$Q$197, MATCH($B74&amp;"% GDP", Database!$AD$6:$AD$197, 0))), INDEX(Database!$Q$6:$Q$197, MATCH($B74&amp;"% GDP", Database!$AD$6:$AD$197, 0)), "")</f>
        <v/>
      </c>
      <c r="V74" s="300"/>
      <c r="W74" s="300">
        <f>IF(ISNUMBER(INDEX(Database!$U$6:$U$197, MATCH($B74&amp;"% GDP", Database!$AD$6:$AD$197, 0))), INDEX(Database!$U$6:$U$197, MATCH($B74&amp;"% GDP", Database!$AD$6:$AD$197, 0)), "")</f>
        <v>1.4098966566385176</v>
      </c>
      <c r="X74" s="300" t="str">
        <f>IF(ISNUMBER(INDEX(Database!$W$6:$W$197, MATCH($B74&amp;"% GDP", Database!$AD$6:$AD$197, 0))), INDEX(Database!$W$6:$W$197, MATCH($B74&amp;"% GDP", Database!$AD$6:$AD$197, 0)), "")</f>
        <v/>
      </c>
    </row>
    <row r="75" spans="2:24">
      <c r="B75" s="299" t="s">
        <v>913</v>
      </c>
      <c r="C75" s="321">
        <f>IF(ISNUMBER(INDEX(Database!$G$6:$G$197, MATCH($B75&amp;"USD bn", Database!$AD$6:$AD$197, 0))), INDEX(Database!$G$6:$G$197, MATCH($B75&amp;"USD bn", Database!$AD$6:$AD$197, 0)), "")</f>
        <v>3.3915014286441689</v>
      </c>
      <c r="D75" s="303">
        <f>IF(ISNUMBER(INDEX(Database!$H$6:$H$197, MATCH($B75&amp;"USD bn", Database!$AD$6:$AD$197, 0))), INDEX(Database!$H$6:$H$197, MATCH($B75&amp;"USD bn", Database!$AD$6:$AD$197, 0)), "")</f>
        <v>0.70117551530619915</v>
      </c>
      <c r="E75" s="303">
        <f>IF(ISNUMBER(INDEX(Database!$J$6:$J$197, MATCH($B75&amp;"USD bn", Database!$AD$6:$AD$197, 0))), INDEX(Database!$J$6:$J$197, MATCH($B75&amp;"USD bn", Database!$AD$6:$AD$197, 0)), "")</f>
        <v>2.6903259133379698</v>
      </c>
      <c r="F75" s="303" t="str">
        <f>IF(ISNUMBER(INDEX(Database!$L$6:$L$197, MATCH($B75&amp;"USD bn", Database!$AD$6:$AD$197, 0))), INDEX(Database!$L$6:$L$197, MATCH($B75&amp;"USD bn", Database!$AD$6:$AD$197, 0)), "")</f>
        <v/>
      </c>
      <c r="G75" s="303"/>
      <c r="H75" s="321">
        <f>IF(ISNUMBER(INDEX(Database!$P$6:$P$197, MATCH($B75&amp;"USD bn", Database!$AD$6:$AD$197, 0))), INDEX(Database!$P$6:$P$197, MATCH($B75&amp;"USD bn", Database!$AD$6:$AD$197, 0)), "")</f>
        <v>1.2307868087821581</v>
      </c>
      <c r="I75" s="303">
        <f>IF(ISNUMBER(INDEX(Database!$Q$6:$Q$197, MATCH($B75&amp;"USD bn", Database!$AD$6:$AD$197, 0))), INDEX(Database!$Q$6:$Q$197, MATCH($B75&amp;"USD bn", Database!$AD$6:$AD$197, 0)), "")</f>
        <v>1.2307868087821581</v>
      </c>
      <c r="J75" s="303"/>
      <c r="K75" s="303" t="str">
        <f>IF(ISNUMBER(INDEX(Database!$U$6:$U$197, MATCH($B75&amp;"USD bn", Database!$AD$6:$AD$197, 0))), INDEX(Database!$U$6:$U$197, MATCH($B75&amp;"USD bn", Database!$AD$6:$AD$197, 0)), "")</f>
        <v/>
      </c>
      <c r="L75" s="303" t="str">
        <f>IF(ISNUMBER(INDEX(Database!$W$6:$W$197, MATCH($B75&amp;"USD bn", Database!$AD$6:$AD$197, 0))), INDEX(Database!$W$6:$W$197, MATCH($B75&amp;"USD bn", Database!$AD$6:$AD$197, 0)), "")</f>
        <v/>
      </c>
      <c r="O75" s="320">
        <f>IF(ISNUMBER(INDEX(Database!$G$6:$G$197, MATCH($B75&amp;"% GDP", Database!$AD$6:$AD$197, 0))), INDEX(Database!$G$6:$G$197, MATCH($B75&amp;"% GDP", Database!$AD$6:$AD$197, 0)), "")</f>
        <v>5.6592682383610757</v>
      </c>
      <c r="P75" s="300">
        <f>IF(ISNUMBER(INDEX(Database!$H$6:$H$197, MATCH($B75&amp;"% GDP", Database!$AD$6:$AD$197, 0))), INDEX(Database!$H$6:$H$197, MATCH($B75&amp;"% GDP", Database!$AD$6:$AD$197, 0)), "")</f>
        <v>1.1700246651157062</v>
      </c>
      <c r="Q75" s="300">
        <f>IF(ISNUMBER(INDEX(Database!$J$6:$J$197, MATCH($B75&amp;"% GDP", Database!$AD$6:$AD$197, 0))), INDEX(Database!$J$6:$J$197, MATCH($B75&amp;"% GDP", Database!$AD$6:$AD$197, 0)), "")</f>
        <v>4.4892435732453695</v>
      </c>
      <c r="R75" s="300" t="str">
        <f>IF(ISNUMBER(INDEX(Database!$L$6:$L$197, MATCH($B75&amp;"% GDP", Database!$AD$6:$AD$197, 0))), INDEX(Database!$L$6:$L$197, MATCH($B75&amp;"% GDP", Database!$AD$6:$AD$197, 0)), "")</f>
        <v/>
      </c>
      <c r="S75" s="300"/>
      <c r="T75" s="320">
        <f>IF(ISNUMBER(INDEX(Database!$P$6:$P$197, MATCH($B75&amp;"% GDP", Database!$AD$6:$AD$197, 0))), INDEX(Database!$P$6:$P$197, MATCH($B75&amp;"% GDP", Database!$AD$6:$AD$197, 0)), "")</f>
        <v>2.0537666994052293</v>
      </c>
      <c r="U75" s="300">
        <f>IF(ISNUMBER(INDEX(Database!$Q$6:$Q$197, MATCH($B75&amp;"% GDP", Database!$AD$6:$AD$197, 0))), INDEX(Database!$Q$6:$Q$197, MATCH($B75&amp;"% GDP", Database!$AD$6:$AD$197, 0)), "")</f>
        <v>2.0537666994052293</v>
      </c>
      <c r="V75" s="300"/>
      <c r="W75" s="300" t="str">
        <f>IF(ISNUMBER(INDEX(Database!$U$6:$U$197, MATCH($B75&amp;"% GDP", Database!$AD$6:$AD$197, 0))), INDEX(Database!$U$6:$U$197, MATCH($B75&amp;"% GDP", Database!$AD$6:$AD$197, 0)), "")</f>
        <v/>
      </c>
      <c r="X75" s="300" t="str">
        <f>IF(ISNUMBER(INDEX(Database!$W$6:$W$197, MATCH($B75&amp;"% GDP", Database!$AD$6:$AD$197, 0))), INDEX(Database!$W$6:$W$197, MATCH($B75&amp;"% GDP", Database!$AD$6:$AD$197, 0)), "")</f>
        <v/>
      </c>
    </row>
    <row r="76" spans="2:24">
      <c r="B76" s="299" t="s">
        <v>33</v>
      </c>
      <c r="C76" s="321">
        <f>IF(ISNUMBER(INDEX(Database!$G$6:$G$197, MATCH($B76&amp;"USD bn", Database!$AD$6:$AD$197, 0))), INDEX(Database!$G$6:$G$197, MATCH($B76&amp;"USD bn", Database!$AD$6:$AD$197, 0)), "")</f>
        <v>6.074238065187715</v>
      </c>
      <c r="D76" s="303">
        <f>IF(ISNUMBER(INDEX(Database!$H$6:$H$197, MATCH($B76&amp;"USD bn", Database!$AD$6:$AD$197, 0))), INDEX(Database!$H$6:$H$197, MATCH($B76&amp;"USD bn", Database!$AD$6:$AD$197, 0)), "")</f>
        <v>1.3739501827943565</v>
      </c>
      <c r="E76" s="303">
        <f>IF(ISNUMBER(INDEX(Database!$J$6:$J$197, MATCH($B76&amp;"USD bn", Database!$AD$6:$AD$197, 0))), INDEX(Database!$J$6:$J$197, MATCH($B76&amp;"USD bn", Database!$AD$6:$AD$197, 0)), "")</f>
        <v>4.7002878823933587</v>
      </c>
      <c r="F76" s="303">
        <f>IF(ISNUMBER(INDEX(Database!$L$6:$L$197, MATCH($B76&amp;"USD bn", Database!$AD$6:$AD$197, 0))), INDEX(Database!$L$6:$L$197, MATCH($B76&amp;"USD bn", Database!$AD$6:$AD$197, 0)), "")</f>
        <v>12.70580890044938</v>
      </c>
      <c r="G76" s="303"/>
      <c r="H76" s="321">
        <f>IF(ISNUMBER(INDEX(Database!$P$6:$P$197, MATCH($B76&amp;"USD bn", Database!$AD$6:$AD$197, 0))), INDEX(Database!$P$6:$P$197, MATCH($B76&amp;"USD bn", Database!$AD$6:$AD$197, 0)), "")</f>
        <v>3.2776679909294839</v>
      </c>
      <c r="I76" s="303">
        <f>IF(ISNUMBER(INDEX(Database!$Q$6:$Q$197, MATCH($B76&amp;"USD bn", Database!$AD$6:$AD$197, 0))), INDEX(Database!$Q$6:$Q$197, MATCH($B76&amp;"USD bn", Database!$AD$6:$AD$197, 0)), "")</f>
        <v>1.119834004785369</v>
      </c>
      <c r="J76" s="303"/>
      <c r="K76" s="303" t="str">
        <f>IF(ISNUMBER(INDEX(Database!$U$6:$U$197, MATCH($B76&amp;"USD bn", Database!$AD$6:$AD$197, 0))), INDEX(Database!$U$6:$U$197, MATCH($B76&amp;"USD bn", Database!$AD$6:$AD$197, 0)), "")</f>
        <v/>
      </c>
      <c r="L76" s="303">
        <f>IF(ISNUMBER(INDEX(Database!$W$6:$W$197, MATCH($B76&amp;"USD bn", Database!$AD$6:$AD$197, 0))), INDEX(Database!$W$6:$W$197, MATCH($B76&amp;"USD bn", Database!$AD$6:$AD$197, 0)), "")</f>
        <v>2.1578339861441149</v>
      </c>
      <c r="O76" s="320">
        <f>IF(ISNUMBER(INDEX(Database!$G$6:$G$197, MATCH($B76&amp;"% GDP", Database!$AD$6:$AD$197, 0))), INDEX(Database!$G$6:$G$197, MATCH($B76&amp;"% GDP", Database!$AD$6:$AD$197, 0)), "")</f>
        <v>1.7703277371912942</v>
      </c>
      <c r="P76" s="300">
        <f>IF(ISNUMBER(INDEX(Database!$H$6:$H$197, MATCH($B76&amp;"% GDP", Database!$AD$6:$AD$197, 0))), INDEX(Database!$H$6:$H$197, MATCH($B76&amp;"% GDP", Database!$AD$6:$AD$197, 0)), "")</f>
        <v>0.40043575704745288</v>
      </c>
      <c r="Q76" s="300">
        <f>IF(ISNUMBER(INDEX(Database!$J$6:$J$197, MATCH($B76&amp;"% GDP", Database!$AD$6:$AD$197, 0))), INDEX(Database!$J$6:$J$197, MATCH($B76&amp;"% GDP", Database!$AD$6:$AD$197, 0)), "")</f>
        <v>1.3698919801438412</v>
      </c>
      <c r="R76" s="300">
        <f>IF(ISNUMBER(INDEX(Database!$L$6:$L$197, MATCH($B76&amp;"% GDP", Database!$AD$6:$AD$197, 0))), INDEX(Database!$L$6:$L$197, MATCH($B76&amp;"% GDP", Database!$AD$6:$AD$197, 0)), "")</f>
        <v>3.7030892893103009</v>
      </c>
      <c r="S76" s="300"/>
      <c r="T76" s="320">
        <f>IF(ISNUMBER(INDEX(Database!$P$6:$P$197, MATCH($B76&amp;"% GDP", Database!$AD$6:$AD$197, 0))), INDEX(Database!$P$6:$P$197, MATCH($B76&amp;"% GDP", Database!$AD$6:$AD$197, 0)), "")</f>
        <v>0.95527150819157258</v>
      </c>
      <c r="U76" s="300">
        <f>IF(ISNUMBER(INDEX(Database!$Q$6:$Q$197, MATCH($B76&amp;"% GDP", Database!$AD$6:$AD$197, 0))), INDEX(Database!$Q$6:$Q$197, MATCH($B76&amp;"% GDP", Database!$AD$6:$AD$197, 0)), "")</f>
        <v>0.3263739712612469</v>
      </c>
      <c r="V76" s="300"/>
      <c r="W76" s="300" t="str">
        <f>IF(ISNUMBER(INDEX(Database!$U$6:$U$197, MATCH($B76&amp;"% GDP", Database!$AD$6:$AD$197, 0))), INDEX(Database!$U$6:$U$197, MATCH($B76&amp;"% GDP", Database!$AD$6:$AD$197, 0)), "")</f>
        <v/>
      </c>
      <c r="X76" s="300">
        <f>IF(ISNUMBER(INDEX(Database!$W$6:$W$197, MATCH($B76&amp;"% GDP", Database!$AD$6:$AD$197, 0))), INDEX(Database!$W$6:$W$197, MATCH($B76&amp;"% GDP", Database!$AD$6:$AD$197, 0)), "")</f>
        <v>0.62889753693032568</v>
      </c>
    </row>
    <row r="77" spans="2:24">
      <c r="B77" s="299" t="s">
        <v>916</v>
      </c>
      <c r="C77" s="321">
        <f>IF(ISNUMBER(INDEX(Database!$G$6:$G$202, MATCH($B77&amp;"USD bn", Database!$AD$6:$AD$202, 0))), INDEX(Database!$G$6:$G$202, MATCH($B77&amp;"USD bn", Database!$AD$6:$AD$202, 0)), "")</f>
        <v>0.38704558122717753</v>
      </c>
      <c r="D77" s="303">
        <f>IF(ISNUMBER(INDEX(Database!$H$6:$H$202, MATCH($B77&amp;"USD bn", Database!$AD$6:$AD$202, 0))), INDEX(Database!$H$6:$H$202, MATCH($B77&amp;"USD bn", Database!$AD$6:$AD$202, 0)), "")</f>
        <v>5.4513462144672897E-2</v>
      </c>
      <c r="E77" s="303">
        <f>IF(ISNUMBER(INDEX(Database!$J$6:$J$202, MATCH($B77&amp;"USD bn", Database!$AD$6:$AD$202, 0))), INDEX(Database!$J$6:$J$202, MATCH($B77&amp;"USD bn", Database!$AD$6:$AD$202, 0)), "")</f>
        <v>0.33253211908250463</v>
      </c>
      <c r="F77" s="303" t="str">
        <f>IF(ISNUMBER(INDEX(Database!$L$6:$L$202, MATCH($B77&amp;"USD bn", Database!$AD$6:$AD$202, 0))), INDEX(Database!$L$6:$L$202, MATCH($B77&amp;"USD bn", Database!$AD$6:$AD$202, 0)), "")</f>
        <v/>
      </c>
      <c r="G77" s="303"/>
      <c r="H77" s="321">
        <f>IF(ISNUMBER(INDEX(Database!$P$6:$P$202, MATCH($B77&amp;"USD bn", Database!$AD$6:$AD$202, 0))), INDEX(Database!$P$6:$P$202, MATCH($B77&amp;"USD bn", Database!$AD$6:$AD$202, 0)), "")</f>
        <v>4.9062115930205603E-2</v>
      </c>
      <c r="I77" s="303">
        <f>IF(ISNUMBER(INDEX(Database!$Q$6:$Q$202, MATCH($B77&amp;"USD bn", Database!$AD$6:$AD$202, 0))), INDEX(Database!$Q$6:$Q$202, MATCH($B77&amp;"USD bn", Database!$AD$6:$AD$202, 0)), "")</f>
        <v>4.9062115930205603E-2</v>
      </c>
      <c r="J77" s="303"/>
      <c r="K77" s="303" t="str">
        <f>IF(ISNUMBER(INDEX(Database!$U$6:$U$202, MATCH($B77&amp;"USD bn", Database!$AD$6:$AD$202, 0))), INDEX(Database!$U$6:$U$202, MATCH($B77&amp;"USD bn", Database!$AD$6:$AD$202, 0)), "")</f>
        <v/>
      </c>
      <c r="L77" s="303" t="str">
        <f>IF(ISNUMBER(INDEX(Database!$W$6:$W$202, MATCH($B77&amp;"USD bn", Database!$AD$6:$AD$202, 0))), INDEX(Database!$W$6:$W$202, MATCH($B77&amp;"USD bn", Database!$AD$6:$AD$202, 0)), "")</f>
        <v/>
      </c>
      <c r="O77" s="320">
        <f>IF(ISNUMBER(INDEX(Database!$G$6:$G$202, MATCH($B77&amp;"% GDP", Database!$AD$6:$AD$202, 0))), INDEX(Database!$G$6:$G$202, MATCH($B77&amp;"% GDP", Database!$AD$6:$AD$202, 0)), "")</f>
        <v>2.0034076510126715</v>
      </c>
      <c r="P77" s="300">
        <f>IF(ISNUMBER(INDEX(Database!$H$6:$H$202, MATCH($B77&amp;"% GDP", Database!$AD$6:$AD$202, 0))), INDEX(Database!$H$6:$H$202, MATCH($B77&amp;"% GDP", Database!$AD$6:$AD$202, 0)), "")</f>
        <v>0.28217009169192564</v>
      </c>
      <c r="Q77" s="300">
        <f>IF(ISNUMBER(INDEX(Database!$J$6:$J$202, MATCH($B77&amp;"% GDP", Database!$AD$6:$AD$202, 0))), INDEX(Database!$J$6:$J$202, MATCH($B77&amp;"% GDP", Database!$AD$6:$AD$202, 0)), "")</f>
        <v>1.7212375593207461</v>
      </c>
      <c r="R77" s="300" t="str">
        <f>IF(ISNUMBER(INDEX(Database!$L$6:$L$202, MATCH($B77&amp;"% GDP", Database!$AD$6:$AD$202, 0))), INDEX(Database!$L$6:$L$202, MATCH($B77&amp;"% GDP", Database!$AD$6:$AD$202, 0)), "")</f>
        <v/>
      </c>
      <c r="S77" s="300"/>
      <c r="T77" s="320">
        <f>IF(ISNUMBER(INDEX(Database!$P$6:$P$202, MATCH($B77&amp;"% GDP", Database!$AD$6:$AD$202, 0))), INDEX(Database!$P$6:$P$202, MATCH($B77&amp;"% GDP", Database!$AD$6:$AD$202, 0)), "")</f>
        <v>0.25395308252273302</v>
      </c>
      <c r="U77" s="300">
        <f>IF(ISNUMBER(INDEX(Database!$Q$6:$Q$202, MATCH($B77&amp;"% GDP", Database!$AD$6:$AD$202, 0))), INDEX(Database!$Q$6:$Q$202, MATCH($B77&amp;"% GDP", Database!$AD$6:$AD$202, 0)), "")</f>
        <v>0.25395308252273302</v>
      </c>
      <c r="V77" s="300"/>
      <c r="W77" s="300" t="str">
        <f>IF(ISNUMBER(INDEX(Database!$U$6:$U$202, MATCH($B77&amp;"% GDP", Database!$AD$6:$AD$202, 0))), INDEX(Database!$U$6:$U$202, MATCH($B77&amp;"% GDP", Database!$AD$6:$AD$202, 0)), "")</f>
        <v/>
      </c>
      <c r="X77" s="300" t="str">
        <f>IF(ISNUMBER(INDEX(Database!$W$6:$W$202, MATCH($B77&amp;"% GDP", Database!$AD$6:$AD$202, 0))), INDEX(Database!$W$6:$W$202, MATCH($B77&amp;"% GDP", Database!$AD$6:$AD$202, 0)), "")</f>
        <v/>
      </c>
    </row>
    <row r="78" spans="2:24" s="227" customFormat="1" ht="3.65" customHeight="1">
      <c r="B78" s="297"/>
    </row>
    <row r="79" spans="2:24">
      <c r="B79" s="302" t="s">
        <v>108</v>
      </c>
    </row>
    <row r="80" spans="2:24">
      <c r="B80" s="623" t="s">
        <v>777</v>
      </c>
      <c r="C80" s="623"/>
      <c r="D80" s="623"/>
      <c r="E80" s="623"/>
      <c r="F80" s="623"/>
      <c r="G80" s="623"/>
      <c r="H80" s="623"/>
      <c r="I80" s="623"/>
      <c r="J80" s="623"/>
      <c r="K80" s="623"/>
      <c r="L80" s="623"/>
      <c r="M80" s="623"/>
      <c r="N80" s="623"/>
      <c r="O80" s="623"/>
      <c r="P80" s="623"/>
      <c r="Q80" s="623"/>
      <c r="R80" s="623"/>
      <c r="S80" s="623"/>
      <c r="T80" s="623"/>
      <c r="U80" s="623"/>
      <c r="V80" s="623"/>
      <c r="W80" s="623"/>
    </row>
  </sheetData>
  <mergeCells count="15">
    <mergeCell ref="B80:W80"/>
    <mergeCell ref="K5:L5"/>
    <mergeCell ref="H4:L4"/>
    <mergeCell ref="I5:I6"/>
    <mergeCell ref="O5:Q5"/>
    <mergeCell ref="R5:R6"/>
    <mergeCell ref="C5:E5"/>
    <mergeCell ref="F5:F6"/>
    <mergeCell ref="O4:R4"/>
    <mergeCell ref="B3:L3"/>
    <mergeCell ref="N3:X3"/>
    <mergeCell ref="C4:F4"/>
    <mergeCell ref="T4:X4"/>
    <mergeCell ref="U5:U6"/>
    <mergeCell ref="W5:X5"/>
  </mergeCells>
  <pageMargins left="0.7" right="0.7" top="0.75" bottom="0.75" header="0.3" footer="0.3"/>
  <pageSetup scale="4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EDE-FED2-4051-B36D-8CA8254F3B12}">
  <sheetPr>
    <pageSetUpPr fitToPage="1"/>
  </sheetPr>
  <dimension ref="A1:AB210"/>
  <sheetViews>
    <sheetView showGridLines="0" view="pageBreakPreview" zoomScaleNormal="100" zoomScaleSheetLayoutView="100" workbookViewId="0">
      <pane xSplit="2" ySplit="7" topLeftCell="C195" activePane="bottomRight" state="frozen"/>
      <selection pane="topRight" activeCell="C1" sqref="C1"/>
      <selection pane="bottomLeft" activeCell="A8" sqref="A8"/>
      <selection pane="bottomRight" activeCell="B202" sqref="B202"/>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91" t="s">
        <v>437</v>
      </c>
      <c r="C3" s="692"/>
      <c r="D3" s="692"/>
      <c r="E3" s="692"/>
      <c r="F3" s="692"/>
      <c r="G3" s="692"/>
      <c r="H3" s="692"/>
      <c r="I3" s="692"/>
      <c r="J3" s="692"/>
      <c r="K3" s="692"/>
      <c r="L3" s="692"/>
      <c r="M3" s="425"/>
      <c r="N3" s="691" t="s">
        <v>456</v>
      </c>
      <c r="O3" s="692"/>
      <c r="P3" s="692"/>
      <c r="Q3" s="692"/>
      <c r="R3" s="692"/>
      <c r="S3" s="692"/>
      <c r="T3" s="692"/>
      <c r="U3" s="692"/>
      <c r="V3" s="692"/>
      <c r="W3" s="692"/>
      <c r="X3" s="692"/>
    </row>
    <row r="4" spans="1:28" ht="11.15" customHeight="1">
      <c r="A4" s="296"/>
      <c r="B4" s="426"/>
      <c r="C4" s="679" t="s">
        <v>586</v>
      </c>
      <c r="D4" s="679"/>
      <c r="E4" s="679"/>
      <c r="F4" s="679"/>
      <c r="G4" s="427"/>
      <c r="H4" s="689" t="s">
        <v>773</v>
      </c>
      <c r="I4" s="689"/>
      <c r="J4" s="689"/>
      <c r="K4" s="689"/>
      <c r="L4" s="689"/>
      <c r="M4" s="427"/>
      <c r="N4" s="428"/>
      <c r="O4" s="679" t="s">
        <v>586</v>
      </c>
      <c r="P4" s="679"/>
      <c r="Q4" s="679"/>
      <c r="R4" s="679"/>
      <c r="S4" s="427"/>
      <c r="T4" s="689" t="s">
        <v>773</v>
      </c>
      <c r="U4" s="689"/>
      <c r="V4" s="689"/>
      <c r="W4" s="689"/>
      <c r="X4" s="689"/>
      <c r="AB4" s="307"/>
    </row>
    <row r="5" spans="1:28" ht="27" customHeight="1">
      <c r="A5" s="296"/>
      <c r="B5" s="426"/>
      <c r="C5" s="689" t="s">
        <v>770</v>
      </c>
      <c r="D5" s="689"/>
      <c r="E5" s="689"/>
      <c r="F5" s="690" t="s">
        <v>771</v>
      </c>
      <c r="G5" s="427"/>
      <c r="H5" s="429"/>
      <c r="I5" s="685" t="s">
        <v>778</v>
      </c>
      <c r="J5" s="429"/>
      <c r="K5" s="679" t="s">
        <v>211</v>
      </c>
      <c r="L5" s="679"/>
      <c r="M5" s="427"/>
      <c r="N5" s="428"/>
      <c r="O5" s="689" t="s">
        <v>770</v>
      </c>
      <c r="P5" s="689"/>
      <c r="Q5" s="689"/>
      <c r="R5" s="690" t="s">
        <v>771</v>
      </c>
      <c r="S5" s="427"/>
      <c r="T5" s="429"/>
      <c r="U5" s="685" t="s">
        <v>778</v>
      </c>
      <c r="V5" s="429"/>
      <c r="W5" s="679" t="s">
        <v>211</v>
      </c>
      <c r="X5" s="679"/>
      <c r="AB5" s="307"/>
    </row>
    <row r="6" spans="1:28" ht="29.5" customHeight="1">
      <c r="A6" s="296"/>
      <c r="B6" s="430"/>
      <c r="C6" s="312" t="s">
        <v>429</v>
      </c>
      <c r="D6" s="313" t="s">
        <v>769</v>
      </c>
      <c r="E6" s="313" t="s">
        <v>772</v>
      </c>
      <c r="F6" s="684"/>
      <c r="G6" s="431"/>
      <c r="H6" s="315" t="s">
        <v>429</v>
      </c>
      <c r="I6" s="686"/>
      <c r="J6" s="316"/>
      <c r="K6" s="316" t="s">
        <v>587</v>
      </c>
      <c r="L6" s="316" t="s">
        <v>588</v>
      </c>
      <c r="M6" s="432"/>
      <c r="N6" s="433"/>
      <c r="O6" s="312" t="s">
        <v>429</v>
      </c>
      <c r="P6" s="313" t="s">
        <v>769</v>
      </c>
      <c r="Q6" s="313" t="s">
        <v>772</v>
      </c>
      <c r="R6" s="684"/>
      <c r="S6" s="431"/>
      <c r="T6" s="315" t="s">
        <v>429</v>
      </c>
      <c r="U6" s="686"/>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0.79912374407998876</v>
      </c>
      <c r="I40" s="438">
        <v>0</v>
      </c>
      <c r="J40" s="441"/>
      <c r="K40" s="438">
        <v>0.79912374407998876</v>
      </c>
      <c r="L40" s="438">
        <v>0</v>
      </c>
      <c r="O40" s="443">
        <v>4.2458232125593174</v>
      </c>
      <c r="P40" s="438">
        <v>0.10260739430351684</v>
      </c>
      <c r="Q40" s="438">
        <v>4.1432158182558005</v>
      </c>
      <c r="R40" s="438">
        <v>0</v>
      </c>
      <c r="S40" s="437"/>
      <c r="T40" s="443">
        <v>3.892004611512708</v>
      </c>
      <c r="U40" s="438">
        <v>0</v>
      </c>
      <c r="V40" s="441"/>
      <c r="W40" s="438">
        <v>3.892004611512708</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25.772200224823841</v>
      </c>
      <c r="D42" s="438">
        <v>3.99368543060258</v>
      </c>
      <c r="E42" s="438">
        <v>21.778514794221262</v>
      </c>
      <c r="F42" s="438">
        <v>2.0686715899524155</v>
      </c>
      <c r="G42" s="437"/>
      <c r="H42" s="443">
        <v>11.090378246133781</v>
      </c>
      <c r="I42" s="438">
        <v>0.94814114539485705</v>
      </c>
      <c r="J42" s="441"/>
      <c r="K42" s="438">
        <v>10.142237100738924</v>
      </c>
      <c r="L42" s="438" t="s">
        <v>452</v>
      </c>
      <c r="O42" s="443">
        <v>6.8226971940133092</v>
      </c>
      <c r="P42" s="438">
        <v>1.0572518505773132</v>
      </c>
      <c r="Q42" s="438">
        <v>5.7654453434359958</v>
      </c>
      <c r="R42" s="438">
        <v>0.54764124634220546</v>
      </c>
      <c r="S42" s="437"/>
      <c r="T42" s="443">
        <v>2.6849633327610904</v>
      </c>
      <c r="U42" s="438">
        <v>0</v>
      </c>
      <c r="V42" s="441"/>
      <c r="W42" s="438">
        <v>2.6849633327610904</v>
      </c>
      <c r="X42" s="438" t="s">
        <v>452</v>
      </c>
      <c r="AB42" s="404"/>
    </row>
    <row r="43" spans="2:28">
      <c r="B43" s="7" t="s">
        <v>1018</v>
      </c>
      <c r="C43" s="443">
        <v>2.513513761981462</v>
      </c>
      <c r="D43" s="438">
        <v>0.22949473478961177</v>
      </c>
      <c r="E43" s="438">
        <v>2.2840190271918503</v>
      </c>
      <c r="F43" s="438" t="s">
        <v>452</v>
      </c>
      <c r="G43" s="437"/>
      <c r="H43" s="443">
        <v>0.93983558056698158</v>
      </c>
      <c r="I43" s="438">
        <v>0.21856641408534455</v>
      </c>
      <c r="J43" s="441"/>
      <c r="K43" s="438">
        <v>0.72126916648163708</v>
      </c>
      <c r="L43" s="438">
        <v>0</v>
      </c>
      <c r="O43" s="443">
        <v>8.2182686338201005</v>
      </c>
      <c r="P43" s="438">
        <v>0.75036365787053105</v>
      </c>
      <c r="Q43" s="438">
        <v>7.467904975949569</v>
      </c>
      <c r="R43" s="438">
        <v>0</v>
      </c>
      <c r="S43" s="437"/>
      <c r="T43" s="443">
        <v>2.3582857818788119</v>
      </c>
      <c r="U43" s="438">
        <v>0</v>
      </c>
      <c r="V43" s="441"/>
      <c r="W43" s="438">
        <v>2.3582857818788119</v>
      </c>
      <c r="X43" s="438">
        <v>0</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0</v>
      </c>
      <c r="G45" s="437"/>
      <c r="H45" s="443">
        <v>3.9341954535362018</v>
      </c>
      <c r="I45" s="438" t="s">
        <v>452</v>
      </c>
      <c r="J45" s="441"/>
      <c r="K45" s="438">
        <v>2.7320801760668068</v>
      </c>
      <c r="L45" s="438">
        <v>1.2021152774693951</v>
      </c>
      <c r="O45" s="443">
        <v>5.2753421898884847</v>
      </c>
      <c r="P45" s="438">
        <v>0.3403446574121603</v>
      </c>
      <c r="Q45" s="438">
        <v>4.9349975324763244</v>
      </c>
      <c r="R45" s="438">
        <v>0</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0.87450931222269612</v>
      </c>
      <c r="I47" s="438">
        <v>0</v>
      </c>
      <c r="J47" s="441"/>
      <c r="K47" s="438">
        <v>0.87450931222269612</v>
      </c>
      <c r="L47" s="438" t="s">
        <v>452</v>
      </c>
      <c r="O47" s="443">
        <v>5.1116607835578804</v>
      </c>
      <c r="P47" s="438">
        <v>1.0547871458135309</v>
      </c>
      <c r="Q47" s="438">
        <v>4.0568736377443502</v>
      </c>
      <c r="R47" s="438">
        <v>1.6227494550977402</v>
      </c>
      <c r="S47" s="437"/>
      <c r="T47" s="443">
        <v>6.3287228748811861</v>
      </c>
      <c r="U47" s="438">
        <v>0</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15.920554145592671</v>
      </c>
      <c r="I50" s="438">
        <v>1.3453989418810708</v>
      </c>
      <c r="J50" s="441"/>
      <c r="K50" s="438">
        <v>14.575155203711601</v>
      </c>
      <c r="L50" s="438" t="s">
        <v>452</v>
      </c>
      <c r="O50" s="443">
        <v>3.2740579303928747</v>
      </c>
      <c r="P50" s="438">
        <v>0.83150677597279377</v>
      </c>
      <c r="Q50" s="438">
        <v>2.4425511544200815</v>
      </c>
      <c r="R50" s="438">
        <v>4.1055647063656693</v>
      </c>
      <c r="S50" s="437"/>
      <c r="T50" s="443">
        <v>7.379622636758544</v>
      </c>
      <c r="U50" s="438">
        <v>0.62363008197959524</v>
      </c>
      <c r="V50" s="441"/>
      <c r="W50" s="438">
        <v>6.755992554778949</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5.1950996245431096</v>
      </c>
      <c r="P63" s="438">
        <v>0.25975498122715551</v>
      </c>
      <c r="Q63" s="438">
        <v>4.935344643315954</v>
      </c>
      <c r="R63" s="438" t="s">
        <v>452</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0.23</v>
      </c>
      <c r="D67" s="438">
        <v>0.04</v>
      </c>
      <c r="E67" s="438">
        <v>0.19</v>
      </c>
      <c r="F67" s="438">
        <v>0.09</v>
      </c>
      <c r="G67" s="441"/>
      <c r="H67" s="443">
        <v>0.08</v>
      </c>
      <c r="I67" s="438">
        <v>0.08</v>
      </c>
      <c r="J67" s="441"/>
      <c r="K67" s="438" t="s">
        <v>452</v>
      </c>
      <c r="L67" s="438" t="s">
        <v>452</v>
      </c>
      <c r="O67" s="443">
        <v>2.0457019943271995</v>
      </c>
      <c r="P67" s="438">
        <v>0.35577425988299122</v>
      </c>
      <c r="Q67" s="438">
        <v>1.6899277344442083</v>
      </c>
      <c r="R67" s="438">
        <v>0.80049208473673017</v>
      </c>
      <c r="S67" s="437"/>
      <c r="T67" s="443">
        <v>0.71154851976598243</v>
      </c>
      <c r="U67" s="438">
        <v>0.71154851976598243</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2.0262390670553936</v>
      </c>
      <c r="D72" s="438">
        <v>0.49708454810495628</v>
      </c>
      <c r="E72" s="438">
        <v>1.5291545189504372</v>
      </c>
      <c r="F72" s="438">
        <v>0</v>
      </c>
      <c r="G72" s="441"/>
      <c r="H72" s="443">
        <v>4.1399416909620994</v>
      </c>
      <c r="I72" s="438">
        <v>0.23323615160349853</v>
      </c>
      <c r="J72" s="441"/>
      <c r="K72" s="438">
        <v>2.8862973760932946</v>
      </c>
      <c r="L72" s="438">
        <v>1.0204081632653061</v>
      </c>
      <c r="O72" s="443">
        <v>5.1996223481361392</v>
      </c>
      <c r="P72" s="438">
        <v>1.2755908062693695</v>
      </c>
      <c r="Q72" s="438">
        <v>3.9240315418667704</v>
      </c>
      <c r="R72" s="438">
        <v>0</v>
      </c>
      <c r="S72" s="437"/>
      <c r="T72" s="443">
        <v>10.623688826407655</v>
      </c>
      <c r="U72" s="438">
        <v>0.59851768036099451</v>
      </c>
      <c r="V72" s="441"/>
      <c r="W72" s="438">
        <v>7.4066562944673082</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2.9995366303519951E-2</v>
      </c>
      <c r="D77" s="438">
        <v>1.9319049483623018E-2</v>
      </c>
      <c r="E77" s="438">
        <v>1.0676316819896933E-2</v>
      </c>
      <c r="F77" s="438" t="s">
        <v>452</v>
      </c>
      <c r="G77" s="441"/>
      <c r="H77" s="443">
        <v>3.0503762342562659E-2</v>
      </c>
      <c r="I77" s="438">
        <v>0</v>
      </c>
      <c r="J77" s="441"/>
      <c r="K77" s="438">
        <v>3.0503762342562659E-2</v>
      </c>
      <c r="L77" s="438" t="s">
        <v>452</v>
      </c>
      <c r="O77" s="443">
        <v>1.6040763768418298</v>
      </c>
      <c r="P77" s="438">
        <v>1.0331339376269411</v>
      </c>
      <c r="Q77" s="438">
        <v>0.57094243921488852</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15" t="s">
        <v>1043</v>
      </c>
      <c r="C80" s="443">
        <v>0.85922642158120055</v>
      </c>
      <c r="D80" s="438">
        <v>0.19828302036489243</v>
      </c>
      <c r="E80" s="438">
        <v>0.66094340121630812</v>
      </c>
      <c r="F80" s="438">
        <v>0.41048063865012818</v>
      </c>
      <c r="G80" s="441"/>
      <c r="H80" s="443" t="s">
        <v>452</v>
      </c>
      <c r="I80" s="438" t="s">
        <v>452</v>
      </c>
      <c r="J80" s="441"/>
      <c r="K80" s="438" t="s">
        <v>452</v>
      </c>
      <c r="L80" s="438" t="s">
        <v>452</v>
      </c>
      <c r="O80" s="443">
        <v>1.429352585851031</v>
      </c>
      <c r="P80" s="438">
        <v>0.32985059673485329</v>
      </c>
      <c r="Q80" s="438">
        <v>1.0995019891161777</v>
      </c>
      <c r="R80" s="438">
        <v>0.68284860376688927</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1.5555555555555555E-2</v>
      </c>
      <c r="D82" s="438">
        <v>1.6666666666666663E-3</v>
      </c>
      <c r="E82" s="438">
        <v>1.3999999999999999E-2</v>
      </c>
      <c r="F82" s="438" t="s">
        <v>452</v>
      </c>
      <c r="G82" s="441"/>
      <c r="H82" s="443" t="s">
        <v>452</v>
      </c>
      <c r="I82" s="438">
        <v>0</v>
      </c>
      <c r="J82" s="441"/>
      <c r="K82" s="438" t="s">
        <v>452</v>
      </c>
      <c r="L82" s="438" t="s">
        <v>452</v>
      </c>
      <c r="O82" s="443">
        <v>2.8526213552668223</v>
      </c>
      <c r="P82" s="438">
        <v>0.30563800235001665</v>
      </c>
      <c r="Q82" s="438">
        <v>2.56735921974014</v>
      </c>
      <c r="R82" s="438" t="s">
        <v>452</v>
      </c>
      <c r="S82" s="437"/>
      <c r="T82" s="443" t="s">
        <v>452</v>
      </c>
      <c r="U82" s="438">
        <v>0</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5.6395943594495207E-2</v>
      </c>
      <c r="E98" s="438">
        <v>7.0494929493119002E-2</v>
      </c>
      <c r="F98" s="438" t="s">
        <v>452</v>
      </c>
      <c r="G98" s="441"/>
      <c r="H98" s="443" t="s">
        <v>452</v>
      </c>
      <c r="I98" s="438" t="s">
        <v>452</v>
      </c>
      <c r="J98" s="441"/>
      <c r="K98" s="438" t="s">
        <v>452</v>
      </c>
      <c r="L98" s="438" t="s">
        <v>452</v>
      </c>
      <c r="O98" s="443">
        <v>0.86197104782418632</v>
      </c>
      <c r="P98" s="438">
        <v>0.38309824347741622</v>
      </c>
      <c r="Q98" s="438">
        <v>0.4788728043467701</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15" t="s">
        <v>970</v>
      </c>
      <c r="C101" s="443">
        <v>0</v>
      </c>
      <c r="D101" s="438">
        <v>0</v>
      </c>
      <c r="E101" s="438">
        <v>0</v>
      </c>
      <c r="F101" s="438" t="s">
        <v>452</v>
      </c>
      <c r="G101" s="441"/>
      <c r="H101" s="443" t="s">
        <v>452</v>
      </c>
      <c r="I101" s="438">
        <v>0</v>
      </c>
      <c r="J101" s="441"/>
      <c r="K101" s="438" t="s">
        <v>452</v>
      </c>
      <c r="L101" s="438" t="s">
        <v>452</v>
      </c>
      <c r="O101" s="443">
        <v>0</v>
      </c>
      <c r="P101" s="438">
        <v>0</v>
      </c>
      <c r="Q101" s="438">
        <v>0</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0.16223231667748214</v>
      </c>
      <c r="D106" s="438" t="s">
        <v>452</v>
      </c>
      <c r="E106" s="438">
        <v>0.16223231667748214</v>
      </c>
      <c r="F106" s="438" t="s">
        <v>452</v>
      </c>
      <c r="G106" s="441"/>
      <c r="H106" s="443" t="s">
        <v>452</v>
      </c>
      <c r="I106" s="438" t="s">
        <v>452</v>
      </c>
      <c r="J106" s="441"/>
      <c r="K106" s="438" t="s">
        <v>452</v>
      </c>
      <c r="L106" s="438" t="s">
        <v>452</v>
      </c>
      <c r="O106" s="443">
        <v>3.1537499748216193</v>
      </c>
      <c r="P106" s="438" t="s">
        <v>452</v>
      </c>
      <c r="Q106" s="438">
        <v>3.1537499748216193</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17.708360881034029</v>
      </c>
      <c r="P108" s="438">
        <v>5.0595316802954367</v>
      </c>
      <c r="Q108" s="438">
        <v>12.648829200738593</v>
      </c>
      <c r="R108" s="438" t="s">
        <v>452</v>
      </c>
      <c r="S108" s="437"/>
      <c r="T108" s="443" t="s">
        <v>452</v>
      </c>
      <c r="U108" s="438" t="s">
        <v>452</v>
      </c>
      <c r="V108" s="441"/>
      <c r="W108" s="438" t="s">
        <v>452</v>
      </c>
      <c r="X108" s="438" t="s">
        <v>452</v>
      </c>
      <c r="AB108" s="403"/>
    </row>
    <row r="109" spans="2:28">
      <c r="B109" s="415" t="s">
        <v>25</v>
      </c>
      <c r="C109" s="443">
        <v>1.0157968531683483</v>
      </c>
      <c r="D109" s="438">
        <v>0.14694990136871694</v>
      </c>
      <c r="E109" s="438">
        <v>0.86884695179963134</v>
      </c>
      <c r="F109" s="438" t="s">
        <v>452</v>
      </c>
      <c r="G109" s="441"/>
      <c r="H109" s="443">
        <v>0.31451946180599999</v>
      </c>
      <c r="I109" s="438">
        <v>3.5875420338890365E-2</v>
      </c>
      <c r="J109" s="441"/>
      <c r="K109" s="438">
        <v>0</v>
      </c>
      <c r="L109" s="438">
        <v>0.27864404146710964</v>
      </c>
      <c r="O109" s="443">
        <v>7.5154013064619249</v>
      </c>
      <c r="P109" s="438">
        <v>1.0872129375930206</v>
      </c>
      <c r="Q109" s="438">
        <v>6.4281883688689039</v>
      </c>
      <c r="R109" s="438" t="s">
        <v>452</v>
      </c>
      <c r="S109" s="437"/>
      <c r="T109" s="443">
        <v>2.3269809970289117</v>
      </c>
      <c r="U109" s="438">
        <v>0.2654252964495879</v>
      </c>
      <c r="V109" s="441"/>
      <c r="W109" s="438">
        <v>0</v>
      </c>
      <c r="X109" s="438">
        <v>2.0615557005793237</v>
      </c>
      <c r="AB109" s="403"/>
    </row>
    <row r="110" spans="2:28">
      <c r="B110" s="415" t="s">
        <v>1064</v>
      </c>
      <c r="C110" s="443">
        <v>0.39240802471531144</v>
      </c>
      <c r="D110" s="438">
        <v>2.2423315698017799E-2</v>
      </c>
      <c r="E110" s="438">
        <v>0.36998470901729363</v>
      </c>
      <c r="F110" s="438">
        <v>0.11211657849008899</v>
      </c>
      <c r="G110" s="441"/>
      <c r="H110" s="443" t="s">
        <v>452</v>
      </c>
      <c r="I110" s="438" t="s">
        <v>452</v>
      </c>
      <c r="J110" s="441"/>
      <c r="K110" s="438">
        <v>0</v>
      </c>
      <c r="L110" s="438" t="s">
        <v>452</v>
      </c>
      <c r="O110" s="443">
        <v>7.8054087887058632</v>
      </c>
      <c r="P110" s="438">
        <v>0.44602335935462079</v>
      </c>
      <c r="Q110" s="438">
        <v>7.3593854293512413</v>
      </c>
      <c r="R110" s="438">
        <v>2.2301167967731037</v>
      </c>
      <c r="S110" s="437"/>
      <c r="T110" s="443" t="s">
        <v>452</v>
      </c>
      <c r="U110" s="438" t="s">
        <v>452</v>
      </c>
      <c r="V110" s="441"/>
      <c r="W110" s="438">
        <v>0</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3.0744892490249986</v>
      </c>
      <c r="D112" s="438">
        <v>1.0248297496749996</v>
      </c>
      <c r="E112" s="438">
        <v>2.0496594993499988</v>
      </c>
      <c r="F112" s="438" t="s">
        <v>452</v>
      </c>
      <c r="G112" s="441"/>
      <c r="H112" s="443">
        <v>0.51241487483749981</v>
      </c>
      <c r="I112" s="438">
        <v>0.51241487483749981</v>
      </c>
      <c r="J112" s="441"/>
      <c r="K112" s="438" t="s">
        <v>452</v>
      </c>
      <c r="L112" s="438" t="s">
        <v>452</v>
      </c>
      <c r="O112" s="443">
        <v>2.8247810189042313</v>
      </c>
      <c r="P112" s="438">
        <v>0.94159367296807706</v>
      </c>
      <c r="Q112" s="438">
        <v>1.8831873459361543</v>
      </c>
      <c r="R112" s="438" t="s">
        <v>452</v>
      </c>
      <c r="S112" s="437"/>
      <c r="T112" s="443">
        <v>0.47079683648403853</v>
      </c>
      <c r="U112" s="438">
        <v>0.47079683648403853</v>
      </c>
      <c r="V112" s="441"/>
      <c r="W112" s="438" t="s">
        <v>452</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0.23304055324798004</v>
      </c>
      <c r="D129" s="438">
        <v>8.6111982724426817E-3</v>
      </c>
      <c r="E129" s="438">
        <v>0.22442935497553734</v>
      </c>
      <c r="F129" s="438" t="s">
        <v>452</v>
      </c>
      <c r="G129" s="441"/>
      <c r="H129" s="443" t="s">
        <v>452</v>
      </c>
      <c r="I129" s="438" t="s">
        <v>452</v>
      </c>
      <c r="J129" s="441"/>
      <c r="K129" s="438" t="s">
        <v>452</v>
      </c>
      <c r="L129" s="438" t="s">
        <v>452</v>
      </c>
      <c r="O129" s="443">
        <v>0.27689485240833689</v>
      </c>
      <c r="P129" s="438">
        <v>1.0231680458506675E-2</v>
      </c>
      <c r="Q129" s="438">
        <v>0.26666317194983019</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0.24814814814814815</v>
      </c>
      <c r="D131" s="438">
        <v>7.4074074074074068E-3</v>
      </c>
      <c r="E131" s="438">
        <v>0.24074074074074073</v>
      </c>
      <c r="F131" s="438" t="s">
        <v>452</v>
      </c>
      <c r="G131" s="441"/>
      <c r="H131" s="443" t="s">
        <v>452</v>
      </c>
      <c r="I131" s="438" t="s">
        <v>452</v>
      </c>
      <c r="J131" s="441"/>
      <c r="K131" s="438" t="s">
        <v>452</v>
      </c>
      <c r="L131" s="438" t="s">
        <v>452</v>
      </c>
      <c r="O131" s="443">
        <v>14.021073160425217</v>
      </c>
      <c r="P131" s="438">
        <v>0.41853949732612583</v>
      </c>
      <c r="Q131" s="438">
        <v>13.602533663099091</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1.744152646100593</v>
      </c>
      <c r="Q134" s="438">
        <v>3.4883052922011855</v>
      </c>
      <c r="R134" s="438" t="s">
        <v>452</v>
      </c>
      <c r="S134" s="437"/>
      <c r="T134" s="443" t="s">
        <v>452</v>
      </c>
      <c r="U134" s="438" t="s">
        <v>452</v>
      </c>
      <c r="V134" s="441"/>
      <c r="W134" s="438" t="s">
        <v>452</v>
      </c>
      <c r="X134" s="438" t="s">
        <v>452</v>
      </c>
      <c r="AB134" s="403"/>
    </row>
    <row r="135" spans="2:28">
      <c r="B135" s="415" t="s">
        <v>1082</v>
      </c>
      <c r="C135" s="443">
        <v>0.56260234045848034</v>
      </c>
      <c r="D135" s="438">
        <v>2.3688519598251804E-2</v>
      </c>
      <c r="E135" s="438">
        <v>0.53891382086022854</v>
      </c>
      <c r="F135" s="438" t="s">
        <v>452</v>
      </c>
      <c r="G135" s="441"/>
      <c r="H135" s="443" t="s">
        <v>452</v>
      </c>
      <c r="I135" s="438" t="s">
        <v>452</v>
      </c>
      <c r="J135" s="441"/>
      <c r="K135" s="438" t="s">
        <v>452</v>
      </c>
      <c r="L135" s="438" t="s">
        <v>452</v>
      </c>
      <c r="O135" s="443">
        <v>2.4764408833270228</v>
      </c>
      <c r="P135" s="438">
        <v>0.1042711950874536</v>
      </c>
      <c r="Q135" s="438">
        <v>2.3721696882395693</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1250</v>
      </c>
      <c r="C138" s="443">
        <v>1.3127928628601898E-2</v>
      </c>
      <c r="D138" s="438">
        <v>6.5639643143009492E-3</v>
      </c>
      <c r="E138" s="438">
        <v>6.5639643143009492E-3</v>
      </c>
      <c r="F138" s="438" t="s">
        <v>452</v>
      </c>
      <c r="G138" s="441"/>
      <c r="H138" s="443" t="s">
        <v>452</v>
      </c>
      <c r="I138" s="438" t="s">
        <v>452</v>
      </c>
      <c r="J138" s="441"/>
      <c r="K138" s="438" t="s">
        <v>452</v>
      </c>
      <c r="L138" s="438" t="s">
        <v>452</v>
      </c>
      <c r="O138" s="443">
        <v>29.591839754269362</v>
      </c>
      <c r="P138" s="438">
        <v>14.795919877134681</v>
      </c>
      <c r="Q138" s="438">
        <v>14.795919877134681</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15" t="s">
        <v>1087</v>
      </c>
      <c r="C144" s="443">
        <v>0.28537573713723607</v>
      </c>
      <c r="D144" s="438">
        <v>8.0424071375039249E-2</v>
      </c>
      <c r="E144" s="438">
        <v>0.20495166576219681</v>
      </c>
      <c r="F144" s="438" t="s">
        <v>452</v>
      </c>
      <c r="G144" s="441"/>
      <c r="H144" s="443" t="s">
        <v>452</v>
      </c>
      <c r="I144" s="438" t="s">
        <v>452</v>
      </c>
      <c r="J144" s="441"/>
      <c r="K144" s="438" t="s">
        <v>452</v>
      </c>
      <c r="L144" s="438" t="s">
        <v>452</v>
      </c>
      <c r="O144" s="443">
        <v>1.5007616577994276</v>
      </c>
      <c r="P144" s="438">
        <v>0.42294192174347506</v>
      </c>
      <c r="Q144" s="438">
        <v>1.0778197360559525</v>
      </c>
      <c r="R144" s="438" t="s">
        <v>452</v>
      </c>
      <c r="S144" s="437"/>
      <c r="T144" s="443" t="s">
        <v>452</v>
      </c>
      <c r="U144" s="438" t="s">
        <v>452</v>
      </c>
      <c r="V144" s="441"/>
      <c r="W144" s="438" t="s">
        <v>452</v>
      </c>
      <c r="X144" s="438"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2.7005458286799362E-2</v>
      </c>
      <c r="D152" s="438">
        <v>1.7092062206835037E-2</v>
      </c>
      <c r="E152" s="438">
        <v>9.9133960799643248E-3</v>
      </c>
      <c r="F152" s="438" t="s">
        <v>452</v>
      </c>
      <c r="G152" s="441"/>
      <c r="H152" s="443" t="s">
        <v>452</v>
      </c>
      <c r="I152" s="438" t="s">
        <v>452</v>
      </c>
      <c r="J152" s="441"/>
      <c r="K152" s="438" t="s">
        <v>452</v>
      </c>
      <c r="L152" s="438" t="s">
        <v>452</v>
      </c>
      <c r="O152" s="443">
        <v>1.1636439339992679</v>
      </c>
      <c r="P152" s="438">
        <v>0.73648350253118233</v>
      </c>
      <c r="Q152" s="438">
        <v>0.42716043146808558</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0.53110030908457828</v>
      </c>
      <c r="P161" s="438">
        <v>0.53110030908457828</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t="s">
        <v>452</v>
      </c>
      <c r="D169" s="438">
        <v>2.7074735341690831E-2</v>
      </c>
      <c r="E169" s="438">
        <v>-2.7074735341690831E-2</v>
      </c>
      <c r="F169" s="438" t="s">
        <v>452</v>
      </c>
      <c r="G169" s="441"/>
      <c r="H169" s="443" t="s">
        <v>452</v>
      </c>
      <c r="I169" s="438" t="s">
        <v>452</v>
      </c>
      <c r="J169" s="441"/>
      <c r="K169" s="438" t="s">
        <v>452</v>
      </c>
      <c r="L169" s="438" t="s">
        <v>452</v>
      </c>
      <c r="O169" s="443" t="s">
        <v>452</v>
      </c>
      <c r="P169" s="438">
        <v>0.36195419593312866</v>
      </c>
      <c r="Q169" s="438">
        <v>-0.36195419593312866</v>
      </c>
      <c r="R169" s="438" t="s">
        <v>452</v>
      </c>
      <c r="S169" s="437"/>
      <c r="T169" s="443" t="s">
        <v>452</v>
      </c>
      <c r="U169" s="438" t="s">
        <v>452</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0</v>
      </c>
      <c r="D172" s="438" t="s">
        <v>452</v>
      </c>
      <c r="E172" s="438">
        <v>0</v>
      </c>
      <c r="F172" s="438" t="s">
        <v>452</v>
      </c>
      <c r="G172" s="441"/>
      <c r="H172" s="443" t="s">
        <v>452</v>
      </c>
      <c r="I172" s="438" t="s">
        <v>452</v>
      </c>
      <c r="J172" s="441"/>
      <c r="K172" s="438" t="s">
        <v>452</v>
      </c>
      <c r="L172" s="438" t="s">
        <v>452</v>
      </c>
      <c r="O172" s="443">
        <v>0</v>
      </c>
      <c r="P172" s="438" t="s">
        <v>452</v>
      </c>
      <c r="Q172" s="438">
        <v>0</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0.24312896405919657</v>
      </c>
      <c r="D177" s="438">
        <v>0.12684989429175475</v>
      </c>
      <c r="E177" s="438">
        <v>0.11627906976744182</v>
      </c>
      <c r="F177" s="438" t="s">
        <v>452</v>
      </c>
      <c r="G177" s="441"/>
      <c r="H177" s="443">
        <v>4.2283298097251579E-2</v>
      </c>
      <c r="I177" s="438">
        <v>3.6997885835095133E-2</v>
      </c>
      <c r="J177" s="441"/>
      <c r="K177" s="438">
        <v>5.2854122621564482E-3</v>
      </c>
      <c r="L177" s="438" t="s">
        <v>452</v>
      </c>
      <c r="O177" s="443">
        <v>2.1667085974619615</v>
      </c>
      <c r="P177" s="438">
        <v>1.1304566595453713</v>
      </c>
      <c r="Q177" s="438">
        <v>1.0362519379165902</v>
      </c>
      <c r="R177" s="438" t="s">
        <v>452</v>
      </c>
      <c r="S177" s="437"/>
      <c r="T177" s="443">
        <v>0.37681888651512385</v>
      </c>
      <c r="U177" s="438">
        <v>0.32971652570073334</v>
      </c>
      <c r="V177" s="441"/>
      <c r="W177" s="438">
        <v>4.7102360814390482E-2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0.16508648409906754</v>
      </c>
      <c r="D181" s="438">
        <v>0.11093112952688665</v>
      </c>
      <c r="E181" s="438">
        <v>5.4155354572180882E-2</v>
      </c>
      <c r="F181" s="438" t="s">
        <v>452</v>
      </c>
      <c r="G181" s="441"/>
      <c r="H181" s="443" t="s">
        <v>452</v>
      </c>
      <c r="I181" s="438" t="s">
        <v>452</v>
      </c>
      <c r="J181" s="441"/>
      <c r="K181" s="438" t="s">
        <v>452</v>
      </c>
      <c r="L181" s="438" t="s">
        <v>452</v>
      </c>
      <c r="O181" s="443">
        <v>1.4110775326436071</v>
      </c>
      <c r="P181" s="438">
        <v>0.94818437378697418</v>
      </c>
      <c r="Q181" s="438">
        <v>0.46289315885663307</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3.9359999999999992E-2</v>
      </c>
      <c r="D189" s="438">
        <v>1.8449999999999994E-2</v>
      </c>
      <c r="E189" s="438">
        <v>2.0909999999999998E-2</v>
      </c>
      <c r="F189" s="438" t="s">
        <v>452</v>
      </c>
      <c r="G189" s="441"/>
      <c r="H189" s="443" t="s">
        <v>452</v>
      </c>
      <c r="I189" s="438" t="s">
        <v>452</v>
      </c>
      <c r="J189" s="441"/>
      <c r="K189" s="438" t="s">
        <v>452</v>
      </c>
      <c r="L189" s="438" t="s">
        <v>452</v>
      </c>
      <c r="O189" s="443">
        <v>2.5840297961402143</v>
      </c>
      <c r="P189" s="438">
        <v>1.2112639669407252</v>
      </c>
      <c r="Q189" s="438">
        <v>1.3727658291994891</v>
      </c>
      <c r="R189" s="438" t="s">
        <v>452</v>
      </c>
      <c r="S189" s="437"/>
      <c r="T189" s="443" t="s">
        <v>452</v>
      </c>
      <c r="U189" s="438" t="s">
        <v>452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0.3373447802077017</v>
      </c>
      <c r="D192" s="438">
        <v>0.16689689126065241</v>
      </c>
      <c r="E192" s="438">
        <v>0.17044788894704929</v>
      </c>
      <c r="F192" s="438" t="s">
        <v>452</v>
      </c>
      <c r="G192" s="441"/>
      <c r="H192" s="443" t="s">
        <v>452</v>
      </c>
      <c r="I192" s="438" t="s">
        <v>452</v>
      </c>
      <c r="J192" s="441"/>
      <c r="K192" s="438" t="s">
        <v>452</v>
      </c>
      <c r="L192" s="438" t="s">
        <v>452</v>
      </c>
      <c r="O192" s="443">
        <v>1.0862188684294976</v>
      </c>
      <c r="P192" s="438">
        <v>0.537392492801962</v>
      </c>
      <c r="Q192" s="438">
        <v>0.54882637562753556</v>
      </c>
      <c r="R192" s="438" t="s">
        <v>452</v>
      </c>
      <c r="S192" s="437"/>
      <c r="T192" s="443" t="s">
        <v>452</v>
      </c>
      <c r="U192" s="438" t="s">
        <v>452</v>
      </c>
      <c r="V192" s="441"/>
      <c r="W192" s="438" t="s">
        <v>452</v>
      </c>
      <c r="X192" s="438" t="s">
        <v>452</v>
      </c>
      <c r="AB192" s="403"/>
    </row>
    <row r="193" spans="2:28">
      <c r="B193" s="415" t="s">
        <v>1123</v>
      </c>
      <c r="C193" s="443">
        <v>0.26887254237128744</v>
      </c>
      <c r="D193" s="438">
        <v>0.18124501957906403</v>
      </c>
      <c r="E193" s="438">
        <v>8.7627522792223397E-2</v>
      </c>
      <c r="F193" s="438" t="s">
        <v>452</v>
      </c>
      <c r="G193" s="441"/>
      <c r="H193" s="443">
        <v>3.8644993513659714E-2</v>
      </c>
      <c r="I193" s="438">
        <v>3.8644993513659714E-2</v>
      </c>
      <c r="J193" s="441"/>
      <c r="K193" s="438" t="s">
        <v>452</v>
      </c>
      <c r="L193" s="438" t="s">
        <v>452</v>
      </c>
      <c r="O193" s="443">
        <v>3.4547855101130538</v>
      </c>
      <c r="P193" s="438">
        <v>2.3288457121710704</v>
      </c>
      <c r="Q193" s="438">
        <v>1.1259397979419834</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0.18459427183381841</v>
      </c>
      <c r="D196" s="438">
        <v>0.10084316702032672</v>
      </c>
      <c r="E196" s="438">
        <v>8.3751104813491684E-2</v>
      </c>
      <c r="F196" s="438">
        <v>0</v>
      </c>
      <c r="G196" s="441"/>
      <c r="H196" s="443" t="s">
        <v>452</v>
      </c>
      <c r="I196" s="438" t="s">
        <v>452</v>
      </c>
      <c r="J196" s="441"/>
      <c r="K196" s="438" t="s">
        <v>452</v>
      </c>
      <c r="L196" s="438" t="s">
        <v>452</v>
      </c>
      <c r="O196" s="443">
        <v>3.2279311103090631</v>
      </c>
      <c r="P196" s="438">
        <v>1.7634068102614326</v>
      </c>
      <c r="Q196" s="438">
        <v>1.4645243000476305</v>
      </c>
      <c r="R196" s="438">
        <v>0</v>
      </c>
      <c r="S196" s="437"/>
      <c r="T196" s="443" t="s">
        <v>452</v>
      </c>
      <c r="U196" s="438" t="s">
        <v>452</v>
      </c>
      <c r="V196" s="441"/>
      <c r="W196" s="438" t="s">
        <v>452</v>
      </c>
      <c r="X196" s="438" t="s">
        <v>452</v>
      </c>
      <c r="AB196" s="403"/>
    </row>
    <row r="197" spans="2:28">
      <c r="B197" s="415" t="s">
        <v>1127</v>
      </c>
      <c r="C197" s="443">
        <v>6.5528330095515966E-2</v>
      </c>
      <c r="D197" s="438">
        <v>5.0001537020674829E-2</v>
      </c>
      <c r="E197" s="438">
        <v>1.5526793074841137E-2</v>
      </c>
      <c r="F197" s="438" t="s">
        <v>452</v>
      </c>
      <c r="G197" s="441"/>
      <c r="H197" s="443">
        <v>0.24783674593153771</v>
      </c>
      <c r="I197" s="438">
        <v>0.24783674593153771</v>
      </c>
      <c r="J197" s="441"/>
      <c r="K197" s="438" t="s">
        <v>452</v>
      </c>
      <c r="L197" s="438" t="s">
        <v>452</v>
      </c>
      <c r="O197" s="443">
        <v>0.17391194807262148</v>
      </c>
      <c r="P197" s="438">
        <v>0.13270389611967101</v>
      </c>
      <c r="Q197" s="438">
        <v>4.1208051952950464E-2</v>
      </c>
      <c r="R197" s="438" t="s">
        <v>452</v>
      </c>
      <c r="S197" s="437"/>
      <c r="T197" s="443">
        <v>0.63354074260132731</v>
      </c>
      <c r="U197" s="438">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5784.277417560008</v>
      </c>
      <c r="D204" s="449">
        <v>597.15935652634369</v>
      </c>
      <c r="E204" s="449">
        <v>5181.3925567276556</v>
      </c>
      <c r="F204" s="448">
        <f>SUM(F8:F202)-IF(F10="", 0, F10)</f>
        <v>773.45007695660536</v>
      </c>
      <c r="G204" s="449"/>
      <c r="H204" s="448">
        <f>I204+ K204 + L204</f>
        <v>5668.7152349558392</v>
      </c>
      <c r="I204" s="448">
        <v>433.70729627256952</v>
      </c>
      <c r="J204" s="448"/>
      <c r="K204" s="448">
        <v>3823.851074857148</v>
      </c>
      <c r="L204" s="448">
        <v>1411.1568638261215</v>
      </c>
      <c r="O204" s="439">
        <v>5.7356253123314227</v>
      </c>
      <c r="P204" s="439">
        <v>0.60539727955309974</v>
      </c>
      <c r="Q204" s="439">
        <v>5.1204485713175529</v>
      </c>
      <c r="R204" s="440">
        <v>1.024331794128307</v>
      </c>
      <c r="S204" s="440"/>
      <c r="T204" s="439">
        <f>U204+W204+X204</f>
        <v>5.9233554334497871</v>
      </c>
      <c r="U204" s="440">
        <v>0.46124045328668267</v>
      </c>
      <c r="V204" s="440"/>
      <c r="W204" s="440">
        <v>4.0593047315249642</v>
      </c>
      <c r="X204" s="440">
        <v>1.4028102486381402</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23" t="s">
        <v>1251</v>
      </c>
      <c r="C208" s="623"/>
      <c r="D208" s="623"/>
      <c r="E208" s="623"/>
      <c r="F208" s="623"/>
      <c r="G208" s="623"/>
      <c r="H208" s="623"/>
      <c r="I208" s="623"/>
      <c r="J208" s="623"/>
      <c r="K208" s="623"/>
      <c r="L208" s="623"/>
      <c r="M208" s="623"/>
      <c r="N208" s="623"/>
      <c r="O208" s="623"/>
      <c r="P208" s="623"/>
      <c r="Q208" s="623"/>
      <c r="R208" s="623"/>
      <c r="S208" s="623"/>
      <c r="T208" s="623"/>
      <c r="U208" s="623"/>
      <c r="V208" s="623"/>
      <c r="W208" s="623"/>
    </row>
    <row r="209" spans="2:2">
      <c r="B209" s="33" t="s">
        <v>1242</v>
      </c>
    </row>
    <row r="210" spans="2:2">
      <c r="B210" s="33" t="s">
        <v>1244</v>
      </c>
    </row>
  </sheetData>
  <mergeCells count="15">
    <mergeCell ref="B3:L3"/>
    <mergeCell ref="N3:X3"/>
    <mergeCell ref="C4:F4"/>
    <mergeCell ref="H4:L4"/>
    <mergeCell ref="O4:R4"/>
    <mergeCell ref="T4:X4"/>
    <mergeCell ref="U5:U6"/>
    <mergeCell ref="W5:X5"/>
    <mergeCell ref="B208:W208"/>
    <mergeCell ref="C5:E5"/>
    <mergeCell ref="F5:F6"/>
    <mergeCell ref="I5:I6"/>
    <mergeCell ref="K5:L5"/>
    <mergeCell ref="O5:Q5"/>
    <mergeCell ref="R5:R6"/>
  </mergeCells>
  <pageMargins left="0.7" right="0.7" top="0.75" bottom="0.75" header="0.3" footer="0.3"/>
  <pageSetup scale="65"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913C-6726-4CF0-96C0-895E25815C0E}">
  <sheetPr filterMode="1"/>
  <dimension ref="A2:A199"/>
  <sheetViews>
    <sheetView topLeftCell="A101" workbookViewId="0">
      <selection activeCell="A29" sqref="A29:A199"/>
    </sheetView>
  </sheetViews>
  <sheetFormatPr defaultColWidth="8.7265625" defaultRowHeight="12.5"/>
  <sheetData>
    <row r="2" spans="1:1">
      <c r="A2" s="307"/>
    </row>
    <row r="3" spans="1:1">
      <c r="A3" s="307"/>
    </row>
    <row r="4" spans="1:1">
      <c r="A4" s="311"/>
    </row>
    <row r="5" spans="1:1">
      <c r="A5" s="298" t="s">
        <v>775</v>
      </c>
    </row>
    <row r="6" spans="1:1" hidden="1">
      <c r="A6" s="299" t="s">
        <v>0</v>
      </c>
    </row>
    <row r="7" spans="1:1" hidden="1">
      <c r="A7" s="299" t="s">
        <v>1</v>
      </c>
    </row>
    <row r="8" spans="1:1" hidden="1">
      <c r="A8" s="299" t="s">
        <v>430</v>
      </c>
    </row>
    <row r="9" spans="1:1" hidden="1">
      <c r="A9" s="299" t="s">
        <v>2</v>
      </c>
    </row>
    <row r="10" spans="1:1" hidden="1">
      <c r="A10" s="299" t="s">
        <v>3</v>
      </c>
    </row>
    <row r="11" spans="1:1" hidden="1">
      <c r="A11" s="299" t="s">
        <v>4</v>
      </c>
    </row>
    <row r="12" spans="1:1" hidden="1">
      <c r="A12" s="299" t="s">
        <v>5</v>
      </c>
    </row>
    <row r="13" spans="1:1" hidden="1">
      <c r="A13" s="299" t="s">
        <v>6</v>
      </c>
    </row>
    <row r="14" spans="1:1" hidden="1">
      <c r="A14" s="299" t="s">
        <v>32</v>
      </c>
    </row>
    <row r="15" spans="1:1" hidden="1">
      <c r="A15" s="299" t="s">
        <v>7</v>
      </c>
    </row>
    <row r="16" spans="1:1" hidden="1">
      <c r="A16" s="299" t="s">
        <v>8</v>
      </c>
    </row>
    <row r="17" spans="1:1" hidden="1">
      <c r="A17" s="298" t="s">
        <v>869</v>
      </c>
    </row>
    <row r="18" spans="1:1" hidden="1">
      <c r="A18" s="299" t="s">
        <v>9</v>
      </c>
    </row>
    <row r="19" spans="1:1" hidden="1">
      <c r="A19" s="299" t="s">
        <v>10</v>
      </c>
    </row>
    <row r="20" spans="1:1" hidden="1">
      <c r="A20" s="299" t="s">
        <v>11</v>
      </c>
    </row>
    <row r="21" spans="1:1" hidden="1">
      <c r="A21" s="299" t="s">
        <v>12</v>
      </c>
    </row>
    <row r="22" spans="1:1" hidden="1">
      <c r="A22" s="299" t="s">
        <v>13</v>
      </c>
    </row>
    <row r="23" spans="1:1" hidden="1">
      <c r="A23" s="299" t="s">
        <v>14</v>
      </c>
    </row>
    <row r="24" spans="1:1" hidden="1">
      <c r="A24" s="299" t="s">
        <v>15</v>
      </c>
    </row>
    <row r="25" spans="1:1" hidden="1">
      <c r="A25" s="299" t="s">
        <v>16</v>
      </c>
    </row>
    <row r="26" spans="1:1" hidden="1">
      <c r="A26" s="299" t="s">
        <v>17</v>
      </c>
    </row>
    <row r="27" spans="1:1" hidden="1">
      <c r="A27" s="299" t="s">
        <v>18</v>
      </c>
    </row>
    <row r="28" spans="1:1" hidden="1">
      <c r="A28" s="301" t="s">
        <v>776</v>
      </c>
    </row>
    <row r="29" spans="1:1">
      <c r="A29" s="404" t="s">
        <v>1011</v>
      </c>
    </row>
    <row r="30" spans="1:1" hidden="1">
      <c r="A30" s="299" t="s">
        <v>547</v>
      </c>
    </row>
    <row r="31" spans="1:1">
      <c r="A31" s="404" t="s">
        <v>1012</v>
      </c>
    </row>
    <row r="32" spans="1:1" hidden="1">
      <c r="A32" s="294" t="s">
        <v>541</v>
      </c>
    </row>
    <row r="33" spans="1:1" hidden="1">
      <c r="A33" s="294" t="s">
        <v>19</v>
      </c>
    </row>
    <row r="34" spans="1:1">
      <c r="A34" s="404" t="s">
        <v>1013</v>
      </c>
    </row>
    <row r="35" spans="1:1" hidden="1">
      <c r="A35" s="294" t="s">
        <v>20</v>
      </c>
    </row>
    <row r="36" spans="1:1">
      <c r="A36" s="404" t="s">
        <v>1014</v>
      </c>
    </row>
    <row r="37" spans="1:1">
      <c r="A37" s="404" t="s">
        <v>39</v>
      </c>
    </row>
    <row r="38" spans="1:1">
      <c r="A38" s="404" t="s">
        <v>1015</v>
      </c>
    </row>
    <row r="39" spans="1:1">
      <c r="A39" s="404" t="s">
        <v>1016</v>
      </c>
    </row>
    <row r="40" spans="1:1">
      <c r="A40" s="404" t="s">
        <v>1017</v>
      </c>
    </row>
    <row r="41" spans="1:1">
      <c r="A41" s="404" t="s">
        <v>1018</v>
      </c>
    </row>
    <row r="42" spans="1:1">
      <c r="A42" s="404" t="s">
        <v>1019</v>
      </c>
    </row>
    <row r="43" spans="1:1">
      <c r="A43" s="404" t="s">
        <v>1020</v>
      </c>
    </row>
    <row r="44" spans="1:1">
      <c r="A44" s="404" t="s">
        <v>1021</v>
      </c>
    </row>
    <row r="45" spans="1:1">
      <c r="A45" s="404" t="s">
        <v>1022</v>
      </c>
    </row>
    <row r="46" spans="1:1" hidden="1">
      <c r="A46" s="294" t="s">
        <v>553</v>
      </c>
    </row>
    <row r="47" spans="1:1" hidden="1">
      <c r="A47" s="294" t="s">
        <v>36</v>
      </c>
    </row>
    <row r="48" spans="1:1">
      <c r="A48" s="404" t="s">
        <v>1023</v>
      </c>
    </row>
    <row r="49" spans="1:1">
      <c r="A49" s="404" t="s">
        <v>1024</v>
      </c>
    </row>
    <row r="50" spans="1:1" hidden="1">
      <c r="A50" s="294" t="s">
        <v>31</v>
      </c>
    </row>
    <row r="51" spans="1:1">
      <c r="A51" s="404" t="s">
        <v>1025</v>
      </c>
    </row>
    <row r="52" spans="1:1">
      <c r="A52" s="404" t="s">
        <v>1026</v>
      </c>
    </row>
    <row r="53" spans="1:1" hidden="1">
      <c r="A53" s="294" t="s">
        <v>21</v>
      </c>
    </row>
    <row r="54" spans="1:1" hidden="1">
      <c r="A54" s="294" t="s">
        <v>558</v>
      </c>
    </row>
    <row r="55" spans="1:1" hidden="1">
      <c r="A55" s="294" t="s">
        <v>184</v>
      </c>
    </row>
    <row r="56" spans="1:1" hidden="1">
      <c r="A56" s="301" t="s">
        <v>870</v>
      </c>
    </row>
    <row r="57" spans="1:1" hidden="1">
      <c r="A57" s="299" t="s">
        <v>41</v>
      </c>
    </row>
    <row r="58" spans="1:1">
      <c r="A58" s="403" t="s">
        <v>1027</v>
      </c>
    </row>
    <row r="59" spans="1:1">
      <c r="A59" s="403" t="s">
        <v>1028</v>
      </c>
    </row>
    <row r="60" spans="1:1">
      <c r="A60" s="403" t="s">
        <v>1029</v>
      </c>
    </row>
    <row r="61" spans="1:1">
      <c r="A61" s="403" t="s">
        <v>1030</v>
      </c>
    </row>
    <row r="62" spans="1:1">
      <c r="A62" s="403" t="s">
        <v>1031</v>
      </c>
    </row>
    <row r="63" spans="1:1">
      <c r="A63" s="403" t="s">
        <v>1032</v>
      </c>
    </row>
    <row r="64" spans="1:1">
      <c r="A64" s="403" t="s">
        <v>1033</v>
      </c>
    </row>
    <row r="65" spans="1:1">
      <c r="A65" s="403" t="s">
        <v>1034</v>
      </c>
    </row>
    <row r="66" spans="1:1">
      <c r="A66" s="403" t="s">
        <v>26</v>
      </c>
    </row>
    <row r="67" spans="1:1">
      <c r="A67" s="403" t="s">
        <v>1035</v>
      </c>
    </row>
    <row r="68" spans="1:1">
      <c r="A68" s="403" t="s">
        <v>1036</v>
      </c>
    </row>
    <row r="69" spans="1:1">
      <c r="A69" s="403" t="s">
        <v>1037</v>
      </c>
    </row>
    <row r="70" spans="1:1">
      <c r="A70" s="403" t="s">
        <v>1038</v>
      </c>
    </row>
    <row r="71" spans="1:1">
      <c r="A71" s="403" t="s">
        <v>1039</v>
      </c>
    </row>
    <row r="72" spans="1:1">
      <c r="A72" s="403" t="s">
        <v>1040</v>
      </c>
    </row>
    <row r="73" spans="1:1">
      <c r="A73" s="403" t="s">
        <v>1041</v>
      </c>
    </row>
    <row r="74" spans="1:1" hidden="1">
      <c r="A74" s="299" t="s">
        <v>27</v>
      </c>
    </row>
    <row r="75" spans="1:1">
      <c r="A75" s="403" t="s">
        <v>1042</v>
      </c>
    </row>
    <row r="76" spans="1:1" hidden="1">
      <c r="A76" s="299" t="s">
        <v>42</v>
      </c>
    </row>
    <row r="77" spans="1:1" hidden="1">
      <c r="A77" s="299" t="s">
        <v>34</v>
      </c>
    </row>
    <row r="78" spans="1:1">
      <c r="A78" s="403" t="s">
        <v>1043</v>
      </c>
    </row>
    <row r="79" spans="1:1">
      <c r="A79" s="403" t="s">
        <v>1044</v>
      </c>
    </row>
    <row r="80" spans="1:1">
      <c r="A80" s="403" t="s">
        <v>1045</v>
      </c>
    </row>
    <row r="81" spans="1:1">
      <c r="A81" s="403" t="s">
        <v>1046</v>
      </c>
    </row>
    <row r="82" spans="1:1">
      <c r="A82" s="403" t="s">
        <v>1047</v>
      </c>
    </row>
    <row r="83" spans="1:1" hidden="1">
      <c r="A83" s="299" t="s">
        <v>23</v>
      </c>
    </row>
    <row r="84" spans="1:1">
      <c r="A84" s="403" t="s">
        <v>1048</v>
      </c>
    </row>
    <row r="85" spans="1:1">
      <c r="A85" s="403" t="s">
        <v>1049</v>
      </c>
    </row>
    <row r="86" spans="1:1">
      <c r="A86" s="403" t="s">
        <v>1050</v>
      </c>
    </row>
    <row r="87" spans="1:1">
      <c r="A87" s="403" t="s">
        <v>1051</v>
      </c>
    </row>
    <row r="88" spans="1:1">
      <c r="A88" s="403" t="s">
        <v>1052</v>
      </c>
    </row>
    <row r="89" spans="1:1" hidden="1">
      <c r="A89" s="299" t="s">
        <v>549</v>
      </c>
    </row>
    <row r="90" spans="1:1">
      <c r="A90" s="403" t="s">
        <v>1053</v>
      </c>
    </row>
    <row r="91" spans="1:1">
      <c r="A91" s="403" t="s">
        <v>1054</v>
      </c>
    </row>
    <row r="92" spans="1:1">
      <c r="A92" s="403" t="s">
        <v>1055</v>
      </c>
    </row>
    <row r="93" spans="1:1">
      <c r="A93" s="403" t="s">
        <v>40</v>
      </c>
    </row>
    <row r="94" spans="1:1">
      <c r="A94" s="403" t="s">
        <v>28</v>
      </c>
    </row>
    <row r="95" spans="1:1">
      <c r="A95" s="403" t="s">
        <v>1056</v>
      </c>
    </row>
    <row r="96" spans="1:1">
      <c r="A96" s="403" t="s">
        <v>1057</v>
      </c>
    </row>
    <row r="97" spans="1:1">
      <c r="A97" s="403" t="s">
        <v>1058</v>
      </c>
    </row>
    <row r="98" spans="1:1" hidden="1">
      <c r="A98" s="299" t="s">
        <v>35</v>
      </c>
    </row>
    <row r="99" spans="1:1">
      <c r="A99" s="403" t="s">
        <v>970</v>
      </c>
    </row>
    <row r="100" spans="1:1">
      <c r="A100" s="403" t="s">
        <v>1059</v>
      </c>
    </row>
    <row r="101" spans="1:1">
      <c r="A101" s="403" t="s">
        <v>1060</v>
      </c>
    </row>
    <row r="102" spans="1:1">
      <c r="A102" s="403" t="s">
        <v>1061</v>
      </c>
    </row>
    <row r="103" spans="1:1">
      <c r="A103" s="403" t="s">
        <v>24</v>
      </c>
    </row>
    <row r="104" spans="1:1">
      <c r="A104" s="403" t="s">
        <v>1062</v>
      </c>
    </row>
    <row r="105" spans="1:1" hidden="1">
      <c r="A105" s="299" t="s">
        <v>92</v>
      </c>
    </row>
    <row r="106" spans="1:1">
      <c r="A106" s="403" t="s">
        <v>1063</v>
      </c>
    </row>
    <row r="107" spans="1:1">
      <c r="A107" s="403" t="s">
        <v>25</v>
      </c>
    </row>
    <row r="108" spans="1:1">
      <c r="A108" s="403" t="s">
        <v>1064</v>
      </c>
    </row>
    <row r="109" spans="1:1">
      <c r="A109" s="403" t="s">
        <v>1065</v>
      </c>
    </row>
    <row r="110" spans="1:1">
      <c r="A110" s="403" t="s">
        <v>1066</v>
      </c>
    </row>
    <row r="111" spans="1:1">
      <c r="A111" s="403" t="s">
        <v>1067</v>
      </c>
    </row>
    <row r="112" spans="1:1">
      <c r="A112" s="403" t="s">
        <v>1068</v>
      </c>
    </row>
    <row r="113" spans="1:1">
      <c r="A113" s="403" t="s">
        <v>1069</v>
      </c>
    </row>
    <row r="114" spans="1:1">
      <c r="A114" s="403" t="s">
        <v>1070</v>
      </c>
    </row>
    <row r="115" spans="1:1" hidden="1">
      <c r="A115" s="299" t="s">
        <v>554</v>
      </c>
    </row>
    <row r="116" spans="1:1">
      <c r="A116" s="403" t="s">
        <v>1071</v>
      </c>
    </row>
    <row r="117" spans="1:1">
      <c r="A117" s="403" t="s">
        <v>1072</v>
      </c>
    </row>
    <row r="118" spans="1:1">
      <c r="A118" s="403" t="s">
        <v>1073</v>
      </c>
    </row>
    <row r="119" spans="1:1" hidden="1">
      <c r="A119" s="299" t="s">
        <v>555</v>
      </c>
    </row>
    <row r="120" spans="1:1" hidden="1">
      <c r="A120" s="299" t="s">
        <v>556</v>
      </c>
    </row>
    <row r="121" spans="1:1" hidden="1">
      <c r="A121" s="299" t="s">
        <v>22</v>
      </c>
    </row>
    <row r="122" spans="1:1">
      <c r="A122" s="403" t="s">
        <v>1074</v>
      </c>
    </row>
    <row r="123" spans="1:1" hidden="1">
      <c r="A123" s="299" t="s">
        <v>557</v>
      </c>
    </row>
    <row r="124" spans="1:1">
      <c r="A124" s="403" t="s">
        <v>1075</v>
      </c>
    </row>
    <row r="125" spans="1:1">
      <c r="A125" s="403" t="s">
        <v>953</v>
      </c>
    </row>
    <row r="126" spans="1:1">
      <c r="A126" s="403" t="s">
        <v>1076</v>
      </c>
    </row>
    <row r="127" spans="1:1">
      <c r="A127" s="403" t="s">
        <v>1077</v>
      </c>
    </row>
    <row r="128" spans="1:1">
      <c r="A128" s="403" t="s">
        <v>1078</v>
      </c>
    </row>
    <row r="129" spans="1:1">
      <c r="A129" s="403" t="s">
        <v>1079</v>
      </c>
    </row>
    <row r="130" spans="1:1">
      <c r="A130" s="403" t="s">
        <v>1080</v>
      </c>
    </row>
    <row r="131" spans="1:1" hidden="1">
      <c r="A131" s="299" t="s">
        <v>559</v>
      </c>
    </row>
    <row r="132" spans="1:1">
      <c r="A132" s="403" t="s">
        <v>1081</v>
      </c>
    </row>
    <row r="133" spans="1:1">
      <c r="A133" s="403" t="s">
        <v>1082</v>
      </c>
    </row>
    <row r="134" spans="1:1" hidden="1">
      <c r="A134" s="299" t="s">
        <v>30</v>
      </c>
    </row>
    <row r="135" spans="1:1">
      <c r="A135" s="403" t="s">
        <v>1083</v>
      </c>
    </row>
    <row r="136" spans="1:1">
      <c r="A136" s="403" t="s">
        <v>1084</v>
      </c>
    </row>
    <row r="137" spans="1:1" hidden="1">
      <c r="A137" s="299" t="s">
        <v>56</v>
      </c>
    </row>
    <row r="138" spans="1:1">
      <c r="A138" s="403" t="s">
        <v>1085</v>
      </c>
    </row>
    <row r="139" spans="1:1">
      <c r="A139" s="403" t="s">
        <v>1086</v>
      </c>
    </row>
    <row r="140" spans="1:1" hidden="1">
      <c r="A140" s="301" t="s">
        <v>871</v>
      </c>
    </row>
    <row r="141" spans="1:1">
      <c r="A141" s="403" t="s">
        <v>1087</v>
      </c>
    </row>
    <row r="142" spans="1:1" hidden="1">
      <c r="A142" s="299" t="s">
        <v>37</v>
      </c>
    </row>
    <row r="143" spans="1:1">
      <c r="A143" s="403" t="s">
        <v>1088</v>
      </c>
    </row>
    <row r="144" spans="1:1">
      <c r="A144" s="403" t="s">
        <v>1089</v>
      </c>
    </row>
    <row r="145" spans="1:1">
      <c r="A145" s="403" t="s">
        <v>1090</v>
      </c>
    </row>
    <row r="146" spans="1:1">
      <c r="A146" s="403" t="s">
        <v>1091</v>
      </c>
    </row>
    <row r="147" spans="1:1">
      <c r="A147" s="403" t="s">
        <v>1092</v>
      </c>
    </row>
    <row r="148" spans="1:1">
      <c r="A148" s="403" t="s">
        <v>1093</v>
      </c>
    </row>
    <row r="149" spans="1:1">
      <c r="A149" s="403" t="s">
        <v>1094</v>
      </c>
    </row>
    <row r="150" spans="1:1">
      <c r="A150" s="403" t="s">
        <v>1095</v>
      </c>
    </row>
    <row r="151" spans="1:1">
      <c r="A151" s="403" t="s">
        <v>1096</v>
      </c>
    </row>
    <row r="152" spans="1:1">
      <c r="A152" s="403" t="s">
        <v>1098</v>
      </c>
    </row>
    <row r="153" spans="1:1">
      <c r="A153" s="403" t="s">
        <v>94</v>
      </c>
    </row>
    <row r="154" spans="1:1">
      <c r="A154" s="403" t="s">
        <v>1097</v>
      </c>
    </row>
    <row r="155" spans="1:1">
      <c r="A155" s="403" t="s">
        <v>1099</v>
      </c>
    </row>
    <row r="156" spans="1:1">
      <c r="A156" s="403" t="s">
        <v>1100</v>
      </c>
    </row>
    <row r="157" spans="1:1" hidden="1">
      <c r="A157" s="299" t="s">
        <v>548</v>
      </c>
    </row>
    <row r="158" spans="1:1">
      <c r="A158" s="403" t="s">
        <v>1101</v>
      </c>
    </row>
    <row r="159" spans="1:1" hidden="1">
      <c r="A159" s="299" t="s">
        <v>550</v>
      </c>
    </row>
    <row r="160" spans="1:1">
      <c r="A160" s="403" t="s">
        <v>1102</v>
      </c>
    </row>
    <row r="161" spans="1:1" hidden="1">
      <c r="A161" s="299" t="s">
        <v>566</v>
      </c>
    </row>
    <row r="162" spans="1:1">
      <c r="A162" s="403" t="s">
        <v>1103</v>
      </c>
    </row>
    <row r="163" spans="1:1" hidden="1">
      <c r="A163" s="299" t="s">
        <v>38</v>
      </c>
    </row>
    <row r="164" spans="1:1" hidden="1">
      <c r="A164" s="299" t="s">
        <v>552</v>
      </c>
    </row>
    <row r="165" spans="1:1">
      <c r="A165" s="403" t="s">
        <v>1104</v>
      </c>
    </row>
    <row r="166" spans="1:1">
      <c r="A166" s="403" t="s">
        <v>1105</v>
      </c>
    </row>
    <row r="167" spans="1:1">
      <c r="A167" s="403" t="s">
        <v>1106</v>
      </c>
    </row>
    <row r="168" spans="1:1">
      <c r="A168" s="403" t="s">
        <v>1107</v>
      </c>
    </row>
    <row r="169" spans="1:1">
      <c r="A169" s="403" t="s">
        <v>1108</v>
      </c>
    </row>
    <row r="170" spans="1:1">
      <c r="A170" s="403" t="s">
        <v>91</v>
      </c>
    </row>
    <row r="171" spans="1:1">
      <c r="A171" s="403" t="s">
        <v>1109</v>
      </c>
    </row>
    <row r="172" spans="1:1">
      <c r="A172" s="403" t="s">
        <v>1110</v>
      </c>
    </row>
    <row r="173" spans="1:1">
      <c r="A173" s="403" t="s">
        <v>1111</v>
      </c>
    </row>
    <row r="174" spans="1:1">
      <c r="A174" s="403" t="s">
        <v>1112</v>
      </c>
    </row>
    <row r="175" spans="1:1">
      <c r="A175" s="403" t="s">
        <v>1113</v>
      </c>
    </row>
    <row r="176" spans="1:1">
      <c r="A176" s="403" t="s">
        <v>912</v>
      </c>
    </row>
    <row r="177" spans="1:1">
      <c r="A177" s="403" t="s">
        <v>914</v>
      </c>
    </row>
    <row r="178" spans="1:1">
      <c r="A178" s="403" t="s">
        <v>1114</v>
      </c>
    </row>
    <row r="179" spans="1:1">
      <c r="A179" s="403" t="s">
        <v>915</v>
      </c>
    </row>
    <row r="180" spans="1:1" hidden="1">
      <c r="A180" s="299" t="s">
        <v>29</v>
      </c>
    </row>
    <row r="181" spans="1:1">
      <c r="A181" s="403" t="s">
        <v>1115</v>
      </c>
    </row>
    <row r="182" spans="1:1">
      <c r="A182" s="403" t="s">
        <v>1116</v>
      </c>
    </row>
    <row r="183" spans="1:1">
      <c r="A183" s="403" t="s">
        <v>1117</v>
      </c>
    </row>
    <row r="184" spans="1:1" hidden="1">
      <c r="A184" s="299" t="s">
        <v>93</v>
      </c>
    </row>
    <row r="185" spans="1:1">
      <c r="A185" s="403" t="s">
        <v>1118</v>
      </c>
    </row>
    <row r="186" spans="1:1">
      <c r="A186" s="403" t="s">
        <v>1119</v>
      </c>
    </row>
    <row r="187" spans="1:1">
      <c r="A187" s="403" t="s">
        <v>1120</v>
      </c>
    </row>
    <row r="188" spans="1:1">
      <c r="A188" s="403" t="s">
        <v>1121</v>
      </c>
    </row>
    <row r="189" spans="1:1">
      <c r="A189" s="403" t="s">
        <v>1122</v>
      </c>
    </row>
    <row r="190" spans="1:1">
      <c r="A190" s="403" t="s">
        <v>1123</v>
      </c>
    </row>
    <row r="191" spans="1:1">
      <c r="A191" s="403" t="s">
        <v>1124</v>
      </c>
    </row>
    <row r="192" spans="1:1">
      <c r="A192" s="403" t="s">
        <v>1125</v>
      </c>
    </row>
    <row r="193" spans="1:1">
      <c r="A193" s="403" t="s">
        <v>1126</v>
      </c>
    </row>
    <row r="194" spans="1:1">
      <c r="A194" s="403" t="s">
        <v>1127</v>
      </c>
    </row>
    <row r="195" spans="1:1">
      <c r="A195" s="403" t="s">
        <v>913</v>
      </c>
    </row>
    <row r="196" spans="1:1" hidden="1">
      <c r="A196" s="299" t="s">
        <v>33</v>
      </c>
    </row>
    <row r="197" spans="1:1">
      <c r="A197" s="403" t="s">
        <v>1128</v>
      </c>
    </row>
    <row r="198" spans="1:1">
      <c r="A198" s="403" t="s">
        <v>916</v>
      </c>
    </row>
    <row r="199" spans="1:1">
      <c r="A199" s="403" t="s">
        <v>1129</v>
      </c>
    </row>
  </sheetData>
  <autoFilter ref="A5:A199" xr:uid="{49470B5C-2893-4FA9-A4EE-A520B94DECD3}">
    <filterColumn colId="0">
      <colorFilter dxfId="4"/>
    </filterColumn>
  </autoFilter>
  <sortState xmlns:xlrd2="http://schemas.microsoft.com/office/spreadsheetml/2017/richdata2" ref="A6:A199">
    <sortCondition sortBy="icon" ref="A6"/>
  </sortSt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4EAF-3E2F-40B0-A663-7CA97D9B3852}">
  <dimension ref="A1:L24"/>
  <sheetViews>
    <sheetView workbookViewId="0">
      <pane xSplit="1" ySplit="2" topLeftCell="B3" activePane="bottomRight" state="frozen"/>
      <selection activeCell="A17" sqref="A17"/>
      <selection pane="topRight" activeCell="A17" sqref="A17"/>
      <selection pane="bottomLeft" activeCell="A17" sqref="A17"/>
      <selection pane="bottomRight" activeCell="B11" sqref="B11"/>
    </sheetView>
  </sheetViews>
  <sheetFormatPr defaultColWidth="8.81640625" defaultRowHeight="13"/>
  <cols>
    <col min="1" max="1" width="19.81640625" style="281" customWidth="1"/>
    <col min="2" max="6" width="15.81640625" customWidth="1"/>
    <col min="7" max="8" width="11.81640625" customWidth="1"/>
    <col min="9" max="11" width="15.81640625" customWidth="1"/>
    <col min="12" max="12" width="91.81640625" customWidth="1"/>
  </cols>
  <sheetData>
    <row r="1" spans="1:12" ht="13" customHeight="1">
      <c r="B1" s="706" t="s">
        <v>661</v>
      </c>
      <c r="C1" s="710" t="s">
        <v>662</v>
      </c>
      <c r="D1" s="710" t="s">
        <v>663</v>
      </c>
      <c r="E1" s="712" t="s">
        <v>664</v>
      </c>
      <c r="F1" s="713"/>
      <c r="G1" s="713"/>
      <c r="H1" s="714"/>
      <c r="I1" s="706" t="s">
        <v>665</v>
      </c>
      <c r="J1" s="706" t="s">
        <v>666</v>
      </c>
      <c r="K1" s="706" t="s">
        <v>667</v>
      </c>
      <c r="L1" s="708" t="s">
        <v>668</v>
      </c>
    </row>
    <row r="2" spans="1:12" ht="38.15" customHeight="1">
      <c r="B2" s="707"/>
      <c r="C2" s="711"/>
      <c r="D2" s="711"/>
      <c r="E2" s="282" t="s">
        <v>669</v>
      </c>
      <c r="F2" s="282" t="s">
        <v>670</v>
      </c>
      <c r="G2" s="282" t="s">
        <v>671</v>
      </c>
      <c r="H2" s="282" t="s">
        <v>672</v>
      </c>
      <c r="I2" s="707"/>
      <c r="J2" s="707"/>
      <c r="K2" s="707"/>
      <c r="L2" s="709" t="s">
        <v>673</v>
      </c>
    </row>
    <row r="4" spans="1:12" ht="88.5">
      <c r="A4" s="283" t="s">
        <v>9</v>
      </c>
      <c r="B4" s="284"/>
      <c r="C4" s="284"/>
      <c r="D4" s="284">
        <v>30</v>
      </c>
      <c r="F4" s="284"/>
      <c r="G4" s="284"/>
      <c r="H4" s="284"/>
      <c r="I4" s="284" t="s">
        <v>452</v>
      </c>
      <c r="J4" s="284">
        <v>100</v>
      </c>
      <c r="K4" s="284">
        <f>700-J4-D4</f>
        <v>570</v>
      </c>
      <c r="L4" s="207" t="s">
        <v>674</v>
      </c>
    </row>
    <row r="5" spans="1:12" ht="38.5">
      <c r="A5" s="283" t="s">
        <v>0</v>
      </c>
      <c r="B5" s="284" t="s">
        <v>675</v>
      </c>
      <c r="C5" s="284">
        <v>205.3</v>
      </c>
      <c r="D5" s="284"/>
      <c r="F5" s="284"/>
      <c r="G5" s="284"/>
      <c r="H5" s="284">
        <v>15</v>
      </c>
      <c r="I5" s="284">
        <v>20</v>
      </c>
      <c r="J5" s="284"/>
      <c r="K5" s="284">
        <v>40</v>
      </c>
      <c r="L5" s="207" t="s">
        <v>676</v>
      </c>
    </row>
    <row r="6" spans="1:12" ht="101">
      <c r="A6" s="283" t="s">
        <v>10</v>
      </c>
      <c r="B6" s="284">
        <v>40</v>
      </c>
      <c r="C6" s="284">
        <f>338.3-B6-E6-D6</f>
        <v>127.10000000000002</v>
      </c>
      <c r="D6" s="284">
        <f>39-5</f>
        <v>34</v>
      </c>
      <c r="E6" s="284">
        <f>132.2+5</f>
        <v>137.19999999999999</v>
      </c>
      <c r="F6" s="284"/>
      <c r="G6" s="284"/>
      <c r="H6" s="284"/>
      <c r="I6" s="284">
        <v>34</v>
      </c>
      <c r="J6" s="284"/>
      <c r="K6" s="284">
        <f>60+212</f>
        <v>272</v>
      </c>
      <c r="L6" s="207" t="s">
        <v>677</v>
      </c>
    </row>
    <row r="7" spans="1:12" ht="26">
      <c r="A7" s="283" t="s">
        <v>1</v>
      </c>
      <c r="B7" s="284">
        <v>4</v>
      </c>
      <c r="C7" s="284">
        <v>116</v>
      </c>
      <c r="D7" s="284"/>
      <c r="E7" s="284"/>
      <c r="F7" s="284"/>
      <c r="G7" s="284"/>
      <c r="H7" s="284">
        <f>85</f>
        <v>85</v>
      </c>
      <c r="I7" s="284">
        <v>70</v>
      </c>
      <c r="J7" s="284"/>
      <c r="K7" s="284"/>
      <c r="L7" s="207" t="s">
        <v>678</v>
      </c>
    </row>
    <row r="8" spans="1:12" ht="63.5">
      <c r="A8" s="285" t="s">
        <v>454</v>
      </c>
      <c r="B8" s="286">
        <v>110</v>
      </c>
      <c r="C8" s="286"/>
      <c r="D8" s="286"/>
      <c r="E8" s="286">
        <v>22.2</v>
      </c>
      <c r="F8" s="286"/>
      <c r="G8" s="286"/>
      <c r="H8" s="286"/>
      <c r="I8" s="284">
        <v>400</v>
      </c>
      <c r="J8" s="286"/>
      <c r="K8" s="287">
        <f>2290+140+0.35</f>
        <v>2430.35</v>
      </c>
      <c r="L8" s="207" t="s">
        <v>679</v>
      </c>
    </row>
    <row r="9" spans="1:12" ht="51">
      <c r="A9" s="285" t="s">
        <v>680</v>
      </c>
      <c r="B9" s="284">
        <v>4.7500000000000001E-2</v>
      </c>
      <c r="C9" s="284"/>
      <c r="D9" s="284"/>
      <c r="E9" s="284"/>
      <c r="F9" s="284"/>
      <c r="G9" s="284"/>
      <c r="H9" s="284"/>
      <c r="I9" s="284">
        <v>65</v>
      </c>
      <c r="J9" s="284"/>
      <c r="K9" s="288">
        <f>37+100</f>
        <v>137</v>
      </c>
      <c r="L9" s="207" t="s">
        <v>681</v>
      </c>
    </row>
    <row r="10" spans="1:12" ht="51">
      <c r="A10" s="283" t="s">
        <v>2</v>
      </c>
      <c r="B10" s="284">
        <v>8</v>
      </c>
      <c r="C10" s="284"/>
      <c r="D10" s="284"/>
      <c r="E10" s="284"/>
      <c r="F10" s="284"/>
      <c r="G10" s="284"/>
      <c r="H10" s="284">
        <f>48.5+21</f>
        <v>69.5</v>
      </c>
      <c r="I10" s="284">
        <v>315</v>
      </c>
      <c r="J10" s="284"/>
      <c r="K10" s="284">
        <f>34</f>
        <v>34</v>
      </c>
      <c r="L10" s="207" t="s">
        <v>682</v>
      </c>
    </row>
    <row r="11" spans="1:12" ht="51">
      <c r="A11" s="283" t="s">
        <v>3</v>
      </c>
      <c r="B11" s="284">
        <v>19.8</v>
      </c>
      <c r="C11" s="284"/>
      <c r="D11" s="284"/>
      <c r="E11" s="284">
        <v>9</v>
      </c>
      <c r="F11" s="284"/>
      <c r="G11" s="284"/>
      <c r="H11" s="284">
        <f>100+100</f>
        <v>200</v>
      </c>
      <c r="I11" s="284">
        <f>860</f>
        <v>860</v>
      </c>
      <c r="J11" s="284"/>
      <c r="K11" s="284">
        <f>124</f>
        <v>124</v>
      </c>
      <c r="L11" s="207" t="s">
        <v>683</v>
      </c>
    </row>
    <row r="12" spans="1:12" ht="26">
      <c r="A12" s="285" t="s">
        <v>12</v>
      </c>
      <c r="B12" s="284" t="s">
        <v>684</v>
      </c>
      <c r="C12" s="284"/>
      <c r="D12" s="284"/>
      <c r="E12" s="284">
        <f>500+200+3000+160+1000+100</f>
        <v>4960</v>
      </c>
      <c r="F12" s="284"/>
      <c r="G12" s="284"/>
      <c r="H12" s="284">
        <f>3000+750+321</f>
        <v>4071</v>
      </c>
      <c r="I12" s="284">
        <v>900</v>
      </c>
      <c r="J12" s="284"/>
      <c r="K12" s="284">
        <f>2292.5+680</f>
        <v>2972.5</v>
      </c>
      <c r="L12" s="207" t="s">
        <v>685</v>
      </c>
    </row>
    <row r="13" spans="1:12" ht="26">
      <c r="A13" s="285" t="s">
        <v>13</v>
      </c>
      <c r="B13" s="284" t="s">
        <v>686</v>
      </c>
      <c r="C13" s="284"/>
      <c r="D13" s="284"/>
      <c r="E13" s="284"/>
      <c r="F13" s="284"/>
      <c r="G13" s="284"/>
      <c r="H13" s="284"/>
      <c r="I13" s="284">
        <v>150</v>
      </c>
      <c r="J13" s="284"/>
      <c r="K13" s="284">
        <f>110+33</f>
        <v>143</v>
      </c>
      <c r="L13" s="207" t="s">
        <v>687</v>
      </c>
    </row>
    <row r="14" spans="1:12" ht="14.5">
      <c r="A14" s="283" t="s">
        <v>4</v>
      </c>
      <c r="B14" s="284">
        <v>6.5</v>
      </c>
      <c r="C14" s="284">
        <f>25+1.5</f>
        <v>26.5</v>
      </c>
      <c r="D14" s="284"/>
      <c r="E14" s="284">
        <v>15</v>
      </c>
      <c r="F14" s="284"/>
      <c r="G14" s="284"/>
      <c r="H14" s="284"/>
      <c r="I14" s="284">
        <v>530</v>
      </c>
      <c r="J14" s="284"/>
      <c r="K14" s="284">
        <f>2+7.6</f>
        <v>9.6</v>
      </c>
      <c r="L14" s="207" t="s">
        <v>688</v>
      </c>
    </row>
    <row r="15" spans="1:12" ht="63.5">
      <c r="A15" s="283" t="s">
        <v>5</v>
      </c>
      <c r="B15" s="284">
        <v>2</v>
      </c>
      <c r="C15" s="284">
        <f>12.9</f>
        <v>12.9</v>
      </c>
      <c r="D15" s="284">
        <v>0.9</v>
      </c>
      <c r="E15" s="284">
        <v>2.2999999999999998</v>
      </c>
      <c r="F15" s="284"/>
      <c r="G15" s="284"/>
      <c r="H15" s="284">
        <v>3.8</v>
      </c>
      <c r="I15" s="284">
        <f>2+53.3</f>
        <v>55.3</v>
      </c>
      <c r="J15" s="284">
        <v>10.8</v>
      </c>
      <c r="K15" s="284">
        <f>117.1-12.9-2.3-3.8-0.9-10.8</f>
        <v>86.399999999999991</v>
      </c>
      <c r="L15" s="207" t="s">
        <v>689</v>
      </c>
    </row>
    <row r="16" spans="1:12" ht="176">
      <c r="A16" s="283" t="s">
        <v>453</v>
      </c>
      <c r="B16" s="284">
        <v>3</v>
      </c>
      <c r="C16" s="289">
        <f>14.3+10.1+3.5+0.6+0.9+2</f>
        <v>31.4</v>
      </c>
      <c r="D16" s="284"/>
      <c r="E16" s="284">
        <f>156+12.2+5.5+3+7.9</f>
        <v>184.6</v>
      </c>
      <c r="F16" s="284"/>
      <c r="G16" s="284"/>
      <c r="H16" s="284">
        <f>1+2.1</f>
        <v>3.1</v>
      </c>
      <c r="I16" s="284">
        <f>4.1+36+6</f>
        <v>46.1</v>
      </c>
      <c r="J16" s="284">
        <f>1.2</f>
        <v>1.2</v>
      </c>
      <c r="K16" s="284">
        <f>3.1+8.5</f>
        <v>11.6</v>
      </c>
      <c r="L16" s="207" t="s">
        <v>690</v>
      </c>
    </row>
    <row r="17" spans="1:12" ht="51">
      <c r="A17" s="283" t="s">
        <v>14</v>
      </c>
      <c r="B17" s="284">
        <v>40</v>
      </c>
      <c r="C17" s="284"/>
      <c r="D17" s="284"/>
      <c r="F17" s="284"/>
      <c r="G17" s="284"/>
      <c r="H17" s="284">
        <v>85.2</v>
      </c>
      <c r="I17" s="284" t="s">
        <v>452</v>
      </c>
      <c r="J17" s="284"/>
      <c r="K17" s="284">
        <f>180-40</f>
        <v>140</v>
      </c>
      <c r="L17" s="207" t="s">
        <v>691</v>
      </c>
    </row>
    <row r="18" spans="1:12" ht="63.5">
      <c r="A18" s="283" t="s">
        <v>455</v>
      </c>
      <c r="B18" s="284">
        <v>232</v>
      </c>
      <c r="C18" s="284"/>
      <c r="D18" s="284"/>
      <c r="E18" s="284">
        <v>500</v>
      </c>
      <c r="F18" s="284"/>
      <c r="G18" s="284"/>
      <c r="H18" s="284"/>
      <c r="I18" s="284">
        <v>730</v>
      </c>
      <c r="J18" s="284"/>
      <c r="K18" s="284">
        <f>1882-B18+70</f>
        <v>1720</v>
      </c>
      <c r="L18" s="207" t="s">
        <v>692</v>
      </c>
    </row>
    <row r="19" spans="1:12" ht="101">
      <c r="A19" s="283" t="s">
        <v>16</v>
      </c>
      <c r="B19" s="284">
        <v>47</v>
      </c>
      <c r="C19" s="284">
        <v>4</v>
      </c>
      <c r="D19" s="284">
        <f>5+9</f>
        <v>14</v>
      </c>
      <c r="E19" s="284">
        <f>13</f>
        <v>13</v>
      </c>
      <c r="F19" s="284"/>
      <c r="G19" s="284"/>
      <c r="H19" s="284">
        <f>0.9</f>
        <v>0.9</v>
      </c>
      <c r="I19" s="284">
        <v>0</v>
      </c>
      <c r="J19" s="284"/>
      <c r="K19" s="284">
        <f>48</f>
        <v>48</v>
      </c>
      <c r="L19" s="207" t="s">
        <v>693</v>
      </c>
    </row>
    <row r="20" spans="1:12" ht="88.5">
      <c r="A20" s="283" t="s">
        <v>32</v>
      </c>
      <c r="B20" s="284">
        <v>4</v>
      </c>
      <c r="C20" s="284">
        <v>12</v>
      </c>
      <c r="D20" s="284"/>
      <c r="E20" s="284">
        <f>100</f>
        <v>100</v>
      </c>
      <c r="F20" s="284"/>
      <c r="G20" s="284">
        <v>2</v>
      </c>
      <c r="H20" s="284">
        <v>2</v>
      </c>
      <c r="I20" s="284">
        <v>10</v>
      </c>
      <c r="J20" s="284"/>
      <c r="K20" s="284"/>
      <c r="L20" s="207" t="s">
        <v>694</v>
      </c>
    </row>
    <row r="21" spans="1:12" ht="51">
      <c r="A21" s="283" t="s">
        <v>17</v>
      </c>
      <c r="B21" s="284">
        <v>20</v>
      </c>
      <c r="C21" s="284">
        <v>30</v>
      </c>
      <c r="D21" s="284">
        <v>0</v>
      </c>
      <c r="E21" s="284"/>
      <c r="F21" s="284"/>
      <c r="G21" s="284"/>
      <c r="H21" s="284"/>
      <c r="I21" s="284">
        <v>200</v>
      </c>
      <c r="J21" s="284"/>
      <c r="K21" s="284">
        <f>500-20-30</f>
        <v>450</v>
      </c>
      <c r="L21" s="207" t="s">
        <v>695</v>
      </c>
    </row>
    <row r="22" spans="1:12" ht="51">
      <c r="A22" s="283" t="s">
        <v>18</v>
      </c>
      <c r="B22" s="284" t="s">
        <v>452</v>
      </c>
      <c r="C22" s="284">
        <v>2</v>
      </c>
      <c r="D22" s="284"/>
      <c r="E22" s="284"/>
      <c r="F22" s="284"/>
      <c r="G22" s="284"/>
      <c r="H22" s="284"/>
      <c r="I22" s="284">
        <v>50</v>
      </c>
      <c r="J22" s="284"/>
      <c r="K22" s="284">
        <f>100-50-2</f>
        <v>48</v>
      </c>
      <c r="L22" s="207" t="s">
        <v>696</v>
      </c>
    </row>
    <row r="23" spans="1:12" ht="76">
      <c r="A23" s="283" t="s">
        <v>7</v>
      </c>
      <c r="B23" s="284">
        <v>6.6</v>
      </c>
      <c r="C23" s="284"/>
      <c r="D23" s="284"/>
      <c r="E23" s="284">
        <v>200</v>
      </c>
      <c r="F23" s="284"/>
      <c r="G23" s="284"/>
      <c r="H23" s="284"/>
      <c r="I23" s="284"/>
      <c r="J23" s="284"/>
      <c r="K23" s="284">
        <f>91-6.6</f>
        <v>84.4</v>
      </c>
      <c r="L23" s="207" t="s">
        <v>697</v>
      </c>
    </row>
    <row r="24" spans="1:12" ht="51">
      <c r="A24" s="285" t="s">
        <v>8</v>
      </c>
      <c r="B24" s="284">
        <v>304</v>
      </c>
      <c r="C24">
        <f>38.8+268+540</f>
        <v>846.8</v>
      </c>
      <c r="E24">
        <f>349</f>
        <v>349</v>
      </c>
      <c r="H24">
        <v>56</v>
      </c>
      <c r="I24">
        <v>454</v>
      </c>
      <c r="J24" s="284"/>
      <c r="K24" s="284">
        <v>440</v>
      </c>
      <c r="L24" s="207" t="s">
        <v>698</v>
      </c>
    </row>
  </sheetData>
  <mergeCells count="8">
    <mergeCell ref="K1:K2"/>
    <mergeCell ref="L1:L2"/>
    <mergeCell ref="B1:B2"/>
    <mergeCell ref="C1:C2"/>
    <mergeCell ref="D1:D2"/>
    <mergeCell ref="E1:H1"/>
    <mergeCell ref="I1:I2"/>
    <mergeCell ref="J1:J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632C-A780-4779-81C0-0161981143CE}">
  <dimension ref="A1:R15"/>
  <sheetViews>
    <sheetView workbookViewId="0">
      <selection activeCell="A17" sqref="A17"/>
    </sheetView>
  </sheetViews>
  <sheetFormatPr defaultColWidth="8.81640625" defaultRowHeight="12.5"/>
  <cols>
    <col min="1" max="1" width="8.81640625" customWidth="1"/>
  </cols>
  <sheetData>
    <row r="1" spans="1:18" ht="13">
      <c r="A1" s="196" t="s">
        <v>699</v>
      </c>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7" t="s">
        <v>700</v>
      </c>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715" t="s">
        <v>701</v>
      </c>
      <c r="B5" s="715"/>
      <c r="C5" s="715"/>
      <c r="D5" s="715"/>
      <c r="E5" s="715"/>
      <c r="F5" s="715"/>
      <c r="G5" s="715"/>
      <c r="H5" s="715"/>
      <c r="I5" s="715"/>
      <c r="J5" s="715"/>
      <c r="K5" s="715"/>
      <c r="L5" s="715"/>
      <c r="M5" s="715"/>
      <c r="N5" s="715"/>
      <c r="O5" s="715"/>
      <c r="P5" s="715"/>
      <c r="Q5" s="715"/>
      <c r="R5" s="715"/>
    </row>
    <row r="6" spans="1:18">
      <c r="A6" s="715"/>
      <c r="B6" s="715"/>
      <c r="C6" s="715"/>
      <c r="D6" s="715"/>
      <c r="E6" s="715"/>
      <c r="F6" s="715"/>
      <c r="G6" s="715"/>
      <c r="H6" s="715"/>
      <c r="I6" s="715"/>
      <c r="J6" s="715"/>
      <c r="K6" s="715"/>
      <c r="L6" s="715"/>
      <c r="M6" s="715"/>
      <c r="N6" s="715"/>
      <c r="O6" s="715"/>
      <c r="P6" s="715"/>
      <c r="Q6" s="715"/>
      <c r="R6" s="715"/>
    </row>
    <row r="7" spans="1:18">
      <c r="A7" s="33"/>
      <c r="B7" s="33"/>
      <c r="C7" s="33"/>
      <c r="D7" s="33"/>
      <c r="E7" s="33"/>
      <c r="F7" s="33"/>
      <c r="G7" s="33"/>
      <c r="H7" s="33"/>
      <c r="I7" s="33"/>
      <c r="J7" s="33"/>
      <c r="K7" s="33"/>
      <c r="L7" s="33"/>
      <c r="M7" s="33"/>
      <c r="N7" s="33"/>
      <c r="O7" s="33"/>
      <c r="P7" s="33"/>
      <c r="Q7" s="33"/>
      <c r="R7" s="33"/>
    </row>
    <row r="8" spans="1:18">
      <c r="A8" s="7" t="s">
        <v>702</v>
      </c>
      <c r="B8" s="33"/>
      <c r="C8" s="33"/>
      <c r="D8" s="33"/>
      <c r="E8" s="33"/>
      <c r="F8" s="33"/>
      <c r="G8" s="33"/>
      <c r="H8" s="33"/>
      <c r="I8" s="33"/>
      <c r="J8" s="33"/>
      <c r="K8" s="33"/>
      <c r="L8" s="33"/>
      <c r="M8" s="33"/>
      <c r="N8" s="33"/>
      <c r="O8" s="33"/>
      <c r="P8" s="33"/>
      <c r="Q8" s="33"/>
      <c r="R8" s="33"/>
    </row>
    <row r="9" spans="1:18">
      <c r="A9" s="33"/>
      <c r="B9" s="33"/>
      <c r="C9" s="33"/>
      <c r="D9" s="33"/>
      <c r="E9" s="33"/>
      <c r="F9" s="33"/>
      <c r="G9" s="33"/>
      <c r="H9" s="33"/>
      <c r="I9" s="33"/>
      <c r="J9" s="33"/>
      <c r="K9" s="33"/>
      <c r="L9" s="33"/>
      <c r="M9" s="33"/>
      <c r="N9" s="33"/>
      <c r="O9" s="33"/>
      <c r="P9" s="33"/>
      <c r="Q9" s="33"/>
      <c r="R9" s="33"/>
    </row>
    <row r="10" spans="1:18">
      <c r="A10" s="715" t="s">
        <v>703</v>
      </c>
      <c r="B10" s="715"/>
      <c r="C10" s="715"/>
      <c r="D10" s="715"/>
      <c r="E10" s="715"/>
      <c r="F10" s="715"/>
      <c r="G10" s="715"/>
      <c r="H10" s="715"/>
      <c r="I10" s="715"/>
      <c r="J10" s="715"/>
      <c r="K10" s="715"/>
      <c r="L10" s="715"/>
      <c r="M10" s="715"/>
      <c r="N10" s="715"/>
      <c r="O10" s="715"/>
      <c r="P10" s="715"/>
      <c r="Q10" s="715"/>
      <c r="R10" s="715"/>
    </row>
    <row r="11" spans="1:18">
      <c r="A11" s="715"/>
      <c r="B11" s="715"/>
      <c r="C11" s="715"/>
      <c r="D11" s="715"/>
      <c r="E11" s="715"/>
      <c r="F11" s="715"/>
      <c r="G11" s="715"/>
      <c r="H11" s="715"/>
      <c r="I11" s="715"/>
      <c r="J11" s="715"/>
      <c r="K11" s="715"/>
      <c r="L11" s="715"/>
      <c r="M11" s="715"/>
      <c r="N11" s="715"/>
      <c r="O11" s="715"/>
      <c r="P11" s="715"/>
      <c r="Q11" s="715"/>
      <c r="R11" s="715"/>
    </row>
    <row r="12" spans="1:18">
      <c r="A12" s="33"/>
      <c r="B12" s="33"/>
      <c r="C12" s="33"/>
      <c r="D12" s="33"/>
      <c r="E12" s="33"/>
      <c r="F12" s="33"/>
      <c r="G12" s="33"/>
      <c r="H12" s="33"/>
      <c r="I12" s="33"/>
      <c r="J12" s="33"/>
      <c r="K12" s="33"/>
      <c r="L12" s="33"/>
      <c r="M12" s="33"/>
      <c r="N12" s="33"/>
      <c r="O12" s="33"/>
      <c r="P12" s="33"/>
      <c r="Q12" s="33"/>
      <c r="R12" s="33"/>
    </row>
    <row r="13" spans="1:18">
      <c r="A13" s="7" t="s">
        <v>704</v>
      </c>
      <c r="B13" s="33"/>
      <c r="C13" s="33"/>
      <c r="D13" s="33"/>
      <c r="E13" s="33"/>
      <c r="F13" s="33"/>
      <c r="G13" s="33"/>
      <c r="H13" s="33"/>
      <c r="I13" s="33"/>
      <c r="J13" s="33"/>
      <c r="K13" s="33"/>
      <c r="L13" s="33"/>
      <c r="M13" s="33"/>
      <c r="N13" s="33"/>
      <c r="O13" s="33"/>
      <c r="P13" s="33"/>
      <c r="Q13" s="33"/>
      <c r="R13" s="33"/>
    </row>
    <row r="14" spans="1:18">
      <c r="A14" s="33"/>
      <c r="B14" s="33"/>
      <c r="C14" s="33"/>
      <c r="D14" s="33"/>
      <c r="E14" s="33"/>
      <c r="F14" s="33"/>
      <c r="G14" s="33"/>
      <c r="H14" s="33"/>
      <c r="I14" s="33"/>
      <c r="J14" s="33"/>
      <c r="K14" s="33"/>
      <c r="L14" s="33"/>
      <c r="M14" s="33"/>
      <c r="N14" s="33"/>
      <c r="O14" s="33"/>
      <c r="P14" s="33"/>
      <c r="Q14" s="33"/>
      <c r="R14" s="33"/>
    </row>
    <row r="15" spans="1:18">
      <c r="A15" s="7" t="s">
        <v>705</v>
      </c>
      <c r="B15" s="33"/>
      <c r="C15" s="33"/>
      <c r="D15" s="33"/>
      <c r="E15" s="33"/>
      <c r="F15" s="33"/>
      <c r="G15" s="33"/>
      <c r="H15" s="33"/>
      <c r="I15" s="33"/>
      <c r="J15" s="33"/>
      <c r="K15" s="33"/>
      <c r="L15" s="33"/>
      <c r="M15" s="33"/>
      <c r="N15" s="33"/>
      <c r="O15" s="33"/>
      <c r="P15" s="33"/>
      <c r="Q15" s="33"/>
      <c r="R15" s="33"/>
    </row>
  </sheetData>
  <mergeCells count="2">
    <mergeCell ref="A5:R6"/>
    <mergeCell ref="A10:R1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CBEA-BEB5-4046-B5F1-CB8371A6C9B3}">
  <sheetPr>
    <tabColor rgb="FFFF0000"/>
    <pageSetUpPr fitToPage="1"/>
  </sheetPr>
  <dimension ref="A3:Z150"/>
  <sheetViews>
    <sheetView view="pageBreakPreview" topLeftCell="A34" zoomScale="104" zoomScaleNormal="100" zoomScaleSheetLayoutView="104" workbookViewId="0">
      <selection activeCell="H34" sqref="H34:H36"/>
    </sheetView>
  </sheetViews>
  <sheetFormatPr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627" t="s">
        <v>464</v>
      </c>
      <c r="B4" s="627"/>
      <c r="C4" s="627"/>
      <c r="D4" s="627"/>
      <c r="E4" s="627"/>
      <c r="F4" s="627"/>
      <c r="G4" s="627"/>
      <c r="H4" s="627"/>
      <c r="I4" s="627"/>
      <c r="J4" s="627"/>
      <c r="K4" s="627"/>
      <c r="L4" s="627"/>
      <c r="M4" s="627"/>
      <c r="N4" s="627"/>
      <c r="O4" s="627"/>
      <c r="P4" s="627"/>
      <c r="Q4" s="627"/>
      <c r="R4" s="627"/>
      <c r="S4" s="627"/>
      <c r="T4" s="195"/>
      <c r="U4" s="195"/>
    </row>
    <row r="5" spans="1:26" ht="20">
      <c r="A5" s="100" t="s">
        <v>465</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613" t="s">
        <v>207</v>
      </c>
      <c r="D7" s="613"/>
      <c r="E7" s="613"/>
      <c r="F7" s="613"/>
      <c r="G7" s="613"/>
      <c r="H7" s="613"/>
      <c r="I7" s="613"/>
      <c r="J7" s="613"/>
      <c r="L7" s="574" t="s">
        <v>208</v>
      </c>
      <c r="M7" s="574"/>
      <c r="N7" s="574"/>
      <c r="O7" s="574"/>
      <c r="Q7" s="574" t="s">
        <v>211</v>
      </c>
      <c r="R7" s="574"/>
      <c r="S7" s="574"/>
      <c r="T7" s="574"/>
      <c r="U7" s="574"/>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29" t="s">
        <v>0</v>
      </c>
      <c r="C10" s="32" t="s">
        <v>115</v>
      </c>
      <c r="D10" s="95">
        <v>210.3</v>
      </c>
      <c r="E10" s="71">
        <v>5</v>
      </c>
      <c r="F10" s="576" t="s">
        <v>364</v>
      </c>
      <c r="G10" s="75">
        <f>D10-E10</f>
        <v>205.3</v>
      </c>
      <c r="H10" s="582" t="s">
        <v>509</v>
      </c>
      <c r="I10" s="186"/>
      <c r="J10" s="579"/>
      <c r="L10" s="32" t="s">
        <v>115</v>
      </c>
      <c r="M10" s="81">
        <f>N10+R10</f>
        <v>50</v>
      </c>
      <c r="N10" s="166">
        <v>15</v>
      </c>
      <c r="O10" s="576" t="s">
        <v>350</v>
      </c>
      <c r="Q10" s="32" t="s">
        <v>115</v>
      </c>
      <c r="R10" s="95">
        <v>35</v>
      </c>
      <c r="S10" s="576" t="s">
        <v>469</v>
      </c>
      <c r="T10" s="28"/>
      <c r="U10" s="28"/>
      <c r="W10" s="576" t="s">
        <v>62</v>
      </c>
      <c r="Y10" s="617" t="s">
        <v>61</v>
      </c>
    </row>
    <row r="11" spans="1:26" ht="55" customHeight="1">
      <c r="A11" s="629"/>
      <c r="C11" s="32" t="s">
        <v>116</v>
      </c>
      <c r="D11" s="81" t="e">
        <f>D10/#REF!</f>
        <v>#REF!</v>
      </c>
      <c r="E11" s="69" t="e">
        <f>E10/#REF!</f>
        <v>#REF!</v>
      </c>
      <c r="F11" s="576"/>
      <c r="G11" s="75"/>
      <c r="H11" s="582"/>
      <c r="I11" s="186"/>
      <c r="J11" s="579"/>
      <c r="L11" s="32" t="s">
        <v>116</v>
      </c>
      <c r="M11" s="50" t="e">
        <f>M10/VLOOKUP(A10,#REF!,7,0)</f>
        <v>#REF!</v>
      </c>
      <c r="N11" s="167" t="e">
        <f>N10/VLOOKUP(A10,#REF!,7,0)</f>
        <v>#REF!</v>
      </c>
      <c r="O11" s="576"/>
      <c r="Q11" s="32" t="s">
        <v>116</v>
      </c>
      <c r="R11" s="185" t="e">
        <f>M11-N11</f>
        <v>#REF!</v>
      </c>
      <c r="S11" s="576"/>
      <c r="T11" s="28"/>
      <c r="U11" s="28"/>
      <c r="W11" s="576"/>
      <c r="Y11" s="617"/>
    </row>
    <row r="12" spans="1:26" ht="55" customHeight="1">
      <c r="A12" s="630"/>
      <c r="B12" s="1"/>
      <c r="C12" s="31" t="s">
        <v>117</v>
      </c>
      <c r="D12" s="17" t="e">
        <f>(D10/VLOOKUP(A10,#REF!,4,0))*100</f>
        <v>#REF!</v>
      </c>
      <c r="E12" s="17" t="e">
        <f>(E10/VLOOKUP(A10,#REF!,4,0))*100</f>
        <v>#REF!</v>
      </c>
      <c r="F12" s="577"/>
      <c r="G12" s="76"/>
      <c r="H12" s="583"/>
      <c r="I12" s="187"/>
      <c r="J12" s="580"/>
      <c r="K12" s="1"/>
      <c r="L12" s="31" t="s">
        <v>117</v>
      </c>
      <c r="M12" s="51" t="e">
        <f>(M10/VLOOKUP(A10,#REF!,4,0))*100</f>
        <v>#REF!</v>
      </c>
      <c r="N12" s="168" t="e">
        <f>(N10/VLOOKUP(A10,#REF!,4,0))*100</f>
        <v>#REF!</v>
      </c>
      <c r="O12" s="577"/>
      <c r="P12" s="1"/>
      <c r="Q12" s="31" t="s">
        <v>117</v>
      </c>
      <c r="R12" s="64" t="e">
        <f>(R10/VLOOKUP(A10,#REF!,4,0))*100</f>
        <v>#REF!</v>
      </c>
      <c r="S12" s="577"/>
      <c r="T12" s="19"/>
      <c r="U12" s="19"/>
      <c r="V12" s="1"/>
      <c r="W12" s="577"/>
      <c r="X12" s="1"/>
      <c r="Y12" s="618"/>
    </row>
    <row r="13" spans="1:26" ht="60" customHeight="1">
      <c r="A13" s="629" t="s">
        <v>1</v>
      </c>
      <c r="B13" s="16"/>
      <c r="C13" s="32" t="s">
        <v>115</v>
      </c>
      <c r="D13" s="80">
        <f>205-85</f>
        <v>120</v>
      </c>
      <c r="E13" s="49">
        <v>4</v>
      </c>
      <c r="F13" s="600" t="s">
        <v>472</v>
      </c>
      <c r="G13" s="80">
        <v>105</v>
      </c>
      <c r="H13" s="575" t="s">
        <v>510</v>
      </c>
      <c r="I13" s="18">
        <v>85</v>
      </c>
      <c r="J13" s="575" t="s">
        <v>349</v>
      </c>
      <c r="K13" s="16"/>
      <c r="L13" s="32" t="s">
        <v>115</v>
      </c>
      <c r="M13" s="49">
        <f>N13+R13</f>
        <v>70</v>
      </c>
      <c r="N13" s="169">
        <v>5</v>
      </c>
      <c r="O13" s="575" t="s">
        <v>347</v>
      </c>
      <c r="P13" s="16"/>
      <c r="Q13" s="32" t="s">
        <v>115</v>
      </c>
      <c r="R13" s="80">
        <v>65</v>
      </c>
      <c r="S13" s="575" t="s">
        <v>348</v>
      </c>
      <c r="T13" s="18"/>
      <c r="U13" s="18"/>
      <c r="V13" s="15"/>
      <c r="W13" s="18"/>
      <c r="X13" s="15"/>
      <c r="Y13" s="25" t="s">
        <v>63</v>
      </c>
      <c r="Z13" s="596" t="s">
        <v>213</v>
      </c>
    </row>
    <row r="14" spans="1:26" ht="60" customHeight="1">
      <c r="A14" s="629"/>
      <c r="B14" s="6"/>
      <c r="C14" s="32" t="s">
        <v>116</v>
      </c>
      <c r="D14" s="81" t="e">
        <f>D13/VLOOKUP(A13,#REF!,7,0)</f>
        <v>#REF!</v>
      </c>
      <c r="E14" s="69" t="e">
        <f>E13/VLOOKUP(A13,#REF!,7,0)</f>
        <v>#REF!</v>
      </c>
      <c r="F14" s="601"/>
      <c r="G14" s="81"/>
      <c r="H14" s="576"/>
      <c r="I14" s="28"/>
      <c r="J14" s="576"/>
      <c r="K14" s="6"/>
      <c r="L14" s="32" t="s">
        <v>116</v>
      </c>
      <c r="M14" s="49" t="e">
        <f>N14+R14</f>
        <v>#REF!</v>
      </c>
      <c r="N14" s="170" t="e">
        <f>N13/VLOOKUP(A13,#REF!,7,0)</f>
        <v>#REF!</v>
      </c>
      <c r="O14" s="576"/>
      <c r="P14" s="6"/>
      <c r="Q14" s="32" t="s">
        <v>116</v>
      </c>
      <c r="R14" s="81" t="e">
        <f>R13/VLOOKUP(A13,#REF!,7,0)</f>
        <v>#REF!</v>
      </c>
      <c r="S14" s="576"/>
      <c r="T14" s="28"/>
      <c r="U14" s="28"/>
      <c r="W14" s="28"/>
      <c r="Y14" s="27"/>
      <c r="Z14" s="597"/>
    </row>
    <row r="15" spans="1:26" ht="60" customHeight="1">
      <c r="A15" s="630"/>
      <c r="B15" s="12"/>
      <c r="C15" s="31" t="s">
        <v>117</v>
      </c>
      <c r="D15" s="17" t="e">
        <f>(D13/VLOOKUP(A13,#REF!,4,0))*100</f>
        <v>#REF!</v>
      </c>
      <c r="E15" s="17" t="e">
        <f>(E13/VLOOKUP(A13,#REF!,4,0))*100</f>
        <v>#REF!</v>
      </c>
      <c r="F15" s="602"/>
      <c r="G15" s="82"/>
      <c r="H15" s="577"/>
      <c r="I15" s="19"/>
      <c r="J15" s="577"/>
      <c r="K15" s="12"/>
      <c r="L15" s="31" t="s">
        <v>117</v>
      </c>
      <c r="M15" s="49" t="e">
        <f>N15+R15</f>
        <v>#REF!</v>
      </c>
      <c r="N15" s="168" t="e">
        <f>(N13/VLOOKUP(A13,#REF!,4,0))*100</f>
        <v>#REF!</v>
      </c>
      <c r="O15" s="577"/>
      <c r="P15" s="12"/>
      <c r="Q15" s="31" t="s">
        <v>117</v>
      </c>
      <c r="R15" s="17" t="e">
        <f>(R13/VLOOKUP(A13,#REF!,4,0))*100</f>
        <v>#REF!</v>
      </c>
      <c r="S15" s="577"/>
      <c r="T15" s="19"/>
      <c r="U15" s="19"/>
      <c r="V15" s="1"/>
      <c r="W15" s="19"/>
      <c r="X15" s="1"/>
      <c r="Y15" s="26"/>
      <c r="Z15" s="597"/>
    </row>
    <row r="16" spans="1:26" ht="40" customHeight="1">
      <c r="A16" s="629" t="s">
        <v>358</v>
      </c>
      <c r="B16" s="16"/>
      <c r="C16" s="32" t="s">
        <v>115</v>
      </c>
      <c r="D16" s="80">
        <v>37</v>
      </c>
      <c r="E16" s="73">
        <v>0.05</v>
      </c>
      <c r="F16" s="600" t="s">
        <v>366</v>
      </c>
      <c r="G16" s="80">
        <v>37</v>
      </c>
      <c r="H16" s="575" t="s">
        <v>359</v>
      </c>
      <c r="I16" s="18"/>
      <c r="J16" s="18"/>
      <c r="K16" s="16"/>
      <c r="L16" s="32" t="s">
        <v>115</v>
      </c>
      <c r="M16" s="49">
        <f>SUM(N16,R16)</f>
        <v>165</v>
      </c>
      <c r="N16" s="169">
        <v>100</v>
      </c>
      <c r="O16" s="575" t="s">
        <v>476</v>
      </c>
      <c r="P16" s="16"/>
      <c r="Q16" s="32" t="s">
        <v>115</v>
      </c>
      <c r="R16" s="49">
        <v>65</v>
      </c>
      <c r="S16" s="575" t="s">
        <v>477</v>
      </c>
      <c r="T16" s="18"/>
      <c r="U16" s="18"/>
      <c r="V16" s="15"/>
      <c r="W16" s="575" t="s">
        <v>74</v>
      </c>
      <c r="X16" s="15"/>
      <c r="Y16" s="22"/>
    </row>
    <row r="17" spans="1:25" ht="40" customHeight="1">
      <c r="A17" s="629"/>
      <c r="B17" s="6"/>
      <c r="C17" s="32" t="s">
        <v>116</v>
      </c>
      <c r="D17" s="81" t="e">
        <f>D16/VLOOKUP(A16,#REF!,6,0)</f>
        <v>#REF!</v>
      </c>
      <c r="E17" s="81"/>
      <c r="F17" s="601"/>
      <c r="G17" s="56"/>
      <c r="H17" s="576"/>
      <c r="I17" s="28"/>
      <c r="J17" s="28"/>
      <c r="K17" s="6"/>
      <c r="L17" s="32" t="s">
        <v>116</v>
      </c>
      <c r="M17" s="49" t="e">
        <f>SUM(N17,R17)</f>
        <v>#REF!</v>
      </c>
      <c r="N17" s="170" t="e">
        <f>N16/VLOOKUP(A16,#REF!,7,0)</f>
        <v>#REF!</v>
      </c>
      <c r="O17" s="576"/>
      <c r="P17" s="6"/>
      <c r="Q17" s="32" t="s">
        <v>116</v>
      </c>
      <c r="R17" s="69" t="e">
        <f>R16/VLOOKUP(A16,#REF!,7,0)</f>
        <v>#REF!</v>
      </c>
      <c r="S17" s="576"/>
      <c r="T17" s="28"/>
      <c r="U17" s="28"/>
      <c r="W17" s="576"/>
      <c r="Y17" s="27"/>
    </row>
    <row r="18" spans="1:25" ht="40" customHeight="1">
      <c r="A18" s="630"/>
      <c r="B18" s="12"/>
      <c r="C18" s="31" t="s">
        <v>117</v>
      </c>
      <c r="D18" s="17" t="e">
        <f>(D16/VLOOKUP(A16,#REF!,4,0))*100</f>
        <v>#REF!</v>
      </c>
      <c r="E18" s="82"/>
      <c r="F18" s="602"/>
      <c r="G18" s="68"/>
      <c r="H18" s="577"/>
      <c r="I18" s="19"/>
      <c r="J18" s="19"/>
      <c r="K18" s="12"/>
      <c r="L18" s="31" t="s">
        <v>117</v>
      </c>
      <c r="M18" s="49" t="e">
        <f>SUM(N18,R18)</f>
        <v>#REF!</v>
      </c>
      <c r="N18" s="168" t="e">
        <f>(N16/VLOOKUP(A16,#REF!,4,0))*100</f>
        <v>#REF!</v>
      </c>
      <c r="O18" s="577"/>
      <c r="P18" s="12"/>
      <c r="Q18" s="31" t="s">
        <v>117</v>
      </c>
      <c r="R18" s="17" t="e">
        <f>(R16/VLOOKUP(A16,#REF!,4,0))*100</f>
        <v>#REF!</v>
      </c>
      <c r="S18" s="577"/>
      <c r="T18" s="19"/>
      <c r="U18" s="19"/>
      <c r="V18" s="1"/>
      <c r="W18" s="577"/>
      <c r="X18" s="1"/>
      <c r="Y18" s="26"/>
    </row>
    <row r="19" spans="1:25" ht="40" customHeight="1">
      <c r="A19" s="629" t="s">
        <v>2</v>
      </c>
      <c r="B19" s="16"/>
      <c r="C19" s="32" t="s">
        <v>115</v>
      </c>
      <c r="D19" s="80">
        <v>42</v>
      </c>
      <c r="E19" s="80">
        <v>8</v>
      </c>
      <c r="F19" s="575" t="s">
        <v>471</v>
      </c>
      <c r="G19" s="53">
        <v>11</v>
      </c>
      <c r="H19" s="581" t="s">
        <v>508</v>
      </c>
      <c r="I19" s="140">
        <v>48.5</v>
      </c>
      <c r="J19" s="581" t="s">
        <v>356</v>
      </c>
      <c r="K19" s="16"/>
      <c r="L19" s="32" t="s">
        <v>115</v>
      </c>
      <c r="M19" s="80">
        <f>N19+R19</f>
        <v>315</v>
      </c>
      <c r="N19" s="169"/>
      <c r="O19" s="22"/>
      <c r="P19" s="16"/>
      <c r="Q19" s="32" t="s">
        <v>115</v>
      </c>
      <c r="R19" s="80">
        <v>315</v>
      </c>
      <c r="S19" s="575" t="s">
        <v>507</v>
      </c>
      <c r="T19" s="18"/>
      <c r="U19" s="18"/>
      <c r="V19" s="15"/>
      <c r="W19" s="18" t="s">
        <v>214</v>
      </c>
      <c r="X19" s="15"/>
      <c r="Y19" s="25" t="s">
        <v>64</v>
      </c>
    </row>
    <row r="20" spans="1:25" ht="40" customHeight="1">
      <c r="A20" s="629"/>
      <c r="B20" s="6"/>
      <c r="C20" s="32" t="s">
        <v>116</v>
      </c>
      <c r="D20" s="81" t="e">
        <f>D19/VLOOKUP(A19,#REF!,7,0)</f>
        <v>#REF!</v>
      </c>
      <c r="E20" s="81" t="e">
        <f>E19/VLOOKUP(A19,#REF!,7,0)</f>
        <v>#REF!</v>
      </c>
      <c r="F20" s="576"/>
      <c r="G20" s="56"/>
      <c r="H20" s="582"/>
      <c r="I20" s="186"/>
      <c r="J20" s="582"/>
      <c r="K20" s="6"/>
      <c r="L20" s="32" t="s">
        <v>116</v>
      </c>
      <c r="M20" s="80" t="e">
        <f>N20+R20</f>
        <v>#REF!</v>
      </c>
      <c r="N20" s="170"/>
      <c r="O20" s="35"/>
      <c r="P20" s="6"/>
      <c r="Q20" s="32" t="s">
        <v>116</v>
      </c>
      <c r="R20" s="81" t="e">
        <f>R19/VLOOKUP(A19,#REF!,7,0)</f>
        <v>#REF!</v>
      </c>
      <c r="S20" s="576"/>
      <c r="T20" s="28"/>
      <c r="U20" s="28"/>
      <c r="W20" s="28"/>
      <c r="Y20" s="27"/>
    </row>
    <row r="21" spans="1:25" s="2" customFormat="1" ht="40" customHeight="1">
      <c r="A21" s="630"/>
      <c r="B21" s="12"/>
      <c r="C21" s="31" t="s">
        <v>117</v>
      </c>
      <c r="D21" s="17" t="e">
        <f>(D19/VLOOKUP(A19,#REF!,4,0))*100</f>
        <v>#REF!</v>
      </c>
      <c r="E21" s="82" t="e">
        <f>(E19/VLOOKUP(A19,#REF!,4,0))*100</f>
        <v>#REF!</v>
      </c>
      <c r="F21" s="577"/>
      <c r="G21" s="68"/>
      <c r="H21" s="583"/>
      <c r="I21" s="187"/>
      <c r="J21" s="583"/>
      <c r="K21" s="12"/>
      <c r="L21" s="31" t="s">
        <v>117</v>
      </c>
      <c r="M21" s="80" t="e">
        <f>N21+R21</f>
        <v>#REF!</v>
      </c>
      <c r="N21" s="168"/>
      <c r="O21" s="23"/>
      <c r="P21" s="12"/>
      <c r="Q21" s="31" t="s">
        <v>117</v>
      </c>
      <c r="R21" s="17" t="e">
        <f>(R19/VLOOKUP(A19,#REF!,4,0))*100</f>
        <v>#REF!</v>
      </c>
      <c r="S21" s="577"/>
      <c r="T21" s="19"/>
      <c r="U21" s="19"/>
      <c r="V21" s="1"/>
      <c r="W21" s="19"/>
      <c r="X21" s="1"/>
      <c r="Y21" s="26"/>
    </row>
    <row r="22" spans="1:25" s="143" customFormat="1" ht="50.15" customHeight="1">
      <c r="A22" s="629" t="s">
        <v>3</v>
      </c>
      <c r="B22" s="16"/>
      <c r="C22" s="37" t="s">
        <v>115</v>
      </c>
      <c r="D22" s="80">
        <v>143</v>
      </c>
      <c r="E22" s="49">
        <v>19</v>
      </c>
      <c r="F22" s="600" t="s">
        <v>511</v>
      </c>
      <c r="G22" s="49">
        <f>D22-E22</f>
        <v>124</v>
      </c>
      <c r="H22" s="575" t="s">
        <v>512</v>
      </c>
      <c r="I22" s="74">
        <v>9</v>
      </c>
      <c r="J22" s="575" t="s">
        <v>357</v>
      </c>
      <c r="K22" s="16"/>
      <c r="L22" s="37" t="s">
        <v>115</v>
      </c>
      <c r="M22" s="80">
        <f>N22+R22</f>
        <v>962</v>
      </c>
      <c r="N22" s="171">
        <v>200</v>
      </c>
      <c r="O22" s="575" t="s">
        <v>289</v>
      </c>
      <c r="P22" s="16"/>
      <c r="Q22" s="37" t="s">
        <v>115</v>
      </c>
      <c r="R22" s="80">
        <f>825-63</f>
        <v>762</v>
      </c>
      <c r="S22" s="575" t="s">
        <v>141</v>
      </c>
      <c r="T22" s="18"/>
      <c r="U22" s="18"/>
      <c r="V22" s="15"/>
      <c r="W22" s="575" t="s">
        <v>65</v>
      </c>
      <c r="X22" s="15"/>
      <c r="Y22" s="605" t="s">
        <v>67</v>
      </c>
    </row>
    <row r="23" spans="1:25" ht="50.15" customHeight="1">
      <c r="A23" s="629"/>
      <c r="B23" s="6"/>
      <c r="C23" s="32" t="s">
        <v>116</v>
      </c>
      <c r="D23" s="81" t="e">
        <f>D22/VLOOKUP(A22,#REF!,7,0)</f>
        <v>#REF!</v>
      </c>
      <c r="E23" s="81" t="e">
        <f>E22/VLOOKUP(A22,#REF!,7,0)</f>
        <v>#REF!</v>
      </c>
      <c r="F23" s="601"/>
      <c r="G23" s="56"/>
      <c r="H23" s="576"/>
      <c r="I23" s="247" t="e">
        <f>I22/VLOOKUP(A22,#REF!,7,0)</f>
        <v>#REF!</v>
      </c>
      <c r="J23" s="576"/>
      <c r="K23" s="6"/>
      <c r="L23" s="32" t="s">
        <v>116</v>
      </c>
      <c r="M23" s="81" t="e">
        <f>M22/VLOOKUP(A22,#REF!,7,0)</f>
        <v>#REF!</v>
      </c>
      <c r="N23" s="167" t="e">
        <f>N22/VLOOKUP(A22,#REF!,7,0)</f>
        <v>#REF!</v>
      </c>
      <c r="O23" s="576"/>
      <c r="P23" s="6"/>
      <c r="Q23" s="32" t="s">
        <v>116</v>
      </c>
      <c r="R23" s="81" t="e">
        <f>R22/VLOOKUP(A22,#REF!,7,0)</f>
        <v>#REF!</v>
      </c>
      <c r="S23" s="576"/>
      <c r="T23" s="28"/>
      <c r="U23" s="28"/>
      <c r="W23" s="576"/>
      <c r="Y23" s="606"/>
    </row>
    <row r="24" spans="1:25" ht="50.15" customHeight="1">
      <c r="A24" s="630"/>
      <c r="B24" s="12"/>
      <c r="C24" s="31" t="s">
        <v>117</v>
      </c>
      <c r="D24" s="17" t="e">
        <f>(D22/VLOOKUP(A22,#REF!,4,0))*100</f>
        <v>#REF!</v>
      </c>
      <c r="E24" s="82" t="e">
        <f>(E22/VLOOKUP(A22,#REF!,4,0))*100</f>
        <v>#REF!</v>
      </c>
      <c r="F24" s="602"/>
      <c r="G24" s="68"/>
      <c r="H24" s="577"/>
      <c r="I24" s="246" t="e">
        <f>(I22/VLOOKUP(A22,#REF!,4,0))*100</f>
        <v>#REF!</v>
      </c>
      <c r="J24" s="577"/>
      <c r="K24" s="12"/>
      <c r="L24" s="31" t="s">
        <v>117</v>
      </c>
      <c r="M24" s="82" t="e">
        <f>(M22/VLOOKUP(A22,#REF!,4,0))*100</f>
        <v>#REF!</v>
      </c>
      <c r="N24" s="168" t="e">
        <f>(N22/VLOOKUP(A22,#REF!,4,0))*100</f>
        <v>#REF!</v>
      </c>
      <c r="O24" s="577"/>
      <c r="P24" s="12"/>
      <c r="Q24" s="31" t="s">
        <v>117</v>
      </c>
      <c r="R24" s="17" t="e">
        <f>(R22/VLOOKUP(A22,#REF!,4,0))*100</f>
        <v>#REF!</v>
      </c>
      <c r="S24" s="577"/>
      <c r="T24" s="19"/>
      <c r="U24" s="19"/>
      <c r="V24" s="1"/>
      <c r="W24" s="577"/>
      <c r="X24" s="1"/>
      <c r="Y24" s="607"/>
    </row>
    <row r="25" spans="1:25" ht="60" customHeight="1">
      <c r="A25" s="629" t="s">
        <v>4</v>
      </c>
      <c r="B25" s="16"/>
      <c r="C25" s="32" t="s">
        <v>115</v>
      </c>
      <c r="D25" s="80">
        <v>20</v>
      </c>
      <c r="E25" s="49">
        <v>3.2</v>
      </c>
      <c r="F25" s="600" t="s">
        <v>368</v>
      </c>
      <c r="G25" s="49">
        <v>10.3</v>
      </c>
      <c r="H25" s="581" t="s">
        <v>361</v>
      </c>
      <c r="I25" s="140"/>
      <c r="J25" s="581" t="s">
        <v>362</v>
      </c>
      <c r="K25" s="16"/>
      <c r="L25" s="32" t="s">
        <v>115</v>
      </c>
      <c r="M25" s="49">
        <f>N25+R25</f>
        <v>530</v>
      </c>
      <c r="N25" s="169"/>
      <c r="O25" s="619"/>
      <c r="P25" s="16"/>
      <c r="Q25" s="32" t="s">
        <v>115</v>
      </c>
      <c r="R25" s="80">
        <v>530</v>
      </c>
      <c r="S25" s="581" t="s">
        <v>215</v>
      </c>
      <c r="T25" s="140"/>
      <c r="U25" s="140"/>
      <c r="V25" s="15"/>
      <c r="W25" s="575" t="s">
        <v>216</v>
      </c>
      <c r="X25" s="15"/>
      <c r="Y25" s="25" t="s">
        <v>66</v>
      </c>
    </row>
    <row r="26" spans="1:25" ht="60" customHeight="1">
      <c r="A26" s="629"/>
      <c r="B26" s="6"/>
      <c r="C26" s="32" t="s">
        <v>116</v>
      </c>
      <c r="D26" s="81" t="e">
        <f>D25/VLOOKUP(A25,#REF!,7,0)</f>
        <v>#REF!</v>
      </c>
      <c r="E26" s="81" t="e">
        <f>E25/VLOOKUP(A25,#REF!,7,0)</f>
        <v>#REF!</v>
      </c>
      <c r="F26" s="601"/>
      <c r="G26" s="56"/>
      <c r="H26" s="582"/>
      <c r="I26" s="186"/>
      <c r="J26" s="582"/>
      <c r="K26" s="6"/>
      <c r="L26" s="32" t="s">
        <v>116</v>
      </c>
      <c r="M26" s="71"/>
      <c r="N26" s="170"/>
      <c r="O26" s="620"/>
      <c r="P26" s="6"/>
      <c r="Q26" s="32" t="s">
        <v>116</v>
      </c>
      <c r="R26" s="81" t="e">
        <f>R25/VLOOKUP(A25,#REF!,7,0)</f>
        <v>#REF!</v>
      </c>
      <c r="S26" s="582"/>
      <c r="T26" s="186"/>
      <c r="U26" s="186"/>
      <c r="W26" s="576"/>
      <c r="Y26" s="136" t="s">
        <v>186</v>
      </c>
    </row>
    <row r="27" spans="1:25" ht="69" customHeight="1">
      <c r="A27" s="630"/>
      <c r="B27" s="12"/>
      <c r="C27" s="31" t="s">
        <v>117</v>
      </c>
      <c r="D27" s="17" t="e">
        <f>(D25/VLOOKUP(A25,#REF!,4,0))*100</f>
        <v>#REF!</v>
      </c>
      <c r="E27" s="82" t="e">
        <f>(E25/VLOOKUP(A25,#REF!,4,0))*100</f>
        <v>#REF!</v>
      </c>
      <c r="F27" s="602"/>
      <c r="G27" s="68"/>
      <c r="H27" s="583"/>
      <c r="I27" s="187"/>
      <c r="J27" s="583"/>
      <c r="K27" s="12"/>
      <c r="L27" s="31" t="s">
        <v>117</v>
      </c>
      <c r="M27" s="72"/>
      <c r="N27" s="168"/>
      <c r="O27" s="621"/>
      <c r="P27" s="12"/>
      <c r="Q27" s="31" t="s">
        <v>117</v>
      </c>
      <c r="R27" s="17" t="e">
        <f>(R25/VLOOKUP(A25,#REF!,4,0))*100</f>
        <v>#REF!</v>
      </c>
      <c r="S27" s="583"/>
      <c r="T27" s="187"/>
      <c r="U27" s="187"/>
      <c r="V27" s="1"/>
      <c r="W27" s="577"/>
      <c r="X27" s="1"/>
      <c r="Y27" s="26"/>
    </row>
    <row r="28" spans="1:25" ht="60" customHeight="1">
      <c r="A28" s="629" t="s">
        <v>5</v>
      </c>
      <c r="B28" s="16"/>
      <c r="C28" s="32" t="s">
        <v>281</v>
      </c>
      <c r="D28" s="128">
        <f>62000-25000</f>
        <v>37000</v>
      </c>
      <c r="E28" s="80">
        <v>2000</v>
      </c>
      <c r="F28" s="575" t="s">
        <v>370</v>
      </c>
      <c r="G28" s="80">
        <f>383-78</f>
        <v>305</v>
      </c>
      <c r="H28" s="575" t="s">
        <v>514</v>
      </c>
      <c r="I28" s="18">
        <v>25000</v>
      </c>
      <c r="J28" s="575" t="s">
        <v>363</v>
      </c>
      <c r="K28" s="16"/>
      <c r="L28" s="37" t="s">
        <v>115</v>
      </c>
      <c r="M28" s="245">
        <f>N28+R28</f>
        <v>55200</v>
      </c>
      <c r="N28" s="172">
        <v>53200</v>
      </c>
      <c r="O28" s="586" t="s">
        <v>513</v>
      </c>
      <c r="P28" s="16"/>
      <c r="Q28" s="37" t="s">
        <v>115</v>
      </c>
      <c r="R28" s="128">
        <v>2000</v>
      </c>
      <c r="S28" s="586" t="s">
        <v>303</v>
      </c>
      <c r="T28" s="191"/>
      <c r="U28" s="191"/>
      <c r="V28" s="15"/>
      <c r="W28" s="575" t="s">
        <v>298</v>
      </c>
      <c r="X28" s="15"/>
      <c r="Y28" s="22"/>
    </row>
    <row r="29" spans="1:25" ht="60" customHeight="1">
      <c r="A29" s="629"/>
      <c r="B29" s="6"/>
      <c r="C29" s="32" t="s">
        <v>116</v>
      </c>
      <c r="D29" s="81" t="e">
        <f>D28/VLOOKUP(A28,#REF!,7,0)</f>
        <v>#REF!</v>
      </c>
      <c r="E29" s="81" t="e">
        <f>E28/VLOOKUP(A28,#REF!,7,0)</f>
        <v>#REF!</v>
      </c>
      <c r="F29" s="584"/>
      <c r="G29" s="56"/>
      <c r="H29" s="576"/>
      <c r="I29" s="28" t="e">
        <f>I28/VLOOKUP(A28,#REF!,7,0)</f>
        <v>#REF!</v>
      </c>
      <c r="J29" s="576"/>
      <c r="K29" s="6"/>
      <c r="L29" s="32" t="s">
        <v>116</v>
      </c>
      <c r="M29" s="245" t="e">
        <f>N29+R29</f>
        <v>#REF!</v>
      </c>
      <c r="N29" s="167" t="e">
        <f>N28/VLOOKUP(A28,#REF!,7,0)</f>
        <v>#REF!</v>
      </c>
      <c r="O29" s="584"/>
      <c r="P29" s="6"/>
      <c r="Q29" s="32" t="s">
        <v>116</v>
      </c>
      <c r="R29" s="81" t="e">
        <f>R28/VLOOKUP(A28,#REF!,7,0)</f>
        <v>#REF!</v>
      </c>
      <c r="S29" s="584"/>
      <c r="T29" s="35"/>
      <c r="U29" s="35"/>
      <c r="W29" s="576"/>
      <c r="Y29" s="27"/>
    </row>
    <row r="30" spans="1:25" s="2" customFormat="1" ht="56.15" customHeight="1">
      <c r="A30" s="630"/>
      <c r="B30" s="12"/>
      <c r="C30" s="31" t="s">
        <v>117</v>
      </c>
      <c r="D30" s="17" t="e">
        <f>(D28/VLOOKUP(A28,#REF!,4,0))*100</f>
        <v>#REF!</v>
      </c>
      <c r="E30" s="17" t="e">
        <f>(E28/VLOOKUP(A28,#REF!,4,0))*100</f>
        <v>#REF!</v>
      </c>
      <c r="F30" s="585"/>
      <c r="G30" s="68"/>
      <c r="H30" s="577"/>
      <c r="I30" s="246" t="e">
        <f>(I28/VLOOKUP(A28,#REF!,4,0))*100</f>
        <v>#REF!</v>
      </c>
      <c r="J30" s="577"/>
      <c r="K30" s="12"/>
      <c r="L30" s="31" t="s">
        <v>117</v>
      </c>
      <c r="M30" s="245" t="e">
        <f>N30+R30</f>
        <v>#REF!</v>
      </c>
      <c r="N30" s="168" t="e">
        <f>(N28/VLOOKUP(A28,#REF!,4,0))*100</f>
        <v>#REF!</v>
      </c>
      <c r="O30" s="585"/>
      <c r="P30" s="12"/>
      <c r="Q30" s="31" t="s">
        <v>117</v>
      </c>
      <c r="R30" s="17" t="e">
        <f>(R28/VLOOKUP(A28,#REF!,4,0))*100</f>
        <v>#REF!</v>
      </c>
      <c r="S30" s="585"/>
      <c r="T30" s="23"/>
      <c r="U30" s="23"/>
      <c r="V30" s="1"/>
      <c r="W30" s="577"/>
      <c r="X30" s="1"/>
      <c r="Y30" s="26"/>
    </row>
    <row r="31" spans="1:25" s="143" customFormat="1" ht="60.65" customHeight="1">
      <c r="A31" s="629" t="s">
        <v>6</v>
      </c>
      <c r="B31" s="16"/>
      <c r="C31" s="37" t="s">
        <v>115</v>
      </c>
      <c r="D31" s="160">
        <v>43500</v>
      </c>
      <c r="E31" s="83">
        <v>2500</v>
      </c>
      <c r="F31" s="600" t="s">
        <v>371</v>
      </c>
      <c r="G31" s="83">
        <v>37000</v>
      </c>
      <c r="H31" s="575" t="s">
        <v>540</v>
      </c>
      <c r="I31" s="18">
        <v>12200</v>
      </c>
      <c r="J31" s="575" t="s">
        <v>537</v>
      </c>
      <c r="K31" s="16"/>
      <c r="L31" s="37" t="s">
        <v>115</v>
      </c>
      <c r="M31" s="244">
        <f>N31+R31</f>
        <v>182500</v>
      </c>
      <c r="N31" s="252">
        <f>156000</f>
        <v>156000</v>
      </c>
      <c r="O31" s="575" t="s">
        <v>538</v>
      </c>
      <c r="P31" s="16"/>
      <c r="Q31" s="37" t="s">
        <v>115</v>
      </c>
      <c r="R31" s="253">
        <v>26500</v>
      </c>
      <c r="S31" s="575" t="s">
        <v>539</v>
      </c>
      <c r="T31" s="22"/>
      <c r="U31" s="22"/>
      <c r="V31" s="15"/>
      <c r="W31" s="575" t="s">
        <v>70</v>
      </c>
      <c r="X31" s="15"/>
      <c r="Y31" s="605" t="s">
        <v>69</v>
      </c>
    </row>
    <row r="32" spans="1:25" ht="85" customHeight="1">
      <c r="A32" s="629"/>
      <c r="B32" s="6"/>
      <c r="C32" s="32" t="s">
        <v>116</v>
      </c>
      <c r="D32" s="81" t="e">
        <f>D31/VLOOKUP(A31,#REF!,7,0)</f>
        <v>#REF!</v>
      </c>
      <c r="E32" s="81" t="e">
        <f>E31/VLOOKUP(A31,#REF!,7,0)</f>
        <v>#REF!</v>
      </c>
      <c r="F32" s="601"/>
      <c r="G32" s="56"/>
      <c r="H32" s="576"/>
      <c r="I32" s="28"/>
      <c r="J32" s="576"/>
      <c r="K32" s="6"/>
      <c r="L32" s="32" t="s">
        <v>116</v>
      </c>
      <c r="M32" s="71"/>
      <c r="N32" s="173" t="e">
        <f>N31/VLOOKUP(A31,#REF!,7,0)</f>
        <v>#REF!</v>
      </c>
      <c r="O32" s="576"/>
      <c r="P32" s="6"/>
      <c r="Q32" s="32" t="s">
        <v>116</v>
      </c>
      <c r="R32" s="254" t="e">
        <f>R31/VLOOKUP(A31,#REF!,7,0)</f>
        <v>#REF!</v>
      </c>
      <c r="S32" s="576"/>
      <c r="T32" s="35"/>
      <c r="U32" s="35"/>
      <c r="W32" s="576"/>
      <c r="Y32" s="606"/>
    </row>
    <row r="33" spans="1:26" ht="100" customHeight="1">
      <c r="A33" s="630"/>
      <c r="B33" s="12"/>
      <c r="C33" s="31" t="s">
        <v>117</v>
      </c>
      <c r="D33" s="17" t="e">
        <f>(D31/VLOOKUP(A31,#REF!,4,0))*100</f>
        <v>#REF!</v>
      </c>
      <c r="E33" s="82" t="e">
        <f>(E31/VLOOKUP(A31,#REF!,4,0))*100</f>
        <v>#REF!</v>
      </c>
      <c r="F33" s="602"/>
      <c r="G33" s="68"/>
      <c r="H33" s="577"/>
      <c r="I33" s="19"/>
      <c r="J33" s="577"/>
      <c r="K33" s="12"/>
      <c r="L33" s="31" t="s">
        <v>117</v>
      </c>
      <c r="M33" s="72"/>
      <c r="N33" s="174" t="e">
        <f>(N31/VLOOKUP(A31,#REF!,4,0))*100</f>
        <v>#REF!</v>
      </c>
      <c r="O33" s="577"/>
      <c r="P33" s="12"/>
      <c r="Q33" s="31" t="s">
        <v>117</v>
      </c>
      <c r="R33" s="120" t="e">
        <f>(R31/VLOOKUP(A31,#REF!,4,0))*100</f>
        <v>#REF!</v>
      </c>
      <c r="S33" s="577"/>
      <c r="T33" s="35"/>
      <c r="U33" s="35"/>
      <c r="V33" s="1"/>
      <c r="W33" s="577"/>
      <c r="X33" s="1"/>
      <c r="Y33" s="607"/>
    </row>
    <row r="34" spans="1:26" s="10" customFormat="1" ht="130" customHeight="1">
      <c r="A34" s="629" t="s">
        <v>32</v>
      </c>
      <c r="B34" s="13"/>
      <c r="C34" s="37" t="s">
        <v>115</v>
      </c>
      <c r="D34" s="93">
        <v>18</v>
      </c>
      <c r="E34" s="20">
        <v>3.9</v>
      </c>
      <c r="F34" s="600" t="s">
        <v>372</v>
      </c>
      <c r="G34" s="74">
        <v>14</v>
      </c>
      <c r="H34" s="575" t="s">
        <v>515</v>
      </c>
      <c r="I34" s="18">
        <v>14</v>
      </c>
      <c r="J34" s="575" t="s">
        <v>378</v>
      </c>
      <c r="K34" s="13"/>
      <c r="L34" s="32" t="s">
        <v>115</v>
      </c>
      <c r="M34" s="242">
        <f>N34+R34</f>
        <v>112</v>
      </c>
      <c r="N34" s="175">
        <v>10</v>
      </c>
      <c r="O34" s="575" t="s">
        <v>219</v>
      </c>
      <c r="P34" s="13"/>
      <c r="Q34" s="32" t="s">
        <v>115</v>
      </c>
      <c r="R34" s="93">
        <v>102</v>
      </c>
      <c r="S34" s="575" t="s">
        <v>304</v>
      </c>
      <c r="T34" s="18"/>
      <c r="U34" s="18"/>
      <c r="V34" s="13"/>
      <c r="W34" s="18"/>
      <c r="X34" s="13"/>
      <c r="Y34" s="605" t="s">
        <v>49</v>
      </c>
      <c r="Z34" s="10">
        <f>849+223</f>
        <v>1072</v>
      </c>
    </row>
    <row r="35" spans="1:26" s="3" customFormat="1" ht="130" customHeight="1">
      <c r="A35" s="629"/>
      <c r="B35" s="10"/>
      <c r="C35" s="32" t="s">
        <v>116</v>
      </c>
      <c r="D35" s="81" t="e">
        <f>D34/VLOOKUP(A34,#REF!,7,0)</f>
        <v>#REF!</v>
      </c>
      <c r="E35" s="248" t="e">
        <f>E34/VLOOKUP(A34,#REF!,7,0)</f>
        <v>#REF!</v>
      </c>
      <c r="F35" s="601"/>
      <c r="G35" s="75" t="e">
        <f>G34/VLOOKUP(A34,#REF!,7,0)</f>
        <v>#REF!</v>
      </c>
      <c r="H35" s="576"/>
      <c r="I35" s="28"/>
      <c r="J35" s="576"/>
      <c r="K35" s="10"/>
      <c r="L35" s="32" t="s">
        <v>116</v>
      </c>
      <c r="M35" s="243" t="e">
        <f>N35+R35</f>
        <v>#REF!</v>
      </c>
      <c r="N35" s="173" t="e">
        <f>N34/#REF!</f>
        <v>#REF!</v>
      </c>
      <c r="O35" s="576"/>
      <c r="P35" s="10"/>
      <c r="Q35" s="32" t="s">
        <v>116</v>
      </c>
      <c r="R35" s="81" t="e">
        <f>R34/VLOOKUP(A34,#REF!,7,0)</f>
        <v>#REF!</v>
      </c>
      <c r="S35" s="576"/>
      <c r="T35" s="28"/>
      <c r="U35" s="28"/>
      <c r="V35" s="10"/>
      <c r="W35" s="28"/>
      <c r="X35" s="10"/>
      <c r="Y35" s="606"/>
    </row>
    <row r="36" spans="1:26" ht="119.5" customHeight="1">
      <c r="A36" s="630"/>
      <c r="B36" s="12"/>
      <c r="C36" s="31" t="s">
        <v>117</v>
      </c>
      <c r="D36" s="17" t="e">
        <f>(D34/VLOOKUP(A34,#REF!,4,0))*100</f>
        <v>#REF!</v>
      </c>
      <c r="E36" s="249" t="e">
        <f>(E34/VLOOKUP(A34,#REF!,4,0))*100</f>
        <v>#REF!</v>
      </c>
      <c r="F36" s="602"/>
      <c r="G36" s="68"/>
      <c r="H36" s="577"/>
      <c r="I36" s="19"/>
      <c r="J36" s="577"/>
      <c r="K36" s="12"/>
      <c r="L36" s="31" t="s">
        <v>117</v>
      </c>
      <c r="M36" s="243" t="e">
        <f>N36+R36</f>
        <v>#REF!</v>
      </c>
      <c r="N36" s="168" t="e">
        <f>N34/#REF!*100</f>
        <v>#REF!</v>
      </c>
      <c r="O36" s="577"/>
      <c r="P36" s="12"/>
      <c r="Q36" s="31" t="s">
        <v>117</v>
      </c>
      <c r="R36" s="17" t="e">
        <f>(R34/VLOOKUP(A34,#REF!,4,0))*100</f>
        <v>#REF!</v>
      </c>
      <c r="S36" s="577"/>
      <c r="T36" s="19"/>
      <c r="U36" s="19"/>
      <c r="V36" s="1"/>
      <c r="W36" s="19"/>
      <c r="X36" s="1"/>
      <c r="Y36" s="607"/>
    </row>
    <row r="37" spans="1:26" ht="75" customHeight="1">
      <c r="A37" s="629" t="s">
        <v>7</v>
      </c>
      <c r="B37" s="16"/>
      <c r="C37" s="32" t="s">
        <v>115</v>
      </c>
      <c r="D37" s="80">
        <v>65</v>
      </c>
      <c r="E37" s="80">
        <v>14.7</v>
      </c>
      <c r="F37" s="600" t="s">
        <v>516</v>
      </c>
      <c r="G37" s="80">
        <v>60</v>
      </c>
      <c r="H37" s="575" t="s">
        <v>517</v>
      </c>
      <c r="I37" s="18"/>
      <c r="J37" s="575" t="s">
        <v>380</v>
      </c>
      <c r="K37" s="16"/>
      <c r="L37" s="32" t="s">
        <v>115</v>
      </c>
      <c r="M37" s="49">
        <f>N37+R37</f>
        <v>330</v>
      </c>
      <c r="N37" s="171"/>
      <c r="O37" s="581" t="s">
        <v>267</v>
      </c>
      <c r="P37" s="16"/>
      <c r="Q37" s="32" t="s">
        <v>115</v>
      </c>
      <c r="R37" s="49">
        <v>330</v>
      </c>
      <c r="S37" s="575" t="s">
        <v>157</v>
      </c>
      <c r="T37" s="18"/>
      <c r="U37" s="18"/>
      <c r="V37" s="15"/>
      <c r="W37" s="622" t="s">
        <v>72</v>
      </c>
      <c r="X37" s="15"/>
      <c r="Y37" s="614" t="s">
        <v>71</v>
      </c>
    </row>
    <row r="38" spans="1:26" ht="75" customHeight="1">
      <c r="A38" s="629"/>
      <c r="B38" s="6"/>
      <c r="C38" s="32" t="s">
        <v>116</v>
      </c>
      <c r="D38" s="81" t="e">
        <f>D37/VLOOKUP(A37,#REF!,7,0)</f>
        <v>#REF!</v>
      </c>
      <c r="E38" s="81" t="e">
        <f>E37/VLOOKUP(A37,#REF!,7,0)</f>
        <v>#REF!</v>
      </c>
      <c r="F38" s="601"/>
      <c r="G38" s="56"/>
      <c r="H38" s="576"/>
      <c r="I38" s="28"/>
      <c r="J38" s="576"/>
      <c r="K38" s="6"/>
      <c r="L38" s="32" t="s">
        <v>116</v>
      </c>
      <c r="M38" s="69" t="e">
        <f>M37/VLOOKUP(A37,#REF!,7,0)</f>
        <v>#REF!</v>
      </c>
      <c r="N38" s="167"/>
      <c r="O38" s="582"/>
      <c r="P38" s="6"/>
      <c r="Q38" s="32" t="s">
        <v>116</v>
      </c>
      <c r="R38" s="69" t="e">
        <f>R37/VLOOKUP(A37,#REF!,7,0)</f>
        <v>#REF!</v>
      </c>
      <c r="S38" s="576"/>
      <c r="T38" s="28"/>
      <c r="U38" s="28"/>
      <c r="W38" s="623"/>
      <c r="Y38" s="615"/>
    </row>
    <row r="39" spans="1:26" s="2" customFormat="1" ht="37.5" customHeight="1">
      <c r="A39" s="630"/>
      <c r="B39" s="12"/>
      <c r="C39" s="31" t="s">
        <v>117</v>
      </c>
      <c r="D39" s="17" t="e">
        <f>(D37/VLOOKUP(A37,#REF!,4,0))*100</f>
        <v>#REF!</v>
      </c>
      <c r="E39" s="82" t="e">
        <f>(E37/VLOOKUP(A37,#REF!,4,0))*100</f>
        <v>#REF!</v>
      </c>
      <c r="F39" s="602"/>
      <c r="G39" s="68"/>
      <c r="H39" s="577"/>
      <c r="I39" s="19"/>
      <c r="J39" s="577"/>
      <c r="K39" s="12"/>
      <c r="L39" s="31" t="s">
        <v>117</v>
      </c>
      <c r="M39" s="17" t="e">
        <f>(M37/VLOOKUP(A37,#REF!,4,0))*100</f>
        <v>#REF!</v>
      </c>
      <c r="N39" s="168"/>
      <c r="O39" s="583"/>
      <c r="P39" s="12"/>
      <c r="Q39" s="31" t="s">
        <v>117</v>
      </c>
      <c r="R39" s="17" t="e">
        <f>(R37/VLOOKUP(A37,#REF!,4,0))*100</f>
        <v>#REF!</v>
      </c>
      <c r="S39" s="577"/>
      <c r="T39" s="19"/>
      <c r="U39" s="19"/>
      <c r="V39" s="1"/>
      <c r="W39" s="624"/>
      <c r="X39" s="1"/>
      <c r="Y39" s="616"/>
    </row>
    <row r="40" spans="1:26" s="143" customFormat="1" ht="67" customHeight="1">
      <c r="A40" s="629" t="s">
        <v>8</v>
      </c>
      <c r="B40" s="16"/>
      <c r="C40" s="37" t="s">
        <v>115</v>
      </c>
      <c r="D40" s="128">
        <v>1777</v>
      </c>
      <c r="E40" s="80">
        <v>300</v>
      </c>
      <c r="F40" s="600" t="s">
        <v>518</v>
      </c>
      <c r="G40" s="80">
        <f>D40-E40</f>
        <v>1477</v>
      </c>
      <c r="H40" s="575" t="s">
        <v>519</v>
      </c>
      <c r="I40" s="18"/>
      <c r="J40" s="575" t="s">
        <v>382</v>
      </c>
      <c r="K40" s="16"/>
      <c r="L40" s="37" t="s">
        <v>115</v>
      </c>
      <c r="M40" s="80">
        <f>N40+R40</f>
        <v>1230</v>
      </c>
      <c r="N40" s="171">
        <v>776</v>
      </c>
      <c r="O40" s="581" t="s">
        <v>274</v>
      </c>
      <c r="P40" s="16"/>
      <c r="Q40" s="37" t="s">
        <v>115</v>
      </c>
      <c r="R40" s="80">
        <v>454</v>
      </c>
      <c r="S40" s="575" t="s">
        <v>275</v>
      </c>
      <c r="T40" s="18"/>
      <c r="U40" s="18"/>
      <c r="V40" s="15"/>
      <c r="W40" s="575" t="s">
        <v>73</v>
      </c>
      <c r="X40" s="15"/>
      <c r="Y40" s="22"/>
    </row>
    <row r="41" spans="1:26" ht="100" customHeight="1">
      <c r="A41" s="629"/>
      <c r="B41" s="6"/>
      <c r="C41" s="32" t="s">
        <v>116</v>
      </c>
      <c r="D41" s="161" t="e">
        <f>D40/VLOOKUP(A40,#REF!,7,0)</f>
        <v>#REF!</v>
      </c>
      <c r="E41" s="81" t="e">
        <f>E40/VLOOKUP(A40,#REF!,7,0)</f>
        <v>#REF!</v>
      </c>
      <c r="F41" s="601"/>
      <c r="G41" s="56"/>
      <c r="H41" s="576"/>
      <c r="I41" s="28"/>
      <c r="J41" s="576"/>
      <c r="K41" s="6"/>
      <c r="L41" s="32" t="s">
        <v>116</v>
      </c>
      <c r="M41" s="71" t="e">
        <f>M40/VLOOKUP(A40,#REF!,7,0)</f>
        <v>#REF!</v>
      </c>
      <c r="N41" s="167" t="e">
        <f>N40/VLOOKUP(A40,#REF!,7,0)</f>
        <v>#REF!</v>
      </c>
      <c r="O41" s="582"/>
      <c r="P41" s="6"/>
      <c r="Q41" s="32" t="s">
        <v>116</v>
      </c>
      <c r="R41" s="185" t="e">
        <f>R40/VLOOKUP(A40,#REF!,7,0)</f>
        <v>#REF!</v>
      </c>
      <c r="S41" s="576"/>
      <c r="T41" s="28"/>
      <c r="U41" s="28"/>
      <c r="W41" s="576"/>
      <c r="Y41" s="27"/>
    </row>
    <row r="42" spans="1:26" ht="186" customHeight="1">
      <c r="A42" s="630"/>
      <c r="B42" s="12"/>
      <c r="C42" s="31" t="s">
        <v>117</v>
      </c>
      <c r="D42" s="17" t="e">
        <f>(D40/VLOOKUP(A40,#REF!,4,0))*100</f>
        <v>#REF!</v>
      </c>
      <c r="E42" s="82" t="e">
        <f>(E40/VLOOKUP(A40,#REF!,4,0))*100</f>
        <v>#REF!</v>
      </c>
      <c r="F42" s="602"/>
      <c r="G42" s="68"/>
      <c r="H42" s="577"/>
      <c r="I42" s="19"/>
      <c r="J42" s="577"/>
      <c r="K42" s="12"/>
      <c r="L42" s="31" t="s">
        <v>117</v>
      </c>
      <c r="M42" s="17" t="e">
        <f>(M40/VLOOKUP(A40,#REF!,4,0))*100</f>
        <v>#REF!</v>
      </c>
      <c r="N42" s="168" t="e">
        <f>(N40/VLOOKUP(A40,#REF!,4,0))*100</f>
        <v>#REF!</v>
      </c>
      <c r="O42" s="583"/>
      <c r="P42" s="12"/>
      <c r="Q42" s="31" t="s">
        <v>117</v>
      </c>
      <c r="R42" s="65" t="e">
        <f>(R40/VLOOKUP(A40,#REF!,4,0))*100</f>
        <v>#REF!</v>
      </c>
      <c r="S42" s="577"/>
      <c r="T42" s="19"/>
      <c r="U42" s="19"/>
      <c r="V42" s="1"/>
      <c r="W42" s="577"/>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40" customHeight="1">
      <c r="A45" s="629" t="s">
        <v>9</v>
      </c>
      <c r="B45" s="6"/>
      <c r="C45" s="32" t="s">
        <v>115</v>
      </c>
      <c r="D45" s="95">
        <v>350</v>
      </c>
      <c r="E45" s="81"/>
      <c r="F45" s="600" t="s">
        <v>384</v>
      </c>
      <c r="G45" s="81">
        <v>350</v>
      </c>
      <c r="H45" s="581" t="s">
        <v>520</v>
      </c>
      <c r="I45" s="186"/>
      <c r="J45" s="581" t="s">
        <v>386</v>
      </c>
      <c r="K45" s="6"/>
      <c r="L45" s="32" t="s">
        <v>115</v>
      </c>
      <c r="M45" s="69">
        <f>N45+R45</f>
        <v>350</v>
      </c>
      <c r="N45" s="170"/>
      <c r="O45" s="581" t="s">
        <v>144</v>
      </c>
      <c r="P45" s="6"/>
      <c r="Q45" s="32" t="s">
        <v>115</v>
      </c>
      <c r="R45" s="81">
        <v>350</v>
      </c>
      <c r="S45" s="575" t="s">
        <v>103</v>
      </c>
      <c r="T45" s="28"/>
      <c r="U45" s="28"/>
      <c r="W45" s="35"/>
      <c r="Y45" s="35">
        <f>300/D46*350</f>
        <v>19444.444444444442</v>
      </c>
    </row>
    <row r="46" spans="1:26" ht="52.5" customHeight="1">
      <c r="A46" s="629"/>
      <c r="B46" s="6"/>
      <c r="C46" s="32" t="s">
        <v>280</v>
      </c>
      <c r="D46" s="69">
        <v>5.4</v>
      </c>
      <c r="E46" s="81"/>
      <c r="F46" s="601"/>
      <c r="G46" s="56"/>
      <c r="H46" s="582"/>
      <c r="I46" s="186"/>
      <c r="J46" s="582"/>
      <c r="K46" s="6"/>
      <c r="L46" s="32" t="s">
        <v>116</v>
      </c>
      <c r="M46" s="71"/>
      <c r="N46" s="170"/>
      <c r="O46" s="582"/>
      <c r="P46" s="6"/>
      <c r="Q46" s="32" t="s">
        <v>282</v>
      </c>
      <c r="R46" s="69">
        <v>5.4</v>
      </c>
      <c r="S46" s="576"/>
      <c r="T46" s="28"/>
      <c r="U46" s="28"/>
      <c r="W46" s="28" t="s">
        <v>152</v>
      </c>
      <c r="Y46" s="27"/>
    </row>
    <row r="47" spans="1:26" ht="42.65" customHeight="1">
      <c r="A47" s="630"/>
      <c r="B47" s="12"/>
      <c r="C47" s="31" t="s">
        <v>117</v>
      </c>
      <c r="D47" s="17" t="e">
        <f>(D45/VLOOKUP("Argentina",#REF!,4,0))*100</f>
        <v>#REF!</v>
      </c>
      <c r="E47" s="82"/>
      <c r="F47" s="602"/>
      <c r="G47" s="68"/>
      <c r="H47" s="583"/>
      <c r="I47" s="187"/>
      <c r="J47" s="583"/>
      <c r="K47" s="12"/>
      <c r="L47" s="31" t="s">
        <v>117</v>
      </c>
      <c r="M47" s="72"/>
      <c r="N47" s="168"/>
      <c r="O47" s="583"/>
      <c r="P47" s="12"/>
      <c r="Q47" s="31" t="s">
        <v>117</v>
      </c>
      <c r="R47" s="17" t="e">
        <f>(R45/VLOOKUP("Argentina",#REF!,4,0))*100</f>
        <v>#REF!</v>
      </c>
      <c r="S47" s="577"/>
      <c r="T47" s="19"/>
      <c r="U47" s="19"/>
      <c r="V47" s="1"/>
      <c r="W47" s="19"/>
      <c r="X47" s="1"/>
      <c r="Y47" s="26"/>
    </row>
    <row r="48" spans="1:26" ht="67.5" customHeight="1">
      <c r="A48" s="629" t="s">
        <v>10</v>
      </c>
      <c r="B48" s="16"/>
      <c r="C48" s="32" t="s">
        <v>115</v>
      </c>
      <c r="D48" s="80">
        <v>205</v>
      </c>
      <c r="E48" s="80">
        <v>20</v>
      </c>
      <c r="F48" s="600" t="s">
        <v>387</v>
      </c>
      <c r="G48" s="80"/>
      <c r="H48" s="575" t="s">
        <v>388</v>
      </c>
      <c r="I48" s="18"/>
      <c r="J48" s="575" t="s">
        <v>389</v>
      </c>
      <c r="K48" s="16"/>
      <c r="L48" s="32" t="s">
        <v>115</v>
      </c>
      <c r="M48" s="73">
        <v>264</v>
      </c>
      <c r="N48" s="171">
        <f>5+12.6+212</f>
        <v>229.6</v>
      </c>
      <c r="O48" s="581" t="s">
        <v>466</v>
      </c>
      <c r="P48" s="16"/>
      <c r="Q48" s="32" t="s">
        <v>115</v>
      </c>
      <c r="R48" s="80">
        <v>34</v>
      </c>
      <c r="S48" s="575" t="s">
        <v>290</v>
      </c>
      <c r="T48" s="18"/>
      <c r="U48" s="18"/>
      <c r="V48" s="15"/>
      <c r="W48" s="575" t="s">
        <v>75</v>
      </c>
      <c r="X48" s="15"/>
      <c r="Y48" s="22">
        <f>5+12.6+212</f>
        <v>229.6</v>
      </c>
    </row>
    <row r="49" spans="1:25" ht="80.150000000000006" customHeight="1">
      <c r="A49" s="629"/>
      <c r="B49" s="6"/>
      <c r="C49" s="32" t="s">
        <v>116</v>
      </c>
      <c r="D49" s="81" t="e">
        <f>D48/VLOOKUP(A48,#REF!,7,0)</f>
        <v>#REF!</v>
      </c>
      <c r="E49" s="81" t="e">
        <f>E48/VLOOKUP(A48,#REF!,7,0)</f>
        <v>#REF!</v>
      </c>
      <c r="F49" s="601"/>
      <c r="G49" s="56"/>
      <c r="H49" s="576"/>
      <c r="I49" s="28"/>
      <c r="J49" s="576"/>
      <c r="K49" s="6"/>
      <c r="L49" s="32" t="s">
        <v>116</v>
      </c>
      <c r="M49" s="69" t="e">
        <f>M48/VLOOKUP(A48,#REF!,7,0)</f>
        <v>#REF!</v>
      </c>
      <c r="N49" s="167" t="e">
        <f>N48/VLOOKUP(A48,#REF!,7,0)</f>
        <v>#REF!</v>
      </c>
      <c r="O49" s="582"/>
      <c r="P49" s="6"/>
      <c r="Q49" s="32" t="s">
        <v>116</v>
      </c>
      <c r="R49" s="69" t="e">
        <f>R48/VLOOKUP(A48,#REF!,7,0)</f>
        <v>#REF!</v>
      </c>
      <c r="S49" s="576"/>
      <c r="T49" s="28"/>
      <c r="U49" s="28"/>
      <c r="W49" s="576"/>
      <c r="Y49" s="27" t="e">
        <f>N49/N48*Y48</f>
        <v>#REF!</v>
      </c>
    </row>
    <row r="50" spans="1:25" ht="73.5" customHeight="1">
      <c r="A50" s="630"/>
      <c r="B50" s="6"/>
      <c r="C50" s="32" t="s">
        <v>117</v>
      </c>
      <c r="D50" s="69" t="e">
        <f>(D48/VLOOKUP(A48,#REF!,4,0))*100</f>
        <v>#REF!</v>
      </c>
      <c r="E50" s="81"/>
      <c r="F50" s="602"/>
      <c r="G50" s="56"/>
      <c r="H50" s="577"/>
      <c r="I50" s="28"/>
      <c r="J50" s="577"/>
      <c r="K50" s="6"/>
      <c r="L50" s="32" t="s">
        <v>117</v>
      </c>
      <c r="M50" s="69" t="e">
        <f>(M48/VLOOKUP(A48,#REF!,4,0))*100</f>
        <v>#REF!</v>
      </c>
      <c r="N50" s="170" t="e">
        <f>(N48/VLOOKUP(A48,#REF!,4,0))*100</f>
        <v>#REF!</v>
      </c>
      <c r="O50" s="583"/>
      <c r="P50" s="6"/>
      <c r="Q50" s="32" t="s">
        <v>117</v>
      </c>
      <c r="R50" s="69" t="e">
        <f>(R48/VLOOKUP(A48,#REF!,4,0))*100</f>
        <v>#REF!</v>
      </c>
      <c r="S50" s="577"/>
      <c r="T50" s="28"/>
      <c r="U50" s="28"/>
      <c r="W50" s="577"/>
      <c r="Y50" s="27"/>
    </row>
    <row r="51" spans="1:25" s="13" customFormat="1" ht="89.15" customHeight="1">
      <c r="A51" s="629" t="s">
        <v>11</v>
      </c>
      <c r="C51" s="37" t="s">
        <v>115</v>
      </c>
      <c r="D51" s="127">
        <v>2567</v>
      </c>
      <c r="E51" s="74">
        <v>110</v>
      </c>
      <c r="F51" s="600" t="s">
        <v>390</v>
      </c>
      <c r="G51" s="74">
        <v>2390</v>
      </c>
      <c r="H51" s="581" t="s">
        <v>391</v>
      </c>
      <c r="I51" s="140"/>
      <c r="J51" s="581" t="s">
        <v>392</v>
      </c>
      <c r="L51" s="37" t="s">
        <v>115</v>
      </c>
      <c r="M51" s="74"/>
      <c r="N51" s="177"/>
      <c r="O51" s="141"/>
      <c r="Q51" s="37" t="s">
        <v>115</v>
      </c>
      <c r="R51" s="53"/>
      <c r="S51" s="141"/>
      <c r="T51" s="141"/>
      <c r="U51" s="141"/>
      <c r="W51" s="575" t="s">
        <v>76</v>
      </c>
      <c r="Y51" s="18"/>
    </row>
    <row r="52" spans="1:25" ht="87" customHeight="1">
      <c r="A52" s="629"/>
      <c r="B52" s="6"/>
      <c r="C52" s="32" t="s">
        <v>116</v>
      </c>
      <c r="D52" s="81" t="e">
        <f>D51/VLOOKUP(A51,#REF!,7,0)</f>
        <v>#REF!</v>
      </c>
      <c r="E52" s="75"/>
      <c r="F52" s="601"/>
      <c r="G52" s="56"/>
      <c r="H52" s="582"/>
      <c r="I52" s="186"/>
      <c r="J52" s="582"/>
      <c r="K52" s="6"/>
      <c r="L52" s="32" t="s">
        <v>116</v>
      </c>
      <c r="M52" s="71"/>
      <c r="N52" s="170"/>
      <c r="O52" s="35"/>
      <c r="P52" s="6"/>
      <c r="Q52" s="32" t="s">
        <v>116</v>
      </c>
      <c r="R52" s="69"/>
      <c r="S52" s="28"/>
      <c r="T52" s="28"/>
      <c r="U52" s="28"/>
      <c r="W52" s="576"/>
      <c r="Y52" s="27"/>
    </row>
    <row r="53" spans="1:25" ht="51.65" customHeight="1">
      <c r="A53" s="630"/>
      <c r="B53" s="12"/>
      <c r="C53" s="31" t="s">
        <v>117</v>
      </c>
      <c r="D53" s="17" t="e">
        <f>(D51/VLOOKUP(A51,#REF!,4,0))*100</f>
        <v>#REF!</v>
      </c>
      <c r="E53" s="76"/>
      <c r="F53" s="602"/>
      <c r="G53" s="68"/>
      <c r="H53" s="583"/>
      <c r="I53" s="187"/>
      <c r="J53" s="583"/>
      <c r="K53" s="12"/>
      <c r="L53" s="31" t="s">
        <v>117</v>
      </c>
      <c r="M53" s="72"/>
      <c r="N53" s="168"/>
      <c r="O53" s="23"/>
      <c r="P53" s="12"/>
      <c r="Q53" s="31" t="s">
        <v>117</v>
      </c>
      <c r="R53" s="17"/>
      <c r="S53" s="19"/>
      <c r="T53" s="28"/>
      <c r="U53" s="28"/>
      <c r="W53" s="576"/>
      <c r="Y53" s="27"/>
    </row>
    <row r="54" spans="1:25" s="13" customFormat="1" ht="61" customHeight="1">
      <c r="A54" s="629" t="s">
        <v>12</v>
      </c>
      <c r="C54" s="37" t="s">
        <v>115</v>
      </c>
      <c r="D54" s="127">
        <v>1570</v>
      </c>
      <c r="E54" s="74">
        <v>150</v>
      </c>
      <c r="F54" s="575" t="s">
        <v>393</v>
      </c>
      <c r="G54" s="127">
        <v>1420</v>
      </c>
      <c r="H54" s="581" t="s">
        <v>394</v>
      </c>
      <c r="I54" s="140"/>
      <c r="J54" s="581" t="s">
        <v>395</v>
      </c>
      <c r="L54" s="37" t="s">
        <v>115</v>
      </c>
      <c r="M54" s="74"/>
      <c r="N54" s="177"/>
      <c r="O54" s="18"/>
      <c r="Q54" s="37" t="s">
        <v>115</v>
      </c>
      <c r="R54" s="53"/>
      <c r="S54" s="18"/>
      <c r="T54" s="18"/>
      <c r="U54" s="18"/>
      <c r="W54" s="18"/>
      <c r="Y54" s="605" t="s">
        <v>57</v>
      </c>
    </row>
    <row r="55" spans="1:25" s="10" customFormat="1" ht="120" customHeight="1">
      <c r="A55" s="629"/>
      <c r="C55" s="32" t="s">
        <v>116</v>
      </c>
      <c r="D55" s="81" t="e">
        <f>D54/VLOOKUP(A54,#REF!,7,0)</f>
        <v>#REF!</v>
      </c>
      <c r="E55" s="77">
        <v>0.1</v>
      </c>
      <c r="F55" s="576"/>
      <c r="G55" s="77">
        <v>0.8</v>
      </c>
      <c r="H55" s="582"/>
      <c r="I55" s="186"/>
      <c r="J55" s="582"/>
      <c r="L55" s="32" t="s">
        <v>116</v>
      </c>
      <c r="M55" s="75"/>
      <c r="N55" s="178"/>
      <c r="O55" s="28"/>
      <c r="Q55" s="32" t="s">
        <v>116</v>
      </c>
      <c r="R55" s="56"/>
      <c r="S55" s="28"/>
      <c r="T55" s="28"/>
      <c r="U55" s="28"/>
      <c r="W55" s="28"/>
      <c r="Y55" s="606"/>
    </row>
    <row r="56" spans="1:25" ht="110.5" customHeight="1">
      <c r="A56" s="630"/>
      <c r="B56" s="6"/>
      <c r="C56" s="32" t="s">
        <v>117</v>
      </c>
      <c r="D56" s="69" t="e">
        <f>(D54/VLOOKUP(A54,#REF!,4,0))*100</f>
        <v>#REF!</v>
      </c>
      <c r="E56" s="77"/>
      <c r="F56" s="577"/>
      <c r="G56" s="56"/>
      <c r="H56" s="583"/>
      <c r="I56" s="186"/>
      <c r="J56" s="583"/>
      <c r="K56" s="6"/>
      <c r="L56" s="32" t="s">
        <v>117</v>
      </c>
      <c r="M56" s="71"/>
      <c r="N56" s="170"/>
      <c r="O56" s="35"/>
      <c r="P56" s="6"/>
      <c r="Q56" s="32" t="s">
        <v>117</v>
      </c>
      <c r="R56" s="69"/>
      <c r="S56" s="28"/>
      <c r="T56" s="28"/>
      <c r="U56" s="28"/>
      <c r="W56" s="28"/>
      <c r="Y56" s="607"/>
    </row>
    <row r="57" spans="1:25" s="13" customFormat="1" ht="73.5" customHeight="1">
      <c r="A57" s="629" t="s">
        <v>13</v>
      </c>
      <c r="C57" s="37" t="s">
        <v>115</v>
      </c>
      <c r="D57" s="127">
        <v>289000</v>
      </c>
      <c r="E57" s="74">
        <v>76000</v>
      </c>
      <c r="F57" s="575" t="s">
        <v>396</v>
      </c>
      <c r="G57" s="74">
        <v>213000</v>
      </c>
      <c r="H57" s="581" t="s">
        <v>522</v>
      </c>
      <c r="I57" s="140"/>
      <c r="J57" s="140"/>
      <c r="L57" s="37" t="s">
        <v>115</v>
      </c>
      <c r="M57" s="241">
        <f>N57+R57</f>
        <v>150000</v>
      </c>
      <c r="N57" s="127">
        <v>150000</v>
      </c>
      <c r="O57" s="140"/>
      <c r="Q57" s="37" t="s">
        <v>115</v>
      </c>
      <c r="R57" s="127"/>
      <c r="S57" s="581"/>
      <c r="T57" s="140"/>
      <c r="U57" s="140"/>
      <c r="W57" s="18"/>
      <c r="Y57" s="18"/>
    </row>
    <row r="58" spans="1:25" s="10" customFormat="1" ht="100" customHeight="1">
      <c r="A58" s="629"/>
      <c r="C58" s="32" t="s">
        <v>116</v>
      </c>
      <c r="D58" s="81" t="e">
        <f>D57/VLOOKUP(A57,#REF!,7,0)</f>
        <v>#REF!</v>
      </c>
      <c r="E58" s="56" t="e">
        <f>E57/VLOOKUP(A57,#REF!,7,0)</f>
        <v>#REF!</v>
      </c>
      <c r="F58" s="576"/>
      <c r="G58" s="75"/>
      <c r="H58" s="582"/>
      <c r="I58" s="186"/>
      <c r="J58" s="186"/>
      <c r="L58" s="32" t="s">
        <v>116</v>
      </c>
      <c r="M58" s="75"/>
      <c r="N58" s="56" t="e">
        <f>N57/#REF!</f>
        <v>#REF!</v>
      </c>
      <c r="O58" s="48" t="s">
        <v>467</v>
      </c>
      <c r="Q58" s="32" t="s">
        <v>116</v>
      </c>
      <c r="R58" s="56"/>
      <c r="S58" s="582"/>
      <c r="T58" s="186"/>
      <c r="U58" s="186"/>
      <c r="W58" s="28"/>
      <c r="Y58" s="28"/>
    </row>
    <row r="59" spans="1:25" s="2" customFormat="1" ht="121.5" customHeight="1">
      <c r="A59" s="630"/>
      <c r="B59" s="12"/>
      <c r="C59" s="31" t="s">
        <v>117</v>
      </c>
      <c r="D59" s="17" t="e">
        <f>(D57/VLOOKUP(A57,#REF!,4,0))*100</f>
        <v>#REF!</v>
      </c>
      <c r="E59" s="78"/>
      <c r="F59" s="577"/>
      <c r="G59" s="68"/>
      <c r="H59" s="583"/>
      <c r="I59" s="187"/>
      <c r="J59" s="187"/>
      <c r="K59" s="12"/>
      <c r="L59" s="31" t="s">
        <v>117</v>
      </c>
      <c r="M59" s="72"/>
      <c r="N59" s="17" t="e">
        <f>N57/#REF!*100</f>
        <v>#REF!</v>
      </c>
      <c r="O59" s="47"/>
      <c r="P59" s="12"/>
      <c r="Q59" s="31" t="s">
        <v>117</v>
      </c>
      <c r="R59" s="17"/>
      <c r="S59" s="583"/>
      <c r="T59" s="187"/>
      <c r="U59" s="187"/>
      <c r="V59" s="1"/>
      <c r="W59" s="132" t="s">
        <v>296</v>
      </c>
      <c r="X59" s="1"/>
      <c r="Y59" s="26"/>
    </row>
    <row r="60" spans="1:25" s="36" customFormat="1" ht="42" customHeight="1">
      <c r="A60" s="629" t="s">
        <v>14</v>
      </c>
      <c r="C60" s="32" t="s">
        <v>115</v>
      </c>
      <c r="D60" s="95">
        <v>180</v>
      </c>
      <c r="E60" s="75"/>
      <c r="F60" s="600" t="s">
        <v>398</v>
      </c>
      <c r="G60" s="75"/>
      <c r="H60" s="581"/>
      <c r="I60" s="186"/>
      <c r="J60" s="581" t="s">
        <v>399</v>
      </c>
      <c r="L60" s="32" t="s">
        <v>115</v>
      </c>
      <c r="M60" s="56">
        <f>N60+R60</f>
        <v>75</v>
      </c>
      <c r="N60" s="166">
        <v>75</v>
      </c>
      <c r="O60" s="575" t="s">
        <v>415</v>
      </c>
      <c r="Q60" s="32" t="s">
        <v>115</v>
      </c>
      <c r="R60" s="56"/>
      <c r="S60" s="28"/>
      <c r="T60" s="28"/>
      <c r="U60" s="28"/>
      <c r="W60" s="575" t="s">
        <v>77</v>
      </c>
      <c r="Y60" s="605" t="s">
        <v>58</v>
      </c>
    </row>
    <row r="61" spans="1:25" s="36" customFormat="1" ht="37.5" customHeight="1">
      <c r="A61" s="629"/>
      <c r="C61" s="32" t="s">
        <v>116</v>
      </c>
      <c r="D61" s="69" t="e">
        <f>D60/VLOOKUP(A60,#REF!,7,0)</f>
        <v>#REF!</v>
      </c>
      <c r="E61" s="75"/>
      <c r="F61" s="601"/>
      <c r="G61" s="75"/>
      <c r="H61" s="582"/>
      <c r="I61" s="186"/>
      <c r="J61" s="582"/>
      <c r="L61" s="32" t="s">
        <v>116</v>
      </c>
      <c r="M61" s="75"/>
      <c r="N61" s="178" t="e">
        <f>N60/VLOOKUP(A60,#REF!,7,0)</f>
        <v>#REF!</v>
      </c>
      <c r="O61" s="576"/>
      <c r="Q61" s="32" t="s">
        <v>116</v>
      </c>
      <c r="R61" s="56"/>
      <c r="S61" s="28"/>
      <c r="T61" s="28"/>
      <c r="U61" s="28"/>
      <c r="W61" s="576"/>
      <c r="Y61" s="606"/>
    </row>
    <row r="62" spans="1:25" s="4" customFormat="1" ht="50.5" customHeight="1">
      <c r="A62" s="630"/>
      <c r="C62" s="31" t="s">
        <v>117</v>
      </c>
      <c r="D62" s="17" t="e">
        <f>(D60/VLOOKUP(A60,#REF!,4,0))*100</f>
        <v>#REF!</v>
      </c>
      <c r="E62" s="76"/>
      <c r="F62" s="602"/>
      <c r="G62" s="76"/>
      <c r="H62" s="583"/>
      <c r="I62" s="187"/>
      <c r="J62" s="583"/>
      <c r="L62" s="31" t="s">
        <v>117</v>
      </c>
      <c r="M62" s="76"/>
      <c r="N62" s="179" t="e">
        <f>(N60/VLOOKUP(A60,#REF!,4,0))*100</f>
        <v>#REF!</v>
      </c>
      <c r="O62" s="577"/>
      <c r="Q62" s="31" t="s">
        <v>117</v>
      </c>
      <c r="R62" s="68"/>
      <c r="S62" s="19"/>
      <c r="T62" s="19"/>
      <c r="U62" s="19"/>
      <c r="W62" s="577"/>
      <c r="Y62" s="607"/>
    </row>
    <row r="63" spans="1:25" s="10" customFormat="1" ht="104.5" customHeight="1">
      <c r="A63" s="629" t="s">
        <v>15</v>
      </c>
      <c r="B63" s="13"/>
      <c r="C63" s="32" t="s">
        <v>115</v>
      </c>
      <c r="D63" s="93">
        <f>142+800+285</f>
        <v>1227</v>
      </c>
      <c r="E63" s="74">
        <v>142</v>
      </c>
      <c r="F63" s="575" t="s">
        <v>400</v>
      </c>
      <c r="G63" s="74"/>
      <c r="H63" s="575" t="s">
        <v>401</v>
      </c>
      <c r="I63" s="18"/>
      <c r="J63" s="575" t="s">
        <v>402</v>
      </c>
      <c r="K63" s="13"/>
      <c r="L63" s="32" t="s">
        <v>115</v>
      </c>
      <c r="M63" s="93">
        <f>N63+R63</f>
        <v>700</v>
      </c>
      <c r="N63" s="166">
        <v>700</v>
      </c>
      <c r="O63" s="575" t="s">
        <v>521</v>
      </c>
      <c r="P63" s="13"/>
      <c r="Q63" s="32" t="s">
        <v>115</v>
      </c>
      <c r="R63" s="95"/>
      <c r="S63" s="578"/>
      <c r="T63" s="189"/>
      <c r="U63" s="189"/>
      <c r="V63" s="13"/>
      <c r="W63" s="18"/>
      <c r="X63" s="13"/>
      <c r="Y63" s="18"/>
    </row>
    <row r="64" spans="1:25" s="10" customFormat="1" ht="101.5" customHeight="1">
      <c r="A64" s="629"/>
      <c r="C64" s="32" t="s">
        <v>116</v>
      </c>
      <c r="D64" s="81" t="e">
        <f>D63/VLOOKUP(A63,#REF!,7,0)</f>
        <v>#REF!</v>
      </c>
      <c r="E64" s="56" t="e">
        <f>E63/VLOOKUP(A63,#REF!,7,0)</f>
        <v>#REF!</v>
      </c>
      <c r="F64" s="576"/>
      <c r="G64" s="75"/>
      <c r="H64" s="576"/>
      <c r="I64" s="28"/>
      <c r="J64" s="576"/>
      <c r="L64" s="32" t="s">
        <v>116</v>
      </c>
      <c r="M64" s="75"/>
      <c r="N64" s="170" t="e">
        <f>N63/VLOOKUP(A63,#REF!,7,0)</f>
        <v>#REF!</v>
      </c>
      <c r="O64" s="576"/>
      <c r="Q64" s="32" t="s">
        <v>116</v>
      </c>
      <c r="R64" s="69"/>
      <c r="S64" s="579"/>
      <c r="T64" s="190"/>
      <c r="U64" s="190"/>
      <c r="W64" s="28"/>
      <c r="Y64" s="28"/>
    </row>
    <row r="65" spans="1:25" ht="110.15" customHeight="1">
      <c r="A65" s="630"/>
      <c r="B65" s="6"/>
      <c r="C65" s="32" t="s">
        <v>117</v>
      </c>
      <c r="D65" s="69" t="e">
        <f>(D63/VLOOKUP(A63,#REF!,4,0))*100</f>
        <v>#REF!</v>
      </c>
      <c r="E65" s="250" t="e">
        <f>(E63/VLOOKUP(A63,#REF!,4,0))*100</f>
        <v>#REF!</v>
      </c>
      <c r="F65" s="577"/>
      <c r="G65" s="56"/>
      <c r="H65" s="577"/>
      <c r="I65" s="28"/>
      <c r="J65" s="577"/>
      <c r="K65" s="6"/>
      <c r="L65" s="32" t="s">
        <v>117</v>
      </c>
      <c r="M65" s="71"/>
      <c r="N65" s="170" t="e">
        <f>(N63/VLOOKUP(A63,#REF!,4,0))*100</f>
        <v>#REF!</v>
      </c>
      <c r="O65" s="577"/>
      <c r="P65" s="6"/>
      <c r="Q65" s="32" t="s">
        <v>117</v>
      </c>
      <c r="R65" s="69"/>
      <c r="S65" s="580"/>
      <c r="T65" s="190"/>
      <c r="U65" s="190"/>
      <c r="W65" s="28"/>
      <c r="Y65" s="27"/>
    </row>
    <row r="66" spans="1:25" s="13" customFormat="1" ht="60" customHeight="1">
      <c r="A66" s="629" t="s">
        <v>16</v>
      </c>
      <c r="C66" s="37" t="s">
        <v>115</v>
      </c>
      <c r="D66" s="93">
        <v>79</v>
      </c>
      <c r="E66" s="74">
        <v>10</v>
      </c>
      <c r="F66" s="575" t="s">
        <v>403</v>
      </c>
      <c r="G66" s="74"/>
      <c r="H66" s="575" t="s">
        <v>404</v>
      </c>
      <c r="I66" s="18"/>
      <c r="J66" s="575" t="s">
        <v>405</v>
      </c>
      <c r="L66" s="37" t="s">
        <v>115</v>
      </c>
      <c r="M66" s="74">
        <v>22</v>
      </c>
      <c r="N66" s="175">
        <v>31</v>
      </c>
      <c r="O66" s="575" t="s">
        <v>284</v>
      </c>
      <c r="Q66" s="37" t="s">
        <v>115</v>
      </c>
      <c r="R66" s="53"/>
      <c r="S66" s="18"/>
      <c r="T66" s="18"/>
      <c r="U66" s="18"/>
      <c r="W66" s="18"/>
      <c r="Y66" s="605" t="s">
        <v>59</v>
      </c>
    </row>
    <row r="67" spans="1:25" s="10" customFormat="1" ht="60" customHeight="1">
      <c r="A67" s="629"/>
      <c r="C67" s="32" t="s">
        <v>116</v>
      </c>
      <c r="D67" s="69" t="e">
        <f>D66/#REF!</f>
        <v>#REF!</v>
      </c>
      <c r="E67" s="75"/>
      <c r="F67" s="576"/>
      <c r="G67" s="75"/>
      <c r="H67" s="576"/>
      <c r="I67" s="28"/>
      <c r="J67" s="576"/>
      <c r="L67" s="32" t="s">
        <v>116</v>
      </c>
      <c r="M67" s="56" t="e">
        <f>M66/VLOOKUP(A66,#REF!,7,0)</f>
        <v>#REF!</v>
      </c>
      <c r="N67" s="170" t="e">
        <f>N66/VLOOKUP(A66,#REF!,7,0)</f>
        <v>#REF!</v>
      </c>
      <c r="O67" s="576"/>
      <c r="Q67" s="32" t="s">
        <v>116</v>
      </c>
      <c r="R67" s="56"/>
      <c r="S67" s="28"/>
      <c r="T67" s="28"/>
      <c r="U67" s="28"/>
      <c r="W67" s="28"/>
      <c r="Y67" s="606"/>
    </row>
    <row r="68" spans="1:25" ht="98.15" customHeight="1">
      <c r="A68" s="630"/>
      <c r="B68" s="12"/>
      <c r="C68" s="31" t="s">
        <v>117</v>
      </c>
      <c r="D68" s="17" t="e">
        <f>D66/#REF!*100</f>
        <v>#REF!</v>
      </c>
      <c r="E68" s="78"/>
      <c r="F68" s="577"/>
      <c r="G68" s="68"/>
      <c r="H68" s="577"/>
      <c r="I68" s="19"/>
      <c r="J68" s="577"/>
      <c r="K68" s="12"/>
      <c r="L68" s="31" t="s">
        <v>117</v>
      </c>
      <c r="M68" s="17" t="e">
        <f>(M66/VLOOKUP(A66,#REF!,4,0))*100</f>
        <v>#REF!</v>
      </c>
      <c r="N68" s="168" t="e">
        <f>(N66/VLOOKUP(A66,#REF!,4,0))*100</f>
        <v>#REF!</v>
      </c>
      <c r="O68" s="577"/>
      <c r="P68" s="12"/>
      <c r="Q68" s="31" t="s">
        <v>117</v>
      </c>
      <c r="R68" s="17"/>
      <c r="S68" s="19"/>
      <c r="T68" s="19"/>
      <c r="U68" s="19"/>
      <c r="V68" s="1"/>
      <c r="W68" s="19"/>
      <c r="X68" s="1"/>
      <c r="Y68" s="26"/>
    </row>
    <row r="69" spans="1:25" s="10" customFormat="1" ht="60" customHeight="1">
      <c r="A69" s="629" t="s">
        <v>17</v>
      </c>
      <c r="B69" s="13"/>
      <c r="C69" s="32" t="s">
        <v>115</v>
      </c>
      <c r="D69" s="53">
        <v>312.85000000000002</v>
      </c>
      <c r="E69" s="238">
        <v>20</v>
      </c>
      <c r="F69" s="575" t="s">
        <v>535</v>
      </c>
      <c r="G69" s="74"/>
      <c r="H69" s="581" t="s">
        <v>536</v>
      </c>
      <c r="I69" s="140"/>
      <c r="J69" s="581" t="s">
        <v>474</v>
      </c>
      <c r="K69" s="13"/>
      <c r="L69" s="32" t="s">
        <v>115</v>
      </c>
      <c r="M69" s="93">
        <f>SUM(N69,R69)</f>
        <v>203</v>
      </c>
      <c r="N69" s="175">
        <v>3</v>
      </c>
      <c r="O69" s="575" t="s">
        <v>475</v>
      </c>
      <c r="P69" s="13"/>
      <c r="Q69" s="32" t="s">
        <v>115</v>
      </c>
      <c r="R69" s="93">
        <v>200</v>
      </c>
      <c r="S69" s="581" t="s">
        <v>468</v>
      </c>
      <c r="T69" s="18"/>
      <c r="U69" s="18"/>
      <c r="V69" s="13"/>
      <c r="W69" s="18"/>
      <c r="X69" s="13"/>
      <c r="Y69" s="18"/>
    </row>
    <row r="70" spans="1:25" s="10" customFormat="1" ht="60" customHeight="1">
      <c r="A70" s="629"/>
      <c r="C70" s="32" t="s">
        <v>116</v>
      </c>
      <c r="D70" s="69" t="e">
        <f>D69/#REF!</f>
        <v>#REF!</v>
      </c>
      <c r="E70" s="48"/>
      <c r="F70" s="576"/>
      <c r="G70" s="75"/>
      <c r="H70" s="582"/>
      <c r="I70" s="186"/>
      <c r="J70" s="582"/>
      <c r="L70" s="32" t="s">
        <v>116</v>
      </c>
      <c r="M70" s="93" t="e">
        <f>SUM(N70,R70)</f>
        <v>#REF!</v>
      </c>
      <c r="N70" s="170" t="e">
        <f>N69/VLOOKUP(A69,#REF!,7,0)</f>
        <v>#REF!</v>
      </c>
      <c r="O70" s="576"/>
      <c r="Q70" s="32" t="s">
        <v>116</v>
      </c>
      <c r="R70" s="56" t="e">
        <f>R69/VLOOKUP(A69,#REF!,7,0)</f>
        <v>#REF!</v>
      </c>
      <c r="S70" s="582"/>
      <c r="T70" s="28"/>
      <c r="U70" s="28"/>
      <c r="W70" s="28"/>
      <c r="Y70" s="28"/>
    </row>
    <row r="71" spans="1:25" ht="165" customHeight="1">
      <c r="A71" s="630"/>
      <c r="B71" s="12"/>
      <c r="C71" s="31" t="s">
        <v>117</v>
      </c>
      <c r="D71" s="17" t="e">
        <f>D69/#REF!*100</f>
        <v>#REF!</v>
      </c>
      <c r="E71" s="78"/>
      <c r="F71" s="577"/>
      <c r="G71" s="68"/>
      <c r="H71" s="583"/>
      <c r="I71" s="187"/>
      <c r="J71" s="583"/>
      <c r="K71" s="12"/>
      <c r="L71" s="31" t="s">
        <v>117</v>
      </c>
      <c r="M71" s="53" t="e">
        <f>SUM(N71,R71)</f>
        <v>#REF!</v>
      </c>
      <c r="N71" s="168" t="e">
        <f>(N69/VLOOKUP(A69,#REF!,4,0))*100</f>
        <v>#REF!</v>
      </c>
      <c r="O71" s="577"/>
      <c r="P71" s="12"/>
      <c r="Q71" s="31" t="s">
        <v>117</v>
      </c>
      <c r="R71" s="17" t="e">
        <f>(R69/VLOOKUP(A69,#REF!,4,0))*100</f>
        <v>#REF!</v>
      </c>
      <c r="S71" s="583"/>
      <c r="T71" s="19"/>
      <c r="U71" s="19"/>
      <c r="V71" s="1"/>
      <c r="W71" s="19"/>
      <c r="X71" s="1"/>
      <c r="Y71" s="26"/>
    </row>
    <row r="72" spans="1:25" s="36" customFormat="1" ht="50.15" customHeight="1">
      <c r="A72" s="629" t="s">
        <v>18</v>
      </c>
      <c r="B72" s="14"/>
      <c r="C72" s="32" t="s">
        <v>115</v>
      </c>
      <c r="D72" s="93">
        <v>75</v>
      </c>
      <c r="E72" s="587"/>
      <c r="F72" s="575"/>
      <c r="G72" s="587">
        <v>75</v>
      </c>
      <c r="H72" s="581" t="s">
        <v>473</v>
      </c>
      <c r="I72" s="140"/>
      <c r="J72" s="581" t="s">
        <v>409</v>
      </c>
      <c r="K72" s="14"/>
      <c r="L72" s="32" t="s">
        <v>115</v>
      </c>
      <c r="M72" s="53">
        <f>N72+R72</f>
        <v>25</v>
      </c>
      <c r="N72" s="177"/>
      <c r="O72" s="575" t="s">
        <v>146</v>
      </c>
      <c r="P72" s="14"/>
      <c r="Q72" s="32" t="s">
        <v>115</v>
      </c>
      <c r="R72" s="93">
        <v>25</v>
      </c>
      <c r="S72" s="575" t="s">
        <v>229</v>
      </c>
      <c r="T72" s="18"/>
      <c r="U72" s="18"/>
      <c r="V72" s="14"/>
      <c r="W72" s="18"/>
      <c r="X72" s="14"/>
      <c r="Y72" s="18"/>
    </row>
    <row r="73" spans="1:25" s="36" customFormat="1" ht="50.15" customHeight="1">
      <c r="A73" s="629"/>
      <c r="C73" s="32" t="s">
        <v>116</v>
      </c>
      <c r="D73" s="81" t="e">
        <f>D72/VLOOKUP(A72,#REF!,7,0)</f>
        <v>#REF!</v>
      </c>
      <c r="E73" s="588"/>
      <c r="F73" s="576"/>
      <c r="G73" s="588"/>
      <c r="H73" s="582"/>
      <c r="I73" s="186"/>
      <c r="J73" s="582"/>
      <c r="L73" s="32" t="s">
        <v>116</v>
      </c>
      <c r="M73" s="75"/>
      <c r="N73" s="178"/>
      <c r="O73" s="576"/>
      <c r="Q73" s="32" t="s">
        <v>116</v>
      </c>
      <c r="R73" s="69" t="e">
        <f>R72/VLOOKUP(A72,#REF!,7,0)</f>
        <v>#REF!</v>
      </c>
      <c r="S73" s="576"/>
      <c r="T73" s="28"/>
      <c r="U73" s="28"/>
      <c r="W73" s="28"/>
      <c r="Y73" s="28"/>
    </row>
    <row r="74" spans="1:25" ht="50.15" customHeight="1">
      <c r="A74" s="630"/>
      <c r="B74" s="12"/>
      <c r="C74" s="31" t="s">
        <v>117</v>
      </c>
      <c r="D74" s="17" t="e">
        <f>(D72/VLOOKUP(A72,#REF!,4,0))*100</f>
        <v>#REF!</v>
      </c>
      <c r="E74" s="78"/>
      <c r="F74" s="577"/>
      <c r="G74" s="68"/>
      <c r="H74" s="583"/>
      <c r="I74" s="187"/>
      <c r="J74" s="583"/>
      <c r="K74" s="12"/>
      <c r="L74" s="31" t="s">
        <v>117</v>
      </c>
      <c r="M74" s="72"/>
      <c r="N74" s="168"/>
      <c r="O74" s="577"/>
      <c r="P74" s="12"/>
      <c r="Q74" s="31" t="s">
        <v>117</v>
      </c>
      <c r="R74" s="17" t="e">
        <f>(R72/VLOOKUP(A72,#REF!,4,0))*100</f>
        <v>#REF!</v>
      </c>
      <c r="S74" s="577"/>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29" t="s">
        <v>19</v>
      </c>
      <c r="C77" s="32" t="s">
        <v>115</v>
      </c>
      <c r="D77" s="95">
        <v>60</v>
      </c>
      <c r="E77" s="28"/>
      <c r="F77" s="601" t="s">
        <v>309</v>
      </c>
      <c r="G77" s="75"/>
      <c r="H77" s="576" t="s">
        <v>177</v>
      </c>
      <c r="I77" s="28"/>
      <c r="J77" s="28"/>
      <c r="L77" s="32" t="s">
        <v>115</v>
      </c>
      <c r="M77" s="28"/>
      <c r="N77" s="178"/>
      <c r="O77" s="576"/>
      <c r="Q77" s="32" t="s">
        <v>115</v>
      </c>
      <c r="R77" s="95">
        <v>65</v>
      </c>
      <c r="S77" s="576" t="s">
        <v>147</v>
      </c>
      <c r="T77" s="28"/>
      <c r="U77" s="28"/>
      <c r="W77" s="576" t="s">
        <v>109</v>
      </c>
      <c r="Y77" s="27" t="s">
        <v>44</v>
      </c>
    </row>
    <row r="78" spans="1:25" ht="90" customHeight="1">
      <c r="A78" s="629"/>
      <c r="B78" s="6"/>
      <c r="C78" s="32" t="s">
        <v>116</v>
      </c>
      <c r="D78" s="69" t="e">
        <f>D77/VLOOKUP(A77,#REF!,7,0)</f>
        <v>#REF!</v>
      </c>
      <c r="E78" s="29"/>
      <c r="F78" s="601"/>
      <c r="G78" s="56"/>
      <c r="H78" s="598"/>
      <c r="I78" s="188"/>
      <c r="J78" s="188"/>
      <c r="K78" s="6"/>
      <c r="L78" s="32" t="s">
        <v>116</v>
      </c>
      <c r="M78" s="35"/>
      <c r="N78" s="170"/>
      <c r="O78" s="576"/>
      <c r="P78" s="6"/>
      <c r="Q78" s="32" t="s">
        <v>116</v>
      </c>
      <c r="R78" s="69" t="e">
        <f>R77/VLOOKUP(A77,#REF!,7,0)</f>
        <v>#REF!</v>
      </c>
      <c r="S78" s="576"/>
      <c r="T78" s="28"/>
      <c r="U78" s="28"/>
      <c r="W78" s="576"/>
      <c r="Y78" s="27" t="s">
        <v>45</v>
      </c>
    </row>
    <row r="79" spans="1:25" ht="82.5" customHeight="1">
      <c r="A79" s="630"/>
      <c r="B79" s="6"/>
      <c r="C79" s="32" t="s">
        <v>117</v>
      </c>
      <c r="D79" s="69" t="e">
        <f>(D77/VLOOKUP(A77,#REF!,4,0))*100</f>
        <v>#REF!</v>
      </c>
      <c r="E79" s="29"/>
      <c r="F79" s="602"/>
      <c r="G79" s="56"/>
      <c r="H79" s="599"/>
      <c r="I79" s="188"/>
      <c r="J79" s="188"/>
      <c r="K79" s="6"/>
      <c r="L79" s="32" t="s">
        <v>117</v>
      </c>
      <c r="M79" s="35"/>
      <c r="N79" s="170"/>
      <c r="O79" s="577"/>
      <c r="P79" s="6"/>
      <c r="Q79" s="32" t="s">
        <v>117</v>
      </c>
      <c r="R79" s="69" t="e">
        <f>(R77/VLOOKUP(A77,#REF!,4,0))*100</f>
        <v>#REF!</v>
      </c>
      <c r="S79" s="577"/>
      <c r="T79" s="28"/>
      <c r="U79" s="28"/>
      <c r="W79" s="577"/>
      <c r="Y79" s="27"/>
    </row>
    <row r="80" spans="1:25" s="15" customFormat="1" ht="50.15" customHeight="1">
      <c r="A80" s="629" t="s">
        <v>20</v>
      </c>
      <c r="C80" s="37" t="s">
        <v>115</v>
      </c>
      <c r="D80" s="53">
        <f>1.5+2.4</f>
        <v>3.9</v>
      </c>
      <c r="E80" s="575">
        <v>0.2</v>
      </c>
      <c r="F80" s="575" t="s">
        <v>183</v>
      </c>
      <c r="G80" s="73">
        <f>1.5-0.2</f>
        <v>1.3</v>
      </c>
      <c r="H80" s="575" t="s">
        <v>232</v>
      </c>
      <c r="I80" s="18"/>
      <c r="J80" s="18"/>
      <c r="L80" s="37" t="s">
        <v>115</v>
      </c>
      <c r="M80" s="8"/>
      <c r="N80" s="169">
        <v>1</v>
      </c>
      <c r="O80" s="575" t="s">
        <v>334</v>
      </c>
      <c r="Q80" s="37" t="s">
        <v>115</v>
      </c>
      <c r="R80" s="80">
        <v>10.6</v>
      </c>
      <c r="S80" s="575" t="s">
        <v>305</v>
      </c>
      <c r="T80" s="18"/>
      <c r="U80" s="18"/>
      <c r="W80" s="575" t="s">
        <v>233</v>
      </c>
      <c r="Y80" s="116" t="s">
        <v>46</v>
      </c>
    </row>
    <row r="81" spans="1:25" s="3" customFormat="1" ht="50.15" customHeight="1">
      <c r="A81" s="629"/>
      <c r="C81" s="32" t="s">
        <v>116</v>
      </c>
      <c r="D81" s="69" t="e">
        <f>D80/VLOOKUP(A80,#REF!,7,0)</f>
        <v>#REF!</v>
      </c>
      <c r="E81" s="576"/>
      <c r="F81" s="591"/>
      <c r="G81" s="71"/>
      <c r="H81" s="576"/>
      <c r="I81" s="28"/>
      <c r="J81" s="28"/>
      <c r="L81" s="32" t="s">
        <v>116</v>
      </c>
      <c r="M81" s="38"/>
      <c r="N81" s="170" t="e">
        <f>N80/VLOOKUP(A80,#REF!,7,0)</f>
        <v>#REF!</v>
      </c>
      <c r="O81" s="576"/>
      <c r="Q81" s="32" t="s">
        <v>116</v>
      </c>
      <c r="R81" s="81" t="e">
        <f>R80/VLOOKUP(A80,#REF!,7,0)</f>
        <v>#REF!</v>
      </c>
      <c r="S81" s="576"/>
      <c r="T81" s="28"/>
      <c r="U81" s="28"/>
      <c r="W81" s="577"/>
      <c r="Y81" s="117"/>
    </row>
    <row r="82" spans="1:25" ht="50.15" customHeight="1">
      <c r="A82" s="630"/>
      <c r="B82" s="12"/>
      <c r="C82" s="31" t="s">
        <v>117</v>
      </c>
      <c r="D82" s="17" t="e">
        <f>(D80/VLOOKUP(A80,#REF!,4,0))*100</f>
        <v>#REF!</v>
      </c>
      <c r="E82" s="24"/>
      <c r="F82" s="592"/>
      <c r="G82" s="68"/>
      <c r="H82" s="577"/>
      <c r="I82" s="19"/>
      <c r="J82" s="19"/>
      <c r="K82" s="12"/>
      <c r="L82" s="31" t="s">
        <v>117</v>
      </c>
      <c r="M82" s="23"/>
      <c r="N82" s="168" t="e">
        <f>(N80/VLOOKUP(A80,#REF!,4,0))*100</f>
        <v>#REF!</v>
      </c>
      <c r="O82" s="577"/>
      <c r="P82" s="12"/>
      <c r="Q82" s="31" t="s">
        <v>117</v>
      </c>
      <c r="R82" s="17" t="e">
        <f>(R80/VLOOKUP(A80,#REF!,4,0))*100</f>
        <v>#REF!</v>
      </c>
      <c r="S82" s="577"/>
      <c r="T82" s="19"/>
      <c r="U82" s="19"/>
      <c r="V82" s="1"/>
      <c r="W82" s="20" t="s">
        <v>234</v>
      </c>
      <c r="X82" s="1"/>
      <c r="Y82" s="118"/>
    </row>
    <row r="83" spans="1:25" ht="60" customHeight="1">
      <c r="A83" s="629" t="s">
        <v>184</v>
      </c>
      <c r="B83" s="14"/>
      <c r="C83" s="37" t="s">
        <v>115</v>
      </c>
      <c r="D83" s="93">
        <v>20</v>
      </c>
      <c r="E83" s="587"/>
      <c r="F83" s="20"/>
      <c r="G83" s="74"/>
      <c r="H83" s="609" t="s">
        <v>182</v>
      </c>
      <c r="I83" s="192"/>
      <c r="J83" s="192"/>
      <c r="K83" s="14"/>
      <c r="L83" s="32" t="s">
        <v>115</v>
      </c>
      <c r="M83" s="20"/>
      <c r="N83" s="177"/>
      <c r="O83" s="575"/>
      <c r="P83" s="14"/>
      <c r="Q83" s="32" t="s">
        <v>115</v>
      </c>
      <c r="R83" s="603" t="s">
        <v>84</v>
      </c>
      <c r="S83" s="575" t="s">
        <v>335</v>
      </c>
      <c r="T83" s="18"/>
      <c r="U83" s="18"/>
      <c r="V83" s="14"/>
      <c r="W83" s="575" t="s">
        <v>110</v>
      </c>
      <c r="X83" s="14"/>
      <c r="Y83" s="605" t="s">
        <v>47</v>
      </c>
    </row>
    <row r="84" spans="1:25" ht="60" customHeight="1">
      <c r="A84" s="629"/>
      <c r="B84" s="36"/>
      <c r="C84" s="32" t="s">
        <v>116</v>
      </c>
      <c r="D84" s="81" t="e">
        <f>D83/VLOOKUP(A83,#REF!,7,0)</f>
        <v>#REF!</v>
      </c>
      <c r="E84" s="588"/>
      <c r="F84" s="30"/>
      <c r="G84" s="75"/>
      <c r="H84" s="610"/>
      <c r="I84" s="193"/>
      <c r="J84" s="193"/>
      <c r="K84" s="36"/>
      <c r="L84" s="32" t="s">
        <v>116</v>
      </c>
      <c r="M84" s="30"/>
      <c r="N84" s="178"/>
      <c r="O84" s="576"/>
      <c r="P84" s="36"/>
      <c r="Q84" s="32" t="s">
        <v>116</v>
      </c>
      <c r="R84" s="604"/>
      <c r="S84" s="576"/>
      <c r="T84" s="28"/>
      <c r="U84" s="28"/>
      <c r="V84" s="36"/>
      <c r="W84" s="576"/>
      <c r="X84" s="36"/>
      <c r="Y84" s="606"/>
    </row>
    <row r="85" spans="1:25" ht="81" customHeight="1">
      <c r="A85" s="630"/>
      <c r="B85" s="12"/>
      <c r="C85" s="31" t="s">
        <v>117</v>
      </c>
      <c r="D85" s="17" t="e">
        <f>(D83/VLOOKUP(A83,#REF!,4,0))*100</f>
        <v>#REF!</v>
      </c>
      <c r="E85" s="24"/>
      <c r="F85" s="21"/>
      <c r="G85" s="68"/>
      <c r="H85" s="611"/>
      <c r="I85" s="194"/>
      <c r="J85" s="194"/>
      <c r="K85" s="12"/>
      <c r="L85" s="31" t="s">
        <v>117</v>
      </c>
      <c r="M85" s="23"/>
      <c r="N85" s="168"/>
      <c r="O85" s="577"/>
      <c r="P85" s="12"/>
      <c r="Q85" s="31" t="s">
        <v>117</v>
      </c>
      <c r="R85" s="612"/>
      <c r="S85" s="577"/>
      <c r="T85" s="19"/>
      <c r="U85" s="19"/>
      <c r="V85" s="1"/>
      <c r="W85" s="577"/>
      <c r="X85" s="1"/>
      <c r="Y85" s="607"/>
    </row>
    <row r="86" spans="1:25" s="36" customFormat="1" ht="89.5" customHeight="1">
      <c r="A86" s="629" t="s">
        <v>36</v>
      </c>
      <c r="B86" s="14"/>
      <c r="C86" s="37" t="s">
        <v>115</v>
      </c>
      <c r="D86" s="93">
        <v>76.8</v>
      </c>
      <c r="E86" s="575"/>
      <c r="F86" s="575" t="s">
        <v>310</v>
      </c>
      <c r="G86" s="74"/>
      <c r="H86" s="575" t="s">
        <v>312</v>
      </c>
      <c r="I86" s="18"/>
      <c r="J86" s="18"/>
      <c r="K86" s="14"/>
      <c r="L86" s="32" t="s">
        <v>115</v>
      </c>
      <c r="M86" s="20"/>
      <c r="N86" s="175">
        <v>50</v>
      </c>
      <c r="O86" s="575" t="s">
        <v>336</v>
      </c>
      <c r="P86" s="14"/>
      <c r="Q86" s="32" t="s">
        <v>115</v>
      </c>
      <c r="R86" s="93">
        <v>50</v>
      </c>
      <c r="S86" s="575" t="s">
        <v>337</v>
      </c>
      <c r="T86" s="18"/>
      <c r="U86" s="18"/>
      <c r="V86" s="14"/>
      <c r="W86" s="575" t="s">
        <v>127</v>
      </c>
      <c r="X86" s="14"/>
      <c r="Y86" s="605" t="s">
        <v>48</v>
      </c>
    </row>
    <row r="87" spans="1:25" s="36" customFormat="1" ht="92.15" customHeight="1">
      <c r="A87" s="629"/>
      <c r="C87" s="32" t="s">
        <v>116</v>
      </c>
      <c r="D87" s="69" t="e">
        <f>D86/VLOOKUP(A86,#REF!,7,0)</f>
        <v>#REF!</v>
      </c>
      <c r="E87" s="576"/>
      <c r="F87" s="576"/>
      <c r="G87" s="75"/>
      <c r="H87" s="576"/>
      <c r="I87" s="28"/>
      <c r="J87" s="28"/>
      <c r="L87" s="32" t="s">
        <v>116</v>
      </c>
      <c r="M87" s="30"/>
      <c r="N87" s="180" t="e">
        <f>N86/VLOOKUP(A86,#REF!,7,0)</f>
        <v>#REF!</v>
      </c>
      <c r="O87" s="576"/>
      <c r="Q87" s="32" t="s">
        <v>116</v>
      </c>
      <c r="R87" s="56" t="e">
        <f>R86/VLOOKUP(A86,#REF!,7,0)</f>
        <v>#REF!</v>
      </c>
      <c r="S87" s="576"/>
      <c r="T87" s="28"/>
      <c r="U87" s="28"/>
      <c r="W87" s="576"/>
      <c r="Y87" s="606"/>
    </row>
    <row r="88" spans="1:25" ht="92.15" customHeight="1">
      <c r="A88" s="630"/>
      <c r="B88" s="12"/>
      <c r="C88" s="31" t="s">
        <v>117</v>
      </c>
      <c r="D88" s="17" t="e">
        <f>((D86/#REF!))*100</f>
        <v>#REF!</v>
      </c>
      <c r="E88" s="24"/>
      <c r="F88" s="577"/>
      <c r="G88" s="68"/>
      <c r="H88" s="577"/>
      <c r="I88" s="19"/>
      <c r="J88" s="19"/>
      <c r="K88" s="12"/>
      <c r="L88" s="31" t="s">
        <v>117</v>
      </c>
      <c r="M88" s="23"/>
      <c r="N88" s="174" t="e">
        <f>((N86/#REF!))*100</f>
        <v>#REF!</v>
      </c>
      <c r="O88" s="577"/>
      <c r="P88" s="12"/>
      <c r="Q88" s="31" t="s">
        <v>117</v>
      </c>
      <c r="R88" s="17" t="e">
        <f>((R86/#REF!))*100</f>
        <v>#REF!</v>
      </c>
      <c r="S88" s="577"/>
      <c r="T88" s="19"/>
      <c r="U88" s="19"/>
      <c r="V88" s="1"/>
      <c r="W88" s="577"/>
      <c r="X88" s="1"/>
      <c r="Y88" s="607"/>
    </row>
    <row r="89" spans="1:25" s="36" customFormat="1" ht="50.15" customHeight="1">
      <c r="A89" s="629" t="s">
        <v>31</v>
      </c>
      <c r="B89" s="14"/>
      <c r="C89" s="37" t="s">
        <v>115</v>
      </c>
      <c r="D89" s="93">
        <v>34.4</v>
      </c>
      <c r="E89" s="20"/>
      <c r="F89" s="575" t="s">
        <v>311</v>
      </c>
      <c r="G89" s="74"/>
      <c r="H89" s="575" t="s">
        <v>313</v>
      </c>
      <c r="I89" s="18"/>
      <c r="J89" s="18"/>
      <c r="K89" s="14"/>
      <c r="L89" s="32" t="s">
        <v>115</v>
      </c>
      <c r="M89" s="20"/>
      <c r="N89" s="175">
        <v>20</v>
      </c>
      <c r="O89" s="575" t="s">
        <v>338</v>
      </c>
      <c r="P89" s="14"/>
      <c r="Q89" s="32" t="s">
        <v>115</v>
      </c>
      <c r="R89" s="53"/>
      <c r="S89" s="575"/>
      <c r="T89" s="18"/>
      <c r="U89" s="18"/>
      <c r="V89" s="14"/>
      <c r="W89" s="18"/>
      <c r="X89" s="14"/>
      <c r="Y89" s="18"/>
    </row>
    <row r="90" spans="1:25" s="10" customFormat="1" ht="50.15" customHeight="1">
      <c r="A90" s="629"/>
      <c r="B90" s="36"/>
      <c r="C90" s="32" t="s">
        <v>116</v>
      </c>
      <c r="D90" s="81" t="e">
        <f>D89/VLOOKUP(A89,#REF!,7,0)</f>
        <v>#REF!</v>
      </c>
      <c r="E90" s="30"/>
      <c r="F90" s="576"/>
      <c r="G90" s="75"/>
      <c r="H90" s="576"/>
      <c r="I90" s="28"/>
      <c r="J90" s="28"/>
      <c r="K90" s="36"/>
      <c r="L90" s="32" t="s">
        <v>116</v>
      </c>
      <c r="M90" s="30"/>
      <c r="N90" s="167" t="e">
        <f>N89/VLOOKUP(A89,#REF!,7,0)</f>
        <v>#REF!</v>
      </c>
      <c r="O90" s="576"/>
      <c r="P90" s="36"/>
      <c r="Q90" s="32" t="s">
        <v>116</v>
      </c>
      <c r="R90" s="56"/>
      <c r="S90" s="576"/>
      <c r="T90" s="28"/>
      <c r="U90" s="28"/>
      <c r="V90" s="36"/>
      <c r="W90" s="28"/>
      <c r="X90" s="36"/>
      <c r="Y90" s="28"/>
    </row>
    <row r="91" spans="1:25" ht="50.15" customHeight="1">
      <c r="A91" s="630"/>
      <c r="B91" s="6"/>
      <c r="C91" s="32" t="s">
        <v>117</v>
      </c>
      <c r="D91" s="69" t="e">
        <f>(D89/VLOOKUP(A89,#REF!,4,0))*100</f>
        <v>#REF!</v>
      </c>
      <c r="E91" s="29"/>
      <c r="F91" s="577"/>
      <c r="G91" s="56"/>
      <c r="H91" s="577"/>
      <c r="I91" s="28"/>
      <c r="J91" s="28"/>
      <c r="K91" s="6"/>
      <c r="L91" s="32" t="s">
        <v>117</v>
      </c>
      <c r="M91" s="35"/>
      <c r="N91" s="170" t="e">
        <f>(N89/VLOOKUP(A89,#REF!,4,0))*100</f>
        <v>#REF!</v>
      </c>
      <c r="O91" s="577"/>
      <c r="P91" s="6"/>
      <c r="Q91" s="32" t="s">
        <v>117</v>
      </c>
      <c r="R91" s="69"/>
      <c r="S91" s="577"/>
      <c r="T91" s="28"/>
      <c r="U91" s="28"/>
      <c r="W91" s="28"/>
      <c r="Y91" s="27"/>
    </row>
    <row r="92" spans="1:25" s="15" customFormat="1" ht="70" customHeight="1">
      <c r="A92" s="629" t="s">
        <v>21</v>
      </c>
      <c r="C92" s="37" t="s">
        <v>115</v>
      </c>
      <c r="D92" s="93">
        <v>103</v>
      </c>
      <c r="E92" s="575"/>
      <c r="F92" s="8"/>
      <c r="G92" s="73"/>
      <c r="H92" s="575" t="s">
        <v>156</v>
      </c>
      <c r="I92" s="18"/>
      <c r="J92" s="18"/>
      <c r="L92" s="37" t="s">
        <v>115</v>
      </c>
      <c r="M92" s="8"/>
      <c r="N92" s="169"/>
      <c r="O92" s="22"/>
      <c r="Q92" s="37" t="s">
        <v>115</v>
      </c>
      <c r="R92" s="80">
        <v>235</v>
      </c>
      <c r="S92" s="575" t="s">
        <v>306</v>
      </c>
      <c r="T92" s="18"/>
      <c r="U92" s="18"/>
      <c r="W92" s="22"/>
      <c r="Y92" s="18"/>
    </row>
    <row r="93" spans="1:25" s="36" customFormat="1" ht="70" customHeight="1">
      <c r="A93" s="629"/>
      <c r="B93" s="3"/>
      <c r="C93" s="32" t="s">
        <v>116</v>
      </c>
      <c r="D93" s="81" t="e">
        <f>D92/VLOOKUP(A92,#REF!,7,0)</f>
        <v>#REF!</v>
      </c>
      <c r="E93" s="576"/>
      <c r="F93" s="38"/>
      <c r="G93" s="71"/>
      <c r="H93" s="576"/>
      <c r="I93" s="28"/>
      <c r="J93" s="28"/>
      <c r="K93" s="3"/>
      <c r="L93" s="32" t="s">
        <v>116</v>
      </c>
      <c r="M93" s="38"/>
      <c r="N93" s="170"/>
      <c r="O93" s="35"/>
      <c r="P93" s="3"/>
      <c r="Q93" s="32" t="s">
        <v>116</v>
      </c>
      <c r="R93" s="81" t="e">
        <f>R92/VLOOKUP(A92,#REF!,7,0)</f>
        <v>#REF!</v>
      </c>
      <c r="S93" s="576"/>
      <c r="T93" s="28"/>
      <c r="U93" s="28"/>
      <c r="V93" s="3"/>
      <c r="W93" s="35"/>
      <c r="X93" s="3"/>
      <c r="Y93" s="28"/>
    </row>
    <row r="94" spans="1:25" ht="70" customHeight="1">
      <c r="A94" s="630"/>
      <c r="B94" s="12"/>
      <c r="C94" s="31" t="s">
        <v>117</v>
      </c>
      <c r="D94" s="17" t="e">
        <f>(D92/VLOOKUP(A92,#REF!,4,0))*100</f>
        <v>#REF!</v>
      </c>
      <c r="E94" s="24"/>
      <c r="F94" s="21"/>
      <c r="G94" s="68"/>
      <c r="H94" s="577"/>
      <c r="I94" s="19"/>
      <c r="J94" s="19"/>
      <c r="K94" s="12"/>
      <c r="L94" s="31" t="s">
        <v>117</v>
      </c>
      <c r="M94" s="23"/>
      <c r="N94" s="168"/>
      <c r="O94" s="23"/>
      <c r="P94" s="12"/>
      <c r="Q94" s="31" t="s">
        <v>117</v>
      </c>
      <c r="R94" s="17" t="e">
        <f>(R92/VLOOKUP(A92,#REF!,4,0))*100</f>
        <v>#REF!</v>
      </c>
      <c r="S94" s="577"/>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29" t="s">
        <v>41</v>
      </c>
      <c r="C97" s="32" t="s">
        <v>115</v>
      </c>
      <c r="D97" s="56">
        <v>12</v>
      </c>
      <c r="E97" s="600">
        <v>3.5</v>
      </c>
      <c r="F97" s="600" t="s">
        <v>315</v>
      </c>
      <c r="G97" s="75">
        <f>12-3.5</f>
        <v>8.5</v>
      </c>
      <c r="H97" s="575" t="s">
        <v>291</v>
      </c>
      <c r="I97" s="28"/>
      <c r="J97" s="28"/>
      <c r="L97" s="32" t="s">
        <v>115</v>
      </c>
      <c r="M97" s="30"/>
      <c r="N97" s="178"/>
      <c r="O97" s="28"/>
      <c r="Q97" s="32" t="s">
        <v>115</v>
      </c>
      <c r="R97" s="95">
        <v>11</v>
      </c>
      <c r="S97" s="575" t="s">
        <v>339</v>
      </c>
      <c r="T97" s="28"/>
      <c r="U97" s="28"/>
      <c r="W97" s="28"/>
      <c r="Y97" s="28"/>
    </row>
    <row r="98" spans="1:25" ht="40" customHeight="1">
      <c r="A98" s="629"/>
      <c r="B98" s="36"/>
      <c r="C98" s="32" t="s">
        <v>116</v>
      </c>
      <c r="D98" s="69" t="e">
        <f>D97/VLOOKUP(A97,#REF!,7,0)</f>
        <v>#REF!</v>
      </c>
      <c r="E98" s="601"/>
      <c r="F98" s="601"/>
      <c r="G98" s="75"/>
      <c r="H98" s="576"/>
      <c r="I98" s="28"/>
      <c r="J98" s="28"/>
      <c r="K98" s="36"/>
      <c r="L98" s="32" t="s">
        <v>116</v>
      </c>
      <c r="M98" s="30"/>
      <c r="N98" s="178"/>
      <c r="O98" s="28"/>
      <c r="P98" s="36"/>
      <c r="Q98" s="32" t="s">
        <v>116</v>
      </c>
      <c r="R98" s="69" t="e">
        <f>R97/VLOOKUP(A97,#REF!,7,0)</f>
        <v>#REF!</v>
      </c>
      <c r="S98" s="576"/>
      <c r="T98" s="28"/>
      <c r="U98" s="28"/>
      <c r="V98" s="36"/>
      <c r="W98" s="28"/>
      <c r="X98" s="36"/>
      <c r="Y98" s="28"/>
    </row>
    <row r="99" spans="1:25" ht="60.65" customHeight="1">
      <c r="A99" s="630"/>
      <c r="B99" s="12"/>
      <c r="C99" s="31" t="s">
        <v>117</v>
      </c>
      <c r="D99" s="17" t="e">
        <f>(D97/VLOOKUP(A97,#REF!,4,0))*100</f>
        <v>#REF!</v>
      </c>
      <c r="E99" s="24"/>
      <c r="F99" s="602"/>
      <c r="G99" s="68"/>
      <c r="H99" s="577"/>
      <c r="I99" s="19"/>
      <c r="J99" s="19"/>
      <c r="K99" s="12"/>
      <c r="L99" s="31" t="s">
        <v>117</v>
      </c>
      <c r="M99" s="23"/>
      <c r="N99" s="168"/>
      <c r="O99" s="23"/>
      <c r="P99" s="12"/>
      <c r="Q99" s="31" t="s">
        <v>117</v>
      </c>
      <c r="R99" s="17" t="e">
        <f>(R97/VLOOKUP(A97,#REF!,4,0))*100</f>
        <v>#REF!</v>
      </c>
      <c r="S99" s="577"/>
      <c r="T99" s="19"/>
      <c r="U99" s="19"/>
      <c r="V99" s="1"/>
      <c r="W99" s="19"/>
      <c r="X99" s="1"/>
      <c r="Y99" s="26"/>
    </row>
    <row r="100" spans="1:25" ht="40" customHeight="1">
      <c r="A100" s="629" t="s">
        <v>27</v>
      </c>
      <c r="B100" s="15"/>
      <c r="C100" s="37" t="s">
        <v>115</v>
      </c>
      <c r="D100" s="53">
        <f>1.42+0.47</f>
        <v>1.89</v>
      </c>
      <c r="E100" s="9"/>
      <c r="F100" s="575" t="s">
        <v>316</v>
      </c>
      <c r="G100" s="73"/>
      <c r="H100" s="575" t="s">
        <v>240</v>
      </c>
      <c r="I100" s="18"/>
      <c r="J100" s="18"/>
      <c r="K100" s="15"/>
      <c r="L100" s="32" t="s">
        <v>115</v>
      </c>
      <c r="M100" s="8"/>
      <c r="N100" s="169">
        <v>0.7</v>
      </c>
      <c r="O100" s="590" t="s">
        <v>314</v>
      </c>
      <c r="P100" s="15"/>
      <c r="Q100" s="32" t="s">
        <v>115</v>
      </c>
      <c r="R100" s="49"/>
      <c r="S100" s="22"/>
      <c r="T100" s="22"/>
      <c r="U100" s="22"/>
      <c r="V100" s="15"/>
      <c r="W100" s="575" t="s">
        <v>78</v>
      </c>
      <c r="X100" s="15"/>
      <c r="Y100" s="18"/>
    </row>
    <row r="101" spans="1:25" s="6" customFormat="1" ht="40" customHeight="1">
      <c r="A101" s="629"/>
      <c r="B101" s="3"/>
      <c r="C101" s="32" t="s">
        <v>116</v>
      </c>
      <c r="D101" s="69" t="e">
        <f>D100/VLOOKUP(A100,#REF!,7,0)</f>
        <v>#REF!</v>
      </c>
      <c r="E101" s="39"/>
      <c r="F101" s="591"/>
      <c r="G101" s="71"/>
      <c r="H101" s="576"/>
      <c r="I101" s="28"/>
      <c r="J101" s="28"/>
      <c r="K101" s="3"/>
      <c r="L101" s="32" t="s">
        <v>116</v>
      </c>
      <c r="M101" s="38"/>
      <c r="N101" s="170" t="e">
        <f>N100/VLOOKUP(A100,#REF!,7,0)</f>
        <v>#REF!</v>
      </c>
      <c r="O101" s="591"/>
      <c r="P101" s="3"/>
      <c r="Q101" s="32" t="s">
        <v>116</v>
      </c>
      <c r="R101" s="69"/>
      <c r="S101" s="35"/>
      <c r="T101" s="35"/>
      <c r="U101" s="35"/>
      <c r="V101" s="3"/>
      <c r="W101" s="576"/>
      <c r="X101" s="3"/>
      <c r="Y101" s="28"/>
    </row>
    <row r="102" spans="1:25" ht="40" customHeight="1">
      <c r="A102" s="630"/>
      <c r="B102" s="12"/>
      <c r="C102" s="31" t="s">
        <v>117</v>
      </c>
      <c r="D102" s="17" t="e">
        <f>(D100/VLOOKUP(A100,#REF!,4,0))*100</f>
        <v>#REF!</v>
      </c>
      <c r="E102" s="24"/>
      <c r="F102" s="592"/>
      <c r="G102" s="68"/>
      <c r="H102" s="577"/>
      <c r="I102" s="19"/>
      <c r="J102" s="19"/>
      <c r="K102" s="12"/>
      <c r="L102" s="31" t="s">
        <v>117</v>
      </c>
      <c r="M102" s="23"/>
      <c r="N102" s="168" t="e">
        <f>(N100/VLOOKUP(A100,#REF!,4,0))*100</f>
        <v>#REF!</v>
      </c>
      <c r="O102" s="592"/>
      <c r="P102" s="12"/>
      <c r="Q102" s="31" t="s">
        <v>117</v>
      </c>
      <c r="R102" s="17"/>
      <c r="S102" s="19"/>
      <c r="T102" s="19"/>
      <c r="U102" s="19"/>
      <c r="V102" s="1"/>
      <c r="W102" s="577"/>
      <c r="X102" s="1"/>
      <c r="Y102" s="26"/>
    </row>
    <row r="103" spans="1:25" s="6" customFormat="1" ht="55" customHeight="1">
      <c r="A103" s="629" t="s">
        <v>42</v>
      </c>
      <c r="B103" s="16"/>
      <c r="C103" s="37" t="s">
        <v>115</v>
      </c>
      <c r="D103" s="127">
        <v>3750</v>
      </c>
      <c r="E103" s="22"/>
      <c r="F103" s="600" t="s">
        <v>292</v>
      </c>
      <c r="G103" s="73"/>
      <c r="H103" s="575" t="s">
        <v>243</v>
      </c>
      <c r="I103" s="18"/>
      <c r="J103" s="18"/>
      <c r="K103" s="16"/>
      <c r="L103" s="32" t="s">
        <v>115</v>
      </c>
      <c r="M103" s="22"/>
      <c r="N103" s="182">
        <v>1950</v>
      </c>
      <c r="O103" s="575" t="s">
        <v>301</v>
      </c>
      <c r="P103" s="16"/>
      <c r="Q103" s="32" t="s">
        <v>115</v>
      </c>
      <c r="R103" s="49"/>
      <c r="S103" s="22"/>
      <c r="T103" s="22"/>
      <c r="U103" s="22"/>
      <c r="V103" s="16"/>
      <c r="W103" s="575" t="s">
        <v>244</v>
      </c>
      <c r="X103" s="16"/>
      <c r="Y103" s="605" t="s">
        <v>50</v>
      </c>
    </row>
    <row r="104" spans="1:25" s="36" customFormat="1" ht="55" customHeight="1">
      <c r="A104" s="629"/>
      <c r="B104" s="6"/>
      <c r="C104" s="32" t="s">
        <v>116</v>
      </c>
      <c r="D104" s="69" t="e">
        <f>D103/VLOOKUP(A103,#REF!,7,0)</f>
        <v>#REF!</v>
      </c>
      <c r="E104" s="35"/>
      <c r="F104" s="601"/>
      <c r="G104" s="71"/>
      <c r="H104" s="576"/>
      <c r="I104" s="28"/>
      <c r="J104" s="28"/>
      <c r="K104" s="6"/>
      <c r="L104" s="32" t="s">
        <v>116</v>
      </c>
      <c r="M104" s="35"/>
      <c r="N104" s="170" t="e">
        <f>N103/VLOOKUP(A103,#REF!,7,0)</f>
        <v>#REF!</v>
      </c>
      <c r="O104" s="576"/>
      <c r="P104" s="6"/>
      <c r="Q104" s="32" t="s">
        <v>116</v>
      </c>
      <c r="R104" s="69"/>
      <c r="S104" s="35"/>
      <c r="T104" s="35"/>
      <c r="U104" s="35"/>
      <c r="V104" s="6"/>
      <c r="W104" s="576"/>
      <c r="X104" s="6"/>
      <c r="Y104" s="606"/>
    </row>
    <row r="105" spans="1:25" ht="55" customHeight="1">
      <c r="A105" s="630"/>
      <c r="B105" s="12"/>
      <c r="C105" s="31" t="s">
        <v>117</v>
      </c>
      <c r="D105" s="17" t="e">
        <f>(D103/VLOOKUP(A103,#REF!,4,0))*100</f>
        <v>#REF!</v>
      </c>
      <c r="E105" s="24"/>
      <c r="F105" s="602"/>
      <c r="G105" s="68"/>
      <c r="H105" s="577"/>
      <c r="I105" s="19"/>
      <c r="J105" s="19"/>
      <c r="K105" s="12"/>
      <c r="L105" s="31" t="s">
        <v>117</v>
      </c>
      <c r="M105" s="23"/>
      <c r="N105" s="168" t="e">
        <f>(N103/VLOOKUP(A103,#REF!,4,0))*100</f>
        <v>#REF!</v>
      </c>
      <c r="O105" s="577"/>
      <c r="P105" s="12"/>
      <c r="Q105" s="31" t="s">
        <v>117</v>
      </c>
      <c r="R105" s="17"/>
      <c r="S105" s="19"/>
      <c r="T105" s="19"/>
      <c r="U105" s="19"/>
      <c r="V105" s="1"/>
      <c r="W105" s="577"/>
      <c r="X105" s="1"/>
      <c r="Y105" s="607"/>
    </row>
    <row r="106" spans="1:25" s="6" customFormat="1" ht="50.15" customHeight="1">
      <c r="A106" s="629" t="s">
        <v>34</v>
      </c>
      <c r="B106" s="16"/>
      <c r="C106" s="37" t="s">
        <v>115</v>
      </c>
      <c r="D106" s="127" t="s">
        <v>84</v>
      </c>
      <c r="E106" s="22"/>
      <c r="F106" s="600" t="s">
        <v>317</v>
      </c>
      <c r="G106" s="73"/>
      <c r="H106" s="575" t="s">
        <v>319</v>
      </c>
      <c r="I106" s="18"/>
      <c r="J106" s="18"/>
      <c r="K106" s="16"/>
      <c r="L106" s="32" t="s">
        <v>115</v>
      </c>
      <c r="M106" s="22"/>
      <c r="N106" s="171">
        <v>320</v>
      </c>
      <c r="O106" s="608" t="s">
        <v>318</v>
      </c>
      <c r="P106" s="16"/>
      <c r="Q106" s="32" t="s">
        <v>115</v>
      </c>
      <c r="R106" s="49"/>
      <c r="S106" s="22"/>
      <c r="T106" s="22"/>
      <c r="U106" s="22"/>
      <c r="V106" s="16"/>
      <c r="W106" s="22"/>
      <c r="X106" s="16"/>
      <c r="Y106" s="18"/>
    </row>
    <row r="107" spans="1:25" s="6" customFormat="1" ht="50.15" customHeight="1">
      <c r="A107" s="629"/>
      <c r="C107" s="32" t="s">
        <v>116</v>
      </c>
      <c r="D107" s="69"/>
      <c r="E107" s="35"/>
      <c r="F107" s="601"/>
      <c r="G107" s="71"/>
      <c r="H107" s="576"/>
      <c r="I107" s="28"/>
      <c r="J107" s="28"/>
      <c r="L107" s="32" t="s">
        <v>116</v>
      </c>
      <c r="M107" s="35"/>
      <c r="N107" s="170" t="e">
        <f>N106/#REF!</f>
        <v>#REF!</v>
      </c>
      <c r="O107" s="576"/>
      <c r="Q107" s="32" t="s">
        <v>116</v>
      </c>
      <c r="R107" s="69"/>
      <c r="S107" s="35"/>
      <c r="T107" s="35"/>
      <c r="U107" s="35"/>
      <c r="W107" s="35"/>
      <c r="Y107" s="28"/>
    </row>
    <row r="108" spans="1:25" ht="50.15" customHeight="1">
      <c r="A108" s="630"/>
      <c r="B108" s="12"/>
      <c r="C108" s="31" t="s">
        <v>117</v>
      </c>
      <c r="D108" s="17"/>
      <c r="E108" s="24"/>
      <c r="F108" s="602"/>
      <c r="G108" s="68"/>
      <c r="H108" s="577"/>
      <c r="I108" s="19"/>
      <c r="J108" s="19"/>
      <c r="K108" s="12"/>
      <c r="L108" s="31" t="s">
        <v>117</v>
      </c>
      <c r="M108" s="23"/>
      <c r="N108" s="168" t="e">
        <f>N106/#REF!*100</f>
        <v>#REF!</v>
      </c>
      <c r="O108" s="577"/>
      <c r="P108" s="12"/>
      <c r="Q108" s="31" t="s">
        <v>117</v>
      </c>
      <c r="R108" s="17"/>
      <c r="S108" s="19"/>
      <c r="T108" s="19"/>
      <c r="U108" s="19"/>
      <c r="V108" s="1"/>
      <c r="W108" s="19"/>
      <c r="X108" s="1"/>
      <c r="Y108" s="26"/>
    </row>
    <row r="109" spans="1:25" s="36" customFormat="1" ht="95.15" customHeight="1">
      <c r="A109" s="629" t="s">
        <v>23</v>
      </c>
      <c r="B109" s="14"/>
      <c r="C109" s="37" t="s">
        <v>115</v>
      </c>
      <c r="D109" s="93">
        <v>100</v>
      </c>
      <c r="E109" s="575" t="s">
        <v>246</v>
      </c>
      <c r="F109" s="575" t="s">
        <v>320</v>
      </c>
      <c r="G109" s="74">
        <f>100-3.8</f>
        <v>96.2</v>
      </c>
      <c r="H109" s="575" t="s">
        <v>321</v>
      </c>
      <c r="I109" s="18"/>
      <c r="J109" s="18"/>
      <c r="K109" s="14"/>
      <c r="L109" s="32" t="s">
        <v>115</v>
      </c>
      <c r="M109" s="20"/>
      <c r="N109" s="175"/>
      <c r="O109" s="590" t="s">
        <v>322</v>
      </c>
      <c r="P109" s="14"/>
      <c r="Q109" s="32" t="s">
        <v>115</v>
      </c>
      <c r="R109" s="53"/>
      <c r="S109" s="575"/>
      <c r="T109" s="18"/>
      <c r="U109" s="18"/>
      <c r="V109" s="14"/>
      <c r="W109" s="18"/>
      <c r="X109" s="14"/>
      <c r="Y109" s="18"/>
    </row>
    <row r="110" spans="1:25" s="36" customFormat="1" ht="95.15" customHeight="1">
      <c r="A110" s="629"/>
      <c r="C110" s="32" t="s">
        <v>116</v>
      </c>
      <c r="D110" s="69" t="e">
        <f>D109/VLOOKUP(A109,#REF!,7,0)</f>
        <v>#REF!</v>
      </c>
      <c r="E110" s="576"/>
      <c r="F110" s="591"/>
      <c r="G110" s="75"/>
      <c r="H110" s="576"/>
      <c r="I110" s="28"/>
      <c r="J110" s="28"/>
      <c r="L110" s="32" t="s">
        <v>116</v>
      </c>
      <c r="M110" s="30"/>
      <c r="N110" s="178"/>
      <c r="O110" s="591"/>
      <c r="Q110" s="32" t="s">
        <v>116</v>
      </c>
      <c r="R110" s="56"/>
      <c r="S110" s="576"/>
      <c r="T110" s="28"/>
      <c r="U110" s="28"/>
      <c r="W110" s="28"/>
      <c r="Y110" s="28"/>
    </row>
    <row r="111" spans="1:25" ht="95.15" customHeight="1">
      <c r="A111" s="630"/>
      <c r="B111" s="12"/>
      <c r="C111" s="31" t="s">
        <v>117</v>
      </c>
      <c r="D111" s="17" t="e">
        <f>(D109/VLOOKUP(A109,#REF!,4,0))*100</f>
        <v>#REF!</v>
      </c>
      <c r="E111" s="24"/>
      <c r="F111" s="592"/>
      <c r="G111" s="68"/>
      <c r="H111" s="577"/>
      <c r="I111" s="19"/>
      <c r="J111" s="19"/>
      <c r="K111" s="12"/>
      <c r="L111" s="31" t="s">
        <v>117</v>
      </c>
      <c r="M111" s="23"/>
      <c r="N111" s="168"/>
      <c r="O111" s="592"/>
      <c r="P111" s="12"/>
      <c r="Q111" s="31" t="s">
        <v>117</v>
      </c>
      <c r="R111" s="17"/>
      <c r="S111" s="577"/>
      <c r="T111" s="19"/>
      <c r="U111" s="19"/>
      <c r="V111" s="1"/>
      <c r="W111" s="19"/>
      <c r="X111" s="1"/>
      <c r="Y111" s="26"/>
    </row>
    <row r="112" spans="1:25" s="10" customFormat="1" ht="55" customHeight="1">
      <c r="A112" s="629" t="s">
        <v>35</v>
      </c>
      <c r="B112" s="13"/>
      <c r="C112" s="37" t="s">
        <v>115</v>
      </c>
      <c r="D112" s="127">
        <v>1400</v>
      </c>
      <c r="E112" s="18"/>
      <c r="F112" s="575" t="s">
        <v>323</v>
      </c>
      <c r="G112" s="74"/>
      <c r="H112" s="575" t="s">
        <v>293</v>
      </c>
      <c r="I112" s="18"/>
      <c r="J112" s="18"/>
      <c r="K112" s="13"/>
      <c r="L112" s="37" t="s">
        <v>115</v>
      </c>
      <c r="M112" s="18"/>
      <c r="N112" s="175">
        <v>1900</v>
      </c>
      <c r="O112" s="575" t="s">
        <v>340</v>
      </c>
      <c r="P112" s="13"/>
      <c r="Q112" s="37" t="s">
        <v>115</v>
      </c>
      <c r="R112" s="53"/>
      <c r="S112" s="587"/>
      <c r="T112" s="74"/>
      <c r="U112" s="74"/>
      <c r="V112" s="13"/>
      <c r="W112" s="18"/>
      <c r="X112" s="13"/>
      <c r="Y112" s="18"/>
    </row>
    <row r="113" spans="1:25" s="10" customFormat="1" ht="55" customHeight="1">
      <c r="A113" s="629"/>
      <c r="C113" s="32" t="s">
        <v>116</v>
      </c>
      <c r="D113" s="69" t="e">
        <f>D112/VLOOKUP(A112,#REF!,7,0)</f>
        <v>#REF!</v>
      </c>
      <c r="E113" s="28"/>
      <c r="F113" s="576"/>
      <c r="G113" s="75"/>
      <c r="H113" s="576"/>
      <c r="I113" s="28"/>
      <c r="J113" s="28"/>
      <c r="L113" s="32" t="s">
        <v>116</v>
      </c>
      <c r="M113" s="28"/>
      <c r="N113" s="170" t="e">
        <f>N112/VLOOKUP(A112,#REF!,7,0)</f>
        <v>#REF!</v>
      </c>
      <c r="O113" s="576"/>
      <c r="Q113" s="32" t="s">
        <v>116</v>
      </c>
      <c r="R113" s="56"/>
      <c r="S113" s="588"/>
      <c r="T113" s="75"/>
      <c r="U113" s="75"/>
      <c r="W113" s="28"/>
      <c r="Y113" s="28"/>
    </row>
    <row r="114" spans="1:25" ht="55" customHeight="1">
      <c r="A114" s="630"/>
      <c r="B114" s="12"/>
      <c r="C114" s="31" t="s">
        <v>117</v>
      </c>
      <c r="D114" s="17" t="e">
        <f>(D112/VLOOKUP(A112,#REF!,4,0))*100</f>
        <v>#REF!</v>
      </c>
      <c r="E114" s="24"/>
      <c r="F114" s="577"/>
      <c r="G114" s="68"/>
      <c r="H114" s="577"/>
      <c r="I114" s="19"/>
      <c r="J114" s="19"/>
      <c r="K114" s="12"/>
      <c r="L114" s="31" t="s">
        <v>95</v>
      </c>
      <c r="M114" s="23"/>
      <c r="N114" s="168" t="e">
        <f>(N112/VLOOKUP(A112,#REF!,4,0))*100</f>
        <v>#REF!</v>
      </c>
      <c r="O114" s="577"/>
      <c r="P114" s="12"/>
      <c r="Q114" s="31" t="s">
        <v>95</v>
      </c>
      <c r="R114" s="17"/>
      <c r="S114" s="589"/>
      <c r="T114" s="76"/>
      <c r="U114" s="76"/>
      <c r="V114" s="1"/>
      <c r="W114" s="19"/>
      <c r="X114" s="1"/>
      <c r="Y114" s="26"/>
    </row>
    <row r="115" spans="1:25" ht="46.5" customHeight="1">
      <c r="A115" s="629" t="s">
        <v>92</v>
      </c>
      <c r="B115" s="13"/>
      <c r="C115" s="37" t="s">
        <v>115</v>
      </c>
      <c r="D115" s="53">
        <v>1.1000000000000001</v>
      </c>
      <c r="E115" s="18">
        <v>0.20799999999999999</v>
      </c>
      <c r="F115" s="575" t="s">
        <v>324</v>
      </c>
      <c r="G115" s="74">
        <f>4-2.9</f>
        <v>1.1000000000000001</v>
      </c>
      <c r="H115" s="575" t="s">
        <v>124</v>
      </c>
      <c r="I115" s="18"/>
      <c r="J115" s="18"/>
      <c r="K115" s="13"/>
      <c r="L115" s="32" t="s">
        <v>115</v>
      </c>
      <c r="M115" s="18"/>
      <c r="N115" s="177">
        <v>2.9</v>
      </c>
      <c r="O115" s="575" t="s">
        <v>302</v>
      </c>
      <c r="P115" s="13"/>
      <c r="Q115" s="32" t="s">
        <v>115</v>
      </c>
      <c r="R115" s="53"/>
      <c r="S115" s="575"/>
      <c r="T115" s="18"/>
      <c r="U115" s="18"/>
      <c r="V115" s="13"/>
      <c r="W115" s="18"/>
      <c r="X115" s="13"/>
      <c r="Y115" s="18"/>
    </row>
    <row r="116" spans="1:25" ht="42.65" customHeight="1">
      <c r="A116" s="629"/>
      <c r="B116" s="10"/>
      <c r="C116" s="32" t="s">
        <v>116</v>
      </c>
      <c r="D116" s="69" t="e">
        <f>D115/VLOOKUP(A115,#REF!,7,0)</f>
        <v>#REF!</v>
      </c>
      <c r="E116" s="28"/>
      <c r="F116" s="576"/>
      <c r="G116" s="75"/>
      <c r="H116" s="576"/>
      <c r="I116" s="28"/>
      <c r="J116" s="28"/>
      <c r="K116" s="10"/>
      <c r="L116" s="32" t="s">
        <v>116</v>
      </c>
      <c r="M116" s="28"/>
      <c r="N116" s="170" t="e">
        <f>N115/VLOOKUP(A115,#REF!,7,0)</f>
        <v>#REF!</v>
      </c>
      <c r="O116" s="576"/>
      <c r="P116" s="10"/>
      <c r="Q116" s="32" t="s">
        <v>116</v>
      </c>
      <c r="R116" s="56"/>
      <c r="S116" s="576"/>
      <c r="T116" s="28"/>
      <c r="U116" s="28"/>
      <c r="V116" s="10"/>
      <c r="W116" s="28"/>
      <c r="X116" s="10"/>
      <c r="Y116" s="28"/>
    </row>
    <row r="117" spans="1:25" ht="38">
      <c r="A117" s="630"/>
      <c r="B117" s="12"/>
      <c r="C117" s="31" t="s">
        <v>117</v>
      </c>
      <c r="D117" s="17" t="e">
        <f>(D115/VLOOKUP(A115,#REF!,4,0))*100</f>
        <v>#REF!</v>
      </c>
      <c r="E117" s="24"/>
      <c r="F117" s="577"/>
      <c r="G117" s="68"/>
      <c r="H117" s="577"/>
      <c r="I117" s="19"/>
      <c r="J117" s="19"/>
      <c r="K117" s="12"/>
      <c r="L117" s="31" t="s">
        <v>117</v>
      </c>
      <c r="M117" s="23"/>
      <c r="N117" s="168" t="e">
        <f>(N115/VLOOKUP(A115,#REF!,4,0))*100</f>
        <v>#REF!</v>
      </c>
      <c r="O117" s="577"/>
      <c r="P117" s="12"/>
      <c r="Q117" s="31" t="s">
        <v>117</v>
      </c>
      <c r="R117" s="17"/>
      <c r="S117" s="577"/>
      <c r="T117" s="19"/>
      <c r="U117" s="19"/>
      <c r="V117" s="1"/>
      <c r="W117" s="19"/>
      <c r="X117" s="1"/>
      <c r="Y117" s="26"/>
    </row>
    <row r="118" spans="1:25" s="10" customFormat="1" ht="62.5" customHeight="1">
      <c r="A118" s="629" t="s">
        <v>22</v>
      </c>
      <c r="B118" s="13"/>
      <c r="C118" s="37" t="s">
        <v>115</v>
      </c>
      <c r="D118" s="93">
        <v>68</v>
      </c>
      <c r="E118" s="575" t="s">
        <v>253</v>
      </c>
      <c r="F118" s="575" t="s">
        <v>325</v>
      </c>
      <c r="G118" s="74" t="s">
        <v>254</v>
      </c>
      <c r="H118" s="575" t="s">
        <v>255</v>
      </c>
      <c r="I118" s="18"/>
      <c r="J118" s="18"/>
      <c r="K118" s="13"/>
      <c r="L118" s="32" t="s">
        <v>115</v>
      </c>
      <c r="M118" s="18"/>
      <c r="N118" s="177"/>
      <c r="O118" s="575"/>
      <c r="P118" s="13"/>
      <c r="Q118" s="32" t="s">
        <v>115</v>
      </c>
      <c r="R118" s="94">
        <v>68</v>
      </c>
      <c r="S118" s="575" t="s">
        <v>341</v>
      </c>
      <c r="T118" s="18"/>
      <c r="U118" s="18"/>
      <c r="V118" s="13"/>
      <c r="W118" s="138" t="s">
        <v>189</v>
      </c>
      <c r="X118" s="13"/>
      <c r="Y118" s="137" t="s">
        <v>188</v>
      </c>
    </row>
    <row r="119" spans="1:25" s="10" customFormat="1" ht="50.15" customHeight="1">
      <c r="A119" s="629"/>
      <c r="C119" s="32" t="s">
        <v>116</v>
      </c>
      <c r="D119" s="81" t="e">
        <f>D118/VLOOKUP(A118,#REF!,7,0)</f>
        <v>#REF!</v>
      </c>
      <c r="E119" s="576"/>
      <c r="F119" s="576"/>
      <c r="G119" s="75"/>
      <c r="H119" s="576"/>
      <c r="I119" s="28"/>
      <c r="J119" s="28"/>
      <c r="L119" s="32" t="s">
        <v>116</v>
      </c>
      <c r="M119" s="28"/>
      <c r="N119" s="178"/>
      <c r="O119" s="576"/>
      <c r="Q119" s="32" t="s">
        <v>116</v>
      </c>
      <c r="R119" s="185" t="e">
        <f>R118/VLOOKUP(A118,#REF!,7,0)</f>
        <v>#REF!</v>
      </c>
      <c r="S119" s="576"/>
      <c r="T119" s="28"/>
      <c r="U119" s="28"/>
      <c r="W119" s="28"/>
      <c r="Y119" s="28"/>
    </row>
    <row r="120" spans="1:25" ht="38">
      <c r="A120" s="630"/>
      <c r="B120" s="12"/>
      <c r="C120" s="31" t="s">
        <v>117</v>
      </c>
      <c r="D120" s="17" t="e">
        <f>(D118/VLOOKUP(A118,#REF!,4,0))*100</f>
        <v>#REF!</v>
      </c>
      <c r="E120" s="24"/>
      <c r="F120" s="577"/>
      <c r="G120" s="68"/>
      <c r="H120" s="577"/>
      <c r="I120" s="19"/>
      <c r="J120" s="19"/>
      <c r="K120" s="12"/>
      <c r="L120" s="31" t="s">
        <v>117</v>
      </c>
      <c r="M120" s="23"/>
      <c r="N120" s="168"/>
      <c r="O120" s="577"/>
      <c r="P120" s="12"/>
      <c r="Q120" s="31" t="s">
        <v>117</v>
      </c>
      <c r="R120" s="65" t="e">
        <f>(R118/VLOOKUP(A118,#REF!,4,0))*100</f>
        <v>#REF!</v>
      </c>
      <c r="S120" s="577"/>
      <c r="T120" s="19"/>
      <c r="U120" s="19"/>
      <c r="V120" s="1"/>
      <c r="W120" s="19"/>
      <c r="X120" s="1"/>
      <c r="Y120" s="26"/>
    </row>
    <row r="121" spans="1:25" s="10" customFormat="1" ht="58" customHeight="1">
      <c r="A121" s="629" t="s">
        <v>30</v>
      </c>
      <c r="B121" s="13"/>
      <c r="C121" s="37" t="s">
        <v>115</v>
      </c>
      <c r="D121" s="53">
        <v>2.0499999999999998</v>
      </c>
      <c r="E121" s="575" t="s">
        <v>80</v>
      </c>
      <c r="F121" s="575" t="s">
        <v>326</v>
      </c>
      <c r="G121" s="74">
        <f>2.05-0.33</f>
        <v>1.7199999999999998</v>
      </c>
      <c r="H121" s="575" t="s">
        <v>131</v>
      </c>
      <c r="I121" s="18"/>
      <c r="J121" s="18"/>
      <c r="K121" s="13"/>
      <c r="L121" s="32" t="s">
        <v>115</v>
      </c>
      <c r="M121" s="18"/>
      <c r="N121" s="177">
        <f>0.3+0.04+0.5+0.1+0.132</f>
        <v>1.0720000000000001</v>
      </c>
      <c r="O121" s="575" t="s">
        <v>307</v>
      </c>
      <c r="P121" s="13"/>
      <c r="Q121" s="32" t="s">
        <v>115</v>
      </c>
      <c r="R121" s="53">
        <v>0.5</v>
      </c>
      <c r="S121" s="575" t="s">
        <v>342</v>
      </c>
      <c r="T121" s="18"/>
      <c r="U121" s="18"/>
      <c r="V121" s="13"/>
      <c r="W121" s="575" t="s">
        <v>83</v>
      </c>
      <c r="X121" s="13"/>
      <c r="Y121" s="18"/>
    </row>
    <row r="122" spans="1:25" s="10" customFormat="1" ht="40" customHeight="1">
      <c r="A122" s="629"/>
      <c r="C122" s="32" t="s">
        <v>116</v>
      </c>
      <c r="D122" s="69" t="e">
        <f>D121/VLOOKUP(A121,#REF!,7,0)</f>
        <v>#REF!</v>
      </c>
      <c r="E122" s="576"/>
      <c r="F122" s="576"/>
      <c r="G122" s="75"/>
      <c r="H122" s="576"/>
      <c r="I122" s="28"/>
      <c r="J122" s="28"/>
      <c r="L122" s="32" t="s">
        <v>116</v>
      </c>
      <c r="M122" s="28"/>
      <c r="N122" s="170" t="e">
        <f>N121/VLOOKUP(A121,#REF!,7,0)</f>
        <v>#REF!</v>
      </c>
      <c r="O122" s="576"/>
      <c r="Q122" s="32" t="s">
        <v>116</v>
      </c>
      <c r="R122" s="69" t="e">
        <f>R121/VLOOKUP(A121,#REF!,7,0)</f>
        <v>#REF!</v>
      </c>
      <c r="S122" s="576"/>
      <c r="T122" s="28"/>
      <c r="U122" s="28"/>
      <c r="W122" s="576"/>
      <c r="Y122" s="28"/>
    </row>
    <row r="123" spans="1:25" ht="93.65" customHeight="1">
      <c r="A123" s="630"/>
      <c r="B123" s="12"/>
      <c r="C123" s="31" t="s">
        <v>117</v>
      </c>
      <c r="D123" s="17" t="e">
        <f>(D121/VLOOKUP(A121,#REF!,4,0))*100</f>
        <v>#REF!</v>
      </c>
      <c r="E123" s="24"/>
      <c r="F123" s="577"/>
      <c r="G123" s="68"/>
      <c r="H123" s="577"/>
      <c r="I123" s="19"/>
      <c r="J123" s="19"/>
      <c r="K123" s="12"/>
      <c r="L123" s="31" t="s">
        <v>117</v>
      </c>
      <c r="M123" s="23"/>
      <c r="N123" s="168" t="e">
        <f>(N121/VLOOKUP(A121,#REF!,4,0))*100</f>
        <v>#REF!</v>
      </c>
      <c r="O123" s="577"/>
      <c r="P123" s="12"/>
      <c r="Q123" s="31" t="s">
        <v>117</v>
      </c>
      <c r="R123" s="17" t="e">
        <f>(R121/VLOOKUP(A121,#REF!,4,0))*100</f>
        <v>#REF!</v>
      </c>
      <c r="S123" s="577"/>
      <c r="T123" s="19"/>
      <c r="U123" s="19"/>
      <c r="V123" s="1"/>
      <c r="W123" s="577"/>
      <c r="X123" s="1"/>
      <c r="Y123" s="26"/>
    </row>
    <row r="124" spans="1:25" s="10" customFormat="1" ht="57" customHeight="1">
      <c r="A124" s="629" t="s">
        <v>56</v>
      </c>
      <c r="B124" s="13"/>
      <c r="C124" s="37" t="s">
        <v>115</v>
      </c>
      <c r="D124" s="93">
        <v>26.5</v>
      </c>
      <c r="E124" s="575"/>
      <c r="F124" s="575" t="s">
        <v>327</v>
      </c>
      <c r="G124" s="74"/>
      <c r="H124" s="575" t="s">
        <v>294</v>
      </c>
      <c r="I124" s="18"/>
      <c r="J124" s="18"/>
      <c r="K124" s="13"/>
      <c r="L124" s="32" t="s">
        <v>115</v>
      </c>
      <c r="M124" s="18"/>
      <c r="N124" s="177"/>
      <c r="O124" s="575" t="s">
        <v>308</v>
      </c>
      <c r="P124" s="13"/>
      <c r="Q124" s="32" t="s">
        <v>115</v>
      </c>
      <c r="R124" s="53"/>
      <c r="S124" s="575" t="s">
        <v>343</v>
      </c>
      <c r="T124" s="18"/>
      <c r="U124" s="18"/>
      <c r="V124" s="13"/>
      <c r="W124" s="18"/>
      <c r="X124" s="13"/>
      <c r="Y124" s="25" t="s">
        <v>51</v>
      </c>
    </row>
    <row r="125" spans="1:25" s="10" customFormat="1" ht="36.65" customHeight="1">
      <c r="A125" s="629"/>
      <c r="C125" s="32" t="s">
        <v>116</v>
      </c>
      <c r="D125" s="69" t="e">
        <f>D124/VLOOKUP(A124,#REF!,7,0)</f>
        <v>#REF!</v>
      </c>
      <c r="E125" s="576"/>
      <c r="F125" s="576"/>
      <c r="G125" s="75"/>
      <c r="H125" s="576"/>
      <c r="I125" s="28"/>
      <c r="J125" s="28"/>
      <c r="L125" s="32" t="s">
        <v>116</v>
      </c>
      <c r="M125" s="28"/>
      <c r="N125" s="178"/>
      <c r="O125" s="576"/>
      <c r="Q125" s="32" t="s">
        <v>116</v>
      </c>
      <c r="R125" s="56"/>
      <c r="S125" s="576"/>
      <c r="T125" s="28"/>
      <c r="U125" s="28"/>
      <c r="W125" s="28"/>
      <c r="Y125" s="27" t="s">
        <v>52</v>
      </c>
    </row>
    <row r="126" spans="1:25" ht="75.650000000000006" customHeight="1">
      <c r="A126" s="630"/>
      <c r="B126" s="12"/>
      <c r="C126" s="31" t="s">
        <v>117</v>
      </c>
      <c r="D126" s="17" t="e">
        <f>(D124/VLOOKUP(A124,#REF!,4,0))*100</f>
        <v>#REF!</v>
      </c>
      <c r="E126" s="24"/>
      <c r="F126" s="577"/>
      <c r="G126" s="68"/>
      <c r="H126" s="577"/>
      <c r="I126" s="19"/>
      <c r="J126" s="19"/>
      <c r="K126" s="12"/>
      <c r="L126" s="31" t="s">
        <v>117</v>
      </c>
      <c r="M126" s="23"/>
      <c r="N126" s="168"/>
      <c r="O126" s="577"/>
      <c r="P126" s="12"/>
      <c r="Q126" s="31" t="s">
        <v>117</v>
      </c>
      <c r="R126" s="17"/>
      <c r="S126" s="577"/>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29" t="s">
        <v>37</v>
      </c>
      <c r="B129" s="13"/>
      <c r="C129" s="37" t="s">
        <v>115</v>
      </c>
      <c r="D129" s="93">
        <v>53.95</v>
      </c>
      <c r="E129" s="18" t="s">
        <v>86</v>
      </c>
      <c r="F129" s="575" t="s">
        <v>328</v>
      </c>
      <c r="G129" s="74" t="s">
        <v>87</v>
      </c>
      <c r="H129" s="575" t="s">
        <v>98</v>
      </c>
      <c r="I129" s="18"/>
      <c r="J129" s="18"/>
      <c r="K129" s="13"/>
      <c r="L129" s="32" t="s">
        <v>115</v>
      </c>
      <c r="M129" s="18"/>
      <c r="N129" s="175">
        <v>50</v>
      </c>
      <c r="O129" s="575" t="s">
        <v>344</v>
      </c>
      <c r="P129" s="13"/>
      <c r="Q129" s="32" t="s">
        <v>115</v>
      </c>
      <c r="R129" s="53"/>
      <c r="S129" s="18"/>
      <c r="T129" s="18"/>
      <c r="U129" s="18"/>
      <c r="V129" s="13"/>
      <c r="W129" s="18"/>
      <c r="X129" s="13"/>
      <c r="Y129" s="18"/>
    </row>
    <row r="130" spans="1:25" s="36" customFormat="1" ht="50.15" customHeight="1">
      <c r="A130" s="629"/>
      <c r="B130" s="10"/>
      <c r="C130" s="32" t="s">
        <v>116</v>
      </c>
      <c r="D130" s="69" t="e">
        <f>D129/VLOOKUP(A129,#REF!,7,0)</f>
        <v>#REF!</v>
      </c>
      <c r="E130" s="28"/>
      <c r="F130" s="576"/>
      <c r="G130" s="75"/>
      <c r="H130" s="576"/>
      <c r="I130" s="28"/>
      <c r="J130" s="28"/>
      <c r="K130" s="10"/>
      <c r="L130" s="32" t="s">
        <v>116</v>
      </c>
      <c r="M130" s="28"/>
      <c r="N130" s="170" t="e">
        <f>N129/VLOOKUP(A129,#REF!,7,0)</f>
        <v>#REF!</v>
      </c>
      <c r="O130" s="576"/>
      <c r="P130" s="10"/>
      <c r="Q130" s="32" t="s">
        <v>116</v>
      </c>
      <c r="R130" s="56"/>
      <c r="S130" s="28"/>
      <c r="T130" s="28"/>
      <c r="U130" s="28"/>
      <c r="V130" s="10"/>
      <c r="W130" s="28"/>
      <c r="X130" s="10"/>
      <c r="Y130" s="28"/>
    </row>
    <row r="131" spans="1:25" ht="50.15" customHeight="1">
      <c r="A131" s="630"/>
      <c r="B131" s="6"/>
      <c r="C131" s="32" t="s">
        <v>117</v>
      </c>
      <c r="D131" s="69" t="e">
        <f>(D129/VLOOKUP(A129,#REF!,4,0))*100</f>
        <v>#REF!</v>
      </c>
      <c r="E131" s="29"/>
      <c r="F131" s="577"/>
      <c r="G131" s="56"/>
      <c r="H131" s="577"/>
      <c r="I131" s="28"/>
      <c r="J131" s="28"/>
      <c r="K131" s="6"/>
      <c r="L131" s="32" t="s">
        <v>117</v>
      </c>
      <c r="M131" s="35"/>
      <c r="N131" s="170" t="e">
        <f>(N129/VLOOKUP(A129,#REF!,4,0))*100</f>
        <v>#REF!</v>
      </c>
      <c r="O131" s="577"/>
      <c r="P131" s="6"/>
      <c r="Q131" s="32" t="s">
        <v>117</v>
      </c>
      <c r="R131" s="69"/>
      <c r="S131" s="28"/>
      <c r="T131" s="28"/>
      <c r="U131" s="28"/>
      <c r="W131" s="28"/>
      <c r="Y131" s="27"/>
    </row>
    <row r="132" spans="1:25" s="13" customFormat="1" ht="40" customHeight="1">
      <c r="A132" s="629" t="s">
        <v>38</v>
      </c>
      <c r="B132" s="158"/>
      <c r="C132" s="37" t="s">
        <v>115</v>
      </c>
      <c r="D132" s="93">
        <v>5.8</v>
      </c>
      <c r="E132" s="20" t="s">
        <v>53</v>
      </c>
      <c r="F132" s="600" t="s">
        <v>329</v>
      </c>
      <c r="G132" s="74"/>
      <c r="H132" s="575"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29"/>
      <c r="B133" s="6"/>
      <c r="C133" s="32" t="s">
        <v>116</v>
      </c>
      <c r="D133" s="69" t="e">
        <f>D132/#REF!</f>
        <v>#REF!</v>
      </c>
      <c r="E133" s="34"/>
      <c r="F133" s="601"/>
      <c r="G133" s="56"/>
      <c r="H133" s="576"/>
      <c r="I133" s="28"/>
      <c r="J133" s="28"/>
      <c r="K133" s="6"/>
      <c r="L133" s="32" t="s">
        <v>116</v>
      </c>
      <c r="M133" s="35"/>
      <c r="N133" s="170"/>
      <c r="O133" s="28"/>
      <c r="P133" s="6"/>
      <c r="Q133" s="32" t="s">
        <v>116</v>
      </c>
      <c r="R133" s="69"/>
      <c r="S133" s="28"/>
      <c r="T133" s="28"/>
      <c r="U133" s="28"/>
      <c r="W133" s="28"/>
      <c r="Y133" s="27"/>
    </row>
    <row r="134" spans="1:25" ht="40" customHeight="1">
      <c r="A134" s="630"/>
      <c r="B134" s="12"/>
      <c r="C134" s="31" t="s">
        <v>117</v>
      </c>
      <c r="D134" s="17" t="e">
        <f>D132/#REF!*100</f>
        <v>#REF!</v>
      </c>
      <c r="E134" s="11"/>
      <c r="F134" s="602"/>
      <c r="G134" s="68"/>
      <c r="H134" s="577"/>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29" t="s">
        <v>29</v>
      </c>
      <c r="B135" s="13"/>
      <c r="C135" s="37" t="s">
        <v>115</v>
      </c>
      <c r="D135" s="603" t="s">
        <v>84</v>
      </c>
      <c r="E135" s="18" t="s">
        <v>88</v>
      </c>
      <c r="F135" s="575" t="s">
        <v>330</v>
      </c>
      <c r="G135" s="74"/>
      <c r="H135" s="575"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29"/>
      <c r="B136" s="10"/>
      <c r="C136" s="32" t="s">
        <v>116</v>
      </c>
      <c r="D136" s="604"/>
      <c r="E136" s="28"/>
      <c r="F136" s="576"/>
      <c r="G136" s="75"/>
      <c r="H136" s="576"/>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30"/>
      <c r="B137" s="12"/>
      <c r="C137" s="31" t="s">
        <v>117</v>
      </c>
      <c r="D137" s="17"/>
      <c r="E137" s="24"/>
      <c r="F137" s="577"/>
      <c r="G137" s="68"/>
      <c r="H137" s="577"/>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29" t="s">
        <v>93</v>
      </c>
      <c r="B138" s="14"/>
      <c r="C138" s="37" t="s">
        <v>115</v>
      </c>
      <c r="D138" s="93">
        <v>761</v>
      </c>
      <c r="E138" s="600">
        <v>70</v>
      </c>
      <c r="F138" s="575" t="s">
        <v>331</v>
      </c>
      <c r="G138" s="74"/>
      <c r="H138" s="575" t="s">
        <v>261</v>
      </c>
      <c r="I138" s="18"/>
      <c r="J138" s="18"/>
      <c r="K138" s="14"/>
      <c r="L138" s="32" t="s">
        <v>115</v>
      </c>
      <c r="M138" s="20"/>
      <c r="N138" s="183"/>
      <c r="O138" s="581"/>
      <c r="P138" s="14"/>
      <c r="Q138" s="32" t="s">
        <v>115</v>
      </c>
      <c r="R138" s="53"/>
      <c r="S138" s="575"/>
      <c r="T138" s="18"/>
      <c r="U138" s="18"/>
      <c r="V138" s="14"/>
      <c r="W138" s="18"/>
      <c r="X138" s="14"/>
      <c r="Y138" s="18"/>
    </row>
    <row r="139" spans="1:25" ht="65.150000000000006" customHeight="1">
      <c r="A139" s="629"/>
      <c r="B139" s="36"/>
      <c r="C139" s="32" t="s">
        <v>116</v>
      </c>
      <c r="D139" s="69" t="e">
        <f>D138/#REF!</f>
        <v>#REF!</v>
      </c>
      <c r="E139" s="601"/>
      <c r="F139" s="576"/>
      <c r="G139" s="75"/>
      <c r="H139" s="576"/>
      <c r="I139" s="28"/>
      <c r="J139" s="28"/>
      <c r="K139" s="36"/>
      <c r="L139" s="32" t="s">
        <v>116</v>
      </c>
      <c r="M139" s="30"/>
      <c r="N139" s="170"/>
      <c r="O139" s="582"/>
      <c r="P139" s="36"/>
      <c r="Q139" s="32" t="s">
        <v>116</v>
      </c>
      <c r="R139" s="56"/>
      <c r="S139" s="576"/>
      <c r="T139" s="28"/>
      <c r="U139" s="28"/>
      <c r="V139" s="36"/>
      <c r="W139" s="28"/>
      <c r="X139" s="36"/>
      <c r="Y139" s="28"/>
    </row>
    <row r="140" spans="1:25" ht="65.150000000000006" customHeight="1">
      <c r="A140" s="630"/>
      <c r="B140" s="12"/>
      <c r="C140" s="31" t="s">
        <v>117</v>
      </c>
      <c r="D140" s="17" t="e">
        <f>D138/#REF!*100</f>
        <v>#REF!</v>
      </c>
      <c r="E140" s="24"/>
      <c r="F140" s="577"/>
      <c r="G140" s="68"/>
      <c r="H140" s="577"/>
      <c r="I140" s="19"/>
      <c r="J140" s="19"/>
      <c r="K140" s="12"/>
      <c r="L140" s="31" t="s">
        <v>117</v>
      </c>
      <c r="M140" s="23"/>
      <c r="N140" s="168"/>
      <c r="O140" s="583"/>
      <c r="P140" s="12"/>
      <c r="Q140" s="31" t="s">
        <v>117</v>
      </c>
      <c r="R140" s="17"/>
      <c r="S140" s="577"/>
      <c r="T140" s="19"/>
      <c r="U140" s="19"/>
      <c r="V140" s="1"/>
      <c r="W140" s="19"/>
      <c r="X140" s="1"/>
      <c r="Y140" s="26"/>
    </row>
    <row r="141" spans="1:25" ht="90" customHeight="1">
      <c r="A141" s="629" t="s">
        <v>33</v>
      </c>
      <c r="B141" s="14"/>
      <c r="C141" s="37" t="s">
        <v>115</v>
      </c>
      <c r="D141" s="127">
        <f>36000+61700</f>
        <v>97700</v>
      </c>
      <c r="E141" s="20" t="s">
        <v>89</v>
      </c>
      <c r="F141" s="600" t="s">
        <v>332</v>
      </c>
      <c r="G141" s="74">
        <f>80000-1800</f>
        <v>78200</v>
      </c>
      <c r="H141" s="575" t="s">
        <v>299</v>
      </c>
      <c r="I141" s="18"/>
      <c r="J141" s="18"/>
      <c r="K141" s="14"/>
      <c r="L141" s="32" t="s">
        <v>115</v>
      </c>
      <c r="M141" s="20"/>
      <c r="N141" s="177"/>
      <c r="O141" s="18"/>
      <c r="P141" s="14"/>
      <c r="Q141" s="32" t="s">
        <v>115</v>
      </c>
      <c r="R141" s="53"/>
      <c r="S141" s="18"/>
      <c r="T141" s="18"/>
      <c r="U141" s="18"/>
      <c r="V141" s="14"/>
      <c r="W141" s="575" t="s">
        <v>295</v>
      </c>
      <c r="X141" s="14"/>
      <c r="Y141" s="18"/>
    </row>
    <row r="142" spans="1:25" ht="90" customHeight="1">
      <c r="A142" s="629"/>
      <c r="B142" s="6"/>
      <c r="C142" s="32" t="s">
        <v>116</v>
      </c>
      <c r="D142" s="69" t="e">
        <f>D141/VLOOKUP(A141,#REF!,7,0)</f>
        <v>#REF!</v>
      </c>
      <c r="E142" s="34"/>
      <c r="F142" s="601"/>
      <c r="G142" s="56"/>
      <c r="H142" s="576"/>
      <c r="I142" s="28"/>
      <c r="J142" s="28"/>
      <c r="K142" s="6"/>
      <c r="L142" s="32" t="s">
        <v>116</v>
      </c>
      <c r="M142" s="35"/>
      <c r="N142" s="170"/>
      <c r="O142" s="28"/>
      <c r="P142" s="6"/>
      <c r="Q142" s="32" t="s">
        <v>116</v>
      </c>
      <c r="R142" s="69"/>
      <c r="S142" s="28"/>
      <c r="T142" s="28"/>
      <c r="U142" s="28"/>
      <c r="W142" s="576"/>
      <c r="Y142" s="27"/>
    </row>
    <row r="143" spans="1:25" ht="90" customHeight="1">
      <c r="A143" s="630"/>
      <c r="B143" s="12"/>
      <c r="C143" s="31" t="s">
        <v>117</v>
      </c>
      <c r="D143" s="17" t="e">
        <f>(D141/VLOOKUP(A141,#REF!,4,0))*100</f>
        <v>#REF!</v>
      </c>
      <c r="E143" s="11"/>
      <c r="F143" s="602"/>
      <c r="G143" s="68"/>
      <c r="H143" s="577"/>
      <c r="I143" s="19"/>
      <c r="J143" s="19"/>
      <c r="K143" s="12"/>
      <c r="L143" s="31" t="s">
        <v>117</v>
      </c>
      <c r="M143" s="23"/>
      <c r="N143" s="168"/>
      <c r="O143" s="19"/>
      <c r="P143" s="12"/>
      <c r="Q143" s="31" t="s">
        <v>117</v>
      </c>
      <c r="R143" s="17"/>
      <c r="S143" s="19"/>
      <c r="T143" s="19"/>
      <c r="U143" s="19"/>
      <c r="V143" s="1"/>
      <c r="W143" s="577"/>
      <c r="X143" s="1"/>
      <c r="Y143" s="26"/>
    </row>
    <row r="144" spans="1:25">
      <c r="A144" s="6" t="s">
        <v>108</v>
      </c>
      <c r="B144" s="6"/>
      <c r="D144" s="101"/>
      <c r="E144" s="102"/>
      <c r="F144" s="6"/>
      <c r="G144" s="6"/>
      <c r="K144" s="6"/>
      <c r="M144" s="6"/>
      <c r="N144" s="184"/>
      <c r="P144" s="6"/>
      <c r="R144" s="101"/>
    </row>
    <row r="145" spans="1:21">
      <c r="A145" s="623" t="s">
        <v>300</v>
      </c>
      <c r="B145" s="623"/>
      <c r="C145" s="623"/>
      <c r="D145" s="623"/>
      <c r="E145" s="623"/>
      <c r="F145" s="623"/>
      <c r="G145" s="623"/>
      <c r="H145" s="623"/>
      <c r="I145" s="623"/>
      <c r="J145" s="623"/>
      <c r="K145" s="623"/>
      <c r="L145" s="623"/>
      <c r="M145" s="623"/>
      <c r="N145" s="623"/>
      <c r="O145" s="623"/>
      <c r="P145" s="623"/>
      <c r="Q145" s="623"/>
      <c r="R145" s="623"/>
      <c r="S145" s="623"/>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7">
    <mergeCell ref="A4:S4"/>
    <mergeCell ref="C7:J7"/>
    <mergeCell ref="L7:O7"/>
    <mergeCell ref="Q7:U7"/>
    <mergeCell ref="A10:A12"/>
    <mergeCell ref="F10:F12"/>
    <mergeCell ref="H10:H12"/>
    <mergeCell ref="J10:J12"/>
    <mergeCell ref="O10:O12"/>
    <mergeCell ref="S10:S12"/>
    <mergeCell ref="Z13:Z15"/>
    <mergeCell ref="A16:A18"/>
    <mergeCell ref="F16:F18"/>
    <mergeCell ref="H16:H18"/>
    <mergeCell ref="O16:O18"/>
    <mergeCell ref="S16:S18"/>
    <mergeCell ref="W16:W18"/>
    <mergeCell ref="W10:W12"/>
    <mergeCell ref="Y10:Y12"/>
    <mergeCell ref="A13:A15"/>
    <mergeCell ref="F13:F15"/>
    <mergeCell ref="H13:H15"/>
    <mergeCell ref="J13:J15"/>
    <mergeCell ref="O13:O15"/>
    <mergeCell ref="S13:S15"/>
    <mergeCell ref="A19:A21"/>
    <mergeCell ref="F19:F21"/>
    <mergeCell ref="H19:H21"/>
    <mergeCell ref="J19:J21"/>
    <mergeCell ref="S19:S21"/>
    <mergeCell ref="A22:A24"/>
    <mergeCell ref="F22:F24"/>
    <mergeCell ref="H22:H24"/>
    <mergeCell ref="J22:J24"/>
    <mergeCell ref="O22:O24"/>
    <mergeCell ref="S22:S24"/>
    <mergeCell ref="W22:W24"/>
    <mergeCell ref="Y22:Y24"/>
    <mergeCell ref="A25:A27"/>
    <mergeCell ref="F25:F27"/>
    <mergeCell ref="H25:H27"/>
    <mergeCell ref="J25:J27"/>
    <mergeCell ref="O25:O27"/>
    <mergeCell ref="S25:S27"/>
    <mergeCell ref="W25:W27"/>
    <mergeCell ref="Y31:Y33"/>
    <mergeCell ref="A34:A36"/>
    <mergeCell ref="F34:F36"/>
    <mergeCell ref="H34:H36"/>
    <mergeCell ref="J34:J36"/>
    <mergeCell ref="O34:O36"/>
    <mergeCell ref="S34:S36"/>
    <mergeCell ref="Y34:Y36"/>
    <mergeCell ref="W28:W30"/>
    <mergeCell ref="A31:A33"/>
    <mergeCell ref="F31:F33"/>
    <mergeCell ref="H31:H33"/>
    <mergeCell ref="J31:J33"/>
    <mergeCell ref="O31:O33"/>
    <mergeCell ref="S31:S33"/>
    <mergeCell ref="W31:W33"/>
    <mergeCell ref="A28:A30"/>
    <mergeCell ref="F28:F30"/>
    <mergeCell ref="H28:H30"/>
    <mergeCell ref="J28:J30"/>
    <mergeCell ref="O28:O30"/>
    <mergeCell ref="S28:S30"/>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W48:W50"/>
    <mergeCell ref="A51:A53"/>
    <mergeCell ref="F51:F53"/>
    <mergeCell ref="H51:H53"/>
    <mergeCell ref="J51:J53"/>
    <mergeCell ref="W51:W53"/>
    <mergeCell ref="A48:A50"/>
    <mergeCell ref="F48:F50"/>
    <mergeCell ref="H48:H50"/>
    <mergeCell ref="J48:J50"/>
    <mergeCell ref="O48:O50"/>
    <mergeCell ref="S48:S50"/>
    <mergeCell ref="A54:A56"/>
    <mergeCell ref="F54:F56"/>
    <mergeCell ref="H54:H56"/>
    <mergeCell ref="J54:J56"/>
    <mergeCell ref="Y54:Y56"/>
    <mergeCell ref="A57:A59"/>
    <mergeCell ref="F57:F59"/>
    <mergeCell ref="H57:H59"/>
    <mergeCell ref="S57:S59"/>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69:A71"/>
    <mergeCell ref="F69:F71"/>
    <mergeCell ref="H69:H71"/>
    <mergeCell ref="J69:J71"/>
    <mergeCell ref="O69:O71"/>
    <mergeCell ref="S69:S71"/>
    <mergeCell ref="A66:A68"/>
    <mergeCell ref="F66:F68"/>
    <mergeCell ref="H66:H68"/>
    <mergeCell ref="J66:J68"/>
    <mergeCell ref="O66:O68"/>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A89:A91"/>
    <mergeCell ref="F89:F91"/>
    <mergeCell ref="H89:H91"/>
    <mergeCell ref="O89:O91"/>
    <mergeCell ref="S89:S91"/>
    <mergeCell ref="A92:A94"/>
    <mergeCell ref="E92:E93"/>
    <mergeCell ref="H92:H94"/>
    <mergeCell ref="S92:S94"/>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s>
  <hyperlinks>
    <hyperlink ref="Y54" r:id="rId1" xr:uid="{E51D45EF-0C7E-4B05-888D-6937F4FCC27A}"/>
    <hyperlink ref="Y60" r:id="rId2" xr:uid="{B7FE4506-CF1D-476E-AB73-271739A335B7}"/>
    <hyperlink ref="Y66" r:id="rId3" xr:uid="{30EAAD96-2640-46C1-815E-85C64E51089B}"/>
    <hyperlink ref="Y13" r:id="rId4" xr:uid="{13D176AF-1D96-45CF-9FB7-B9EB1F635E2D}"/>
    <hyperlink ref="Y19" r:id="rId5" xr:uid="{8359D4B8-CEC8-4094-9D10-C5858D2A58F6}"/>
    <hyperlink ref="Y25" r:id="rId6" xr:uid="{AF435075-1090-4256-81D6-07E12D530D13}"/>
    <hyperlink ref="Y22" r:id="rId7" xr:uid="{9B6A5CC6-16A0-4C14-9848-1BFFF6EE2BB3}"/>
    <hyperlink ref="Y31" r:id="rId8" xr:uid="{2FA022EC-63E0-403F-99DF-4686483FF847}"/>
    <hyperlink ref="Y37" r:id="rId9" xr:uid="{DFF2B966-D439-4B58-973C-D298A9DE3884}"/>
    <hyperlink ref="Y77" r:id="rId10" xr:uid="{99C5BC7B-5714-4C22-88CC-734F854409F8}"/>
    <hyperlink ref="Y80" r:id="rId11" xr:uid="{DB24B70D-700F-4399-BABD-6D5AC82270D6}"/>
    <hyperlink ref="Y83" r:id="rId12" xr:uid="{9F496E4B-9199-4694-858E-596FF8470949}"/>
    <hyperlink ref="Y86" r:id="rId13" xr:uid="{4B8CDEF1-4A53-4833-BCD5-C0244612EE2C}"/>
    <hyperlink ref="Y34" r:id="rId14" xr:uid="{93A364A9-6710-4594-9ACF-8C8B60794D0D}"/>
    <hyperlink ref="Y103" r:id="rId15" xr:uid="{3ED182E6-84A7-4096-AA42-4FD5B246AD1F}"/>
    <hyperlink ref="Y124" r:id="rId16" xr:uid="{3A98783D-4060-469E-8818-1CE16E83B803}"/>
    <hyperlink ref="Y125" r:id="rId17" xr:uid="{5D3940B7-4CD4-48F1-A4A7-B4F1EF263B1D}"/>
    <hyperlink ref="Y78" r:id="rId18" xr:uid="{A6BC967A-3EEC-4471-A276-508401D4143D}"/>
    <hyperlink ref="Z10" r:id="rId19" display="https://treasury.gov.au/coronavirus" xr:uid="{0128B95F-77B3-4CA9-8E76-1EEF47278954}"/>
    <hyperlink ref="Y10" r:id="rId20" xr:uid="{6810141C-65B9-41B5-825F-5F7676544A40}"/>
    <hyperlink ref="Y26" r:id="rId21" xr:uid="{21923962-7859-43B0-B1C2-7D8CE689E03E}"/>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F65B4377-8CA0-4238-B924-FA20D48F167D}"/>
  </hyperlinks>
  <pageMargins left="0.7" right="0.7" top="0.75" bottom="0.75" header="0.3" footer="0.3"/>
  <pageSetup scale="43" fitToHeight="0" orientation="landscape" r:id="rId23"/>
  <rowBreaks count="10" manualBreakCount="10">
    <brk id="21" max="15" man="1"/>
    <brk id="36" max="21"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0634-FE75-4066-BF69-AA0E0ACD8623}">
  <dimension ref="B1:B70"/>
  <sheetViews>
    <sheetView workbookViewId="0">
      <selection activeCell="F25" sqref="F25"/>
    </sheetView>
  </sheetViews>
  <sheetFormatPr defaultColWidth="8.7265625" defaultRowHeight="12.5"/>
  <sheetData>
    <row r="1" spans="2:2">
      <c r="B1" t="s">
        <v>534</v>
      </c>
    </row>
    <row r="2" spans="2:2">
      <c r="B2" s="239" t="s">
        <v>523</v>
      </c>
    </row>
    <row r="3" spans="2:2">
      <c r="B3" s="239"/>
    </row>
    <row r="4" spans="2:2">
      <c r="B4" s="239" t="s">
        <v>524</v>
      </c>
    </row>
    <row r="5" spans="2:2">
      <c r="B5" s="251"/>
    </row>
    <row r="6" spans="2:2">
      <c r="B6" s="240" t="s">
        <v>525</v>
      </c>
    </row>
    <row r="7" spans="2:2">
      <c r="B7" s="240" t="s">
        <v>526</v>
      </c>
    </row>
    <row r="8" spans="2:2">
      <c r="B8" s="240" t="s">
        <v>527</v>
      </c>
    </row>
    <row r="9" spans="2:2">
      <c r="B9" s="240" t="s">
        <v>528</v>
      </c>
    </row>
    <row r="10" spans="2:2">
      <c r="B10" s="240" t="s">
        <v>529</v>
      </c>
    </row>
    <row r="11" spans="2:2">
      <c r="B11" s="240" t="s">
        <v>530</v>
      </c>
    </row>
    <row r="12" spans="2:2">
      <c r="B12" s="240" t="s">
        <v>531</v>
      </c>
    </row>
    <row r="13" spans="2:2">
      <c r="B13" s="240" t="s">
        <v>532</v>
      </c>
    </row>
    <row r="14" spans="2:2">
      <c r="B14" s="239"/>
    </row>
    <row r="15" spans="2:2">
      <c r="B15" s="239" t="s">
        <v>533</v>
      </c>
    </row>
    <row r="16" spans="2:2">
      <c r="B16" s="239"/>
    </row>
    <row r="20" spans="2:2">
      <c r="B20" s="239" t="s">
        <v>478</v>
      </c>
    </row>
    <row r="21" spans="2:2">
      <c r="B21" s="240" t="s">
        <v>479</v>
      </c>
    </row>
    <row r="22" spans="2:2">
      <c r="B22" s="240" t="s">
        <v>480</v>
      </c>
    </row>
    <row r="23" spans="2:2">
      <c r="B23" s="240" t="s">
        <v>481</v>
      </c>
    </row>
    <row r="24" spans="2:2">
      <c r="B24" s="240" t="s">
        <v>482</v>
      </c>
    </row>
    <row r="25" spans="2:2">
      <c r="B25" s="239"/>
    </row>
    <row r="26" spans="2:2">
      <c r="B26" s="239"/>
    </row>
    <row r="27" spans="2:2">
      <c r="B27" s="239" t="s">
        <v>483</v>
      </c>
    </row>
    <row r="28" spans="2:2">
      <c r="B28" s="239" t="s">
        <v>484</v>
      </c>
    </row>
    <row r="29" spans="2:2">
      <c r="B29" s="239" t="s">
        <v>485</v>
      </c>
    </row>
    <row r="30" spans="2:2">
      <c r="B30" s="239" t="s">
        <v>486</v>
      </c>
    </row>
    <row r="31" spans="2:2">
      <c r="B31" s="239" t="s">
        <v>487</v>
      </c>
    </row>
    <row r="32" spans="2:2">
      <c r="B32" s="239" t="s">
        <v>488</v>
      </c>
    </row>
    <row r="33" spans="2:2">
      <c r="B33" s="239"/>
    </row>
    <row r="34" spans="2:2">
      <c r="B34" s="239"/>
    </row>
    <row r="35" spans="2:2">
      <c r="B35" s="239"/>
    </row>
    <row r="36" spans="2:2">
      <c r="B36" s="239"/>
    </row>
    <row r="37" spans="2:2">
      <c r="B37" s="239" t="s">
        <v>489</v>
      </c>
    </row>
    <row r="38" spans="2:2">
      <c r="B38" s="239" t="s">
        <v>490</v>
      </c>
    </row>
    <row r="39" spans="2:2">
      <c r="B39" s="239" t="s">
        <v>491</v>
      </c>
    </row>
    <row r="40" spans="2:2">
      <c r="B40" s="239" t="s">
        <v>498</v>
      </c>
    </row>
    <row r="41" spans="2:2">
      <c r="B41" s="239" t="s">
        <v>492</v>
      </c>
    </row>
    <row r="42" spans="2:2">
      <c r="B42" s="239" t="s">
        <v>493</v>
      </c>
    </row>
    <row r="43" spans="2:2">
      <c r="B43" s="239" t="s">
        <v>494</v>
      </c>
    </row>
    <row r="44" spans="2:2">
      <c r="B44" s="239" t="s">
        <v>495</v>
      </c>
    </row>
    <row r="45" spans="2:2">
      <c r="B45" s="239" t="s">
        <v>496</v>
      </c>
    </row>
    <row r="46" spans="2:2">
      <c r="B46" s="239" t="s">
        <v>497</v>
      </c>
    </row>
    <row r="47" spans="2:2">
      <c r="B47" s="239">
        <v>241</v>
      </c>
    </row>
    <row r="48" spans="2:2">
      <c r="B48" s="239"/>
    </row>
    <row r="49" spans="2:2">
      <c r="B49" s="239"/>
    </row>
    <row r="50" spans="2:2">
      <c r="B50" s="239"/>
    </row>
    <row r="51" spans="2:2">
      <c r="B51" s="239"/>
    </row>
    <row r="52" spans="2:2">
      <c r="B52" s="239" t="s">
        <v>499</v>
      </c>
    </row>
    <row r="53" spans="2:2">
      <c r="B53" s="240" t="s">
        <v>479</v>
      </c>
    </row>
    <row r="54" spans="2:2">
      <c r="B54" s="240" t="s">
        <v>480</v>
      </c>
    </row>
    <row r="55" spans="2:2">
      <c r="B55" s="240" t="s">
        <v>500</v>
      </c>
    </row>
    <row r="56" spans="2:2">
      <c r="B56" s="240" t="s">
        <v>501</v>
      </c>
    </row>
    <row r="57" spans="2:2">
      <c r="B57" s="240" t="s">
        <v>502</v>
      </c>
    </row>
    <row r="58" spans="2:2">
      <c r="B58" s="239"/>
    </row>
    <row r="59" spans="2:2">
      <c r="B59" s="239"/>
    </row>
    <row r="60" spans="2:2">
      <c r="B60" s="239" t="s">
        <v>503</v>
      </c>
    </row>
    <row r="61" spans="2:2">
      <c r="B61" s="239" t="s">
        <v>504</v>
      </c>
    </row>
    <row r="62" spans="2:2">
      <c r="B62" s="239"/>
    </row>
    <row r="63" spans="2:2">
      <c r="B63" s="239" t="s">
        <v>505</v>
      </c>
    </row>
    <row r="64" spans="2:2">
      <c r="B64" s="239"/>
    </row>
    <row r="65" spans="2:2">
      <c r="B65" s="239" t="s">
        <v>506</v>
      </c>
    </row>
    <row r="66" spans="2:2">
      <c r="B66" s="239" t="s">
        <v>493</v>
      </c>
    </row>
    <row r="67" spans="2:2">
      <c r="B67" s="239" t="s">
        <v>494</v>
      </c>
    </row>
    <row r="68" spans="2:2">
      <c r="B68" s="239" t="s">
        <v>495</v>
      </c>
    </row>
    <row r="69" spans="2:2">
      <c r="B69" s="239" t="s">
        <v>496</v>
      </c>
    </row>
    <row r="70" spans="2:2">
      <c r="B70" s="239"/>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2BBA-F4D4-4B73-9E88-8B955A466505}">
  <dimension ref="A1:AL44"/>
  <sheetViews>
    <sheetView topLeftCell="B16" workbookViewId="0">
      <selection activeCell="F8" sqref="F8"/>
    </sheetView>
  </sheetViews>
  <sheetFormatPr defaultColWidth="8.7265625" defaultRowHeight="12.5" outlineLevelCol="1"/>
  <cols>
    <col min="1" max="1" width="15.81640625" customWidth="1"/>
    <col min="2" max="2" width="17.1796875" customWidth="1"/>
    <col min="3" max="8" width="10.453125" customWidth="1"/>
    <col min="9" max="9" width="15.81640625" customWidth="1"/>
    <col min="10" max="10" width="10.54296875" bestFit="1" customWidth="1"/>
    <col min="11" max="11" width="12.453125" bestFit="1" customWidth="1"/>
    <col min="12" max="12" width="9.81640625" customWidth="1"/>
    <col min="26" max="29" width="0" hidden="1" customWidth="1" outlineLevel="1"/>
    <col min="30" max="30" width="11.54296875" hidden="1" customWidth="1" outlineLevel="1"/>
    <col min="31" max="31" width="0" hidden="1" customWidth="1" outlineLevel="1"/>
    <col min="32" max="32" width="10.81640625" hidden="1" customWidth="1" outlineLevel="1"/>
    <col min="33" max="37" width="0" hidden="1" customWidth="1" outlineLevel="1"/>
    <col min="38" max="38" width="8.54296875" collapsed="1"/>
  </cols>
  <sheetData>
    <row r="1" spans="1:38" ht="14.5">
      <c r="A1" s="208" t="s">
        <v>437</v>
      </c>
      <c r="C1" s="234" t="s">
        <v>470</v>
      </c>
      <c r="I1" s="209" t="s">
        <v>438</v>
      </c>
      <c r="J1" s="209" t="s">
        <v>439</v>
      </c>
      <c r="K1" t="s">
        <v>440</v>
      </c>
      <c r="L1" s="210" t="s">
        <v>441</v>
      </c>
      <c r="O1" s="209" t="s">
        <v>438</v>
      </c>
      <c r="P1" s="209" t="s">
        <v>439</v>
      </c>
      <c r="Q1" t="s">
        <v>440</v>
      </c>
      <c r="R1" s="210" t="s">
        <v>441</v>
      </c>
      <c r="AA1" s="209" t="s">
        <v>438</v>
      </c>
      <c r="AB1" s="209" t="s">
        <v>439</v>
      </c>
      <c r="AC1" t="s">
        <v>440</v>
      </c>
      <c r="AD1" s="210" t="s">
        <v>441</v>
      </c>
    </row>
    <row r="2" spans="1:38" ht="65">
      <c r="A2" t="s">
        <v>442</v>
      </c>
      <c r="B2" s="211" t="s">
        <v>443</v>
      </c>
      <c r="C2" s="212" t="s">
        <v>444</v>
      </c>
      <c r="D2" s="212" t="s">
        <v>445</v>
      </c>
      <c r="E2" s="212" t="s">
        <v>446</v>
      </c>
      <c r="F2" s="212" t="s">
        <v>447</v>
      </c>
      <c r="G2" s="237"/>
      <c r="H2" s="211"/>
      <c r="I2" s="212" t="s">
        <v>444</v>
      </c>
      <c r="J2" s="212" t="s">
        <v>445</v>
      </c>
      <c r="K2" s="212" t="s">
        <v>446</v>
      </c>
      <c r="L2" s="212" t="s">
        <v>447</v>
      </c>
      <c r="N2" s="213" t="s">
        <v>448</v>
      </c>
      <c r="O2" s="214" t="s">
        <v>444</v>
      </c>
      <c r="P2" s="214" t="s">
        <v>445</v>
      </c>
      <c r="Q2" s="214" t="s">
        <v>446</v>
      </c>
      <c r="R2" s="214" t="s">
        <v>447</v>
      </c>
      <c r="T2" s="215" t="s">
        <v>449</v>
      </c>
      <c r="U2" s="216" t="s">
        <v>444</v>
      </c>
      <c r="V2" s="216" t="s">
        <v>445</v>
      </c>
      <c r="W2" s="216" t="s">
        <v>446</v>
      </c>
      <c r="X2" s="216" t="s">
        <v>447</v>
      </c>
      <c r="Z2" s="217" t="s">
        <v>450</v>
      </c>
      <c r="AA2" s="212" t="s">
        <v>444</v>
      </c>
      <c r="AB2" s="212" t="s">
        <v>445</v>
      </c>
      <c r="AC2" s="212" t="s">
        <v>446</v>
      </c>
      <c r="AD2" s="212" t="s">
        <v>447</v>
      </c>
      <c r="AF2" s="217" t="s">
        <v>451</v>
      </c>
      <c r="AG2" s="212" t="s">
        <v>444</v>
      </c>
      <c r="AH2" s="212" t="s">
        <v>445</v>
      </c>
      <c r="AI2" s="212" t="s">
        <v>446</v>
      </c>
      <c r="AJ2" s="212" t="s">
        <v>447</v>
      </c>
    </row>
    <row r="3" spans="1:38" ht="14.5">
      <c r="A3" t="s">
        <v>1</v>
      </c>
      <c r="B3" s="218" t="s">
        <v>1</v>
      </c>
      <c r="C3" s="235" t="e">
        <f>Database!#REF!</f>
        <v>#REF!</v>
      </c>
      <c r="D3" s="235" t="e">
        <f>Database!#REF!</f>
        <v>#REF!</v>
      </c>
      <c r="E3" s="236" t="e">
        <f>Database!#REF!</f>
        <v>#REF!</v>
      </c>
      <c r="F3" s="235" t="e">
        <f>Database!#REF!</f>
        <v>#REF!</v>
      </c>
      <c r="G3" s="210"/>
      <c r="H3" s="210"/>
      <c r="I3" s="219">
        <v>80.567275691701113</v>
      </c>
      <c r="J3" s="220">
        <v>2.3646970216884768</v>
      </c>
      <c r="K3" s="219">
        <v>3.7239323176196497</v>
      </c>
      <c r="L3" s="221">
        <v>48.411120129055433</v>
      </c>
      <c r="N3" t="s">
        <v>1</v>
      </c>
      <c r="O3" s="220">
        <v>152.70972795138908</v>
      </c>
      <c r="P3" s="220">
        <v>3.1165250602324308</v>
      </c>
      <c r="Q3" s="220">
        <v>52.13505244667509</v>
      </c>
      <c r="R3" s="220" t="s">
        <v>452</v>
      </c>
      <c r="T3" t="s">
        <v>1</v>
      </c>
      <c r="U3" s="220">
        <f>IFERROR(I3-O3,"")</f>
        <v>-72.142452259687971</v>
      </c>
      <c r="V3" s="220">
        <f t="shared" ref="V3:X9" si="0">IFERROR(J3-P3,"")</f>
        <v>-0.75182803854395397</v>
      </c>
      <c r="W3" s="220">
        <f t="shared" si="0"/>
        <v>-48.41112012905544</v>
      </c>
      <c r="X3" s="220" t="str">
        <f t="shared" si="0"/>
        <v/>
      </c>
      <c r="Z3" s="218" t="s">
        <v>1</v>
      </c>
      <c r="AA3" s="219">
        <v>130.89405252976209</v>
      </c>
      <c r="AB3" s="220">
        <v>1.5582625301162154</v>
      </c>
      <c r="AC3" s="219">
        <v>52.13505244667509</v>
      </c>
      <c r="AD3" s="220" t="s">
        <v>452</v>
      </c>
      <c r="AF3" s="210" t="s">
        <v>1</v>
      </c>
      <c r="AG3" s="220">
        <f t="shared" ref="AG3:AJ9" si="1">IFERROR(I3-AA3, "")</f>
        <v>-50.326776838060979</v>
      </c>
      <c r="AH3" s="220">
        <f t="shared" si="1"/>
        <v>0.80643449157226144</v>
      </c>
      <c r="AI3" s="220">
        <f t="shared" si="1"/>
        <v>-48.41112012905544</v>
      </c>
      <c r="AJ3" s="220" t="str">
        <f t="shared" si="1"/>
        <v/>
      </c>
      <c r="AL3" s="220"/>
    </row>
    <row r="4" spans="1:38" ht="14.5">
      <c r="A4" t="s">
        <v>2</v>
      </c>
      <c r="B4" s="218" t="s">
        <v>2</v>
      </c>
      <c r="C4" s="235" t="e">
        <f>Database!#REF!</f>
        <v>#REF!</v>
      </c>
      <c r="D4" s="235" t="e">
        <f>Database!#REF!</f>
        <v>#REF!</v>
      </c>
      <c r="E4" s="210"/>
      <c r="F4" s="235" t="e">
        <f>Database!#REF!</f>
        <v>#REF!</v>
      </c>
      <c r="G4" s="210"/>
      <c r="H4" s="210"/>
      <c r="I4" s="220">
        <v>18.389800814051259</v>
      </c>
      <c r="J4" s="220">
        <v>6.129933604683754</v>
      </c>
      <c r="K4" s="220" t="s">
        <v>452</v>
      </c>
      <c r="L4" s="220">
        <v>347.73441539296925</v>
      </c>
      <c r="N4" t="s">
        <v>2</v>
      </c>
      <c r="O4" s="220">
        <v>47.609811973535656</v>
      </c>
      <c r="P4" s="220">
        <v>10.023118310218033</v>
      </c>
      <c r="Q4" s="220">
        <v>23.40520103606524</v>
      </c>
      <c r="R4" s="220">
        <v>351.07801554097858</v>
      </c>
      <c r="T4" t="s">
        <v>2</v>
      </c>
      <c r="U4" s="220">
        <f t="shared" ref="U4:U9" si="2">IFERROR(I4-O4,"")</f>
        <v>-29.220011159484397</v>
      </c>
      <c r="V4" s="220">
        <f t="shared" si="0"/>
        <v>-3.8931847055342788</v>
      </c>
      <c r="W4" s="220" t="str">
        <f t="shared" si="0"/>
        <v/>
      </c>
      <c r="X4" s="220">
        <f t="shared" si="0"/>
        <v>-3.3436001480093296</v>
      </c>
      <c r="Z4" s="210" t="s">
        <v>2</v>
      </c>
      <c r="AA4" s="220">
        <v>12.528897887772542</v>
      </c>
      <c r="AB4" s="220">
        <v>2.5057795775545082</v>
      </c>
      <c r="AC4" s="220" t="s">
        <v>452</v>
      </c>
      <c r="AD4" s="220">
        <v>334.36001480093199</v>
      </c>
      <c r="AF4" s="210" t="s">
        <v>2</v>
      </c>
      <c r="AG4" s="220">
        <f t="shared" si="1"/>
        <v>5.8609029262787171</v>
      </c>
      <c r="AH4" s="220">
        <f t="shared" si="1"/>
        <v>3.6241540271292458</v>
      </c>
      <c r="AI4" s="220" t="str">
        <f t="shared" si="1"/>
        <v/>
      </c>
      <c r="AJ4" s="220">
        <f t="shared" si="1"/>
        <v>13.374400592037262</v>
      </c>
    </row>
    <row r="5" spans="1:38" ht="14.5">
      <c r="A5" t="s">
        <v>3</v>
      </c>
      <c r="B5" s="218" t="s">
        <v>3</v>
      </c>
      <c r="C5" s="235" t="e">
        <f>Database!#REF!</f>
        <v>#REF!</v>
      </c>
      <c r="D5" s="235" t="e">
        <f>Database!#REF!</f>
        <v>#REF!</v>
      </c>
      <c r="E5" s="235" t="e">
        <f>Database!#REF!</f>
        <v>#REF!</v>
      </c>
      <c r="F5" s="235" t="e">
        <f>Database!#REF!</f>
        <v>#REF!</v>
      </c>
      <c r="G5" s="210"/>
      <c r="H5" s="210"/>
      <c r="I5" s="220">
        <v>159.37827372177705</v>
      </c>
      <c r="J5" s="220">
        <v>12.48277388590142</v>
      </c>
      <c r="K5" s="219">
        <v>222.90667653395394</v>
      </c>
      <c r="L5" s="219">
        <v>849.27443759436437</v>
      </c>
      <c r="N5" t="s">
        <v>3</v>
      </c>
      <c r="O5" s="220">
        <v>159.46314843509251</v>
      </c>
      <c r="P5" s="220">
        <v>21.744974786603521</v>
      </c>
      <c r="Q5" s="220">
        <v>891.62670613581565</v>
      </c>
      <c r="R5" s="220">
        <v>925.06270761590872</v>
      </c>
      <c r="T5" t="s">
        <v>3</v>
      </c>
      <c r="U5" s="220">
        <f t="shared" si="2"/>
        <v>-8.4874713315457484E-2</v>
      </c>
      <c r="V5" s="220">
        <f t="shared" si="0"/>
        <v>-9.2622009007021013</v>
      </c>
      <c r="W5" s="220">
        <f t="shared" si="0"/>
        <v>-668.72002960186171</v>
      </c>
      <c r="X5" s="220">
        <f t="shared" si="0"/>
        <v>-75.788270021544349</v>
      </c>
      <c r="Z5" s="210" t="s">
        <v>3</v>
      </c>
      <c r="AA5" s="220">
        <v>159.46314843509251</v>
      </c>
      <c r="AB5" s="220">
        <v>10.872487393301761</v>
      </c>
      <c r="AC5" s="220">
        <v>668.72002960186171</v>
      </c>
      <c r="AD5" s="220">
        <v>949.58244203464369</v>
      </c>
      <c r="AF5" s="210" t="s">
        <v>3</v>
      </c>
      <c r="AG5" s="220">
        <f t="shared" si="1"/>
        <v>-8.4874713315457484E-2</v>
      </c>
      <c r="AH5" s="220">
        <f t="shared" si="1"/>
        <v>1.6102864925996592</v>
      </c>
      <c r="AI5" s="220">
        <f t="shared" si="1"/>
        <v>-445.81335306790777</v>
      </c>
      <c r="AJ5" s="220">
        <f t="shared" si="1"/>
        <v>-100.30800444027932</v>
      </c>
    </row>
    <row r="6" spans="1:38" ht="14.5">
      <c r="A6" t="s">
        <v>4</v>
      </c>
      <c r="B6" s="218" t="s">
        <v>4</v>
      </c>
      <c r="C6" s="235">
        <f>Database!G22</f>
        <v>205.43073468379424</v>
      </c>
      <c r="D6" s="235">
        <f>Database!H22</f>
        <v>22.825637187088251</v>
      </c>
      <c r="E6" s="210"/>
      <c r="F6" s="235">
        <f>Database!U22</f>
        <v>660.80219656620488</v>
      </c>
      <c r="G6" s="210"/>
      <c r="H6" s="210"/>
      <c r="I6" s="220">
        <v>22.290667653395467</v>
      </c>
      <c r="J6" s="220">
        <v>3.5665068245432745</v>
      </c>
      <c r="K6" s="220" t="s">
        <v>452</v>
      </c>
      <c r="L6" s="219">
        <v>590.70269281497986</v>
      </c>
      <c r="N6" t="s">
        <v>4</v>
      </c>
      <c r="O6" s="220">
        <v>23.684835438427662</v>
      </c>
      <c r="P6" s="220">
        <v>5.465731255021768</v>
      </c>
      <c r="Q6" s="220" t="s">
        <v>452</v>
      </c>
      <c r="R6" s="220">
        <v>590.70269281497986</v>
      </c>
      <c r="T6" t="s">
        <v>4</v>
      </c>
      <c r="U6" s="220">
        <f t="shared" si="2"/>
        <v>-1.3941677850321952</v>
      </c>
      <c r="V6" s="220">
        <f t="shared" si="0"/>
        <v>-1.8992244304784935</v>
      </c>
      <c r="W6" s="220" t="str">
        <f t="shared" si="0"/>
        <v/>
      </c>
      <c r="X6" s="220">
        <f t="shared" si="0"/>
        <v>0</v>
      </c>
      <c r="Z6" s="210" t="s">
        <v>4</v>
      </c>
      <c r="AA6" s="220">
        <v>23.684835438427662</v>
      </c>
      <c r="AB6" s="220">
        <v>5.465731255021768</v>
      </c>
      <c r="AC6" s="220" t="s">
        <v>452</v>
      </c>
      <c r="AD6" s="220">
        <v>334.36001480093199</v>
      </c>
      <c r="AF6" s="210" t="s">
        <v>4</v>
      </c>
      <c r="AG6" s="220">
        <f t="shared" si="1"/>
        <v>-1.3941677850321952</v>
      </c>
      <c r="AH6" s="220">
        <f t="shared" si="1"/>
        <v>-1.8992244304784935</v>
      </c>
      <c r="AI6" s="220" t="str">
        <f t="shared" si="1"/>
        <v/>
      </c>
      <c r="AJ6" s="220">
        <f t="shared" si="1"/>
        <v>256.34267801404786</v>
      </c>
    </row>
    <row r="7" spans="1:38">
      <c r="A7" t="s">
        <v>5</v>
      </c>
      <c r="B7" s="122" t="s">
        <v>5</v>
      </c>
      <c r="C7" s="135">
        <f>Database!G25</f>
        <v>843.8337860086101</v>
      </c>
      <c r="D7" s="135">
        <f>Database!H25</f>
        <v>104.89387795001592</v>
      </c>
      <c r="E7" s="135">
        <f>Database!Q25</f>
        <v>0</v>
      </c>
      <c r="F7" s="135">
        <f>Database!U25</f>
        <v>147.0387396263616</v>
      </c>
      <c r="I7" s="219">
        <v>496.74594697181385</v>
      </c>
      <c r="J7" s="220">
        <v>12.184334548365243</v>
      </c>
      <c r="K7" s="220">
        <v>498.62045997925458</v>
      </c>
      <c r="L7" s="220">
        <v>18.745130074408067</v>
      </c>
      <c r="N7" t="s">
        <v>5</v>
      </c>
      <c r="O7" s="220">
        <v>594.37893877247166</v>
      </c>
      <c r="P7" s="220">
        <v>19.812631292415723</v>
      </c>
      <c r="Q7" s="220">
        <v>496.74594697181374</v>
      </c>
      <c r="R7" s="220">
        <v>9.4662906875760733</v>
      </c>
      <c r="T7" t="s">
        <v>5</v>
      </c>
      <c r="U7" s="220">
        <f t="shared" si="2"/>
        <v>-97.632991800657805</v>
      </c>
      <c r="V7" s="220">
        <f t="shared" si="0"/>
        <v>-7.6282967440504805</v>
      </c>
      <c r="W7" s="220">
        <f t="shared" si="0"/>
        <v>1.8745130074408394</v>
      </c>
      <c r="X7" s="220">
        <f t="shared" si="0"/>
        <v>9.2788393868319936</v>
      </c>
      <c r="Z7" t="s">
        <v>5</v>
      </c>
      <c r="AA7" s="220">
        <v>4.9531578231039308</v>
      </c>
      <c r="AB7" s="220">
        <v>0.49531578231039314</v>
      </c>
      <c r="AC7" s="220">
        <v>14.996104059526452</v>
      </c>
      <c r="AD7" s="220" t="s">
        <v>452</v>
      </c>
      <c r="AF7" t="s">
        <v>5</v>
      </c>
      <c r="AG7" s="220">
        <f t="shared" si="1"/>
        <v>491.79278914870991</v>
      </c>
      <c r="AH7" s="220">
        <f t="shared" si="1"/>
        <v>11.689018766054849</v>
      </c>
      <c r="AI7" s="220">
        <f t="shared" si="1"/>
        <v>483.62435591972815</v>
      </c>
      <c r="AJ7" s="220" t="str">
        <f t="shared" si="1"/>
        <v/>
      </c>
    </row>
    <row r="8" spans="1:38">
      <c r="A8" t="s">
        <v>7</v>
      </c>
      <c r="B8" s="122" t="s">
        <v>7</v>
      </c>
      <c r="C8" s="135">
        <f>Database!G34</f>
        <v>522.16796884260248</v>
      </c>
      <c r="D8" s="135">
        <f>Database!H34</f>
        <v>130.8627342062542</v>
      </c>
      <c r="E8" s="135">
        <f>Database!Q34</f>
        <v>1.3214570218866846</v>
      </c>
      <c r="F8" s="135">
        <f>Database!U34</f>
        <v>451.60472980981842</v>
      </c>
      <c r="I8" s="220">
        <v>83.294076116897486</v>
      </c>
      <c r="J8" s="220">
        <v>6.4072366243767291</v>
      </c>
      <c r="K8" s="219">
        <v>422.87761720886408</v>
      </c>
      <c r="L8" s="220" t="s">
        <v>452</v>
      </c>
      <c r="N8" t="s">
        <v>7</v>
      </c>
      <c r="O8" s="220">
        <v>107.87831570206316</v>
      </c>
      <c r="P8" s="220">
        <v>18.878705247861053</v>
      </c>
      <c r="Q8" s="220">
        <v>551.02875693302303</v>
      </c>
      <c r="R8" s="220" t="s">
        <v>452</v>
      </c>
      <c r="T8" t="s">
        <v>7</v>
      </c>
      <c r="U8" s="220">
        <f t="shared" si="2"/>
        <v>-24.584239585165676</v>
      </c>
      <c r="V8" s="220">
        <f t="shared" si="0"/>
        <v>-12.471468623484324</v>
      </c>
      <c r="W8" s="220">
        <f t="shared" si="0"/>
        <v>-128.15113972415895</v>
      </c>
      <c r="X8" s="220" t="str">
        <f t="shared" si="0"/>
        <v/>
      </c>
      <c r="Z8" t="s">
        <v>7</v>
      </c>
      <c r="AA8" s="220">
        <v>80.908736776547372</v>
      </c>
      <c r="AB8" s="220">
        <v>5.3939157851031583</v>
      </c>
      <c r="AC8" s="220">
        <v>551.02875693302303</v>
      </c>
      <c r="AD8" s="220" t="s">
        <v>452</v>
      </c>
      <c r="AF8" t="s">
        <v>7</v>
      </c>
      <c r="AG8" s="220">
        <f t="shared" si="1"/>
        <v>2.3853393403501144</v>
      </c>
      <c r="AH8" s="220">
        <f t="shared" si="1"/>
        <v>1.0133208392735709</v>
      </c>
      <c r="AI8" s="220">
        <f t="shared" si="1"/>
        <v>-128.15113972415895</v>
      </c>
      <c r="AJ8" s="220" t="str">
        <f t="shared" si="1"/>
        <v/>
      </c>
    </row>
    <row r="9" spans="1:38">
      <c r="A9" t="s">
        <v>8</v>
      </c>
      <c r="B9" s="122" t="s">
        <v>8</v>
      </c>
      <c r="C9" t="e">
        <f>Database!#REF!</f>
        <v>#REF!</v>
      </c>
      <c r="D9" t="e">
        <f>Database!#REF!</f>
        <v>#REF!</v>
      </c>
      <c r="E9" s="135" t="e">
        <f>Database!#REF!</f>
        <v>#REF!</v>
      </c>
      <c r="F9" s="135" t="e">
        <f>Database!#REF!</f>
        <v>#REF!</v>
      </c>
      <c r="H9" s="220"/>
      <c r="I9" s="219">
        <v>1395</v>
      </c>
      <c r="J9" s="220">
        <v>141</v>
      </c>
      <c r="K9" s="219">
        <v>405</v>
      </c>
      <c r="L9" s="221">
        <v>454</v>
      </c>
      <c r="N9" t="s">
        <v>8</v>
      </c>
      <c r="O9" s="220">
        <v>1602.9090088478063</v>
      </c>
      <c r="P9" s="220">
        <v>202.899874537697</v>
      </c>
      <c r="Q9" s="220">
        <v>859</v>
      </c>
      <c r="R9" s="220" t="s">
        <v>452</v>
      </c>
      <c r="T9" t="s">
        <v>8</v>
      </c>
      <c r="U9" s="220">
        <f t="shared" si="2"/>
        <v>-207.90900884780626</v>
      </c>
      <c r="V9" s="220">
        <f t="shared" si="0"/>
        <v>-61.899874537697002</v>
      </c>
      <c r="W9" s="220">
        <f t="shared" si="0"/>
        <v>-454</v>
      </c>
      <c r="X9" s="220" t="str">
        <f t="shared" si="0"/>
        <v/>
      </c>
      <c r="Z9" t="s">
        <v>8</v>
      </c>
      <c r="AA9" s="220">
        <v>1400.0091343101094</v>
      </c>
      <c r="AB9" s="220">
        <v>142.02991217638788</v>
      </c>
      <c r="AC9" s="220">
        <v>859</v>
      </c>
      <c r="AD9" s="220" t="s">
        <v>452</v>
      </c>
      <c r="AF9" t="s">
        <v>8</v>
      </c>
      <c r="AG9" s="220">
        <f t="shared" si="1"/>
        <v>-5.0091343101094026</v>
      </c>
      <c r="AH9" s="220">
        <f t="shared" si="1"/>
        <v>-1.0299121763878816</v>
      </c>
      <c r="AI9" s="220">
        <f t="shared" si="1"/>
        <v>-454</v>
      </c>
      <c r="AJ9" s="220" t="str">
        <f t="shared" si="1"/>
        <v/>
      </c>
    </row>
    <row r="10" spans="1:38">
      <c r="I10" s="220"/>
      <c r="J10" s="220"/>
      <c r="K10" s="220"/>
      <c r="L10" s="220"/>
      <c r="O10" s="220"/>
      <c r="P10" s="220"/>
      <c r="Q10" s="220"/>
      <c r="R10" s="220"/>
      <c r="U10" s="220"/>
      <c r="V10" s="220"/>
      <c r="W10" s="220"/>
      <c r="X10" s="220"/>
      <c r="AA10" s="220"/>
      <c r="AB10" s="220"/>
      <c r="AC10" s="220"/>
      <c r="AD10" s="220"/>
    </row>
    <row r="11" spans="1:38">
      <c r="A11" t="s">
        <v>0</v>
      </c>
      <c r="B11" s="222" t="s">
        <v>0</v>
      </c>
      <c r="C11" s="135">
        <f>Database!G7</f>
        <v>249.72579708899613</v>
      </c>
      <c r="D11" s="135">
        <f>Database!H7</f>
        <v>13.808448829914081</v>
      </c>
      <c r="E11" s="135">
        <f>Database!Q7</f>
        <v>10.356336622435562</v>
      </c>
      <c r="F11" s="135">
        <f>Database!U7</f>
        <v>13.808448829914079</v>
      </c>
      <c r="I11" s="220">
        <v>129.57265556430073</v>
      </c>
      <c r="J11" s="220">
        <v>2.3630271531483418</v>
      </c>
      <c r="K11" s="221">
        <v>9.8459464714514251</v>
      </c>
      <c r="L11" s="220">
        <v>13.1279286286019</v>
      </c>
      <c r="N11" t="s">
        <v>0</v>
      </c>
      <c r="O11" s="220">
        <v>131.84235543448426</v>
      </c>
      <c r="P11" s="220">
        <v>3.6622876509578957</v>
      </c>
      <c r="Q11" s="220" t="s">
        <v>452</v>
      </c>
      <c r="R11" s="220">
        <v>22.973875100053323</v>
      </c>
      <c r="T11" t="s">
        <v>0</v>
      </c>
      <c r="U11" s="220">
        <f t="shared" ref="U11:X26" si="3">IFERROR(I11-O11,"")</f>
        <v>-2.2696998701835298</v>
      </c>
      <c r="V11" s="220">
        <f t="shared" si="3"/>
        <v>-1.2992604978095539</v>
      </c>
      <c r="W11" s="220" t="str">
        <f t="shared" si="3"/>
        <v/>
      </c>
      <c r="X11" s="220">
        <f t="shared" si="3"/>
        <v>-9.8459464714514233</v>
      </c>
      <c r="Z11" t="s">
        <v>0</v>
      </c>
      <c r="AA11" s="220">
        <v>124.51778013256845</v>
      </c>
      <c r="AB11" s="220">
        <v>2.441525100638597</v>
      </c>
      <c r="AC11" s="220" t="s">
        <v>452</v>
      </c>
      <c r="AD11" s="220">
        <v>22.973875100053323</v>
      </c>
      <c r="AF11" t="s">
        <v>0</v>
      </c>
      <c r="AG11" s="220">
        <f t="shared" ref="AG11:AJ22" si="4">IFERROR(I11-AA11, "")</f>
        <v>5.0548754317322846</v>
      </c>
      <c r="AH11" s="220">
        <f t="shared" si="4"/>
        <v>-7.8497947490255182E-2</v>
      </c>
      <c r="AI11" s="220" t="str">
        <f t="shared" si="4"/>
        <v/>
      </c>
      <c r="AJ11" s="220">
        <f t="shared" si="4"/>
        <v>-9.8459464714514233</v>
      </c>
    </row>
    <row r="12" spans="1:38">
      <c r="A12" t="s">
        <v>453</v>
      </c>
      <c r="B12" s="233" t="s">
        <v>6</v>
      </c>
      <c r="C12" s="135">
        <f>Database!G28</f>
        <v>104.83004568682564</v>
      </c>
      <c r="D12" s="135">
        <f>Database!H28</f>
        <v>11.949099791303487</v>
      </c>
      <c r="E12" s="135">
        <f>Database!Q28</f>
        <v>0</v>
      </c>
      <c r="I12" s="220">
        <v>24.122197941770015</v>
      </c>
      <c r="J12" s="221">
        <v>2.0939407935564249</v>
      </c>
      <c r="K12" s="221">
        <v>100.50915809070841</v>
      </c>
      <c r="L12" s="220"/>
      <c r="N12" t="s">
        <v>453</v>
      </c>
      <c r="O12" s="220">
        <v>33.013737725356371</v>
      </c>
      <c r="P12" s="220" t="s">
        <v>452</v>
      </c>
      <c r="Q12" s="220">
        <v>3.3503052696902798E-5</v>
      </c>
      <c r="R12" s="220" t="s">
        <v>452</v>
      </c>
      <c r="T12" t="s">
        <v>453</v>
      </c>
      <c r="U12" s="220">
        <f t="shared" si="3"/>
        <v>-8.8915397835863565</v>
      </c>
      <c r="V12" s="220" t="str">
        <f t="shared" si="3"/>
        <v/>
      </c>
      <c r="W12" s="220">
        <f t="shared" si="3"/>
        <v>100.50912458765572</v>
      </c>
      <c r="X12" s="220" t="str">
        <f t="shared" si="3"/>
        <v/>
      </c>
      <c r="Z12" t="s">
        <v>6</v>
      </c>
      <c r="AA12" s="220">
        <v>22.009158483570911</v>
      </c>
      <c r="AB12" s="220" t="s">
        <v>452</v>
      </c>
      <c r="AC12" s="220" t="s">
        <v>452</v>
      </c>
      <c r="AD12" s="220" t="s">
        <v>452</v>
      </c>
      <c r="AF12" t="s">
        <v>6</v>
      </c>
      <c r="AG12" s="220">
        <f t="shared" si="4"/>
        <v>2.1130394581991041</v>
      </c>
      <c r="AH12" s="220" t="str">
        <f t="shared" si="4"/>
        <v/>
      </c>
      <c r="AI12" s="220" t="str">
        <f t="shared" si="4"/>
        <v/>
      </c>
      <c r="AJ12" s="220" t="str">
        <f t="shared" si="4"/>
        <v/>
      </c>
    </row>
    <row r="13" spans="1:38">
      <c r="A13" t="s">
        <v>9</v>
      </c>
      <c r="B13" s="233" t="s">
        <v>9</v>
      </c>
      <c r="C13" t="e">
        <f>Database!#REF!</f>
        <v>#REF!</v>
      </c>
      <c r="F13" t="e">
        <f>Database!#REF!</f>
        <v>#REF!</v>
      </c>
      <c r="I13" s="220">
        <v>5.4</v>
      </c>
      <c r="J13" s="221">
        <v>0</v>
      </c>
      <c r="K13" s="221"/>
      <c r="L13" s="221">
        <v>5.4</v>
      </c>
      <c r="N13" t="s">
        <v>9</v>
      </c>
      <c r="O13" s="220">
        <v>5.0840080101662597</v>
      </c>
      <c r="P13" s="220" t="s">
        <v>452</v>
      </c>
      <c r="Q13" s="220" t="s">
        <v>452</v>
      </c>
      <c r="R13" s="220" t="s">
        <v>452</v>
      </c>
      <c r="T13" t="s">
        <v>9</v>
      </c>
      <c r="U13" s="220">
        <f t="shared" si="3"/>
        <v>0.31599198983374066</v>
      </c>
      <c r="V13" s="220" t="str">
        <f t="shared" si="3"/>
        <v/>
      </c>
      <c r="W13" s="220" t="str">
        <f t="shared" si="3"/>
        <v/>
      </c>
      <c r="X13" s="220" t="str">
        <f t="shared" si="3"/>
        <v/>
      </c>
      <c r="Z13" t="s">
        <v>9</v>
      </c>
      <c r="AA13" s="220">
        <v>4.2283339643530073</v>
      </c>
      <c r="AB13" s="220" t="s">
        <v>452</v>
      </c>
      <c r="AC13" s="220" t="s">
        <v>452</v>
      </c>
      <c r="AD13" s="220" t="s">
        <v>452</v>
      </c>
      <c r="AF13" t="s">
        <v>9</v>
      </c>
      <c r="AG13" s="220">
        <f t="shared" si="4"/>
        <v>1.171666035646993</v>
      </c>
      <c r="AH13" s="220" t="str">
        <f t="shared" si="4"/>
        <v/>
      </c>
      <c r="AI13" s="220" t="str">
        <f t="shared" si="4"/>
        <v/>
      </c>
      <c r="AJ13" s="220" t="str">
        <f t="shared" si="4"/>
        <v/>
      </c>
    </row>
    <row r="14" spans="1:38">
      <c r="A14" t="s">
        <v>10</v>
      </c>
      <c r="B14" s="222" t="s">
        <v>10</v>
      </c>
      <c r="C14" s="135">
        <f>Database!G43</f>
        <v>133.43721913654085</v>
      </c>
      <c r="D14" s="135">
        <f>Database!H43</f>
        <v>21.104767323819807</v>
      </c>
      <c r="E14" s="135">
        <f>Database!Q43</f>
        <v>15.498813503430172</v>
      </c>
      <c r="F14" s="220">
        <f>Database!U43</f>
        <v>0</v>
      </c>
      <c r="I14" s="220">
        <v>41.750512167005184</v>
      </c>
      <c r="J14" s="221">
        <v>4.0732206992200171</v>
      </c>
      <c r="K14" s="220">
        <v>53.405886333713013</v>
      </c>
      <c r="L14" s="220">
        <v>6.9244751886740286</v>
      </c>
      <c r="N14" t="s">
        <v>10</v>
      </c>
      <c r="O14" s="220">
        <v>41.858667666964251</v>
      </c>
      <c r="P14" s="220" t="s">
        <v>452</v>
      </c>
      <c r="Q14" s="220">
        <v>46.760573627045794</v>
      </c>
      <c r="R14" s="220">
        <v>6.9244751886740294</v>
      </c>
      <c r="T14" t="s">
        <v>10</v>
      </c>
      <c r="U14" s="220">
        <f t="shared" si="3"/>
        <v>-0.10815549995906792</v>
      </c>
      <c r="V14" s="220" t="str">
        <f t="shared" si="3"/>
        <v/>
      </c>
      <c r="W14" s="220">
        <f t="shared" si="3"/>
        <v>6.6453127066672195</v>
      </c>
      <c r="X14" s="220">
        <f t="shared" si="3"/>
        <v>-8.8817841970012523E-16</v>
      </c>
      <c r="Z14" t="s">
        <v>10</v>
      </c>
      <c r="AA14" s="220">
        <v>40.415265333620653</v>
      </c>
      <c r="AB14" s="220" t="s">
        <v>452</v>
      </c>
      <c r="AC14" s="220">
        <v>46.760573627045794</v>
      </c>
      <c r="AD14" s="220">
        <v>6.9244751886740294</v>
      </c>
      <c r="AF14" t="s">
        <v>10</v>
      </c>
      <c r="AG14" s="220">
        <f t="shared" si="4"/>
        <v>1.3352468333845309</v>
      </c>
      <c r="AH14" s="220" t="str">
        <f t="shared" si="4"/>
        <v/>
      </c>
      <c r="AI14" s="220">
        <f t="shared" si="4"/>
        <v>6.6453127066672195</v>
      </c>
      <c r="AJ14" s="220">
        <f t="shared" si="4"/>
        <v>-8.8817841970012523E-16</v>
      </c>
    </row>
    <row r="15" spans="1:38">
      <c r="A15" t="s">
        <v>454</v>
      </c>
      <c r="B15" t="s">
        <v>11</v>
      </c>
      <c r="C15" s="135">
        <f>Database!G46</f>
        <v>710.64739339926814</v>
      </c>
      <c r="I15" s="220">
        <v>380.21585474627005</v>
      </c>
      <c r="J15" s="220">
        <v>16.337400008628791</v>
      </c>
      <c r="K15" s="220">
        <v>0</v>
      </c>
      <c r="L15" s="220" t="s">
        <v>452</v>
      </c>
      <c r="N15" t="s">
        <v>454</v>
      </c>
      <c r="O15" s="220">
        <v>381.25055691380095</v>
      </c>
      <c r="P15" s="220">
        <v>15.250022276552036</v>
      </c>
      <c r="Q15" s="220">
        <v>8.9632917320067964</v>
      </c>
      <c r="R15" s="220">
        <v>59.408727304104694</v>
      </c>
      <c r="T15" t="s">
        <v>454</v>
      </c>
      <c r="U15" s="220">
        <f t="shared" si="3"/>
        <v>-1.0347021675308952</v>
      </c>
      <c r="V15" s="220">
        <f t="shared" si="3"/>
        <v>1.0873777320767548</v>
      </c>
      <c r="W15" s="220">
        <f t="shared" si="3"/>
        <v>-8.9632917320067964</v>
      </c>
      <c r="X15" s="220" t="str">
        <f t="shared" si="3"/>
        <v/>
      </c>
      <c r="Z15" t="s">
        <v>11</v>
      </c>
      <c r="AA15" s="220">
        <v>366.00053463724885</v>
      </c>
      <c r="AB15" s="220">
        <v>15.250022276552036</v>
      </c>
      <c r="AC15" s="220">
        <v>8.9632917320067964</v>
      </c>
      <c r="AD15" s="220" t="s">
        <v>452</v>
      </c>
      <c r="AF15" t="s">
        <v>11</v>
      </c>
      <c r="AG15" s="220">
        <f t="shared" si="4"/>
        <v>14.215320109021206</v>
      </c>
      <c r="AH15" s="220">
        <f t="shared" si="4"/>
        <v>1.0873777320767548</v>
      </c>
      <c r="AI15" s="220">
        <f t="shared" si="4"/>
        <v>-8.9632917320067964</v>
      </c>
      <c r="AJ15" s="220" t="str">
        <f t="shared" si="4"/>
        <v/>
      </c>
    </row>
    <row r="16" spans="1:38">
      <c r="A16" t="s">
        <v>12</v>
      </c>
      <c r="B16" t="s">
        <v>12</v>
      </c>
      <c r="C16" s="135">
        <f>Database!G49</f>
        <v>108.91796310307309</v>
      </c>
      <c r="I16" s="220">
        <v>21.253701654670344</v>
      </c>
      <c r="J16" s="220">
        <v>2.0306084383443004</v>
      </c>
      <c r="K16" s="220" t="s">
        <v>452</v>
      </c>
      <c r="L16" s="220" t="s">
        <v>452</v>
      </c>
      <c r="N16" t="s">
        <v>12</v>
      </c>
      <c r="O16" s="220">
        <v>32.221851643522058</v>
      </c>
      <c r="P16" s="220">
        <v>2.929259240320186</v>
      </c>
      <c r="Q16" s="220" t="s">
        <v>452</v>
      </c>
      <c r="R16" s="220" t="s">
        <v>452</v>
      </c>
      <c r="T16" t="s">
        <v>12</v>
      </c>
      <c r="U16" s="220">
        <f t="shared" si="3"/>
        <v>-10.968149988851714</v>
      </c>
      <c r="V16" s="220">
        <f t="shared" si="3"/>
        <v>-0.89865080197588565</v>
      </c>
      <c r="W16" s="220" t="str">
        <f t="shared" si="3"/>
        <v/>
      </c>
      <c r="X16" s="220" t="str">
        <f t="shared" si="3"/>
        <v/>
      </c>
      <c r="Z16" t="s">
        <v>12</v>
      </c>
      <c r="AA16" s="220">
        <v>26.36333316288168</v>
      </c>
      <c r="AB16" s="220">
        <v>2.929259240320186</v>
      </c>
      <c r="AC16" s="220" t="s">
        <v>452</v>
      </c>
      <c r="AD16" s="220" t="s">
        <v>452</v>
      </c>
      <c r="AF16" t="s">
        <v>12</v>
      </c>
      <c r="AG16" s="220">
        <f t="shared" si="4"/>
        <v>-5.1096315082113364</v>
      </c>
      <c r="AH16" s="220">
        <f t="shared" si="4"/>
        <v>-0.89865080197588565</v>
      </c>
      <c r="AI16" s="220" t="str">
        <f t="shared" si="4"/>
        <v/>
      </c>
      <c r="AJ16" s="220" t="str">
        <f t="shared" si="4"/>
        <v/>
      </c>
    </row>
    <row r="17" spans="1:36">
      <c r="A17" t="s">
        <v>13</v>
      </c>
      <c r="B17" t="s">
        <v>13</v>
      </c>
      <c r="C17" s="135">
        <f>Database!G52</f>
        <v>98.860320620644671</v>
      </c>
      <c r="D17" s="220">
        <f>Database!H52</f>
        <v>21.588685592667606</v>
      </c>
      <c r="E17" s="220">
        <f>Database!Q52</f>
        <v>2.4132367580927534</v>
      </c>
      <c r="F17" s="220"/>
      <c r="I17" s="220">
        <v>18.236698463447684</v>
      </c>
      <c r="J17" s="220">
        <v>4.7958099765467974</v>
      </c>
      <c r="K17" s="220"/>
      <c r="L17" s="220">
        <v>9.4654144273949932</v>
      </c>
      <c r="N17" t="s">
        <v>13</v>
      </c>
      <c r="O17" s="220">
        <v>18.593101566475504</v>
      </c>
      <c r="P17" s="220">
        <v>5.1647504351320839</v>
      </c>
      <c r="Q17" s="220">
        <v>9.4654144273949932</v>
      </c>
      <c r="R17" s="220" t="s">
        <v>452</v>
      </c>
      <c r="T17" t="s">
        <v>13</v>
      </c>
      <c r="U17" s="220">
        <f t="shared" si="3"/>
        <v>-0.35640310302781941</v>
      </c>
      <c r="V17" s="220">
        <f t="shared" si="3"/>
        <v>-0.36894045858528646</v>
      </c>
      <c r="W17" s="220">
        <f t="shared" si="3"/>
        <v>-9.4654144273949932</v>
      </c>
      <c r="X17" s="220" t="str">
        <f t="shared" si="3"/>
        <v/>
      </c>
      <c r="Z17" t="s">
        <v>13</v>
      </c>
      <c r="AA17" s="220">
        <v>18.593101566475504</v>
      </c>
      <c r="AB17" s="220">
        <v>5.1647504351320839</v>
      </c>
      <c r="AC17" s="220">
        <v>9.4654144273949932</v>
      </c>
      <c r="AD17" s="220" t="s">
        <v>452</v>
      </c>
      <c r="AF17" t="s">
        <v>13</v>
      </c>
      <c r="AG17" s="220">
        <f t="shared" si="4"/>
        <v>-0.35640310302781941</v>
      </c>
      <c r="AH17" s="220">
        <f t="shared" si="4"/>
        <v>-0.36894045858528646</v>
      </c>
      <c r="AI17" s="220">
        <f t="shared" si="4"/>
        <v>-9.4654144273949932</v>
      </c>
      <c r="AJ17" s="220" t="str">
        <f t="shared" si="4"/>
        <v/>
      </c>
    </row>
    <row r="18" spans="1:36">
      <c r="A18" t="s">
        <v>14</v>
      </c>
      <c r="B18" t="s">
        <v>14</v>
      </c>
      <c r="C18" s="220">
        <f>Database!G55</f>
        <v>7.0279601888550927</v>
      </c>
      <c r="D18" s="220"/>
      <c r="E18" s="220">
        <f>Database!Q55</f>
        <v>0.89362142798687272</v>
      </c>
      <c r="I18" s="220">
        <v>7.8719766621986365</v>
      </c>
      <c r="J18" s="220">
        <v>7.8719766621986365</v>
      </c>
      <c r="K18" s="220">
        <v>3.2799902759160982</v>
      </c>
      <c r="L18" s="220" t="s">
        <v>452</v>
      </c>
      <c r="N18" t="s">
        <v>14</v>
      </c>
      <c r="O18" s="220">
        <v>7.1925241794184513</v>
      </c>
      <c r="P18" s="220">
        <v>7.1925241794184513</v>
      </c>
      <c r="Q18" s="220">
        <v>1.0933300919720328</v>
      </c>
      <c r="R18" s="220" t="s">
        <v>452</v>
      </c>
      <c r="T18" t="s">
        <v>14</v>
      </c>
      <c r="U18" s="220">
        <f t="shared" si="3"/>
        <v>0.67945248278018511</v>
      </c>
      <c r="V18" s="220">
        <f t="shared" si="3"/>
        <v>0.67945248278018511</v>
      </c>
      <c r="W18" s="220">
        <f t="shared" si="3"/>
        <v>2.1866601839440651</v>
      </c>
      <c r="X18" s="220" t="str">
        <f t="shared" si="3"/>
        <v/>
      </c>
      <c r="Z18" t="s">
        <v>14</v>
      </c>
      <c r="AA18" s="220" t="s">
        <v>452</v>
      </c>
      <c r="AB18" s="220" t="s">
        <v>452</v>
      </c>
      <c r="AC18" s="220">
        <v>1.0933300919720328</v>
      </c>
      <c r="AD18" s="220" t="s">
        <v>452</v>
      </c>
      <c r="AF18" t="s">
        <v>14</v>
      </c>
      <c r="AG18" s="220" t="str">
        <f t="shared" si="4"/>
        <v/>
      </c>
      <c r="AH18" s="220" t="str">
        <f t="shared" si="4"/>
        <v/>
      </c>
      <c r="AI18" s="220">
        <f t="shared" si="4"/>
        <v>2.1866601839440651</v>
      </c>
      <c r="AJ18" s="220" t="str">
        <f t="shared" si="4"/>
        <v/>
      </c>
    </row>
    <row r="19" spans="1:36">
      <c r="A19" t="s">
        <v>455</v>
      </c>
      <c r="B19" s="122" t="s">
        <v>15</v>
      </c>
      <c r="C19" s="135" t="e">
        <f>Database!#REF!</f>
        <v>#REF!</v>
      </c>
      <c r="D19" s="220" t="e">
        <f>Database!#REF!</f>
        <v>#REF!</v>
      </c>
      <c r="I19" s="219">
        <v>11.566164602422573</v>
      </c>
      <c r="J19" s="220">
        <v>1.0075414498110333</v>
      </c>
      <c r="K19" s="220">
        <v>7.3252375815342967</v>
      </c>
      <c r="L19" s="220"/>
      <c r="N19" t="s">
        <v>455</v>
      </c>
      <c r="O19" s="220">
        <v>25.031019321838411</v>
      </c>
      <c r="P19" s="220">
        <v>1.3174220695704426</v>
      </c>
      <c r="Q19" s="220">
        <v>11.24488225235528</v>
      </c>
      <c r="R19" s="220">
        <v>11.951703422503327</v>
      </c>
      <c r="T19" t="s">
        <v>455</v>
      </c>
      <c r="U19" s="220">
        <f t="shared" si="3"/>
        <v>-13.464854719415838</v>
      </c>
      <c r="V19" s="220">
        <f t="shared" si="3"/>
        <v>-0.30988061975940928</v>
      </c>
      <c r="W19" s="220">
        <f t="shared" si="3"/>
        <v>-3.9196446708209836</v>
      </c>
      <c r="X19" s="220">
        <f t="shared" si="3"/>
        <v>-11.951703422503327</v>
      </c>
      <c r="Z19" t="s">
        <v>15</v>
      </c>
      <c r="AA19" s="220">
        <v>19.761331043556638</v>
      </c>
      <c r="AB19" s="220" t="s">
        <v>452</v>
      </c>
      <c r="AC19" s="220">
        <v>8.3533411017496366</v>
      </c>
      <c r="AD19" s="220">
        <v>6.4256470013458751</v>
      </c>
      <c r="AF19" t="s">
        <v>15</v>
      </c>
      <c r="AG19" s="220">
        <f t="shared" si="4"/>
        <v>-8.1951664411340648</v>
      </c>
      <c r="AH19" s="220" t="str">
        <f t="shared" si="4"/>
        <v/>
      </c>
      <c r="AI19" s="220">
        <f t="shared" si="4"/>
        <v>-1.0281035202153399</v>
      </c>
      <c r="AJ19" s="220">
        <f t="shared" si="4"/>
        <v>-6.4256470013458751</v>
      </c>
    </row>
    <row r="20" spans="1:36">
      <c r="A20" t="s">
        <v>16</v>
      </c>
      <c r="B20" s="223" t="s">
        <v>16</v>
      </c>
      <c r="C20" s="220" t="e">
        <f>Database!#REF!</f>
        <v>#REF!</v>
      </c>
      <c r="D20" s="220"/>
      <c r="E20" s="220" t="e">
        <f>Database!#REF!</f>
        <v>#REF!</v>
      </c>
      <c r="I20" s="224">
        <v>0</v>
      </c>
      <c r="J20" s="220">
        <v>0</v>
      </c>
      <c r="K20" s="220">
        <v>8.2666666666666657</v>
      </c>
      <c r="L20" s="220" t="s">
        <v>452</v>
      </c>
      <c r="N20" t="s">
        <v>16</v>
      </c>
      <c r="O20" s="220">
        <v>20.720597916319729</v>
      </c>
      <c r="P20" s="220" t="s">
        <v>452</v>
      </c>
      <c r="Q20" s="220">
        <v>14.133333333333333</v>
      </c>
      <c r="R20" s="220" t="s">
        <v>452</v>
      </c>
      <c r="T20" t="s">
        <v>16</v>
      </c>
      <c r="U20" s="220">
        <f t="shared" si="3"/>
        <v>-20.720597916319729</v>
      </c>
      <c r="V20" s="220" t="str">
        <f t="shared" si="3"/>
        <v/>
      </c>
      <c r="W20" s="220">
        <f t="shared" si="3"/>
        <v>-5.8666666666666671</v>
      </c>
      <c r="X20" s="220" t="str">
        <f t="shared" si="3"/>
        <v/>
      </c>
      <c r="Z20" t="s">
        <v>16</v>
      </c>
      <c r="AA20" s="219">
        <v>18.035821864349067</v>
      </c>
      <c r="AB20" s="220" t="s">
        <v>452</v>
      </c>
      <c r="AC20" s="220">
        <v>11.733333333333333</v>
      </c>
      <c r="AD20" s="220" t="s">
        <v>452</v>
      </c>
      <c r="AF20" t="s">
        <v>16</v>
      </c>
      <c r="AG20" s="220">
        <f t="shared" si="4"/>
        <v>-18.035821864349067</v>
      </c>
      <c r="AH20" s="220" t="str">
        <f t="shared" si="4"/>
        <v/>
      </c>
      <c r="AI20" s="220">
        <f t="shared" si="4"/>
        <v>-3.4666666666666668</v>
      </c>
      <c r="AJ20" s="220" t="str">
        <f t="shared" si="4"/>
        <v/>
      </c>
    </row>
    <row r="21" spans="1:36">
      <c r="A21" t="s">
        <v>17</v>
      </c>
      <c r="B21" s="223" t="s">
        <v>17</v>
      </c>
      <c r="C21" s="220" t="e">
        <f>Database!#REF!</f>
        <v>#REF!</v>
      </c>
      <c r="E21" s="220" t="e">
        <f>Database!#REF!</f>
        <v>#REF!</v>
      </c>
      <c r="F21" s="135" t="e">
        <f>Database!#REF!</f>
        <v>#REF!</v>
      </c>
      <c r="I21" s="224">
        <v>0</v>
      </c>
      <c r="J21" s="220">
        <v>0</v>
      </c>
      <c r="K21" s="220">
        <v>1.7257142857142855</v>
      </c>
      <c r="L21" s="220" t="s">
        <v>452</v>
      </c>
      <c r="N21" t="s">
        <v>17</v>
      </c>
      <c r="O21" s="220">
        <v>28.025820456068001</v>
      </c>
      <c r="P21" s="220">
        <v>1.1210328182427201</v>
      </c>
      <c r="Q21" s="220">
        <v>8.5714285714285719E-3</v>
      </c>
      <c r="R21" s="220" t="s">
        <v>452</v>
      </c>
      <c r="T21" t="s">
        <v>17</v>
      </c>
      <c r="U21" s="220">
        <f t="shared" si="3"/>
        <v>-28.025820456068001</v>
      </c>
      <c r="V21" s="220">
        <f t="shared" si="3"/>
        <v>-1.1210328182427201</v>
      </c>
      <c r="W21" s="220">
        <f t="shared" si="3"/>
        <v>1.7171428571428569</v>
      </c>
      <c r="X21" s="220" t="str">
        <f t="shared" si="3"/>
        <v/>
      </c>
      <c r="Z21" t="s">
        <v>17</v>
      </c>
      <c r="AA21" s="220" t="s">
        <v>452</v>
      </c>
      <c r="AB21" s="220" t="s">
        <v>452</v>
      </c>
      <c r="AC21" s="220">
        <v>8.5714285714285719E-3</v>
      </c>
      <c r="AD21" s="220" t="s">
        <v>452</v>
      </c>
      <c r="AF21" t="s">
        <v>17</v>
      </c>
      <c r="AG21" s="220" t="str">
        <f t="shared" si="4"/>
        <v/>
      </c>
      <c r="AH21" s="220" t="str">
        <f t="shared" si="4"/>
        <v/>
      </c>
      <c r="AI21" s="220">
        <f t="shared" si="4"/>
        <v>1.7171428571428569</v>
      </c>
      <c r="AJ21" s="220" t="str">
        <f t="shared" si="4"/>
        <v/>
      </c>
    </row>
    <row r="22" spans="1:36">
      <c r="A22" t="s">
        <v>18</v>
      </c>
      <c r="B22" s="222" t="s">
        <v>18</v>
      </c>
      <c r="C22" s="135">
        <f>Database!G67</f>
        <v>25.234121210982789</v>
      </c>
      <c r="E22" s="220">
        <f>Database!U67</f>
        <v>45.932091746390377</v>
      </c>
      <c r="I22" s="220">
        <v>11.278195488721801</v>
      </c>
      <c r="J22" s="220">
        <v>0</v>
      </c>
      <c r="K22" s="220"/>
      <c r="L22" s="221">
        <v>3.7593984962406015</v>
      </c>
      <c r="N22" t="s">
        <v>18</v>
      </c>
      <c r="O22" s="220">
        <v>13.945961071582314</v>
      </c>
      <c r="P22" s="220" t="s">
        <v>452</v>
      </c>
      <c r="Q22" s="220" t="s">
        <v>452</v>
      </c>
      <c r="R22" s="220" t="s">
        <v>452</v>
      </c>
      <c r="T22" t="s">
        <v>18</v>
      </c>
      <c r="U22" s="220">
        <f t="shared" si="3"/>
        <v>-2.6677655828605129</v>
      </c>
      <c r="V22" s="220" t="str">
        <f t="shared" si="3"/>
        <v/>
      </c>
      <c r="W22" s="220" t="str">
        <f t="shared" si="3"/>
        <v/>
      </c>
      <c r="X22" s="220" t="str">
        <f t="shared" si="3"/>
        <v/>
      </c>
      <c r="Z22" t="s">
        <v>18</v>
      </c>
      <c r="AA22" s="220" t="s">
        <v>452</v>
      </c>
      <c r="AB22" s="220" t="s">
        <v>452</v>
      </c>
      <c r="AC22" s="220" t="s">
        <v>452</v>
      </c>
      <c r="AD22" s="220" t="s">
        <v>452</v>
      </c>
      <c r="AF22" t="s">
        <v>18</v>
      </c>
      <c r="AG22" s="220" t="str">
        <f t="shared" si="4"/>
        <v/>
      </c>
      <c r="AH22" s="220" t="str">
        <f t="shared" si="4"/>
        <v/>
      </c>
      <c r="AI22" s="220" t="str">
        <f t="shared" si="4"/>
        <v/>
      </c>
      <c r="AJ22" s="220" t="str">
        <f t="shared" si="4"/>
        <v/>
      </c>
    </row>
    <row r="23" spans="1:36">
      <c r="O23" s="220"/>
      <c r="P23" s="220"/>
      <c r="Q23" s="220"/>
      <c r="R23" s="220"/>
      <c r="U23" s="220"/>
      <c r="V23" s="220"/>
      <c r="W23" s="220"/>
      <c r="X23" s="220"/>
      <c r="AA23" s="220"/>
      <c r="AB23" s="220"/>
      <c r="AC23" s="220"/>
      <c r="AD23" s="220"/>
    </row>
    <row r="24" spans="1:36">
      <c r="A24" t="s">
        <v>32</v>
      </c>
      <c r="B24" s="222" t="s">
        <v>32</v>
      </c>
      <c r="C24" s="135">
        <f>Database!G31</f>
        <v>107.45168705821794</v>
      </c>
      <c r="D24" s="135">
        <f>Database!H31</f>
        <v>21.924024518198266</v>
      </c>
      <c r="E24" s="135">
        <f>Database!Q31</f>
        <v>0.72927910812746966</v>
      </c>
      <c r="F24" s="135">
        <f>Database!U31</f>
        <v>171.87704801877453</v>
      </c>
      <c r="I24" s="220">
        <v>15.603467357376825</v>
      </c>
      <c r="J24" s="220">
        <v>4.3466801924121157</v>
      </c>
      <c r="K24" s="221">
        <v>11.145333826697733</v>
      </c>
      <c r="L24" s="220">
        <v>113.68240503231685</v>
      </c>
      <c r="N24" t="s">
        <v>32</v>
      </c>
      <c r="O24" s="220">
        <v>20.402244445391538</v>
      </c>
      <c r="P24" s="220">
        <v>3.8254208335109139</v>
      </c>
      <c r="Q24" s="220" t="s">
        <v>452</v>
      </c>
      <c r="R24" s="220">
        <v>113.68240503231688</v>
      </c>
      <c r="T24" t="s">
        <v>32</v>
      </c>
      <c r="U24" s="220">
        <f t="shared" si="3"/>
        <v>-4.7987770880147131</v>
      </c>
      <c r="V24" s="220">
        <f t="shared" si="3"/>
        <v>0.52125935890120179</v>
      </c>
      <c r="W24" s="220" t="str">
        <f t="shared" si="3"/>
        <v/>
      </c>
      <c r="X24" s="220">
        <f t="shared" si="3"/>
        <v>-2.8421709430404007E-14</v>
      </c>
      <c r="Z24" t="s">
        <v>32</v>
      </c>
      <c r="AA24" s="220">
        <v>14.026543056206684</v>
      </c>
      <c r="AB24" s="220">
        <v>3.8254208335109139</v>
      </c>
      <c r="AC24" s="220" t="s">
        <v>452</v>
      </c>
      <c r="AD24" s="220">
        <v>113.68240503231688</v>
      </c>
      <c r="AF24" t="s">
        <v>32</v>
      </c>
      <c r="AG24" s="220">
        <f t="shared" ref="AG24:AJ44" si="5">IFERROR(I24-AA24, "")</f>
        <v>1.5769243011701413</v>
      </c>
      <c r="AH24" s="220">
        <f t="shared" si="5"/>
        <v>0.52125935890120179</v>
      </c>
      <c r="AI24" s="220" t="str">
        <f t="shared" si="5"/>
        <v/>
      </c>
      <c r="AJ24" s="220">
        <f t="shared" si="5"/>
        <v>-2.8421709430404007E-14</v>
      </c>
    </row>
    <row r="25" spans="1:36">
      <c r="A25" t="s">
        <v>19</v>
      </c>
      <c r="B25" s="122" t="s">
        <v>19</v>
      </c>
      <c r="I25" s="219">
        <v>8.9560716443708266</v>
      </c>
      <c r="J25" t="s">
        <v>452</v>
      </c>
      <c r="K25" s="224" t="s">
        <v>452</v>
      </c>
      <c r="L25" s="219">
        <v>9.702410948068394</v>
      </c>
      <c r="N25" t="s">
        <v>19</v>
      </c>
      <c r="O25" s="220">
        <v>13.416865583249292</v>
      </c>
      <c r="P25" s="220" t="s">
        <v>452</v>
      </c>
      <c r="Q25" s="220">
        <v>5.896080499210794</v>
      </c>
      <c r="R25" s="220">
        <v>15.165614651134598</v>
      </c>
      <c r="T25" t="s">
        <v>19</v>
      </c>
      <c r="U25" s="220">
        <f t="shared" si="3"/>
        <v>-4.4607939388784654</v>
      </c>
      <c r="V25" s="220" t="str">
        <f t="shared" si="3"/>
        <v/>
      </c>
      <c r="W25" s="220" t="str">
        <f t="shared" si="3"/>
        <v/>
      </c>
      <c r="X25" s="220">
        <f t="shared" si="3"/>
        <v>-5.4632037030662044</v>
      </c>
      <c r="Z25" t="s">
        <v>19</v>
      </c>
      <c r="AA25" s="220">
        <v>8.1810155995422527</v>
      </c>
      <c r="AB25" s="220" t="s">
        <v>452</v>
      </c>
      <c r="AC25" s="220">
        <v>0.22390179110927064</v>
      </c>
      <c r="AD25" s="220">
        <v>9.7770448784381525</v>
      </c>
      <c r="AF25" t="s">
        <v>19</v>
      </c>
      <c r="AG25" s="220">
        <f t="shared" si="5"/>
        <v>0.77505604482857393</v>
      </c>
      <c r="AH25" s="220" t="str">
        <f t="shared" si="5"/>
        <v/>
      </c>
      <c r="AI25" s="220" t="str">
        <f t="shared" si="5"/>
        <v/>
      </c>
      <c r="AJ25" s="220">
        <f t="shared" si="5"/>
        <v>-7.4633930369758517E-2</v>
      </c>
    </row>
    <row r="26" spans="1:36">
      <c r="A26" t="s">
        <v>21</v>
      </c>
      <c r="B26" t="s">
        <v>21</v>
      </c>
      <c r="I26" s="220">
        <v>10.773374745018828</v>
      </c>
      <c r="J26" t="s">
        <v>452</v>
      </c>
      <c r="K26" s="220" t="s">
        <v>452</v>
      </c>
      <c r="L26" s="220">
        <v>24.580029758052664</v>
      </c>
      <c r="N26" t="s">
        <v>21</v>
      </c>
      <c r="O26" s="220">
        <v>12.844398296250425</v>
      </c>
      <c r="P26" s="220" t="s">
        <v>452</v>
      </c>
      <c r="Q26" s="220" t="s">
        <v>452</v>
      </c>
      <c r="R26" s="220">
        <v>24.580029758052664</v>
      </c>
      <c r="T26" t="s">
        <v>21</v>
      </c>
      <c r="U26" s="220">
        <f t="shared" si="3"/>
        <v>-2.0710235512315975</v>
      </c>
      <c r="V26" s="220" t="str">
        <f t="shared" si="3"/>
        <v/>
      </c>
      <c r="W26" s="220" t="str">
        <f t="shared" si="3"/>
        <v/>
      </c>
      <c r="X26" s="220">
        <f t="shared" si="3"/>
        <v>0</v>
      </c>
      <c r="Z26" t="s">
        <v>21</v>
      </c>
      <c r="AA26" s="220">
        <v>9.3862910626445384</v>
      </c>
      <c r="AB26" s="220" t="s">
        <v>452</v>
      </c>
      <c r="AC26" s="220" t="s">
        <v>452</v>
      </c>
      <c r="AD26" s="220">
        <v>24.057050401498355</v>
      </c>
      <c r="AF26" t="s">
        <v>21</v>
      </c>
      <c r="AG26" s="220">
        <f t="shared" si="5"/>
        <v>1.3870836823742891</v>
      </c>
      <c r="AH26" s="220" t="str">
        <f t="shared" si="5"/>
        <v/>
      </c>
      <c r="AI26" s="220" t="str">
        <f t="shared" si="5"/>
        <v/>
      </c>
      <c r="AJ26" s="220">
        <f t="shared" si="5"/>
        <v>0.52297935655430905</v>
      </c>
    </row>
    <row r="27" spans="1:36">
      <c r="A27" t="s">
        <v>42</v>
      </c>
      <c r="B27" s="222" t="s">
        <v>42</v>
      </c>
      <c r="I27" s="221">
        <v>4.5843111794890898</v>
      </c>
      <c r="J27" t="s">
        <v>452</v>
      </c>
      <c r="K27" s="220">
        <v>2.3838418133343269</v>
      </c>
      <c r="L27" s="220" t="s">
        <v>452</v>
      </c>
      <c r="N27" t="s">
        <v>42</v>
      </c>
      <c r="O27" s="220" t="s">
        <v>452</v>
      </c>
      <c r="P27" s="220">
        <v>1.68797175368676</v>
      </c>
      <c r="Q27" s="220" t="s">
        <v>452</v>
      </c>
      <c r="R27" s="220" t="s">
        <v>452</v>
      </c>
      <c r="T27" t="s">
        <v>42</v>
      </c>
      <c r="U27" s="220" t="str">
        <f t="shared" ref="U27:X44" si="6">IFERROR(I27-O27,"")</f>
        <v/>
      </c>
      <c r="V27" s="220" t="str">
        <f t="shared" si="6"/>
        <v/>
      </c>
      <c r="W27" s="220" t="str">
        <f t="shared" si="6"/>
        <v/>
      </c>
      <c r="X27" s="220" t="str">
        <f t="shared" si="6"/>
        <v/>
      </c>
      <c r="Z27" t="s">
        <v>42</v>
      </c>
      <c r="AA27" s="220" t="s">
        <v>452</v>
      </c>
      <c r="AB27" s="220">
        <v>1.20546079343594</v>
      </c>
      <c r="AC27" s="220" t="s">
        <v>452</v>
      </c>
      <c r="AD27" s="220" t="s">
        <v>452</v>
      </c>
      <c r="AF27" t="s">
        <v>42</v>
      </c>
      <c r="AG27" s="220" t="str">
        <f t="shared" si="5"/>
        <v/>
      </c>
      <c r="AH27" s="220" t="str">
        <f t="shared" si="5"/>
        <v/>
      </c>
      <c r="AI27" s="220" t="str">
        <f t="shared" si="5"/>
        <v/>
      </c>
      <c r="AJ27" s="220" t="str">
        <f t="shared" si="5"/>
        <v/>
      </c>
    </row>
    <row r="28" spans="1:36">
      <c r="A28" t="s">
        <v>22</v>
      </c>
      <c r="B28" s="122" t="s">
        <v>22</v>
      </c>
      <c r="I28" s="219">
        <v>17.014931771484211</v>
      </c>
      <c r="J28" t="s">
        <v>452</v>
      </c>
      <c r="K28" s="224" t="s">
        <v>452</v>
      </c>
      <c r="L28" s="220">
        <v>17.014931771484211</v>
      </c>
      <c r="N28" t="s">
        <v>22</v>
      </c>
      <c r="O28" s="220">
        <v>22.960735368952175</v>
      </c>
      <c r="P28" s="220">
        <v>2.1280681561467873</v>
      </c>
      <c r="Q28" s="220">
        <v>43.788427353084366</v>
      </c>
      <c r="R28" s="220" t="s">
        <v>452</v>
      </c>
      <c r="T28" t="s">
        <v>22</v>
      </c>
      <c r="U28" s="220">
        <f t="shared" si="6"/>
        <v>-5.9458035974679646</v>
      </c>
      <c r="V28" s="220" t="str">
        <f t="shared" si="6"/>
        <v/>
      </c>
      <c r="W28" s="220" t="str">
        <f t="shared" si="6"/>
        <v/>
      </c>
      <c r="X28" s="220" t="str">
        <f t="shared" si="6"/>
        <v/>
      </c>
      <c r="Z28" t="s">
        <v>22</v>
      </c>
      <c r="AA28" s="220">
        <v>16.240520139014954</v>
      </c>
      <c r="AB28" s="220">
        <v>1.6800538074843057</v>
      </c>
      <c r="AC28" s="220">
        <v>17.014931771484211</v>
      </c>
      <c r="AD28" s="220" t="s">
        <v>452</v>
      </c>
      <c r="AF28" t="s">
        <v>22</v>
      </c>
      <c r="AG28" s="220">
        <f t="shared" si="5"/>
        <v>0.77441163246925626</v>
      </c>
      <c r="AH28" s="220" t="str">
        <f t="shared" si="5"/>
        <v/>
      </c>
      <c r="AI28" s="220" t="str">
        <f t="shared" si="5"/>
        <v/>
      </c>
      <c r="AJ28" s="220" t="str">
        <f t="shared" si="5"/>
        <v/>
      </c>
    </row>
    <row r="29" spans="1:36">
      <c r="A29" t="s">
        <v>56</v>
      </c>
      <c r="B29" t="s">
        <v>56</v>
      </c>
      <c r="I29" s="220">
        <v>7.2157930565010213</v>
      </c>
      <c r="J29" t="s">
        <v>452</v>
      </c>
      <c r="K29" s="220" t="s">
        <v>452</v>
      </c>
      <c r="L29" s="220" t="s">
        <v>452</v>
      </c>
      <c r="N29" t="s">
        <v>56</v>
      </c>
      <c r="O29" s="220">
        <v>6.859054174314446</v>
      </c>
      <c r="P29" s="220" t="s">
        <v>452</v>
      </c>
      <c r="Q29" s="220" t="s">
        <v>452</v>
      </c>
      <c r="R29" s="220" t="s">
        <v>452</v>
      </c>
      <c r="T29" t="s">
        <v>56</v>
      </c>
      <c r="U29" s="220">
        <f t="shared" si="6"/>
        <v>0.35673888218657535</v>
      </c>
      <c r="V29" s="220" t="str">
        <f t="shared" si="6"/>
        <v/>
      </c>
      <c r="W29" s="220" t="str">
        <f t="shared" si="6"/>
        <v/>
      </c>
      <c r="X29" s="220" t="str">
        <f t="shared" si="6"/>
        <v/>
      </c>
      <c r="Z29" t="s">
        <v>56</v>
      </c>
      <c r="AA29" s="220">
        <v>6.8011783312151746</v>
      </c>
      <c r="AB29" s="220" t="s">
        <v>452</v>
      </c>
      <c r="AC29" s="220" t="s">
        <v>452</v>
      </c>
      <c r="AD29" s="220" t="s">
        <v>452</v>
      </c>
      <c r="AF29" t="s">
        <v>56</v>
      </c>
      <c r="AG29" s="220">
        <f t="shared" si="5"/>
        <v>0.41461472528584675</v>
      </c>
      <c r="AH29" s="220" t="str">
        <f t="shared" si="5"/>
        <v/>
      </c>
      <c r="AI29" s="220" t="str">
        <f t="shared" si="5"/>
        <v/>
      </c>
      <c r="AJ29" s="220" t="str">
        <f t="shared" si="5"/>
        <v/>
      </c>
    </row>
    <row r="30" spans="1:36">
      <c r="A30" t="s">
        <v>23</v>
      </c>
      <c r="B30" s="122" t="s">
        <v>23</v>
      </c>
      <c r="I30" s="220">
        <v>6.133266685168687</v>
      </c>
      <c r="J30" t="s">
        <v>452</v>
      </c>
      <c r="K30" s="224" t="s">
        <v>452</v>
      </c>
      <c r="L30" s="220" t="s">
        <v>452</v>
      </c>
      <c r="N30" t="s">
        <v>23</v>
      </c>
      <c r="O30" s="220" t="s">
        <v>452</v>
      </c>
      <c r="P30" s="220" t="s">
        <v>452</v>
      </c>
      <c r="Q30" s="220">
        <v>6.133266685168687</v>
      </c>
      <c r="R30" s="220" t="s">
        <v>452</v>
      </c>
      <c r="T30" t="s">
        <v>23</v>
      </c>
      <c r="U30" s="220" t="str">
        <f t="shared" si="6"/>
        <v/>
      </c>
      <c r="V30" s="220" t="str">
        <f t="shared" si="6"/>
        <v/>
      </c>
      <c r="W30" s="220" t="str">
        <f t="shared" si="6"/>
        <v/>
      </c>
      <c r="X30" s="220" t="str">
        <f t="shared" si="6"/>
        <v/>
      </c>
      <c r="Z30" t="s">
        <v>23</v>
      </c>
      <c r="AA30" s="220">
        <v>6.9973096303042244</v>
      </c>
      <c r="AB30" s="220">
        <v>0.27989238521216897</v>
      </c>
      <c r="AC30" s="220">
        <v>1.2266533370337374</v>
      </c>
      <c r="AD30" s="220" t="s">
        <v>452</v>
      </c>
      <c r="AF30" t="s">
        <v>23</v>
      </c>
      <c r="AG30" s="220">
        <f t="shared" si="5"/>
        <v>-0.86404294513553737</v>
      </c>
      <c r="AH30" s="220" t="str">
        <f t="shared" si="5"/>
        <v/>
      </c>
      <c r="AI30" s="220" t="str">
        <f t="shared" si="5"/>
        <v/>
      </c>
      <c r="AJ30" s="220" t="str">
        <f t="shared" si="5"/>
        <v/>
      </c>
    </row>
    <row r="31" spans="1:36">
      <c r="A31" t="s">
        <v>35</v>
      </c>
      <c r="B31" s="222" t="s">
        <v>35</v>
      </c>
      <c r="I31" s="221">
        <v>3.1960794758429638</v>
      </c>
      <c r="J31" t="s">
        <v>452</v>
      </c>
      <c r="K31" s="219">
        <v>4.3375364315011646</v>
      </c>
      <c r="L31" s="220" t="s">
        <v>452</v>
      </c>
      <c r="N31" t="s">
        <v>35</v>
      </c>
      <c r="O31" s="220" t="s">
        <v>452</v>
      </c>
      <c r="P31" s="220" t="s">
        <v>452</v>
      </c>
      <c r="Q31" s="220">
        <v>1.3697483467898417</v>
      </c>
      <c r="R31" s="220" t="s">
        <v>452</v>
      </c>
      <c r="T31" t="s">
        <v>35</v>
      </c>
      <c r="U31" s="220" t="str">
        <f t="shared" si="6"/>
        <v/>
      </c>
      <c r="V31" s="220" t="str">
        <f t="shared" si="6"/>
        <v/>
      </c>
      <c r="W31" s="220">
        <f t="shared" si="6"/>
        <v>2.9677880847113229</v>
      </c>
      <c r="X31" s="220" t="str">
        <f t="shared" si="6"/>
        <v/>
      </c>
      <c r="Z31" t="s">
        <v>35</v>
      </c>
      <c r="AA31" s="220" t="s">
        <v>452</v>
      </c>
      <c r="AB31" s="220" t="s">
        <v>452</v>
      </c>
      <c r="AC31" s="220">
        <v>1.3697483467898417</v>
      </c>
      <c r="AD31" s="220" t="s">
        <v>452</v>
      </c>
      <c r="AF31" t="s">
        <v>35</v>
      </c>
      <c r="AG31" s="220" t="str">
        <f t="shared" si="5"/>
        <v/>
      </c>
      <c r="AH31" s="220" t="str">
        <f t="shared" si="5"/>
        <v/>
      </c>
      <c r="AI31" s="220">
        <f t="shared" si="5"/>
        <v>2.9677880847113229</v>
      </c>
      <c r="AJ31" s="220" t="str">
        <f t="shared" si="5"/>
        <v/>
      </c>
    </row>
    <row r="32" spans="1:36">
      <c r="A32" t="s">
        <v>55</v>
      </c>
      <c r="B32" s="222" t="s">
        <v>55</v>
      </c>
      <c r="I32" s="221">
        <v>22.290667653395467</v>
      </c>
      <c r="J32" t="s">
        <v>452</v>
      </c>
      <c r="K32" s="220" t="s">
        <v>452</v>
      </c>
      <c r="L32" s="220" t="s">
        <v>452</v>
      </c>
      <c r="N32" t="s">
        <v>55</v>
      </c>
      <c r="O32" s="220" t="s">
        <v>452</v>
      </c>
      <c r="P32" s="220" t="s">
        <v>452</v>
      </c>
      <c r="Q32" s="220" t="s">
        <v>452</v>
      </c>
      <c r="R32" s="220" t="s">
        <v>452</v>
      </c>
      <c r="T32" t="s">
        <v>55</v>
      </c>
      <c r="U32" s="220" t="str">
        <f t="shared" si="6"/>
        <v/>
      </c>
      <c r="V32" s="220" t="str">
        <f t="shared" si="6"/>
        <v/>
      </c>
      <c r="W32" s="220" t="str">
        <f t="shared" si="6"/>
        <v/>
      </c>
      <c r="X32" s="220" t="str">
        <f t="shared" si="6"/>
        <v/>
      </c>
      <c r="Z32" t="s">
        <v>55</v>
      </c>
      <c r="AA32" s="220" t="s">
        <v>452</v>
      </c>
      <c r="AB32" s="220" t="s">
        <v>452</v>
      </c>
      <c r="AC32" s="220" t="s">
        <v>452</v>
      </c>
      <c r="AD32" s="220" t="s">
        <v>452</v>
      </c>
      <c r="AF32" t="s">
        <v>55</v>
      </c>
      <c r="AG32" s="220" t="str">
        <f t="shared" si="5"/>
        <v/>
      </c>
      <c r="AH32" s="220" t="str">
        <f t="shared" si="5"/>
        <v/>
      </c>
      <c r="AI32" s="220" t="str">
        <f t="shared" si="5"/>
        <v/>
      </c>
      <c r="AJ32" s="220" t="str">
        <f t="shared" si="5"/>
        <v/>
      </c>
    </row>
    <row r="33" spans="1:36">
      <c r="A33" t="s">
        <v>20</v>
      </c>
      <c r="B33" s="122" t="s">
        <v>20</v>
      </c>
      <c r="I33" s="219">
        <v>4.3466801924121157</v>
      </c>
      <c r="J33" t="s">
        <v>452</v>
      </c>
      <c r="K33" s="219">
        <v>1.1145333826697732</v>
      </c>
      <c r="L33" s="219">
        <v>11.814053856299596</v>
      </c>
      <c r="N33" t="s">
        <v>20</v>
      </c>
      <c r="O33" s="220">
        <v>6.3649018394186481</v>
      </c>
      <c r="P33" s="220">
        <v>1.6482813528374987</v>
      </c>
      <c r="Q33" s="220">
        <v>5.4612135750818895</v>
      </c>
      <c r="R33" s="220">
        <v>26.748801184074559</v>
      </c>
      <c r="T33" t="s">
        <v>20</v>
      </c>
      <c r="U33" s="220">
        <f t="shared" si="6"/>
        <v>-2.0182216470065324</v>
      </c>
      <c r="V33" s="220" t="str">
        <f t="shared" si="6"/>
        <v/>
      </c>
      <c r="W33" s="220">
        <f t="shared" si="6"/>
        <v>-4.3466801924121166</v>
      </c>
      <c r="X33" s="220">
        <f t="shared" si="6"/>
        <v>-14.934747327774962</v>
      </c>
      <c r="Z33" s="122" t="s">
        <v>20</v>
      </c>
      <c r="AA33" s="219">
        <v>1.7750722261326908</v>
      </c>
      <c r="AB33" s="220">
        <v>0.2535817465903844</v>
      </c>
      <c r="AC33" s="219">
        <v>5.2940335676814234</v>
      </c>
      <c r="AD33" s="220">
        <v>11.145333826697733</v>
      </c>
      <c r="AF33" t="s">
        <v>20</v>
      </c>
      <c r="AG33" s="220">
        <f t="shared" si="5"/>
        <v>2.5716079662794247</v>
      </c>
      <c r="AH33" s="220" t="str">
        <f t="shared" si="5"/>
        <v/>
      </c>
      <c r="AI33" s="220">
        <f t="shared" si="5"/>
        <v>-4.1795001850116504</v>
      </c>
      <c r="AJ33" s="220">
        <f t="shared" si="5"/>
        <v>0.66872002960186272</v>
      </c>
    </row>
    <row r="34" spans="1:36">
      <c r="A34" t="s">
        <v>36</v>
      </c>
      <c r="B34" s="122" t="s">
        <v>36</v>
      </c>
      <c r="I34" s="220">
        <v>8.1095850796821001</v>
      </c>
      <c r="J34" t="s">
        <v>452</v>
      </c>
      <c r="K34" s="219">
        <v>5.2796777862513675</v>
      </c>
      <c r="L34" s="220">
        <v>5.2796777862513675</v>
      </c>
      <c r="N34" t="s">
        <v>36</v>
      </c>
      <c r="O34" s="220">
        <v>15.764886750972007</v>
      </c>
      <c r="P34" s="220" t="s">
        <v>452</v>
      </c>
      <c r="Q34" s="220">
        <v>15.839033358754103</v>
      </c>
      <c r="R34" s="220">
        <v>5.2796777862513675</v>
      </c>
      <c r="T34" t="s">
        <v>36</v>
      </c>
      <c r="U34" s="220">
        <f t="shared" si="6"/>
        <v>-7.6553016712899069</v>
      </c>
      <c r="V34" s="220" t="str">
        <f t="shared" si="6"/>
        <v/>
      </c>
      <c r="W34" s="220">
        <f t="shared" si="6"/>
        <v>-10.559355572502735</v>
      </c>
      <c r="X34" s="220">
        <f t="shared" si="6"/>
        <v>0</v>
      </c>
      <c r="Z34" t="s">
        <v>36</v>
      </c>
      <c r="AA34" s="220" t="s">
        <v>452</v>
      </c>
      <c r="AB34" s="220" t="s">
        <v>452</v>
      </c>
      <c r="AC34" s="219">
        <v>10.559355572502735</v>
      </c>
      <c r="AD34" s="220" t="s">
        <v>452</v>
      </c>
      <c r="AF34" t="s">
        <v>36</v>
      </c>
      <c r="AG34" s="220" t="str">
        <f t="shared" si="5"/>
        <v/>
      </c>
      <c r="AH34" s="220" t="str">
        <f t="shared" si="5"/>
        <v/>
      </c>
      <c r="AI34" s="220">
        <f t="shared" si="5"/>
        <v>-5.2796777862513675</v>
      </c>
      <c r="AJ34" s="220" t="str">
        <f t="shared" si="5"/>
        <v/>
      </c>
    </row>
    <row r="35" spans="1:36">
      <c r="A35" t="s">
        <v>31</v>
      </c>
      <c r="B35" s="122" t="s">
        <v>31</v>
      </c>
      <c r="I35" s="219">
        <v>24.811331833473677</v>
      </c>
      <c r="J35" t="s">
        <v>452</v>
      </c>
      <c r="K35" s="220">
        <v>14.425192926438186</v>
      </c>
      <c r="L35" s="220" t="s">
        <v>452</v>
      </c>
      <c r="N35" t="s">
        <v>31</v>
      </c>
      <c r="O35" s="220">
        <v>31.399435760252267</v>
      </c>
      <c r="P35" s="220">
        <v>0.56448423838655759</v>
      </c>
      <c r="Q35" s="220">
        <v>14.425192926438186</v>
      </c>
      <c r="R35" s="220" t="s">
        <v>452</v>
      </c>
      <c r="T35" t="s">
        <v>31</v>
      </c>
      <c r="U35" s="220">
        <f t="shared" si="6"/>
        <v>-6.5881039267785901</v>
      </c>
      <c r="V35" s="220" t="str">
        <f t="shared" si="6"/>
        <v/>
      </c>
      <c r="W35" s="220">
        <f t="shared" si="6"/>
        <v>0</v>
      </c>
      <c r="X35" s="220" t="str">
        <f t="shared" si="6"/>
        <v/>
      </c>
      <c r="Z35" t="s">
        <v>31</v>
      </c>
      <c r="AA35" s="220">
        <v>24.025860396327854</v>
      </c>
      <c r="AB35" s="220">
        <v>0.56448423838655759</v>
      </c>
      <c r="AC35" s="220">
        <v>14.425192926438186</v>
      </c>
      <c r="AD35" s="220" t="s">
        <v>452</v>
      </c>
      <c r="AF35" t="s">
        <v>31</v>
      </c>
      <c r="AG35" s="220">
        <f t="shared" si="5"/>
        <v>0.7854714371458229</v>
      </c>
      <c r="AH35" s="220" t="str">
        <f t="shared" si="5"/>
        <v/>
      </c>
      <c r="AI35" s="220">
        <f t="shared" si="5"/>
        <v>0</v>
      </c>
      <c r="AJ35" s="220" t="str">
        <f t="shared" si="5"/>
        <v/>
      </c>
    </row>
    <row r="36" spans="1:36">
      <c r="A36" t="s">
        <v>41</v>
      </c>
      <c r="B36" t="s">
        <v>41</v>
      </c>
      <c r="I36" s="220">
        <v>0.10400971404756772</v>
      </c>
      <c r="J36" t="s">
        <v>452</v>
      </c>
      <c r="K36" s="220" t="s">
        <v>452</v>
      </c>
      <c r="L36" s="220">
        <v>9.5342237876937075E-2</v>
      </c>
      <c r="N36" t="s">
        <v>41</v>
      </c>
      <c r="O36" s="220">
        <v>0.16441048359419844</v>
      </c>
      <c r="P36" s="220">
        <v>2.5511971592203208E-2</v>
      </c>
      <c r="Q36" s="220" t="s">
        <v>452</v>
      </c>
      <c r="R36" s="220">
        <v>0.22535438043639675</v>
      </c>
      <c r="T36" t="s">
        <v>41</v>
      </c>
      <c r="U36" s="220">
        <f t="shared" si="6"/>
        <v>-6.040076954663072E-2</v>
      </c>
      <c r="V36" s="220" t="str">
        <f t="shared" si="6"/>
        <v/>
      </c>
      <c r="W36" s="220" t="str">
        <f t="shared" si="6"/>
        <v/>
      </c>
      <c r="X36" s="220">
        <f t="shared" si="6"/>
        <v>-0.13001214255945967</v>
      </c>
      <c r="Z36" t="s">
        <v>41</v>
      </c>
      <c r="AA36" s="220">
        <v>0.10346521812393525</v>
      </c>
      <c r="AB36" s="220">
        <v>2.5511971592203208E-2</v>
      </c>
      <c r="AC36" s="220" t="s">
        <v>452</v>
      </c>
      <c r="AD36" s="220">
        <v>9.5342237876937075E-2</v>
      </c>
      <c r="AF36" t="s">
        <v>41</v>
      </c>
      <c r="AG36" s="220">
        <f t="shared" si="5"/>
        <v>5.4449592363246813E-4</v>
      </c>
      <c r="AH36" s="220" t="str">
        <f t="shared" si="5"/>
        <v/>
      </c>
      <c r="AI36" s="220" t="str">
        <f t="shared" si="5"/>
        <v/>
      </c>
      <c r="AJ36" s="220">
        <f t="shared" si="5"/>
        <v>0</v>
      </c>
    </row>
    <row r="37" spans="1:36">
      <c r="A37" t="s">
        <v>27</v>
      </c>
      <c r="B37" s="222" t="s">
        <v>27</v>
      </c>
      <c r="I37" s="221">
        <v>1.0770365544768734</v>
      </c>
      <c r="J37" t="s">
        <v>452</v>
      </c>
      <c r="K37" s="220">
        <v>0.39890242758402716</v>
      </c>
      <c r="L37" s="220" t="s">
        <v>452</v>
      </c>
      <c r="N37" t="s">
        <v>27</v>
      </c>
      <c r="O37" s="220" t="s">
        <v>452</v>
      </c>
      <c r="P37" s="220" t="s">
        <v>452</v>
      </c>
      <c r="Q37" s="220">
        <v>0.41257908224405099</v>
      </c>
      <c r="R37" s="220" t="s">
        <v>452</v>
      </c>
      <c r="T37" t="s">
        <v>27</v>
      </c>
      <c r="U37" s="220" t="str">
        <f t="shared" si="6"/>
        <v/>
      </c>
      <c r="V37" s="220" t="str">
        <f t="shared" si="6"/>
        <v/>
      </c>
      <c r="W37" s="220">
        <f t="shared" si="6"/>
        <v>-1.3676654660023824E-2</v>
      </c>
      <c r="X37" s="220" t="str">
        <f t="shared" si="6"/>
        <v/>
      </c>
      <c r="Z37" t="s">
        <v>27</v>
      </c>
      <c r="AA37" s="220" t="s">
        <v>452</v>
      </c>
      <c r="AB37" s="220" t="s">
        <v>452</v>
      </c>
      <c r="AC37" s="220">
        <v>0.39890242758402716</v>
      </c>
      <c r="AD37" s="220" t="s">
        <v>452</v>
      </c>
      <c r="AF37" t="s">
        <v>27</v>
      </c>
      <c r="AG37" s="220" t="str">
        <f t="shared" si="5"/>
        <v/>
      </c>
      <c r="AH37" s="220" t="str">
        <f t="shared" si="5"/>
        <v/>
      </c>
      <c r="AI37" s="220">
        <f t="shared" si="5"/>
        <v>0</v>
      </c>
      <c r="AJ37" s="220" t="str">
        <f t="shared" si="5"/>
        <v/>
      </c>
    </row>
    <row r="38" spans="1:36">
      <c r="A38" t="s">
        <v>34</v>
      </c>
      <c r="B38" s="122" t="s">
        <v>34</v>
      </c>
      <c r="I38" s="220" t="s">
        <v>452</v>
      </c>
      <c r="J38" t="s">
        <v>452</v>
      </c>
      <c r="K38" s="219">
        <v>8.4068705359627072E-2</v>
      </c>
      <c r="L38" s="220" t="s">
        <v>452</v>
      </c>
      <c r="N38" t="s">
        <v>34</v>
      </c>
      <c r="O38" s="220" t="s">
        <v>452</v>
      </c>
      <c r="P38" s="220">
        <v>5.6799626575816574E-2</v>
      </c>
      <c r="Q38" s="220">
        <v>7.6719165797693947</v>
      </c>
      <c r="R38" s="220" t="s">
        <v>452</v>
      </c>
      <c r="T38" t="s">
        <v>34</v>
      </c>
      <c r="U38" s="220" t="str">
        <f t="shared" si="6"/>
        <v/>
      </c>
      <c r="V38" s="220" t="str">
        <f t="shared" si="6"/>
        <v/>
      </c>
      <c r="W38" s="220">
        <f t="shared" si="6"/>
        <v>-7.5878478744097677</v>
      </c>
      <c r="X38" s="220" t="str">
        <f t="shared" si="6"/>
        <v/>
      </c>
      <c r="Z38" t="s">
        <v>34</v>
      </c>
      <c r="AA38" s="220" t="s">
        <v>452</v>
      </c>
      <c r="AB38" s="220">
        <v>5.6799626575816574E-2</v>
      </c>
      <c r="AC38" s="220">
        <v>3.8881776228827519E-3</v>
      </c>
      <c r="AD38" s="220" t="s">
        <v>452</v>
      </c>
      <c r="AF38" t="s">
        <v>34</v>
      </c>
      <c r="AG38" s="220" t="str">
        <f t="shared" si="5"/>
        <v/>
      </c>
      <c r="AH38" s="220" t="str">
        <f t="shared" si="5"/>
        <v/>
      </c>
      <c r="AI38" s="220">
        <f t="shared" si="5"/>
        <v>8.018052773674432E-2</v>
      </c>
      <c r="AJ38" s="220" t="str">
        <f t="shared" si="5"/>
        <v/>
      </c>
    </row>
    <row r="39" spans="1:36">
      <c r="A39" t="s">
        <v>92</v>
      </c>
      <c r="B39" s="122" t="s">
        <v>92</v>
      </c>
      <c r="I39" s="219">
        <v>2.6557185588491482E-2</v>
      </c>
      <c r="J39" t="s">
        <v>452</v>
      </c>
      <c r="K39" s="220">
        <v>7.001439836965935E-2</v>
      </c>
      <c r="L39" s="220" t="s">
        <v>452</v>
      </c>
      <c r="N39" t="s">
        <v>92</v>
      </c>
      <c r="O39" s="220">
        <v>0.20354924932468543</v>
      </c>
      <c r="P39" s="220">
        <v>4.7893941017573046E-3</v>
      </c>
      <c r="Q39" s="220" t="s">
        <v>452</v>
      </c>
      <c r="R39" s="220" t="s">
        <v>452</v>
      </c>
      <c r="T39" t="s">
        <v>92</v>
      </c>
      <c r="U39" s="220">
        <f t="shared" si="6"/>
        <v>-0.17699206373619394</v>
      </c>
      <c r="V39" s="220" t="str">
        <f t="shared" si="6"/>
        <v/>
      </c>
      <c r="W39" s="220" t="str">
        <f t="shared" si="6"/>
        <v/>
      </c>
      <c r="X39" s="220" t="str">
        <f t="shared" si="6"/>
        <v/>
      </c>
      <c r="Z39" t="s">
        <v>92</v>
      </c>
      <c r="AA39" s="220">
        <v>0.10057727613690338</v>
      </c>
      <c r="AB39" s="220">
        <v>4.7893941017573046E-3</v>
      </c>
      <c r="AC39" s="220" t="s">
        <v>452</v>
      </c>
      <c r="AD39" s="220" t="s">
        <v>452</v>
      </c>
      <c r="AF39" t="s">
        <v>92</v>
      </c>
      <c r="AG39" s="220">
        <f t="shared" si="5"/>
        <v>-7.402009054841191E-2</v>
      </c>
      <c r="AH39" s="220" t="str">
        <f t="shared" si="5"/>
        <v/>
      </c>
      <c r="AI39" s="220" t="str">
        <f t="shared" si="5"/>
        <v/>
      </c>
      <c r="AJ39" s="220" t="str">
        <f t="shared" si="5"/>
        <v/>
      </c>
    </row>
    <row r="40" spans="1:36">
      <c r="A40" t="s">
        <v>30</v>
      </c>
      <c r="B40" t="s">
        <v>30</v>
      </c>
      <c r="I40" s="220">
        <v>0.65761500844820187</v>
      </c>
      <c r="J40" t="s">
        <v>452</v>
      </c>
      <c r="K40" s="220">
        <v>0.34388453124705975</v>
      </c>
      <c r="L40" s="220">
        <v>0.16039390449956142</v>
      </c>
      <c r="N40" t="s">
        <v>30</v>
      </c>
      <c r="O40" s="220">
        <v>0.65700605392061129</v>
      </c>
      <c r="P40" s="220">
        <v>0.10277189670266547</v>
      </c>
      <c r="Q40" s="220">
        <v>0.50427843574662112</v>
      </c>
      <c r="R40" s="220">
        <v>0.16039390449956142</v>
      </c>
      <c r="T40" t="s">
        <v>30</v>
      </c>
      <c r="U40" s="220">
        <f t="shared" si="6"/>
        <v>6.0895452759057722E-4</v>
      </c>
      <c r="V40" s="220" t="str">
        <f t="shared" si="6"/>
        <v/>
      </c>
      <c r="W40" s="220">
        <f t="shared" si="6"/>
        <v>-0.16039390449956137</v>
      </c>
      <c r="X40" s="220">
        <f t="shared" si="6"/>
        <v>0</v>
      </c>
      <c r="Z40" t="s">
        <v>30</v>
      </c>
      <c r="AA40" s="220">
        <v>0.65700605392061129</v>
      </c>
      <c r="AB40" s="220">
        <v>0.10277189670266547</v>
      </c>
      <c r="AC40" s="220">
        <v>0.50427843574662112</v>
      </c>
      <c r="AD40" s="220">
        <v>0.16039390449956142</v>
      </c>
      <c r="AF40" t="s">
        <v>30</v>
      </c>
      <c r="AG40" s="220">
        <f t="shared" si="5"/>
        <v>6.0895452759057722E-4</v>
      </c>
      <c r="AH40" s="220" t="str">
        <f t="shared" si="5"/>
        <v/>
      </c>
      <c r="AI40" s="220">
        <f t="shared" si="5"/>
        <v>-0.16039390449956137</v>
      </c>
      <c r="AJ40" s="220">
        <f t="shared" si="5"/>
        <v>0</v>
      </c>
    </row>
    <row r="41" spans="1:36">
      <c r="A41" t="s">
        <v>37</v>
      </c>
      <c r="B41" t="s">
        <v>37</v>
      </c>
      <c r="I41" s="220">
        <v>0.61613837181330322</v>
      </c>
      <c r="J41" t="s">
        <v>452</v>
      </c>
      <c r="K41" s="220">
        <v>0.57102722132836259</v>
      </c>
      <c r="L41" s="220" t="s">
        <v>452</v>
      </c>
      <c r="N41" t="s">
        <v>37</v>
      </c>
      <c r="O41" s="220">
        <v>3.0522669119815546</v>
      </c>
      <c r="P41" s="220">
        <v>3.3541394637159938E-2</v>
      </c>
      <c r="Q41" s="220">
        <v>0.57102722132836259</v>
      </c>
      <c r="R41" s="220" t="s">
        <v>452</v>
      </c>
      <c r="T41" t="s">
        <v>37</v>
      </c>
      <c r="U41" s="220">
        <f t="shared" si="6"/>
        <v>-2.4361285401682515</v>
      </c>
      <c r="V41" s="220" t="str">
        <f t="shared" si="6"/>
        <v/>
      </c>
      <c r="W41" s="220">
        <f t="shared" si="6"/>
        <v>0</v>
      </c>
      <c r="X41" s="220" t="str">
        <f t="shared" si="6"/>
        <v/>
      </c>
      <c r="Z41" t="s">
        <v>37</v>
      </c>
      <c r="AA41" s="220">
        <v>0.67082789274319876</v>
      </c>
      <c r="AB41" s="220">
        <v>3.3541394637159938E-2</v>
      </c>
      <c r="AC41" s="220">
        <v>0.57102722132836259</v>
      </c>
      <c r="AD41" s="220" t="s">
        <v>452</v>
      </c>
      <c r="AF41" t="s">
        <v>37</v>
      </c>
      <c r="AG41" s="220">
        <f t="shared" si="5"/>
        <v>-5.4689520929895541E-2</v>
      </c>
      <c r="AH41" s="220" t="str">
        <f t="shared" si="5"/>
        <v/>
      </c>
      <c r="AI41" s="220">
        <f t="shared" si="5"/>
        <v>0</v>
      </c>
      <c r="AJ41" s="220" t="str">
        <f t="shared" si="5"/>
        <v/>
      </c>
    </row>
    <row r="42" spans="1:36">
      <c r="A42" t="s">
        <v>38</v>
      </c>
      <c r="B42" s="122" t="s">
        <v>38</v>
      </c>
      <c r="I42" s="220">
        <v>0.23266081102621139</v>
      </c>
      <c r="J42" t="s">
        <v>452</v>
      </c>
      <c r="K42" s="224" t="s">
        <v>452</v>
      </c>
      <c r="L42" s="220" t="s">
        <v>452</v>
      </c>
      <c r="N42" t="s">
        <v>38</v>
      </c>
      <c r="O42" s="220">
        <v>0.14915142887368271</v>
      </c>
      <c r="P42" s="220">
        <v>0.12429285739473558</v>
      </c>
      <c r="Q42" s="220">
        <v>1.2114407746537212</v>
      </c>
      <c r="R42" s="220" t="s">
        <v>452</v>
      </c>
      <c r="T42" t="s">
        <v>38</v>
      </c>
      <c r="U42" s="220">
        <f t="shared" si="6"/>
        <v>8.3509382152528677E-2</v>
      </c>
      <c r="V42" s="220" t="str">
        <f t="shared" si="6"/>
        <v/>
      </c>
      <c r="W42" s="220" t="str">
        <f t="shared" si="6"/>
        <v/>
      </c>
      <c r="X42" s="220" t="str">
        <f t="shared" si="6"/>
        <v/>
      </c>
      <c r="Z42" t="s">
        <v>38</v>
      </c>
      <c r="AA42" s="220">
        <v>0.14915142887368271</v>
      </c>
      <c r="AB42" s="220">
        <v>9.943428591578847E-2</v>
      </c>
      <c r="AC42" s="220">
        <v>1.2114407746537212</v>
      </c>
      <c r="AD42" s="220" t="s">
        <v>452</v>
      </c>
      <c r="AF42" t="s">
        <v>38</v>
      </c>
      <c r="AG42" s="220">
        <f t="shared" si="5"/>
        <v>8.3509382152528677E-2</v>
      </c>
      <c r="AH42" s="220" t="str">
        <f t="shared" si="5"/>
        <v/>
      </c>
      <c r="AI42" s="220" t="str">
        <f t="shared" si="5"/>
        <v/>
      </c>
      <c r="AJ42" s="220" t="str">
        <f t="shared" si="5"/>
        <v/>
      </c>
    </row>
    <row r="43" spans="1:36">
      <c r="A43" t="s">
        <v>93</v>
      </c>
      <c r="B43" s="122" t="s">
        <v>93</v>
      </c>
      <c r="I43" s="219">
        <v>1.2930114385724907</v>
      </c>
      <c r="J43" t="s">
        <v>452</v>
      </c>
      <c r="K43" s="220" t="s">
        <v>452</v>
      </c>
      <c r="L43" s="220" t="s">
        <v>452</v>
      </c>
      <c r="N43" t="s">
        <v>93</v>
      </c>
      <c r="O43" s="220">
        <v>1.726519646766401</v>
      </c>
      <c r="P43" s="220">
        <v>0.12332283191188578</v>
      </c>
      <c r="Q43" s="220" t="s">
        <v>452</v>
      </c>
      <c r="R43" s="220" t="s">
        <v>452</v>
      </c>
      <c r="T43" t="s">
        <v>93</v>
      </c>
      <c r="U43" s="220">
        <f t="shared" si="6"/>
        <v>-0.43350820819391034</v>
      </c>
      <c r="V43" s="220" t="str">
        <f t="shared" si="6"/>
        <v/>
      </c>
      <c r="W43" s="220" t="str">
        <f t="shared" si="6"/>
        <v/>
      </c>
      <c r="X43" s="220" t="str">
        <f t="shared" si="6"/>
        <v/>
      </c>
      <c r="Z43" s="122" t="s">
        <v>93</v>
      </c>
      <c r="AA43" s="219">
        <v>0.73993699147131464</v>
      </c>
      <c r="AB43" s="220">
        <v>0.12332283191188578</v>
      </c>
      <c r="AC43" s="220" t="s">
        <v>452</v>
      </c>
      <c r="AD43" s="220" t="s">
        <v>452</v>
      </c>
      <c r="AF43" t="s">
        <v>93</v>
      </c>
      <c r="AG43" s="220">
        <f t="shared" si="5"/>
        <v>0.55307444710117604</v>
      </c>
      <c r="AH43" s="220" t="str">
        <f t="shared" si="5"/>
        <v/>
      </c>
      <c r="AI43" s="220" t="str">
        <f t="shared" si="5"/>
        <v/>
      </c>
      <c r="AJ43" s="220" t="str">
        <f t="shared" si="5"/>
        <v/>
      </c>
    </row>
    <row r="44" spans="1:36">
      <c r="A44" t="s">
        <v>33</v>
      </c>
      <c r="B44" s="225" t="s">
        <v>33</v>
      </c>
      <c r="C44" s="227"/>
      <c r="D44" s="227"/>
      <c r="E44" s="227"/>
      <c r="F44" s="227"/>
      <c r="G44" s="227"/>
      <c r="H44" s="227"/>
      <c r="I44" s="226">
        <v>4.2051254536788276</v>
      </c>
      <c r="J44" s="227" t="s">
        <v>452</v>
      </c>
      <c r="K44" s="228" t="s">
        <v>452</v>
      </c>
      <c r="L44" s="228" t="s">
        <v>452</v>
      </c>
      <c r="N44" t="s">
        <v>33</v>
      </c>
      <c r="O44" s="220">
        <v>12.131348084450686</v>
      </c>
      <c r="P44" s="220">
        <v>0.69321989054003907</v>
      </c>
      <c r="Q44" s="220" t="s">
        <v>452</v>
      </c>
      <c r="R44" s="220" t="s">
        <v>452</v>
      </c>
      <c r="T44" t="s">
        <v>33</v>
      </c>
      <c r="U44" s="220">
        <f t="shared" si="6"/>
        <v>-7.926222630771858</v>
      </c>
      <c r="V44" s="220" t="str">
        <f t="shared" si="6"/>
        <v/>
      </c>
      <c r="W44" s="220" t="str">
        <f t="shared" si="6"/>
        <v/>
      </c>
      <c r="X44" s="220" t="str">
        <f t="shared" si="6"/>
        <v/>
      </c>
      <c r="Z44" s="227" t="s">
        <v>33</v>
      </c>
      <c r="AA44" s="228">
        <v>4.505929288510254</v>
      </c>
      <c r="AB44" s="228">
        <v>0.10398298358100586</v>
      </c>
      <c r="AC44" s="228" t="s">
        <v>452</v>
      </c>
      <c r="AD44" s="228" t="s">
        <v>452</v>
      </c>
      <c r="AF44" s="227" t="s">
        <v>33</v>
      </c>
      <c r="AG44" s="228">
        <f t="shared" si="5"/>
        <v>-0.30080383483142636</v>
      </c>
      <c r="AH44" s="228" t="str">
        <f t="shared" si="5"/>
        <v/>
      </c>
      <c r="AI44" s="228" t="str">
        <f t="shared" si="5"/>
        <v/>
      </c>
      <c r="AJ44" s="228" t="str">
        <f t="shared" si="5"/>
        <v/>
      </c>
    </row>
  </sheetData>
  <conditionalFormatting sqref="U3:X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56F2-259D-4551-B464-F5D63BD7D606}">
  <dimension ref="A1:AH44"/>
  <sheetViews>
    <sheetView workbookViewId="0">
      <pane xSplit="2" ySplit="2" topLeftCell="C10" activePane="bottomRight" state="frozen"/>
      <selection activeCell="A12" sqref="A12"/>
      <selection pane="topRight" activeCell="A12" sqref="A12"/>
      <selection pane="bottomLeft" activeCell="A12" sqref="A12"/>
      <selection pane="bottomRight" activeCell="C3" sqref="C3"/>
    </sheetView>
  </sheetViews>
  <sheetFormatPr defaultColWidth="8.7265625" defaultRowHeight="12.5" outlineLevelCol="1"/>
  <cols>
    <col min="1" max="1" width="15.81640625" customWidth="1"/>
    <col min="2" max="2" width="17.1796875" customWidth="1"/>
    <col min="3" max="3" width="15.81640625" customWidth="1"/>
    <col min="4" max="4" width="10.54296875" bestFit="1" customWidth="1"/>
    <col min="5" max="5" width="12.453125" bestFit="1" customWidth="1"/>
    <col min="6" max="6" width="9.81640625" customWidth="1"/>
    <col min="14" max="14" width="9.81640625" customWidth="1"/>
    <col min="20" max="23" width="0" hidden="1" customWidth="1" outlineLevel="1"/>
    <col min="24" max="24" width="11.54296875" hidden="1" customWidth="1" outlineLevel="1"/>
    <col min="25" max="25" width="0" hidden="1" customWidth="1" outlineLevel="1"/>
    <col min="26" max="26" width="9.81640625" hidden="1" customWidth="1" outlineLevel="1"/>
    <col min="27" max="29" width="0" hidden="1" customWidth="1" outlineLevel="1"/>
    <col min="30" max="30" width="10.453125" hidden="1" customWidth="1" outlineLevel="1"/>
    <col min="31" max="31" width="8.54296875" collapsed="1"/>
  </cols>
  <sheetData>
    <row r="1" spans="1:34" ht="14.5">
      <c r="A1" s="208" t="s">
        <v>456</v>
      </c>
      <c r="C1" s="229" t="s">
        <v>457</v>
      </c>
      <c r="D1" s="229" t="s">
        <v>458</v>
      </c>
      <c r="E1" s="230" t="s">
        <v>459</v>
      </c>
      <c r="F1" s="230" t="s">
        <v>460</v>
      </c>
      <c r="I1" s="229" t="s">
        <v>457</v>
      </c>
      <c r="J1" s="229" t="s">
        <v>458</v>
      </c>
      <c r="K1" s="230" t="s">
        <v>459</v>
      </c>
      <c r="L1" s="230" t="s">
        <v>460</v>
      </c>
      <c r="U1" s="229" t="s">
        <v>457</v>
      </c>
      <c r="V1" s="229" t="s">
        <v>458</v>
      </c>
      <c r="W1" s="230" t="s">
        <v>459</v>
      </c>
      <c r="X1" s="230" t="s">
        <v>460</v>
      </c>
    </row>
    <row r="2" spans="1:34" ht="65">
      <c r="A2" t="s">
        <v>442</v>
      </c>
      <c r="B2" s="231" t="s">
        <v>443</v>
      </c>
      <c r="C2" s="232" t="s">
        <v>444</v>
      </c>
      <c r="D2" s="232" t="s">
        <v>445</v>
      </c>
      <c r="E2" s="232" t="s">
        <v>446</v>
      </c>
      <c r="F2" s="232" t="s">
        <v>447</v>
      </c>
      <c r="H2" s="213" t="s">
        <v>448</v>
      </c>
      <c r="I2" s="214" t="s">
        <v>444</v>
      </c>
      <c r="J2" s="214" t="s">
        <v>445</v>
      </c>
      <c r="K2" s="214" t="s">
        <v>446</v>
      </c>
      <c r="L2" s="214" t="s">
        <v>447</v>
      </c>
      <c r="N2" s="215" t="s">
        <v>449</v>
      </c>
      <c r="O2" s="216" t="s">
        <v>444</v>
      </c>
      <c r="P2" s="216" t="s">
        <v>445</v>
      </c>
      <c r="Q2" s="216" t="s">
        <v>446</v>
      </c>
      <c r="R2" s="216" t="s">
        <v>447</v>
      </c>
      <c r="S2" s="212"/>
      <c r="T2" s="213" t="s">
        <v>450</v>
      </c>
      <c r="U2" s="214" t="s">
        <v>444</v>
      </c>
      <c r="V2" s="214" t="s">
        <v>445</v>
      </c>
      <c r="W2" s="214" t="s">
        <v>446</v>
      </c>
      <c r="X2" s="214" t="s">
        <v>447</v>
      </c>
      <c r="Z2" s="215" t="s">
        <v>451</v>
      </c>
      <c r="AA2" s="216" t="s">
        <v>444</v>
      </c>
      <c r="AB2" s="216" t="s">
        <v>445</v>
      </c>
      <c r="AC2" s="216" t="s">
        <v>446</v>
      </c>
      <c r="AD2" s="216" t="s">
        <v>447</v>
      </c>
    </row>
    <row r="3" spans="1:34" ht="14.5">
      <c r="A3" t="s">
        <v>1</v>
      </c>
      <c r="B3" s="218" t="s">
        <v>1</v>
      </c>
      <c r="C3" s="219">
        <v>5.1703274727200439</v>
      </c>
      <c r="D3" s="220">
        <v>0.15175215831648844</v>
      </c>
      <c r="E3" s="219">
        <v>0.2389797768763598</v>
      </c>
      <c r="F3" s="221">
        <v>3.1067370993926771</v>
      </c>
      <c r="H3" t="s">
        <v>1</v>
      </c>
      <c r="I3" s="220">
        <v>9.8000000000000007</v>
      </c>
      <c r="J3" s="220">
        <v>0.2</v>
      </c>
      <c r="K3" s="220">
        <v>3.3457168762690372</v>
      </c>
      <c r="L3" s="220" t="s">
        <v>452</v>
      </c>
      <c r="N3" t="s">
        <v>1</v>
      </c>
      <c r="O3" s="220">
        <f>IFERROR(C3-I3,"")</f>
        <v>-4.6296725272799568</v>
      </c>
      <c r="P3" s="220">
        <f t="shared" ref="P3:R9" si="0">IFERROR(D3-J3,"")</f>
        <v>-4.8247841683511566E-2</v>
      </c>
      <c r="Q3" s="220">
        <f t="shared" si="0"/>
        <v>-3.1067370993926775</v>
      </c>
      <c r="R3" s="220" t="str">
        <f t="shared" si="0"/>
        <v/>
      </c>
      <c r="T3" s="218" t="s">
        <v>1</v>
      </c>
      <c r="U3" s="219">
        <v>8.4</v>
      </c>
      <c r="V3" s="220">
        <v>0.1</v>
      </c>
      <c r="W3" s="219">
        <v>3.3457168762690372</v>
      </c>
      <c r="X3" s="220" t="s">
        <v>452</v>
      </c>
      <c r="Z3" s="210" t="s">
        <v>1</v>
      </c>
      <c r="AA3" s="220">
        <f>IFERROR(C3-U3, "")</f>
        <v>-3.2296725272799565</v>
      </c>
      <c r="AB3" s="220">
        <f>IFERROR(D3-V3, "")</f>
        <v>5.1752158316488439E-2</v>
      </c>
      <c r="AC3" s="220">
        <f>IFERROR(E3-W3, "")</f>
        <v>-3.1067370993926775</v>
      </c>
      <c r="AD3" s="220" t="str">
        <f>IFERROR(F3-X3, "")</f>
        <v/>
      </c>
      <c r="AG3" s="122"/>
      <c r="AH3" t="s">
        <v>461</v>
      </c>
    </row>
    <row r="4" spans="1:34" ht="14.5">
      <c r="A4" t="s">
        <v>2</v>
      </c>
      <c r="B4" s="218" t="s">
        <v>2</v>
      </c>
      <c r="C4" s="220">
        <v>0.73389539043169194</v>
      </c>
      <c r="D4" s="220">
        <v>0.24463179681056399</v>
      </c>
      <c r="E4" s="220" t="s">
        <v>452</v>
      </c>
      <c r="F4" s="220">
        <v>13.877294655435628</v>
      </c>
      <c r="H4" t="s">
        <v>2</v>
      </c>
      <c r="I4" s="220">
        <v>1.9</v>
      </c>
      <c r="J4" s="220">
        <v>0.4</v>
      </c>
      <c r="K4" s="220">
        <v>0.93404867873124431</v>
      </c>
      <c r="L4" s="220">
        <v>14.010730180968665</v>
      </c>
      <c r="N4" t="s">
        <v>2</v>
      </c>
      <c r="O4" s="220">
        <f t="shared" ref="O4:O9" si="1">IFERROR(C4-I4,"")</f>
        <v>-1.1661046095683081</v>
      </c>
      <c r="P4" s="220">
        <f t="shared" si="0"/>
        <v>-0.15536820318943603</v>
      </c>
      <c r="Q4" s="220" t="str">
        <f t="shared" si="0"/>
        <v/>
      </c>
      <c r="R4" s="220">
        <f t="shared" si="0"/>
        <v>-0.13343552553303617</v>
      </c>
      <c r="T4" s="210" t="s">
        <v>2</v>
      </c>
      <c r="U4" s="220">
        <v>0.5</v>
      </c>
      <c r="V4" s="220">
        <v>0.1</v>
      </c>
      <c r="W4" s="220" t="s">
        <v>452</v>
      </c>
      <c r="X4" s="220">
        <v>13.343552553303489</v>
      </c>
      <c r="Z4" s="210" t="s">
        <v>2</v>
      </c>
      <c r="AA4" s="220">
        <f t="shared" ref="AA4:AD19" si="2">IFERROR(C4-U4, "")</f>
        <v>0.23389539043169194</v>
      </c>
      <c r="AB4" s="220">
        <f t="shared" si="2"/>
        <v>0.14463179681056398</v>
      </c>
      <c r="AC4" s="220" t="str">
        <f t="shared" si="2"/>
        <v/>
      </c>
      <c r="AD4" s="220">
        <f t="shared" si="2"/>
        <v>0.53374210213213935</v>
      </c>
      <c r="AG4" s="222"/>
      <c r="AH4" t="s">
        <v>462</v>
      </c>
    </row>
    <row r="5" spans="1:34" ht="14.5">
      <c r="A5" t="s">
        <v>3</v>
      </c>
      <c r="B5" s="218" t="s">
        <v>3</v>
      </c>
      <c r="C5" s="220">
        <v>4.3976580875126769</v>
      </c>
      <c r="D5" s="220">
        <v>0.34443196209889498</v>
      </c>
      <c r="E5" s="219">
        <v>6.1505707517659829</v>
      </c>
      <c r="F5" s="219">
        <v>23.433674564228394</v>
      </c>
      <c r="H5" t="s">
        <v>3</v>
      </c>
      <c r="I5" s="220">
        <v>4.4000000000000004</v>
      </c>
      <c r="J5" s="220">
        <v>0.6</v>
      </c>
      <c r="K5" s="220">
        <v>24.602283007063932</v>
      </c>
      <c r="L5" s="220">
        <v>25.524868619828826</v>
      </c>
      <c r="N5" t="s">
        <v>3</v>
      </c>
      <c r="O5" s="220">
        <f t="shared" si="1"/>
        <v>-2.3419124873234054E-3</v>
      </c>
      <c r="P5" s="220">
        <f t="shared" si="0"/>
        <v>-0.25556803790110499</v>
      </c>
      <c r="Q5" s="220">
        <f t="shared" si="0"/>
        <v>-18.451712255297949</v>
      </c>
      <c r="R5" s="220">
        <f t="shared" si="0"/>
        <v>-2.0911940556004325</v>
      </c>
      <c r="T5" s="210" t="s">
        <v>3</v>
      </c>
      <c r="U5" s="220">
        <v>4.4000000000000004</v>
      </c>
      <c r="V5" s="220">
        <v>0.3</v>
      </c>
      <c r="W5" s="220">
        <v>18.451712255297949</v>
      </c>
      <c r="X5" s="220">
        <v>26.201431402523085</v>
      </c>
      <c r="Z5" s="210" t="s">
        <v>3</v>
      </c>
      <c r="AA5" s="220">
        <f t="shared" si="2"/>
        <v>-2.3419124873234054E-3</v>
      </c>
      <c r="AB5" s="220">
        <f t="shared" si="2"/>
        <v>4.4431962098894995E-2</v>
      </c>
      <c r="AC5" s="220">
        <f t="shared" si="2"/>
        <v>-12.301141503531966</v>
      </c>
      <c r="AD5" s="220">
        <f t="shared" si="2"/>
        <v>-2.7677568382946909</v>
      </c>
      <c r="AG5" s="224"/>
      <c r="AH5" t="s">
        <v>463</v>
      </c>
    </row>
    <row r="6" spans="1:34" ht="14.5">
      <c r="A6" t="s">
        <v>4</v>
      </c>
      <c r="B6" s="218" t="s">
        <v>4</v>
      </c>
      <c r="C6" s="220">
        <v>1.2234776984094524</v>
      </c>
      <c r="D6" s="220">
        <v>0.19575643174551241</v>
      </c>
      <c r="E6" s="220" t="s">
        <v>452</v>
      </c>
      <c r="F6" s="219">
        <v>32.422159007850489</v>
      </c>
      <c r="H6" t="s">
        <v>4</v>
      </c>
      <c r="I6" s="220">
        <v>1.3</v>
      </c>
      <c r="J6" s="220">
        <v>0.3</v>
      </c>
      <c r="K6" s="220" t="s">
        <v>452</v>
      </c>
      <c r="L6" s="220">
        <v>32.422159007850489</v>
      </c>
      <c r="N6" t="s">
        <v>4</v>
      </c>
      <c r="O6" s="220">
        <f t="shared" si="1"/>
        <v>-7.6522301590547626E-2</v>
      </c>
      <c r="P6" s="220">
        <f t="shared" si="0"/>
        <v>-0.10424356825448758</v>
      </c>
      <c r="Q6" s="220" t="str">
        <f t="shared" si="0"/>
        <v/>
      </c>
      <c r="R6" s="220">
        <f t="shared" si="0"/>
        <v>0</v>
      </c>
      <c r="T6" s="210" t="s">
        <v>4</v>
      </c>
      <c r="U6" s="220">
        <v>1.3</v>
      </c>
      <c r="V6" s="220">
        <v>0.3</v>
      </c>
      <c r="W6" s="220" t="s">
        <v>452</v>
      </c>
      <c r="X6" s="220">
        <v>18.352165476141785</v>
      </c>
      <c r="Z6" s="210" t="s">
        <v>4</v>
      </c>
      <c r="AA6" s="220">
        <f t="shared" si="2"/>
        <v>-7.6522301590547626E-2</v>
      </c>
      <c r="AB6" s="220">
        <f t="shared" si="2"/>
        <v>-0.10424356825448758</v>
      </c>
      <c r="AC6" s="220" t="str">
        <f t="shared" si="2"/>
        <v/>
      </c>
      <c r="AD6" s="220">
        <f t="shared" si="2"/>
        <v>14.069993531708704</v>
      </c>
    </row>
    <row r="7" spans="1:34">
      <c r="A7" t="s">
        <v>5</v>
      </c>
      <c r="B7" s="122" t="s">
        <v>5</v>
      </c>
      <c r="C7" s="219">
        <v>10.028873795515855</v>
      </c>
      <c r="D7" s="220">
        <v>0.24599124404095493</v>
      </c>
      <c r="E7" s="220">
        <v>10.066718602291388</v>
      </c>
      <c r="F7" s="220">
        <v>0.37844806775531531</v>
      </c>
      <c r="H7" t="s">
        <v>5</v>
      </c>
      <c r="I7" s="220">
        <v>12</v>
      </c>
      <c r="J7" s="220">
        <v>0.4</v>
      </c>
      <c r="K7" s="220">
        <v>10.028873795515855</v>
      </c>
      <c r="L7" s="220">
        <v>0.19111627421643423</v>
      </c>
      <c r="N7" t="s">
        <v>5</v>
      </c>
      <c r="O7" s="220">
        <f t="shared" si="1"/>
        <v>-1.9711262044841451</v>
      </c>
      <c r="P7" s="220">
        <f t="shared" si="0"/>
        <v>-0.15400875595904509</v>
      </c>
      <c r="Q7" s="220">
        <f t="shared" si="0"/>
        <v>3.7844806775533257E-2</v>
      </c>
      <c r="R7" s="220">
        <f t="shared" si="0"/>
        <v>0.18733179353888108</v>
      </c>
      <c r="T7" t="s">
        <v>5</v>
      </c>
      <c r="U7" s="220">
        <v>0.1</v>
      </c>
      <c r="V7" s="220">
        <v>0.01</v>
      </c>
      <c r="W7" s="220">
        <v>0.30275845420425224</v>
      </c>
      <c r="X7" s="220" t="s">
        <v>452</v>
      </c>
      <c r="Z7" t="s">
        <v>5</v>
      </c>
      <c r="AA7" s="220">
        <f t="shared" si="2"/>
        <v>9.9288737955158552</v>
      </c>
      <c r="AB7" s="220">
        <f t="shared" si="2"/>
        <v>0.23599124404095492</v>
      </c>
      <c r="AC7" s="220">
        <f t="shared" si="2"/>
        <v>9.7639601480871363</v>
      </c>
      <c r="AD7" s="220" t="str">
        <f t="shared" si="2"/>
        <v/>
      </c>
    </row>
    <row r="8" spans="1:34">
      <c r="A8" t="s">
        <v>7</v>
      </c>
      <c r="B8" s="122" t="s">
        <v>7</v>
      </c>
      <c r="C8" s="220">
        <v>3.0884455536713382</v>
      </c>
      <c r="D8" s="220">
        <v>0.23757273489779523</v>
      </c>
      <c r="E8" s="219">
        <v>15.679800503254485</v>
      </c>
      <c r="F8" s="220"/>
      <c r="H8" t="s">
        <v>7</v>
      </c>
      <c r="I8" s="220">
        <v>4</v>
      </c>
      <c r="J8" s="220">
        <v>0.7</v>
      </c>
      <c r="K8" s="220">
        <v>20.431492773945287</v>
      </c>
      <c r="L8" s="220" t="s">
        <v>452</v>
      </c>
      <c r="N8" t="s">
        <v>7</v>
      </c>
      <c r="O8" s="220">
        <f t="shared" si="1"/>
        <v>-0.91155444632866178</v>
      </c>
      <c r="P8" s="220">
        <f t="shared" si="0"/>
        <v>-0.46242726510220472</v>
      </c>
      <c r="Q8" s="220">
        <f t="shared" si="0"/>
        <v>-4.7516922706908016</v>
      </c>
      <c r="R8" s="220" t="str">
        <f t="shared" si="0"/>
        <v/>
      </c>
      <c r="T8" t="s">
        <v>7</v>
      </c>
      <c r="U8" s="220">
        <v>3</v>
      </c>
      <c r="V8" s="220">
        <v>0.2</v>
      </c>
      <c r="W8" s="220">
        <v>20.431492773945287</v>
      </c>
      <c r="X8" s="220" t="s">
        <v>452</v>
      </c>
      <c r="Z8" t="s">
        <v>7</v>
      </c>
      <c r="AA8" s="220">
        <f t="shared" si="2"/>
        <v>8.8445553671338217E-2</v>
      </c>
      <c r="AB8" s="220">
        <f t="shared" si="2"/>
        <v>3.7572734897795224E-2</v>
      </c>
      <c r="AC8" s="220">
        <f t="shared" si="2"/>
        <v>-4.7516922706908016</v>
      </c>
      <c r="AD8" s="220" t="str">
        <f t="shared" si="2"/>
        <v/>
      </c>
    </row>
    <row r="9" spans="1:34">
      <c r="A9" t="s">
        <v>8</v>
      </c>
      <c r="B9" s="122" t="s">
        <v>8</v>
      </c>
      <c r="C9" s="219">
        <v>6.8753122848324937</v>
      </c>
      <c r="D9" s="220">
        <v>0.69492403739167152</v>
      </c>
      <c r="E9" s="219">
        <v>1.9960584052739501</v>
      </c>
      <c r="F9" s="221">
        <v>2.2375568296157367</v>
      </c>
      <c r="H9" t="s">
        <v>8</v>
      </c>
      <c r="I9" s="220">
        <v>7.9</v>
      </c>
      <c r="J9" s="220">
        <v>1</v>
      </c>
      <c r="K9" s="220">
        <v>4.2336152348896867</v>
      </c>
      <c r="L9" s="220" t="s">
        <v>452</v>
      </c>
      <c r="N9" t="s">
        <v>8</v>
      </c>
      <c r="O9" s="220">
        <f t="shared" si="1"/>
        <v>-1.0246877151675067</v>
      </c>
      <c r="P9" s="220">
        <f t="shared" si="0"/>
        <v>-0.30507596260832848</v>
      </c>
      <c r="Q9" s="220">
        <f t="shared" si="0"/>
        <v>-2.2375568296157367</v>
      </c>
      <c r="R9" s="220" t="str">
        <f t="shared" si="0"/>
        <v/>
      </c>
      <c r="T9" t="s">
        <v>8</v>
      </c>
      <c r="U9" s="220">
        <v>6.9</v>
      </c>
      <c r="V9" s="220">
        <v>0.7</v>
      </c>
      <c r="W9" s="220">
        <v>4.2336152348896867</v>
      </c>
      <c r="X9" s="220" t="s">
        <v>452</v>
      </c>
      <c r="Z9" t="s">
        <v>8</v>
      </c>
      <c r="AA9" s="220">
        <f t="shared" si="2"/>
        <v>-2.4687715167506674E-2</v>
      </c>
      <c r="AB9" s="220">
        <f t="shared" si="2"/>
        <v>-5.0759626083284326E-3</v>
      </c>
      <c r="AC9" s="220">
        <f t="shared" si="2"/>
        <v>-2.2375568296157367</v>
      </c>
      <c r="AD9" s="220" t="str">
        <f t="shared" si="2"/>
        <v/>
      </c>
    </row>
    <row r="10" spans="1:34">
      <c r="C10" s="220"/>
      <c r="D10" s="220"/>
      <c r="E10" s="220"/>
      <c r="F10" s="220"/>
      <c r="I10" s="220"/>
      <c r="J10" s="220"/>
      <c r="K10" s="220"/>
      <c r="L10" s="220"/>
      <c r="O10" s="220"/>
      <c r="P10" s="220"/>
      <c r="Q10" s="220"/>
      <c r="R10" s="220"/>
      <c r="U10" s="220"/>
      <c r="V10" s="220"/>
      <c r="W10" s="220"/>
      <c r="X10" s="220"/>
    </row>
    <row r="11" spans="1:34">
      <c r="A11" t="s">
        <v>0</v>
      </c>
      <c r="B11" s="222" t="s">
        <v>0</v>
      </c>
      <c r="C11" s="220">
        <v>10.614075237679117</v>
      </c>
      <c r="D11" s="220">
        <v>0.19356976117347935</v>
      </c>
      <c r="E11" s="221">
        <v>0.80654067155616405</v>
      </c>
      <c r="F11" s="220">
        <v>1.0753875620748854</v>
      </c>
      <c r="H11" t="s">
        <v>0</v>
      </c>
      <c r="I11" s="220">
        <v>10.8</v>
      </c>
      <c r="J11" s="220">
        <v>0.3</v>
      </c>
      <c r="K11" s="220" t="s">
        <v>452</v>
      </c>
      <c r="L11" s="220">
        <v>1.8819282336310492</v>
      </c>
      <c r="N11" t="s">
        <v>0</v>
      </c>
      <c r="O11" s="220">
        <f t="shared" ref="O11:R26" si="3">IFERROR(C11-I11,"")</f>
        <v>-0.18592476232088373</v>
      </c>
      <c r="P11" s="220">
        <f t="shared" si="3"/>
        <v>-0.10643023882652064</v>
      </c>
      <c r="Q11" s="220" t="str">
        <f t="shared" si="3"/>
        <v/>
      </c>
      <c r="R11" s="220">
        <f t="shared" si="3"/>
        <v>-0.80654067155616382</v>
      </c>
      <c r="T11" t="s">
        <v>0</v>
      </c>
      <c r="U11" s="220">
        <v>10.199999999999999</v>
      </c>
      <c r="V11" s="220">
        <v>0.2</v>
      </c>
      <c r="W11" s="220" t="s">
        <v>452</v>
      </c>
      <c r="X11" s="220">
        <v>1.8819282336310492</v>
      </c>
      <c r="Z11" t="s">
        <v>0</v>
      </c>
      <c r="AA11" s="220">
        <f t="shared" si="2"/>
        <v>0.41407523767911769</v>
      </c>
      <c r="AB11" s="220">
        <f t="shared" si="2"/>
        <v>-6.4302388265206623E-3</v>
      </c>
      <c r="AC11" s="220" t="str">
        <f t="shared" si="2"/>
        <v/>
      </c>
      <c r="AD11" s="220">
        <f t="shared" si="2"/>
        <v>-0.80654067155616382</v>
      </c>
    </row>
    <row r="12" spans="1:34">
      <c r="A12" t="s">
        <v>453</v>
      </c>
      <c r="B12" s="222" t="s">
        <v>6</v>
      </c>
      <c r="C12" s="220">
        <v>1.5344101930878902</v>
      </c>
      <c r="D12" s="221">
        <v>0.13319532926110159</v>
      </c>
      <c r="E12" s="221">
        <v>6.3933758045328766</v>
      </c>
      <c r="F12" s="220"/>
      <c r="H12" t="s">
        <v>453</v>
      </c>
      <c r="I12" s="220">
        <v>2.1</v>
      </c>
      <c r="J12" s="220" t="s">
        <v>452</v>
      </c>
      <c r="K12" s="220">
        <v>2.1311252681776253E-6</v>
      </c>
      <c r="L12" s="220" t="s">
        <v>452</v>
      </c>
      <c r="N12" t="s">
        <v>453</v>
      </c>
      <c r="O12" s="220">
        <f t="shared" si="3"/>
        <v>-0.56558980691210992</v>
      </c>
      <c r="P12" s="220" t="str">
        <f t="shared" si="3"/>
        <v/>
      </c>
      <c r="Q12" s="220">
        <f t="shared" si="3"/>
        <v>6.3933736734076083</v>
      </c>
      <c r="R12" s="220" t="str">
        <f t="shared" si="3"/>
        <v/>
      </c>
      <c r="T12" t="s">
        <v>6</v>
      </c>
      <c r="U12" s="220">
        <v>1.4</v>
      </c>
      <c r="V12" s="220" t="s">
        <v>452</v>
      </c>
      <c r="W12" s="220" t="s">
        <v>452</v>
      </c>
      <c r="X12" s="220" t="s">
        <v>452</v>
      </c>
      <c r="Z12" t="s">
        <v>6</v>
      </c>
      <c r="AA12" s="220">
        <f t="shared" si="2"/>
        <v>0.13441019308789026</v>
      </c>
      <c r="AB12" s="220" t="str">
        <f t="shared" si="2"/>
        <v/>
      </c>
      <c r="AC12" s="220" t="str">
        <f t="shared" si="2"/>
        <v/>
      </c>
      <c r="AD12" s="220" t="str">
        <f t="shared" si="2"/>
        <v/>
      </c>
    </row>
    <row r="13" spans="1:34">
      <c r="A13" t="s">
        <v>9</v>
      </c>
      <c r="B13" s="222" t="s">
        <v>9</v>
      </c>
      <c r="C13" s="220">
        <v>1.1970937640177073</v>
      </c>
      <c r="D13" s="221">
        <v>0</v>
      </c>
      <c r="E13" s="221">
        <v>0</v>
      </c>
      <c r="F13" s="221">
        <v>1.1970937640177073</v>
      </c>
      <c r="H13" t="s">
        <v>9</v>
      </c>
      <c r="I13" s="220">
        <v>1.2</v>
      </c>
      <c r="J13" s="220" t="s">
        <v>452</v>
      </c>
      <c r="K13" s="220" t="s">
        <v>452</v>
      </c>
      <c r="L13" s="220" t="s">
        <v>452</v>
      </c>
      <c r="N13" t="s">
        <v>9</v>
      </c>
      <c r="O13" s="220">
        <f t="shared" si="3"/>
        <v>-2.9062359822926709E-3</v>
      </c>
      <c r="P13" s="220" t="str">
        <f t="shared" si="3"/>
        <v/>
      </c>
      <c r="Q13" s="220" t="str">
        <f t="shared" si="3"/>
        <v/>
      </c>
      <c r="R13" s="220" t="str">
        <f t="shared" si="3"/>
        <v/>
      </c>
      <c r="T13" t="s">
        <v>9</v>
      </c>
      <c r="U13" s="220">
        <v>1</v>
      </c>
      <c r="V13" s="220" t="s">
        <v>452</v>
      </c>
      <c r="W13" s="220" t="s">
        <v>452</v>
      </c>
      <c r="X13" s="220" t="s">
        <v>452</v>
      </c>
      <c r="Z13" t="s">
        <v>9</v>
      </c>
      <c r="AA13" s="220">
        <f t="shared" si="2"/>
        <v>0.19709376401770728</v>
      </c>
      <c r="AB13" s="220" t="str">
        <f t="shared" si="2"/>
        <v/>
      </c>
      <c r="AC13" s="220" t="str">
        <f t="shared" si="2"/>
        <v/>
      </c>
      <c r="AD13" s="220" t="str">
        <f t="shared" si="2"/>
        <v/>
      </c>
    </row>
    <row r="14" spans="1:34">
      <c r="A14" t="s">
        <v>10</v>
      </c>
      <c r="B14" s="222" t="s">
        <v>10</v>
      </c>
      <c r="C14" s="220">
        <v>2.8925069055619068</v>
      </c>
      <c r="D14" s="221">
        <v>0.28219579566457625</v>
      </c>
      <c r="E14" s="220">
        <v>3.6999999999999997</v>
      </c>
      <c r="F14" s="220">
        <v>0.47973285262977955</v>
      </c>
      <c r="H14" t="s">
        <v>10</v>
      </c>
      <c r="I14" s="220">
        <v>2.9</v>
      </c>
      <c r="J14" s="220" t="s">
        <v>452</v>
      </c>
      <c r="K14" s="220">
        <v>3.2396077342293355</v>
      </c>
      <c r="L14" s="220">
        <v>0.4797328526297796</v>
      </c>
      <c r="N14" t="s">
        <v>10</v>
      </c>
      <c r="O14" s="220">
        <f t="shared" si="3"/>
        <v>-7.4930944380930953E-3</v>
      </c>
      <c r="P14" s="220" t="str">
        <f t="shared" si="3"/>
        <v/>
      </c>
      <c r="Q14" s="220">
        <f t="shared" si="3"/>
        <v>0.46039226577066428</v>
      </c>
      <c r="R14" s="220">
        <f t="shared" si="3"/>
        <v>-5.5511151231257827E-17</v>
      </c>
      <c r="T14" t="s">
        <v>10</v>
      </c>
      <c r="U14" s="220">
        <v>2.8</v>
      </c>
      <c r="V14" s="220" t="s">
        <v>452</v>
      </c>
      <c r="W14" s="220">
        <v>3.2396077342293355</v>
      </c>
      <c r="X14" s="220">
        <v>0.4797328526297796</v>
      </c>
      <c r="Z14" t="s">
        <v>10</v>
      </c>
      <c r="AA14" s="220">
        <f t="shared" si="2"/>
        <v>9.2506905561906994E-2</v>
      </c>
      <c r="AB14" s="220" t="str">
        <f t="shared" si="2"/>
        <v/>
      </c>
      <c r="AC14" s="220">
        <f t="shared" si="2"/>
        <v>0.46039226577066428</v>
      </c>
      <c r="AD14" s="220">
        <f t="shared" si="2"/>
        <v>-5.5511151231257827E-17</v>
      </c>
    </row>
    <row r="15" spans="1:34">
      <c r="A15" t="s">
        <v>454</v>
      </c>
      <c r="B15" t="s">
        <v>11</v>
      </c>
      <c r="C15" s="220">
        <v>2.4932150776650226</v>
      </c>
      <c r="D15" s="220">
        <v>0.10713033536841894</v>
      </c>
      <c r="E15" s="220">
        <v>0</v>
      </c>
      <c r="F15" s="220" t="s">
        <v>452</v>
      </c>
      <c r="H15" t="s">
        <v>454</v>
      </c>
      <c r="I15" s="220">
        <v>2.5</v>
      </c>
      <c r="J15" s="220">
        <v>0.1</v>
      </c>
      <c r="K15" s="220">
        <v>5.8775597631673483E-2</v>
      </c>
      <c r="L15" s="220">
        <v>0.38956485588515977</v>
      </c>
      <c r="N15" t="s">
        <v>454</v>
      </c>
      <c r="O15" s="220">
        <f t="shared" si="3"/>
        <v>-6.7849223349774057E-3</v>
      </c>
      <c r="P15" s="220">
        <f t="shared" si="3"/>
        <v>7.1303353684189358E-3</v>
      </c>
      <c r="Q15" s="220">
        <f t="shared" si="3"/>
        <v>-5.8775597631673483E-2</v>
      </c>
      <c r="R15" s="220" t="str">
        <f t="shared" si="3"/>
        <v/>
      </c>
      <c r="T15" t="s">
        <v>11</v>
      </c>
      <c r="U15" s="220">
        <v>2.4</v>
      </c>
      <c r="V15" s="220">
        <v>0.1</v>
      </c>
      <c r="W15" s="220">
        <v>5.8775597631673483E-2</v>
      </c>
      <c r="X15" s="220" t="s">
        <v>452</v>
      </c>
      <c r="Z15" t="s">
        <v>11</v>
      </c>
      <c r="AA15" s="220">
        <f t="shared" si="2"/>
        <v>9.3215077665022683E-2</v>
      </c>
      <c r="AB15" s="220">
        <f t="shared" si="2"/>
        <v>7.1303353684189358E-3</v>
      </c>
      <c r="AC15" s="220">
        <f t="shared" si="2"/>
        <v>-5.8775597631673483E-2</v>
      </c>
      <c r="AD15" s="220" t="str">
        <f t="shared" si="2"/>
        <v/>
      </c>
    </row>
    <row r="16" spans="1:34">
      <c r="A16" t="s">
        <v>12</v>
      </c>
      <c r="B16" t="s">
        <v>12</v>
      </c>
      <c r="C16" s="220">
        <v>0.72556574584184574</v>
      </c>
      <c r="D16" s="220">
        <v>6.9321568074061687E-2</v>
      </c>
      <c r="E16" s="220" t="s">
        <v>452</v>
      </c>
      <c r="F16" s="220" t="s">
        <v>452</v>
      </c>
      <c r="H16" t="s">
        <v>12</v>
      </c>
      <c r="I16" s="220">
        <v>1.1000000000000001</v>
      </c>
      <c r="J16" s="220">
        <v>0.1</v>
      </c>
      <c r="K16" s="220" t="s">
        <v>452</v>
      </c>
      <c r="L16" s="220" t="s">
        <v>452</v>
      </c>
      <c r="N16" t="s">
        <v>12</v>
      </c>
      <c r="O16" s="220">
        <f t="shared" si="3"/>
        <v>-0.37443425415815434</v>
      </c>
      <c r="P16" s="220">
        <f t="shared" si="3"/>
        <v>-3.0678431925938318E-2</v>
      </c>
      <c r="Q16" s="220" t="str">
        <f t="shared" si="3"/>
        <v/>
      </c>
      <c r="R16" s="220" t="str">
        <f t="shared" si="3"/>
        <v/>
      </c>
      <c r="T16" t="s">
        <v>12</v>
      </c>
      <c r="U16" s="220">
        <v>0.9</v>
      </c>
      <c r="V16" s="220">
        <v>0.1</v>
      </c>
      <c r="W16" s="220" t="s">
        <v>452</v>
      </c>
      <c r="X16" s="220" t="s">
        <v>452</v>
      </c>
      <c r="Z16" t="s">
        <v>12</v>
      </c>
      <c r="AA16" s="220">
        <f t="shared" si="2"/>
        <v>-0.17443425415815428</v>
      </c>
      <c r="AB16" s="220">
        <f t="shared" si="2"/>
        <v>-3.0678431925938318E-2</v>
      </c>
      <c r="AC16" s="220" t="str">
        <f t="shared" si="2"/>
        <v/>
      </c>
      <c r="AD16" s="220" t="str">
        <f t="shared" si="2"/>
        <v/>
      </c>
    </row>
    <row r="17" spans="1:30">
      <c r="A17" t="s">
        <v>13</v>
      </c>
      <c r="B17" t="s">
        <v>13</v>
      </c>
      <c r="C17" s="220">
        <v>1.7654965803765208</v>
      </c>
      <c r="D17" s="220">
        <v>0.46428283774607476</v>
      </c>
      <c r="E17" s="220"/>
      <c r="F17" s="220">
        <v>0.91634770607777905</v>
      </c>
      <c r="H17" t="s">
        <v>13</v>
      </c>
      <c r="I17" s="220">
        <v>1.8</v>
      </c>
      <c r="J17" s="220">
        <v>0.5</v>
      </c>
      <c r="K17" s="220">
        <v>0.91634770607777905</v>
      </c>
      <c r="L17" s="220" t="s">
        <v>452</v>
      </c>
      <c r="N17" t="s">
        <v>13</v>
      </c>
      <c r="O17" s="220">
        <f t="shared" si="3"/>
        <v>-3.4503419623479248E-2</v>
      </c>
      <c r="P17" s="220">
        <f t="shared" si="3"/>
        <v>-3.5717162253925239E-2</v>
      </c>
      <c r="Q17" s="220">
        <f t="shared" si="3"/>
        <v>-0.91634770607777905</v>
      </c>
      <c r="R17" s="220" t="str">
        <f t="shared" si="3"/>
        <v/>
      </c>
      <c r="T17" t="s">
        <v>13</v>
      </c>
      <c r="U17" s="220">
        <v>1.8</v>
      </c>
      <c r="V17" s="220">
        <v>0.5</v>
      </c>
      <c r="W17" s="220">
        <v>0.91634770607777905</v>
      </c>
      <c r="X17" s="220" t="s">
        <v>452</v>
      </c>
      <c r="Z17" t="s">
        <v>13</v>
      </c>
      <c r="AA17" s="220">
        <f t="shared" si="2"/>
        <v>-3.4503419623479248E-2</v>
      </c>
      <c r="AB17" s="220">
        <f t="shared" si="2"/>
        <v>-3.5717162253925239E-2</v>
      </c>
      <c r="AC17" s="220">
        <f t="shared" si="2"/>
        <v>-0.91634770607777905</v>
      </c>
      <c r="AD17" s="220" t="str">
        <f t="shared" si="2"/>
        <v/>
      </c>
    </row>
    <row r="18" spans="1:30">
      <c r="A18" t="s">
        <v>14</v>
      </c>
      <c r="B18" t="s">
        <v>14</v>
      </c>
      <c r="C18" s="220">
        <v>0.76612654001318703</v>
      </c>
      <c r="D18" s="220">
        <v>0.76612654001318703</v>
      </c>
      <c r="E18" s="220">
        <v>0.31921939167216123</v>
      </c>
      <c r="F18" s="220" t="s">
        <v>452</v>
      </c>
      <c r="H18" t="s">
        <v>14</v>
      </c>
      <c r="I18" s="220">
        <v>0.7</v>
      </c>
      <c r="J18" s="220">
        <v>0.7</v>
      </c>
      <c r="K18" s="220">
        <v>0.10640646389072042</v>
      </c>
      <c r="L18" s="220" t="s">
        <v>452</v>
      </c>
      <c r="N18" t="s">
        <v>14</v>
      </c>
      <c r="O18" s="220">
        <f t="shared" si="3"/>
        <v>6.6126540013187074E-2</v>
      </c>
      <c r="P18" s="220">
        <f t="shared" si="3"/>
        <v>6.6126540013187074E-2</v>
      </c>
      <c r="Q18" s="220">
        <f t="shared" si="3"/>
        <v>0.21281292778144081</v>
      </c>
      <c r="R18" s="220" t="str">
        <f t="shared" si="3"/>
        <v/>
      </c>
      <c r="T18" t="s">
        <v>14</v>
      </c>
      <c r="U18" s="220" t="s">
        <v>452</v>
      </c>
      <c r="V18" s="220" t="s">
        <v>452</v>
      </c>
      <c r="W18" s="220">
        <v>0.10640646389072042</v>
      </c>
      <c r="X18" s="220" t="s">
        <v>452</v>
      </c>
      <c r="Z18" t="s">
        <v>14</v>
      </c>
      <c r="AA18" s="220" t="str">
        <f t="shared" si="2"/>
        <v/>
      </c>
      <c r="AB18" s="220" t="str">
        <f t="shared" si="2"/>
        <v/>
      </c>
      <c r="AC18" s="220">
        <f t="shared" si="2"/>
        <v>0.21281292778144081</v>
      </c>
      <c r="AD18" s="220" t="str">
        <f t="shared" si="2"/>
        <v/>
      </c>
    </row>
    <row r="19" spans="1:30">
      <c r="A19" t="s">
        <v>455</v>
      </c>
      <c r="B19" s="122" t="s">
        <v>15</v>
      </c>
      <c r="C19" s="219">
        <v>0.87793918665669735</v>
      </c>
      <c r="D19" s="220">
        <v>7.6478258037650099E-2</v>
      </c>
      <c r="E19" s="220">
        <v>0.55602815154924168</v>
      </c>
      <c r="F19" s="220">
        <v>0</v>
      </c>
      <c r="H19" t="s">
        <v>455</v>
      </c>
      <c r="I19" s="220">
        <v>1.9</v>
      </c>
      <c r="J19" s="220">
        <v>0.1</v>
      </c>
      <c r="K19" s="220">
        <v>0.85355198702734469</v>
      </c>
      <c r="L19" s="220">
        <v>0.90720382621192075</v>
      </c>
      <c r="N19" t="s">
        <v>455</v>
      </c>
      <c r="O19" s="220">
        <f t="shared" si="3"/>
        <v>-1.0220608133433027</v>
      </c>
      <c r="P19" s="220">
        <f t="shared" si="3"/>
        <v>-2.3521741962349907E-2</v>
      </c>
      <c r="Q19" s="220">
        <f t="shared" si="3"/>
        <v>-0.29752383547810302</v>
      </c>
      <c r="R19" s="220">
        <f t="shared" si="3"/>
        <v>-0.90720382621192075</v>
      </c>
      <c r="T19" t="s">
        <v>15</v>
      </c>
      <c r="U19" s="220">
        <v>1.5</v>
      </c>
      <c r="V19" s="220" t="s">
        <v>452</v>
      </c>
      <c r="W19" s="220">
        <v>0.63406719036317027</v>
      </c>
      <c r="X19" s="220">
        <v>0.48774399258705414</v>
      </c>
      <c r="Z19" t="s">
        <v>15</v>
      </c>
      <c r="AA19" s="220">
        <f t="shared" si="2"/>
        <v>-0.62206081334330265</v>
      </c>
      <c r="AB19" s="220" t="str">
        <f t="shared" si="2"/>
        <v/>
      </c>
      <c r="AC19" s="220">
        <f t="shared" si="2"/>
        <v>-7.8039038813928596E-2</v>
      </c>
      <c r="AD19" s="220">
        <f t="shared" si="2"/>
        <v>-0.48774399258705414</v>
      </c>
    </row>
    <row r="20" spans="1:30">
      <c r="A20" t="s">
        <v>16</v>
      </c>
      <c r="B20" s="223" t="s">
        <v>16</v>
      </c>
      <c r="C20" s="224">
        <v>0</v>
      </c>
      <c r="D20" s="220">
        <v>0</v>
      </c>
      <c r="E20" s="220">
        <v>1.2367725473058317</v>
      </c>
      <c r="F20" s="220" t="s">
        <v>452</v>
      </c>
      <c r="H20" t="s">
        <v>16</v>
      </c>
      <c r="I20" s="220">
        <v>3.1</v>
      </c>
      <c r="J20" s="220" t="s">
        <v>452</v>
      </c>
      <c r="K20" s="220">
        <v>2.1144820970067451</v>
      </c>
      <c r="L20" s="220" t="s">
        <v>452</v>
      </c>
      <c r="N20" t="s">
        <v>16</v>
      </c>
      <c r="O20" s="220">
        <f t="shared" si="3"/>
        <v>-3.1</v>
      </c>
      <c r="P20" s="220" t="str">
        <f t="shared" si="3"/>
        <v/>
      </c>
      <c r="Q20" s="220">
        <f t="shared" si="3"/>
        <v>-0.87770954970091331</v>
      </c>
      <c r="R20" s="220" t="str">
        <f t="shared" si="3"/>
        <v/>
      </c>
      <c r="T20" t="s">
        <v>16</v>
      </c>
      <c r="U20" s="219">
        <v>2.7</v>
      </c>
      <c r="V20" s="220" t="s">
        <v>452</v>
      </c>
      <c r="W20" s="220">
        <v>1.7565043743651638</v>
      </c>
      <c r="X20" s="220" t="s">
        <v>452</v>
      </c>
      <c r="Z20" t="s">
        <v>16</v>
      </c>
      <c r="AA20" s="220">
        <f t="shared" ref="AA20:AD35" si="4">IFERROR(C20-U20, "")</f>
        <v>-2.7</v>
      </c>
      <c r="AB20" s="220" t="str">
        <f t="shared" si="4"/>
        <v/>
      </c>
      <c r="AC20" s="220">
        <f t="shared" si="4"/>
        <v>-0.51973182705933207</v>
      </c>
      <c r="AD20" s="220" t="str">
        <f t="shared" si="4"/>
        <v/>
      </c>
    </row>
    <row r="21" spans="1:30">
      <c r="A21" t="s">
        <v>17</v>
      </c>
      <c r="B21" s="223" t="s">
        <v>17</v>
      </c>
      <c r="C21" s="224">
        <v>0</v>
      </c>
      <c r="D21" s="220">
        <v>0</v>
      </c>
      <c r="E21" s="220">
        <v>0.61575870309289837</v>
      </c>
      <c r="F21" s="220" t="s">
        <v>452</v>
      </c>
      <c r="H21" t="s">
        <v>17</v>
      </c>
      <c r="I21" s="220">
        <v>10</v>
      </c>
      <c r="J21" s="220">
        <v>0.4</v>
      </c>
      <c r="K21" s="220">
        <v>3.0584041544349265E-3</v>
      </c>
      <c r="L21" s="220" t="s">
        <v>452</v>
      </c>
      <c r="N21" t="s">
        <v>17</v>
      </c>
      <c r="O21" s="220">
        <f t="shared" si="3"/>
        <v>-10</v>
      </c>
      <c r="P21" s="220">
        <f t="shared" si="3"/>
        <v>-0.4</v>
      </c>
      <c r="Q21" s="220">
        <f t="shared" si="3"/>
        <v>0.61270029893846345</v>
      </c>
      <c r="R21" s="220" t="str">
        <f t="shared" si="3"/>
        <v/>
      </c>
      <c r="T21" t="s">
        <v>17</v>
      </c>
      <c r="U21" s="220" t="s">
        <v>452</v>
      </c>
      <c r="V21" s="220" t="s">
        <v>452</v>
      </c>
      <c r="W21" s="220">
        <v>3.0584041544349265E-3</v>
      </c>
      <c r="X21" s="220" t="s">
        <v>452</v>
      </c>
      <c r="Z21" t="s">
        <v>17</v>
      </c>
      <c r="AA21" s="220" t="str">
        <f t="shared" si="4"/>
        <v/>
      </c>
      <c r="AB21" s="220" t="str">
        <f t="shared" si="4"/>
        <v/>
      </c>
      <c r="AC21" s="220">
        <f t="shared" si="4"/>
        <v>0.61270029893846345</v>
      </c>
      <c r="AD21" s="220" t="str">
        <f t="shared" si="4"/>
        <v/>
      </c>
    </row>
    <row r="22" spans="1:30">
      <c r="A22" t="s">
        <v>18</v>
      </c>
      <c r="B22" s="222" t="s">
        <v>18</v>
      </c>
      <c r="C22" s="220">
        <v>1.6174138778722653</v>
      </c>
      <c r="D22" s="220">
        <v>0</v>
      </c>
      <c r="E22" s="220"/>
      <c r="F22" s="221">
        <v>0.53913795929075525</v>
      </c>
      <c r="H22" t="s">
        <v>18</v>
      </c>
      <c r="I22" s="220">
        <v>2</v>
      </c>
      <c r="J22" s="220" t="s">
        <v>452</v>
      </c>
      <c r="K22" s="220" t="s">
        <v>452</v>
      </c>
      <c r="L22" s="220" t="s">
        <v>452</v>
      </c>
      <c r="N22" t="s">
        <v>18</v>
      </c>
      <c r="O22" s="220">
        <f t="shared" si="3"/>
        <v>-0.38258612212773468</v>
      </c>
      <c r="P22" s="220" t="str">
        <f t="shared" si="3"/>
        <v/>
      </c>
      <c r="Q22" s="220" t="str">
        <f t="shared" si="3"/>
        <v/>
      </c>
      <c r="R22" s="220" t="str">
        <f t="shared" si="3"/>
        <v/>
      </c>
      <c r="T22" t="s">
        <v>18</v>
      </c>
      <c r="U22" s="220" t="s">
        <v>452</v>
      </c>
      <c r="V22" s="220" t="s">
        <v>452</v>
      </c>
      <c r="W22" s="220" t="s">
        <v>452</v>
      </c>
      <c r="X22" s="220" t="s">
        <v>452</v>
      </c>
      <c r="Z22" t="s">
        <v>18</v>
      </c>
      <c r="AA22" s="220" t="str">
        <f t="shared" si="4"/>
        <v/>
      </c>
      <c r="AB22" s="220" t="str">
        <f t="shared" si="4"/>
        <v/>
      </c>
      <c r="AC22" s="220" t="str">
        <f t="shared" si="4"/>
        <v/>
      </c>
      <c r="AD22" s="220" t="str">
        <f t="shared" si="4"/>
        <v/>
      </c>
    </row>
    <row r="23" spans="1:30">
      <c r="I23" s="220"/>
      <c r="J23" s="220"/>
      <c r="K23" s="220"/>
      <c r="L23" s="220"/>
      <c r="O23" s="220"/>
      <c r="P23" s="220"/>
      <c r="Q23" s="220"/>
      <c r="R23" s="220"/>
      <c r="U23" s="220"/>
      <c r="V23" s="220"/>
      <c r="W23" s="220"/>
      <c r="X23" s="220"/>
    </row>
    <row r="24" spans="1:30">
      <c r="A24" t="s">
        <v>32</v>
      </c>
      <c r="B24" s="222" t="s">
        <v>32</v>
      </c>
      <c r="C24" s="220">
        <v>1.2236667313062286</v>
      </c>
      <c r="D24" s="220">
        <v>0.34087858943530652</v>
      </c>
      <c r="E24" s="221">
        <v>0.87404766521873467</v>
      </c>
      <c r="F24" s="220">
        <v>8.915286185231091</v>
      </c>
      <c r="H24" t="s">
        <v>32</v>
      </c>
      <c r="I24" s="220">
        <v>1.6</v>
      </c>
      <c r="J24" s="220">
        <v>0.3</v>
      </c>
      <c r="K24" s="220" t="s">
        <v>452</v>
      </c>
      <c r="L24" s="220">
        <v>8.9152861852310927</v>
      </c>
      <c r="N24" t="s">
        <v>32</v>
      </c>
      <c r="O24" s="220">
        <f t="shared" si="3"/>
        <v>-0.37633326869377148</v>
      </c>
      <c r="P24" s="220">
        <f t="shared" si="3"/>
        <v>4.0878589435306534E-2</v>
      </c>
      <c r="Q24" s="220" t="str">
        <f t="shared" si="3"/>
        <v/>
      </c>
      <c r="R24" s="220">
        <f t="shared" si="3"/>
        <v>-1.7763568394002505E-15</v>
      </c>
      <c r="T24" t="s">
        <v>32</v>
      </c>
      <c r="U24" s="220">
        <v>1.1000000000000001</v>
      </c>
      <c r="V24" s="220">
        <v>0.3</v>
      </c>
      <c r="W24" s="220" t="s">
        <v>452</v>
      </c>
      <c r="X24" s="220">
        <v>8.9152861852310927</v>
      </c>
      <c r="Z24" t="s">
        <v>32</v>
      </c>
      <c r="AA24" s="220">
        <f t="shared" si="4"/>
        <v>0.12366673130622852</v>
      </c>
      <c r="AB24" s="220">
        <f t="shared" si="4"/>
        <v>4.0878589435306534E-2</v>
      </c>
      <c r="AC24" s="220" t="str">
        <f t="shared" si="4"/>
        <v/>
      </c>
      <c r="AD24" s="220">
        <f t="shared" si="4"/>
        <v>-1.7763568394002505E-15</v>
      </c>
    </row>
    <row r="25" spans="1:30">
      <c r="A25" t="s">
        <v>19</v>
      </c>
      <c r="B25" s="122" t="s">
        <v>19</v>
      </c>
      <c r="C25" s="219">
        <v>2.7368459133826675</v>
      </c>
      <c r="E25" s="224"/>
      <c r="F25" s="219">
        <v>2.9649164061645568</v>
      </c>
      <c r="H25" t="s">
        <v>19</v>
      </c>
      <c r="I25" s="220">
        <v>4.0999999999999996</v>
      </c>
      <c r="J25" s="220" t="s">
        <v>452</v>
      </c>
      <c r="K25" s="220">
        <v>1.8017568929769228</v>
      </c>
      <c r="L25" s="220">
        <v>4.6343924133279835</v>
      </c>
      <c r="N25" t="s">
        <v>19</v>
      </c>
      <c r="O25" s="220">
        <f t="shared" si="3"/>
        <v>-1.3631540866173322</v>
      </c>
      <c r="P25" s="220" t="str">
        <f t="shared" si="3"/>
        <v/>
      </c>
      <c r="Q25" s="220">
        <f t="shared" si="3"/>
        <v>-1.8017568929769228</v>
      </c>
      <c r="R25" s="220">
        <f t="shared" si="3"/>
        <v>-1.6694760071634267</v>
      </c>
      <c r="T25" t="s">
        <v>19</v>
      </c>
      <c r="U25" s="220">
        <v>2.5</v>
      </c>
      <c r="V25" s="220" t="s">
        <v>452</v>
      </c>
      <c r="W25" s="220">
        <v>6.8421147834566695E-2</v>
      </c>
      <c r="X25" s="220">
        <v>2.9877234554427456</v>
      </c>
      <c r="Z25" t="s">
        <v>19</v>
      </c>
      <c r="AA25" s="220">
        <f t="shared" si="4"/>
        <v>0.23684591338266747</v>
      </c>
      <c r="AB25" s="220" t="str">
        <f t="shared" si="4"/>
        <v/>
      </c>
      <c r="AC25" s="220">
        <f t="shared" si="4"/>
        <v>-6.8421147834566695E-2</v>
      </c>
      <c r="AD25" s="220">
        <f t="shared" si="4"/>
        <v>-2.2807049278188885E-2</v>
      </c>
    </row>
    <row r="26" spans="1:30">
      <c r="A26" t="s">
        <v>21</v>
      </c>
      <c r="B26" t="s">
        <v>21</v>
      </c>
      <c r="C26" s="220">
        <v>2.1807774635286687</v>
      </c>
      <c r="E26" s="220"/>
      <c r="F26" s="220">
        <v>4.9755602323226906</v>
      </c>
      <c r="H26" t="s">
        <v>21</v>
      </c>
      <c r="I26" s="220">
        <v>2.6</v>
      </c>
      <c r="J26" s="220" t="s">
        <v>452</v>
      </c>
      <c r="K26" s="220" t="s">
        <v>452</v>
      </c>
      <c r="L26" s="220">
        <v>4.9755602323226906</v>
      </c>
      <c r="N26" t="s">
        <v>21</v>
      </c>
      <c r="O26" s="220">
        <f t="shared" si="3"/>
        <v>-0.41922253647133134</v>
      </c>
      <c r="P26" s="220" t="str">
        <f t="shared" si="3"/>
        <v/>
      </c>
      <c r="Q26" s="220" t="str">
        <f t="shared" si="3"/>
        <v/>
      </c>
      <c r="R26" s="220">
        <f t="shared" si="3"/>
        <v>0</v>
      </c>
      <c r="T26" t="s">
        <v>21</v>
      </c>
      <c r="U26" s="220">
        <v>1.9</v>
      </c>
      <c r="V26" s="220" t="s">
        <v>452</v>
      </c>
      <c r="W26" s="220" t="s">
        <v>452</v>
      </c>
      <c r="X26" s="220">
        <v>4.8696972486562506</v>
      </c>
      <c r="Z26" t="s">
        <v>21</v>
      </c>
      <c r="AA26" s="220">
        <f t="shared" si="4"/>
        <v>0.28077746352866884</v>
      </c>
      <c r="AB26" s="220" t="str">
        <f t="shared" si="4"/>
        <v/>
      </c>
      <c r="AC26" s="220" t="str">
        <f t="shared" si="4"/>
        <v/>
      </c>
      <c r="AD26" s="220">
        <f t="shared" si="4"/>
        <v>0.10586298366643998</v>
      </c>
    </row>
    <row r="27" spans="1:30">
      <c r="A27" t="s">
        <v>42</v>
      </c>
      <c r="B27" s="222" t="s">
        <v>42</v>
      </c>
      <c r="C27" s="221">
        <v>1.9014766819675528</v>
      </c>
      <c r="E27" s="220">
        <v>0.98876787462312754</v>
      </c>
      <c r="F27" s="220"/>
      <c r="H27" t="s">
        <v>42</v>
      </c>
      <c r="I27" s="220" t="s">
        <v>452</v>
      </c>
      <c r="J27" s="220">
        <v>0.7</v>
      </c>
      <c r="K27" s="220" t="s">
        <v>452</v>
      </c>
      <c r="L27" s="220" t="s">
        <v>452</v>
      </c>
      <c r="N27" t="s">
        <v>42</v>
      </c>
      <c r="O27" s="220" t="str">
        <f t="shared" ref="O27:R44" si="5">IFERROR(C27-I27,"")</f>
        <v/>
      </c>
      <c r="P27" s="220">
        <f t="shared" si="5"/>
        <v>-0.7</v>
      </c>
      <c r="Q27" s="220" t="str">
        <f t="shared" si="5"/>
        <v/>
      </c>
      <c r="R27" s="220" t="str">
        <f t="shared" si="5"/>
        <v/>
      </c>
      <c r="T27" t="s">
        <v>42</v>
      </c>
      <c r="U27" s="220" t="s">
        <v>452</v>
      </c>
      <c r="V27" s="220">
        <v>0.5</v>
      </c>
      <c r="W27" s="220" t="s">
        <v>452</v>
      </c>
      <c r="X27" s="220" t="s">
        <v>452</v>
      </c>
      <c r="Z27" t="s">
        <v>42</v>
      </c>
      <c r="AA27" s="220" t="str">
        <f t="shared" si="4"/>
        <v/>
      </c>
      <c r="AB27" s="220">
        <f t="shared" si="4"/>
        <v>-0.5</v>
      </c>
      <c r="AC27" s="220" t="str">
        <f t="shared" si="4"/>
        <v/>
      </c>
      <c r="AD27" s="220" t="str">
        <f t="shared" si="4"/>
        <v/>
      </c>
    </row>
    <row r="28" spans="1:30">
      <c r="A28" t="s">
        <v>22</v>
      </c>
      <c r="B28" s="122" t="s">
        <v>22</v>
      </c>
      <c r="C28" s="219">
        <v>3.03828336253626</v>
      </c>
      <c r="E28" s="224"/>
      <c r="F28" s="220">
        <v>3.03828336253626</v>
      </c>
      <c r="H28" t="s">
        <v>22</v>
      </c>
      <c r="I28" s="220">
        <v>4.0999999999999996</v>
      </c>
      <c r="J28" s="220">
        <v>0.38</v>
      </c>
      <c r="K28" s="220">
        <v>7.8191115947624343</v>
      </c>
      <c r="L28" s="220" t="s">
        <v>452</v>
      </c>
      <c r="N28" t="s">
        <v>22</v>
      </c>
      <c r="O28" s="220">
        <f t="shared" si="5"/>
        <v>-1.0617166374637397</v>
      </c>
      <c r="P28" s="220">
        <f t="shared" si="5"/>
        <v>-0.38</v>
      </c>
      <c r="Q28" s="220">
        <f t="shared" si="5"/>
        <v>-7.8191115947624343</v>
      </c>
      <c r="R28" s="220" t="str">
        <f t="shared" si="5"/>
        <v/>
      </c>
      <c r="T28" t="s">
        <v>22</v>
      </c>
      <c r="U28" s="220">
        <v>2.9</v>
      </c>
      <c r="V28" s="220">
        <v>0.3</v>
      </c>
      <c r="W28" s="220">
        <v>3.03828336253626</v>
      </c>
      <c r="X28" s="220" t="s">
        <v>452</v>
      </c>
      <c r="Z28" t="s">
        <v>22</v>
      </c>
      <c r="AA28" s="220">
        <f t="shared" si="4"/>
        <v>0.13828336253626006</v>
      </c>
      <c r="AB28" s="220">
        <f t="shared" si="4"/>
        <v>-0.3</v>
      </c>
      <c r="AC28" s="220">
        <f t="shared" si="4"/>
        <v>-3.03828336253626</v>
      </c>
      <c r="AD28" s="220" t="str">
        <f t="shared" si="4"/>
        <v/>
      </c>
    </row>
    <row r="29" spans="1:30">
      <c r="A29" t="s">
        <v>56</v>
      </c>
      <c r="B29" t="s">
        <v>56</v>
      </c>
      <c r="C29" s="220">
        <v>2.1040198467953437</v>
      </c>
      <c r="E29" s="220"/>
      <c r="F29" s="220"/>
      <c r="H29" t="s">
        <v>56</v>
      </c>
      <c r="I29" s="220">
        <v>2</v>
      </c>
      <c r="J29" s="220" t="s">
        <v>452</v>
      </c>
      <c r="K29" s="220" t="s">
        <v>452</v>
      </c>
      <c r="L29" s="220" t="s">
        <v>452</v>
      </c>
      <c r="N29" t="s">
        <v>56</v>
      </c>
      <c r="O29" s="220">
        <f t="shared" si="5"/>
        <v>0.10401984679534371</v>
      </c>
      <c r="P29" s="220" t="str">
        <f t="shared" si="5"/>
        <v/>
      </c>
      <c r="Q29" s="220" t="str">
        <f t="shared" si="5"/>
        <v/>
      </c>
      <c r="R29" s="220" t="str">
        <f t="shared" si="5"/>
        <v/>
      </c>
      <c r="T29" t="s">
        <v>56</v>
      </c>
      <c r="U29" s="220">
        <v>1.97</v>
      </c>
      <c r="V29" s="220" t="s">
        <v>452</v>
      </c>
      <c r="W29" s="220" t="s">
        <v>452</v>
      </c>
      <c r="X29" s="220" t="s">
        <v>452</v>
      </c>
      <c r="Z29" t="s">
        <v>56</v>
      </c>
      <c r="AA29" s="220">
        <f t="shared" si="4"/>
        <v>0.13401984679534373</v>
      </c>
      <c r="AB29" s="220" t="str">
        <f t="shared" si="4"/>
        <v/>
      </c>
      <c r="AC29" s="220" t="str">
        <f t="shared" si="4"/>
        <v/>
      </c>
      <c r="AD29" s="220" t="str">
        <f t="shared" si="4"/>
        <v/>
      </c>
    </row>
    <row r="30" spans="1:30">
      <c r="A30" t="s">
        <v>23</v>
      </c>
      <c r="B30" s="122" t="s">
        <v>23</v>
      </c>
      <c r="C30" s="220">
        <v>1.7530327466517077</v>
      </c>
      <c r="E30" s="224"/>
      <c r="F30" s="220"/>
      <c r="H30" t="s">
        <v>23</v>
      </c>
      <c r="I30" s="220" t="s">
        <v>452</v>
      </c>
      <c r="J30" s="220" t="s">
        <v>452</v>
      </c>
      <c r="K30" s="220">
        <v>1.753035669196771</v>
      </c>
      <c r="L30" s="220" t="s">
        <v>452</v>
      </c>
      <c r="N30" t="s">
        <v>23</v>
      </c>
      <c r="O30" s="220" t="str">
        <f t="shared" si="5"/>
        <v/>
      </c>
      <c r="P30" s="220" t="str">
        <f t="shared" si="5"/>
        <v/>
      </c>
      <c r="Q30" s="220">
        <f t="shared" si="5"/>
        <v>-1.753035669196771</v>
      </c>
      <c r="R30" s="220" t="str">
        <f t="shared" si="5"/>
        <v/>
      </c>
      <c r="T30" t="s">
        <v>23</v>
      </c>
      <c r="U30" s="220">
        <v>2</v>
      </c>
      <c r="V30" s="220">
        <v>0.08</v>
      </c>
      <c r="W30" s="220">
        <v>0.35060713383935416</v>
      </c>
      <c r="X30" s="220" t="s">
        <v>452</v>
      </c>
      <c r="Z30" t="s">
        <v>23</v>
      </c>
      <c r="AA30" s="220">
        <f t="shared" si="4"/>
        <v>-0.24696725334829228</v>
      </c>
      <c r="AB30" s="220">
        <f t="shared" si="4"/>
        <v>-0.08</v>
      </c>
      <c r="AC30" s="220">
        <f t="shared" si="4"/>
        <v>-0.35060713383935416</v>
      </c>
      <c r="AD30" s="220" t="str">
        <f t="shared" si="4"/>
        <v/>
      </c>
    </row>
    <row r="31" spans="1:30">
      <c r="A31" t="s">
        <v>35</v>
      </c>
      <c r="B31" s="222" t="s">
        <v>35</v>
      </c>
      <c r="C31" s="221">
        <v>2.1294739194976855</v>
      </c>
      <c r="E31" s="219">
        <v>2.8900003193182875</v>
      </c>
      <c r="F31" s="220"/>
      <c r="H31" t="s">
        <v>35</v>
      </c>
      <c r="I31" s="220" t="s">
        <v>452</v>
      </c>
      <c r="J31" s="220" t="s">
        <v>452</v>
      </c>
      <c r="K31" s="220">
        <v>0.91263167978472248</v>
      </c>
      <c r="L31" s="220" t="s">
        <v>452</v>
      </c>
      <c r="N31" t="s">
        <v>35</v>
      </c>
      <c r="O31" s="220" t="str">
        <f t="shared" si="5"/>
        <v/>
      </c>
      <c r="P31" s="220" t="str">
        <f t="shared" si="5"/>
        <v/>
      </c>
      <c r="Q31" s="220">
        <f t="shared" si="5"/>
        <v>1.977368639533565</v>
      </c>
      <c r="R31" s="220" t="str">
        <f t="shared" si="5"/>
        <v/>
      </c>
      <c r="T31" t="s">
        <v>35</v>
      </c>
      <c r="U31" s="220" t="s">
        <v>452</v>
      </c>
      <c r="V31" s="220" t="s">
        <v>452</v>
      </c>
      <c r="W31" s="220">
        <v>0.91263167978472248</v>
      </c>
      <c r="X31" s="220" t="s">
        <v>452</v>
      </c>
      <c r="Z31" t="s">
        <v>35</v>
      </c>
      <c r="AA31" s="220" t="str">
        <f t="shared" si="4"/>
        <v/>
      </c>
      <c r="AB31" s="220" t="str">
        <f t="shared" si="4"/>
        <v/>
      </c>
      <c r="AC31" s="220">
        <f t="shared" si="4"/>
        <v>1.977368639533565</v>
      </c>
      <c r="AD31" s="220" t="str">
        <f t="shared" si="4"/>
        <v/>
      </c>
    </row>
    <row r="32" spans="1:30">
      <c r="A32" t="s">
        <v>55</v>
      </c>
      <c r="B32" s="222" t="s">
        <v>55</v>
      </c>
      <c r="C32" s="221">
        <v>2.6578986463405436</v>
      </c>
      <c r="E32" s="220"/>
      <c r="F32" s="220"/>
      <c r="H32" t="s">
        <v>55</v>
      </c>
      <c r="I32" s="220" t="s">
        <v>452</v>
      </c>
      <c r="J32" s="220" t="s">
        <v>452</v>
      </c>
      <c r="K32" s="220" t="s">
        <v>452</v>
      </c>
      <c r="L32" s="220" t="s">
        <v>452</v>
      </c>
      <c r="N32" t="s">
        <v>55</v>
      </c>
      <c r="O32" s="220" t="str">
        <f t="shared" si="5"/>
        <v/>
      </c>
      <c r="P32" s="220" t="str">
        <f t="shared" si="5"/>
        <v/>
      </c>
      <c r="Q32" s="220" t="str">
        <f t="shared" si="5"/>
        <v/>
      </c>
      <c r="R32" s="220" t="str">
        <f t="shared" si="5"/>
        <v/>
      </c>
      <c r="T32" t="s">
        <v>55</v>
      </c>
      <c r="U32" s="220" t="s">
        <v>452</v>
      </c>
      <c r="V32" s="220" t="s">
        <v>452</v>
      </c>
      <c r="W32" s="220" t="s">
        <v>452</v>
      </c>
      <c r="X32" s="220" t="s">
        <v>452</v>
      </c>
      <c r="Z32" t="s">
        <v>55</v>
      </c>
      <c r="AA32" s="220" t="str">
        <f t="shared" si="4"/>
        <v/>
      </c>
      <c r="AB32" s="220" t="str">
        <f t="shared" si="4"/>
        <v/>
      </c>
      <c r="AC32" s="220" t="str">
        <f t="shared" si="4"/>
        <v/>
      </c>
      <c r="AD32" s="220" t="str">
        <f t="shared" si="4"/>
        <v/>
      </c>
    </row>
    <row r="33" spans="1:30">
      <c r="A33" t="s">
        <v>20</v>
      </c>
      <c r="B33" s="122" t="s">
        <v>20</v>
      </c>
      <c r="C33" s="219">
        <v>1.7141139892191823</v>
      </c>
      <c r="E33" s="219">
        <v>0.43951640749209803</v>
      </c>
      <c r="F33" s="219">
        <v>4.6588739194162381</v>
      </c>
      <c r="H33" t="s">
        <v>20</v>
      </c>
      <c r="I33" s="220">
        <v>2.5099999999999998</v>
      </c>
      <c r="J33" s="220">
        <v>0.65</v>
      </c>
      <c r="K33" s="220">
        <v>2.1536303967112804</v>
      </c>
      <c r="L33" s="220">
        <v>10.548393779810352</v>
      </c>
      <c r="N33" t="s">
        <v>20</v>
      </c>
      <c r="O33" s="220">
        <f t="shared" si="5"/>
        <v>-0.79588601078081744</v>
      </c>
      <c r="P33" s="220">
        <f t="shared" si="5"/>
        <v>-0.65</v>
      </c>
      <c r="Q33" s="220">
        <f t="shared" si="5"/>
        <v>-1.7141139892191823</v>
      </c>
      <c r="R33" s="220">
        <f t="shared" si="5"/>
        <v>-5.8895198603941141</v>
      </c>
      <c r="T33" s="122" t="s">
        <v>20</v>
      </c>
      <c r="U33" s="219">
        <v>0.7</v>
      </c>
      <c r="V33" s="220">
        <v>0.1</v>
      </c>
      <c r="W33" s="219">
        <v>2.0877029355874654</v>
      </c>
      <c r="X33" s="220">
        <v>4.3951640749209799</v>
      </c>
      <c r="Z33" t="s">
        <v>20</v>
      </c>
      <c r="AA33" s="220">
        <f t="shared" si="4"/>
        <v>1.0141139892191824</v>
      </c>
      <c r="AB33" s="220">
        <f t="shared" si="4"/>
        <v>-0.1</v>
      </c>
      <c r="AC33" s="220">
        <f t="shared" si="4"/>
        <v>-1.6481865280953674</v>
      </c>
      <c r="AD33" s="220">
        <f t="shared" si="4"/>
        <v>0.26370984449525814</v>
      </c>
    </row>
    <row r="34" spans="1:30">
      <c r="A34" t="s">
        <v>36</v>
      </c>
      <c r="B34" s="122" t="s">
        <v>36</v>
      </c>
      <c r="C34" s="220">
        <v>2.6351907768322809</v>
      </c>
      <c r="E34" s="219">
        <v>1.7156189953335164</v>
      </c>
      <c r="F34" s="220">
        <v>1.7156189953335164</v>
      </c>
      <c r="H34" t="s">
        <v>36</v>
      </c>
      <c r="I34" s="220">
        <v>4.5999999999999996</v>
      </c>
      <c r="J34" s="220" t="s">
        <v>452</v>
      </c>
      <c r="K34" s="220">
        <v>4.6216350679320044</v>
      </c>
      <c r="L34" s="220">
        <v>1.5405450226440016</v>
      </c>
      <c r="N34" t="s">
        <v>36</v>
      </c>
      <c r="O34" s="220">
        <f t="shared" si="5"/>
        <v>-1.9648092231677188</v>
      </c>
      <c r="P34" s="220" t="str">
        <f t="shared" si="5"/>
        <v/>
      </c>
      <c r="Q34" s="220">
        <f t="shared" si="5"/>
        <v>-2.9060160725984883</v>
      </c>
      <c r="R34" s="220">
        <f t="shared" si="5"/>
        <v>0.17507397268951475</v>
      </c>
      <c r="T34" t="s">
        <v>36</v>
      </c>
      <c r="U34" s="220" t="s">
        <v>452</v>
      </c>
      <c r="V34" s="220" t="s">
        <v>452</v>
      </c>
      <c r="W34" s="219">
        <v>3.0810900452880032</v>
      </c>
      <c r="X34" s="220" t="s">
        <v>452</v>
      </c>
      <c r="Z34" t="s">
        <v>36</v>
      </c>
      <c r="AA34" s="220" t="str">
        <f t="shared" si="4"/>
        <v/>
      </c>
      <c r="AB34" s="220" t="str">
        <f t="shared" si="4"/>
        <v/>
      </c>
      <c r="AC34" s="220">
        <f t="shared" si="4"/>
        <v>-1.3654710499544869</v>
      </c>
      <c r="AD34" s="220" t="str">
        <f t="shared" si="4"/>
        <v/>
      </c>
    </row>
    <row r="35" spans="1:30">
      <c r="A35" t="s">
        <v>31</v>
      </c>
      <c r="B35" s="122" t="s">
        <v>31</v>
      </c>
      <c r="C35" s="219">
        <v>7.0326376245730877</v>
      </c>
      <c r="E35" s="220">
        <v>4.0887428049843537</v>
      </c>
      <c r="F35" s="220"/>
      <c r="H35" t="s">
        <v>31</v>
      </c>
      <c r="I35" s="220">
        <v>8.9</v>
      </c>
      <c r="J35" s="220">
        <v>0.16</v>
      </c>
      <c r="K35" s="220">
        <v>4.0887428049843537</v>
      </c>
      <c r="L35" s="220" t="s">
        <v>452</v>
      </c>
      <c r="N35" t="s">
        <v>31</v>
      </c>
      <c r="O35" s="220">
        <f t="shared" si="5"/>
        <v>-1.8673623754269126</v>
      </c>
      <c r="P35" s="220">
        <f t="shared" si="5"/>
        <v>-0.16</v>
      </c>
      <c r="Q35" s="220">
        <f t="shared" si="5"/>
        <v>0</v>
      </c>
      <c r="R35" s="220" t="str">
        <f t="shared" si="5"/>
        <v/>
      </c>
      <c r="T35" t="s">
        <v>31</v>
      </c>
      <c r="U35" s="220">
        <v>6.81</v>
      </c>
      <c r="V35" s="220">
        <v>0.16</v>
      </c>
      <c r="W35" s="220">
        <v>4.0887428049843537</v>
      </c>
      <c r="X35" s="220" t="s">
        <v>452</v>
      </c>
      <c r="Z35" t="s">
        <v>31</v>
      </c>
      <c r="AA35" s="220">
        <f t="shared" si="4"/>
        <v>0.22263762457308811</v>
      </c>
      <c r="AB35" s="220">
        <f t="shared" si="4"/>
        <v>-0.16</v>
      </c>
      <c r="AC35" s="220">
        <f t="shared" si="4"/>
        <v>0</v>
      </c>
      <c r="AD35" s="220" t="str">
        <f t="shared" si="4"/>
        <v/>
      </c>
    </row>
    <row r="36" spans="1:30">
      <c r="A36" t="s">
        <v>41</v>
      </c>
      <c r="B36" t="s">
        <v>41</v>
      </c>
      <c r="C36" s="220">
        <v>0.73384169705973645</v>
      </c>
      <c r="E36" s="220"/>
      <c r="F36" s="220">
        <v>0.67268822230475833</v>
      </c>
      <c r="H36" t="s">
        <v>41</v>
      </c>
      <c r="I36" s="220">
        <v>1.1599999999999999</v>
      </c>
      <c r="J36" s="220">
        <v>0.18</v>
      </c>
      <c r="K36" s="220" t="s">
        <v>452</v>
      </c>
      <c r="L36" s="220">
        <v>1.5899903436294289</v>
      </c>
      <c r="N36" t="s">
        <v>41</v>
      </c>
      <c r="O36" s="220">
        <f t="shared" si="5"/>
        <v>-0.42615830294026347</v>
      </c>
      <c r="P36" s="220">
        <f t="shared" si="5"/>
        <v>-0.18</v>
      </c>
      <c r="Q36" s="220" t="str">
        <f t="shared" si="5"/>
        <v/>
      </c>
      <c r="R36" s="220">
        <f t="shared" si="5"/>
        <v>-0.91730212132467059</v>
      </c>
      <c r="T36" t="s">
        <v>41</v>
      </c>
      <c r="U36" s="220">
        <v>0.73</v>
      </c>
      <c r="V36" s="220">
        <v>0.18</v>
      </c>
      <c r="W36" s="220" t="s">
        <v>452</v>
      </c>
      <c r="X36" s="220">
        <v>0.67268822230475833</v>
      </c>
      <c r="Z36" t="s">
        <v>41</v>
      </c>
      <c r="AA36" s="220">
        <f t="shared" ref="AA36:AD44" si="6">IFERROR(C36-U36, "")</f>
        <v>3.8416970597364708E-3</v>
      </c>
      <c r="AB36" s="220">
        <f t="shared" si="6"/>
        <v>-0.18</v>
      </c>
      <c r="AC36" s="220" t="str">
        <f t="shared" si="6"/>
        <v/>
      </c>
      <c r="AD36" s="220">
        <f t="shared" si="6"/>
        <v>0</v>
      </c>
    </row>
    <row r="37" spans="1:30">
      <c r="A37" t="s">
        <v>27</v>
      </c>
      <c r="B37" s="222" t="s">
        <v>27</v>
      </c>
      <c r="C37" s="221">
        <v>1.6292263126102078</v>
      </c>
      <c r="E37" s="220">
        <v>0.60341715281859554</v>
      </c>
      <c r="F37" s="220"/>
      <c r="H37" t="s">
        <v>27</v>
      </c>
      <c r="I37" s="220" t="s">
        <v>452</v>
      </c>
      <c r="J37" s="220" t="s">
        <v>452</v>
      </c>
      <c r="K37" s="220">
        <v>0.62410574091523308</v>
      </c>
      <c r="L37" s="220" t="s">
        <v>452</v>
      </c>
      <c r="N37" t="s">
        <v>27</v>
      </c>
      <c r="O37" s="220" t="str">
        <f t="shared" si="5"/>
        <v/>
      </c>
      <c r="P37" s="220" t="str">
        <f t="shared" si="5"/>
        <v/>
      </c>
      <c r="Q37" s="220">
        <f t="shared" si="5"/>
        <v>-2.0688588096637539E-2</v>
      </c>
      <c r="R37" s="220" t="str">
        <f t="shared" si="5"/>
        <v/>
      </c>
      <c r="T37" t="s">
        <v>27</v>
      </c>
      <c r="U37" s="220" t="s">
        <v>452</v>
      </c>
      <c r="V37" s="220" t="s">
        <v>452</v>
      </c>
      <c r="W37" s="220">
        <v>0.60341715281859554</v>
      </c>
      <c r="X37" s="220" t="s">
        <v>452</v>
      </c>
      <c r="Z37" t="s">
        <v>27</v>
      </c>
      <c r="AA37" s="220" t="str">
        <f t="shared" si="6"/>
        <v/>
      </c>
      <c r="AB37" s="220" t="str">
        <f t="shared" si="6"/>
        <v/>
      </c>
      <c r="AC37" s="220">
        <f t="shared" si="6"/>
        <v>0</v>
      </c>
      <c r="AD37" s="220" t="str">
        <f t="shared" si="6"/>
        <v/>
      </c>
    </row>
    <row r="38" spans="1:30">
      <c r="A38" t="s">
        <v>34</v>
      </c>
      <c r="B38" s="122" t="s">
        <v>34</v>
      </c>
      <c r="C38" s="220"/>
      <c r="E38" s="219">
        <v>2.9601851430277104E-2</v>
      </c>
      <c r="F38" s="220"/>
      <c r="H38" t="s">
        <v>34</v>
      </c>
      <c r="I38" s="220" t="s">
        <v>452</v>
      </c>
      <c r="J38" s="220">
        <v>0.02</v>
      </c>
      <c r="K38" s="220">
        <v>2.7013968373643662</v>
      </c>
      <c r="L38" s="220" t="s">
        <v>452</v>
      </c>
      <c r="N38" t="s">
        <v>34</v>
      </c>
      <c r="O38" s="220" t="str">
        <f t="shared" si="5"/>
        <v/>
      </c>
      <c r="P38" s="220">
        <f t="shared" si="5"/>
        <v>-0.02</v>
      </c>
      <c r="Q38" s="220">
        <f t="shared" si="5"/>
        <v>-2.6717949859340893</v>
      </c>
      <c r="R38" s="220" t="str">
        <f t="shared" si="5"/>
        <v/>
      </c>
      <c r="T38" t="s">
        <v>34</v>
      </c>
      <c r="U38" s="220" t="s">
        <v>452</v>
      </c>
      <c r="V38" s="220">
        <v>0.02</v>
      </c>
      <c r="W38" s="220">
        <v>1.3690856286503162E-3</v>
      </c>
      <c r="X38" s="220" t="s">
        <v>452</v>
      </c>
      <c r="Z38" t="s">
        <v>34</v>
      </c>
      <c r="AA38" s="220" t="str">
        <f t="shared" si="6"/>
        <v/>
      </c>
      <c r="AB38" s="220">
        <f t="shared" si="6"/>
        <v>-0.02</v>
      </c>
      <c r="AC38" s="220">
        <f t="shared" si="6"/>
        <v>2.8232765801626789E-2</v>
      </c>
      <c r="AD38" s="220" t="str">
        <f t="shared" si="6"/>
        <v/>
      </c>
    </row>
    <row r="39" spans="1:30">
      <c r="A39" t="s">
        <v>92</v>
      </c>
      <c r="B39" s="122" t="s">
        <v>92</v>
      </c>
      <c r="C39" s="219">
        <v>0.22179996069855459</v>
      </c>
      <c r="E39" s="220">
        <v>0.58474535093255298</v>
      </c>
      <c r="F39" s="220"/>
      <c r="H39" t="s">
        <v>92</v>
      </c>
      <c r="I39" s="220">
        <v>1.7</v>
      </c>
      <c r="J39" s="220">
        <v>0.04</v>
      </c>
      <c r="K39" s="220" t="s">
        <v>452</v>
      </c>
      <c r="L39" s="220" t="s">
        <v>452</v>
      </c>
      <c r="N39" t="s">
        <v>92</v>
      </c>
      <c r="O39" s="220">
        <f t="shared" si="5"/>
        <v>-1.4782000393014454</v>
      </c>
      <c r="P39" s="220">
        <f t="shared" si="5"/>
        <v>-0.04</v>
      </c>
      <c r="Q39" s="220" t="str">
        <f t="shared" si="5"/>
        <v/>
      </c>
      <c r="R39" s="220" t="str">
        <f t="shared" si="5"/>
        <v/>
      </c>
      <c r="T39" t="s">
        <v>92</v>
      </c>
      <c r="U39" s="220">
        <v>0.84</v>
      </c>
      <c r="V39" s="220">
        <v>0.04</v>
      </c>
      <c r="W39" s="220" t="s">
        <v>452</v>
      </c>
      <c r="X39" s="220" t="s">
        <v>452</v>
      </c>
      <c r="Z39" t="s">
        <v>92</v>
      </c>
      <c r="AA39" s="220">
        <f t="shared" si="6"/>
        <v>-0.6182000393014454</v>
      </c>
      <c r="AB39" s="220">
        <f t="shared" si="6"/>
        <v>-0.04</v>
      </c>
      <c r="AC39" s="220" t="str">
        <f t="shared" si="6"/>
        <v/>
      </c>
      <c r="AD39" s="220" t="str">
        <f t="shared" si="6"/>
        <v/>
      </c>
    </row>
    <row r="40" spans="1:30">
      <c r="A40" t="s">
        <v>30</v>
      </c>
      <c r="B40" t="s">
        <v>30</v>
      </c>
      <c r="C40" s="220">
        <v>1.7916590845668503</v>
      </c>
      <c r="E40" s="220">
        <v>0.93690660422227523</v>
      </c>
      <c r="F40" s="220">
        <v>0.43699002062606113</v>
      </c>
      <c r="H40" t="s">
        <v>30</v>
      </c>
      <c r="I40" s="220">
        <v>1.79</v>
      </c>
      <c r="J40" s="220">
        <v>0.28000000000000003</v>
      </c>
      <c r="K40" s="220">
        <v>1.3738966248483362</v>
      </c>
      <c r="L40" s="220">
        <v>0.43699002062606113</v>
      </c>
      <c r="N40" t="s">
        <v>30</v>
      </c>
      <c r="O40" s="220">
        <f t="shared" si="5"/>
        <v>1.6590845668502663E-3</v>
      </c>
      <c r="P40" s="220">
        <f t="shared" si="5"/>
        <v>-0.28000000000000003</v>
      </c>
      <c r="Q40" s="220">
        <f t="shared" si="5"/>
        <v>-0.43699002062606096</v>
      </c>
      <c r="R40" s="220">
        <f t="shared" si="5"/>
        <v>0</v>
      </c>
      <c r="T40" t="s">
        <v>30</v>
      </c>
      <c r="U40" s="220">
        <v>1.79</v>
      </c>
      <c r="V40" s="220">
        <v>0.28000000000000003</v>
      </c>
      <c r="W40" s="220">
        <v>1.3738966248483362</v>
      </c>
      <c r="X40" s="220">
        <v>0.43699002062606113</v>
      </c>
      <c r="Z40" t="s">
        <v>30</v>
      </c>
      <c r="AA40" s="220">
        <f t="shared" si="6"/>
        <v>1.6590845668502663E-3</v>
      </c>
      <c r="AB40" s="220">
        <f t="shared" si="6"/>
        <v>-0.28000000000000003</v>
      </c>
      <c r="AC40" s="220">
        <f t="shared" si="6"/>
        <v>-0.43699002062606096</v>
      </c>
      <c r="AD40" s="220">
        <f t="shared" si="6"/>
        <v>0</v>
      </c>
    </row>
    <row r="41" spans="1:30">
      <c r="A41" t="s">
        <v>37</v>
      </c>
      <c r="B41" t="s">
        <v>37</v>
      </c>
      <c r="C41" s="220">
        <v>0.18369491742322905</v>
      </c>
      <c r="E41" s="220">
        <v>0.17024552124488324</v>
      </c>
      <c r="F41" s="220"/>
      <c r="H41" t="s">
        <v>37</v>
      </c>
      <c r="I41" s="220">
        <v>0.91</v>
      </c>
      <c r="J41" s="220">
        <v>0.01</v>
      </c>
      <c r="K41" s="220">
        <v>0.17024552124488324</v>
      </c>
      <c r="L41" s="220" t="s">
        <v>452</v>
      </c>
      <c r="N41" t="s">
        <v>37</v>
      </c>
      <c r="O41" s="220">
        <f t="shared" si="5"/>
        <v>-0.72630508257677096</v>
      </c>
      <c r="P41" s="220">
        <f t="shared" si="5"/>
        <v>-0.01</v>
      </c>
      <c r="Q41" s="220">
        <f t="shared" si="5"/>
        <v>0</v>
      </c>
      <c r="R41" s="220" t="str">
        <f t="shared" si="5"/>
        <v/>
      </c>
      <c r="T41" t="s">
        <v>37</v>
      </c>
      <c r="U41" s="220">
        <v>0.2</v>
      </c>
      <c r="V41" s="220">
        <v>0.01</v>
      </c>
      <c r="W41" s="220">
        <v>0.17024552124488324</v>
      </c>
      <c r="X41" s="220" t="s">
        <v>452</v>
      </c>
      <c r="Z41" t="s">
        <v>37</v>
      </c>
      <c r="AA41" s="220">
        <f t="shared" si="6"/>
        <v>-1.6305082576770963E-2</v>
      </c>
      <c r="AB41" s="220">
        <f t="shared" si="6"/>
        <v>-0.01</v>
      </c>
      <c r="AC41" s="220">
        <f t="shared" si="6"/>
        <v>0</v>
      </c>
      <c r="AD41" s="220" t="str">
        <f t="shared" si="6"/>
        <v/>
      </c>
    </row>
    <row r="42" spans="1:30">
      <c r="A42" t="s">
        <v>38</v>
      </c>
      <c r="B42" s="122" t="s">
        <v>38</v>
      </c>
      <c r="C42" s="220">
        <v>0.9359379770605617</v>
      </c>
      <c r="E42" s="224"/>
      <c r="F42" s="220"/>
      <c r="H42" t="s">
        <v>38</v>
      </c>
      <c r="I42" s="220">
        <v>0.6</v>
      </c>
      <c r="J42" s="220">
        <v>0.5</v>
      </c>
      <c r="K42" s="220">
        <v>4.8733322253843037</v>
      </c>
      <c r="L42" s="220" t="s">
        <v>452</v>
      </c>
      <c r="N42" t="s">
        <v>38</v>
      </c>
      <c r="O42" s="220">
        <f t="shared" si="5"/>
        <v>0.33593797706056172</v>
      </c>
      <c r="P42" s="220">
        <f t="shared" si="5"/>
        <v>-0.5</v>
      </c>
      <c r="Q42" s="220">
        <f t="shared" si="5"/>
        <v>-4.8733322253843037</v>
      </c>
      <c r="R42" s="220" t="str">
        <f t="shared" si="5"/>
        <v/>
      </c>
      <c r="T42" t="s">
        <v>38</v>
      </c>
      <c r="U42" s="220">
        <v>0.6</v>
      </c>
      <c r="V42" s="220">
        <v>0.4</v>
      </c>
      <c r="W42" s="220">
        <v>4.8733322253843037</v>
      </c>
      <c r="X42" s="220" t="s">
        <v>452</v>
      </c>
      <c r="Z42" t="s">
        <v>38</v>
      </c>
      <c r="AA42" s="220">
        <f t="shared" si="6"/>
        <v>0.33593797706056172</v>
      </c>
      <c r="AB42" s="220">
        <f t="shared" si="6"/>
        <v>-0.4</v>
      </c>
      <c r="AC42" s="220">
        <f t="shared" si="6"/>
        <v>-4.8733322253843037</v>
      </c>
      <c r="AD42" s="220" t="str">
        <f t="shared" si="6"/>
        <v/>
      </c>
    </row>
    <row r="43" spans="1:30">
      <c r="A43" t="s">
        <v>93</v>
      </c>
      <c r="B43" s="122" t="s">
        <v>93</v>
      </c>
      <c r="C43" s="219">
        <v>5.2423846360272854</v>
      </c>
      <c r="E43" s="220"/>
      <c r="F43" s="220"/>
      <c r="H43" t="s">
        <v>93</v>
      </c>
      <c r="I43" s="220">
        <v>7</v>
      </c>
      <c r="J43" s="220">
        <v>0.5</v>
      </c>
      <c r="K43" s="220" t="s">
        <v>452</v>
      </c>
      <c r="L43" s="220" t="s">
        <v>452</v>
      </c>
      <c r="N43" t="s">
        <v>93</v>
      </c>
      <c r="O43" s="220">
        <f t="shared" si="5"/>
        <v>-1.7576153639727146</v>
      </c>
      <c r="P43" s="220">
        <f t="shared" si="5"/>
        <v>-0.5</v>
      </c>
      <c r="Q43" s="220" t="str">
        <f t="shared" si="5"/>
        <v/>
      </c>
      <c r="R43" s="220" t="str">
        <f t="shared" si="5"/>
        <v/>
      </c>
      <c r="T43" s="122" t="s">
        <v>93</v>
      </c>
      <c r="U43" s="219">
        <v>3</v>
      </c>
      <c r="V43" s="220">
        <v>0.5</v>
      </c>
      <c r="W43" s="220" t="s">
        <v>452</v>
      </c>
      <c r="X43" s="220" t="s">
        <v>452</v>
      </c>
      <c r="Z43" t="s">
        <v>93</v>
      </c>
      <c r="AA43" s="220">
        <f t="shared" si="6"/>
        <v>2.2423846360272854</v>
      </c>
      <c r="AB43" s="220">
        <f t="shared" si="6"/>
        <v>-0.5</v>
      </c>
      <c r="AC43" s="220" t="str">
        <f t="shared" si="6"/>
        <v/>
      </c>
      <c r="AD43" s="220" t="str">
        <f t="shared" si="6"/>
        <v/>
      </c>
    </row>
    <row r="44" spans="1:30">
      <c r="A44" t="s">
        <v>33</v>
      </c>
      <c r="B44" s="225" t="s">
        <v>33</v>
      </c>
      <c r="C44" s="226">
        <v>1.2132154633944243</v>
      </c>
      <c r="D44" s="227"/>
      <c r="E44" s="228"/>
      <c r="F44" s="228"/>
      <c r="H44" t="s">
        <v>33</v>
      </c>
      <c r="I44" s="220">
        <v>3.5</v>
      </c>
      <c r="J44" s="220">
        <v>0.2</v>
      </c>
      <c r="K44" s="220" t="s">
        <v>452</v>
      </c>
      <c r="L44" s="220" t="s">
        <v>452</v>
      </c>
      <c r="N44" t="s">
        <v>33</v>
      </c>
      <c r="O44" s="220">
        <f t="shared" si="5"/>
        <v>-2.2867845366055759</v>
      </c>
      <c r="P44" s="220">
        <f t="shared" si="5"/>
        <v>-0.2</v>
      </c>
      <c r="Q44" s="220" t="str">
        <f t="shared" si="5"/>
        <v/>
      </c>
      <c r="R44" s="220" t="str">
        <f t="shared" si="5"/>
        <v/>
      </c>
      <c r="T44" s="227" t="s">
        <v>33</v>
      </c>
      <c r="U44" s="228">
        <v>1.3</v>
      </c>
      <c r="V44" s="228">
        <v>0.03</v>
      </c>
      <c r="W44" s="228" t="s">
        <v>452</v>
      </c>
      <c r="X44" s="228" t="s">
        <v>452</v>
      </c>
      <c r="Z44" s="227" t="s">
        <v>33</v>
      </c>
      <c r="AA44" s="228">
        <f t="shared" si="6"/>
        <v>-8.6784536605575724E-2</v>
      </c>
      <c r="AB44" s="228">
        <f t="shared" si="6"/>
        <v>-0.03</v>
      </c>
      <c r="AC44" s="228" t="str">
        <f t="shared" si="6"/>
        <v/>
      </c>
      <c r="AD44" s="228" t="str">
        <f t="shared" si="6"/>
        <v/>
      </c>
    </row>
  </sheetData>
  <conditionalFormatting sqref="O3:R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8DFC-1CAF-4B34-AD15-7DF51A2A57D5}">
  <sheetPr>
    <tabColor rgb="FFFF0000"/>
    <pageSetUpPr fitToPage="1"/>
  </sheetPr>
  <dimension ref="A3:Z150"/>
  <sheetViews>
    <sheetView view="pageBreakPreview" topLeftCell="A4" zoomScale="60" zoomScaleNormal="100" workbookViewId="0">
      <selection activeCell="K12" sqref="K12"/>
    </sheetView>
  </sheetViews>
  <sheetFormatPr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627" t="s">
        <v>286</v>
      </c>
      <c r="B4" s="627"/>
      <c r="C4" s="627"/>
      <c r="D4" s="627"/>
      <c r="E4" s="627"/>
      <c r="F4" s="627"/>
      <c r="G4" s="627"/>
      <c r="H4" s="627"/>
      <c r="I4" s="627"/>
      <c r="J4" s="627"/>
      <c r="K4" s="627"/>
      <c r="L4" s="627"/>
      <c r="M4" s="627"/>
      <c r="N4" s="627"/>
      <c r="O4" s="627"/>
      <c r="P4" s="627"/>
      <c r="Q4" s="627"/>
      <c r="R4" s="627"/>
      <c r="S4" s="627"/>
      <c r="T4" s="195"/>
      <c r="U4" s="195"/>
    </row>
    <row r="5" spans="1:26" ht="20">
      <c r="A5" s="100" t="s">
        <v>287</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613" t="s">
        <v>207</v>
      </c>
      <c r="D7" s="613"/>
      <c r="E7" s="613"/>
      <c r="F7" s="613"/>
      <c r="G7" s="613"/>
      <c r="H7" s="613"/>
      <c r="I7" s="613"/>
      <c r="J7" s="613"/>
      <c r="L7" s="574" t="s">
        <v>208</v>
      </c>
      <c r="M7" s="574"/>
      <c r="N7" s="574"/>
      <c r="O7" s="574"/>
      <c r="Q7" s="574" t="s">
        <v>211</v>
      </c>
      <c r="R7" s="574"/>
      <c r="S7" s="574"/>
      <c r="T7" s="574"/>
      <c r="U7" s="574"/>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29" t="s">
        <v>0</v>
      </c>
      <c r="C10" s="32" t="s">
        <v>115</v>
      </c>
      <c r="D10" s="95">
        <v>197.4</v>
      </c>
      <c r="E10" s="71">
        <v>3.6</v>
      </c>
      <c r="F10" s="576" t="s">
        <v>364</v>
      </c>
      <c r="G10" s="75">
        <f>D10-E10</f>
        <v>193.8</v>
      </c>
      <c r="H10" s="582" t="s">
        <v>352</v>
      </c>
      <c r="I10" s="186"/>
      <c r="J10" s="579"/>
      <c r="L10" s="32" t="s">
        <v>115</v>
      </c>
      <c r="M10" s="71">
        <v>35</v>
      </c>
      <c r="N10" s="166">
        <v>15</v>
      </c>
      <c r="O10" s="576" t="s">
        <v>350</v>
      </c>
      <c r="Q10" s="32" t="s">
        <v>115</v>
      </c>
      <c r="R10" s="95">
        <v>20</v>
      </c>
      <c r="S10" s="576" t="s">
        <v>351</v>
      </c>
      <c r="T10" s="28"/>
      <c r="U10" s="28"/>
      <c r="W10" s="576" t="s">
        <v>62</v>
      </c>
      <c r="Y10" s="617" t="s">
        <v>61</v>
      </c>
    </row>
    <row r="11" spans="1:26" ht="55" customHeight="1">
      <c r="A11" s="629"/>
      <c r="C11" s="32" t="s">
        <v>116</v>
      </c>
      <c r="D11" s="81" t="e">
        <f>D10/#REF!</f>
        <v>#REF!</v>
      </c>
      <c r="E11" s="71"/>
      <c r="F11" s="576"/>
      <c r="G11" s="75"/>
      <c r="H11" s="582"/>
      <c r="I11" s="186"/>
      <c r="J11" s="579"/>
      <c r="L11" s="32" t="s">
        <v>116</v>
      </c>
      <c r="M11" s="50" t="e">
        <f>M10/VLOOKUP(A10,#REF!,7,0)</f>
        <v>#REF!</v>
      </c>
      <c r="N11" s="167" t="e">
        <f>N10/VLOOKUP(A10,#REF!,7,0)</f>
        <v>#REF!</v>
      </c>
      <c r="O11" s="576"/>
      <c r="Q11" s="32" t="s">
        <v>116</v>
      </c>
      <c r="R11" s="185" t="e">
        <f>M11-N11</f>
        <v>#REF!</v>
      </c>
      <c r="S11" s="576"/>
      <c r="T11" s="28"/>
      <c r="U11" s="28"/>
      <c r="W11" s="576"/>
      <c r="Y11" s="617"/>
    </row>
    <row r="12" spans="1:26" ht="55" customHeight="1">
      <c r="A12" s="630"/>
      <c r="B12" s="1"/>
      <c r="C12" s="31" t="s">
        <v>117</v>
      </c>
      <c r="D12" s="17" t="e">
        <f>(D10/VLOOKUP(A10,#REF!,4,0))*100</f>
        <v>#REF!</v>
      </c>
      <c r="E12" s="72"/>
      <c r="F12" s="577"/>
      <c r="G12" s="76"/>
      <c r="H12" s="583"/>
      <c r="I12" s="187"/>
      <c r="J12" s="580"/>
      <c r="K12" s="1"/>
      <c r="L12" s="31" t="s">
        <v>117</v>
      </c>
      <c r="M12" s="51" t="e">
        <f>(M10/VLOOKUP(A10,#REF!,4,0))*100</f>
        <v>#REF!</v>
      </c>
      <c r="N12" s="168" t="e">
        <f>(N10/VLOOKUP(A10,#REF!,4,0))*100</f>
        <v>#REF!</v>
      </c>
      <c r="O12" s="577"/>
      <c r="P12" s="1"/>
      <c r="Q12" s="31" t="s">
        <v>117</v>
      </c>
      <c r="R12" s="64" t="e">
        <f>(R10/VLOOKUP(A10,#REF!,4,0))*100</f>
        <v>#REF!</v>
      </c>
      <c r="S12" s="577"/>
      <c r="T12" s="19"/>
      <c r="U12" s="19"/>
      <c r="V12" s="1"/>
      <c r="W12" s="577"/>
      <c r="X12" s="1"/>
      <c r="Y12" s="618"/>
    </row>
    <row r="13" spans="1:26" ht="60" customHeight="1">
      <c r="A13" s="629" t="s">
        <v>1</v>
      </c>
      <c r="B13" s="16"/>
      <c r="C13" s="32" t="s">
        <v>115</v>
      </c>
      <c r="D13" s="80">
        <f>190-85+E13</f>
        <v>108.175</v>
      </c>
      <c r="E13" s="49">
        <f>1.125+2.05</f>
        <v>3.1749999999999998</v>
      </c>
      <c r="F13" s="600" t="s">
        <v>365</v>
      </c>
      <c r="G13" s="80">
        <v>105</v>
      </c>
      <c r="H13" s="575" t="s">
        <v>353</v>
      </c>
      <c r="I13" s="18">
        <v>85</v>
      </c>
      <c r="J13" s="575" t="s">
        <v>349</v>
      </c>
      <c r="K13" s="16"/>
      <c r="L13" s="32" t="s">
        <v>115</v>
      </c>
      <c r="M13" s="73">
        <v>70</v>
      </c>
      <c r="N13" s="169">
        <v>5</v>
      </c>
      <c r="O13" s="575" t="s">
        <v>347</v>
      </c>
      <c r="P13" s="16"/>
      <c r="Q13" s="32" t="s">
        <v>115</v>
      </c>
      <c r="R13" s="80">
        <v>65</v>
      </c>
      <c r="S13" s="575" t="s">
        <v>348</v>
      </c>
      <c r="T13" s="18"/>
      <c r="U13" s="18"/>
      <c r="V13" s="15"/>
      <c r="W13" s="18"/>
      <c r="X13" s="15"/>
      <c r="Y13" s="25" t="s">
        <v>63</v>
      </c>
      <c r="Z13" s="596" t="s">
        <v>213</v>
      </c>
    </row>
    <row r="14" spans="1:26" ht="60" customHeight="1">
      <c r="A14" s="629"/>
      <c r="B14" s="6"/>
      <c r="C14" s="32" t="s">
        <v>116</v>
      </c>
      <c r="D14" s="81" t="e">
        <f>D13/VLOOKUP(A13,#REF!,7,0)</f>
        <v>#REF!</v>
      </c>
      <c r="E14" s="69"/>
      <c r="F14" s="601"/>
      <c r="G14" s="81"/>
      <c r="H14" s="576"/>
      <c r="I14" s="28"/>
      <c r="J14" s="576"/>
      <c r="K14" s="6"/>
      <c r="L14" s="32" t="s">
        <v>116</v>
      </c>
      <c r="M14" s="71"/>
      <c r="N14" s="170" t="e">
        <f>N13/VLOOKUP(A13,#REF!,7,0)</f>
        <v>#REF!</v>
      </c>
      <c r="O14" s="576"/>
      <c r="P14" s="6"/>
      <c r="Q14" s="32" t="s">
        <v>116</v>
      </c>
      <c r="R14" s="81" t="e">
        <f>R13/VLOOKUP(A13,#REF!,7,0)</f>
        <v>#REF!</v>
      </c>
      <c r="S14" s="576"/>
      <c r="T14" s="28"/>
      <c r="U14" s="28"/>
      <c r="W14" s="28"/>
      <c r="Y14" s="27"/>
      <c r="Z14" s="597"/>
    </row>
    <row r="15" spans="1:26" ht="60" customHeight="1">
      <c r="A15" s="630"/>
      <c r="B15" s="12"/>
      <c r="C15" s="31" t="s">
        <v>117</v>
      </c>
      <c r="D15" s="17" t="e">
        <f>(D13/VLOOKUP(A13,#REF!,4,0))*100</f>
        <v>#REF!</v>
      </c>
      <c r="E15" s="17"/>
      <c r="F15" s="602"/>
      <c r="G15" s="82"/>
      <c r="H15" s="577"/>
      <c r="I15" s="19"/>
      <c r="J15" s="577"/>
      <c r="K15" s="12"/>
      <c r="L15" s="31" t="s">
        <v>117</v>
      </c>
      <c r="M15" s="72"/>
      <c r="N15" s="168" t="e">
        <f>(N13/VLOOKUP(A13,#REF!,4,0))*100</f>
        <v>#REF!</v>
      </c>
      <c r="O15" s="577"/>
      <c r="P15" s="12"/>
      <c r="Q15" s="31" t="s">
        <v>117</v>
      </c>
      <c r="R15" s="17" t="e">
        <f>(R13/VLOOKUP(A13,#REF!,4,0))*100</f>
        <v>#REF!</v>
      </c>
      <c r="S15" s="577"/>
      <c r="T15" s="19"/>
      <c r="U15" s="19"/>
      <c r="V15" s="1"/>
      <c r="W15" s="19"/>
      <c r="X15" s="1"/>
      <c r="Y15" s="26"/>
      <c r="Z15" s="597"/>
    </row>
    <row r="16" spans="1:26" ht="40" customHeight="1">
      <c r="A16" s="629" t="s">
        <v>358</v>
      </c>
      <c r="B16" s="16"/>
      <c r="C16" s="32" t="s">
        <v>115</v>
      </c>
      <c r="D16" s="80">
        <v>37</v>
      </c>
      <c r="E16" s="73">
        <v>0.05</v>
      </c>
      <c r="F16" s="600" t="s">
        <v>366</v>
      </c>
      <c r="G16" s="80">
        <v>37</v>
      </c>
      <c r="H16" s="575" t="s">
        <v>359</v>
      </c>
      <c r="I16" s="18"/>
      <c r="J16" s="18"/>
      <c r="K16" s="16"/>
      <c r="L16" s="32" t="s">
        <v>115</v>
      </c>
      <c r="M16" s="73">
        <v>1</v>
      </c>
      <c r="N16" s="169"/>
      <c r="O16" s="18"/>
      <c r="P16" s="16"/>
      <c r="Q16" s="32" t="s">
        <v>115</v>
      </c>
      <c r="R16" s="49">
        <v>1</v>
      </c>
      <c r="S16" s="575" t="s">
        <v>288</v>
      </c>
      <c r="T16" s="18"/>
      <c r="U16" s="18"/>
      <c r="V16" s="15"/>
      <c r="W16" s="575" t="s">
        <v>74</v>
      </c>
      <c r="X16" s="15"/>
      <c r="Y16" s="22"/>
    </row>
    <row r="17" spans="1:25" ht="40" customHeight="1">
      <c r="A17" s="629"/>
      <c r="B17" s="6"/>
      <c r="C17" s="32" t="s">
        <v>116</v>
      </c>
      <c r="D17" s="81" t="e">
        <f>D16/VLOOKUP(A16,#REF!,6,0)</f>
        <v>#REF!</v>
      </c>
      <c r="E17" s="81"/>
      <c r="F17" s="601"/>
      <c r="G17" s="56"/>
      <c r="H17" s="576"/>
      <c r="I17" s="28"/>
      <c r="J17" s="28"/>
      <c r="K17" s="6"/>
      <c r="L17" s="32" t="s">
        <v>116</v>
      </c>
      <c r="M17" s="69"/>
      <c r="N17" s="170"/>
      <c r="O17" s="35"/>
      <c r="P17" s="6"/>
      <c r="Q17" s="32" t="s">
        <v>116</v>
      </c>
      <c r="R17" s="69" t="e">
        <f>R16/VLOOKUP(A16,#REF!,7,0)</f>
        <v>#REF!</v>
      </c>
      <c r="S17" s="576"/>
      <c r="T17" s="28"/>
      <c r="U17" s="28"/>
      <c r="W17" s="576"/>
      <c r="Y17" s="27"/>
    </row>
    <row r="18" spans="1:25" ht="40" customHeight="1">
      <c r="A18" s="630"/>
      <c r="B18" s="12"/>
      <c r="C18" s="31" t="s">
        <v>117</v>
      </c>
      <c r="D18" s="17" t="e">
        <f>(D16/VLOOKUP(A16,#REF!,4,0))*100</f>
        <v>#REF!</v>
      </c>
      <c r="E18" s="82"/>
      <c r="F18" s="602"/>
      <c r="G18" s="68"/>
      <c r="H18" s="577"/>
      <c r="I18" s="19"/>
      <c r="J18" s="19"/>
      <c r="K18" s="12"/>
      <c r="L18" s="31" t="s">
        <v>117</v>
      </c>
      <c r="M18" s="72"/>
      <c r="N18" s="168"/>
      <c r="O18" s="23"/>
      <c r="P18" s="12"/>
      <c r="Q18" s="31" t="s">
        <v>117</v>
      </c>
      <c r="R18" s="17" t="e">
        <f>(R16/VLOOKUP(A16,#REF!,4,0))*100</f>
        <v>#REF!</v>
      </c>
      <c r="S18" s="577"/>
      <c r="T18" s="19"/>
      <c r="U18" s="19"/>
      <c r="V18" s="1"/>
      <c r="W18" s="577"/>
      <c r="X18" s="1"/>
      <c r="Y18" s="26"/>
    </row>
    <row r="19" spans="1:25" ht="40" customHeight="1">
      <c r="A19" s="629" t="s">
        <v>2</v>
      </c>
      <c r="B19" s="16"/>
      <c r="C19" s="32" t="s">
        <v>115</v>
      </c>
      <c r="D19" s="80">
        <f>11+5.5</f>
        <v>16.5</v>
      </c>
      <c r="E19" s="80">
        <v>2</v>
      </c>
      <c r="F19" s="575" t="s">
        <v>367</v>
      </c>
      <c r="G19" s="53">
        <v>11</v>
      </c>
      <c r="H19" s="581" t="s">
        <v>354</v>
      </c>
      <c r="I19" s="140">
        <v>48.5</v>
      </c>
      <c r="J19" s="581" t="s">
        <v>356</v>
      </c>
      <c r="K19" s="16"/>
      <c r="L19" s="32" t="s">
        <v>115</v>
      </c>
      <c r="M19" s="80">
        <f>R19</f>
        <v>312</v>
      </c>
      <c r="N19" s="169"/>
      <c r="O19" s="22"/>
      <c r="P19" s="16"/>
      <c r="Q19" s="32" t="s">
        <v>115</v>
      </c>
      <c r="R19" s="80">
        <v>312</v>
      </c>
      <c r="S19" s="575" t="s">
        <v>154</v>
      </c>
      <c r="T19" s="18"/>
      <c r="U19" s="18"/>
      <c r="V19" s="15"/>
      <c r="W19" s="18" t="s">
        <v>214</v>
      </c>
      <c r="X19" s="15"/>
      <c r="Y19" s="25" t="s">
        <v>64</v>
      </c>
    </row>
    <row r="20" spans="1:25" ht="40" customHeight="1">
      <c r="A20" s="629"/>
      <c r="B20" s="6"/>
      <c r="C20" s="32" t="s">
        <v>116</v>
      </c>
      <c r="D20" s="81" t="e">
        <f>D19/VLOOKUP(A19,#REF!,7,0)</f>
        <v>#REF!</v>
      </c>
      <c r="E20" s="81"/>
      <c r="F20" s="576"/>
      <c r="G20" s="56"/>
      <c r="H20" s="582"/>
      <c r="I20" s="186"/>
      <c r="J20" s="582"/>
      <c r="K20" s="6"/>
      <c r="L20" s="32" t="s">
        <v>116</v>
      </c>
      <c r="M20" s="81" t="e">
        <f>R20</f>
        <v>#REF!</v>
      </c>
      <c r="N20" s="170"/>
      <c r="O20" s="35"/>
      <c r="P20" s="6"/>
      <c r="Q20" s="32" t="s">
        <v>116</v>
      </c>
      <c r="R20" s="81" t="e">
        <f>R19/VLOOKUP(A19,#REF!,7,0)</f>
        <v>#REF!</v>
      </c>
      <c r="S20" s="576"/>
      <c r="T20" s="28"/>
      <c r="U20" s="28"/>
      <c r="W20" s="28"/>
      <c r="Y20" s="27"/>
    </row>
    <row r="21" spans="1:25" s="2" customFormat="1" ht="40" customHeight="1">
      <c r="A21" s="630"/>
      <c r="B21" s="12"/>
      <c r="C21" s="31" t="s">
        <v>117</v>
      </c>
      <c r="D21" s="17" t="e">
        <f>(D19/VLOOKUP(A19,#REF!,4,0))*100</f>
        <v>#REF!</v>
      </c>
      <c r="E21" s="82"/>
      <c r="F21" s="577"/>
      <c r="G21" s="68"/>
      <c r="H21" s="583"/>
      <c r="I21" s="187"/>
      <c r="J21" s="583"/>
      <c r="K21" s="12"/>
      <c r="L21" s="31" t="s">
        <v>117</v>
      </c>
      <c r="M21" s="17" t="e">
        <f>R21</f>
        <v>#REF!</v>
      </c>
      <c r="N21" s="168"/>
      <c r="O21" s="23"/>
      <c r="P21" s="12"/>
      <c r="Q21" s="31" t="s">
        <v>117</v>
      </c>
      <c r="R21" s="17" t="e">
        <f>(R19/VLOOKUP(A19,#REF!,4,0))*100</f>
        <v>#REF!</v>
      </c>
      <c r="S21" s="577"/>
      <c r="T21" s="19"/>
      <c r="U21" s="19"/>
      <c r="V21" s="1"/>
      <c r="W21" s="19"/>
      <c r="X21" s="1"/>
      <c r="Y21" s="26"/>
    </row>
    <row r="22" spans="1:25" s="143" customFormat="1" ht="50.15" customHeight="1">
      <c r="A22" s="629" t="s">
        <v>3</v>
      </c>
      <c r="B22" s="16"/>
      <c r="C22" s="37" t="s">
        <v>115</v>
      </c>
      <c r="D22" s="80">
        <v>143</v>
      </c>
      <c r="E22" s="49">
        <v>11.2</v>
      </c>
      <c r="F22" s="600" t="s">
        <v>369</v>
      </c>
      <c r="G22" s="49">
        <f>D22-E22</f>
        <v>131.80000000000001</v>
      </c>
      <c r="H22" s="575" t="s">
        <v>360</v>
      </c>
      <c r="I22" s="18"/>
      <c r="J22" s="575" t="s">
        <v>357</v>
      </c>
      <c r="K22" s="16"/>
      <c r="L22" s="37" t="s">
        <v>115</v>
      </c>
      <c r="M22" s="73">
        <v>1025</v>
      </c>
      <c r="N22" s="171">
        <v>200</v>
      </c>
      <c r="O22" s="575" t="s">
        <v>289</v>
      </c>
      <c r="P22" s="16"/>
      <c r="Q22" s="37" t="s">
        <v>115</v>
      </c>
      <c r="R22" s="80">
        <f>825-63</f>
        <v>762</v>
      </c>
      <c r="S22" s="575" t="s">
        <v>141</v>
      </c>
      <c r="T22" s="18"/>
      <c r="U22" s="18"/>
      <c r="V22" s="15"/>
      <c r="W22" s="575" t="s">
        <v>65</v>
      </c>
      <c r="X22" s="15"/>
      <c r="Y22" s="605" t="s">
        <v>67</v>
      </c>
    </row>
    <row r="23" spans="1:25" ht="50.15" customHeight="1">
      <c r="A23" s="629"/>
      <c r="B23" s="6"/>
      <c r="C23" s="32" t="s">
        <v>116</v>
      </c>
      <c r="D23" s="81" t="e">
        <f>D22/VLOOKUP(A22,#REF!,7,0)</f>
        <v>#REF!</v>
      </c>
      <c r="E23" s="81"/>
      <c r="F23" s="601"/>
      <c r="G23" s="56"/>
      <c r="H23" s="576"/>
      <c r="I23" s="28"/>
      <c r="J23" s="576"/>
      <c r="K23" s="6"/>
      <c r="L23" s="32" t="s">
        <v>116</v>
      </c>
      <c r="M23" s="71"/>
      <c r="N23" s="167" t="e">
        <f>N22/VLOOKUP(A22,#REF!,7,0)</f>
        <v>#REF!</v>
      </c>
      <c r="O23" s="576"/>
      <c r="P23" s="6"/>
      <c r="Q23" s="32" t="s">
        <v>116</v>
      </c>
      <c r="R23" s="81" t="e">
        <f>R22/VLOOKUP(A22,#REF!,7,0)</f>
        <v>#REF!</v>
      </c>
      <c r="S23" s="576"/>
      <c r="T23" s="28"/>
      <c r="U23" s="28"/>
      <c r="W23" s="576"/>
      <c r="Y23" s="606"/>
    </row>
    <row r="24" spans="1:25" ht="50.15" customHeight="1">
      <c r="A24" s="630"/>
      <c r="B24" s="12"/>
      <c r="C24" s="31" t="s">
        <v>117</v>
      </c>
      <c r="D24" s="17" t="e">
        <f>(D22/VLOOKUP(A22,#REF!,4,0))*100</f>
        <v>#REF!</v>
      </c>
      <c r="E24" s="82"/>
      <c r="F24" s="602"/>
      <c r="G24" s="68"/>
      <c r="H24" s="577"/>
      <c r="I24" s="19"/>
      <c r="J24" s="577"/>
      <c r="K24" s="12"/>
      <c r="L24" s="31" t="s">
        <v>117</v>
      </c>
      <c r="M24" s="72"/>
      <c r="N24" s="168" t="e">
        <f>(N22/VLOOKUP(A22,#REF!,4,0))*100</f>
        <v>#REF!</v>
      </c>
      <c r="O24" s="577"/>
      <c r="P24" s="12"/>
      <c r="Q24" s="31" t="s">
        <v>117</v>
      </c>
      <c r="R24" s="17" t="e">
        <f>(R22/VLOOKUP(A22,#REF!,4,0))*100</f>
        <v>#REF!</v>
      </c>
      <c r="S24" s="577"/>
      <c r="T24" s="19"/>
      <c r="U24" s="19"/>
      <c r="V24" s="1"/>
      <c r="W24" s="577"/>
      <c r="X24" s="1"/>
      <c r="Y24" s="607"/>
    </row>
    <row r="25" spans="1:25" ht="60" customHeight="1">
      <c r="A25" s="629" t="s">
        <v>4</v>
      </c>
      <c r="B25" s="16"/>
      <c r="C25" s="32" t="s">
        <v>115</v>
      </c>
      <c r="D25" s="80">
        <v>20</v>
      </c>
      <c r="E25" s="49">
        <v>3.2</v>
      </c>
      <c r="F25" s="600" t="s">
        <v>368</v>
      </c>
      <c r="G25" s="49">
        <v>10.3</v>
      </c>
      <c r="H25" s="581" t="s">
        <v>361</v>
      </c>
      <c r="I25" s="140"/>
      <c r="J25" s="581" t="s">
        <v>362</v>
      </c>
      <c r="K25" s="16"/>
      <c r="L25" s="32" t="s">
        <v>115</v>
      </c>
      <c r="M25" s="73">
        <v>65.099999999999994</v>
      </c>
      <c r="N25" s="169"/>
      <c r="O25" s="619"/>
      <c r="P25" s="16"/>
      <c r="Q25" s="32" t="s">
        <v>115</v>
      </c>
      <c r="R25" s="80">
        <v>530</v>
      </c>
      <c r="S25" s="581" t="s">
        <v>215</v>
      </c>
      <c r="T25" s="140"/>
      <c r="U25" s="140"/>
      <c r="V25" s="15"/>
      <c r="W25" s="575" t="s">
        <v>216</v>
      </c>
      <c r="X25" s="15"/>
      <c r="Y25" s="25" t="s">
        <v>66</v>
      </c>
    </row>
    <row r="26" spans="1:25" ht="60" customHeight="1">
      <c r="A26" s="629"/>
      <c r="B26" s="6"/>
      <c r="C26" s="32" t="s">
        <v>116</v>
      </c>
      <c r="D26" s="81" t="e">
        <f>D25/VLOOKUP(A25,#REF!,7,0)</f>
        <v>#REF!</v>
      </c>
      <c r="E26" s="81"/>
      <c r="F26" s="601"/>
      <c r="G26" s="56"/>
      <c r="H26" s="582"/>
      <c r="I26" s="186"/>
      <c r="J26" s="582"/>
      <c r="K26" s="6"/>
      <c r="L26" s="32" t="s">
        <v>116</v>
      </c>
      <c r="M26" s="71"/>
      <c r="N26" s="170"/>
      <c r="O26" s="620"/>
      <c r="P26" s="6"/>
      <c r="Q26" s="32" t="s">
        <v>116</v>
      </c>
      <c r="R26" s="81" t="e">
        <f>R25/VLOOKUP(A25,#REF!,7,0)</f>
        <v>#REF!</v>
      </c>
      <c r="S26" s="582"/>
      <c r="T26" s="186"/>
      <c r="U26" s="186"/>
      <c r="W26" s="576"/>
      <c r="Y26" s="136" t="s">
        <v>186</v>
      </c>
    </row>
    <row r="27" spans="1:25" ht="60" customHeight="1">
      <c r="A27" s="630"/>
      <c r="B27" s="12"/>
      <c r="C27" s="31" t="s">
        <v>117</v>
      </c>
      <c r="D27" s="17" t="e">
        <f>(D25/VLOOKUP(A25,#REF!,4,0))*100</f>
        <v>#REF!</v>
      </c>
      <c r="E27" s="82"/>
      <c r="F27" s="602"/>
      <c r="G27" s="68"/>
      <c r="H27" s="583"/>
      <c r="I27" s="187"/>
      <c r="J27" s="583"/>
      <c r="K27" s="12"/>
      <c r="L27" s="31" t="s">
        <v>117</v>
      </c>
      <c r="M27" s="72"/>
      <c r="N27" s="168"/>
      <c r="O27" s="621"/>
      <c r="P27" s="12"/>
      <c r="Q27" s="31" t="s">
        <v>117</v>
      </c>
      <c r="R27" s="17" t="e">
        <f>(R25/VLOOKUP(A25,#REF!,4,0))*100</f>
        <v>#REF!</v>
      </c>
      <c r="S27" s="583"/>
      <c r="T27" s="187"/>
      <c r="U27" s="187"/>
      <c r="V27" s="1"/>
      <c r="W27" s="577"/>
      <c r="X27" s="1"/>
      <c r="Y27" s="26"/>
    </row>
    <row r="28" spans="1:25" ht="60" customHeight="1">
      <c r="A28" s="629" t="s">
        <v>5</v>
      </c>
      <c r="B28" s="16"/>
      <c r="C28" s="32" t="s">
        <v>281</v>
      </c>
      <c r="D28" s="128">
        <v>53000</v>
      </c>
      <c r="E28" s="80">
        <v>62</v>
      </c>
      <c r="F28" s="575" t="s">
        <v>370</v>
      </c>
      <c r="G28" s="80">
        <f>383-78</f>
        <v>305</v>
      </c>
      <c r="H28" s="575" t="s">
        <v>374</v>
      </c>
      <c r="I28" s="18"/>
      <c r="J28" s="575" t="s">
        <v>363</v>
      </c>
      <c r="K28" s="16"/>
      <c r="L28" s="37" t="s">
        <v>115</v>
      </c>
      <c r="M28" s="73"/>
      <c r="N28" s="172">
        <v>53200</v>
      </c>
      <c r="O28" s="716" t="s">
        <v>414</v>
      </c>
      <c r="P28" s="16"/>
      <c r="Q28" s="37" t="s">
        <v>115</v>
      </c>
      <c r="R28" s="128">
        <v>2000</v>
      </c>
      <c r="S28" s="586" t="s">
        <v>303</v>
      </c>
      <c r="T28" s="191"/>
      <c r="U28" s="191"/>
      <c r="V28" s="15"/>
      <c r="W28" s="575" t="s">
        <v>298</v>
      </c>
      <c r="X28" s="15"/>
      <c r="Y28" s="22"/>
    </row>
    <row r="29" spans="1:25" ht="60" customHeight="1">
      <c r="A29" s="629"/>
      <c r="B29" s="6"/>
      <c r="C29" s="32" t="s">
        <v>116</v>
      </c>
      <c r="D29" s="81" t="e">
        <f>D28/VLOOKUP(A28,#REF!,7,0)</f>
        <v>#REF!</v>
      </c>
      <c r="E29" s="81"/>
      <c r="F29" s="584"/>
      <c r="G29" s="56"/>
      <c r="H29" s="576"/>
      <c r="I29" s="28"/>
      <c r="J29" s="576"/>
      <c r="K29" s="6"/>
      <c r="L29" s="32" t="s">
        <v>116</v>
      </c>
      <c r="M29" s="71"/>
      <c r="N29" s="167" t="e">
        <f>N28/VLOOKUP(A28,#REF!,7,0)</f>
        <v>#REF!</v>
      </c>
      <c r="O29" s="584"/>
      <c r="P29" s="6"/>
      <c r="Q29" s="32" t="s">
        <v>116</v>
      </c>
      <c r="R29" s="81" t="e">
        <f>R28/VLOOKUP(A28,#REF!,7,0)</f>
        <v>#REF!</v>
      </c>
      <c r="S29" s="584"/>
      <c r="T29" s="35"/>
      <c r="U29" s="35"/>
      <c r="W29" s="576"/>
      <c r="Y29" s="27"/>
    </row>
    <row r="30" spans="1:25" s="2" customFormat="1" ht="78" customHeight="1">
      <c r="A30" s="630"/>
      <c r="B30" s="12"/>
      <c r="C30" s="31" t="s">
        <v>117</v>
      </c>
      <c r="D30" s="17" t="e">
        <f>(D28/VLOOKUP(A28,#REF!,4,0))*100</f>
        <v>#REF!</v>
      </c>
      <c r="E30" s="82"/>
      <c r="F30" s="585"/>
      <c r="G30" s="68"/>
      <c r="H30" s="577"/>
      <c r="I30" s="19"/>
      <c r="J30" s="577"/>
      <c r="K30" s="12"/>
      <c r="L30" s="31" t="s">
        <v>117</v>
      </c>
      <c r="M30" s="72"/>
      <c r="N30" s="168" t="e">
        <f>(N28/VLOOKUP(A28,#REF!,4,0))*100</f>
        <v>#REF!</v>
      </c>
      <c r="O30" s="585"/>
      <c r="P30" s="12"/>
      <c r="Q30" s="31" t="s">
        <v>117</v>
      </c>
      <c r="R30" s="17" t="e">
        <f>(R28/VLOOKUP(A28,#REF!,4,0))*100</f>
        <v>#REF!</v>
      </c>
      <c r="S30" s="585"/>
      <c r="T30" s="23"/>
      <c r="U30" s="23"/>
      <c r="V30" s="1"/>
      <c r="W30" s="577"/>
      <c r="X30" s="1"/>
      <c r="Y30" s="26"/>
    </row>
    <row r="31" spans="1:25" s="143" customFormat="1" ht="60.65" customHeight="1">
      <c r="A31" s="629" t="s">
        <v>6</v>
      </c>
      <c r="B31" s="16"/>
      <c r="C31" s="37" t="s">
        <v>115</v>
      </c>
      <c r="D31" s="160">
        <v>28800</v>
      </c>
      <c r="E31" s="83">
        <v>2500</v>
      </c>
      <c r="F31" s="600" t="s">
        <v>371</v>
      </c>
      <c r="G31" s="83">
        <v>23500</v>
      </c>
      <c r="H31" s="575" t="s">
        <v>375</v>
      </c>
      <c r="I31" s="18"/>
      <c r="J31" s="575" t="s">
        <v>376</v>
      </c>
      <c r="K31" s="16"/>
      <c r="L31" s="37" t="s">
        <v>115</v>
      </c>
      <c r="M31" s="73"/>
      <c r="N31" s="172">
        <v>120000</v>
      </c>
      <c r="O31" s="619" t="s">
        <v>170</v>
      </c>
      <c r="P31" s="16"/>
      <c r="Q31" s="37" t="s">
        <v>115</v>
      </c>
      <c r="R31" s="49"/>
      <c r="S31" s="22"/>
      <c r="T31" s="22"/>
      <c r="U31" s="22"/>
      <c r="V31" s="15"/>
      <c r="W31" s="575" t="s">
        <v>70</v>
      </c>
      <c r="X31" s="15"/>
      <c r="Y31" s="605" t="s">
        <v>69</v>
      </c>
    </row>
    <row r="32" spans="1:25" ht="85" customHeight="1">
      <c r="A32" s="629"/>
      <c r="B32" s="6"/>
      <c r="C32" s="32" t="s">
        <v>116</v>
      </c>
      <c r="D32" s="81" t="e">
        <f>D31/VLOOKUP(A31,#REF!,7,0)</f>
        <v>#REF!</v>
      </c>
      <c r="E32" s="81"/>
      <c r="F32" s="601"/>
      <c r="G32" s="56"/>
      <c r="H32" s="576"/>
      <c r="I32" s="28"/>
      <c r="J32" s="576"/>
      <c r="K32" s="6"/>
      <c r="L32" s="32" t="s">
        <v>116</v>
      </c>
      <c r="M32" s="71"/>
      <c r="N32" s="173" t="e">
        <f>N31/VLOOKUP(A31,#REF!,7,0)</f>
        <v>#REF!</v>
      </c>
      <c r="O32" s="620"/>
      <c r="P32" s="6"/>
      <c r="Q32" s="32" t="s">
        <v>116</v>
      </c>
      <c r="R32" s="69"/>
      <c r="S32" s="35"/>
      <c r="T32" s="35"/>
      <c r="U32" s="35"/>
      <c r="W32" s="576"/>
      <c r="Y32" s="606"/>
    </row>
    <row r="33" spans="1:26" ht="94.5" customHeight="1">
      <c r="A33" s="630"/>
      <c r="B33" s="12"/>
      <c r="C33" s="31" t="s">
        <v>117</v>
      </c>
      <c r="D33" s="17" t="e">
        <f>(D31/VLOOKUP(A31,#REF!,4,0))*100</f>
        <v>#REF!</v>
      </c>
      <c r="E33" s="82"/>
      <c r="F33" s="602"/>
      <c r="G33" s="68"/>
      <c r="H33" s="577"/>
      <c r="I33" s="19"/>
      <c r="J33" s="577"/>
      <c r="K33" s="12"/>
      <c r="L33" s="31" t="s">
        <v>117</v>
      </c>
      <c r="M33" s="72"/>
      <c r="N33" s="174" t="e">
        <f>(N31/VLOOKUP(A31,#REF!,4,0))*100</f>
        <v>#REF!</v>
      </c>
      <c r="O33" s="621"/>
      <c r="P33" s="12"/>
      <c r="Q33" s="31" t="s">
        <v>117</v>
      </c>
      <c r="R33" s="69"/>
      <c r="S33" s="35"/>
      <c r="T33" s="35"/>
      <c r="U33" s="35"/>
      <c r="V33" s="1"/>
      <c r="W33" s="577"/>
      <c r="X33" s="1"/>
      <c r="Y33" s="607"/>
    </row>
    <row r="34" spans="1:26" s="10" customFormat="1" ht="130" customHeight="1">
      <c r="A34" s="629" t="s">
        <v>32</v>
      </c>
      <c r="B34" s="13"/>
      <c r="C34" s="37" t="s">
        <v>115</v>
      </c>
      <c r="D34" s="93">
        <v>13.9</v>
      </c>
      <c r="E34" s="575">
        <v>3.9</v>
      </c>
      <c r="F34" s="600" t="s">
        <v>372</v>
      </c>
      <c r="G34" s="74">
        <v>10</v>
      </c>
      <c r="H34" s="575" t="s">
        <v>377</v>
      </c>
      <c r="I34" s="18">
        <v>14</v>
      </c>
      <c r="J34" s="575" t="s">
        <v>378</v>
      </c>
      <c r="K34" s="13"/>
      <c r="L34" s="32" t="s">
        <v>115</v>
      </c>
      <c r="M34" s="18"/>
      <c r="N34" s="175">
        <v>10</v>
      </c>
      <c r="O34" s="575" t="s">
        <v>219</v>
      </c>
      <c r="P34" s="13"/>
      <c r="Q34" s="32" t="s">
        <v>115</v>
      </c>
      <c r="R34" s="93">
        <v>102</v>
      </c>
      <c r="S34" s="575" t="s">
        <v>304</v>
      </c>
      <c r="T34" s="18"/>
      <c r="U34" s="18"/>
      <c r="V34" s="13"/>
      <c r="W34" s="18"/>
      <c r="X34" s="13"/>
      <c r="Y34" s="605" t="s">
        <v>49</v>
      </c>
      <c r="Z34" s="10">
        <f>849+223</f>
        <v>1072</v>
      </c>
    </row>
    <row r="35" spans="1:26" s="3" customFormat="1" ht="130" customHeight="1">
      <c r="A35" s="629"/>
      <c r="B35" s="10"/>
      <c r="C35" s="32" t="s">
        <v>116</v>
      </c>
      <c r="D35" s="81" t="e">
        <f>D34/VLOOKUP(A34,#REF!,7,0)</f>
        <v>#REF!</v>
      </c>
      <c r="E35" s="576"/>
      <c r="F35" s="601"/>
      <c r="G35" s="75"/>
      <c r="H35" s="576"/>
      <c r="I35" s="28"/>
      <c r="J35" s="576"/>
      <c r="K35" s="10"/>
      <c r="L35" s="32" t="s">
        <v>116</v>
      </c>
      <c r="M35" s="28"/>
      <c r="N35" s="173" t="e">
        <f>N34/#REF!</f>
        <v>#REF!</v>
      </c>
      <c r="O35" s="576"/>
      <c r="P35" s="10"/>
      <c r="Q35" s="32" t="s">
        <v>116</v>
      </c>
      <c r="R35" s="81" t="e">
        <f>R34/VLOOKUP(A34,#REF!,7,0)</f>
        <v>#REF!</v>
      </c>
      <c r="S35" s="576"/>
      <c r="T35" s="28"/>
      <c r="U35" s="28"/>
      <c r="V35" s="10"/>
      <c r="W35" s="28"/>
      <c r="X35" s="10"/>
      <c r="Y35" s="606"/>
    </row>
    <row r="36" spans="1:26" ht="130" customHeight="1">
      <c r="A36" s="630"/>
      <c r="B36" s="12"/>
      <c r="C36" s="31" t="s">
        <v>117</v>
      </c>
      <c r="D36" s="17" t="e">
        <f>(D34/VLOOKUP(A34,#REF!,4,0))*100</f>
        <v>#REF!</v>
      </c>
      <c r="E36" s="24"/>
      <c r="F36" s="602"/>
      <c r="G36" s="68"/>
      <c r="H36" s="577"/>
      <c r="I36" s="19"/>
      <c r="J36" s="577"/>
      <c r="K36" s="12"/>
      <c r="L36" s="31" t="s">
        <v>117</v>
      </c>
      <c r="M36" s="23"/>
      <c r="N36" s="168" t="e">
        <f>N34/#REF!*100</f>
        <v>#REF!</v>
      </c>
      <c r="O36" s="577"/>
      <c r="P36" s="12"/>
      <c r="Q36" s="31" t="s">
        <v>117</v>
      </c>
      <c r="R36" s="17" t="e">
        <f>(R34/VLOOKUP(A34,#REF!,4,0))*100</f>
        <v>#REF!</v>
      </c>
      <c r="S36" s="577"/>
      <c r="T36" s="19"/>
      <c r="U36" s="19"/>
      <c r="V36" s="1"/>
      <c r="W36" s="19"/>
      <c r="X36" s="1"/>
      <c r="Y36" s="607"/>
    </row>
    <row r="37" spans="1:26" ht="75" customHeight="1">
      <c r="A37" s="629" t="s">
        <v>7</v>
      </c>
      <c r="B37" s="16"/>
      <c r="C37" s="32" t="s">
        <v>115</v>
      </c>
      <c r="D37" s="80">
        <v>65</v>
      </c>
      <c r="E37" s="80">
        <v>5</v>
      </c>
      <c r="F37" s="600" t="s">
        <v>373</v>
      </c>
      <c r="G37" s="80">
        <v>60</v>
      </c>
      <c r="H37" s="575" t="s">
        <v>379</v>
      </c>
      <c r="I37" s="18"/>
      <c r="J37" s="575" t="s">
        <v>380</v>
      </c>
      <c r="K37" s="16"/>
      <c r="L37" s="32" t="s">
        <v>115</v>
      </c>
      <c r="M37" s="73">
        <v>330</v>
      </c>
      <c r="N37" s="171">
        <v>330</v>
      </c>
      <c r="O37" s="581" t="s">
        <v>267</v>
      </c>
      <c r="P37" s="16"/>
      <c r="Q37" s="32" t="s">
        <v>115</v>
      </c>
      <c r="R37" s="49"/>
      <c r="S37" s="575" t="s">
        <v>157</v>
      </c>
      <c r="T37" s="18"/>
      <c r="U37" s="18"/>
      <c r="V37" s="15"/>
      <c r="W37" s="622" t="s">
        <v>72</v>
      </c>
      <c r="X37" s="15"/>
      <c r="Y37" s="614" t="s">
        <v>71</v>
      </c>
    </row>
    <row r="38" spans="1:26" ht="75" customHeight="1">
      <c r="A38" s="629"/>
      <c r="B38" s="6"/>
      <c r="C38" s="32" t="s">
        <v>116</v>
      </c>
      <c r="D38" s="81" t="e">
        <f>D37/VLOOKUP(A37,#REF!,7,0)</f>
        <v>#REF!</v>
      </c>
      <c r="E38" s="81"/>
      <c r="F38" s="601"/>
      <c r="G38" s="56"/>
      <c r="H38" s="576"/>
      <c r="I38" s="28"/>
      <c r="J38" s="576"/>
      <c r="K38" s="6"/>
      <c r="L38" s="32" t="s">
        <v>116</v>
      </c>
      <c r="M38" s="71"/>
      <c r="N38" s="167" t="e">
        <f>N37/VLOOKUP(A37,#REF!,7,0)</f>
        <v>#REF!</v>
      </c>
      <c r="O38" s="582"/>
      <c r="P38" s="6"/>
      <c r="Q38" s="32" t="s">
        <v>116</v>
      </c>
      <c r="R38" s="69"/>
      <c r="S38" s="576"/>
      <c r="T38" s="28"/>
      <c r="U38" s="28"/>
      <c r="W38" s="623"/>
      <c r="Y38" s="615"/>
    </row>
    <row r="39" spans="1:26" s="2" customFormat="1" ht="75" customHeight="1">
      <c r="A39" s="630"/>
      <c r="B39" s="12"/>
      <c r="C39" s="31" t="s">
        <v>117</v>
      </c>
      <c r="D39" s="17" t="e">
        <f>(D37/VLOOKUP(A37,#REF!,4,0))*100</f>
        <v>#REF!</v>
      </c>
      <c r="E39" s="82"/>
      <c r="F39" s="602"/>
      <c r="G39" s="68"/>
      <c r="H39" s="577"/>
      <c r="I39" s="19"/>
      <c r="J39" s="577"/>
      <c r="K39" s="12"/>
      <c r="L39" s="31" t="s">
        <v>117</v>
      </c>
      <c r="M39" s="72"/>
      <c r="N39" s="168" t="e">
        <f>(N37/VLOOKUP(A37,#REF!,4,0))*100</f>
        <v>#REF!</v>
      </c>
      <c r="O39" s="583"/>
      <c r="P39" s="12"/>
      <c r="Q39" s="31" t="s">
        <v>117</v>
      </c>
      <c r="R39" s="17"/>
      <c r="S39" s="577"/>
      <c r="T39" s="19"/>
      <c r="U39" s="19"/>
      <c r="V39" s="1"/>
      <c r="W39" s="624"/>
      <c r="X39" s="1"/>
      <c r="Y39" s="616"/>
    </row>
    <row r="40" spans="1:26" s="143" customFormat="1" ht="67" customHeight="1">
      <c r="A40" s="629" t="s">
        <v>8</v>
      </c>
      <c r="B40" s="16"/>
      <c r="C40" s="37" t="s">
        <v>115</v>
      </c>
      <c r="D40" s="128">
        <v>1395</v>
      </c>
      <c r="E40" s="80">
        <v>141</v>
      </c>
      <c r="F40" s="600" t="s">
        <v>381</v>
      </c>
      <c r="G40" s="80">
        <f>D40-E40</f>
        <v>1254</v>
      </c>
      <c r="H40" s="575" t="s">
        <v>383</v>
      </c>
      <c r="I40" s="18"/>
      <c r="J40" s="575" t="s">
        <v>382</v>
      </c>
      <c r="K40" s="16"/>
      <c r="L40" s="37" t="s">
        <v>115</v>
      </c>
      <c r="M40" s="73">
        <v>859</v>
      </c>
      <c r="N40" s="171">
        <v>405</v>
      </c>
      <c r="O40" s="581" t="s">
        <v>274</v>
      </c>
      <c r="P40" s="16"/>
      <c r="Q40" s="37" t="s">
        <v>115</v>
      </c>
      <c r="R40" s="80">
        <v>454</v>
      </c>
      <c r="S40" s="575" t="s">
        <v>275</v>
      </c>
      <c r="T40" s="18"/>
      <c r="U40" s="18"/>
      <c r="V40" s="15"/>
      <c r="W40" s="575" t="s">
        <v>73</v>
      </c>
      <c r="X40" s="15"/>
      <c r="Y40" s="22"/>
    </row>
    <row r="41" spans="1:26" ht="100" customHeight="1">
      <c r="A41" s="629"/>
      <c r="B41" s="6"/>
      <c r="C41" s="32" t="s">
        <v>116</v>
      </c>
      <c r="D41" s="161" t="e">
        <f>D40/VLOOKUP(A40,#REF!,7,0)</f>
        <v>#REF!</v>
      </c>
      <c r="E41" s="81"/>
      <c r="F41" s="601"/>
      <c r="G41" s="56"/>
      <c r="H41" s="576"/>
      <c r="I41" s="28"/>
      <c r="J41" s="576"/>
      <c r="K41" s="6"/>
      <c r="L41" s="32" t="s">
        <v>116</v>
      </c>
      <c r="M41" s="71"/>
      <c r="N41" s="167" t="e">
        <f>N40/VLOOKUP(A40,#REF!,7,0)</f>
        <v>#REF!</v>
      </c>
      <c r="O41" s="582"/>
      <c r="P41" s="6"/>
      <c r="Q41" s="32" t="s">
        <v>116</v>
      </c>
      <c r="R41" s="185" t="e">
        <f>R40/VLOOKUP(A40,#REF!,7,0)</f>
        <v>#REF!</v>
      </c>
      <c r="S41" s="576"/>
      <c r="T41" s="28"/>
      <c r="U41" s="28"/>
      <c r="W41" s="576"/>
      <c r="Y41" s="27"/>
    </row>
    <row r="42" spans="1:26" ht="84.65" customHeight="1">
      <c r="A42" s="630"/>
      <c r="B42" s="12"/>
      <c r="C42" s="31" t="s">
        <v>117</v>
      </c>
      <c r="D42" s="17" t="e">
        <f>(D40/VLOOKUP(A40,#REF!,4,0))*100</f>
        <v>#REF!</v>
      </c>
      <c r="E42" s="82"/>
      <c r="F42" s="602"/>
      <c r="G42" s="68"/>
      <c r="H42" s="577"/>
      <c r="I42" s="19"/>
      <c r="J42" s="577"/>
      <c r="K42" s="12"/>
      <c r="L42" s="31" t="s">
        <v>117</v>
      </c>
      <c r="M42" s="72"/>
      <c r="N42" s="168" t="e">
        <f>(N40/VLOOKUP(A40,#REF!,4,0))*100</f>
        <v>#REF!</v>
      </c>
      <c r="O42" s="583"/>
      <c r="P42" s="12"/>
      <c r="Q42" s="31" t="s">
        <v>117</v>
      </c>
      <c r="R42" s="65" t="e">
        <f>(R40/VLOOKUP(A40,#REF!,4,0))*100</f>
        <v>#REF!</v>
      </c>
      <c r="S42" s="577"/>
      <c r="T42" s="19"/>
      <c r="U42" s="19"/>
      <c r="V42" s="1"/>
      <c r="W42" s="577"/>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59.15" customHeight="1">
      <c r="A45" s="629" t="s">
        <v>9</v>
      </c>
      <c r="B45" s="6"/>
      <c r="C45" s="32" t="s">
        <v>115</v>
      </c>
      <c r="D45" s="95">
        <v>350</v>
      </c>
      <c r="E45" s="81"/>
      <c r="F45" s="600" t="s">
        <v>384</v>
      </c>
      <c r="G45" s="81">
        <v>350</v>
      </c>
      <c r="H45" s="581" t="s">
        <v>385</v>
      </c>
      <c r="I45" s="186"/>
      <c r="J45" s="581" t="s">
        <v>386</v>
      </c>
      <c r="K45" s="6"/>
      <c r="L45" s="32" t="s">
        <v>115</v>
      </c>
      <c r="M45" s="71"/>
      <c r="N45" s="170"/>
      <c r="O45" s="581" t="s">
        <v>144</v>
      </c>
      <c r="P45" s="6"/>
      <c r="Q45" s="32" t="s">
        <v>115</v>
      </c>
      <c r="R45" s="81">
        <v>350</v>
      </c>
      <c r="S45" s="575" t="s">
        <v>103</v>
      </c>
      <c r="T45" s="28"/>
      <c r="U45" s="28"/>
      <c r="W45" s="35"/>
      <c r="Y45" s="35">
        <f>300/D46*350</f>
        <v>19444.444444444442</v>
      </c>
    </row>
    <row r="46" spans="1:26" ht="59.15" customHeight="1">
      <c r="A46" s="629"/>
      <c r="B46" s="6"/>
      <c r="C46" s="32" t="s">
        <v>280</v>
      </c>
      <c r="D46" s="69">
        <v>5.4</v>
      </c>
      <c r="E46" s="81"/>
      <c r="F46" s="601"/>
      <c r="G46" s="56"/>
      <c r="H46" s="582"/>
      <c r="I46" s="186"/>
      <c r="J46" s="582"/>
      <c r="K46" s="6"/>
      <c r="L46" s="32" t="s">
        <v>116</v>
      </c>
      <c r="M46" s="71"/>
      <c r="N46" s="170"/>
      <c r="O46" s="582"/>
      <c r="P46" s="6"/>
      <c r="Q46" s="32" t="s">
        <v>282</v>
      </c>
      <c r="R46" s="69">
        <v>5.4</v>
      </c>
      <c r="S46" s="576"/>
      <c r="T46" s="28"/>
      <c r="U46" s="28"/>
      <c r="W46" s="28" t="s">
        <v>152</v>
      </c>
      <c r="Y46" s="27"/>
    </row>
    <row r="47" spans="1:26" ht="66.650000000000006" customHeight="1">
      <c r="A47" s="630"/>
      <c r="B47" s="12"/>
      <c r="C47" s="31" t="s">
        <v>117</v>
      </c>
      <c r="D47" s="17" t="e">
        <f>(D45/VLOOKUP("Argentina",#REF!,4,0))*100</f>
        <v>#REF!</v>
      </c>
      <c r="E47" s="82"/>
      <c r="F47" s="602"/>
      <c r="G47" s="68"/>
      <c r="H47" s="583"/>
      <c r="I47" s="187"/>
      <c r="J47" s="583"/>
      <c r="K47" s="12"/>
      <c r="L47" s="31" t="s">
        <v>117</v>
      </c>
      <c r="M47" s="72"/>
      <c r="N47" s="168"/>
      <c r="O47" s="583"/>
      <c r="P47" s="12"/>
      <c r="Q47" s="31" t="s">
        <v>117</v>
      </c>
      <c r="R47" s="17" t="e">
        <f>(R45/VLOOKUP("Argentina",#REF!,4,0))*100</f>
        <v>#REF!</v>
      </c>
      <c r="S47" s="577"/>
      <c r="T47" s="19"/>
      <c r="U47" s="19"/>
      <c r="V47" s="1"/>
      <c r="W47" s="19"/>
      <c r="X47" s="1"/>
      <c r="Y47" s="26"/>
    </row>
    <row r="48" spans="1:26" ht="67.5" customHeight="1">
      <c r="A48" s="629" t="s">
        <v>10</v>
      </c>
      <c r="B48" s="16"/>
      <c r="C48" s="32" t="s">
        <v>115</v>
      </c>
      <c r="D48" s="80">
        <v>205</v>
      </c>
      <c r="E48" s="80">
        <v>20</v>
      </c>
      <c r="F48" s="600" t="s">
        <v>387</v>
      </c>
      <c r="G48" s="80"/>
      <c r="H48" s="575" t="s">
        <v>388</v>
      </c>
      <c r="I48" s="18"/>
      <c r="J48" s="575" t="s">
        <v>389</v>
      </c>
      <c r="K48" s="16"/>
      <c r="L48" s="32" t="s">
        <v>115</v>
      </c>
      <c r="M48" s="73">
        <v>264</v>
      </c>
      <c r="N48" s="171">
        <f>5+12.6+245</f>
        <v>262.60000000000002</v>
      </c>
      <c r="O48" s="581" t="s">
        <v>413</v>
      </c>
      <c r="P48" s="16"/>
      <c r="Q48" s="32" t="s">
        <v>115</v>
      </c>
      <c r="R48" s="80">
        <v>34</v>
      </c>
      <c r="S48" s="575" t="s">
        <v>290</v>
      </c>
      <c r="T48" s="18"/>
      <c r="U48" s="18"/>
      <c r="V48" s="15"/>
      <c r="W48" s="575" t="s">
        <v>75</v>
      </c>
      <c r="X48" s="15"/>
      <c r="Y48" s="22">
        <f>5+12.6+212</f>
        <v>229.6</v>
      </c>
    </row>
    <row r="49" spans="1:25" ht="80.150000000000006" customHeight="1">
      <c r="A49" s="629"/>
      <c r="B49" s="6"/>
      <c r="C49" s="32" t="s">
        <v>116</v>
      </c>
      <c r="D49" s="81" t="e">
        <f>D48/VLOOKUP(A48,#REF!,7,0)</f>
        <v>#REF!</v>
      </c>
      <c r="E49" s="81"/>
      <c r="F49" s="601"/>
      <c r="G49" s="56"/>
      <c r="H49" s="576"/>
      <c r="I49" s="28"/>
      <c r="J49" s="576"/>
      <c r="K49" s="6"/>
      <c r="L49" s="32" t="s">
        <v>116</v>
      </c>
      <c r="M49" s="71"/>
      <c r="N49" s="167" t="e">
        <f>N48/VLOOKUP(A48,#REF!,7,0)</f>
        <v>#REF!</v>
      </c>
      <c r="O49" s="582"/>
      <c r="P49" s="6"/>
      <c r="Q49" s="32" t="s">
        <v>116</v>
      </c>
      <c r="R49" s="69" t="e">
        <f>R48/VLOOKUP(A48,#REF!,7,0)</f>
        <v>#REF!</v>
      </c>
      <c r="S49" s="576"/>
      <c r="T49" s="28"/>
      <c r="U49" s="28"/>
      <c r="W49" s="576"/>
      <c r="Y49" s="27" t="e">
        <f>N49/N48*Y48</f>
        <v>#REF!</v>
      </c>
    </row>
    <row r="50" spans="1:25" ht="73.5" customHeight="1">
      <c r="A50" s="630"/>
      <c r="B50" s="6"/>
      <c r="C50" s="32" t="s">
        <v>117</v>
      </c>
      <c r="D50" s="69" t="e">
        <f>(D48/VLOOKUP(A48,#REF!,4,0))*100</f>
        <v>#REF!</v>
      </c>
      <c r="E50" s="81"/>
      <c r="F50" s="602"/>
      <c r="G50" s="56"/>
      <c r="H50" s="577"/>
      <c r="I50" s="28"/>
      <c r="J50" s="577"/>
      <c r="K50" s="6"/>
      <c r="L50" s="32" t="s">
        <v>117</v>
      </c>
      <c r="M50" s="71"/>
      <c r="N50" s="170" t="e">
        <f>(N48/VLOOKUP(A48,#REF!,4,0))*100</f>
        <v>#REF!</v>
      </c>
      <c r="O50" s="583"/>
      <c r="P50" s="6"/>
      <c r="Q50" s="32" t="s">
        <v>117</v>
      </c>
      <c r="R50" s="69" t="e">
        <f>(R48/VLOOKUP(A48,#REF!,4,0))*100</f>
        <v>#REF!</v>
      </c>
      <c r="S50" s="577"/>
      <c r="T50" s="28"/>
      <c r="U50" s="28"/>
      <c r="W50" s="577"/>
      <c r="Y50" s="27"/>
    </row>
    <row r="51" spans="1:25" s="13" customFormat="1" ht="89.15" customHeight="1">
      <c r="A51" s="629" t="s">
        <v>11</v>
      </c>
      <c r="C51" s="37" t="s">
        <v>115</v>
      </c>
      <c r="D51" s="127">
        <v>2560</v>
      </c>
      <c r="E51" s="74">
        <v>110</v>
      </c>
      <c r="F51" s="600" t="s">
        <v>390</v>
      </c>
      <c r="G51" s="74">
        <v>2390</v>
      </c>
      <c r="H51" s="581" t="s">
        <v>391</v>
      </c>
      <c r="I51" s="140"/>
      <c r="J51" s="581" t="s">
        <v>392</v>
      </c>
      <c r="L51" s="37" t="s">
        <v>115</v>
      </c>
      <c r="M51" s="74"/>
      <c r="N51" s="177"/>
      <c r="O51" s="141"/>
      <c r="Q51" s="37" t="s">
        <v>115</v>
      </c>
      <c r="R51" s="53"/>
      <c r="S51" s="141"/>
      <c r="T51" s="141"/>
      <c r="U51" s="141"/>
      <c r="W51" s="575" t="s">
        <v>76</v>
      </c>
      <c r="Y51" s="18"/>
    </row>
    <row r="52" spans="1:25" ht="87" customHeight="1">
      <c r="A52" s="629"/>
      <c r="B52" s="6"/>
      <c r="C52" s="32" t="s">
        <v>116</v>
      </c>
      <c r="D52" s="81" t="e">
        <f>D51/VLOOKUP(A51,#REF!,7,0)</f>
        <v>#REF!</v>
      </c>
      <c r="E52" s="75"/>
      <c r="F52" s="601"/>
      <c r="G52" s="56"/>
      <c r="H52" s="582"/>
      <c r="I52" s="186"/>
      <c r="J52" s="582"/>
      <c r="K52" s="6"/>
      <c r="L52" s="32" t="s">
        <v>116</v>
      </c>
      <c r="M52" s="71"/>
      <c r="N52" s="170"/>
      <c r="O52" s="35"/>
      <c r="P52" s="6"/>
      <c r="Q52" s="32" t="s">
        <v>116</v>
      </c>
      <c r="R52" s="69"/>
      <c r="S52" s="28"/>
      <c r="T52" s="28"/>
      <c r="U52" s="28"/>
      <c r="W52" s="576"/>
      <c r="Y52" s="27"/>
    </row>
    <row r="53" spans="1:25" ht="92.15" customHeight="1">
      <c r="A53" s="630"/>
      <c r="B53" s="12"/>
      <c r="C53" s="31" t="s">
        <v>117</v>
      </c>
      <c r="D53" s="17" t="e">
        <f>(D51/VLOOKUP(A51,#REF!,4,0))*100</f>
        <v>#REF!</v>
      </c>
      <c r="E53" s="76"/>
      <c r="F53" s="602"/>
      <c r="G53" s="68"/>
      <c r="H53" s="583"/>
      <c r="I53" s="187"/>
      <c r="J53" s="583"/>
      <c r="K53" s="12"/>
      <c r="L53" s="31" t="s">
        <v>117</v>
      </c>
      <c r="M53" s="72"/>
      <c r="N53" s="168"/>
      <c r="O53" s="23"/>
      <c r="P53" s="12"/>
      <c r="Q53" s="31" t="s">
        <v>117</v>
      </c>
      <c r="R53" s="17"/>
      <c r="S53" s="19"/>
      <c r="T53" s="28"/>
      <c r="U53" s="28"/>
      <c r="W53" s="576"/>
      <c r="Y53" s="27"/>
    </row>
    <row r="54" spans="1:25" s="13" customFormat="1" ht="120" customHeight="1">
      <c r="A54" s="629" t="s">
        <v>12</v>
      </c>
      <c r="C54" s="37" t="s">
        <v>115</v>
      </c>
      <c r="D54" s="127">
        <v>1570</v>
      </c>
      <c r="E54" s="74">
        <v>150</v>
      </c>
      <c r="F54" s="575" t="s">
        <v>393</v>
      </c>
      <c r="G54" s="127">
        <v>1420</v>
      </c>
      <c r="H54" s="581" t="s">
        <v>394</v>
      </c>
      <c r="I54" s="140"/>
      <c r="J54" s="581" t="s">
        <v>395</v>
      </c>
      <c r="L54" s="37" t="s">
        <v>115</v>
      </c>
      <c r="M54" s="74"/>
      <c r="N54" s="177"/>
      <c r="O54" s="18"/>
      <c r="Q54" s="37" t="s">
        <v>115</v>
      </c>
      <c r="R54" s="53"/>
      <c r="S54" s="18"/>
      <c r="T54" s="18"/>
      <c r="U54" s="18"/>
      <c r="W54" s="18"/>
      <c r="Y54" s="605" t="s">
        <v>57</v>
      </c>
    </row>
    <row r="55" spans="1:25" s="10" customFormat="1" ht="120" customHeight="1">
      <c r="A55" s="629"/>
      <c r="C55" s="32" t="s">
        <v>116</v>
      </c>
      <c r="D55" s="81" t="e">
        <f>D54/VLOOKUP(A54,#REF!,7,0)</f>
        <v>#REF!</v>
      </c>
      <c r="E55" s="77">
        <v>0.1</v>
      </c>
      <c r="F55" s="576"/>
      <c r="G55" s="77">
        <v>0.8</v>
      </c>
      <c r="H55" s="582"/>
      <c r="I55" s="186"/>
      <c r="J55" s="582"/>
      <c r="L55" s="32" t="s">
        <v>116</v>
      </c>
      <c r="M55" s="75"/>
      <c r="N55" s="178"/>
      <c r="O55" s="28"/>
      <c r="Q55" s="32" t="s">
        <v>116</v>
      </c>
      <c r="R55" s="56"/>
      <c r="S55" s="28"/>
      <c r="T55" s="28"/>
      <c r="U55" s="28"/>
      <c r="W55" s="28"/>
      <c r="Y55" s="606"/>
    </row>
    <row r="56" spans="1:25" ht="120" customHeight="1">
      <c r="A56" s="630"/>
      <c r="B56" s="6"/>
      <c r="C56" s="32" t="s">
        <v>117</v>
      </c>
      <c r="D56" s="69" t="e">
        <f>(D54/VLOOKUP(A54,#REF!,4,0))*100</f>
        <v>#REF!</v>
      </c>
      <c r="E56" s="77"/>
      <c r="F56" s="577"/>
      <c r="G56" s="56"/>
      <c r="H56" s="583"/>
      <c r="I56" s="186"/>
      <c r="J56" s="583"/>
      <c r="K56" s="6"/>
      <c r="L56" s="32" t="s">
        <v>117</v>
      </c>
      <c r="M56" s="71"/>
      <c r="N56" s="170"/>
      <c r="O56" s="35"/>
      <c r="P56" s="6"/>
      <c r="Q56" s="32" t="s">
        <v>117</v>
      </c>
      <c r="R56" s="69"/>
      <c r="S56" s="28"/>
      <c r="T56" s="28"/>
      <c r="U56" s="28"/>
      <c r="W56" s="28"/>
      <c r="Y56" s="607"/>
    </row>
    <row r="57" spans="1:25" s="13" customFormat="1" ht="73.5" customHeight="1">
      <c r="A57" s="629" t="s">
        <v>13</v>
      </c>
      <c r="C57" s="37" t="s">
        <v>115</v>
      </c>
      <c r="D57" s="127">
        <v>289000</v>
      </c>
      <c r="E57" s="74">
        <v>76000</v>
      </c>
      <c r="F57" s="575" t="s">
        <v>396</v>
      </c>
      <c r="G57" s="74">
        <v>213000</v>
      </c>
      <c r="H57" s="581" t="s">
        <v>397</v>
      </c>
      <c r="I57" s="140"/>
      <c r="J57" s="140"/>
      <c r="L57" s="37" t="s">
        <v>115</v>
      </c>
      <c r="M57" s="142"/>
      <c r="N57" s="177"/>
      <c r="O57" s="140"/>
      <c r="Q57" s="37" t="s">
        <v>115</v>
      </c>
      <c r="R57" s="127">
        <v>150000</v>
      </c>
      <c r="S57" s="581" t="s">
        <v>333</v>
      </c>
      <c r="T57" s="140"/>
      <c r="U57" s="140"/>
      <c r="W57" s="18"/>
      <c r="Y57" s="18"/>
    </row>
    <row r="58" spans="1:25" s="10" customFormat="1" ht="100" customHeight="1">
      <c r="A58" s="629"/>
      <c r="C58" s="32" t="s">
        <v>116</v>
      </c>
      <c r="D58" s="81" t="e">
        <f>D57/VLOOKUP(A57,#REF!,7,0)</f>
        <v>#REF!</v>
      </c>
      <c r="E58" s="75"/>
      <c r="F58" s="576"/>
      <c r="G58" s="75"/>
      <c r="H58" s="582"/>
      <c r="I58" s="186"/>
      <c r="J58" s="186"/>
      <c r="L58" s="32" t="s">
        <v>116</v>
      </c>
      <c r="M58" s="75"/>
      <c r="N58" s="170"/>
      <c r="O58" s="48"/>
      <c r="Q58" s="32" t="s">
        <v>116</v>
      </c>
      <c r="R58" s="56" t="e">
        <f>R57/#REF!</f>
        <v>#REF!</v>
      </c>
      <c r="S58" s="582"/>
      <c r="T58" s="186"/>
      <c r="U58" s="186"/>
      <c r="W58" s="28"/>
      <c r="Y58" s="28"/>
    </row>
    <row r="59" spans="1:25" s="2" customFormat="1" ht="121.5" customHeight="1">
      <c r="A59" s="630"/>
      <c r="B59" s="12"/>
      <c r="C59" s="31" t="s">
        <v>117</v>
      </c>
      <c r="D59" s="17" t="e">
        <f>(D57/VLOOKUP(A57,#REF!,4,0))*100</f>
        <v>#REF!</v>
      </c>
      <c r="E59" s="78"/>
      <c r="F59" s="577"/>
      <c r="G59" s="68"/>
      <c r="H59" s="583"/>
      <c r="I59" s="187"/>
      <c r="J59" s="187"/>
      <c r="K59" s="12"/>
      <c r="L59" s="31" t="s">
        <v>117</v>
      </c>
      <c r="M59" s="72"/>
      <c r="N59" s="168"/>
      <c r="O59" s="47"/>
      <c r="P59" s="12"/>
      <c r="Q59" s="31" t="s">
        <v>117</v>
      </c>
      <c r="R59" s="17" t="e">
        <f>R57/#REF!*100</f>
        <v>#REF!</v>
      </c>
      <c r="S59" s="583"/>
      <c r="T59" s="187"/>
      <c r="U59" s="187"/>
      <c r="V59" s="1"/>
      <c r="W59" s="132" t="s">
        <v>296</v>
      </c>
      <c r="X59" s="1"/>
      <c r="Y59" s="26"/>
    </row>
    <row r="60" spans="1:25" s="36" customFormat="1" ht="42" customHeight="1">
      <c r="A60" s="629" t="s">
        <v>14</v>
      </c>
      <c r="C60" s="32" t="s">
        <v>115</v>
      </c>
      <c r="D60" s="95">
        <v>180</v>
      </c>
      <c r="E60" s="75"/>
      <c r="F60" s="600" t="s">
        <v>398</v>
      </c>
      <c r="G60" s="75"/>
      <c r="H60" s="581"/>
      <c r="I60" s="186"/>
      <c r="J60" s="581" t="s">
        <v>399</v>
      </c>
      <c r="L60" s="32" t="s">
        <v>115</v>
      </c>
      <c r="M60" s="75"/>
      <c r="N60" s="166">
        <v>75</v>
      </c>
      <c r="O60" s="575" t="s">
        <v>415</v>
      </c>
      <c r="Q60" s="32" t="s">
        <v>115</v>
      </c>
      <c r="R60" s="56"/>
      <c r="S60" s="28"/>
      <c r="T60" s="28"/>
      <c r="U60" s="28"/>
      <c r="W60" s="575" t="s">
        <v>77</v>
      </c>
      <c r="Y60" s="605" t="s">
        <v>58</v>
      </c>
    </row>
    <row r="61" spans="1:25" s="36" customFormat="1" ht="37.5" customHeight="1">
      <c r="A61" s="629"/>
      <c r="C61" s="32" t="s">
        <v>116</v>
      </c>
      <c r="D61" s="69" t="e">
        <f>D60/VLOOKUP(A60,#REF!,7,0)</f>
        <v>#REF!</v>
      </c>
      <c r="E61" s="75"/>
      <c r="F61" s="601"/>
      <c r="G61" s="75"/>
      <c r="H61" s="582"/>
      <c r="I61" s="186"/>
      <c r="J61" s="582"/>
      <c r="L61" s="32" t="s">
        <v>116</v>
      </c>
      <c r="M61" s="75"/>
      <c r="N61" s="178" t="e">
        <f>N60/VLOOKUP(A60,#REF!,7,0)</f>
        <v>#REF!</v>
      </c>
      <c r="O61" s="576"/>
      <c r="Q61" s="32" t="s">
        <v>116</v>
      </c>
      <c r="R61" s="56"/>
      <c r="S61" s="28"/>
      <c r="T61" s="28"/>
      <c r="U61" s="28"/>
      <c r="W61" s="576"/>
      <c r="Y61" s="606"/>
    </row>
    <row r="62" spans="1:25" s="4" customFormat="1" ht="50.5" customHeight="1">
      <c r="A62" s="630"/>
      <c r="C62" s="31" t="s">
        <v>117</v>
      </c>
      <c r="D62" s="17" t="e">
        <f>(D60/VLOOKUP(A60,#REF!,4,0))*100</f>
        <v>#REF!</v>
      </c>
      <c r="E62" s="76"/>
      <c r="F62" s="602"/>
      <c r="G62" s="76"/>
      <c r="H62" s="583"/>
      <c r="I62" s="187"/>
      <c r="J62" s="583"/>
      <c r="L62" s="31" t="s">
        <v>117</v>
      </c>
      <c r="M62" s="76"/>
      <c r="N62" s="179" t="e">
        <f>(N60/VLOOKUP(A60,#REF!,4,0))*100</f>
        <v>#REF!</v>
      </c>
      <c r="O62" s="577"/>
      <c r="Q62" s="31" t="s">
        <v>117</v>
      </c>
      <c r="R62" s="68"/>
      <c r="S62" s="19"/>
      <c r="T62" s="19"/>
      <c r="U62" s="19"/>
      <c r="W62" s="577"/>
      <c r="Y62" s="607"/>
    </row>
    <row r="63" spans="1:25" s="10" customFormat="1" ht="104.5" customHeight="1">
      <c r="A63" s="629" t="s">
        <v>15</v>
      </c>
      <c r="B63" s="13"/>
      <c r="C63" s="32" t="s">
        <v>115</v>
      </c>
      <c r="D63" s="93">
        <v>900</v>
      </c>
      <c r="E63" s="74">
        <v>78.400000000000006</v>
      </c>
      <c r="F63" s="575" t="s">
        <v>400</v>
      </c>
      <c r="G63" s="74"/>
      <c r="H63" s="575" t="s">
        <v>401</v>
      </c>
      <c r="I63" s="18"/>
      <c r="J63" s="575" t="s">
        <v>402</v>
      </c>
      <c r="K63" s="13"/>
      <c r="L63" s="32" t="s">
        <v>115</v>
      </c>
      <c r="M63" s="74"/>
      <c r="N63" s="166">
        <v>570</v>
      </c>
      <c r="O63" s="581" t="s">
        <v>416</v>
      </c>
      <c r="P63" s="13"/>
      <c r="Q63" s="32" t="s">
        <v>115</v>
      </c>
      <c r="R63" s="95"/>
      <c r="S63" s="578"/>
      <c r="T63" s="189"/>
      <c r="U63" s="189"/>
      <c r="V63" s="13"/>
      <c r="W63" s="18"/>
      <c r="X63" s="13"/>
      <c r="Y63" s="18"/>
    </row>
    <row r="64" spans="1:25" s="10" customFormat="1" ht="101.5" customHeight="1">
      <c r="A64" s="629"/>
      <c r="C64" s="32" t="s">
        <v>116</v>
      </c>
      <c r="D64" s="81" t="e">
        <f>D63/VLOOKUP(A63,#REF!,7,0)</f>
        <v>#REF!</v>
      </c>
      <c r="E64" s="75"/>
      <c r="F64" s="576"/>
      <c r="G64" s="75"/>
      <c r="H64" s="576"/>
      <c r="I64" s="28"/>
      <c r="J64" s="576"/>
      <c r="L64" s="32" t="s">
        <v>116</v>
      </c>
      <c r="M64" s="75"/>
      <c r="N64" s="170" t="e">
        <f>N63/VLOOKUP(A63,#REF!,7,0)</f>
        <v>#REF!</v>
      </c>
      <c r="O64" s="582"/>
      <c r="Q64" s="32" t="s">
        <v>116</v>
      </c>
      <c r="R64" s="69"/>
      <c r="S64" s="579"/>
      <c r="T64" s="190"/>
      <c r="U64" s="190"/>
      <c r="W64" s="28"/>
      <c r="Y64" s="28"/>
    </row>
    <row r="65" spans="1:25" ht="110.15" customHeight="1">
      <c r="A65" s="630"/>
      <c r="B65" s="6"/>
      <c r="C65" s="32" t="s">
        <v>117</v>
      </c>
      <c r="D65" s="69" t="e">
        <f>(D63/VLOOKUP(A63,#REF!,4,0))*100</f>
        <v>#REF!</v>
      </c>
      <c r="E65" s="77"/>
      <c r="F65" s="577"/>
      <c r="G65" s="56"/>
      <c r="H65" s="577"/>
      <c r="I65" s="28"/>
      <c r="J65" s="577"/>
      <c r="K65" s="6"/>
      <c r="L65" s="32" t="s">
        <v>117</v>
      </c>
      <c r="M65" s="71"/>
      <c r="N65" s="170" t="e">
        <f>(N63/VLOOKUP(A63,#REF!,4,0))*100</f>
        <v>#REF!</v>
      </c>
      <c r="O65" s="583"/>
      <c r="P65" s="6"/>
      <c r="Q65" s="32" t="s">
        <v>117</v>
      </c>
      <c r="R65" s="69"/>
      <c r="S65" s="580"/>
      <c r="T65" s="190"/>
      <c r="U65" s="190"/>
      <c r="W65" s="28"/>
      <c r="Y65" s="27"/>
    </row>
    <row r="66" spans="1:25" s="13" customFormat="1" ht="60" customHeight="1">
      <c r="A66" s="629" t="s">
        <v>16</v>
      </c>
      <c r="C66" s="37" t="s">
        <v>115</v>
      </c>
      <c r="D66" s="93" t="s">
        <v>276</v>
      </c>
      <c r="E66" s="74">
        <v>10</v>
      </c>
      <c r="F66" s="575" t="s">
        <v>403</v>
      </c>
      <c r="G66" s="74"/>
      <c r="H66" s="575" t="s">
        <v>404</v>
      </c>
      <c r="I66" s="18"/>
      <c r="J66" s="575" t="s">
        <v>405</v>
      </c>
      <c r="L66" s="37" t="s">
        <v>115</v>
      </c>
      <c r="M66" s="74">
        <v>22</v>
      </c>
      <c r="N66" s="175">
        <v>31</v>
      </c>
      <c r="O66" s="575" t="s">
        <v>284</v>
      </c>
      <c r="Q66" s="37" t="s">
        <v>115</v>
      </c>
      <c r="R66" s="53"/>
      <c r="S66" s="18"/>
      <c r="T66" s="18"/>
      <c r="U66" s="18"/>
      <c r="W66" s="18"/>
      <c r="Y66" s="605" t="s">
        <v>59</v>
      </c>
    </row>
    <row r="67" spans="1:25" s="10" customFormat="1" ht="60" customHeight="1">
      <c r="A67" s="629"/>
      <c r="C67" s="32" t="s">
        <v>116</v>
      </c>
      <c r="D67" s="69"/>
      <c r="E67" s="75"/>
      <c r="F67" s="576"/>
      <c r="G67" s="75"/>
      <c r="H67" s="576"/>
      <c r="I67" s="28"/>
      <c r="J67" s="576"/>
      <c r="L67" s="32" t="s">
        <v>116</v>
      </c>
      <c r="M67" s="75"/>
      <c r="N67" s="170" t="e">
        <f>N66/VLOOKUP(A66,#REF!,7,0)</f>
        <v>#REF!</v>
      </c>
      <c r="O67" s="576"/>
      <c r="Q67" s="32" t="s">
        <v>116</v>
      </c>
      <c r="R67" s="56"/>
      <c r="S67" s="28"/>
      <c r="T67" s="28"/>
      <c r="U67" s="28"/>
      <c r="W67" s="28"/>
      <c r="Y67" s="606"/>
    </row>
    <row r="68" spans="1:25" ht="60" customHeight="1">
      <c r="A68" s="630"/>
      <c r="B68" s="12"/>
      <c r="C68" s="31" t="s">
        <v>117</v>
      </c>
      <c r="D68" s="17"/>
      <c r="E68" s="78"/>
      <c r="F68" s="577"/>
      <c r="G68" s="68"/>
      <c r="H68" s="577"/>
      <c r="I68" s="19"/>
      <c r="J68" s="577"/>
      <c r="K68" s="12"/>
      <c r="L68" s="31" t="s">
        <v>117</v>
      </c>
      <c r="M68" s="72"/>
      <c r="N68" s="168" t="e">
        <f>(N66/VLOOKUP(A66,#REF!,4,0))*100</f>
        <v>#REF!</v>
      </c>
      <c r="O68" s="577"/>
      <c r="P68" s="12"/>
      <c r="Q68" s="31" t="s">
        <v>117</v>
      </c>
      <c r="R68" s="17"/>
      <c r="S68" s="19"/>
      <c r="T68" s="19"/>
      <c r="U68" s="19"/>
      <c r="V68" s="1"/>
      <c r="W68" s="19"/>
      <c r="X68" s="1"/>
      <c r="Y68" s="26"/>
    </row>
    <row r="69" spans="1:25" s="10" customFormat="1" ht="60" customHeight="1">
      <c r="A69" s="629" t="s">
        <v>17</v>
      </c>
      <c r="B69" s="13"/>
      <c r="C69" s="32" t="s">
        <v>115</v>
      </c>
      <c r="D69" s="53" t="s">
        <v>84</v>
      </c>
      <c r="E69" s="625"/>
      <c r="F69" s="575" t="s">
        <v>176</v>
      </c>
      <c r="G69" s="74"/>
      <c r="H69" s="581" t="s">
        <v>406</v>
      </c>
      <c r="I69" s="140"/>
      <c r="J69" s="581" t="s">
        <v>407</v>
      </c>
      <c r="K69" s="13"/>
      <c r="L69" s="32" t="s">
        <v>115</v>
      </c>
      <c r="M69" s="74"/>
      <c r="N69" s="175">
        <v>30.15</v>
      </c>
      <c r="O69" s="575" t="s">
        <v>417</v>
      </c>
      <c r="P69" s="13"/>
      <c r="Q69" s="32" t="s">
        <v>115</v>
      </c>
      <c r="R69" s="53"/>
      <c r="S69" s="18"/>
      <c r="T69" s="18"/>
      <c r="U69" s="18"/>
      <c r="V69" s="13"/>
      <c r="W69" s="18"/>
      <c r="X69" s="13"/>
      <c r="Y69" s="18"/>
    </row>
    <row r="70" spans="1:25" s="10" customFormat="1" ht="60" customHeight="1">
      <c r="A70" s="629"/>
      <c r="C70" s="32" t="s">
        <v>116</v>
      </c>
      <c r="D70" s="69"/>
      <c r="E70" s="626"/>
      <c r="F70" s="576"/>
      <c r="G70" s="75"/>
      <c r="H70" s="582"/>
      <c r="I70" s="186"/>
      <c r="J70" s="582"/>
      <c r="L70" s="32" t="s">
        <v>116</v>
      </c>
      <c r="M70" s="75"/>
      <c r="N70" s="170" t="e">
        <f>N69/VLOOKUP(A69,#REF!,7,0)</f>
        <v>#REF!</v>
      </c>
      <c r="O70" s="576"/>
      <c r="Q70" s="32" t="s">
        <v>116</v>
      </c>
      <c r="R70" s="56"/>
      <c r="S70" s="28"/>
      <c r="T70" s="28"/>
      <c r="U70" s="28"/>
      <c r="W70" s="28"/>
      <c r="Y70" s="28"/>
    </row>
    <row r="71" spans="1:25" ht="60" customHeight="1">
      <c r="A71" s="630"/>
      <c r="B71" s="12"/>
      <c r="C71" s="31" t="s">
        <v>117</v>
      </c>
      <c r="D71" s="17"/>
      <c r="E71" s="78"/>
      <c r="F71" s="577"/>
      <c r="G71" s="68"/>
      <c r="H71" s="583"/>
      <c r="I71" s="187"/>
      <c r="J71" s="583"/>
      <c r="K71" s="12"/>
      <c r="L71" s="31" t="s">
        <v>117</v>
      </c>
      <c r="M71" s="72"/>
      <c r="N71" s="168" t="e">
        <f>(N69/VLOOKUP(A69,#REF!,4,0))*100</f>
        <v>#REF!</v>
      </c>
      <c r="O71" s="577"/>
      <c r="P71" s="12"/>
      <c r="Q71" s="31" t="s">
        <v>117</v>
      </c>
      <c r="R71" s="17"/>
      <c r="S71" s="19"/>
      <c r="T71" s="19"/>
      <c r="U71" s="19"/>
      <c r="V71" s="1"/>
      <c r="W71" s="19"/>
      <c r="X71" s="1"/>
      <c r="Y71" s="26"/>
    </row>
    <row r="72" spans="1:25" s="36" customFormat="1" ht="50.15" customHeight="1">
      <c r="A72" s="629" t="s">
        <v>18</v>
      </c>
      <c r="B72" s="14"/>
      <c r="C72" s="32" t="s">
        <v>115</v>
      </c>
      <c r="D72" s="93">
        <v>75</v>
      </c>
      <c r="E72" s="587"/>
      <c r="F72" s="575"/>
      <c r="G72" s="587">
        <v>75</v>
      </c>
      <c r="H72" s="581" t="s">
        <v>408</v>
      </c>
      <c r="I72" s="140"/>
      <c r="J72" s="581" t="s">
        <v>409</v>
      </c>
      <c r="K72" s="14"/>
      <c r="L72" s="32" t="s">
        <v>115</v>
      </c>
      <c r="M72" s="74">
        <v>25</v>
      </c>
      <c r="N72" s="177"/>
      <c r="O72" s="619" t="s">
        <v>146</v>
      </c>
      <c r="P72" s="14"/>
      <c r="Q72" s="32" t="s">
        <v>115</v>
      </c>
      <c r="R72" s="93">
        <v>25</v>
      </c>
      <c r="S72" s="575" t="s">
        <v>229</v>
      </c>
      <c r="T72" s="18"/>
      <c r="U72" s="18"/>
      <c r="V72" s="14"/>
      <c r="W72" s="18"/>
      <c r="X72" s="14"/>
      <c r="Y72" s="18"/>
    </row>
    <row r="73" spans="1:25" s="36" customFormat="1" ht="50.15" customHeight="1">
      <c r="A73" s="629"/>
      <c r="C73" s="32" t="s">
        <v>116</v>
      </c>
      <c r="D73" s="81" t="e">
        <f>D72/VLOOKUP(A72,#REF!,7,0)</f>
        <v>#REF!</v>
      </c>
      <c r="E73" s="588"/>
      <c r="F73" s="576"/>
      <c r="G73" s="588"/>
      <c r="H73" s="582"/>
      <c r="I73" s="186"/>
      <c r="J73" s="582"/>
      <c r="L73" s="32" t="s">
        <v>116</v>
      </c>
      <c r="M73" s="75"/>
      <c r="N73" s="178"/>
      <c r="O73" s="576"/>
      <c r="Q73" s="32" t="s">
        <v>116</v>
      </c>
      <c r="R73" s="69" t="e">
        <f>R72/VLOOKUP(A72,#REF!,7,0)</f>
        <v>#REF!</v>
      </c>
      <c r="S73" s="576"/>
      <c r="T73" s="28"/>
      <c r="U73" s="28"/>
      <c r="W73" s="28"/>
      <c r="Y73" s="28"/>
    </row>
    <row r="74" spans="1:25" ht="50.15" customHeight="1">
      <c r="A74" s="630"/>
      <c r="B74" s="12"/>
      <c r="C74" s="31" t="s">
        <v>117</v>
      </c>
      <c r="D74" s="17" t="e">
        <f>(D72/VLOOKUP(A72,#REF!,4,0))*100</f>
        <v>#REF!</v>
      </c>
      <c r="E74" s="78"/>
      <c r="F74" s="577"/>
      <c r="G74" s="68"/>
      <c r="H74" s="583"/>
      <c r="I74" s="187"/>
      <c r="J74" s="583"/>
      <c r="K74" s="12"/>
      <c r="L74" s="31" t="s">
        <v>117</v>
      </c>
      <c r="M74" s="72"/>
      <c r="N74" s="168"/>
      <c r="O74" s="577"/>
      <c r="P74" s="12"/>
      <c r="Q74" s="31" t="s">
        <v>117</v>
      </c>
      <c r="R74" s="17" t="e">
        <f>(R72/VLOOKUP(A72,#REF!,4,0))*100</f>
        <v>#REF!</v>
      </c>
      <c r="S74" s="577"/>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29" t="s">
        <v>19</v>
      </c>
      <c r="C77" s="32" t="s">
        <v>115</v>
      </c>
      <c r="D77" s="95">
        <v>60</v>
      </c>
      <c r="E77" s="28"/>
      <c r="F77" s="601" t="s">
        <v>309</v>
      </c>
      <c r="G77" s="75"/>
      <c r="H77" s="576" t="s">
        <v>177</v>
      </c>
      <c r="I77" s="28"/>
      <c r="J77" s="28"/>
      <c r="L77" s="32" t="s">
        <v>115</v>
      </c>
      <c r="M77" s="28"/>
      <c r="N77" s="178"/>
      <c r="O77" s="576"/>
      <c r="Q77" s="32" t="s">
        <v>115</v>
      </c>
      <c r="R77" s="95">
        <v>65</v>
      </c>
      <c r="S77" s="576" t="s">
        <v>147</v>
      </c>
      <c r="T77" s="28"/>
      <c r="U77" s="28"/>
      <c r="W77" s="576" t="s">
        <v>109</v>
      </c>
      <c r="Y77" s="27" t="s">
        <v>44</v>
      </c>
    </row>
    <row r="78" spans="1:25" ht="90" customHeight="1">
      <c r="A78" s="629"/>
      <c r="B78" s="6"/>
      <c r="C78" s="32" t="s">
        <v>116</v>
      </c>
      <c r="D78" s="69" t="e">
        <f>D77/VLOOKUP(A77,#REF!,7,0)</f>
        <v>#REF!</v>
      </c>
      <c r="E78" s="29"/>
      <c r="F78" s="601"/>
      <c r="G78" s="56"/>
      <c r="H78" s="598"/>
      <c r="I78" s="188"/>
      <c r="J78" s="188"/>
      <c r="K78" s="6"/>
      <c r="L78" s="32" t="s">
        <v>116</v>
      </c>
      <c r="M78" s="35"/>
      <c r="N78" s="170"/>
      <c r="O78" s="576"/>
      <c r="P78" s="6"/>
      <c r="Q78" s="32" t="s">
        <v>116</v>
      </c>
      <c r="R78" s="69" t="e">
        <f>R77/VLOOKUP(A77,#REF!,7,0)</f>
        <v>#REF!</v>
      </c>
      <c r="S78" s="576"/>
      <c r="T78" s="28"/>
      <c r="U78" s="28"/>
      <c r="W78" s="576"/>
      <c r="Y78" s="27" t="s">
        <v>45</v>
      </c>
    </row>
    <row r="79" spans="1:25" ht="82.5" customHeight="1">
      <c r="A79" s="630"/>
      <c r="B79" s="6"/>
      <c r="C79" s="32" t="s">
        <v>117</v>
      </c>
      <c r="D79" s="69" t="e">
        <f>(D77/VLOOKUP(A77,#REF!,4,0))*100</f>
        <v>#REF!</v>
      </c>
      <c r="E79" s="29"/>
      <c r="F79" s="602"/>
      <c r="G79" s="56"/>
      <c r="H79" s="599"/>
      <c r="I79" s="188"/>
      <c r="J79" s="188"/>
      <c r="K79" s="6"/>
      <c r="L79" s="32" t="s">
        <v>117</v>
      </c>
      <c r="M79" s="35"/>
      <c r="N79" s="170"/>
      <c r="O79" s="577"/>
      <c r="P79" s="6"/>
      <c r="Q79" s="32" t="s">
        <v>117</v>
      </c>
      <c r="R79" s="69" t="e">
        <f>(R77/VLOOKUP(A77,#REF!,4,0))*100</f>
        <v>#REF!</v>
      </c>
      <c r="S79" s="577"/>
      <c r="T79" s="28"/>
      <c r="U79" s="28"/>
      <c r="W79" s="577"/>
      <c r="Y79" s="27"/>
    </row>
    <row r="80" spans="1:25" s="15" customFormat="1" ht="50.15" customHeight="1">
      <c r="A80" s="629" t="s">
        <v>20</v>
      </c>
      <c r="C80" s="37" t="s">
        <v>115</v>
      </c>
      <c r="D80" s="53">
        <f>1.5+2.4</f>
        <v>3.9</v>
      </c>
      <c r="E80" s="575">
        <v>0.2</v>
      </c>
      <c r="F80" s="575" t="s">
        <v>183</v>
      </c>
      <c r="G80" s="73">
        <f>1.5-0.2</f>
        <v>1.3</v>
      </c>
      <c r="H80" s="575" t="s">
        <v>232</v>
      </c>
      <c r="I80" s="18"/>
      <c r="J80" s="18"/>
      <c r="L80" s="37" t="s">
        <v>115</v>
      </c>
      <c r="M80" s="8"/>
      <c r="N80" s="169">
        <v>1</v>
      </c>
      <c r="O80" s="575" t="s">
        <v>334</v>
      </c>
      <c r="Q80" s="37" t="s">
        <v>115</v>
      </c>
      <c r="R80" s="80">
        <v>10.6</v>
      </c>
      <c r="S80" s="575" t="s">
        <v>305</v>
      </c>
      <c r="T80" s="18"/>
      <c r="U80" s="18"/>
      <c r="W80" s="575" t="s">
        <v>233</v>
      </c>
      <c r="Y80" s="116" t="s">
        <v>46</v>
      </c>
    </row>
    <row r="81" spans="1:25" s="3" customFormat="1" ht="50.15" customHeight="1">
      <c r="A81" s="629"/>
      <c r="C81" s="32" t="s">
        <v>116</v>
      </c>
      <c r="D81" s="69" t="e">
        <f>D80/VLOOKUP(A80,#REF!,7,0)</f>
        <v>#REF!</v>
      </c>
      <c r="E81" s="576"/>
      <c r="F81" s="591"/>
      <c r="G81" s="71"/>
      <c r="H81" s="576"/>
      <c r="I81" s="28"/>
      <c r="J81" s="28"/>
      <c r="L81" s="32" t="s">
        <v>116</v>
      </c>
      <c r="M81" s="38"/>
      <c r="N81" s="170" t="e">
        <f>N80/VLOOKUP(A80,#REF!,7,0)</f>
        <v>#REF!</v>
      </c>
      <c r="O81" s="576"/>
      <c r="Q81" s="32" t="s">
        <v>116</v>
      </c>
      <c r="R81" s="81" t="e">
        <f>R80/VLOOKUP(A80,#REF!,7,0)</f>
        <v>#REF!</v>
      </c>
      <c r="S81" s="576"/>
      <c r="T81" s="28"/>
      <c r="U81" s="28"/>
      <c r="W81" s="577"/>
      <c r="Y81" s="117"/>
    </row>
    <row r="82" spans="1:25" ht="50.15" customHeight="1">
      <c r="A82" s="630"/>
      <c r="B82" s="12"/>
      <c r="C82" s="31" t="s">
        <v>117</v>
      </c>
      <c r="D82" s="17" t="e">
        <f>(D80/VLOOKUP(A80,#REF!,4,0))*100</f>
        <v>#REF!</v>
      </c>
      <c r="E82" s="24"/>
      <c r="F82" s="592"/>
      <c r="G82" s="68"/>
      <c r="H82" s="577"/>
      <c r="I82" s="19"/>
      <c r="J82" s="19"/>
      <c r="K82" s="12"/>
      <c r="L82" s="31" t="s">
        <v>117</v>
      </c>
      <c r="M82" s="23"/>
      <c r="N82" s="168" t="e">
        <f>(N80/VLOOKUP(A80,#REF!,4,0))*100</f>
        <v>#REF!</v>
      </c>
      <c r="O82" s="577"/>
      <c r="P82" s="12"/>
      <c r="Q82" s="31" t="s">
        <v>117</v>
      </c>
      <c r="R82" s="17" t="e">
        <f>(R80/VLOOKUP(A80,#REF!,4,0))*100</f>
        <v>#REF!</v>
      </c>
      <c r="S82" s="577"/>
      <c r="T82" s="19"/>
      <c r="U82" s="19"/>
      <c r="V82" s="1"/>
      <c r="W82" s="20" t="s">
        <v>234</v>
      </c>
      <c r="X82" s="1"/>
      <c r="Y82" s="118"/>
    </row>
    <row r="83" spans="1:25" ht="60" customHeight="1">
      <c r="A83" s="629" t="s">
        <v>184</v>
      </c>
      <c r="B83" s="14"/>
      <c r="C83" s="37" t="s">
        <v>115</v>
      </c>
      <c r="D83" s="93">
        <v>20</v>
      </c>
      <c r="E83" s="587"/>
      <c r="F83" s="20"/>
      <c r="G83" s="74"/>
      <c r="H83" s="609" t="s">
        <v>182</v>
      </c>
      <c r="I83" s="192"/>
      <c r="J83" s="192"/>
      <c r="K83" s="14"/>
      <c r="L83" s="32" t="s">
        <v>115</v>
      </c>
      <c r="M83" s="20"/>
      <c r="N83" s="177"/>
      <c r="O83" s="575"/>
      <c r="P83" s="14"/>
      <c r="Q83" s="32" t="s">
        <v>115</v>
      </c>
      <c r="R83" s="603" t="s">
        <v>84</v>
      </c>
      <c r="S83" s="575" t="s">
        <v>335</v>
      </c>
      <c r="T83" s="18"/>
      <c r="U83" s="18"/>
      <c r="V83" s="14"/>
      <c r="W83" s="575" t="s">
        <v>110</v>
      </c>
      <c r="X83" s="14"/>
      <c r="Y83" s="605" t="s">
        <v>47</v>
      </c>
    </row>
    <row r="84" spans="1:25" ht="60" customHeight="1">
      <c r="A84" s="629"/>
      <c r="B84" s="36"/>
      <c r="C84" s="32" t="s">
        <v>116</v>
      </c>
      <c r="D84" s="81" t="e">
        <f>D83/VLOOKUP(A83,#REF!,7,0)</f>
        <v>#REF!</v>
      </c>
      <c r="E84" s="588"/>
      <c r="F84" s="30"/>
      <c r="G84" s="75"/>
      <c r="H84" s="610"/>
      <c r="I84" s="193"/>
      <c r="J84" s="193"/>
      <c r="K84" s="36"/>
      <c r="L84" s="32" t="s">
        <v>116</v>
      </c>
      <c r="M84" s="30"/>
      <c r="N84" s="178"/>
      <c r="O84" s="576"/>
      <c r="P84" s="36"/>
      <c r="Q84" s="32" t="s">
        <v>116</v>
      </c>
      <c r="R84" s="604"/>
      <c r="S84" s="576"/>
      <c r="T84" s="28"/>
      <c r="U84" s="28"/>
      <c r="V84" s="36"/>
      <c r="W84" s="576"/>
      <c r="X84" s="36"/>
      <c r="Y84" s="606"/>
    </row>
    <row r="85" spans="1:25" ht="60" customHeight="1">
      <c r="A85" s="630"/>
      <c r="B85" s="12"/>
      <c r="C85" s="31" t="s">
        <v>117</v>
      </c>
      <c r="D85" s="17" t="e">
        <f>(D83/VLOOKUP(A83,#REF!,4,0))*100</f>
        <v>#REF!</v>
      </c>
      <c r="E85" s="24"/>
      <c r="F85" s="21"/>
      <c r="G85" s="68"/>
      <c r="H85" s="611"/>
      <c r="I85" s="194"/>
      <c r="J85" s="194"/>
      <c r="K85" s="12"/>
      <c r="L85" s="31" t="s">
        <v>117</v>
      </c>
      <c r="M85" s="23"/>
      <c r="N85" s="168"/>
      <c r="O85" s="577"/>
      <c r="P85" s="12"/>
      <c r="Q85" s="31" t="s">
        <v>117</v>
      </c>
      <c r="R85" s="612"/>
      <c r="S85" s="577"/>
      <c r="T85" s="19"/>
      <c r="U85" s="19"/>
      <c r="V85" s="1"/>
      <c r="W85" s="577"/>
      <c r="X85" s="1"/>
      <c r="Y85" s="607"/>
    </row>
    <row r="86" spans="1:25" s="36" customFormat="1" ht="89.5" customHeight="1">
      <c r="A86" s="629" t="s">
        <v>36</v>
      </c>
      <c r="B86" s="14"/>
      <c r="C86" s="37" t="s">
        <v>115</v>
      </c>
      <c r="D86" s="93">
        <v>76.8</v>
      </c>
      <c r="E86" s="575"/>
      <c r="F86" s="575" t="s">
        <v>310</v>
      </c>
      <c r="G86" s="74"/>
      <c r="H86" s="575" t="s">
        <v>312</v>
      </c>
      <c r="I86" s="18"/>
      <c r="J86" s="18"/>
      <c r="K86" s="14"/>
      <c r="L86" s="32" t="s">
        <v>115</v>
      </c>
      <c r="M86" s="20"/>
      <c r="N86" s="175">
        <v>50</v>
      </c>
      <c r="O86" s="575" t="s">
        <v>336</v>
      </c>
      <c r="P86" s="14"/>
      <c r="Q86" s="32" t="s">
        <v>115</v>
      </c>
      <c r="R86" s="93">
        <v>50</v>
      </c>
      <c r="S86" s="575" t="s">
        <v>337</v>
      </c>
      <c r="T86" s="18"/>
      <c r="U86" s="18"/>
      <c r="V86" s="14"/>
      <c r="W86" s="575" t="s">
        <v>127</v>
      </c>
      <c r="X86" s="14"/>
      <c r="Y86" s="605" t="s">
        <v>48</v>
      </c>
    </row>
    <row r="87" spans="1:25" s="36" customFormat="1" ht="92.15" customHeight="1">
      <c r="A87" s="629"/>
      <c r="C87" s="32" t="s">
        <v>116</v>
      </c>
      <c r="D87" s="69" t="e">
        <f>D86/VLOOKUP(A86,#REF!,7,0)</f>
        <v>#REF!</v>
      </c>
      <c r="E87" s="576"/>
      <c r="F87" s="576"/>
      <c r="G87" s="75"/>
      <c r="H87" s="576"/>
      <c r="I87" s="28"/>
      <c r="J87" s="28"/>
      <c r="L87" s="32" t="s">
        <v>116</v>
      </c>
      <c r="M87" s="30"/>
      <c r="N87" s="180" t="e">
        <f>N86/VLOOKUP(A86,#REF!,7,0)</f>
        <v>#REF!</v>
      </c>
      <c r="O87" s="576"/>
      <c r="Q87" s="32" t="s">
        <v>116</v>
      </c>
      <c r="R87" s="56" t="e">
        <f>R86/VLOOKUP(A86,#REF!,7,0)</f>
        <v>#REF!</v>
      </c>
      <c r="S87" s="576"/>
      <c r="T87" s="28"/>
      <c r="U87" s="28"/>
      <c r="W87" s="576"/>
      <c r="Y87" s="606"/>
    </row>
    <row r="88" spans="1:25" ht="92.15" customHeight="1">
      <c r="A88" s="630"/>
      <c r="B88" s="12"/>
      <c r="C88" s="31" t="s">
        <v>117</v>
      </c>
      <c r="D88" s="17" t="e">
        <f>((D86/#REF!))*100</f>
        <v>#REF!</v>
      </c>
      <c r="E88" s="24"/>
      <c r="F88" s="577"/>
      <c r="G88" s="68"/>
      <c r="H88" s="577"/>
      <c r="I88" s="19"/>
      <c r="J88" s="19"/>
      <c r="K88" s="12"/>
      <c r="L88" s="31" t="s">
        <v>117</v>
      </c>
      <c r="M88" s="23"/>
      <c r="N88" s="174" t="e">
        <f>((N86/#REF!))*100</f>
        <v>#REF!</v>
      </c>
      <c r="O88" s="577"/>
      <c r="P88" s="12"/>
      <c r="Q88" s="31" t="s">
        <v>117</v>
      </c>
      <c r="R88" s="17" t="e">
        <f>((R86/#REF!))*100</f>
        <v>#REF!</v>
      </c>
      <c r="S88" s="577"/>
      <c r="T88" s="19"/>
      <c r="U88" s="19"/>
      <c r="V88" s="1"/>
      <c r="W88" s="577"/>
      <c r="X88" s="1"/>
      <c r="Y88" s="607"/>
    </row>
    <row r="89" spans="1:25" s="36" customFormat="1" ht="50.15" customHeight="1">
      <c r="A89" s="629" t="s">
        <v>31</v>
      </c>
      <c r="B89" s="14"/>
      <c r="C89" s="37" t="s">
        <v>115</v>
      </c>
      <c r="D89" s="93">
        <v>34.4</v>
      </c>
      <c r="E89" s="20"/>
      <c r="F89" s="575" t="s">
        <v>311</v>
      </c>
      <c r="G89" s="74"/>
      <c r="H89" s="575" t="s">
        <v>313</v>
      </c>
      <c r="I89" s="18"/>
      <c r="J89" s="18"/>
      <c r="K89" s="14"/>
      <c r="L89" s="32" t="s">
        <v>115</v>
      </c>
      <c r="M89" s="20"/>
      <c r="N89" s="175">
        <v>20</v>
      </c>
      <c r="O89" s="575" t="s">
        <v>338</v>
      </c>
      <c r="P89" s="14"/>
      <c r="Q89" s="32" t="s">
        <v>115</v>
      </c>
      <c r="R89" s="53"/>
      <c r="S89" s="575"/>
      <c r="T89" s="18"/>
      <c r="U89" s="18"/>
      <c r="V89" s="14"/>
      <c r="W89" s="18"/>
      <c r="X89" s="14"/>
      <c r="Y89" s="18"/>
    </row>
    <row r="90" spans="1:25" s="10" customFormat="1" ht="50.15" customHeight="1">
      <c r="A90" s="629"/>
      <c r="B90" s="36"/>
      <c r="C90" s="32" t="s">
        <v>116</v>
      </c>
      <c r="D90" s="81" t="e">
        <f>D89/VLOOKUP(A89,#REF!,7,0)</f>
        <v>#REF!</v>
      </c>
      <c r="E90" s="30"/>
      <c r="F90" s="576"/>
      <c r="G90" s="75"/>
      <c r="H90" s="576"/>
      <c r="I90" s="28"/>
      <c r="J90" s="28"/>
      <c r="K90" s="36"/>
      <c r="L90" s="32" t="s">
        <v>116</v>
      </c>
      <c r="M90" s="30"/>
      <c r="N90" s="167" t="e">
        <f>N89/VLOOKUP(A89,#REF!,7,0)</f>
        <v>#REF!</v>
      </c>
      <c r="O90" s="576"/>
      <c r="P90" s="36"/>
      <c r="Q90" s="32" t="s">
        <v>116</v>
      </c>
      <c r="R90" s="56"/>
      <c r="S90" s="576"/>
      <c r="T90" s="28"/>
      <c r="U90" s="28"/>
      <c r="V90" s="36"/>
      <c r="W90" s="28"/>
      <c r="X90" s="36"/>
      <c r="Y90" s="28"/>
    </row>
    <row r="91" spans="1:25" ht="50.15" customHeight="1">
      <c r="A91" s="630"/>
      <c r="B91" s="6"/>
      <c r="C91" s="32" t="s">
        <v>117</v>
      </c>
      <c r="D91" s="69" t="e">
        <f>(D89/VLOOKUP(A89,#REF!,4,0))*100</f>
        <v>#REF!</v>
      </c>
      <c r="E91" s="29"/>
      <c r="F91" s="577"/>
      <c r="G91" s="56"/>
      <c r="H91" s="577"/>
      <c r="I91" s="28"/>
      <c r="J91" s="28"/>
      <c r="K91" s="6"/>
      <c r="L91" s="32" t="s">
        <v>117</v>
      </c>
      <c r="M91" s="35"/>
      <c r="N91" s="170" t="e">
        <f>(N89/VLOOKUP(A89,#REF!,4,0))*100</f>
        <v>#REF!</v>
      </c>
      <c r="O91" s="577"/>
      <c r="P91" s="6"/>
      <c r="Q91" s="32" t="s">
        <v>117</v>
      </c>
      <c r="R91" s="69"/>
      <c r="S91" s="577"/>
      <c r="T91" s="28"/>
      <c r="U91" s="28"/>
      <c r="W91" s="28"/>
      <c r="Y91" s="27"/>
    </row>
    <row r="92" spans="1:25" s="15" customFormat="1" ht="70" customHeight="1">
      <c r="A92" s="629" t="s">
        <v>21</v>
      </c>
      <c r="C92" s="37" t="s">
        <v>115</v>
      </c>
      <c r="D92" s="93">
        <v>103</v>
      </c>
      <c r="E92" s="575"/>
      <c r="F92" s="8"/>
      <c r="G92" s="73"/>
      <c r="H92" s="575" t="s">
        <v>156</v>
      </c>
      <c r="I92" s="18"/>
      <c r="J92" s="18"/>
      <c r="L92" s="37" t="s">
        <v>115</v>
      </c>
      <c r="M92" s="8"/>
      <c r="N92" s="169"/>
      <c r="O92" s="22"/>
      <c r="Q92" s="37" t="s">
        <v>115</v>
      </c>
      <c r="R92" s="80">
        <v>235</v>
      </c>
      <c r="S92" s="575" t="s">
        <v>306</v>
      </c>
      <c r="T92" s="18"/>
      <c r="U92" s="18"/>
      <c r="W92" s="22"/>
      <c r="Y92" s="18"/>
    </row>
    <row r="93" spans="1:25" s="36" customFormat="1" ht="70" customHeight="1">
      <c r="A93" s="629"/>
      <c r="B93" s="3"/>
      <c r="C93" s="32" t="s">
        <v>116</v>
      </c>
      <c r="D93" s="81" t="e">
        <f>D92/VLOOKUP(A92,#REF!,7,0)</f>
        <v>#REF!</v>
      </c>
      <c r="E93" s="576"/>
      <c r="F93" s="38"/>
      <c r="G93" s="71"/>
      <c r="H93" s="576"/>
      <c r="I93" s="28"/>
      <c r="J93" s="28"/>
      <c r="K93" s="3"/>
      <c r="L93" s="32" t="s">
        <v>116</v>
      </c>
      <c r="M93" s="38"/>
      <c r="N93" s="170"/>
      <c r="O93" s="35"/>
      <c r="P93" s="3"/>
      <c r="Q93" s="32" t="s">
        <v>116</v>
      </c>
      <c r="R93" s="81" t="e">
        <f>R92/VLOOKUP(A92,#REF!,7,0)</f>
        <v>#REF!</v>
      </c>
      <c r="S93" s="576"/>
      <c r="T93" s="28"/>
      <c r="U93" s="28"/>
      <c r="V93" s="3"/>
      <c r="W93" s="35"/>
      <c r="X93" s="3"/>
      <c r="Y93" s="28"/>
    </row>
    <row r="94" spans="1:25" ht="70" customHeight="1">
      <c r="A94" s="630"/>
      <c r="B94" s="12"/>
      <c r="C94" s="31" t="s">
        <v>117</v>
      </c>
      <c r="D94" s="17" t="e">
        <f>(D92/VLOOKUP(A92,#REF!,4,0))*100</f>
        <v>#REF!</v>
      </c>
      <c r="E94" s="24"/>
      <c r="F94" s="21"/>
      <c r="G94" s="68"/>
      <c r="H94" s="577"/>
      <c r="I94" s="19"/>
      <c r="J94" s="19"/>
      <c r="K94" s="12"/>
      <c r="L94" s="31" t="s">
        <v>117</v>
      </c>
      <c r="M94" s="23"/>
      <c r="N94" s="168"/>
      <c r="O94" s="23"/>
      <c r="P94" s="12"/>
      <c r="Q94" s="31" t="s">
        <v>117</v>
      </c>
      <c r="R94" s="17" t="e">
        <f>(R92/VLOOKUP(A92,#REF!,4,0))*100</f>
        <v>#REF!</v>
      </c>
      <c r="S94" s="577"/>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29" t="s">
        <v>41</v>
      </c>
      <c r="C97" s="32" t="s">
        <v>115</v>
      </c>
      <c r="D97" s="56">
        <v>12</v>
      </c>
      <c r="E97" s="600">
        <v>3.5</v>
      </c>
      <c r="F97" s="600" t="s">
        <v>315</v>
      </c>
      <c r="G97" s="75">
        <f>12-3.5</f>
        <v>8.5</v>
      </c>
      <c r="H97" s="575" t="s">
        <v>291</v>
      </c>
      <c r="I97" s="28"/>
      <c r="J97" s="28"/>
      <c r="L97" s="32" t="s">
        <v>115</v>
      </c>
      <c r="M97" s="30"/>
      <c r="N97" s="178"/>
      <c r="O97" s="28"/>
      <c r="Q97" s="32" t="s">
        <v>115</v>
      </c>
      <c r="R97" s="95">
        <v>11</v>
      </c>
      <c r="S97" s="575" t="s">
        <v>339</v>
      </c>
      <c r="T97" s="28"/>
      <c r="U97" s="28"/>
      <c r="W97" s="28"/>
      <c r="Y97" s="28"/>
    </row>
    <row r="98" spans="1:25" ht="40" customHeight="1">
      <c r="A98" s="629"/>
      <c r="B98" s="36"/>
      <c r="C98" s="32" t="s">
        <v>116</v>
      </c>
      <c r="D98" s="69" t="e">
        <f>D97/VLOOKUP(A97,#REF!,7,0)</f>
        <v>#REF!</v>
      </c>
      <c r="E98" s="601"/>
      <c r="F98" s="601"/>
      <c r="G98" s="75"/>
      <c r="H98" s="576"/>
      <c r="I98" s="28"/>
      <c r="J98" s="28"/>
      <c r="K98" s="36"/>
      <c r="L98" s="32" t="s">
        <v>116</v>
      </c>
      <c r="M98" s="30"/>
      <c r="N98" s="178"/>
      <c r="O98" s="28"/>
      <c r="P98" s="36"/>
      <c r="Q98" s="32" t="s">
        <v>116</v>
      </c>
      <c r="R98" s="69" t="e">
        <f>R97/VLOOKUP(A97,#REF!,7,0)</f>
        <v>#REF!</v>
      </c>
      <c r="S98" s="576"/>
      <c r="T98" s="28"/>
      <c r="U98" s="28"/>
      <c r="V98" s="36"/>
      <c r="W98" s="28"/>
      <c r="X98" s="36"/>
      <c r="Y98" s="28"/>
    </row>
    <row r="99" spans="1:25" ht="60.65" customHeight="1">
      <c r="A99" s="630"/>
      <c r="B99" s="12"/>
      <c r="C99" s="31" t="s">
        <v>117</v>
      </c>
      <c r="D99" s="17" t="e">
        <f>(D97/VLOOKUP(A97,#REF!,4,0))*100</f>
        <v>#REF!</v>
      </c>
      <c r="E99" s="24"/>
      <c r="F99" s="602"/>
      <c r="G99" s="68"/>
      <c r="H99" s="577"/>
      <c r="I99" s="19"/>
      <c r="J99" s="19"/>
      <c r="K99" s="12"/>
      <c r="L99" s="31" t="s">
        <v>117</v>
      </c>
      <c r="M99" s="23"/>
      <c r="N99" s="168"/>
      <c r="O99" s="23"/>
      <c r="P99" s="12"/>
      <c r="Q99" s="31" t="s">
        <v>117</v>
      </c>
      <c r="R99" s="17" t="e">
        <f>(R97/VLOOKUP(A97,#REF!,4,0))*100</f>
        <v>#REF!</v>
      </c>
      <c r="S99" s="577"/>
      <c r="T99" s="19"/>
      <c r="U99" s="19"/>
      <c r="V99" s="1"/>
      <c r="W99" s="19"/>
      <c r="X99" s="1"/>
      <c r="Y99" s="26"/>
    </row>
    <row r="100" spans="1:25" ht="40" customHeight="1">
      <c r="A100" s="629" t="s">
        <v>27</v>
      </c>
      <c r="B100" s="15"/>
      <c r="C100" s="37" t="s">
        <v>115</v>
      </c>
      <c r="D100" s="53">
        <f>1.42+0.47</f>
        <v>1.89</v>
      </c>
      <c r="E100" s="9"/>
      <c r="F100" s="575" t="s">
        <v>316</v>
      </c>
      <c r="G100" s="73"/>
      <c r="H100" s="575" t="s">
        <v>240</v>
      </c>
      <c r="I100" s="18"/>
      <c r="J100" s="18"/>
      <c r="K100" s="15"/>
      <c r="L100" s="32" t="s">
        <v>115</v>
      </c>
      <c r="M100" s="8"/>
      <c r="N100" s="169">
        <v>0.7</v>
      </c>
      <c r="O100" s="590" t="s">
        <v>314</v>
      </c>
      <c r="P100" s="15"/>
      <c r="Q100" s="32" t="s">
        <v>115</v>
      </c>
      <c r="R100" s="49"/>
      <c r="S100" s="22"/>
      <c r="T100" s="22"/>
      <c r="U100" s="22"/>
      <c r="V100" s="15"/>
      <c r="W100" s="575" t="s">
        <v>78</v>
      </c>
      <c r="X100" s="15"/>
      <c r="Y100" s="18"/>
    </row>
    <row r="101" spans="1:25" s="6" customFormat="1" ht="40" customHeight="1">
      <c r="A101" s="629"/>
      <c r="B101" s="3"/>
      <c r="C101" s="32" t="s">
        <v>116</v>
      </c>
      <c r="D101" s="69" t="e">
        <f>D100/VLOOKUP(A100,#REF!,7,0)</f>
        <v>#REF!</v>
      </c>
      <c r="E101" s="39"/>
      <c r="F101" s="591"/>
      <c r="G101" s="71"/>
      <c r="H101" s="576"/>
      <c r="I101" s="28"/>
      <c r="J101" s="28"/>
      <c r="K101" s="3"/>
      <c r="L101" s="32" t="s">
        <v>116</v>
      </c>
      <c r="M101" s="38"/>
      <c r="N101" s="170" t="e">
        <f>N100/VLOOKUP(A100,#REF!,7,0)</f>
        <v>#REF!</v>
      </c>
      <c r="O101" s="591"/>
      <c r="P101" s="3"/>
      <c r="Q101" s="32" t="s">
        <v>116</v>
      </c>
      <c r="R101" s="69"/>
      <c r="S101" s="35"/>
      <c r="T101" s="35"/>
      <c r="U101" s="35"/>
      <c r="V101" s="3"/>
      <c r="W101" s="576"/>
      <c r="X101" s="3"/>
      <c r="Y101" s="28"/>
    </row>
    <row r="102" spans="1:25" ht="40" customHeight="1">
      <c r="A102" s="630"/>
      <c r="B102" s="12"/>
      <c r="C102" s="31" t="s">
        <v>117</v>
      </c>
      <c r="D102" s="17" t="e">
        <f>(D100/VLOOKUP(A100,#REF!,4,0))*100</f>
        <v>#REF!</v>
      </c>
      <c r="E102" s="24"/>
      <c r="F102" s="592"/>
      <c r="G102" s="68"/>
      <c r="H102" s="577"/>
      <c r="I102" s="19"/>
      <c r="J102" s="19"/>
      <c r="K102" s="12"/>
      <c r="L102" s="31" t="s">
        <v>117</v>
      </c>
      <c r="M102" s="23"/>
      <c r="N102" s="168" t="e">
        <f>(N100/VLOOKUP(A100,#REF!,4,0))*100</f>
        <v>#REF!</v>
      </c>
      <c r="O102" s="592"/>
      <c r="P102" s="12"/>
      <c r="Q102" s="31" t="s">
        <v>117</v>
      </c>
      <c r="R102" s="17"/>
      <c r="S102" s="19"/>
      <c r="T102" s="19"/>
      <c r="U102" s="19"/>
      <c r="V102" s="1"/>
      <c r="W102" s="577"/>
      <c r="X102" s="1"/>
      <c r="Y102" s="26"/>
    </row>
    <row r="103" spans="1:25" s="6" customFormat="1" ht="55" customHeight="1">
      <c r="A103" s="629" t="s">
        <v>42</v>
      </c>
      <c r="B103" s="16"/>
      <c r="C103" s="37" t="s">
        <v>115</v>
      </c>
      <c r="D103" s="127">
        <v>3750</v>
      </c>
      <c r="E103" s="22"/>
      <c r="F103" s="600" t="s">
        <v>292</v>
      </c>
      <c r="G103" s="73"/>
      <c r="H103" s="575" t="s">
        <v>243</v>
      </c>
      <c r="I103" s="18"/>
      <c r="J103" s="18"/>
      <c r="K103" s="16"/>
      <c r="L103" s="32" t="s">
        <v>115</v>
      </c>
      <c r="M103" s="22"/>
      <c r="N103" s="182">
        <v>1950</v>
      </c>
      <c r="O103" s="575" t="s">
        <v>301</v>
      </c>
      <c r="P103" s="16"/>
      <c r="Q103" s="32" t="s">
        <v>115</v>
      </c>
      <c r="R103" s="49"/>
      <c r="S103" s="22"/>
      <c r="T103" s="22"/>
      <c r="U103" s="22"/>
      <c r="V103" s="16"/>
      <c r="W103" s="575" t="s">
        <v>244</v>
      </c>
      <c r="X103" s="16"/>
      <c r="Y103" s="605" t="s">
        <v>50</v>
      </c>
    </row>
    <row r="104" spans="1:25" s="36" customFormat="1" ht="55" customHeight="1">
      <c r="A104" s="629"/>
      <c r="B104" s="6"/>
      <c r="C104" s="32" t="s">
        <v>116</v>
      </c>
      <c r="D104" s="69" t="e">
        <f>D103/VLOOKUP(A103,#REF!,7,0)</f>
        <v>#REF!</v>
      </c>
      <c r="E104" s="35"/>
      <c r="F104" s="601"/>
      <c r="G104" s="71"/>
      <c r="H104" s="576"/>
      <c r="I104" s="28"/>
      <c r="J104" s="28"/>
      <c r="K104" s="6"/>
      <c r="L104" s="32" t="s">
        <v>116</v>
      </c>
      <c r="M104" s="35"/>
      <c r="N104" s="170" t="e">
        <f>N103/VLOOKUP(A103,#REF!,7,0)</f>
        <v>#REF!</v>
      </c>
      <c r="O104" s="576"/>
      <c r="P104" s="6"/>
      <c r="Q104" s="32" t="s">
        <v>116</v>
      </c>
      <c r="R104" s="69"/>
      <c r="S104" s="35"/>
      <c r="T104" s="35"/>
      <c r="U104" s="35"/>
      <c r="V104" s="6"/>
      <c r="W104" s="576"/>
      <c r="X104" s="6"/>
      <c r="Y104" s="606"/>
    </row>
    <row r="105" spans="1:25" ht="55" customHeight="1">
      <c r="A105" s="630"/>
      <c r="B105" s="12"/>
      <c r="C105" s="31" t="s">
        <v>117</v>
      </c>
      <c r="D105" s="17" t="e">
        <f>(D103/VLOOKUP(A103,#REF!,4,0))*100</f>
        <v>#REF!</v>
      </c>
      <c r="E105" s="24"/>
      <c r="F105" s="602"/>
      <c r="G105" s="68"/>
      <c r="H105" s="577"/>
      <c r="I105" s="19"/>
      <c r="J105" s="19"/>
      <c r="K105" s="12"/>
      <c r="L105" s="31" t="s">
        <v>117</v>
      </c>
      <c r="M105" s="23"/>
      <c r="N105" s="168" t="e">
        <f>(N103/VLOOKUP(A103,#REF!,4,0))*100</f>
        <v>#REF!</v>
      </c>
      <c r="O105" s="577"/>
      <c r="P105" s="12"/>
      <c r="Q105" s="31" t="s">
        <v>117</v>
      </c>
      <c r="R105" s="17"/>
      <c r="S105" s="19"/>
      <c r="T105" s="19"/>
      <c r="U105" s="19"/>
      <c r="V105" s="1"/>
      <c r="W105" s="577"/>
      <c r="X105" s="1"/>
      <c r="Y105" s="607"/>
    </row>
    <row r="106" spans="1:25" s="6" customFormat="1" ht="50.15" customHeight="1">
      <c r="A106" s="629" t="s">
        <v>34</v>
      </c>
      <c r="B106" s="16"/>
      <c r="C106" s="37" t="s">
        <v>115</v>
      </c>
      <c r="D106" s="127" t="s">
        <v>84</v>
      </c>
      <c r="E106" s="22"/>
      <c r="F106" s="600" t="s">
        <v>317</v>
      </c>
      <c r="G106" s="73"/>
      <c r="H106" s="575" t="s">
        <v>319</v>
      </c>
      <c r="I106" s="18"/>
      <c r="J106" s="18"/>
      <c r="K106" s="16"/>
      <c r="L106" s="32" t="s">
        <v>115</v>
      </c>
      <c r="M106" s="22"/>
      <c r="N106" s="171">
        <v>320</v>
      </c>
      <c r="O106" s="608" t="s">
        <v>318</v>
      </c>
      <c r="P106" s="16"/>
      <c r="Q106" s="32" t="s">
        <v>115</v>
      </c>
      <c r="R106" s="49"/>
      <c r="S106" s="22"/>
      <c r="T106" s="22"/>
      <c r="U106" s="22"/>
      <c r="V106" s="16"/>
      <c r="W106" s="22"/>
      <c r="X106" s="16"/>
      <c r="Y106" s="18"/>
    </row>
    <row r="107" spans="1:25" s="6" customFormat="1" ht="50.15" customHeight="1">
      <c r="A107" s="629"/>
      <c r="C107" s="32" t="s">
        <v>116</v>
      </c>
      <c r="D107" s="69"/>
      <c r="E107" s="35"/>
      <c r="F107" s="601"/>
      <c r="G107" s="71"/>
      <c r="H107" s="576"/>
      <c r="I107" s="28"/>
      <c r="J107" s="28"/>
      <c r="L107" s="32" t="s">
        <v>116</v>
      </c>
      <c r="M107" s="35"/>
      <c r="N107" s="170" t="e">
        <f>N106/#REF!</f>
        <v>#REF!</v>
      </c>
      <c r="O107" s="576"/>
      <c r="Q107" s="32" t="s">
        <v>116</v>
      </c>
      <c r="R107" s="69"/>
      <c r="S107" s="35"/>
      <c r="T107" s="35"/>
      <c r="U107" s="35"/>
      <c r="W107" s="35"/>
      <c r="Y107" s="28"/>
    </row>
    <row r="108" spans="1:25" ht="50.15" customHeight="1">
      <c r="A108" s="630"/>
      <c r="B108" s="12"/>
      <c r="C108" s="31" t="s">
        <v>117</v>
      </c>
      <c r="D108" s="17"/>
      <c r="E108" s="24"/>
      <c r="F108" s="602"/>
      <c r="G108" s="68"/>
      <c r="H108" s="577"/>
      <c r="I108" s="19"/>
      <c r="J108" s="19"/>
      <c r="K108" s="12"/>
      <c r="L108" s="31" t="s">
        <v>117</v>
      </c>
      <c r="M108" s="23"/>
      <c r="N108" s="168" t="e">
        <f>N106/#REF!*100</f>
        <v>#REF!</v>
      </c>
      <c r="O108" s="577"/>
      <c r="P108" s="12"/>
      <c r="Q108" s="31" t="s">
        <v>117</v>
      </c>
      <c r="R108" s="17"/>
      <c r="S108" s="19"/>
      <c r="T108" s="19"/>
      <c r="U108" s="19"/>
      <c r="V108" s="1"/>
      <c r="W108" s="19"/>
      <c r="X108" s="1"/>
      <c r="Y108" s="26"/>
    </row>
    <row r="109" spans="1:25" s="36" customFormat="1" ht="95.15" customHeight="1">
      <c r="A109" s="629" t="s">
        <v>23</v>
      </c>
      <c r="B109" s="14"/>
      <c r="C109" s="37" t="s">
        <v>115</v>
      </c>
      <c r="D109" s="93">
        <v>100</v>
      </c>
      <c r="E109" s="575" t="s">
        <v>246</v>
      </c>
      <c r="F109" s="575" t="s">
        <v>320</v>
      </c>
      <c r="G109" s="74">
        <f>100-3.8</f>
        <v>96.2</v>
      </c>
      <c r="H109" s="575" t="s">
        <v>321</v>
      </c>
      <c r="I109" s="18"/>
      <c r="J109" s="18"/>
      <c r="K109" s="14"/>
      <c r="L109" s="32" t="s">
        <v>115</v>
      </c>
      <c r="M109" s="20"/>
      <c r="N109" s="175"/>
      <c r="O109" s="590" t="s">
        <v>322</v>
      </c>
      <c r="P109" s="14"/>
      <c r="Q109" s="32" t="s">
        <v>115</v>
      </c>
      <c r="R109" s="53"/>
      <c r="S109" s="575"/>
      <c r="T109" s="18"/>
      <c r="U109" s="18"/>
      <c r="V109" s="14"/>
      <c r="W109" s="18"/>
      <c r="X109" s="14"/>
      <c r="Y109" s="18"/>
    </row>
    <row r="110" spans="1:25" s="36" customFormat="1" ht="95.15" customHeight="1">
      <c r="A110" s="629"/>
      <c r="C110" s="32" t="s">
        <v>116</v>
      </c>
      <c r="D110" s="69" t="e">
        <f>D109/VLOOKUP(A109,#REF!,7,0)</f>
        <v>#REF!</v>
      </c>
      <c r="E110" s="576"/>
      <c r="F110" s="591"/>
      <c r="G110" s="75"/>
      <c r="H110" s="576"/>
      <c r="I110" s="28"/>
      <c r="J110" s="28"/>
      <c r="L110" s="32" t="s">
        <v>116</v>
      </c>
      <c r="M110" s="30"/>
      <c r="N110" s="178"/>
      <c r="O110" s="591"/>
      <c r="Q110" s="32" t="s">
        <v>116</v>
      </c>
      <c r="R110" s="56"/>
      <c r="S110" s="576"/>
      <c r="T110" s="28"/>
      <c r="U110" s="28"/>
      <c r="W110" s="28"/>
      <c r="Y110" s="28"/>
    </row>
    <row r="111" spans="1:25" ht="95.15" customHeight="1">
      <c r="A111" s="630"/>
      <c r="B111" s="12"/>
      <c r="C111" s="31" t="s">
        <v>117</v>
      </c>
      <c r="D111" s="17" t="e">
        <f>(D109/VLOOKUP(A109,#REF!,4,0))*100</f>
        <v>#REF!</v>
      </c>
      <c r="E111" s="24"/>
      <c r="F111" s="592"/>
      <c r="G111" s="68"/>
      <c r="H111" s="577"/>
      <c r="I111" s="19"/>
      <c r="J111" s="19"/>
      <c r="K111" s="12"/>
      <c r="L111" s="31" t="s">
        <v>117</v>
      </c>
      <c r="M111" s="23"/>
      <c r="N111" s="168"/>
      <c r="O111" s="592"/>
      <c r="P111" s="12"/>
      <c r="Q111" s="31" t="s">
        <v>117</v>
      </c>
      <c r="R111" s="17"/>
      <c r="S111" s="577"/>
      <c r="T111" s="19"/>
      <c r="U111" s="19"/>
      <c r="V111" s="1"/>
      <c r="W111" s="19"/>
      <c r="X111" s="1"/>
      <c r="Y111" s="26"/>
    </row>
    <row r="112" spans="1:25" s="10" customFormat="1" ht="55" customHeight="1">
      <c r="A112" s="629" t="s">
        <v>35</v>
      </c>
      <c r="B112" s="13"/>
      <c r="C112" s="37" t="s">
        <v>115</v>
      </c>
      <c r="D112" s="127">
        <v>1400</v>
      </c>
      <c r="E112" s="18"/>
      <c r="F112" s="575" t="s">
        <v>323</v>
      </c>
      <c r="G112" s="74"/>
      <c r="H112" s="575" t="s">
        <v>293</v>
      </c>
      <c r="I112" s="18"/>
      <c r="J112" s="18"/>
      <c r="K112" s="13"/>
      <c r="L112" s="37" t="s">
        <v>115</v>
      </c>
      <c r="M112" s="18"/>
      <c r="N112" s="175">
        <v>1900</v>
      </c>
      <c r="O112" s="575" t="s">
        <v>340</v>
      </c>
      <c r="P112" s="13"/>
      <c r="Q112" s="37" t="s">
        <v>115</v>
      </c>
      <c r="R112" s="53"/>
      <c r="S112" s="587"/>
      <c r="T112" s="74"/>
      <c r="U112" s="74"/>
      <c r="V112" s="13"/>
      <c r="W112" s="18"/>
      <c r="X112" s="13"/>
      <c r="Y112" s="18"/>
    </row>
    <row r="113" spans="1:25" s="10" customFormat="1" ht="55" customHeight="1">
      <c r="A113" s="629"/>
      <c r="C113" s="32" t="s">
        <v>116</v>
      </c>
      <c r="D113" s="69" t="e">
        <f>D112/VLOOKUP(A112,#REF!,7,0)</f>
        <v>#REF!</v>
      </c>
      <c r="E113" s="28"/>
      <c r="F113" s="576"/>
      <c r="G113" s="75"/>
      <c r="H113" s="576"/>
      <c r="I113" s="28"/>
      <c r="J113" s="28"/>
      <c r="L113" s="32" t="s">
        <v>116</v>
      </c>
      <c r="M113" s="28"/>
      <c r="N113" s="170" t="e">
        <f>N112/VLOOKUP(A112,#REF!,7,0)</f>
        <v>#REF!</v>
      </c>
      <c r="O113" s="576"/>
      <c r="Q113" s="32" t="s">
        <v>116</v>
      </c>
      <c r="R113" s="56"/>
      <c r="S113" s="588"/>
      <c r="T113" s="75"/>
      <c r="U113" s="75"/>
      <c r="W113" s="28"/>
      <c r="Y113" s="28"/>
    </row>
    <row r="114" spans="1:25" ht="55" customHeight="1">
      <c r="A114" s="630"/>
      <c r="B114" s="12"/>
      <c r="C114" s="31" t="s">
        <v>117</v>
      </c>
      <c r="D114" s="17" t="e">
        <f>(D112/VLOOKUP(A112,#REF!,4,0))*100</f>
        <v>#REF!</v>
      </c>
      <c r="E114" s="24"/>
      <c r="F114" s="577"/>
      <c r="G114" s="68"/>
      <c r="H114" s="577"/>
      <c r="I114" s="19"/>
      <c r="J114" s="19"/>
      <c r="K114" s="12"/>
      <c r="L114" s="31" t="s">
        <v>95</v>
      </c>
      <c r="M114" s="23"/>
      <c r="N114" s="168" t="e">
        <f>(N112/VLOOKUP(A112,#REF!,4,0))*100</f>
        <v>#REF!</v>
      </c>
      <c r="O114" s="577"/>
      <c r="P114" s="12"/>
      <c r="Q114" s="31" t="s">
        <v>95</v>
      </c>
      <c r="R114" s="17"/>
      <c r="S114" s="589"/>
      <c r="T114" s="76"/>
      <c r="U114" s="76"/>
      <c r="V114" s="1"/>
      <c r="W114" s="19"/>
      <c r="X114" s="1"/>
      <c r="Y114" s="26"/>
    </row>
    <row r="115" spans="1:25" ht="46.5" customHeight="1">
      <c r="A115" s="629" t="s">
        <v>92</v>
      </c>
      <c r="B115" s="13"/>
      <c r="C115" s="37" t="s">
        <v>115</v>
      </c>
      <c r="D115" s="53">
        <v>1.1000000000000001</v>
      </c>
      <c r="E115" s="18">
        <v>0.20799999999999999</v>
      </c>
      <c r="F115" s="575" t="s">
        <v>324</v>
      </c>
      <c r="G115" s="74">
        <f>4-2.9</f>
        <v>1.1000000000000001</v>
      </c>
      <c r="H115" s="575" t="s">
        <v>124</v>
      </c>
      <c r="I115" s="18"/>
      <c r="J115" s="18"/>
      <c r="K115" s="13"/>
      <c r="L115" s="32" t="s">
        <v>115</v>
      </c>
      <c r="M115" s="18"/>
      <c r="N115" s="177">
        <v>2.9</v>
      </c>
      <c r="O115" s="575" t="s">
        <v>302</v>
      </c>
      <c r="P115" s="13"/>
      <c r="Q115" s="32" t="s">
        <v>115</v>
      </c>
      <c r="R115" s="53"/>
      <c r="S115" s="575"/>
      <c r="T115" s="18"/>
      <c r="U115" s="18"/>
      <c r="V115" s="13"/>
      <c r="W115" s="18"/>
      <c r="X115" s="13"/>
      <c r="Y115" s="18"/>
    </row>
    <row r="116" spans="1:25" ht="42.65" customHeight="1">
      <c r="A116" s="629"/>
      <c r="B116" s="10"/>
      <c r="C116" s="32" t="s">
        <v>116</v>
      </c>
      <c r="D116" s="69" t="e">
        <f>D115/VLOOKUP(A115,#REF!,7,0)</f>
        <v>#REF!</v>
      </c>
      <c r="E116" s="28"/>
      <c r="F116" s="576"/>
      <c r="G116" s="75"/>
      <c r="H116" s="576"/>
      <c r="I116" s="28"/>
      <c r="J116" s="28"/>
      <c r="K116" s="10"/>
      <c r="L116" s="32" t="s">
        <v>116</v>
      </c>
      <c r="M116" s="28"/>
      <c r="N116" s="170" t="e">
        <f>N115/VLOOKUP(A115,#REF!,7,0)</f>
        <v>#REF!</v>
      </c>
      <c r="O116" s="576"/>
      <c r="P116" s="10"/>
      <c r="Q116" s="32" t="s">
        <v>116</v>
      </c>
      <c r="R116" s="56"/>
      <c r="S116" s="576"/>
      <c r="T116" s="28"/>
      <c r="U116" s="28"/>
      <c r="V116" s="10"/>
      <c r="W116" s="28"/>
      <c r="X116" s="10"/>
      <c r="Y116" s="28"/>
    </row>
    <row r="117" spans="1:25" ht="38">
      <c r="A117" s="630"/>
      <c r="B117" s="12"/>
      <c r="C117" s="31" t="s">
        <v>117</v>
      </c>
      <c r="D117" s="17" t="e">
        <f>(D115/VLOOKUP(A115,#REF!,4,0))*100</f>
        <v>#REF!</v>
      </c>
      <c r="E117" s="24"/>
      <c r="F117" s="577"/>
      <c r="G117" s="68"/>
      <c r="H117" s="577"/>
      <c r="I117" s="19"/>
      <c r="J117" s="19"/>
      <c r="K117" s="12"/>
      <c r="L117" s="31" t="s">
        <v>117</v>
      </c>
      <c r="M117" s="23"/>
      <c r="N117" s="168" t="e">
        <f>(N115/VLOOKUP(A115,#REF!,4,0))*100</f>
        <v>#REF!</v>
      </c>
      <c r="O117" s="577"/>
      <c r="P117" s="12"/>
      <c r="Q117" s="31" t="s">
        <v>117</v>
      </c>
      <c r="R117" s="17"/>
      <c r="S117" s="577"/>
      <c r="T117" s="19"/>
      <c r="U117" s="19"/>
      <c r="V117" s="1"/>
      <c r="W117" s="19"/>
      <c r="X117" s="1"/>
      <c r="Y117" s="26"/>
    </row>
    <row r="118" spans="1:25" s="10" customFormat="1" ht="62.5" customHeight="1">
      <c r="A118" s="629" t="s">
        <v>22</v>
      </c>
      <c r="B118" s="13"/>
      <c r="C118" s="37" t="s">
        <v>115</v>
      </c>
      <c r="D118" s="93">
        <v>68</v>
      </c>
      <c r="E118" s="575" t="s">
        <v>253</v>
      </c>
      <c r="F118" s="575" t="s">
        <v>325</v>
      </c>
      <c r="G118" s="74" t="s">
        <v>254</v>
      </c>
      <c r="H118" s="575" t="s">
        <v>255</v>
      </c>
      <c r="I118" s="18"/>
      <c r="J118" s="18"/>
      <c r="K118" s="13"/>
      <c r="L118" s="32" t="s">
        <v>115</v>
      </c>
      <c r="M118" s="18"/>
      <c r="N118" s="177"/>
      <c r="O118" s="575"/>
      <c r="P118" s="13"/>
      <c r="Q118" s="32" t="s">
        <v>115</v>
      </c>
      <c r="R118" s="94">
        <v>68</v>
      </c>
      <c r="S118" s="575" t="s">
        <v>341</v>
      </c>
      <c r="T118" s="18"/>
      <c r="U118" s="18"/>
      <c r="V118" s="13"/>
      <c r="W118" s="138" t="s">
        <v>189</v>
      </c>
      <c r="X118" s="13"/>
      <c r="Y118" s="137" t="s">
        <v>188</v>
      </c>
    </row>
    <row r="119" spans="1:25" s="10" customFormat="1" ht="50.15" customHeight="1">
      <c r="A119" s="629"/>
      <c r="C119" s="32" t="s">
        <v>116</v>
      </c>
      <c r="D119" s="81" t="e">
        <f>D118/VLOOKUP(A118,#REF!,7,0)</f>
        <v>#REF!</v>
      </c>
      <c r="E119" s="576"/>
      <c r="F119" s="576"/>
      <c r="G119" s="75"/>
      <c r="H119" s="576"/>
      <c r="I119" s="28"/>
      <c r="J119" s="28"/>
      <c r="L119" s="32" t="s">
        <v>116</v>
      </c>
      <c r="M119" s="28"/>
      <c r="N119" s="178"/>
      <c r="O119" s="576"/>
      <c r="Q119" s="32" t="s">
        <v>116</v>
      </c>
      <c r="R119" s="185" t="e">
        <f>R118/VLOOKUP(A118,#REF!,7,0)</f>
        <v>#REF!</v>
      </c>
      <c r="S119" s="576"/>
      <c r="T119" s="28"/>
      <c r="U119" s="28"/>
      <c r="W119" s="28"/>
      <c r="Y119" s="28"/>
    </row>
    <row r="120" spans="1:25" ht="38">
      <c r="A120" s="630"/>
      <c r="B120" s="12"/>
      <c r="C120" s="31" t="s">
        <v>117</v>
      </c>
      <c r="D120" s="17" t="e">
        <f>(D118/VLOOKUP(A118,#REF!,4,0))*100</f>
        <v>#REF!</v>
      </c>
      <c r="E120" s="24"/>
      <c r="F120" s="577"/>
      <c r="G120" s="68"/>
      <c r="H120" s="577"/>
      <c r="I120" s="19"/>
      <c r="J120" s="19"/>
      <c r="K120" s="12"/>
      <c r="L120" s="31" t="s">
        <v>117</v>
      </c>
      <c r="M120" s="23"/>
      <c r="N120" s="168"/>
      <c r="O120" s="577"/>
      <c r="P120" s="12"/>
      <c r="Q120" s="31" t="s">
        <v>117</v>
      </c>
      <c r="R120" s="65" t="e">
        <f>(R118/VLOOKUP(A118,#REF!,4,0))*100</f>
        <v>#REF!</v>
      </c>
      <c r="S120" s="577"/>
      <c r="T120" s="19"/>
      <c r="U120" s="19"/>
      <c r="V120" s="1"/>
      <c r="W120" s="19"/>
      <c r="X120" s="1"/>
      <c r="Y120" s="26"/>
    </row>
    <row r="121" spans="1:25" s="10" customFormat="1" ht="58" customHeight="1">
      <c r="A121" s="629" t="s">
        <v>30</v>
      </c>
      <c r="B121" s="13"/>
      <c r="C121" s="37" t="s">
        <v>115</v>
      </c>
      <c r="D121" s="53">
        <v>2.0499999999999998</v>
      </c>
      <c r="E121" s="575" t="s">
        <v>80</v>
      </c>
      <c r="F121" s="575" t="s">
        <v>326</v>
      </c>
      <c r="G121" s="74">
        <f>2.05-0.33</f>
        <v>1.7199999999999998</v>
      </c>
      <c r="H121" s="575" t="s">
        <v>131</v>
      </c>
      <c r="I121" s="18"/>
      <c r="J121" s="18"/>
      <c r="K121" s="13"/>
      <c r="L121" s="32" t="s">
        <v>115</v>
      </c>
      <c r="M121" s="18"/>
      <c r="N121" s="177">
        <f>0.3+0.04+0.5+0.1+0.132</f>
        <v>1.0720000000000001</v>
      </c>
      <c r="O121" s="575" t="s">
        <v>307</v>
      </c>
      <c r="P121" s="13"/>
      <c r="Q121" s="32" t="s">
        <v>115</v>
      </c>
      <c r="R121" s="53">
        <v>0.5</v>
      </c>
      <c r="S121" s="575" t="s">
        <v>342</v>
      </c>
      <c r="T121" s="18"/>
      <c r="U121" s="18"/>
      <c r="V121" s="13"/>
      <c r="W121" s="575" t="s">
        <v>83</v>
      </c>
      <c r="X121" s="13"/>
      <c r="Y121" s="18"/>
    </row>
    <row r="122" spans="1:25" s="10" customFormat="1" ht="40" customHeight="1">
      <c r="A122" s="629"/>
      <c r="C122" s="32" t="s">
        <v>116</v>
      </c>
      <c r="D122" s="69" t="e">
        <f>D121/VLOOKUP(A121,#REF!,7,0)</f>
        <v>#REF!</v>
      </c>
      <c r="E122" s="576"/>
      <c r="F122" s="576"/>
      <c r="G122" s="75"/>
      <c r="H122" s="576"/>
      <c r="I122" s="28"/>
      <c r="J122" s="28"/>
      <c r="L122" s="32" t="s">
        <v>116</v>
      </c>
      <c r="M122" s="28"/>
      <c r="N122" s="170" t="e">
        <f>N121/VLOOKUP(A121,#REF!,7,0)</f>
        <v>#REF!</v>
      </c>
      <c r="O122" s="576"/>
      <c r="Q122" s="32" t="s">
        <v>116</v>
      </c>
      <c r="R122" s="69" t="e">
        <f>R121/VLOOKUP(A121,#REF!,7,0)</f>
        <v>#REF!</v>
      </c>
      <c r="S122" s="576"/>
      <c r="T122" s="28"/>
      <c r="U122" s="28"/>
      <c r="W122" s="576"/>
      <c r="Y122" s="28"/>
    </row>
    <row r="123" spans="1:25" ht="93.65" customHeight="1">
      <c r="A123" s="630"/>
      <c r="B123" s="12"/>
      <c r="C123" s="31" t="s">
        <v>117</v>
      </c>
      <c r="D123" s="17" t="e">
        <f>(D121/VLOOKUP(A121,#REF!,4,0))*100</f>
        <v>#REF!</v>
      </c>
      <c r="E123" s="24"/>
      <c r="F123" s="577"/>
      <c r="G123" s="68"/>
      <c r="H123" s="577"/>
      <c r="I123" s="19"/>
      <c r="J123" s="19"/>
      <c r="K123" s="12"/>
      <c r="L123" s="31" t="s">
        <v>117</v>
      </c>
      <c r="M123" s="23"/>
      <c r="N123" s="168" t="e">
        <f>(N121/VLOOKUP(A121,#REF!,4,0))*100</f>
        <v>#REF!</v>
      </c>
      <c r="O123" s="577"/>
      <c r="P123" s="12"/>
      <c r="Q123" s="31" t="s">
        <v>117</v>
      </c>
      <c r="R123" s="17" t="e">
        <f>(R121/VLOOKUP(A121,#REF!,4,0))*100</f>
        <v>#REF!</v>
      </c>
      <c r="S123" s="577"/>
      <c r="T123" s="19"/>
      <c r="U123" s="19"/>
      <c r="V123" s="1"/>
      <c r="W123" s="577"/>
      <c r="X123" s="1"/>
      <c r="Y123" s="26"/>
    </row>
    <row r="124" spans="1:25" s="10" customFormat="1" ht="57" customHeight="1">
      <c r="A124" s="629" t="s">
        <v>56</v>
      </c>
      <c r="B124" s="13"/>
      <c r="C124" s="37" t="s">
        <v>115</v>
      </c>
      <c r="D124" s="93">
        <v>26.5</v>
      </c>
      <c r="E124" s="575"/>
      <c r="F124" s="575" t="s">
        <v>327</v>
      </c>
      <c r="G124" s="74"/>
      <c r="H124" s="575" t="s">
        <v>294</v>
      </c>
      <c r="I124" s="18"/>
      <c r="J124" s="18"/>
      <c r="K124" s="13"/>
      <c r="L124" s="32" t="s">
        <v>115</v>
      </c>
      <c r="M124" s="18"/>
      <c r="N124" s="177"/>
      <c r="O124" s="575" t="s">
        <v>308</v>
      </c>
      <c r="P124" s="13"/>
      <c r="Q124" s="32" t="s">
        <v>115</v>
      </c>
      <c r="R124" s="53"/>
      <c r="S124" s="575" t="s">
        <v>343</v>
      </c>
      <c r="T124" s="18"/>
      <c r="U124" s="18"/>
      <c r="V124" s="13"/>
      <c r="W124" s="18"/>
      <c r="X124" s="13"/>
      <c r="Y124" s="25" t="s">
        <v>51</v>
      </c>
    </row>
    <row r="125" spans="1:25" s="10" customFormat="1" ht="36.65" customHeight="1">
      <c r="A125" s="629"/>
      <c r="C125" s="32" t="s">
        <v>116</v>
      </c>
      <c r="D125" s="69" t="e">
        <f>D124/VLOOKUP(A124,#REF!,7,0)</f>
        <v>#REF!</v>
      </c>
      <c r="E125" s="576"/>
      <c r="F125" s="576"/>
      <c r="G125" s="75"/>
      <c r="H125" s="576"/>
      <c r="I125" s="28"/>
      <c r="J125" s="28"/>
      <c r="L125" s="32" t="s">
        <v>116</v>
      </c>
      <c r="M125" s="28"/>
      <c r="N125" s="178"/>
      <c r="O125" s="576"/>
      <c r="Q125" s="32" t="s">
        <v>116</v>
      </c>
      <c r="R125" s="56"/>
      <c r="S125" s="576"/>
      <c r="T125" s="28"/>
      <c r="U125" s="28"/>
      <c r="W125" s="28"/>
      <c r="Y125" s="27" t="s">
        <v>52</v>
      </c>
    </row>
    <row r="126" spans="1:25" ht="75.650000000000006" customHeight="1">
      <c r="A126" s="630"/>
      <c r="B126" s="12"/>
      <c r="C126" s="31" t="s">
        <v>117</v>
      </c>
      <c r="D126" s="17" t="e">
        <f>(D124/VLOOKUP(A124,#REF!,4,0))*100</f>
        <v>#REF!</v>
      </c>
      <c r="E126" s="24"/>
      <c r="F126" s="577"/>
      <c r="G126" s="68"/>
      <c r="H126" s="577"/>
      <c r="I126" s="19"/>
      <c r="J126" s="19"/>
      <c r="K126" s="12"/>
      <c r="L126" s="31" t="s">
        <v>117</v>
      </c>
      <c r="M126" s="23"/>
      <c r="N126" s="168"/>
      <c r="O126" s="577"/>
      <c r="P126" s="12"/>
      <c r="Q126" s="31" t="s">
        <v>117</v>
      </c>
      <c r="R126" s="17"/>
      <c r="S126" s="577"/>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29" t="s">
        <v>37</v>
      </c>
      <c r="B129" s="13"/>
      <c r="C129" s="37" t="s">
        <v>115</v>
      </c>
      <c r="D129" s="93">
        <v>53.95</v>
      </c>
      <c r="E129" s="18" t="s">
        <v>86</v>
      </c>
      <c r="F129" s="575" t="s">
        <v>328</v>
      </c>
      <c r="G129" s="74" t="s">
        <v>87</v>
      </c>
      <c r="H129" s="575" t="s">
        <v>98</v>
      </c>
      <c r="I129" s="18"/>
      <c r="J129" s="18"/>
      <c r="K129" s="13"/>
      <c r="L129" s="32" t="s">
        <v>115</v>
      </c>
      <c r="M129" s="18"/>
      <c r="N129" s="175">
        <v>50</v>
      </c>
      <c r="O129" s="575" t="s">
        <v>344</v>
      </c>
      <c r="P129" s="13"/>
      <c r="Q129" s="32" t="s">
        <v>115</v>
      </c>
      <c r="R129" s="53"/>
      <c r="S129" s="18"/>
      <c r="T129" s="18"/>
      <c r="U129" s="18"/>
      <c r="V129" s="13"/>
      <c r="W129" s="18"/>
      <c r="X129" s="13"/>
      <c r="Y129" s="18"/>
    </row>
    <row r="130" spans="1:25" s="36" customFormat="1" ht="50.15" customHeight="1">
      <c r="A130" s="629"/>
      <c r="B130" s="10"/>
      <c r="C130" s="32" t="s">
        <v>116</v>
      </c>
      <c r="D130" s="69" t="e">
        <f>D129/VLOOKUP(A129,#REF!,7,0)</f>
        <v>#REF!</v>
      </c>
      <c r="E130" s="28"/>
      <c r="F130" s="576"/>
      <c r="G130" s="75"/>
      <c r="H130" s="576"/>
      <c r="I130" s="28"/>
      <c r="J130" s="28"/>
      <c r="K130" s="10"/>
      <c r="L130" s="32" t="s">
        <v>116</v>
      </c>
      <c r="M130" s="28"/>
      <c r="N130" s="170" t="e">
        <f>N129/VLOOKUP(A129,#REF!,7,0)</f>
        <v>#REF!</v>
      </c>
      <c r="O130" s="576"/>
      <c r="P130" s="10"/>
      <c r="Q130" s="32" t="s">
        <v>116</v>
      </c>
      <c r="R130" s="56"/>
      <c r="S130" s="28"/>
      <c r="T130" s="28"/>
      <c r="U130" s="28"/>
      <c r="V130" s="10"/>
      <c r="W130" s="28"/>
      <c r="X130" s="10"/>
      <c r="Y130" s="28"/>
    </row>
    <row r="131" spans="1:25" ht="50.15" customHeight="1">
      <c r="A131" s="630"/>
      <c r="B131" s="6"/>
      <c r="C131" s="32" t="s">
        <v>117</v>
      </c>
      <c r="D131" s="69" t="e">
        <f>(D129/VLOOKUP(A129,#REF!,4,0))*100</f>
        <v>#REF!</v>
      </c>
      <c r="E131" s="29"/>
      <c r="F131" s="577"/>
      <c r="G131" s="56"/>
      <c r="H131" s="577"/>
      <c r="I131" s="28"/>
      <c r="J131" s="28"/>
      <c r="K131" s="6"/>
      <c r="L131" s="32" t="s">
        <v>117</v>
      </c>
      <c r="M131" s="35"/>
      <c r="N131" s="170" t="e">
        <f>(N129/VLOOKUP(A129,#REF!,4,0))*100</f>
        <v>#REF!</v>
      </c>
      <c r="O131" s="577"/>
      <c r="P131" s="6"/>
      <c r="Q131" s="32" t="s">
        <v>117</v>
      </c>
      <c r="R131" s="69"/>
      <c r="S131" s="28"/>
      <c r="T131" s="28"/>
      <c r="U131" s="28"/>
      <c r="W131" s="28"/>
      <c r="Y131" s="27"/>
    </row>
    <row r="132" spans="1:25" s="13" customFormat="1" ht="40" customHeight="1">
      <c r="A132" s="629" t="s">
        <v>38</v>
      </c>
      <c r="B132" s="158"/>
      <c r="C132" s="37" t="s">
        <v>115</v>
      </c>
      <c r="D132" s="93">
        <v>5.8</v>
      </c>
      <c r="E132" s="20" t="s">
        <v>53</v>
      </c>
      <c r="F132" s="600" t="s">
        <v>329</v>
      </c>
      <c r="G132" s="74"/>
      <c r="H132" s="575"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29"/>
      <c r="B133" s="6"/>
      <c r="C133" s="32" t="s">
        <v>116</v>
      </c>
      <c r="D133" s="69" t="e">
        <f>D132/#REF!</f>
        <v>#REF!</v>
      </c>
      <c r="E133" s="34"/>
      <c r="F133" s="601"/>
      <c r="G133" s="56"/>
      <c r="H133" s="576"/>
      <c r="I133" s="28"/>
      <c r="J133" s="28"/>
      <c r="K133" s="6"/>
      <c r="L133" s="32" t="s">
        <v>116</v>
      </c>
      <c r="M133" s="35"/>
      <c r="N133" s="170"/>
      <c r="O133" s="28"/>
      <c r="P133" s="6"/>
      <c r="Q133" s="32" t="s">
        <v>116</v>
      </c>
      <c r="R133" s="69"/>
      <c r="S133" s="28"/>
      <c r="T133" s="28"/>
      <c r="U133" s="28"/>
      <c r="W133" s="28"/>
      <c r="Y133" s="27"/>
    </row>
    <row r="134" spans="1:25" ht="40" customHeight="1">
      <c r="A134" s="630"/>
      <c r="B134" s="12"/>
      <c r="C134" s="31" t="s">
        <v>117</v>
      </c>
      <c r="D134" s="17" t="e">
        <f>D132/#REF!*100</f>
        <v>#REF!</v>
      </c>
      <c r="E134" s="11"/>
      <c r="F134" s="602"/>
      <c r="G134" s="68"/>
      <c r="H134" s="577"/>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29" t="s">
        <v>29</v>
      </c>
      <c r="B135" s="13"/>
      <c r="C135" s="37" t="s">
        <v>115</v>
      </c>
      <c r="D135" s="603" t="s">
        <v>84</v>
      </c>
      <c r="E135" s="18" t="s">
        <v>88</v>
      </c>
      <c r="F135" s="575" t="s">
        <v>330</v>
      </c>
      <c r="G135" s="74"/>
      <c r="H135" s="575"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29"/>
      <c r="B136" s="10"/>
      <c r="C136" s="32" t="s">
        <v>116</v>
      </c>
      <c r="D136" s="604"/>
      <c r="E136" s="28"/>
      <c r="F136" s="576"/>
      <c r="G136" s="75"/>
      <c r="H136" s="576"/>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30"/>
      <c r="B137" s="12"/>
      <c r="C137" s="31" t="s">
        <v>117</v>
      </c>
      <c r="D137" s="17"/>
      <c r="E137" s="24"/>
      <c r="F137" s="577"/>
      <c r="G137" s="68"/>
      <c r="H137" s="577"/>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29" t="s">
        <v>93</v>
      </c>
      <c r="B138" s="14"/>
      <c r="C138" s="37" t="s">
        <v>115</v>
      </c>
      <c r="D138" s="93">
        <v>761</v>
      </c>
      <c r="E138" s="600">
        <v>70</v>
      </c>
      <c r="F138" s="575" t="s">
        <v>331</v>
      </c>
      <c r="G138" s="74"/>
      <c r="H138" s="575" t="s">
        <v>261</v>
      </c>
      <c r="I138" s="18"/>
      <c r="J138" s="18"/>
      <c r="K138" s="14"/>
      <c r="L138" s="32" t="s">
        <v>115</v>
      </c>
      <c r="M138" s="20"/>
      <c r="N138" s="183"/>
      <c r="O138" s="581"/>
      <c r="P138" s="14"/>
      <c r="Q138" s="32" t="s">
        <v>115</v>
      </c>
      <c r="R138" s="53"/>
      <c r="S138" s="575"/>
      <c r="T138" s="18"/>
      <c r="U138" s="18"/>
      <c r="V138" s="14"/>
      <c r="W138" s="18"/>
      <c r="X138" s="14"/>
      <c r="Y138" s="18"/>
    </row>
    <row r="139" spans="1:25" ht="65.150000000000006" customHeight="1">
      <c r="A139" s="629"/>
      <c r="B139" s="36"/>
      <c r="C139" s="32" t="s">
        <v>116</v>
      </c>
      <c r="D139" s="69" t="e">
        <f>D138/#REF!</f>
        <v>#REF!</v>
      </c>
      <c r="E139" s="601"/>
      <c r="F139" s="576"/>
      <c r="G139" s="75"/>
      <c r="H139" s="576"/>
      <c r="I139" s="28"/>
      <c r="J139" s="28"/>
      <c r="K139" s="36"/>
      <c r="L139" s="32" t="s">
        <v>116</v>
      </c>
      <c r="M139" s="30"/>
      <c r="N139" s="170"/>
      <c r="O139" s="582"/>
      <c r="P139" s="36"/>
      <c r="Q139" s="32" t="s">
        <v>116</v>
      </c>
      <c r="R139" s="56"/>
      <c r="S139" s="576"/>
      <c r="T139" s="28"/>
      <c r="U139" s="28"/>
      <c r="V139" s="36"/>
      <c r="W139" s="28"/>
      <c r="X139" s="36"/>
      <c r="Y139" s="28"/>
    </row>
    <row r="140" spans="1:25" ht="65.150000000000006" customHeight="1">
      <c r="A140" s="630"/>
      <c r="B140" s="12"/>
      <c r="C140" s="31" t="s">
        <v>117</v>
      </c>
      <c r="D140" s="17" t="e">
        <f>D138/#REF!*100</f>
        <v>#REF!</v>
      </c>
      <c r="E140" s="24"/>
      <c r="F140" s="577"/>
      <c r="G140" s="68"/>
      <c r="H140" s="577"/>
      <c r="I140" s="19"/>
      <c r="J140" s="19"/>
      <c r="K140" s="12"/>
      <c r="L140" s="31" t="s">
        <v>117</v>
      </c>
      <c r="M140" s="23"/>
      <c r="N140" s="168"/>
      <c r="O140" s="583"/>
      <c r="P140" s="12"/>
      <c r="Q140" s="31" t="s">
        <v>117</v>
      </c>
      <c r="R140" s="17"/>
      <c r="S140" s="577"/>
      <c r="T140" s="19"/>
      <c r="U140" s="19"/>
      <c r="V140" s="1"/>
      <c r="W140" s="19"/>
      <c r="X140" s="1"/>
      <c r="Y140" s="26"/>
    </row>
    <row r="141" spans="1:25" ht="90" customHeight="1">
      <c r="A141" s="629" t="s">
        <v>33</v>
      </c>
      <c r="B141" s="14"/>
      <c r="C141" s="37" t="s">
        <v>115</v>
      </c>
      <c r="D141" s="127">
        <f>36000+61700</f>
        <v>97700</v>
      </c>
      <c r="E141" s="20" t="s">
        <v>89</v>
      </c>
      <c r="F141" s="600" t="s">
        <v>332</v>
      </c>
      <c r="G141" s="74">
        <f>80000-1800</f>
        <v>78200</v>
      </c>
      <c r="H141" s="575" t="s">
        <v>299</v>
      </c>
      <c r="I141" s="18"/>
      <c r="J141" s="18"/>
      <c r="K141" s="14"/>
      <c r="L141" s="32" t="s">
        <v>115</v>
      </c>
      <c r="M141" s="20"/>
      <c r="N141" s="177"/>
      <c r="O141" s="18"/>
      <c r="P141" s="14"/>
      <c r="Q141" s="32" t="s">
        <v>115</v>
      </c>
      <c r="R141" s="53"/>
      <c r="S141" s="18"/>
      <c r="T141" s="18"/>
      <c r="U141" s="18"/>
      <c r="V141" s="14"/>
      <c r="W141" s="575" t="s">
        <v>295</v>
      </c>
      <c r="X141" s="14"/>
      <c r="Y141" s="18"/>
    </row>
    <row r="142" spans="1:25" ht="90" customHeight="1">
      <c r="A142" s="629"/>
      <c r="B142" s="6"/>
      <c r="C142" s="32" t="s">
        <v>116</v>
      </c>
      <c r="D142" s="69" t="e">
        <f>D141/VLOOKUP(A141,#REF!,7,0)</f>
        <v>#REF!</v>
      </c>
      <c r="E142" s="34"/>
      <c r="F142" s="601"/>
      <c r="G142" s="56"/>
      <c r="H142" s="576"/>
      <c r="I142" s="28"/>
      <c r="J142" s="28"/>
      <c r="K142" s="6"/>
      <c r="L142" s="32" t="s">
        <v>116</v>
      </c>
      <c r="M142" s="35"/>
      <c r="N142" s="170"/>
      <c r="O142" s="28"/>
      <c r="P142" s="6"/>
      <c r="Q142" s="32" t="s">
        <v>116</v>
      </c>
      <c r="R142" s="69"/>
      <c r="S142" s="28"/>
      <c r="T142" s="28"/>
      <c r="U142" s="28"/>
      <c r="W142" s="576"/>
      <c r="Y142" s="27"/>
    </row>
    <row r="143" spans="1:25" ht="90" customHeight="1">
      <c r="A143" s="630"/>
      <c r="B143" s="12"/>
      <c r="C143" s="31" t="s">
        <v>117</v>
      </c>
      <c r="D143" s="17" t="e">
        <f>(D141/VLOOKUP(A141,#REF!,4,0))*100</f>
        <v>#REF!</v>
      </c>
      <c r="E143" s="11"/>
      <c r="F143" s="602"/>
      <c r="G143" s="68"/>
      <c r="H143" s="577"/>
      <c r="I143" s="19"/>
      <c r="J143" s="19"/>
      <c r="K143" s="12"/>
      <c r="L143" s="31" t="s">
        <v>117</v>
      </c>
      <c r="M143" s="23"/>
      <c r="N143" s="168"/>
      <c r="O143" s="19"/>
      <c r="P143" s="12"/>
      <c r="Q143" s="31" t="s">
        <v>117</v>
      </c>
      <c r="R143" s="17"/>
      <c r="S143" s="19"/>
      <c r="T143" s="19"/>
      <c r="U143" s="19"/>
      <c r="V143" s="1"/>
      <c r="W143" s="577"/>
      <c r="X143" s="1"/>
      <c r="Y143" s="26"/>
    </row>
    <row r="144" spans="1:25">
      <c r="A144" s="6" t="s">
        <v>108</v>
      </c>
      <c r="B144" s="6"/>
      <c r="D144" s="101"/>
      <c r="E144" s="102"/>
      <c r="F144" s="6"/>
      <c r="G144" s="6"/>
      <c r="K144" s="6"/>
      <c r="M144" s="6"/>
      <c r="N144" s="184"/>
      <c r="P144" s="6"/>
      <c r="R144" s="101"/>
    </row>
    <row r="145" spans="1:21">
      <c r="A145" s="623" t="s">
        <v>300</v>
      </c>
      <c r="B145" s="623"/>
      <c r="C145" s="623"/>
      <c r="D145" s="623"/>
      <c r="E145" s="623"/>
      <c r="F145" s="623"/>
      <c r="G145" s="623"/>
      <c r="H145" s="623"/>
      <c r="I145" s="623"/>
      <c r="J145" s="623"/>
      <c r="K145" s="623"/>
      <c r="L145" s="623"/>
      <c r="M145" s="623"/>
      <c r="N145" s="623"/>
      <c r="O145" s="623"/>
      <c r="P145" s="623"/>
      <c r="Q145" s="623"/>
      <c r="R145" s="623"/>
      <c r="S145" s="623"/>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6">
    <mergeCell ref="A4:S4"/>
    <mergeCell ref="C7:J7"/>
    <mergeCell ref="L7:O7"/>
    <mergeCell ref="Q7:U7"/>
    <mergeCell ref="A10:A12"/>
    <mergeCell ref="F10:F12"/>
    <mergeCell ref="H10:H12"/>
    <mergeCell ref="J10:J12"/>
    <mergeCell ref="O10:O12"/>
    <mergeCell ref="S10:S12"/>
    <mergeCell ref="Z13:Z15"/>
    <mergeCell ref="A16:A18"/>
    <mergeCell ref="F16:F18"/>
    <mergeCell ref="H16:H18"/>
    <mergeCell ref="S16:S18"/>
    <mergeCell ref="W16:W18"/>
    <mergeCell ref="W10:W12"/>
    <mergeCell ref="Y10:Y12"/>
    <mergeCell ref="A13:A15"/>
    <mergeCell ref="F13:F15"/>
    <mergeCell ref="H13:H15"/>
    <mergeCell ref="J13:J15"/>
    <mergeCell ref="O13:O15"/>
    <mergeCell ref="S13:S15"/>
    <mergeCell ref="A19:A21"/>
    <mergeCell ref="F19:F21"/>
    <mergeCell ref="H19:H21"/>
    <mergeCell ref="J19:J21"/>
    <mergeCell ref="S19:S21"/>
    <mergeCell ref="A22:A24"/>
    <mergeCell ref="F22:F24"/>
    <mergeCell ref="H22:H24"/>
    <mergeCell ref="J22:J24"/>
    <mergeCell ref="O22:O24"/>
    <mergeCell ref="S22:S24"/>
    <mergeCell ref="W22:W24"/>
    <mergeCell ref="Y22:Y24"/>
    <mergeCell ref="A25:A27"/>
    <mergeCell ref="F25:F27"/>
    <mergeCell ref="H25:H27"/>
    <mergeCell ref="J25:J27"/>
    <mergeCell ref="O25:O27"/>
    <mergeCell ref="S25:S27"/>
    <mergeCell ref="W25:W27"/>
    <mergeCell ref="W28:W30"/>
    <mergeCell ref="A31:A33"/>
    <mergeCell ref="F31:F33"/>
    <mergeCell ref="H31:H33"/>
    <mergeCell ref="J31:J33"/>
    <mergeCell ref="O31:O33"/>
    <mergeCell ref="W31:W33"/>
    <mergeCell ref="A28:A30"/>
    <mergeCell ref="F28:F30"/>
    <mergeCell ref="H28:H30"/>
    <mergeCell ref="J28:J30"/>
    <mergeCell ref="O28:O30"/>
    <mergeCell ref="S28:S30"/>
    <mergeCell ref="Y31:Y33"/>
    <mergeCell ref="A34:A36"/>
    <mergeCell ref="E34:E35"/>
    <mergeCell ref="F34:F36"/>
    <mergeCell ref="H34:H36"/>
    <mergeCell ref="J34:J36"/>
    <mergeCell ref="O34:O36"/>
    <mergeCell ref="S34:S36"/>
    <mergeCell ref="Y34:Y36"/>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W48:W50"/>
    <mergeCell ref="A51:A53"/>
    <mergeCell ref="F51:F53"/>
    <mergeCell ref="H51:H53"/>
    <mergeCell ref="J51:J53"/>
    <mergeCell ref="W51:W53"/>
    <mergeCell ref="A48:A50"/>
    <mergeCell ref="F48:F50"/>
    <mergeCell ref="H48:H50"/>
    <mergeCell ref="J48:J50"/>
    <mergeCell ref="O48:O50"/>
    <mergeCell ref="S48:S50"/>
    <mergeCell ref="A54:A56"/>
    <mergeCell ref="F54:F56"/>
    <mergeCell ref="H54:H56"/>
    <mergeCell ref="J54:J56"/>
    <mergeCell ref="Y54:Y56"/>
    <mergeCell ref="A57:A59"/>
    <mergeCell ref="F57:F59"/>
    <mergeCell ref="H57:H59"/>
    <mergeCell ref="S57:S59"/>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69:A71"/>
    <mergeCell ref="E69:E70"/>
    <mergeCell ref="F69:F71"/>
    <mergeCell ref="H69:H71"/>
    <mergeCell ref="J69:J71"/>
    <mergeCell ref="O69:O71"/>
    <mergeCell ref="A66:A68"/>
    <mergeCell ref="F66:F68"/>
    <mergeCell ref="H66:H68"/>
    <mergeCell ref="J66:J68"/>
    <mergeCell ref="O66:O68"/>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A89:A91"/>
    <mergeCell ref="F89:F91"/>
    <mergeCell ref="H89:H91"/>
    <mergeCell ref="O89:O91"/>
    <mergeCell ref="S89:S91"/>
    <mergeCell ref="A92:A94"/>
    <mergeCell ref="E92:E93"/>
    <mergeCell ref="H92:H94"/>
    <mergeCell ref="S92:S94"/>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s>
  <hyperlinks>
    <hyperlink ref="Y54" r:id="rId1" xr:uid="{CE82EA2D-6138-45AC-B468-70277CF72B6C}"/>
    <hyperlink ref="Y60" r:id="rId2" xr:uid="{A9157B60-C476-4139-9757-67D6A0286099}"/>
    <hyperlink ref="Y66" r:id="rId3" xr:uid="{8EAA2E1F-7E7B-44E7-86A4-390F1AC32AFE}"/>
    <hyperlink ref="Y13" r:id="rId4" xr:uid="{F90CA8A8-756A-470F-874B-C6B020606903}"/>
    <hyperlink ref="Y19" r:id="rId5" xr:uid="{34AF372A-3716-4F0F-A5C6-DE7309C1193C}"/>
    <hyperlink ref="Y25" r:id="rId6" xr:uid="{BC52459F-D2CB-4E68-AEA2-1143F73AACFA}"/>
    <hyperlink ref="Y22" r:id="rId7" xr:uid="{55C5DA09-0E20-46CB-AE56-EA5FA480271E}"/>
    <hyperlink ref="Y31" r:id="rId8" xr:uid="{A7E657A7-E687-4008-84EE-40257B415197}"/>
    <hyperlink ref="Y37" r:id="rId9" xr:uid="{1EA4D578-22F4-4E43-8B8A-DEF1B3E1FBE0}"/>
    <hyperlink ref="Y77" r:id="rId10" xr:uid="{1C57BA6B-5C0F-447B-96F7-0CD01ED9F030}"/>
    <hyperlink ref="Y80" r:id="rId11" xr:uid="{F61CF814-6AEF-4078-8AA4-F53EAFFAC05C}"/>
    <hyperlink ref="Y83" r:id="rId12" xr:uid="{1C34754F-2D55-48FC-AEA8-52B4857B73ED}"/>
    <hyperlink ref="Y86" r:id="rId13" xr:uid="{38A0EBFD-EBAB-42E2-9C99-E16D66B0F53D}"/>
    <hyperlink ref="Y34" r:id="rId14" xr:uid="{E30E15D6-77B0-44DA-A031-21B5555BB508}"/>
    <hyperlink ref="Y103" r:id="rId15" xr:uid="{74DD3AE4-4817-47CC-B98E-B32E6E608ABD}"/>
    <hyperlink ref="Y124" r:id="rId16" xr:uid="{B786A727-220E-4A1D-8E9E-147BA7342173}"/>
    <hyperlink ref="Y125" r:id="rId17" xr:uid="{C2D0D17C-5482-4655-96D0-60259CB6594C}"/>
    <hyperlink ref="Y78" r:id="rId18" xr:uid="{4F9ECDA3-F97F-47F3-AD41-0B922F80B169}"/>
    <hyperlink ref="Z10" r:id="rId19" display="https://treasury.gov.au/coronavirus" xr:uid="{129DA64A-B423-407C-82F8-9EF0DACF1AF3}"/>
    <hyperlink ref="Y10" r:id="rId20" xr:uid="{86B5E436-B365-427E-B52D-D065FD2A6984}"/>
    <hyperlink ref="Y26" r:id="rId21" xr:uid="{736155B3-E46F-46E4-B92D-35BAB501A78C}"/>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C933F4A9-5285-477A-A5B0-83FB57B9D72A}"/>
  </hyperlinks>
  <pageMargins left="0.7" right="0.7" top="0.75" bottom="0.75" header="0.3" footer="0.3"/>
  <pageSetup scale="43"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426C-411D-46EA-BDB5-03E8C4FAE8E1}">
  <dimension ref="B1:X45"/>
  <sheetViews>
    <sheetView workbookViewId="0">
      <selection activeCell="G24" sqref="G24"/>
    </sheetView>
  </sheetViews>
  <sheetFormatPr defaultColWidth="8.7265625" defaultRowHeight="12.5"/>
  <sheetData>
    <row r="1" spans="2:24">
      <c r="B1" s="135" t="e">
        <f>SUM(D1,L1,P1)</f>
        <v>#REF!</v>
      </c>
      <c r="D1" s="135" t="e">
        <f>SUM(D3:D45)</f>
        <v>#REF!</v>
      </c>
      <c r="L1" s="135" t="e">
        <f>SUM(L3:L45)</f>
        <v>#REF!</v>
      </c>
      <c r="P1" s="135" t="e">
        <f>SUM(P3:P45)</f>
        <v>#REF!</v>
      </c>
      <c r="X1">
        <f>SUM(X3:X24)</f>
        <v>258</v>
      </c>
    </row>
    <row r="3" spans="2:24">
      <c r="D3" s="135">
        <f>Database!G7</f>
        <v>249.72579708899613</v>
      </c>
      <c r="L3" s="135">
        <f>Database!Q7</f>
        <v>10.356336622435562</v>
      </c>
      <c r="P3" s="135">
        <f>Database!U7</f>
        <v>13.808448829914079</v>
      </c>
      <c r="X3">
        <v>31</v>
      </c>
    </row>
    <row r="4" spans="2:24">
      <c r="D4" s="135" t="e">
        <f>Database!#REF!</f>
        <v>#REF!</v>
      </c>
      <c r="L4" s="135" t="e">
        <f>Database!#REF!</f>
        <v>#REF!</v>
      </c>
      <c r="P4" s="135" t="e">
        <f>Database!#REF!</f>
        <v>#REF!</v>
      </c>
      <c r="X4">
        <v>18</v>
      </c>
    </row>
    <row r="5" spans="2:24">
      <c r="D5" s="135" t="e">
        <f>Database!#REF!</f>
        <v>#REF!</v>
      </c>
      <c r="L5" s="135" t="e">
        <f>Database!#REF!</f>
        <v>#REF!</v>
      </c>
      <c r="P5" s="135" t="e">
        <f>Database!#REF!</f>
        <v>#REF!</v>
      </c>
      <c r="X5">
        <v>5</v>
      </c>
    </row>
    <row r="6" spans="2:24">
      <c r="D6" s="135" t="e">
        <f>Database!#REF!</f>
        <v>#REF!</v>
      </c>
      <c r="L6" s="135" t="e">
        <f>Database!#REF!</f>
        <v>#REF!</v>
      </c>
      <c r="P6" s="135" t="e">
        <f>Database!#REF!</f>
        <v>#REF!</v>
      </c>
      <c r="X6">
        <v>2</v>
      </c>
    </row>
    <row r="7" spans="2:24">
      <c r="D7" s="135" t="e">
        <f>Database!#REF!</f>
        <v>#REF!</v>
      </c>
      <c r="L7" s="135" t="e">
        <f>Database!#REF!</f>
        <v>#REF!</v>
      </c>
      <c r="P7" s="135" t="e">
        <f>Database!#REF!</f>
        <v>#REF!</v>
      </c>
      <c r="X7">
        <v>7.5</v>
      </c>
    </row>
    <row r="8" spans="2:24">
      <c r="D8" s="135">
        <f>Database!G22</f>
        <v>205.43073468379424</v>
      </c>
      <c r="L8" s="135">
        <f>Database!Q22</f>
        <v>3.7091660429018405</v>
      </c>
      <c r="P8" s="135">
        <f>Database!U22</f>
        <v>660.80219656620488</v>
      </c>
      <c r="X8">
        <v>7</v>
      </c>
    </row>
    <row r="9" spans="2:24">
      <c r="D9" s="135">
        <f>Database!G25</f>
        <v>843.8337860086101</v>
      </c>
      <c r="L9" s="135">
        <f>Database!Q25</f>
        <v>0</v>
      </c>
      <c r="P9" s="135">
        <f>Database!U25</f>
        <v>147.0387396263616</v>
      </c>
      <c r="X9">
        <v>21</v>
      </c>
    </row>
    <row r="10" spans="2:24">
      <c r="D10" s="135">
        <f>Database!G28</f>
        <v>104.83004568682564</v>
      </c>
      <c r="L10" s="135">
        <f>Database!Q28</f>
        <v>0</v>
      </c>
      <c r="P10" s="135">
        <f>Database!U28</f>
        <v>60.08448051088066</v>
      </c>
      <c r="X10">
        <v>3</v>
      </c>
    </row>
    <row r="11" spans="2:24">
      <c r="D11" s="135">
        <f>Database!G31</f>
        <v>107.45168705821794</v>
      </c>
      <c r="L11" s="135">
        <f>Database!Q31</f>
        <v>0.72927910812746966</v>
      </c>
      <c r="P11" s="135">
        <f>Database!U31</f>
        <v>171.87704801877453</v>
      </c>
      <c r="X11">
        <v>6.5</v>
      </c>
    </row>
    <row r="12" spans="2:24">
      <c r="D12" s="135">
        <f>Database!G34</f>
        <v>522.16796884260248</v>
      </c>
      <c r="L12" s="135">
        <f>Database!Q34</f>
        <v>1.3214570218866846</v>
      </c>
      <c r="P12" s="135">
        <f>Database!U34</f>
        <v>451.60472980981842</v>
      </c>
      <c r="X12">
        <v>10</v>
      </c>
    </row>
    <row r="13" spans="2:24">
      <c r="B13" t="s">
        <v>285</v>
      </c>
      <c r="D13" t="e">
        <f>Database!#REF!</f>
        <v>#REF!</v>
      </c>
      <c r="L13" t="e">
        <f>Database!#REF!</f>
        <v>#REF!</v>
      </c>
      <c r="P13" t="e">
        <f>Database!#REF!</f>
        <v>#REF!</v>
      </c>
      <c r="X13">
        <v>3</v>
      </c>
    </row>
    <row r="14" spans="2:24">
      <c r="D14" t="e">
        <f>Database!#REF!</f>
        <v>#REF!</v>
      </c>
      <c r="L14" t="e">
        <f>Database!#REF!</f>
        <v>#REF!</v>
      </c>
      <c r="P14" t="e">
        <f>Database!#REF!</f>
        <v>#REF!</v>
      </c>
      <c r="X14">
        <v>3</v>
      </c>
    </row>
    <row r="15" spans="2:24">
      <c r="D15" s="135">
        <f>Database!G43</f>
        <v>133.43721913654085</v>
      </c>
      <c r="L15" s="135">
        <f>Database!Q43</f>
        <v>15.498813503430172</v>
      </c>
      <c r="P15" s="135">
        <f>Database!U43</f>
        <v>0</v>
      </c>
      <c r="X15">
        <v>21</v>
      </c>
    </row>
    <row r="16" spans="2:24">
      <c r="D16" s="135">
        <f>Database!G46</f>
        <v>710.64739339926814</v>
      </c>
      <c r="L16" s="135">
        <f>Database!Q46</f>
        <v>0</v>
      </c>
      <c r="P16" s="135">
        <f>Database!U46</f>
        <v>57.964713980364451</v>
      </c>
      <c r="X16">
        <v>54</v>
      </c>
    </row>
    <row r="17" spans="2:24">
      <c r="D17" s="135">
        <f>Database!G49</f>
        <v>108.91796310307309</v>
      </c>
      <c r="L17" s="135">
        <f>Database!Q49</f>
        <v>8.6358998705005963</v>
      </c>
      <c r="P17" s="135">
        <f>Database!U49</f>
        <v>140.78807121174921</v>
      </c>
      <c r="X17">
        <v>7</v>
      </c>
    </row>
    <row r="18" spans="2:24">
      <c r="D18" s="135">
        <f>Database!G52</f>
        <v>98.860320620644671</v>
      </c>
      <c r="L18" s="135"/>
      <c r="P18" s="135">
        <f>Database!Q52</f>
        <v>2.4132367580927534</v>
      </c>
      <c r="X18">
        <v>3</v>
      </c>
    </row>
    <row r="19" spans="2:24">
      <c r="D19">
        <f>Database!G55</f>
        <v>7.0279601888550927</v>
      </c>
      <c r="L19">
        <f>Database!Q55</f>
        <v>0.89362142798687272</v>
      </c>
      <c r="P19">
        <f>Database!U55</f>
        <v>0.27925669624589772</v>
      </c>
      <c r="X19">
        <v>3</v>
      </c>
    </row>
    <row r="20" spans="2:24">
      <c r="D20" s="135" t="e">
        <f>Database!#REF!</f>
        <v>#REF!</v>
      </c>
      <c r="L20" s="135" t="e">
        <f>Database!#REF!</f>
        <v>#REF!</v>
      </c>
      <c r="P20" s="135" t="e">
        <f>Database!#REF!</f>
        <v>#REF!</v>
      </c>
      <c r="X20">
        <v>17</v>
      </c>
    </row>
    <row r="21" spans="2:24">
      <c r="D21" t="e">
        <f>Database!#REF!</f>
        <v>#REF!</v>
      </c>
      <c r="L21" t="e">
        <f>Database!#REF!</f>
        <v>#REF!</v>
      </c>
      <c r="P21" t="e">
        <f>Database!#REF!</f>
        <v>#REF!</v>
      </c>
      <c r="X21">
        <v>4</v>
      </c>
    </row>
    <row r="22" spans="2:24">
      <c r="D22" t="e">
        <f>Database!#REF!</f>
        <v>#REF!</v>
      </c>
      <c r="L22" t="e">
        <f>Database!#REF!</f>
        <v>#REF!</v>
      </c>
      <c r="P22" t="e">
        <f>Database!#REF!</f>
        <v>#REF!</v>
      </c>
      <c r="X22">
        <v>20</v>
      </c>
    </row>
    <row r="23" spans="2:24">
      <c r="B23" t="s">
        <v>18</v>
      </c>
      <c r="D23" s="135">
        <f>Database!G67</f>
        <v>25.234121210982789</v>
      </c>
      <c r="L23" s="135">
        <f>Database!Q67</f>
        <v>2.995571200851546</v>
      </c>
      <c r="P23" s="135">
        <f>Database!U67</f>
        <v>45.932091746390377</v>
      </c>
      <c r="X23">
        <v>8</v>
      </c>
    </row>
    <row r="24" spans="2:24">
      <c r="X24">
        <v>4</v>
      </c>
    </row>
    <row r="25" spans="2:24">
      <c r="D25" s="220">
        <f>Database!G76</f>
        <v>12.151964295383831</v>
      </c>
      <c r="L25" s="220">
        <f>Database!Q76</f>
        <v>43.105080896833208</v>
      </c>
      <c r="M25" s="220"/>
      <c r="N25" s="220"/>
      <c r="O25" s="220"/>
      <c r="P25" s="220">
        <f>Database!U76</f>
        <v>12.56467251673649</v>
      </c>
    </row>
    <row r="26" spans="2:24">
      <c r="D26" s="220">
        <f>Database!G79</f>
        <v>12.896485010704863</v>
      </c>
      <c r="L26" s="220">
        <f>Database!Q79</f>
        <v>1.3695382312252951</v>
      </c>
      <c r="M26" s="220"/>
      <c r="N26" s="220"/>
      <c r="O26" s="220"/>
      <c r="P26" s="220">
        <f>Database!U79</f>
        <v>13.923638684123832</v>
      </c>
    </row>
    <row r="27" spans="2:24">
      <c r="D27" s="220">
        <f>Database!G82</f>
        <v>93.92749702486816</v>
      </c>
      <c r="L27" s="220">
        <f>Database!Q82</f>
        <v>0</v>
      </c>
      <c r="M27" s="220"/>
      <c r="N27" s="220"/>
      <c r="O27" s="220"/>
      <c r="P27" s="220">
        <f>Database!U82</f>
        <v>39.716608705533552</v>
      </c>
    </row>
    <row r="28" spans="2:24">
      <c r="D28" s="220">
        <f>Database!G88</f>
        <v>23.917160810691193</v>
      </c>
      <c r="L28" s="220">
        <f>Database!Q88</f>
        <v>6.3191432870165452</v>
      </c>
      <c r="M28" s="220"/>
      <c r="N28" s="220"/>
      <c r="O28" s="220"/>
      <c r="P28" s="220">
        <f>Database!U88</f>
        <v>8.2839189308788317</v>
      </c>
    </row>
    <row r="29" spans="2:24">
      <c r="D29" s="220">
        <f>Database!G94</f>
        <v>62.546527888588585</v>
      </c>
      <c r="L29" s="220">
        <f>Database!Q94</f>
        <v>15.94465369118133</v>
      </c>
      <c r="M29" s="220"/>
      <c r="N29" s="220"/>
      <c r="O29" s="220"/>
      <c r="P29" s="220">
        <f>Database!U94</f>
        <v>0</v>
      </c>
    </row>
    <row r="30" spans="2:24">
      <c r="D30" s="220">
        <f>Database!G97</f>
        <v>22.474815922163589</v>
      </c>
      <c r="L30" s="220">
        <f>Database!Q97</f>
        <v>1.2703156825570725</v>
      </c>
      <c r="M30" s="220"/>
      <c r="N30" s="220"/>
      <c r="O30" s="220"/>
      <c r="P30" s="220">
        <f>Database!U97</f>
        <v>27.143497490535736</v>
      </c>
    </row>
    <row r="31" spans="2:24">
      <c r="D31" s="220">
        <f>Database!G103</f>
        <v>0.33382004491368428</v>
      </c>
      <c r="L31" s="220">
        <f>Database!Q103</f>
        <v>0</v>
      </c>
      <c r="M31" s="220"/>
      <c r="N31" s="220"/>
      <c r="O31" s="220"/>
      <c r="P31" s="220">
        <f>Database!U103</f>
        <v>0.23976025325292241</v>
      </c>
    </row>
    <row r="32" spans="2:24">
      <c r="D32" s="220">
        <f>Database!G148</f>
        <v>6.4363979597070609</v>
      </c>
      <c r="L32" s="220">
        <f>Database!Q148</f>
        <v>0</v>
      </c>
      <c r="M32" s="220"/>
      <c r="N32" s="220"/>
      <c r="O32" s="220"/>
      <c r="P32" s="220">
        <f>Database!U148</f>
        <v>1.6963398237179754</v>
      </c>
    </row>
    <row r="33" spans="2:16">
      <c r="B33" t="s">
        <v>42</v>
      </c>
      <c r="D33" s="220">
        <f>Database!G109</f>
        <v>32.063993334728984</v>
      </c>
      <c r="L33" s="220">
        <f>Database!Q109</f>
        <v>3.2859281358385646</v>
      </c>
      <c r="M33" s="220"/>
      <c r="N33" s="220"/>
      <c r="O33" s="220"/>
      <c r="P33" s="220">
        <f>Database!U109</f>
        <v>0</v>
      </c>
    </row>
    <row r="34" spans="2:16">
      <c r="D34" s="220">
        <f>Database!G112</f>
        <v>12.537379304867349</v>
      </c>
      <c r="L34" s="220">
        <f>Database!Q112</f>
        <v>7.6937118380227556</v>
      </c>
      <c r="M34" s="220"/>
      <c r="N34" s="220"/>
      <c r="O34" s="220"/>
      <c r="P34" s="220">
        <f>Database!U112</f>
        <v>6.9247467977276784</v>
      </c>
    </row>
    <row r="35" spans="2:16">
      <c r="D35" s="220">
        <f>Database!G115</f>
        <v>5.6957877830164128</v>
      </c>
      <c r="L35" s="220">
        <f>Database!Q115</f>
        <v>0.46256670638826908</v>
      </c>
      <c r="M35" s="220"/>
      <c r="N35" s="220"/>
      <c r="O35" s="220"/>
      <c r="P35" s="220">
        <f>Database!U115</f>
        <v>0</v>
      </c>
    </row>
    <row r="36" spans="2:16">
      <c r="D36" s="220">
        <f>Database!G124</f>
        <v>9.4151074374828561</v>
      </c>
      <c r="L36" s="220">
        <f>Database!Q124</f>
        <v>0</v>
      </c>
      <c r="M36" s="220"/>
      <c r="N36" s="220"/>
      <c r="O36" s="220"/>
      <c r="P36" s="220">
        <f>Database!U124</f>
        <v>0</v>
      </c>
    </row>
    <row r="37" spans="2:16">
      <c r="D37" s="220">
        <f>Database!G127</f>
        <v>0.99880719208951563</v>
      </c>
      <c r="L37" s="220">
        <f>Database!Q127</f>
        <v>0.36089216609850183</v>
      </c>
      <c r="M37" s="220"/>
      <c r="N37" s="220"/>
      <c r="O37" s="220"/>
      <c r="P37" s="220">
        <f>Database!U127</f>
        <v>0</v>
      </c>
    </row>
    <row r="38" spans="2:16">
      <c r="D38" s="220">
        <f>Database!G142</f>
        <v>38.516359409090974</v>
      </c>
      <c r="L38" s="220">
        <f>Database!Q142</f>
        <v>9.7444850702094339</v>
      </c>
      <c r="M38" s="220"/>
      <c r="N38" s="220"/>
      <c r="O38" s="220"/>
      <c r="P38" s="220">
        <f>Database!U142</f>
        <v>18.976102505144688</v>
      </c>
    </row>
    <row r="39" spans="2:16">
      <c r="D39" s="220">
        <f>Database!G154</f>
        <v>1.0614213919969644</v>
      </c>
      <c r="L39" s="220">
        <f>Database!Q154</f>
        <v>0.24890953916176717</v>
      </c>
      <c r="M39" s="220"/>
      <c r="N39" s="220"/>
      <c r="O39" s="220"/>
      <c r="P39" s="220">
        <f>Database!U154</f>
        <v>7.1117011189076346E-2</v>
      </c>
    </row>
    <row r="40" spans="2:16">
      <c r="D40" s="220">
        <f>Database!G157</f>
        <v>8.7134104833219883</v>
      </c>
      <c r="L40" s="220">
        <f>Database!Q157</f>
        <v>0</v>
      </c>
      <c r="M40" s="220"/>
      <c r="N40" s="220"/>
      <c r="O40" s="220"/>
      <c r="P40" s="220">
        <f>Database!U157</f>
        <v>0</v>
      </c>
    </row>
    <row r="41" spans="2:16">
      <c r="D41" s="220">
        <f>Database!G160</f>
        <v>7.4404955534436894</v>
      </c>
      <c r="L41" s="220">
        <f>Database!Q160</f>
        <v>0</v>
      </c>
      <c r="M41" s="220"/>
      <c r="N41" s="220"/>
      <c r="O41" s="220"/>
      <c r="P41" s="220">
        <f>Database!U160</f>
        <v>0.23586551341534254</v>
      </c>
    </row>
    <row r="42" spans="2:16">
      <c r="D42" s="220">
        <f>Database!G175</f>
        <v>0.81767544130184866</v>
      </c>
      <c r="L42" s="220">
        <f>Database!Q175</f>
        <v>0</v>
      </c>
      <c r="M42" s="220"/>
      <c r="N42" s="220"/>
      <c r="O42" s="220"/>
      <c r="P42" s="220">
        <f>Database!U175</f>
        <v>0.27967754522140348</v>
      </c>
    </row>
    <row r="43" spans="2:16">
      <c r="B43" t="s">
        <v>29</v>
      </c>
      <c r="D43" s="220"/>
      <c r="L43" s="220"/>
      <c r="M43" s="220"/>
      <c r="N43" s="220"/>
      <c r="O43" s="220"/>
      <c r="P43" s="220"/>
    </row>
    <row r="44" spans="2:16">
      <c r="D44" s="220">
        <f>Database!G190</f>
        <v>1.3831990179032452</v>
      </c>
      <c r="L44" s="220">
        <f>Database!Q190</f>
        <v>0</v>
      </c>
      <c r="M44" s="220"/>
      <c r="N44" s="220"/>
      <c r="O44" s="220"/>
      <c r="P44" s="220">
        <f>Database!U190</f>
        <v>0.34797459569892963</v>
      </c>
    </row>
    <row r="45" spans="2:16">
      <c r="B45" t="s">
        <v>33</v>
      </c>
      <c r="D45" s="220">
        <f>Database!G196</f>
        <v>6.074238065187715</v>
      </c>
      <c r="L45" s="220">
        <f>Database!Q196</f>
        <v>1.119834004785369</v>
      </c>
      <c r="M45" s="220"/>
      <c r="N45" s="220"/>
      <c r="O45" s="220"/>
      <c r="P45" s="220">
        <f>Database!U196</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27</vt:i4>
      </vt:variant>
    </vt:vector>
  </HeadingPairs>
  <TitlesOfParts>
    <vt:vector size="52" baseType="lpstr">
      <vt:lpstr>Table for SF_for publication</vt:lpstr>
      <vt:lpstr>Abweichungen</vt:lpstr>
      <vt:lpstr>Database</vt:lpstr>
      <vt:lpstr>Sheet1</vt:lpstr>
      <vt:lpstr>Database.Jun12</vt:lpstr>
      <vt:lpstr>Database.With SEE</vt:lpstr>
      <vt:lpstr>country list</vt:lpstr>
      <vt:lpstr>Summary.Global</vt:lpstr>
      <vt:lpstr>Figure</vt:lpstr>
      <vt:lpstr>Database.Jan 12 to SEC</vt:lpstr>
      <vt:lpstr>Summary.Global. Jan12 to SEC</vt:lpstr>
      <vt:lpstr>SEE - Bryn</vt:lpstr>
      <vt:lpstr>Summary.DeptComments</vt:lpstr>
      <vt:lpstr>Summary.Global.ToMgt</vt:lpstr>
      <vt:lpstr>Summary Table</vt:lpstr>
      <vt:lpstr>Summary.Global_Sep1</vt:lpstr>
      <vt:lpstr>Sheet3</vt:lpstr>
      <vt:lpstr>RES_G20Type</vt:lpstr>
      <vt:lpstr>RES_Notes</vt:lpstr>
      <vt:lpstr>SF Table_May1</vt:lpstr>
      <vt:lpstr>US measures</vt:lpstr>
      <vt:lpstr>USD_Billion</vt:lpstr>
      <vt:lpstr>PctGDP</vt:lpstr>
      <vt:lpstr>SF Table _FM Apr 8</vt:lpstr>
      <vt:lpstr>WKG</vt:lpstr>
      <vt:lpstr>Database!Print_Area</vt:lpstr>
      <vt:lpstr>'Database.Jan 12 to SEC'!Print_Area</vt:lpstr>
      <vt:lpstr>Database.Jun12!Print_Area</vt:lpstr>
      <vt:lpstr>'Database.With SEE'!Print_Area</vt:lpstr>
      <vt:lpstr>'SEE - Bryn'!Print_Area</vt:lpstr>
      <vt:lpstr>'SF Table _FM Apr 8'!Print_Area</vt:lpstr>
      <vt:lpstr>'SF Table_May1'!Print_Area</vt:lpstr>
      <vt:lpstr>'Summary Table'!Print_Area</vt:lpstr>
      <vt:lpstr>Summary.DeptComments!Print_Area</vt:lpstr>
      <vt:lpstr>Summary.Global!Print_Area</vt:lpstr>
      <vt:lpstr>'Summary.Global. Jan12 to SEC'!Print_Area</vt:lpstr>
      <vt:lpstr>Summary.Global.ToMgt!Print_Area</vt:lpstr>
      <vt:lpstr>Summary.Global_Sep1!Print_Area</vt:lpstr>
      <vt:lpstr>'Table for SF_for publication'!Print_Area</vt:lpstr>
      <vt:lpstr>Database!Print_Titles</vt:lpstr>
      <vt:lpstr>'Database.Jan 12 to SEC'!Print_Titles</vt:lpstr>
      <vt:lpstr>Database.Jun12!Print_Titles</vt:lpstr>
      <vt:lpstr>'Database.With SEE'!Print_Titles</vt:lpstr>
      <vt:lpstr>'SEE - Bryn'!Print_Titles</vt:lpstr>
      <vt:lpstr>'SF Table _FM Apr 8'!Print_Titles</vt:lpstr>
      <vt:lpstr>'SF Table_May1'!Print_Titles</vt:lpstr>
      <vt:lpstr>Summary.DeptComments!Print_Titles</vt:lpstr>
      <vt:lpstr>Summary.Global!Print_Titles</vt:lpstr>
      <vt:lpstr>'Summary.Global. Jan12 to SEC'!Print_Titles</vt:lpstr>
      <vt:lpstr>Summary.Global.ToMgt!Print_Titles</vt:lpstr>
      <vt:lpstr>Summary.Global_Sep1!Print_Titles</vt:lpstr>
      <vt:lpstr>'Table for SF_for publication'!Print_Titles</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Waikei Raphael</dc:creator>
  <cp:lastModifiedBy>aulis pesenti</cp:lastModifiedBy>
  <cp:lastPrinted>2021-10-08T18:35:55Z</cp:lastPrinted>
  <dcterms:created xsi:type="dcterms:W3CDTF">2020-03-26T18:33:17Z</dcterms:created>
  <dcterms:modified xsi:type="dcterms:W3CDTF">2025-11-18T16:29:43Z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A44787D4-0540-4523-9961-78E4036D8C6D}">
    <vt:lpwstr>{F5DD3E68-0E84-4FB4-99EE-106E86CD4926}</vt:lpwstr>
  </property>
</Properties>
</file>